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alcChain.xml" ContentType="application/vnd.openxmlformats-officedocument.spreadsheetml.calcChain+xml"/>
  <Override PartName="/xl/externalLinks/externalLink1.xml" ContentType="application/vnd.openxmlformats-officedocument.spreadsheetml.externalLink+xml"/>
  <Override PartName="/docProps/app.xml" ContentType="application/vnd.openxmlformats-officedocument.extended-properties+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metadata.xml" ContentType="application/vnd.openxmlformats-officedocument.spreadsheetml.sheetMetadata+xml"/>
  <Override PartName="/xl/externalLinks/externalLink2.xml" ContentType="application/vnd.openxmlformats-officedocument.spreadsheetml.externalLink+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defaultThemeVersion="124226"/>
  <mc:AlternateContent xmlns:mc="http://schemas.openxmlformats.org/markup-compatibility/2006">
    <mc:Choice Requires="x15">
      <x15ac:absPath xmlns:x15ac="http://schemas.microsoft.com/office/spreadsheetml/2010/11/ac" url="C:\Users\mmahajan\Documents\eps-us\InputData\trans\BNVFE\"/>
    </mc:Choice>
  </mc:AlternateContent>
  <xr:revisionPtr revIDLastSave="0" documentId="13_ncr:1_{9ADEAF17-6D54-45E4-8A1B-113623D2B442}" xr6:coauthVersionLast="47" xr6:coauthVersionMax="47" xr10:uidLastSave="{00000000-0000-0000-0000-000000000000}"/>
  <bookViews>
    <workbookView xWindow="-110" yWindow="-110" windowWidth="19420" windowHeight="10420" xr2:uid="{00000000-000D-0000-FFFF-FFFF00000000}"/>
  </bookViews>
  <sheets>
    <sheet name="About" sheetId="1" r:id="rId1"/>
    <sheet name="AEO 7" sheetId="4" r:id="rId2"/>
    <sheet name="AEO 7 (2020)" sheetId="32" r:id="rId3"/>
    <sheet name="AEO 35" sheetId="21" r:id="rId4"/>
    <sheet name="AEO 36" sheetId="27" r:id="rId5"/>
    <sheet name="AEO 38" sheetId="26" r:id="rId6"/>
    <sheet name="AEO 40" sheetId="25" r:id="rId7"/>
    <sheet name="AEO 44" sheetId="38" r:id="rId8"/>
    <sheet name="AEO 47" sheetId="16" r:id="rId9"/>
    <sheet name="AEO 48" sheetId="17" r:id="rId10"/>
    <sheet name="AEO 49" sheetId="28" r:id="rId11"/>
    <sheet name="AEO 49 (2020)" sheetId="36" r:id="rId12"/>
    <sheet name="psgr LDVs" sheetId="31" r:id="rId13"/>
    <sheet name="NTS 1-40" sheetId="20" r:id="rId14"/>
    <sheet name="NRBS 40" sheetId="19" r:id="rId15"/>
    <sheet name="NAP F28" sheetId="37" r:id="rId16"/>
    <sheet name="SYFAFE-passenger" sheetId="39" r:id="rId17"/>
    <sheet name="SYFAFE-freight" sheetId="29" r:id="rId18"/>
    <sheet name="Fuel Economy Stds" sheetId="40" r:id="rId19"/>
    <sheet name="Calculations Etc" sheetId="18" r:id="rId20"/>
    <sheet name="BNVFE-LDVs-psgr" sheetId="2" r:id="rId21"/>
    <sheet name="BNVFE-LDVs-frgt" sheetId="5" r:id="rId22"/>
    <sheet name="BNVFE-HDVs-psgr" sheetId="6" r:id="rId23"/>
    <sheet name="BNVFE-HDVs-frgt" sheetId="7" r:id="rId24"/>
    <sheet name="BNVFE-aircraft-psgr" sheetId="8" r:id="rId25"/>
    <sheet name="BNVFE-aircraft-frgt" sheetId="9" r:id="rId26"/>
    <sheet name="BNVFE-rail-psgr" sheetId="10" r:id="rId27"/>
    <sheet name="BNVFE-rail-frgt" sheetId="11" r:id="rId28"/>
    <sheet name="BNVFE-ships-psgr" sheetId="12" r:id="rId29"/>
    <sheet name="BNVFE-ships-frgt" sheetId="13" r:id="rId30"/>
    <sheet name="BNVFE-motorbikes-psgr" sheetId="14" r:id="rId31"/>
    <sheet name="BNVFE-motorbikes-frgt" sheetId="15" r:id="rId32"/>
    <sheet name="BNVFE_data for BHNVFEAL" sheetId="24" r:id="rId33"/>
  </sheets>
  <externalReferences>
    <externalReference r:id="rId34"/>
    <externalReference r:id="rId35"/>
    <externalReference r:id="rId36"/>
    <externalReference r:id="rId37"/>
    <externalReference r:id="rId38"/>
  </externalReferences>
  <definedNames>
    <definedName name="billion" localSheetId="12">[1]About!$A$93</definedName>
    <definedName name="billion">[2]About!$A$109</definedName>
    <definedName name="Diesel_FE_2024">'Fuel Economy Stds'!$F$54</definedName>
    <definedName name="Diesel_Sales_2024">'Fuel Economy Stds'!$F$22</definedName>
    <definedName name="Eno_TM" localSheetId="15">'[3]1997  Table 1a Modified'!#REF!</definedName>
    <definedName name="Eno_TM" localSheetId="13">'[3]1997  Table 1a Modified'!#REF!</definedName>
    <definedName name="Eno_TM" localSheetId="12">'[3]1997  Table 1a Modified'!#REF!</definedName>
    <definedName name="Eno_TM" localSheetId="17">'[3]1997  Table 1a Modified'!#REF!</definedName>
    <definedName name="Eno_TM">'[3]1997  Table 1a Modified'!#REF!</definedName>
    <definedName name="Eno_Tons" localSheetId="15">'[3]1997  Table 1a Modified'!#REF!</definedName>
    <definedName name="Eno_Tons" localSheetId="13">'[3]1997  Table 1a Modified'!#REF!</definedName>
    <definedName name="Eno_Tons" localSheetId="12">'[3]1997  Table 1a Modified'!#REF!</definedName>
    <definedName name="Eno_Tons" localSheetId="17">'[3]1997  Table 1a Modified'!#REF!</definedName>
    <definedName name="Eno_Tons">'[3]1997  Table 1a Modified'!#REF!</definedName>
    <definedName name="EV_FE_2024">'Fuel Economy Stds'!$F$51</definedName>
    <definedName name="EV_Sales_2024">'Fuel Economy Stds'!$F$19</definedName>
    <definedName name="Fuel_Economies">'Fuel Economy Stds'!$F$51:$K$57</definedName>
    <definedName name="Gasoline_FE_2024">'Fuel Economy Stds'!#REF!</definedName>
    <definedName name="Gasoline_Sales_2024">'Fuel Economy Stds'!$F$21</definedName>
    <definedName name="Hydg_FE_2024">'Fuel Economy Stds'!$F$57</definedName>
    <definedName name="Hydg_Sales_2024">'Fuel Economy Stds'!$F$25</definedName>
    <definedName name="LPG_FE_2024">'Fuel Economy Stds'!$F$56</definedName>
    <definedName name="LPG_Sales_2024">'Fuel Economy Stds'!$F$24</definedName>
    <definedName name="NG_FE_2024">'Fuel Economy Stds'!$F$52</definedName>
    <definedName name="NG_Sales_2024">'Fuel Economy Stds'!$F$20</definedName>
    <definedName name="NTS_YR" localSheetId="15">[4]About!$B$136</definedName>
    <definedName name="NTS_YR">About!$B$99</definedName>
    <definedName name="PHEV_FE_2024">'Fuel Economy Stds'!$F$55</definedName>
    <definedName name="PHEV_Sales_2024">'Fuel Economy Stds'!$F$23</definedName>
    <definedName name="Sales">'Fuel Economy Stds'!$F$19:$K$25</definedName>
    <definedName name="Sales_2024">'Fuel Economy Stds'!$F$19:$F$25</definedName>
    <definedName name="Sales_2025">'Fuel Economy Stds'!$G$19:$G$25</definedName>
    <definedName name="Sales_2026">'Fuel Economy Stds'!$H$19:$H$25</definedName>
    <definedName name="Sales_2027">'Fuel Economy Stds'!$I$19:$I$25</definedName>
    <definedName name="Sales_2028">'Fuel Economy Stds'!$J$19:$J$25</definedName>
    <definedName name="Sales_2029">'Fuel Economy Stds'!$K$19:$K$25</definedName>
    <definedName name="Standards">'Fuel Economy Stds'!$B$5:$G$5</definedName>
    <definedName name="Sum_T2" localSheetId="15">'[3]1997  Table 1a Modified'!#REF!</definedName>
    <definedName name="Sum_T2" localSheetId="13">'[3]1997  Table 1a Modified'!#REF!</definedName>
    <definedName name="Sum_T2" localSheetId="12">'[3]1997  Table 1a Modified'!#REF!</definedName>
    <definedName name="Sum_T2" localSheetId="17">'[3]1997  Table 1a Modified'!#REF!</definedName>
    <definedName name="Sum_T2">'[3]1997  Table 1a Modified'!#REF!</definedName>
    <definedName name="Sum_TTM" localSheetId="15">'[3]1997  Table 1a Modified'!#REF!</definedName>
    <definedName name="Sum_TTM" localSheetId="13">'[3]1997  Table 1a Modified'!#REF!</definedName>
    <definedName name="Sum_TTM" localSheetId="12">'[3]1997  Table 1a Modified'!#REF!</definedName>
    <definedName name="Sum_TTM" localSheetId="17">'[3]1997  Table 1a Modified'!#REF!</definedName>
    <definedName name="Sum_TTM">'[3]1997  Table 1a Modified'!#REF!</definedName>
    <definedName name="ti_tbl_50" localSheetId="18">#REF!</definedName>
    <definedName name="ti_tbl_50" localSheetId="15">#REF!</definedName>
    <definedName name="ti_tbl_50" localSheetId="13">#REF!</definedName>
    <definedName name="ti_tbl_50" localSheetId="12">#REF!</definedName>
    <definedName name="ti_tbl_50" localSheetId="17">#REF!</definedName>
    <definedName name="ti_tbl_50">#REF!</definedName>
    <definedName name="ti_tbl_69" localSheetId="18">#REF!</definedName>
    <definedName name="ti_tbl_69" localSheetId="15">#REF!</definedName>
    <definedName name="ti_tbl_69" localSheetId="13">#REF!</definedName>
    <definedName name="ti_tbl_69" localSheetId="12">#REF!</definedName>
    <definedName name="ti_tbl_69" localSheetId="17">#REF!</definedName>
    <definedName name="ti_tbl_69">#REF!</definedName>
    <definedName name="trillion" localSheetId="12">[1]About!$A$94</definedName>
    <definedName name="trillion">[2]About!$A$110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61" i="40" l="1"/>
  <c r="K61" i="40"/>
  <c r="L61" i="40"/>
  <c r="M61" i="40"/>
  <c r="N61" i="40"/>
  <c r="N4" i="2" s="1"/>
  <c r="O61" i="40"/>
  <c r="O4" i="2" s="1"/>
  <c r="P61" i="40"/>
  <c r="Q61" i="40"/>
  <c r="Q4" i="2" s="1"/>
  <c r="R61" i="40"/>
  <c r="S61" i="40"/>
  <c r="T61" i="40"/>
  <c r="U61" i="40"/>
  <c r="V61" i="40"/>
  <c r="V4" i="2" s="1"/>
  <c r="W61" i="40"/>
  <c r="W4" i="2" s="1"/>
  <c r="X61" i="40"/>
  <c r="Y61" i="40"/>
  <c r="Y4" i="2" s="1"/>
  <c r="Z61" i="40"/>
  <c r="AA61" i="40"/>
  <c r="AB61" i="40"/>
  <c r="AC61" i="40"/>
  <c r="AD61" i="40"/>
  <c r="AD4" i="2" s="1"/>
  <c r="AE61" i="40"/>
  <c r="AE4" i="2" s="1"/>
  <c r="AF61" i="40"/>
  <c r="I61" i="40"/>
  <c r="I4" i="2" s="1"/>
  <c r="C4" i="2"/>
  <c r="D4" i="2"/>
  <c r="E4" i="2"/>
  <c r="F4" i="2"/>
  <c r="G4" i="2"/>
  <c r="H4" i="2"/>
  <c r="J4" i="2"/>
  <c r="K4" i="2"/>
  <c r="L4" i="2"/>
  <c r="M4" i="2"/>
  <c r="P4" i="2"/>
  <c r="R4" i="2"/>
  <c r="S4" i="2"/>
  <c r="T4" i="2"/>
  <c r="U4" i="2"/>
  <c r="X4" i="2"/>
  <c r="Z4" i="2"/>
  <c r="AA4" i="2"/>
  <c r="AB4" i="2"/>
  <c r="AC4" i="2"/>
  <c r="AF4" i="2"/>
  <c r="B4" i="2"/>
  <c r="B61" i="40"/>
  <c r="C61" i="40"/>
  <c r="D61" i="40"/>
  <c r="E61" i="40"/>
  <c r="F61" i="40"/>
  <c r="G61" i="40"/>
  <c r="C9" i="40" l="1"/>
  <c r="D9" i="40"/>
  <c r="E9" i="40"/>
  <c r="F9" i="40"/>
  <c r="G9" i="40"/>
  <c r="H9" i="40"/>
  <c r="H51" i="40" s="1"/>
  <c r="I9" i="40"/>
  <c r="J9" i="40"/>
  <c r="J51" i="40" s="1"/>
  <c r="K9" i="40"/>
  <c r="L9" i="40"/>
  <c r="M9" i="40"/>
  <c r="N9" i="40"/>
  <c r="O9" i="40"/>
  <c r="P9" i="40"/>
  <c r="P51" i="40" s="1"/>
  <c r="Q9" i="40"/>
  <c r="R9" i="40"/>
  <c r="R51" i="40" s="1"/>
  <c r="S9" i="40"/>
  <c r="T9" i="40"/>
  <c r="U9" i="40"/>
  <c r="V9" i="40"/>
  <c r="W9" i="40"/>
  <c r="X9" i="40"/>
  <c r="X51" i="40" s="1"/>
  <c r="Y9" i="40"/>
  <c r="Z9" i="40"/>
  <c r="Z51" i="40" s="1"/>
  <c r="AA9" i="40"/>
  <c r="AB9" i="40"/>
  <c r="AC9" i="40"/>
  <c r="AD9" i="40"/>
  <c r="AE9" i="40"/>
  <c r="AF9" i="40"/>
  <c r="AF51" i="40" s="1"/>
  <c r="C10" i="40"/>
  <c r="D10" i="40"/>
  <c r="E10" i="40"/>
  <c r="F10" i="40"/>
  <c r="G10" i="40"/>
  <c r="H10" i="40"/>
  <c r="I10" i="40"/>
  <c r="J10" i="40"/>
  <c r="J52" i="40" s="1"/>
  <c r="K10" i="40"/>
  <c r="L10" i="40"/>
  <c r="L52" i="40" s="1"/>
  <c r="M10" i="40"/>
  <c r="N10" i="40"/>
  <c r="O10" i="40"/>
  <c r="P10" i="40"/>
  <c r="Q10" i="40"/>
  <c r="R10" i="40"/>
  <c r="S10" i="40"/>
  <c r="T10" i="40"/>
  <c r="T52" i="40" s="1"/>
  <c r="U10" i="40"/>
  <c r="V10" i="40"/>
  <c r="W10" i="40"/>
  <c r="X10" i="40"/>
  <c r="Y10" i="40"/>
  <c r="Z10" i="40"/>
  <c r="AA10" i="40"/>
  <c r="AB10" i="40"/>
  <c r="AC10" i="40"/>
  <c r="AD10" i="40"/>
  <c r="AE10" i="40"/>
  <c r="AF10" i="40"/>
  <c r="D53" i="40"/>
  <c r="L53" i="40"/>
  <c r="N53" i="40"/>
  <c r="T53" i="40"/>
  <c r="V53" i="40"/>
  <c r="AB53" i="40"/>
  <c r="AD53" i="40"/>
  <c r="C12" i="40"/>
  <c r="D12" i="40"/>
  <c r="E12" i="40"/>
  <c r="F12" i="40"/>
  <c r="F54" i="40" s="1"/>
  <c r="G12" i="40"/>
  <c r="H12" i="40"/>
  <c r="I12" i="40"/>
  <c r="J12" i="40"/>
  <c r="K12" i="40"/>
  <c r="L12" i="40"/>
  <c r="M12" i="40"/>
  <c r="N12" i="40"/>
  <c r="N54" i="40" s="1"/>
  <c r="O12" i="40"/>
  <c r="P12" i="40"/>
  <c r="P54" i="40" s="1"/>
  <c r="Q12" i="40"/>
  <c r="R12" i="40"/>
  <c r="S12" i="40"/>
  <c r="T12" i="40"/>
  <c r="U12" i="40"/>
  <c r="V12" i="40"/>
  <c r="V54" i="40" s="1"/>
  <c r="W12" i="40"/>
  <c r="X12" i="40"/>
  <c r="Y12" i="40"/>
  <c r="Z12" i="40"/>
  <c r="AA12" i="40"/>
  <c r="AB12" i="40"/>
  <c r="AC12" i="40"/>
  <c r="AD12" i="40"/>
  <c r="AE12" i="40"/>
  <c r="AF12" i="40"/>
  <c r="AF54" i="40" s="1"/>
  <c r="C13" i="40"/>
  <c r="D13" i="40"/>
  <c r="E13" i="40"/>
  <c r="F13" i="40"/>
  <c r="G13" i="40"/>
  <c r="H13" i="40"/>
  <c r="H55" i="40" s="1"/>
  <c r="I13" i="40"/>
  <c r="J13" i="40"/>
  <c r="J55" i="40" s="1"/>
  <c r="K13" i="40"/>
  <c r="L13" i="40"/>
  <c r="M13" i="40"/>
  <c r="N13" i="40"/>
  <c r="O13" i="40"/>
  <c r="P13" i="40"/>
  <c r="P55" i="40" s="1"/>
  <c r="Q13" i="40"/>
  <c r="R13" i="40"/>
  <c r="R55" i="40" s="1"/>
  <c r="S13" i="40"/>
  <c r="T13" i="40"/>
  <c r="U13" i="40"/>
  <c r="V13" i="40"/>
  <c r="W13" i="40"/>
  <c r="X13" i="40"/>
  <c r="Y13" i="40"/>
  <c r="Z13" i="40"/>
  <c r="Z55" i="40" s="1"/>
  <c r="AA13" i="40"/>
  <c r="AB13" i="40"/>
  <c r="AC13" i="40"/>
  <c r="AD13" i="40"/>
  <c r="AE13" i="40"/>
  <c r="AF13" i="40"/>
  <c r="AF55" i="40" s="1"/>
  <c r="C14" i="40"/>
  <c r="D14" i="40"/>
  <c r="D56" i="40" s="1"/>
  <c r="E14" i="40"/>
  <c r="F14" i="40"/>
  <c r="G14" i="40"/>
  <c r="H14" i="40"/>
  <c r="I14" i="40"/>
  <c r="J14" i="40"/>
  <c r="K14" i="40"/>
  <c r="L14" i="40"/>
  <c r="L56" i="40" s="1"/>
  <c r="M14" i="40"/>
  <c r="N14" i="40"/>
  <c r="O14" i="40"/>
  <c r="P14" i="40"/>
  <c r="Q14" i="40"/>
  <c r="R14" i="40"/>
  <c r="R56" i="40" s="1"/>
  <c r="S14" i="40"/>
  <c r="T14" i="40"/>
  <c r="T56" i="40" s="1"/>
  <c r="U14" i="40"/>
  <c r="V14" i="40"/>
  <c r="W14" i="40"/>
  <c r="X14" i="40"/>
  <c r="Y14" i="40"/>
  <c r="Z14" i="40"/>
  <c r="AA14" i="40"/>
  <c r="AB14" i="40"/>
  <c r="AB56" i="40" s="1"/>
  <c r="AC14" i="40"/>
  <c r="AD14" i="40"/>
  <c r="AE14" i="40"/>
  <c r="AF14" i="40"/>
  <c r="C15" i="40"/>
  <c r="D15" i="40"/>
  <c r="E15" i="40"/>
  <c r="F15" i="40"/>
  <c r="F57" i="40" s="1"/>
  <c r="G15" i="40"/>
  <c r="H15" i="40"/>
  <c r="I15" i="40"/>
  <c r="J15" i="40"/>
  <c r="K15" i="40"/>
  <c r="L15" i="40"/>
  <c r="L57" i="40" s="1"/>
  <c r="M15" i="40"/>
  <c r="N15" i="40"/>
  <c r="N57" i="40" s="1"/>
  <c r="O15" i="40"/>
  <c r="P15" i="40"/>
  <c r="Q15" i="40"/>
  <c r="R15" i="40"/>
  <c r="S15" i="40"/>
  <c r="T15" i="40"/>
  <c r="T57" i="40" s="1"/>
  <c r="U15" i="40"/>
  <c r="V15" i="40"/>
  <c r="V57" i="40" s="1"/>
  <c r="W15" i="40"/>
  <c r="X15" i="40"/>
  <c r="Y15" i="40"/>
  <c r="Z15" i="40"/>
  <c r="AA15" i="40"/>
  <c r="AB15" i="40"/>
  <c r="AB57" i="40" s="1"/>
  <c r="AC15" i="40"/>
  <c r="AD15" i="40"/>
  <c r="AD57" i="40" s="1"/>
  <c r="AE15" i="40"/>
  <c r="AF15" i="40"/>
  <c r="B10" i="40"/>
  <c r="B12" i="40"/>
  <c r="B13" i="40"/>
  <c r="B14" i="40"/>
  <c r="B15" i="40"/>
  <c r="B9" i="40"/>
  <c r="AF57" i="40"/>
  <c r="AE57" i="40"/>
  <c r="AA57" i="40"/>
  <c r="X57" i="40"/>
  <c r="W57" i="40"/>
  <c r="S57" i="40"/>
  <c r="P57" i="40"/>
  <c r="O57" i="40"/>
  <c r="K57" i="40"/>
  <c r="H57" i="40"/>
  <c r="G57" i="40"/>
  <c r="C57" i="40"/>
  <c r="AE56" i="40"/>
  <c r="AD56" i="40"/>
  <c r="Z56" i="40"/>
  <c r="W56" i="40"/>
  <c r="V56" i="40"/>
  <c r="O56" i="40"/>
  <c r="N56" i="40"/>
  <c r="J56" i="40"/>
  <c r="G56" i="40"/>
  <c r="F56" i="40"/>
  <c r="B56" i="40"/>
  <c r="AD55" i="40"/>
  <c r="AC55" i="40"/>
  <c r="Y55" i="40"/>
  <c r="V55" i="40"/>
  <c r="U55" i="40"/>
  <c r="Q55" i="40"/>
  <c r="N55" i="40"/>
  <c r="M55" i="40"/>
  <c r="I55" i="40"/>
  <c r="F55" i="40"/>
  <c r="E55" i="40"/>
  <c r="AC54" i="40"/>
  <c r="AB54" i="40"/>
  <c r="X54" i="40"/>
  <c r="U54" i="40"/>
  <c r="T54" i="40"/>
  <c r="M54" i="40"/>
  <c r="L54" i="40"/>
  <c r="H54" i="40"/>
  <c r="E54" i="40"/>
  <c r="D54" i="40"/>
  <c r="AF53" i="40"/>
  <c r="AE53" i="40"/>
  <c r="AC53" i="40"/>
  <c r="AA53" i="40"/>
  <c r="Z53" i="40"/>
  <c r="Y53" i="40"/>
  <c r="X53" i="40"/>
  <c r="W53" i="40"/>
  <c r="U53" i="40"/>
  <c r="S53" i="40"/>
  <c r="R53" i="40"/>
  <c r="Q53" i="40"/>
  <c r="P53" i="40"/>
  <c r="O53" i="40"/>
  <c r="M53" i="40"/>
  <c r="K53" i="40"/>
  <c r="J53" i="40"/>
  <c r="I53" i="40"/>
  <c r="E53" i="40"/>
  <c r="C53" i="40"/>
  <c r="B53" i="40"/>
  <c r="AA52" i="40"/>
  <c r="Z52" i="40"/>
  <c r="S52" i="40"/>
  <c r="R52" i="40"/>
  <c r="K52" i="40"/>
  <c r="C52" i="40"/>
  <c r="B52" i="40"/>
  <c r="Y51" i="40"/>
  <c r="Q51" i="40"/>
  <c r="I51" i="40"/>
  <c r="B51" i="40"/>
  <c r="AF35" i="40"/>
  <c r="AE35" i="40"/>
  <c r="AD35" i="40"/>
  <c r="AC35" i="40"/>
  <c r="AB35" i="40"/>
  <c r="AA35" i="40"/>
  <c r="Z35" i="40"/>
  <c r="Y35" i="40"/>
  <c r="X35" i="40"/>
  <c r="W35" i="40"/>
  <c r="V35" i="40"/>
  <c r="U35" i="40"/>
  <c r="T35" i="40"/>
  <c r="S35" i="40"/>
  <c r="R35" i="40"/>
  <c r="Q35" i="40"/>
  <c r="P35" i="40"/>
  <c r="O35" i="40"/>
  <c r="N35" i="40"/>
  <c r="M35" i="40"/>
  <c r="L35" i="40"/>
  <c r="K35" i="40"/>
  <c r="J35" i="40"/>
  <c r="I35" i="40"/>
  <c r="H35" i="40"/>
  <c r="G35" i="40"/>
  <c r="F35" i="40"/>
  <c r="E35" i="40"/>
  <c r="D35" i="40"/>
  <c r="C35" i="40"/>
  <c r="B35" i="40"/>
  <c r="AF34" i="40"/>
  <c r="AE34" i="40"/>
  <c r="AD34" i="40"/>
  <c r="AC34" i="40"/>
  <c r="AB34" i="40"/>
  <c r="AA34" i="40"/>
  <c r="Z34" i="40"/>
  <c r="Y34" i="40"/>
  <c r="X34" i="40"/>
  <c r="W34" i="40"/>
  <c r="V34" i="40"/>
  <c r="U34" i="40"/>
  <c r="T34" i="40"/>
  <c r="S34" i="40"/>
  <c r="R34" i="40"/>
  <c r="Q34" i="40"/>
  <c r="P34" i="40"/>
  <c r="O34" i="40"/>
  <c r="N34" i="40"/>
  <c r="M34" i="40"/>
  <c r="L34" i="40"/>
  <c r="K34" i="40"/>
  <c r="J34" i="40"/>
  <c r="I34" i="40"/>
  <c r="H34" i="40"/>
  <c r="G34" i="40"/>
  <c r="F34" i="40"/>
  <c r="E34" i="40"/>
  <c r="D34" i="40"/>
  <c r="C34" i="40"/>
  <c r="B34" i="40"/>
  <c r="AF33" i="40"/>
  <c r="AE33" i="40"/>
  <c r="AD33" i="40"/>
  <c r="AC33" i="40"/>
  <c r="AB33" i="40"/>
  <c r="AA33" i="40"/>
  <c r="Z33" i="40"/>
  <c r="Y33" i="40"/>
  <c r="X33" i="40"/>
  <c r="W33" i="40"/>
  <c r="V33" i="40"/>
  <c r="U33" i="40"/>
  <c r="T33" i="40"/>
  <c r="S33" i="40"/>
  <c r="R33" i="40"/>
  <c r="Q33" i="40"/>
  <c r="P33" i="40"/>
  <c r="O33" i="40"/>
  <c r="N33" i="40"/>
  <c r="M33" i="40"/>
  <c r="L33" i="40"/>
  <c r="K33" i="40"/>
  <c r="J33" i="40"/>
  <c r="I33" i="40"/>
  <c r="H33" i="40"/>
  <c r="G33" i="40"/>
  <c r="F33" i="40"/>
  <c r="E33" i="40"/>
  <c r="D33" i="40"/>
  <c r="C33" i="40"/>
  <c r="B33" i="40"/>
  <c r="AF32" i="40"/>
  <c r="AE32" i="40"/>
  <c r="AD32" i="40"/>
  <c r="AC32" i="40"/>
  <c r="AB32" i="40"/>
  <c r="AA32" i="40"/>
  <c r="Z32" i="40"/>
  <c r="Y32" i="40"/>
  <c r="X32" i="40"/>
  <c r="W32" i="40"/>
  <c r="V32" i="40"/>
  <c r="U32" i="40"/>
  <c r="T32" i="40"/>
  <c r="S32" i="40"/>
  <c r="R32" i="40"/>
  <c r="Q32" i="40"/>
  <c r="P32" i="40"/>
  <c r="O32" i="40"/>
  <c r="N32" i="40"/>
  <c r="M32" i="40"/>
  <c r="L32" i="40"/>
  <c r="K32" i="40"/>
  <c r="J32" i="40"/>
  <c r="I32" i="40"/>
  <c r="H32" i="40"/>
  <c r="G32" i="40"/>
  <c r="F32" i="40"/>
  <c r="E32" i="40"/>
  <c r="D32" i="40"/>
  <c r="C32" i="40"/>
  <c r="B32" i="40"/>
  <c r="AF31" i="40"/>
  <c r="AE31" i="40"/>
  <c r="AD31" i="40"/>
  <c r="AC31" i="40"/>
  <c r="AB31" i="40"/>
  <c r="AA31" i="40"/>
  <c r="Z31" i="40"/>
  <c r="Y31" i="40"/>
  <c r="X31" i="40"/>
  <c r="W31" i="40"/>
  <c r="V31" i="40"/>
  <c r="U31" i="40"/>
  <c r="T31" i="40"/>
  <c r="S31" i="40"/>
  <c r="R31" i="40"/>
  <c r="Q31" i="40"/>
  <c r="P31" i="40"/>
  <c r="O31" i="40"/>
  <c r="N31" i="40"/>
  <c r="M31" i="40"/>
  <c r="L31" i="40"/>
  <c r="K31" i="40"/>
  <c r="J31" i="40"/>
  <c r="I31" i="40"/>
  <c r="H31" i="40"/>
  <c r="G31" i="40"/>
  <c r="F31" i="40"/>
  <c r="E31" i="40"/>
  <c r="D31" i="40"/>
  <c r="C31" i="40"/>
  <c r="B31" i="40"/>
  <c r="AF30" i="40"/>
  <c r="AE30" i="40"/>
  <c r="AD30" i="40"/>
  <c r="AC30" i="40"/>
  <c r="AB30" i="40"/>
  <c r="AA30" i="40"/>
  <c r="Z30" i="40"/>
  <c r="Y30" i="40"/>
  <c r="X30" i="40"/>
  <c r="W30" i="40"/>
  <c r="V30" i="40"/>
  <c r="U30" i="40"/>
  <c r="T30" i="40"/>
  <c r="S30" i="40"/>
  <c r="R30" i="40"/>
  <c r="Q30" i="40"/>
  <c r="P30" i="40"/>
  <c r="O30" i="40"/>
  <c r="N30" i="40"/>
  <c r="M30" i="40"/>
  <c r="L30" i="40"/>
  <c r="K30" i="40"/>
  <c r="J30" i="40"/>
  <c r="I30" i="40"/>
  <c r="H30" i="40"/>
  <c r="G30" i="40"/>
  <c r="F30" i="40"/>
  <c r="E30" i="40"/>
  <c r="D30" i="40"/>
  <c r="C30" i="40"/>
  <c r="B30" i="40"/>
  <c r="AF29" i="40"/>
  <c r="AE29" i="40"/>
  <c r="AD29" i="40"/>
  <c r="AC29" i="40"/>
  <c r="AB29" i="40"/>
  <c r="AA29" i="40"/>
  <c r="Z29" i="40"/>
  <c r="Y29" i="40"/>
  <c r="X29" i="40"/>
  <c r="W29" i="40"/>
  <c r="V29" i="40"/>
  <c r="U29" i="40"/>
  <c r="T29" i="40"/>
  <c r="S29" i="40"/>
  <c r="R29" i="40"/>
  <c r="Q29" i="40"/>
  <c r="P29" i="40"/>
  <c r="O29" i="40"/>
  <c r="N29" i="40"/>
  <c r="M29" i="40"/>
  <c r="L29" i="40"/>
  <c r="K29" i="40"/>
  <c r="J29" i="40"/>
  <c r="I29" i="40"/>
  <c r="H29" i="40"/>
  <c r="G29" i="40"/>
  <c r="F29" i="40"/>
  <c r="E29" i="40"/>
  <c r="D29" i="40"/>
  <c r="C29" i="40"/>
  <c r="B29" i="40"/>
  <c r="AC57" i="40"/>
  <c r="Z57" i="40"/>
  <c r="Y57" i="40"/>
  <c r="U57" i="40"/>
  <c r="R57" i="40"/>
  <c r="Q57" i="40"/>
  <c r="M57" i="40"/>
  <c r="J57" i="40"/>
  <c r="I57" i="40"/>
  <c r="E57" i="40"/>
  <c r="D57" i="40"/>
  <c r="B57" i="40"/>
  <c r="AF56" i="40"/>
  <c r="AC56" i="40"/>
  <c r="AA56" i="40"/>
  <c r="Y56" i="40"/>
  <c r="X56" i="40"/>
  <c r="U56" i="40"/>
  <c r="S56" i="40"/>
  <c r="Q56" i="40"/>
  <c r="P56" i="40"/>
  <c r="M56" i="40"/>
  <c r="K56" i="40"/>
  <c r="I56" i="40"/>
  <c r="H56" i="40"/>
  <c r="E56" i="40"/>
  <c r="C56" i="40"/>
  <c r="AE55" i="40"/>
  <c r="AB55" i="40"/>
  <c r="AA55" i="40"/>
  <c r="X55" i="40"/>
  <c r="W55" i="40"/>
  <c r="T55" i="40"/>
  <c r="S55" i="40"/>
  <c r="O55" i="40"/>
  <c r="L55" i="40"/>
  <c r="K55" i="40"/>
  <c r="G55" i="40"/>
  <c r="D55" i="40"/>
  <c r="C55" i="40"/>
  <c r="B55" i="40"/>
  <c r="AE54" i="40"/>
  <c r="AD54" i="40"/>
  <c r="AA54" i="40"/>
  <c r="Z54" i="40"/>
  <c r="Y54" i="40"/>
  <c r="W54" i="40"/>
  <c r="S54" i="40"/>
  <c r="R54" i="40"/>
  <c r="Q54" i="40"/>
  <c r="O54" i="40"/>
  <c r="K54" i="40"/>
  <c r="J54" i="40"/>
  <c r="I54" i="40"/>
  <c r="G54" i="40"/>
  <c r="C54" i="40"/>
  <c r="B54" i="40"/>
  <c r="AF52" i="40"/>
  <c r="AE52" i="40"/>
  <c r="AD52" i="40"/>
  <c r="AC52" i="40"/>
  <c r="AB52" i="40"/>
  <c r="Y52" i="40"/>
  <c r="X52" i="40"/>
  <c r="W52" i="40"/>
  <c r="V52" i="40"/>
  <c r="U52" i="40"/>
  <c r="Q52" i="40"/>
  <c r="P52" i="40"/>
  <c r="O52" i="40"/>
  <c r="N52" i="40"/>
  <c r="M52" i="40"/>
  <c r="I52" i="40"/>
  <c r="H52" i="40"/>
  <c r="G52" i="40"/>
  <c r="F52" i="40"/>
  <c r="E52" i="40"/>
  <c r="D52" i="40"/>
  <c r="AE51" i="40"/>
  <c r="AD51" i="40"/>
  <c r="AC51" i="40"/>
  <c r="AB51" i="40"/>
  <c r="AA51" i="40"/>
  <c r="W51" i="40"/>
  <c r="W59" i="40" s="1"/>
  <c r="V51" i="40"/>
  <c r="U51" i="40"/>
  <c r="T51" i="40"/>
  <c r="S51" i="40"/>
  <c r="O51" i="40"/>
  <c r="O59" i="40" s="1"/>
  <c r="N51" i="40"/>
  <c r="M51" i="40"/>
  <c r="L51" i="40"/>
  <c r="K51" i="40"/>
  <c r="G51" i="40"/>
  <c r="F51" i="40"/>
  <c r="E51" i="40"/>
  <c r="D51" i="40"/>
  <c r="C51" i="40"/>
  <c r="F53" i="40" l="1"/>
  <c r="AE59" i="40"/>
  <c r="R59" i="40"/>
  <c r="J59" i="40"/>
  <c r="AF59" i="40"/>
  <c r="Q59" i="40"/>
  <c r="H53" i="40"/>
  <c r="H61" i="40" s="1"/>
  <c r="Y59" i="40"/>
  <c r="K59" i="40"/>
  <c r="Z59" i="40"/>
  <c r="D59" i="40"/>
  <c r="L59" i="40"/>
  <c r="T59" i="40"/>
  <c r="AB59" i="40"/>
  <c r="X59" i="40"/>
  <c r="AA59" i="40"/>
  <c r="E59" i="40"/>
  <c r="F59" i="40" s="1"/>
  <c r="M59" i="40"/>
  <c r="U59" i="40"/>
  <c r="AC59" i="40"/>
  <c r="B59" i="40"/>
  <c r="P59" i="40"/>
  <c r="C59" i="40"/>
  <c r="S59" i="40"/>
  <c r="G53" i="40"/>
  <c r="N59" i="40"/>
  <c r="V59" i="40"/>
  <c r="AD59" i="40"/>
  <c r="I59" i="40"/>
  <c r="H59" i="40" l="1"/>
  <c r="G59" i="40"/>
  <c r="B4" i="14" l="1"/>
  <c r="L1" i="39" l="1" a="1"/>
  <c r="L1" i="39" s="1"/>
  <c r="B2" i="12" a="1"/>
  <c r="B2" i="12" s="1"/>
  <c r="C2" i="12" s="1"/>
  <c r="D2" i="12" s="1"/>
  <c r="E2" i="12" s="1"/>
  <c r="F2" i="12" s="1"/>
  <c r="G2" i="12" s="1"/>
  <c r="H2" i="12" s="1"/>
  <c r="I2" i="12" s="1"/>
  <c r="J2" i="12" s="1"/>
  <c r="K2" i="12" s="1"/>
  <c r="L2" i="12" s="1"/>
  <c r="M2" i="12" s="1"/>
  <c r="N2" i="12" s="1"/>
  <c r="O2" i="12" s="1"/>
  <c r="P2" i="12" s="1"/>
  <c r="Q2" i="12" s="1"/>
  <c r="R2" i="12" s="1"/>
  <c r="S2" i="12" s="1"/>
  <c r="T2" i="12" s="1"/>
  <c r="U2" i="12" s="1"/>
  <c r="V2" i="12" s="1"/>
  <c r="W2" i="12" s="1"/>
  <c r="X2" i="12" s="1"/>
  <c r="Y2" i="12" s="1"/>
  <c r="Z2" i="12" s="1"/>
  <c r="AA2" i="12" s="1"/>
  <c r="AB2" i="12" s="1"/>
  <c r="AC2" i="12" s="1"/>
  <c r="AD2" i="12" s="1"/>
  <c r="AE2" i="12" s="1"/>
  <c r="AF2" i="12" s="1"/>
  <c r="L5" i="39" l="1"/>
  <c r="L7" i="39"/>
  <c r="L6" i="39"/>
  <c r="L4" i="39"/>
  <c r="L3" i="39"/>
  <c r="L2" i="39"/>
  <c r="B3" i="12"/>
  <c r="C3" i="12" s="1"/>
  <c r="D3" i="12" s="1"/>
  <c r="E3" i="12" s="1"/>
  <c r="F3" i="12" s="1"/>
  <c r="G3" i="12" s="1"/>
  <c r="H3" i="12" s="1"/>
  <c r="I3" i="12" s="1"/>
  <c r="J3" i="12" s="1"/>
  <c r="K3" i="12" s="1"/>
  <c r="L3" i="12" s="1"/>
  <c r="M3" i="12" s="1"/>
  <c r="N3" i="12" s="1"/>
  <c r="O3" i="12" s="1"/>
  <c r="P3" i="12" s="1"/>
  <c r="Q3" i="12" s="1"/>
  <c r="R3" i="12" s="1"/>
  <c r="S3" i="12" s="1"/>
  <c r="T3" i="12" s="1"/>
  <c r="U3" i="12" s="1"/>
  <c r="V3" i="12" s="1"/>
  <c r="W3" i="12" s="1"/>
  <c r="X3" i="12" s="1"/>
  <c r="Y3" i="12" s="1"/>
  <c r="Z3" i="12" s="1"/>
  <c r="AA3" i="12" s="1"/>
  <c r="AB3" i="12" s="1"/>
  <c r="AC3" i="12" s="1"/>
  <c r="AD3" i="12" s="1"/>
  <c r="AE3" i="12" s="1"/>
  <c r="AF3" i="12" s="1"/>
  <c r="B8" i="12"/>
  <c r="C8" i="12" s="1"/>
  <c r="D8" i="12" s="1"/>
  <c r="E8" i="12" s="1"/>
  <c r="F8" i="12" s="1"/>
  <c r="G8" i="12" s="1"/>
  <c r="H8" i="12" s="1"/>
  <c r="I8" i="12" s="1"/>
  <c r="J8" i="12" s="1"/>
  <c r="K8" i="12" s="1"/>
  <c r="L8" i="12" s="1"/>
  <c r="M8" i="12" s="1"/>
  <c r="N8" i="12" s="1"/>
  <c r="O8" i="12" s="1"/>
  <c r="P8" i="12" s="1"/>
  <c r="Q8" i="12" s="1"/>
  <c r="R8" i="12" s="1"/>
  <c r="S8" i="12" s="1"/>
  <c r="T8" i="12" s="1"/>
  <c r="U8" i="12" s="1"/>
  <c r="V8" i="12" s="1"/>
  <c r="W8" i="12" s="1"/>
  <c r="X8" i="12" s="1"/>
  <c r="Y8" i="12" s="1"/>
  <c r="Z8" i="12" s="1"/>
  <c r="AA8" i="12" s="1"/>
  <c r="AB8" i="12" s="1"/>
  <c r="AC8" i="12" s="1"/>
  <c r="AD8" i="12" s="1"/>
  <c r="AE8" i="12" s="1"/>
  <c r="AF8" i="12" s="1"/>
  <c r="B7" i="12"/>
  <c r="C7" i="12" s="1"/>
  <c r="D7" i="12" s="1"/>
  <c r="E7" i="12" s="1"/>
  <c r="F7" i="12" s="1"/>
  <c r="G7" i="12" s="1"/>
  <c r="H7" i="12" s="1"/>
  <c r="I7" i="12" s="1"/>
  <c r="J7" i="12" s="1"/>
  <c r="K7" i="12" s="1"/>
  <c r="L7" i="12" s="1"/>
  <c r="M7" i="12" s="1"/>
  <c r="N7" i="12" s="1"/>
  <c r="O7" i="12" s="1"/>
  <c r="P7" i="12" s="1"/>
  <c r="Q7" i="12" s="1"/>
  <c r="R7" i="12" s="1"/>
  <c r="S7" i="12" s="1"/>
  <c r="T7" i="12" s="1"/>
  <c r="U7" i="12" s="1"/>
  <c r="V7" i="12" s="1"/>
  <c r="W7" i="12" s="1"/>
  <c r="X7" i="12" s="1"/>
  <c r="Y7" i="12" s="1"/>
  <c r="Z7" i="12" s="1"/>
  <c r="AA7" i="12" s="1"/>
  <c r="AB7" i="12" s="1"/>
  <c r="AC7" i="12" s="1"/>
  <c r="AD7" i="12" s="1"/>
  <c r="AE7" i="12" s="1"/>
  <c r="AF7" i="12" s="1"/>
  <c r="B6" i="12"/>
  <c r="C6" i="12" s="1"/>
  <c r="D6" i="12" s="1"/>
  <c r="E6" i="12" s="1"/>
  <c r="F6" i="12" s="1"/>
  <c r="G6" i="12" s="1"/>
  <c r="H6" i="12" s="1"/>
  <c r="I6" i="12" s="1"/>
  <c r="J6" i="12" s="1"/>
  <c r="K6" i="12" s="1"/>
  <c r="L6" i="12" s="1"/>
  <c r="M6" i="12" s="1"/>
  <c r="N6" i="12" s="1"/>
  <c r="O6" i="12" s="1"/>
  <c r="P6" i="12" s="1"/>
  <c r="Q6" i="12" s="1"/>
  <c r="R6" i="12" s="1"/>
  <c r="S6" i="12" s="1"/>
  <c r="T6" i="12" s="1"/>
  <c r="U6" i="12" s="1"/>
  <c r="V6" i="12" s="1"/>
  <c r="W6" i="12" s="1"/>
  <c r="X6" i="12" s="1"/>
  <c r="Y6" i="12" s="1"/>
  <c r="Z6" i="12" s="1"/>
  <c r="AA6" i="12" s="1"/>
  <c r="AB6" i="12" s="1"/>
  <c r="AC6" i="12" s="1"/>
  <c r="AD6" i="12" s="1"/>
  <c r="AE6" i="12" s="1"/>
  <c r="AF6" i="12" s="1"/>
  <c r="B5" i="12"/>
  <c r="C5" i="12" s="1"/>
  <c r="D5" i="12" s="1"/>
  <c r="E5" i="12" s="1"/>
  <c r="F5" i="12" s="1"/>
  <c r="G5" i="12" s="1"/>
  <c r="H5" i="12" s="1"/>
  <c r="I5" i="12" s="1"/>
  <c r="J5" i="12" s="1"/>
  <c r="K5" i="12" s="1"/>
  <c r="L5" i="12" s="1"/>
  <c r="M5" i="12" s="1"/>
  <c r="N5" i="12" s="1"/>
  <c r="O5" i="12" s="1"/>
  <c r="P5" i="12" s="1"/>
  <c r="Q5" i="12" s="1"/>
  <c r="R5" i="12" s="1"/>
  <c r="S5" i="12" s="1"/>
  <c r="T5" i="12" s="1"/>
  <c r="U5" i="12" s="1"/>
  <c r="V5" i="12" s="1"/>
  <c r="W5" i="12" s="1"/>
  <c r="X5" i="12" s="1"/>
  <c r="Y5" i="12" s="1"/>
  <c r="Z5" i="12" s="1"/>
  <c r="AA5" i="12" s="1"/>
  <c r="AB5" i="12" s="1"/>
  <c r="AC5" i="12" s="1"/>
  <c r="AD5" i="12" s="1"/>
  <c r="AE5" i="12" s="1"/>
  <c r="AF5" i="12" s="1"/>
  <c r="B4" i="12"/>
  <c r="C4" i="12" s="1"/>
  <c r="D4" i="12" s="1"/>
  <c r="E4" i="12" s="1"/>
  <c r="F4" i="12" s="1"/>
  <c r="G4" i="12" s="1"/>
  <c r="H4" i="12" s="1"/>
  <c r="I4" i="12" s="1"/>
  <c r="J4" i="12" s="1"/>
  <c r="K4" i="12" s="1"/>
  <c r="L4" i="12" s="1"/>
  <c r="M4" i="12" s="1"/>
  <c r="N4" i="12" s="1"/>
  <c r="O4" i="12" s="1"/>
  <c r="P4" i="12" s="1"/>
  <c r="Q4" i="12" s="1"/>
  <c r="R4" i="12" s="1"/>
  <c r="S4" i="12" s="1"/>
  <c r="T4" i="12" s="1"/>
  <c r="U4" i="12" s="1"/>
  <c r="V4" i="12" s="1"/>
  <c r="W4" i="12" s="1"/>
  <c r="X4" i="12" s="1"/>
  <c r="Y4" i="12" s="1"/>
  <c r="Z4" i="12" s="1"/>
  <c r="AA4" i="12" s="1"/>
  <c r="AB4" i="12" s="1"/>
  <c r="AC4" i="12" s="1"/>
  <c r="AD4" i="12" s="1"/>
  <c r="AE4" i="12" s="1"/>
  <c r="AF4" i="12" s="1"/>
  <c r="B102" i="18" l="1"/>
  <c r="B101" i="18"/>
  <c r="B100" i="18"/>
  <c r="C102" i="18"/>
  <c r="D102" i="18" s="1"/>
  <c r="C101" i="18"/>
  <c r="C100" i="18"/>
  <c r="C89" i="18"/>
  <c r="D89" i="18"/>
  <c r="E89" i="18"/>
  <c r="F89" i="18"/>
  <c r="G89" i="18"/>
  <c r="H89" i="18"/>
  <c r="I89" i="18"/>
  <c r="J89" i="18"/>
  <c r="K89" i="18"/>
  <c r="L89" i="18"/>
  <c r="M89" i="18"/>
  <c r="N89" i="18"/>
  <c r="O89" i="18"/>
  <c r="P89" i="18"/>
  <c r="Q89" i="18"/>
  <c r="R89" i="18"/>
  <c r="S89" i="18"/>
  <c r="T89" i="18"/>
  <c r="U89" i="18"/>
  <c r="V89" i="18"/>
  <c r="W89" i="18"/>
  <c r="X89" i="18"/>
  <c r="Y89" i="18"/>
  <c r="Z89" i="18"/>
  <c r="AA89" i="18"/>
  <c r="AB89" i="18"/>
  <c r="AC89" i="18"/>
  <c r="AD89" i="18"/>
  <c r="AE89" i="18"/>
  <c r="AF89" i="18"/>
  <c r="C90" i="18"/>
  <c r="D90" i="18"/>
  <c r="E90" i="18"/>
  <c r="F90" i="18"/>
  <c r="G90" i="18"/>
  <c r="H90" i="18"/>
  <c r="I90" i="18"/>
  <c r="J90" i="18"/>
  <c r="K90" i="18"/>
  <c r="L90" i="18"/>
  <c r="M90" i="18"/>
  <c r="N90" i="18"/>
  <c r="O90" i="18"/>
  <c r="P90" i="18"/>
  <c r="Q90" i="18"/>
  <c r="R90" i="18"/>
  <c r="S90" i="18"/>
  <c r="T90" i="18"/>
  <c r="U90" i="18"/>
  <c r="V90" i="18"/>
  <c r="W90" i="18"/>
  <c r="X90" i="18"/>
  <c r="Y90" i="18"/>
  <c r="Z90" i="18"/>
  <c r="AA90" i="18"/>
  <c r="AB90" i="18"/>
  <c r="AC90" i="18"/>
  <c r="AD90" i="18"/>
  <c r="AE90" i="18"/>
  <c r="AF90" i="18"/>
  <c r="C91" i="18"/>
  <c r="D91" i="18"/>
  <c r="E91" i="18"/>
  <c r="F91" i="18"/>
  <c r="G91" i="18"/>
  <c r="H91" i="18"/>
  <c r="I91" i="18"/>
  <c r="J91" i="18"/>
  <c r="K91" i="18"/>
  <c r="L91" i="18"/>
  <c r="M91" i="18"/>
  <c r="N91" i="18"/>
  <c r="O91" i="18"/>
  <c r="P91" i="18"/>
  <c r="Q91" i="18"/>
  <c r="R91" i="18"/>
  <c r="S91" i="18"/>
  <c r="T91" i="18"/>
  <c r="U91" i="18"/>
  <c r="V91" i="18"/>
  <c r="W91" i="18"/>
  <c r="X91" i="18"/>
  <c r="Y91" i="18"/>
  <c r="Z91" i="18"/>
  <c r="AA91" i="18"/>
  <c r="AB91" i="18"/>
  <c r="AC91" i="18"/>
  <c r="AD91" i="18"/>
  <c r="AE91" i="18"/>
  <c r="AF91" i="18"/>
  <c r="C93" i="18"/>
  <c r="D93" i="18"/>
  <c r="E93" i="18"/>
  <c r="F93" i="18"/>
  <c r="G93" i="18"/>
  <c r="H93" i="18"/>
  <c r="I93" i="18"/>
  <c r="J93" i="18"/>
  <c r="K93" i="18"/>
  <c r="L93" i="18"/>
  <c r="M93" i="18"/>
  <c r="N93" i="18"/>
  <c r="O93" i="18"/>
  <c r="P93" i="18"/>
  <c r="Q93" i="18"/>
  <c r="R93" i="18"/>
  <c r="S93" i="18"/>
  <c r="T93" i="18"/>
  <c r="U93" i="18"/>
  <c r="V93" i="18"/>
  <c r="W93" i="18"/>
  <c r="X93" i="18"/>
  <c r="Y93" i="18"/>
  <c r="Z93" i="18"/>
  <c r="AA93" i="18"/>
  <c r="AB93" i="18"/>
  <c r="AC93" i="18"/>
  <c r="AD93" i="18"/>
  <c r="AE93" i="18"/>
  <c r="AF93" i="18"/>
  <c r="C94" i="18"/>
  <c r="D94" i="18"/>
  <c r="E94" i="18"/>
  <c r="F94" i="18"/>
  <c r="G94" i="18"/>
  <c r="H94" i="18"/>
  <c r="I94" i="18"/>
  <c r="J94" i="18"/>
  <c r="K94" i="18"/>
  <c r="L94" i="18"/>
  <c r="M94" i="18"/>
  <c r="N94" i="18"/>
  <c r="O94" i="18"/>
  <c r="P94" i="18"/>
  <c r="Q94" i="18"/>
  <c r="R94" i="18"/>
  <c r="S94" i="18"/>
  <c r="T94" i="18"/>
  <c r="U94" i="18"/>
  <c r="V94" i="18"/>
  <c r="W94" i="18"/>
  <c r="X94" i="18"/>
  <c r="Y94" i="18"/>
  <c r="Z94" i="18"/>
  <c r="AA94" i="18"/>
  <c r="AB94" i="18"/>
  <c r="AC94" i="18"/>
  <c r="AD94" i="18"/>
  <c r="AE94" i="18"/>
  <c r="AF94" i="18"/>
  <c r="C95" i="18"/>
  <c r="D95" i="18"/>
  <c r="E95" i="18"/>
  <c r="F95" i="18"/>
  <c r="G95" i="18"/>
  <c r="H95" i="18"/>
  <c r="I95" i="18"/>
  <c r="J95" i="18"/>
  <c r="K95" i="18"/>
  <c r="L95" i="18"/>
  <c r="M95" i="18"/>
  <c r="N95" i="18"/>
  <c r="O95" i="18"/>
  <c r="P95" i="18"/>
  <c r="Q95" i="18"/>
  <c r="R95" i="18"/>
  <c r="S95" i="18"/>
  <c r="T95" i="18"/>
  <c r="U95" i="18"/>
  <c r="V95" i="18"/>
  <c r="W95" i="18"/>
  <c r="X95" i="18"/>
  <c r="Y95" i="18"/>
  <c r="Z95" i="18"/>
  <c r="AA95" i="18"/>
  <c r="AB95" i="18"/>
  <c r="AC95" i="18"/>
  <c r="AD95" i="18"/>
  <c r="AE95" i="18"/>
  <c r="AF95" i="18"/>
  <c r="B95" i="18"/>
  <c r="B94" i="18"/>
  <c r="B93" i="18"/>
  <c r="D100" i="18" l="1"/>
  <c r="B104" i="18" s="1"/>
  <c r="D101" i="18"/>
  <c r="O97" i="18"/>
  <c r="AD97" i="18"/>
  <c r="V97" i="18"/>
  <c r="N97" i="18"/>
  <c r="F97" i="18"/>
  <c r="AE97" i="18"/>
  <c r="E97" i="18"/>
  <c r="W97" i="18"/>
  <c r="M97" i="18"/>
  <c r="AA97" i="18"/>
  <c r="S97" i="18"/>
  <c r="K97" i="18"/>
  <c r="C97" i="18"/>
  <c r="U97" i="18"/>
  <c r="Y97" i="18"/>
  <c r="Q97" i="18"/>
  <c r="I97" i="18"/>
  <c r="G97" i="18"/>
  <c r="AB97" i="18"/>
  <c r="T97" i="18"/>
  <c r="L97" i="18"/>
  <c r="D97" i="18"/>
  <c r="Z97" i="18"/>
  <c r="R97" i="18"/>
  <c r="J97" i="18"/>
  <c r="AF97" i="18"/>
  <c r="X97" i="18"/>
  <c r="P97" i="18"/>
  <c r="H97" i="18"/>
  <c r="AC97" i="18"/>
  <c r="B90" i="18" l="1"/>
  <c r="B91" i="18"/>
  <c r="B89" i="18"/>
  <c r="B97" i="18" s="1"/>
  <c r="B5" i="5" s="1"/>
  <c r="B22" i="37"/>
  <c r="D19" i="37"/>
  <c r="C19" i="37"/>
  <c r="B19" i="37"/>
  <c r="B2" i="5" l="1"/>
  <c r="B3" i="5"/>
  <c r="B4" i="5"/>
  <c r="B24" i="37"/>
  <c r="B7" i="5"/>
  <c r="C3" i="5"/>
  <c r="P3" i="5"/>
  <c r="X3" i="5"/>
  <c r="H3" i="5"/>
  <c r="V3" i="5"/>
  <c r="F3" i="5"/>
  <c r="N3" i="5"/>
  <c r="AB3" i="5"/>
  <c r="T3" i="5"/>
  <c r="S3" i="5"/>
  <c r="L3" i="5"/>
  <c r="D3" i="5"/>
  <c r="I3" i="5"/>
  <c r="AE3" i="5"/>
  <c r="W3" i="5"/>
  <c r="G3" i="5"/>
  <c r="Z3" i="5"/>
  <c r="AD3" i="5"/>
  <c r="R3" i="5"/>
  <c r="AC3" i="5"/>
  <c r="AA3" i="5"/>
  <c r="J3" i="5"/>
  <c r="U3" i="5"/>
  <c r="M3" i="5"/>
  <c r="K3" i="5"/>
  <c r="E3" i="5"/>
  <c r="Q3" i="5"/>
  <c r="Y3" i="5"/>
  <c r="O3" i="5"/>
  <c r="AF3" i="5"/>
  <c r="J2" i="5" l="1"/>
  <c r="AF2" i="5"/>
  <c r="L2" i="5"/>
  <c r="N2" i="5"/>
  <c r="X2" i="5"/>
  <c r="AA2" i="5"/>
  <c r="AC2" i="5"/>
  <c r="AE2" i="5"/>
  <c r="P2" i="5"/>
  <c r="S2" i="5"/>
  <c r="E2" i="5"/>
  <c r="W2" i="5"/>
  <c r="V2" i="5"/>
  <c r="K2" i="5"/>
  <c r="T2" i="5"/>
  <c r="O2" i="5"/>
  <c r="F2" i="5"/>
  <c r="C2" i="5"/>
  <c r="D2" i="5"/>
  <c r="G2" i="5"/>
  <c r="U2" i="5"/>
  <c r="Q2" i="5"/>
  <c r="Z2" i="5"/>
  <c r="Y2" i="5"/>
  <c r="M2" i="5"/>
  <c r="H2" i="5"/>
  <c r="R2" i="5"/>
  <c r="I2" i="5"/>
  <c r="AB2" i="5"/>
  <c r="AD2" i="5"/>
  <c r="C2" i="7"/>
  <c r="D2" i="7"/>
  <c r="E2" i="7"/>
  <c r="F2" i="7"/>
  <c r="G2" i="7"/>
  <c r="H2" i="7"/>
  <c r="I2" i="7"/>
  <c r="J2" i="7"/>
  <c r="K2" i="7"/>
  <c r="L2" i="7"/>
  <c r="M2" i="7"/>
  <c r="N2" i="7"/>
  <c r="O2" i="7"/>
  <c r="P2" i="7"/>
  <c r="Q2" i="7"/>
  <c r="R2" i="7"/>
  <c r="S2" i="7"/>
  <c r="T2" i="7"/>
  <c r="U2" i="7"/>
  <c r="V2" i="7"/>
  <c r="W2" i="7"/>
  <c r="X2" i="7"/>
  <c r="Y2" i="7"/>
  <c r="Z2" i="7"/>
  <c r="AA2" i="7"/>
  <c r="AB2" i="7"/>
  <c r="AC2" i="7"/>
  <c r="AD2" i="7"/>
  <c r="AE2" i="7"/>
  <c r="AF2" i="7"/>
  <c r="B2" i="7"/>
  <c r="B4" i="7"/>
  <c r="H4" i="7" s="1"/>
  <c r="B5" i="7"/>
  <c r="K5" i="7" s="1"/>
  <c r="B6" i="7"/>
  <c r="F6" i="7" s="1"/>
  <c r="B7" i="7"/>
  <c r="I7" i="7" s="1"/>
  <c r="B8" i="7"/>
  <c r="D8" i="7" s="1"/>
  <c r="B3" i="7"/>
  <c r="E3" i="7" s="1"/>
  <c r="K8" i="7" l="1"/>
  <c r="X7" i="7"/>
  <c r="H7" i="7"/>
  <c r="AC6" i="7"/>
  <c r="M6" i="7"/>
  <c r="Z5" i="7"/>
  <c r="J5" i="7"/>
  <c r="AE4" i="7"/>
  <c r="W4" i="7"/>
  <c r="G4" i="7"/>
  <c r="T3" i="7"/>
  <c r="D3" i="7"/>
  <c r="C5" i="7"/>
  <c r="J8" i="7"/>
  <c r="O7" i="7"/>
  <c r="AB6" i="7"/>
  <c r="L6" i="7"/>
  <c r="Q5" i="7"/>
  <c r="AD4" i="7"/>
  <c r="V4" i="7"/>
  <c r="N4" i="7"/>
  <c r="AA3" i="7"/>
  <c r="S3" i="7"/>
  <c r="K3" i="7"/>
  <c r="R8" i="7"/>
  <c r="AE7" i="7"/>
  <c r="G7" i="7"/>
  <c r="T6" i="7"/>
  <c r="D6" i="7"/>
  <c r="Y5" i="7"/>
  <c r="I5" i="7"/>
  <c r="F4" i="7"/>
  <c r="C4" i="7"/>
  <c r="Q8" i="7"/>
  <c r="I8" i="7"/>
  <c r="V7" i="7"/>
  <c r="F7" i="7"/>
  <c r="S6" i="7"/>
  <c r="AF5" i="7"/>
  <c r="P5" i="7"/>
  <c r="H5" i="7"/>
  <c r="U4" i="7"/>
  <c r="M4" i="7"/>
  <c r="E4" i="7"/>
  <c r="Z3" i="7"/>
  <c r="R3" i="7"/>
  <c r="J3" i="7"/>
  <c r="Y8" i="7"/>
  <c r="AD7" i="7"/>
  <c r="N7" i="7"/>
  <c r="AA6" i="7"/>
  <c r="K6" i="7"/>
  <c r="X5" i="7"/>
  <c r="AC4" i="7"/>
  <c r="AF8" i="7"/>
  <c r="U7" i="7"/>
  <c r="Z6" i="7"/>
  <c r="J6" i="7"/>
  <c r="O5" i="7"/>
  <c r="AB4" i="7"/>
  <c r="T4" i="7"/>
  <c r="D4" i="7"/>
  <c r="Y3" i="7"/>
  <c r="Q3" i="7"/>
  <c r="I3" i="7"/>
  <c r="C6" i="7"/>
  <c r="AE8" i="7"/>
  <c r="W8" i="7"/>
  <c r="O8" i="7"/>
  <c r="G8" i="7"/>
  <c r="AB7" i="7"/>
  <c r="T7" i="7"/>
  <c r="L7" i="7"/>
  <c r="D7" i="7"/>
  <c r="Y6" i="7"/>
  <c r="Q6" i="7"/>
  <c r="I6" i="7"/>
  <c r="AD5" i="7"/>
  <c r="V5" i="7"/>
  <c r="N5" i="7"/>
  <c r="F5" i="7"/>
  <c r="AA4" i="7"/>
  <c r="S4" i="7"/>
  <c r="K4" i="7"/>
  <c r="AF3" i="7"/>
  <c r="X3" i="7"/>
  <c r="P3" i="7"/>
  <c r="H3" i="7"/>
  <c r="AA8" i="7"/>
  <c r="X8" i="7"/>
  <c r="P8" i="7"/>
  <c r="H8" i="7"/>
  <c r="AC7" i="7"/>
  <c r="M7" i="7"/>
  <c r="E7" i="7"/>
  <c r="R6" i="7"/>
  <c r="AE5" i="7"/>
  <c r="W5" i="7"/>
  <c r="G5" i="7"/>
  <c r="L4" i="7"/>
  <c r="C3" i="7"/>
  <c r="AD8" i="7"/>
  <c r="V8" i="7"/>
  <c r="N8" i="7"/>
  <c r="F8" i="7"/>
  <c r="AA7" i="7"/>
  <c r="S7" i="7"/>
  <c r="K7" i="7"/>
  <c r="AF6" i="7"/>
  <c r="X6" i="7"/>
  <c r="P6" i="7"/>
  <c r="H6" i="7"/>
  <c r="AC5" i="7"/>
  <c r="U5" i="7"/>
  <c r="M5" i="7"/>
  <c r="E5" i="7"/>
  <c r="Z4" i="7"/>
  <c r="R4" i="7"/>
  <c r="J4" i="7"/>
  <c r="AE3" i="7"/>
  <c r="W3" i="7"/>
  <c r="O3" i="7"/>
  <c r="G3" i="7"/>
  <c r="S8" i="7"/>
  <c r="AF7" i="7"/>
  <c r="P7" i="7"/>
  <c r="U6" i="7"/>
  <c r="E6" i="7"/>
  <c r="R5" i="7"/>
  <c r="O4" i="7"/>
  <c r="AB3" i="7"/>
  <c r="L3" i="7"/>
  <c r="Z8" i="7"/>
  <c r="W7" i="7"/>
  <c r="C8" i="7"/>
  <c r="AC8" i="7"/>
  <c r="U8" i="7"/>
  <c r="M8" i="7"/>
  <c r="E8" i="7"/>
  <c r="Z7" i="7"/>
  <c r="R7" i="7"/>
  <c r="J7" i="7"/>
  <c r="AE6" i="7"/>
  <c r="W6" i="7"/>
  <c r="O6" i="7"/>
  <c r="G6" i="7"/>
  <c r="AB5" i="7"/>
  <c r="T5" i="7"/>
  <c r="L5" i="7"/>
  <c r="D5" i="7"/>
  <c r="Y4" i="7"/>
  <c r="Q4" i="7"/>
  <c r="I4" i="7"/>
  <c r="AD3" i="7"/>
  <c r="V3" i="7"/>
  <c r="N3" i="7"/>
  <c r="F3" i="7"/>
  <c r="C7" i="7"/>
  <c r="AB8" i="7"/>
  <c r="T8" i="7"/>
  <c r="L8" i="7"/>
  <c r="Y7" i="7"/>
  <c r="Q7" i="7"/>
  <c r="AD6" i="7"/>
  <c r="V6" i="7"/>
  <c r="N6" i="7"/>
  <c r="AA5" i="7"/>
  <c r="S5" i="7"/>
  <c r="AF4" i="7"/>
  <c r="X4" i="7"/>
  <c r="P4" i="7"/>
  <c r="AC3" i="7"/>
  <c r="U3" i="7"/>
  <c r="M3" i="7"/>
  <c r="C33" i="31" l="1"/>
  <c r="D33" i="31"/>
  <c r="E33" i="31"/>
  <c r="F33" i="31"/>
  <c r="G33" i="31"/>
  <c r="H33" i="31"/>
  <c r="I33" i="31"/>
  <c r="J33" i="31"/>
  <c r="K33" i="31"/>
  <c r="L33" i="31"/>
  <c r="M33" i="31"/>
  <c r="N33" i="31"/>
  <c r="O33" i="31"/>
  <c r="P33" i="31"/>
  <c r="Q33" i="31"/>
  <c r="R33" i="31"/>
  <c r="S33" i="31"/>
  <c r="T33" i="31"/>
  <c r="U33" i="31"/>
  <c r="V33" i="31"/>
  <c r="W33" i="31"/>
  <c r="X33" i="31"/>
  <c r="Y33" i="31"/>
  <c r="Z33" i="31"/>
  <c r="AA33" i="31"/>
  <c r="AB33" i="31"/>
  <c r="AC33" i="31"/>
  <c r="AD33" i="31"/>
  <c r="AE33" i="31"/>
  <c r="AF33" i="31"/>
  <c r="AG33" i="31"/>
  <c r="C34" i="31"/>
  <c r="D34" i="31"/>
  <c r="E34" i="31"/>
  <c r="F34" i="31"/>
  <c r="G34" i="31"/>
  <c r="H34" i="31"/>
  <c r="I34" i="31"/>
  <c r="J34" i="31"/>
  <c r="K34" i="31"/>
  <c r="L34" i="31"/>
  <c r="M34" i="31"/>
  <c r="N34" i="31"/>
  <c r="O34" i="31"/>
  <c r="P34" i="31"/>
  <c r="Q34" i="31"/>
  <c r="R34" i="31"/>
  <c r="S34" i="31"/>
  <c r="T34" i="31"/>
  <c r="U34" i="31"/>
  <c r="V34" i="31"/>
  <c r="W34" i="31"/>
  <c r="X34" i="31"/>
  <c r="Y34" i="31"/>
  <c r="Z34" i="31"/>
  <c r="AA34" i="31"/>
  <c r="AB34" i="31"/>
  <c r="AC34" i="31"/>
  <c r="AD34" i="31"/>
  <c r="AE34" i="31"/>
  <c r="AF34" i="31"/>
  <c r="AG34" i="31"/>
  <c r="C35" i="31"/>
  <c r="D35" i="31"/>
  <c r="E35" i="31"/>
  <c r="F35" i="31"/>
  <c r="G35" i="31"/>
  <c r="H35" i="31"/>
  <c r="I35" i="31"/>
  <c r="J35" i="31"/>
  <c r="K35" i="31"/>
  <c r="L35" i="31"/>
  <c r="M35" i="31"/>
  <c r="N35" i="31"/>
  <c r="O35" i="31"/>
  <c r="P35" i="31"/>
  <c r="Q35" i="31"/>
  <c r="R35" i="31"/>
  <c r="S35" i="31"/>
  <c r="T35" i="31"/>
  <c r="U35" i="31"/>
  <c r="V35" i="31"/>
  <c r="W35" i="31"/>
  <c r="X35" i="31"/>
  <c r="Y35" i="31"/>
  <c r="Z35" i="31"/>
  <c r="AA35" i="31"/>
  <c r="AB35" i="31"/>
  <c r="AC35" i="31"/>
  <c r="AD35" i="31"/>
  <c r="AE35" i="31"/>
  <c r="AF35" i="31"/>
  <c r="AG35" i="31"/>
  <c r="C36" i="31"/>
  <c r="D36" i="31"/>
  <c r="E36" i="31"/>
  <c r="F36" i="31"/>
  <c r="G36" i="31"/>
  <c r="H36" i="31"/>
  <c r="I36" i="31"/>
  <c r="J36" i="31"/>
  <c r="K36" i="31"/>
  <c r="L36" i="31"/>
  <c r="M36" i="31"/>
  <c r="N36" i="31"/>
  <c r="O36" i="31"/>
  <c r="P36" i="31"/>
  <c r="Q36" i="31"/>
  <c r="R36" i="31"/>
  <c r="S36" i="31"/>
  <c r="T36" i="31"/>
  <c r="U36" i="31"/>
  <c r="V36" i="31"/>
  <c r="W36" i="31"/>
  <c r="X36" i="31"/>
  <c r="Y36" i="31"/>
  <c r="Z36" i="31"/>
  <c r="AA36" i="31"/>
  <c r="AB36" i="31"/>
  <c r="AC36" i="31"/>
  <c r="AD36" i="31"/>
  <c r="AE36" i="31"/>
  <c r="AF36" i="31"/>
  <c r="AG36" i="31"/>
  <c r="C37" i="31"/>
  <c r="D37" i="31"/>
  <c r="E37" i="31"/>
  <c r="F37" i="31"/>
  <c r="G37" i="31"/>
  <c r="H37" i="31"/>
  <c r="I37" i="31"/>
  <c r="J37" i="31"/>
  <c r="K37" i="31"/>
  <c r="L37" i="31"/>
  <c r="M37" i="31"/>
  <c r="N37" i="31"/>
  <c r="O37" i="31"/>
  <c r="P37" i="31"/>
  <c r="Q37" i="31"/>
  <c r="R37" i="31"/>
  <c r="S37" i="31"/>
  <c r="T37" i="31"/>
  <c r="U37" i="31"/>
  <c r="V37" i="31"/>
  <c r="W37" i="31"/>
  <c r="X37" i="31"/>
  <c r="Y37" i="31"/>
  <c r="Z37" i="31"/>
  <c r="AA37" i="31"/>
  <c r="AB37" i="31"/>
  <c r="AC37" i="31"/>
  <c r="AD37" i="31"/>
  <c r="AE37" i="31"/>
  <c r="AF37" i="31"/>
  <c r="AG37" i="31"/>
  <c r="C38" i="31"/>
  <c r="D38" i="31"/>
  <c r="E38" i="31"/>
  <c r="F38" i="31"/>
  <c r="G38" i="31"/>
  <c r="H38" i="31"/>
  <c r="I38" i="31"/>
  <c r="J38" i="31"/>
  <c r="K38" i="31"/>
  <c r="L38" i="31"/>
  <c r="M38" i="31"/>
  <c r="N38" i="31"/>
  <c r="O38" i="31"/>
  <c r="P38" i="31"/>
  <c r="Q38" i="31"/>
  <c r="R38" i="31"/>
  <c r="S38" i="31"/>
  <c r="T38" i="31"/>
  <c r="U38" i="31"/>
  <c r="V38" i="31"/>
  <c r="W38" i="31"/>
  <c r="X38" i="31"/>
  <c r="Y38" i="31"/>
  <c r="Z38" i="31"/>
  <c r="AA38" i="31"/>
  <c r="AB38" i="31"/>
  <c r="AC38" i="31"/>
  <c r="AD38" i="31"/>
  <c r="AE38" i="31"/>
  <c r="AF38" i="31"/>
  <c r="AG38" i="31"/>
  <c r="C39" i="31"/>
  <c r="D39" i="31"/>
  <c r="E39" i="31"/>
  <c r="F39" i="31"/>
  <c r="G39" i="31"/>
  <c r="H39" i="31"/>
  <c r="I39" i="31"/>
  <c r="J39" i="31"/>
  <c r="K39" i="31"/>
  <c r="L39" i="31"/>
  <c r="M39" i="31"/>
  <c r="N39" i="31"/>
  <c r="O39" i="31"/>
  <c r="P39" i="31"/>
  <c r="Q39" i="31"/>
  <c r="R39" i="31"/>
  <c r="S39" i="31"/>
  <c r="T39" i="31"/>
  <c r="U39" i="31"/>
  <c r="V39" i="31"/>
  <c r="W39" i="31"/>
  <c r="X39" i="31"/>
  <c r="Y39" i="31"/>
  <c r="Z39" i="31"/>
  <c r="AA39" i="31"/>
  <c r="AB39" i="31"/>
  <c r="AC39" i="31"/>
  <c r="AD39" i="31"/>
  <c r="AE39" i="31"/>
  <c r="AF39" i="31"/>
  <c r="AG39" i="31"/>
  <c r="D42" i="31"/>
  <c r="E42" i="31"/>
  <c r="F42" i="31"/>
  <c r="G42" i="31"/>
  <c r="H42" i="31"/>
  <c r="I42" i="31"/>
  <c r="J42" i="31"/>
  <c r="K42" i="31"/>
  <c r="L42" i="31"/>
  <c r="M42" i="31"/>
  <c r="N42" i="31"/>
  <c r="O42" i="31"/>
  <c r="P42" i="31"/>
  <c r="Q42" i="31"/>
  <c r="R42" i="31"/>
  <c r="S42" i="31"/>
  <c r="T42" i="31"/>
  <c r="U42" i="31"/>
  <c r="V42" i="31"/>
  <c r="W42" i="31"/>
  <c r="X42" i="31"/>
  <c r="Y42" i="31"/>
  <c r="Z42" i="31"/>
  <c r="AA42" i="31"/>
  <c r="AB42" i="31"/>
  <c r="AC42" i="31"/>
  <c r="AD42" i="31"/>
  <c r="AE42" i="31"/>
  <c r="AF42" i="31"/>
  <c r="AG42" i="31"/>
  <c r="D43" i="31"/>
  <c r="E43" i="31"/>
  <c r="F43" i="31"/>
  <c r="G43" i="31"/>
  <c r="H43" i="31"/>
  <c r="I43" i="31"/>
  <c r="J43" i="31"/>
  <c r="K43" i="31"/>
  <c r="L43" i="31"/>
  <c r="M43" i="31"/>
  <c r="N43" i="31"/>
  <c r="O43" i="31"/>
  <c r="P43" i="31"/>
  <c r="Q43" i="31"/>
  <c r="R43" i="31"/>
  <c r="S43" i="31"/>
  <c r="T43" i="31"/>
  <c r="U43" i="31"/>
  <c r="V43" i="31"/>
  <c r="W43" i="31"/>
  <c r="X43" i="31"/>
  <c r="Y43" i="31"/>
  <c r="Z43" i="31"/>
  <c r="AA43" i="31"/>
  <c r="AB43" i="31"/>
  <c r="AC43" i="31"/>
  <c r="AD43" i="31"/>
  <c r="AE43" i="31"/>
  <c r="AF43" i="31"/>
  <c r="AG43" i="31"/>
  <c r="D44" i="31"/>
  <c r="E44" i="31"/>
  <c r="F44" i="31"/>
  <c r="G44" i="31"/>
  <c r="H44" i="31"/>
  <c r="I44" i="31"/>
  <c r="J44" i="31"/>
  <c r="K44" i="31"/>
  <c r="L44" i="31"/>
  <c r="M44" i="31"/>
  <c r="N44" i="31"/>
  <c r="O44" i="31"/>
  <c r="P44" i="31"/>
  <c r="Q44" i="31"/>
  <c r="R44" i="31"/>
  <c r="S44" i="31"/>
  <c r="T44" i="31"/>
  <c r="U44" i="31"/>
  <c r="V44" i="31"/>
  <c r="W44" i="31"/>
  <c r="X44" i="31"/>
  <c r="Y44" i="31"/>
  <c r="Z44" i="31"/>
  <c r="AA44" i="31"/>
  <c r="AB44" i="31"/>
  <c r="AC44" i="31"/>
  <c r="AD44" i="31"/>
  <c r="AE44" i="31"/>
  <c r="AF44" i="31"/>
  <c r="AG44" i="31"/>
  <c r="D45" i="31"/>
  <c r="E45" i="31"/>
  <c r="F45" i="31"/>
  <c r="G45" i="31"/>
  <c r="H45" i="31"/>
  <c r="I45" i="31"/>
  <c r="J45" i="31"/>
  <c r="K45" i="31"/>
  <c r="L45" i="31"/>
  <c r="M45" i="31"/>
  <c r="N45" i="31"/>
  <c r="O45" i="31"/>
  <c r="P45" i="31"/>
  <c r="Q45" i="31"/>
  <c r="R45" i="31"/>
  <c r="S45" i="31"/>
  <c r="T45" i="31"/>
  <c r="U45" i="31"/>
  <c r="V45" i="31"/>
  <c r="W45" i="31"/>
  <c r="X45" i="31"/>
  <c r="Y45" i="31"/>
  <c r="Z45" i="31"/>
  <c r="AA45" i="31"/>
  <c r="AB45" i="31"/>
  <c r="AC45" i="31"/>
  <c r="AD45" i="31"/>
  <c r="AE45" i="31"/>
  <c r="AF45" i="31"/>
  <c r="AG45" i="31"/>
  <c r="D46" i="31"/>
  <c r="E46" i="31"/>
  <c r="F46" i="31"/>
  <c r="G46" i="31"/>
  <c r="H46" i="31"/>
  <c r="I46" i="31"/>
  <c r="J46" i="31"/>
  <c r="K46" i="31"/>
  <c r="L46" i="31"/>
  <c r="M46" i="31"/>
  <c r="N46" i="31"/>
  <c r="O46" i="31"/>
  <c r="P46" i="31"/>
  <c r="Q46" i="31"/>
  <c r="R46" i="31"/>
  <c r="S46" i="31"/>
  <c r="T46" i="31"/>
  <c r="U46" i="31"/>
  <c r="V46" i="31"/>
  <c r="W46" i="31"/>
  <c r="X46" i="31"/>
  <c r="Y46" i="31"/>
  <c r="Z46" i="31"/>
  <c r="AA46" i="31"/>
  <c r="AB46" i="31"/>
  <c r="AC46" i="31"/>
  <c r="AD46" i="31"/>
  <c r="AE46" i="31"/>
  <c r="AF46" i="31"/>
  <c r="AG46" i="31"/>
  <c r="D47" i="31"/>
  <c r="E47" i="31"/>
  <c r="F47" i="31"/>
  <c r="G47" i="31"/>
  <c r="H47" i="31"/>
  <c r="I47" i="31"/>
  <c r="J47" i="31"/>
  <c r="K47" i="31"/>
  <c r="L47" i="31"/>
  <c r="M47" i="31"/>
  <c r="N47" i="31"/>
  <c r="O47" i="31"/>
  <c r="P47" i="31"/>
  <c r="Q47" i="31"/>
  <c r="R47" i="31"/>
  <c r="S47" i="31"/>
  <c r="T47" i="31"/>
  <c r="U47" i="31"/>
  <c r="V47" i="31"/>
  <c r="W47" i="31"/>
  <c r="X47" i="31"/>
  <c r="Y47" i="31"/>
  <c r="Z47" i="31"/>
  <c r="AA47" i="31"/>
  <c r="AB47" i="31"/>
  <c r="AC47" i="31"/>
  <c r="AD47" i="31"/>
  <c r="AE47" i="31"/>
  <c r="AF47" i="31"/>
  <c r="AG47" i="31"/>
  <c r="D48" i="31"/>
  <c r="E48" i="31"/>
  <c r="F48" i="31"/>
  <c r="G48" i="31"/>
  <c r="H48" i="31"/>
  <c r="I48" i="31"/>
  <c r="J48" i="31"/>
  <c r="K48" i="31"/>
  <c r="L48" i="31"/>
  <c r="M48" i="31"/>
  <c r="N48" i="31"/>
  <c r="O48" i="31"/>
  <c r="P48" i="31"/>
  <c r="Q48" i="31"/>
  <c r="R48" i="31"/>
  <c r="S48" i="31"/>
  <c r="T48" i="31"/>
  <c r="U48" i="31"/>
  <c r="V48" i="31"/>
  <c r="W48" i="31"/>
  <c r="X48" i="31"/>
  <c r="Y48" i="31"/>
  <c r="Z48" i="31"/>
  <c r="AA48" i="31"/>
  <c r="AB48" i="31"/>
  <c r="AC48" i="31"/>
  <c r="AD48" i="31"/>
  <c r="AE48" i="31"/>
  <c r="AF48" i="31"/>
  <c r="AG48" i="31"/>
  <c r="D49" i="31"/>
  <c r="E49" i="31"/>
  <c r="F49" i="31"/>
  <c r="G49" i="31"/>
  <c r="H49" i="31"/>
  <c r="I49" i="31"/>
  <c r="J49" i="31"/>
  <c r="K49" i="31"/>
  <c r="L49" i="31"/>
  <c r="M49" i="31"/>
  <c r="N49" i="31"/>
  <c r="O49" i="31"/>
  <c r="P49" i="31"/>
  <c r="Q49" i="31"/>
  <c r="R49" i="31"/>
  <c r="S49" i="31"/>
  <c r="T49" i="31"/>
  <c r="U49" i="31"/>
  <c r="V49" i="31"/>
  <c r="W49" i="31"/>
  <c r="X49" i="31"/>
  <c r="Y49" i="31"/>
  <c r="Z49" i="31"/>
  <c r="AA49" i="31"/>
  <c r="AB49" i="31"/>
  <c r="AC49" i="31"/>
  <c r="AD49" i="31"/>
  <c r="AE49" i="31"/>
  <c r="AF49" i="31"/>
  <c r="AG49" i="31"/>
  <c r="D50" i="31"/>
  <c r="E50" i="31"/>
  <c r="F50" i="31"/>
  <c r="G50" i="31"/>
  <c r="H50" i="31"/>
  <c r="I50" i="31"/>
  <c r="J50" i="31"/>
  <c r="K50" i="31"/>
  <c r="L50" i="31"/>
  <c r="M50" i="31"/>
  <c r="N50" i="31"/>
  <c r="O50" i="31"/>
  <c r="P50" i="31"/>
  <c r="Q50" i="31"/>
  <c r="R50" i="31"/>
  <c r="S50" i="31"/>
  <c r="T50" i="31"/>
  <c r="U50" i="31"/>
  <c r="V50" i="31"/>
  <c r="W50" i="31"/>
  <c r="X50" i="31"/>
  <c r="Y50" i="31"/>
  <c r="Z50" i="31"/>
  <c r="AA50" i="31"/>
  <c r="AB50" i="31"/>
  <c r="AC50" i="31"/>
  <c r="AD50" i="31"/>
  <c r="AE50" i="31"/>
  <c r="AF50" i="31"/>
  <c r="AG50" i="31"/>
  <c r="D51" i="31"/>
  <c r="E51" i="31"/>
  <c r="F51" i="31"/>
  <c r="G51" i="31"/>
  <c r="H51" i="31"/>
  <c r="I51" i="31"/>
  <c r="J51" i="31"/>
  <c r="K51" i="31"/>
  <c r="L51" i="31"/>
  <c r="M51" i="31"/>
  <c r="N51" i="31"/>
  <c r="O51" i="31"/>
  <c r="P51" i="31"/>
  <c r="Q51" i="31"/>
  <c r="R51" i="31"/>
  <c r="S51" i="31"/>
  <c r="T51" i="31"/>
  <c r="U51" i="31"/>
  <c r="V51" i="31"/>
  <c r="W51" i="31"/>
  <c r="X51" i="31"/>
  <c r="Y51" i="31"/>
  <c r="Z51" i="31"/>
  <c r="AA51" i="31"/>
  <c r="AB51" i="31"/>
  <c r="AC51" i="31"/>
  <c r="AD51" i="31"/>
  <c r="AE51" i="31"/>
  <c r="AF51" i="31"/>
  <c r="AG51" i="31"/>
  <c r="D52" i="31"/>
  <c r="E52" i="31"/>
  <c r="F52" i="31"/>
  <c r="G52" i="31"/>
  <c r="H52" i="31"/>
  <c r="I52" i="31"/>
  <c r="J52" i="31"/>
  <c r="K52" i="31"/>
  <c r="L52" i="31"/>
  <c r="M52" i="31"/>
  <c r="N52" i="31"/>
  <c r="O52" i="31"/>
  <c r="P52" i="31"/>
  <c r="Q52" i="31"/>
  <c r="R52" i="31"/>
  <c r="S52" i="31"/>
  <c r="T52" i="31"/>
  <c r="U52" i="31"/>
  <c r="V52" i="31"/>
  <c r="W52" i="31"/>
  <c r="X52" i="31"/>
  <c r="Y52" i="31"/>
  <c r="Z52" i="31"/>
  <c r="AA52" i="31"/>
  <c r="AB52" i="31"/>
  <c r="AC52" i="31"/>
  <c r="AD52" i="31"/>
  <c r="AE52" i="31"/>
  <c r="AF52" i="31"/>
  <c r="AG52" i="31"/>
  <c r="D53" i="31"/>
  <c r="E53" i="31"/>
  <c r="F53" i="31"/>
  <c r="G53" i="31"/>
  <c r="H53" i="31"/>
  <c r="I53" i="31"/>
  <c r="J53" i="31"/>
  <c r="K53" i="31"/>
  <c r="L53" i="31"/>
  <c r="M53" i="31"/>
  <c r="N53" i="31"/>
  <c r="O53" i="31"/>
  <c r="P53" i="31"/>
  <c r="Q53" i="31"/>
  <c r="R53" i="31"/>
  <c r="S53" i="31"/>
  <c r="T53" i="31"/>
  <c r="U53" i="31"/>
  <c r="V53" i="31"/>
  <c r="W53" i="31"/>
  <c r="X53" i="31"/>
  <c r="Y53" i="31"/>
  <c r="Z53" i="31"/>
  <c r="AA53" i="31"/>
  <c r="AB53" i="31"/>
  <c r="AC53" i="31"/>
  <c r="AD53" i="31"/>
  <c r="AE53" i="31"/>
  <c r="AF53" i="31"/>
  <c r="AG53" i="31"/>
  <c r="D54" i="31"/>
  <c r="E54" i="31"/>
  <c r="F54" i="31"/>
  <c r="G54" i="31"/>
  <c r="H54" i="31"/>
  <c r="I54" i="31"/>
  <c r="J54" i="31"/>
  <c r="K54" i="31"/>
  <c r="L54" i="31"/>
  <c r="M54" i="31"/>
  <c r="N54" i="31"/>
  <c r="O54" i="31"/>
  <c r="P54" i="31"/>
  <c r="Q54" i="31"/>
  <c r="R54" i="31"/>
  <c r="S54" i="31"/>
  <c r="T54" i="31"/>
  <c r="U54" i="31"/>
  <c r="V54" i="31"/>
  <c r="W54" i="31"/>
  <c r="X54" i="31"/>
  <c r="Y54" i="31"/>
  <c r="Z54" i="31"/>
  <c r="AA54" i="31"/>
  <c r="AB54" i="31"/>
  <c r="AC54" i="31"/>
  <c r="AD54" i="31"/>
  <c r="AE54" i="31"/>
  <c r="AF54" i="31"/>
  <c r="AG54" i="31"/>
  <c r="D55" i="31"/>
  <c r="E55" i="31"/>
  <c r="F55" i="31"/>
  <c r="G55" i="31"/>
  <c r="H55" i="31"/>
  <c r="I55" i="31"/>
  <c r="J55" i="31"/>
  <c r="K55" i="31"/>
  <c r="L55" i="31"/>
  <c r="M55" i="31"/>
  <c r="N55" i="31"/>
  <c r="O55" i="31"/>
  <c r="P55" i="31"/>
  <c r="Q55" i="31"/>
  <c r="R55" i="31"/>
  <c r="S55" i="31"/>
  <c r="T55" i="31"/>
  <c r="U55" i="31"/>
  <c r="V55" i="31"/>
  <c r="W55" i="31"/>
  <c r="X55" i="31"/>
  <c r="Y55" i="31"/>
  <c r="Z55" i="31"/>
  <c r="AA55" i="31"/>
  <c r="AB55" i="31"/>
  <c r="AC55" i="31"/>
  <c r="AD55" i="31"/>
  <c r="AE55" i="31"/>
  <c r="AF55" i="31"/>
  <c r="AG55" i="31"/>
  <c r="D56" i="31"/>
  <c r="E56" i="31"/>
  <c r="F56" i="31"/>
  <c r="G56" i="31"/>
  <c r="H56" i="31"/>
  <c r="I56" i="31"/>
  <c r="J56" i="31"/>
  <c r="K56" i="31"/>
  <c r="L56" i="31"/>
  <c r="M56" i="31"/>
  <c r="N56" i="31"/>
  <c r="O56" i="31"/>
  <c r="P56" i="31"/>
  <c r="Q56" i="31"/>
  <c r="R56" i="31"/>
  <c r="S56" i="31"/>
  <c r="T56" i="31"/>
  <c r="U56" i="31"/>
  <c r="V56" i="31"/>
  <c r="W56" i="31"/>
  <c r="X56" i="31"/>
  <c r="Y56" i="31"/>
  <c r="Z56" i="31"/>
  <c r="AA56" i="31"/>
  <c r="AB56" i="31"/>
  <c r="AC56" i="31"/>
  <c r="AD56" i="31"/>
  <c r="AE56" i="31"/>
  <c r="AF56" i="31"/>
  <c r="AG56" i="31"/>
  <c r="D57" i="31"/>
  <c r="E57" i="31"/>
  <c r="F57" i="31"/>
  <c r="G57" i="31"/>
  <c r="H57" i="31"/>
  <c r="I57" i="31"/>
  <c r="J57" i="31"/>
  <c r="K57" i="31"/>
  <c r="L57" i="31"/>
  <c r="M57" i="31"/>
  <c r="N57" i="31"/>
  <c r="O57" i="31"/>
  <c r="P57" i="31"/>
  <c r="Q57" i="31"/>
  <c r="R57" i="31"/>
  <c r="S57" i="31"/>
  <c r="T57" i="31"/>
  <c r="U57" i="31"/>
  <c r="V57" i="31"/>
  <c r="W57" i="31"/>
  <c r="X57" i="31"/>
  <c r="Y57" i="31"/>
  <c r="Z57" i="31"/>
  <c r="AA57" i="31"/>
  <c r="AB57" i="31"/>
  <c r="AC57" i="31"/>
  <c r="AD57" i="31"/>
  <c r="AE57" i="31"/>
  <c r="AF57" i="31"/>
  <c r="AG57" i="31"/>
  <c r="D58" i="31"/>
  <c r="E58" i="31"/>
  <c r="F58" i="31"/>
  <c r="G58" i="31"/>
  <c r="H58" i="31"/>
  <c r="I58" i="31"/>
  <c r="J58" i="31"/>
  <c r="K58" i="31"/>
  <c r="L58" i="31"/>
  <c r="M58" i="31"/>
  <c r="N58" i="31"/>
  <c r="O58" i="31"/>
  <c r="P58" i="31"/>
  <c r="Q58" i="31"/>
  <c r="R58" i="31"/>
  <c r="S58" i="31"/>
  <c r="T58" i="31"/>
  <c r="U58" i="31"/>
  <c r="V58" i="31"/>
  <c r="W58" i="31"/>
  <c r="X58" i="31"/>
  <c r="Y58" i="31"/>
  <c r="Z58" i="31"/>
  <c r="AA58" i="31"/>
  <c r="AB58" i="31"/>
  <c r="AC58" i="31"/>
  <c r="AD58" i="31"/>
  <c r="AE58" i="31"/>
  <c r="AF58" i="31"/>
  <c r="AG58" i="31"/>
  <c r="D59" i="31"/>
  <c r="E59" i="31"/>
  <c r="F59" i="31"/>
  <c r="G59" i="31"/>
  <c r="H59" i="31"/>
  <c r="I59" i="31"/>
  <c r="J59" i="31"/>
  <c r="K59" i="31"/>
  <c r="L59" i="31"/>
  <c r="M59" i="31"/>
  <c r="N59" i="31"/>
  <c r="O59" i="31"/>
  <c r="P59" i="31"/>
  <c r="Q59" i="31"/>
  <c r="R59" i="31"/>
  <c r="S59" i="31"/>
  <c r="T59" i="31"/>
  <c r="U59" i="31"/>
  <c r="V59" i="31"/>
  <c r="W59" i="31"/>
  <c r="X59" i="31"/>
  <c r="Y59" i="31"/>
  <c r="Z59" i="31"/>
  <c r="AA59" i="31"/>
  <c r="AB59" i="31"/>
  <c r="AC59" i="31"/>
  <c r="AD59" i="31"/>
  <c r="AE59" i="31"/>
  <c r="AF59" i="31"/>
  <c r="AG59" i="31"/>
  <c r="D60" i="31"/>
  <c r="E60" i="31"/>
  <c r="F60" i="31"/>
  <c r="G60" i="31"/>
  <c r="H60" i="31"/>
  <c r="I60" i="31"/>
  <c r="J60" i="31"/>
  <c r="K60" i="31"/>
  <c r="L60" i="31"/>
  <c r="M60" i="31"/>
  <c r="N60" i="31"/>
  <c r="O60" i="31"/>
  <c r="P60" i="31"/>
  <c r="Q60" i="31"/>
  <c r="R60" i="31"/>
  <c r="S60" i="31"/>
  <c r="T60" i="31"/>
  <c r="U60" i="31"/>
  <c r="V60" i="31"/>
  <c r="W60" i="31"/>
  <c r="X60" i="31"/>
  <c r="Y60" i="31"/>
  <c r="Z60" i="31"/>
  <c r="AA60" i="31"/>
  <c r="AB60" i="31"/>
  <c r="AC60" i="31"/>
  <c r="AD60" i="31"/>
  <c r="AE60" i="31"/>
  <c r="AF60" i="31"/>
  <c r="AG60" i="31"/>
  <c r="D61" i="31"/>
  <c r="E61" i="31"/>
  <c r="F61" i="31"/>
  <c r="G61" i="31"/>
  <c r="H61" i="31"/>
  <c r="I61" i="31"/>
  <c r="J61" i="31"/>
  <c r="K61" i="31"/>
  <c r="L61" i="31"/>
  <c r="M61" i="31"/>
  <c r="N61" i="31"/>
  <c r="O61" i="31"/>
  <c r="P61" i="31"/>
  <c r="Q61" i="31"/>
  <c r="R61" i="31"/>
  <c r="S61" i="31"/>
  <c r="T61" i="31"/>
  <c r="U61" i="31"/>
  <c r="V61" i="31"/>
  <c r="W61" i="31"/>
  <c r="X61" i="31"/>
  <c r="Y61" i="31"/>
  <c r="Z61" i="31"/>
  <c r="AA61" i="31"/>
  <c r="AB61" i="31"/>
  <c r="AC61" i="31"/>
  <c r="AD61" i="31"/>
  <c r="AE61" i="31"/>
  <c r="AF61" i="31"/>
  <c r="AG61" i="31"/>
  <c r="D62" i="31"/>
  <c r="E62" i="31"/>
  <c r="F62" i="31"/>
  <c r="G62" i="31"/>
  <c r="H62" i="31"/>
  <c r="I62" i="31"/>
  <c r="J62" i="31"/>
  <c r="K62" i="31"/>
  <c r="L62" i="31"/>
  <c r="M62" i="31"/>
  <c r="N62" i="31"/>
  <c r="O62" i="31"/>
  <c r="P62" i="31"/>
  <c r="Q62" i="31"/>
  <c r="R62" i="31"/>
  <c r="S62" i="31"/>
  <c r="T62" i="31"/>
  <c r="U62" i="31"/>
  <c r="V62" i="31"/>
  <c r="W62" i="31"/>
  <c r="X62" i="31"/>
  <c r="Y62" i="31"/>
  <c r="Z62" i="31"/>
  <c r="AA62" i="31"/>
  <c r="AB62" i="31"/>
  <c r="AC62" i="31"/>
  <c r="AD62" i="31"/>
  <c r="AE62" i="31"/>
  <c r="AF62" i="31"/>
  <c r="AG62" i="31"/>
  <c r="D63" i="31"/>
  <c r="E63" i="31"/>
  <c r="F63" i="31"/>
  <c r="G63" i="31"/>
  <c r="H63" i="31"/>
  <c r="I63" i="31"/>
  <c r="J63" i="31"/>
  <c r="K63" i="31"/>
  <c r="L63" i="31"/>
  <c r="M63" i="31"/>
  <c r="N63" i="31"/>
  <c r="O63" i="31"/>
  <c r="P63" i="31"/>
  <c r="Q63" i="31"/>
  <c r="R63" i="31"/>
  <c r="S63" i="31"/>
  <c r="T63" i="31"/>
  <c r="U63" i="31"/>
  <c r="V63" i="31"/>
  <c r="W63" i="31"/>
  <c r="X63" i="31"/>
  <c r="Y63" i="31"/>
  <c r="Z63" i="31"/>
  <c r="AA63" i="31"/>
  <c r="AB63" i="31"/>
  <c r="AC63" i="31"/>
  <c r="AD63" i="31"/>
  <c r="AE63" i="31"/>
  <c r="AF63" i="31"/>
  <c r="AG63" i="31"/>
  <c r="D64" i="31"/>
  <c r="E64" i="31"/>
  <c r="F64" i="31"/>
  <c r="G64" i="31"/>
  <c r="H64" i="31"/>
  <c r="I64" i="31"/>
  <c r="J64" i="31"/>
  <c r="K64" i="31"/>
  <c r="L64" i="31"/>
  <c r="M64" i="31"/>
  <c r="N64" i="31"/>
  <c r="O64" i="31"/>
  <c r="P64" i="31"/>
  <c r="Q64" i="31"/>
  <c r="R64" i="31"/>
  <c r="S64" i="31"/>
  <c r="T64" i="31"/>
  <c r="U64" i="31"/>
  <c r="V64" i="31"/>
  <c r="W64" i="31"/>
  <c r="X64" i="31"/>
  <c r="Y64" i="31"/>
  <c r="Z64" i="31"/>
  <c r="AA64" i="31"/>
  <c r="AB64" i="31"/>
  <c r="AC64" i="31"/>
  <c r="AD64" i="31"/>
  <c r="AE64" i="31"/>
  <c r="AF64" i="31"/>
  <c r="AG64" i="31"/>
  <c r="D65" i="31"/>
  <c r="E65" i="31"/>
  <c r="F65" i="31"/>
  <c r="G65" i="31"/>
  <c r="H65" i="31"/>
  <c r="I65" i="31"/>
  <c r="J65" i="31"/>
  <c r="K65" i="31"/>
  <c r="L65" i="31"/>
  <c r="M65" i="31"/>
  <c r="N65" i="31"/>
  <c r="O65" i="31"/>
  <c r="P65" i="31"/>
  <c r="Q65" i="31"/>
  <c r="R65" i="31"/>
  <c r="S65" i="31"/>
  <c r="T65" i="31"/>
  <c r="U65" i="31"/>
  <c r="V65" i="31"/>
  <c r="W65" i="31"/>
  <c r="X65" i="31"/>
  <c r="Y65" i="31"/>
  <c r="Z65" i="31"/>
  <c r="AA65" i="31"/>
  <c r="AB65" i="31"/>
  <c r="AC65" i="31"/>
  <c r="AD65" i="31"/>
  <c r="AE65" i="31"/>
  <c r="AF65" i="31"/>
  <c r="AG65" i="31"/>
  <c r="D66" i="31"/>
  <c r="E66" i="31"/>
  <c r="F66" i="31"/>
  <c r="G66" i="31"/>
  <c r="H66" i="31"/>
  <c r="I66" i="31"/>
  <c r="J66" i="31"/>
  <c r="K66" i="31"/>
  <c r="L66" i="31"/>
  <c r="M66" i="31"/>
  <c r="N66" i="31"/>
  <c r="O66" i="31"/>
  <c r="P66" i="31"/>
  <c r="Q66" i="31"/>
  <c r="R66" i="31"/>
  <c r="S66" i="31"/>
  <c r="T66" i="31"/>
  <c r="U66" i="31"/>
  <c r="V66" i="31"/>
  <c r="W66" i="31"/>
  <c r="X66" i="31"/>
  <c r="Y66" i="31"/>
  <c r="Z66" i="31"/>
  <c r="AA66" i="31"/>
  <c r="AB66" i="31"/>
  <c r="AC66" i="31"/>
  <c r="AD66" i="31"/>
  <c r="AE66" i="31"/>
  <c r="AF66" i="31"/>
  <c r="AG66" i="31"/>
  <c r="D67" i="31"/>
  <c r="E67" i="31"/>
  <c r="F67" i="31"/>
  <c r="G67" i="31"/>
  <c r="H67" i="31"/>
  <c r="I67" i="31"/>
  <c r="J67" i="31"/>
  <c r="K67" i="31"/>
  <c r="L67" i="31"/>
  <c r="M67" i="31"/>
  <c r="N67" i="31"/>
  <c r="O67" i="31"/>
  <c r="P67" i="31"/>
  <c r="Q67" i="31"/>
  <c r="R67" i="31"/>
  <c r="S67" i="31"/>
  <c r="T67" i="31"/>
  <c r="U67" i="31"/>
  <c r="V67" i="31"/>
  <c r="W67" i="31"/>
  <c r="X67" i="31"/>
  <c r="Y67" i="31"/>
  <c r="Z67" i="31"/>
  <c r="AA67" i="31"/>
  <c r="AB67" i="31"/>
  <c r="AC67" i="31"/>
  <c r="AD67" i="31"/>
  <c r="AE67" i="31"/>
  <c r="AF67" i="31"/>
  <c r="AG67" i="31"/>
  <c r="D68" i="31"/>
  <c r="E68" i="31"/>
  <c r="F68" i="31"/>
  <c r="G68" i="31"/>
  <c r="H68" i="31"/>
  <c r="I68" i="31"/>
  <c r="J68" i="31"/>
  <c r="K68" i="31"/>
  <c r="L68" i="31"/>
  <c r="M68" i="31"/>
  <c r="N68" i="31"/>
  <c r="O68" i="31"/>
  <c r="P68" i="31"/>
  <c r="Q68" i="31"/>
  <c r="R68" i="31"/>
  <c r="S68" i="31"/>
  <c r="T68" i="31"/>
  <c r="U68" i="31"/>
  <c r="V68" i="31"/>
  <c r="W68" i="31"/>
  <c r="X68" i="31"/>
  <c r="Y68" i="31"/>
  <c r="Z68" i="31"/>
  <c r="AA68" i="31"/>
  <c r="AB68" i="31"/>
  <c r="AC68" i="31"/>
  <c r="AD68" i="31"/>
  <c r="AE68" i="31"/>
  <c r="AF68" i="31"/>
  <c r="AG68" i="31"/>
  <c r="D69" i="31"/>
  <c r="E69" i="31"/>
  <c r="F69" i="31"/>
  <c r="G69" i="31"/>
  <c r="H69" i="31"/>
  <c r="I69" i="31"/>
  <c r="J69" i="31"/>
  <c r="K69" i="31"/>
  <c r="L69" i="31"/>
  <c r="M69" i="31"/>
  <c r="N69" i="31"/>
  <c r="O69" i="31"/>
  <c r="P69" i="31"/>
  <c r="Q69" i="31"/>
  <c r="R69" i="31"/>
  <c r="S69" i="31"/>
  <c r="T69" i="31"/>
  <c r="U69" i="31"/>
  <c r="V69" i="31"/>
  <c r="W69" i="31"/>
  <c r="X69" i="31"/>
  <c r="Y69" i="31"/>
  <c r="Z69" i="31"/>
  <c r="AA69" i="31"/>
  <c r="AB69" i="31"/>
  <c r="AC69" i="31"/>
  <c r="AD69" i="31"/>
  <c r="AE69" i="31"/>
  <c r="AF69" i="31"/>
  <c r="AG69" i="31"/>
  <c r="D70" i="31"/>
  <c r="E70" i="31"/>
  <c r="F70" i="31"/>
  <c r="G70" i="31"/>
  <c r="H70" i="31"/>
  <c r="I70" i="31"/>
  <c r="J70" i="31"/>
  <c r="K70" i="31"/>
  <c r="L70" i="31"/>
  <c r="M70" i="31"/>
  <c r="N70" i="31"/>
  <c r="O70" i="31"/>
  <c r="P70" i="31"/>
  <c r="Q70" i="31"/>
  <c r="R70" i="31"/>
  <c r="S70" i="31"/>
  <c r="T70" i="31"/>
  <c r="U70" i="31"/>
  <c r="V70" i="31"/>
  <c r="W70" i="31"/>
  <c r="X70" i="31"/>
  <c r="Y70" i="31"/>
  <c r="Z70" i="31"/>
  <c r="AA70" i="31"/>
  <c r="AB70" i="31"/>
  <c r="AC70" i="31"/>
  <c r="AD70" i="31"/>
  <c r="AE70" i="31"/>
  <c r="AF70" i="31"/>
  <c r="AG70" i="31"/>
  <c r="D71" i="31"/>
  <c r="E71" i="31"/>
  <c r="F71" i="31"/>
  <c r="G71" i="31"/>
  <c r="H71" i="31"/>
  <c r="I71" i="31"/>
  <c r="J71" i="31"/>
  <c r="K71" i="31"/>
  <c r="L71" i="31"/>
  <c r="M71" i="31"/>
  <c r="N71" i="31"/>
  <c r="O71" i="31"/>
  <c r="P71" i="31"/>
  <c r="Q71" i="31"/>
  <c r="R71" i="31"/>
  <c r="S71" i="31"/>
  <c r="T71" i="31"/>
  <c r="U71" i="31"/>
  <c r="V71" i="31"/>
  <c r="W71" i="31"/>
  <c r="X71" i="31"/>
  <c r="Y71" i="31"/>
  <c r="Z71" i="31"/>
  <c r="AA71" i="31"/>
  <c r="AB71" i="31"/>
  <c r="AC71" i="31"/>
  <c r="AD71" i="31"/>
  <c r="AE71" i="31"/>
  <c r="AF71" i="31"/>
  <c r="AG71" i="31"/>
  <c r="D72" i="31"/>
  <c r="E72" i="31"/>
  <c r="F72" i="31"/>
  <c r="G72" i="31"/>
  <c r="H72" i="31"/>
  <c r="I72" i="31"/>
  <c r="J72" i="31"/>
  <c r="K72" i="31"/>
  <c r="L72" i="31"/>
  <c r="M72" i="31"/>
  <c r="N72" i="31"/>
  <c r="O72" i="31"/>
  <c r="P72" i="31"/>
  <c r="Q72" i="31"/>
  <c r="R72" i="31"/>
  <c r="S72" i="31"/>
  <c r="T72" i="31"/>
  <c r="U72" i="31"/>
  <c r="V72" i="31"/>
  <c r="W72" i="31"/>
  <c r="X72" i="31"/>
  <c r="Y72" i="31"/>
  <c r="Z72" i="31"/>
  <c r="AA72" i="31"/>
  <c r="AB72" i="31"/>
  <c r="AC72" i="31"/>
  <c r="AD72" i="31"/>
  <c r="AE72" i="31"/>
  <c r="AF72" i="31"/>
  <c r="AG72" i="31"/>
  <c r="D73" i="31"/>
  <c r="E73" i="31"/>
  <c r="F73" i="31"/>
  <c r="G73" i="31"/>
  <c r="H73" i="31"/>
  <c r="I73" i="31"/>
  <c r="J73" i="31"/>
  <c r="K73" i="31"/>
  <c r="L73" i="31"/>
  <c r="M73" i="31"/>
  <c r="N73" i="31"/>
  <c r="O73" i="31"/>
  <c r="P73" i="31"/>
  <c r="O114" i="31" s="1"/>
  <c r="Q73" i="31"/>
  <c r="R73" i="31"/>
  <c r="S73" i="31"/>
  <c r="T73" i="31"/>
  <c r="U73" i="31"/>
  <c r="V73" i="31"/>
  <c r="W73" i="31"/>
  <c r="X73" i="31"/>
  <c r="Y73" i="31"/>
  <c r="Z73" i="31"/>
  <c r="AA73" i="31"/>
  <c r="AB73" i="31"/>
  <c r="AC73" i="31"/>
  <c r="AD73" i="31"/>
  <c r="AE73" i="31"/>
  <c r="AF73" i="31"/>
  <c r="AG73" i="31"/>
  <c r="D74" i="31"/>
  <c r="C113" i="31" s="1"/>
  <c r="E74" i="31"/>
  <c r="F74" i="31"/>
  <c r="G74" i="31"/>
  <c r="H74" i="31"/>
  <c r="I74" i="31"/>
  <c r="J74" i="31"/>
  <c r="K74" i="31"/>
  <c r="L74" i="31"/>
  <c r="K114" i="31" s="1"/>
  <c r="M74" i="31"/>
  <c r="N74" i="31"/>
  <c r="O74" i="31"/>
  <c r="P74" i="31"/>
  <c r="Q74" i="31"/>
  <c r="R74" i="31"/>
  <c r="S74" i="31"/>
  <c r="T74" i="31"/>
  <c r="S113" i="31" s="1"/>
  <c r="U74" i="31"/>
  <c r="V74" i="31"/>
  <c r="W74" i="31"/>
  <c r="X74" i="31"/>
  <c r="Y74" i="31"/>
  <c r="Z74" i="31"/>
  <c r="AA74" i="31"/>
  <c r="AB74" i="31"/>
  <c r="AA113" i="31" s="1"/>
  <c r="AC74" i="31"/>
  <c r="AD74" i="31"/>
  <c r="AE74" i="31"/>
  <c r="AF74" i="31"/>
  <c r="AG74" i="31"/>
  <c r="D75" i="31"/>
  <c r="E75" i="31"/>
  <c r="F75" i="31"/>
  <c r="G75" i="31"/>
  <c r="F115" i="31" s="1"/>
  <c r="H75" i="31"/>
  <c r="I75" i="31"/>
  <c r="J75" i="31"/>
  <c r="K75" i="31"/>
  <c r="L75" i="31"/>
  <c r="M75" i="31"/>
  <c r="N75" i="31"/>
  <c r="O75" i="31"/>
  <c r="N115" i="31" s="1"/>
  <c r="P75" i="31"/>
  <c r="Q75" i="31"/>
  <c r="R75" i="31"/>
  <c r="S75" i="31"/>
  <c r="T75" i="31"/>
  <c r="U75" i="31"/>
  <c r="V75" i="31"/>
  <c r="W75" i="31"/>
  <c r="V116" i="31" s="1"/>
  <c r="X75" i="31"/>
  <c r="Y75" i="31"/>
  <c r="Z75" i="31"/>
  <c r="AA75" i="31"/>
  <c r="AB75" i="31"/>
  <c r="AC75" i="31"/>
  <c r="AD75" i="31"/>
  <c r="AE75" i="31"/>
  <c r="AD115" i="31" s="1"/>
  <c r="AF75" i="31"/>
  <c r="AG75" i="31"/>
  <c r="D76" i="31"/>
  <c r="E76" i="31"/>
  <c r="F76" i="31"/>
  <c r="G76" i="31"/>
  <c r="H76" i="31"/>
  <c r="G116" i="31" s="1"/>
  <c r="I76" i="31"/>
  <c r="J76" i="31"/>
  <c r="K76" i="31"/>
  <c r="L76" i="31"/>
  <c r="M76" i="31"/>
  <c r="N76" i="31"/>
  <c r="O76" i="31"/>
  <c r="P76" i="31"/>
  <c r="O116" i="31" s="1"/>
  <c r="Q76" i="31"/>
  <c r="R76" i="31"/>
  <c r="S76" i="31"/>
  <c r="T76" i="31"/>
  <c r="U76" i="31"/>
  <c r="V76" i="31"/>
  <c r="W76" i="31"/>
  <c r="X76" i="31"/>
  <c r="W115" i="31" s="1"/>
  <c r="Y76" i="31"/>
  <c r="Z76" i="31"/>
  <c r="AA76" i="31"/>
  <c r="AB76" i="31"/>
  <c r="AC76" i="31"/>
  <c r="AD76" i="31"/>
  <c r="AE76" i="31"/>
  <c r="AF76" i="31"/>
  <c r="AE116" i="31" s="1"/>
  <c r="AG76" i="31"/>
  <c r="D77" i="31"/>
  <c r="E77" i="31"/>
  <c r="F77" i="31"/>
  <c r="G77" i="31"/>
  <c r="H77" i="31"/>
  <c r="I77" i="31"/>
  <c r="J77" i="31"/>
  <c r="K77" i="31"/>
  <c r="J117" i="31" s="1"/>
  <c r="L77" i="31"/>
  <c r="M77" i="31"/>
  <c r="N77" i="31"/>
  <c r="O77" i="31"/>
  <c r="P77" i="31"/>
  <c r="Q77" i="31"/>
  <c r="R77" i="31"/>
  <c r="S77" i="31"/>
  <c r="R118" i="31" s="1"/>
  <c r="T77" i="31"/>
  <c r="U77" i="31"/>
  <c r="V77" i="31"/>
  <c r="W77" i="31"/>
  <c r="X77" i="31"/>
  <c r="Y77" i="31"/>
  <c r="Z77" i="31"/>
  <c r="AA77" i="31"/>
  <c r="Z117" i="31" s="1"/>
  <c r="AB77" i="31"/>
  <c r="AC77" i="31"/>
  <c r="AD77" i="31"/>
  <c r="AE77" i="31"/>
  <c r="AF77" i="31"/>
  <c r="AG77" i="31"/>
  <c r="D78" i="31"/>
  <c r="E78" i="31"/>
  <c r="F78" i="31"/>
  <c r="G78" i="31"/>
  <c r="H78" i="31"/>
  <c r="I78" i="31"/>
  <c r="J78" i="31"/>
  <c r="K78" i="31"/>
  <c r="L78" i="31"/>
  <c r="K118" i="31" s="1"/>
  <c r="M78" i="31"/>
  <c r="L117" i="31" s="1"/>
  <c r="N78" i="31"/>
  <c r="O78" i="31"/>
  <c r="P78" i="31"/>
  <c r="Q78" i="31"/>
  <c r="R78" i="31"/>
  <c r="S78" i="31"/>
  <c r="T78" i="31"/>
  <c r="U78" i="31"/>
  <c r="V78" i="31"/>
  <c r="W78" i="31"/>
  <c r="X78" i="31"/>
  <c r="Y78" i="31"/>
  <c r="Z78" i="31"/>
  <c r="AA78" i="31"/>
  <c r="AB78" i="31"/>
  <c r="AC78" i="31"/>
  <c r="AB117" i="31" s="1"/>
  <c r="AD78" i="31"/>
  <c r="AE78" i="31"/>
  <c r="AF78" i="31"/>
  <c r="AG78" i="31"/>
  <c r="D79" i="31"/>
  <c r="E79" i="31"/>
  <c r="D119" i="31" s="1"/>
  <c r="F79" i="31"/>
  <c r="G79" i="31"/>
  <c r="H79" i="31"/>
  <c r="I79" i="31"/>
  <c r="J79" i="31"/>
  <c r="K79" i="31"/>
  <c r="L79" i="31"/>
  <c r="M79" i="31"/>
  <c r="N79" i="31"/>
  <c r="O79" i="31"/>
  <c r="P79" i="31"/>
  <c r="Q79" i="31"/>
  <c r="R79" i="31"/>
  <c r="S79" i="31"/>
  <c r="R119" i="31" s="1"/>
  <c r="T79" i="31"/>
  <c r="U79" i="31"/>
  <c r="T119" i="31" s="1"/>
  <c r="V79" i="31"/>
  <c r="W79" i="31"/>
  <c r="V119" i="31" s="1"/>
  <c r="X79" i="31"/>
  <c r="Y79" i="31"/>
  <c r="Z79" i="31"/>
  <c r="AA79" i="31"/>
  <c r="Z119" i="31" s="1"/>
  <c r="AB79" i="31"/>
  <c r="AC79" i="31"/>
  <c r="AB119" i="31" s="1"/>
  <c r="AD79" i="31"/>
  <c r="AE79" i="31"/>
  <c r="AD119" i="31" s="1"/>
  <c r="AF79" i="31"/>
  <c r="AG79" i="31"/>
  <c r="C43" i="31"/>
  <c r="C44" i="31"/>
  <c r="C45" i="31"/>
  <c r="C46" i="31"/>
  <c r="C47" i="31"/>
  <c r="C48" i="31"/>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B119" i="31" s="1"/>
  <c r="C42" i="31"/>
  <c r="D2" i="31"/>
  <c r="E2" i="31"/>
  <c r="F2" i="31"/>
  <c r="G2" i="31"/>
  <c r="H2" i="31"/>
  <c r="I2" i="31"/>
  <c r="J2" i="31"/>
  <c r="K2" i="31"/>
  <c r="L2" i="31"/>
  <c r="M2" i="31"/>
  <c r="N2" i="31"/>
  <c r="O2" i="31"/>
  <c r="P2" i="31"/>
  <c r="Q2" i="31"/>
  <c r="R2" i="31"/>
  <c r="S2" i="31"/>
  <c r="T2" i="31"/>
  <c r="U2" i="31"/>
  <c r="V2" i="31"/>
  <c r="W2" i="31"/>
  <c r="X2" i="31"/>
  <c r="Y2" i="31"/>
  <c r="Z2" i="31"/>
  <c r="AA2" i="31"/>
  <c r="AB2" i="31"/>
  <c r="AC2" i="31"/>
  <c r="AD2" i="31"/>
  <c r="AE2" i="31"/>
  <c r="AF2" i="31"/>
  <c r="AG2" i="31"/>
  <c r="D3" i="31"/>
  <c r="E3" i="31"/>
  <c r="D83" i="31" s="1"/>
  <c r="F3" i="31"/>
  <c r="G3" i="31"/>
  <c r="H3" i="31"/>
  <c r="I3" i="31"/>
  <c r="J3" i="31"/>
  <c r="I83" i="31" s="1"/>
  <c r="K3" i="31"/>
  <c r="L3" i="31"/>
  <c r="M3" i="31"/>
  <c r="L83" i="31" s="1"/>
  <c r="N3" i="31"/>
  <c r="O3" i="31"/>
  <c r="P3" i="31"/>
  <c r="Q3" i="31"/>
  <c r="R3" i="31"/>
  <c r="Q83" i="31" s="1"/>
  <c r="S3" i="31"/>
  <c r="T3" i="31"/>
  <c r="U3" i="31"/>
  <c r="T83" i="31" s="1"/>
  <c r="V3" i="31"/>
  <c r="W3" i="31"/>
  <c r="X3" i="31"/>
  <c r="Y3" i="31"/>
  <c r="Z3" i="31"/>
  <c r="Y83" i="31" s="1"/>
  <c r="AA3" i="31"/>
  <c r="AB3" i="31"/>
  <c r="AC3" i="31"/>
  <c r="AB83" i="31" s="1"/>
  <c r="AD3" i="31"/>
  <c r="AE3" i="31"/>
  <c r="AF3" i="31"/>
  <c r="AG3" i="31"/>
  <c r="D4" i="31"/>
  <c r="C84" i="31" s="1"/>
  <c r="E4" i="31"/>
  <c r="F4" i="31"/>
  <c r="G4" i="31"/>
  <c r="F84" i="31" s="1"/>
  <c r="H4" i="31"/>
  <c r="I4" i="31"/>
  <c r="J4" i="31"/>
  <c r="I84" i="31" s="1"/>
  <c r="K4" i="31"/>
  <c r="L4" i="31"/>
  <c r="K84" i="31" s="1"/>
  <c r="M4" i="31"/>
  <c r="N4" i="31"/>
  <c r="O4" i="31"/>
  <c r="N84" i="31" s="1"/>
  <c r="P4" i="31"/>
  <c r="Q4" i="31"/>
  <c r="R4" i="31"/>
  <c r="Q84" i="31" s="1"/>
  <c r="S4" i="31"/>
  <c r="T4" i="31"/>
  <c r="S84" i="31" s="1"/>
  <c r="U4" i="31"/>
  <c r="V4" i="31"/>
  <c r="W4" i="31"/>
  <c r="V84" i="31" s="1"/>
  <c r="X4" i="31"/>
  <c r="Y4" i="31"/>
  <c r="Z4" i="31"/>
  <c r="Y84" i="31" s="1"/>
  <c r="AA4" i="31"/>
  <c r="AB4" i="31"/>
  <c r="AA84" i="31" s="1"/>
  <c r="AC4" i="31"/>
  <c r="AD4" i="31"/>
  <c r="AE4" i="31"/>
  <c r="AD84" i="31" s="1"/>
  <c r="AF4" i="31"/>
  <c r="AG4" i="31"/>
  <c r="D5" i="31"/>
  <c r="E5" i="31"/>
  <c r="F5" i="31"/>
  <c r="E85" i="31" s="1"/>
  <c r="G5" i="31"/>
  <c r="H5" i="31"/>
  <c r="I5" i="31"/>
  <c r="J5" i="31"/>
  <c r="K5" i="31"/>
  <c r="L5" i="31"/>
  <c r="M5" i="31"/>
  <c r="N5" i="31"/>
  <c r="M85" i="31" s="1"/>
  <c r="O5" i="31"/>
  <c r="P5" i="31"/>
  <c r="Q5" i="31"/>
  <c r="R5" i="31"/>
  <c r="S5" i="31"/>
  <c r="T5" i="31"/>
  <c r="U5" i="31"/>
  <c r="V5" i="31"/>
  <c r="U85" i="31" s="1"/>
  <c r="W5" i="31"/>
  <c r="X5" i="31"/>
  <c r="Y5" i="31"/>
  <c r="Z5" i="31"/>
  <c r="AA5" i="31"/>
  <c r="AB5" i="31"/>
  <c r="AC5" i="31"/>
  <c r="AD5" i="31"/>
  <c r="AC85" i="31" s="1"/>
  <c r="AE5" i="31"/>
  <c r="AF5" i="31"/>
  <c r="AG5" i="31"/>
  <c r="D6" i="31"/>
  <c r="E6" i="31"/>
  <c r="F6" i="31"/>
  <c r="G6" i="31"/>
  <c r="H6" i="31"/>
  <c r="I6" i="31"/>
  <c r="J6" i="31"/>
  <c r="K6" i="31"/>
  <c r="L6" i="31"/>
  <c r="M6" i="31"/>
  <c r="N6" i="31"/>
  <c r="O6" i="31"/>
  <c r="P6" i="31"/>
  <c r="Q6" i="31"/>
  <c r="R6" i="31"/>
  <c r="S6" i="31"/>
  <c r="T6" i="31"/>
  <c r="U6" i="31"/>
  <c r="V6" i="31"/>
  <c r="W6" i="31"/>
  <c r="X6" i="31"/>
  <c r="Y6" i="31"/>
  <c r="Z6" i="31"/>
  <c r="AA6" i="31"/>
  <c r="AB6" i="31"/>
  <c r="AC6" i="31"/>
  <c r="AD6" i="31"/>
  <c r="AE6" i="31"/>
  <c r="AF6" i="31"/>
  <c r="AG6" i="31"/>
  <c r="D7" i="31"/>
  <c r="E7" i="31"/>
  <c r="F7" i="31"/>
  <c r="G7" i="31"/>
  <c r="H7" i="31"/>
  <c r="I7" i="31"/>
  <c r="J7" i="31"/>
  <c r="I87" i="31" s="1"/>
  <c r="K7" i="31"/>
  <c r="L7" i="31"/>
  <c r="M7" i="31"/>
  <c r="N7" i="31"/>
  <c r="O7" i="31"/>
  <c r="P7" i="31"/>
  <c r="Q7" i="31"/>
  <c r="R7" i="31"/>
  <c r="Q87" i="31" s="1"/>
  <c r="S7" i="31"/>
  <c r="T7" i="31"/>
  <c r="U7" i="31"/>
  <c r="V7" i="31"/>
  <c r="W7" i="31"/>
  <c r="X7" i="31"/>
  <c r="Y7" i="31"/>
  <c r="Z7" i="31"/>
  <c r="Y87" i="31" s="1"/>
  <c r="AA7" i="31"/>
  <c r="AB7" i="31"/>
  <c r="AC7" i="31"/>
  <c r="AD7" i="31"/>
  <c r="AE7" i="31"/>
  <c r="AF7" i="31"/>
  <c r="AG7" i="31"/>
  <c r="D8" i="31"/>
  <c r="E8" i="31"/>
  <c r="F8" i="31"/>
  <c r="G8" i="31"/>
  <c r="H8" i="31"/>
  <c r="I8" i="31"/>
  <c r="J8" i="31"/>
  <c r="K8" i="31"/>
  <c r="L8" i="31"/>
  <c r="M8" i="31"/>
  <c r="N8" i="31"/>
  <c r="O8" i="31"/>
  <c r="P8" i="31"/>
  <c r="Q8" i="31"/>
  <c r="R8" i="31"/>
  <c r="S8" i="31"/>
  <c r="T8" i="31"/>
  <c r="U8" i="31"/>
  <c r="V8" i="31"/>
  <c r="W8" i="31"/>
  <c r="X8" i="31"/>
  <c r="Y8" i="31"/>
  <c r="Z8" i="31"/>
  <c r="AA8" i="31"/>
  <c r="AB8" i="31"/>
  <c r="AC8" i="31"/>
  <c r="AD8" i="31"/>
  <c r="AE8" i="31"/>
  <c r="AF8" i="31"/>
  <c r="AG8" i="31"/>
  <c r="D9" i="31"/>
  <c r="E9" i="31"/>
  <c r="F9" i="31"/>
  <c r="E89" i="31" s="1"/>
  <c r="G9" i="31"/>
  <c r="H9" i="31"/>
  <c r="I9" i="31"/>
  <c r="J9" i="31"/>
  <c r="K9" i="31"/>
  <c r="L9" i="31"/>
  <c r="M9" i="31"/>
  <c r="N9" i="31"/>
  <c r="M89" i="31" s="1"/>
  <c r="O9" i="31"/>
  <c r="P9" i="31"/>
  <c r="Q9" i="31"/>
  <c r="R9" i="31"/>
  <c r="S9" i="31"/>
  <c r="T9" i="31"/>
  <c r="U9" i="31"/>
  <c r="V9" i="31"/>
  <c r="U89" i="31" s="1"/>
  <c r="W9" i="31"/>
  <c r="X9" i="31"/>
  <c r="Y9" i="31"/>
  <c r="Z9" i="31"/>
  <c r="AA9" i="31"/>
  <c r="AB9" i="31"/>
  <c r="AC9" i="31"/>
  <c r="AD9" i="31"/>
  <c r="AC89" i="31" s="1"/>
  <c r="AE9" i="31"/>
  <c r="AF9" i="31"/>
  <c r="AG9" i="31"/>
  <c r="D10" i="31"/>
  <c r="E10" i="31"/>
  <c r="F10" i="31"/>
  <c r="E90" i="31" s="1"/>
  <c r="G10" i="31"/>
  <c r="H10" i="31"/>
  <c r="G90" i="31" s="1"/>
  <c r="I10" i="31"/>
  <c r="J10" i="31"/>
  <c r="K10" i="31"/>
  <c r="J90" i="31" s="1"/>
  <c r="L10" i="31"/>
  <c r="M10" i="31"/>
  <c r="N10" i="31"/>
  <c r="M90" i="31" s="1"/>
  <c r="O10" i="31"/>
  <c r="P10" i="31"/>
  <c r="O90" i="31" s="1"/>
  <c r="Q10" i="31"/>
  <c r="R10" i="31"/>
  <c r="S10" i="31"/>
  <c r="R90" i="31" s="1"/>
  <c r="T10" i="31"/>
  <c r="U10" i="31"/>
  <c r="V10" i="31"/>
  <c r="U90" i="31" s="1"/>
  <c r="W10" i="31"/>
  <c r="X10" i="31"/>
  <c r="W90" i="31" s="1"/>
  <c r="Y10" i="31"/>
  <c r="Z10" i="31"/>
  <c r="AA10" i="31"/>
  <c r="Z90" i="31" s="1"/>
  <c r="AB10" i="31"/>
  <c r="AC10" i="31"/>
  <c r="AD10" i="31"/>
  <c r="AC90" i="31" s="1"/>
  <c r="AE10" i="31"/>
  <c r="AF10" i="31"/>
  <c r="AE90" i="31" s="1"/>
  <c r="AG10" i="31"/>
  <c r="D11" i="31"/>
  <c r="E11" i="31"/>
  <c r="D91" i="31" s="1"/>
  <c r="F11" i="31"/>
  <c r="G11" i="31"/>
  <c r="H11" i="31"/>
  <c r="G91" i="31" s="1"/>
  <c r="I11" i="31"/>
  <c r="J11" i="31"/>
  <c r="I91" i="31" s="1"/>
  <c r="K11" i="31"/>
  <c r="L11" i="31"/>
  <c r="M11" i="31"/>
  <c r="L91" i="31" s="1"/>
  <c r="N11" i="31"/>
  <c r="O11" i="31"/>
  <c r="P11" i="31"/>
  <c r="O91" i="31" s="1"/>
  <c r="Q11" i="31"/>
  <c r="R11" i="31"/>
  <c r="Q91" i="31" s="1"/>
  <c r="S11" i="31"/>
  <c r="T11" i="31"/>
  <c r="U11" i="31"/>
  <c r="T91" i="31" s="1"/>
  <c r="V11" i="31"/>
  <c r="W11" i="31"/>
  <c r="X11" i="31"/>
  <c r="W91" i="31" s="1"/>
  <c r="Y11" i="31"/>
  <c r="Z11" i="31"/>
  <c r="Y91" i="31" s="1"/>
  <c r="AA11" i="31"/>
  <c r="AB11" i="31"/>
  <c r="AC11" i="31"/>
  <c r="AB91" i="31" s="1"/>
  <c r="AD11" i="31"/>
  <c r="AE11" i="31"/>
  <c r="AF11" i="31"/>
  <c r="AE91" i="31" s="1"/>
  <c r="AG11" i="31"/>
  <c r="D12" i="31"/>
  <c r="C92" i="31" s="1"/>
  <c r="E12" i="31"/>
  <c r="F12" i="31"/>
  <c r="G12" i="31"/>
  <c r="H12" i="31"/>
  <c r="I12" i="31"/>
  <c r="J12" i="31"/>
  <c r="K12" i="31"/>
  <c r="L12" i="31"/>
  <c r="K92" i="31" s="1"/>
  <c r="M12" i="31"/>
  <c r="N12" i="31"/>
  <c r="O12" i="31"/>
  <c r="P12" i="31"/>
  <c r="Q12" i="31"/>
  <c r="R12" i="31"/>
  <c r="S12" i="31"/>
  <c r="T12" i="31"/>
  <c r="S92" i="31" s="1"/>
  <c r="U12" i="31"/>
  <c r="V12" i="31"/>
  <c r="W12" i="31"/>
  <c r="X12" i="31"/>
  <c r="Y12" i="31"/>
  <c r="Z12" i="31"/>
  <c r="AA12" i="31"/>
  <c r="AB12" i="31"/>
  <c r="AA92" i="31" s="1"/>
  <c r="AC12" i="31"/>
  <c r="AD12" i="31"/>
  <c r="AE12" i="31"/>
  <c r="AF12" i="31"/>
  <c r="AG12" i="31"/>
  <c r="D13" i="31"/>
  <c r="E13" i="31"/>
  <c r="F13" i="31"/>
  <c r="E93" i="31" s="1"/>
  <c r="G13" i="31"/>
  <c r="H13" i="31"/>
  <c r="I13" i="31"/>
  <c r="J13" i="31"/>
  <c r="K13" i="31"/>
  <c r="L13" i="31"/>
  <c r="M13" i="31"/>
  <c r="N13" i="31"/>
  <c r="M93" i="31" s="1"/>
  <c r="O13" i="31"/>
  <c r="P13" i="31"/>
  <c r="Q13" i="31"/>
  <c r="R13" i="31"/>
  <c r="S13" i="31"/>
  <c r="T13" i="31"/>
  <c r="U13" i="31"/>
  <c r="V13" i="31"/>
  <c r="U93" i="31" s="1"/>
  <c r="W13" i="31"/>
  <c r="X13" i="31"/>
  <c r="Y13" i="31"/>
  <c r="X93" i="31" s="1"/>
  <c r="Z13" i="31"/>
  <c r="AA13" i="31"/>
  <c r="AB13" i="31"/>
  <c r="AC13" i="31"/>
  <c r="AD13" i="31"/>
  <c r="AC93" i="31" s="1"/>
  <c r="AE13" i="31"/>
  <c r="AF13" i="31"/>
  <c r="AG13" i="31"/>
  <c r="D14" i="31"/>
  <c r="E14" i="31"/>
  <c r="F14" i="31"/>
  <c r="E94" i="31" s="1"/>
  <c r="G14" i="31"/>
  <c r="H14" i="31"/>
  <c r="G94" i="31" s="1"/>
  <c r="I14" i="31"/>
  <c r="J14" i="31"/>
  <c r="K14" i="31"/>
  <c r="J94" i="31" s="1"/>
  <c r="L14" i="31"/>
  <c r="M14" i="31"/>
  <c r="N14" i="31"/>
  <c r="M94" i="31" s="1"/>
  <c r="O14" i="31"/>
  <c r="P14" i="31"/>
  <c r="O94" i="31" s="1"/>
  <c r="Q14" i="31"/>
  <c r="R14" i="31"/>
  <c r="S14" i="31"/>
  <c r="R94" i="31" s="1"/>
  <c r="T14" i="31"/>
  <c r="U14" i="31"/>
  <c r="V14" i="31"/>
  <c r="U94" i="31" s="1"/>
  <c r="W14" i="31"/>
  <c r="X14" i="31"/>
  <c r="W94" i="31" s="1"/>
  <c r="Y14" i="31"/>
  <c r="Z14" i="31"/>
  <c r="AA14" i="31"/>
  <c r="Z94" i="31" s="1"/>
  <c r="AB14" i="31"/>
  <c r="AC14" i="31"/>
  <c r="AD14" i="31"/>
  <c r="AC94" i="31" s="1"/>
  <c r="AE14" i="31"/>
  <c r="AF14" i="31"/>
  <c r="AE94" i="31" s="1"/>
  <c r="AG14" i="31"/>
  <c r="D15" i="31"/>
  <c r="E15" i="31"/>
  <c r="F15" i="31"/>
  <c r="G15" i="31"/>
  <c r="H15" i="31"/>
  <c r="I15" i="31"/>
  <c r="J15" i="31"/>
  <c r="I95" i="31" s="1"/>
  <c r="K15" i="31"/>
  <c r="L15" i="31"/>
  <c r="M15" i="31"/>
  <c r="N15" i="31"/>
  <c r="O15" i="31"/>
  <c r="P15" i="31"/>
  <c r="Q15" i="31"/>
  <c r="R15" i="31"/>
  <c r="Q95" i="31" s="1"/>
  <c r="S15" i="31"/>
  <c r="T15" i="31"/>
  <c r="U15" i="31"/>
  <c r="V15" i="31"/>
  <c r="W15" i="31"/>
  <c r="X15" i="31"/>
  <c r="Y15" i="31"/>
  <c r="Z15" i="31"/>
  <c r="Y95" i="31" s="1"/>
  <c r="AA15" i="31"/>
  <c r="AB15" i="31"/>
  <c r="AC15" i="31"/>
  <c r="AD15" i="31"/>
  <c r="AE15" i="31"/>
  <c r="AF15" i="31"/>
  <c r="AG15" i="31"/>
  <c r="D16" i="31"/>
  <c r="C96" i="31" s="1"/>
  <c r="E16" i="31"/>
  <c r="F16" i="31"/>
  <c r="G16" i="31"/>
  <c r="F96" i="31" s="1"/>
  <c r="H16" i="31"/>
  <c r="I16" i="31"/>
  <c r="J16" i="31"/>
  <c r="I96" i="31" s="1"/>
  <c r="K16" i="31"/>
  <c r="L16" i="31"/>
  <c r="K96" i="31" s="1"/>
  <c r="M16" i="31"/>
  <c r="N16" i="31"/>
  <c r="O16" i="31"/>
  <c r="N96" i="31" s="1"/>
  <c r="P16" i="31"/>
  <c r="Q16" i="31"/>
  <c r="R16" i="31"/>
  <c r="Q96" i="31" s="1"/>
  <c r="S16" i="31"/>
  <c r="T16" i="31"/>
  <c r="S96" i="31" s="1"/>
  <c r="U16" i="31"/>
  <c r="V16" i="31"/>
  <c r="W16" i="31"/>
  <c r="V96" i="31" s="1"/>
  <c r="X16" i="31"/>
  <c r="Y16" i="31"/>
  <c r="Z16" i="31"/>
  <c r="Y96" i="31" s="1"/>
  <c r="AA16" i="31"/>
  <c r="AB16" i="31"/>
  <c r="AA96" i="31" s="1"/>
  <c r="AC16" i="31"/>
  <c r="AD16" i="31"/>
  <c r="AE16" i="31"/>
  <c r="AD96" i="31" s="1"/>
  <c r="AF16" i="31"/>
  <c r="AG16" i="31"/>
  <c r="D17" i="31"/>
  <c r="E17" i="31"/>
  <c r="F17" i="31"/>
  <c r="E97" i="31" s="1"/>
  <c r="G17" i="31"/>
  <c r="H17" i="31"/>
  <c r="I17" i="31"/>
  <c r="J17" i="31"/>
  <c r="K17" i="31"/>
  <c r="L17" i="31"/>
  <c r="M17" i="31"/>
  <c r="N17" i="31"/>
  <c r="M97" i="31" s="1"/>
  <c r="O17" i="31"/>
  <c r="P17" i="31"/>
  <c r="Q17" i="31"/>
  <c r="R17" i="31"/>
  <c r="S17" i="31"/>
  <c r="T17" i="31"/>
  <c r="U17" i="31"/>
  <c r="V17" i="31"/>
  <c r="U97" i="31" s="1"/>
  <c r="W17" i="31"/>
  <c r="X17" i="31"/>
  <c r="Y17" i="31"/>
  <c r="Z17" i="31"/>
  <c r="AA17" i="31"/>
  <c r="AB17" i="31"/>
  <c r="AC17" i="31"/>
  <c r="AD17" i="31"/>
  <c r="AC97" i="31" s="1"/>
  <c r="AE17" i="31"/>
  <c r="AF17" i="31"/>
  <c r="AG17" i="31"/>
  <c r="D18" i="31"/>
  <c r="E18" i="31"/>
  <c r="F18" i="31"/>
  <c r="E98" i="31" s="1"/>
  <c r="G18" i="31"/>
  <c r="H18" i="31"/>
  <c r="G98" i="31" s="1"/>
  <c r="I18" i="31"/>
  <c r="J18" i="31"/>
  <c r="K18" i="31"/>
  <c r="J98" i="31" s="1"/>
  <c r="L18" i="31"/>
  <c r="M18" i="31"/>
  <c r="N18" i="31"/>
  <c r="M98" i="31" s="1"/>
  <c r="O18" i="31"/>
  <c r="P18" i="31"/>
  <c r="O98" i="31" s="1"/>
  <c r="Q18" i="31"/>
  <c r="R18" i="31"/>
  <c r="S18" i="31"/>
  <c r="R98" i="31" s="1"/>
  <c r="T18" i="31"/>
  <c r="U18" i="31"/>
  <c r="V18" i="31"/>
  <c r="U98" i="31" s="1"/>
  <c r="W18" i="31"/>
  <c r="X18" i="31"/>
  <c r="W98" i="31" s="1"/>
  <c r="Y18" i="31"/>
  <c r="Z18" i="31"/>
  <c r="AA18" i="31"/>
  <c r="Z98" i="31" s="1"/>
  <c r="AB18" i="31"/>
  <c r="AC18" i="31"/>
  <c r="AD18" i="31"/>
  <c r="AC98" i="31" s="1"/>
  <c r="AE18" i="31"/>
  <c r="AF18" i="31"/>
  <c r="AE98" i="31" s="1"/>
  <c r="AG18" i="31"/>
  <c r="D19" i="31"/>
  <c r="E19" i="31"/>
  <c r="D99" i="31" s="1"/>
  <c r="F19" i="31"/>
  <c r="G19" i="31"/>
  <c r="H19" i="31"/>
  <c r="G99" i="31" s="1"/>
  <c r="I19" i="31"/>
  <c r="J19" i="31"/>
  <c r="I99" i="31" s="1"/>
  <c r="K19" i="31"/>
  <c r="L19" i="31"/>
  <c r="M19" i="31"/>
  <c r="L99" i="31" s="1"/>
  <c r="N19" i="31"/>
  <c r="O19" i="31"/>
  <c r="P19" i="31"/>
  <c r="O99" i="31" s="1"/>
  <c r="Q19" i="31"/>
  <c r="R19" i="31"/>
  <c r="Q99" i="31" s="1"/>
  <c r="S19" i="31"/>
  <c r="T19" i="31"/>
  <c r="U19" i="31"/>
  <c r="T99" i="31" s="1"/>
  <c r="V19" i="31"/>
  <c r="W19" i="31"/>
  <c r="X19" i="31"/>
  <c r="W99" i="31" s="1"/>
  <c r="Y19" i="31"/>
  <c r="Z19" i="31"/>
  <c r="Y99" i="31" s="1"/>
  <c r="AA19" i="31"/>
  <c r="AB19" i="31"/>
  <c r="AC19" i="31"/>
  <c r="AB99" i="31" s="1"/>
  <c r="AD19" i="31"/>
  <c r="AE19" i="31"/>
  <c r="AF19" i="31"/>
  <c r="AE99" i="31" s="1"/>
  <c r="AG19" i="31"/>
  <c r="D20" i="31"/>
  <c r="C100" i="31" s="1"/>
  <c r="E20" i="31"/>
  <c r="F20" i="31"/>
  <c r="G20" i="31"/>
  <c r="F100" i="31" s="1"/>
  <c r="H20" i="31"/>
  <c r="I20" i="31"/>
  <c r="J20" i="31"/>
  <c r="I100" i="31" s="1"/>
  <c r="K20" i="31"/>
  <c r="L20" i="31"/>
  <c r="K100" i="31" s="1"/>
  <c r="M20" i="31"/>
  <c r="N20" i="31"/>
  <c r="O20" i="31"/>
  <c r="N100" i="31" s="1"/>
  <c r="P20" i="31"/>
  <c r="Q20" i="31"/>
  <c r="R20" i="31"/>
  <c r="Q100" i="31" s="1"/>
  <c r="S20" i="31"/>
  <c r="T20" i="31"/>
  <c r="S100" i="31" s="1"/>
  <c r="U20" i="31"/>
  <c r="V20" i="31"/>
  <c r="W20" i="31"/>
  <c r="V100" i="31" s="1"/>
  <c r="X20" i="31"/>
  <c r="Y20" i="31"/>
  <c r="Z20" i="31"/>
  <c r="Y100" i="31" s="1"/>
  <c r="AA20" i="31"/>
  <c r="AB20" i="31"/>
  <c r="AA100" i="31" s="1"/>
  <c r="AC20" i="31"/>
  <c r="AD20" i="31"/>
  <c r="AE20" i="31"/>
  <c r="AD100" i="31" s="1"/>
  <c r="AF20" i="31"/>
  <c r="AG20" i="31"/>
  <c r="D21" i="31"/>
  <c r="C101" i="31" s="1"/>
  <c r="E21" i="31"/>
  <c r="F21" i="31"/>
  <c r="E101" i="31" s="1"/>
  <c r="G21" i="31"/>
  <c r="H21" i="31"/>
  <c r="I21" i="31"/>
  <c r="H101" i="31" s="1"/>
  <c r="J21" i="31"/>
  <c r="K21" i="31"/>
  <c r="L21" i="31"/>
  <c r="K101" i="31" s="1"/>
  <c r="M21" i="31"/>
  <c r="N21" i="31"/>
  <c r="M101" i="31" s="1"/>
  <c r="O21" i="31"/>
  <c r="P21" i="31"/>
  <c r="Q21" i="31"/>
  <c r="P101" i="31" s="1"/>
  <c r="R21" i="31"/>
  <c r="S21" i="31"/>
  <c r="T21" i="31"/>
  <c r="S101" i="31" s="1"/>
  <c r="U21" i="31"/>
  <c r="V21" i="31"/>
  <c r="U101" i="31" s="1"/>
  <c r="W21" i="31"/>
  <c r="X21" i="31"/>
  <c r="Y21" i="31"/>
  <c r="X101" i="31" s="1"/>
  <c r="Z21" i="31"/>
  <c r="AA21" i="31"/>
  <c r="AB21" i="31"/>
  <c r="AA101" i="31" s="1"/>
  <c r="AC21" i="31"/>
  <c r="AD21" i="31"/>
  <c r="AC101" i="31" s="1"/>
  <c r="AE21" i="31"/>
  <c r="AF21" i="31"/>
  <c r="AG21" i="31"/>
  <c r="AF101" i="31" s="1"/>
  <c r="D22" i="31"/>
  <c r="E22" i="31"/>
  <c r="F22" i="31"/>
  <c r="G22" i="31"/>
  <c r="H22" i="31"/>
  <c r="G102" i="31" s="1"/>
  <c r="I22" i="31"/>
  <c r="J22" i="31"/>
  <c r="K22" i="31"/>
  <c r="L22" i="31"/>
  <c r="M22" i="31"/>
  <c r="N22" i="31"/>
  <c r="O22" i="31"/>
  <c r="P22" i="31"/>
  <c r="O102" i="31" s="1"/>
  <c r="Q22" i="31"/>
  <c r="R22" i="31"/>
  <c r="S22" i="31"/>
  <c r="T22" i="31"/>
  <c r="U22" i="31"/>
  <c r="V22" i="31"/>
  <c r="W22" i="31"/>
  <c r="X22" i="31"/>
  <c r="W102" i="31" s="1"/>
  <c r="Y22" i="31"/>
  <c r="Z22" i="31"/>
  <c r="AA22" i="31"/>
  <c r="Z102" i="31" s="1"/>
  <c r="AB22" i="31"/>
  <c r="AC22" i="31"/>
  <c r="AD22" i="31"/>
  <c r="AE22" i="31"/>
  <c r="AF22" i="31"/>
  <c r="AE102" i="31" s="1"/>
  <c r="AG22" i="31"/>
  <c r="D23" i="31"/>
  <c r="E23" i="31"/>
  <c r="D103" i="31" s="1"/>
  <c r="F23" i="31"/>
  <c r="G23" i="31"/>
  <c r="H23" i="31"/>
  <c r="G103" i="31" s="1"/>
  <c r="I23" i="31"/>
  <c r="J23" i="31"/>
  <c r="I103" i="31" s="1"/>
  <c r="K23" i="31"/>
  <c r="L23" i="31"/>
  <c r="M23" i="31"/>
  <c r="L103" i="31" s="1"/>
  <c r="N23" i="31"/>
  <c r="O23" i="31"/>
  <c r="P23" i="31"/>
  <c r="O103" i="31" s="1"/>
  <c r="Q23" i="31"/>
  <c r="R23" i="31"/>
  <c r="Q103" i="31" s="1"/>
  <c r="S23" i="31"/>
  <c r="T23" i="31"/>
  <c r="U23" i="31"/>
  <c r="T103" i="31" s="1"/>
  <c r="V23" i="31"/>
  <c r="W23" i="31"/>
  <c r="X23" i="31"/>
  <c r="W103" i="31" s="1"/>
  <c r="Y23" i="31"/>
  <c r="Z23" i="31"/>
  <c r="Y103" i="31" s="1"/>
  <c r="AA23" i="31"/>
  <c r="AB23" i="31"/>
  <c r="AC23" i="31"/>
  <c r="AB103" i="31" s="1"/>
  <c r="AD23" i="31"/>
  <c r="AE23" i="31"/>
  <c r="AF23" i="31"/>
  <c r="AE103" i="31" s="1"/>
  <c r="AG23" i="31"/>
  <c r="D24" i="31"/>
  <c r="C104" i="31" s="1"/>
  <c r="E24" i="31"/>
  <c r="F24" i="31"/>
  <c r="G24" i="31"/>
  <c r="F104" i="31" s="1"/>
  <c r="H24" i="31"/>
  <c r="I24" i="31"/>
  <c r="J24" i="31"/>
  <c r="I104" i="31" s="1"/>
  <c r="K24" i="31"/>
  <c r="L24" i="31"/>
  <c r="K104" i="31" s="1"/>
  <c r="M24" i="31"/>
  <c r="N24" i="31"/>
  <c r="O24" i="31"/>
  <c r="N104" i="31" s="1"/>
  <c r="P24" i="31"/>
  <c r="Q24" i="31"/>
  <c r="R24" i="31"/>
  <c r="Q104" i="31" s="1"/>
  <c r="S24" i="31"/>
  <c r="T24" i="31"/>
  <c r="S104" i="31" s="1"/>
  <c r="U24" i="31"/>
  <c r="V24" i="31"/>
  <c r="W24" i="31"/>
  <c r="V104" i="31" s="1"/>
  <c r="X24" i="31"/>
  <c r="Y24" i="31"/>
  <c r="Z24" i="31"/>
  <c r="Y104" i="31" s="1"/>
  <c r="AA24" i="31"/>
  <c r="AB24" i="31"/>
  <c r="AA104" i="31" s="1"/>
  <c r="AC24" i="31"/>
  <c r="AD24" i="31"/>
  <c r="AE24" i="31"/>
  <c r="AD104" i="31" s="1"/>
  <c r="AF24" i="31"/>
  <c r="AG24" i="31"/>
  <c r="D25" i="31"/>
  <c r="E25" i="31"/>
  <c r="F25" i="31"/>
  <c r="E105" i="31" s="1"/>
  <c r="G25" i="31"/>
  <c r="H25" i="31"/>
  <c r="I25" i="31"/>
  <c r="J25" i="31"/>
  <c r="K25" i="31"/>
  <c r="L25" i="31"/>
  <c r="M25" i="31"/>
  <c r="N25" i="31"/>
  <c r="M105" i="31" s="1"/>
  <c r="O25" i="31"/>
  <c r="P25" i="31"/>
  <c r="Q25" i="31"/>
  <c r="R25" i="31"/>
  <c r="S25" i="31"/>
  <c r="T25" i="31"/>
  <c r="U25" i="31"/>
  <c r="V25" i="31"/>
  <c r="U105" i="31" s="1"/>
  <c r="W25" i="31"/>
  <c r="X25" i="31"/>
  <c r="Y25" i="31"/>
  <c r="Z25" i="31"/>
  <c r="AA25" i="31"/>
  <c r="AB25" i="31"/>
  <c r="AC25" i="31"/>
  <c r="AD25" i="31"/>
  <c r="AC105" i="31" s="1"/>
  <c r="AE25" i="31"/>
  <c r="AF25" i="31"/>
  <c r="AG25" i="31"/>
  <c r="D26" i="31"/>
  <c r="E26" i="31"/>
  <c r="F26" i="31"/>
  <c r="G26" i="31"/>
  <c r="H26" i="31"/>
  <c r="G106" i="31" s="1"/>
  <c r="I26" i="31"/>
  <c r="J26" i="31"/>
  <c r="K26" i="31"/>
  <c r="L26" i="31"/>
  <c r="M26" i="31"/>
  <c r="N26" i="31"/>
  <c r="O26" i="31"/>
  <c r="P26" i="31"/>
  <c r="O106" i="31" s="1"/>
  <c r="Q26" i="31"/>
  <c r="R26" i="31"/>
  <c r="S26" i="31"/>
  <c r="T26" i="31"/>
  <c r="U26" i="31"/>
  <c r="V26" i="31"/>
  <c r="W26" i="31"/>
  <c r="X26" i="31"/>
  <c r="W106" i="31" s="1"/>
  <c r="Y26" i="31"/>
  <c r="Z26" i="31"/>
  <c r="AA26" i="31"/>
  <c r="AB26" i="31"/>
  <c r="AC26" i="31"/>
  <c r="AD26" i="31"/>
  <c r="AE26" i="31"/>
  <c r="AF26" i="31"/>
  <c r="AE106" i="31" s="1"/>
  <c r="AG26" i="31"/>
  <c r="D27" i="31"/>
  <c r="E27" i="31"/>
  <c r="F27" i="31"/>
  <c r="G27" i="31"/>
  <c r="H27" i="31"/>
  <c r="I27" i="31"/>
  <c r="J27" i="31"/>
  <c r="I107" i="31" s="1"/>
  <c r="K27" i="31"/>
  <c r="L27" i="31"/>
  <c r="M27" i="31"/>
  <c r="N27" i="31"/>
  <c r="O27" i="31"/>
  <c r="P27" i="31"/>
  <c r="Q27" i="31"/>
  <c r="R27" i="31"/>
  <c r="Q107" i="31" s="1"/>
  <c r="S27" i="31"/>
  <c r="T27" i="31"/>
  <c r="U27" i="31"/>
  <c r="V27" i="31"/>
  <c r="W27" i="31"/>
  <c r="X27" i="31"/>
  <c r="Y27" i="31"/>
  <c r="Z27" i="31"/>
  <c r="Y107" i="31" s="1"/>
  <c r="AA27" i="31"/>
  <c r="AB27" i="31"/>
  <c r="AC27" i="31"/>
  <c r="AD27" i="31"/>
  <c r="AE27" i="31"/>
  <c r="AF27" i="31"/>
  <c r="AG27" i="31"/>
  <c r="D28" i="31"/>
  <c r="C108" i="31" s="1"/>
  <c r="E28" i="31"/>
  <c r="F28" i="31"/>
  <c r="G28" i="31"/>
  <c r="H28" i="31"/>
  <c r="I28" i="31"/>
  <c r="J28" i="31"/>
  <c r="K28" i="31"/>
  <c r="L28" i="31"/>
  <c r="K108" i="31" s="1"/>
  <c r="M28" i="31"/>
  <c r="N28" i="31"/>
  <c r="O28" i="31"/>
  <c r="P28" i="31"/>
  <c r="Q28" i="31"/>
  <c r="R28" i="31"/>
  <c r="S28" i="31"/>
  <c r="T28" i="31"/>
  <c r="S108" i="31" s="1"/>
  <c r="U28" i="31"/>
  <c r="V28" i="31"/>
  <c r="W28" i="31"/>
  <c r="X28" i="31"/>
  <c r="Y28" i="31"/>
  <c r="Z28" i="31"/>
  <c r="AA28" i="31"/>
  <c r="AB28" i="31"/>
  <c r="AA108" i="31" s="1"/>
  <c r="AC28" i="31"/>
  <c r="AD28" i="31"/>
  <c r="AE28" i="31"/>
  <c r="AF28" i="31"/>
  <c r="AG28" i="31"/>
  <c r="D29" i="31"/>
  <c r="E29" i="31"/>
  <c r="F29" i="31"/>
  <c r="E109" i="31" s="1"/>
  <c r="G29" i="31"/>
  <c r="H29" i="31"/>
  <c r="I29" i="31"/>
  <c r="J29" i="31"/>
  <c r="K29" i="31"/>
  <c r="L29" i="31"/>
  <c r="M29" i="31"/>
  <c r="N29" i="31"/>
  <c r="M109" i="31" s="1"/>
  <c r="O29" i="31"/>
  <c r="P29" i="31"/>
  <c r="Q29" i="31"/>
  <c r="R29" i="31"/>
  <c r="S29" i="31"/>
  <c r="T29" i="31"/>
  <c r="U29" i="31"/>
  <c r="V29" i="31"/>
  <c r="U109" i="31" s="1"/>
  <c r="W29" i="31"/>
  <c r="X29" i="31"/>
  <c r="Y29" i="31"/>
  <c r="Z29" i="31"/>
  <c r="AA29" i="31"/>
  <c r="AB29" i="31"/>
  <c r="AC29" i="31"/>
  <c r="AD29" i="31"/>
  <c r="AC109" i="31" s="1"/>
  <c r="AE29" i="31"/>
  <c r="AF29" i="31"/>
  <c r="AG29" i="31"/>
  <c r="D30" i="31"/>
  <c r="E30" i="31"/>
  <c r="F30" i="31"/>
  <c r="E110" i="31" s="1"/>
  <c r="G30" i="31"/>
  <c r="H30" i="31"/>
  <c r="G110" i="31" s="1"/>
  <c r="I30" i="31"/>
  <c r="J30" i="31"/>
  <c r="K30" i="31"/>
  <c r="J110" i="31" s="1"/>
  <c r="L30" i="31"/>
  <c r="M30" i="31"/>
  <c r="N30" i="31"/>
  <c r="M110" i="31" s="1"/>
  <c r="O30" i="31"/>
  <c r="P30" i="31"/>
  <c r="O110" i="31" s="1"/>
  <c r="Q30" i="31"/>
  <c r="R30" i="31"/>
  <c r="S30" i="31"/>
  <c r="R110" i="31" s="1"/>
  <c r="T30" i="31"/>
  <c r="U30" i="31"/>
  <c r="V30" i="31"/>
  <c r="U110" i="31" s="1"/>
  <c r="W30" i="31"/>
  <c r="X30" i="31"/>
  <c r="W110" i="31" s="1"/>
  <c r="Y30" i="31"/>
  <c r="Z30" i="31"/>
  <c r="AA30" i="31"/>
  <c r="Z110" i="31" s="1"/>
  <c r="AB30" i="31"/>
  <c r="AC30" i="31"/>
  <c r="AD30" i="31"/>
  <c r="AC110" i="31" s="1"/>
  <c r="AE30" i="31"/>
  <c r="AF30" i="31"/>
  <c r="AE110" i="31" s="1"/>
  <c r="AG30" i="31"/>
  <c r="D31" i="31"/>
  <c r="E31" i="31"/>
  <c r="D111" i="31" s="1"/>
  <c r="F31" i="31"/>
  <c r="G31" i="31"/>
  <c r="H31" i="31"/>
  <c r="G111" i="31" s="1"/>
  <c r="I31" i="31"/>
  <c r="J31" i="31"/>
  <c r="I111" i="31" s="1"/>
  <c r="K31" i="31"/>
  <c r="L31" i="31"/>
  <c r="M31" i="31"/>
  <c r="L111" i="31" s="1"/>
  <c r="N31" i="31"/>
  <c r="O31" i="31"/>
  <c r="P31" i="31"/>
  <c r="O111" i="31" s="1"/>
  <c r="Q31" i="31"/>
  <c r="R31" i="31"/>
  <c r="Q111" i="31" s="1"/>
  <c r="S31" i="31"/>
  <c r="T31" i="31"/>
  <c r="U31" i="31"/>
  <c r="T111" i="31" s="1"/>
  <c r="V31" i="31"/>
  <c r="W31" i="31"/>
  <c r="X31" i="31"/>
  <c r="W111" i="31" s="1"/>
  <c r="Y31" i="31"/>
  <c r="Z31" i="31"/>
  <c r="Y111" i="31" s="1"/>
  <c r="AA31" i="31"/>
  <c r="AB31" i="31"/>
  <c r="AC31" i="31"/>
  <c r="AB111" i="31" s="1"/>
  <c r="AD31" i="31"/>
  <c r="AE31" i="31"/>
  <c r="AF31" i="31"/>
  <c r="AE111" i="31" s="1"/>
  <c r="AG31" i="31"/>
  <c r="D32" i="31"/>
  <c r="C112" i="31" s="1"/>
  <c r="E32" i="31"/>
  <c r="F32" i="31"/>
  <c r="G32" i="31"/>
  <c r="H32" i="31"/>
  <c r="I32" i="31"/>
  <c r="J32" i="31"/>
  <c r="K32" i="31"/>
  <c r="L32" i="31"/>
  <c r="K112" i="31" s="1"/>
  <c r="M32" i="31"/>
  <c r="N32" i="31"/>
  <c r="O32" i="31"/>
  <c r="P32" i="31"/>
  <c r="Q32" i="31"/>
  <c r="R32" i="31"/>
  <c r="S32" i="31"/>
  <c r="T32" i="31"/>
  <c r="S112" i="31" s="1"/>
  <c r="U32" i="31"/>
  <c r="V32" i="31"/>
  <c r="W32" i="31"/>
  <c r="X32" i="31"/>
  <c r="Y32" i="31"/>
  <c r="Z32" i="31"/>
  <c r="AA32" i="31"/>
  <c r="AB32" i="31"/>
  <c r="AA112" i="31" s="1"/>
  <c r="AC32" i="31"/>
  <c r="AD32" i="31"/>
  <c r="AE32" i="31"/>
  <c r="AF32" i="31"/>
  <c r="AG32" i="31"/>
  <c r="E113" i="31"/>
  <c r="J113" i="31"/>
  <c r="L113" i="31"/>
  <c r="M113" i="31"/>
  <c r="U113" i="31"/>
  <c r="Z113" i="31"/>
  <c r="AB113" i="31"/>
  <c r="AC113" i="31"/>
  <c r="C114" i="31"/>
  <c r="F114" i="31"/>
  <c r="G114" i="31"/>
  <c r="L114" i="31"/>
  <c r="M114" i="31"/>
  <c r="N114" i="31"/>
  <c r="S114" i="31"/>
  <c r="V114" i="31"/>
  <c r="W114" i="31"/>
  <c r="AA114" i="31"/>
  <c r="AC114" i="31"/>
  <c r="AD114" i="31"/>
  <c r="AE114" i="31"/>
  <c r="D115" i="31"/>
  <c r="E115" i="31"/>
  <c r="I115" i="31"/>
  <c r="L115" i="31"/>
  <c r="Q115" i="31"/>
  <c r="T115" i="31"/>
  <c r="Y115" i="31"/>
  <c r="AB115" i="31"/>
  <c r="AC115" i="31"/>
  <c r="I116" i="31"/>
  <c r="J116" i="31"/>
  <c r="L116" i="31"/>
  <c r="Q116" i="31"/>
  <c r="R116" i="31"/>
  <c r="Y116" i="31"/>
  <c r="Z116" i="31"/>
  <c r="E117" i="31"/>
  <c r="F117" i="31"/>
  <c r="K117" i="31"/>
  <c r="S117" i="31"/>
  <c r="U117" i="31"/>
  <c r="AC117" i="31"/>
  <c r="AF117" i="31"/>
  <c r="C118" i="31"/>
  <c r="E118" i="31"/>
  <c r="G118" i="31"/>
  <c r="N118" i="31"/>
  <c r="O118" i="31"/>
  <c r="V118" i="31"/>
  <c r="W118" i="31"/>
  <c r="X118" i="31"/>
  <c r="AA118" i="31"/>
  <c r="AD118" i="31"/>
  <c r="AE118" i="31"/>
  <c r="G119" i="31"/>
  <c r="H119" i="31"/>
  <c r="I119" i="31"/>
  <c r="J119" i="31"/>
  <c r="L119" i="31"/>
  <c r="O119" i="31"/>
  <c r="P119" i="31"/>
  <c r="Q119" i="31"/>
  <c r="W119" i="31"/>
  <c r="X119" i="31"/>
  <c r="Y119" i="31"/>
  <c r="AF119" i="31"/>
  <c r="C3" i="31"/>
  <c r="C4" i="31"/>
  <c r="C5" i="31"/>
  <c r="C6" i="31"/>
  <c r="C7" i="31"/>
  <c r="C8" i="31"/>
  <c r="C9" i="31"/>
  <c r="C10" i="31"/>
  <c r="C11" i="31"/>
  <c r="C12" i="31"/>
  <c r="C13" i="31"/>
  <c r="C14" i="31"/>
  <c r="C15" i="31"/>
  <c r="C16" i="31"/>
  <c r="C17" i="31"/>
  <c r="C18" i="31"/>
  <c r="C19" i="31"/>
  <c r="B99" i="31" s="1"/>
  <c r="C20" i="31"/>
  <c r="B100" i="31" s="1"/>
  <c r="C21" i="31"/>
  <c r="C22" i="31"/>
  <c r="C23" i="31"/>
  <c r="B103" i="31" s="1"/>
  <c r="C24" i="31"/>
  <c r="C25" i="31"/>
  <c r="C26" i="31"/>
  <c r="C27" i="31"/>
  <c r="C28" i="31"/>
  <c r="C29" i="31"/>
  <c r="C30" i="31"/>
  <c r="C31" i="31"/>
  <c r="B111" i="31" s="1"/>
  <c r="C32" i="31"/>
  <c r="C2" i="31"/>
  <c r="Y7" i="2" l="1"/>
  <c r="I7" i="2"/>
  <c r="AC3" i="2"/>
  <c r="M3" i="2"/>
  <c r="U6" i="2"/>
  <c r="M6" i="2"/>
  <c r="Y5" i="2"/>
  <c r="Q5" i="2"/>
  <c r="I5" i="2"/>
  <c r="E8" i="2"/>
  <c r="Q7" i="2"/>
  <c r="AC6" i="2"/>
  <c r="E6" i="2"/>
  <c r="F119" i="31"/>
  <c r="AC118" i="31"/>
  <c r="AC8" i="2" s="1"/>
  <c r="U118" i="31"/>
  <c r="U8" i="2" s="1"/>
  <c r="M118" i="31"/>
  <c r="T117" i="31"/>
  <c r="AA116" i="31"/>
  <c r="S116" i="31"/>
  <c r="K116" i="31"/>
  <c r="C116" i="31"/>
  <c r="B110" i="31"/>
  <c r="AE119" i="31"/>
  <c r="M117" i="31"/>
  <c r="M8" i="2" s="1"/>
  <c r="U114" i="31"/>
  <c r="U3" i="2" s="1"/>
  <c r="E114" i="31"/>
  <c r="E3" i="2" s="1"/>
  <c r="AB5" i="2"/>
  <c r="T5" i="2"/>
  <c r="L5" i="2"/>
  <c r="D5" i="2"/>
  <c r="B115" i="31"/>
  <c r="T118" i="31"/>
  <c r="D118" i="31"/>
  <c r="AF116" i="31"/>
  <c r="X116" i="31"/>
  <c r="P116" i="31"/>
  <c r="H116" i="31"/>
  <c r="AB114" i="31"/>
  <c r="T114" i="31"/>
  <c r="D114" i="31"/>
  <c r="R113" i="31"/>
  <c r="AC119" i="31"/>
  <c r="U119" i="31"/>
  <c r="M119" i="31"/>
  <c r="E119" i="31"/>
  <c r="AA117" i="31"/>
  <c r="C117" i="31"/>
  <c r="Y117" i="31"/>
  <c r="I117" i="31"/>
  <c r="B83" i="31"/>
  <c r="P115" i="31"/>
  <c r="AC111" i="31"/>
  <c r="U111" i="31"/>
  <c r="M111" i="31"/>
  <c r="E111" i="31"/>
  <c r="AA110" i="31"/>
  <c r="S110" i="31"/>
  <c r="K110" i="31"/>
  <c r="C110" i="31"/>
  <c r="AE108" i="31"/>
  <c r="W108" i="31"/>
  <c r="N119" i="31"/>
  <c r="O115" i="31"/>
  <c r="B102" i="31"/>
  <c r="B86" i="31"/>
  <c r="G115" i="31"/>
  <c r="K113" i="31"/>
  <c r="AA88" i="31"/>
  <c r="S88" i="31"/>
  <c r="K88" i="31"/>
  <c r="C88" i="31"/>
  <c r="AE86" i="31"/>
  <c r="W86" i="31"/>
  <c r="O86" i="31"/>
  <c r="G86" i="31"/>
  <c r="AA109" i="31"/>
  <c r="K109" i="31"/>
  <c r="W107" i="31"/>
  <c r="G107" i="31"/>
  <c r="AA105" i="31"/>
  <c r="S105" i="31"/>
  <c r="K105" i="31"/>
  <c r="C105" i="31"/>
  <c r="B91" i="31"/>
  <c r="S109" i="31"/>
  <c r="C109" i="31"/>
  <c r="AE107" i="31"/>
  <c r="O107" i="31"/>
  <c r="AF115" i="31"/>
  <c r="X115" i="31"/>
  <c r="Z118" i="31"/>
  <c r="J118" i="31"/>
  <c r="X117" i="31"/>
  <c r="P118" i="31"/>
  <c r="H117" i="31"/>
  <c r="N116" i="31"/>
  <c r="F116" i="31"/>
  <c r="T116" i="31"/>
  <c r="Z114" i="31"/>
  <c r="R114" i="31"/>
  <c r="J114" i="31"/>
  <c r="AE82" i="31"/>
  <c r="W82" i="31"/>
  <c r="O82" i="31"/>
  <c r="G82" i="31"/>
  <c r="U115" i="31"/>
  <c r="AA97" i="31"/>
  <c r="S97" i="31"/>
  <c r="K97" i="31"/>
  <c r="C97" i="31"/>
  <c r="AE95" i="31"/>
  <c r="W95" i="31"/>
  <c r="O95" i="31"/>
  <c r="G95" i="31"/>
  <c r="AA93" i="31"/>
  <c r="S93" i="31"/>
  <c r="K93" i="31"/>
  <c r="C93" i="31"/>
  <c r="AA89" i="31"/>
  <c r="AA6" i="2" s="1"/>
  <c r="S89" i="31"/>
  <c r="K89" i="31"/>
  <c r="C89" i="31"/>
  <c r="AE87" i="31"/>
  <c r="W87" i="31"/>
  <c r="O87" i="31"/>
  <c r="G87" i="31"/>
  <c r="AA85" i="31"/>
  <c r="S85" i="31"/>
  <c r="K85" i="31"/>
  <c r="C85" i="31"/>
  <c r="F118" i="31"/>
  <c r="D117" i="31"/>
  <c r="H115" i="31"/>
  <c r="T113" i="31"/>
  <c r="D113" i="31"/>
  <c r="V117" i="31"/>
  <c r="R115" i="31"/>
  <c r="O108" i="31"/>
  <c r="G108" i="31"/>
  <c r="AE104" i="31"/>
  <c r="W104" i="31"/>
  <c r="O104" i="31"/>
  <c r="G104" i="31"/>
  <c r="AC103" i="31"/>
  <c r="U103" i="31"/>
  <c r="M103" i="31"/>
  <c r="E103" i="31"/>
  <c r="AA102" i="31"/>
  <c r="S102" i="31"/>
  <c r="K102" i="31"/>
  <c r="C102" i="31"/>
  <c r="Y101" i="31"/>
  <c r="Q101" i="31"/>
  <c r="I101" i="31"/>
  <c r="AE100" i="31"/>
  <c r="W100" i="31"/>
  <c r="O100" i="31"/>
  <c r="G100" i="31"/>
  <c r="AC99" i="31"/>
  <c r="U99" i="31"/>
  <c r="M99" i="31"/>
  <c r="E99" i="31"/>
  <c r="AA98" i="31"/>
  <c r="S98" i="31"/>
  <c r="K98" i="31"/>
  <c r="C98" i="31"/>
  <c r="AE96" i="31"/>
  <c r="W96" i="31"/>
  <c r="O96" i="31"/>
  <c r="G96" i="31"/>
  <c r="AA94" i="31"/>
  <c r="S94" i="31"/>
  <c r="K94" i="31"/>
  <c r="C94" i="31"/>
  <c r="AC91" i="31"/>
  <c r="U91" i="31"/>
  <c r="M91" i="31"/>
  <c r="E91" i="31"/>
  <c r="AA90" i="31"/>
  <c r="S90" i="31"/>
  <c r="K90" i="31"/>
  <c r="C90" i="31"/>
  <c r="AE88" i="31"/>
  <c r="W88" i="31"/>
  <c r="O88" i="31"/>
  <c r="G88" i="31"/>
  <c r="AE84" i="31"/>
  <c r="W84" i="31"/>
  <c r="O84" i="31"/>
  <c r="G84" i="31"/>
  <c r="AC83" i="31"/>
  <c r="AC5" i="2" s="1"/>
  <c r="U83" i="31"/>
  <c r="U5" i="2" s="1"/>
  <c r="M83" i="31"/>
  <c r="M5" i="2" s="1"/>
  <c r="E83" i="31"/>
  <c r="AA82" i="31"/>
  <c r="S82" i="31"/>
  <c r="K82" i="31"/>
  <c r="C82" i="31"/>
  <c r="S118" i="31"/>
  <c r="AE115" i="31"/>
  <c r="W116" i="31"/>
  <c r="B108" i="31"/>
  <c r="B92" i="31"/>
  <c r="L118" i="31"/>
  <c r="R117" i="31"/>
  <c r="AD116" i="31"/>
  <c r="B106" i="31"/>
  <c r="B118" i="31"/>
  <c r="K103" i="31"/>
  <c r="Y102" i="31"/>
  <c r="M100" i="31"/>
  <c r="C99" i="31"/>
  <c r="Q98" i="31"/>
  <c r="M115" i="31"/>
  <c r="E96" i="31"/>
  <c r="P117" i="31"/>
  <c r="V115" i="31"/>
  <c r="AB118" i="31"/>
  <c r="Z112" i="31"/>
  <c r="R112" i="31"/>
  <c r="J112" i="31"/>
  <c r="AF111" i="31"/>
  <c r="X111" i="31"/>
  <c r="P111" i="31"/>
  <c r="H111" i="31"/>
  <c r="AD110" i="31"/>
  <c r="V110" i="31"/>
  <c r="N110" i="31"/>
  <c r="F110" i="31"/>
  <c r="AB109" i="31"/>
  <c r="T109" i="31"/>
  <c r="L109" i="31"/>
  <c r="D109" i="31"/>
  <c r="Z108" i="31"/>
  <c r="R108" i="31"/>
  <c r="J108" i="31"/>
  <c r="AF107" i="31"/>
  <c r="X107" i="31"/>
  <c r="P107" i="31"/>
  <c r="H107" i="31"/>
  <c r="AD106" i="31"/>
  <c r="V106" i="31"/>
  <c r="N106" i="31"/>
  <c r="F106" i="31"/>
  <c r="AB105" i="31"/>
  <c r="T105" i="31"/>
  <c r="L105" i="31"/>
  <c r="D105" i="31"/>
  <c r="Z104" i="31"/>
  <c r="R104" i="31"/>
  <c r="J104" i="31"/>
  <c r="AF103" i="31"/>
  <c r="X103" i="31"/>
  <c r="P103" i="31"/>
  <c r="H103" i="31"/>
  <c r="AD102" i="31"/>
  <c r="V102" i="31"/>
  <c r="N102" i="31"/>
  <c r="F102" i="31"/>
  <c r="AB101" i="31"/>
  <c r="T101" i="31"/>
  <c r="L101" i="31"/>
  <c r="D101" i="31"/>
  <c r="Z100" i="31"/>
  <c r="R100" i="31"/>
  <c r="J100" i="31"/>
  <c r="AF99" i="31"/>
  <c r="X99" i="31"/>
  <c r="P99" i="31"/>
  <c r="H99" i="31"/>
  <c r="AD98" i="31"/>
  <c r="V98" i="31"/>
  <c r="N98" i="31"/>
  <c r="F98" i="31"/>
  <c r="AB97" i="31"/>
  <c r="AE83" i="31"/>
  <c r="AE5" i="2" s="1"/>
  <c r="W83" i="31"/>
  <c r="W5" i="2" s="1"/>
  <c r="O83" i="31"/>
  <c r="O5" i="2" s="1"/>
  <c r="G83" i="31"/>
  <c r="G5" i="2" s="1"/>
  <c r="B107" i="31"/>
  <c r="B104" i="31"/>
  <c r="B95" i="31"/>
  <c r="B87" i="31"/>
  <c r="AF112" i="31"/>
  <c r="P112" i="31"/>
  <c r="AD111" i="31"/>
  <c r="V111" i="31"/>
  <c r="N111" i="31"/>
  <c r="F111" i="31"/>
  <c r="AB110" i="31"/>
  <c r="T110" i="31"/>
  <c r="L110" i="31"/>
  <c r="D110" i="31"/>
  <c r="Z109" i="31"/>
  <c r="R109" i="31"/>
  <c r="J109" i="31"/>
  <c r="X108" i="31"/>
  <c r="H108" i="31"/>
  <c r="AD107" i="31"/>
  <c r="V107" i="31"/>
  <c r="N107" i="31"/>
  <c r="F107" i="31"/>
  <c r="D106" i="31"/>
  <c r="Z105" i="31"/>
  <c r="R105" i="31"/>
  <c r="J105" i="31"/>
  <c r="AF104" i="31"/>
  <c r="X104" i="31"/>
  <c r="P104" i="31"/>
  <c r="H104" i="31"/>
  <c r="AD103" i="31"/>
  <c r="V103" i="31"/>
  <c r="N103" i="31"/>
  <c r="F103" i="31"/>
  <c r="Z101" i="31"/>
  <c r="R101" i="31"/>
  <c r="J101" i="31"/>
  <c r="AF100" i="31"/>
  <c r="X100" i="31"/>
  <c r="P100" i="31"/>
  <c r="H100" i="31"/>
  <c r="AD99" i="31"/>
  <c r="V99" i="31"/>
  <c r="N99" i="31"/>
  <c r="F99" i="31"/>
  <c r="AB98" i="31"/>
  <c r="T98" i="31"/>
  <c r="L98" i="31"/>
  <c r="D98" i="31"/>
  <c r="Z97" i="31"/>
  <c r="Z8" i="2" s="1"/>
  <c r="R97" i="31"/>
  <c r="R8" i="2" s="1"/>
  <c r="J97" i="31"/>
  <c r="J8" i="2" s="1"/>
  <c r="AF96" i="31"/>
  <c r="X96" i="31"/>
  <c r="P96" i="31"/>
  <c r="H96" i="31"/>
  <c r="AD95" i="31"/>
  <c r="V95" i="31"/>
  <c r="V7" i="2" s="1"/>
  <c r="N95" i="31"/>
  <c r="N7" i="2" s="1"/>
  <c r="F95" i="31"/>
  <c r="F7" i="2" s="1"/>
  <c r="AB94" i="31"/>
  <c r="T94" i="31"/>
  <c r="L94" i="31"/>
  <c r="D94" i="31"/>
  <c r="Z93" i="31"/>
  <c r="Z3" i="2" s="1"/>
  <c r="R93" i="31"/>
  <c r="R3" i="2" s="1"/>
  <c r="J93" i="31"/>
  <c r="J3" i="2" s="1"/>
  <c r="AD91" i="31"/>
  <c r="V91" i="31"/>
  <c r="N91" i="31"/>
  <c r="F91" i="31"/>
  <c r="AB90" i="31"/>
  <c r="T90" i="31"/>
  <c r="L90" i="31"/>
  <c r="D90" i="31"/>
  <c r="Z89" i="31"/>
  <c r="Z6" i="2" s="1"/>
  <c r="R89" i="31"/>
  <c r="J89" i="31"/>
  <c r="J6" i="2" s="1"/>
  <c r="AD87" i="31"/>
  <c r="V87" i="31"/>
  <c r="N87" i="31"/>
  <c r="F87" i="31"/>
  <c r="Z85" i="31"/>
  <c r="R85" i="31"/>
  <c r="J85" i="31"/>
  <c r="AF84" i="31"/>
  <c r="X84" i="31"/>
  <c r="P84" i="31"/>
  <c r="H84" i="31"/>
  <c r="AD83" i="31"/>
  <c r="V83" i="31"/>
  <c r="N83" i="31"/>
  <c r="F83" i="31"/>
  <c r="T97" i="31"/>
  <c r="L97" i="31"/>
  <c r="L8" i="2" s="1"/>
  <c r="D97" i="31"/>
  <c r="D8" i="2" s="1"/>
  <c r="Z96" i="31"/>
  <c r="R96" i="31"/>
  <c r="J96" i="31"/>
  <c r="AF95" i="31"/>
  <c r="AF7" i="2" s="1"/>
  <c r="X95" i="31"/>
  <c r="P95" i="31"/>
  <c r="H95" i="31"/>
  <c r="H7" i="2" s="1"/>
  <c r="AD94" i="31"/>
  <c r="V94" i="31"/>
  <c r="N94" i="31"/>
  <c r="F94" i="31"/>
  <c r="AB93" i="31"/>
  <c r="AB3" i="2" s="1"/>
  <c r="T93" i="31"/>
  <c r="L93" i="31"/>
  <c r="D93" i="31"/>
  <c r="D3" i="2" s="1"/>
  <c r="Z92" i="31"/>
  <c r="R92" i="31"/>
  <c r="J92" i="31"/>
  <c r="AF91" i="31"/>
  <c r="X91" i="31"/>
  <c r="P91" i="31"/>
  <c r="H91" i="31"/>
  <c r="AD90" i="31"/>
  <c r="V90" i="31"/>
  <c r="N90" i="31"/>
  <c r="F90" i="31"/>
  <c r="AB89" i="31"/>
  <c r="AB6" i="2" s="1"/>
  <c r="T89" i="31"/>
  <c r="L89" i="31"/>
  <c r="L6" i="2" s="1"/>
  <c r="D89" i="31"/>
  <c r="D6" i="2" s="1"/>
  <c r="Z88" i="31"/>
  <c r="R88" i="31"/>
  <c r="J88" i="31"/>
  <c r="AF87" i="31"/>
  <c r="X87" i="31"/>
  <c r="P87" i="31"/>
  <c r="H87" i="31"/>
  <c r="AD86" i="31"/>
  <c r="V86" i="31"/>
  <c r="V2" i="2" s="1"/>
  <c r="N86" i="31"/>
  <c r="F86" i="31"/>
  <c r="AB85" i="31"/>
  <c r="T85" i="31"/>
  <c r="L85" i="31"/>
  <c r="D85" i="31"/>
  <c r="Z84" i="31"/>
  <c r="R84" i="31"/>
  <c r="J84" i="31"/>
  <c r="AF83" i="31"/>
  <c r="X83" i="31"/>
  <c r="P83" i="31"/>
  <c r="P5" i="2" s="1"/>
  <c r="H83" i="31"/>
  <c r="AD82" i="31"/>
  <c r="V82" i="31"/>
  <c r="N82" i="31"/>
  <c r="F82" i="31"/>
  <c r="B116" i="31"/>
  <c r="B84" i="31"/>
  <c r="AF118" i="31"/>
  <c r="H118" i="31"/>
  <c r="AD117" i="31"/>
  <c r="N117" i="31"/>
  <c r="AB116" i="31"/>
  <c r="D116" i="31"/>
  <c r="Z115" i="31"/>
  <c r="J115" i="31"/>
  <c r="H102" i="31"/>
  <c r="AB100" i="31"/>
  <c r="L100" i="31"/>
  <c r="H97" i="31"/>
  <c r="AD97" i="31"/>
  <c r="AD8" i="2" s="1"/>
  <c r="T96" i="31"/>
  <c r="D96" i="31"/>
  <c r="AF93" i="31"/>
  <c r="X94" i="31"/>
  <c r="X3" i="2" s="1"/>
  <c r="AF89" i="31"/>
  <c r="AB87" i="31"/>
  <c r="T106" i="31"/>
  <c r="F92" i="31"/>
  <c r="X85" i="31"/>
  <c r="B94" i="31"/>
  <c r="E102" i="31"/>
  <c r="Q117" i="31"/>
  <c r="Y112" i="31"/>
  <c r="Q112" i="31"/>
  <c r="I112" i="31"/>
  <c r="Y108" i="31"/>
  <c r="Q108" i="31"/>
  <c r="I108" i="31"/>
  <c r="AC106" i="31"/>
  <c r="U106" i="31"/>
  <c r="M106" i="31"/>
  <c r="E106" i="31"/>
  <c r="AC102" i="31"/>
  <c r="U102" i="31"/>
  <c r="M102" i="31"/>
  <c r="H112" i="31"/>
  <c r="P108" i="31"/>
  <c r="AB106" i="31"/>
  <c r="X92" i="31"/>
  <c r="L86" i="31"/>
  <c r="T82" i="31"/>
  <c r="B105" i="31"/>
  <c r="B97" i="31"/>
  <c r="B89" i="31"/>
  <c r="B96" i="31"/>
  <c r="X112" i="31"/>
  <c r="AF108" i="31"/>
  <c r="T102" i="31"/>
  <c r="D102" i="31"/>
  <c r="P92" i="31"/>
  <c r="AF88" i="31"/>
  <c r="H88" i="31"/>
  <c r="T86" i="31"/>
  <c r="D82" i="31"/>
  <c r="I113" i="31"/>
  <c r="M107" i="31"/>
  <c r="S106" i="31"/>
  <c r="C106" i="31"/>
  <c r="Q105" i="31"/>
  <c r="Y97" i="31"/>
  <c r="Q97" i="31"/>
  <c r="I97" i="31"/>
  <c r="AC95" i="31"/>
  <c r="U95" i="31"/>
  <c r="M95" i="31"/>
  <c r="E95" i="31"/>
  <c r="E7" i="2" s="1"/>
  <c r="Y93" i="31"/>
  <c r="Q93" i="31"/>
  <c r="I93" i="31"/>
  <c r="AE92" i="31"/>
  <c r="W92" i="31"/>
  <c r="O92" i="31"/>
  <c r="G92" i="31"/>
  <c r="B98" i="31"/>
  <c r="B113" i="31"/>
  <c r="B112" i="31"/>
  <c r="L106" i="31"/>
  <c r="H92" i="31"/>
  <c r="AB86" i="31"/>
  <c r="Q113" i="31"/>
  <c r="W112" i="31"/>
  <c r="G112" i="31"/>
  <c r="Q109" i="31"/>
  <c r="AC107" i="31"/>
  <c r="E107" i="31"/>
  <c r="K106" i="31"/>
  <c r="Y105" i="31"/>
  <c r="I105" i="31"/>
  <c r="AF113" i="31"/>
  <c r="V112" i="31"/>
  <c r="AF109" i="31"/>
  <c r="AD108" i="31"/>
  <c r="F108" i="31"/>
  <c r="L107" i="31"/>
  <c r="R106" i="31"/>
  <c r="AF105" i="31"/>
  <c r="H105" i="31"/>
  <c r="AD92" i="31"/>
  <c r="X89" i="31"/>
  <c r="V88" i="31"/>
  <c r="J82" i="31"/>
  <c r="B114" i="31"/>
  <c r="B90" i="31"/>
  <c r="AB102" i="31"/>
  <c r="L102" i="31"/>
  <c r="AF92" i="31"/>
  <c r="X88" i="31"/>
  <c r="AB82" i="31"/>
  <c r="H113" i="31"/>
  <c r="F112" i="31"/>
  <c r="X109" i="31"/>
  <c r="H109" i="31"/>
  <c r="N108" i="31"/>
  <c r="T107" i="31"/>
  <c r="Z106" i="31"/>
  <c r="P105" i="31"/>
  <c r="W117" i="31"/>
  <c r="O117" i="31"/>
  <c r="G117" i="31"/>
  <c r="AC116" i="31"/>
  <c r="U116" i="31"/>
  <c r="M116" i="31"/>
  <c r="E116" i="31"/>
  <c r="AA115" i="31"/>
  <c r="S115" i="31"/>
  <c r="K115" i="31"/>
  <c r="C115" i="31"/>
  <c r="Y114" i="31"/>
  <c r="Q114" i="31"/>
  <c r="I114" i="31"/>
  <c r="AE113" i="31"/>
  <c r="W113" i="31"/>
  <c r="O113" i="31"/>
  <c r="G113" i="31"/>
  <c r="AC112" i="31"/>
  <c r="U112" i="31"/>
  <c r="M112" i="31"/>
  <c r="E112" i="31"/>
  <c r="AA111" i="31"/>
  <c r="S111" i="31"/>
  <c r="K111" i="31"/>
  <c r="C111" i="31"/>
  <c r="Y110" i="31"/>
  <c r="Q110" i="31"/>
  <c r="I110" i="31"/>
  <c r="AE109" i="31"/>
  <c r="W109" i="31"/>
  <c r="O109" i="31"/>
  <c r="G109" i="31"/>
  <c r="AC108" i="31"/>
  <c r="C103" i="31"/>
  <c r="Q102" i="31"/>
  <c r="G101" i="31"/>
  <c r="AC100" i="31"/>
  <c r="U100" i="31"/>
  <c r="Y98" i="31"/>
  <c r="I98" i="31"/>
  <c r="AC96" i="31"/>
  <c r="U96" i="31"/>
  <c r="M96" i="31"/>
  <c r="Y94" i="31"/>
  <c r="B82" i="31"/>
  <c r="B88" i="31"/>
  <c r="P88" i="31"/>
  <c r="D86" i="31"/>
  <c r="L82" i="31"/>
  <c r="Y113" i="31"/>
  <c r="AE112" i="31"/>
  <c r="O112" i="31"/>
  <c r="Y109" i="31"/>
  <c r="I109" i="31"/>
  <c r="U107" i="31"/>
  <c r="AA106" i="31"/>
  <c r="X113" i="31"/>
  <c r="P113" i="31"/>
  <c r="AD112" i="31"/>
  <c r="N112" i="31"/>
  <c r="P109" i="31"/>
  <c r="V108" i="31"/>
  <c r="AB107" i="31"/>
  <c r="D107" i="31"/>
  <c r="J106" i="31"/>
  <c r="X105" i="31"/>
  <c r="R102" i="31"/>
  <c r="J102" i="31"/>
  <c r="AF97" i="31"/>
  <c r="AF8" i="2" s="1"/>
  <c r="D95" i="31"/>
  <c r="D7" i="2" s="1"/>
  <c r="H93" i="31"/>
  <c r="AD88" i="31"/>
  <c r="T87" i="31"/>
  <c r="Z86" i="31"/>
  <c r="R86" i="31"/>
  <c r="P85" i="31"/>
  <c r="R82" i="31"/>
  <c r="B117" i="31"/>
  <c r="B109" i="31"/>
  <c r="B101" i="31"/>
  <c r="B93" i="31"/>
  <c r="B3" i="2" s="1"/>
  <c r="B85" i="31"/>
  <c r="AA119" i="31"/>
  <c r="S119" i="31"/>
  <c r="K119" i="31"/>
  <c r="C119" i="31"/>
  <c r="Y118" i="31"/>
  <c r="Q118" i="31"/>
  <c r="I118" i="31"/>
  <c r="AE117" i="31"/>
  <c r="AF114" i="31"/>
  <c r="X114" i="31"/>
  <c r="P114" i="31"/>
  <c r="H114" i="31"/>
  <c r="AD113" i="31"/>
  <c r="V113" i="31"/>
  <c r="N113" i="31"/>
  <c r="F113" i="31"/>
  <c r="AB112" i="31"/>
  <c r="T112" i="31"/>
  <c r="L112" i="31"/>
  <c r="D112" i="31"/>
  <c r="Z111" i="31"/>
  <c r="R111" i="31"/>
  <c r="J111" i="31"/>
  <c r="AF110" i="31"/>
  <c r="X110" i="31"/>
  <c r="P110" i="31"/>
  <c r="H110" i="31"/>
  <c r="AD109" i="31"/>
  <c r="V109" i="31"/>
  <c r="N109" i="31"/>
  <c r="F109" i="31"/>
  <c r="AF102" i="31"/>
  <c r="X102" i="31"/>
  <c r="P102" i="31"/>
  <c r="T100" i="31"/>
  <c r="D100" i="31"/>
  <c r="X98" i="31"/>
  <c r="P98" i="31"/>
  <c r="H98" i="31"/>
  <c r="L96" i="31"/>
  <c r="Z95" i="31"/>
  <c r="Z7" i="2" s="1"/>
  <c r="P94" i="31"/>
  <c r="Y92" i="31"/>
  <c r="Q92" i="31"/>
  <c r="I92" i="31"/>
  <c r="Y88" i="31"/>
  <c r="Q88" i="31"/>
  <c r="I88" i="31"/>
  <c r="AC86" i="31"/>
  <c r="U86" i="31"/>
  <c r="M86" i="31"/>
  <c r="M2" i="2" s="1"/>
  <c r="E86" i="31"/>
  <c r="AC82" i="31"/>
  <c r="U82" i="31"/>
  <c r="M82" i="31"/>
  <c r="E82" i="31"/>
  <c r="Y89" i="31"/>
  <c r="Q89" i="31"/>
  <c r="Q6" i="2" s="1"/>
  <c r="I89" i="31"/>
  <c r="I6" i="2" s="1"/>
  <c r="AC87" i="31"/>
  <c r="U87" i="31"/>
  <c r="M87" i="31"/>
  <c r="E87" i="31"/>
  <c r="AA86" i="31"/>
  <c r="S86" i="31"/>
  <c r="K86" i="31"/>
  <c r="K2" i="2" s="1"/>
  <c r="C86" i="31"/>
  <c r="C2" i="2" s="1"/>
  <c r="Y85" i="31"/>
  <c r="Q85" i="31"/>
  <c r="I85" i="31"/>
  <c r="X97" i="31"/>
  <c r="X8" i="2" s="1"/>
  <c r="P97" i="31"/>
  <c r="P8" i="2" s="1"/>
  <c r="AB95" i="31"/>
  <c r="T95" i="31"/>
  <c r="T7" i="2" s="1"/>
  <c r="L95" i="31"/>
  <c r="L7" i="2" s="1"/>
  <c r="P93" i="31"/>
  <c r="V92" i="31"/>
  <c r="N92" i="31"/>
  <c r="P89" i="31"/>
  <c r="H89" i="31"/>
  <c r="N88" i="31"/>
  <c r="F88" i="31"/>
  <c r="L87" i="31"/>
  <c r="D87" i="31"/>
  <c r="J86" i="31"/>
  <c r="AF85" i="31"/>
  <c r="H85" i="31"/>
  <c r="Z82" i="31"/>
  <c r="U108" i="31"/>
  <c r="M108" i="31"/>
  <c r="E108" i="31"/>
  <c r="AA107" i="31"/>
  <c r="S107" i="31"/>
  <c r="K107" i="31"/>
  <c r="C107" i="31"/>
  <c r="Y106" i="31"/>
  <c r="Q106" i="31"/>
  <c r="I106" i="31"/>
  <c r="AE105" i="31"/>
  <c r="W105" i="31"/>
  <c r="O105" i="31"/>
  <c r="G105" i="31"/>
  <c r="AC104" i="31"/>
  <c r="U104" i="31"/>
  <c r="M104" i="31"/>
  <c r="E104" i="31"/>
  <c r="AA103" i="31"/>
  <c r="S103" i="31"/>
  <c r="I102" i="31"/>
  <c r="AE101" i="31"/>
  <c r="W101" i="31"/>
  <c r="O101" i="31"/>
  <c r="E100" i="31"/>
  <c r="AA99" i="31"/>
  <c r="S99" i="31"/>
  <c r="K99" i="31"/>
  <c r="AE97" i="31"/>
  <c r="W97" i="31"/>
  <c r="W8" i="2" s="1"/>
  <c r="O97" i="31"/>
  <c r="O8" i="2" s="1"/>
  <c r="G97" i="31"/>
  <c r="G8" i="2" s="1"/>
  <c r="AA95" i="31"/>
  <c r="AA7" i="2" s="1"/>
  <c r="S95" i="31"/>
  <c r="S7" i="2" s="1"/>
  <c r="K95" i="31"/>
  <c r="K7" i="2" s="1"/>
  <c r="C95" i="31"/>
  <c r="C7" i="2" s="1"/>
  <c r="Q94" i="31"/>
  <c r="I94" i="31"/>
  <c r="AE93" i="31"/>
  <c r="AE3" i="2" s="1"/>
  <c r="W93" i="31"/>
  <c r="W3" i="2" s="1"/>
  <c r="O93" i="31"/>
  <c r="O3" i="2" s="1"/>
  <c r="G93" i="31"/>
  <c r="G3" i="2" s="1"/>
  <c r="AC92" i="31"/>
  <c r="U92" i="31"/>
  <c r="M92" i="31"/>
  <c r="E92" i="31"/>
  <c r="AA91" i="31"/>
  <c r="S91" i="31"/>
  <c r="K91" i="31"/>
  <c r="C91" i="31"/>
  <c r="Y90" i="31"/>
  <c r="Q90" i="31"/>
  <c r="I90" i="31"/>
  <c r="AE89" i="31"/>
  <c r="W89" i="31"/>
  <c r="W6" i="2" s="1"/>
  <c r="O89" i="31"/>
  <c r="O6" i="2" s="1"/>
  <c r="G89" i="31"/>
  <c r="G6" i="2" s="1"/>
  <c r="AC88" i="31"/>
  <c r="U88" i="31"/>
  <c r="M88" i="31"/>
  <c r="E88" i="31"/>
  <c r="AA87" i="31"/>
  <c r="S87" i="31"/>
  <c r="K87" i="31"/>
  <c r="C87" i="31"/>
  <c r="Y86" i="31"/>
  <c r="Q86" i="31"/>
  <c r="Q2" i="2" s="1"/>
  <c r="I86" i="31"/>
  <c r="AE85" i="31"/>
  <c r="W85" i="31"/>
  <c r="O85" i="31"/>
  <c r="G85" i="31"/>
  <c r="AC84" i="31"/>
  <c r="U84" i="31"/>
  <c r="M84" i="31"/>
  <c r="E84" i="31"/>
  <c r="AA83" i="31"/>
  <c r="S83" i="31"/>
  <c r="K83" i="31"/>
  <c r="C83" i="31"/>
  <c r="Y82" i="31"/>
  <c r="Q82" i="31"/>
  <c r="I82" i="31"/>
  <c r="AB108" i="31"/>
  <c r="T108" i="31"/>
  <c r="L108" i="31"/>
  <c r="D108" i="31"/>
  <c r="Z107" i="31"/>
  <c r="R107" i="31"/>
  <c r="J107" i="31"/>
  <c r="AF106" i="31"/>
  <c r="X106" i="31"/>
  <c r="P106" i="31"/>
  <c r="H106" i="31"/>
  <c r="AD105" i="31"/>
  <c r="V105" i="31"/>
  <c r="N105" i="31"/>
  <c r="F105" i="31"/>
  <c r="AB104" i="31"/>
  <c r="T104" i="31"/>
  <c r="L104" i="31"/>
  <c r="D104" i="31"/>
  <c r="Z103" i="31"/>
  <c r="R103" i="31"/>
  <c r="J103" i="31"/>
  <c r="AD101" i="31"/>
  <c r="V101" i="31"/>
  <c r="N101" i="31"/>
  <c r="F101" i="31"/>
  <c r="Z99" i="31"/>
  <c r="R99" i="31"/>
  <c r="J99" i="31"/>
  <c r="AF98" i="31"/>
  <c r="V97" i="31"/>
  <c r="V8" i="2" s="1"/>
  <c r="N97" i="31"/>
  <c r="N8" i="2" s="1"/>
  <c r="F97" i="31"/>
  <c r="F8" i="2" s="1"/>
  <c r="AB96" i="31"/>
  <c r="R95" i="31"/>
  <c r="R7" i="2" s="1"/>
  <c r="J95" i="31"/>
  <c r="J7" i="2" s="1"/>
  <c r="AF94" i="31"/>
  <c r="H94" i="31"/>
  <c r="AD93" i="31"/>
  <c r="AD3" i="2" s="1"/>
  <c r="V93" i="31"/>
  <c r="V3" i="2" s="1"/>
  <c r="N93" i="31"/>
  <c r="N3" i="2" s="1"/>
  <c r="F93" i="31"/>
  <c r="F3" i="2" s="1"/>
  <c r="AB92" i="31"/>
  <c r="T92" i="31"/>
  <c r="L92" i="31"/>
  <c r="D92" i="31"/>
  <c r="Z91" i="31"/>
  <c r="R91" i="31"/>
  <c r="J91" i="31"/>
  <c r="AF90" i="31"/>
  <c r="X90" i="31"/>
  <c r="P90" i="31"/>
  <c r="H90" i="31"/>
  <c r="AD89" i="31"/>
  <c r="V89" i="31"/>
  <c r="V6" i="2" s="1"/>
  <c r="N89" i="31"/>
  <c r="N6" i="2" s="1"/>
  <c r="F89" i="31"/>
  <c r="F6" i="2" s="1"/>
  <c r="AB88" i="31"/>
  <c r="T88" i="31"/>
  <c r="L88" i="31"/>
  <c r="D88" i="31"/>
  <c r="Z87" i="31"/>
  <c r="R87" i="31"/>
  <c r="J87" i="31"/>
  <c r="AF86" i="31"/>
  <c r="X86" i="31"/>
  <c r="X2" i="2" s="1"/>
  <c r="P86" i="31"/>
  <c r="H86" i="31"/>
  <c r="H2" i="2" s="1"/>
  <c r="AD85" i="31"/>
  <c r="V85" i="31"/>
  <c r="N85" i="31"/>
  <c r="F85" i="31"/>
  <c r="AB84" i="31"/>
  <c r="T84" i="31"/>
  <c r="L84" i="31"/>
  <c r="D84" i="31"/>
  <c r="Z83" i="31"/>
  <c r="R83" i="31"/>
  <c r="J83" i="31"/>
  <c r="J5" i="2" s="1"/>
  <c r="AF82" i="31"/>
  <c r="X82" i="31"/>
  <c r="P82" i="31"/>
  <c r="H82" i="31"/>
  <c r="Y2" i="2" l="1"/>
  <c r="AD6" i="2"/>
  <c r="P2" i="2"/>
  <c r="AA5" i="2"/>
  <c r="AE8" i="2"/>
  <c r="J2" i="2"/>
  <c r="H3" i="2"/>
  <c r="Q3" i="2"/>
  <c r="Y8" i="2"/>
  <c r="B6" i="2"/>
  <c r="AF5" i="2"/>
  <c r="F2" i="2"/>
  <c r="AD7" i="2"/>
  <c r="K6" i="2"/>
  <c r="O7" i="2"/>
  <c r="W2" i="2"/>
  <c r="B2" i="2"/>
  <c r="AF2" i="2"/>
  <c r="I2" i="2"/>
  <c r="P3" i="2"/>
  <c r="E2" i="2"/>
  <c r="X6" i="2"/>
  <c r="Y3" i="2"/>
  <c r="B8" i="2"/>
  <c r="N2" i="2"/>
  <c r="S6" i="2"/>
  <c r="W7" i="2"/>
  <c r="AE2" i="2"/>
  <c r="U2" i="2"/>
  <c r="M7" i="2"/>
  <c r="H8" i="2"/>
  <c r="AD2" i="2"/>
  <c r="L3" i="2"/>
  <c r="P7" i="2"/>
  <c r="T8" i="2"/>
  <c r="C3" i="2"/>
  <c r="C8" i="2"/>
  <c r="AE7" i="2"/>
  <c r="R5" i="2"/>
  <c r="AB7" i="2"/>
  <c r="S2" i="2"/>
  <c r="Y6" i="2"/>
  <c r="AC2" i="2"/>
  <c r="R2" i="2"/>
  <c r="U7" i="2"/>
  <c r="L2" i="2"/>
  <c r="T3" i="2"/>
  <c r="X7" i="2"/>
  <c r="F5" i="2"/>
  <c r="R6" i="2"/>
  <c r="K3" i="2"/>
  <c r="K8" i="2"/>
  <c r="C5" i="2"/>
  <c r="H6" i="2"/>
  <c r="AA2" i="2"/>
  <c r="Z2" i="2"/>
  <c r="AB2" i="2"/>
  <c r="AC7" i="2"/>
  <c r="AF6" i="2"/>
  <c r="H5" i="2"/>
  <c r="T6" i="2"/>
  <c r="N5" i="2"/>
  <c r="S3" i="2"/>
  <c r="S8" i="2"/>
  <c r="Z5" i="2"/>
  <c r="K5" i="2"/>
  <c r="P6" i="2"/>
  <c r="I8" i="2"/>
  <c r="V5" i="2"/>
  <c r="AB8" i="2"/>
  <c r="AA3" i="2"/>
  <c r="AA8" i="2"/>
  <c r="G2" i="2"/>
  <c r="S5" i="2"/>
  <c r="AE6" i="2"/>
  <c r="D2" i="2"/>
  <c r="I3" i="2"/>
  <c r="Q8" i="2"/>
  <c r="T2" i="2"/>
  <c r="AF3" i="2"/>
  <c r="X5" i="2"/>
  <c r="AD5" i="2"/>
  <c r="B7" i="2"/>
  <c r="E5" i="2"/>
  <c r="C6" i="2"/>
  <c r="G7" i="2"/>
  <c r="O2" i="2"/>
  <c r="B5" i="2"/>
  <c r="E7" i="5"/>
  <c r="M7" i="5"/>
  <c r="U7" i="5"/>
  <c r="AC7" i="5"/>
  <c r="F7" i="5"/>
  <c r="N7" i="5"/>
  <c r="V7" i="5"/>
  <c r="AD7" i="5"/>
  <c r="C7" i="5"/>
  <c r="G7" i="5"/>
  <c r="O7" i="5"/>
  <c r="W7" i="5"/>
  <c r="AE7" i="5"/>
  <c r="H7" i="5"/>
  <c r="P7" i="5"/>
  <c r="X7" i="5"/>
  <c r="AF7" i="5"/>
  <c r="I7" i="5"/>
  <c r="Q7" i="5"/>
  <c r="Y7" i="5"/>
  <c r="S7" i="5"/>
  <c r="J7" i="5"/>
  <c r="R7" i="5"/>
  <c r="Z7" i="5"/>
  <c r="K7" i="5"/>
  <c r="AA7" i="5"/>
  <c r="D7" i="5"/>
  <c r="L7" i="5"/>
  <c r="T7" i="5"/>
  <c r="AB7" i="5"/>
  <c r="J5" i="5"/>
  <c r="R5" i="5"/>
  <c r="Z5" i="5"/>
  <c r="C5" i="5"/>
  <c r="K5" i="5"/>
  <c r="S5" i="5"/>
  <c r="AA5" i="5"/>
  <c r="D5" i="5"/>
  <c r="L5" i="5"/>
  <c r="T5" i="5"/>
  <c r="AB5" i="5"/>
  <c r="E5" i="5"/>
  <c r="M5" i="5"/>
  <c r="U5" i="5"/>
  <c r="AC5" i="5"/>
  <c r="F5" i="5"/>
  <c r="N5" i="5"/>
  <c r="V5" i="5"/>
  <c r="AD5" i="5"/>
  <c r="P5" i="5"/>
  <c r="AF5" i="5"/>
  <c r="G5" i="5"/>
  <c r="O5" i="5"/>
  <c r="W5" i="5"/>
  <c r="AE5" i="5"/>
  <c r="H5" i="5"/>
  <c r="X5" i="5"/>
  <c r="I5" i="5"/>
  <c r="Q5" i="5"/>
  <c r="Y5" i="5"/>
  <c r="G4" i="5"/>
  <c r="G6" i="5" s="1"/>
  <c r="O4" i="5"/>
  <c r="O6" i="5" s="1"/>
  <c r="W4" i="5"/>
  <c r="W6" i="5" s="1"/>
  <c r="AE4" i="5"/>
  <c r="AE6" i="5" s="1"/>
  <c r="H4" i="5"/>
  <c r="H6" i="5" s="1"/>
  <c r="P4" i="5"/>
  <c r="P6" i="5" s="1"/>
  <c r="X4" i="5"/>
  <c r="X6" i="5" s="1"/>
  <c r="AF4" i="5"/>
  <c r="AF6" i="5" s="1"/>
  <c r="I4" i="5"/>
  <c r="I6" i="5" s="1"/>
  <c r="Q4" i="5"/>
  <c r="Q6" i="5" s="1"/>
  <c r="Y4" i="5"/>
  <c r="Y6" i="5" s="1"/>
  <c r="R4" i="5"/>
  <c r="R6" i="5" s="1"/>
  <c r="J4" i="5"/>
  <c r="J6" i="5" s="1"/>
  <c r="Z4" i="5"/>
  <c r="Z6" i="5" s="1"/>
  <c r="K4" i="5"/>
  <c r="K6" i="5" s="1"/>
  <c r="S4" i="5"/>
  <c r="S6" i="5" s="1"/>
  <c r="AA4" i="5"/>
  <c r="AA6" i="5" s="1"/>
  <c r="B6" i="5"/>
  <c r="M4" i="5"/>
  <c r="M6" i="5" s="1"/>
  <c r="AC4" i="5"/>
  <c r="AC6" i="5" s="1"/>
  <c r="D4" i="5"/>
  <c r="D6" i="5" s="1"/>
  <c r="L4" i="5"/>
  <c r="L6" i="5" s="1"/>
  <c r="T4" i="5"/>
  <c r="T6" i="5" s="1"/>
  <c r="AB4" i="5"/>
  <c r="AB6" i="5" s="1"/>
  <c r="E4" i="5"/>
  <c r="E6" i="5" s="1"/>
  <c r="U4" i="5"/>
  <c r="U6" i="5" s="1"/>
  <c r="F4" i="5"/>
  <c r="F6" i="5" s="1"/>
  <c r="N4" i="5"/>
  <c r="N6" i="5" s="1"/>
  <c r="V4" i="5"/>
  <c r="V6" i="5" s="1"/>
  <c r="AD4" i="5"/>
  <c r="AD6" i="5" s="1"/>
  <c r="C4" i="5"/>
  <c r="C6" i="5" s="1"/>
  <c r="E64" i="18" l="1"/>
  <c r="E63" i="18"/>
  <c r="B44" i="18"/>
  <c r="C2" i="18" l="1"/>
  <c r="D2" i="18"/>
  <c r="D7" i="18" s="1"/>
  <c r="E2" i="18"/>
  <c r="E7" i="18" s="1"/>
  <c r="F2" i="18"/>
  <c r="F7" i="18" s="1"/>
  <c r="G2" i="18"/>
  <c r="G7" i="18" s="1"/>
  <c r="H2" i="18"/>
  <c r="H7" i="18" s="1"/>
  <c r="I2" i="18"/>
  <c r="I7" i="18" s="1"/>
  <c r="J2" i="18"/>
  <c r="J7" i="18" s="1"/>
  <c r="K2" i="18"/>
  <c r="L2" i="18"/>
  <c r="L7" i="18" s="1"/>
  <c r="M2" i="18"/>
  <c r="M7" i="18" s="1"/>
  <c r="N2" i="18"/>
  <c r="N7" i="18" s="1"/>
  <c r="O2" i="18"/>
  <c r="O7" i="18" s="1"/>
  <c r="P2" i="18"/>
  <c r="P7" i="18" s="1"/>
  <c r="Q2" i="18"/>
  <c r="Q7" i="18" s="1"/>
  <c r="R2" i="18"/>
  <c r="R7" i="18" s="1"/>
  <c r="S2" i="18"/>
  <c r="T2" i="18"/>
  <c r="T7" i="18" s="1"/>
  <c r="U2" i="18"/>
  <c r="U7" i="18" s="1"/>
  <c r="V2" i="18"/>
  <c r="V7" i="18" s="1"/>
  <c r="W2" i="18"/>
  <c r="W7" i="18" s="1"/>
  <c r="X2" i="18"/>
  <c r="X7" i="18" s="1"/>
  <c r="Y2" i="18"/>
  <c r="Y7" i="18" s="1"/>
  <c r="Z2" i="18"/>
  <c r="Z7" i="18" s="1"/>
  <c r="AA2" i="18"/>
  <c r="AB2" i="18"/>
  <c r="AB7" i="18" s="1"/>
  <c r="AC2" i="18"/>
  <c r="AC7" i="18" s="1"/>
  <c r="AD2" i="18"/>
  <c r="AD7" i="18" s="1"/>
  <c r="AE2" i="18"/>
  <c r="AE7" i="18" s="1"/>
  <c r="AF2" i="18"/>
  <c r="AF7" i="18" s="1"/>
  <c r="B2" i="18"/>
  <c r="B7" i="18" s="1"/>
  <c r="B54" i="18"/>
  <c r="K4" i="18" l="1"/>
  <c r="K13" i="18" a="1"/>
  <c r="K13" i="18" s="1"/>
  <c r="K9" i="18"/>
  <c r="Z4" i="18"/>
  <c r="Z9" i="18"/>
  <c r="Z13" i="18" a="1"/>
  <c r="Z13" i="18" s="1"/>
  <c r="Z12" i="18"/>
  <c r="Y4" i="18"/>
  <c r="Y9" i="18"/>
  <c r="Y13" i="18" a="1"/>
  <c r="Y13" i="18" s="1"/>
  <c r="I4" i="18"/>
  <c r="I13" i="18" a="1"/>
  <c r="I13" i="18" s="1"/>
  <c r="I9" i="18"/>
  <c r="AF4" i="18"/>
  <c r="AF13" i="18" a="1"/>
  <c r="AF13" i="18" s="1"/>
  <c r="AF9" i="18"/>
  <c r="AF12" i="18"/>
  <c r="P4" i="18"/>
  <c r="P13" i="18" a="1"/>
  <c r="P13" i="18" s="1"/>
  <c r="P12" i="18"/>
  <c r="P9" i="18"/>
  <c r="H4" i="18"/>
  <c r="H13" i="18" a="1"/>
  <c r="H13" i="18" s="1"/>
  <c r="H9" i="18"/>
  <c r="H12" i="18"/>
  <c r="X4" i="18"/>
  <c r="X9" i="18"/>
  <c r="X13" i="18" a="1"/>
  <c r="X13" i="18" s="1"/>
  <c r="X12" i="18"/>
  <c r="AE4" i="18"/>
  <c r="AE9" i="18"/>
  <c r="AE13" i="18" a="1"/>
  <c r="AE13" i="18" s="1"/>
  <c r="W4" i="18"/>
  <c r="W9" i="18"/>
  <c r="W13" i="18" a="1"/>
  <c r="W13" i="18" s="1"/>
  <c r="O4" i="18"/>
  <c r="O9" i="18"/>
  <c r="O13" i="18" a="1"/>
  <c r="O13" i="18" s="1"/>
  <c r="G4" i="18"/>
  <c r="G9" i="18"/>
  <c r="G13" i="18" a="1"/>
  <c r="G13" i="18" s="1"/>
  <c r="N4" i="18"/>
  <c r="N12" i="18"/>
  <c r="N13" i="18" a="1"/>
  <c r="N13" i="18" s="1"/>
  <c r="N9" i="18"/>
  <c r="F4" i="18"/>
  <c r="F13" i="18" a="1"/>
  <c r="F13" i="18" s="1"/>
  <c r="F12" i="18"/>
  <c r="F9" i="18"/>
  <c r="AA4" i="18"/>
  <c r="AA9" i="18"/>
  <c r="AA13" i="18" a="1"/>
  <c r="AA13" i="18" s="1"/>
  <c r="C4" i="18"/>
  <c r="C13" i="18" a="1"/>
  <c r="C13" i="18" s="1"/>
  <c r="C9" i="18"/>
  <c r="J4" i="18"/>
  <c r="J13" i="18" a="1"/>
  <c r="J13" i="18" s="1"/>
  <c r="J9" i="18"/>
  <c r="J12" i="18"/>
  <c r="B4" i="18"/>
  <c r="B13" i="18" a="1"/>
  <c r="B13" i="18" s="1"/>
  <c r="B9" i="18"/>
  <c r="B12" i="18"/>
  <c r="AD4" i="18"/>
  <c r="AD13" i="18" a="1"/>
  <c r="AD13" i="18" s="1"/>
  <c r="AD12" i="18"/>
  <c r="AD9" i="18"/>
  <c r="U4" i="18"/>
  <c r="U9" i="18"/>
  <c r="U13" i="18" a="1"/>
  <c r="U13" i="18" s="1"/>
  <c r="S4" i="18"/>
  <c r="S13" i="18" a="1"/>
  <c r="S13" i="18" s="1"/>
  <c r="S9" i="18"/>
  <c r="R4" i="18"/>
  <c r="R13" i="18" a="1"/>
  <c r="R13" i="18" s="1"/>
  <c r="R9" i="18"/>
  <c r="R12" i="18"/>
  <c r="Q4" i="18"/>
  <c r="Q13" i="18" a="1"/>
  <c r="Q13" i="18" s="1"/>
  <c r="Q9" i="18"/>
  <c r="V4" i="18"/>
  <c r="V13" i="18" a="1"/>
  <c r="V13" i="18" s="1"/>
  <c r="V9" i="18"/>
  <c r="V12" i="18"/>
  <c r="AC4" i="18"/>
  <c r="AC9" i="18"/>
  <c r="AC13" i="18" a="1"/>
  <c r="AC13" i="18" s="1"/>
  <c r="M4" i="18"/>
  <c r="M13" i="18" a="1"/>
  <c r="M13" i="18" s="1"/>
  <c r="M9" i="18"/>
  <c r="E4" i="18"/>
  <c r="E13" i="18" a="1"/>
  <c r="E13" i="18" s="1"/>
  <c r="E9" i="18"/>
  <c r="AB4" i="18"/>
  <c r="AB12" i="18"/>
  <c r="AB9" i="18"/>
  <c r="AB13" i="18" a="1"/>
  <c r="AB13" i="18" s="1"/>
  <c r="T4" i="18"/>
  <c r="T9" i="18"/>
  <c r="T12" i="18"/>
  <c r="T13" i="18" a="1"/>
  <c r="T13" i="18" s="1"/>
  <c r="L4" i="18"/>
  <c r="L12" i="18"/>
  <c r="L9" i="18"/>
  <c r="L13" i="18" a="1"/>
  <c r="L13" i="18" s="1"/>
  <c r="D4" i="18"/>
  <c r="D13" i="18" a="1"/>
  <c r="D13" i="18" s="1"/>
  <c r="D9" i="18"/>
  <c r="D12" i="18"/>
  <c r="AA7" i="18"/>
  <c r="S7" i="18"/>
  <c r="K7" i="18"/>
  <c r="C7" i="18"/>
  <c r="B2" i="6" l="1"/>
  <c r="B3" i="6"/>
  <c r="B4" i="6"/>
  <c r="B5" i="6"/>
  <c r="B8" i="6"/>
  <c r="B6" i="6"/>
  <c r="B7" i="6"/>
  <c r="B72" i="18"/>
  <c r="E77" i="18"/>
  <c r="E78" i="18" s="1"/>
  <c r="F77" i="18"/>
  <c r="G77" i="18"/>
  <c r="G78" i="18" s="1"/>
  <c r="H77" i="18"/>
  <c r="H79" i="18" s="1"/>
  <c r="I77" i="18"/>
  <c r="I79" i="18" s="1"/>
  <c r="J77" i="18"/>
  <c r="J79" i="18" s="1"/>
  <c r="K77" i="18"/>
  <c r="K79" i="18" s="1"/>
  <c r="L77" i="18"/>
  <c r="L79" i="18" s="1"/>
  <c r="M77" i="18"/>
  <c r="M79" i="18" s="1"/>
  <c r="N77" i="18"/>
  <c r="N79" i="18" s="1"/>
  <c r="O77" i="18"/>
  <c r="O79" i="18" s="1"/>
  <c r="P77" i="18"/>
  <c r="P78" i="18" s="1"/>
  <c r="Q77" i="18"/>
  <c r="Q78" i="18" s="1"/>
  <c r="R77" i="18"/>
  <c r="R78" i="18" s="1"/>
  <c r="S77" i="18"/>
  <c r="S79" i="18" s="1"/>
  <c r="T77" i="18"/>
  <c r="T79" i="18" s="1"/>
  <c r="U77" i="18"/>
  <c r="U78" i="18" s="1"/>
  <c r="V77" i="18"/>
  <c r="V78" i="18" s="1"/>
  <c r="W77" i="18"/>
  <c r="W78" i="18" s="1"/>
  <c r="X77" i="18"/>
  <c r="X78" i="18" s="1"/>
  <c r="Y77" i="18"/>
  <c r="Y78" i="18" s="1"/>
  <c r="Z77" i="18"/>
  <c r="Z78" i="18" s="1"/>
  <c r="AA77" i="18"/>
  <c r="AA78" i="18" s="1"/>
  <c r="AB77" i="18"/>
  <c r="AB79" i="18" s="1"/>
  <c r="AC77" i="18"/>
  <c r="AC78" i="18" s="1"/>
  <c r="AD77" i="18"/>
  <c r="AD79" i="18" s="1"/>
  <c r="AE77" i="18"/>
  <c r="AE79" i="18" s="1"/>
  <c r="AF77" i="18"/>
  <c r="AF78" i="18" s="1"/>
  <c r="AG77" i="18"/>
  <c r="AG79" i="18" s="1"/>
  <c r="AH77" i="18"/>
  <c r="AH79" i="18" s="1"/>
  <c r="AI77" i="18"/>
  <c r="AI78" i="18" s="1"/>
  <c r="F78" i="18"/>
  <c r="E76" i="18"/>
  <c r="F76" i="18"/>
  <c r="G76" i="18"/>
  <c r="H76" i="18"/>
  <c r="I76" i="18"/>
  <c r="J76" i="18"/>
  <c r="K76" i="18"/>
  <c r="L76" i="18"/>
  <c r="M76" i="18"/>
  <c r="N76" i="18"/>
  <c r="O76" i="18"/>
  <c r="P76" i="18"/>
  <c r="Q76" i="18"/>
  <c r="R76" i="18"/>
  <c r="S76" i="18"/>
  <c r="T76" i="18"/>
  <c r="U76" i="18"/>
  <c r="V76" i="18"/>
  <c r="W76" i="18"/>
  <c r="X76" i="18"/>
  <c r="Y76" i="18"/>
  <c r="Z76" i="18"/>
  <c r="AA76" i="18"/>
  <c r="AB76" i="18"/>
  <c r="AC76" i="18"/>
  <c r="AD76" i="18"/>
  <c r="AE76" i="18"/>
  <c r="AF76" i="18"/>
  <c r="AG76" i="18"/>
  <c r="AH76" i="18"/>
  <c r="AI76" i="18"/>
  <c r="F79" i="18"/>
  <c r="K7" i="6" l="1"/>
  <c r="S7" i="6"/>
  <c r="AA7" i="6"/>
  <c r="P7" i="6"/>
  <c r="C7" i="6"/>
  <c r="D7" i="6"/>
  <c r="L7" i="6"/>
  <c r="T7" i="6"/>
  <c r="AB7" i="6"/>
  <c r="H7" i="6"/>
  <c r="AF7" i="6"/>
  <c r="J7" i="6"/>
  <c r="Z7" i="6"/>
  <c r="E7" i="6"/>
  <c r="M7" i="6"/>
  <c r="U7" i="6"/>
  <c r="AC7" i="6"/>
  <c r="F7" i="6"/>
  <c r="N7" i="6"/>
  <c r="V7" i="6"/>
  <c r="AD7" i="6"/>
  <c r="X7" i="6"/>
  <c r="G7" i="6"/>
  <c r="O7" i="6"/>
  <c r="W7" i="6"/>
  <c r="AE7" i="6"/>
  <c r="I7" i="6"/>
  <c r="Q7" i="6"/>
  <c r="Y7" i="6"/>
  <c r="R7" i="6"/>
  <c r="H6" i="6"/>
  <c r="P6" i="6"/>
  <c r="X6" i="6"/>
  <c r="AF6" i="6"/>
  <c r="M6" i="6"/>
  <c r="O6" i="6"/>
  <c r="I6" i="6"/>
  <c r="Q6" i="6"/>
  <c r="Y6" i="6"/>
  <c r="E6" i="6"/>
  <c r="U6" i="6"/>
  <c r="J6" i="6"/>
  <c r="R6" i="6"/>
  <c r="Z6" i="6"/>
  <c r="K6" i="6"/>
  <c r="S6" i="6"/>
  <c r="AA6" i="6"/>
  <c r="G6" i="6"/>
  <c r="D6" i="6"/>
  <c r="L6" i="6"/>
  <c r="T6" i="6"/>
  <c r="AB6" i="6"/>
  <c r="AC6" i="6"/>
  <c r="AE6" i="6"/>
  <c r="F6" i="6"/>
  <c r="N6" i="6"/>
  <c r="V6" i="6"/>
  <c r="AD6" i="6"/>
  <c r="C6" i="6"/>
  <c r="W6" i="6"/>
  <c r="F8" i="6"/>
  <c r="N8" i="6"/>
  <c r="V8" i="6"/>
  <c r="AD8" i="6"/>
  <c r="C8" i="6"/>
  <c r="AA8" i="6"/>
  <c r="G8" i="6"/>
  <c r="O8" i="6"/>
  <c r="W8" i="6"/>
  <c r="AE8" i="6"/>
  <c r="H8" i="6"/>
  <c r="P8" i="6"/>
  <c r="X8" i="6"/>
  <c r="AF8" i="6"/>
  <c r="K8" i="6"/>
  <c r="U8" i="6"/>
  <c r="I8" i="6"/>
  <c r="Q8" i="6"/>
  <c r="Y8" i="6"/>
  <c r="E8" i="6"/>
  <c r="J8" i="6"/>
  <c r="R8" i="6"/>
  <c r="Z8" i="6"/>
  <c r="S8" i="6"/>
  <c r="M8" i="6"/>
  <c r="D8" i="6"/>
  <c r="L8" i="6"/>
  <c r="T8" i="6"/>
  <c r="AB8" i="6"/>
  <c r="AC8" i="6"/>
  <c r="E5" i="6"/>
  <c r="M5" i="6"/>
  <c r="U5" i="6"/>
  <c r="AC5" i="6"/>
  <c r="R5" i="6"/>
  <c r="F5" i="6"/>
  <c r="N5" i="6"/>
  <c r="V5" i="6"/>
  <c r="AD5" i="6"/>
  <c r="C5" i="6"/>
  <c r="G5" i="6"/>
  <c r="O5" i="6"/>
  <c r="W5" i="6"/>
  <c r="AE5" i="6"/>
  <c r="Z5" i="6"/>
  <c r="AB5" i="6"/>
  <c r="H5" i="6"/>
  <c r="P5" i="6"/>
  <c r="X5" i="6"/>
  <c r="AF5" i="6"/>
  <c r="J5" i="6"/>
  <c r="I5" i="6"/>
  <c r="Q5" i="6"/>
  <c r="Y5" i="6"/>
  <c r="K5" i="6"/>
  <c r="S5" i="6"/>
  <c r="AA5" i="6"/>
  <c r="D5" i="6"/>
  <c r="L5" i="6"/>
  <c r="T5" i="6"/>
  <c r="J4" i="6"/>
  <c r="R4" i="6"/>
  <c r="Z4" i="6"/>
  <c r="G4" i="6"/>
  <c r="AE4" i="6"/>
  <c r="K4" i="6"/>
  <c r="S4" i="6"/>
  <c r="AA4" i="6"/>
  <c r="W4" i="6"/>
  <c r="D4" i="6"/>
  <c r="L4" i="6"/>
  <c r="T4" i="6"/>
  <c r="AB4" i="6"/>
  <c r="E4" i="6"/>
  <c r="M4" i="6"/>
  <c r="U4" i="6"/>
  <c r="AC4" i="6"/>
  <c r="F4" i="6"/>
  <c r="N4" i="6"/>
  <c r="V4" i="6"/>
  <c r="AD4" i="6"/>
  <c r="C4" i="6"/>
  <c r="O4" i="6"/>
  <c r="H4" i="6"/>
  <c r="P4" i="6"/>
  <c r="X4" i="6"/>
  <c r="AF4" i="6"/>
  <c r="I4" i="6"/>
  <c r="Q4" i="6"/>
  <c r="Y4" i="6"/>
  <c r="G3" i="6"/>
  <c r="O3" i="6"/>
  <c r="W3" i="6"/>
  <c r="AE3" i="6"/>
  <c r="L3" i="6"/>
  <c r="T3" i="6"/>
  <c r="H3" i="6"/>
  <c r="P3" i="6"/>
  <c r="X3" i="6"/>
  <c r="AF3" i="6"/>
  <c r="D3" i="6"/>
  <c r="AB3" i="6"/>
  <c r="I3" i="6"/>
  <c r="Q3" i="6"/>
  <c r="Y3" i="6"/>
  <c r="J3" i="6"/>
  <c r="R3" i="6"/>
  <c r="Z3" i="6"/>
  <c r="C3" i="6"/>
  <c r="K3" i="6"/>
  <c r="S3" i="6"/>
  <c r="AA3" i="6"/>
  <c r="E3" i="6"/>
  <c r="M3" i="6"/>
  <c r="U3" i="6"/>
  <c r="AC3" i="6"/>
  <c r="F3" i="6"/>
  <c r="N3" i="6"/>
  <c r="V3" i="6"/>
  <c r="AD3" i="6"/>
  <c r="D2" i="6"/>
  <c r="L2" i="6"/>
  <c r="T2" i="6"/>
  <c r="AB2" i="6"/>
  <c r="E2" i="6"/>
  <c r="M2" i="6"/>
  <c r="U2" i="6"/>
  <c r="AC2" i="6"/>
  <c r="C2" i="6"/>
  <c r="F2" i="6"/>
  <c r="N2" i="6"/>
  <c r="V2" i="6"/>
  <c r="AD2" i="6"/>
  <c r="Q2" i="6"/>
  <c r="G2" i="6"/>
  <c r="O2" i="6"/>
  <c r="W2" i="6"/>
  <c r="AE2" i="6"/>
  <c r="Y2" i="6"/>
  <c r="H2" i="6"/>
  <c r="P2" i="6"/>
  <c r="X2" i="6"/>
  <c r="AF2" i="6"/>
  <c r="I2" i="6"/>
  <c r="J2" i="6"/>
  <c r="R2" i="6"/>
  <c r="Z2" i="6"/>
  <c r="K2" i="6"/>
  <c r="S2" i="6"/>
  <c r="AA2" i="6"/>
  <c r="AF80" i="18"/>
  <c r="P80" i="18"/>
  <c r="U80" i="18"/>
  <c r="E80" i="18"/>
  <c r="Z79" i="18"/>
  <c r="N78" i="18"/>
  <c r="N80" i="18" s="1"/>
  <c r="N82" i="18" s="1"/>
  <c r="M78" i="18"/>
  <c r="M80" i="18" s="1"/>
  <c r="M81" i="18" s="1"/>
  <c r="Z80" i="18"/>
  <c r="P79" i="18"/>
  <c r="W80" i="18"/>
  <c r="E79" i="18"/>
  <c r="V79" i="18"/>
  <c r="AD78" i="18"/>
  <c r="AD80" i="18" s="1"/>
  <c r="AD82" i="18" s="1"/>
  <c r="W79" i="18"/>
  <c r="G79" i="18"/>
  <c r="U79" i="18"/>
  <c r="U81" i="18" s="1"/>
  <c r="AE78" i="18"/>
  <c r="AE80" i="18" s="1"/>
  <c r="AE81" i="18" s="1"/>
  <c r="AC79" i="18"/>
  <c r="O78" i="18"/>
  <c r="O80" i="18" s="1"/>
  <c r="O81" i="18" s="1"/>
  <c r="H78" i="18"/>
  <c r="H80" i="18" s="1"/>
  <c r="H81" i="18" s="1"/>
  <c r="X79" i="18"/>
  <c r="Y79" i="18"/>
  <c r="AG78" i="18"/>
  <c r="AG80" i="18" s="1"/>
  <c r="I78" i="18"/>
  <c r="I80" i="18" s="1"/>
  <c r="I82" i="18" s="1"/>
  <c r="Q79" i="18"/>
  <c r="J78" i="18"/>
  <c r="J80" i="18" s="1"/>
  <c r="J82" i="18" s="1"/>
  <c r="AH78" i="18"/>
  <c r="AH80" i="18" s="1"/>
  <c r="AH81" i="18" s="1"/>
  <c r="R79" i="18"/>
  <c r="K78" i="18"/>
  <c r="K80" i="18" s="1"/>
  <c r="K82" i="18" s="1"/>
  <c r="S78" i="18"/>
  <c r="S80" i="18" s="1"/>
  <c r="S82" i="18" s="1"/>
  <c r="AI79" i="18"/>
  <c r="AA79" i="18"/>
  <c r="AF79" i="18"/>
  <c r="AF82" i="18" s="1"/>
  <c r="X80" i="18"/>
  <c r="AA80" i="18"/>
  <c r="G80" i="18"/>
  <c r="R80" i="18"/>
  <c r="AI80" i="18"/>
  <c r="F80" i="18"/>
  <c r="F81" i="18" s="1"/>
  <c r="Q80" i="18"/>
  <c r="V80" i="18"/>
  <c r="Y80" i="18"/>
  <c r="AC80" i="18"/>
  <c r="AB78" i="18"/>
  <c r="AB80" i="18" s="1"/>
  <c r="AB81" i="18" s="1"/>
  <c r="T78" i="18"/>
  <c r="T80" i="18" s="1"/>
  <c r="T82" i="18" s="1"/>
  <c r="L78" i="18"/>
  <c r="L80" i="18" s="1"/>
  <c r="L82" i="18" s="1"/>
  <c r="P82" i="18" l="1"/>
  <c r="Z82" i="18"/>
  <c r="E82" i="18"/>
  <c r="AI82" i="18"/>
  <c r="P81" i="18"/>
  <c r="V81" i="18"/>
  <c r="Z81" i="18"/>
  <c r="U82" i="18"/>
  <c r="M82" i="18"/>
  <c r="G82" i="18"/>
  <c r="X82" i="18"/>
  <c r="W82" i="18"/>
  <c r="W81" i="18"/>
  <c r="AD81" i="18"/>
  <c r="N81" i="18"/>
  <c r="X81" i="18"/>
  <c r="AC82" i="18"/>
  <c r="R82" i="18"/>
  <c r="AF81" i="18"/>
  <c r="Y82" i="18"/>
  <c r="O82" i="18"/>
  <c r="AA82" i="18"/>
  <c r="Q82" i="18"/>
  <c r="AE82" i="18"/>
  <c r="E81" i="18"/>
  <c r="F82" i="18"/>
  <c r="H82" i="18"/>
  <c r="V82" i="18"/>
  <c r="J81" i="18"/>
  <c r="AG81" i="18"/>
  <c r="AG82" i="18"/>
  <c r="AA81" i="18"/>
  <c r="AI81" i="18"/>
  <c r="AC81" i="18"/>
  <c r="R81" i="18"/>
  <c r="Q81" i="18"/>
  <c r="Y81" i="18"/>
  <c r="G81" i="18"/>
  <c r="AH82" i="18"/>
  <c r="K81" i="18"/>
  <c r="I81" i="18"/>
  <c r="S81" i="18"/>
  <c r="L81" i="18"/>
  <c r="AB82" i="18"/>
  <c r="T81" i="18"/>
  <c r="E65" i="18" l="1"/>
  <c r="E67" i="18" s="1"/>
  <c r="E66" i="18"/>
  <c r="F65" i="18"/>
  <c r="F67" i="18" s="1"/>
  <c r="G65" i="18"/>
  <c r="G67" i="18" s="1"/>
  <c r="H65" i="18"/>
  <c r="H67" i="18" s="1"/>
  <c r="I65" i="18"/>
  <c r="I67" i="18" s="1"/>
  <c r="J65" i="18"/>
  <c r="J67" i="18" s="1"/>
  <c r="K65" i="18"/>
  <c r="K67" i="18" s="1"/>
  <c r="L65" i="18"/>
  <c r="L67" i="18" s="1"/>
  <c r="M65" i="18"/>
  <c r="M67" i="18" s="1"/>
  <c r="N65" i="18"/>
  <c r="N67" i="18" s="1"/>
  <c r="O65" i="18"/>
  <c r="O67" i="18" s="1"/>
  <c r="P65" i="18"/>
  <c r="P67" i="18" s="1"/>
  <c r="Q65" i="18"/>
  <c r="Q67" i="18" s="1"/>
  <c r="R65" i="18"/>
  <c r="R67" i="18" s="1"/>
  <c r="S65" i="18"/>
  <c r="S67" i="18" s="1"/>
  <c r="T65" i="18"/>
  <c r="T67" i="18" s="1"/>
  <c r="U65" i="18"/>
  <c r="U67" i="18" s="1"/>
  <c r="V65" i="18"/>
  <c r="V67" i="18" s="1"/>
  <c r="W65" i="18"/>
  <c r="W67" i="18" s="1"/>
  <c r="X65" i="18"/>
  <c r="X67" i="18" s="1"/>
  <c r="Y65" i="18"/>
  <c r="Y67" i="18" s="1"/>
  <c r="Z65" i="18"/>
  <c r="Z67" i="18" s="1"/>
  <c r="AA65" i="18"/>
  <c r="AA67" i="18" s="1"/>
  <c r="AB65" i="18"/>
  <c r="AB67" i="18" s="1"/>
  <c r="AC65" i="18"/>
  <c r="AC67" i="18" s="1"/>
  <c r="AD65" i="18"/>
  <c r="AD67" i="18" s="1"/>
  <c r="AE65" i="18"/>
  <c r="AE67" i="18" s="1"/>
  <c r="AF65" i="18"/>
  <c r="AF67" i="18" s="1"/>
  <c r="AG65" i="18"/>
  <c r="AG67" i="18" s="1"/>
  <c r="AH65" i="18"/>
  <c r="AH67" i="18" s="1"/>
  <c r="AI65" i="18"/>
  <c r="AI67" i="18" s="1"/>
  <c r="F64" i="18"/>
  <c r="F66" i="18" s="1"/>
  <c r="G64" i="18"/>
  <c r="G66" i="18" s="1"/>
  <c r="H64" i="18"/>
  <c r="H66" i="18" s="1"/>
  <c r="I64" i="18"/>
  <c r="I66" i="18" s="1"/>
  <c r="J64" i="18"/>
  <c r="J66" i="18" s="1"/>
  <c r="K64" i="18"/>
  <c r="K66" i="18" s="1"/>
  <c r="L64" i="18"/>
  <c r="L66" i="18" s="1"/>
  <c r="M64" i="18"/>
  <c r="M66" i="18" s="1"/>
  <c r="N64" i="18"/>
  <c r="N66" i="18" s="1"/>
  <c r="O64" i="18"/>
  <c r="O66" i="18" s="1"/>
  <c r="P64" i="18"/>
  <c r="P66" i="18" s="1"/>
  <c r="Q64" i="18"/>
  <c r="Q66" i="18" s="1"/>
  <c r="R64" i="18"/>
  <c r="R66" i="18" s="1"/>
  <c r="S64" i="18"/>
  <c r="S66" i="18" s="1"/>
  <c r="T64" i="18"/>
  <c r="T66" i="18" s="1"/>
  <c r="U64" i="18"/>
  <c r="U66" i="18" s="1"/>
  <c r="V64" i="18"/>
  <c r="V66" i="18" s="1"/>
  <c r="W64" i="18"/>
  <c r="W66" i="18" s="1"/>
  <c r="X64" i="18"/>
  <c r="X66" i="18" s="1"/>
  <c r="Y64" i="18"/>
  <c r="Y66" i="18" s="1"/>
  <c r="Z64" i="18"/>
  <c r="Z66" i="18" s="1"/>
  <c r="AA64" i="18"/>
  <c r="AA66" i="18" s="1"/>
  <c r="AB64" i="18"/>
  <c r="AB66" i="18" s="1"/>
  <c r="AC64" i="18"/>
  <c r="AC66" i="18" s="1"/>
  <c r="AD64" i="18"/>
  <c r="AD66" i="18" s="1"/>
  <c r="AE64" i="18"/>
  <c r="AE66" i="18" s="1"/>
  <c r="AF64" i="18"/>
  <c r="AF66" i="18" s="1"/>
  <c r="AG64" i="18"/>
  <c r="AG66" i="18" s="1"/>
  <c r="AH64" i="18"/>
  <c r="AH66" i="18" s="1"/>
  <c r="AI64" i="18"/>
  <c r="AI66" i="18" s="1"/>
  <c r="F63" i="18"/>
  <c r="G63" i="18"/>
  <c r="H63" i="18"/>
  <c r="I63" i="18"/>
  <c r="J63" i="18"/>
  <c r="K63" i="18"/>
  <c r="L63" i="18"/>
  <c r="M63" i="18"/>
  <c r="N63" i="18"/>
  <c r="O63" i="18"/>
  <c r="P63" i="18"/>
  <c r="Q63" i="18"/>
  <c r="R63" i="18"/>
  <c r="S63" i="18"/>
  <c r="T63" i="18"/>
  <c r="U63" i="18"/>
  <c r="V63" i="18"/>
  <c r="W63" i="18"/>
  <c r="X63" i="18"/>
  <c r="Y63" i="18"/>
  <c r="Z63" i="18"/>
  <c r="AA63" i="18"/>
  <c r="AB63" i="18"/>
  <c r="AC63" i="18"/>
  <c r="AD63" i="18"/>
  <c r="AE63" i="18"/>
  <c r="AF63" i="18"/>
  <c r="AG63" i="18"/>
  <c r="AH63" i="18"/>
  <c r="AI63" i="18"/>
  <c r="G69" i="18" l="1"/>
  <c r="D5" i="10" s="1"/>
  <c r="U68" i="18"/>
  <c r="R2" i="10" s="1"/>
  <c r="T9" i="24" s="1"/>
  <c r="E68" i="18"/>
  <c r="B2" i="10" s="1"/>
  <c r="D9" i="24" s="1"/>
  <c r="AG69" i="18"/>
  <c r="AD5" i="10" s="1"/>
  <c r="Y68" i="18"/>
  <c r="V2" i="10" s="1"/>
  <c r="X9" i="24" s="1"/>
  <c r="Q69" i="18"/>
  <c r="N5" i="10" s="1"/>
  <c r="I68" i="18"/>
  <c r="F2" i="10" s="1"/>
  <c r="H9" i="24" s="1"/>
  <c r="W69" i="18"/>
  <c r="T5" i="10" s="1"/>
  <c r="O69" i="18"/>
  <c r="L5" i="10" s="1"/>
  <c r="AE69" i="18"/>
  <c r="AB5" i="10" s="1"/>
  <c r="AI69" i="18"/>
  <c r="AF5" i="10" s="1"/>
  <c r="AI68" i="18"/>
  <c r="AF2" i="10" s="1"/>
  <c r="AH9" i="24" s="1"/>
  <c r="S69" i="18"/>
  <c r="P5" i="10" s="1"/>
  <c r="S68" i="18"/>
  <c r="P2" i="10" s="1"/>
  <c r="R9" i="24" s="1"/>
  <c r="K68" i="18"/>
  <c r="H2" i="10" s="1"/>
  <c r="J9" i="24" s="1"/>
  <c r="K69" i="18"/>
  <c r="H5" i="10" s="1"/>
  <c r="AH69" i="18"/>
  <c r="AE5" i="10" s="1"/>
  <c r="AH68" i="18"/>
  <c r="AE2" i="10" s="1"/>
  <c r="AG9" i="24" s="1"/>
  <c r="Z68" i="18"/>
  <c r="W2" i="10" s="1"/>
  <c r="Y9" i="24" s="1"/>
  <c r="Z69" i="18"/>
  <c r="W5" i="10" s="1"/>
  <c r="J69" i="18"/>
  <c r="G5" i="10" s="1"/>
  <c r="J68" i="18"/>
  <c r="G2" i="10" s="1"/>
  <c r="I9" i="24" s="1"/>
  <c r="Y69" i="18"/>
  <c r="V5" i="10" s="1"/>
  <c r="I69" i="18"/>
  <c r="F5" i="10" s="1"/>
  <c r="AF68" i="18"/>
  <c r="AC2" i="10" s="1"/>
  <c r="AE9" i="24" s="1"/>
  <c r="AF69" i="18"/>
  <c r="AC5" i="10" s="1"/>
  <c r="P68" i="18"/>
  <c r="M2" i="10" s="1"/>
  <c r="O9" i="24" s="1"/>
  <c r="P69" i="18"/>
  <c r="M5" i="10" s="1"/>
  <c r="H69" i="18"/>
  <c r="E5" i="10" s="1"/>
  <c r="H68" i="18"/>
  <c r="E2" i="10" s="1"/>
  <c r="G9" i="24" s="1"/>
  <c r="AE68" i="18"/>
  <c r="AB2" i="10" s="1"/>
  <c r="AD9" i="24" s="1"/>
  <c r="W68" i="18"/>
  <c r="T2" i="10" s="1"/>
  <c r="V9" i="24" s="1"/>
  <c r="O68" i="18"/>
  <c r="L2" i="10" s="1"/>
  <c r="N9" i="24" s="1"/>
  <c r="G68" i="18"/>
  <c r="D2" i="10" s="1"/>
  <c r="F9" i="24" s="1"/>
  <c r="AD69" i="18"/>
  <c r="AA5" i="10" s="1"/>
  <c r="V69" i="18"/>
  <c r="S5" i="10" s="1"/>
  <c r="N69" i="18"/>
  <c r="K5" i="10" s="1"/>
  <c r="F69" i="18"/>
  <c r="C5" i="10" s="1"/>
  <c r="AA69" i="18"/>
  <c r="X5" i="10" s="1"/>
  <c r="AA68" i="18"/>
  <c r="X2" i="10" s="1"/>
  <c r="Z9" i="24" s="1"/>
  <c r="X68" i="18"/>
  <c r="U2" i="10" s="1"/>
  <c r="W9" i="24" s="1"/>
  <c r="X69" i="18"/>
  <c r="U5" i="10" s="1"/>
  <c r="AD68" i="18"/>
  <c r="AA2" i="10" s="1"/>
  <c r="AC9" i="24" s="1"/>
  <c r="V68" i="18"/>
  <c r="S2" i="10" s="1"/>
  <c r="U9" i="24" s="1"/>
  <c r="N68" i="18"/>
  <c r="K2" i="10" s="1"/>
  <c r="M9" i="24" s="1"/>
  <c r="F68" i="18"/>
  <c r="C2" i="10" s="1"/>
  <c r="E9" i="24" s="1"/>
  <c r="U69" i="18"/>
  <c r="R5" i="10" s="1"/>
  <c r="R69" i="18"/>
  <c r="O5" i="10" s="1"/>
  <c r="R68" i="18"/>
  <c r="O2" i="10" s="1"/>
  <c r="Q9" i="24" s="1"/>
  <c r="AG68" i="18"/>
  <c r="AD2" i="10" s="1"/>
  <c r="AF9" i="24" s="1"/>
  <c r="Q68" i="18"/>
  <c r="N2" i="10" s="1"/>
  <c r="P9" i="24" s="1"/>
  <c r="AB68" i="18"/>
  <c r="Y2" i="10" s="1"/>
  <c r="AA9" i="24" s="1"/>
  <c r="AB69" i="18"/>
  <c r="Y5" i="10" s="1"/>
  <c r="T69" i="18"/>
  <c r="Q5" i="10" s="1"/>
  <c r="T68" i="18"/>
  <c r="Q2" i="10" s="1"/>
  <c r="S9" i="24" s="1"/>
  <c r="L68" i="18"/>
  <c r="I2" i="10" s="1"/>
  <c r="K9" i="24" s="1"/>
  <c r="L69" i="18"/>
  <c r="I5" i="10" s="1"/>
  <c r="AC69" i="18"/>
  <c r="Z5" i="10" s="1"/>
  <c r="AC68" i="18"/>
  <c r="Z2" i="10" s="1"/>
  <c r="AB9" i="24" s="1"/>
  <c r="M69" i="18"/>
  <c r="J5" i="10" s="1"/>
  <c r="M68" i="18"/>
  <c r="J2" i="10" s="1"/>
  <c r="L9" i="24" s="1"/>
  <c r="E69" i="18"/>
  <c r="B5" i="10" s="1"/>
  <c r="C5" i="11" l="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B5" i="11"/>
  <c r="C55" i="18" l="1"/>
  <c r="D55" i="18"/>
  <c r="E55" i="18"/>
  <c r="F55" i="18"/>
  <c r="G55" i="18"/>
  <c r="H55" i="18"/>
  <c r="I55" i="18"/>
  <c r="J55" i="18"/>
  <c r="K55" i="18"/>
  <c r="L55" i="18"/>
  <c r="M55" i="18"/>
  <c r="N55" i="18"/>
  <c r="O55" i="18"/>
  <c r="P55" i="18"/>
  <c r="Q55" i="18"/>
  <c r="R55" i="18"/>
  <c r="S55" i="18"/>
  <c r="T55" i="18"/>
  <c r="U55" i="18"/>
  <c r="V55" i="18"/>
  <c r="W55" i="18"/>
  <c r="X55" i="18"/>
  <c r="Y55" i="18"/>
  <c r="Z55" i="18"/>
  <c r="AA55" i="18"/>
  <c r="AB55" i="18"/>
  <c r="AC55" i="18"/>
  <c r="AD55" i="18"/>
  <c r="AE55" i="18"/>
  <c r="AF55" i="18"/>
  <c r="B55" i="18"/>
  <c r="B56" i="18" s="1"/>
  <c r="C54" i="18"/>
  <c r="D54" i="18"/>
  <c r="E54" i="18"/>
  <c r="F54" i="18"/>
  <c r="G54" i="18"/>
  <c r="H54" i="18"/>
  <c r="I54" i="18"/>
  <c r="J54" i="18"/>
  <c r="K54" i="18"/>
  <c r="L54" i="18"/>
  <c r="M54" i="18"/>
  <c r="N54" i="18"/>
  <c r="O54" i="18"/>
  <c r="P54" i="18"/>
  <c r="Q54" i="18"/>
  <c r="R54" i="18"/>
  <c r="S54" i="18"/>
  <c r="T54" i="18"/>
  <c r="U54" i="18"/>
  <c r="V54" i="18"/>
  <c r="W54" i="18"/>
  <c r="X54" i="18"/>
  <c r="Y54" i="18"/>
  <c r="Z54" i="18"/>
  <c r="AA54" i="18"/>
  <c r="AB54" i="18"/>
  <c r="AC54" i="18"/>
  <c r="AD54" i="18"/>
  <c r="AE54" i="18"/>
  <c r="AF54" i="18"/>
  <c r="Z56" i="18" l="1"/>
  <c r="Y56" i="18"/>
  <c r="Q56" i="18"/>
  <c r="I56" i="18"/>
  <c r="AF56" i="18"/>
  <c r="X56" i="18"/>
  <c r="P56" i="18"/>
  <c r="H56" i="18"/>
  <c r="AE56" i="18"/>
  <c r="W56" i="18"/>
  <c r="O56" i="18"/>
  <c r="G56" i="18"/>
  <c r="AD56" i="18"/>
  <c r="V56" i="18"/>
  <c r="N56" i="18"/>
  <c r="F56" i="18"/>
  <c r="AC56" i="18"/>
  <c r="U56" i="18"/>
  <c r="M56" i="18"/>
  <c r="E56" i="18"/>
  <c r="J56" i="18"/>
  <c r="AB56" i="18"/>
  <c r="T56" i="18"/>
  <c r="L56" i="18"/>
  <c r="D56" i="18"/>
  <c r="R56" i="18"/>
  <c r="AA56" i="18"/>
  <c r="S56" i="18"/>
  <c r="K56" i="18"/>
  <c r="C56" i="18"/>
  <c r="C47" i="18"/>
  <c r="C52" i="18" s="1"/>
  <c r="D47" i="18"/>
  <c r="D52" i="18" s="1"/>
  <c r="E47" i="18"/>
  <c r="E52" i="18" s="1"/>
  <c r="F47" i="18"/>
  <c r="F52" i="18" s="1"/>
  <c r="G47" i="18"/>
  <c r="G52" i="18" s="1"/>
  <c r="H47" i="18"/>
  <c r="H52" i="18" s="1"/>
  <c r="I47" i="18"/>
  <c r="I52" i="18" s="1"/>
  <c r="J47" i="18"/>
  <c r="J52" i="18" s="1"/>
  <c r="K47" i="18"/>
  <c r="K52" i="18" s="1"/>
  <c r="L47" i="18"/>
  <c r="L52" i="18" s="1"/>
  <c r="M47" i="18"/>
  <c r="M52" i="18" s="1"/>
  <c r="N47" i="18"/>
  <c r="N52" i="18" s="1"/>
  <c r="O47" i="18"/>
  <c r="O52" i="18" s="1"/>
  <c r="P47" i="18"/>
  <c r="P52" i="18" s="1"/>
  <c r="Q47" i="18"/>
  <c r="Q52" i="18" s="1"/>
  <c r="R47" i="18"/>
  <c r="R52" i="18" s="1"/>
  <c r="S47" i="18"/>
  <c r="S52" i="18" s="1"/>
  <c r="T47" i="18"/>
  <c r="T52" i="18" s="1"/>
  <c r="U47" i="18"/>
  <c r="U52" i="18" s="1"/>
  <c r="V47" i="18"/>
  <c r="V52" i="18" s="1"/>
  <c r="W47" i="18"/>
  <c r="W52" i="18" s="1"/>
  <c r="X47" i="18"/>
  <c r="X52" i="18" s="1"/>
  <c r="Y47" i="18"/>
  <c r="Y52" i="18" s="1"/>
  <c r="Z47" i="18"/>
  <c r="Z52" i="18" s="1"/>
  <c r="AA47" i="18"/>
  <c r="AA52" i="18" s="1"/>
  <c r="AB47" i="18"/>
  <c r="AB52" i="18" s="1"/>
  <c r="AC47" i="18"/>
  <c r="AC52" i="18" s="1"/>
  <c r="AD47" i="18"/>
  <c r="AD52" i="18" s="1"/>
  <c r="AE47" i="18"/>
  <c r="AE52" i="18" s="1"/>
  <c r="AF47" i="18"/>
  <c r="AF52" i="18" s="1"/>
  <c r="B47" i="18"/>
  <c r="B52" i="18" s="1"/>
  <c r="D49" i="18"/>
  <c r="E49" i="18"/>
  <c r="F49" i="18"/>
  <c r="G49" i="18"/>
  <c r="H49" i="18"/>
  <c r="I49" i="18"/>
  <c r="J49" i="18"/>
  <c r="K49" i="18"/>
  <c r="L49" i="18"/>
  <c r="M49" i="18"/>
  <c r="N49" i="18"/>
  <c r="O49" i="18"/>
  <c r="P49" i="18"/>
  <c r="Q49" i="18"/>
  <c r="R49" i="18"/>
  <c r="S49" i="18"/>
  <c r="T49" i="18"/>
  <c r="U49" i="18"/>
  <c r="V49" i="18"/>
  <c r="W49" i="18"/>
  <c r="X49" i="18"/>
  <c r="Y49" i="18"/>
  <c r="Z49" i="18"/>
  <c r="AA49" i="18"/>
  <c r="AB49" i="18"/>
  <c r="AC49" i="18"/>
  <c r="AD49" i="18"/>
  <c r="AE49" i="18"/>
  <c r="AF49" i="18"/>
  <c r="D50" i="18"/>
  <c r="E50" i="18"/>
  <c r="F50" i="18"/>
  <c r="G50" i="18"/>
  <c r="H50" i="18"/>
  <c r="I50" i="18"/>
  <c r="J50" i="18"/>
  <c r="K50" i="18"/>
  <c r="L50" i="18"/>
  <c r="M50" i="18"/>
  <c r="N50" i="18"/>
  <c r="O50" i="18"/>
  <c r="P50" i="18"/>
  <c r="Q50" i="18"/>
  <c r="R50" i="18"/>
  <c r="S50" i="18"/>
  <c r="T50" i="18"/>
  <c r="U50" i="18"/>
  <c r="V50" i="18"/>
  <c r="W50" i="18"/>
  <c r="X50" i="18"/>
  <c r="Y50" i="18"/>
  <c r="Z50" i="18"/>
  <c r="AA50" i="18"/>
  <c r="AB50" i="18"/>
  <c r="AC50" i="18"/>
  <c r="AD50" i="18"/>
  <c r="AE50" i="18"/>
  <c r="AF50" i="18"/>
  <c r="C49" i="18"/>
  <c r="C50" i="18"/>
  <c r="B50" i="18"/>
  <c r="C44" i="18"/>
  <c r="D44" i="18"/>
  <c r="E44" i="18"/>
  <c r="F44" i="18"/>
  <c r="G44" i="18"/>
  <c r="H44" i="18"/>
  <c r="I44" i="18"/>
  <c r="J44" i="18"/>
  <c r="K44" i="18"/>
  <c r="L44" i="18"/>
  <c r="M44" i="18"/>
  <c r="N44" i="18"/>
  <c r="O44" i="18"/>
  <c r="P44" i="18"/>
  <c r="Q44" i="18"/>
  <c r="R44" i="18"/>
  <c r="S44" i="18"/>
  <c r="T44" i="18"/>
  <c r="U44" i="18"/>
  <c r="V44" i="18"/>
  <c r="W44" i="18"/>
  <c r="X44" i="18"/>
  <c r="Y44" i="18"/>
  <c r="Z44" i="18"/>
  <c r="AA44" i="18"/>
  <c r="AB44" i="18"/>
  <c r="AC44" i="18"/>
  <c r="AD44" i="18"/>
  <c r="AE44" i="18"/>
  <c r="AF44" i="18"/>
  <c r="C45" i="18"/>
  <c r="D45" i="18"/>
  <c r="E45" i="18"/>
  <c r="F45" i="18"/>
  <c r="G45" i="18"/>
  <c r="H45" i="18"/>
  <c r="I45" i="18"/>
  <c r="J45" i="18"/>
  <c r="K45" i="18"/>
  <c r="L45" i="18"/>
  <c r="M45" i="18"/>
  <c r="N45" i="18"/>
  <c r="O45" i="18"/>
  <c r="P45" i="18"/>
  <c r="Q45" i="18"/>
  <c r="R45" i="18"/>
  <c r="S45" i="18"/>
  <c r="T45" i="18"/>
  <c r="U45" i="18"/>
  <c r="V45" i="18"/>
  <c r="W45" i="18"/>
  <c r="X45" i="18"/>
  <c r="Y45" i="18"/>
  <c r="Z45" i="18"/>
  <c r="AA45" i="18"/>
  <c r="AB45" i="18"/>
  <c r="AC45" i="18"/>
  <c r="AD45" i="18"/>
  <c r="AE45" i="18"/>
  <c r="AF45" i="18"/>
  <c r="B45" i="18"/>
  <c r="B49" i="18"/>
  <c r="AC46" i="18" l="1"/>
  <c r="AC51" i="18" s="1"/>
  <c r="AC58" i="18" s="1"/>
  <c r="M46" i="18"/>
  <c r="M51" i="18" s="1"/>
  <c r="M58" i="18" s="1"/>
  <c r="E46" i="18"/>
  <c r="U46" i="18"/>
  <c r="U51" i="18" s="1"/>
  <c r="U58" i="18" s="1"/>
  <c r="AD46" i="18"/>
  <c r="AD51" i="18" s="1"/>
  <c r="AD58" i="18" s="1"/>
  <c r="V46" i="18"/>
  <c r="V51" i="18" s="1"/>
  <c r="V58" i="18" s="1"/>
  <c r="N46" i="18"/>
  <c r="N51" i="18" s="1"/>
  <c r="N58" i="18" s="1"/>
  <c r="F46" i="18"/>
  <c r="F51" i="18" s="1"/>
  <c r="F58" i="18" s="1"/>
  <c r="AB46" i="18"/>
  <c r="AB51" i="18" s="1"/>
  <c r="AB58" i="18" s="1"/>
  <c r="T46" i="18"/>
  <c r="T51" i="18" s="1"/>
  <c r="T58" i="18" s="1"/>
  <c r="L46" i="18"/>
  <c r="L51" i="18" s="1"/>
  <c r="L58" i="18" s="1"/>
  <c r="D46" i="18"/>
  <c r="D51" i="18" s="1"/>
  <c r="D58" i="18" s="1"/>
  <c r="AF46" i="18"/>
  <c r="AF51" i="18" s="1"/>
  <c r="AF58" i="18" s="1"/>
  <c r="H46" i="18"/>
  <c r="H51" i="18" s="1"/>
  <c r="H58" i="18" s="1"/>
  <c r="G46" i="18"/>
  <c r="G51" i="18" s="1"/>
  <c r="G58" i="18" s="1"/>
  <c r="AE46" i="18"/>
  <c r="AE51" i="18" s="1"/>
  <c r="AE58" i="18" s="1"/>
  <c r="W46" i="18"/>
  <c r="W51" i="18" s="1"/>
  <c r="W58" i="18" s="1"/>
  <c r="E51" i="18"/>
  <c r="E58" i="18" s="1"/>
  <c r="O46" i="18"/>
  <c r="O51" i="18" s="1"/>
  <c r="O58" i="18" s="1"/>
  <c r="Z46" i="18"/>
  <c r="Z51" i="18" s="1"/>
  <c r="Z58" i="18" s="1"/>
  <c r="R46" i="18"/>
  <c r="R51" i="18" s="1"/>
  <c r="R58" i="18" s="1"/>
  <c r="J46" i="18"/>
  <c r="J51" i="18" s="1"/>
  <c r="J58" i="18" s="1"/>
  <c r="I46" i="18"/>
  <c r="I51" i="18" s="1"/>
  <c r="I58" i="18" s="1"/>
  <c r="Y46" i="18"/>
  <c r="Y51" i="18" s="1"/>
  <c r="Y58" i="18" s="1"/>
  <c r="Q46" i="18"/>
  <c r="Q51" i="18" s="1"/>
  <c r="Q58" i="18" s="1"/>
  <c r="X46" i="18"/>
  <c r="X51" i="18" s="1"/>
  <c r="X58" i="18" s="1"/>
  <c r="P46" i="18"/>
  <c r="P51" i="18" s="1"/>
  <c r="P58" i="18" s="1"/>
  <c r="C46" i="18"/>
  <c r="C51" i="18" s="1"/>
  <c r="C58" i="18" s="1"/>
  <c r="K46" i="18"/>
  <c r="K51" i="18" s="1"/>
  <c r="K58" i="18" s="1"/>
  <c r="S46" i="18"/>
  <c r="S51" i="18" s="1"/>
  <c r="S58" i="18" s="1"/>
  <c r="AA46" i="18"/>
  <c r="AA51" i="18" s="1"/>
  <c r="AA58" i="18" s="1"/>
  <c r="B46" i="18"/>
  <c r="B51" i="18" s="1"/>
  <c r="B58" i="18" s="1"/>
  <c r="E14" i="24" l="1"/>
  <c r="F14" i="24"/>
  <c r="G14" i="24"/>
  <c r="H14" i="24"/>
  <c r="I14" i="24"/>
  <c r="J14" i="24"/>
  <c r="K14" i="24"/>
  <c r="L14" i="24"/>
  <c r="M14" i="24"/>
  <c r="N14" i="24"/>
  <c r="O14" i="24"/>
  <c r="P14" i="24"/>
  <c r="Q14" i="24"/>
  <c r="R14" i="24"/>
  <c r="S14" i="24"/>
  <c r="T14" i="24"/>
  <c r="U14" i="24"/>
  <c r="V14" i="24"/>
  <c r="W14" i="24"/>
  <c r="X14" i="24"/>
  <c r="Y14" i="24"/>
  <c r="Z14" i="24"/>
  <c r="AA14" i="24"/>
  <c r="AB14" i="24"/>
  <c r="AC14" i="24"/>
  <c r="AD14" i="24"/>
  <c r="AE14" i="24"/>
  <c r="AF14" i="24"/>
  <c r="AG14" i="24"/>
  <c r="AH14" i="24"/>
  <c r="D14" i="24"/>
  <c r="D3" i="24" l="1"/>
  <c r="D11" i="24" l="1"/>
  <c r="D8" i="24"/>
  <c r="E5" i="24"/>
  <c r="F2" i="24"/>
  <c r="E2" i="24"/>
  <c r="B8" i="18"/>
  <c r="B3" i="18"/>
  <c r="B5" i="18" s="1"/>
  <c r="C3" i="18"/>
  <c r="C5" i="18" s="1"/>
  <c r="C8" i="18"/>
  <c r="G2" i="24"/>
  <c r="B5" i="9" l="1"/>
  <c r="B5" i="8"/>
  <c r="B5" i="13"/>
  <c r="C5" i="13" s="1"/>
  <c r="E10" i="24"/>
  <c r="D5" i="8" l="1"/>
  <c r="Q5" i="8"/>
  <c r="N5" i="8"/>
  <c r="AF5" i="8"/>
  <c r="T5" i="8"/>
  <c r="X5" i="8"/>
  <c r="E5" i="8"/>
  <c r="P5" i="8"/>
  <c r="S5" i="8"/>
  <c r="AC5" i="8"/>
  <c r="L5" i="8"/>
  <c r="I5" i="8"/>
  <c r="G5" i="8"/>
  <c r="R5" i="8"/>
  <c r="AA5" i="8"/>
  <c r="Z5" i="8"/>
  <c r="U5" i="8"/>
  <c r="AE5" i="8"/>
  <c r="Y5" i="8"/>
  <c r="M5" i="8"/>
  <c r="O5" i="8"/>
  <c r="H5" i="8"/>
  <c r="W5" i="8"/>
  <c r="K5" i="8"/>
  <c r="F5" i="8"/>
  <c r="AD5" i="8"/>
  <c r="AB5" i="8"/>
  <c r="V5" i="8"/>
  <c r="J5" i="8"/>
  <c r="C5" i="8"/>
  <c r="E5" i="9"/>
  <c r="C5" i="9"/>
  <c r="AA5" i="9"/>
  <c r="T5" i="9"/>
  <c r="Z5" i="9"/>
  <c r="P5" i="9"/>
  <c r="M5" i="9"/>
  <c r="H5" i="9"/>
  <c r="N5" i="9"/>
  <c r="I5" i="9"/>
  <c r="S5" i="9"/>
  <c r="K5" i="9"/>
  <c r="J5" i="9"/>
  <c r="AE5" i="9"/>
  <c r="V5" i="9"/>
  <c r="W5" i="9"/>
  <c r="AF5" i="9"/>
  <c r="R5" i="9"/>
  <c r="Y5" i="9"/>
  <c r="AC5" i="9"/>
  <c r="X5" i="9"/>
  <c r="Q5" i="9"/>
  <c r="AD5" i="9"/>
  <c r="U5" i="9"/>
  <c r="AB5" i="9"/>
  <c r="O5" i="9"/>
  <c r="F5" i="9"/>
  <c r="G5" i="9"/>
  <c r="L5" i="9"/>
  <c r="D5" i="9"/>
  <c r="D5" i="13"/>
  <c r="E5" i="13" s="1"/>
  <c r="F5" i="13" s="1"/>
  <c r="G5" i="13" s="1"/>
  <c r="H5" i="13" s="1"/>
  <c r="I5" i="13" s="1"/>
  <c r="J5" i="13" s="1"/>
  <c r="K5" i="13" s="1"/>
  <c r="L5" i="13" s="1"/>
  <c r="M5" i="13" s="1"/>
  <c r="N5" i="13" s="1"/>
  <c r="O5" i="13" s="1"/>
  <c r="P5" i="13" s="1"/>
  <c r="Q5" i="13" s="1"/>
  <c r="R5" i="13" s="1"/>
  <c r="S5" i="13" s="1"/>
  <c r="T5" i="13" s="1"/>
  <c r="U5" i="13" s="1"/>
  <c r="V5" i="13" s="1"/>
  <c r="W5" i="13" s="1"/>
  <c r="X5" i="13" s="1"/>
  <c r="Y5" i="13" s="1"/>
  <c r="Z5" i="13" s="1"/>
  <c r="AA5" i="13" s="1"/>
  <c r="AB5" i="13" s="1"/>
  <c r="AC5" i="13" s="1"/>
  <c r="AD5" i="13" s="1"/>
  <c r="AE5" i="13" s="1"/>
  <c r="AF5" i="13" s="1"/>
  <c r="E12" i="24"/>
  <c r="D4" i="24"/>
  <c r="AG4" i="24" l="1"/>
  <c r="Y4" i="24"/>
  <c r="Q4" i="24"/>
  <c r="I4" i="24"/>
  <c r="AH4" i="24"/>
  <c r="Z4" i="24"/>
  <c r="R4" i="24"/>
  <c r="J4" i="24"/>
  <c r="O4" i="24"/>
  <c r="G4" i="24"/>
  <c r="L4" i="24"/>
  <c r="AB4" i="24"/>
  <c r="T4" i="24"/>
  <c r="AF4" i="24"/>
  <c r="X4" i="24"/>
  <c r="P4" i="24"/>
  <c r="H4" i="24"/>
  <c r="S4" i="24"/>
  <c r="K4" i="24"/>
  <c r="AE4" i="24"/>
  <c r="W4" i="24"/>
  <c r="AA4" i="24"/>
  <c r="AD4" i="24"/>
  <c r="V4" i="24"/>
  <c r="N4" i="24"/>
  <c r="F4" i="24"/>
  <c r="AC4" i="24"/>
  <c r="U4" i="24"/>
  <c r="M4" i="24"/>
  <c r="E4" i="24"/>
  <c r="B39" i="18" l="1"/>
  <c r="B35" i="18"/>
  <c r="B8" i="5" l="1"/>
  <c r="I8" i="5" l="1"/>
  <c r="Z8" i="5"/>
  <c r="D8" i="5"/>
  <c r="L8" i="5"/>
  <c r="P8" i="5"/>
  <c r="E8" i="5"/>
  <c r="AC8" i="5"/>
  <c r="Q8" i="5"/>
  <c r="AF8" i="5"/>
  <c r="R8" i="5"/>
  <c r="W8" i="5"/>
  <c r="C8" i="5"/>
  <c r="X8" i="5"/>
  <c r="AB8" i="5"/>
  <c r="O8" i="5"/>
  <c r="AA8" i="5"/>
  <c r="U8" i="5"/>
  <c r="T8" i="5"/>
  <c r="G8" i="5"/>
  <c r="S8" i="5"/>
  <c r="H8" i="5"/>
  <c r="V8" i="5"/>
  <c r="J8" i="5"/>
  <c r="AE8" i="5"/>
  <c r="K8" i="5"/>
  <c r="F8" i="5"/>
  <c r="AD8" i="5"/>
  <c r="M8" i="5"/>
  <c r="N8" i="5"/>
  <c r="Y8" i="5"/>
  <c r="E3" i="24" l="1"/>
  <c r="F3" i="24"/>
  <c r="G3" i="24"/>
  <c r="H3" i="24"/>
  <c r="I3" i="24"/>
  <c r="J3" i="24"/>
  <c r="K3" i="24"/>
  <c r="L3" i="24"/>
  <c r="M3" i="24"/>
  <c r="N3" i="24"/>
  <c r="O3" i="24"/>
  <c r="P3" i="24"/>
  <c r="Q3" i="24"/>
  <c r="R3" i="24"/>
  <c r="S3" i="24"/>
  <c r="T3" i="24"/>
  <c r="U3" i="24"/>
  <c r="V3" i="24"/>
  <c r="W3" i="24"/>
  <c r="X3" i="24"/>
  <c r="Y3" i="24"/>
  <c r="Z3" i="24"/>
  <c r="AA3" i="24"/>
  <c r="AB3" i="24"/>
  <c r="AC3" i="24"/>
  <c r="AD3" i="24"/>
  <c r="AE3" i="24"/>
  <c r="AF3" i="24"/>
  <c r="AG3" i="24"/>
  <c r="AH3" i="24"/>
  <c r="M8" i="24" l="1"/>
  <c r="U8" i="24"/>
  <c r="AC8" i="24"/>
  <c r="AD8" i="24"/>
  <c r="Q8" i="24"/>
  <c r="AB8" i="24"/>
  <c r="F8" i="24"/>
  <c r="N8" i="24"/>
  <c r="V8" i="24"/>
  <c r="AG8" i="24"/>
  <c r="S8" i="24"/>
  <c r="G8" i="24"/>
  <c r="O8" i="24"/>
  <c r="W8" i="24"/>
  <c r="AE8" i="24"/>
  <c r="B8" i="10"/>
  <c r="H8" i="24"/>
  <c r="P8" i="24"/>
  <c r="X8" i="24"/>
  <c r="AF8" i="24"/>
  <c r="I8" i="24"/>
  <c r="Y8" i="24"/>
  <c r="J8" i="24"/>
  <c r="R8" i="24"/>
  <c r="Z8" i="24"/>
  <c r="AH8" i="24"/>
  <c r="AA8" i="24"/>
  <c r="L8" i="24"/>
  <c r="K8" i="24"/>
  <c r="T8" i="24"/>
  <c r="D13" i="24"/>
  <c r="F5" i="24"/>
  <c r="G5" i="24"/>
  <c r="H5" i="24"/>
  <c r="I5" i="24"/>
  <c r="J5" i="24"/>
  <c r="K5" i="24"/>
  <c r="L5" i="24"/>
  <c r="M5" i="24"/>
  <c r="N5" i="24"/>
  <c r="O5" i="24"/>
  <c r="P5" i="24"/>
  <c r="Q5" i="24"/>
  <c r="R5" i="24"/>
  <c r="S5" i="24"/>
  <c r="T5" i="24"/>
  <c r="U5" i="24"/>
  <c r="V5" i="24"/>
  <c r="W5" i="24"/>
  <c r="X5" i="24"/>
  <c r="Y5" i="24"/>
  <c r="Z5" i="24"/>
  <c r="AA5" i="24"/>
  <c r="AB5" i="24"/>
  <c r="AC5" i="24"/>
  <c r="AD5" i="24"/>
  <c r="AE5" i="24"/>
  <c r="AF5" i="24"/>
  <c r="AG5" i="24"/>
  <c r="AH5" i="24"/>
  <c r="J8" i="10" l="1"/>
  <c r="Y8" i="10"/>
  <c r="AF8" i="10"/>
  <c r="N8" i="10"/>
  <c r="Q8" i="10"/>
  <c r="E8" i="10"/>
  <c r="X8" i="10"/>
  <c r="F8" i="10"/>
  <c r="AE8" i="10"/>
  <c r="AB8" i="10"/>
  <c r="O8" i="10"/>
  <c r="P8" i="10"/>
  <c r="T8" i="10"/>
  <c r="AD8" i="10"/>
  <c r="H8" i="10"/>
  <c r="AC8" i="10"/>
  <c r="L8" i="10"/>
  <c r="AA8" i="10"/>
  <c r="V8" i="10"/>
  <c r="R8" i="10"/>
  <c r="W8" i="10"/>
  <c r="U8" i="10"/>
  <c r="D8" i="10"/>
  <c r="S8" i="10"/>
  <c r="I8" i="10"/>
  <c r="G8" i="10"/>
  <c r="M8" i="10"/>
  <c r="Z8" i="10"/>
  <c r="K8" i="10"/>
  <c r="B8" i="14"/>
  <c r="B7" i="14"/>
  <c r="H2" i="24"/>
  <c r="I2" i="24"/>
  <c r="J2" i="24"/>
  <c r="K2" i="24"/>
  <c r="L2" i="24"/>
  <c r="M2" i="24"/>
  <c r="N2" i="24"/>
  <c r="O2" i="24"/>
  <c r="P2" i="24"/>
  <c r="Q2" i="24"/>
  <c r="R2" i="24"/>
  <c r="S2" i="24"/>
  <c r="T2" i="24"/>
  <c r="U2" i="24"/>
  <c r="V2" i="24"/>
  <c r="W2" i="24"/>
  <c r="X2" i="24"/>
  <c r="Y2" i="24"/>
  <c r="Z2" i="24"/>
  <c r="AA2" i="24"/>
  <c r="AB2" i="24"/>
  <c r="AC2" i="24"/>
  <c r="AD2" i="24"/>
  <c r="AE2" i="24"/>
  <c r="AF2" i="24"/>
  <c r="AG2" i="24"/>
  <c r="AH2" i="24"/>
  <c r="D10" i="24"/>
  <c r="D8" i="18"/>
  <c r="F10" i="24" s="1"/>
  <c r="E8" i="18"/>
  <c r="G10" i="24" s="1"/>
  <c r="F8" i="18"/>
  <c r="H10" i="24" s="1"/>
  <c r="G8" i="18"/>
  <c r="I10" i="24" s="1"/>
  <c r="H8" i="18"/>
  <c r="J10" i="24" s="1"/>
  <c r="I8" i="18"/>
  <c r="K10" i="24" s="1"/>
  <c r="J8" i="18"/>
  <c r="L10" i="24" s="1"/>
  <c r="K8" i="18"/>
  <c r="M10" i="24" s="1"/>
  <c r="L8" i="18"/>
  <c r="N10" i="24" s="1"/>
  <c r="M8" i="18"/>
  <c r="O10" i="24" s="1"/>
  <c r="N8" i="18"/>
  <c r="P10" i="24" s="1"/>
  <c r="O8" i="18"/>
  <c r="Q10" i="24" s="1"/>
  <c r="P8" i="18"/>
  <c r="R10" i="24" s="1"/>
  <c r="Q8" i="18"/>
  <c r="S10" i="24" s="1"/>
  <c r="R8" i="18"/>
  <c r="T10" i="24" s="1"/>
  <c r="S8" i="18"/>
  <c r="U10" i="24" s="1"/>
  <c r="T8" i="18"/>
  <c r="V10" i="24" s="1"/>
  <c r="U8" i="18"/>
  <c r="W10" i="24" s="1"/>
  <c r="V8" i="18"/>
  <c r="X10" i="24" s="1"/>
  <c r="W8" i="18"/>
  <c r="Y10" i="24" s="1"/>
  <c r="X8" i="18"/>
  <c r="Z10" i="24" s="1"/>
  <c r="Y8" i="18"/>
  <c r="AA10" i="24" s="1"/>
  <c r="Z8" i="18"/>
  <c r="AB10" i="24" s="1"/>
  <c r="AA8" i="18"/>
  <c r="AC10" i="24" s="1"/>
  <c r="AB8" i="18"/>
  <c r="AD10" i="24" s="1"/>
  <c r="AC8" i="18"/>
  <c r="AE10" i="24" s="1"/>
  <c r="AD8" i="18"/>
  <c r="AF10" i="24" s="1"/>
  <c r="AE8" i="18"/>
  <c r="AG10" i="24" s="1"/>
  <c r="AF8" i="18"/>
  <c r="AH10" i="24" s="1"/>
  <c r="D3" i="18"/>
  <c r="D5" i="18" s="1"/>
  <c r="E3" i="18"/>
  <c r="E5" i="18" s="1"/>
  <c r="F3" i="18"/>
  <c r="F5" i="18" s="1"/>
  <c r="G3" i="18"/>
  <c r="G5" i="18" s="1"/>
  <c r="H3" i="18"/>
  <c r="H5" i="18" s="1"/>
  <c r="I3" i="18"/>
  <c r="I5" i="18" s="1"/>
  <c r="J3" i="18"/>
  <c r="J5" i="18" s="1"/>
  <c r="K3" i="18"/>
  <c r="K5" i="18" s="1"/>
  <c r="L3" i="18"/>
  <c r="L5" i="18" s="1"/>
  <c r="M3" i="18"/>
  <c r="M5" i="18" s="1"/>
  <c r="N3" i="18"/>
  <c r="N5" i="18" s="1"/>
  <c r="O3" i="18"/>
  <c r="O5" i="18" s="1"/>
  <c r="P3" i="18"/>
  <c r="P5" i="18" s="1"/>
  <c r="Q3" i="18"/>
  <c r="Q5" i="18" s="1"/>
  <c r="R3" i="18"/>
  <c r="R5" i="18" s="1"/>
  <c r="S3" i="18"/>
  <c r="S5" i="18" s="1"/>
  <c r="T3" i="18"/>
  <c r="T5" i="18" s="1"/>
  <c r="U3" i="18"/>
  <c r="U5" i="18" s="1"/>
  <c r="V3" i="18"/>
  <c r="V5" i="18" s="1"/>
  <c r="W3" i="18"/>
  <c r="W5" i="18" s="1"/>
  <c r="X3" i="18"/>
  <c r="X5" i="18" s="1"/>
  <c r="Y3" i="18"/>
  <c r="Y5" i="18" s="1"/>
  <c r="Z3" i="18"/>
  <c r="Z5" i="18" s="1"/>
  <c r="AA3" i="18"/>
  <c r="AA5" i="18" s="1"/>
  <c r="AB3" i="18"/>
  <c r="AB5" i="18" s="1"/>
  <c r="AC3" i="18"/>
  <c r="AC5" i="18" s="1"/>
  <c r="AD3" i="18"/>
  <c r="AD5" i="18" s="1"/>
  <c r="AE3" i="18"/>
  <c r="AE5" i="18" s="1"/>
  <c r="AF3" i="18"/>
  <c r="AF5" i="18" s="1"/>
  <c r="AF2" i="9" l="1"/>
  <c r="Z7" i="24"/>
  <c r="P8" i="9"/>
  <c r="J7" i="24"/>
  <c r="AB2" i="11"/>
  <c r="AB8" i="11"/>
  <c r="T2" i="11"/>
  <c r="T8" i="11"/>
  <c r="L2" i="11"/>
  <c r="L8" i="11"/>
  <c r="D2" i="11"/>
  <c r="D8" i="11"/>
  <c r="K2" i="11"/>
  <c r="K8" i="11"/>
  <c r="Z2" i="11"/>
  <c r="Z8" i="11"/>
  <c r="R2" i="11"/>
  <c r="R8" i="11"/>
  <c r="J2" i="11"/>
  <c r="J8" i="11"/>
  <c r="B2" i="11"/>
  <c r="B8" i="11"/>
  <c r="AA2" i="11"/>
  <c r="AA8" i="11"/>
  <c r="Y2" i="11"/>
  <c r="Y8" i="11"/>
  <c r="Q2" i="11"/>
  <c r="Q8" i="11"/>
  <c r="I2" i="11"/>
  <c r="I8" i="11"/>
  <c r="AF2" i="11"/>
  <c r="AF8" i="11"/>
  <c r="X2" i="11"/>
  <c r="X8" i="11"/>
  <c r="P2" i="11"/>
  <c r="P8" i="11"/>
  <c r="H2" i="11"/>
  <c r="H8" i="11"/>
  <c r="S2" i="11"/>
  <c r="S8" i="11"/>
  <c r="AE2" i="11"/>
  <c r="AE8" i="11"/>
  <c r="W2" i="11"/>
  <c r="W8" i="11"/>
  <c r="O2" i="11"/>
  <c r="O8" i="11"/>
  <c r="G2" i="11"/>
  <c r="G8" i="11"/>
  <c r="AD2" i="11"/>
  <c r="AD8" i="11"/>
  <c r="V2" i="11"/>
  <c r="V8" i="11"/>
  <c r="N2" i="11"/>
  <c r="N8" i="11"/>
  <c r="F2" i="11"/>
  <c r="F8" i="11"/>
  <c r="C2" i="11"/>
  <c r="C8" i="11"/>
  <c r="AC2" i="11"/>
  <c r="AC8" i="11"/>
  <c r="U2" i="11"/>
  <c r="U8" i="11"/>
  <c r="M2" i="11"/>
  <c r="M8" i="11"/>
  <c r="E2" i="11"/>
  <c r="E8" i="11"/>
  <c r="C8" i="8"/>
  <c r="AG7" i="24"/>
  <c r="Y7" i="24"/>
  <c r="Q7" i="24"/>
  <c r="I7" i="24"/>
  <c r="AB7" i="24"/>
  <c r="T7" i="24"/>
  <c r="L7" i="24"/>
  <c r="X6" i="24"/>
  <c r="P6" i="24"/>
  <c r="H6" i="24"/>
  <c r="AF6" i="24"/>
  <c r="AB6" i="24"/>
  <c r="T6" i="24"/>
  <c r="L6" i="24"/>
  <c r="AA6" i="24"/>
  <c r="S6" i="24"/>
  <c r="K6" i="24"/>
  <c r="R12" i="24"/>
  <c r="Q12" i="24"/>
  <c r="AF12" i="24"/>
  <c r="X12" i="24"/>
  <c r="P12" i="24"/>
  <c r="H12" i="24"/>
  <c r="W12" i="24"/>
  <c r="R6" i="24"/>
  <c r="AD12" i="24"/>
  <c r="V12" i="24"/>
  <c r="N12" i="24"/>
  <c r="F12" i="24"/>
  <c r="Z12" i="24"/>
  <c r="Y12" i="24"/>
  <c r="O12" i="24"/>
  <c r="Z6" i="24"/>
  <c r="AG6" i="24"/>
  <c r="Y6" i="24"/>
  <c r="Q6" i="24"/>
  <c r="I6" i="24"/>
  <c r="AC12" i="24"/>
  <c r="U12" i="24"/>
  <c r="M12" i="24"/>
  <c r="J12" i="24"/>
  <c r="I12" i="24"/>
  <c r="G12" i="24"/>
  <c r="AB12" i="24"/>
  <c r="T12" i="24"/>
  <c r="L12" i="24"/>
  <c r="D12" i="24"/>
  <c r="AH12" i="24"/>
  <c r="AG12" i="24"/>
  <c r="AE12" i="24"/>
  <c r="AH6" i="24"/>
  <c r="J6" i="24"/>
  <c r="AE6" i="24"/>
  <c r="W6" i="24"/>
  <c r="O6" i="24"/>
  <c r="G6" i="24"/>
  <c r="AA12" i="24"/>
  <c r="S12" i="24"/>
  <c r="K12" i="24"/>
  <c r="D4" i="14"/>
  <c r="F13" i="24" s="1"/>
  <c r="E4" i="14"/>
  <c r="G13" i="24" s="1"/>
  <c r="F4" i="14"/>
  <c r="H13" i="24" s="1"/>
  <c r="G4" i="14"/>
  <c r="I13" i="24" s="1"/>
  <c r="H4" i="14"/>
  <c r="J13" i="24" s="1"/>
  <c r="I4" i="14"/>
  <c r="K13" i="24" s="1"/>
  <c r="J4" i="14"/>
  <c r="L13" i="24" s="1"/>
  <c r="K4" i="14"/>
  <c r="M13" i="24" s="1"/>
  <c r="L4" i="14"/>
  <c r="N13" i="24" s="1"/>
  <c r="M4" i="14"/>
  <c r="O13" i="24" s="1"/>
  <c r="N4" i="14"/>
  <c r="P13" i="24" s="1"/>
  <c r="O4" i="14"/>
  <c r="Q13" i="24" s="1"/>
  <c r="P4" i="14"/>
  <c r="R13" i="24" s="1"/>
  <c r="Q4" i="14"/>
  <c r="S13" i="24" s="1"/>
  <c r="R4" i="14"/>
  <c r="T13" i="24" s="1"/>
  <c r="S4" i="14"/>
  <c r="U13" i="24" s="1"/>
  <c r="T4" i="14"/>
  <c r="V13" i="24" s="1"/>
  <c r="U4" i="14"/>
  <c r="W13" i="24" s="1"/>
  <c r="V4" i="14"/>
  <c r="X13" i="24" s="1"/>
  <c r="W4" i="14"/>
  <c r="Y13" i="24" s="1"/>
  <c r="X4" i="14"/>
  <c r="Z13" i="24" s="1"/>
  <c r="Y4" i="14"/>
  <c r="AA13" i="24" s="1"/>
  <c r="Z4" i="14"/>
  <c r="AB13" i="24" s="1"/>
  <c r="AA4" i="14"/>
  <c r="AC13" i="24" s="1"/>
  <c r="AB4" i="14"/>
  <c r="AD13" i="24" s="1"/>
  <c r="AC4" i="14"/>
  <c r="AE13" i="24" s="1"/>
  <c r="AD4" i="14"/>
  <c r="AF13" i="24" s="1"/>
  <c r="AE4" i="14"/>
  <c r="AG13" i="24" s="1"/>
  <c r="AF4" i="14"/>
  <c r="AH13" i="24" s="1"/>
  <c r="C4" i="14"/>
  <c r="E13" i="24" s="1"/>
  <c r="D6" i="24" l="1"/>
  <c r="E6" i="24"/>
  <c r="D7" i="24"/>
  <c r="E7" i="24"/>
  <c r="C2" i="9"/>
  <c r="X8" i="9"/>
  <c r="X2" i="9"/>
  <c r="H8" i="9"/>
  <c r="H2" i="9"/>
  <c r="S2" i="9"/>
  <c r="U7" i="24"/>
  <c r="T2" i="8"/>
  <c r="V6" i="24"/>
  <c r="S8" i="8"/>
  <c r="U6" i="24"/>
  <c r="AC8" i="9"/>
  <c r="AE7" i="24"/>
  <c r="D2" i="9"/>
  <c r="F7" i="24"/>
  <c r="M8" i="9"/>
  <c r="O7" i="24"/>
  <c r="Y2" i="9"/>
  <c r="AA7" i="24"/>
  <c r="F2" i="9"/>
  <c r="H7" i="24"/>
  <c r="L2" i="9"/>
  <c r="N7" i="24"/>
  <c r="Q2" i="9"/>
  <c r="S7" i="24"/>
  <c r="AA8" i="9"/>
  <c r="AC7" i="24"/>
  <c r="K2" i="8"/>
  <c r="M6" i="24"/>
  <c r="N8" i="9"/>
  <c r="P7" i="24"/>
  <c r="T8" i="9"/>
  <c r="V7" i="24"/>
  <c r="V2" i="9"/>
  <c r="X7" i="24"/>
  <c r="AB8" i="9"/>
  <c r="AD7" i="24"/>
  <c r="AA8" i="8"/>
  <c r="AC6" i="24"/>
  <c r="P2" i="9"/>
  <c r="R7" i="24"/>
  <c r="U8" i="9"/>
  <c r="W7" i="24"/>
  <c r="AD2" i="9"/>
  <c r="AF7" i="24"/>
  <c r="AB8" i="8"/>
  <c r="AD6" i="24"/>
  <c r="L2" i="8"/>
  <c r="N6" i="24"/>
  <c r="K8" i="9"/>
  <c r="M7" i="24"/>
  <c r="E2" i="9"/>
  <c r="G7" i="24"/>
  <c r="D8" i="8"/>
  <c r="F6" i="24"/>
  <c r="I8" i="9"/>
  <c r="K7" i="24"/>
  <c r="AF8" i="9"/>
  <c r="AH7" i="24"/>
  <c r="D8" i="9"/>
  <c r="AA2" i="8"/>
  <c r="AB2" i="9"/>
  <c r="N2" i="9"/>
  <c r="T2" i="9"/>
  <c r="K8" i="8"/>
  <c r="Q8" i="9"/>
  <c r="M2" i="9"/>
  <c r="L8" i="8"/>
  <c r="K2" i="9"/>
  <c r="Y8" i="9"/>
  <c r="U2" i="9"/>
  <c r="T8" i="8"/>
  <c r="I2" i="9"/>
  <c r="E8" i="9"/>
  <c r="S8" i="9"/>
  <c r="D2" i="8"/>
  <c r="AD8" i="9"/>
  <c r="AB2" i="8"/>
  <c r="L8" i="9"/>
  <c r="F8" i="9"/>
  <c r="C2" i="8"/>
  <c r="S2" i="8"/>
  <c r="AC2" i="9"/>
  <c r="V8" i="9"/>
  <c r="C8" i="9"/>
  <c r="AA2" i="9"/>
  <c r="Q8" i="8"/>
  <c r="Q2" i="8"/>
  <c r="N2" i="8"/>
  <c r="N8" i="8"/>
  <c r="Z8" i="9"/>
  <c r="Z2" i="9"/>
  <c r="W8" i="9"/>
  <c r="W2" i="9"/>
  <c r="I2" i="13"/>
  <c r="I8" i="13"/>
  <c r="W8" i="13"/>
  <c r="W2" i="13"/>
  <c r="N8" i="13"/>
  <c r="N2" i="13"/>
  <c r="AE8" i="13"/>
  <c r="AE2" i="13"/>
  <c r="G8" i="13"/>
  <c r="G2" i="13"/>
  <c r="O8" i="8"/>
  <c r="O2" i="8"/>
  <c r="L8" i="13"/>
  <c r="L2" i="13"/>
  <c r="AD8" i="13"/>
  <c r="AD2" i="13"/>
  <c r="H8" i="8"/>
  <c r="H2" i="8"/>
  <c r="F8" i="13"/>
  <c r="F2" i="13"/>
  <c r="Q8" i="13"/>
  <c r="Q2" i="13"/>
  <c r="AE8" i="9"/>
  <c r="AE2" i="9"/>
  <c r="E8" i="13"/>
  <c r="E2" i="13"/>
  <c r="V2" i="13"/>
  <c r="V8" i="13"/>
  <c r="E2" i="8"/>
  <c r="E8" i="8"/>
  <c r="AF8" i="13"/>
  <c r="AF2" i="13"/>
  <c r="H8" i="13"/>
  <c r="H2" i="13"/>
  <c r="W8" i="8"/>
  <c r="W2" i="8"/>
  <c r="T8" i="13"/>
  <c r="T2" i="13"/>
  <c r="O8" i="13"/>
  <c r="O2" i="13"/>
  <c r="J2" i="8"/>
  <c r="J8" i="8"/>
  <c r="AD2" i="8"/>
  <c r="AD8" i="8"/>
  <c r="AF8" i="8"/>
  <c r="AF2" i="8"/>
  <c r="X8" i="13"/>
  <c r="X2" i="13"/>
  <c r="Y2" i="13"/>
  <c r="Y8" i="13"/>
  <c r="M8" i="8"/>
  <c r="M2" i="8"/>
  <c r="B8" i="13"/>
  <c r="B2" i="13"/>
  <c r="C8" i="13"/>
  <c r="C2" i="13"/>
  <c r="AE8" i="8"/>
  <c r="AE2" i="8"/>
  <c r="AB8" i="13"/>
  <c r="AB2" i="13"/>
  <c r="P8" i="13"/>
  <c r="P2" i="13"/>
  <c r="R8" i="8"/>
  <c r="R2" i="8"/>
  <c r="AA8" i="13"/>
  <c r="AA2" i="13"/>
  <c r="V2" i="8"/>
  <c r="V8" i="8"/>
  <c r="AC8" i="13"/>
  <c r="AC2" i="13"/>
  <c r="D8" i="13"/>
  <c r="D2" i="13"/>
  <c r="U8" i="8"/>
  <c r="U2" i="8"/>
  <c r="J2" i="13"/>
  <c r="J8" i="13"/>
  <c r="K8" i="13"/>
  <c r="K2" i="13"/>
  <c r="X8" i="8"/>
  <c r="X2" i="8"/>
  <c r="P8" i="8"/>
  <c r="P2" i="8"/>
  <c r="B8" i="9"/>
  <c r="B2" i="9"/>
  <c r="Z2" i="8"/>
  <c r="Z8" i="8"/>
  <c r="J2" i="9"/>
  <c r="J8" i="9"/>
  <c r="G2" i="9"/>
  <c r="G8" i="9"/>
  <c r="Z2" i="13"/>
  <c r="Z8" i="13"/>
  <c r="Y8" i="8"/>
  <c r="Y2" i="8"/>
  <c r="G8" i="8"/>
  <c r="G2" i="8"/>
  <c r="AC2" i="8"/>
  <c r="AC8" i="8"/>
  <c r="R2" i="13"/>
  <c r="R8" i="13"/>
  <c r="S8" i="13"/>
  <c r="S2" i="13"/>
  <c r="M8" i="13"/>
  <c r="M2" i="13"/>
  <c r="U8" i="13"/>
  <c r="U2" i="13"/>
  <c r="I8" i="8"/>
  <c r="I2" i="8"/>
  <c r="F2" i="8"/>
  <c r="F8" i="8"/>
  <c r="R8" i="9"/>
  <c r="R2" i="9"/>
  <c r="O2" i="9"/>
  <c r="O8" i="9"/>
  <c r="AF7" i="14"/>
  <c r="AF8" i="14"/>
  <c r="AE7" i="14"/>
  <c r="AE8" i="14"/>
  <c r="W7" i="14"/>
  <c r="W8" i="14"/>
  <c r="S7" i="14"/>
  <c r="S8" i="14"/>
  <c r="O7" i="14"/>
  <c r="O8" i="14"/>
  <c r="K7" i="14"/>
  <c r="K8" i="14"/>
  <c r="AD8" i="14"/>
  <c r="AD7" i="14"/>
  <c r="Z8" i="14"/>
  <c r="Z7" i="14"/>
  <c r="V8" i="14"/>
  <c r="V7" i="14"/>
  <c r="R8" i="14"/>
  <c r="R7" i="14"/>
  <c r="N8" i="14"/>
  <c r="N7" i="14"/>
  <c r="J8" i="14"/>
  <c r="J7" i="14"/>
  <c r="F8" i="14"/>
  <c r="F7" i="14"/>
  <c r="AC8" i="14"/>
  <c r="AC7" i="14"/>
  <c r="Y8" i="14"/>
  <c r="Y7" i="14"/>
  <c r="U8" i="14"/>
  <c r="U7" i="14"/>
  <c r="Q8" i="14"/>
  <c r="Q7" i="14"/>
  <c r="M7" i="14"/>
  <c r="M8" i="14"/>
  <c r="I8" i="14"/>
  <c r="I7" i="14"/>
  <c r="E8" i="14"/>
  <c r="E7" i="14"/>
  <c r="AB7" i="14"/>
  <c r="AB8" i="14"/>
  <c r="T7" i="14"/>
  <c r="T8" i="14"/>
  <c r="P7" i="14"/>
  <c r="P8" i="14"/>
  <c r="L7" i="14"/>
  <c r="L8" i="14"/>
  <c r="H7" i="14"/>
  <c r="H8" i="14"/>
  <c r="D7" i="14"/>
  <c r="D8" i="14"/>
  <c r="C7" i="14"/>
  <c r="C8" i="14"/>
  <c r="X7" i="14"/>
  <c r="X8" i="14"/>
  <c r="AA7" i="14"/>
  <c r="AA8" i="14"/>
  <c r="G7" i="14"/>
  <c r="G8" i="14"/>
  <c r="D2" i="14"/>
  <c r="F2" i="14"/>
  <c r="G2" i="14"/>
  <c r="L2" i="14"/>
  <c r="N2" i="14"/>
  <c r="O2" i="14"/>
  <c r="T2" i="14"/>
  <c r="V2" i="14"/>
  <c r="W2" i="14"/>
  <c r="AB2" i="14"/>
  <c r="AD2" i="14"/>
  <c r="AE2" i="14"/>
  <c r="D3" i="14"/>
  <c r="E3" i="14"/>
  <c r="I3" i="14"/>
  <c r="J3" i="14"/>
  <c r="L3" i="14"/>
  <c r="M3" i="14"/>
  <c r="Q3" i="14"/>
  <c r="R3" i="14"/>
  <c r="T3" i="14"/>
  <c r="U3" i="14"/>
  <c r="Y3" i="14"/>
  <c r="Z3" i="14"/>
  <c r="AB3" i="14"/>
  <c r="AC3" i="14"/>
  <c r="C3" i="14"/>
  <c r="E2" i="14"/>
  <c r="F3" i="14"/>
  <c r="G5" i="14"/>
  <c r="H5" i="14"/>
  <c r="I2" i="14"/>
  <c r="J5" i="14"/>
  <c r="K3" i="14"/>
  <c r="M2" i="14"/>
  <c r="N3" i="14"/>
  <c r="O5" i="14"/>
  <c r="P5" i="14"/>
  <c r="Q2" i="14"/>
  <c r="R5" i="14"/>
  <c r="S3" i="14"/>
  <c r="U2" i="14"/>
  <c r="V3" i="14"/>
  <c r="W5" i="14"/>
  <c r="X5" i="14"/>
  <c r="Y2" i="14"/>
  <c r="Z5" i="14"/>
  <c r="AA3" i="14"/>
  <c r="AC2" i="14"/>
  <c r="AD3" i="14"/>
  <c r="AE5" i="14"/>
  <c r="AF5" i="14"/>
  <c r="D5" i="14"/>
  <c r="E5" i="14"/>
  <c r="F5" i="14"/>
  <c r="I5" i="14"/>
  <c r="L5" i="14"/>
  <c r="M5" i="14"/>
  <c r="N5" i="14"/>
  <c r="Q5" i="14"/>
  <c r="T5" i="14"/>
  <c r="U5" i="14"/>
  <c r="V5" i="14"/>
  <c r="Y5" i="14"/>
  <c r="AB5" i="14"/>
  <c r="AC5" i="14"/>
  <c r="AD5" i="14"/>
  <c r="D6" i="14"/>
  <c r="E6" i="14"/>
  <c r="F6" i="14"/>
  <c r="G6" i="14"/>
  <c r="I6" i="14"/>
  <c r="L6" i="14"/>
  <c r="M6" i="14"/>
  <c r="N6" i="14"/>
  <c r="O6" i="14"/>
  <c r="Q6" i="14"/>
  <c r="T6" i="14"/>
  <c r="U6" i="14"/>
  <c r="V6" i="14"/>
  <c r="W6" i="14"/>
  <c r="Y6" i="14"/>
  <c r="AB6" i="14"/>
  <c r="AC6" i="14"/>
  <c r="AD6" i="14"/>
  <c r="AE6" i="14"/>
  <c r="B2" i="8" l="1"/>
  <c r="B8" i="8"/>
  <c r="AA6" i="14"/>
  <c r="K6" i="14"/>
  <c r="AA2" i="14"/>
  <c r="K2" i="14"/>
  <c r="Z6" i="14"/>
  <c r="J6" i="14"/>
  <c r="AF3" i="14"/>
  <c r="P3" i="14"/>
  <c r="J2" i="14"/>
  <c r="AA5" i="14"/>
  <c r="S5" i="14"/>
  <c r="K5" i="14"/>
  <c r="C5" i="14"/>
  <c r="AE3" i="14"/>
  <c r="W3" i="14"/>
  <c r="O3" i="14"/>
  <c r="G3" i="14"/>
  <c r="S6" i="14"/>
  <c r="C6" i="14"/>
  <c r="S2" i="14"/>
  <c r="C2" i="14"/>
  <c r="R6" i="14"/>
  <c r="X3" i="14"/>
  <c r="H3" i="14"/>
  <c r="Z2" i="14"/>
  <c r="R2" i="14"/>
  <c r="AF6" i="14"/>
  <c r="X6" i="14"/>
  <c r="P6" i="14"/>
  <c r="H6" i="14"/>
  <c r="AF2" i="14"/>
  <c r="X2" i="14"/>
  <c r="P2" i="14"/>
  <c r="H2" i="14"/>
  <c r="E8" i="24"/>
  <c r="C8" i="10" l="1"/>
  <c r="B6" i="14"/>
  <c r="B2" i="14"/>
  <c r="B5" i="14"/>
  <c r="B3" i="14"/>
  <c r="I11" i="24"/>
  <c r="AF11" i="24"/>
  <c r="AD11" i="24"/>
  <c r="V11" i="24"/>
  <c r="N11" i="24"/>
  <c r="F11" i="24"/>
  <c r="P11" i="24"/>
  <c r="H11" i="24"/>
  <c r="AC11" i="24"/>
  <c r="AB11" i="24"/>
  <c r="X11" i="24"/>
  <c r="E11" i="24"/>
  <c r="W11" i="24"/>
  <c r="U11" i="24"/>
  <c r="T11" i="24"/>
  <c r="L11" i="24"/>
  <c r="AA11" i="24"/>
  <c r="O11" i="24"/>
  <c r="K11" i="24"/>
  <c r="AH11" i="24"/>
  <c r="Z11" i="24"/>
  <c r="R11" i="24"/>
  <c r="J11" i="24"/>
  <c r="AE11" i="24"/>
  <c r="G11" i="24"/>
  <c r="M11" i="24"/>
  <c r="S11" i="24"/>
  <c r="AG11" i="24"/>
  <c r="Y11" i="24"/>
  <c r="Q11" i="24"/>
  <c r="D5" i="24" l="1"/>
  <c r="D2" i="2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<sst xmlns="http://schemas.openxmlformats.org/spreadsheetml/2006/main" count="6784" uniqueCount="3418">
  <si>
    <t>BNVFE BAU New Vehicle Fuel Economy</t>
  </si>
  <si>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</si>
  <si>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</si>
  <si>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</si>
  <si>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</si>
  <si>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</si>
  <si>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</si>
  <si>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</si>
  <si>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</si>
  <si>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</si>
  <si>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</si>
  <si>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</si>
  <si>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</si>
  <si>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</si>
  <si>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</si>
  <si>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</si>
  <si>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</si>
  <si>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</si>
  <si>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</si>
  <si>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</si>
  <si>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</si>
  <si>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</si>
  <si>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</si>
  <si>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</si>
  <si>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</si>
  <si>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</si>
  <si>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</si>
  <si>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</si>
  <si>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</si>
  <si>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</si>
  <si>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</si>
  <si>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</si>
  <si>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</si>
  <si>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</si>
  <si>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</si>
  <si>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</si>
  <si>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</si>
  <si>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</si>
  <si>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</si>
  <si>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</si>
  <si>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</si>
  <si>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</si>
  <si>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</si>
  <si>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</si>
  <si>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</si>
  <si>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</si>
  <si>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</si>
  <si>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</si>
  <si>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</si>
  <si>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</si>
  <si>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</si>
  <si>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</si>
  <si>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</si>
  <si>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</si>
  <si>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</si>
  <si>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</si>
  <si>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</si>
  <si>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</si>
  <si>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</si>
  <si>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</si>
  <si>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</si>
  <si>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</si>
  <si>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</si>
  <si>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</si>
  <si>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</si>
  <si>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</si>
  <si>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</si>
  <si>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</si>
  <si>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</si>
  <si>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</si>
  <si>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</si>
  <si>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</si>
  <si>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</si>
  <si>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</si>
  <si>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</si>
  <si>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</si>
  <si>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</si>
  <si>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</si>
  <si>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</si>
  <si>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</si>
  <si>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</si>
  <si>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</si>
  <si>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</si>
  <si>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</si>
  <si>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</si>
  <si>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</si>
  <si>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</si>
  <si>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</si>
  <si>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</si>
  <si>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</si>
  <si>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</si>
  <si>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</si>
  <si>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</si>
  <si>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</si>
  <si>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</si>
  <si>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</si>
  <si>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</si>
  <si>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</si>
  <si>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</si>
  <si>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</si>
  <si>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</si>
  <si>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</si>
  <si>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</si>
  <si>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</si>
  <si>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</si>
  <si>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TKI000</t>
  </si>
  <si>
    <t>Release Date</t>
  </si>
  <si>
    <t>Datekey</t>
  </si>
  <si>
    <t>Reference case</t>
  </si>
  <si>
    <t>Scenario</t>
  </si>
  <si>
    <t>Report</t>
  </si>
  <si>
    <t>Notes</t>
  </si>
  <si>
    <t>battery electric vehicle</t>
  </si>
  <si>
    <t>natural gas vehicle</t>
  </si>
  <si>
    <t>gasoline vehicle</t>
  </si>
  <si>
    <t>diesel vehicle</t>
  </si>
  <si>
    <t>plugin hybrid vehicle</t>
  </si>
  <si>
    <t>ATE000:pa_JetFuelUS</t>
  </si>
  <si>
    <t>ATE000:oa_AviationGasol</t>
  </si>
  <si>
    <t>ATE000:oa_JF_World</t>
  </si>
  <si>
    <t>ATE000:oa_JF_Oceania</t>
  </si>
  <si>
    <t>ATE000:oa_JF_SW_Asia</t>
  </si>
  <si>
    <t>ATE000:oa_JF_SE_Asia</t>
  </si>
  <si>
    <t>ATE000:oa_JF_NE_Asia</t>
  </si>
  <si>
    <t>ATE000:oa_JF_China</t>
  </si>
  <si>
    <t>ATE000:oa_JF_Russia</t>
  </si>
  <si>
    <t>ATE000:oa_JF_Mideast</t>
  </si>
  <si>
    <t>ATE000:oa_JF_Africa</t>
  </si>
  <si>
    <t>ATE000:oa_JF_Europe</t>
  </si>
  <si>
    <t>ATE000:oa_JF_South_Am</t>
  </si>
  <si>
    <t>ATE000:oa_JF_Central_Am</t>
  </si>
  <si>
    <t>ATE000:oa_JF_Canada</t>
  </si>
  <si>
    <t>ATE000:oa_JF_US</t>
  </si>
  <si>
    <t>Fuel Consumption (trillion Btu)</t>
  </si>
  <si>
    <t>ATE000:na_AverageAircra</t>
  </si>
  <si>
    <t>ATE000:na_RegionalJets</t>
  </si>
  <si>
    <t>ATE000:na_WideBodyAircr</t>
  </si>
  <si>
    <t>ATE000:na_NarrowBodyAir</t>
  </si>
  <si>
    <t>ATE000:ma_AverageAircra</t>
  </si>
  <si>
    <t>ATE000:ma_RegionalJets</t>
  </si>
  <si>
    <t>ATE000:ma_WideBodyAircr</t>
  </si>
  <si>
    <t>ATE000:ma_NarrowBodyAir</t>
  </si>
  <si>
    <t>ATE000:la_ElectricallyA</t>
  </si>
  <si>
    <t>ATE000:la_WeightReducin</t>
  </si>
  <si>
    <t>ATE000:la_Advanced Aero</t>
  </si>
  <si>
    <t>ATE000:la_LaminarFlowCo</t>
  </si>
  <si>
    <t>- -</t>
  </si>
  <si>
    <t>ATE000:la_gen_tech_5</t>
  </si>
  <si>
    <t>ATE000:la_gen_tech_4</t>
  </si>
  <si>
    <t>ATE000:la_gen_tech_3</t>
  </si>
  <si>
    <t>ATE000:la_gen_tech_2</t>
  </si>
  <si>
    <t>ATE000:la_gen_tech_1</t>
  </si>
  <si>
    <t>Advanced Technology Penetration</t>
  </si>
  <si>
    <t>Total World</t>
  </si>
  <si>
    <t>ATE000:sal_WorldTotal</t>
  </si>
  <si>
    <t>ATE000:sal_Oceania-rj</t>
  </si>
  <si>
    <t>ATE000:sal_Oceania-wb</t>
  </si>
  <si>
    <t>ATE000:sal_Oceania-nb</t>
  </si>
  <si>
    <t>ATE000:sal_Oceania</t>
  </si>
  <si>
    <t>ATE000:sal_SW_Asia-rj</t>
  </si>
  <si>
    <t>ATE000:sal_SW_Asia-wb</t>
  </si>
  <si>
    <t>ATE000:sal_SW_Asia-nb</t>
  </si>
  <si>
    <t>ATE000:sal_SW_Asia</t>
  </si>
  <si>
    <t>ATE000:sal_SE_Asia-rj</t>
  </si>
  <si>
    <t>ATE000:sal_SE_Asia-wb</t>
  </si>
  <si>
    <t>ATE000:sal_SE_Asia-nb</t>
  </si>
  <si>
    <t>ATE000:sal_SE_Asia</t>
  </si>
  <si>
    <t>ATE000:sal_NE_Asia-rj</t>
  </si>
  <si>
    <t>ATE000:sal_NE_Asia-wb</t>
  </si>
  <si>
    <t>ATE000:sal_NE_Asia-nb</t>
  </si>
  <si>
    <t>ATE000:sal_NE_Asia</t>
  </si>
  <si>
    <t>ATE000:sal_China-rj</t>
  </si>
  <si>
    <t>ATE000:sal_China-wb</t>
  </si>
  <si>
    <t>ATE000:sal_China-nb</t>
  </si>
  <si>
    <t>ATE000:sal_China</t>
  </si>
  <si>
    <t>ATE000:sal_Russia-rj</t>
  </si>
  <si>
    <t>ATE000:sal_Russia-wb</t>
  </si>
  <si>
    <t>ATE000:sal_Russia-nb</t>
  </si>
  <si>
    <t>ATE000:sal_Russia</t>
  </si>
  <si>
    <t>ATE000:sal_Mideast-rj</t>
  </si>
  <si>
    <t>ATE000:sal_Mideast-wb</t>
  </si>
  <si>
    <t>ATE000:sal_Mideast-nb</t>
  </si>
  <si>
    <t>ATE000:sal_Mideast</t>
  </si>
  <si>
    <t>ATE000:sal_Africa-rj</t>
  </si>
  <si>
    <t>ATE000:sal_Africa-wb</t>
  </si>
  <si>
    <t>ATE000:sal_Africa-nb</t>
  </si>
  <si>
    <t>ATE000:sal_Africa</t>
  </si>
  <si>
    <t>ATE000:sal_Europe-rj</t>
  </si>
  <si>
    <t>ATE000:sal_Europe-wb</t>
  </si>
  <si>
    <t>ATE000:sal_Europe-nb</t>
  </si>
  <si>
    <t>ATE000:sal_Europe</t>
  </si>
  <si>
    <t>ATE000:sal_South_Am-rj</t>
  </si>
  <si>
    <t>ATE000:sal_South_Am-wb</t>
  </si>
  <si>
    <t>ATE000:sal_South_Am-nb</t>
  </si>
  <si>
    <t>ATE000:sal_South_Am</t>
  </si>
  <si>
    <t>ATE000:sal_Central_Am-r</t>
  </si>
  <si>
    <t>ATE000:sal_Central_Am-w</t>
  </si>
  <si>
    <t>ATE000:sal_Central_Am-n</t>
  </si>
  <si>
    <t>ATE000:sal_Central_Am</t>
  </si>
  <si>
    <t>ATE000:sal_Canada-rj</t>
  </si>
  <si>
    <t>ATE000:sal_Canada-wb</t>
  </si>
  <si>
    <t>ATE000:sal_Canada-nb</t>
  </si>
  <si>
    <t>ATE000:sal_Canada</t>
  </si>
  <si>
    <t>ATE000:sal_USRegional</t>
  </si>
  <si>
    <t>ATE000:sal_USWideBody</t>
  </si>
  <si>
    <t>ATE000:sal_USNarrowBody</t>
  </si>
  <si>
    <t>ATE000:sal_U.S.Total</t>
  </si>
  <si>
    <t>Aircraft Sales</t>
  </si>
  <si>
    <t>ATE000:fa_WorldTotal</t>
  </si>
  <si>
    <t>ATE000:fa_Oceania</t>
  </si>
  <si>
    <t>ATE000:fa_SW_Asia</t>
  </si>
  <si>
    <t>ATE000:fa_SE_Asia</t>
  </si>
  <si>
    <t>ATE000:fa_NE_Asia</t>
  </si>
  <si>
    <t>ATE000:fa_China</t>
  </si>
  <si>
    <t>ATE000:fa_Russia</t>
  </si>
  <si>
    <t>ATE000:fa_Mideast</t>
  </si>
  <si>
    <t>ATE000:fa_Africa</t>
  </si>
  <si>
    <t>ATE000:fa_Europe</t>
  </si>
  <si>
    <t>ATE000:fa_South_Am</t>
  </si>
  <si>
    <t>ATE000:fa_Central_Am</t>
  </si>
  <si>
    <t>ATE000:fa_Canada</t>
  </si>
  <si>
    <t>ATE000:fa_USRegional</t>
  </si>
  <si>
    <t>ATE000:fa_USWideBody</t>
  </si>
  <si>
    <t>ATE000:fa_USNarrowBody</t>
  </si>
  <si>
    <t>ATE000:fa_U.S.Total</t>
  </si>
  <si>
    <t>Seat Miles Demanded (billion miles)</t>
  </si>
  <si>
    <t>ATE000:ea_FreRevWorld</t>
  </si>
  <si>
    <t>ATE000:ea_FreRevOceania</t>
  </si>
  <si>
    <t>ATE000:ea_FreRevSWAsia</t>
  </si>
  <si>
    <t>ATE000:ea_FreRevSEAsia</t>
  </si>
  <si>
    <t>ATE000:ea_FreRevNEAsia</t>
  </si>
  <si>
    <t>ATE000:ea_FreRevChina</t>
  </si>
  <si>
    <t>ATE000:ea_FreRevRussia</t>
  </si>
  <si>
    <t>ATE000:ea_FreRevMideast</t>
  </si>
  <si>
    <t>ATE000:ea_FreRevAfrica</t>
  </si>
  <si>
    <t>ATE000:ea_FreRevEurope</t>
  </si>
  <si>
    <t>ATE000:ea_FreRevSouthAm</t>
  </si>
  <si>
    <t>ATE000:ea_FreRevCentAm</t>
  </si>
  <si>
    <t>ATE000:ea_FreRevCanada</t>
  </si>
  <si>
    <t>ATE000:ea_FreRevUnited</t>
  </si>
  <si>
    <t>ATE000:rpm_OC_Internat</t>
  </si>
  <si>
    <t>ATE000:rpm_SW_Internat</t>
  </si>
  <si>
    <t>ATE000:rpm_SE_Internat</t>
  </si>
  <si>
    <t>ATE000:rpm_NE_Internat</t>
  </si>
  <si>
    <t>ATE000:rpm_CH_Internat</t>
  </si>
  <si>
    <t>ATE000:rpm_RU_Internat</t>
  </si>
  <si>
    <t>ATE000:rpm_ME_Internat</t>
  </si>
  <si>
    <t>ATE000:rpm_AF_Internat</t>
  </si>
  <si>
    <t>ATE000:rpm_EU_Internat</t>
  </si>
  <si>
    <t>ATE000:rpm_SA_Internat</t>
  </si>
  <si>
    <t>ATE000:rpm_CA_Internat</t>
  </si>
  <si>
    <t>ATE000:rpm_CN_Internat</t>
  </si>
  <si>
    <t>ATE000:rpm_US_Internat</t>
  </si>
  <si>
    <t>ATE000:rpm_OC_Domestic</t>
  </si>
  <si>
    <t>ATE000:rpm_SW_Domestic</t>
  </si>
  <si>
    <t>ATE000:rpm_SE_Domestic</t>
  </si>
  <si>
    <t>ATE000:rpm_NE_Domestic</t>
  </si>
  <si>
    <t>ATE000:rpm_CH_Domestic</t>
  </si>
  <si>
    <t>ATE000:rpm_RU_Domestic</t>
  </si>
  <si>
    <t>ATE000:rpm_ME_Domestic</t>
  </si>
  <si>
    <t>ATE000:rpm_AF_Domestic</t>
  </si>
  <si>
    <t>ATE000:rpm_EU_Domestic</t>
  </si>
  <si>
    <t>ATE000:rpm_SA_Domestic</t>
  </si>
  <si>
    <t>ATE000:rpm_CA_Domestic</t>
  </si>
  <si>
    <t>ATE000:rpm_CN_Domestic</t>
  </si>
  <si>
    <t>ATE000:rpm_US_Domestic</t>
  </si>
  <si>
    <t>Travel Demand</t>
  </si>
  <si>
    <t>ATE000:pop_JF_Oceania</t>
  </si>
  <si>
    <t>ATE000:pop_JF_SW_Asia</t>
  </si>
  <si>
    <t>ATE000:pop_JF_SE_Asia</t>
  </si>
  <si>
    <t>ATE000:pop_JF_NE_Asia</t>
  </si>
  <si>
    <t>ATE000:pop_JF_China</t>
  </si>
  <si>
    <t>ATE000:pop_JF_Russia</t>
  </si>
  <si>
    <t>ATE000:pop_JF_Mideast</t>
  </si>
  <si>
    <t>ATE000:pop_JF_Africa</t>
  </si>
  <si>
    <t>ATE000:pop_JF_Europe</t>
  </si>
  <si>
    <t>ATE000:pop_JF_South_Am</t>
  </si>
  <si>
    <t>ATE000:pop_JF_Central_A</t>
  </si>
  <si>
    <t>ATE000:pop_JF_Canada</t>
  </si>
  <si>
    <t>ATE000:pop_JF_US</t>
  </si>
  <si>
    <t>Driver Variables</t>
  </si>
  <si>
    <t>ATE000:ea_LoadFactor,In</t>
  </si>
  <si>
    <t>ATE000:da_LoadFactor,Do</t>
  </si>
  <si>
    <t>Load Factor (fraction of seats filled)</t>
  </si>
  <si>
    <t>ATE000:ca_Yield-non_u.s</t>
  </si>
  <si>
    <t>ATE000:ca_Yield-interna</t>
  </si>
  <si>
    <t>ATE000:ca_Yield-domesti</t>
  </si>
  <si>
    <t>Ticket Price (1996 cents per passenger mile)</t>
  </si>
  <si>
    <t>Fuel Cost (1987 dollars per million Btu)</t>
  </si>
  <si>
    <t>ATE000:ba_FuelCost(1987</t>
  </si>
  <si>
    <t>ATE000</t>
  </si>
  <si>
    <t>ATS000:crg_WorldTotal</t>
  </si>
  <si>
    <t>ATS000:crg_Oceania</t>
  </si>
  <si>
    <t>ATS000:crg_SW_Asia</t>
  </si>
  <si>
    <t>ATS000:crg_SE_Asia</t>
  </si>
  <si>
    <t>ATS000:crg_NE_Asia</t>
  </si>
  <si>
    <t>ATS000:crg_China</t>
  </si>
  <si>
    <t>ATS000:crg_Russia</t>
  </si>
  <si>
    <t>ATS000:crg_Mideast</t>
  </si>
  <si>
    <t>ATS000:crg_Africa</t>
  </si>
  <si>
    <t>ATS000:crg_Europe</t>
  </si>
  <si>
    <t>ATS000:crg_South_Am</t>
  </si>
  <si>
    <t>ATS000:crg_Central_Am</t>
  </si>
  <si>
    <t>ATS000:crg_Canada</t>
  </si>
  <si>
    <t>ATS000:crg_U.S.Total</t>
  </si>
  <si>
    <t>Aircraft Cargo Stock</t>
  </si>
  <si>
    <t>ATS000:prk_WorldTotal</t>
  </si>
  <si>
    <t>ATS000:prk_Oceania-rj</t>
  </si>
  <si>
    <t>ATS000:prk_Oceania-wb</t>
  </si>
  <si>
    <t>ATS000:prk_Oceania-nb</t>
  </si>
  <si>
    <t>ATS000:prk_Oceania</t>
  </si>
  <si>
    <t>ATS000:prk_SW_Asia-rj</t>
  </si>
  <si>
    <t>ATS000:prk_SW_Asia-wb</t>
  </si>
  <si>
    <t>ATS000:prk_SW_Asia-nb</t>
  </si>
  <si>
    <t>ATS000:prk_SW_Asia</t>
  </si>
  <si>
    <t>ATS000:prk_SE_Asia-rj</t>
  </si>
  <si>
    <t>ATS000:prk_SE_Asia-wb</t>
  </si>
  <si>
    <t>ATS000:prk_SE_Asia-nb</t>
  </si>
  <si>
    <t>ATS000:prk_SE_Asia</t>
  </si>
  <si>
    <t>ATS000:prk_NE_Asia-rj</t>
  </si>
  <si>
    <t>ATS000:prk_NE_Asia-wb</t>
  </si>
  <si>
    <t>ATS000:prk_NE_Asia-nb</t>
  </si>
  <si>
    <t>ATS000:prk_NE_Asia</t>
  </si>
  <si>
    <t>ATS000:prk_China-rj</t>
  </si>
  <si>
    <t>ATS000:prk_China-wb</t>
  </si>
  <si>
    <t>ATS000:prk_China-nb</t>
  </si>
  <si>
    <t>ATS000:prk_China</t>
  </si>
  <si>
    <t>ATS000:prk_Russia-rj</t>
  </si>
  <si>
    <t>ATS000:prk_Russia-wb</t>
  </si>
  <si>
    <t>ATS000:prk_Russia-nb</t>
  </si>
  <si>
    <t>ATS000:prk_Russia</t>
  </si>
  <si>
    <t>ATS000:prk_Mideast-rj</t>
  </si>
  <si>
    <t>ATS000:prk_Mideast-wb</t>
  </si>
  <si>
    <t>ATS000:prk_Mideast-nb</t>
  </si>
  <si>
    <t>ATS000:prk_Mideast</t>
  </si>
  <si>
    <t>ATS000:prk_Africa-rj</t>
  </si>
  <si>
    <t>ATS000:prk_Africa-wb</t>
  </si>
  <si>
    <t>ATS000:prk_Africa-nb</t>
  </si>
  <si>
    <t>ATS000:prk_Africa</t>
  </si>
  <si>
    <t>ATS000:prk_Europe-rj</t>
  </si>
  <si>
    <t>ATS000:prk_Europe-wb</t>
  </si>
  <si>
    <t>ATS000:prk_Europe-nb</t>
  </si>
  <si>
    <t>ATS000:prk_Europe</t>
  </si>
  <si>
    <t>ATS000:prk_South_Am-rj</t>
  </si>
  <si>
    <t>ATS000:prk_South_Am-wb</t>
  </si>
  <si>
    <t>ATS000:prk_South_Am-nb</t>
  </si>
  <si>
    <t>ATS000:prk_South_Am</t>
  </si>
  <si>
    <t>ATS000:prk_Central_Am-r</t>
  </si>
  <si>
    <t>ATS000:prk_Central_Am-w</t>
  </si>
  <si>
    <t>ATS000:prk_Central_Am-n</t>
  </si>
  <si>
    <t>ATS000:prk_Central_Am</t>
  </si>
  <si>
    <t>ATS000:prk_Canada-rj</t>
  </si>
  <si>
    <t>ATS000:prk_Canada-wb</t>
  </si>
  <si>
    <t>ATS000:prk_Canada-nb</t>
  </si>
  <si>
    <t>ATS000:prk_Canada</t>
  </si>
  <si>
    <t>ATS000:prk_USRegional</t>
  </si>
  <si>
    <t>ATS000:prk_USWideBody</t>
  </si>
  <si>
    <t>ATS000:prk_USNarrowBody</t>
  </si>
  <si>
    <t>ATS000:prk_U.S.Total</t>
  </si>
  <si>
    <t>Aircraft Parked Stock</t>
  </si>
  <si>
    <t>ATS000:act_WorldTotal</t>
  </si>
  <si>
    <t>ATS000:act_Oceania-rj</t>
  </si>
  <si>
    <t>ATS000:act_Oceania-wb</t>
  </si>
  <si>
    <t>ATS000:act_Oceania-nb</t>
  </si>
  <si>
    <t>ATS000:act_Oceania</t>
  </si>
  <si>
    <t>ATS000:act_SW_Asia-rj</t>
  </si>
  <si>
    <t>ATS000:act_SW_Asia-wb</t>
  </si>
  <si>
    <t>ATS000:act_SW_Asia-nb</t>
  </si>
  <si>
    <t>ATS000:act_SW_Asia</t>
  </si>
  <si>
    <t>ATS000:act_SE_Asia-rj</t>
  </si>
  <si>
    <t>ATS000:act_SE_Asia-wb</t>
  </si>
  <si>
    <t>ATS000:act_SE_Asia-nb</t>
  </si>
  <si>
    <t>ATS000:act_SE_Asia</t>
  </si>
  <si>
    <t>ATS000:act_NE_Asia-rj</t>
  </si>
  <si>
    <t>ATS000:act_NE_Asia-wb</t>
  </si>
  <si>
    <t>ATS000:act_NE_Asia-nb</t>
  </si>
  <si>
    <t>ATS000:act_NE_Asia</t>
  </si>
  <si>
    <t>ATS000:act_China-rj</t>
  </si>
  <si>
    <t>ATS000:act_China-wb</t>
  </si>
  <si>
    <t>ATS000:act_China-nb</t>
  </si>
  <si>
    <t>ATS000:act_China</t>
  </si>
  <si>
    <t>ATS000:act_Russia-rj</t>
  </si>
  <si>
    <t>ATS000:act_Russia-wb</t>
  </si>
  <si>
    <t>ATS000:act_Russia-nb</t>
  </si>
  <si>
    <t>ATS000:act_Russia</t>
  </si>
  <si>
    <t>ATS000:act_Mideast-rj</t>
  </si>
  <si>
    <t>ATS000:act_Mideast-wb</t>
  </si>
  <si>
    <t>ATS000:act_Mideast-nb</t>
  </si>
  <si>
    <t>ATS000:act_Mideast</t>
  </si>
  <si>
    <t>ATS000:act_Africa-rj</t>
  </si>
  <si>
    <t>ATS000:act_Africa-wb</t>
  </si>
  <si>
    <t>ATS000:act_Africa-nb</t>
  </si>
  <si>
    <t>ATS000:act_Africa</t>
  </si>
  <si>
    <t>ATS000:act_Europe-rj</t>
  </si>
  <si>
    <t>ATS000:act_Europe-wb</t>
  </si>
  <si>
    <t>ATS000:act_Europe-nb</t>
  </si>
  <si>
    <t>ATS000:act_Europe</t>
  </si>
  <si>
    <t>ATS000:act_South_Am-rj</t>
  </si>
  <si>
    <t>ATS000:act_South_Am-wb</t>
  </si>
  <si>
    <t>ATS000:act_South_Am-nb</t>
  </si>
  <si>
    <t>ATS000:act_South_Am</t>
  </si>
  <si>
    <t>ATS000:act_Central_Am-r</t>
  </si>
  <si>
    <t>ATS000:act_Central_Am-w</t>
  </si>
  <si>
    <t>ATS000:act_Central_Am-n</t>
  </si>
  <si>
    <t>ATS000:act_Central_Am</t>
  </si>
  <si>
    <t>ATS000:act_Canada-rj</t>
  </si>
  <si>
    <t>ATS000:act_Canada-wb</t>
  </si>
  <si>
    <t>ATS000:act_Canada-nb</t>
  </si>
  <si>
    <t>ATS000:act_Canada</t>
  </si>
  <si>
    <t>ATS000:act_USRegional</t>
  </si>
  <si>
    <t>ATS000:act_USWideBody</t>
  </si>
  <si>
    <t>ATS000:act_USNarrowBody</t>
  </si>
  <si>
    <t>ATS000:act_U.S.Total</t>
  </si>
  <si>
    <t>Aircraft Active Stock</t>
  </si>
  <si>
    <t>ATS000:stk_WorldTotal</t>
  </si>
  <si>
    <t>ATS000:stk_Oceania-rj</t>
  </si>
  <si>
    <t>ATS000:stk_Oceania-wb</t>
  </si>
  <si>
    <t>ATS000:stk_Oceania-nb</t>
  </si>
  <si>
    <t>ATS000:stk_Oceania</t>
  </si>
  <si>
    <t>ATS000:stk_SW_Asia-rj</t>
  </si>
  <si>
    <t>ATS000:stk_SW_Asia-wb</t>
  </si>
  <si>
    <t>ATS000:stk_SW_Asia-nb</t>
  </si>
  <si>
    <t>ATS000:stk_SW_Asia</t>
  </si>
  <si>
    <t>ATS000:stk_SE_Asia-rj</t>
  </si>
  <si>
    <t>ATS000:stk_SE_Asia-wb</t>
  </si>
  <si>
    <t>ATS000:stk_SE_Asia-nb</t>
  </si>
  <si>
    <t>ATS000:stk_SE_Asia</t>
  </si>
  <si>
    <t>ATS000:stk_NE_Asia-rj</t>
  </si>
  <si>
    <t>ATS000:stk_NE_Asia-wb</t>
  </si>
  <si>
    <t>ATS000:stk_NE_Asia-nb</t>
  </si>
  <si>
    <t>ATS000:stk_NE_Asia</t>
  </si>
  <si>
    <t>ATS000:stk_China-rj</t>
  </si>
  <si>
    <t>ATS000:stk_China-wb</t>
  </si>
  <si>
    <t>ATS000:stk_China-nb</t>
  </si>
  <si>
    <t>ATS000:stk_China</t>
  </si>
  <si>
    <t>ATS000:stk_Russia-rj</t>
  </si>
  <si>
    <t>ATS000:stk_Russia-wb</t>
  </si>
  <si>
    <t>ATS000:stk_Russia-nb</t>
  </si>
  <si>
    <t>ATS000:stk_Russia</t>
  </si>
  <si>
    <t>ATS000:stk_Mideast-rj</t>
  </si>
  <si>
    <t>ATS000:stk_Mideast-wb</t>
  </si>
  <si>
    <t>ATS000:stk_Mideast-nb</t>
  </si>
  <si>
    <t>ATS000:stk_Mideast</t>
  </si>
  <si>
    <t>ATS000:stk_Africa-rj</t>
  </si>
  <si>
    <t>ATS000:stk_Africa-wb</t>
  </si>
  <si>
    <t>ATS000:stk_Africa-nb</t>
  </si>
  <si>
    <t>ATS000:stk_Africa</t>
  </si>
  <si>
    <t>ATS000:stk_Europe-rj</t>
  </si>
  <si>
    <t>ATS000:stk_Europe-wb</t>
  </si>
  <si>
    <t>ATS000:stk_Europe-nb</t>
  </si>
  <si>
    <t>ATS000:stk_Europe</t>
  </si>
  <si>
    <t>ATS000:stk_South_Am-rj</t>
  </si>
  <si>
    <t>ATS000:stk_South_Am-wb</t>
  </si>
  <si>
    <t>ATS000:stk_South_Am-nb</t>
  </si>
  <si>
    <t>ATS000:stk_South_Am</t>
  </si>
  <si>
    <t>ATS000:stk_Central_Am-r</t>
  </si>
  <si>
    <t>ATS000:stk_Central_Am-w</t>
  </si>
  <si>
    <t>ATS000:stk_Central_Am-n</t>
  </si>
  <si>
    <t>ATS000:stk_Central_Am</t>
  </si>
  <si>
    <t>ATS000:stk_Canada-rj</t>
  </si>
  <si>
    <t>ATS000:stk_Canada-wb</t>
  </si>
  <si>
    <t>ATS000:stk_Canada-nb</t>
  </si>
  <si>
    <t>ATS000:stk_Canada</t>
  </si>
  <si>
    <t>ATS000:stk_USRegional</t>
  </si>
  <si>
    <t>ATS000:stk_USWideBody</t>
  </si>
  <si>
    <t>ATS000:stk_USNarrowBody</t>
  </si>
  <si>
    <t>ATS000:stk_U.S.Total</t>
  </si>
  <si>
    <t>Aircraft Stock</t>
  </si>
  <si>
    <t>ATS000</t>
  </si>
  <si>
    <t>share of active aircraft that are passenger aircraft</t>
  </si>
  <si>
    <t>share of active aircraft that are cargo aircraft</t>
  </si>
  <si>
    <t>Aircraft shares by cargo type</t>
  </si>
  <si>
    <t>aircraft</t>
  </si>
  <si>
    <t>EIA</t>
  </si>
  <si>
    <t>https://www.eia.gov/outlooks/aeo/tables_ref.cfm</t>
  </si>
  <si>
    <t>HDVs</t>
  </si>
  <si>
    <t>Ratios of New Vehicle Fuel Economy to Fleet Average Fuel Economy</t>
  </si>
  <si>
    <t>freight ships</t>
  </si>
  <si>
    <t>Freight ship efficiency (for domestic shipping) is available directly from AEO 7.  We</t>
  </si>
  <si>
    <t>calculated as noted above.</t>
  </si>
  <si>
    <t>to fleet average ship fuel economy is not available, we multiply by that ratio for aircraft,</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</si>
  <si>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</si>
  <si>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</si>
  <si>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</si>
  <si>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</si>
  <si>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</si>
  <si>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</si>
  <si>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</si>
  <si>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</si>
  <si>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</si>
  <si>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</si>
  <si>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</si>
  <si>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</si>
  <si>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</si>
  <si>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</si>
  <si>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</si>
  <si>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</si>
  <si>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U.S. Coast Guard</t>
  </si>
  <si>
    <t>National Recreational Boating Survey 2012</t>
  </si>
  <si>
    <t>http://www.uscgboating.org/library/recreational-boating-servey/2012survey%20report.pdf</t>
  </si>
  <si>
    <t>Page 63, Table 40</t>
  </si>
  <si>
    <t>Sources: AEO 48, AEO 49</t>
  </si>
  <si>
    <t>Sources: AEO 7, AEO 48, AEO 49</t>
  </si>
  <si>
    <t>See Notes section for which vehicle types use which sources</t>
  </si>
  <si>
    <t>freight rail</t>
  </si>
  <si>
    <t>Freight rail efficiency is available directly from AEO 7.  Since a ratio of new rail fuel</t>
  </si>
  <si>
    <t>economy to fleet average rail fuel economy is not available, we multiply by the</t>
  </si>
  <si>
    <t>ratio for aircraft, as noted above.</t>
  </si>
  <si>
    <t>passenger rail</t>
  </si>
  <si>
    <t>freight and passenger aircraft</t>
  </si>
  <si>
    <r>
      <t>1985: Amtrak,</t>
    </r>
    <r>
      <rPr>
        <i/>
        <sz val="9"/>
        <rFont val="Arial"/>
        <family val="2"/>
      </rPr>
      <t xml:space="preserve"> Amtrak FY95 Annual Report </t>
    </r>
    <r>
      <rPr>
        <sz val="9"/>
        <rFont val="Arial"/>
        <family val="2"/>
      </rPr>
      <t xml:space="preserve">(Washington, DC: 1996), Statistical Appendix, page 4. </t>
    </r>
  </si>
  <si>
    <r>
      <t xml:space="preserve">1960-80: Association of American Railroads, </t>
    </r>
    <r>
      <rPr>
        <i/>
        <sz val="9"/>
        <rFont val="Arial"/>
        <family val="2"/>
      </rPr>
      <t>Railroad Facts</t>
    </r>
    <r>
      <rPr>
        <sz val="9"/>
        <rFont val="Arial"/>
        <family val="2"/>
      </rPr>
      <t xml:space="preserve"> (Washington, DC: Annual Issues).</t>
    </r>
  </si>
  <si>
    <r>
      <t xml:space="preserve">1960-1995: American Public Transportation Association, </t>
    </r>
    <r>
      <rPr>
        <i/>
        <sz val="9"/>
        <rFont val="Arial"/>
        <family val="2"/>
      </rPr>
      <t>Public Transportation Fact Book</t>
    </r>
    <r>
      <rPr>
        <sz val="9"/>
        <rFont val="Arial"/>
        <family val="2"/>
      </rPr>
      <t xml:space="preserve"> (Washington, DC: Annual Issues), table 2 and similar tables in earlier editions.</t>
    </r>
  </si>
  <si>
    <t>All other data:</t>
  </si>
  <si>
    <t>1993-95: American Public Transit Association, personal communication, Aug. 13, 2001.</t>
  </si>
  <si>
    <t>1992: American Public Transit Association, personal communication, July 19, 2000.</t>
  </si>
  <si>
    <t>Ferryboat:</t>
  </si>
  <si>
    <t>Transit:</t>
  </si>
  <si>
    <t>Highway:</t>
  </si>
  <si>
    <r>
      <t xml:space="preserve">1960: Civil Aeronautics Board, </t>
    </r>
    <r>
      <rPr>
        <i/>
        <sz val="9"/>
        <rFont val="Arial"/>
        <family val="2"/>
      </rPr>
      <t xml:space="preserve">Handbook of Airline Statistics, 1969 </t>
    </r>
    <r>
      <rPr>
        <sz val="9"/>
        <rFont val="Arial"/>
        <family val="2"/>
      </rPr>
      <t>(Washington, DC: 1970), part III, table 2.</t>
    </r>
  </si>
  <si>
    <t>Air:</t>
  </si>
  <si>
    <t>SOURCES</t>
  </si>
  <si>
    <t>Numbers may not add to totals due to rounding.</t>
  </si>
  <si>
    <r>
      <t xml:space="preserve">Transit </t>
    </r>
    <r>
      <rPr>
        <sz val="9"/>
        <rFont val="Arial"/>
        <family val="2"/>
      </rPr>
      <t>data from 1996 and after are not comparable to the data for earlier years or to the data published in previous editions of the report due to different data sources used.</t>
    </r>
  </si>
  <si>
    <t>The FHWA estimates national trends by using State reported Highway Performance and Monitoring System (HPMS) data, fuel consumption data, vehicle registration data, other data such as the R. L. Polk vehicle data, and a host of modeling techniques.</t>
  </si>
  <si>
    <r>
      <rPr>
        <i/>
        <sz val="9"/>
        <rFont val="Arial"/>
        <family val="2"/>
      </rPr>
      <t>Air carrier</t>
    </r>
    <r>
      <rPr>
        <sz val="9"/>
        <rFont val="Arial"/>
        <family val="2"/>
      </rPr>
      <t xml:space="preserve"> passenger-miles are computed by summing the products of the aircraft-miles flown on each inter airport segment multiplied by the number of passengers carried on that segment. </t>
    </r>
    <r>
      <rPr>
        <i/>
        <sz val="9"/>
        <rFont val="Arial"/>
        <family val="2"/>
      </rPr>
      <t>Highway</t>
    </r>
    <r>
      <rPr>
        <sz val="9"/>
        <rFont val="Arial"/>
        <family val="2"/>
      </rPr>
      <t xml:space="preserve">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
    </r>
    <r>
      <rPr>
        <i/>
        <sz val="9"/>
        <rFont val="Arial"/>
        <family val="2"/>
      </rPr>
      <t>Transit</t>
    </r>
    <r>
      <rPr>
        <sz val="9"/>
        <rFont val="Arial"/>
        <family val="2"/>
      </rPr>
      <t xml:space="preserve"> passenger-miles are the cumulative sum of the distances ridden by each passenger. </t>
    </r>
    <r>
      <rPr>
        <i/>
        <sz val="9"/>
        <rFont val="Arial"/>
        <family val="2"/>
      </rPr>
      <t>Rail</t>
    </r>
    <r>
      <rPr>
        <sz val="9"/>
        <rFont val="Arial"/>
        <family val="2"/>
      </rPr>
      <t xml:space="preserve"> passenger-miles represent the movement of 1 passenger for 1 mile. </t>
    </r>
  </si>
  <si>
    <t>NOTES</t>
  </si>
  <si>
    <t>U</t>
  </si>
  <si>
    <t>Commuter rail</t>
  </si>
  <si>
    <t>Rail</t>
  </si>
  <si>
    <t>Heavy rail</t>
  </si>
  <si>
    <t>Truck, combination</t>
  </si>
  <si>
    <t>N</t>
  </si>
  <si>
    <t>Highway, total</t>
  </si>
  <si>
    <t>Air</t>
  </si>
  <si>
    <t xml:space="preserve">Table 1-40:  U.S. Passenger-Miles (Millions) </t>
  </si>
  <si>
    <t>Bureau of Transportation Statistics</t>
  </si>
  <si>
    <t>National Transportation Statistics</t>
  </si>
  <si>
    <t>Table 1-40</t>
  </si>
  <si>
    <t>https://www.rita.dot.gov/bts/sites/rita.dot.gov.bts/files/publications/national_transportation_statistics/index.html</t>
  </si>
  <si>
    <t>freight motorbikes</t>
  </si>
  <si>
    <t>This vehicle type is not used in the U.S. model.</t>
  </si>
  <si>
    <t>TEU000</t>
  </si>
  <si>
    <t>TEU000:ba_Light-DutyVeh</t>
  </si>
  <si>
    <t>TEU000:ba_Automobiles</t>
  </si>
  <si>
    <t>TEU000:ba_LightTrucks</t>
  </si>
  <si>
    <t>TEU000:ba_Motorcycles</t>
  </si>
  <si>
    <t>TEU000:ba_CommercialLig</t>
  </si>
  <si>
    <t>TEU000:ba_Buses</t>
  </si>
  <si>
    <t>TEU000:ba_Transit</t>
  </si>
  <si>
    <t>TEU000:ba_Intercity</t>
  </si>
  <si>
    <t>TEU000:ba_School</t>
  </si>
  <si>
    <t>TEU000:ba_FreightTrucks</t>
  </si>
  <si>
    <t>TEU000:ba_Large(&gt;26000p</t>
  </si>
  <si>
    <t>TEU000:ca_Air</t>
  </si>
  <si>
    <t>TEU000:ca_GeneralAviati</t>
  </si>
  <si>
    <t>TEU000:ca_DomesticAirCa</t>
  </si>
  <si>
    <t>TEU000:ca_International</t>
  </si>
  <si>
    <t>TEU000:ca_FreightCarrie</t>
  </si>
  <si>
    <t>TEU000:ca_Water</t>
  </si>
  <si>
    <t>TEU000:ca_Freight</t>
  </si>
  <si>
    <t>TEU000:ca_DomesticShipp</t>
  </si>
  <si>
    <t>TEU000:da_International</t>
  </si>
  <si>
    <t>TEU000:da_RecreationalB</t>
  </si>
  <si>
    <t>TEU000:da_Rail</t>
  </si>
  <si>
    <t>TEU000:da_Freight</t>
  </si>
  <si>
    <t>TEU000:da_Passenger</t>
  </si>
  <si>
    <t>TEU000:da_Intercity</t>
  </si>
  <si>
    <t>TEU000:da_Transit</t>
  </si>
  <si>
    <t>TEU000:da_Commuter</t>
  </si>
  <si>
    <t>TEU000:da_Lubricants</t>
  </si>
  <si>
    <t>TEU000:da_PipelineFuelN</t>
  </si>
  <si>
    <t>TEU000:ea_MilitaryUse</t>
  </si>
  <si>
    <t>TEU000:ea_Aviation</t>
  </si>
  <si>
    <t>TEU000:ea_ResidualFuelU</t>
  </si>
  <si>
    <t>TEU000:ea_DistillateFue</t>
  </si>
  <si>
    <t>TEU000:fa_Total</t>
  </si>
  <si>
    <t>Total</t>
  </si>
  <si>
    <t>Energy Use by Type</t>
  </si>
  <si>
    <t>TEU000:ga_MotorGasoline</t>
  </si>
  <si>
    <t>TEU000:ga_Ethanol</t>
  </si>
  <si>
    <t>TEU000:ga_Distillate(di</t>
  </si>
  <si>
    <t>TEU000:ga_JetFuel(keros</t>
  </si>
  <si>
    <t>TEU000:ga_ResidualOil</t>
  </si>
  <si>
    <t>TEU000:ga_AviationGasol</t>
  </si>
  <si>
    <t>TEU000:ga_LiquefiedPetr</t>
  </si>
  <si>
    <t>TEU000:ga_Lubricants</t>
  </si>
  <si>
    <t>TEU000:ga_PetroleumSubt</t>
  </si>
  <si>
    <t>TEU000:ga_Methanol</t>
  </si>
  <si>
    <t>TEU000:ga_Electricity</t>
  </si>
  <si>
    <t>TEU000:ga_CompressedNat</t>
  </si>
  <si>
    <t>TEU000:ga_LiquidHydroge</t>
  </si>
  <si>
    <t>TEU000:ga_PipelineFuelN</t>
  </si>
  <si>
    <t>TEU000:ha_TotalConsumpt</t>
  </si>
  <si>
    <t>Total Consumption</t>
  </si>
  <si>
    <t>passenger LDVs</t>
  </si>
  <si>
    <t>freight LDVs</t>
  </si>
  <si>
    <t>passenger HDVs</t>
  </si>
  <si>
    <t>freight HDVs</t>
  </si>
  <si>
    <t>Perc Reduction in Fuel Use for Electricity</t>
  </si>
  <si>
    <t>For sources and calculations, see the variable BTFURfE.</t>
  </si>
  <si>
    <t>Perc of Electricity Use for Plug-In Hybrid Vehicles</t>
  </si>
  <si>
    <t>electricity share</t>
  </si>
  <si>
    <t>For source, see the variable BPoEFUbVT.</t>
  </si>
  <si>
    <t>LDVs and motorbikes</t>
  </si>
  <si>
    <t>For sources and calculations, see the variable AVLo.</t>
  </si>
  <si>
    <t>BTU per Gallon Liquid Fuels</t>
  </si>
  <si>
    <t>gasoline</t>
  </si>
  <si>
    <t>diesel</t>
  </si>
  <si>
    <t>https://www.eia.gov/energyexplained/index.cfm/index.cfm?page=about_energy_units</t>
  </si>
  <si>
    <t>Source:</t>
  </si>
  <si>
    <t>Energy Explained: Units and Calculators</t>
  </si>
  <si>
    <t>Vehicle Loadings (in people or freight tons / vehicle)</t>
  </si>
  <si>
    <t>FTE000:sa_ElEnGee</t>
  </si>
  <si>
    <t>FTE000:sa_SeeEnGee</t>
  </si>
  <si>
    <t>FTE000:sa_ResidualOil</t>
  </si>
  <si>
    <t>FTE000:sa_Distillate(di</t>
  </si>
  <si>
    <t>FTE000:sa_Imports(billi</t>
  </si>
  <si>
    <t>FTE000:sa_Exports(billi</t>
  </si>
  <si>
    <t>FTE000:sa_GrossTrade(bi</t>
  </si>
  <si>
    <t>International Shipping</t>
  </si>
  <si>
    <t>FTE000:ra_ElEnGee</t>
  </si>
  <si>
    <t>FTE000:ra_MotorGasoline</t>
  </si>
  <si>
    <t>FTE000:ra_ResidualOil</t>
  </si>
  <si>
    <t>FTE000:ra_Distillate(di</t>
  </si>
  <si>
    <t>FTE000:ra_FuelEfficienc</t>
  </si>
  <si>
    <t>FTE000:ra_TonMilesShipp</t>
  </si>
  <si>
    <t>Domestic Shipping</t>
  </si>
  <si>
    <t>FTE000:qa_ElEnGee</t>
  </si>
  <si>
    <t>FTE000:qa_Electricity</t>
  </si>
  <si>
    <t>FTE000:qa_ResidualOil</t>
  </si>
  <si>
    <t>FTE000:qa_Distillate(di</t>
  </si>
  <si>
    <t>FTE000:qa_FuelEfficienc</t>
  </si>
  <si>
    <t>FTE000:qa_TonMilesbyRai</t>
  </si>
  <si>
    <t>Railroads</t>
  </si>
  <si>
    <t>FTE000:pa_TotalSales</t>
  </si>
  <si>
    <t>FTE000:pa_HeavySubtotal</t>
  </si>
  <si>
    <t>FTE000:pa_fuelcell</t>
  </si>
  <si>
    <t>FTE000:pa_plugingasolin</t>
  </si>
  <si>
    <t>FTE000:pa_plugindiesel</t>
  </si>
  <si>
    <t>FTE000:pa_electric</t>
  </si>
  <si>
    <t>FTE000:pa_ethanolflex</t>
  </si>
  <si>
    <t>FTE000:pa_CompressedNat</t>
  </si>
  <si>
    <t>FTE000:pa_LiquefiedPetr</t>
  </si>
  <si>
    <t>FTE000:pa_Gasoline</t>
  </si>
  <si>
    <t>FTE000:pa_Diesel</t>
  </si>
  <si>
    <t>FTE000:oa_MediumSubtota</t>
  </si>
  <si>
    <t>FTE000:oa_fuelcell</t>
  </si>
  <si>
    <t>FTE000:oa_plugingasolin</t>
  </si>
  <si>
    <t>FTE000:oa_plugindiesel</t>
  </si>
  <si>
    <t>FTE000:oa_electric</t>
  </si>
  <si>
    <t>FTE000:oa_ethanolflex</t>
  </si>
  <si>
    <t>FTE000:oa_CompressedNat</t>
  </si>
  <si>
    <t>FTE000:oa_LiquefiedPetr</t>
  </si>
  <si>
    <t>FTE000:oa_Gasoline</t>
  </si>
  <si>
    <t>FTE000:oa_Diesel</t>
  </si>
  <si>
    <t>FTE000:lm_sal_new_total</t>
  </si>
  <si>
    <t>FTE000:lm_sal_new_FlCll</t>
  </si>
  <si>
    <t>FTE000:lm_sal_new_PiGH</t>
  </si>
  <si>
    <t>FTE000:lm_sal_new_PiDH</t>
  </si>
  <si>
    <t>FTE000:lm_sal_new_lctrc</t>
  </si>
  <si>
    <t>FTE000:lm_sal_new_flxfl</t>
  </si>
  <si>
    <t>FTE000:lm_sal_new_NGas</t>
  </si>
  <si>
    <t>FTE000:lm_sal_new_Liq</t>
  </si>
  <si>
    <t>FTE000:lm_sal_new_Gas</t>
  </si>
  <si>
    <t>FTE000:lm_sal_new_Dies</t>
  </si>
  <si>
    <t>FTE000:na_Average</t>
  </si>
  <si>
    <t>FTE000:na_HeavyAverage</t>
  </si>
  <si>
    <t>FTE000:na_fuelcell</t>
  </si>
  <si>
    <t>FTE000:na_plugingasolin</t>
  </si>
  <si>
    <t>FTE000:na_plugindiesel</t>
  </si>
  <si>
    <t>FTE000:na_electric</t>
  </si>
  <si>
    <t>FTE000:na_ethanolflex</t>
  </si>
  <si>
    <t>FTE000:na_CompressedNat</t>
  </si>
  <si>
    <t>FTE000:na_LiquefiedPetr</t>
  </si>
  <si>
    <t>FTE000:na_Gasoline</t>
  </si>
  <si>
    <t>FTE000:na_Diesel</t>
  </si>
  <si>
    <t>FTE000:ma_MediumAverage</t>
  </si>
  <si>
    <t>FTE000:ma_fuelcell</t>
  </si>
  <si>
    <t>FTE000:ma_plugingasolin</t>
  </si>
  <si>
    <t>FTE000:ma_plugindiesel</t>
  </si>
  <si>
    <t>FTE000:ma_electric</t>
  </si>
  <si>
    <t>FTE000:ma_ethanolflex</t>
  </si>
  <si>
    <t>FTE000:ma_CompressedNat</t>
  </si>
  <si>
    <t>FTE000:ma_LiquefiedPetr</t>
  </si>
  <si>
    <t>FTE000:ma_Gasoline</t>
  </si>
  <si>
    <t>FTE000:ma_Diesel</t>
  </si>
  <si>
    <t>FTE000:lm_mpg_new_total</t>
  </si>
  <si>
    <t>FTE000:lm_mpg_new_FuCel</t>
  </si>
  <si>
    <t>FTE000:lm_mpg_new_PlgGs</t>
  </si>
  <si>
    <t>FTE000:lm_mpg_new_PlgDs</t>
  </si>
  <si>
    <t>FTE000:lm_mpg_new_lectr</t>
  </si>
  <si>
    <t>FTE000:lm_mpg_new_Ethfl</t>
  </si>
  <si>
    <t>FTE000:lm_mpg_new_NGas</t>
  </si>
  <si>
    <t>FTE000:lm_mpg_new_Liq</t>
  </si>
  <si>
    <t>FTE000:lm_mpg_new_Gas</t>
  </si>
  <si>
    <t>FTE000:lm_mpg_new_Dies</t>
  </si>
  <si>
    <t>New Trucks by Size Class</t>
  </si>
  <si>
    <t>FTE000:ka_TotalStock</t>
  </si>
  <si>
    <t>FTE000:ka_HeavySubtotal</t>
  </si>
  <si>
    <t>FTE000:ka_fuelcell</t>
  </si>
  <si>
    <t>FTE000:ka_plugingasolin</t>
  </si>
  <si>
    <t>FTE000:ka_plugindiesel</t>
  </si>
  <si>
    <t>FTE000:ka_electric</t>
  </si>
  <si>
    <t>FTE000:ka_ethanolflex</t>
  </si>
  <si>
    <t>FTE000:ka_CompressedNat</t>
  </si>
  <si>
    <t>FTE000:ka_LiquefiedPetr</t>
  </si>
  <si>
    <t>FTE000:ka_Gasoline</t>
  </si>
  <si>
    <t>FTE000:ka_Diesel</t>
  </si>
  <si>
    <t>FTE000:ja_MediumSubtota</t>
  </si>
  <si>
    <t>FTE000:ja_fuelcell</t>
  </si>
  <si>
    <t>FTE000:ja_plugingasolin</t>
  </si>
  <si>
    <t>FTE000:ja_plugindiesel</t>
  </si>
  <si>
    <t>FTE000:ja_electric</t>
  </si>
  <si>
    <t>FTE000:ja_ethanolflex</t>
  </si>
  <si>
    <t>FTE000:ja_CompressedNat</t>
  </si>
  <si>
    <t>FTE000:ja_LiquefiedPetr</t>
  </si>
  <si>
    <t>FTE000:ja_Gasoline</t>
  </si>
  <si>
    <t>FTE000:ja_Diesel</t>
  </si>
  <si>
    <t>FTE000:lm_stk_stk_total</t>
  </si>
  <si>
    <t>FTE000:lm_stk_stk_FuelC</t>
  </si>
  <si>
    <t>FTE000:lm_stk_stk_inGas</t>
  </si>
  <si>
    <t>FTE000:lm_stk_stk_inDie</t>
  </si>
  <si>
    <t>FTE000:lm_stk_stk_el</t>
  </si>
  <si>
    <t>FTE000:lm_stk_stk_flux</t>
  </si>
  <si>
    <t>FTE000:lm_stk_stk_NGas</t>
  </si>
  <si>
    <t>FTE000:lm_stk_stk_Liq</t>
  </si>
  <si>
    <t>FTE000:lm_stk_stk_Gas</t>
  </si>
  <si>
    <t>FTE000:lm_stk_stk_Dies</t>
  </si>
  <si>
    <t>FTE000:ia_Average</t>
  </si>
  <si>
    <t>FTE000:ia_HeavyAverage</t>
  </si>
  <si>
    <t>FTE000:ia_fuelcell</t>
  </si>
  <si>
    <t>FTE000:ia_plugingasolin</t>
  </si>
  <si>
    <t>FTE000:ia_plugindiesel</t>
  </si>
  <si>
    <t>FTE000:ia_electric</t>
  </si>
  <si>
    <t>FTE000:ia_ethanolflex</t>
  </si>
  <si>
    <t>FTE000:ia_CompressedNat</t>
  </si>
  <si>
    <t>FTE000:ia_LiquefiedPetr</t>
  </si>
  <si>
    <t>FTE000:ia_Gasoline</t>
  </si>
  <si>
    <t>FTE000:ia_Diesel</t>
  </si>
  <si>
    <t>FTE000:ha_MediumAverage</t>
  </si>
  <si>
    <t>FTE000:ha_fuelcell</t>
  </si>
  <si>
    <t>FTE000:ha_plugingasolin</t>
  </si>
  <si>
    <t>FTE000:ha_plugindiesel</t>
  </si>
  <si>
    <t>FTE000:ha_electric</t>
  </si>
  <si>
    <t>FTE000:ha_ethanolflex</t>
  </si>
  <si>
    <t>FTE000:ha_CompressedNat</t>
  </si>
  <si>
    <t>FTE000:ha_LiquefiedPetr</t>
  </si>
  <si>
    <t>FTE000:ha_Gasoline</t>
  </si>
  <si>
    <t>FTE000:ha_Diesel</t>
  </si>
  <si>
    <t>FTE000:lm_mpg_stk_total</t>
  </si>
  <si>
    <t>FTE000:lm_mpg_stk_cel</t>
  </si>
  <si>
    <t>FTE000:lm_mpg_stk_gashy</t>
  </si>
  <si>
    <t>FTE000:lm_mpg_stk_diehy</t>
  </si>
  <si>
    <t>FTE000:lm_mpg_stk_eleck</t>
  </si>
  <si>
    <t>FTE000:lm_mpg_stk_fleck</t>
  </si>
  <si>
    <t>FTE000:lm_mpg_stk_NGas</t>
  </si>
  <si>
    <t>FTE000:lm_mpg_stk_Liq</t>
  </si>
  <si>
    <t>FTE000:lm_mpg_stk_Gas</t>
  </si>
  <si>
    <t>FTE000:lm_mpg_stk_Dies</t>
  </si>
  <si>
    <t>FTE000:ga_Total</t>
  </si>
  <si>
    <t>FTE000:ga_fuelcell</t>
  </si>
  <si>
    <t>FTE000:ga_plugingasolin</t>
  </si>
  <si>
    <t>FTE000:ga_plugindiesel</t>
  </si>
  <si>
    <t>FTE000:ga_electric</t>
  </si>
  <si>
    <t>FTE000:ga_ethanolflex</t>
  </si>
  <si>
    <t>FTE000:ga_CompressedNat</t>
  </si>
  <si>
    <t>FTE000:ga_LiquefiedPetr</t>
  </si>
  <si>
    <t>FTE000:ga_Gasoline</t>
  </si>
  <si>
    <t>FTE000:ga_Diesel</t>
  </si>
  <si>
    <t>FTE000:fa_HeavySubtotal</t>
  </si>
  <si>
    <t>FTE000:fa_fuelcell</t>
  </si>
  <si>
    <t>FTE000:fa_plugingasolin</t>
  </si>
  <si>
    <t>FTE000:fa_plugindiesel</t>
  </si>
  <si>
    <t>FTE000:fa_electric</t>
  </si>
  <si>
    <t>FTE000:fa_ethanolflex</t>
  </si>
  <si>
    <t>FTE000:fa_CompressedNat</t>
  </si>
  <si>
    <t>FTE000:fa_LiquefiedPetr</t>
  </si>
  <si>
    <t>FTE000:fa_Gasoline</t>
  </si>
  <si>
    <t>FTE000:fa_Diesel</t>
  </si>
  <si>
    <t>FTE000:ea_MediumSubtota</t>
  </si>
  <si>
    <t>FTE000:ea_fuelcell</t>
  </si>
  <si>
    <t>FTE000:ea_plugingasolin</t>
  </si>
  <si>
    <t>FTE000:ea_plugindiesel</t>
  </si>
  <si>
    <t>FTE000:ea_electric</t>
  </si>
  <si>
    <t>FTE000:ea_ethanolflex</t>
  </si>
  <si>
    <t>FTE000:ea_CompressedNat</t>
  </si>
  <si>
    <t>FTE000:ea_LiquefiedPetr</t>
  </si>
  <si>
    <t>FTE000:ea_Gasoline</t>
  </si>
  <si>
    <t>FTE000:ea_Diesel</t>
  </si>
  <si>
    <t>FTE000:lm_use_stk_total</t>
  </si>
  <si>
    <t>FTE000:lm_use_stk_sell</t>
  </si>
  <si>
    <t>FTE000:lm_use_stk_plugg</t>
  </si>
  <si>
    <t>FTE000:lm_use_stk_plugd</t>
  </si>
  <si>
    <t>FTE000:lm_use_stk_elect</t>
  </si>
  <si>
    <t>FTE000:lm_use_stk_flex</t>
  </si>
  <si>
    <t>FTE000:lm_use_stk_NGas</t>
  </si>
  <si>
    <t>FTE000:lm_use_stk_Liq</t>
  </si>
  <si>
    <t>FTE000:lm_use_stk_Gas</t>
  </si>
  <si>
    <t>FTE000:lm_use_stk_Dies</t>
  </si>
  <si>
    <t>FTE000:da_TotalVehicleM</t>
  </si>
  <si>
    <t>FTE000:da_HeavySubtotal</t>
  </si>
  <si>
    <t>FTE000:da_fuelcell</t>
  </si>
  <si>
    <t>FTE000:da_plugingasolin</t>
  </si>
  <si>
    <t>FTE000:da_plugindiesel</t>
  </si>
  <si>
    <t>FTE000:da_electric</t>
  </si>
  <si>
    <t>FTE000:da_ethanolflex</t>
  </si>
  <si>
    <t>FTE000:da_CompressedNat</t>
  </si>
  <si>
    <t>FTE000:da_LiquefiedPetr</t>
  </si>
  <si>
    <t>FTE000:da_Gasoline</t>
  </si>
  <si>
    <t>FTE000:da_Diesel</t>
  </si>
  <si>
    <t>FTE000:ca_MediumSubtota</t>
  </si>
  <si>
    <t>FTE000:ca_fuelcell</t>
  </si>
  <si>
    <t>FTE000:ca_plugingasolin</t>
  </si>
  <si>
    <t>FTE000:ca_plugindiesel</t>
  </si>
  <si>
    <t>FTE000:ca_electric</t>
  </si>
  <si>
    <t>FTE000:ca_ethanolflex</t>
  </si>
  <si>
    <t>FTE000:ca_CompressedNat</t>
  </si>
  <si>
    <t>FTE000:ca_LiquefiedPetr</t>
  </si>
  <si>
    <t>FTE000:ca_Gasoline</t>
  </si>
  <si>
    <t>FTE000:ca_Diesel</t>
  </si>
  <si>
    <t>FTE000:lm_vmt_stk_total</t>
  </si>
  <si>
    <t>FTE000:lm_vmt_stk_cell</t>
  </si>
  <si>
    <t>FTE000:lm_vmt_stk_pigh</t>
  </si>
  <si>
    <t>FTE000:lm_vmt_stk_pidh</t>
  </si>
  <si>
    <t>FTE000:lm_vmt_stk_elec</t>
  </si>
  <si>
    <t>FTE000:lm_vmt_stk_eff</t>
  </si>
  <si>
    <t>FTE000:lm_vmt_stk_NGas</t>
  </si>
  <si>
    <t>FTE000:lm_vmt_stk_Liq</t>
  </si>
  <si>
    <t>FTE000:lm_vmt_stk_Gas</t>
  </si>
  <si>
    <t>FTE000:lm_vmt_stk_Dies</t>
  </si>
  <si>
    <t>Freight Truck Stock by Size Class</t>
  </si>
  <si>
    <t>FTE000</t>
  </si>
  <si>
    <t>Others as noted on "Calculations Etc" tab</t>
  </si>
  <si>
    <t>TKI000:buspassmiles</t>
  </si>
  <si>
    <t xml:space="preserve">   Bus Transportation</t>
  </si>
  <si>
    <t>TKI000:railpassmiles</t>
  </si>
  <si>
    <t xml:space="preserve">   Passenger Rail</t>
  </si>
  <si>
    <t>TEU000:ba_LightMedium</t>
  </si>
  <si>
    <t>TEU000:ba_Medium</t>
  </si>
  <si>
    <t xml:space="preserve"> (billion passenger miles traveled)</t>
  </si>
  <si>
    <t xml:space="preserve">    Pipeline Fuel</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</si>
  <si>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</si>
  <si>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</si>
  <si>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</si>
  <si>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</si>
  <si>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</si>
  <si>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</si>
  <si>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</si>
  <si>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</si>
  <si>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</si>
  <si>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</si>
  <si>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</si>
  <si>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LPG vehicle</t>
  </si>
  <si>
    <t>hydrogen vehicle</t>
  </si>
  <si>
    <t>This variable gives fuel economy for new vehicles in units of cargo distance per BTU.</t>
  </si>
  <si>
    <t>Fuel Economy (thing*miles/BTU)</t>
  </si>
  <si>
    <t>Passenger HDV Fleet Fuel Economy (AEO 7)</t>
  </si>
  <si>
    <t>passgnermiles/btu</t>
  </si>
  <si>
    <t>Annual Energy Outlook 2020</t>
  </si>
  <si>
    <t>NTS_YR</t>
  </si>
  <si>
    <t>vehicle type</t>
  </si>
  <si>
    <t>cargo type</t>
  </si>
  <si>
    <t>LDVs</t>
  </si>
  <si>
    <t>psgr</t>
  </si>
  <si>
    <t>frgt</t>
  </si>
  <si>
    <t>rail</t>
  </si>
  <si>
    <t>ships</t>
  </si>
  <si>
    <t>motorbikes</t>
  </si>
  <si>
    <t>U.S. Department of Energy</t>
  </si>
  <si>
    <t>Fuel Cells Fact Sheet</t>
  </si>
  <si>
    <t>https://www.energy.gov/sites/prod/files/2015/11/f27/fcto_fuel_cells_fact_sheet.pdf</t>
  </si>
  <si>
    <t>MPG000</t>
  </si>
  <si>
    <t>(miles per gallon gasoline equivalent)</t>
  </si>
  <si>
    <t>MPG000:ba_GasolineICEVe</t>
  </si>
  <si>
    <t>MPG000:ba_TDIDieselICE</t>
  </si>
  <si>
    <t>MPG000:ca_Ethanol-FlexF</t>
  </si>
  <si>
    <t>MPG000:ca_100mileEV</t>
  </si>
  <si>
    <t>MPG000:ca_ElectricVehic</t>
  </si>
  <si>
    <t>MPG000:ea_FuelCellGasol</t>
  </si>
  <si>
    <t>MPG000:ca_Plug-inGasoli</t>
  </si>
  <si>
    <t>MPG000:ca_Plug-in40Hybd</t>
  </si>
  <si>
    <t>MPG000:ca_Electric-Dies</t>
  </si>
  <si>
    <t>MPG000:ca_Electric-Gaso</t>
  </si>
  <si>
    <t>MPG000:ca_CompressedNat</t>
  </si>
  <si>
    <t>MPG000:da_CompressedNat</t>
  </si>
  <si>
    <t>MPG000:da_LiquefiedPetr</t>
  </si>
  <si>
    <t>MPG000:ea_LiquefiedPetr</t>
  </si>
  <si>
    <t>MPG000:ea_FuelCellMetha</t>
  </si>
  <si>
    <t>MPG000:ea_FuelCellHydro</t>
  </si>
  <si>
    <t>MPG000:fa_TotalNewCarSa</t>
  </si>
  <si>
    <t>MPG000:ga_GasolineICEVe</t>
  </si>
  <si>
    <t>MPG000:ga_TDIDieselICE</t>
  </si>
  <si>
    <t>MPG000:ha_Ethanol-FlexF</t>
  </si>
  <si>
    <t>MPG000:ha_100mileEV</t>
  </si>
  <si>
    <t>MPG000:ha_ElectricVehic</t>
  </si>
  <si>
    <t>MPG000:ja_FuelCellGasol</t>
  </si>
  <si>
    <t>MPG000:ha_Plug-inGasoli</t>
  </si>
  <si>
    <t>MPG000:ha_Plug-in40Hybd</t>
  </si>
  <si>
    <t>MPG000:ha_Electric-Dies</t>
  </si>
  <si>
    <t>MPG000:ha_Electric-Gaso</t>
  </si>
  <si>
    <t>MPG000:ha_CompressedNat</t>
  </si>
  <si>
    <t>MPG000:ia_CompressedNat</t>
  </si>
  <si>
    <t>MPG000:ia_LiquefiedPetr</t>
  </si>
  <si>
    <t>MPG000:ja_LiquefiedPetr</t>
  </si>
  <si>
    <t>MPG000:ja_FuelCellMetha</t>
  </si>
  <si>
    <t>MPG000:ja_FuelCellHydro</t>
  </si>
  <si>
    <t>MPG000:ka_TotalNewTruck</t>
  </si>
  <si>
    <t>MPG000:na_AverageNewTru</t>
  </si>
  <si>
    <t>Average New Vehicle Miles per Gallon</t>
  </si>
  <si>
    <t>MPG000:oa_FleetAverageS</t>
  </si>
  <si>
    <t>MPG000:pa_FleetAverageS</t>
  </si>
  <si>
    <t>MPG000:qa_FleetAverageS</t>
  </si>
  <si>
    <t>MPG000:allallnew</t>
  </si>
  <si>
    <t>MPG000:allallstock</t>
  </si>
  <si>
    <t>TST000</t>
  </si>
  <si>
    <t>TST000:ba_GasolineICEVe</t>
  </si>
  <si>
    <t>TST000:ba_TDIDieselICE</t>
  </si>
  <si>
    <t>TST000:ba_TotalConventi</t>
  </si>
  <si>
    <t>TST000:ca_Ethanol-FlexF</t>
  </si>
  <si>
    <t>TST000:ca_100mileEV</t>
  </si>
  <si>
    <t>TST000:ca_ElectricVehic</t>
  </si>
  <si>
    <t>TST000:ea_FuelCellGasol</t>
  </si>
  <si>
    <t>TST000:ca_Plug-inGasoli</t>
  </si>
  <si>
    <t>TST000:ca_Plug-in40Hybd</t>
  </si>
  <si>
    <t>TST000:ca_Electric-Dies</t>
  </si>
  <si>
    <t>TST000:ca_Electric-Gaso</t>
  </si>
  <si>
    <t>TST000:ca_CompressedNat</t>
  </si>
  <si>
    <t>TST000:da_CompressedNat</t>
  </si>
  <si>
    <t>TST000:da_LiquefiedPetr</t>
  </si>
  <si>
    <t>TST000:ea_LiquefiedPetr</t>
  </si>
  <si>
    <t>TST000:ea_FuelCellMetha</t>
  </si>
  <si>
    <t>TST000:ea_FuelCellHydro</t>
  </si>
  <si>
    <t>TST000:ea_TotalAlternat</t>
  </si>
  <si>
    <t>TST000:fa_PercentAltern</t>
  </si>
  <si>
    <t>Percent Alternative Car Sales</t>
  </si>
  <si>
    <t>TST000:fa_TotalNewCarSa</t>
  </si>
  <si>
    <t>Total New Car Sales</t>
  </si>
  <si>
    <t>TST000:ga_GasolineICEVe</t>
  </si>
  <si>
    <t>TST000:ga_TDIDieselICE</t>
  </si>
  <si>
    <t>TST000:ga_TotalConventi</t>
  </si>
  <si>
    <t>TST000:ha_Ethanol-FlexF</t>
  </si>
  <si>
    <t>TST000:ha_100mileEV</t>
  </si>
  <si>
    <t>TST000:ha_ElectricVehic</t>
  </si>
  <si>
    <t>TST000:ja_FuelCellGasol</t>
  </si>
  <si>
    <t>TST000:ha_Plug-inGasoli</t>
  </si>
  <si>
    <t>TST000:ha_Plug-in40Hybd</t>
  </si>
  <si>
    <t>TST000:ha_Electric-Dies</t>
  </si>
  <si>
    <t>TST000:ha_Electric-Gaso</t>
  </si>
  <si>
    <t>TST000:ha_CompressedNat</t>
  </si>
  <si>
    <t>TST000:ia_CompressedNat</t>
  </si>
  <si>
    <t>TST000:ia_LiquefiedPetr</t>
  </si>
  <si>
    <t>TST000:ja_LiquefiedPetr</t>
  </si>
  <si>
    <t>TST000:ja_FuelCellMetha</t>
  </si>
  <si>
    <t>TST000:ja_FuelCellHydro</t>
  </si>
  <si>
    <t>TST000:ja_TotalAlternat</t>
  </si>
  <si>
    <t>TST000:ka_PercentAltern</t>
  </si>
  <si>
    <t>Percent Alternative Light Truck Sales</t>
  </si>
  <si>
    <t>TST000:ka_TotalNewTruck</t>
  </si>
  <si>
    <t>Total New Light Truck Sales</t>
  </si>
  <si>
    <t>TST000:la_PercentTotalA</t>
  </si>
  <si>
    <t>Percent Total Alternative Sales</t>
  </si>
  <si>
    <t>TST000:la_EPACTLegislat</t>
  </si>
  <si>
    <t>EPACT Legislative  Alternative Sales</t>
  </si>
  <si>
    <t>TST000:la_ZEVPLegislati</t>
  </si>
  <si>
    <t>ZEVP Legislative Alternative Sales</t>
  </si>
  <si>
    <t>TST000:ta_ConventionGas</t>
  </si>
  <si>
    <t>TST000:ta_TDIDiesel</t>
  </si>
  <si>
    <t>TST000:ta_Flex-Fuel</t>
  </si>
  <si>
    <t>TST000:ta_PlugElectric</t>
  </si>
  <si>
    <t>TST000:ta_PluginHybrid</t>
  </si>
  <si>
    <t>TST000:ta_ElectricHybrd</t>
  </si>
  <si>
    <t>TST000:ta_GassyGaseous</t>
  </si>
  <si>
    <t>TST000:ta_FuelCell</t>
  </si>
  <si>
    <t>TST000:ma_TotalVehicles</t>
  </si>
  <si>
    <t>Total Vehicles Sales</t>
  </si>
  <si>
    <t>TST000:mh_ConventionGas</t>
  </si>
  <si>
    <t>TST000:mh_TDIDiesel</t>
  </si>
  <si>
    <t>TST000:</t>
  </si>
  <si>
    <t>Total Alternative-Fueled Vehicle Sales</t>
  </si>
  <si>
    <t>Passenger LDV Fuel Economy - Gasoline Vehicles</t>
  </si>
  <si>
    <t>AEO 38</t>
  </si>
  <si>
    <t>AEO 40</t>
  </si>
  <si>
    <t>(thousands of car sales)</t>
  </si>
  <si>
    <t>AEO 7</t>
  </si>
  <si>
    <t>(Ratio of tested to on-road)</t>
  </si>
  <si>
    <t>Ratio of on-road to new fuel efficiency</t>
  </si>
  <si>
    <t>Estimated weighted average on-road fuel economy</t>
  </si>
  <si>
    <t>Weighted average new vehicle fuel economy</t>
  </si>
  <si>
    <t>billion passenger miles - passenger rail</t>
  </si>
  <si>
    <t>Passenger rail</t>
  </si>
  <si>
    <t>TEF000</t>
  </si>
  <si>
    <t>TEF000:ba_Total</t>
  </si>
  <si>
    <t>Light-Duty Vehicle</t>
  </si>
  <si>
    <t>TEF000:ba_MotorGasoline</t>
  </si>
  <si>
    <t>TEF000:ba_Ethanol</t>
  </si>
  <si>
    <t>TEF000:ba_Distillate(di</t>
  </si>
  <si>
    <t>TEF000:ba_CompressedNat</t>
  </si>
  <si>
    <t>TEF000:ba_LiquefiedPetr</t>
  </si>
  <si>
    <t>TEF000:ba_Electricity</t>
  </si>
  <si>
    <t>TEF000:ba_LiquidHydroge</t>
  </si>
  <si>
    <t>TEF000:ca_CommercialLig</t>
  </si>
  <si>
    <t>TEF000:clt_MotorGas</t>
  </si>
  <si>
    <t>TEF000:clt_e85</t>
  </si>
  <si>
    <t>TEF000:clt_Diesel</t>
  </si>
  <si>
    <t>TEF000:clt_propane</t>
  </si>
  <si>
    <t>TEF000:clt_natural_gas</t>
  </si>
  <si>
    <t>TEF000:clt_electricity</t>
  </si>
  <si>
    <t>TEF000:clt_hydrogen</t>
  </si>
  <si>
    <t>TEF000:da_Total</t>
  </si>
  <si>
    <t>TEF000:da_MotorGasoline</t>
  </si>
  <si>
    <t>TEF000:da_Distillate(di</t>
  </si>
  <si>
    <t>TEF000:da_CompressedNat</t>
  </si>
  <si>
    <t>TEF000:da_LiquefiedPetr</t>
  </si>
  <si>
    <t>TEF000:ft_eeeeeeeeeee85</t>
  </si>
  <si>
    <t>TEF000:ft_electricity</t>
  </si>
  <si>
    <t>TEF000:ft_hydrogen</t>
  </si>
  <si>
    <t>TEF000:ea_Total</t>
  </si>
  <si>
    <t>TEF000:ea_Distillate(di</t>
  </si>
  <si>
    <t>TEF000:ea_ResidualOil</t>
  </si>
  <si>
    <t>TEF000:ea_SeeEnGee</t>
  </si>
  <si>
    <t>TEF000:ea_LiquidNG</t>
  </si>
  <si>
    <t>TEF000:fa_Total</t>
  </si>
  <si>
    <t>TEF000:fa_Distillate(di</t>
  </si>
  <si>
    <t>TEF000:fa_ResidualOil</t>
  </si>
  <si>
    <t>TEF000:fa_MotorGasoline</t>
  </si>
  <si>
    <t>TEF000:fa_LiquidNG</t>
  </si>
  <si>
    <t>TEF000:ga_Total</t>
  </si>
  <si>
    <t>TEF000:ga_Distillate(di</t>
  </si>
  <si>
    <t>TEF000:ga_ResidualOil</t>
  </si>
  <si>
    <t>TEF000:ga_SeeEnGee</t>
  </si>
  <si>
    <t>TEF000:ga_LiquidNG</t>
  </si>
  <si>
    <t>TEF000:ha_Total</t>
  </si>
  <si>
    <t>Air Transportation</t>
  </si>
  <si>
    <t>TEF000:ha_JetFuel</t>
  </si>
  <si>
    <t>TEF000:ha_AviationGasol</t>
  </si>
  <si>
    <t>TEF000:ia_Total</t>
  </si>
  <si>
    <t>Military Use</t>
  </si>
  <si>
    <t>TEF000:ia_JetFuel</t>
  </si>
  <si>
    <t>TEF000:ia_ResidualFuel</t>
  </si>
  <si>
    <t>TEF000:ia_Distillate</t>
  </si>
  <si>
    <t>TEF000:ja_Total</t>
  </si>
  <si>
    <t>Bus Transportation</t>
  </si>
  <si>
    <t>TEF000:bus_transit_tot</t>
  </si>
  <si>
    <t>TEF000:ja_TransitBus(mo</t>
  </si>
  <si>
    <t>TEF000:bus_transit_e85</t>
  </si>
  <si>
    <t>TEF000:ja_TransitBus(di</t>
  </si>
  <si>
    <t>TEF000:bus_transit_CNG</t>
  </si>
  <si>
    <t>TEF000:bus_transit_LPG</t>
  </si>
  <si>
    <t>TEF000:bus_transit_elec</t>
  </si>
  <si>
    <t>TEF000:bus_transit_hydr</t>
  </si>
  <si>
    <t>TEF000:bus_inter_total</t>
  </si>
  <si>
    <t>TEF000:bus_inter_motor</t>
  </si>
  <si>
    <t>TEF000:bus_inter_e85</t>
  </si>
  <si>
    <t>TEF000:ja_IntercityBus(</t>
  </si>
  <si>
    <t>TEF000:bus_inter_CNG</t>
  </si>
  <si>
    <t>TEF000:bus_inter_LPG</t>
  </si>
  <si>
    <t>TEF000:bus_inter_elec</t>
  </si>
  <si>
    <t>TEF000:bus_inter_hydrog</t>
  </si>
  <si>
    <t>TEF000:bus_school_total</t>
  </si>
  <si>
    <t>TEF000:ja_SchoolBus(mot</t>
  </si>
  <si>
    <t>TEF000:bus_school_e85</t>
  </si>
  <si>
    <t>TEF000:ja_SchoolBus(die</t>
  </si>
  <si>
    <t>TEF000:bus_school_CNG</t>
  </si>
  <si>
    <t>TEF000:bus_school_LPG</t>
  </si>
  <si>
    <t>TEF000:bus_school_elec</t>
  </si>
  <si>
    <t>TEF000:bus_school_hydro</t>
  </si>
  <si>
    <t>TEF000:ma_Total</t>
  </si>
  <si>
    <t>Rail Transportation</t>
  </si>
  <si>
    <t>TEF000:ka_IntercityRail</t>
  </si>
  <si>
    <t>TEF000:ka_InterElect</t>
  </si>
  <si>
    <t>TEF000:la_InterDiesel</t>
  </si>
  <si>
    <t>TEF000:la_InterCNG</t>
  </si>
  <si>
    <t>TEF000:la_InterLNG</t>
  </si>
  <si>
    <t>TEF000:la_TransitRail</t>
  </si>
  <si>
    <t>TEF000:la_TransitElect</t>
  </si>
  <si>
    <t>TEF000:ma_CommuterRail</t>
  </si>
  <si>
    <t>TEF000:ma_CommuteElect</t>
  </si>
  <si>
    <t>TEF000:ma_CommuteDiesel</t>
  </si>
  <si>
    <t>TEF000:ma_CommuteCNG</t>
  </si>
  <si>
    <t>TEF000:ma_CommuteLNG</t>
  </si>
  <si>
    <t>TEF000:na_RecreationBoa</t>
  </si>
  <si>
    <t>Recreational Boats</t>
  </si>
  <si>
    <t>TEF000:na_RecreateGas</t>
  </si>
  <si>
    <t>TEF000:na_RecreateDies</t>
  </si>
  <si>
    <t>TEF000:na_Lubricants</t>
  </si>
  <si>
    <t>Lubricants</t>
  </si>
  <si>
    <t>TEF000:na_PipelineFuelN</t>
  </si>
  <si>
    <t>Pipeline Fuel Natural Gas</t>
  </si>
  <si>
    <t>TEF000:pa_TotalConsumpt</t>
  </si>
  <si>
    <t>estimated fuel economy (passenger miles/btu) - electric</t>
  </si>
  <si>
    <t>estimated fuel economy (passenger miles/btu) - diesel</t>
  </si>
  <si>
    <t>energy use by mode (BTU) - rail, passenger, electric</t>
  </si>
  <si>
    <t>energy use by mode (BTU) - rail, passenger, diesel</t>
  </si>
  <si>
    <t>Efficiency electric</t>
  </si>
  <si>
    <t>Efficiency diesel</t>
  </si>
  <si>
    <t>Electric BTUs * efficiency</t>
  </si>
  <si>
    <t>Diesel BTUs * efficiency</t>
  </si>
  <si>
    <t>Fuel Economy - Passenger Rail</t>
  </si>
  <si>
    <t>Source: https://www.eesi.org/articles/view/electrification-of-u.s.-railways-pie-in-the-sky-or-realistic-goal</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</si>
  <si>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</si>
  <si>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</si>
  <si>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</si>
  <si>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</si>
  <si>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</si>
  <si>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Fuel Economy - Passenger HDV</t>
  </si>
  <si>
    <t>energy use by mode (BTU) - rail, passenger, other</t>
  </si>
  <si>
    <t>Other efficiency adjustment</t>
  </si>
  <si>
    <t>Electric efficiency adjustment</t>
  </si>
  <si>
    <t>estimated fuel economy (passenger miles/btu) - other</t>
  </si>
  <si>
    <t>Energy demand by fuel type is available from AEO 36. We adjust the energy demand for diesel and electricity by an efficiency factor for electric rail</t>
  </si>
  <si>
    <t>technologies to find the share of travel demand from each vehicle technology, then apply those shares to the passenger-miles reported in AEO 7.</t>
  </si>
  <si>
    <t>We divide the passenger-miles for each technology by the energy demand for the respective technologies.</t>
  </si>
  <si>
    <t>Sources: AEO 7, 36, and others as noted on "Calculations Etc" tab</t>
  </si>
  <si>
    <t>Sources: AEO 7, 36, others as noted on "Calculations Etc" tab</t>
  </si>
  <si>
    <t>Since a ratio of new ship fuel economy</t>
  </si>
  <si>
    <t>use this value to represent all freight shipping. We hold it constant through 2050,</t>
  </si>
  <si>
    <t>as we find incorporating the domestic shipping efficiency improvements results in</t>
  </si>
  <si>
    <t>undercounting energy use (as reported in AEO Table 7) in later years.</t>
  </si>
  <si>
    <t>Fuel Economy (freight ton*miles/BTU)</t>
  </si>
  <si>
    <t>U.S. air carrier, certificated, domestic, all services</t>
  </si>
  <si>
    <t>General aviation</t>
  </si>
  <si>
    <r>
      <t>Light duty vehicle, short wheel base</t>
    </r>
    <r>
      <rPr>
        <vertAlign val="superscript"/>
        <sz val="11"/>
        <rFont val="Arial Narrow"/>
        <family val="2"/>
      </rPr>
      <t>a,b</t>
    </r>
  </si>
  <si>
    <r>
      <t>Motorcycle</t>
    </r>
    <r>
      <rPr>
        <vertAlign val="superscript"/>
        <sz val="11"/>
        <rFont val="Arial Narrow"/>
        <family val="2"/>
      </rPr>
      <t>b</t>
    </r>
  </si>
  <si>
    <r>
      <t>Light duty vehicle, long wheel base</t>
    </r>
    <r>
      <rPr>
        <vertAlign val="superscript"/>
        <sz val="11"/>
        <rFont val="Arial Narrow"/>
        <family val="2"/>
      </rPr>
      <t>a,b</t>
    </r>
  </si>
  <si>
    <r>
      <t>Truck, single-unit 2-axle 6-tire or more</t>
    </r>
    <r>
      <rPr>
        <vertAlign val="superscript"/>
        <sz val="11"/>
        <rFont val="Arial Narrow"/>
        <family val="2"/>
      </rPr>
      <t>b</t>
    </r>
  </si>
  <si>
    <r>
      <t>Bus</t>
    </r>
    <r>
      <rPr>
        <vertAlign val="superscript"/>
        <sz val="11"/>
        <rFont val="Arial Narrow"/>
        <family val="2"/>
      </rPr>
      <t>c,e</t>
    </r>
  </si>
  <si>
    <r>
      <t>Transit</t>
    </r>
    <r>
      <rPr>
        <b/>
        <vertAlign val="superscript"/>
        <sz val="11"/>
        <rFont val="Arial Narrow"/>
        <family val="2"/>
      </rPr>
      <t>d</t>
    </r>
    <r>
      <rPr>
        <b/>
        <sz val="11"/>
        <rFont val="Arial Narrow"/>
        <family val="2"/>
      </rPr>
      <t>, total</t>
    </r>
  </si>
  <si>
    <r>
      <t>Motor bus</t>
    </r>
    <r>
      <rPr>
        <vertAlign val="superscript"/>
        <sz val="11"/>
        <rFont val="Arial Narrow"/>
        <family val="2"/>
      </rPr>
      <t>c,e</t>
    </r>
  </si>
  <si>
    <r>
      <t>Commuter bus</t>
    </r>
    <r>
      <rPr>
        <vertAlign val="superscript"/>
        <sz val="11"/>
        <rFont val="Arial Narrow"/>
        <family val="2"/>
      </rPr>
      <t>e</t>
    </r>
  </si>
  <si>
    <r>
      <t>Light rail</t>
    </r>
    <r>
      <rPr>
        <vertAlign val="superscript"/>
        <sz val="11"/>
        <rFont val="Arial Narrow"/>
        <family val="2"/>
      </rPr>
      <t>f</t>
    </r>
  </si>
  <si>
    <r>
      <t>Trolley bus</t>
    </r>
    <r>
      <rPr>
        <vertAlign val="superscript"/>
        <sz val="11"/>
        <rFont val="Arial Narrow"/>
        <family val="2"/>
      </rPr>
      <t>c</t>
    </r>
  </si>
  <si>
    <r>
      <t>Demand response</t>
    </r>
    <r>
      <rPr>
        <vertAlign val="superscript"/>
        <sz val="11"/>
        <rFont val="Arial Narrow"/>
        <family val="2"/>
      </rPr>
      <t>c,d</t>
    </r>
  </si>
  <si>
    <r>
      <t>Ferry boat</t>
    </r>
    <r>
      <rPr>
        <vertAlign val="superscript"/>
        <sz val="11"/>
        <rFont val="Arial Narrow"/>
        <family val="2"/>
      </rPr>
      <t>g</t>
    </r>
  </si>
  <si>
    <r>
      <t>Other</t>
    </r>
    <r>
      <rPr>
        <vertAlign val="superscript"/>
        <sz val="11"/>
        <rFont val="Arial Narrow"/>
        <family val="2"/>
      </rPr>
      <t>g,h</t>
    </r>
  </si>
  <si>
    <r>
      <t>Intercity/Amtrak</t>
    </r>
    <r>
      <rPr>
        <b/>
        <vertAlign val="superscript"/>
        <sz val="11"/>
        <rFont val="Arial Narrow"/>
        <family val="2"/>
      </rPr>
      <t>i</t>
    </r>
  </si>
  <si>
    <r>
      <t>Walking</t>
    </r>
    <r>
      <rPr>
        <b/>
        <vertAlign val="superscript"/>
        <sz val="11"/>
        <rFont val="Arial Narrow"/>
        <family val="2"/>
      </rPr>
      <t>j</t>
    </r>
  </si>
  <si>
    <r>
      <t>Cycling</t>
    </r>
    <r>
      <rPr>
        <b/>
        <vertAlign val="superscript"/>
        <sz val="11"/>
        <rFont val="Arial Narrow"/>
        <family val="2"/>
      </rPr>
      <t>j</t>
    </r>
  </si>
  <si>
    <r>
      <t>KEY:</t>
    </r>
    <r>
      <rPr>
        <sz val="9"/>
        <rFont val="Arial"/>
        <family val="2"/>
      </rPr>
      <t xml:space="preserve"> N = data do not exist; U = data are not available.</t>
    </r>
  </si>
  <si>
    <r>
      <t>a</t>
    </r>
    <r>
      <rPr>
        <sz val="9"/>
        <rFont val="Arial"/>
        <family val="2"/>
      </rPr>
      <t xml:space="preserve"> Data from 2007 were calculated using a new methodology developed by FHWA. Data for these years are based on new categories and are not comparable to previous years. The new category</t>
    </r>
    <r>
      <rPr>
        <i/>
        <sz val="9"/>
        <rFont val="Arial"/>
        <family val="2"/>
      </rPr>
      <t xml:space="preserve"> Light duty vehicle, short wheel base </t>
    </r>
    <r>
      <rPr>
        <sz val="9"/>
        <rFont val="Arial"/>
        <family val="2"/>
      </rPr>
      <t xml:space="preserve">replaces the old category Passenger car and includes passenger cars, light trucks, vans and sport utility vehicles with a wheelbase (WB) equal to or less than 121 inches. The new category </t>
    </r>
    <r>
      <rPr>
        <i/>
        <sz val="9"/>
        <rFont val="Arial"/>
        <family val="2"/>
      </rPr>
      <t>Light duty vehicle, long wheel base</t>
    </r>
    <r>
      <rPr>
        <sz val="9"/>
        <rFont val="Arial"/>
        <family val="2"/>
      </rPr>
      <t xml:space="preserve"> replaces Other 2-axle, 4-tire vehicle and includes large passenger cars, vans, pickup trucks, and sport/utility vehicles with wheelbases (WB) larger than 121 inches. This edition of 1-40 is not comparable to those before the 2019 edition.</t>
    </r>
  </si>
  <si>
    <r>
      <t>b</t>
    </r>
    <r>
      <rPr>
        <sz val="9"/>
        <rFont val="Arial"/>
        <family val="2"/>
      </rPr>
      <t xml:space="preserve"> 1960-65, </t>
    </r>
    <r>
      <rPr>
        <i/>
        <sz val="9"/>
        <rFont val="Arial"/>
        <family val="2"/>
      </rPr>
      <t>Motorcycle</t>
    </r>
    <r>
      <rPr>
        <sz val="9"/>
        <rFont val="Arial"/>
        <family val="2"/>
      </rPr>
      <t xml:space="preserve"> data are included in </t>
    </r>
    <r>
      <rPr>
        <i/>
        <sz val="9"/>
        <rFont val="Arial"/>
        <family val="2"/>
      </rPr>
      <t>Light duty vehicle, short wheel base</t>
    </r>
    <r>
      <rPr>
        <sz val="9"/>
        <rFont val="Arial"/>
        <family val="2"/>
      </rPr>
      <t xml:space="preserve">, and </t>
    </r>
    <r>
      <rPr>
        <i/>
        <sz val="9"/>
        <rFont val="Arial"/>
        <family val="2"/>
      </rPr>
      <t>Long duty vehicle, long wheel base</t>
    </r>
    <r>
      <rPr>
        <sz val="9"/>
        <rFont val="Arial"/>
        <family val="2"/>
      </rPr>
      <t xml:space="preserve"> data are included in </t>
    </r>
    <r>
      <rPr>
        <i/>
        <sz val="9"/>
        <rFont val="Arial"/>
        <family val="2"/>
      </rPr>
      <t>Truck, single-unit 2-axle 6-tire or more</t>
    </r>
    <r>
      <rPr>
        <sz val="9"/>
        <rFont val="Arial"/>
        <family val="2"/>
      </rPr>
      <t>.</t>
    </r>
  </si>
  <si>
    <r>
      <t>c</t>
    </r>
    <r>
      <rPr>
        <sz val="9"/>
        <rFont val="Arial"/>
        <family val="2"/>
      </rPr>
      <t xml:space="preserve"> To reduce double counting </t>
    </r>
    <r>
      <rPr>
        <i/>
        <sz val="9"/>
        <rFont val="Arial"/>
        <family val="2"/>
      </rPr>
      <t xml:space="preserve">Motor bus, Trolley bus, </t>
    </r>
    <r>
      <rPr>
        <sz val="9"/>
        <rFont val="Arial"/>
        <family val="2"/>
      </rPr>
      <t xml:space="preserve">and </t>
    </r>
    <r>
      <rPr>
        <i/>
        <sz val="9"/>
        <rFont val="Arial"/>
        <family val="2"/>
      </rPr>
      <t>Demand response</t>
    </r>
    <r>
      <rPr>
        <sz val="9"/>
        <rFont val="Arial"/>
        <family val="2"/>
      </rPr>
      <t xml:space="preserve"> (commonly called "paratransit" service) counts have been subtracted from </t>
    </r>
    <r>
      <rPr>
        <i/>
        <sz val="9"/>
        <rFont val="Arial"/>
        <family val="2"/>
      </rPr>
      <t xml:space="preserve">Highway, total </t>
    </r>
    <r>
      <rPr>
        <sz val="9"/>
        <rFont val="Arial"/>
        <family val="2"/>
      </rPr>
      <t>and</t>
    </r>
    <r>
      <rPr>
        <i/>
        <sz val="9"/>
        <rFont val="Arial"/>
        <family val="2"/>
      </rPr>
      <t xml:space="preserve"> Bus</t>
    </r>
    <r>
      <rPr>
        <sz val="9"/>
        <rFont val="Arial"/>
        <family val="2"/>
      </rPr>
      <t xml:space="preserve"> because such miles are included under Transit</t>
    </r>
    <r>
      <rPr>
        <i/>
        <sz val="9"/>
        <rFont val="Arial"/>
        <family val="2"/>
      </rPr>
      <t>.</t>
    </r>
  </si>
  <si>
    <r>
      <t>d</t>
    </r>
    <r>
      <rPr>
        <sz val="9"/>
        <rFont val="Arial"/>
        <family val="2"/>
      </rPr>
      <t xml:space="preserve">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r>
  </si>
  <si>
    <r>
      <t>e</t>
    </r>
    <r>
      <rPr>
        <sz val="9"/>
        <rFont val="Arial"/>
        <family val="2"/>
      </rPr>
      <t xml:space="preserve"> </t>
    </r>
    <r>
      <rPr>
        <i/>
        <sz val="9"/>
        <rFont val="Arial"/>
        <family val="2"/>
      </rPr>
      <t xml:space="preserve">Motor bus </t>
    </r>
    <r>
      <rPr>
        <sz val="9"/>
        <rFont val="Arial"/>
        <family val="2"/>
      </rPr>
      <t xml:space="preserve">category includes motor bus and bus rapid transit. </t>
    </r>
    <r>
      <rPr>
        <i/>
        <sz val="9"/>
        <rFont val="Arial"/>
        <family val="2"/>
      </rPr>
      <t>Commuter bus</t>
    </r>
    <r>
      <rPr>
        <sz val="9"/>
        <rFont val="Arial"/>
        <family val="2"/>
      </rPr>
      <t xml:space="preserve"> included with </t>
    </r>
    <r>
      <rPr>
        <i/>
        <sz val="9"/>
        <rFont val="Arial"/>
        <family val="2"/>
      </rPr>
      <t>Motor bus</t>
    </r>
    <r>
      <rPr>
        <sz val="9"/>
        <rFont val="Arial"/>
        <family val="2"/>
      </rPr>
      <t xml:space="preserve"> for 1980 to 2010.</t>
    </r>
  </si>
  <si>
    <r>
      <t xml:space="preserve">f </t>
    </r>
    <r>
      <rPr>
        <i/>
        <sz val="9"/>
        <rFont val="Arial"/>
        <family val="2"/>
      </rPr>
      <t>Light rail</t>
    </r>
    <r>
      <rPr>
        <sz val="9"/>
        <rFont val="Arial"/>
        <family val="2"/>
      </rPr>
      <t xml:space="preserve"> includes Light Rail, Street Car Rail, and Hybrid Rail.</t>
    </r>
  </si>
  <si>
    <r>
      <t xml:space="preserve">g </t>
    </r>
    <r>
      <rPr>
        <i/>
        <sz val="9"/>
        <rFont val="Arial"/>
        <family val="2"/>
      </rPr>
      <t>Ferry boat</t>
    </r>
    <r>
      <rPr>
        <sz val="9"/>
        <rFont val="Arial"/>
        <family val="2"/>
      </rPr>
      <t xml:space="preserve"> included with </t>
    </r>
    <r>
      <rPr>
        <i/>
        <sz val="9"/>
        <rFont val="Arial"/>
        <family val="2"/>
      </rPr>
      <t>Other</t>
    </r>
    <r>
      <rPr>
        <sz val="9"/>
        <rFont val="Arial"/>
        <family val="2"/>
      </rPr>
      <t xml:space="preserve"> under Transit for 1980 and 1985.</t>
    </r>
  </si>
  <si>
    <r>
      <t xml:space="preserve">h </t>
    </r>
    <r>
      <rPr>
        <i/>
        <sz val="9"/>
        <rFont val="Arial"/>
        <family val="2"/>
      </rPr>
      <t>Other</t>
    </r>
    <r>
      <rPr>
        <sz val="9"/>
        <rFont val="Arial"/>
        <family val="2"/>
      </rPr>
      <t xml:space="preserve"> includes Aerial Tramway, Alaska Railroad, Cable Car, Demand Response - Taxi, Inclined Plane, Monorail/Automated Guideway, Publico and Vanpool.</t>
    </r>
  </si>
  <si>
    <r>
      <t>i</t>
    </r>
    <r>
      <rPr>
        <sz val="9"/>
        <rFont val="Arial"/>
        <family val="2"/>
      </rPr>
      <t xml:space="preserve"> National Passenger Railroad Corporation (Amtrak) began operations in 1971. Does not include contract commuter passengers. Data may include some Canadian Amtrak stations.</t>
    </r>
  </si>
  <si>
    <r>
      <t>j</t>
    </r>
    <r>
      <rPr>
        <sz val="9"/>
        <rFont val="Arial"/>
        <family val="2"/>
      </rPr>
      <t xml:space="preserve">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r>
  </si>
  <si>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</si>
  <si>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r>
      <t xml:space="preserve">In July 1997, the U.S. Department of Transportation, Federal Highway Administration published revised passenger-miles data for the highway modes for a number of years. The major change reflected the reassignment of some vehicles from the </t>
    </r>
    <r>
      <rPr>
        <i/>
        <sz val="9"/>
        <rFont val="Arial"/>
        <family val="2"/>
      </rPr>
      <t xml:space="preserve">Passenger car </t>
    </r>
    <r>
      <rPr>
        <sz val="9"/>
        <rFont val="Arial"/>
        <family val="2"/>
      </rPr>
      <t xml:space="preserve">category to the </t>
    </r>
    <r>
      <rPr>
        <i/>
        <sz val="9"/>
        <rFont val="Arial"/>
        <family val="2"/>
      </rPr>
      <t>Other 2-axle 4-tire vehicle</t>
    </r>
    <r>
      <rPr>
        <sz val="9"/>
        <rFont val="Arial"/>
        <family val="2"/>
      </rPr>
      <t xml:space="preserve"> category. Passenger-miles for </t>
    </r>
    <r>
      <rPr>
        <i/>
        <sz val="9"/>
        <rFont val="Arial"/>
        <family val="2"/>
      </rPr>
      <t>passenger car, motorcycle, and other 2-axle 4-tire vehicles</t>
    </r>
    <r>
      <rPr>
        <sz val="9"/>
        <rFont val="Arial"/>
        <family val="2"/>
      </rPr>
      <t xml:space="preserve"> were derived by multiplying vehicle-miles for these vehicles by average vehicle occupancy rates, provided by the Nationwide Personal Transportation Survey (1977, 1983, and 1995) and the National Household Travel Survey. </t>
    </r>
  </si>
  <si>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</si>
  <si>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</si>
  <si>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</si>
  <si>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This edition of table 1-40 is not comparable to previous versions of this table.</t>
  </si>
  <si>
    <t>All data except General aviation:</t>
  </si>
  <si>
    <r>
      <t xml:space="preserve">1965-70: Civil Aeronautics Board, </t>
    </r>
    <r>
      <rPr>
        <i/>
        <sz val="9"/>
        <rFont val="Arial"/>
        <family val="2"/>
      </rPr>
      <t xml:space="preserve">Handbook of Airline Statistics, 1973 </t>
    </r>
    <r>
      <rPr>
        <sz val="9"/>
        <rFont val="Arial"/>
        <family val="2"/>
      </rPr>
      <t>(Washington, DC: 1974), part III, table 2.</t>
    </r>
  </si>
  <si>
    <r>
      <t xml:space="preserve">1975-85: U.S. Department of Transportation, Bureau of Transportation Statistics, Office of Airline Information, </t>
    </r>
    <r>
      <rPr>
        <i/>
        <sz val="9"/>
        <rFont val="Arial"/>
        <family val="2"/>
      </rPr>
      <t>Air Carrier Summary, T1: U.S. Air Carrier Traffic And Capacity Summary by Service Class</t>
    </r>
    <r>
      <rPr>
        <sz val="9"/>
        <rFont val="Arial"/>
        <family val="2"/>
      </rPr>
      <t>, available at https://transtats.bts.gov/ as of Mar. 25, 2020.</t>
    </r>
  </si>
  <si>
    <r>
      <t xml:space="preserve">1990-2019: U.S. Department of Transportation, Bureau of Transportation Statistics, Office of Airline Information,  </t>
    </r>
    <r>
      <rPr>
        <i/>
        <sz val="9"/>
        <rFont val="Arial"/>
        <family val="2"/>
      </rPr>
      <t>Air Carrier Statistics T-100</t>
    </r>
    <r>
      <rPr>
        <sz val="9"/>
        <rFont val="Arial"/>
        <family val="2"/>
      </rPr>
      <t>, available at https://transtats.bts.gov/ as of Jan. 8, 2021.</t>
    </r>
  </si>
  <si>
    <t>General aviation:</t>
  </si>
  <si>
    <r>
      <t xml:space="preserve">Eno Transportation Foundation, Inc., </t>
    </r>
    <r>
      <rPr>
        <i/>
        <sz val="9"/>
        <rFont val="Arial"/>
        <family val="2"/>
      </rPr>
      <t>Transportation in America,</t>
    </r>
    <r>
      <rPr>
        <sz val="9"/>
        <rFont val="Arial"/>
        <family val="2"/>
      </rPr>
      <t xml:space="preserve"> Annual Issues (Washington, DC), pp. 40 and 45, and similar tables in earlier editions.</t>
    </r>
  </si>
  <si>
    <t>Bus:</t>
  </si>
  <si>
    <r>
      <t xml:space="preserve">1985-93: U.S. Department of Transportation, Federal Highway Administration, </t>
    </r>
    <r>
      <rPr>
        <i/>
        <sz val="9"/>
        <rFont val="Arial"/>
        <family val="2"/>
      </rPr>
      <t>Highway Statistics Summary to 1995</t>
    </r>
    <r>
      <rPr>
        <sz val="9"/>
        <rFont val="Arial"/>
        <family val="2"/>
      </rPr>
      <t>, table VM-201A, minus transit bus categories (Motor bus, Trolley bus, and Demand response).</t>
    </r>
  </si>
  <si>
    <r>
      <t xml:space="preserve">1994-2019: U.S. Department of Transportation, Federal Highway Administration, </t>
    </r>
    <r>
      <rPr>
        <i/>
        <sz val="9"/>
        <rFont val="Arial"/>
        <family val="2"/>
      </rPr>
      <t>Highway Statistics</t>
    </r>
    <r>
      <rPr>
        <sz val="9"/>
        <rFont val="Arial"/>
        <family val="2"/>
      </rPr>
      <t xml:space="preserve"> (Washington, DC: Annual Issues), table VM-1, available at http://www.fhwa.dot.gov/policyinformation/statistics.cfm as of Jan. 8, 2021, minus transit bus categories (Motor bus, Trolley bus, and Demand response).</t>
    </r>
  </si>
  <si>
    <r>
      <t xml:space="preserve">1960-93: U.S. Department of Transportation, Federal Highway Administration, </t>
    </r>
    <r>
      <rPr>
        <i/>
        <sz val="9"/>
        <rFont val="Arial"/>
        <family val="2"/>
      </rPr>
      <t>Highway Statistics Summary to 1995</t>
    </r>
    <r>
      <rPr>
        <sz val="9"/>
        <rFont val="Arial"/>
        <family val="2"/>
      </rPr>
      <t xml:space="preserve">, table VM-201A. </t>
    </r>
  </si>
  <si>
    <r>
      <t xml:space="preserve">1994-2019: U.S. Department of Transportation, Federal Highway Administration, </t>
    </r>
    <r>
      <rPr>
        <i/>
        <sz val="9"/>
        <rFont val="Arial"/>
        <family val="2"/>
      </rPr>
      <t>Highway Statistics</t>
    </r>
    <r>
      <rPr>
        <sz val="9"/>
        <rFont val="Arial"/>
        <family val="2"/>
      </rPr>
      <t xml:space="preserve"> (Washington, DC: Annual Issues), table VM-1, available at http://www.fhwa.dot.gov/policyinformation/statistics.cfm as of Jan. 8, 2021.</t>
    </r>
  </si>
  <si>
    <r>
      <t>1996-2008: U.S. Department of Transportation, Federal Transit Administration,</t>
    </r>
    <r>
      <rPr>
        <i/>
        <sz val="9"/>
        <rFont val="Arial"/>
        <family val="2"/>
      </rPr>
      <t xml:space="preserve"> National Transit Database, </t>
    </r>
    <r>
      <rPr>
        <sz val="9"/>
        <rFont val="Arial"/>
        <family val="2"/>
      </rPr>
      <t>Table 19, available at http://www.ntdprogram.gov/ntdprogram/data.htm as of Apr. 26, 2016.</t>
    </r>
  </si>
  <si>
    <r>
      <t xml:space="preserve">2009-19: U.S. Department of Transportation, Federal Transit Administration, </t>
    </r>
    <r>
      <rPr>
        <i/>
        <sz val="9"/>
        <rFont val="Arial"/>
        <family val="2"/>
      </rPr>
      <t>National Transit Database</t>
    </r>
    <r>
      <rPr>
        <sz val="9"/>
        <rFont val="Arial"/>
        <family val="2"/>
      </rPr>
      <t xml:space="preserve"> (Washington, DC: Annual Issues), Annual Database Service, available at https://www.transit.dot.gov/ntd/ntd-data as of Jan. 8, 2021.</t>
    </r>
  </si>
  <si>
    <r>
      <t xml:space="preserve">1996-2008: U.S. Department of Transportation, Federal Transit Administration, </t>
    </r>
    <r>
      <rPr>
        <i/>
        <sz val="9"/>
        <rFont val="Arial"/>
        <family val="2"/>
      </rPr>
      <t xml:space="preserve">National Transit Database, </t>
    </r>
    <r>
      <rPr>
        <sz val="9"/>
        <rFont val="Arial"/>
        <family val="2"/>
      </rPr>
      <t>Table 19, available at http://www.ntdprogram.gov/ntdprogram/data.htm as of Apr. 26, 2016.</t>
    </r>
  </si>
  <si>
    <r>
      <t xml:space="preserve">2009-19: U.S. Department of Transportation, Federal Transit Administration, </t>
    </r>
    <r>
      <rPr>
        <i/>
        <sz val="9"/>
        <rFont val="Arial"/>
        <family val="2"/>
      </rPr>
      <t>National Transit Database</t>
    </r>
    <r>
      <rPr>
        <sz val="9"/>
        <rFont val="Arial"/>
        <family val="2"/>
      </rPr>
      <t xml:space="preserve"> (Washington, DC: Annual Issues), </t>
    </r>
    <r>
      <rPr>
        <i/>
        <sz val="9"/>
        <rFont val="Arial"/>
        <family val="2"/>
      </rPr>
      <t>Annual Database Service</t>
    </r>
    <r>
      <rPr>
        <sz val="9"/>
        <rFont val="Arial"/>
        <family val="2"/>
      </rPr>
      <t>, available at https://www.transit.dot.gov/ntd/ntd-data as of Jan. 8, 2021.</t>
    </r>
  </si>
  <si>
    <t>Intercity / Amtrak:</t>
  </si>
  <si>
    <r>
      <t xml:space="preserve">1990-2000: Amtrak, </t>
    </r>
    <r>
      <rPr>
        <i/>
        <sz val="9"/>
        <rFont val="Arial"/>
        <family val="2"/>
      </rPr>
      <t xml:space="preserve">Amtrak Annual Report </t>
    </r>
    <r>
      <rPr>
        <sz val="9"/>
        <rFont val="Arial"/>
        <family val="2"/>
      </rPr>
      <t>(Washington, DC: Annual Issues), Statistical Appendix.</t>
    </r>
  </si>
  <si>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</si>
  <si>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</si>
  <si>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</si>
  <si>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highogs.d120120a</t>
  </si>
  <si>
    <t>Annual Energy Outlook 2021</t>
  </si>
  <si>
    <t>ref2021</t>
  </si>
  <si>
    <t>d113020a</t>
  </si>
  <si>
    <t xml:space="preserve"> January 2021</t>
  </si>
  <si>
    <t>Compound</t>
  </si>
  <si>
    <t xml:space="preserve"> Growth </t>
  </si>
  <si>
    <t xml:space="preserve">2020-2050 </t>
  </si>
  <si>
    <t>(percent)</t>
  </si>
  <si>
    <t>1/ Commercial trucks 8,501 to 10,000 pounds gross vehicle weight rating.</t>
  </si>
  <si>
    <t>2/ CAFE standard based on projected new vehicle sales.</t>
  </si>
  <si>
    <t>3/ Includes CAFE credits for alternative fueled vehicle sales and credit banking.</t>
  </si>
  <si>
    <t>4/ Environmental Protection Agency rated miles per gallon.</t>
  </si>
  <si>
    <t>5/ Tested new vehicle efficiency revised for on-road performance.</t>
  </si>
  <si>
    <t>6/ Combined "on-the-road" estimate for all cars and light trucks.</t>
  </si>
  <si>
    <t>CAFE = Corporate average fuel economy.</t>
  </si>
  <si>
    <t>Btu = British thermal unit.</t>
  </si>
  <si>
    <t>Note:  Totals may not equal sum of components due to independent rounding.</t>
  </si>
  <si>
    <t>Sources: 2020:  U.S. Energy Information Administration (EIA), Short-Term Energy Outlook, October 2020 and EIA,</t>
  </si>
  <si>
    <t>AEO2021 National Energy Modeling System run highogs.d120120a. Projections:  EIA, AEO2021 National Energy Modeling System run highogs.d120120a.</t>
  </si>
  <si>
    <t>Table 35.  Transportation Sector Energy Use by Mode and Type</t>
  </si>
  <si>
    <t>https://www.eia.gov/outlooks/aeo/data/browser/#/?id=45-AEO2021&amp;region=0-0&amp;cases=highogs&amp;start=2019&amp;end=2050&amp;f=A&amp;sourcekey=0</t>
  </si>
  <si>
    <t>Tue Mar 09 2021 10:51:32 GMT-0800 (Pacific Standard Time)</t>
  </si>
  <si>
    <t>Source: U.S. Energy Information Administration</t>
  </si>
  <si>
    <t>full name</t>
  </si>
  <si>
    <t>Highway</t>
  </si>
  <si>
    <t>Light-Duty Vehicles</t>
  </si>
  <si>
    <t>Transportation Energy Use: Highway: Light-Duty Vehicles: High oil and gas supply</t>
  </si>
  <si>
    <t>Automobiles</t>
  </si>
  <si>
    <t>Transportation Energy Use: Highway: Light-Duty Vehicles: Automobiles: High oil and gas supply</t>
  </si>
  <si>
    <t>Light Trucks</t>
  </si>
  <si>
    <t>Transportation Energy Use: Highway: Light-Duty Vehicles: Light Trucks: High oil and gas supply</t>
  </si>
  <si>
    <t>Motorcycles</t>
  </si>
  <si>
    <t>Transportation Energy Use: Highway: Light-Duty Vehicles: Motorcycles: High oil and gas supply</t>
  </si>
  <si>
    <t>Commercial Light Trucks</t>
  </si>
  <si>
    <t>Transportation Energy Use: Highway: Commercial Light Trucks: High oil and gas supply</t>
  </si>
  <si>
    <t>Buses</t>
  </si>
  <si>
    <t>Transportation Energy Use: Highway: Buses: High oil and gas supply</t>
  </si>
  <si>
    <t>Transit</t>
  </si>
  <si>
    <t>Transportation Energy Use: Highway: Buses: Transit: High oil and gas supply</t>
  </si>
  <si>
    <t>Intercity</t>
  </si>
  <si>
    <t>Transportation Energy Use: Highway: Buses: Intercity: High oil and gas supply</t>
  </si>
  <si>
    <t>School</t>
  </si>
  <si>
    <t>Transportation Energy Use: Highway: Buses: School: High oil and gas supply</t>
  </si>
  <si>
    <t>Freight Trucks</t>
  </si>
  <si>
    <t>Transportation Energy Use: Highway: Freight Trucks: High oil and gas supply</t>
  </si>
  <si>
    <t>Light Medium</t>
  </si>
  <si>
    <t>Transportation Energy Use: Highway: Freight Trucks: Light Medium: High oil and gas supply</t>
  </si>
  <si>
    <t>Medium</t>
  </si>
  <si>
    <t>Transportation Energy Use: Highway: Freight Trucks: Medium: High oil and gas supply</t>
  </si>
  <si>
    <t>Large  (&gt; 26000 pounds)</t>
  </si>
  <si>
    <t>Transportation Energy Use: Highway: Freight Trucks: Large: High oil and gas supply</t>
  </si>
  <si>
    <t>Non-Highway</t>
  </si>
  <si>
    <t>Transportation Energy Use: Non-Highway: Air: High oil and gas supply</t>
  </si>
  <si>
    <t>General Aviation</t>
  </si>
  <si>
    <t>Transportation Energy Use: Non-Highway: Air: General Aviation: High oil and gas supply</t>
  </si>
  <si>
    <t>Domestic Passenger</t>
  </si>
  <si>
    <t>Transportation Energy Use: Non-Highway: Air: Domestic Passenger: High oil and gas supply</t>
  </si>
  <si>
    <t>International Passenger</t>
  </si>
  <si>
    <t>Transportation Energy Use: Non-Highway: Air: International Passenger: High oil and gas supply</t>
  </si>
  <si>
    <t>Dedicated Freight</t>
  </si>
  <si>
    <t>Transportation Energy Use: Non-Highway: Air: Dedicated Freight: High oil and gas supply</t>
  </si>
  <si>
    <t>Water</t>
  </si>
  <si>
    <t>Transportation Energy Use: Non-Highway: Water: High oil and gas supply</t>
  </si>
  <si>
    <t>Freight</t>
  </si>
  <si>
    <t>Transportation Energy Use: Non-Highway: Water: Freight: High oil and gas supply</t>
  </si>
  <si>
    <t>Transportation Energy Use: Non-Highway: Water: Freight: Domestic Shipping: High oil and gas supply</t>
  </si>
  <si>
    <t>Transportation Energy Use: Non-Highway: Water: Freight: International Shipping: High oil and gas supply</t>
  </si>
  <si>
    <t>Transportation Energy Use: Non-Highway: Water: Recreational Boats: High oil and gas supply</t>
  </si>
  <si>
    <t>Transportation Energy Use: Non-Highway: Rail: High oil and gas supply</t>
  </si>
  <si>
    <t>Transportation Energy Use: Non-Highway: Rail: Freight: High oil and gas supply</t>
  </si>
  <si>
    <t>Passenger</t>
  </si>
  <si>
    <t>Transportation Energy Use: Non-Highway: Rail: Passenger: High oil and gas supply</t>
  </si>
  <si>
    <t>Transportation Energy Use: Non-Highway: Rail: Passenger: Intercity: High oil and gas supply</t>
  </si>
  <si>
    <t>Transportation Energy Use: Non-Highway: Rail: Passenger: Transit: High oil and gas supply</t>
  </si>
  <si>
    <t>Commuter</t>
  </si>
  <si>
    <t>Transportation Energy Use: Non-Highway: Rail: Passenger: Commuter: High oil and gas supply</t>
  </si>
  <si>
    <t>Transportation Energy Use: Non-Highway: Lubricants: High oil and gas supply</t>
  </si>
  <si>
    <t>Transportation Energy Use: Non-Highway: Pipeline Fuel Natural Gas: High oil and gas supply</t>
  </si>
  <si>
    <t>Transportation Energy Use: Military Use: High oil and gas supply</t>
  </si>
  <si>
    <t>Jet Fuel and Aviation Gasoline</t>
  </si>
  <si>
    <t>Transportation Energy Use: Military Use: Aviation: High oil and gas supply</t>
  </si>
  <si>
    <t>Residual Fuel Oil</t>
  </si>
  <si>
    <t>Transportation Energy Use: Military Use: Residual Fuel Oil: High oil and gas supply</t>
  </si>
  <si>
    <t>Distillates and Diesel</t>
  </si>
  <si>
    <t>Transportation Energy Use: Military Use: Distillate Fuel Oil: High oil and gas supply</t>
  </si>
  <si>
    <t>Transportation Energy Use: Total: High oil and gas supply</t>
  </si>
  <si>
    <t>Motor Gasoline excluding E85</t>
  </si>
  <si>
    <t>Transportation Energy Use: Petroleum: Motor Gasoline: High oil and gas supply</t>
  </si>
  <si>
    <t>E85</t>
  </si>
  <si>
    <t>Transportation Energy Use: E85: High oil and gas supply</t>
  </si>
  <si>
    <t>Diesel</t>
  </si>
  <si>
    <t>Transportation Energy Use: Petroleum: Diesel: High oil and gas supply</t>
  </si>
  <si>
    <t>Jet Fuel (kerosene &amp; naphtha)</t>
  </si>
  <si>
    <t>Transportation Energy Use: Petroleum: Jet Fuel: High oil and gas supply</t>
  </si>
  <si>
    <t>Transportation Energy Use: Petroleum: Residual Fuel Oil: High oil and gas supply</t>
  </si>
  <si>
    <t>Aviation Gasoline</t>
  </si>
  <si>
    <t>Transportation Energy Use: Petroleum: Aviation Gasoline: High oil and gas supply</t>
  </si>
  <si>
    <t>Propane</t>
  </si>
  <si>
    <t>Transportation Energy Use: Petroleum: Propane: High oil and gas supply</t>
  </si>
  <si>
    <t>Transportation Energy Use: Petroleum: Lubricants: High oil and gas supply</t>
  </si>
  <si>
    <t>Petroleum and Other Liquids Subtotal</t>
  </si>
  <si>
    <t>Transportation Energy Use: Petroleum Subtotal: High oil and gas supply</t>
  </si>
  <si>
    <t>M85</t>
  </si>
  <si>
    <t>Transportation Energy Use: M85: High oil and gas supply</t>
  </si>
  <si>
    <t>Electricity</t>
  </si>
  <si>
    <t>Transportation Energy Use: Electricity: High oil and gas supply</t>
  </si>
  <si>
    <t>Compressed/Liquefied Natural Gas</t>
  </si>
  <si>
    <t>Transportation Energy Use: Natural Gas: High oil and gas supply</t>
  </si>
  <si>
    <t>Hydrogen</t>
  </si>
  <si>
    <t>Transportation Energy Use: Hydrogen: High oil and gas supply</t>
  </si>
  <si>
    <t>Transportation Energy Use: Pipeline Fuel Natural Gas: High oil and gas supply</t>
  </si>
  <si>
    <t>Transportation: Total Energy Use: High oil and gas supply</t>
  </si>
  <si>
    <t>api key</t>
  </si>
  <si>
    <t>units</t>
  </si>
  <si>
    <t>Growth (2020-2050)</t>
  </si>
  <si>
    <t>45-AEO2021.2.</t>
  </si>
  <si>
    <t>45-AEO2021.3.</t>
  </si>
  <si>
    <t>45-AEO2021.4.highogs-d120120a</t>
  </si>
  <si>
    <t>trillion Btu</t>
  </si>
  <si>
    <t>45-AEO2021.5.highogs-d120120a</t>
  </si>
  <si>
    <t>45-AEO2021.6.highogs-d120120a</t>
  </si>
  <si>
    <t>45-AEO2021.7.highogs-d120120a</t>
  </si>
  <si>
    <t>45-AEO2021.8.highogs-d120120a</t>
  </si>
  <si>
    <t>45-AEO2021.9.highogs-d120120a</t>
  </si>
  <si>
    <t>45-AEO2021.10.highogs-d120120a</t>
  </si>
  <si>
    <t>45-AEO2021.11.highogs-d120120a</t>
  </si>
  <si>
    <t>45-AEO2021.12.highogs-d120120a</t>
  </si>
  <si>
    <t>45-AEO2021.13.highogs-d120120a</t>
  </si>
  <si>
    <t>45-AEO2021.14.highogs-d120120a</t>
  </si>
  <si>
    <t>45-AEO2021.15.highogs-d120120a</t>
  </si>
  <si>
    <t>45-AEO2021.16.highogs-d120120a</t>
  </si>
  <si>
    <t>45-AEO2021.18.</t>
  </si>
  <si>
    <t>45-AEO2021.19.highogs-d120120a</t>
  </si>
  <si>
    <t>45-AEO2021.20.highogs-d120120a</t>
  </si>
  <si>
    <t>45-AEO2021.21.highogs-d120120a</t>
  </si>
  <si>
    <t>45-AEO2021.22.highogs-d120120a</t>
  </si>
  <si>
    <t>45-AEO2021.23.highogs-d120120a</t>
  </si>
  <si>
    <t>45-AEO2021.24.highogs-d120120a</t>
  </si>
  <si>
    <t>45-AEO2021.25.highogs-d120120a</t>
  </si>
  <si>
    <t>45-AEO2021.26.highogs-d120120a</t>
  </si>
  <si>
    <t>45-AEO2021.27.highogs-d120120a</t>
  </si>
  <si>
    <t>45-AEO2021.28.highogs-d120120a</t>
  </si>
  <si>
    <t>45-AEO2021.29.highogs-d120120a</t>
  </si>
  <si>
    <t>45-AEO2021.30.highogs-d120120a</t>
  </si>
  <si>
    <t>45-AEO2021.31.highogs-d120120a</t>
  </si>
  <si>
    <t>45-AEO2021.32.highogs-d120120a</t>
  </si>
  <si>
    <t>45-AEO2021.33.highogs-d120120a</t>
  </si>
  <si>
    <t>45-AEO2021.34.highogs-d120120a</t>
  </si>
  <si>
    <t>45-AEO2021.35.highogs-d120120a</t>
  </si>
  <si>
    <t>45-AEO2021.36.highogs-d120120a</t>
  </si>
  <si>
    <t>45-AEO2021.38.highogs-d120120a</t>
  </si>
  <si>
    <t>45-AEO2021.39.highogs-d120120a</t>
  </si>
  <si>
    <t>45-AEO2021.40.highogs-d120120a</t>
  </si>
  <si>
    <t>45-AEO2021.41.highogs-d120120a</t>
  </si>
  <si>
    <t>45-AEO2021.43.highogs-d120120a</t>
  </si>
  <si>
    <t>45-AEO2021.45.</t>
  </si>
  <si>
    <t>45-AEO2021.46.highogs-d120120a</t>
  </si>
  <si>
    <t>45-AEO2021.47.highogs-d120120a</t>
  </si>
  <si>
    <t>45-AEO2021.48.highogs-d120120a</t>
  </si>
  <si>
    <t>45-AEO2021.49.highogs-d120120a</t>
  </si>
  <si>
    <t>45-AEO2021.50.highogs-d120120a</t>
  </si>
  <si>
    <t>45-AEO2021.51.highogs-d120120a</t>
  </si>
  <si>
    <t>45-AEO2021.52.highogs-d120120a</t>
  </si>
  <si>
    <t>45-AEO2021.53.highogs-d120120a</t>
  </si>
  <si>
    <t>45-AEO2021.54.highogs-d120120a</t>
  </si>
  <si>
    <t>45-AEO2021.55.highogs-d120120a</t>
  </si>
  <si>
    <t>45-AEO2021.56.highogs-d120120a</t>
  </si>
  <si>
    <t>45-AEO2021.57.highogs-d120120a</t>
  </si>
  <si>
    <t>45-AEO2021.58.highogs-d120120a</t>
  </si>
  <si>
    <t>45-AEO2021.59.highogs-d120120a</t>
  </si>
  <si>
    <t>45-AEO2021.61.highogs-d120120a</t>
  </si>
  <si>
    <t>ORIGINAL EIA CODE</t>
  </si>
  <si>
    <t>Table 36.  Transportation Sector Energy Use by Fuel Type Within a Mode</t>
  </si>
  <si>
    <t>https://www.eia.gov/outlooks/aeo/data/browser/#/?id=46-AEO2021&amp;region=0-0&amp;cases=highogs&amp;start=2020&amp;end=2050&amp;f=A&amp;linechart=highogs-d120120a.2-46-AEO2021&amp;sourcekey=0</t>
  </si>
  <si>
    <t>Tue Mar 09 2021 10:55:36 GMT-0800 (Pacific Standard Time)</t>
  </si>
  <si>
    <t>Distillate Fuel Oil (diesel)</t>
  </si>
  <si>
    <t>Motor Gasoline</t>
  </si>
  <si>
    <t>Freight Rail</t>
  </si>
  <si>
    <t>Compressed Natural Gas</t>
  </si>
  <si>
    <t>Liquefied Natural Gas</t>
  </si>
  <si>
    <t>Residual Oil</t>
  </si>
  <si>
    <t>Jet Fuel</t>
  </si>
  <si>
    <t>Transit Bus</t>
  </si>
  <si>
    <t>Intercity Bus</t>
  </si>
  <si>
    <t>School Bus</t>
  </si>
  <si>
    <t>Intercity Rail</t>
  </si>
  <si>
    <t>Transit Rail</t>
  </si>
  <si>
    <t>Commuter Rail</t>
  </si>
  <si>
    <t>Gasoline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</si>
  <si>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</si>
  <si>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</si>
  <si>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</si>
  <si>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</si>
  <si>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</si>
  <si>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</si>
  <si>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</si>
  <si>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</si>
  <si>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</si>
  <si>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</si>
  <si>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</si>
  <si>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</si>
  <si>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</si>
  <si>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</si>
  <si>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</si>
  <si>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</si>
  <si>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</si>
  <si>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</si>
  <si>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</si>
  <si>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</si>
  <si>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</si>
  <si>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</si>
  <si>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</si>
  <si>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</si>
  <si>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</si>
  <si>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</si>
  <si>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</si>
  <si>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</si>
  <si>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</si>
  <si>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</si>
  <si>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</si>
  <si>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</si>
  <si>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</si>
  <si>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</si>
  <si>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</si>
  <si>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</si>
  <si>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</si>
  <si>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</si>
  <si>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</si>
  <si>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</si>
  <si>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</si>
  <si>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</si>
  <si>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</si>
  <si>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</si>
  <si>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</si>
  <si>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</si>
  <si>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</si>
  <si>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</si>
  <si>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</si>
  <si>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</si>
  <si>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</si>
  <si>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</si>
  <si>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</si>
  <si>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</si>
  <si>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</si>
  <si>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</si>
  <si>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</si>
  <si>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</si>
  <si>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</si>
  <si>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</si>
  <si>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</si>
  <si>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</si>
  <si>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</si>
  <si>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</si>
  <si>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</si>
  <si>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</si>
  <si>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</si>
  <si>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</si>
  <si>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</si>
  <si>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</si>
  <si>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</si>
  <si>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</si>
  <si>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</si>
  <si>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</si>
  <si>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</si>
  <si>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</si>
  <si>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</si>
  <si>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</si>
  <si>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</si>
  <si>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</si>
  <si>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</si>
  <si>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</si>
  <si>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</si>
  <si>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</si>
  <si>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</si>
  <si>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</si>
  <si>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</si>
  <si>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</si>
  <si>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</si>
  <si>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</si>
  <si>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</si>
  <si>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</si>
  <si>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</si>
  <si>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</si>
  <si>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</si>
  <si>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</si>
  <si>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</si>
  <si>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</si>
  <si>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</si>
  <si>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</si>
  <si>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</si>
  <si>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</si>
  <si>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</si>
  <si>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</si>
  <si>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</si>
  <si>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</si>
  <si>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</si>
  <si>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</si>
  <si>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</si>
  <si>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</si>
  <si>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</si>
  <si>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</si>
  <si>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</si>
  <si>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</si>
  <si>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</si>
  <si>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</si>
  <si>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</si>
  <si>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</si>
  <si>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</si>
  <si>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</si>
  <si>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</si>
  <si>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</si>
  <si>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</si>
  <si>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</si>
  <si>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</si>
  <si>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</si>
  <si>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</si>
  <si>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</si>
  <si>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</si>
  <si>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</si>
  <si>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</si>
  <si>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</si>
  <si>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</si>
  <si>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</si>
  <si>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</si>
  <si>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</si>
  <si>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</si>
  <si>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</si>
  <si>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</si>
  <si>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</si>
  <si>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</si>
  <si>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</si>
  <si>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</si>
  <si>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</si>
  <si>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</si>
  <si>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</si>
  <si>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</si>
  <si>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</si>
  <si>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</si>
  <si>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</si>
  <si>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</si>
  <si>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</si>
  <si>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</si>
  <si>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</si>
  <si>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</si>
  <si>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</si>
  <si>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</si>
  <si>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</si>
  <si>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</si>
  <si>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</si>
  <si>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</si>
  <si>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</si>
  <si>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</si>
  <si>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</si>
  <si>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</si>
  <si>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</si>
  <si>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</si>
  <si>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</si>
  <si>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</si>
  <si>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</si>
  <si>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</si>
  <si>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</si>
  <si>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</si>
  <si>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</si>
  <si>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</si>
  <si>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</si>
  <si>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</si>
  <si>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</si>
  <si>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</si>
  <si>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Table 38.  Light-Duty Vehicle Sales by Technology Type</t>
  </si>
  <si>
    <t>https://www.eia.gov/outlooks/aeo/data/browser/#/?id=48-AEO2021&amp;region=1-0&amp;cases=highogs&amp;start=2020&amp;end=2050&amp;f=A&amp;linechart=highogs-d120120a.4-48-AEO2021.1-0&amp;map=highogs-d120120a.5-48-AEO2021.1-0&amp;sourcekey=0</t>
  </si>
  <si>
    <t>Tue Mar 09 2021 12:43:15 GMT-0800 (Pacific Standard Time)</t>
  </si>
  <si>
    <t>New Car Sales</t>
  </si>
  <si>
    <t>Conventional Cars</t>
  </si>
  <si>
    <t>Gasoline ICE Vehicles</t>
  </si>
  <si>
    <t>TDI Diesel ICE</t>
  </si>
  <si>
    <t>Total Conventional Cars</t>
  </si>
  <si>
    <t>Alternative-Fuel Cars</t>
  </si>
  <si>
    <t>Ethanol-Flex Fuel ICE</t>
  </si>
  <si>
    <t>100 Mile Electric Vehicle</t>
  </si>
  <si>
    <t>200 Mile Electric Vehicle</t>
  </si>
  <si>
    <t>300 Mile Electric Vehicle</t>
  </si>
  <si>
    <t>Plug-in 10 Gasoline Hybrid</t>
  </si>
  <si>
    <t>Plug-in 40 Gasoline Hybrid</t>
  </si>
  <si>
    <t>Electric-Diesel Hybrid</t>
  </si>
  <si>
    <t>Electric-Gasoline Hybrid</t>
  </si>
  <si>
    <t>Natural Gas ICE</t>
  </si>
  <si>
    <t>Natural Gas Bi-fuel</t>
  </si>
  <si>
    <t>Propane ICE</t>
  </si>
  <si>
    <t>Propane Bi-fuel</t>
  </si>
  <si>
    <t>Fuel Cell Methanol</t>
  </si>
  <si>
    <t>Fuel Cell Hydrogen</t>
  </si>
  <si>
    <t>Total Alternative Cars</t>
  </si>
  <si>
    <t>New Light Truck Sales</t>
  </si>
  <si>
    <t>Conventional Light Trucks</t>
  </si>
  <si>
    <t>Total Conventional Light Trucks</t>
  </si>
  <si>
    <t>Alternative-Fuel Light Trucks</t>
  </si>
  <si>
    <t>Total Alternative Light Trucks</t>
  </si>
  <si>
    <t>Total Sales</t>
  </si>
  <si>
    <t>Conventional Gasoline</t>
  </si>
  <si>
    <t>TDI Diesel</t>
  </si>
  <si>
    <t>Flex-Fuel</t>
  </si>
  <si>
    <t>Electric</t>
  </si>
  <si>
    <t>Plug-in Electric Hybrid</t>
  </si>
  <si>
    <t>Electric Hybrid</t>
  </si>
  <si>
    <t>Gaseous (Propane and Natural Gas)</t>
  </si>
  <si>
    <t>Fuel Cell</t>
  </si>
  <si>
    <t>Conventional Gasoline Microhybrids</t>
  </si>
  <si>
    <t>TDI Diesel Microhybrids</t>
  </si>
  <si>
    <t>48-AEO2021.2.</t>
  </si>
  <si>
    <t>48-AEO2021.3.</t>
  </si>
  <si>
    <t>Light-Duty Vehicle Sales: Conventional Cars: Gasoline: High oil and gas supply</t>
  </si>
  <si>
    <t>48-AEO2021.4.highogs-d120120a</t>
  </si>
  <si>
    <t>thousands</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</si>
  <si>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</si>
  <si>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</si>
  <si>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</si>
  <si>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</si>
  <si>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</si>
  <si>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</si>
  <si>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</si>
  <si>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</si>
  <si>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</si>
  <si>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</si>
  <si>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</si>
  <si>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</si>
  <si>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</si>
  <si>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Light-Duty Vehicle Sales: Alternative-Fuel Cars: Plug-in 10 Gasoline Hybrid: High oil and gas supply</t>
  </si>
  <si>
    <t>48-AEO2021.13.highogs-d120120a</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</si>
  <si>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</si>
  <si>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</si>
  <si>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</si>
  <si>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</si>
  <si>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</si>
  <si>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</si>
  <si>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</si>
  <si>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</si>
  <si>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</si>
  <si>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</si>
  <si>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</si>
  <si>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</si>
  <si>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</si>
  <si>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</si>
  <si>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</si>
  <si>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</si>
  <si>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</si>
  <si>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</si>
  <si>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</si>
  <si>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</si>
  <si>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</si>
  <si>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percent</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</si>
  <si>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</si>
  <si>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</si>
  <si>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</si>
  <si>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</si>
  <si>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</si>
  <si>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</si>
  <si>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</si>
  <si>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</si>
  <si>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</si>
  <si>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</si>
  <si>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</si>
  <si>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</si>
  <si>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</si>
  <si>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</si>
  <si>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</si>
  <si>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</si>
  <si>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</si>
  <si>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</si>
  <si>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</si>
  <si>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</si>
  <si>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</si>
  <si>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</si>
  <si>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</si>
  <si>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</si>
  <si>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</si>
  <si>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</si>
  <si>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</si>
  <si>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</si>
  <si>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</si>
  <si>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</si>
  <si>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</si>
  <si>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</si>
  <si>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</si>
  <si>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</si>
  <si>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</si>
  <si>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</si>
  <si>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</si>
  <si>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</si>
  <si>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</si>
  <si>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</si>
  <si>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</si>
  <si>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</si>
  <si>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</si>
  <si>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</si>
  <si>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</si>
  <si>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</si>
  <si>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</si>
  <si>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</si>
  <si>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</si>
  <si>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</si>
  <si>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</si>
  <si>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 xml:space="preserve"> Cars and Light Trucks</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</si>
  <si>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</si>
  <si>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</si>
  <si>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</si>
  <si>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</si>
  <si>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</si>
  <si>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</si>
  <si>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</si>
  <si>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</si>
  <si>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</si>
  <si>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</si>
  <si>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</si>
  <si>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</si>
  <si>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</si>
  <si>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</si>
  <si>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</si>
  <si>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</si>
  <si>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</si>
  <si>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</si>
  <si>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</si>
  <si>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</si>
  <si>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</si>
  <si>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</si>
  <si>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</si>
  <si>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</si>
  <si>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</si>
  <si>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Table 40.  Light-Duty Vehicle Miles per Gallon by Technology Type</t>
  </si>
  <si>
    <t>https://www.eia.gov/outlooks/aeo/data/browser/#/?id=50-AEO2021&amp;region=0-0&amp;cases=highogs&amp;start=2020&amp;end=2050&amp;f=A&amp;linechart=highogs-d120120a.4-50-AEO2021&amp;sourcekey=0</t>
  </si>
  <si>
    <t>Tue Mar 09 2021 12:47:38 GMT-0800 (Pacific Standard Time)</t>
  </si>
  <si>
    <t>New Car Miles per Gallon</t>
  </si>
  <si>
    <t>Average New Cars Miles per Gallon</t>
  </si>
  <si>
    <t>New Light Truck Miles per Gallon</t>
  </si>
  <si>
    <t>Average Light Truck Miles per Gallon</t>
  </si>
  <si>
    <t>Average Car Stock Miles per Gallon</t>
  </si>
  <si>
    <t>Average Light Truck Stock Miles per Gallon</t>
  </si>
  <si>
    <t>Average Vehicle Stock Miles per Gallon</t>
  </si>
  <si>
    <t>Average New Vehicle Stock Miles per Gallon</t>
  </si>
  <si>
    <t>50-AEO2021.2.</t>
  </si>
  <si>
    <t>50-AEO2021.3.</t>
  </si>
  <si>
    <t>Light-Duty Fuel Economy: Conventional Cars: Gasoline: High oil and gas supply</t>
  </si>
  <si>
    <t>50-AEO2021.4.highogs-d120120a</t>
  </si>
  <si>
    <t>mpg gas equiv</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</si>
  <si>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</si>
  <si>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</si>
  <si>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</si>
  <si>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</si>
  <si>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</si>
  <si>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</si>
  <si>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</si>
  <si>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</si>
  <si>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</si>
  <si>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</si>
  <si>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</si>
  <si>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</si>
  <si>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</si>
  <si>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</si>
  <si>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</si>
  <si>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</si>
  <si>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</si>
  <si>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</si>
  <si>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</si>
  <si>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</si>
  <si>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</si>
  <si>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</si>
  <si>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</si>
  <si>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</si>
  <si>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</si>
  <si>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</si>
  <si>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</si>
  <si>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</si>
  <si>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</si>
  <si>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</si>
  <si>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</si>
  <si>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</si>
  <si>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</si>
  <si>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</si>
  <si>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</si>
  <si>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</si>
  <si>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</si>
  <si>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</si>
  <si>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</si>
  <si>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</si>
  <si>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</si>
  <si>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</si>
  <si>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</si>
  <si>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</si>
  <si>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</si>
  <si>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</si>
  <si>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</si>
  <si>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</si>
  <si>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</si>
  <si>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</si>
  <si>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</si>
  <si>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</si>
  <si>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</si>
  <si>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</si>
  <si>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</si>
  <si>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</si>
  <si>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</si>
  <si>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</si>
  <si>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</si>
  <si>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</si>
  <si>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</si>
  <si>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</si>
  <si>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</si>
  <si>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</si>
  <si>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</si>
  <si>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</si>
  <si>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</si>
  <si>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</si>
  <si>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</si>
  <si>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</si>
  <si>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</si>
  <si>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</si>
  <si>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</si>
  <si>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</si>
  <si>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</si>
  <si>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</si>
  <si>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</si>
  <si>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</si>
  <si>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</si>
  <si>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</si>
  <si>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</si>
  <si>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</si>
  <si>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Table 47.  Air Travel Energy Use</t>
  </si>
  <si>
    <t>https://www.eia.gov/outlooks/aeo/data/browser/#/?id=57-AEO2021&amp;cases=highogs&amp;sourcekey=0</t>
  </si>
  <si>
    <t>Tue Mar 09 2021 12:51:14 GMT-0800 (Pacific Standard Time)</t>
  </si>
  <si>
    <t>Domestic</t>
  </si>
  <si>
    <t>International</t>
  </si>
  <si>
    <t>Non-U.S.</t>
  </si>
  <si>
    <t>U.S. Domestic</t>
  </si>
  <si>
    <t>U.S. International</t>
  </si>
  <si>
    <t>Population (millions)</t>
  </si>
  <si>
    <t>United States</t>
  </si>
  <si>
    <t>Canada</t>
  </si>
  <si>
    <t>Central America</t>
  </si>
  <si>
    <t>South America</t>
  </si>
  <si>
    <t>Europe</t>
  </si>
  <si>
    <t>Africa</t>
  </si>
  <si>
    <t>Mideast</t>
  </si>
  <si>
    <t>Commonwealth of Independent States</t>
  </si>
  <si>
    <t>China</t>
  </si>
  <si>
    <t>Northeast Asia</t>
  </si>
  <si>
    <t>Southeast Asia</t>
  </si>
  <si>
    <t>Southwest Asia</t>
  </si>
  <si>
    <t>Oceania</t>
  </si>
  <si>
    <t>Revenue Passenger Miles (billion miles)</t>
  </si>
  <si>
    <t>Freight Revenue Ton Miles (billion miles)</t>
  </si>
  <si>
    <t>Narrow Body Aircraft</t>
  </si>
  <si>
    <t>Wide Body Aircraft</t>
  </si>
  <si>
    <t>Regional Jets</t>
  </si>
  <si>
    <t>General Technology 1</t>
  </si>
  <si>
    <t>General Technology 2</t>
  </si>
  <si>
    <t>General Technology 3</t>
  </si>
  <si>
    <t>General Technology 4</t>
  </si>
  <si>
    <t>General Technology 5</t>
  </si>
  <si>
    <t>Laminar Flow Control</t>
  </si>
  <si>
    <t>Advanced Aerodynamics</t>
  </si>
  <si>
    <t>Weight Reducing Materials</t>
  </si>
  <si>
    <t>Electrically Active Controls</t>
  </si>
  <si>
    <t>Aircraft Efficiency (seat miles per gallon)</t>
  </si>
  <si>
    <t>New Aircraft</t>
  </si>
  <si>
    <t>Average Aircraft</t>
  </si>
  <si>
    <t>Commercial Jet Fuel</t>
  </si>
  <si>
    <t>Commercial Aviation Gasoline</t>
  </si>
  <si>
    <t>Military Jet Fuel</t>
  </si>
  <si>
    <t>Air Travel: Fuel Cost: High oil and gas supply</t>
  </si>
  <si>
    <t>57-AEO2021.2.highogs-d120120a</t>
  </si>
  <si>
    <t>1987 $/MMBtu</t>
  </si>
  <si>
    <t>57-AEO2021.4.</t>
  </si>
  <si>
    <t>Air Travel: Ticket Price: Domestic: High oil and gas supply</t>
  </si>
  <si>
    <t>57-AEO2021.5.highogs-d120120a</t>
  </si>
  <si>
    <t>1996 cents</t>
  </si>
  <si>
    <t>Air Travel: Ticket Price: International: High oil and gas supply</t>
  </si>
  <si>
    <t>57-AEO2021.6.highogs-d120120a</t>
  </si>
  <si>
    <t>Air Travel: Ticket Price: Non U.S.: High oil and gas supply</t>
  </si>
  <si>
    <t>57-AEO2021.7.highogs-d120120a</t>
  </si>
  <si>
    <t>57-AEO2021.9.</t>
  </si>
  <si>
    <t>Air Travel: Load Factor: U.S. Domestic: High oil and gas supply</t>
  </si>
  <si>
    <t>57-AEO2021.10.highogs-d120120a</t>
  </si>
  <si>
    <t>fraction</t>
  </si>
  <si>
    <t>Air Travel: Load Factor: U.S. International: High oil and gas supply</t>
  </si>
  <si>
    <t>57-AEO2021.11.highogs-d120120a</t>
  </si>
  <si>
    <t>57-AEO2021.13.</t>
  </si>
  <si>
    <t>57-AEO2021.29.</t>
  </si>
  <si>
    <t>Air Travel: Drivers: Population: U.S.: High oil and gas supply</t>
  </si>
  <si>
    <t>57-AEO2021.30.highogs-d120120a</t>
  </si>
  <si>
    <t>millions</t>
  </si>
  <si>
    <t>Air Travel: Drivers: Population: Canada: High oil and gas supply</t>
  </si>
  <si>
    <t>57-AEO2021.31.highogs-d120120a</t>
  </si>
  <si>
    <t>Air Travel: Drivers: Population: Central America: High oil and gas supply</t>
  </si>
  <si>
    <t>57-AEO2021.32.highogs-d120120a</t>
  </si>
  <si>
    <t>Air Travel: Drivers: Population: South America: High oil and gas supply</t>
  </si>
  <si>
    <t>57-AEO2021.33.highogs-d120120a</t>
  </si>
  <si>
    <t>Air Travel: Drivers: Population: Europe: High oil and gas supply</t>
  </si>
  <si>
    <t>57-AEO2021.34.highogs-d120120a</t>
  </si>
  <si>
    <t>Air Travel: Drivers: Population: Africa: High oil and gas supply</t>
  </si>
  <si>
    <t>57-AEO2021.35.highogs-d120120a</t>
  </si>
  <si>
    <t>Air Travel: Drivers: Population: Mideast: High oil and gas supply</t>
  </si>
  <si>
    <t>57-AEO2021.36.highogs-d120120a</t>
  </si>
  <si>
    <t>Air Travel: Drivers: Population: CIS: High oil and gas supply</t>
  </si>
  <si>
    <t>57-AEO2021.37.highogs-d120120a</t>
  </si>
  <si>
    <t>Air Travel: Drivers: Population: China: High oil and gas supply</t>
  </si>
  <si>
    <t>57-AEO2021.38.highogs-d120120a</t>
  </si>
  <si>
    <t>Air Travel: Drivers: Population: NE Asia: High oil and gas supply</t>
  </si>
  <si>
    <t>57-AEO2021.39.highogs-d120120a</t>
  </si>
  <si>
    <t>Air Travel: Drivers: Population: SE Asia: High oil and gas supply</t>
  </si>
  <si>
    <t>57-AEO2021.40.highogs-d120120a</t>
  </si>
  <si>
    <t>Air Travel: Drivers: Population: SW Asia: High oil and gas supply</t>
  </si>
  <si>
    <t>57-AEO2021.41.highogs-d120120a</t>
  </si>
  <si>
    <t>Air Travel: Drivers: Population: Oceania: High oil and gas supply</t>
  </si>
  <si>
    <t>57-AEO2021.42.highogs-d120120a</t>
  </si>
  <si>
    <t>57-AEO2021.44.</t>
  </si>
  <si>
    <t>57-AEO2021.45.</t>
  </si>
  <si>
    <t>57-AEO2021.46.</t>
  </si>
  <si>
    <t>Air Travel: Travel Demand: Revenue Passenger Miles: Domestic: U.S.: High oil and gas supply</t>
  </si>
  <si>
    <t>57-AEO2021.47.highogs-d120120a</t>
  </si>
  <si>
    <t>billion miles</t>
  </si>
  <si>
    <t>Air Travel: Travel Demand: Revenue Passenger Miles: Domestic: Canada: High oil and gas supply</t>
  </si>
  <si>
    <t>57-AEO2021.48.highogs-d120120a</t>
  </si>
  <si>
    <t>Air Travel: Travel Demand: Revenue Passenger Miles: Domestic: Central America: High oil and gas supply</t>
  </si>
  <si>
    <t>57-AEO2021.49.highogs-d120120a</t>
  </si>
  <si>
    <t>Air Travel: Travel Demand: Revenue Passenger Miles: Domestic: South America: High oil and gas supply</t>
  </si>
  <si>
    <t>57-AEO2021.50.highogs-d120120a</t>
  </si>
  <si>
    <t>Air Travel: Travel Demand: Revenue Passenger Miles: Domestic: Europe: High oil and gas supply</t>
  </si>
  <si>
    <t>57-AEO2021.51.highogs-d120120a</t>
  </si>
  <si>
    <t>Air Travel: Travel Demand: Revenue Passenger Miles: Domestic: Africa: High oil and gas supply</t>
  </si>
  <si>
    <t>57-AEO2021.52.highogs-d120120a</t>
  </si>
  <si>
    <t>Air Travel: Travel Demand: Revenue Passenger Miles: Domestic: Mideast: High oil and gas supply</t>
  </si>
  <si>
    <t>57-AEO2021.53.highogs-d120120a</t>
  </si>
  <si>
    <t>Air Travel: Travel Demand: Revenue Passenger Miles: Domestic: CIS: High oil and gas supply</t>
  </si>
  <si>
    <t>57-AEO2021.54.highogs-d120120a</t>
  </si>
  <si>
    <t>Air Travel: Travel Demand: Revenue Passenger Miles: Domestic: China: High oil and gas supply</t>
  </si>
  <si>
    <t>57-AEO2021.55.highogs-d120120a</t>
  </si>
  <si>
    <t>Air Travel: Travel Demand: Revenue Passenger Miles: Domestic: NE Asia: High oil and gas supply</t>
  </si>
  <si>
    <t>57-AEO2021.56.highogs-d120120a</t>
  </si>
  <si>
    <t>Air Travel: Travel Demand: Revenue Passenger Miles: Domestic: SE Asia: High oil and gas supply</t>
  </si>
  <si>
    <t>57-AEO2021.57.highogs-d120120a</t>
  </si>
  <si>
    <t>Air Travel: Travel Demand: Revenue Passenger Miles: Domestic: SW Asia: High oil and gas supply</t>
  </si>
  <si>
    <t>57-AEO2021.58.highogs-d120120a</t>
  </si>
  <si>
    <t>Air Travel: Travel Demand: Revenue Passenger Miles: Domestic: Oceania: High oil and gas supply</t>
  </si>
  <si>
    <t>57-AEO2021.59.highogs-d120120a</t>
  </si>
  <si>
    <t>57-AEO2021.60.</t>
  </si>
  <si>
    <t>Air Travel: Travel Demand: Revenue Passenger Miles: International: U.S.: High oil and gas supply</t>
  </si>
  <si>
    <t>57-AEO2021.61.highogs-d120120a</t>
  </si>
  <si>
    <t>Air Travel: Travel Demand: Revenue Passenger Miles: International: Canada: High oil and gas supply</t>
  </si>
  <si>
    <t>57-AEO2021.62.highogs-d120120a</t>
  </si>
  <si>
    <t>Air Travel: Travel Demand: Revenue Passenger Miles: International: Central America: High oil and gas supply</t>
  </si>
  <si>
    <t>57-AEO2021.63.highogs-d120120a</t>
  </si>
  <si>
    <t>Air Travel: Travel Demand: Revenue Passenger Miles: International: South America: High oil and gas supply</t>
  </si>
  <si>
    <t>57-AEO2021.64.highogs-d120120a</t>
  </si>
  <si>
    <t>Air Travel: Travel Demand: Revenue Passenger Miles: International: Europe: High oil and gas supply</t>
  </si>
  <si>
    <t>57-AEO2021.65.highogs-d120120a</t>
  </si>
  <si>
    <t>Air Travel: Travel Demand: Revenue Passenger Miles: International: Africa: High oil and gas supply</t>
  </si>
  <si>
    <t>57-AEO2021.66.highogs-d120120a</t>
  </si>
  <si>
    <t>Air Travel: Travel Demand: Revenue Passenger Miles: International: Mideast: High oil and gas supply</t>
  </si>
  <si>
    <t>57-AEO2021.67.highogs-d120120a</t>
  </si>
  <si>
    <t>Air Travel: Travel Demand: Revenue Passenger Miles: International: CIS: High oil and gas supply</t>
  </si>
  <si>
    <t>57-AEO2021.68.highogs-d120120a</t>
  </si>
  <si>
    <t>Air Travel: Travel Demand: Revenue Passenger Miles: International: China: High oil and gas supply</t>
  </si>
  <si>
    <t>57-AEO2021.69.highogs-d120120a</t>
  </si>
  <si>
    <t>Air Travel: Travel Demand: Revenue Passenger Miles: International: NE Asia: High oil and gas supply</t>
  </si>
  <si>
    <t>57-AEO2021.70.highogs-d120120a</t>
  </si>
  <si>
    <t>Air Travel: Travel Demand: Revenue Passenger Miles: International: SE Asia: High oil and gas supply</t>
  </si>
  <si>
    <t>57-AEO2021.71.highogs-d120120a</t>
  </si>
  <si>
    <t>Air Travel: Travel Demand: Revenue Passenger Miles: International: SW Asia: High oil and gas supply</t>
  </si>
  <si>
    <t>57-AEO2021.72.highogs-d120120a</t>
  </si>
  <si>
    <t>Air Travel: Travel Demand: Revenue Passenger Miles: International: Oceania: High oil and gas supply</t>
  </si>
  <si>
    <t>57-AEO2021.73.highogs-d120120a</t>
  </si>
  <si>
    <t>57-AEO2021.75.</t>
  </si>
  <si>
    <t>Air Travel: Travel Demand: Revenue Ton Miles: Freight: US: High oil and gas supply</t>
  </si>
  <si>
    <t>57-AEO2021.76.highogs-d120120a</t>
  </si>
  <si>
    <t>Air Travel: Travel Demand: Revenue Ton Miles: Freight: Canada: High oil and gas supply</t>
  </si>
  <si>
    <t>57-AEO2021.77.highogs-d120120a</t>
  </si>
  <si>
    <t>Air Travel: Travel Demand: Revenue Ton Miles: Freight: Central America: High oil and gas supply</t>
  </si>
  <si>
    <t>57-AEO2021.78.highogs-d120120a</t>
  </si>
  <si>
    <t>Air Travel: Travel Demand: Revenue Ton Miles: Freight: South America: High oil and gas supply</t>
  </si>
  <si>
    <t>57-AEO2021.79.highogs-d120120a</t>
  </si>
  <si>
    <t>Air Travel: Travel Demand: Revenue Ton Miles: Freight: Europe: High oil and gas supply</t>
  </si>
  <si>
    <t>57-AEO2021.80.highogs-d120120a</t>
  </si>
  <si>
    <t>Air Travel: Travel Demand: Revenue Ton Miles: Freight: Africa: High oil and gas supply</t>
  </si>
  <si>
    <t>57-AEO2021.81.highogs-d120120a</t>
  </si>
  <si>
    <t>Air Travel: Travel Demand: Revenue Ton Miles: Freight: Mideast: High oil and gas supply</t>
  </si>
  <si>
    <t>57-AEO2021.82.highogs-d120120a</t>
  </si>
  <si>
    <t>Air Travel: Travel Demand: Revenue Ton Miles: Freight: CIS: High oil and gas supply</t>
  </si>
  <si>
    <t>57-AEO2021.83.highogs-d120120a</t>
  </si>
  <si>
    <t>Air Travel: Travel Demand: Revenue Ton Miles: Freight: China: High oil and gas supply</t>
  </si>
  <si>
    <t>57-AEO2021.84.highogs-d120120a</t>
  </si>
  <si>
    <t>Air Travel: Travel Demand: Revenue Ton Miles: Freight: NE Asia: High oil and gas supply</t>
  </si>
  <si>
    <t>57-AEO2021.85.highogs-d120120a</t>
  </si>
  <si>
    <t>Air Travel: Travel Demand: Revenue Ton Miles: Freight: SE Asia: High oil and gas supply</t>
  </si>
  <si>
    <t>57-AEO2021.86.highogs-d120120a</t>
  </si>
  <si>
    <t>Air Travel: Travel Demand: Revenue Ton Miles: Freight: SW Asia: High oil and gas supply</t>
  </si>
  <si>
    <t>57-AEO2021.87.highogs-d120120a</t>
  </si>
  <si>
    <t>Air Travel: Travel Demand: Revenue Ton Miles: Freight: Oceania: High oil and gas supply</t>
  </si>
  <si>
    <t>57-AEO2021.88.highogs-d120120a</t>
  </si>
  <si>
    <t>Air Travel: Travel Demand: Revenue Ton Miles: Freight: World: High oil and gas supply</t>
  </si>
  <si>
    <t>57-AEO2021.89.highogs-d120120a</t>
  </si>
  <si>
    <t>57-AEO2021.91.</t>
  </si>
  <si>
    <t>Air Travel: Seat Miles Demanded: U.S.: High oil and gas supply</t>
  </si>
  <si>
    <t>57-AEO2021.92.highogs-d120120a</t>
  </si>
  <si>
    <t>Air Travel: Seat Miles Demanded: U.S.: Narrow Body Aircraft: High oil and gas supply</t>
  </si>
  <si>
    <t>57-AEO2021.93.highogs-d120120a</t>
  </si>
  <si>
    <t>Air Travel: Seat Miles Demanded: U.S.: Wide Body Aircraft: High oil and gas supply</t>
  </si>
  <si>
    <t>57-AEO2021.94.highogs-d120120a</t>
  </si>
  <si>
    <t>Air Travel: Seat Miles Demanded: U.S.: Regional Jets: High oil and gas supply</t>
  </si>
  <si>
    <t>57-AEO2021.95.highogs-d120120a</t>
  </si>
  <si>
    <t>Air Travel: Seat Miles Demanded: Canada: High oil and gas supply</t>
  </si>
  <si>
    <t>57-AEO2021.96.highogs-d120120a</t>
  </si>
  <si>
    <t>Air Travel: Seat Miles Demanded: Central America: High oil and gas supply</t>
  </si>
  <si>
    <t>57-AEO2021.97.highogs-d120120a</t>
  </si>
  <si>
    <t>Air Travel: Seat Miles Demanded: South America: High oil and gas supply</t>
  </si>
  <si>
    <t>57-AEO2021.98.highogs-d120120a</t>
  </si>
  <si>
    <t>Air Travel: Seat Miles Demanded: Europe: High oil and gas supply</t>
  </si>
  <si>
    <t>57-AEO2021.99.highogs-d120120a</t>
  </si>
  <si>
    <t>Air Travel: Seat Miles Demanded: Africa: High oil and gas supply</t>
  </si>
  <si>
    <t>57-AEO2021.100.highogs-d120120a</t>
  </si>
  <si>
    <t>Air Travel: Seat Miles Demanded: Mideast: High oil and gas supply</t>
  </si>
  <si>
    <t>57-AEO2021.101.highogs-d120120a</t>
  </si>
  <si>
    <t>Air Travel: Seat Miles Demanded: CIS: High oil and gas supply</t>
  </si>
  <si>
    <t>57-AEO2021.102.highogs-d120120a</t>
  </si>
  <si>
    <t>Air Travel: Seat Miles Demanded: China: High oil and gas supply</t>
  </si>
  <si>
    <t>57-AEO2021.103.highogs-d120120a</t>
  </si>
  <si>
    <t>Air Travel: Seat Miles Demanded: NE Asia: High oil and gas supply</t>
  </si>
  <si>
    <t>57-AEO2021.104.highogs-d120120a</t>
  </si>
  <si>
    <t>Air Travel: Seat Miles Demanded: SE Asia: High oil and gas supply</t>
  </si>
  <si>
    <t>57-AEO2021.105.highogs-d120120a</t>
  </si>
  <si>
    <t>Air Travel: Seat Miles Demanded: SW Asia: High oil and gas supply</t>
  </si>
  <si>
    <t>57-AEO2021.106.highogs-d120120a</t>
  </si>
  <si>
    <t>Air Travel: Seat Miles Demanded: Oceania: High oil and gas supply</t>
  </si>
  <si>
    <t>57-AEO2021.107.highogs-d120120a</t>
  </si>
  <si>
    <t>Air Travel: Seat Miles Demanded: World: High oil and gas supply</t>
  </si>
  <si>
    <t>57-AEO2021.108.highogs-d120120a</t>
  </si>
  <si>
    <t>57-AEO2021.110.</t>
  </si>
  <si>
    <t>Air Travel: Aircraft Sales: U.S.: High oil and gas supply</t>
  </si>
  <si>
    <t>57-AEO2021.111.highogs-d120120a</t>
  </si>
  <si>
    <t>Air Travel: Aircraft Sales: U.S.: Narrow Body: High oil and gas supply</t>
  </si>
  <si>
    <t>57-AEO2021.112.highogs-d120120a</t>
  </si>
  <si>
    <t>Air Travel: Aircraft Sales: U.S.: Wide Body: High oil and gas supply</t>
  </si>
  <si>
    <t>57-AEO2021.113.highogs-d120120a</t>
  </si>
  <si>
    <t>Air Travel: Aircraft Sales: U.S.: Regional Jets: High oil and gas supply</t>
  </si>
  <si>
    <t>57-AEO2021.114.highogs-d120120a</t>
  </si>
  <si>
    <t>Air Travel: Aircraft Sales: Canada: High oil and gas supply</t>
  </si>
  <si>
    <t>57-AEO2021.115.highogs-d120120a</t>
  </si>
  <si>
    <t>Air Travel: Aircraft Sales: Canada: Narrow Body: High oil and gas supply</t>
  </si>
  <si>
    <t>57-AEO2021.116.highogs-d120120a</t>
  </si>
  <si>
    <t>Air Travel: Aircraft Sales: Canada: Wide Body: High oil and gas supply</t>
  </si>
  <si>
    <t>57-AEO2021.117.highogs-d120120a</t>
  </si>
  <si>
    <t>Air Travel: Aircraft Sales: Canada: Regional Jets: High oil and gas supply</t>
  </si>
  <si>
    <t>57-AEO2021.118.highogs-d120120a</t>
  </si>
  <si>
    <t>Air Travel: Aircraft Sales: Central America: High oil and gas supply</t>
  </si>
  <si>
    <t>57-AEO2021.119.highogs-d120120a</t>
  </si>
  <si>
    <t>Air Travel: Aircraft Sales: Central America: Narrow Body: High oil and gas supply</t>
  </si>
  <si>
    <t>57-AEO2021.120.highogs-d120120a</t>
  </si>
  <si>
    <t>Air Travel: Aircraft Sales: Central America: Wide Body: High oil and gas supply</t>
  </si>
  <si>
    <t>57-AEO2021.121.highogs-d120120a</t>
  </si>
  <si>
    <t>Air Travel: Aircraft Sales: Central America: Regional Jets: High oil and gas supply</t>
  </si>
  <si>
    <t>57-AEO2021.122.highogs-d120120a</t>
  </si>
  <si>
    <t>Air Travel: Aircraft Sales: South America: High oil and gas supply</t>
  </si>
  <si>
    <t>57-AEO2021.123.highogs-d120120a</t>
  </si>
  <si>
    <t>Air Travel: Aircraft Sales: South America: Narrow Body: High oil and gas supply</t>
  </si>
  <si>
    <t>57-AEO2021.124.highogs-d120120a</t>
  </si>
  <si>
    <t>Air Travel: Aircraft Sales: South America: Wide Body: High oil and gas supply</t>
  </si>
  <si>
    <t>57-AEO2021.125.highogs-d120120a</t>
  </si>
  <si>
    <t>Air Travel: Aircraft Sales: South America: Regional Jets: High oil and gas supply</t>
  </si>
  <si>
    <t>57-AEO2021.126.highogs-d120120a</t>
  </si>
  <si>
    <t>Air Travel: Aircraft Sales: Europe: High oil and gas supply</t>
  </si>
  <si>
    <t>57-AEO2021.127.highogs-d120120a</t>
  </si>
  <si>
    <t>Air Travel: Aircraft Sales: Europe: Narrow Body: High oil and gas supply</t>
  </si>
  <si>
    <t>57-AEO2021.128.highogs-d120120a</t>
  </si>
  <si>
    <t>Air Travel: Aircraft Sales: Europe: Wide Body: High oil and gas supply</t>
  </si>
  <si>
    <t>57-AEO2021.129.highogs-d120120a</t>
  </si>
  <si>
    <t>Air Travel: Aircraft Sales: Europe: Regional Jets: High oil and gas supply</t>
  </si>
  <si>
    <t>57-AEO2021.130.highogs-d120120a</t>
  </si>
  <si>
    <t>Air Travel: Aircraft Sales: Africa: High oil and gas supply</t>
  </si>
  <si>
    <t>57-AEO2021.131.highogs-d120120a</t>
  </si>
  <si>
    <t>Air Travel: Aircraft Sales: Africa: Narrow Body: High oil and gas supply</t>
  </si>
  <si>
    <t>57-AEO2021.132.highogs-d120120a</t>
  </si>
  <si>
    <t>Air Travel: Aircraft Sales: Africa: Wide Body: High oil and gas supply</t>
  </si>
  <si>
    <t>57-AEO2021.133.highogs-d120120a</t>
  </si>
  <si>
    <t>Air Travel: Aircraft Sales: Africa: Regional Jets: High oil and gas supply</t>
  </si>
  <si>
    <t>57-AEO2021.134.highogs-d120120a</t>
  </si>
  <si>
    <t>Air Travel: Aircraft Sales: Mideast: High oil and gas supply</t>
  </si>
  <si>
    <t>57-AEO2021.135.highogs-d120120a</t>
  </si>
  <si>
    <t>Air Travel: Aircraft Sales: Mideast: Narrow Body: High oil and gas supply</t>
  </si>
  <si>
    <t>57-AEO2021.136.highogs-d120120a</t>
  </si>
  <si>
    <t>Air Travel: Aircraft Sales: Mideast: Wide Body: High oil and gas supply</t>
  </si>
  <si>
    <t>57-AEO2021.137.highogs-d120120a</t>
  </si>
  <si>
    <t>Air Travel: Aircraft Sales: Mideast: Regional Jets: High oil and gas supply</t>
  </si>
  <si>
    <t>57-AEO2021.138.highogs-d120120a</t>
  </si>
  <si>
    <t>Air Travel: Aircraft Sales: CIS: High oil and gas supply</t>
  </si>
  <si>
    <t>57-AEO2021.139.highogs-d120120a</t>
  </si>
  <si>
    <t>Air Travel: Aircraft Sales: CIS: Narrow Body: High oil and gas supply</t>
  </si>
  <si>
    <t>57-AEO2021.140.highogs-d120120a</t>
  </si>
  <si>
    <t>Air Travel: Aircraft Sales: CIS: Wide Body: High oil and gas supply</t>
  </si>
  <si>
    <t>57-AEO2021.141.highogs-d120120a</t>
  </si>
  <si>
    <t>Air Travel: Aircraft Sales: CIS: Regional Jets: High oil and gas supply</t>
  </si>
  <si>
    <t>57-AEO2021.142.highogs-d120120a</t>
  </si>
  <si>
    <t>Air Travel: Aircraft Sales: China: High oil and gas supply</t>
  </si>
  <si>
    <t>57-AEO2021.143.highogs-d120120a</t>
  </si>
  <si>
    <t>Air Travel: Aircraft Sales: China: Narrow Body: High oil and gas supply</t>
  </si>
  <si>
    <t>57-AEO2021.144.highogs-d120120a</t>
  </si>
  <si>
    <t>Air Travel: Aircraft Sales: China: Wide Body: High oil and gas supply</t>
  </si>
  <si>
    <t>57-AEO2021.145.highogs-d120120a</t>
  </si>
  <si>
    <t>Air Travel: Aircraft Sales: China: Regional Jets: High oil and gas supply</t>
  </si>
  <si>
    <t>57-AEO2021.146.highogs-d120120a</t>
  </si>
  <si>
    <t>Air Travel: Aircraft Sales: NE Asia: High oil and gas supply</t>
  </si>
  <si>
    <t>57-AEO2021.147.highogs-d120120a</t>
  </si>
  <si>
    <t>Air Travel: Aircraft Sales: NE Asia: Narrow Body: High oil and gas supply</t>
  </si>
  <si>
    <t>57-AEO2021.148.highogs-d120120a</t>
  </si>
  <si>
    <t>Air Travel: Aircraft Sales: NE Asia: Wide Body: High oil and gas supply</t>
  </si>
  <si>
    <t>57-AEO2021.149.highogs-d120120a</t>
  </si>
  <si>
    <t>Air Travel: Aircraft Sales: NE Asia: Regional Jets: High oil and gas supply</t>
  </si>
  <si>
    <t>57-AEO2021.150.highogs-d120120a</t>
  </si>
  <si>
    <t>Air Travel: Aircraft Sales: SE Asia: High oil and gas supply</t>
  </si>
  <si>
    <t>57-AEO2021.151.highogs-d120120a</t>
  </si>
  <si>
    <t>Air Travel: Aircraft Sales: SE Asia: Narrow Body: High oil and gas supply</t>
  </si>
  <si>
    <t>57-AEO2021.152.highogs-d120120a</t>
  </si>
  <si>
    <t>Air Travel: Aircraft Sales: SE Asia: Wide Body: High oil and gas supply</t>
  </si>
  <si>
    <t>57-AEO2021.153.highogs-d120120a</t>
  </si>
  <si>
    <t>Air Travel: Aircraft Sales: SE Asia: Regional Jets: High oil and gas supply</t>
  </si>
  <si>
    <t>57-AEO2021.154.highogs-d120120a</t>
  </si>
  <si>
    <t>Air Travel: Aircraft Sales: SW Asia: High oil and gas supply</t>
  </si>
  <si>
    <t>57-AEO2021.155.highogs-d120120a</t>
  </si>
  <si>
    <t>Air Travel: Aircraft Sales: SW Asia: Narrow Body: High oil and gas supply</t>
  </si>
  <si>
    <t>57-AEO2021.156.highogs-d120120a</t>
  </si>
  <si>
    <t>Air Travel: Aircraft Sales: SW Asia: Wide Body: High oil and gas supply</t>
  </si>
  <si>
    <t>57-AEO2021.157.highogs-d120120a</t>
  </si>
  <si>
    <t>Air Travel: Aircraft Sales: SW Asia: Regional Jets: High oil and gas supply</t>
  </si>
  <si>
    <t>57-AEO2021.158.highogs-d120120a</t>
  </si>
  <si>
    <t>Air Travel: Aircraft Sales: Oceania: High oil and gas supply</t>
  </si>
  <si>
    <t>57-AEO2021.159.highogs-d120120a</t>
  </si>
  <si>
    <t>Air Travel: Aircraft Sales: Oceania: Narrow Body: High oil and gas supply</t>
  </si>
  <si>
    <t>57-AEO2021.160.highogs-d120120a</t>
  </si>
  <si>
    <t>Air Travel: Aircraft Sales: Oceania: Wide Body: High oil and gas supply</t>
  </si>
  <si>
    <t>57-AEO2021.161.highogs-d120120a</t>
  </si>
  <si>
    <t>Air Travel: Aircraft Sales: Oceania: Regional Jets: High oil and gas supply</t>
  </si>
  <si>
    <t>57-AEO2021.162.highogs-d120120a</t>
  </si>
  <si>
    <t>Air Travel: Aircraft Sales: World: High oil and gas supply</t>
  </si>
  <si>
    <t>57-AEO2021.163.highogs-d120120a</t>
  </si>
  <si>
    <t>57-AEO2021.165.</t>
  </si>
  <si>
    <t>Air Travel: Advanced Technology Penetration: General Technology 1: High oil and gas supply</t>
  </si>
  <si>
    <t>57-AEO2021.166.highogs-d120120a</t>
  </si>
  <si>
    <t>Air Travel: Advanced Technology Penetration: General Technology 2: High oil and gas supply</t>
  </si>
  <si>
    <t>57-AEO2021.167.highogs-d120120a</t>
  </si>
  <si>
    <t>Air Travel: Advanced Technology Penetration: General Technology 3: High oil and gas supply</t>
  </si>
  <si>
    <t>57-AEO2021.168.highogs-d120120a</t>
  </si>
  <si>
    <t>Air Travel: Advanced Technology Penetration: General Technology 4: High oil and gas supply</t>
  </si>
  <si>
    <t>57-AEO2021.169.highogs-d120120a</t>
  </si>
  <si>
    <t>Air Travel: Advanced Technology Penetration: General Technology 5: High oil and gas supply</t>
  </si>
  <si>
    <t>57-AEO2021.170.highogs-d120120a</t>
  </si>
  <si>
    <t>Air Travel: Advanced Technology Penetration: Laminar Flow Control: High oil and gas supply</t>
  </si>
  <si>
    <t>57-AEO2021.171.highogs-d120120a</t>
  </si>
  <si>
    <t>Air Travel: Advanced Technology Penetration: Advanced Aerodynamics: High oil and gas supply</t>
  </si>
  <si>
    <t>57-AEO2021.172.highogs-d120120a</t>
  </si>
  <si>
    <t>Air Travel: Advanced Technology Penetration: Weight Reducing Materials: High oil and gas supply</t>
  </si>
  <si>
    <t>57-AEO2021.173.highogs-d120120a</t>
  </si>
  <si>
    <t>Air Travel: Advanced Technology Penetration: Electrically Active Controls: High oil and gas supply</t>
  </si>
  <si>
    <t>57-AEO2021.174.highogs-d120120a</t>
  </si>
  <si>
    <t>57-AEO2021.176.</t>
  </si>
  <si>
    <t>57-AEO2021.177.</t>
  </si>
  <si>
    <t>Air Travel: New Aircraft Efficiency: Narrow Body Aircraft: High oil and gas supply</t>
  </si>
  <si>
    <t>57-AEO2021.178.highogs-d120120a</t>
  </si>
  <si>
    <t>seat mpg</t>
  </si>
  <si>
    <t>Air Travel: New Aircraft Efficiency: Wide Body Aircraft: High oil and gas supply</t>
  </si>
  <si>
    <t>57-AEO2021.179.highogs-d120120a</t>
  </si>
  <si>
    <t>Air Travel: New Aircraft Efficiency: Regional Jets: High oil and gas supply</t>
  </si>
  <si>
    <t>57-AEO2021.180.highogs-d120120a</t>
  </si>
  <si>
    <t>Air Travel: New Aircraft Efficiency: Average Aircraft: High oil and gas supply</t>
  </si>
  <si>
    <t>57-AEO2021.181.highogs-d120120a</t>
  </si>
  <si>
    <t>57-AEO2021.182.</t>
  </si>
  <si>
    <t>Air Travel: Aircraft Stock Efficiency: Narrow Body Aircraft: High oil and gas supply</t>
  </si>
  <si>
    <t>57-AEO2021.183.highogs-d120120a</t>
  </si>
  <si>
    <t>Air Travel: Aircraft Stock Efficiency: Wide Body Aircraft: High oil and gas supply</t>
  </si>
  <si>
    <t>57-AEO2021.184.highogs-d120120a</t>
  </si>
  <si>
    <t>Air Travel: Aircraft Stock Efficiency: Regional Jets: High oil and gas supply</t>
  </si>
  <si>
    <t>57-AEO2021.185.highogs-d120120a</t>
  </si>
  <si>
    <t>Air Travel: Aircraft Stock Efficiency: Average Aircraft: High oil and gas supply</t>
  </si>
  <si>
    <t>57-AEO2021.186.highogs-d120120a</t>
  </si>
  <si>
    <t>57-AEO2021.188.</t>
  </si>
  <si>
    <t>57-AEO2021.189.</t>
  </si>
  <si>
    <t>Air Travel: Fuel Use: Commercial: Jet Fuel: U.S.: High oil and gas supply</t>
  </si>
  <si>
    <t>57-AEO2021.190.highogs-d120120a</t>
  </si>
  <si>
    <t>Air Travel: Fuel Use: Commercial: Jet Fuel: Canada: High oil and gas supply</t>
  </si>
  <si>
    <t>57-AEO2021.191.highogs-d120120a</t>
  </si>
  <si>
    <t>Air Travel: Fuel Use: Commercial: Jet Fuel: Central America: High oil and gas supply</t>
  </si>
  <si>
    <t>57-AEO2021.192.highogs-d120120a</t>
  </si>
  <si>
    <t>Air Travel: Fuel Use: Commercial: Jet Fuel: South America: High oil and gas supply</t>
  </si>
  <si>
    <t>57-AEO2021.193.highogs-d120120a</t>
  </si>
  <si>
    <t>Air Travel: Fuel Use: Commercial: Jet Fuel: Europe: High oil and gas supply</t>
  </si>
  <si>
    <t>57-AEO2021.194.highogs-d120120a</t>
  </si>
  <si>
    <t>Air Travel: Fuel Use: Commercial: Jet Fuel: Africa: High oil and gas supply</t>
  </si>
  <si>
    <t>57-AEO2021.195.highogs-d120120a</t>
  </si>
  <si>
    <t>Air Travel: Fuel Use: Commercial: Jet Fuel: Mideast: High oil and gas supply</t>
  </si>
  <si>
    <t>57-AEO2021.196.highogs-d120120a</t>
  </si>
  <si>
    <t>Air Travel: Fuel Use: Commercial: Jet Fuel: CIS: High oil and gas supply</t>
  </si>
  <si>
    <t>57-AEO2021.197.highogs-d120120a</t>
  </si>
  <si>
    <t>Air Travel: Fuel Use: Commercial: Jet Fuel: China: High oil and gas supply</t>
  </si>
  <si>
    <t>57-AEO2021.198.highogs-d120120a</t>
  </si>
  <si>
    <t>Air Travel: Fuel Use: Commercial: Jet Fuel: NE Asia: High oil and gas supply</t>
  </si>
  <si>
    <t>57-AEO2021.199.highogs-d120120a</t>
  </si>
  <si>
    <t>Air Travel: Fuel Use: Commercial: Jet Fuel: SE Asia: High oil and gas supply</t>
  </si>
  <si>
    <t>57-AEO2021.200.highogs-d120120a</t>
  </si>
  <si>
    <t>Air Travel: Fuel Use: Commercial: Jet Fuel: SW Asia: High oil and gas supply</t>
  </si>
  <si>
    <t>57-AEO2021.201.highogs-d120120a</t>
  </si>
  <si>
    <t>Air Travel: Fuel Use: Commercial: Jet Fuel: Oceania: High oil and gas supply</t>
  </si>
  <si>
    <t>57-AEO2021.202.highogs-d120120a</t>
  </si>
  <si>
    <t>Air Travel: Fuel Use: Commercial: Jet Fuel: World: High oil and gas supply</t>
  </si>
  <si>
    <t>57-AEO2021.203.highogs-d120120a</t>
  </si>
  <si>
    <t xml:space="preserve"> U.S.</t>
  </si>
  <si>
    <t>Air Travel: Fuel Use: Commercial: Aviation Gasoline: U.S.: High oil and gas supply</t>
  </si>
  <si>
    <t>57-AEO2021.204.highogs-d120120a</t>
  </si>
  <si>
    <t>Air Travel: Fuel Use: Military: Jet Fuel: U.S.: High oil and gas supply</t>
  </si>
  <si>
    <t>57-AEO2021.205.highogs-d120120a</t>
  </si>
  <si>
    <t>Table 48.  Aircraft Stock</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</si>
  <si>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</si>
  <si>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</si>
  <si>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</si>
  <si>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</si>
  <si>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</si>
  <si>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</si>
  <si>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</si>
  <si>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</si>
  <si>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</si>
  <si>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</si>
  <si>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</si>
  <si>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</si>
  <si>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</si>
  <si>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</si>
  <si>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</si>
  <si>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</si>
  <si>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</si>
  <si>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</si>
  <si>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</si>
  <si>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</si>
  <si>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</si>
  <si>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</si>
  <si>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</si>
  <si>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</si>
  <si>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</si>
  <si>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</si>
  <si>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</si>
  <si>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</si>
  <si>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</si>
  <si>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</si>
  <si>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</si>
  <si>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</si>
  <si>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</si>
  <si>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</si>
  <si>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</si>
  <si>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</si>
  <si>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</si>
  <si>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</si>
  <si>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</si>
  <si>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</si>
  <si>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</si>
  <si>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</si>
  <si>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</si>
  <si>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</si>
  <si>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</si>
  <si>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</si>
  <si>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</si>
  <si>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</si>
  <si>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</si>
  <si>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</si>
  <si>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</si>
  <si>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</si>
  <si>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</si>
  <si>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</si>
  <si>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</si>
  <si>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</si>
  <si>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</si>
  <si>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</si>
  <si>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</si>
  <si>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</si>
  <si>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</si>
  <si>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</si>
  <si>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</si>
  <si>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</si>
  <si>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</si>
  <si>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</si>
  <si>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</si>
  <si>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</si>
  <si>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</si>
  <si>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</si>
  <si>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</si>
  <si>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</si>
  <si>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</si>
  <si>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</si>
  <si>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</si>
  <si>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</si>
  <si>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</si>
  <si>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</si>
  <si>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</si>
  <si>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</si>
  <si>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</si>
  <si>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</si>
  <si>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</si>
  <si>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</si>
  <si>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</si>
  <si>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</si>
  <si>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</si>
  <si>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</si>
  <si>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</si>
  <si>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</si>
  <si>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</si>
  <si>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</si>
  <si>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</si>
  <si>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</si>
  <si>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</si>
  <si>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</si>
  <si>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</si>
  <si>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</si>
  <si>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</si>
  <si>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</si>
  <si>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</si>
  <si>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</si>
  <si>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</si>
  <si>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</si>
  <si>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</si>
  <si>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</si>
  <si>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</si>
  <si>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</si>
  <si>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</si>
  <si>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</si>
  <si>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</si>
  <si>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</si>
  <si>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</si>
  <si>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</si>
  <si>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</si>
  <si>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</si>
  <si>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</si>
  <si>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</si>
  <si>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</si>
  <si>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</si>
  <si>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</si>
  <si>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</si>
  <si>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</si>
  <si>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</si>
  <si>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</si>
  <si>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</si>
  <si>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</si>
  <si>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</si>
  <si>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</si>
  <si>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</si>
  <si>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</si>
  <si>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</si>
  <si>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</si>
  <si>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</si>
  <si>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</si>
  <si>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</si>
  <si>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</si>
  <si>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</si>
  <si>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</si>
  <si>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</si>
  <si>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</si>
  <si>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</si>
  <si>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</si>
  <si>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</si>
  <si>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</si>
  <si>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</si>
  <si>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</si>
  <si>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</si>
  <si>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</si>
  <si>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</si>
  <si>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</si>
  <si>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</si>
  <si>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</si>
  <si>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</si>
  <si>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</si>
  <si>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</si>
  <si>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</si>
  <si>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</si>
  <si>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</si>
  <si>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</si>
  <si>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</si>
  <si>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</si>
  <si>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</si>
  <si>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</si>
  <si>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</si>
  <si>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</si>
  <si>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</si>
  <si>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</si>
  <si>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</si>
  <si>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</si>
  <si>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</si>
  <si>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</si>
  <si>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</si>
  <si>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</si>
  <si>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</si>
  <si>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</si>
  <si>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</si>
  <si>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</si>
  <si>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</si>
  <si>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</si>
  <si>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</si>
  <si>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</si>
  <si>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</si>
  <si>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</si>
  <si>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</si>
  <si>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</si>
  <si>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</si>
  <si>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</si>
  <si>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</si>
  <si>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</si>
  <si>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</si>
  <si>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</si>
  <si>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</si>
  <si>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</si>
  <si>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</si>
  <si>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</si>
  <si>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</si>
  <si>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</si>
  <si>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</si>
  <si>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</si>
  <si>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</si>
  <si>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</si>
  <si>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</si>
  <si>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</si>
  <si>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</si>
  <si>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</si>
  <si>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</si>
  <si>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</si>
  <si>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</si>
  <si>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</si>
  <si>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</si>
  <si>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</si>
  <si>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</si>
  <si>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</si>
  <si>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</si>
  <si>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</si>
  <si>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</si>
  <si>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</si>
  <si>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</si>
  <si>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</si>
  <si>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</si>
  <si>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</si>
  <si>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</si>
  <si>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</si>
  <si>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</si>
  <si>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</si>
  <si>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</si>
  <si>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</si>
  <si>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</si>
  <si>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</si>
  <si>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</si>
  <si>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</si>
  <si>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</si>
  <si>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</si>
  <si>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</si>
  <si>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</si>
  <si>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</si>
  <si>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</si>
  <si>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</si>
  <si>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</si>
  <si>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</si>
  <si>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</si>
  <si>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</si>
  <si>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</si>
  <si>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</si>
  <si>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</si>
  <si>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</si>
  <si>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</si>
  <si>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</si>
  <si>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</si>
  <si>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</si>
  <si>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</si>
  <si>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</si>
  <si>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</si>
  <si>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</si>
  <si>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</si>
  <si>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</si>
  <si>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</si>
  <si>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</si>
  <si>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</si>
  <si>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</si>
  <si>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</si>
  <si>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</si>
  <si>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</si>
  <si>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</si>
  <si>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</si>
  <si>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</si>
  <si>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</si>
  <si>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</si>
  <si>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</si>
  <si>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</si>
  <si>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</si>
  <si>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</si>
  <si>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</si>
  <si>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</si>
  <si>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</si>
  <si>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</si>
  <si>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</si>
  <si>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</si>
  <si>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</si>
  <si>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</si>
  <si>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</si>
  <si>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</si>
  <si>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</si>
  <si>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</si>
  <si>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</si>
  <si>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</si>
  <si>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</si>
  <si>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</si>
  <si>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</si>
  <si>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</si>
  <si>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</si>
  <si>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</si>
  <si>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</si>
  <si>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</si>
  <si>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</si>
  <si>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</si>
  <si>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</si>
  <si>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</si>
  <si>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</si>
  <si>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</si>
  <si>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</si>
  <si>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</si>
  <si>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</si>
  <si>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</si>
  <si>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</si>
  <si>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</si>
  <si>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</si>
  <si>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</si>
  <si>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</si>
  <si>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</si>
  <si>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</si>
  <si>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</si>
  <si>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</si>
  <si>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</si>
  <si>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</si>
  <si>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</si>
  <si>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</si>
  <si>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</si>
  <si>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</si>
  <si>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</si>
  <si>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</si>
  <si>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</si>
  <si>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</si>
  <si>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</si>
  <si>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</si>
  <si>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</si>
  <si>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</si>
  <si>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</si>
  <si>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</si>
  <si>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</si>
  <si>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</si>
  <si>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</si>
  <si>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</si>
  <si>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</si>
  <si>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</si>
  <si>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</si>
  <si>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</si>
  <si>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</si>
  <si>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</si>
  <si>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</si>
  <si>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</si>
  <si>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</si>
  <si>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</si>
  <si>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</si>
  <si>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</si>
  <si>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</si>
  <si>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</si>
  <si>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</si>
  <si>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</si>
  <si>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</si>
  <si>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</si>
  <si>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Table 49.  Freight Transportation Energy Use</t>
  </si>
  <si>
    <t>https://www.eia.gov/outlooks/aeo/data/browser/#/?id=58-AEO2021&amp;region=0-0&amp;cases=highogs&amp;start=2020&amp;end=2050&amp;f=A&amp;linechart=highogs-d120120a.6-58-AEO2021&amp;sourcekey=0</t>
  </si>
  <si>
    <t>Tue Mar 09 2021 13:19:38 GMT-0800 (Pacific Standard Time)</t>
  </si>
  <si>
    <t>Vehicle Miles Traveled (billion miles)</t>
  </si>
  <si>
    <t>Ethanol-Flex Fuel</t>
  </si>
  <si>
    <t>Plug-in Diesel Hybrid</t>
  </si>
  <si>
    <t>Plug-in Gasoline Hybrid</t>
  </si>
  <si>
    <t>Light Medium Subtotal</t>
  </si>
  <si>
    <t>Medium Subtotal</t>
  </si>
  <si>
    <t>Heavy</t>
  </si>
  <si>
    <t>Heavy Subtotal</t>
  </si>
  <si>
    <t>Total Vehicle Miles Traveled</t>
  </si>
  <si>
    <t>Consumption (trillion Btu)</t>
  </si>
  <si>
    <t>Fuel Efficiency (miles per gallon)</t>
  </si>
  <si>
    <t>Light Medium Average</t>
  </si>
  <si>
    <t>Medium Average</t>
  </si>
  <si>
    <t>Heavy Average</t>
  </si>
  <si>
    <t>Average Fuel Efficiency</t>
  </si>
  <si>
    <t>Stock (millions)</t>
  </si>
  <si>
    <t>Total Stock</t>
  </si>
  <si>
    <t>Sales (thousands)</t>
  </si>
  <si>
    <t>Ton Miles by Rail (billion)</t>
  </si>
  <si>
    <t>Fuel Efficiency (ton miles per thousand Btu)</t>
  </si>
  <si>
    <t>Ton Miles Shipping (billion)</t>
  </si>
  <si>
    <t>Gross Trade (billion 2012 dollars)</t>
  </si>
  <si>
    <t>Exports (billion 2012 dollars)</t>
  </si>
  <si>
    <t>Imports (billion 2012 dollars)</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</si>
  <si>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</si>
  <si>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</si>
  <si>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</si>
  <si>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</si>
  <si>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</si>
  <si>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</si>
  <si>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</si>
  <si>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</si>
  <si>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</si>
  <si>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</si>
  <si>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</si>
  <si>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</si>
  <si>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</si>
  <si>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</si>
  <si>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</si>
  <si>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</si>
  <si>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</si>
  <si>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</si>
  <si>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</si>
  <si>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</si>
  <si>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</si>
  <si>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</si>
  <si>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</si>
  <si>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</si>
  <si>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</si>
  <si>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</si>
  <si>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</si>
  <si>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</si>
  <si>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</si>
  <si>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</si>
  <si>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</si>
  <si>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</si>
  <si>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</si>
  <si>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</si>
  <si>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</si>
  <si>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</si>
  <si>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</si>
  <si>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</si>
  <si>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</si>
  <si>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</si>
  <si>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</si>
  <si>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</si>
  <si>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</si>
  <si>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</si>
  <si>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</si>
  <si>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</si>
  <si>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</si>
  <si>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</si>
  <si>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</si>
  <si>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</si>
  <si>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</si>
  <si>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</si>
  <si>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</si>
  <si>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</si>
  <si>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</si>
  <si>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</si>
  <si>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</si>
  <si>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</si>
  <si>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</si>
  <si>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</si>
  <si>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</si>
  <si>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</si>
  <si>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</si>
  <si>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</si>
  <si>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</si>
  <si>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</si>
  <si>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</si>
  <si>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</si>
  <si>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</si>
  <si>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</si>
  <si>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</si>
  <si>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</si>
  <si>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</si>
  <si>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</si>
  <si>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</si>
  <si>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</si>
  <si>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</si>
  <si>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</si>
  <si>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</si>
  <si>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</si>
  <si>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</si>
  <si>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</si>
  <si>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</si>
  <si>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</si>
  <si>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</si>
  <si>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</si>
  <si>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</si>
  <si>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</si>
  <si>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</si>
  <si>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</si>
  <si>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</si>
  <si>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</si>
  <si>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</si>
  <si>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</si>
  <si>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</si>
  <si>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</si>
  <si>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</si>
  <si>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</si>
  <si>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</si>
  <si>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</si>
  <si>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</si>
  <si>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</si>
  <si>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</si>
  <si>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</si>
  <si>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</si>
  <si>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</si>
  <si>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</si>
  <si>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</si>
  <si>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</si>
  <si>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</si>
  <si>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</si>
  <si>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</si>
  <si>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</si>
  <si>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</si>
  <si>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</si>
  <si>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</si>
  <si>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</si>
  <si>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</si>
  <si>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</si>
  <si>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</si>
  <si>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</si>
  <si>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</si>
  <si>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</si>
  <si>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</si>
  <si>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</si>
  <si>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</si>
  <si>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</si>
  <si>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</si>
  <si>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</si>
  <si>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</si>
  <si>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</si>
  <si>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 xml:space="preserve"> Medium</t>
  </si>
  <si>
    <t xml:space="preserve"> and Heavy Total</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</si>
  <si>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</si>
  <si>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</si>
  <si>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</si>
  <si>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</si>
  <si>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</si>
  <si>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</si>
  <si>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</si>
  <si>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</si>
  <si>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</si>
  <si>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</si>
  <si>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</si>
  <si>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</si>
  <si>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</si>
  <si>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</si>
  <si>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</si>
  <si>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</si>
  <si>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</si>
  <si>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</si>
  <si>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</si>
  <si>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</si>
  <si>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</si>
  <si>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</si>
  <si>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</si>
  <si>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</si>
  <si>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</si>
  <si>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mpg diesel equiv</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</si>
  <si>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</si>
  <si>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</si>
  <si>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</si>
  <si>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</si>
  <si>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</si>
  <si>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</si>
  <si>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</si>
  <si>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</si>
  <si>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</si>
  <si>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</si>
  <si>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</si>
  <si>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</si>
  <si>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</si>
  <si>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</si>
  <si>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</si>
  <si>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</si>
  <si>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</si>
  <si>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</si>
  <si>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</si>
  <si>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</si>
  <si>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</si>
  <si>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</si>
  <si>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</si>
  <si>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</si>
  <si>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</si>
  <si>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</si>
  <si>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</si>
  <si>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</si>
  <si>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</si>
  <si>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mpg</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</si>
  <si>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</si>
  <si>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</si>
  <si>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</si>
  <si>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</si>
  <si>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</si>
  <si>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</si>
  <si>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</si>
  <si>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</si>
  <si>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</si>
  <si>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</si>
  <si>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</si>
  <si>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</si>
  <si>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</si>
  <si>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</si>
  <si>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</si>
  <si>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</si>
  <si>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</si>
  <si>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</si>
  <si>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</si>
  <si>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</si>
  <si>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</si>
  <si>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</si>
  <si>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</si>
  <si>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</si>
  <si>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</si>
  <si>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</si>
  <si>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</si>
  <si>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</si>
  <si>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</si>
  <si>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</si>
  <si>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</si>
  <si>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</si>
  <si>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</si>
  <si>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</si>
  <si>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</si>
  <si>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</si>
  <si>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</si>
  <si>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</si>
  <si>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</si>
  <si>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</si>
  <si>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</si>
  <si>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</si>
  <si>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</si>
  <si>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</si>
  <si>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</si>
  <si>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</si>
  <si>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</si>
  <si>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</si>
  <si>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</si>
  <si>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</si>
  <si>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</si>
  <si>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</si>
  <si>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</si>
  <si>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</si>
  <si>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</si>
  <si>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</si>
  <si>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</si>
  <si>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</si>
  <si>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</si>
  <si>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</si>
  <si>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</si>
  <si>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</si>
  <si>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</si>
  <si>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</si>
  <si>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</si>
  <si>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</si>
  <si>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</si>
  <si>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</si>
  <si>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</si>
  <si>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</si>
  <si>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</si>
  <si>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</si>
  <si>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</si>
  <si>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</si>
  <si>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</si>
  <si>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</si>
  <si>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</si>
  <si>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</si>
  <si>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</si>
  <si>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</si>
  <si>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</si>
  <si>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</si>
  <si>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</si>
  <si>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</si>
  <si>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</si>
  <si>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</si>
  <si>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</si>
  <si>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</si>
  <si>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</si>
  <si>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</si>
  <si>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</si>
  <si>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</si>
  <si>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</si>
  <si>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</si>
  <si>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</si>
  <si>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</si>
  <si>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</si>
  <si>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</si>
  <si>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</si>
  <si>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</si>
  <si>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</si>
  <si>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</si>
  <si>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</si>
  <si>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</si>
  <si>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</si>
  <si>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</si>
  <si>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</si>
  <si>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</si>
  <si>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</si>
  <si>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</si>
  <si>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</si>
  <si>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</si>
  <si>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</si>
  <si>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</si>
  <si>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</si>
  <si>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</si>
  <si>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</si>
  <si>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</si>
  <si>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</si>
  <si>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</si>
  <si>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</si>
  <si>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</si>
  <si>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</si>
  <si>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</si>
  <si>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</si>
  <si>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</si>
  <si>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</si>
  <si>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</si>
  <si>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</si>
  <si>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</si>
  <si>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</si>
  <si>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</si>
  <si>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</si>
  <si>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</si>
  <si>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</si>
  <si>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</si>
  <si>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</si>
  <si>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</si>
  <si>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</si>
  <si>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</si>
  <si>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</si>
  <si>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</si>
  <si>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</si>
  <si>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</si>
  <si>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</si>
  <si>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</si>
  <si>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</si>
  <si>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</si>
  <si>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</si>
  <si>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</si>
  <si>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</si>
  <si>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</si>
  <si>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</si>
  <si>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</si>
  <si>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</si>
  <si>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</si>
  <si>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</si>
  <si>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</si>
  <si>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</si>
  <si>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</si>
  <si>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</si>
  <si>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</si>
  <si>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</si>
  <si>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</si>
  <si>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</si>
  <si>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</si>
  <si>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</si>
  <si>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</si>
  <si>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</si>
  <si>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</si>
  <si>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</si>
  <si>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</si>
  <si>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</si>
  <si>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</si>
  <si>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</si>
  <si>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</si>
  <si>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</si>
  <si>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</si>
  <si>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</si>
  <si>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</si>
  <si>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</si>
  <si>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</si>
  <si>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</si>
  <si>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</si>
  <si>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</si>
  <si>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</si>
  <si>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</si>
  <si>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</si>
  <si>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</si>
  <si>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</si>
  <si>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</si>
  <si>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</si>
  <si>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</si>
  <si>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</si>
  <si>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</si>
  <si>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</si>
  <si>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</si>
  <si>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</si>
  <si>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</si>
  <si>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</si>
  <si>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</si>
  <si>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</si>
  <si>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</si>
  <si>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</si>
  <si>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</si>
  <si>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</si>
  <si>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</si>
  <si>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</si>
  <si>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</si>
  <si>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</si>
  <si>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</si>
  <si>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</si>
  <si>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</si>
  <si>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</si>
  <si>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</si>
  <si>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</si>
  <si>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</si>
  <si>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</si>
  <si>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</si>
  <si>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</si>
  <si>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</si>
  <si>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</si>
  <si>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</si>
  <si>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</si>
  <si>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</si>
  <si>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</si>
  <si>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</si>
  <si>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</si>
  <si>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</si>
  <si>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</si>
  <si>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</si>
  <si>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</si>
  <si>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</si>
  <si>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</si>
  <si>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</si>
  <si>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billions</t>
  </si>
  <si>
    <t>Freight: Railroads: Fuel Efficiency: High oil and gas supply</t>
  </si>
  <si>
    <t>58-AEO2021.268.highogs-d120120a</t>
  </si>
  <si>
    <t>ton miles/thousand B</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</si>
  <si>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</si>
  <si>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</si>
  <si>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</si>
  <si>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</si>
  <si>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</si>
  <si>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</si>
  <si>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</si>
  <si>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</si>
  <si>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</si>
  <si>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</si>
  <si>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</si>
  <si>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</si>
  <si>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</si>
  <si>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</si>
  <si>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</si>
  <si>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</si>
  <si>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</si>
  <si>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</si>
  <si>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</si>
  <si>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</si>
  <si>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</si>
  <si>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</si>
  <si>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</si>
  <si>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</si>
  <si>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</si>
  <si>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</si>
  <si>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billion 2012 $</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</si>
  <si>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</si>
  <si>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</si>
  <si>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</si>
  <si>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</si>
  <si>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</si>
  <si>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</si>
  <si>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</si>
  <si>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</si>
  <si>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</si>
  <si>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</si>
  <si>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</si>
  <si>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</si>
  <si>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</si>
  <si>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Fuel Economy</t>
  </si>
  <si>
    <t>New Sales</t>
  </si>
  <si>
    <t>Weighted Average Calculation</t>
  </si>
  <si>
    <t>highogs.d112619a</t>
  </si>
  <si>
    <t>highogs</t>
  </si>
  <si>
    <t>High oil and gas supply</t>
  </si>
  <si>
    <t>d112619a</t>
  </si>
  <si>
    <t xml:space="preserve"> January 2020</t>
  </si>
  <si>
    <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</si>
  <si>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</si>
  <si>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</si>
  <si>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</si>
  <si>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</si>
  <si>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</si>
  <si>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</si>
  <si>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</si>
  <si>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</si>
  <si>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</si>
  <si>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</si>
  <si>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</si>
  <si>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</si>
  <si>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</si>
  <si>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</si>
  <si>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billion passenger miles</t>
  </si>
  <si>
    <t>freight LDVs and HDVs</t>
  </si>
  <si>
    <t>Sources: see file trans/SYFAFE, AEO 7, AEO 49</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</si>
  <si>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</si>
  <si>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</si>
  <si>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</si>
  <si>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</si>
  <si>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</si>
  <si>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</si>
  <si>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</si>
  <si>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</si>
  <si>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</si>
  <si>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</si>
  <si>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</si>
  <si>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</si>
  <si>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</si>
  <si>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</si>
  <si>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</si>
  <si>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</si>
  <si>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</si>
  <si>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</si>
  <si>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</si>
  <si>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</si>
  <si>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</si>
  <si>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</si>
  <si>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</si>
  <si>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</si>
  <si>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</si>
  <si>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</si>
  <si>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</si>
  <si>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</si>
  <si>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</si>
  <si>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</si>
  <si>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</si>
  <si>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</si>
  <si>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</si>
  <si>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</si>
  <si>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</si>
  <si>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</si>
  <si>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</si>
  <si>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</si>
  <si>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</si>
  <si>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</si>
  <si>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</si>
  <si>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</si>
  <si>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</si>
  <si>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</si>
  <si>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</si>
  <si>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</si>
  <si>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</si>
  <si>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</si>
  <si>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</si>
  <si>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</si>
  <si>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</si>
  <si>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</si>
  <si>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</si>
  <si>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</si>
  <si>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</si>
  <si>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</si>
  <si>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</si>
  <si>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</si>
  <si>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</si>
  <si>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</si>
  <si>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</si>
  <si>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</si>
  <si>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</si>
  <si>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</si>
  <si>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</si>
  <si>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</si>
  <si>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</si>
  <si>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</si>
  <si>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</si>
  <si>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</si>
  <si>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</si>
  <si>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</si>
  <si>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</si>
  <si>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</si>
  <si>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</si>
  <si>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</si>
  <si>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</si>
  <si>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</si>
  <si>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</si>
  <si>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</si>
  <si>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</si>
  <si>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</si>
  <si>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</si>
  <si>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</si>
  <si>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</si>
  <si>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</si>
  <si>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</si>
  <si>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</si>
  <si>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</si>
  <si>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</si>
  <si>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</si>
  <si>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</si>
  <si>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</si>
  <si>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</si>
  <si>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</si>
  <si>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</si>
  <si>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</si>
  <si>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</si>
  <si>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</si>
  <si>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</si>
  <si>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</si>
  <si>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</si>
  <si>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</si>
  <si>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</si>
  <si>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</si>
  <si>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</si>
  <si>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</si>
  <si>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</si>
  <si>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</si>
  <si>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</si>
  <si>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</si>
  <si>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</si>
  <si>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</si>
  <si>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</si>
  <si>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</si>
  <si>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</si>
  <si>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</si>
  <si>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</si>
  <si>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</si>
  <si>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</si>
  <si>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</si>
  <si>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</si>
  <si>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</si>
  <si>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</si>
  <si>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</si>
  <si>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</si>
  <si>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</si>
  <si>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</si>
  <si>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</si>
  <si>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</si>
  <si>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</si>
  <si>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</si>
  <si>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</si>
  <si>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</si>
  <si>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</si>
  <si>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</si>
  <si>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</si>
  <si>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</si>
  <si>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</si>
  <si>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</si>
  <si>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</si>
  <si>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</si>
  <si>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</si>
  <si>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</si>
  <si>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</si>
  <si>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</si>
  <si>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</si>
  <si>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</si>
  <si>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</si>
  <si>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</si>
  <si>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</si>
  <si>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</si>
  <si>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</si>
  <si>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</si>
  <si>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</si>
  <si>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</si>
  <si>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</si>
  <si>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</si>
  <si>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</si>
  <si>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</si>
  <si>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</si>
  <si>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</si>
  <si>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</si>
  <si>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</si>
  <si>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</si>
  <si>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</si>
  <si>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</si>
  <si>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</si>
  <si>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</si>
  <si>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</si>
  <si>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</si>
  <si>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</si>
  <si>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</si>
  <si>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</si>
  <si>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</si>
  <si>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</si>
  <si>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</si>
  <si>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</si>
  <si>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</si>
  <si>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</si>
  <si>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</si>
  <si>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</si>
  <si>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</si>
  <si>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</si>
  <si>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</si>
  <si>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</si>
  <si>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</si>
  <si>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</si>
  <si>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</si>
  <si>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</si>
  <si>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</si>
  <si>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</si>
  <si>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</si>
  <si>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</si>
  <si>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</si>
  <si>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</si>
  <si>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</si>
  <si>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</si>
  <si>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</si>
  <si>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</si>
  <si>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</si>
  <si>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</si>
  <si>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</si>
  <si>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</si>
  <si>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</si>
  <si>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</si>
  <si>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</si>
  <si>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</si>
  <si>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</si>
  <si>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</si>
  <si>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</si>
  <si>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</si>
  <si>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</si>
  <si>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</si>
  <si>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</si>
  <si>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</si>
  <si>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</si>
  <si>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</si>
  <si>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</si>
  <si>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</si>
  <si>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</si>
  <si>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</si>
  <si>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</si>
  <si>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</si>
  <si>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</si>
  <si>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</si>
  <si>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</si>
  <si>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</si>
  <si>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</si>
  <si>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</si>
  <si>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</si>
  <si>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</si>
  <si>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</si>
  <si>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</si>
  <si>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</si>
  <si>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</si>
  <si>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</si>
  <si>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</si>
  <si>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</si>
  <si>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</si>
  <si>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</si>
  <si>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</si>
  <si>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</si>
  <si>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</si>
  <si>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</si>
  <si>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</si>
  <si>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</si>
  <si>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</si>
  <si>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</si>
  <si>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</si>
  <si>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</si>
  <si>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</si>
  <si>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</si>
  <si>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</si>
  <si>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</si>
  <si>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</si>
  <si>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2021, 2020</t>
  </si>
  <si>
    <t>Annual Energy Outlook 2021, 2020</t>
  </si>
  <si>
    <t>Tables 7, 35, 36, 38, 40, 47, 48, 49</t>
  </si>
  <si>
    <t>Sources: AEO 7, AEO 40, others as noted on "Calculations Etc" tab</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</si>
  <si>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</si>
  <si>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</si>
  <si>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</si>
  <si>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</si>
  <si>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</si>
  <si>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</si>
  <si>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</si>
  <si>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</si>
  <si>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</si>
  <si>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</si>
  <si>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</si>
  <si>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</si>
  <si>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</si>
  <si>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</si>
  <si>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</si>
  <si>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</si>
  <si>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</si>
  <si>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</si>
  <si>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</si>
  <si>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</si>
  <si>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</si>
  <si>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</si>
  <si>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</si>
  <si>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 freight LDVs</t>
  </si>
  <si>
    <t>ratio of new:stock, light medium truck</t>
  </si>
  <si>
    <t>ratio of new:stock, medium truck</t>
  </si>
  <si>
    <t>ratio of new:stock, commercial light truck</t>
  </si>
  <si>
    <t>Year</t>
  </si>
  <si>
    <t>Gasoline thousands</t>
  </si>
  <si>
    <t>TDI Diesel thousands</t>
  </si>
  <si>
    <t>Propane thousands</t>
  </si>
  <si>
    <t>CNG/LNG thousands</t>
  </si>
  <si>
    <t>Ethanol Flex thousands</t>
  </si>
  <si>
    <t>Electric thousands</t>
  </si>
  <si>
    <t>Plug-in Gas thousands</t>
  </si>
  <si>
    <t>Plug-in Diesel thousands</t>
  </si>
  <si>
    <t>Fuel Cell thousands</t>
  </si>
  <si>
    <t>Total thousands</t>
  </si>
  <si>
    <t>Fleet Vehicle Sales Commercial Light Trucks (Case High oil and gas supply)</t>
  </si>
  <si>
    <t>https://www.eia.gov/outlooks/aeo/data/browser/#/?id=54-AEO2021&amp;region=0-0&amp;cases=highogs&amp;start=2019&amp;end=2050&amp;f=A&amp;linechart=highogs-d120120a.57-54-AEO2021~highogs-d120120a.58-54-AEO2021~highogs-d120120a.59-54-AEO2021~highogs-d120120a.60-54-AEO2021~highogs-d120120a.61-54-AEO2021~highogs-d120120a.62-54-AEO2021~highogs-d120120a.63-54-AEO2021~highogs-d120120a.64-54-AEO2021~highogs-d120120a.65-54-AEO2021~highogs-d120120a.66-54-AEO2021&amp;ctype=linechart&amp;sourcekey=0</t>
  </si>
  <si>
    <t>10:14:56 GMT-0700 (Pacific Daylight Time)</t>
  </si>
  <si>
    <t>sales, commercial light truck</t>
  </si>
  <si>
    <t>sales, light medium truck</t>
  </si>
  <si>
    <t>sales, medium truck</t>
  </si>
  <si>
    <t>stock fuel economy, commercial light truck</t>
  </si>
  <si>
    <t>stock fuel economy, light medium truck</t>
  </si>
  <si>
    <t>stock fuel economy, medium truck</t>
  </si>
  <si>
    <t>weighted average ratio of 2020:2020 stock fuel economy</t>
  </si>
  <si>
    <t>weighted average ratio of new:stock</t>
  </si>
  <si>
    <t>2020:2019</t>
  </si>
  <si>
    <t>Fuel Economy (passenger*miles/BTU)</t>
  </si>
  <si>
    <t>buses</t>
  </si>
  <si>
    <t>We classify AEO's light commercial trucks category as well as light-medium and medium duty vehicles</t>
  </si>
  <si>
    <t>in "freight LDVs" and heavy duty vehicles in "freight HDVs."</t>
  </si>
  <si>
    <t>newly sold efficiency to stock efficiency. This adjustment is used for all vehicle technologies.</t>
  </si>
  <si>
    <t>The AEO does not include data on new vehicle efficiency. Therefore, we start with the stock efficiency values calculated in SYFAFE, adjust for the growth</t>
  </si>
  <si>
    <t xml:space="preserve">We then increase efficiency in line with new vehicle fuel economy improvements from AEO. The exception is for electric vehicles, where we take new </t>
  </si>
  <si>
    <t>vehicle fuel economy directly.</t>
  </si>
  <si>
    <t xml:space="preserve">in efficiency between 2019 and 2020, and adjust for the ratio of newly sold efficiency to stock efficiency for freight HDVs. We then improve fuel economy </t>
  </si>
  <si>
    <t>at the same rate as freight HDVs.</t>
  </si>
  <si>
    <t>We start with the stock fuel economy values calculated in SYFAFE, then adjust for the growth in efficiency between 2019 and 2020 and adjust for the ratio</t>
  </si>
  <si>
    <t>of newly sold efficiency to stock efficiency for aircraft.</t>
  </si>
  <si>
    <t>passenger ships and passenger motorbikes</t>
  </si>
  <si>
    <t>We start with the stock fuel economy values calculated in SYFAFE and assume fuel economy is constant through 2050.</t>
  </si>
  <si>
    <t>https://www.govinfo.gov/content/pkg/FR-2022-05-02/pdf/2022-07200.pdf</t>
  </si>
  <si>
    <t>Table II-4</t>
  </si>
  <si>
    <t>Standard</t>
  </si>
  <si>
    <t>On road</t>
  </si>
  <si>
    <t>Output from Model</t>
  </si>
  <si>
    <t>Time (Time)</t>
  </si>
  <si>
    <t>New Vehicles[LDVs,passenger,battery electric vehicle] : BBB+CP2</t>
  </si>
  <si>
    <t>New Vehicles[LDVs,passenger,natural gas vehicle] : BBB+CP2</t>
  </si>
  <si>
    <t>New Vehicles[LDVs,passenger,gasoline vehicle] : BBB+CP2</t>
  </si>
  <si>
    <t>New Vehicles[LDVs,passenger,diesel vehicle] : BBB+CP2</t>
  </si>
  <si>
    <t>New Vehicles[LDVs,passenger,plugin hybrid vehicle] : BBB+CP2</t>
  </si>
  <si>
    <t>New Vehicles[LDVs,passenger,LPG vehicle] : BBB+CP2</t>
  </si>
  <si>
    <t>New Vehicles[LDVs,passenger,hydrogen vehicle] : BBB+CP2</t>
  </si>
  <si>
    <t>Percent Sales</t>
  </si>
  <si>
    <t>AVLo Average Vehicle Loading[LDVs,passenger] : BBB+CP2</t>
  </si>
  <si>
    <t>BTU per kWh</t>
  </si>
  <si>
    <t>kWh per gallon gasoline equivalent</t>
  </si>
  <si>
    <t>*Gasoline values varied in order for weighted average fuel economy to match EPA's</t>
  </si>
  <si>
    <t>mpg values by vehicle type</t>
  </si>
  <si>
    <t>Weighted Average mpg</t>
  </si>
  <si>
    <t>Adjusted Gasoline fuel economy, thing*miles/BTU</t>
  </si>
  <si>
    <t>*values after 2026 scaled by AEO</t>
  </si>
  <si>
    <t>New Vehicles[LDVs,passenger,battery electric vehicle] : MostRecentRun</t>
  </si>
  <si>
    <t>New Vehicles[LDVs,passenger,natural gas vehicle] : MostRecentRun</t>
  </si>
  <si>
    <t>New Vehicles[LDVs,passenger,gasoline vehicle] : MostRecentRun</t>
  </si>
  <si>
    <t>New Vehicles[LDVs,passenger,diesel vehicle] : MostRecentRun</t>
  </si>
  <si>
    <t>New Vehicles[LDVs,passenger,plugin hybrid vehicle] : MostRecentRun</t>
  </si>
  <si>
    <t>New Vehicles[LDVs,passenger,LPG vehicle] : MostRecentRun</t>
  </si>
  <si>
    <t>New Vehicles[LDVs,passenger,hydrogen vehicle] : MostRecentRun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</si>
</sst>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quot;(R)&quot;\ #,##0;&quot;(R) -&quot;#,##0;&quot;(R) &quot;\ 0"/>
    <numFmt numFmtId="169" formatCode="0.000"/>
    <numFmt numFmtId="170" formatCode="0.0000E+00"/>
    <numFmt numFmtId="171" formatCode="0.000E+00"/>
    <numFmt numFmtId="172" formatCode="0.0"/>
  </numFmts>
  <fonts count="60">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vertAlign val="superscript"/>
      <sz val="11"/>
      <name val="Arial Narrow"/>
      <family val="2"/>
    </font>
    <font>
      <b/>
      <sz val="11"/>
      <name val="Arial Narrow"/>
      <family val="2"/>
    </font>
    <font>
      <b/>
      <vertAlign val="superscript"/>
      <sz val="11"/>
      <name val="Arial Narrow"/>
      <family val="2"/>
    </font>
    <font>
      <sz val="12"/>
      <name val="Arial"/>
      <family val="2"/>
    </font>
    <font>
      <b/>
      <sz val="12"/>
      <name val="Arial"/>
      <family val="2"/>
    </font>
    <font>
      <u/>
      <sz val="11"/>
      <color theme="10"/>
      <name val="Calibri"/>
      <family val="2"/>
      <scheme val="minor"/>
    </font>
    <font>
      <b/>
      <i/>
      <sz val="11"/>
      <color theme="1"/>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s>
  <fills count="36">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s>
  <borders count="23">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56">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7"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9" fillId="14"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21" borderId="0" applyNumberFormat="0" applyBorder="0" applyAlignment="0" applyProtection="0"/>
    <xf numFmtId="0" fontId="10" fillId="5" borderId="0" applyNumberFormat="0" applyBorder="0" applyAlignment="0" applyProtection="0"/>
    <xf numFmtId="0" fontId="3" fillId="0" borderId="4" applyNumberFormat="0" applyFont="0" applyProtection="0">
      <alignment wrapText="1"/>
    </xf>
    <xf numFmtId="0" fontId="11" fillId="22" borderId="6" applyNumberFormat="0" applyAlignment="0" applyProtection="0"/>
    <xf numFmtId="0" fontId="12" fillId="23" borderId="7" applyNumberFormat="0" applyAlignment="0" applyProtection="0"/>
    <xf numFmtId="0" fontId="13" fillId="0" borderId="0">
      <alignment horizontal="center" vertical="center" wrapText="1"/>
    </xf>
    <xf numFmtId="43" fontId="14"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5"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4" fillId="0" borderId="0" applyFont="0" applyFill="0" applyBorder="0" applyAlignment="0" applyProtection="0"/>
    <xf numFmtId="166" fontId="16" fillId="0" borderId="8" applyNumberFormat="0" applyFill="0">
      <alignment horizontal="right"/>
    </xf>
    <xf numFmtId="166" fontId="17" fillId="0" borderId="8" applyNumberFormat="0" applyFill="0">
      <alignment horizontal="right"/>
    </xf>
    <xf numFmtId="167" fontId="18" fillId="0" borderId="8">
      <alignment horizontal="right" vertical="center"/>
    </xf>
    <xf numFmtId="49" fontId="19" fillId="0" borderId="8">
      <alignment horizontal="left" vertical="center"/>
    </xf>
    <xf numFmtId="166" fontId="16" fillId="0" borderId="8" applyNumberFormat="0" applyFill="0">
      <alignment horizontal="right"/>
    </xf>
    <xf numFmtId="0" fontId="20"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1" fillId="6" borderId="0" applyNumberFormat="0" applyBorder="0" applyAlignment="0" applyProtection="0"/>
    <xf numFmtId="0" fontId="5" fillId="0" borderId="5" applyNumberFormat="0" applyProtection="0">
      <alignment wrapText="1"/>
    </xf>
    <xf numFmtId="0" fontId="22" fillId="0" borderId="9" applyNumberFormat="0" applyFill="0" applyAlignment="0" applyProtection="0"/>
    <xf numFmtId="0" fontId="23" fillId="0" borderId="10" applyNumberFormat="0" applyFill="0" applyAlignment="0" applyProtection="0"/>
    <xf numFmtId="0" fontId="24" fillId="0" borderId="11" applyNumberFormat="0" applyFill="0" applyAlignment="0" applyProtection="0"/>
    <xf numFmtId="0" fontId="24" fillId="0" borderId="0" applyNumberFormat="0" applyFill="0" applyBorder="0" applyAlignment="0" applyProtection="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pplyNumberFormat="0" applyFill="0" applyBorder="0" applyAlignment="0" applyProtection="0">
      <alignment vertical="top"/>
      <protection locked="0"/>
    </xf>
    <xf numFmtId="0" fontId="30" fillId="9" borderId="6" applyNumberFormat="0" applyAlignment="0" applyProtection="0"/>
    <xf numFmtId="0" fontId="31" fillId="0" borderId="14" applyNumberFormat="0" applyFill="0" applyAlignment="0" applyProtection="0"/>
    <xf numFmtId="0" fontId="32" fillId="25" borderId="0" applyNumberFormat="0" applyBorder="0" applyAlignment="0" applyProtection="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applyNumberFormat="0" applyFont="0" applyAlignment="0" applyProtection="0"/>
    <xf numFmtId="0" fontId="14" fillId="26" borderId="15" applyNumberFormat="0" applyFont="0" applyAlignment="0" applyProtection="0"/>
    <xf numFmtId="0" fontId="34"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 fillId="0" borderId="0" applyFont="0" applyFill="0" applyBorder="0" applyAlignment="0" applyProtection="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66" fontId="18" fillId="0" borderId="0" applyNumberFormat="0">
      <alignment horizontal="right"/>
    </xf>
    <xf numFmtId="0" fontId="27" fillId="27" borderId="0">
      <alignment horizontal="centerContinuous" vertical="center" wrapText="1"/>
    </xf>
    <xf numFmtId="0" fontId="27" fillId="0" borderId="17">
      <alignment horizontal="left" vertical="center"/>
    </xf>
    <xf numFmtId="0" fontId="7" fillId="0" borderId="0" applyNumberFormat="0" applyProtection="0">
      <alignment horizontal="left"/>
    </xf>
    <xf numFmtId="0" fontId="38" fillId="0" borderId="0" applyNumberFormat="0" applyFill="0" applyBorder="0" applyAlignment="0" applyProtection="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applyNumberFormat="0" applyFill="0" applyAlignment="0" applyProtection="0"/>
    <xf numFmtId="0" fontId="41" fillId="0" borderId="0" applyNumberFormat="0" applyFill="0" applyBorder="0" applyAlignment="0" applyProtection="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applyFont="0" applyFill="0" applyBorder="0" applyAlignment="0" applyProtection="0"/>
    <xf numFmtId="0" fontId="53" fillId="0" borderId="0" applyNumberFormat="0" applyFill="0" applyBorder="0" applyAlignment="0" applyProtection="0"/>
    <xf numFmtId="43" fontId="1" fillId="0" borderId="0" applyFont="0" applyFill="0" applyBorder="0" applyAlignment="0" applyProtection="0"/>
  </cellStyleXfs>
  <cellXfs count="150">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0" fillId="0" borderId="0" xfId="0" applyFill="1"/>
    <xf numFmtId="0" fontId="42" fillId="0" borderId="0" xfId="0" applyFont="1"/>
    <xf numFmtId="3" fontId="47" fillId="0" borderId="0" xfId="50" applyNumberFormat="1" applyFont="1" applyFill="1" applyBorder="1" applyAlignment="1">
      <alignment horizontal="left" indent="1"/>
    </xf>
    <xf numFmtId="3" fontId="47" fillId="0" borderId="0" xfId="50" applyNumberFormat="1" applyFont="1" applyFill="1" applyBorder="1" applyAlignment="1">
      <alignment horizontal="left" vertical="top" indent="1"/>
    </xf>
    <xf numFmtId="3" fontId="49" fillId="0" borderId="0" xfId="50" applyNumberFormat="1" applyFont="1" applyFill="1" applyBorder="1" applyAlignment="1">
      <alignment horizontal="left"/>
    </xf>
    <xf numFmtId="169" fontId="0" fillId="0" borderId="0" xfId="0" applyNumberFormat="1"/>
    <xf numFmtId="0" fontId="0" fillId="0" borderId="0" xfId="0" applyNumberFormat="1"/>
    <xf numFmtId="11" fontId="0" fillId="0" borderId="0" xfId="0" applyNumberFormat="1" applyFill="1"/>
    <xf numFmtId="164" fontId="0" fillId="0" borderId="0" xfId="153" applyNumberFormat="1" applyFont="1"/>
    <xf numFmtId="0" fontId="0" fillId="0" borderId="0" xfId="0" applyAlignment="1">
      <alignment horizontal="right"/>
    </xf>
    <xf numFmtId="0" fontId="0" fillId="0" borderId="0" xfId="0" applyFont="1"/>
    <xf numFmtId="0" fontId="6" fillId="0" borderId="0" xfId="0" applyFont="1"/>
    <xf numFmtId="0" fontId="4" fillId="0" borderId="0" xfId="0" applyFont="1"/>
    <xf numFmtId="0" fontId="2" fillId="0" borderId="0" xfId="0" applyFont="1" applyFill="1"/>
    <xf numFmtId="9" fontId="0" fillId="0" borderId="0" xfId="0" applyNumberFormat="1"/>
    <xf numFmtId="164" fontId="0" fillId="0" borderId="0" xfId="0" applyNumberFormat="1"/>
    <xf numFmtId="0" fontId="53"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4" fontId="0" fillId="0" borderId="4" xfId="4" applyNumberFormat="1" applyFont="1" applyAlignment="1">
      <alignment horizontal="right" wrapText="1"/>
    </xf>
    <xf numFmtId="165"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4"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5"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2" fillId="30" borderId="0" xfId="0" applyFont="1" applyFill="1"/>
    <xf numFmtId="0" fontId="3" fillId="29" borderId="0" xfId="1" applyFill="1"/>
    <xf numFmtId="0" fontId="42" fillId="31" borderId="0" xfId="0" applyFont="1" applyFill="1"/>
    <xf numFmtId="0" fontId="0" fillId="31" borderId="0" xfId="0" applyFill="1"/>
    <xf numFmtId="2" fontId="0" fillId="0" borderId="0" xfId="0" applyNumberFormat="1" applyFont="1"/>
    <xf numFmtId="2" fontId="0" fillId="31" borderId="0" xfId="0" applyNumberFormat="1" applyFill="1"/>
    <xf numFmtId="43" fontId="0" fillId="0" borderId="0" xfId="155" applyFont="1"/>
    <xf numFmtId="0" fontId="0" fillId="30" borderId="0" xfId="0" applyFont="1" applyFill="1"/>
    <xf numFmtId="0" fontId="54" fillId="31" borderId="0" xfId="0" applyFont="1" applyFill="1"/>
    <xf numFmtId="43" fontId="0" fillId="31" borderId="0" xfId="155" applyFont="1" applyFill="1"/>
    <xf numFmtId="43" fontId="0" fillId="0" borderId="0" xfId="0" applyNumberFormat="1"/>
    <xf numFmtId="11" fontId="0" fillId="0" borderId="0" xfId="155" applyNumberFormat="1" applyFont="1"/>
    <xf numFmtId="0" fontId="6" fillId="0" borderId="0" xfId="1" applyFont="1" applyFill="1"/>
    <xf numFmtId="43" fontId="0" fillId="31" borderId="0" xfId="0" applyNumberFormat="1" applyFill="1"/>
    <xf numFmtId="0" fontId="0" fillId="32" borderId="0" xfId="0" applyFill="1"/>
    <xf numFmtId="43" fontId="0" fillId="32" borderId="0" xfId="0" applyNumberFormat="1" applyFill="1"/>
    <xf numFmtId="0" fontId="0" fillId="28" borderId="0" xfId="0" applyFill="1"/>
    <xf numFmtId="0" fontId="0" fillId="33" borderId="0" xfId="0" applyFill="1"/>
    <xf numFmtId="0" fontId="6" fillId="31" borderId="0" xfId="1" applyFont="1" applyFill="1"/>
    <xf numFmtId="0" fontId="0" fillId="0" borderId="0" xfId="155" applyNumberFormat="1" applyFont="1"/>
    <xf numFmtId="11" fontId="0" fillId="31" borderId="0" xfId="155" applyNumberFormat="1" applyFont="1" applyFill="1"/>
    <xf numFmtId="9" fontId="0" fillId="0" borderId="0" xfId="153" applyFont="1"/>
    <xf numFmtId="170" fontId="0" fillId="0" borderId="0" xfId="155" applyNumberFormat="1" applyFont="1"/>
    <xf numFmtId="0" fontId="42" fillId="0" borderId="0" xfId="155" applyNumberFormat="1" applyFont="1"/>
    <xf numFmtId="169" fontId="0" fillId="0" borderId="0" xfId="155" applyNumberFormat="1" applyFont="1"/>
    <xf numFmtId="0" fontId="0" fillId="0" borderId="0" xfId="0" applyAlignment="1">
      <alignment horizontal="left" wrapText="1"/>
    </xf>
    <xf numFmtId="170" fontId="0" fillId="0" borderId="0" xfId="0" applyNumberFormat="1"/>
    <xf numFmtId="0" fontId="3" fillId="0" borderId="2" xfId="2">
      <alignment wrapText="1"/>
    </xf>
    <xf numFmtId="3" fontId="43" fillId="0" borderId="0" xfId="50" applyNumberFormat="1" applyFont="1" applyFill="1" applyBorder="1" applyAlignment="1">
      <alignment wrapText="1"/>
    </xf>
    <xf numFmtId="0" fontId="52" fillId="0" borderId="20" xfId="0" applyFont="1" applyBorder="1" applyAlignment="1">
      <alignment wrapText="1"/>
    </xf>
    <xf numFmtId="0" fontId="51" fillId="0" borderId="0" xfId="0" applyFont="1"/>
    <xf numFmtId="0" fontId="49" fillId="0" borderId="21" xfId="0" applyFont="1" applyBorder="1" applyAlignment="1">
      <alignment horizontal="center"/>
    </xf>
    <xf numFmtId="0" fontId="49" fillId="0" borderId="21" xfId="64" applyFont="1" applyBorder="1" applyAlignment="1">
      <alignment horizontal="center"/>
    </xf>
    <xf numFmtId="1" fontId="49" fillId="0" borderId="21" xfId="0" applyNumberFormat="1" applyFont="1" applyBorder="1" applyAlignment="1">
      <alignment horizontal="center"/>
    </xf>
    <xf numFmtId="0" fontId="47" fillId="0" borderId="0" xfId="0" applyFont="1" applyAlignment="1">
      <alignment horizontal="center"/>
    </xf>
    <xf numFmtId="3" fontId="49" fillId="0" borderId="0" xfId="50" applyNumberFormat="1" applyFont="1" applyFill="1" applyBorder="1">
      <alignment horizontal="right"/>
    </xf>
    <xf numFmtId="168" fontId="49" fillId="0" borderId="0" xfId="0" applyNumberFormat="1" applyFont="1" applyAlignment="1">
      <alignment horizontal="right"/>
    </xf>
    <xf numFmtId="3" fontId="49"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Fill="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9" fillId="0" borderId="0" xfId="0" applyFont="1"/>
    <xf numFmtId="3" fontId="49" fillId="0" borderId="0" xfId="0" applyNumberFormat="1" applyFont="1"/>
    <xf numFmtId="0" fontId="47" fillId="0" borderId="0" xfId="50" applyNumberFormat="1" applyFont="1" applyFill="1" applyBorder="1">
      <alignment horizontal="right"/>
    </xf>
    <xf numFmtId="0" fontId="49"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9" fillId="0" borderId="20" xfId="0" applyNumberFormat="1" applyFont="1" applyBorder="1" applyAlignment="1">
      <alignment horizontal="right"/>
    </xf>
    <xf numFmtId="3" fontId="49" fillId="0" borderId="20" xfId="50" applyNumberFormat="1" applyFont="1" applyFill="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6" fillId="0" borderId="0" xfId="0" applyFont="1"/>
    <xf numFmtId="0" fontId="57"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3" borderId="0" xfId="0" applyFont="1" applyFill="1"/>
    <xf numFmtId="0" fontId="6" fillId="31" borderId="0" xfId="0" applyFont="1" applyFill="1"/>
    <xf numFmtId="0" fontId="3" fillId="31" borderId="0" xfId="1" applyFill="1"/>
    <xf numFmtId="10" fontId="0" fillId="29" borderId="0" xfId="0" applyNumberFormat="1" applyFill="1"/>
    <xf numFmtId="9" fontId="0" fillId="28" borderId="0" xfId="153" applyFont="1" applyFill="1"/>
    <xf numFmtId="9" fontId="0" fillId="0" borderId="0" xfId="153" applyFont="1" applyFill="1"/>
    <xf numFmtId="0" fontId="55" fillId="0" borderId="0" xfId="0" applyFont="1"/>
    <xf numFmtId="9" fontId="55" fillId="0" borderId="0" xfId="153" applyFont="1"/>
    <xf numFmtId="0" fontId="0" fillId="0" borderId="0" xfId="0"/>
    <xf numFmtId="0" fontId="0" fillId="0" borderId="0" xfId="0"/>
    <xf numFmtId="0" fontId="0" fillId="0" borderId="0" xfId="0"/>
    <xf numFmtId="0" fontId="0" fillId="34" borderId="0" xfId="0" applyFill="1"/>
    <xf numFmtId="171" fontId="0" fillId="0" borderId="0" xfId="0" applyNumberFormat="1" applyFill="1"/>
    <xf numFmtId="171" fontId="0" fillId="0" borderId="22" xfId="0" applyNumberFormat="1" applyFill="1" applyBorder="1"/>
    <xf numFmtId="0" fontId="59" fillId="0" borderId="0" xfId="0" applyFont="1"/>
    <xf numFmtId="0" fontId="3" fillId="0" borderId="0" xfId="1" applyFill="1"/>
    <xf numFmtId="0" fontId="0" fillId="34" borderId="0" xfId="0" applyFill="1" applyAlignment="1"/>
    <xf numFmtId="0" fontId="6" fillId="0" borderId="0" xfId="0" applyFont="1" applyFill="1"/>
    <xf numFmtId="0" fontId="0" fillId="34" borderId="0" xfId="0" applyFill="1" applyAlignment="1">
      <alignment horizontal="right"/>
    </xf>
    <xf numFmtId="0" fontId="0" fillId="0" borderId="0" xfId="0"/>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4" fontId="0" fillId="35" borderId="0" xfId="153" applyNumberFormat="1" applyFont="1" applyFill="1" applyAlignment="1">
      <alignment horizontal="right"/>
    </xf>
    <xf numFmtId="0" fontId="0" fillId="0" borderId="0" xfId="0" applyAlignment="1">
      <alignment wrapText="1"/>
    </xf>
    <xf numFmtId="1" fontId="0" fillId="0" borderId="0" xfId="0" applyNumberFormat="1"/>
    <xf numFmtId="0" fontId="0" fillId="0" borderId="0" xfId="0"/>
    <xf numFmtId="0" fontId="0" fillId="0" borderId="0" xfId="0"/>
    <xf numFmtId="0" fontId="0" fillId="0" borderId="0" xfId="0"/>
    <xf numFmtId="0" fontId="58" fillId="0" borderId="2" xfId="2" applyFont="1">
      <alignment wrapText="1"/>
    </xf>
    <xf numFmtId="0" fontId="0" fillId="0" borderId="2" xfId="0" applyBorder="1"/>
    <xf numFmtId="0" fontId="0" fillId="0" borderId="0" xfId="0"/>
    <xf numFmtId="0" fontId="3" fillId="0" borderId="2" xfId="2">
      <alignment wrapText="1"/>
    </xf>
    <xf numFmtId="172" fontId="0" fillId="0" borderId="0" xfId="0" applyNumberFormat="1"/>
  </cellXfs>
  <cellStyles count="156">
    <cellStyle name="20% - Accent1 2" xfId="8" xr:uid="{00000000-0005-0000-0000-000000000000}"/>
    <cellStyle name="20% - Accent2 2" xfId="9" xr:uid="{00000000-0005-0000-0000-000001000000}"/>
    <cellStyle name="20% - Accent3 2" xfId="10" xr:uid="{00000000-0005-0000-0000-000002000000}"/>
    <cellStyle name="20% - Accent4 2" xfId="11" xr:uid="{00000000-0005-0000-0000-000003000000}"/>
    <cellStyle name="20% - Accent5 2" xfId="12" xr:uid="{00000000-0005-0000-0000-000004000000}"/>
    <cellStyle name="20% - Accent6 2" xfId="13" xr:uid="{00000000-0005-0000-0000-000005000000}"/>
    <cellStyle name="40% - Accent1 2" xfId="14" xr:uid="{00000000-0005-0000-0000-000006000000}"/>
    <cellStyle name="40% - Accent2 2" xfId="15" xr:uid="{00000000-0005-0000-0000-000007000000}"/>
    <cellStyle name="40% - Accent3 2" xfId="16" xr:uid="{00000000-0005-0000-0000-000008000000}"/>
    <cellStyle name="40% - Accent4 2" xfId="17" xr:uid="{00000000-0005-0000-0000-000009000000}"/>
    <cellStyle name="40% - Accent5 2" xfId="18" xr:uid="{00000000-0005-0000-0000-00000A000000}"/>
    <cellStyle name="40% - Accent6 2" xfId="19" xr:uid="{00000000-0005-0000-0000-00000B000000}"/>
    <cellStyle name="60% - Accent1 2" xfId="20" xr:uid="{00000000-0005-0000-0000-00000C000000}"/>
    <cellStyle name="60% - Accent2 2" xfId="21" xr:uid="{00000000-0005-0000-0000-00000D000000}"/>
    <cellStyle name="60% - Accent3 2" xfId="22" xr:uid="{00000000-0005-0000-0000-00000E000000}"/>
    <cellStyle name="60% - Accent4 2" xfId="23" xr:uid="{00000000-0005-0000-0000-00000F000000}"/>
    <cellStyle name="60% - Accent5 2" xfId="24" xr:uid="{00000000-0005-0000-0000-000010000000}"/>
    <cellStyle name="60% - Accent6 2" xfId="25" xr:uid="{00000000-0005-0000-0000-000011000000}"/>
    <cellStyle name="Accent1 2" xfId="26" xr:uid="{00000000-0005-0000-0000-000012000000}"/>
    <cellStyle name="Accent2 2" xfId="27" xr:uid="{00000000-0005-0000-0000-000013000000}"/>
    <cellStyle name="Accent3 2" xfId="28" xr:uid="{00000000-0005-0000-0000-000014000000}"/>
    <cellStyle name="Accent4 2" xfId="29" xr:uid="{00000000-0005-0000-0000-000015000000}"/>
    <cellStyle name="Accent5 2" xfId="30" xr:uid="{00000000-0005-0000-0000-000016000000}"/>
    <cellStyle name="Accent6 2" xfId="31" xr:uid="{00000000-0005-0000-0000-000017000000}"/>
    <cellStyle name="Bad 2" xfId="32" xr:uid="{00000000-0005-0000-0000-000018000000}"/>
    <cellStyle name="Body: normal cell" xfId="4" xr:uid="{00000000-0005-0000-0000-000019000000}"/>
    <cellStyle name="Body: normal cell 2" xfId="33" xr:uid="{00000000-0005-0000-0000-00001A000000}"/>
    <cellStyle name="Calculation 2" xfId="34" xr:uid="{00000000-0005-0000-0000-00001B000000}"/>
    <cellStyle name="Check Cell 2" xfId="35" xr:uid="{00000000-0005-0000-0000-00001C000000}"/>
    <cellStyle name="Column heading" xfId="36" xr:uid="{00000000-0005-0000-0000-00001D000000}"/>
    <cellStyle name="Comma" xfId="155" builtinId="3"/>
    <cellStyle name="Comma 2" xfId="37" xr:uid="{00000000-0005-0000-0000-00001F000000}"/>
    <cellStyle name="Comma 2 2" xfId="38" xr:uid="{00000000-0005-0000-0000-000020000000}"/>
    <cellStyle name="Comma 3" xfId="39" xr:uid="{00000000-0005-0000-0000-000021000000}"/>
    <cellStyle name="Comma 4" xfId="40" xr:uid="{00000000-0005-0000-0000-000022000000}"/>
    <cellStyle name="Comma 5" xfId="41" xr:uid="{00000000-0005-0000-0000-000023000000}"/>
    <cellStyle name="Comma 6" xfId="42" xr:uid="{00000000-0005-0000-0000-000024000000}"/>
    <cellStyle name="Comma 7" xfId="43" xr:uid="{00000000-0005-0000-0000-000025000000}"/>
    <cellStyle name="Comma 8" xfId="44" xr:uid="{00000000-0005-0000-0000-000026000000}"/>
    <cellStyle name="Corner heading" xfId="45" xr:uid="{00000000-0005-0000-0000-000027000000}"/>
    <cellStyle name="Currency 2" xfId="46" xr:uid="{00000000-0005-0000-0000-000028000000}"/>
    <cellStyle name="Currency 3" xfId="47" xr:uid="{00000000-0005-0000-0000-000029000000}"/>
    <cellStyle name="Currency 3 2" xfId="48" xr:uid="{00000000-0005-0000-0000-00002A000000}"/>
    <cellStyle name="Data" xfId="49" xr:uid="{00000000-0005-0000-0000-00002B000000}"/>
    <cellStyle name="Data 2" xfId="50" xr:uid="{00000000-0005-0000-0000-00002C000000}"/>
    <cellStyle name="Data no deci" xfId="51" xr:uid="{00000000-0005-0000-0000-00002D000000}"/>
    <cellStyle name="Data Superscript" xfId="52" xr:uid="{00000000-0005-0000-0000-00002E000000}"/>
    <cellStyle name="Data_1-1A-Regular" xfId="53" xr:uid="{00000000-0005-0000-0000-00002F000000}"/>
    <cellStyle name="Explanatory Text 2" xfId="54" xr:uid="{00000000-0005-0000-0000-000030000000}"/>
    <cellStyle name="Font: Calibri, 9pt regular" xfId="6" xr:uid="{00000000-0005-0000-0000-000031000000}"/>
    <cellStyle name="Font: Calibri, 9pt regular 2" xfId="55" xr:uid="{00000000-0005-0000-0000-000032000000}"/>
    <cellStyle name="Footnotes: top row" xfId="2" xr:uid="{00000000-0005-0000-0000-000033000000}"/>
    <cellStyle name="Footnotes: top row 2" xfId="56" xr:uid="{00000000-0005-0000-0000-000034000000}"/>
    <cellStyle name="Good 2" xfId="57" xr:uid="{00000000-0005-0000-0000-000035000000}"/>
    <cellStyle name="Header: bottom row" xfId="5" xr:uid="{00000000-0005-0000-0000-000036000000}"/>
    <cellStyle name="Header: bottom row 2" xfId="58" xr:uid="{00000000-0005-0000-0000-000037000000}"/>
    <cellStyle name="Heading 1 2" xfId="59" xr:uid="{00000000-0005-0000-0000-000038000000}"/>
    <cellStyle name="Heading 2 2" xfId="60" xr:uid="{00000000-0005-0000-0000-000039000000}"/>
    <cellStyle name="Heading 3 2" xfId="61" xr:uid="{00000000-0005-0000-0000-00003A000000}"/>
    <cellStyle name="Heading 4 2" xfId="62" xr:uid="{00000000-0005-0000-0000-00003B000000}"/>
    <cellStyle name="Hed Side" xfId="63" xr:uid="{00000000-0005-0000-0000-00003C000000}"/>
    <cellStyle name="Hed Side 2" xfId="64" xr:uid="{00000000-0005-0000-0000-00003D000000}"/>
    <cellStyle name="Hed Side bold" xfId="65" xr:uid="{00000000-0005-0000-0000-00003E000000}"/>
    <cellStyle name="Hed Side Indent" xfId="66" xr:uid="{00000000-0005-0000-0000-00003F000000}"/>
    <cellStyle name="Hed Side Regular" xfId="67" xr:uid="{00000000-0005-0000-0000-000040000000}"/>
    <cellStyle name="Hed Side_1-1A-Regular" xfId="68" xr:uid="{00000000-0005-0000-0000-000041000000}"/>
    <cellStyle name="Hed Top" xfId="69" xr:uid="{00000000-0005-0000-0000-000042000000}"/>
    <cellStyle name="Hed Top - SECTION" xfId="70" xr:uid="{00000000-0005-0000-0000-000043000000}"/>
    <cellStyle name="Hed Top_3-new4" xfId="71" xr:uid="{00000000-0005-0000-0000-000044000000}"/>
    <cellStyle name="Hyperlink" xfId="154" builtinId="8"/>
    <cellStyle name="Hyperlink 2" xfId="72" xr:uid="{00000000-0005-0000-0000-000046000000}"/>
    <cellStyle name="Input 2" xfId="73" xr:uid="{00000000-0005-0000-0000-000047000000}"/>
    <cellStyle name="Linked Cell 2" xfId="74" xr:uid="{00000000-0005-0000-0000-000048000000}"/>
    <cellStyle name="Neutral 2" xfId="75" xr:uid="{00000000-0005-0000-0000-000049000000}"/>
    <cellStyle name="Normal" xfId="0" builtinId="0"/>
    <cellStyle name="Normal 10" xfId="76" xr:uid="{00000000-0005-0000-0000-00004B000000}"/>
    <cellStyle name="Normal 11" xfId="77" xr:uid="{00000000-0005-0000-0000-00004C000000}"/>
    <cellStyle name="Normal 2" xfId="1"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78000000}"/>
    <cellStyle name="Parent row 2" xfId="120" xr:uid="{00000000-0005-0000-0000-000079000000}"/>
    <cellStyle name="Percent" xfId="153" builtinId="5"/>
    <cellStyle name="Percent 2" xfId="121" xr:uid="{00000000-0005-0000-0000-00007B000000}"/>
    <cellStyle name="Percent 2 2" xfId="122" xr:uid="{00000000-0005-0000-0000-00007C000000}"/>
    <cellStyle name="Percent 3" xfId="123" xr:uid="{00000000-0005-0000-0000-00007D000000}"/>
    <cellStyle name="Percent 3 2" xfId="124" xr:uid="{00000000-0005-0000-0000-00007E000000}"/>
    <cellStyle name="Percent 4" xfId="125" xr:uid="{00000000-0005-0000-0000-00007F000000}"/>
    <cellStyle name="Reference" xfId="126" xr:uid="{00000000-0005-0000-0000-000080000000}"/>
    <cellStyle name="Row heading" xfId="127" xr:uid="{00000000-0005-0000-0000-000081000000}"/>
    <cellStyle name="Source Hed" xfId="128" xr:uid="{00000000-0005-0000-0000-000082000000}"/>
    <cellStyle name="Source Letter" xfId="129" xr:uid="{00000000-0005-0000-0000-000083000000}"/>
    <cellStyle name="Source Superscript" xfId="130" xr:uid="{00000000-0005-0000-0000-000084000000}"/>
    <cellStyle name="Source Superscript 2" xfId="131" xr:uid="{00000000-0005-0000-0000-000085000000}"/>
    <cellStyle name="Source Text" xfId="132" xr:uid="{00000000-0005-0000-0000-000086000000}"/>
    <cellStyle name="Source Text 2" xfId="133" xr:uid="{00000000-0005-0000-0000-000087000000}"/>
    <cellStyle name="State" xfId="134" xr:uid="{00000000-0005-0000-0000-000088000000}"/>
    <cellStyle name="Superscript" xfId="135" xr:uid="{00000000-0005-0000-0000-000089000000}"/>
    <cellStyle name="Table Data" xfId="136" xr:uid="{00000000-0005-0000-0000-00008A000000}"/>
    <cellStyle name="Table Head Top" xfId="137" xr:uid="{00000000-0005-0000-0000-00008B000000}"/>
    <cellStyle name="Table Hed Side" xfId="138" xr:uid="{00000000-0005-0000-0000-00008C000000}"/>
    <cellStyle name="Table title" xfId="7" xr:uid="{00000000-0005-0000-0000-00008D000000}"/>
    <cellStyle name="Table title 2" xfId="139" xr:uid="{00000000-0005-0000-0000-00008E000000}"/>
    <cellStyle name="Title 2" xfId="140" xr:uid="{00000000-0005-0000-0000-00008F000000}"/>
    <cellStyle name="Title Text" xfId="141" xr:uid="{00000000-0005-0000-0000-000090000000}"/>
    <cellStyle name="Title Text 1" xfId="142" xr:uid="{00000000-0005-0000-0000-000091000000}"/>
    <cellStyle name="Title Text 2" xfId="143" xr:uid="{00000000-0005-0000-0000-000092000000}"/>
    <cellStyle name="Title-1" xfId="144" xr:uid="{00000000-0005-0000-0000-000093000000}"/>
    <cellStyle name="Title-2" xfId="145" xr:uid="{00000000-0005-0000-0000-000094000000}"/>
    <cellStyle name="Title-3" xfId="146" xr:uid="{00000000-0005-0000-0000-000095000000}"/>
    <cellStyle name="Total 2" xfId="147" xr:uid="{00000000-0005-0000-0000-000096000000}"/>
    <cellStyle name="Warning Text 2" xfId="148" xr:uid="{00000000-0005-0000-0000-000097000000}"/>
    <cellStyle name="Wrap" xfId="149" xr:uid="{00000000-0005-0000-0000-000098000000}"/>
    <cellStyle name="Wrap Bold" xfId="150" xr:uid="{00000000-0005-0000-0000-000099000000}"/>
    <cellStyle name="Wrap Title" xfId="151" xr:uid="{00000000-0005-0000-0000-00009A000000}"/>
    <cellStyle name="Wrap_NTS99-~11" xfId="152" xr:uid="{00000000-0005-0000-0000-00009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20" Type="http://schemas.openxmlformats.org/officeDocument/2006/relationships/worksheet" Target="worksheets/sheet20.xml"/><Relationship Id="rId41"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eganM/Documents/eps-us/InputData/trans/SYFAFE/Start%20Year%20Fleet%20Avg%20Fuel%20Econom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olivia/Documents/EPS_Models%20by%20Region/RMI/Colorado/CO_Model/InputData/trans/SYFAFE/Start%20Year%20Fleet%20Avg%20Fuel%20Economy_v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MeganM/Desktop/US%203.1.3.1/InputData/trans/BNVFE/BAU%20New%20Veh%20Fuel%20Econom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mmahajan/Documents/eps-us-analysi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out"/>
      <sheetName val="AEO 7"/>
      <sheetName val="AEO 35"/>
      <sheetName val="AEO 36"/>
      <sheetName val="AEO 37"/>
      <sheetName val="AEO 38"/>
      <sheetName val="AEO 40"/>
      <sheetName val="AEO 41"/>
      <sheetName val="AEO 43"/>
      <sheetName val="AEO 46"/>
      <sheetName val="AEO 47"/>
      <sheetName val="AEO 48"/>
      <sheetName val="AEO 49"/>
      <sheetName val="LDVs"/>
      <sheetName val="SYVbT-passenger"/>
      <sheetName val="SYVbT-freight"/>
      <sheetName val="BAADTbVT-passenger"/>
      <sheetName val="BAADTbVT-frgt"/>
      <sheetName val="NTS 1-40"/>
      <sheetName val="NRBS 40"/>
      <sheetName val="Calculations Etc"/>
      <sheetName val="Calibration Adjustments"/>
      <sheetName val="SYFAFE-psgr"/>
      <sheetName val="SYFAFE-frg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out"/>
      <sheetName val="AEO 7"/>
      <sheetName val="AEO 36"/>
      <sheetName val="AEO 44"/>
      <sheetName val="AEO 47"/>
      <sheetName val="AEO 50"/>
      <sheetName val="AEO 37"/>
      <sheetName val="AEO 48"/>
      <sheetName val="AEO 49"/>
      <sheetName val="NTS 1-40"/>
      <sheetName val="NRBS 40"/>
      <sheetName val="Calculations Etc"/>
      <sheetName val="Calibration Adjustments"/>
      <sheetName val="SYFAFE-psgr"/>
      <sheetName val="SYFAFE-frgt"/>
    </sheetNames>
    <sheetDataSet>
      <sheetData sheetId="0">
        <row r="109">
          <cell r="A109">
            <v>1000000000</v>
          </cell>
        </row>
        <row r="110">
          <cell r="A110">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out"/>
      <sheetName val="AEO 7"/>
      <sheetName val="AEO 35"/>
      <sheetName val="AEO 36"/>
      <sheetName val="AEO 38"/>
      <sheetName val="AEO 40"/>
      <sheetName val="AEO 47"/>
      <sheetName val="AEO 48"/>
      <sheetName val="AEO 49"/>
      <sheetName val="AEO 50"/>
      <sheetName val="NTS 1-40"/>
      <sheetName val="NRBS 40"/>
      <sheetName val="NAP F28"/>
      <sheetName val="SYFAFE-frg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Fuel Economy Stds"/>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9"/>
  <sheetViews>
    <sheetView tabSelected="1" workbookViewId="0">
      <selection activeCell="A95" sqref="A95:XFD95"/>
    </sheetView>
  </sheetViews>
  <sheetFormatPr defaultRowHeight="14.5"/>
  <cols>
    <col min="1" max="1" width="13.36328125" customWidth="1"/>
    <col min="2" max="2" width="107.36328125" customWidth="1"/>
  </cols>
  <sheetData>
    <row r="1" spans="1:2">
      <c r="A1" s="1" t="s">
        <v>0</v>
      </c>
    </row>
    <row r="3" spans="1:2">
      <c r="A3" s="1" t="s">
        <v>1</v>
      </c>
      <c r="B3" s="2" t="s">
        <v>503</v>
      </c>
    </row>
    <row r="4" spans="1:2">
      <c r="B4" t="s">
        <v>473</v>
      </c>
    </row>
    <row r="5" spans="1:2">
      <c r="B5" s="5" t="s">
        <v>3321</v>
      </c>
    </row>
    <row r="6" spans="1:2">
      <c r="B6" t="s">
        <v>3322</v>
      </c>
    </row>
    <row r="7" spans="1:2">
      <c r="B7" t="s">
        <v>474</v>
      </c>
    </row>
    <row r="8" spans="1:2">
      <c r="B8" t="s">
        <v>3323</v>
      </c>
    </row>
    <row r="10" spans="1:2">
      <c r="B10" s="8" t="s">
        <v>536</v>
      </c>
    </row>
    <row r="11" spans="1:2">
      <c r="B11" s="5">
        <v>2017</v>
      </c>
    </row>
    <row r="12" spans="1:2">
      <c r="B12" t="s">
        <v>537</v>
      </c>
    </row>
    <row r="13" spans="1:2">
      <c r="B13" t="s">
        <v>539</v>
      </c>
    </row>
    <row r="14" spans="1:2">
      <c r="B14" t="s">
        <v>538</v>
      </c>
    </row>
    <row r="16" spans="1:2">
      <c r="B16" t="s">
        <v>497</v>
      </c>
    </row>
    <row r="17" spans="2:2">
      <c r="B17" s="5">
        <v>2013</v>
      </c>
    </row>
    <row r="18" spans="2:2">
      <c r="B18" t="s">
        <v>498</v>
      </c>
    </row>
    <row r="19" spans="2:2">
      <c r="B19" t="s">
        <v>499</v>
      </c>
    </row>
    <row r="20" spans="2:2">
      <c r="B20" t="s">
        <v>500</v>
      </c>
    </row>
    <row r="22" spans="2:2">
      <c r="B22" t="s">
        <v>869</v>
      </c>
    </row>
    <row r="23" spans="2:2">
      <c r="B23" s="5">
        <v>2015</v>
      </c>
    </row>
    <row r="24" spans="2:2">
      <c r="B24" t="s">
        <v>870</v>
      </c>
    </row>
    <row r="25" spans="2:2">
      <c r="B25" s="24" t="s">
        <v>871</v>
      </c>
    </row>
    <row r="27" spans="2:2">
      <c r="B27" t="s">
        <v>833</v>
      </c>
    </row>
    <row r="29" spans="2:2">
      <c r="B29" s="2" t="s">
        <v>1100</v>
      </c>
    </row>
    <row r="30" spans="2:2">
      <c r="B30" t="s">
        <v>1101</v>
      </c>
    </row>
    <row r="31" spans="2:2">
      <c r="B31" s="5">
        <v>2018</v>
      </c>
    </row>
    <row r="32" spans="2:2">
      <c r="B32" t="s">
        <v>1102</v>
      </c>
    </row>
    <row r="33" spans="1:2">
      <c r="B33" s="24" t="s">
        <v>1103</v>
      </c>
    </row>
    <row r="34" spans="1:2">
      <c r="B34" t="s">
        <v>1104</v>
      </c>
    </row>
    <row r="36" spans="1:2">
      <c r="A36" s="1" t="s">
        <v>111</v>
      </c>
    </row>
    <row r="37" spans="1:2">
      <c r="A37" t="s">
        <v>855</v>
      </c>
    </row>
    <row r="39" spans="1:2" s="124" customFormat="1">
      <c r="A39" s="1" t="s">
        <v>595</v>
      </c>
    </row>
    <row r="40" spans="1:2" s="124" customFormat="1">
      <c r="A40" s="9" t="s">
        <v>3324</v>
      </c>
    </row>
    <row r="41" spans="1:2" s="124" customFormat="1">
      <c r="A41" s="124" t="s">
        <v>3318</v>
      </c>
    </row>
    <row r="42" spans="1:2" s="124" customFormat="1">
      <c r="A42" s="124" t="s">
        <v>3319</v>
      </c>
    </row>
    <row r="43" spans="1:2" s="124" customFormat="1">
      <c r="A43" s="124" t="s">
        <v>3320</v>
      </c>
    </row>
    <row r="44" spans="1:2" s="125" customFormat="1"/>
    <row r="45" spans="1:2" s="125" customFormat="1">
      <c r="A45" s="1" t="s">
        <v>3063</v>
      </c>
    </row>
    <row r="46" spans="1:2" s="125" customFormat="1">
      <c r="A46" s="9" t="s">
        <v>3064</v>
      </c>
    </row>
    <row r="47" spans="1:2" s="143" customFormat="1">
      <c r="A47" s="143" t="s">
        <v>3377</v>
      </c>
    </row>
    <row r="48" spans="1:2" s="143" customFormat="1">
      <c r="A48" s="143" t="s">
        <v>3378</v>
      </c>
    </row>
    <row r="49" spans="1:4" s="143" customFormat="1">
      <c r="A49" s="9"/>
    </row>
    <row r="50" spans="1:4" s="125" customFormat="1">
      <c r="A50" s="125" t="s">
        <v>3060</v>
      </c>
    </row>
    <row r="51" spans="1:4" s="125" customFormat="1">
      <c r="A51" s="125" t="s">
        <v>3061</v>
      </c>
    </row>
    <row r="52" spans="1:4" s="125" customFormat="1">
      <c r="A52" s="125" t="s">
        <v>3379</v>
      </c>
      <c r="D52" s="143"/>
    </row>
    <row r="53" spans="1:4" s="126" customFormat="1">
      <c r="D53" s="143"/>
    </row>
    <row r="54" spans="1:4" s="126" customFormat="1">
      <c r="A54" s="126" t="s">
        <v>3315</v>
      </c>
      <c r="D54" s="143"/>
    </row>
    <row r="55" spans="1:4" s="126" customFormat="1">
      <c r="A55" s="126" t="s">
        <v>3316</v>
      </c>
      <c r="D55" s="143"/>
    </row>
    <row r="56" spans="1:4" s="126" customFormat="1">
      <c r="A56" s="126" t="s">
        <v>3317</v>
      </c>
      <c r="D56" s="143"/>
    </row>
    <row r="57" spans="1:4" s="143" customFormat="1">
      <c r="A57" s="143" t="s">
        <v>3381</v>
      </c>
    </row>
    <row r="58" spans="1:4" s="143" customFormat="1">
      <c r="A58" s="143" t="s">
        <v>3382</v>
      </c>
    </row>
    <row r="59" spans="1:4" s="124" customFormat="1"/>
    <row r="60" spans="1:4" s="124" customFormat="1">
      <c r="A60" s="1" t="s">
        <v>597</v>
      </c>
    </row>
    <row r="61" spans="1:4" s="124" customFormat="1">
      <c r="A61" s="9" t="s">
        <v>1114</v>
      </c>
    </row>
    <row r="62" spans="1:4" s="143" customFormat="1">
      <c r="A62" s="18" t="s">
        <v>3380</v>
      </c>
    </row>
    <row r="63" spans="1:4" s="143" customFormat="1">
      <c r="A63" s="18" t="s">
        <v>3383</v>
      </c>
    </row>
    <row r="64" spans="1:4" s="143" customFormat="1">
      <c r="A64" s="18" t="s">
        <v>3384</v>
      </c>
    </row>
    <row r="65" spans="1:1" s="143" customFormat="1">
      <c r="A65" s="9"/>
    </row>
    <row r="66" spans="1:1" s="124" customFormat="1">
      <c r="A66" s="1" t="s">
        <v>509</v>
      </c>
    </row>
    <row r="67" spans="1:1" s="124" customFormat="1">
      <c r="A67" s="9" t="s">
        <v>501</v>
      </c>
    </row>
    <row r="68" spans="1:1" s="124" customFormat="1">
      <c r="A68" s="124" t="s">
        <v>3385</v>
      </c>
    </row>
    <row r="69" spans="1:1" s="124" customFormat="1">
      <c r="A69" s="124" t="s">
        <v>3386</v>
      </c>
    </row>
    <row r="70" spans="1:1" s="124" customFormat="1"/>
    <row r="71" spans="1:1" s="124" customFormat="1">
      <c r="A71" s="1" t="s">
        <v>504</v>
      </c>
    </row>
    <row r="72" spans="1:1" s="124" customFormat="1">
      <c r="A72" s="9" t="s">
        <v>502</v>
      </c>
    </row>
    <row r="73" spans="1:1" s="124" customFormat="1">
      <c r="A73" s="124" t="s">
        <v>505</v>
      </c>
    </row>
    <row r="74" spans="1:1" s="124" customFormat="1">
      <c r="A74" s="124" t="s">
        <v>506</v>
      </c>
    </row>
    <row r="75" spans="1:1" s="124" customFormat="1">
      <c r="A75" s="124" t="s">
        <v>507</v>
      </c>
    </row>
    <row r="76" spans="1:1" s="124" customFormat="1"/>
    <row r="77" spans="1:1" s="124" customFormat="1">
      <c r="A77" s="1" t="s">
        <v>508</v>
      </c>
    </row>
    <row r="78" spans="1:1" s="124" customFormat="1">
      <c r="A78" s="9" t="s">
        <v>1113</v>
      </c>
    </row>
    <row r="79" spans="1:1" s="124" customFormat="1">
      <c r="A79" s="18" t="s">
        <v>1110</v>
      </c>
    </row>
    <row r="80" spans="1:1" s="124" customFormat="1">
      <c r="A80" s="18" t="s">
        <v>1111</v>
      </c>
    </row>
    <row r="81" spans="1:1" s="124" customFormat="1">
      <c r="A81" s="18" t="s">
        <v>1112</v>
      </c>
    </row>
    <row r="82" spans="1:1" s="124" customFormat="1">
      <c r="A82" s="9"/>
    </row>
    <row r="83" spans="1:1" s="124" customFormat="1">
      <c r="A83" s="1" t="s">
        <v>477</v>
      </c>
    </row>
    <row r="84" spans="1:1" s="124" customFormat="1">
      <c r="A84" s="9" t="s">
        <v>502</v>
      </c>
    </row>
    <row r="85" spans="1:1" s="124" customFormat="1">
      <c r="A85" s="124" t="s">
        <v>478</v>
      </c>
    </row>
    <row r="86" spans="1:1" s="124" customFormat="1">
      <c r="A86" s="124" t="s">
        <v>1116</v>
      </c>
    </row>
    <row r="87" spans="1:1" s="124" customFormat="1">
      <c r="A87" s="124" t="s">
        <v>1117</v>
      </c>
    </row>
    <row r="88" spans="1:1" s="124" customFormat="1">
      <c r="A88" s="124" t="s">
        <v>1118</v>
      </c>
    </row>
    <row r="89" spans="1:1" s="124" customFormat="1">
      <c r="A89" s="124" t="s">
        <v>1115</v>
      </c>
    </row>
    <row r="90" spans="1:1" s="124" customFormat="1">
      <c r="A90" s="124" t="s">
        <v>480</v>
      </c>
    </row>
    <row r="91" spans="1:1" s="124" customFormat="1">
      <c r="A91" s="124" t="s">
        <v>479</v>
      </c>
    </row>
    <row r="92" spans="1:1" s="124" customFormat="1"/>
    <row r="93" spans="1:1" s="124" customFormat="1">
      <c r="A93" s="1" t="s">
        <v>3387</v>
      </c>
    </row>
    <row r="94" spans="1:1" s="143" customFormat="1">
      <c r="A94" s="143" t="s">
        <v>3388</v>
      </c>
    </row>
    <row r="95" spans="1:1" s="143" customFormat="1">
      <c r="A95" s="1"/>
    </row>
    <row r="96" spans="1:1" s="124" customFormat="1">
      <c r="A96" s="1" t="s">
        <v>540</v>
      </c>
    </row>
    <row r="97" spans="1:2" s="124" customFormat="1">
      <c r="A97" s="124" t="s">
        <v>541</v>
      </c>
    </row>
    <row r="99" spans="1:2">
      <c r="A99" t="s">
        <v>860</v>
      </c>
      <c r="B99">
        <v>2019</v>
      </c>
    </row>
  </sheetData>
  <hyperlinks>
    <hyperlink ref="B25" r:id="rId1" xr:uid="{00000000-0004-0000-0000-000000000000}"/>
    <hyperlink ref="B33" r:id="rId2" xr:uid="{00000000-0004-0000-0000-000001000000}"/>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2837"/>
  <sheetViews>
    <sheetView topLeftCell="A37" workbookViewId="0">
      <selection activeCell="F44" sqref="F44"/>
    </sheetView>
  </sheetViews>
  <sheetFormatPr defaultRowHeight="15" customHeight="1"/>
  <cols>
    <col min="1" max="1" width="27.7265625" customWidth="1"/>
    <col min="2" max="2" width="49" customWidth="1"/>
  </cols>
  <sheetData>
    <row r="1" spans="1:34" ht="15" customHeight="1" thickBot="1">
      <c r="B1" s="26" t="s">
        <v>1175</v>
      </c>
      <c r="C1" s="27">
        <v>2020</v>
      </c>
      <c r="D1" s="27">
        <v>2021</v>
      </c>
      <c r="E1" s="27">
        <v>2022</v>
      </c>
      <c r="F1" s="27">
        <v>2023</v>
      </c>
      <c r="G1" s="27">
        <v>2024</v>
      </c>
      <c r="H1" s="27">
        <v>2025</v>
      </c>
      <c r="I1" s="27">
        <v>2026</v>
      </c>
      <c r="J1" s="27">
        <v>2027</v>
      </c>
      <c r="K1" s="27">
        <v>2028</v>
      </c>
      <c r="L1" s="27">
        <v>2029</v>
      </c>
      <c r="M1" s="27">
        <v>2030</v>
      </c>
      <c r="N1" s="27">
        <v>2031</v>
      </c>
      <c r="O1" s="27">
        <v>2032</v>
      </c>
      <c r="P1" s="27">
        <v>2033</v>
      </c>
      <c r="Q1" s="27">
        <v>2034</v>
      </c>
      <c r="R1" s="27">
        <v>2035</v>
      </c>
      <c r="S1" s="27">
        <v>2036</v>
      </c>
      <c r="T1" s="27">
        <v>2037</v>
      </c>
      <c r="U1" s="27">
        <v>2038</v>
      </c>
      <c r="V1" s="27">
        <v>2039</v>
      </c>
      <c r="W1" s="27">
        <v>2040</v>
      </c>
      <c r="X1" s="27">
        <v>2041</v>
      </c>
      <c r="Y1" s="27">
        <v>2042</v>
      </c>
      <c r="Z1" s="27">
        <v>2043</v>
      </c>
      <c r="AA1" s="27">
        <v>2044</v>
      </c>
      <c r="AB1" s="27">
        <v>2045</v>
      </c>
      <c r="AC1" s="27">
        <v>2046</v>
      </c>
      <c r="AD1" s="27">
        <v>2047</v>
      </c>
      <c r="AE1" s="27">
        <v>2048</v>
      </c>
      <c r="AF1" s="27">
        <v>2049</v>
      </c>
      <c r="AG1" s="27">
        <v>2050</v>
      </c>
    </row>
    <row r="2" spans="1:34" ht="15" customHeight="1" thickTop="1"/>
    <row r="3" spans="1:34" ht="15" customHeight="1">
      <c r="C3" s="110" t="s">
        <v>110</v>
      </c>
      <c r="D3" s="110" t="s">
        <v>1176</v>
      </c>
      <c r="E3" s="111"/>
      <c r="F3" s="111"/>
      <c r="G3" s="111"/>
      <c r="H3" s="111"/>
    </row>
    <row r="4" spans="1:34" ht="15" customHeight="1">
      <c r="C4" s="110" t="s">
        <v>109</v>
      </c>
      <c r="D4" s="110" t="s">
        <v>1177</v>
      </c>
      <c r="E4" s="111"/>
      <c r="F4" s="111"/>
      <c r="G4" s="110" t="s">
        <v>108</v>
      </c>
      <c r="H4" s="111"/>
    </row>
    <row r="5" spans="1:34" ht="15" customHeight="1">
      <c r="C5" s="110" t="s">
        <v>107</v>
      </c>
      <c r="D5" s="110" t="s">
        <v>1178</v>
      </c>
      <c r="E5" s="111"/>
      <c r="F5" s="111"/>
      <c r="G5" s="111"/>
      <c r="H5" s="111"/>
    </row>
    <row r="6" spans="1:34" ht="15" customHeight="1">
      <c r="C6" s="110" t="s">
        <v>106</v>
      </c>
      <c r="D6" s="111"/>
      <c r="E6" s="110" t="s">
        <v>1179</v>
      </c>
      <c r="F6" s="111"/>
      <c r="G6" s="111"/>
      <c r="H6" s="111"/>
    </row>
    <row r="7" spans="1:34" ht="15" customHeight="1">
      <c r="C7" s="111"/>
      <c r="D7" s="111"/>
      <c r="E7" s="111"/>
      <c r="F7" s="111"/>
      <c r="G7" s="111"/>
      <c r="H7" s="111"/>
    </row>
    <row r="10" spans="1:34" ht="15" customHeight="1">
      <c r="A10" s="19" t="s">
        <v>105</v>
      </c>
      <c r="B10" s="29" t="s">
        <v>104</v>
      </c>
      <c r="AH10" s="112" t="s">
        <v>1180</v>
      </c>
    </row>
    <row r="11" spans="1:34" ht="15" customHeight="1">
      <c r="B11" s="26"/>
      <c r="AH11" s="112" t="s">
        <v>1181</v>
      </c>
    </row>
    <row r="12" spans="1:34" ht="15" customHeight="1">
      <c r="B12" s="26"/>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112" t="s">
        <v>1182</v>
      </c>
    </row>
    <row r="13" spans="1:34" ht="15" customHeight="1" thickBot="1">
      <c r="B13" s="27" t="s">
        <v>103</v>
      </c>
      <c r="C13" s="27">
        <v>2020</v>
      </c>
      <c r="D13" s="27">
        <v>2021</v>
      </c>
      <c r="E13" s="27">
        <v>2022</v>
      </c>
      <c r="F13" s="27">
        <v>2023</v>
      </c>
      <c r="G13" s="27">
        <v>2024</v>
      </c>
      <c r="H13" s="27">
        <v>2025</v>
      </c>
      <c r="I13" s="27">
        <v>2026</v>
      </c>
      <c r="J13" s="27">
        <v>2027</v>
      </c>
      <c r="K13" s="27">
        <v>2028</v>
      </c>
      <c r="L13" s="27">
        <v>2029</v>
      </c>
      <c r="M13" s="27">
        <v>2030</v>
      </c>
      <c r="N13" s="27">
        <v>2031</v>
      </c>
      <c r="O13" s="27">
        <v>2032</v>
      </c>
      <c r="P13" s="27">
        <v>2033</v>
      </c>
      <c r="Q13" s="27">
        <v>2034</v>
      </c>
      <c r="R13" s="27">
        <v>2035</v>
      </c>
      <c r="S13" s="27">
        <v>2036</v>
      </c>
      <c r="T13" s="27">
        <v>2037</v>
      </c>
      <c r="U13" s="27">
        <v>2038</v>
      </c>
      <c r="V13" s="27">
        <v>2039</v>
      </c>
      <c r="W13" s="27">
        <v>2040</v>
      </c>
      <c r="X13" s="27">
        <v>2041</v>
      </c>
      <c r="Y13" s="27">
        <v>2042</v>
      </c>
      <c r="Z13" s="27">
        <v>2043</v>
      </c>
      <c r="AA13" s="27">
        <v>2044</v>
      </c>
      <c r="AB13" s="27">
        <v>2045</v>
      </c>
      <c r="AC13" s="27">
        <v>2046</v>
      </c>
      <c r="AD13" s="27">
        <v>2047</v>
      </c>
      <c r="AE13" s="27">
        <v>2048</v>
      </c>
      <c r="AF13" s="27">
        <v>2049</v>
      </c>
      <c r="AG13" s="27">
        <v>2050</v>
      </c>
      <c r="AH13" s="113" t="s">
        <v>1183</v>
      </c>
    </row>
    <row r="14" spans="1:34" ht="15" customHeight="1" thickTop="1"/>
    <row r="15" spans="1:34" ht="15" customHeight="1">
      <c r="B15" s="30" t="s">
        <v>102</v>
      </c>
    </row>
    <row r="16" spans="1:34" ht="15" customHeight="1">
      <c r="B16" s="30" t="s">
        <v>101</v>
      </c>
    </row>
    <row r="17" spans="1:34" ht="15" customHeight="1">
      <c r="B17" s="30" t="s">
        <v>100</v>
      </c>
    </row>
    <row r="18" spans="1:34" ht="15" customHeight="1">
      <c r="A18" s="19" t="s">
        <v>99</v>
      </c>
      <c r="B18" s="37" t="s">
        <v>98</v>
      </c>
      <c r="C18" s="31">
        <v>2628.821289</v>
      </c>
      <c r="D18" s="31">
        <v>2807.2766109999998</v>
      </c>
      <c r="E18" s="31">
        <v>2862.5334469999998</v>
      </c>
      <c r="F18" s="31">
        <v>2927.623047</v>
      </c>
      <c r="G18" s="31">
        <v>2985.178711</v>
      </c>
      <c r="H18" s="31">
        <v>3035.5583499999998</v>
      </c>
      <c r="I18" s="31">
        <v>3076.6459960000002</v>
      </c>
      <c r="J18" s="31">
        <v>3107.342529</v>
      </c>
      <c r="K18" s="31">
        <v>3133.9348140000002</v>
      </c>
      <c r="L18" s="31">
        <v>3153.696289</v>
      </c>
      <c r="M18" s="31">
        <v>3170.140625</v>
      </c>
      <c r="N18" s="31">
        <v>3182.3603520000001</v>
      </c>
      <c r="O18" s="31">
        <v>3194.3308109999998</v>
      </c>
      <c r="P18" s="31">
        <v>3208.3691410000001</v>
      </c>
      <c r="Q18" s="31">
        <v>3223.0124510000001</v>
      </c>
      <c r="R18" s="31">
        <v>3240.584961</v>
      </c>
      <c r="S18" s="31">
        <v>3258.4960940000001</v>
      </c>
      <c r="T18" s="31">
        <v>3274.8767090000001</v>
      </c>
      <c r="U18" s="31">
        <v>3290.0166020000001</v>
      </c>
      <c r="V18" s="31">
        <v>3306.976807</v>
      </c>
      <c r="W18" s="31">
        <v>3326.3066410000001</v>
      </c>
      <c r="X18" s="31">
        <v>3344.3862300000001</v>
      </c>
      <c r="Y18" s="31">
        <v>3362.8256839999999</v>
      </c>
      <c r="Z18" s="31">
        <v>3380.6958009999998</v>
      </c>
      <c r="AA18" s="31">
        <v>3396.751953</v>
      </c>
      <c r="AB18" s="31">
        <v>3412.030518</v>
      </c>
      <c r="AC18" s="31">
        <v>3428.1083979999999</v>
      </c>
      <c r="AD18" s="31">
        <v>3442.514893</v>
      </c>
      <c r="AE18" s="31">
        <v>3458.3400879999999</v>
      </c>
      <c r="AF18" s="31">
        <v>3474.70874</v>
      </c>
      <c r="AG18" s="31">
        <v>3490.9399410000001</v>
      </c>
      <c r="AH18" s="32">
        <v>9.4990000000000005E-3</v>
      </c>
    </row>
    <row r="19" spans="1:34" ht="15" customHeight="1">
      <c r="A19" s="19" t="s">
        <v>97</v>
      </c>
      <c r="B19" s="37" t="s">
        <v>96</v>
      </c>
      <c r="C19" s="31">
        <v>89.884674000000004</v>
      </c>
      <c r="D19" s="31">
        <v>93.705605000000006</v>
      </c>
      <c r="E19" s="31">
        <v>96.386086000000006</v>
      </c>
      <c r="F19" s="31">
        <v>98.338295000000002</v>
      </c>
      <c r="G19" s="31">
        <v>100.593414</v>
      </c>
      <c r="H19" s="31">
        <v>102.85940600000001</v>
      </c>
      <c r="I19" s="31">
        <v>104.504807</v>
      </c>
      <c r="J19" s="31">
        <v>105.69051399999999</v>
      </c>
      <c r="K19" s="31">
        <v>106.736481</v>
      </c>
      <c r="L19" s="31">
        <v>107.652618</v>
      </c>
      <c r="M19" s="31">
        <v>108.582993</v>
      </c>
      <c r="N19" s="31">
        <v>109.541687</v>
      </c>
      <c r="O19" s="31">
        <v>110.618843</v>
      </c>
      <c r="P19" s="31">
        <v>111.707047</v>
      </c>
      <c r="Q19" s="31">
        <v>112.958611</v>
      </c>
      <c r="R19" s="31">
        <v>114.464401</v>
      </c>
      <c r="S19" s="31">
        <v>115.907135</v>
      </c>
      <c r="T19" s="31">
        <v>117.21489699999999</v>
      </c>
      <c r="U19" s="31">
        <v>118.581619</v>
      </c>
      <c r="V19" s="31">
        <v>120.043655</v>
      </c>
      <c r="W19" s="31">
        <v>121.52813</v>
      </c>
      <c r="X19" s="31">
        <v>123.152664</v>
      </c>
      <c r="Y19" s="31">
        <v>124.795624</v>
      </c>
      <c r="Z19" s="31">
        <v>126.547287</v>
      </c>
      <c r="AA19" s="31">
        <v>128.138092</v>
      </c>
      <c r="AB19" s="31">
        <v>129.78653</v>
      </c>
      <c r="AC19" s="31">
        <v>131.399384</v>
      </c>
      <c r="AD19" s="31">
        <v>132.81887800000001</v>
      </c>
      <c r="AE19" s="31">
        <v>134.41592399999999</v>
      </c>
      <c r="AF19" s="31">
        <v>136.183762</v>
      </c>
      <c r="AG19" s="31">
        <v>138.009995</v>
      </c>
      <c r="AH19" s="32">
        <v>1.4396000000000001E-2</v>
      </c>
    </row>
    <row r="20" spans="1:34" ht="15" customHeight="1">
      <c r="A20" s="19" t="s">
        <v>95</v>
      </c>
      <c r="B20" s="37" t="s">
        <v>94</v>
      </c>
      <c r="C20" s="31">
        <v>274.54937699999999</v>
      </c>
      <c r="D20" s="31">
        <v>282.815247</v>
      </c>
      <c r="E20" s="31">
        <v>293.31253099999998</v>
      </c>
      <c r="F20" s="31">
        <v>299.26825000000002</v>
      </c>
      <c r="G20" s="31">
        <v>306.24056999999999</v>
      </c>
      <c r="H20" s="31">
        <v>313.392517</v>
      </c>
      <c r="I20" s="31">
        <v>318.20425399999999</v>
      </c>
      <c r="J20" s="31">
        <v>321.86676</v>
      </c>
      <c r="K20" s="31">
        <v>325.49911500000002</v>
      </c>
      <c r="L20" s="31">
        <v>328.918182</v>
      </c>
      <c r="M20" s="31">
        <v>332.87759399999999</v>
      </c>
      <c r="N20" s="31">
        <v>337.04803500000003</v>
      </c>
      <c r="O20" s="31">
        <v>341.41943400000002</v>
      </c>
      <c r="P20" s="31">
        <v>345.24298099999999</v>
      </c>
      <c r="Q20" s="31">
        <v>349.75103799999999</v>
      </c>
      <c r="R20" s="31">
        <v>355.34860200000003</v>
      </c>
      <c r="S20" s="31">
        <v>360.47448700000001</v>
      </c>
      <c r="T20" s="31">
        <v>365.307861</v>
      </c>
      <c r="U20" s="31">
        <v>370.46981799999998</v>
      </c>
      <c r="V20" s="31">
        <v>375.98251299999998</v>
      </c>
      <c r="W20" s="31">
        <v>381.01727299999999</v>
      </c>
      <c r="X20" s="31">
        <v>386.70855699999998</v>
      </c>
      <c r="Y20" s="31">
        <v>392.79480000000001</v>
      </c>
      <c r="Z20" s="31">
        <v>399.70086700000002</v>
      </c>
      <c r="AA20" s="31">
        <v>405.64846799999998</v>
      </c>
      <c r="AB20" s="31">
        <v>411.79803500000003</v>
      </c>
      <c r="AC20" s="31">
        <v>417.07052599999997</v>
      </c>
      <c r="AD20" s="31">
        <v>422.22894300000002</v>
      </c>
      <c r="AE20" s="31">
        <v>428.005066</v>
      </c>
      <c r="AF20" s="31">
        <v>434.11798099999999</v>
      </c>
      <c r="AG20" s="31">
        <v>440.79153400000001</v>
      </c>
      <c r="AH20" s="32">
        <v>1.5907000000000001E-2</v>
      </c>
    </row>
    <row r="21" spans="1:34" ht="15" customHeight="1">
      <c r="B21" s="30" t="s">
        <v>840</v>
      </c>
    </row>
    <row r="22" spans="1:34" ht="15" customHeight="1">
      <c r="A22" s="19" t="s">
        <v>834</v>
      </c>
      <c r="B22" s="37" t="s">
        <v>835</v>
      </c>
      <c r="C22" s="31">
        <v>108.32250999999999</v>
      </c>
      <c r="D22" s="31">
        <v>134.82925399999999</v>
      </c>
      <c r="E22" s="31">
        <v>154.717422</v>
      </c>
      <c r="F22" s="31">
        <v>169.65283199999999</v>
      </c>
      <c r="G22" s="31">
        <v>180.920807</v>
      </c>
      <c r="H22" s="31">
        <v>189.44929500000001</v>
      </c>
      <c r="I22" s="31">
        <v>195.917755</v>
      </c>
      <c r="J22" s="31">
        <v>200.87158199999999</v>
      </c>
      <c r="K22" s="31">
        <v>204.42939799999999</v>
      </c>
      <c r="L22" s="31">
        <v>207.178192</v>
      </c>
      <c r="M22" s="31">
        <v>209.42626999999999</v>
      </c>
      <c r="N22" s="31">
        <v>211.01544200000001</v>
      </c>
      <c r="O22" s="31">
        <v>212.35484299999999</v>
      </c>
      <c r="P22" s="31">
        <v>213.36850000000001</v>
      </c>
      <c r="Q22" s="31">
        <v>214.16456600000001</v>
      </c>
      <c r="R22" s="31">
        <v>214.70815999999999</v>
      </c>
      <c r="S22" s="31">
        <v>215.16941800000001</v>
      </c>
      <c r="T22" s="31">
        <v>215.53512599999999</v>
      </c>
      <c r="U22" s="31">
        <v>215.80548099999999</v>
      </c>
      <c r="V22" s="31">
        <v>215.98587000000001</v>
      </c>
      <c r="W22" s="31">
        <v>216.16197199999999</v>
      </c>
      <c r="X22" s="31">
        <v>216.26544200000001</v>
      </c>
      <c r="Y22" s="31">
        <v>216.33122299999999</v>
      </c>
      <c r="Z22" s="31">
        <v>216.37844799999999</v>
      </c>
      <c r="AA22" s="31">
        <v>216.409988</v>
      </c>
      <c r="AB22" s="31">
        <v>216.441574</v>
      </c>
      <c r="AC22" s="31">
        <v>216.45150799999999</v>
      </c>
      <c r="AD22" s="31">
        <v>216.468369</v>
      </c>
      <c r="AE22" s="31">
        <v>216.483002</v>
      </c>
      <c r="AF22" s="31">
        <v>216.552536</v>
      </c>
      <c r="AG22" s="31">
        <v>216.64347799999999</v>
      </c>
      <c r="AH22" s="32">
        <v>2.3373999999999999E-2</v>
      </c>
    </row>
    <row r="23" spans="1:34" ht="15" customHeight="1">
      <c r="A23" s="19" t="s">
        <v>836</v>
      </c>
      <c r="B23" s="37" t="s">
        <v>837</v>
      </c>
      <c r="C23" s="31">
        <v>24.970692</v>
      </c>
      <c r="D23" s="31">
        <v>29.653244000000001</v>
      </c>
      <c r="E23" s="31">
        <v>33.486446000000001</v>
      </c>
      <c r="F23" s="31">
        <v>36.386100999999996</v>
      </c>
      <c r="G23" s="31">
        <v>38.577961000000002</v>
      </c>
      <c r="H23" s="31">
        <v>40.222988000000001</v>
      </c>
      <c r="I23" s="31">
        <v>41.396163999999999</v>
      </c>
      <c r="J23" s="31">
        <v>42.264778</v>
      </c>
      <c r="K23" s="31">
        <v>42.515728000000003</v>
      </c>
      <c r="L23" s="31">
        <v>42.713290999999998</v>
      </c>
      <c r="M23" s="31">
        <v>43.137005000000002</v>
      </c>
      <c r="N23" s="31">
        <v>43.343741999999999</v>
      </c>
      <c r="O23" s="31">
        <v>43.818241</v>
      </c>
      <c r="P23" s="31">
        <v>44.274138999999998</v>
      </c>
      <c r="Q23" s="31">
        <v>44.835864999999998</v>
      </c>
      <c r="R23" s="31">
        <v>45.310886000000004</v>
      </c>
      <c r="S23" s="31">
        <v>45.831733999999997</v>
      </c>
      <c r="T23" s="31">
        <v>46.327930000000002</v>
      </c>
      <c r="U23" s="31">
        <v>46.816153999999997</v>
      </c>
      <c r="V23" s="31">
        <v>47.317447999999999</v>
      </c>
      <c r="W23" s="31">
        <v>47.980491999999998</v>
      </c>
      <c r="X23" s="31">
        <v>48.582149999999999</v>
      </c>
      <c r="Y23" s="31">
        <v>49.164020999999998</v>
      </c>
      <c r="Z23" s="31">
        <v>49.763081</v>
      </c>
      <c r="AA23" s="31">
        <v>50.334721000000002</v>
      </c>
      <c r="AB23" s="31">
        <v>50.978020000000001</v>
      </c>
      <c r="AC23" s="31">
        <v>51.558666000000002</v>
      </c>
      <c r="AD23" s="31">
        <v>52.079247000000002</v>
      </c>
      <c r="AE23" s="31">
        <v>52.647174999999997</v>
      </c>
      <c r="AF23" s="31">
        <v>53.282265000000002</v>
      </c>
      <c r="AG23" s="31">
        <v>53.912506</v>
      </c>
      <c r="AH23" s="32">
        <v>2.5987E-2</v>
      </c>
    </row>
    <row r="24" spans="1:34" ht="15" customHeight="1">
      <c r="B24" s="30" t="s">
        <v>93</v>
      </c>
    </row>
    <row r="25" spans="1:34" ht="15" customHeight="1">
      <c r="A25" s="19" t="s">
        <v>92</v>
      </c>
      <c r="B25" s="37" t="s">
        <v>91</v>
      </c>
      <c r="C25" s="31">
        <v>738.85894800000005</v>
      </c>
      <c r="D25" s="31">
        <v>1081.6602780000001</v>
      </c>
      <c r="E25" s="31">
        <v>1215.7373050000001</v>
      </c>
      <c r="F25" s="31">
        <v>1284.3009030000001</v>
      </c>
      <c r="G25" s="31">
        <v>1340.241943</v>
      </c>
      <c r="H25" s="31">
        <v>1397.2540280000001</v>
      </c>
      <c r="I25" s="31">
        <v>1430.9814449999999</v>
      </c>
      <c r="J25" s="31">
        <v>1455.449707</v>
      </c>
      <c r="K25" s="31">
        <v>1476.532837</v>
      </c>
      <c r="L25" s="31">
        <v>1495.998779</v>
      </c>
      <c r="M25" s="31">
        <v>1516.366577</v>
      </c>
      <c r="N25" s="31">
        <v>1539.9562989999999</v>
      </c>
      <c r="O25" s="31">
        <v>1569.89563</v>
      </c>
      <c r="P25" s="31">
        <v>1600.4498289999999</v>
      </c>
      <c r="Q25" s="31">
        <v>1634.8596190000001</v>
      </c>
      <c r="R25" s="31">
        <v>1672.668457</v>
      </c>
      <c r="S25" s="31">
        <v>1707.1351320000001</v>
      </c>
      <c r="T25" s="31">
        <v>1738.4458010000001</v>
      </c>
      <c r="U25" s="31">
        <v>1770.8867190000001</v>
      </c>
      <c r="V25" s="31">
        <v>1807.5972899999999</v>
      </c>
      <c r="W25" s="31">
        <v>1848.8919679999999</v>
      </c>
      <c r="X25" s="31">
        <v>1889.77063</v>
      </c>
      <c r="Y25" s="31">
        <v>1930.5969239999999</v>
      </c>
      <c r="Z25" s="31">
        <v>1971.0720209999999</v>
      </c>
      <c r="AA25" s="31">
        <v>2010.4888920000001</v>
      </c>
      <c r="AB25" s="31">
        <v>2052.9484859999998</v>
      </c>
      <c r="AC25" s="31">
        <v>2092.6599120000001</v>
      </c>
      <c r="AD25" s="31">
        <v>2129.1379390000002</v>
      </c>
      <c r="AE25" s="31">
        <v>2171.07251</v>
      </c>
      <c r="AF25" s="31">
        <v>2213.2192380000001</v>
      </c>
      <c r="AG25" s="31">
        <v>2256.3168949999999</v>
      </c>
      <c r="AH25" s="32">
        <v>3.7914000000000003E-2</v>
      </c>
    </row>
    <row r="26" spans="1:34" ht="15" customHeight="1">
      <c r="B26" s="30" t="s">
        <v>90</v>
      </c>
    </row>
    <row r="27" spans="1:34" ht="15" customHeight="1">
      <c r="A27" s="19" t="s">
        <v>89</v>
      </c>
      <c r="B27" s="37" t="s">
        <v>48</v>
      </c>
      <c r="C27" s="31">
        <v>1508.5570070000001</v>
      </c>
      <c r="D27" s="31">
        <v>1600.7733149999999</v>
      </c>
      <c r="E27" s="31">
        <v>1616.5277100000001</v>
      </c>
      <c r="F27" s="31">
        <v>1618.108643</v>
      </c>
      <c r="G27" s="31">
        <v>1617.9658199999999</v>
      </c>
      <c r="H27" s="31">
        <v>1567.8839109999999</v>
      </c>
      <c r="I27" s="31">
        <v>1587.153687</v>
      </c>
      <c r="J27" s="31">
        <v>1586.3214109999999</v>
      </c>
      <c r="K27" s="31">
        <v>1606.0509030000001</v>
      </c>
      <c r="L27" s="31">
        <v>1623.5897219999999</v>
      </c>
      <c r="M27" s="31">
        <v>1641.5112300000001</v>
      </c>
      <c r="N27" s="31">
        <v>1654.219482</v>
      </c>
      <c r="O27" s="31">
        <v>1664.4609379999999</v>
      </c>
      <c r="P27" s="31">
        <v>1678.1671140000001</v>
      </c>
      <c r="Q27" s="31">
        <v>1686.5092770000001</v>
      </c>
      <c r="R27" s="31">
        <v>1700.822754</v>
      </c>
      <c r="S27" s="31">
        <v>1714.348389</v>
      </c>
      <c r="T27" s="31">
        <v>1725.946533</v>
      </c>
      <c r="U27" s="31">
        <v>1730.0469969999999</v>
      </c>
      <c r="V27" s="31">
        <v>1747.594971</v>
      </c>
      <c r="W27" s="31">
        <v>1753.466919</v>
      </c>
      <c r="X27" s="31">
        <v>1765.8125</v>
      </c>
      <c r="Y27" s="31">
        <v>1783.167725</v>
      </c>
      <c r="Z27" s="31">
        <v>1804.6464840000001</v>
      </c>
      <c r="AA27" s="31">
        <v>1808.417236</v>
      </c>
      <c r="AB27" s="31">
        <v>1822.5867920000001</v>
      </c>
      <c r="AC27" s="31">
        <v>1832.412476</v>
      </c>
      <c r="AD27" s="31">
        <v>1846.727539</v>
      </c>
      <c r="AE27" s="31">
        <v>1860.8991699999999</v>
      </c>
      <c r="AF27" s="31">
        <v>1876.013062</v>
      </c>
      <c r="AG27" s="31">
        <v>1898.7479249999999</v>
      </c>
      <c r="AH27" s="32">
        <v>7.6969999999999998E-3</v>
      </c>
    </row>
    <row r="28" spans="1:34" ht="15" customHeight="1">
      <c r="A28" s="19" t="s">
        <v>88</v>
      </c>
      <c r="B28" s="37" t="s">
        <v>46</v>
      </c>
      <c r="C28" s="31">
        <v>347.68133499999999</v>
      </c>
      <c r="D28" s="31">
        <v>359.32345600000002</v>
      </c>
      <c r="E28" s="31">
        <v>357.10058600000002</v>
      </c>
      <c r="F28" s="31">
        <v>354.906677</v>
      </c>
      <c r="G28" s="31">
        <v>352.695404</v>
      </c>
      <c r="H28" s="31">
        <v>348.07818600000002</v>
      </c>
      <c r="I28" s="31">
        <v>341.28057899999999</v>
      </c>
      <c r="J28" s="31">
        <v>333.10046399999999</v>
      </c>
      <c r="K28" s="31">
        <v>325.25259399999999</v>
      </c>
      <c r="L28" s="31">
        <v>316.86505099999999</v>
      </c>
      <c r="M28" s="31">
        <v>308.73144500000001</v>
      </c>
      <c r="N28" s="31">
        <v>305.11627199999998</v>
      </c>
      <c r="O28" s="31">
        <v>301.85186800000002</v>
      </c>
      <c r="P28" s="31">
        <v>298.30835000000002</v>
      </c>
      <c r="Q28" s="31">
        <v>295.38018799999998</v>
      </c>
      <c r="R28" s="31">
        <v>292.62634300000002</v>
      </c>
      <c r="S28" s="31">
        <v>289.63000499999998</v>
      </c>
      <c r="T28" s="31">
        <v>286.272583</v>
      </c>
      <c r="U28" s="31">
        <v>282.6651</v>
      </c>
      <c r="V28" s="31">
        <v>279.71716300000003</v>
      </c>
      <c r="W28" s="31">
        <v>276.01687600000002</v>
      </c>
      <c r="X28" s="31">
        <v>275.42544600000002</v>
      </c>
      <c r="Y28" s="31">
        <v>275.00784299999998</v>
      </c>
      <c r="Z28" s="31">
        <v>275.36859099999998</v>
      </c>
      <c r="AA28" s="31">
        <v>274.91848800000002</v>
      </c>
      <c r="AB28" s="31">
        <v>274.56326300000001</v>
      </c>
      <c r="AC28" s="31">
        <v>273.54470800000001</v>
      </c>
      <c r="AD28" s="31">
        <v>272.61859099999998</v>
      </c>
      <c r="AE28" s="31">
        <v>271.43493699999999</v>
      </c>
      <c r="AF28" s="31">
        <v>270.55728099999999</v>
      </c>
      <c r="AG28" s="31">
        <v>270.13116500000001</v>
      </c>
      <c r="AH28" s="32">
        <v>-8.3770000000000008E-3</v>
      </c>
    </row>
    <row r="30" spans="1:34" ht="15" customHeight="1">
      <c r="B30" s="30" t="s">
        <v>87</v>
      </c>
    </row>
    <row r="31" spans="1:34" ht="14.5">
      <c r="B31" s="30" t="s">
        <v>86</v>
      </c>
    </row>
    <row r="32" spans="1:34" ht="14.5">
      <c r="A32" s="19" t="s">
        <v>85</v>
      </c>
      <c r="B32" s="37" t="s">
        <v>84</v>
      </c>
      <c r="C32" s="33">
        <v>34.471164999999999</v>
      </c>
      <c r="D32" s="33">
        <v>35.386477999999997</v>
      </c>
      <c r="E32" s="33">
        <v>36.015510999999996</v>
      </c>
      <c r="F32" s="33">
        <v>36.532134999999997</v>
      </c>
      <c r="G32" s="33">
        <v>36.999755999999998</v>
      </c>
      <c r="H32" s="33">
        <v>37.485560999999997</v>
      </c>
      <c r="I32" s="33">
        <v>38.067946999999997</v>
      </c>
      <c r="J32" s="33">
        <v>38.072563000000002</v>
      </c>
      <c r="K32" s="33">
        <v>38.080813999999997</v>
      </c>
      <c r="L32" s="33">
        <v>38.095244999999998</v>
      </c>
      <c r="M32" s="33">
        <v>38.18074</v>
      </c>
      <c r="N32" s="33">
        <v>38.191764999999997</v>
      </c>
      <c r="O32" s="33">
        <v>38.206318000000003</v>
      </c>
      <c r="P32" s="33">
        <v>38.220623000000003</v>
      </c>
      <c r="Q32" s="33">
        <v>38.249493000000001</v>
      </c>
      <c r="R32" s="33">
        <v>38.230080000000001</v>
      </c>
      <c r="S32" s="33">
        <v>38.209507000000002</v>
      </c>
      <c r="T32" s="33">
        <v>38.204478999999999</v>
      </c>
      <c r="U32" s="33">
        <v>38.204224000000004</v>
      </c>
      <c r="V32" s="33">
        <v>38.187893000000003</v>
      </c>
      <c r="W32" s="33">
        <v>38.180140999999999</v>
      </c>
      <c r="X32" s="33">
        <v>38.173969</v>
      </c>
      <c r="Y32" s="33">
        <v>38.160957000000003</v>
      </c>
      <c r="Z32" s="33">
        <v>38.151767999999997</v>
      </c>
      <c r="AA32" s="33">
        <v>38.148342</v>
      </c>
      <c r="AB32" s="33">
        <v>38.153297000000002</v>
      </c>
      <c r="AC32" s="33">
        <v>38.143864000000001</v>
      </c>
      <c r="AD32" s="33">
        <v>38.134365000000003</v>
      </c>
      <c r="AE32" s="33">
        <v>38.120547999999999</v>
      </c>
      <c r="AF32" s="33">
        <v>38.116928000000001</v>
      </c>
      <c r="AG32" s="33">
        <v>38.114223000000003</v>
      </c>
      <c r="AH32" s="32">
        <v>3.3540000000000002E-3</v>
      </c>
    </row>
    <row r="33" spans="1:34" ht="14.5">
      <c r="A33" s="19" t="s">
        <v>83</v>
      </c>
      <c r="B33" s="37" t="s">
        <v>82</v>
      </c>
      <c r="C33" s="33">
        <v>42.096587999999997</v>
      </c>
      <c r="D33" s="33">
        <v>44.275084999999997</v>
      </c>
      <c r="E33" s="33">
        <v>44.804096000000001</v>
      </c>
      <c r="F33" s="33">
        <v>45.431927000000002</v>
      </c>
      <c r="G33" s="33">
        <v>46.163592999999999</v>
      </c>
      <c r="H33" s="33">
        <v>46.832709999999999</v>
      </c>
      <c r="I33" s="33">
        <v>47.617274999999999</v>
      </c>
      <c r="J33" s="33">
        <v>47.640335</v>
      </c>
      <c r="K33" s="33">
        <v>47.640335</v>
      </c>
      <c r="L33" s="33">
        <v>47.644813999999997</v>
      </c>
      <c r="M33" s="33">
        <v>47.681995000000001</v>
      </c>
      <c r="N33" s="33">
        <v>47.681995000000001</v>
      </c>
      <c r="O33" s="33">
        <v>47.681995000000001</v>
      </c>
      <c r="P33" s="33">
        <v>47.681995000000001</v>
      </c>
      <c r="Q33" s="33">
        <v>47.681995000000001</v>
      </c>
      <c r="R33" s="33">
        <v>47.681995000000001</v>
      </c>
      <c r="S33" s="33">
        <v>47.681995000000001</v>
      </c>
      <c r="T33" s="33">
        <v>47.681995000000001</v>
      </c>
      <c r="U33" s="33">
        <v>47.681995000000001</v>
      </c>
      <c r="V33" s="33">
        <v>47.681995000000001</v>
      </c>
      <c r="W33" s="33">
        <v>47.681995000000001</v>
      </c>
      <c r="X33" s="33">
        <v>47.681995000000001</v>
      </c>
      <c r="Y33" s="33">
        <v>47.681995000000001</v>
      </c>
      <c r="Z33" s="33">
        <v>47.683205000000001</v>
      </c>
      <c r="AA33" s="33">
        <v>47.684814000000003</v>
      </c>
      <c r="AB33" s="33">
        <v>47.687137999999997</v>
      </c>
      <c r="AC33" s="33">
        <v>47.687137999999997</v>
      </c>
      <c r="AD33" s="33">
        <v>47.687137999999997</v>
      </c>
      <c r="AE33" s="33">
        <v>47.687137999999997</v>
      </c>
      <c r="AF33" s="33">
        <v>47.689449000000003</v>
      </c>
      <c r="AG33" s="33">
        <v>47.689449000000003</v>
      </c>
      <c r="AH33" s="32">
        <v>4.1669999999999997E-3</v>
      </c>
    </row>
    <row r="34" spans="1:34" ht="14.5">
      <c r="A34" s="19" t="s">
        <v>81</v>
      </c>
      <c r="B34" s="37" t="s">
        <v>80</v>
      </c>
      <c r="C34" s="33">
        <v>30.906752000000001</v>
      </c>
      <c r="D34" s="33">
        <v>31.515782999999999</v>
      </c>
      <c r="E34" s="33">
        <v>31.942910999999999</v>
      </c>
      <c r="F34" s="33">
        <v>32.461284999999997</v>
      </c>
      <c r="G34" s="33">
        <v>32.917949999999998</v>
      </c>
      <c r="H34" s="33">
        <v>33.400790999999998</v>
      </c>
      <c r="I34" s="33">
        <v>33.955074000000003</v>
      </c>
      <c r="J34" s="33">
        <v>33.955074000000003</v>
      </c>
      <c r="K34" s="33">
        <v>33.955074000000003</v>
      </c>
      <c r="L34" s="33">
        <v>33.955074000000003</v>
      </c>
      <c r="M34" s="33">
        <v>33.955074000000003</v>
      </c>
      <c r="N34" s="33">
        <v>33.955092999999998</v>
      </c>
      <c r="O34" s="33">
        <v>33.955092999999998</v>
      </c>
      <c r="P34" s="33">
        <v>33.955092999999998</v>
      </c>
      <c r="Q34" s="33">
        <v>33.955092999999998</v>
      </c>
      <c r="R34" s="33">
        <v>33.955128000000002</v>
      </c>
      <c r="S34" s="33">
        <v>33.955128000000002</v>
      </c>
      <c r="T34" s="33">
        <v>33.955128000000002</v>
      </c>
      <c r="U34" s="33">
        <v>33.955128000000002</v>
      </c>
      <c r="V34" s="33">
        <v>33.955128000000002</v>
      </c>
      <c r="W34" s="33">
        <v>33.955128000000002</v>
      </c>
      <c r="X34" s="33">
        <v>33.955128000000002</v>
      </c>
      <c r="Y34" s="33">
        <v>33.955128000000002</v>
      </c>
      <c r="Z34" s="33">
        <v>33.955128000000002</v>
      </c>
      <c r="AA34" s="33">
        <v>33.955128000000002</v>
      </c>
      <c r="AB34" s="33">
        <v>33.955128000000002</v>
      </c>
      <c r="AC34" s="33">
        <v>33.955128000000002</v>
      </c>
      <c r="AD34" s="33">
        <v>33.955128000000002</v>
      </c>
      <c r="AE34" s="33">
        <v>33.955128000000002</v>
      </c>
      <c r="AF34" s="33">
        <v>33.955128000000002</v>
      </c>
      <c r="AG34" s="33">
        <v>33.955128000000002</v>
      </c>
      <c r="AH34" s="32">
        <v>3.14E-3</v>
      </c>
    </row>
    <row r="35" spans="1:34" ht="14.5">
      <c r="A35" s="19" t="s">
        <v>79</v>
      </c>
      <c r="B35" s="37" t="s">
        <v>78</v>
      </c>
      <c r="C35" s="33">
        <v>35.428043000000002</v>
      </c>
      <c r="D35" s="33">
        <v>36.588160999999999</v>
      </c>
      <c r="E35" s="33">
        <v>37.27243</v>
      </c>
      <c r="F35" s="33">
        <v>37.693686999999997</v>
      </c>
      <c r="G35" s="33">
        <v>38.000155999999997</v>
      </c>
      <c r="H35" s="33">
        <v>38.414771999999999</v>
      </c>
      <c r="I35" s="33">
        <v>38.930225</v>
      </c>
      <c r="J35" s="33">
        <v>39.067492999999999</v>
      </c>
      <c r="K35" s="33">
        <v>39.131560999999998</v>
      </c>
      <c r="L35" s="33">
        <v>39.187083999999999</v>
      </c>
      <c r="M35" s="33">
        <v>39.367001000000002</v>
      </c>
      <c r="N35" s="33">
        <v>39.458767000000002</v>
      </c>
      <c r="O35" s="33">
        <v>39.570411999999997</v>
      </c>
      <c r="P35" s="33">
        <v>39.688381</v>
      </c>
      <c r="Q35" s="33">
        <v>39.842903</v>
      </c>
      <c r="R35" s="33">
        <v>39.925739</v>
      </c>
      <c r="S35" s="33">
        <v>40.007632999999998</v>
      </c>
      <c r="T35" s="33">
        <v>40.122059</v>
      </c>
      <c r="U35" s="33">
        <v>40.263226000000003</v>
      </c>
      <c r="V35" s="33">
        <v>40.363658999999998</v>
      </c>
      <c r="W35" s="33">
        <v>40.483314999999997</v>
      </c>
      <c r="X35" s="33">
        <v>40.567554000000001</v>
      </c>
      <c r="Y35" s="33">
        <v>40.636898000000002</v>
      </c>
      <c r="Z35" s="33">
        <v>40.715224999999997</v>
      </c>
      <c r="AA35" s="33">
        <v>40.813823999999997</v>
      </c>
      <c r="AB35" s="33">
        <v>40.933928999999999</v>
      </c>
      <c r="AC35" s="33">
        <v>41.032744999999998</v>
      </c>
      <c r="AD35" s="33">
        <v>41.136253000000004</v>
      </c>
      <c r="AE35" s="33">
        <v>41.233733999999998</v>
      </c>
      <c r="AF35" s="33">
        <v>41.366283000000003</v>
      </c>
      <c r="AG35" s="33">
        <v>41.510693000000003</v>
      </c>
      <c r="AH35" s="32">
        <v>5.2960000000000004E-3</v>
      </c>
    </row>
    <row r="36" spans="1:34" ht="14.5">
      <c r="A36" s="19" t="s">
        <v>77</v>
      </c>
      <c r="B36" s="37" t="s">
        <v>76</v>
      </c>
      <c r="C36" s="33">
        <v>43.264011000000004</v>
      </c>
      <c r="D36" s="33">
        <v>45.133468999999998</v>
      </c>
      <c r="E36" s="33">
        <v>45.638382</v>
      </c>
      <c r="F36" s="33">
        <v>46.329559000000003</v>
      </c>
      <c r="G36" s="33">
        <v>46.974044999999997</v>
      </c>
      <c r="H36" s="33">
        <v>47.544497999999997</v>
      </c>
      <c r="I36" s="33">
        <v>48.288283999999997</v>
      </c>
      <c r="J36" s="33">
        <v>48.419249999999998</v>
      </c>
      <c r="K36" s="33">
        <v>48.519196000000001</v>
      </c>
      <c r="L36" s="33">
        <v>48.602192000000002</v>
      </c>
      <c r="M36" s="33">
        <v>48.758029999999998</v>
      </c>
      <c r="N36" s="33">
        <v>48.944358999999999</v>
      </c>
      <c r="O36" s="33">
        <v>49.116050999999999</v>
      </c>
      <c r="P36" s="33">
        <v>49.343533000000001</v>
      </c>
      <c r="Q36" s="33">
        <v>49.588878999999999</v>
      </c>
      <c r="R36" s="33">
        <v>49.838386999999997</v>
      </c>
      <c r="S36" s="33">
        <v>50.062164000000003</v>
      </c>
      <c r="T36" s="33">
        <v>50.324268000000004</v>
      </c>
      <c r="U36" s="33">
        <v>50.609341000000001</v>
      </c>
      <c r="V36" s="33">
        <v>50.887779000000002</v>
      </c>
      <c r="W36" s="33">
        <v>51.161552</v>
      </c>
      <c r="X36" s="33">
        <v>51.375084000000001</v>
      </c>
      <c r="Y36" s="33">
        <v>51.577618000000001</v>
      </c>
      <c r="Z36" s="33">
        <v>51.784939000000001</v>
      </c>
      <c r="AA36" s="33">
        <v>52.021469000000003</v>
      </c>
      <c r="AB36" s="33">
        <v>52.278286000000001</v>
      </c>
      <c r="AC36" s="33">
        <v>52.554256000000002</v>
      </c>
      <c r="AD36" s="33">
        <v>52.823684999999998</v>
      </c>
      <c r="AE36" s="33">
        <v>53.105880999999997</v>
      </c>
      <c r="AF36" s="33">
        <v>53.415283000000002</v>
      </c>
      <c r="AG36" s="33">
        <v>53.766708000000001</v>
      </c>
      <c r="AH36" s="32">
        <v>7.2709999999999997E-3</v>
      </c>
    </row>
    <row r="37" spans="1:34" ht="14.5">
      <c r="A37" s="19" t="s">
        <v>75</v>
      </c>
      <c r="B37" s="37" t="s">
        <v>74</v>
      </c>
      <c r="C37" s="33">
        <v>31.765070000000001</v>
      </c>
      <c r="D37" s="33">
        <v>32.790131000000002</v>
      </c>
      <c r="E37" s="33">
        <v>33.304336999999997</v>
      </c>
      <c r="F37" s="33">
        <v>33.675227999999997</v>
      </c>
      <c r="G37" s="33">
        <v>33.948895</v>
      </c>
      <c r="H37" s="33">
        <v>34.370635999999998</v>
      </c>
      <c r="I37" s="33">
        <v>34.850887</v>
      </c>
      <c r="J37" s="33">
        <v>34.987330999999998</v>
      </c>
      <c r="K37" s="33">
        <v>35.027724999999997</v>
      </c>
      <c r="L37" s="33">
        <v>35.055889000000001</v>
      </c>
      <c r="M37" s="33">
        <v>35.139995999999996</v>
      </c>
      <c r="N37" s="33">
        <v>35.184066999999999</v>
      </c>
      <c r="O37" s="33">
        <v>35.253815000000003</v>
      </c>
      <c r="P37" s="33">
        <v>35.313755</v>
      </c>
      <c r="Q37" s="33">
        <v>35.395432</v>
      </c>
      <c r="R37" s="33">
        <v>35.447819000000003</v>
      </c>
      <c r="S37" s="33">
        <v>35.509632000000003</v>
      </c>
      <c r="T37" s="33">
        <v>35.580489999999998</v>
      </c>
      <c r="U37" s="33">
        <v>35.672145999999998</v>
      </c>
      <c r="V37" s="33">
        <v>35.736598999999998</v>
      </c>
      <c r="W37" s="33">
        <v>35.815669999999997</v>
      </c>
      <c r="X37" s="33">
        <v>35.866309999999999</v>
      </c>
      <c r="Y37" s="33">
        <v>35.911537000000003</v>
      </c>
      <c r="Z37" s="33">
        <v>35.962077999999998</v>
      </c>
      <c r="AA37" s="33">
        <v>36.021683000000003</v>
      </c>
      <c r="AB37" s="33">
        <v>36.090629999999997</v>
      </c>
      <c r="AC37" s="33">
        <v>36.147751</v>
      </c>
      <c r="AD37" s="33">
        <v>36.213341</v>
      </c>
      <c r="AE37" s="33">
        <v>36.274783999999997</v>
      </c>
      <c r="AF37" s="33">
        <v>36.358317999999997</v>
      </c>
      <c r="AG37" s="33">
        <v>36.442936000000003</v>
      </c>
      <c r="AH37" s="32">
        <v>4.5900000000000003E-3</v>
      </c>
    </row>
    <row r="38" spans="1:34" ht="14.5">
      <c r="A38" s="19" t="s">
        <v>73</v>
      </c>
      <c r="B38" s="37" t="s">
        <v>72</v>
      </c>
      <c r="C38" s="33">
        <v>35.306621999999997</v>
      </c>
      <c r="D38" s="33">
        <v>36.467899000000003</v>
      </c>
      <c r="E38" s="33">
        <v>37.145805000000003</v>
      </c>
      <c r="F38" s="33">
        <v>37.564754000000001</v>
      </c>
      <c r="G38" s="33">
        <v>37.869587000000003</v>
      </c>
      <c r="H38" s="33">
        <v>38.261166000000003</v>
      </c>
      <c r="I38" s="33">
        <v>38.678328999999998</v>
      </c>
      <c r="J38" s="33">
        <v>38.782119999999999</v>
      </c>
      <c r="K38" s="33">
        <v>38.833714000000001</v>
      </c>
      <c r="L38" s="33">
        <v>38.876083000000001</v>
      </c>
      <c r="M38" s="33">
        <v>39.031016999999999</v>
      </c>
      <c r="N38" s="33">
        <v>39.097121999999999</v>
      </c>
      <c r="O38" s="33">
        <v>39.178814000000003</v>
      </c>
      <c r="P38" s="33">
        <v>39.263396999999998</v>
      </c>
      <c r="Q38" s="33">
        <v>39.380603999999998</v>
      </c>
      <c r="R38" s="33">
        <v>39.428646000000001</v>
      </c>
      <c r="S38" s="33">
        <v>39.476784000000002</v>
      </c>
      <c r="T38" s="33">
        <v>39.553840999999998</v>
      </c>
      <c r="U38" s="33">
        <v>39.655147999999997</v>
      </c>
      <c r="V38" s="33">
        <v>39.718604999999997</v>
      </c>
      <c r="W38" s="33">
        <v>39.800255</v>
      </c>
      <c r="X38" s="33">
        <v>39.857684999999996</v>
      </c>
      <c r="Y38" s="33">
        <v>39.902507999999997</v>
      </c>
      <c r="Z38" s="33">
        <v>39.954895</v>
      </c>
      <c r="AA38" s="33">
        <v>40.024872000000002</v>
      </c>
      <c r="AB38" s="33">
        <v>40.112934000000003</v>
      </c>
      <c r="AC38" s="33">
        <v>40.181061</v>
      </c>
      <c r="AD38" s="33">
        <v>40.254047</v>
      </c>
      <c r="AE38" s="33">
        <v>40.320404000000003</v>
      </c>
      <c r="AF38" s="33">
        <v>40.416508</v>
      </c>
      <c r="AG38" s="33">
        <v>40.521500000000003</v>
      </c>
      <c r="AH38" s="32">
        <v>4.6030000000000003E-3</v>
      </c>
    </row>
    <row r="39" spans="1:34" ht="14.5">
      <c r="A39" s="19" t="s">
        <v>71</v>
      </c>
      <c r="B39" s="37" t="s">
        <v>70</v>
      </c>
      <c r="C39" s="33">
        <v>42.996372000000001</v>
      </c>
      <c r="D39" s="33">
        <v>44.885829999999999</v>
      </c>
      <c r="E39" s="33">
        <v>45.388092</v>
      </c>
      <c r="F39" s="33">
        <v>46.068283000000001</v>
      </c>
      <c r="G39" s="33">
        <v>46.702300999999999</v>
      </c>
      <c r="H39" s="33">
        <v>47.265957</v>
      </c>
      <c r="I39" s="33">
        <v>47.99147</v>
      </c>
      <c r="J39" s="33">
        <v>48.105293000000003</v>
      </c>
      <c r="K39" s="33">
        <v>48.179577000000002</v>
      </c>
      <c r="L39" s="33">
        <v>48.231701000000001</v>
      </c>
      <c r="M39" s="33">
        <v>48.343479000000002</v>
      </c>
      <c r="N39" s="33">
        <v>48.473526</v>
      </c>
      <c r="O39" s="33">
        <v>48.589264</v>
      </c>
      <c r="P39" s="33">
        <v>48.747790999999999</v>
      </c>
      <c r="Q39" s="33">
        <v>48.918312</v>
      </c>
      <c r="R39" s="33">
        <v>49.085320000000003</v>
      </c>
      <c r="S39" s="33">
        <v>49.232787999999999</v>
      </c>
      <c r="T39" s="33">
        <v>49.410697999999996</v>
      </c>
      <c r="U39" s="33">
        <v>49.605431000000003</v>
      </c>
      <c r="V39" s="33">
        <v>49.791992</v>
      </c>
      <c r="W39" s="33">
        <v>49.975594000000001</v>
      </c>
      <c r="X39" s="33">
        <v>50.118858000000003</v>
      </c>
      <c r="Y39" s="33">
        <v>50.253036000000002</v>
      </c>
      <c r="Z39" s="33">
        <v>50.390746999999998</v>
      </c>
      <c r="AA39" s="33">
        <v>50.551330999999998</v>
      </c>
      <c r="AB39" s="33">
        <v>50.726044000000002</v>
      </c>
      <c r="AC39" s="33">
        <v>50.913406000000002</v>
      </c>
      <c r="AD39" s="33">
        <v>51.097149000000002</v>
      </c>
      <c r="AE39" s="33">
        <v>51.287188999999998</v>
      </c>
      <c r="AF39" s="33">
        <v>51.498286999999998</v>
      </c>
      <c r="AG39" s="33">
        <v>51.738174000000001</v>
      </c>
      <c r="AH39" s="32">
        <v>6.1879999999999999E-3</v>
      </c>
    </row>
    <row r="40" spans="1:34" ht="14.5">
      <c r="A40" s="19" t="s">
        <v>69</v>
      </c>
      <c r="B40" s="37" t="s">
        <v>68</v>
      </c>
      <c r="C40" s="33">
        <v>31.697340000000001</v>
      </c>
      <c r="D40" s="33">
        <v>32.714511999999999</v>
      </c>
      <c r="E40" s="33">
        <v>33.224262000000003</v>
      </c>
      <c r="F40" s="33">
        <v>33.594929</v>
      </c>
      <c r="G40" s="33">
        <v>33.868374000000003</v>
      </c>
      <c r="H40" s="33">
        <v>34.261592999999998</v>
      </c>
      <c r="I40" s="33">
        <v>34.620468000000002</v>
      </c>
      <c r="J40" s="33">
        <v>34.719250000000002</v>
      </c>
      <c r="K40" s="33">
        <v>34.751755000000003</v>
      </c>
      <c r="L40" s="33">
        <v>34.772854000000002</v>
      </c>
      <c r="M40" s="33">
        <v>34.839573000000001</v>
      </c>
      <c r="N40" s="33">
        <v>34.868819999999999</v>
      </c>
      <c r="O40" s="33">
        <v>34.918171000000001</v>
      </c>
      <c r="P40" s="33">
        <v>34.957504</v>
      </c>
      <c r="Q40" s="33">
        <v>35.015827000000002</v>
      </c>
      <c r="R40" s="33">
        <v>35.049236000000001</v>
      </c>
      <c r="S40" s="33">
        <v>35.091113999999997</v>
      </c>
      <c r="T40" s="33">
        <v>35.140182000000003</v>
      </c>
      <c r="U40" s="33">
        <v>35.208857999999999</v>
      </c>
      <c r="V40" s="33">
        <v>35.253444999999999</v>
      </c>
      <c r="W40" s="33">
        <v>35.311042999999998</v>
      </c>
      <c r="X40" s="33">
        <v>35.348305000000003</v>
      </c>
      <c r="Y40" s="33">
        <v>35.381889000000001</v>
      </c>
      <c r="Z40" s="33">
        <v>35.419429999999998</v>
      </c>
      <c r="AA40" s="33">
        <v>35.464706</v>
      </c>
      <c r="AB40" s="33">
        <v>35.517353</v>
      </c>
      <c r="AC40" s="33">
        <v>35.560341000000001</v>
      </c>
      <c r="AD40" s="33">
        <v>35.610996</v>
      </c>
      <c r="AE40" s="33">
        <v>35.657856000000002</v>
      </c>
      <c r="AF40" s="33">
        <v>35.722625999999998</v>
      </c>
      <c r="AG40" s="33">
        <v>35.788241999999997</v>
      </c>
      <c r="AH40" s="32">
        <v>4.0540000000000003E-3</v>
      </c>
    </row>
    <row r="41" spans="1:34" ht="14.5">
      <c r="A41" s="19" t="s">
        <v>67</v>
      </c>
      <c r="B41" s="37" t="s">
        <v>66</v>
      </c>
      <c r="C41" s="33">
        <v>28.801698999999999</v>
      </c>
      <c r="D41" s="33">
        <v>29.748508000000001</v>
      </c>
      <c r="E41" s="33">
        <v>30.302168000000002</v>
      </c>
      <c r="F41" s="33">
        <v>30.643736000000001</v>
      </c>
      <c r="G41" s="33">
        <v>30.892097</v>
      </c>
      <c r="H41" s="33">
        <v>31.211321000000002</v>
      </c>
      <c r="I41" s="33">
        <v>31.551421999999999</v>
      </c>
      <c r="J41" s="33">
        <v>31.636091</v>
      </c>
      <c r="K41" s="33">
        <v>31.678196</v>
      </c>
      <c r="L41" s="33">
        <v>31.712803000000001</v>
      </c>
      <c r="M41" s="33">
        <v>31.839462000000001</v>
      </c>
      <c r="N41" s="33">
        <v>31.893412000000001</v>
      </c>
      <c r="O41" s="33">
        <v>31.960094000000002</v>
      </c>
      <c r="P41" s="33">
        <v>32.029114</v>
      </c>
      <c r="Q41" s="33">
        <v>32.124813000000003</v>
      </c>
      <c r="R41" s="33">
        <v>32.163910000000001</v>
      </c>
      <c r="S41" s="33">
        <v>32.203082999999999</v>
      </c>
      <c r="T41" s="33">
        <v>32.265900000000002</v>
      </c>
      <c r="U41" s="33">
        <v>32.348514999999999</v>
      </c>
      <c r="V41" s="33">
        <v>32.400196000000001</v>
      </c>
      <c r="W41" s="33">
        <v>32.466754999999999</v>
      </c>
      <c r="X41" s="33">
        <v>32.513561000000003</v>
      </c>
      <c r="Y41" s="33">
        <v>32.550055999999998</v>
      </c>
      <c r="Z41" s="33">
        <v>32.592742999999999</v>
      </c>
      <c r="AA41" s="33">
        <v>32.649788000000001</v>
      </c>
      <c r="AB41" s="33">
        <v>32.721618999999997</v>
      </c>
      <c r="AC41" s="33">
        <v>32.77713</v>
      </c>
      <c r="AD41" s="33">
        <v>32.836616999999997</v>
      </c>
      <c r="AE41" s="33">
        <v>32.890667000000001</v>
      </c>
      <c r="AF41" s="33">
        <v>32.969020999999998</v>
      </c>
      <c r="AG41" s="33">
        <v>33.054625999999999</v>
      </c>
      <c r="AH41" s="32">
        <v>4.6010000000000001E-3</v>
      </c>
    </row>
    <row r="42" spans="1:34" ht="14.5">
      <c r="A42" s="19" t="s">
        <v>65</v>
      </c>
      <c r="B42" s="37" t="s">
        <v>64</v>
      </c>
      <c r="C42" s="33">
        <v>35.111472999999997</v>
      </c>
      <c r="D42" s="33">
        <v>36.654429999999998</v>
      </c>
      <c r="E42" s="33">
        <v>37.064587000000003</v>
      </c>
      <c r="F42" s="33">
        <v>37.620041000000001</v>
      </c>
      <c r="G42" s="33">
        <v>38.137787000000003</v>
      </c>
      <c r="H42" s="33">
        <v>38.598075999999999</v>
      </c>
      <c r="I42" s="33">
        <v>39.190544000000003</v>
      </c>
      <c r="J42" s="33">
        <v>39.283493</v>
      </c>
      <c r="K42" s="33">
        <v>39.344154000000003</v>
      </c>
      <c r="L42" s="33">
        <v>39.386718999999999</v>
      </c>
      <c r="M42" s="33">
        <v>39.477997000000002</v>
      </c>
      <c r="N42" s="33">
        <v>39.584198000000001</v>
      </c>
      <c r="O42" s="33">
        <v>39.678711</v>
      </c>
      <c r="P42" s="33">
        <v>39.808166999999997</v>
      </c>
      <c r="Q42" s="33">
        <v>39.947414000000002</v>
      </c>
      <c r="R42" s="33">
        <v>40.083796999999997</v>
      </c>
      <c r="S42" s="33">
        <v>40.204219999999999</v>
      </c>
      <c r="T42" s="33">
        <v>40.349505999999998</v>
      </c>
      <c r="U42" s="33">
        <v>40.508526000000003</v>
      </c>
      <c r="V42" s="33">
        <v>40.660873000000002</v>
      </c>
      <c r="W42" s="33">
        <v>40.810805999999999</v>
      </c>
      <c r="X42" s="33">
        <v>40.927799</v>
      </c>
      <c r="Y42" s="33">
        <v>41.037373000000002</v>
      </c>
      <c r="Z42" s="33">
        <v>41.149825999999997</v>
      </c>
      <c r="AA42" s="33">
        <v>41.280963999999997</v>
      </c>
      <c r="AB42" s="33">
        <v>41.423634</v>
      </c>
      <c r="AC42" s="33">
        <v>41.576636999999998</v>
      </c>
      <c r="AD42" s="33">
        <v>41.726685000000003</v>
      </c>
      <c r="AE42" s="33">
        <v>41.881874000000003</v>
      </c>
      <c r="AF42" s="33">
        <v>42.054259999999999</v>
      </c>
      <c r="AG42" s="33">
        <v>42.250155999999997</v>
      </c>
      <c r="AH42" s="32">
        <v>6.1879999999999999E-3</v>
      </c>
    </row>
    <row r="43" spans="1:34" ht="14.5">
      <c r="A43" s="19" t="s">
        <v>63</v>
      </c>
      <c r="B43" s="37" t="s">
        <v>62</v>
      </c>
      <c r="C43" s="33">
        <v>25.844681000000001</v>
      </c>
      <c r="D43" s="33">
        <v>26.674040000000002</v>
      </c>
      <c r="E43" s="33">
        <v>27.089670000000002</v>
      </c>
      <c r="F43" s="33">
        <v>27.391895000000002</v>
      </c>
      <c r="G43" s="33">
        <v>27.614851000000002</v>
      </c>
      <c r="H43" s="33">
        <v>27.935465000000001</v>
      </c>
      <c r="I43" s="33">
        <v>28.228076999999999</v>
      </c>
      <c r="J43" s="33">
        <v>28.308620000000001</v>
      </c>
      <c r="K43" s="33">
        <v>28.335122999999999</v>
      </c>
      <c r="L43" s="33">
        <v>28.352325</v>
      </c>
      <c r="M43" s="33">
        <v>28.406727</v>
      </c>
      <c r="N43" s="33">
        <v>28.430572999999999</v>
      </c>
      <c r="O43" s="33">
        <v>28.470811999999999</v>
      </c>
      <c r="P43" s="33">
        <v>28.502882</v>
      </c>
      <c r="Q43" s="33">
        <v>28.550436000000001</v>
      </c>
      <c r="R43" s="33">
        <v>28.577677000000001</v>
      </c>
      <c r="S43" s="33">
        <v>28.611822</v>
      </c>
      <c r="T43" s="33">
        <v>28.651831000000001</v>
      </c>
      <c r="U43" s="33">
        <v>28.707827000000002</v>
      </c>
      <c r="V43" s="33">
        <v>28.744178999999999</v>
      </c>
      <c r="W43" s="33">
        <v>28.791143000000002</v>
      </c>
      <c r="X43" s="33">
        <v>28.821524</v>
      </c>
      <c r="Y43" s="33">
        <v>28.848907000000001</v>
      </c>
      <c r="Z43" s="33">
        <v>28.879517</v>
      </c>
      <c r="AA43" s="33">
        <v>28.916433000000001</v>
      </c>
      <c r="AB43" s="33">
        <v>28.95936</v>
      </c>
      <c r="AC43" s="33">
        <v>28.994409999999998</v>
      </c>
      <c r="AD43" s="33">
        <v>29.035710999999999</v>
      </c>
      <c r="AE43" s="33">
        <v>29.073919</v>
      </c>
      <c r="AF43" s="33">
        <v>29.126729999999998</v>
      </c>
      <c r="AG43" s="33">
        <v>29.180230999999999</v>
      </c>
      <c r="AH43" s="32">
        <v>4.0540000000000003E-3</v>
      </c>
    </row>
    <row r="44" spans="1:34" ht="14.5">
      <c r="A44" s="19" t="s">
        <v>61</v>
      </c>
      <c r="B44" s="37" t="s">
        <v>60</v>
      </c>
      <c r="C44" s="33">
        <v>24.007415999999999</v>
      </c>
      <c r="D44" s="33">
        <v>24.486086</v>
      </c>
      <c r="E44" s="33">
        <v>24.981627</v>
      </c>
      <c r="F44" s="33">
        <v>25.485527000000001</v>
      </c>
      <c r="G44" s="33">
        <v>25.988057999999999</v>
      </c>
      <c r="H44" s="33">
        <v>26.474716000000001</v>
      </c>
      <c r="I44" s="33">
        <v>26.937756</v>
      </c>
      <c r="J44" s="33">
        <v>27.360711999999999</v>
      </c>
      <c r="K44" s="33">
        <v>27.755447</v>
      </c>
      <c r="L44" s="33">
        <v>28.123076999999999</v>
      </c>
      <c r="M44" s="33">
        <v>28.466404000000001</v>
      </c>
      <c r="N44" s="33">
        <v>28.784511999999999</v>
      </c>
      <c r="O44" s="33">
        <v>29.082840000000001</v>
      </c>
      <c r="P44" s="33">
        <v>29.358751000000002</v>
      </c>
      <c r="Q44" s="33">
        <v>29.61619</v>
      </c>
      <c r="R44" s="33">
        <v>29.854928999999998</v>
      </c>
      <c r="S44" s="33">
        <v>30.072607000000001</v>
      </c>
      <c r="T44" s="33">
        <v>30.27281</v>
      </c>
      <c r="U44" s="33">
        <v>30.457588000000001</v>
      </c>
      <c r="V44" s="33">
        <v>30.626141000000001</v>
      </c>
      <c r="W44" s="33">
        <v>30.778158000000001</v>
      </c>
      <c r="X44" s="33">
        <v>30.917082000000001</v>
      </c>
      <c r="Y44" s="33">
        <v>31.042815999999998</v>
      </c>
      <c r="Z44" s="33">
        <v>31.156669999999998</v>
      </c>
      <c r="AA44" s="33">
        <v>31.261284</v>
      </c>
      <c r="AB44" s="33">
        <v>31.362148000000001</v>
      </c>
      <c r="AC44" s="33">
        <v>31.456233999999998</v>
      </c>
      <c r="AD44" s="33">
        <v>31.544521</v>
      </c>
      <c r="AE44" s="33">
        <v>31.628166</v>
      </c>
      <c r="AF44" s="33">
        <v>31.708237</v>
      </c>
      <c r="AG44" s="33">
        <v>31.786325000000001</v>
      </c>
      <c r="AH44" s="32">
        <v>9.4000000000000004E-3</v>
      </c>
    </row>
    <row r="45" spans="1:34" ht="14.5">
      <c r="A45" s="19" t="s">
        <v>59</v>
      </c>
      <c r="B45" s="37" t="s">
        <v>58</v>
      </c>
      <c r="C45" s="33">
        <v>15.199754</v>
      </c>
      <c r="D45" s="33">
        <v>15.353821</v>
      </c>
      <c r="E45" s="33">
        <v>15.448406</v>
      </c>
      <c r="F45" s="33">
        <v>15.622237999999999</v>
      </c>
      <c r="G45" s="33">
        <v>15.81757</v>
      </c>
      <c r="H45" s="33">
        <v>16.041328</v>
      </c>
      <c r="I45" s="33">
        <v>16.265792999999999</v>
      </c>
      <c r="J45" s="33">
        <v>16.466480000000001</v>
      </c>
      <c r="K45" s="33">
        <v>16.497278000000001</v>
      </c>
      <c r="L45" s="33">
        <v>16.596568999999999</v>
      </c>
      <c r="M45" s="33">
        <v>16.667781999999999</v>
      </c>
      <c r="N45" s="33">
        <v>16.698370000000001</v>
      </c>
      <c r="O45" s="33">
        <v>16.697184</v>
      </c>
      <c r="P45" s="33">
        <v>16.679576999999998</v>
      </c>
      <c r="Q45" s="33">
        <v>16.663025000000001</v>
      </c>
      <c r="R45" s="33">
        <v>16.602713000000001</v>
      </c>
      <c r="S45" s="33">
        <v>16.590809</v>
      </c>
      <c r="T45" s="33">
        <v>16.534374</v>
      </c>
      <c r="U45" s="33">
        <v>16.533842</v>
      </c>
      <c r="V45" s="33">
        <v>16.544965999999999</v>
      </c>
      <c r="W45" s="33">
        <v>16.561909</v>
      </c>
      <c r="X45" s="33">
        <v>16.581676000000002</v>
      </c>
      <c r="Y45" s="33">
        <v>16.602395999999999</v>
      </c>
      <c r="Z45" s="33">
        <v>16.622173</v>
      </c>
      <c r="AA45" s="33">
        <v>16.640326999999999</v>
      </c>
      <c r="AB45" s="33">
        <v>16.654378999999999</v>
      </c>
      <c r="AC45" s="33">
        <v>16.654675999999998</v>
      </c>
      <c r="AD45" s="33">
        <v>16.640571999999999</v>
      </c>
      <c r="AE45" s="33">
        <v>16.624404999999999</v>
      </c>
      <c r="AF45" s="33">
        <v>16.605186</v>
      </c>
      <c r="AG45" s="33">
        <v>16.580959</v>
      </c>
      <c r="AH45" s="32">
        <v>2.9030000000000002E-3</v>
      </c>
    </row>
    <row r="46" spans="1:34" ht="14.5">
      <c r="A46" s="19" t="s">
        <v>57</v>
      </c>
      <c r="B46" s="37" t="s">
        <v>56</v>
      </c>
      <c r="C46" s="33">
        <v>14.042013000000001</v>
      </c>
      <c r="D46" s="33">
        <v>14.21312</v>
      </c>
      <c r="E46" s="33">
        <v>14.399702</v>
      </c>
      <c r="F46" s="33">
        <v>14.594484</v>
      </c>
      <c r="G46" s="33">
        <v>14.784065</v>
      </c>
      <c r="H46" s="33">
        <v>14.924958999999999</v>
      </c>
      <c r="I46" s="33">
        <v>15.072552999999999</v>
      </c>
      <c r="J46" s="33">
        <v>15.224613</v>
      </c>
      <c r="K46" s="33">
        <v>15.367048</v>
      </c>
      <c r="L46" s="33">
        <v>15.509262</v>
      </c>
      <c r="M46" s="33">
        <v>15.641028</v>
      </c>
      <c r="N46" s="33">
        <v>15.764213</v>
      </c>
      <c r="O46" s="33">
        <v>15.872323</v>
      </c>
      <c r="P46" s="33">
        <v>15.966248999999999</v>
      </c>
      <c r="Q46" s="33">
        <v>16.044874</v>
      </c>
      <c r="R46" s="33">
        <v>16.111972999999999</v>
      </c>
      <c r="S46" s="33">
        <v>16.168406999999998</v>
      </c>
      <c r="T46" s="33">
        <v>16.206693999999999</v>
      </c>
      <c r="U46" s="33">
        <v>16.243071</v>
      </c>
      <c r="V46" s="33">
        <v>16.277208000000002</v>
      </c>
      <c r="W46" s="33">
        <v>16.308487</v>
      </c>
      <c r="X46" s="33">
        <v>16.336770999999999</v>
      </c>
      <c r="Y46" s="33">
        <v>16.371603</v>
      </c>
      <c r="Z46" s="33">
        <v>16.397507000000001</v>
      </c>
      <c r="AA46" s="33">
        <v>16.420390999999999</v>
      </c>
      <c r="AB46" s="33">
        <v>16.442827000000001</v>
      </c>
      <c r="AC46" s="33">
        <v>16.445042000000001</v>
      </c>
      <c r="AD46" s="33">
        <v>16.467030000000001</v>
      </c>
      <c r="AE46" s="33">
        <v>16.490675</v>
      </c>
      <c r="AF46" s="33">
        <v>16.51276</v>
      </c>
      <c r="AG46" s="33">
        <v>16.532233999999999</v>
      </c>
      <c r="AH46" s="32">
        <v>5.457E-3</v>
      </c>
    </row>
    <row r="47" spans="1:34" ht="14.5">
      <c r="A47" s="19" t="s">
        <v>55</v>
      </c>
      <c r="B47" s="37" t="s">
        <v>54</v>
      </c>
      <c r="C47" s="33">
        <v>7.2381820000000001</v>
      </c>
      <c r="D47" s="33">
        <v>7.3106159999999996</v>
      </c>
      <c r="E47" s="33">
        <v>7.3899470000000003</v>
      </c>
      <c r="F47" s="33">
        <v>7.4766839999999997</v>
      </c>
      <c r="G47" s="33">
        <v>7.5747020000000003</v>
      </c>
      <c r="H47" s="33">
        <v>7.6863190000000001</v>
      </c>
      <c r="I47" s="33">
        <v>7.8097300000000001</v>
      </c>
      <c r="J47" s="33">
        <v>7.9445509999999997</v>
      </c>
      <c r="K47" s="33">
        <v>8.0834469999999996</v>
      </c>
      <c r="L47" s="33">
        <v>8.2308409999999999</v>
      </c>
      <c r="M47" s="33">
        <v>8.3825810000000001</v>
      </c>
      <c r="N47" s="33">
        <v>8.5364249999999995</v>
      </c>
      <c r="O47" s="33">
        <v>8.6869969999999999</v>
      </c>
      <c r="P47" s="33">
        <v>8.8273569999999992</v>
      </c>
      <c r="Q47" s="33">
        <v>8.9563369999999995</v>
      </c>
      <c r="R47" s="33">
        <v>9.0734739999999992</v>
      </c>
      <c r="S47" s="33">
        <v>9.1788989999999995</v>
      </c>
      <c r="T47" s="33">
        <v>9.2730540000000001</v>
      </c>
      <c r="U47" s="33">
        <v>9.3587240000000005</v>
      </c>
      <c r="V47" s="33">
        <v>9.4375730000000004</v>
      </c>
      <c r="W47" s="33">
        <v>9.5084759999999999</v>
      </c>
      <c r="X47" s="33">
        <v>9.5729869999999995</v>
      </c>
      <c r="Y47" s="33">
        <v>9.6297499999999996</v>
      </c>
      <c r="Z47" s="33">
        <v>9.6799700000000009</v>
      </c>
      <c r="AA47" s="33">
        <v>9.7249739999999996</v>
      </c>
      <c r="AB47" s="33">
        <v>9.7670279999999998</v>
      </c>
      <c r="AC47" s="33">
        <v>9.8068919999999995</v>
      </c>
      <c r="AD47" s="33">
        <v>9.8463150000000006</v>
      </c>
      <c r="AE47" s="33">
        <v>9.8857769999999991</v>
      </c>
      <c r="AF47" s="33">
        <v>9.9239499999999996</v>
      </c>
      <c r="AG47" s="33">
        <v>9.9616579999999999</v>
      </c>
      <c r="AH47" s="32">
        <v>1.0703000000000001E-2</v>
      </c>
    </row>
    <row r="48" spans="1:34" ht="14.5">
      <c r="B48" s="30" t="s">
        <v>53</v>
      </c>
    </row>
    <row r="49" spans="1:34" ht="14.5">
      <c r="A49" s="19" t="s">
        <v>52</v>
      </c>
      <c r="B49" s="37" t="s">
        <v>51</v>
      </c>
      <c r="C49" s="33">
        <v>71.028343000000007</v>
      </c>
      <c r="D49" s="33">
        <v>72.220389999999995</v>
      </c>
      <c r="E49" s="33">
        <v>72.564766000000006</v>
      </c>
      <c r="F49" s="33">
        <v>73.078918000000002</v>
      </c>
      <c r="G49" s="33">
        <v>73.855468999999999</v>
      </c>
      <c r="H49" s="33">
        <v>74.440651000000003</v>
      </c>
      <c r="I49" s="33">
        <v>74.946922000000001</v>
      </c>
      <c r="J49" s="33">
        <v>75.432518000000002</v>
      </c>
      <c r="K49" s="33">
        <v>75.920792000000006</v>
      </c>
      <c r="L49" s="33">
        <v>76.399238999999994</v>
      </c>
      <c r="M49" s="33">
        <v>76.903839000000005</v>
      </c>
      <c r="N49" s="33">
        <v>77.42765</v>
      </c>
      <c r="O49" s="33">
        <v>77.983635000000007</v>
      </c>
      <c r="P49" s="33">
        <v>78.569892999999993</v>
      </c>
      <c r="Q49" s="33">
        <v>79.171509</v>
      </c>
      <c r="R49" s="33">
        <v>79.797179999999997</v>
      </c>
      <c r="S49" s="33">
        <v>80.421959000000001</v>
      </c>
      <c r="T49" s="33">
        <v>81.046386999999996</v>
      </c>
      <c r="U49" s="33">
        <v>81.662766000000005</v>
      </c>
      <c r="V49" s="33">
        <v>82.260727000000003</v>
      </c>
      <c r="W49" s="33">
        <v>82.849082999999993</v>
      </c>
      <c r="X49" s="33">
        <v>83.432929999999999</v>
      </c>
      <c r="Y49" s="33">
        <v>84.016846000000001</v>
      </c>
      <c r="Z49" s="33">
        <v>84.607123999999999</v>
      </c>
      <c r="AA49" s="33">
        <v>85.178466999999998</v>
      </c>
      <c r="AB49" s="33">
        <v>85.733245999999994</v>
      </c>
      <c r="AC49" s="33">
        <v>86.278441999999998</v>
      </c>
      <c r="AD49" s="33">
        <v>86.813041999999996</v>
      </c>
      <c r="AE49" s="33">
        <v>87.369904000000005</v>
      </c>
      <c r="AF49" s="33">
        <v>87.921379000000002</v>
      </c>
      <c r="AG49" s="33">
        <v>88.469986000000006</v>
      </c>
      <c r="AH49" s="32">
        <v>7.3460000000000001E-3</v>
      </c>
    </row>
    <row r="50" spans="1:34" ht="15" customHeight="1">
      <c r="B50" s="30" t="s">
        <v>50</v>
      </c>
    </row>
    <row r="51" spans="1:34" ht="15" customHeight="1">
      <c r="A51" s="19" t="s">
        <v>49</v>
      </c>
      <c r="B51" s="37" t="s">
        <v>48</v>
      </c>
      <c r="C51" s="33">
        <v>3.4893709999999998</v>
      </c>
      <c r="D51" s="33">
        <v>3.512003</v>
      </c>
      <c r="E51" s="33">
        <v>3.5347819999999999</v>
      </c>
      <c r="F51" s="33">
        <v>3.5577100000000002</v>
      </c>
      <c r="G51" s="33">
        <v>3.5807850000000001</v>
      </c>
      <c r="H51" s="33">
        <v>3.6040100000000002</v>
      </c>
      <c r="I51" s="33">
        <v>3.627386</v>
      </c>
      <c r="J51" s="33">
        <v>3.6509140000000002</v>
      </c>
      <c r="K51" s="33">
        <v>3.6745939999999999</v>
      </c>
      <c r="L51" s="33">
        <v>3.6984279999999998</v>
      </c>
      <c r="M51" s="33">
        <v>3.7224159999999999</v>
      </c>
      <c r="N51" s="33">
        <v>3.7465600000000001</v>
      </c>
      <c r="O51" s="33">
        <v>3.7708599999999999</v>
      </c>
      <c r="P51" s="33">
        <v>3.795318</v>
      </c>
      <c r="Q51" s="33">
        <v>3.8199350000000001</v>
      </c>
      <c r="R51" s="33">
        <v>3.8447119999999999</v>
      </c>
      <c r="S51" s="33">
        <v>3.8696489999999999</v>
      </c>
      <c r="T51" s="33">
        <v>3.8947479999999999</v>
      </c>
      <c r="U51" s="33">
        <v>3.9200089999999999</v>
      </c>
      <c r="V51" s="33">
        <v>3.9454349999999998</v>
      </c>
      <c r="W51" s="33">
        <v>3.971025</v>
      </c>
      <c r="X51" s="33">
        <v>3.9967820000000001</v>
      </c>
      <c r="Y51" s="33">
        <v>4.0227050000000002</v>
      </c>
      <c r="Z51" s="33">
        <v>4.0487970000000004</v>
      </c>
      <c r="AA51" s="33">
        <v>4.0750580000000003</v>
      </c>
      <c r="AB51" s="33">
        <v>4.1014889999999999</v>
      </c>
      <c r="AC51" s="33">
        <v>4.1280910000000004</v>
      </c>
      <c r="AD51" s="33">
        <v>4.1548660000000002</v>
      </c>
      <c r="AE51" s="33">
        <v>4.1818150000000003</v>
      </c>
      <c r="AF51" s="33">
        <v>4.208939</v>
      </c>
      <c r="AG51" s="33">
        <v>4.2362380000000002</v>
      </c>
      <c r="AH51" s="32">
        <v>6.4859999999999996E-3</v>
      </c>
    </row>
    <row r="52" spans="1:34" ht="15" customHeight="1">
      <c r="A52" s="19" t="s">
        <v>47</v>
      </c>
      <c r="B52" s="37" t="s">
        <v>46</v>
      </c>
      <c r="C52" s="33">
        <v>4.8419600000000003</v>
      </c>
      <c r="D52" s="33">
        <v>4.8707260000000003</v>
      </c>
      <c r="E52" s="33">
        <v>4.8996630000000003</v>
      </c>
      <c r="F52" s="33">
        <v>4.9287720000000004</v>
      </c>
      <c r="G52" s="33">
        <v>4.9580539999999997</v>
      </c>
      <c r="H52" s="33">
        <v>4.9875090000000002</v>
      </c>
      <c r="I52" s="33">
        <v>5.0171400000000004</v>
      </c>
      <c r="J52" s="33">
        <v>5.0469470000000003</v>
      </c>
      <c r="K52" s="33">
        <v>5.0769310000000001</v>
      </c>
      <c r="L52" s="33">
        <v>5.1070919999999997</v>
      </c>
      <c r="M52" s="33">
        <v>5.1374339999999998</v>
      </c>
      <c r="N52" s="33">
        <v>5.1679550000000001</v>
      </c>
      <c r="O52" s="33">
        <v>5.198658</v>
      </c>
      <c r="P52" s="33">
        <v>5.2295429999999996</v>
      </c>
      <c r="Q52" s="33">
        <v>5.2606109999999999</v>
      </c>
      <c r="R52" s="33">
        <v>5.2918640000000003</v>
      </c>
      <c r="S52" s="33">
        <v>5.3233030000000001</v>
      </c>
      <c r="T52" s="33">
        <v>5.3549290000000003</v>
      </c>
      <c r="U52" s="33">
        <v>5.3867419999999999</v>
      </c>
      <c r="V52" s="33">
        <v>5.4187450000000004</v>
      </c>
      <c r="W52" s="33">
        <v>5.4509379999999998</v>
      </c>
      <c r="X52" s="33">
        <v>5.4833220000000003</v>
      </c>
      <c r="Y52" s="33">
        <v>5.515898</v>
      </c>
      <c r="Z52" s="33">
        <v>5.548667</v>
      </c>
      <c r="AA52" s="33">
        <v>5.5816319999999999</v>
      </c>
      <c r="AB52" s="33">
        <v>5.6147919999999996</v>
      </c>
      <c r="AC52" s="33">
        <v>5.6481500000000002</v>
      </c>
      <c r="AD52" s="33">
        <v>5.681705</v>
      </c>
      <c r="AE52" s="33">
        <v>5.7154600000000002</v>
      </c>
      <c r="AF52" s="33">
        <v>5.7494160000000001</v>
      </c>
      <c r="AG52" s="33">
        <v>5.7835729999999996</v>
      </c>
      <c r="AH52" s="32">
        <v>5.9410000000000001E-3</v>
      </c>
    </row>
    <row r="54" spans="1:34" ht="15" customHeight="1">
      <c r="B54" s="30" t="s">
        <v>45</v>
      </c>
    </row>
    <row r="55" spans="1:34" ht="15" customHeight="1">
      <c r="B55" s="30" t="s">
        <v>44</v>
      </c>
    </row>
    <row r="56" spans="1:34" ht="15" customHeight="1">
      <c r="A56" s="19" t="s">
        <v>43</v>
      </c>
      <c r="B56" s="37" t="s">
        <v>27</v>
      </c>
      <c r="C56" s="34">
        <v>13.684958</v>
      </c>
      <c r="D56" s="34">
        <v>14.333231</v>
      </c>
      <c r="E56" s="34">
        <v>14.327021999999999</v>
      </c>
      <c r="F56" s="34">
        <v>14.365352</v>
      </c>
      <c r="G56" s="34">
        <v>14.366455</v>
      </c>
      <c r="H56" s="34">
        <v>14.341867000000001</v>
      </c>
      <c r="I56" s="34">
        <v>14.287132</v>
      </c>
      <c r="J56" s="34">
        <v>14.207239</v>
      </c>
      <c r="K56" s="34">
        <v>14.125375999999999</v>
      </c>
      <c r="L56" s="34">
        <v>14.028779</v>
      </c>
      <c r="M56" s="34">
        <v>13.931946</v>
      </c>
      <c r="N56" s="34">
        <v>13.831037999999999</v>
      </c>
      <c r="O56" s="34">
        <v>13.740598</v>
      </c>
      <c r="P56" s="34">
        <v>13.671222</v>
      </c>
      <c r="Q56" s="34">
        <v>13.614177</v>
      </c>
      <c r="R56" s="34">
        <v>13.578903</v>
      </c>
      <c r="S56" s="34">
        <v>13.555063000000001</v>
      </c>
      <c r="T56" s="34">
        <v>13.533011</v>
      </c>
      <c r="U56" s="34">
        <v>13.512934</v>
      </c>
      <c r="V56" s="34">
        <v>13.507698</v>
      </c>
      <c r="W56" s="34">
        <v>13.519425</v>
      </c>
      <c r="X56" s="34">
        <v>13.531686000000001</v>
      </c>
      <c r="Y56" s="34">
        <v>13.551019999999999</v>
      </c>
      <c r="Z56" s="34">
        <v>13.573046</v>
      </c>
      <c r="AA56" s="34">
        <v>13.591692</v>
      </c>
      <c r="AB56" s="34">
        <v>13.608699</v>
      </c>
      <c r="AC56" s="34">
        <v>13.631719</v>
      </c>
      <c r="AD56" s="34">
        <v>13.650460000000001</v>
      </c>
      <c r="AE56" s="34">
        <v>13.676695</v>
      </c>
      <c r="AF56" s="34">
        <v>13.70651</v>
      </c>
      <c r="AG56" s="34">
        <v>13.736445</v>
      </c>
      <c r="AH56" s="32">
        <v>1.25E-4</v>
      </c>
    </row>
    <row r="57" spans="1:34" ht="15" customHeight="1">
      <c r="A57" s="19" t="s">
        <v>42</v>
      </c>
      <c r="B57" s="37" t="s">
        <v>25</v>
      </c>
      <c r="C57" s="34">
        <v>0.80059800000000003</v>
      </c>
      <c r="D57" s="34">
        <v>0.82458299999999995</v>
      </c>
      <c r="E57" s="34">
        <v>0.83718000000000004</v>
      </c>
      <c r="F57" s="34">
        <v>0.84273699999999996</v>
      </c>
      <c r="G57" s="34">
        <v>0.85100799999999999</v>
      </c>
      <c r="H57" s="34">
        <v>0.86196399999999995</v>
      </c>
      <c r="I57" s="34">
        <v>0.86717699999999998</v>
      </c>
      <c r="J57" s="34">
        <v>0.86825600000000003</v>
      </c>
      <c r="K57" s="34">
        <v>0.86872099999999997</v>
      </c>
      <c r="L57" s="34">
        <v>0.86814400000000003</v>
      </c>
      <c r="M57" s="34">
        <v>0.86826999999999999</v>
      </c>
      <c r="N57" s="34">
        <v>0.86909099999999995</v>
      </c>
      <c r="O57" s="34">
        <v>0.87165899999999996</v>
      </c>
      <c r="P57" s="34">
        <v>0.87505599999999994</v>
      </c>
      <c r="Q57" s="34">
        <v>0.88052399999999997</v>
      </c>
      <c r="R57" s="34">
        <v>0.88854599999999995</v>
      </c>
      <c r="S57" s="34">
        <v>0.89660499999999999</v>
      </c>
      <c r="T57" s="34">
        <v>0.90457900000000002</v>
      </c>
      <c r="U57" s="34">
        <v>0.91307700000000003</v>
      </c>
      <c r="V57" s="34">
        <v>0.92239599999999999</v>
      </c>
      <c r="W57" s="34">
        <v>0.93201100000000003</v>
      </c>
      <c r="X57" s="34">
        <v>0.94283499999999998</v>
      </c>
      <c r="Y57" s="34">
        <v>0.95338000000000001</v>
      </c>
      <c r="Z57" s="34">
        <v>0.96523499999999995</v>
      </c>
      <c r="AA57" s="34">
        <v>0.97600699999999996</v>
      </c>
      <c r="AB57" s="34">
        <v>0.98721400000000004</v>
      </c>
      <c r="AC57" s="34">
        <v>0.99934699999999999</v>
      </c>
      <c r="AD57" s="34">
        <v>1.0087950000000001</v>
      </c>
      <c r="AE57" s="34">
        <v>1.01946</v>
      </c>
      <c r="AF57" s="34">
        <v>1.031487</v>
      </c>
      <c r="AG57" s="34">
        <v>1.0440879999999999</v>
      </c>
      <c r="AH57" s="32">
        <v>8.8909999999999996E-3</v>
      </c>
    </row>
    <row r="58" spans="1:34" ht="15" customHeight="1">
      <c r="A58" s="19" t="s">
        <v>41</v>
      </c>
      <c r="B58" s="37" t="s">
        <v>23</v>
      </c>
      <c r="C58" s="34">
        <v>0.123601</v>
      </c>
      <c r="D58" s="34">
        <v>0.15522900000000001</v>
      </c>
      <c r="E58" s="34">
        <v>0.178087</v>
      </c>
      <c r="F58" s="34">
        <v>0.19479399999999999</v>
      </c>
      <c r="G58" s="34">
        <v>0.20708699999999999</v>
      </c>
      <c r="H58" s="34">
        <v>0.21593300000000001</v>
      </c>
      <c r="I58" s="34">
        <v>0.22244700000000001</v>
      </c>
      <c r="J58" s="34">
        <v>0.22738700000000001</v>
      </c>
      <c r="K58" s="34">
        <v>0.229827</v>
      </c>
      <c r="L58" s="34">
        <v>0.231575</v>
      </c>
      <c r="M58" s="34">
        <v>0.23338500000000001</v>
      </c>
      <c r="N58" s="34">
        <v>0.23390900000000001</v>
      </c>
      <c r="O58" s="34">
        <v>0.23457700000000001</v>
      </c>
      <c r="P58" s="34">
        <v>0.234898</v>
      </c>
      <c r="Q58" s="34">
        <v>0.23511699999999999</v>
      </c>
      <c r="R58" s="34">
        <v>0.234732</v>
      </c>
      <c r="S58" s="34">
        <v>0.23453499999999999</v>
      </c>
      <c r="T58" s="34">
        <v>0.23432900000000001</v>
      </c>
      <c r="U58" s="34">
        <v>0.23397899999999999</v>
      </c>
      <c r="V58" s="34">
        <v>0.23338999999999999</v>
      </c>
      <c r="W58" s="34">
        <v>0.23292199999999999</v>
      </c>
      <c r="X58" s="34">
        <v>0.23225199999999999</v>
      </c>
      <c r="Y58" s="34">
        <v>0.231514</v>
      </c>
      <c r="Z58" s="34">
        <v>0.230767</v>
      </c>
      <c r="AA58" s="34">
        <v>0.23002500000000001</v>
      </c>
      <c r="AB58" s="34">
        <v>0.22927600000000001</v>
      </c>
      <c r="AC58" s="34">
        <v>0.22844200000000001</v>
      </c>
      <c r="AD58" s="34">
        <v>0.22769700000000001</v>
      </c>
      <c r="AE58" s="34">
        <v>0.226858</v>
      </c>
      <c r="AF58" s="34">
        <v>0.22628699999999999</v>
      </c>
      <c r="AG58" s="34">
        <v>0.225795</v>
      </c>
      <c r="AH58" s="32">
        <v>2.0289000000000001E-2</v>
      </c>
    </row>
    <row r="59" spans="1:34" ht="15" customHeight="1">
      <c r="A59" s="19" t="s">
        <v>40</v>
      </c>
      <c r="B59" s="37" t="s">
        <v>21</v>
      </c>
      <c r="C59" s="34">
        <v>5.2159930000000001</v>
      </c>
      <c r="D59" s="34">
        <v>5.3204609999999999</v>
      </c>
      <c r="E59" s="34">
        <v>5.4595950000000002</v>
      </c>
      <c r="F59" s="34">
        <v>5.506526</v>
      </c>
      <c r="G59" s="34">
        <v>5.5626040000000003</v>
      </c>
      <c r="H59" s="34">
        <v>5.6104079999999996</v>
      </c>
      <c r="I59" s="34">
        <v>5.6068360000000004</v>
      </c>
      <c r="J59" s="34">
        <v>5.5751730000000004</v>
      </c>
      <c r="K59" s="34">
        <v>5.5410500000000003</v>
      </c>
      <c r="L59" s="34">
        <v>5.4986579999999998</v>
      </c>
      <c r="M59" s="34">
        <v>5.4636519999999997</v>
      </c>
      <c r="N59" s="34">
        <v>5.4318739999999996</v>
      </c>
      <c r="O59" s="34">
        <v>5.4063179999999997</v>
      </c>
      <c r="P59" s="34">
        <v>5.3792429999999998</v>
      </c>
      <c r="Q59" s="34">
        <v>5.3702110000000003</v>
      </c>
      <c r="R59" s="34">
        <v>5.3847849999999999</v>
      </c>
      <c r="S59" s="34">
        <v>5.3986190000000001</v>
      </c>
      <c r="T59" s="34">
        <v>5.4140240000000004</v>
      </c>
      <c r="U59" s="34">
        <v>5.4384959999999998</v>
      </c>
      <c r="V59" s="34">
        <v>5.4711540000000003</v>
      </c>
      <c r="W59" s="34">
        <v>5.5007599999999996</v>
      </c>
      <c r="X59" s="34">
        <v>5.5429700000000004</v>
      </c>
      <c r="Y59" s="34">
        <v>5.5949099999999996</v>
      </c>
      <c r="Z59" s="34">
        <v>5.6619060000000001</v>
      </c>
      <c r="AA59" s="34">
        <v>5.7180059999999999</v>
      </c>
      <c r="AB59" s="34">
        <v>5.7784620000000002</v>
      </c>
      <c r="AC59" s="34">
        <v>5.8276389999999996</v>
      </c>
      <c r="AD59" s="34">
        <v>5.8751449999999998</v>
      </c>
      <c r="AE59" s="34">
        <v>5.9309279999999998</v>
      </c>
      <c r="AF59" s="34">
        <v>5.9916109999999998</v>
      </c>
      <c r="AG59" s="34">
        <v>6.0597490000000001</v>
      </c>
      <c r="AH59" s="32">
        <v>5.0099999999999997E-3</v>
      </c>
    </row>
    <row r="60" spans="1:34" ht="15" customHeight="1">
      <c r="A60" s="19" t="s">
        <v>39</v>
      </c>
      <c r="B60" s="37" t="s">
        <v>19</v>
      </c>
      <c r="C60" s="34">
        <v>2.9437000000000001E-2</v>
      </c>
      <c r="D60" s="34">
        <v>3.5250999999999998E-2</v>
      </c>
      <c r="E60" s="34">
        <v>3.9933999999999997E-2</v>
      </c>
      <c r="F60" s="34">
        <v>4.3478000000000003E-2</v>
      </c>
      <c r="G60" s="34">
        <v>4.6156000000000003E-2</v>
      </c>
      <c r="H60" s="34">
        <v>4.8166E-2</v>
      </c>
      <c r="I60" s="34">
        <v>4.9614999999999999E-2</v>
      </c>
      <c r="J60" s="34">
        <v>5.0694999999999997E-2</v>
      </c>
      <c r="K60" s="34">
        <v>5.1000999999999998E-2</v>
      </c>
      <c r="L60" s="34">
        <v>5.1249999999999997E-2</v>
      </c>
      <c r="M60" s="34">
        <v>5.1751999999999999E-2</v>
      </c>
      <c r="N60" s="34">
        <v>5.2019000000000003E-2</v>
      </c>
      <c r="O60" s="34">
        <v>5.2574000000000003E-2</v>
      </c>
      <c r="P60" s="34">
        <v>5.3110999999999998E-2</v>
      </c>
      <c r="Q60" s="34">
        <v>5.3765E-2</v>
      </c>
      <c r="R60" s="34">
        <v>5.4330000000000003E-2</v>
      </c>
      <c r="S60" s="34">
        <v>5.4952000000000001E-2</v>
      </c>
      <c r="T60" s="34">
        <v>5.5550000000000002E-2</v>
      </c>
      <c r="U60" s="34">
        <v>5.6141000000000003E-2</v>
      </c>
      <c r="V60" s="34">
        <v>5.6751999999999997E-2</v>
      </c>
      <c r="W60" s="34">
        <v>5.7542000000000003E-2</v>
      </c>
      <c r="X60" s="34">
        <v>5.8268E-2</v>
      </c>
      <c r="Y60" s="34">
        <v>5.8978999999999997E-2</v>
      </c>
      <c r="Z60" s="34">
        <v>5.9712000000000001E-2</v>
      </c>
      <c r="AA60" s="34">
        <v>6.0417999999999999E-2</v>
      </c>
      <c r="AB60" s="34">
        <v>6.1203E-2</v>
      </c>
      <c r="AC60" s="34">
        <v>6.1918000000000001E-2</v>
      </c>
      <c r="AD60" s="34">
        <v>6.2562999999999994E-2</v>
      </c>
      <c r="AE60" s="34">
        <v>6.3254000000000005E-2</v>
      </c>
      <c r="AF60" s="34">
        <v>6.4011999999999999E-2</v>
      </c>
      <c r="AG60" s="34">
        <v>6.4755999999999994E-2</v>
      </c>
      <c r="AH60" s="32">
        <v>2.6627000000000001E-2</v>
      </c>
    </row>
    <row r="61" spans="1:34" ht="15" customHeight="1">
      <c r="A61" s="19" t="s">
        <v>38</v>
      </c>
      <c r="B61" s="37" t="s">
        <v>17</v>
      </c>
      <c r="C61" s="34">
        <v>0.43232900000000002</v>
      </c>
      <c r="D61" s="34">
        <v>0.45580100000000001</v>
      </c>
      <c r="E61" s="34">
        <v>0.45732</v>
      </c>
      <c r="F61" s="34">
        <v>0.454818</v>
      </c>
      <c r="G61" s="34">
        <v>0.451847</v>
      </c>
      <c r="H61" s="34">
        <v>0.43503900000000001</v>
      </c>
      <c r="I61" s="34">
        <v>0.43754799999999999</v>
      </c>
      <c r="J61" s="34">
        <v>0.4345</v>
      </c>
      <c r="K61" s="34">
        <v>0.43706899999999999</v>
      </c>
      <c r="L61" s="34">
        <v>0.43899500000000002</v>
      </c>
      <c r="M61" s="34">
        <v>0.44097999999999998</v>
      </c>
      <c r="N61" s="34">
        <v>0.44152999999999998</v>
      </c>
      <c r="O61" s="34">
        <v>0.44140099999999999</v>
      </c>
      <c r="P61" s="34">
        <v>0.44216800000000001</v>
      </c>
      <c r="Q61" s="34">
        <v>0.44150200000000001</v>
      </c>
      <c r="R61" s="34">
        <v>0.44238</v>
      </c>
      <c r="S61" s="34">
        <v>0.44302399999999997</v>
      </c>
      <c r="T61" s="34">
        <v>0.44314700000000001</v>
      </c>
      <c r="U61" s="34">
        <v>0.44133800000000001</v>
      </c>
      <c r="V61" s="34">
        <v>0.44294099999999997</v>
      </c>
      <c r="W61" s="34">
        <v>0.44156499999999999</v>
      </c>
      <c r="X61" s="34">
        <v>0.44180900000000001</v>
      </c>
      <c r="Y61" s="34">
        <v>0.443276</v>
      </c>
      <c r="Z61" s="34">
        <v>0.44572400000000001</v>
      </c>
      <c r="AA61" s="34">
        <v>0.44377699999999998</v>
      </c>
      <c r="AB61" s="34">
        <v>0.44437199999999999</v>
      </c>
      <c r="AC61" s="34">
        <v>0.44388899999999998</v>
      </c>
      <c r="AD61" s="34">
        <v>0.44447300000000001</v>
      </c>
      <c r="AE61" s="34">
        <v>0.444998</v>
      </c>
      <c r="AF61" s="34">
        <v>0.44572099999999998</v>
      </c>
      <c r="AG61" s="34">
        <v>0.448216</v>
      </c>
      <c r="AH61" s="32">
        <v>1.204E-3</v>
      </c>
    </row>
    <row r="62" spans="1:34" ht="15" customHeight="1">
      <c r="A62" s="19" t="s">
        <v>37</v>
      </c>
      <c r="B62" s="37" t="s">
        <v>15</v>
      </c>
      <c r="C62" s="34">
        <v>7.7342999999999995E-2</v>
      </c>
      <c r="D62" s="34">
        <v>7.9141000000000003E-2</v>
      </c>
      <c r="E62" s="34">
        <v>7.8228000000000006E-2</v>
      </c>
      <c r="F62" s="34">
        <v>7.7350000000000002E-2</v>
      </c>
      <c r="G62" s="34">
        <v>7.6447000000000001E-2</v>
      </c>
      <c r="H62" s="34">
        <v>7.5055999999999998E-2</v>
      </c>
      <c r="I62" s="34">
        <v>7.3205000000000006E-2</v>
      </c>
      <c r="J62" s="34">
        <v>7.1057999999999996E-2</v>
      </c>
      <c r="K62" s="34">
        <v>6.8995000000000001E-2</v>
      </c>
      <c r="L62" s="34">
        <v>6.6834000000000005E-2</v>
      </c>
      <c r="M62" s="34">
        <v>6.4753000000000005E-2</v>
      </c>
      <c r="N62" s="34">
        <v>6.3638E-2</v>
      </c>
      <c r="O62" s="34">
        <v>6.2604999999999994E-2</v>
      </c>
      <c r="P62" s="34">
        <v>6.1511000000000003E-2</v>
      </c>
      <c r="Q62" s="34">
        <v>6.0561999999999998E-2</v>
      </c>
      <c r="R62" s="34">
        <v>5.9665000000000003E-2</v>
      </c>
      <c r="S62" s="34">
        <v>5.8721000000000002E-2</v>
      </c>
      <c r="T62" s="34">
        <v>5.7710999999999998E-2</v>
      </c>
      <c r="U62" s="34">
        <v>5.6659000000000001E-2</v>
      </c>
      <c r="V62" s="34">
        <v>5.5745000000000003E-2</v>
      </c>
      <c r="W62" s="34">
        <v>5.4691999999999998E-2</v>
      </c>
      <c r="X62" s="34">
        <v>5.4265000000000001E-2</v>
      </c>
      <c r="Y62" s="34">
        <v>5.3873999999999998E-2</v>
      </c>
      <c r="Z62" s="34">
        <v>5.3634000000000001E-2</v>
      </c>
      <c r="AA62" s="34">
        <v>5.3240000000000003E-2</v>
      </c>
      <c r="AB62" s="34">
        <v>5.2873000000000003E-2</v>
      </c>
      <c r="AC62" s="34">
        <v>5.2373000000000003E-2</v>
      </c>
      <c r="AD62" s="34">
        <v>5.1891E-2</v>
      </c>
      <c r="AE62" s="34">
        <v>5.1369999999999999E-2</v>
      </c>
      <c r="AF62" s="34">
        <v>5.0909999999999997E-2</v>
      </c>
      <c r="AG62" s="34">
        <v>5.0533000000000002E-2</v>
      </c>
      <c r="AH62" s="32">
        <v>-1.4087000000000001E-2</v>
      </c>
    </row>
    <row r="63" spans="1:34" ht="15" customHeight="1">
      <c r="A63" s="19" t="s">
        <v>36</v>
      </c>
      <c r="B63" s="37" t="s">
        <v>13</v>
      </c>
      <c r="C63" s="34">
        <v>0.85588699999999995</v>
      </c>
      <c r="D63" s="34">
        <v>0.88146500000000005</v>
      </c>
      <c r="E63" s="34">
        <v>0.97399800000000003</v>
      </c>
      <c r="F63" s="34">
        <v>0.99219299999999999</v>
      </c>
      <c r="G63" s="34">
        <v>0.94140199999999996</v>
      </c>
      <c r="H63" s="34">
        <v>0.94455199999999995</v>
      </c>
      <c r="I63" s="34">
        <v>0.95648100000000003</v>
      </c>
      <c r="J63" s="34">
        <v>0.93381199999999998</v>
      </c>
      <c r="K63" s="34">
        <v>0.934805</v>
      </c>
      <c r="L63" s="34">
        <v>0.92679599999999995</v>
      </c>
      <c r="M63" s="34">
        <v>0.92925999999999997</v>
      </c>
      <c r="N63" s="34">
        <v>0.94632799999999995</v>
      </c>
      <c r="O63" s="34">
        <v>0.93156600000000001</v>
      </c>
      <c r="P63" s="34">
        <v>0.93201599999999996</v>
      </c>
      <c r="Q63" s="34">
        <v>0.92967699999999998</v>
      </c>
      <c r="R63" s="34">
        <v>0.94440900000000005</v>
      </c>
      <c r="S63" s="34">
        <v>0.93007300000000004</v>
      </c>
      <c r="T63" s="34">
        <v>0.92956099999999997</v>
      </c>
      <c r="U63" s="34">
        <v>0.93966099999999997</v>
      </c>
      <c r="V63" s="34">
        <v>0.92616299999999996</v>
      </c>
      <c r="W63" s="34">
        <v>0.92442899999999995</v>
      </c>
      <c r="X63" s="34">
        <v>0.93703499999999995</v>
      </c>
      <c r="Y63" s="34">
        <v>0.92113299999999998</v>
      </c>
      <c r="Z63" s="34">
        <v>0.92034000000000005</v>
      </c>
      <c r="AA63" s="34">
        <v>0.913829</v>
      </c>
      <c r="AB63" s="34">
        <v>0.91423299999999996</v>
      </c>
      <c r="AC63" s="34">
        <v>0.91046499999999997</v>
      </c>
      <c r="AD63" s="34">
        <v>0.90820599999999996</v>
      </c>
      <c r="AE63" s="34">
        <v>0.90868899999999997</v>
      </c>
      <c r="AF63" s="34">
        <v>0.90733200000000003</v>
      </c>
      <c r="AG63" s="34">
        <v>0.90486500000000003</v>
      </c>
      <c r="AH63" s="32">
        <v>1.8569999999999999E-3</v>
      </c>
    </row>
    <row r="64" spans="1:34" ht="15" customHeight="1">
      <c r="A64" s="19" t="s">
        <v>35</v>
      </c>
      <c r="B64" s="37" t="s">
        <v>11</v>
      </c>
      <c r="C64" s="34">
        <v>0.195878</v>
      </c>
      <c r="D64" s="34">
        <v>0.196657</v>
      </c>
      <c r="E64" s="34">
        <v>0.199716</v>
      </c>
      <c r="F64" s="34">
        <v>0.201514</v>
      </c>
      <c r="G64" s="34">
        <v>0.20225699999999999</v>
      </c>
      <c r="H64" s="34">
        <v>0.202574</v>
      </c>
      <c r="I64" s="34">
        <v>0.20185400000000001</v>
      </c>
      <c r="J64" s="34">
        <v>0.200378</v>
      </c>
      <c r="K64" s="34">
        <v>0.19867399999999999</v>
      </c>
      <c r="L64" s="34">
        <v>0.19683</v>
      </c>
      <c r="M64" s="34">
        <v>0.19506899999999999</v>
      </c>
      <c r="N64" s="34">
        <v>0.19355600000000001</v>
      </c>
      <c r="O64" s="34">
        <v>0.19248899999999999</v>
      </c>
      <c r="P64" s="34">
        <v>0.191383</v>
      </c>
      <c r="Q64" s="34">
        <v>0.19048399999999999</v>
      </c>
      <c r="R64" s="34">
        <v>0.18981799999999999</v>
      </c>
      <c r="S64" s="34">
        <v>0.18890999999999999</v>
      </c>
      <c r="T64" s="34">
        <v>0.18775900000000001</v>
      </c>
      <c r="U64" s="34">
        <v>0.18665799999999999</v>
      </c>
      <c r="V64" s="34">
        <v>0.18580199999999999</v>
      </c>
      <c r="W64" s="34">
        <v>0.185223</v>
      </c>
      <c r="X64" s="34">
        <v>0.184588</v>
      </c>
      <c r="Y64" s="34">
        <v>0.18388199999999999</v>
      </c>
      <c r="Z64" s="34">
        <v>0.183175</v>
      </c>
      <c r="AA64" s="34">
        <v>0.18232899999999999</v>
      </c>
      <c r="AB64" s="34">
        <v>0.18168000000000001</v>
      </c>
      <c r="AC64" s="34">
        <v>0.18090600000000001</v>
      </c>
      <c r="AD64" s="34">
        <v>0.17988000000000001</v>
      </c>
      <c r="AE64" s="34">
        <v>0.17913999999999999</v>
      </c>
      <c r="AF64" s="34">
        <v>0.178366</v>
      </c>
      <c r="AG64" s="34">
        <v>0.17757200000000001</v>
      </c>
      <c r="AH64" s="32">
        <v>-3.2650000000000001E-3</v>
      </c>
    </row>
    <row r="65" spans="1:34" ht="15" customHeight="1">
      <c r="A65" s="19" t="s">
        <v>34</v>
      </c>
      <c r="B65" s="37" t="s">
        <v>9</v>
      </c>
      <c r="C65" s="34">
        <v>1.8604849999999999</v>
      </c>
      <c r="D65" s="34">
        <v>2.5309840000000001</v>
      </c>
      <c r="E65" s="34">
        <v>2.826346</v>
      </c>
      <c r="F65" s="34">
        <v>2.9633050000000001</v>
      </c>
      <c r="G65" s="34">
        <v>3.051768</v>
      </c>
      <c r="H65" s="34">
        <v>3.1202190000000001</v>
      </c>
      <c r="I65" s="34">
        <v>3.1442420000000002</v>
      </c>
      <c r="J65" s="34">
        <v>3.161629</v>
      </c>
      <c r="K65" s="34">
        <v>3.1827920000000001</v>
      </c>
      <c r="L65" s="34">
        <v>3.201851</v>
      </c>
      <c r="M65" s="34">
        <v>3.2224719999999998</v>
      </c>
      <c r="N65" s="34">
        <v>3.248707</v>
      </c>
      <c r="O65" s="34">
        <v>3.287299</v>
      </c>
      <c r="P65" s="34">
        <v>3.3252969999999999</v>
      </c>
      <c r="Q65" s="34">
        <v>3.3677899999999998</v>
      </c>
      <c r="R65" s="34">
        <v>3.4168150000000002</v>
      </c>
      <c r="S65" s="34">
        <v>3.4574729999999998</v>
      </c>
      <c r="T65" s="34">
        <v>3.4922019999999998</v>
      </c>
      <c r="U65" s="34">
        <v>3.528905</v>
      </c>
      <c r="V65" s="34">
        <v>3.5702959999999999</v>
      </c>
      <c r="W65" s="34">
        <v>3.6220219999999999</v>
      </c>
      <c r="X65" s="34">
        <v>3.6698469999999999</v>
      </c>
      <c r="Y65" s="34">
        <v>3.7189999999999999</v>
      </c>
      <c r="Z65" s="34">
        <v>3.7657590000000001</v>
      </c>
      <c r="AA65" s="34">
        <v>3.8141929999999999</v>
      </c>
      <c r="AB65" s="34">
        <v>3.8668140000000002</v>
      </c>
      <c r="AC65" s="34">
        <v>3.914752</v>
      </c>
      <c r="AD65" s="34">
        <v>3.951365</v>
      </c>
      <c r="AE65" s="34">
        <v>3.9906259999999998</v>
      </c>
      <c r="AF65" s="34">
        <v>4.0264129999999998</v>
      </c>
      <c r="AG65" s="34">
        <v>4.0628089999999997</v>
      </c>
      <c r="AH65" s="32">
        <v>2.6376E-2</v>
      </c>
    </row>
    <row r="66" spans="1:34" ht="14.5">
      <c r="A66" s="19" t="s">
        <v>33</v>
      </c>
      <c r="B66" s="37" t="s">
        <v>7</v>
      </c>
      <c r="C66" s="34">
        <v>0.53596600000000005</v>
      </c>
      <c r="D66" s="34">
        <v>0.54501100000000002</v>
      </c>
      <c r="E66" s="34">
        <v>0.54574900000000004</v>
      </c>
      <c r="F66" s="34">
        <v>0.53256999999999999</v>
      </c>
      <c r="G66" s="34">
        <v>0.52388000000000001</v>
      </c>
      <c r="H66" s="34">
        <v>0.52335699999999996</v>
      </c>
      <c r="I66" s="34">
        <v>0.52210000000000001</v>
      </c>
      <c r="J66" s="34">
        <v>0.52193000000000001</v>
      </c>
      <c r="K66" s="34">
        <v>0.52480800000000005</v>
      </c>
      <c r="L66" s="34">
        <v>0.52364999999999995</v>
      </c>
      <c r="M66" s="34">
        <v>0.52166599999999996</v>
      </c>
      <c r="N66" s="34">
        <v>0.52158499999999997</v>
      </c>
      <c r="O66" s="34">
        <v>0.52242</v>
      </c>
      <c r="P66" s="34">
        <v>0.52328699999999995</v>
      </c>
      <c r="Q66" s="34">
        <v>0.52416399999999996</v>
      </c>
      <c r="R66" s="34">
        <v>0.52504200000000001</v>
      </c>
      <c r="S66" s="34">
        <v>0.52595800000000004</v>
      </c>
      <c r="T66" s="34">
        <v>0.52690599999999999</v>
      </c>
      <c r="U66" s="34">
        <v>0.52786699999999998</v>
      </c>
      <c r="V66" s="34">
        <v>0.52883199999999997</v>
      </c>
      <c r="W66" s="34">
        <v>0.52980700000000003</v>
      </c>
      <c r="X66" s="34">
        <v>0.53079100000000001</v>
      </c>
      <c r="Y66" s="34">
        <v>0.531775</v>
      </c>
      <c r="Z66" s="34">
        <v>0.53276599999999996</v>
      </c>
      <c r="AA66" s="34">
        <v>0.53375799999999995</v>
      </c>
      <c r="AB66" s="34">
        <v>0.53475300000000003</v>
      </c>
      <c r="AC66" s="34">
        <v>0.53574900000000003</v>
      </c>
      <c r="AD66" s="34">
        <v>0.53674500000000003</v>
      </c>
      <c r="AE66" s="34">
        <v>0.53774</v>
      </c>
      <c r="AF66" s="34">
        <v>0.53873499999999996</v>
      </c>
      <c r="AG66" s="34">
        <v>0.53972699999999996</v>
      </c>
      <c r="AH66" s="32">
        <v>2.33E-4</v>
      </c>
    </row>
    <row r="67" spans="1:34" ht="15" customHeight="1">
      <c r="A67" s="19" t="s">
        <v>32</v>
      </c>
      <c r="B67" s="37" t="s">
        <v>5</v>
      </c>
      <c r="C67" s="34">
        <v>0.121224</v>
      </c>
      <c r="D67" s="34">
        <v>0.1234</v>
      </c>
      <c r="E67" s="34">
        <v>0.124821</v>
      </c>
      <c r="F67" s="34">
        <v>0.125915</v>
      </c>
      <c r="G67" s="34">
        <v>0.12665599999999999</v>
      </c>
      <c r="H67" s="34">
        <v>0.12704099999999999</v>
      </c>
      <c r="I67" s="34">
        <v>0.12720699999999999</v>
      </c>
      <c r="J67" s="34">
        <v>0.12685399999999999</v>
      </c>
      <c r="K67" s="34">
        <v>0.12659699999999999</v>
      </c>
      <c r="L67" s="34">
        <v>0.12637799999999999</v>
      </c>
      <c r="M67" s="34">
        <v>0.12607399999999999</v>
      </c>
      <c r="N67" s="34">
        <v>0.125802</v>
      </c>
      <c r="O67" s="34">
        <v>0.125585</v>
      </c>
      <c r="P67" s="34">
        <v>0.12540100000000001</v>
      </c>
      <c r="Q67" s="34">
        <v>0.12528900000000001</v>
      </c>
      <c r="R67" s="34">
        <v>0.12520500000000001</v>
      </c>
      <c r="S67" s="34">
        <v>0.125084</v>
      </c>
      <c r="T67" s="34">
        <v>0.124934</v>
      </c>
      <c r="U67" s="34">
        <v>0.12483</v>
      </c>
      <c r="V67" s="34">
        <v>0.12475799999999999</v>
      </c>
      <c r="W67" s="34">
        <v>0.12467300000000001</v>
      </c>
      <c r="X67" s="34">
        <v>0.12458900000000001</v>
      </c>
      <c r="Y67" s="34">
        <v>0.12452199999999999</v>
      </c>
      <c r="Z67" s="34">
        <v>0.12444</v>
      </c>
      <c r="AA67" s="34">
        <v>0.12442300000000001</v>
      </c>
      <c r="AB67" s="34">
        <v>0.124498</v>
      </c>
      <c r="AC67" s="34">
        <v>0.124516</v>
      </c>
      <c r="AD67" s="34">
        <v>0.124474</v>
      </c>
      <c r="AE67" s="34">
        <v>0.124496</v>
      </c>
      <c r="AF67" s="34">
        <v>0.12447</v>
      </c>
      <c r="AG67" s="34">
        <v>0.124386</v>
      </c>
      <c r="AH67" s="32">
        <v>8.5800000000000004E-4</v>
      </c>
    </row>
    <row r="68" spans="1:34" ht="15" customHeight="1">
      <c r="A68" s="19" t="s">
        <v>31</v>
      </c>
      <c r="B68" s="37" t="s">
        <v>841</v>
      </c>
      <c r="C68" s="34">
        <v>0.70625000000000004</v>
      </c>
      <c r="D68" s="34">
        <v>0.76514199999999999</v>
      </c>
      <c r="E68" s="34">
        <v>0.75534999999999997</v>
      </c>
      <c r="F68" s="34">
        <v>0.73163800000000001</v>
      </c>
      <c r="G68" s="34">
        <v>0.72320700000000004</v>
      </c>
      <c r="H68" s="34">
        <v>0.72460599999999997</v>
      </c>
      <c r="I68" s="34">
        <v>0.69105000000000005</v>
      </c>
      <c r="J68" s="34">
        <v>0.70114299999999996</v>
      </c>
      <c r="K68" s="34">
        <v>0.70106599999999997</v>
      </c>
      <c r="L68" s="34">
        <v>0.70103700000000002</v>
      </c>
      <c r="M68" s="34">
        <v>0.69345999999999997</v>
      </c>
      <c r="N68" s="34">
        <v>0.69447499999999995</v>
      </c>
      <c r="O68" s="34">
        <v>0.69711800000000002</v>
      </c>
      <c r="P68" s="34">
        <v>0.697967</v>
      </c>
      <c r="Q68" s="34">
        <v>0.69689400000000001</v>
      </c>
      <c r="R68" s="34">
        <v>0.70055699999999999</v>
      </c>
      <c r="S68" s="34">
        <v>0.70885299999999996</v>
      </c>
      <c r="T68" s="34">
        <v>0.71820200000000001</v>
      </c>
      <c r="U68" s="34">
        <v>0.72597800000000001</v>
      </c>
      <c r="V68" s="34">
        <v>0.73066299999999995</v>
      </c>
      <c r="W68" s="34">
        <v>0.73456100000000002</v>
      </c>
      <c r="X68" s="34">
        <v>0.73710699999999996</v>
      </c>
      <c r="Y68" s="34">
        <v>0.74127100000000001</v>
      </c>
      <c r="Z68" s="34">
        <v>0.74834999999999996</v>
      </c>
      <c r="AA68" s="34">
        <v>0.75938399999999995</v>
      </c>
      <c r="AB68" s="34">
        <v>0.76585899999999996</v>
      </c>
      <c r="AC68" s="34">
        <v>0.77389399999999997</v>
      </c>
      <c r="AD68" s="34">
        <v>0.78306399999999998</v>
      </c>
      <c r="AE68" s="34">
        <v>0.77831700000000004</v>
      </c>
      <c r="AF68" s="34">
        <v>0.77742100000000003</v>
      </c>
      <c r="AG68" s="34">
        <v>0.78483800000000004</v>
      </c>
      <c r="AH68" s="32">
        <v>3.5230000000000001E-3</v>
      </c>
    </row>
    <row r="69" spans="1:34" ht="15" customHeight="1">
      <c r="A69" s="19" t="s">
        <v>30</v>
      </c>
      <c r="B69" s="30" t="s">
        <v>2</v>
      </c>
      <c r="C69" s="35">
        <v>24.639949999999999</v>
      </c>
      <c r="D69" s="35">
        <v>26.246357</v>
      </c>
      <c r="E69" s="35">
        <v>26.803346999999999</v>
      </c>
      <c r="F69" s="35">
        <v>27.032191999999998</v>
      </c>
      <c r="G69" s="35">
        <v>27.130775</v>
      </c>
      <c r="H69" s="35">
        <v>27.230782999999999</v>
      </c>
      <c r="I69" s="35">
        <v>27.186893000000001</v>
      </c>
      <c r="J69" s="35">
        <v>27.080057</v>
      </c>
      <c r="K69" s="35">
        <v>26.990781999999999</v>
      </c>
      <c r="L69" s="35">
        <v>26.860776999999999</v>
      </c>
      <c r="M69" s="35">
        <v>26.742740999999999</v>
      </c>
      <c r="N69" s="35">
        <v>26.653552999999999</v>
      </c>
      <c r="O69" s="35">
        <v>26.566212</v>
      </c>
      <c r="P69" s="35">
        <v>26.512560000000001</v>
      </c>
      <c r="Q69" s="35">
        <v>26.490155999999999</v>
      </c>
      <c r="R69" s="35">
        <v>26.545183000000002</v>
      </c>
      <c r="S69" s="35">
        <v>26.577869</v>
      </c>
      <c r="T69" s="35">
        <v>26.621919999999999</v>
      </c>
      <c r="U69" s="35">
        <v>26.686522</v>
      </c>
      <c r="V69" s="35">
        <v>26.756589999999999</v>
      </c>
      <c r="W69" s="35">
        <v>26.859634</v>
      </c>
      <c r="X69" s="35">
        <v>26.988043000000001</v>
      </c>
      <c r="Y69" s="35">
        <v>27.108532</v>
      </c>
      <c r="Z69" s="35">
        <v>27.264854</v>
      </c>
      <c r="AA69" s="35">
        <v>27.401077000000001</v>
      </c>
      <c r="AB69" s="35">
        <v>27.549935999999999</v>
      </c>
      <c r="AC69" s="35">
        <v>27.685604000000001</v>
      </c>
      <c r="AD69" s="35">
        <v>27.804758</v>
      </c>
      <c r="AE69" s="35">
        <v>27.932570999999999</v>
      </c>
      <c r="AF69" s="35">
        <v>28.069272999999999</v>
      </c>
      <c r="AG69" s="35">
        <v>28.223777999999999</v>
      </c>
      <c r="AH69" s="36">
        <v>4.5370000000000002E-3</v>
      </c>
    </row>
    <row r="71" spans="1:34" ht="15" customHeight="1">
      <c r="B71" s="30" t="s">
        <v>29</v>
      </c>
    </row>
    <row r="72" spans="1:34" ht="15" customHeight="1">
      <c r="A72" s="19" t="s">
        <v>28</v>
      </c>
      <c r="B72" s="37" t="s">
        <v>27</v>
      </c>
      <c r="C72" s="34">
        <v>7.422104</v>
      </c>
      <c r="D72" s="34">
        <v>7.773714</v>
      </c>
      <c r="E72" s="34">
        <v>7.7697630000000002</v>
      </c>
      <c r="F72" s="34">
        <v>7.7905490000000004</v>
      </c>
      <c r="G72" s="34">
        <v>7.7908759999999999</v>
      </c>
      <c r="H72" s="34">
        <v>7.7786350000000004</v>
      </c>
      <c r="I72" s="34">
        <v>7.7499859999999998</v>
      </c>
      <c r="J72" s="34">
        <v>7.7076289999999998</v>
      </c>
      <c r="K72" s="34">
        <v>7.6641500000000002</v>
      </c>
      <c r="L72" s="34">
        <v>7.6126469999999999</v>
      </c>
      <c r="M72" s="34">
        <v>7.5609859999999998</v>
      </c>
      <c r="N72" s="34">
        <v>7.5070259999999998</v>
      </c>
      <c r="O72" s="34">
        <v>7.458717</v>
      </c>
      <c r="P72" s="34">
        <v>7.4217919999999999</v>
      </c>
      <c r="Q72" s="34">
        <v>7.3914980000000003</v>
      </c>
      <c r="R72" s="34">
        <v>7.3730469999999997</v>
      </c>
      <c r="S72" s="34">
        <v>7.3603690000000004</v>
      </c>
      <c r="T72" s="34">
        <v>7.34863</v>
      </c>
      <c r="U72" s="34">
        <v>7.3379159999999999</v>
      </c>
      <c r="V72" s="34">
        <v>7.3352300000000001</v>
      </c>
      <c r="W72" s="34">
        <v>7.3416990000000002</v>
      </c>
      <c r="X72" s="34">
        <v>7.3483140000000002</v>
      </c>
      <c r="Y72" s="34">
        <v>7.3587730000000002</v>
      </c>
      <c r="Z72" s="34">
        <v>7.3706800000000001</v>
      </c>
      <c r="AA72" s="34">
        <v>7.380744</v>
      </c>
      <c r="AB72" s="34">
        <v>7.3899119999999998</v>
      </c>
      <c r="AC72" s="34">
        <v>7.4023599999999998</v>
      </c>
      <c r="AD72" s="34">
        <v>7.4125079999999999</v>
      </c>
      <c r="AE72" s="34">
        <v>7.426698</v>
      </c>
      <c r="AF72" s="34">
        <v>7.4428510000000001</v>
      </c>
      <c r="AG72" s="34">
        <v>7.4590490000000003</v>
      </c>
      <c r="AH72" s="32">
        <v>1.66E-4</v>
      </c>
    </row>
    <row r="73" spans="1:34" ht="14.5">
      <c r="A73" s="19" t="s">
        <v>26</v>
      </c>
      <c r="B73" s="37" t="s">
        <v>25</v>
      </c>
      <c r="C73" s="34">
        <v>0.417402</v>
      </c>
      <c r="D73" s="34">
        <v>0.42975200000000002</v>
      </c>
      <c r="E73" s="34">
        <v>0.43609999999999999</v>
      </c>
      <c r="F73" s="34">
        <v>0.438805</v>
      </c>
      <c r="G73" s="34">
        <v>0.44289600000000001</v>
      </c>
      <c r="H73" s="34">
        <v>0.44851400000000002</v>
      </c>
      <c r="I73" s="34">
        <v>0.45119199999999998</v>
      </c>
      <c r="J73" s="34">
        <v>0.45177299999999998</v>
      </c>
      <c r="K73" s="34">
        <v>0.45205600000000001</v>
      </c>
      <c r="L73" s="34">
        <v>0.45185500000000001</v>
      </c>
      <c r="M73" s="34">
        <v>0.452067</v>
      </c>
      <c r="N73" s="34">
        <v>0.452658</v>
      </c>
      <c r="O73" s="34">
        <v>0.454179</v>
      </c>
      <c r="P73" s="34">
        <v>0.45615800000000001</v>
      </c>
      <c r="Q73" s="34">
        <v>0.45923199999999997</v>
      </c>
      <c r="R73" s="34">
        <v>0.46366400000000002</v>
      </c>
      <c r="S73" s="34">
        <v>0.46811000000000003</v>
      </c>
      <c r="T73" s="34">
        <v>0.47255200000000003</v>
      </c>
      <c r="U73" s="34">
        <v>0.47728500000000001</v>
      </c>
      <c r="V73" s="34">
        <v>0.48243999999999998</v>
      </c>
      <c r="W73" s="34">
        <v>0.48775299999999999</v>
      </c>
      <c r="X73" s="34">
        <v>0.49367100000000003</v>
      </c>
      <c r="Y73" s="34">
        <v>0.49945899999999999</v>
      </c>
      <c r="Z73" s="34">
        <v>0.50590100000000005</v>
      </c>
      <c r="AA73" s="34">
        <v>0.51175499999999996</v>
      </c>
      <c r="AB73" s="34">
        <v>0.51780099999999996</v>
      </c>
      <c r="AC73" s="34">
        <v>0.52437599999999995</v>
      </c>
      <c r="AD73" s="34">
        <v>0.52958499999999997</v>
      </c>
      <c r="AE73" s="34">
        <v>0.53547299999999998</v>
      </c>
      <c r="AF73" s="34">
        <v>0.54211100000000001</v>
      </c>
      <c r="AG73" s="34">
        <v>0.54907799999999995</v>
      </c>
      <c r="AH73" s="32">
        <v>9.1809999999999999E-3</v>
      </c>
    </row>
    <row r="74" spans="1:34" ht="15" customHeight="1">
      <c r="A74" s="19" t="s">
        <v>24</v>
      </c>
      <c r="B74" s="37" t="s">
        <v>23</v>
      </c>
      <c r="C74" s="34">
        <v>5.9764999999999999E-2</v>
      </c>
      <c r="D74" s="34">
        <v>7.5079999999999994E-2</v>
      </c>
      <c r="E74" s="34">
        <v>8.616E-2</v>
      </c>
      <c r="F74" s="34">
        <v>9.4232999999999997E-2</v>
      </c>
      <c r="G74" s="34">
        <v>0.100171</v>
      </c>
      <c r="H74" s="34">
        <v>0.104438</v>
      </c>
      <c r="I74" s="34">
        <v>0.107584</v>
      </c>
      <c r="J74" s="34">
        <v>0.10997899999999999</v>
      </c>
      <c r="K74" s="34">
        <v>0.111142</v>
      </c>
      <c r="L74" s="34">
        <v>0.111985</v>
      </c>
      <c r="M74" s="34">
        <v>0.112868</v>
      </c>
      <c r="N74" s="34">
        <v>0.113118</v>
      </c>
      <c r="O74" s="34">
        <v>0.11344799999999999</v>
      </c>
      <c r="P74" s="34">
        <v>0.113605</v>
      </c>
      <c r="Q74" s="34">
        <v>0.113716</v>
      </c>
      <c r="R74" s="34">
        <v>0.11353000000000001</v>
      </c>
      <c r="S74" s="34">
        <v>0.113436</v>
      </c>
      <c r="T74" s="34">
        <v>0.11333600000000001</v>
      </c>
      <c r="U74" s="34">
        <v>0.11317099999999999</v>
      </c>
      <c r="V74" s="34">
        <v>0.112886</v>
      </c>
      <c r="W74" s="34">
        <v>0.112663</v>
      </c>
      <c r="X74" s="34">
        <v>0.11233700000000001</v>
      </c>
      <c r="Y74" s="34">
        <v>0.11198</v>
      </c>
      <c r="Z74" s="34">
        <v>0.11162</v>
      </c>
      <c r="AA74" s="34">
        <v>0.111264</v>
      </c>
      <c r="AB74" s="34">
        <v>0.11088199999999999</v>
      </c>
      <c r="AC74" s="34">
        <v>0.110487</v>
      </c>
      <c r="AD74" s="34">
        <v>0.110127</v>
      </c>
      <c r="AE74" s="34">
        <v>0.109734</v>
      </c>
      <c r="AF74" s="34">
        <v>0.109462</v>
      </c>
      <c r="AG74" s="34">
        <v>0.109221</v>
      </c>
      <c r="AH74" s="32">
        <v>2.0302000000000001E-2</v>
      </c>
    </row>
    <row r="75" spans="1:34" ht="15" customHeight="1">
      <c r="A75" s="19" t="s">
        <v>22</v>
      </c>
      <c r="B75" s="37" t="s">
        <v>21</v>
      </c>
      <c r="C75" s="34">
        <v>2.511301</v>
      </c>
      <c r="D75" s="34">
        <v>2.562341</v>
      </c>
      <c r="E75" s="34">
        <v>2.6297199999999998</v>
      </c>
      <c r="F75" s="34">
        <v>2.6519339999999998</v>
      </c>
      <c r="G75" s="34">
        <v>2.6785030000000001</v>
      </c>
      <c r="H75" s="34">
        <v>2.7010839999999998</v>
      </c>
      <c r="I75" s="34">
        <v>2.6993149999999999</v>
      </c>
      <c r="J75" s="34">
        <v>2.684517</v>
      </c>
      <c r="K75" s="34">
        <v>2.6682670000000002</v>
      </c>
      <c r="L75" s="34">
        <v>2.6485669999999999</v>
      </c>
      <c r="M75" s="34">
        <v>2.6326610000000001</v>
      </c>
      <c r="N75" s="34">
        <v>2.6181239999999999</v>
      </c>
      <c r="O75" s="34">
        <v>2.60683</v>
      </c>
      <c r="P75" s="34">
        <v>2.5946570000000002</v>
      </c>
      <c r="Q75" s="34">
        <v>2.5912009999999999</v>
      </c>
      <c r="R75" s="34">
        <v>2.5990639999999998</v>
      </c>
      <c r="S75" s="34">
        <v>2.6064630000000002</v>
      </c>
      <c r="T75" s="34">
        <v>2.614655</v>
      </c>
      <c r="U75" s="34">
        <v>2.6273339999999998</v>
      </c>
      <c r="V75" s="34">
        <v>2.6439460000000001</v>
      </c>
      <c r="W75" s="34">
        <v>2.65917</v>
      </c>
      <c r="X75" s="34">
        <v>2.6803979999999998</v>
      </c>
      <c r="Y75" s="34">
        <v>2.7063990000000002</v>
      </c>
      <c r="Z75" s="34">
        <v>2.7397800000000001</v>
      </c>
      <c r="AA75" s="34">
        <v>2.7679420000000001</v>
      </c>
      <c r="AB75" s="34">
        <v>2.797641</v>
      </c>
      <c r="AC75" s="34">
        <v>2.8227530000000001</v>
      </c>
      <c r="AD75" s="34">
        <v>2.8469129999999998</v>
      </c>
      <c r="AE75" s="34">
        <v>2.8755120000000001</v>
      </c>
      <c r="AF75" s="34">
        <v>2.9062830000000002</v>
      </c>
      <c r="AG75" s="34">
        <v>2.9404349999999999</v>
      </c>
      <c r="AH75" s="32">
        <v>5.2719999999999998E-3</v>
      </c>
    </row>
    <row r="76" spans="1:34" ht="15" customHeight="1">
      <c r="A76" s="19" t="s">
        <v>20</v>
      </c>
      <c r="B76" s="37" t="s">
        <v>19</v>
      </c>
      <c r="C76" s="34">
        <v>1.3936E-2</v>
      </c>
      <c r="D76" s="34">
        <v>1.6691999999999999E-2</v>
      </c>
      <c r="E76" s="34">
        <v>1.8912000000000002E-2</v>
      </c>
      <c r="F76" s="34">
        <v>2.0590000000000001E-2</v>
      </c>
      <c r="G76" s="34">
        <v>2.1857000000000001E-2</v>
      </c>
      <c r="H76" s="34">
        <v>2.2807000000000001E-2</v>
      </c>
      <c r="I76" s="34">
        <v>2.3493E-2</v>
      </c>
      <c r="J76" s="34">
        <v>2.4004999999999999E-2</v>
      </c>
      <c r="K76" s="34">
        <v>2.4147999999999999E-2</v>
      </c>
      <c r="L76" s="34">
        <v>2.4264999999999998E-2</v>
      </c>
      <c r="M76" s="34">
        <v>2.4503E-2</v>
      </c>
      <c r="N76" s="34">
        <v>2.4629999999999999E-2</v>
      </c>
      <c r="O76" s="34">
        <v>2.4892999999999998E-2</v>
      </c>
      <c r="P76" s="34">
        <v>2.5146999999999999E-2</v>
      </c>
      <c r="Q76" s="34">
        <v>2.5457E-2</v>
      </c>
      <c r="R76" s="34">
        <v>2.5725000000000001E-2</v>
      </c>
      <c r="S76" s="34">
        <v>2.6019E-2</v>
      </c>
      <c r="T76" s="34">
        <v>2.6301999999999999E-2</v>
      </c>
      <c r="U76" s="34">
        <v>2.6582000000000001E-2</v>
      </c>
      <c r="V76" s="34">
        <v>2.6870999999999999E-2</v>
      </c>
      <c r="W76" s="34">
        <v>2.7245999999999999E-2</v>
      </c>
      <c r="X76" s="34">
        <v>2.7588999999999999E-2</v>
      </c>
      <c r="Y76" s="34">
        <v>2.7925999999999999E-2</v>
      </c>
      <c r="Z76" s="34">
        <v>2.8273E-2</v>
      </c>
      <c r="AA76" s="34">
        <v>2.8608000000000001E-2</v>
      </c>
      <c r="AB76" s="34">
        <v>2.8975999999999998E-2</v>
      </c>
      <c r="AC76" s="34">
        <v>2.9315999999999998E-2</v>
      </c>
      <c r="AD76" s="34">
        <v>2.9621999999999999E-2</v>
      </c>
      <c r="AE76" s="34">
        <v>2.9950999999999998E-2</v>
      </c>
      <c r="AF76" s="34">
        <v>3.0311000000000001E-2</v>
      </c>
      <c r="AG76" s="34">
        <v>3.0662999999999999E-2</v>
      </c>
      <c r="AH76" s="32">
        <v>2.6634000000000001E-2</v>
      </c>
    </row>
    <row r="77" spans="1:34" ht="15" customHeight="1">
      <c r="A77" s="19" t="s">
        <v>18</v>
      </c>
      <c r="B77" s="37" t="s">
        <v>17</v>
      </c>
      <c r="C77" s="34">
        <v>0.20519999999999999</v>
      </c>
      <c r="D77" s="34">
        <v>0.21641299999999999</v>
      </c>
      <c r="E77" s="34">
        <v>0.21717900000000001</v>
      </c>
      <c r="F77" s="34">
        <v>0.215971</v>
      </c>
      <c r="G77" s="34">
        <v>0.214533</v>
      </c>
      <c r="H77" s="34">
        <v>0.20651900000000001</v>
      </c>
      <c r="I77" s="34">
        <v>0.20768800000000001</v>
      </c>
      <c r="J77" s="34">
        <v>0.20623900000000001</v>
      </c>
      <c r="K77" s="34">
        <v>0.20741000000000001</v>
      </c>
      <c r="L77" s="34">
        <v>0.20830399999999999</v>
      </c>
      <c r="M77" s="34">
        <v>0.20923700000000001</v>
      </c>
      <c r="N77" s="34">
        <v>0.20947099999999999</v>
      </c>
      <c r="O77" s="34">
        <v>0.2094</v>
      </c>
      <c r="P77" s="34">
        <v>0.20974400000000001</v>
      </c>
      <c r="Q77" s="34">
        <v>0.20941199999999999</v>
      </c>
      <c r="R77" s="34">
        <v>0.20981</v>
      </c>
      <c r="S77" s="34">
        <v>0.210093</v>
      </c>
      <c r="T77" s="34">
        <v>0.21012900000000001</v>
      </c>
      <c r="U77" s="34">
        <v>0.209256</v>
      </c>
      <c r="V77" s="34">
        <v>0.20999599999999999</v>
      </c>
      <c r="W77" s="34">
        <v>0.20933099999999999</v>
      </c>
      <c r="X77" s="34">
        <v>0.209426</v>
      </c>
      <c r="Y77" s="34">
        <v>0.21010400000000001</v>
      </c>
      <c r="Z77" s="34">
        <v>0.21125099999999999</v>
      </c>
      <c r="AA77" s="34">
        <v>0.210315</v>
      </c>
      <c r="AB77" s="34">
        <v>0.21054899999999999</v>
      </c>
      <c r="AC77" s="34">
        <v>0.21032100000000001</v>
      </c>
      <c r="AD77" s="34">
        <v>0.210586</v>
      </c>
      <c r="AE77" s="34">
        <v>0.210842</v>
      </c>
      <c r="AF77" s="34">
        <v>0.21118000000000001</v>
      </c>
      <c r="AG77" s="34">
        <v>0.212342</v>
      </c>
      <c r="AH77" s="32">
        <v>1.1410000000000001E-3</v>
      </c>
    </row>
    <row r="78" spans="1:34" ht="15" customHeight="1">
      <c r="A78" s="19" t="s">
        <v>16</v>
      </c>
      <c r="B78" s="37" t="s">
        <v>15</v>
      </c>
      <c r="C78" s="34">
        <v>3.6641E-2</v>
      </c>
      <c r="D78" s="34">
        <v>3.7508E-2</v>
      </c>
      <c r="E78" s="34">
        <v>3.7086000000000001E-2</v>
      </c>
      <c r="F78" s="34">
        <v>3.6670000000000001E-2</v>
      </c>
      <c r="G78" s="34">
        <v>3.6240000000000001E-2</v>
      </c>
      <c r="H78" s="34">
        <v>3.5579E-2</v>
      </c>
      <c r="I78" s="34">
        <v>3.4701000000000003E-2</v>
      </c>
      <c r="J78" s="34">
        <v>3.3688000000000003E-2</v>
      </c>
      <c r="K78" s="34">
        <v>3.2705999999999999E-2</v>
      </c>
      <c r="L78" s="34">
        <v>3.1683000000000003E-2</v>
      </c>
      <c r="M78" s="34">
        <v>3.0700999999999999E-2</v>
      </c>
      <c r="N78" s="34">
        <v>3.0173999999999999E-2</v>
      </c>
      <c r="O78" s="34">
        <v>2.9687999999999999E-2</v>
      </c>
      <c r="P78" s="34">
        <v>2.9170999999999999E-2</v>
      </c>
      <c r="Q78" s="34">
        <v>2.8722999999999999E-2</v>
      </c>
      <c r="R78" s="34">
        <v>2.8299999999999999E-2</v>
      </c>
      <c r="S78" s="34">
        <v>2.7854E-2</v>
      </c>
      <c r="T78" s="34">
        <v>2.7376000000000001E-2</v>
      </c>
      <c r="U78" s="34">
        <v>2.6879E-2</v>
      </c>
      <c r="V78" s="34">
        <v>2.6446999999999998E-2</v>
      </c>
      <c r="W78" s="34">
        <v>2.5950000000000001E-2</v>
      </c>
      <c r="X78" s="34">
        <v>2.5746999999999999E-2</v>
      </c>
      <c r="Y78" s="34">
        <v>2.5561E-2</v>
      </c>
      <c r="Z78" s="34">
        <v>2.5447999999999998E-2</v>
      </c>
      <c r="AA78" s="34">
        <v>2.5260999999999999E-2</v>
      </c>
      <c r="AB78" s="34">
        <v>2.5080999999999999E-2</v>
      </c>
      <c r="AC78" s="34">
        <v>2.4846E-2</v>
      </c>
      <c r="AD78" s="34">
        <v>2.4618000000000001E-2</v>
      </c>
      <c r="AE78" s="34">
        <v>2.4375000000000001E-2</v>
      </c>
      <c r="AF78" s="34">
        <v>2.4157999999999999E-2</v>
      </c>
      <c r="AG78" s="34">
        <v>2.3977999999999999E-2</v>
      </c>
      <c r="AH78" s="32">
        <v>-1.4035000000000001E-2</v>
      </c>
    </row>
    <row r="79" spans="1:34" ht="14.5">
      <c r="A79" s="19" t="s">
        <v>14</v>
      </c>
      <c r="B79" s="37" t="s">
        <v>13</v>
      </c>
      <c r="C79" s="34">
        <v>0.390127</v>
      </c>
      <c r="D79" s="34">
        <v>0.39991399999999999</v>
      </c>
      <c r="E79" s="34">
        <v>0.43495600000000001</v>
      </c>
      <c r="F79" s="34">
        <v>0.441884</v>
      </c>
      <c r="G79" s="34">
        <v>0.42280499999999999</v>
      </c>
      <c r="H79" s="34">
        <v>0.42404599999999998</v>
      </c>
      <c r="I79" s="34">
        <v>0.42859700000000001</v>
      </c>
      <c r="J79" s="34">
        <v>0.42010900000000001</v>
      </c>
      <c r="K79" s="34">
        <v>0.42051500000000003</v>
      </c>
      <c r="L79" s="34">
        <v>0.417549</v>
      </c>
      <c r="M79" s="34">
        <v>0.41855399999999998</v>
      </c>
      <c r="N79" s="34">
        <v>0.425043</v>
      </c>
      <c r="O79" s="34">
        <v>0.41953699999999999</v>
      </c>
      <c r="P79" s="34">
        <v>0.41976000000000002</v>
      </c>
      <c r="Q79" s="34">
        <v>0.41893599999999998</v>
      </c>
      <c r="R79" s="34">
        <v>0.42455599999999999</v>
      </c>
      <c r="S79" s="34">
        <v>0.41920200000000002</v>
      </c>
      <c r="T79" s="34">
        <v>0.41905500000000001</v>
      </c>
      <c r="U79" s="34">
        <v>0.42291600000000001</v>
      </c>
      <c r="V79" s="34">
        <v>0.417875</v>
      </c>
      <c r="W79" s="34">
        <v>0.417271</v>
      </c>
      <c r="X79" s="34">
        <v>0.422074</v>
      </c>
      <c r="Y79" s="34">
        <v>0.41612100000000002</v>
      </c>
      <c r="Z79" s="34">
        <v>0.41587299999999999</v>
      </c>
      <c r="AA79" s="34">
        <v>0.41346300000000002</v>
      </c>
      <c r="AB79" s="34">
        <v>0.41362399999999999</v>
      </c>
      <c r="AC79" s="34">
        <v>0.41226600000000002</v>
      </c>
      <c r="AD79" s="34">
        <v>0.41145999999999999</v>
      </c>
      <c r="AE79" s="34">
        <v>0.41171799999999997</v>
      </c>
      <c r="AF79" s="34">
        <v>0.41126200000000002</v>
      </c>
      <c r="AG79" s="34">
        <v>0.41036499999999998</v>
      </c>
      <c r="AH79" s="32">
        <v>1.6869999999999999E-3</v>
      </c>
    </row>
    <row r="80" spans="1:34" ht="15" customHeight="1">
      <c r="A80" s="19" t="s">
        <v>12</v>
      </c>
      <c r="B80" s="37" t="s">
        <v>11</v>
      </c>
      <c r="C80" s="34">
        <v>0.10620300000000001</v>
      </c>
      <c r="D80" s="34">
        <v>0.106628</v>
      </c>
      <c r="E80" s="34">
        <v>0.108291</v>
      </c>
      <c r="F80" s="34">
        <v>0.10927000000000001</v>
      </c>
      <c r="G80" s="34">
        <v>0.109676</v>
      </c>
      <c r="H80" s="34">
        <v>0.109872</v>
      </c>
      <c r="I80" s="34">
        <v>0.10950500000000001</v>
      </c>
      <c r="J80" s="34">
        <v>0.10872800000000001</v>
      </c>
      <c r="K80" s="34">
        <v>0.10782700000000001</v>
      </c>
      <c r="L80" s="34">
        <v>0.10685</v>
      </c>
      <c r="M80" s="34">
        <v>0.105917</v>
      </c>
      <c r="N80" s="34">
        <v>0.105118</v>
      </c>
      <c r="O80" s="34">
        <v>0.104561</v>
      </c>
      <c r="P80" s="34">
        <v>0.10398300000000001</v>
      </c>
      <c r="Q80" s="34">
        <v>0.103517</v>
      </c>
      <c r="R80" s="34">
        <v>0.10317800000000001</v>
      </c>
      <c r="S80" s="34">
        <v>0.102702</v>
      </c>
      <c r="T80" s="34">
        <v>0.102093</v>
      </c>
      <c r="U80" s="34">
        <v>0.10151200000000001</v>
      </c>
      <c r="V80" s="34">
        <v>0.101063</v>
      </c>
      <c r="W80" s="34">
        <v>0.10076499999999999</v>
      </c>
      <c r="X80" s="34">
        <v>0.100435</v>
      </c>
      <c r="Y80" s="34">
        <v>0.100065</v>
      </c>
      <c r="Z80" s="34">
        <v>9.9694000000000005E-2</v>
      </c>
      <c r="AA80" s="34">
        <v>9.9248000000000003E-2</v>
      </c>
      <c r="AB80" s="34">
        <v>9.8908999999999997E-2</v>
      </c>
      <c r="AC80" s="34">
        <v>9.8502000000000006E-2</v>
      </c>
      <c r="AD80" s="34">
        <v>9.7958000000000003E-2</v>
      </c>
      <c r="AE80" s="34">
        <v>9.7569000000000003E-2</v>
      </c>
      <c r="AF80" s="34">
        <v>9.7160999999999997E-2</v>
      </c>
      <c r="AG80" s="34">
        <v>9.6742999999999996E-2</v>
      </c>
      <c r="AH80" s="32">
        <v>-3.1050000000000001E-3</v>
      </c>
    </row>
    <row r="81" spans="1:34" ht="14.5">
      <c r="A81" s="19" t="s">
        <v>10</v>
      </c>
      <c r="B81" s="37" t="s">
        <v>9</v>
      </c>
      <c r="C81" s="34">
        <v>0.90030500000000002</v>
      </c>
      <c r="D81" s="34">
        <v>1.224288</v>
      </c>
      <c r="E81" s="34">
        <v>1.367005</v>
      </c>
      <c r="F81" s="34">
        <v>1.4331830000000001</v>
      </c>
      <c r="G81" s="34">
        <v>1.4759279999999999</v>
      </c>
      <c r="H81" s="34">
        <v>1.5090049999999999</v>
      </c>
      <c r="I81" s="34">
        <v>1.520615</v>
      </c>
      <c r="J81" s="34">
        <v>1.5290189999999999</v>
      </c>
      <c r="K81" s="34">
        <v>1.539247</v>
      </c>
      <c r="L81" s="34">
        <v>1.548459</v>
      </c>
      <c r="M81" s="34">
        <v>1.5584260000000001</v>
      </c>
      <c r="N81" s="34">
        <v>1.571105</v>
      </c>
      <c r="O81" s="34">
        <v>1.589755</v>
      </c>
      <c r="P81" s="34">
        <v>1.608117</v>
      </c>
      <c r="Q81" s="34">
        <v>1.6286529999999999</v>
      </c>
      <c r="R81" s="34">
        <v>1.652344</v>
      </c>
      <c r="S81" s="34">
        <v>1.6719919999999999</v>
      </c>
      <c r="T81" s="34">
        <v>1.6887749999999999</v>
      </c>
      <c r="U81" s="34">
        <v>1.7065109999999999</v>
      </c>
      <c r="V81" s="34">
        <v>1.7265140000000001</v>
      </c>
      <c r="W81" s="34">
        <v>1.7515099999999999</v>
      </c>
      <c r="X81" s="34">
        <v>1.7746200000000001</v>
      </c>
      <c r="Y81" s="34">
        <v>1.798373</v>
      </c>
      <c r="Z81" s="34">
        <v>1.8209679999999999</v>
      </c>
      <c r="AA81" s="34">
        <v>1.844373</v>
      </c>
      <c r="AB81" s="34">
        <v>1.869801</v>
      </c>
      <c r="AC81" s="34">
        <v>1.8929659999999999</v>
      </c>
      <c r="AD81" s="34">
        <v>1.9106590000000001</v>
      </c>
      <c r="AE81" s="34">
        <v>1.929632</v>
      </c>
      <c r="AF81" s="34">
        <v>1.9469259999999999</v>
      </c>
      <c r="AG81" s="34">
        <v>1.9645140000000001</v>
      </c>
      <c r="AH81" s="32">
        <v>2.6349999999999998E-2</v>
      </c>
    </row>
    <row r="82" spans="1:34" ht="15" customHeight="1">
      <c r="A82" s="19" t="s">
        <v>8</v>
      </c>
      <c r="B82" s="37" t="s">
        <v>7</v>
      </c>
      <c r="C82" s="34">
        <v>0.257081</v>
      </c>
      <c r="D82" s="34">
        <v>0.261438</v>
      </c>
      <c r="E82" s="34">
        <v>0.26180300000000001</v>
      </c>
      <c r="F82" s="34">
        <v>0.25547700000000001</v>
      </c>
      <c r="G82" s="34">
        <v>0.251303</v>
      </c>
      <c r="H82" s="34">
        <v>0.25104399999999999</v>
      </c>
      <c r="I82" s="34">
        <v>0.25043799999999999</v>
      </c>
      <c r="J82" s="34">
        <v>0.25036000000000003</v>
      </c>
      <c r="K82" s="34">
        <v>0.25173099999999998</v>
      </c>
      <c r="L82" s="34">
        <v>0.25117600000000001</v>
      </c>
      <c r="M82" s="34">
        <v>0.25022699999999998</v>
      </c>
      <c r="N82" s="34">
        <v>0.25018699999999999</v>
      </c>
      <c r="O82" s="34">
        <v>0.25059100000000001</v>
      </c>
      <c r="P82" s="34">
        <v>0.25100600000000001</v>
      </c>
      <c r="Q82" s="34">
        <v>0.25142799999999998</v>
      </c>
      <c r="R82" s="34">
        <v>0.25185000000000002</v>
      </c>
      <c r="S82" s="34">
        <v>0.25228800000000001</v>
      </c>
      <c r="T82" s="34">
        <v>0.25274200000000002</v>
      </c>
      <c r="U82" s="34">
        <v>0.25320399999999998</v>
      </c>
      <c r="V82" s="34">
        <v>0.253666</v>
      </c>
      <c r="W82" s="34">
        <v>0.25413599999999997</v>
      </c>
      <c r="X82" s="34">
        <v>0.25460700000000003</v>
      </c>
      <c r="Y82" s="34">
        <v>0.25507800000000003</v>
      </c>
      <c r="Z82" s="34">
        <v>0.255554</v>
      </c>
      <c r="AA82" s="34">
        <v>0.25603199999999998</v>
      </c>
      <c r="AB82" s="34">
        <v>0.256496</v>
      </c>
      <c r="AC82" s="34">
        <v>0.25697999999999999</v>
      </c>
      <c r="AD82" s="34">
        <v>0.25745899999999999</v>
      </c>
      <c r="AE82" s="34">
        <v>0.25794699999999998</v>
      </c>
      <c r="AF82" s="34">
        <v>0.25842799999999999</v>
      </c>
      <c r="AG82" s="34">
        <v>0.25890200000000002</v>
      </c>
      <c r="AH82" s="32">
        <v>2.3499999999999999E-4</v>
      </c>
    </row>
    <row r="83" spans="1:34" ht="15" customHeight="1">
      <c r="A83" s="19" t="s">
        <v>6</v>
      </c>
      <c r="B83" s="37" t="s">
        <v>5</v>
      </c>
      <c r="C83" s="34">
        <v>5.7262E-2</v>
      </c>
      <c r="D83" s="34">
        <v>5.8290000000000002E-2</v>
      </c>
      <c r="E83" s="34">
        <v>5.8961E-2</v>
      </c>
      <c r="F83" s="34">
        <v>5.9478000000000003E-2</v>
      </c>
      <c r="G83" s="34">
        <v>5.9827999999999999E-2</v>
      </c>
      <c r="H83" s="34">
        <v>6.0010000000000001E-2</v>
      </c>
      <c r="I83" s="34">
        <v>6.0088000000000003E-2</v>
      </c>
      <c r="J83" s="34">
        <v>5.9921000000000002E-2</v>
      </c>
      <c r="K83" s="34">
        <v>5.9799999999999999E-2</v>
      </c>
      <c r="L83" s="34">
        <v>5.9697E-2</v>
      </c>
      <c r="M83" s="34">
        <v>5.9553000000000002E-2</v>
      </c>
      <c r="N83" s="34">
        <v>5.9423999999999998E-2</v>
      </c>
      <c r="O83" s="34">
        <v>5.9322E-2</v>
      </c>
      <c r="P83" s="34">
        <v>5.9235000000000003E-2</v>
      </c>
      <c r="Q83" s="34">
        <v>5.9182999999999999E-2</v>
      </c>
      <c r="R83" s="34">
        <v>5.9143000000000001E-2</v>
      </c>
      <c r="S83" s="34">
        <v>5.9086E-2</v>
      </c>
      <c r="T83" s="34">
        <v>5.9014999999999998E-2</v>
      </c>
      <c r="U83" s="34">
        <v>5.8965999999999998E-2</v>
      </c>
      <c r="V83" s="34">
        <v>5.8930999999999997E-2</v>
      </c>
      <c r="W83" s="34">
        <v>5.8892E-2</v>
      </c>
      <c r="X83" s="34">
        <v>5.8852000000000002E-2</v>
      </c>
      <c r="Y83" s="34">
        <v>5.8819999999999997E-2</v>
      </c>
      <c r="Z83" s="34">
        <v>5.8781E-2</v>
      </c>
      <c r="AA83" s="34">
        <v>5.8772999999999999E-2</v>
      </c>
      <c r="AB83" s="34">
        <v>5.8809E-2</v>
      </c>
      <c r="AC83" s="34">
        <v>5.8817000000000001E-2</v>
      </c>
      <c r="AD83" s="34">
        <v>5.8797000000000002E-2</v>
      </c>
      <c r="AE83" s="34">
        <v>5.8807999999999999E-2</v>
      </c>
      <c r="AF83" s="34">
        <v>5.8795E-2</v>
      </c>
      <c r="AG83" s="34">
        <v>5.8756000000000003E-2</v>
      </c>
      <c r="AH83" s="32">
        <v>8.5800000000000004E-4</v>
      </c>
    </row>
    <row r="84" spans="1:34" ht="15" customHeight="1">
      <c r="A84" s="19" t="s">
        <v>4</v>
      </c>
      <c r="B84" s="37" t="s">
        <v>841</v>
      </c>
      <c r="C84" s="34">
        <v>0.33360899999999999</v>
      </c>
      <c r="D84" s="34">
        <v>0.361427</v>
      </c>
      <c r="E84" s="34">
        <v>0.35680200000000001</v>
      </c>
      <c r="F84" s="34">
        <v>0.34560099999999999</v>
      </c>
      <c r="G84" s="34">
        <v>0.34161900000000001</v>
      </c>
      <c r="H84" s="34">
        <v>0.34227999999999997</v>
      </c>
      <c r="I84" s="34">
        <v>0.32642900000000002</v>
      </c>
      <c r="J84" s="34">
        <v>0.33119700000000002</v>
      </c>
      <c r="K84" s="34">
        <v>0.33116000000000001</v>
      </c>
      <c r="L84" s="34">
        <v>0.331146</v>
      </c>
      <c r="M84" s="34">
        <v>0.327567</v>
      </c>
      <c r="N84" s="34">
        <v>0.32804699999999998</v>
      </c>
      <c r="O84" s="34">
        <v>0.329295</v>
      </c>
      <c r="P84" s="34">
        <v>0.32969599999999999</v>
      </c>
      <c r="Q84" s="34">
        <v>0.32918999999999998</v>
      </c>
      <c r="R84" s="34">
        <v>0.33091999999999999</v>
      </c>
      <c r="S84" s="34">
        <v>0.33483800000000002</v>
      </c>
      <c r="T84" s="34">
        <v>0.33925499999999997</v>
      </c>
      <c r="U84" s="34">
        <v>0.34292800000000001</v>
      </c>
      <c r="V84" s="34">
        <v>0.34514099999999998</v>
      </c>
      <c r="W84" s="34">
        <v>0.34698200000000001</v>
      </c>
      <c r="X84" s="34">
        <v>0.34818500000000002</v>
      </c>
      <c r="Y84" s="34">
        <v>0.35015200000000002</v>
      </c>
      <c r="Z84" s="34">
        <v>0.35349599999999998</v>
      </c>
      <c r="AA84" s="34">
        <v>0.35870800000000003</v>
      </c>
      <c r="AB84" s="34">
        <v>0.36176599999999998</v>
      </c>
      <c r="AC84" s="34">
        <v>0.365562</v>
      </c>
      <c r="AD84" s="34">
        <v>0.36989300000000003</v>
      </c>
      <c r="AE84" s="34">
        <v>0.36765100000000001</v>
      </c>
      <c r="AF84" s="34">
        <v>0.367228</v>
      </c>
      <c r="AG84" s="34">
        <v>0.37073099999999998</v>
      </c>
      <c r="AH84" s="32">
        <v>3.5230000000000001E-3</v>
      </c>
    </row>
    <row r="85" spans="1:34" ht="15" customHeight="1">
      <c r="A85" s="19" t="s">
        <v>3</v>
      </c>
      <c r="B85" s="30" t="s">
        <v>2</v>
      </c>
      <c r="C85" s="35">
        <v>12.710936999999999</v>
      </c>
      <c r="D85" s="35">
        <v>13.523485000000001</v>
      </c>
      <c r="E85" s="35">
        <v>13.782738</v>
      </c>
      <c r="F85" s="35">
        <v>13.893643000000001</v>
      </c>
      <c r="G85" s="35">
        <v>13.946235</v>
      </c>
      <c r="H85" s="35">
        <v>13.993831999999999</v>
      </c>
      <c r="I85" s="35">
        <v>13.969633</v>
      </c>
      <c r="J85" s="35">
        <v>13.917164</v>
      </c>
      <c r="K85" s="35">
        <v>13.870161</v>
      </c>
      <c r="L85" s="35">
        <v>13.804183999999999</v>
      </c>
      <c r="M85" s="35">
        <v>13.743266</v>
      </c>
      <c r="N85" s="35">
        <v>13.694122999999999</v>
      </c>
      <c r="O85" s="35">
        <v>13.650218000000001</v>
      </c>
      <c r="P85" s="35">
        <v>13.622070000000001</v>
      </c>
      <c r="Q85" s="35">
        <v>13.610144</v>
      </c>
      <c r="R85" s="35">
        <v>13.63513</v>
      </c>
      <c r="S85" s="35">
        <v>13.652452</v>
      </c>
      <c r="T85" s="35">
        <v>13.673914999999999</v>
      </c>
      <c r="U85" s="35">
        <v>13.704461</v>
      </c>
      <c r="V85" s="35">
        <v>13.741007</v>
      </c>
      <c r="W85" s="35">
        <v>13.793367</v>
      </c>
      <c r="X85" s="35">
        <v>13.856253000000001</v>
      </c>
      <c r="Y85" s="35">
        <v>13.918808</v>
      </c>
      <c r="Z85" s="35">
        <v>13.997322</v>
      </c>
      <c r="AA85" s="35">
        <v>14.066484000000001</v>
      </c>
      <c r="AB85" s="35">
        <v>14.140247</v>
      </c>
      <c r="AC85" s="35">
        <v>14.209555</v>
      </c>
      <c r="AD85" s="35">
        <v>14.270186000000001</v>
      </c>
      <c r="AE85" s="35">
        <v>14.335910999999999</v>
      </c>
      <c r="AF85" s="35">
        <v>14.406158</v>
      </c>
      <c r="AG85" s="35">
        <v>14.484776999999999</v>
      </c>
      <c r="AH85" s="36">
        <v>4.3639999999999998E-3</v>
      </c>
    </row>
    <row r="86" spans="1:34" ht="15" customHeight="1" thickBot="1"/>
    <row r="87" spans="1:34" ht="15" customHeight="1">
      <c r="B87" s="145" t="s">
        <v>1184</v>
      </c>
      <c r="C87" s="146"/>
      <c r="D87" s="146"/>
      <c r="E87" s="146"/>
      <c r="F87" s="146"/>
      <c r="G87" s="146"/>
      <c r="H87" s="146"/>
      <c r="I87" s="146"/>
      <c r="J87" s="146"/>
      <c r="K87" s="146"/>
      <c r="L87" s="146"/>
      <c r="M87" s="146"/>
      <c r="N87" s="146"/>
      <c r="O87" s="146"/>
      <c r="P87" s="146"/>
      <c r="Q87" s="146"/>
      <c r="R87" s="146"/>
      <c r="S87" s="146"/>
      <c r="T87" s="146"/>
      <c r="U87" s="146"/>
      <c r="V87" s="146"/>
      <c r="W87" s="146"/>
      <c r="X87" s="146"/>
      <c r="Y87" s="146"/>
      <c r="Z87" s="146"/>
      <c r="AA87" s="146"/>
      <c r="AB87" s="146"/>
      <c r="AC87" s="146"/>
      <c r="AD87" s="146"/>
      <c r="AE87" s="146"/>
      <c r="AF87" s="146"/>
      <c r="AG87" s="146"/>
      <c r="AH87" s="114"/>
    </row>
    <row r="88" spans="1:34" ht="15" customHeight="1">
      <c r="B88" s="20" t="s">
        <v>1185</v>
      </c>
    </row>
    <row r="89" spans="1:34" ht="15" customHeight="1">
      <c r="B89" s="20" t="s">
        <v>1186</v>
      </c>
    </row>
    <row r="90" spans="1:34" ht="15" customHeight="1">
      <c r="B90" s="20" t="s">
        <v>1187</v>
      </c>
    </row>
    <row r="91" spans="1:34" ht="15" customHeight="1">
      <c r="B91" s="20" t="s">
        <v>1188</v>
      </c>
    </row>
    <row r="92" spans="1:34" ht="14.5">
      <c r="B92" s="20" t="s">
        <v>1189</v>
      </c>
    </row>
    <row r="93" spans="1:34" ht="15" customHeight="1">
      <c r="B93" s="20" t="s">
        <v>1190</v>
      </c>
    </row>
    <row r="94" spans="1:34" ht="15" customHeight="1">
      <c r="B94" s="20" t="s">
        <v>1191</v>
      </c>
    </row>
    <row r="95" spans="1:34" ht="15" customHeight="1">
      <c r="B95" s="20" t="s">
        <v>1192</v>
      </c>
    </row>
    <row r="96" spans="1:34" ht="15" customHeight="1">
      <c r="B96" s="20" t="s">
        <v>1193</v>
      </c>
    </row>
    <row r="97" spans="2:34" ht="15" customHeight="1">
      <c r="B97" s="20" t="s">
        <v>1194</v>
      </c>
    </row>
    <row r="112" spans="2:34" ht="15" customHeight="1">
      <c r="B112" s="147"/>
      <c r="C112" s="147"/>
      <c r="D112" s="147"/>
      <c r="E112" s="147"/>
      <c r="F112" s="147"/>
      <c r="G112" s="147"/>
      <c r="H112" s="147"/>
      <c r="I112" s="147"/>
      <c r="J112" s="147"/>
      <c r="K112" s="147"/>
      <c r="L112" s="147"/>
      <c r="M112" s="147"/>
      <c r="N112" s="147"/>
      <c r="O112" s="147"/>
      <c r="P112" s="147"/>
      <c r="Q112" s="147"/>
      <c r="R112" s="147"/>
      <c r="S112" s="147"/>
      <c r="T112" s="147"/>
      <c r="U112" s="147"/>
      <c r="V112" s="147"/>
      <c r="W112" s="147"/>
      <c r="X112" s="147"/>
      <c r="Y112" s="147"/>
      <c r="Z112" s="147"/>
      <c r="AA112" s="147"/>
      <c r="AB112" s="147"/>
      <c r="AC112" s="147"/>
      <c r="AD112" s="147"/>
      <c r="AE112" s="147"/>
      <c r="AF112" s="147"/>
      <c r="AG112" s="147"/>
      <c r="AH112" s="147"/>
    </row>
    <row r="308" spans="2:34" ht="15" customHeight="1">
      <c r="B308" s="147"/>
      <c r="C308" s="147"/>
      <c r="D308" s="147"/>
      <c r="E308" s="147"/>
      <c r="F308" s="147"/>
      <c r="G308" s="147"/>
      <c r="H308" s="147"/>
      <c r="I308" s="147"/>
      <c r="J308" s="147"/>
      <c r="K308" s="147"/>
      <c r="L308" s="147"/>
      <c r="M308" s="147"/>
      <c r="N308" s="147"/>
      <c r="O308" s="147"/>
      <c r="P308" s="147"/>
      <c r="Q308" s="147"/>
      <c r="R308" s="147"/>
      <c r="S308" s="147"/>
      <c r="T308" s="147"/>
      <c r="U308" s="147"/>
      <c r="V308" s="147"/>
      <c r="W308" s="147"/>
      <c r="X308" s="147"/>
      <c r="Y308" s="147"/>
      <c r="Z308" s="147"/>
      <c r="AA308" s="147"/>
      <c r="AB308" s="147"/>
      <c r="AC308" s="147"/>
      <c r="AD308" s="147"/>
      <c r="AE308" s="147"/>
      <c r="AF308" s="147"/>
      <c r="AG308" s="147"/>
      <c r="AH308" s="147"/>
    </row>
    <row r="511" spans="2:34" ht="15" customHeight="1">
      <c r="B511" s="147"/>
      <c r="C511" s="147"/>
      <c r="D511" s="147"/>
      <c r="E511" s="147"/>
      <c r="F511" s="147"/>
      <c r="G511" s="147"/>
      <c r="H511" s="147"/>
      <c r="I511" s="147"/>
      <c r="J511" s="147"/>
      <c r="K511" s="147"/>
      <c r="L511" s="147"/>
      <c r="M511" s="147"/>
      <c r="N511" s="147"/>
      <c r="O511" s="147"/>
      <c r="P511" s="147"/>
      <c r="Q511" s="147"/>
      <c r="R511" s="147"/>
      <c r="S511" s="147"/>
      <c r="T511" s="147"/>
      <c r="U511" s="147"/>
      <c r="V511" s="147"/>
      <c r="W511" s="147"/>
      <c r="X511" s="147"/>
      <c r="Y511" s="147"/>
      <c r="Z511" s="147"/>
      <c r="AA511" s="147"/>
      <c r="AB511" s="147"/>
      <c r="AC511" s="147"/>
      <c r="AD511" s="147"/>
      <c r="AE511" s="147"/>
      <c r="AF511" s="147"/>
      <c r="AG511" s="147"/>
      <c r="AH511" s="147"/>
    </row>
    <row r="712" spans="2:34" ht="15" customHeight="1">
      <c r="B712" s="147"/>
      <c r="C712" s="147"/>
      <c r="D712" s="147"/>
      <c r="E712" s="147"/>
      <c r="F712" s="147"/>
      <c r="G712" s="147"/>
      <c r="H712" s="147"/>
      <c r="I712" s="147"/>
      <c r="J712" s="147"/>
      <c r="K712" s="147"/>
      <c r="L712" s="147"/>
      <c r="M712" s="147"/>
      <c r="N712" s="147"/>
      <c r="O712" s="147"/>
      <c r="P712" s="147"/>
      <c r="Q712" s="147"/>
      <c r="R712" s="147"/>
      <c r="S712" s="147"/>
      <c r="T712" s="147"/>
      <c r="U712" s="147"/>
      <c r="V712" s="147"/>
      <c r="W712" s="147"/>
      <c r="X712" s="147"/>
      <c r="Y712" s="147"/>
      <c r="Z712" s="147"/>
      <c r="AA712" s="147"/>
      <c r="AB712" s="147"/>
      <c r="AC712" s="147"/>
      <c r="AD712" s="147"/>
      <c r="AE712" s="147"/>
      <c r="AF712" s="147"/>
      <c r="AG712" s="147"/>
      <c r="AH712" s="147"/>
    </row>
    <row r="887" spans="2:34" ht="15" customHeight="1">
      <c r="B887" s="147"/>
      <c r="C887" s="147"/>
      <c r="D887" s="147"/>
      <c r="E887" s="147"/>
      <c r="F887" s="147"/>
      <c r="G887" s="147"/>
      <c r="H887" s="147"/>
      <c r="I887" s="147"/>
      <c r="J887" s="147"/>
      <c r="K887" s="147"/>
      <c r="L887" s="147"/>
      <c r="M887" s="147"/>
      <c r="N887" s="147"/>
      <c r="O887" s="147"/>
      <c r="P887" s="147"/>
      <c r="Q887" s="147"/>
      <c r="R887" s="147"/>
      <c r="S887" s="147"/>
      <c r="T887" s="147"/>
      <c r="U887" s="147"/>
      <c r="V887" s="147"/>
      <c r="W887" s="147"/>
      <c r="X887" s="147"/>
      <c r="Y887" s="147"/>
      <c r="Z887" s="147"/>
      <c r="AA887" s="147"/>
      <c r="AB887" s="147"/>
      <c r="AC887" s="147"/>
      <c r="AD887" s="147"/>
      <c r="AE887" s="147"/>
      <c r="AF887" s="147"/>
      <c r="AG887" s="147"/>
      <c r="AH887" s="147"/>
    </row>
    <row r="1100" spans="2:34" ht="15" customHeight="1">
      <c r="B1100" s="147"/>
      <c r="C1100" s="147"/>
      <c r="D1100" s="147"/>
      <c r="E1100" s="147"/>
      <c r="F1100" s="147"/>
      <c r="G1100" s="147"/>
      <c r="H1100" s="147"/>
      <c r="I1100" s="147"/>
      <c r="J1100" s="147"/>
      <c r="K1100" s="147"/>
      <c r="L1100" s="147"/>
      <c r="M1100" s="147"/>
      <c r="N1100" s="147"/>
      <c r="O1100" s="147"/>
      <c r="P1100" s="147"/>
      <c r="Q1100" s="147"/>
      <c r="R1100" s="147"/>
      <c r="S1100" s="147"/>
      <c r="T1100" s="147"/>
      <c r="U1100" s="147"/>
      <c r="V1100" s="147"/>
      <c r="W1100" s="147"/>
      <c r="X1100" s="147"/>
      <c r="Y1100" s="147"/>
      <c r="Z1100" s="147"/>
      <c r="AA1100" s="147"/>
      <c r="AB1100" s="147"/>
      <c r="AC1100" s="147"/>
      <c r="AD1100" s="147"/>
      <c r="AE1100" s="147"/>
      <c r="AF1100" s="147"/>
      <c r="AG1100" s="147"/>
      <c r="AH1100" s="147"/>
    </row>
    <row r="1227" spans="2:34" ht="15" customHeight="1">
      <c r="B1227" s="147"/>
      <c r="C1227" s="147"/>
      <c r="D1227" s="147"/>
      <c r="E1227" s="147"/>
      <c r="F1227" s="147"/>
      <c r="G1227" s="147"/>
      <c r="H1227" s="147"/>
      <c r="I1227" s="147"/>
      <c r="J1227" s="147"/>
      <c r="K1227" s="147"/>
      <c r="L1227" s="147"/>
      <c r="M1227" s="147"/>
      <c r="N1227" s="147"/>
      <c r="O1227" s="147"/>
      <c r="P1227" s="147"/>
      <c r="Q1227" s="147"/>
      <c r="R1227" s="147"/>
      <c r="S1227" s="147"/>
      <c r="T1227" s="147"/>
      <c r="U1227" s="147"/>
      <c r="V1227" s="147"/>
      <c r="W1227" s="147"/>
      <c r="X1227" s="147"/>
      <c r="Y1227" s="147"/>
      <c r="Z1227" s="147"/>
      <c r="AA1227" s="147"/>
      <c r="AB1227" s="147"/>
      <c r="AC1227" s="147"/>
      <c r="AD1227" s="147"/>
      <c r="AE1227" s="147"/>
      <c r="AF1227" s="147"/>
      <c r="AG1227" s="147"/>
      <c r="AH1227" s="147"/>
    </row>
    <row r="1390" spans="2:34" ht="15" customHeight="1">
      <c r="B1390" s="147"/>
      <c r="C1390" s="147"/>
      <c r="D1390" s="147"/>
      <c r="E1390" s="147"/>
      <c r="F1390" s="147"/>
      <c r="G1390" s="147"/>
      <c r="H1390" s="147"/>
      <c r="I1390" s="147"/>
      <c r="J1390" s="147"/>
      <c r="K1390" s="147"/>
      <c r="L1390" s="147"/>
      <c r="M1390" s="147"/>
      <c r="N1390" s="147"/>
      <c r="O1390" s="147"/>
      <c r="P1390" s="147"/>
      <c r="Q1390" s="147"/>
      <c r="R1390" s="147"/>
      <c r="S1390" s="147"/>
      <c r="T1390" s="147"/>
      <c r="U1390" s="147"/>
      <c r="V1390" s="147"/>
      <c r="W1390" s="147"/>
      <c r="X1390" s="147"/>
      <c r="Y1390" s="147"/>
      <c r="Z1390" s="147"/>
      <c r="AA1390" s="147"/>
      <c r="AB1390" s="147"/>
      <c r="AC1390" s="147"/>
      <c r="AD1390" s="147"/>
      <c r="AE1390" s="147"/>
      <c r="AF1390" s="147"/>
      <c r="AG1390" s="147"/>
      <c r="AH1390" s="147"/>
    </row>
    <row r="1502" spans="2:34" ht="15" customHeight="1">
      <c r="B1502" s="147"/>
      <c r="C1502" s="147"/>
      <c r="D1502" s="147"/>
      <c r="E1502" s="147"/>
      <c r="F1502" s="147"/>
      <c r="G1502" s="147"/>
      <c r="H1502" s="147"/>
      <c r="I1502" s="147"/>
      <c r="J1502" s="147"/>
      <c r="K1502" s="147"/>
      <c r="L1502" s="147"/>
      <c r="M1502" s="147"/>
      <c r="N1502" s="147"/>
      <c r="O1502" s="147"/>
      <c r="P1502" s="147"/>
      <c r="Q1502" s="147"/>
      <c r="R1502" s="147"/>
      <c r="S1502" s="147"/>
      <c r="T1502" s="147"/>
      <c r="U1502" s="147"/>
      <c r="V1502" s="147"/>
      <c r="W1502" s="147"/>
      <c r="X1502" s="147"/>
      <c r="Y1502" s="147"/>
      <c r="Z1502" s="147"/>
      <c r="AA1502" s="147"/>
      <c r="AB1502" s="147"/>
      <c r="AC1502" s="147"/>
      <c r="AD1502" s="147"/>
      <c r="AE1502" s="147"/>
      <c r="AF1502" s="147"/>
      <c r="AG1502" s="147"/>
      <c r="AH1502" s="147"/>
    </row>
    <row r="1604" spans="2:34" ht="15" customHeight="1">
      <c r="B1604" s="147"/>
      <c r="C1604" s="147"/>
      <c r="D1604" s="147"/>
      <c r="E1604" s="147"/>
      <c r="F1604" s="147"/>
      <c r="G1604" s="147"/>
      <c r="H1604" s="147"/>
      <c r="I1604" s="147"/>
      <c r="J1604" s="147"/>
      <c r="K1604" s="147"/>
      <c r="L1604" s="147"/>
      <c r="M1604" s="147"/>
      <c r="N1604" s="147"/>
      <c r="O1604" s="147"/>
      <c r="P1604" s="147"/>
      <c r="Q1604" s="147"/>
      <c r="R1604" s="147"/>
      <c r="S1604" s="147"/>
      <c r="T1604" s="147"/>
      <c r="U1604" s="147"/>
      <c r="V1604" s="147"/>
      <c r="W1604" s="147"/>
      <c r="X1604" s="147"/>
      <c r="Y1604" s="147"/>
      <c r="Z1604" s="147"/>
      <c r="AA1604" s="147"/>
      <c r="AB1604" s="147"/>
      <c r="AC1604" s="147"/>
      <c r="AD1604" s="147"/>
      <c r="AE1604" s="147"/>
      <c r="AF1604" s="147"/>
      <c r="AG1604" s="147"/>
      <c r="AH1604" s="147"/>
    </row>
    <row r="1698" spans="2:34" ht="15" customHeight="1">
      <c r="B1698" s="147"/>
      <c r="C1698" s="147"/>
      <c r="D1698" s="147"/>
      <c r="E1698" s="147"/>
      <c r="F1698" s="147"/>
      <c r="G1698" s="147"/>
      <c r="H1698" s="147"/>
      <c r="I1698" s="147"/>
      <c r="J1698" s="147"/>
      <c r="K1698" s="147"/>
      <c r="L1698" s="147"/>
      <c r="M1698" s="147"/>
      <c r="N1698" s="147"/>
      <c r="O1698" s="147"/>
      <c r="P1698" s="147"/>
      <c r="Q1698" s="147"/>
      <c r="R1698" s="147"/>
      <c r="S1698" s="147"/>
      <c r="T1698" s="147"/>
      <c r="U1698" s="147"/>
      <c r="V1698" s="147"/>
      <c r="W1698" s="147"/>
      <c r="X1698" s="147"/>
      <c r="Y1698" s="147"/>
      <c r="Z1698" s="147"/>
      <c r="AA1698" s="147"/>
      <c r="AB1698" s="147"/>
      <c r="AC1698" s="147"/>
      <c r="AD1698" s="147"/>
      <c r="AE1698" s="147"/>
      <c r="AF1698" s="147"/>
      <c r="AG1698" s="147"/>
      <c r="AH1698" s="147"/>
    </row>
    <row r="1945" spans="2:34" ht="15" customHeight="1">
      <c r="B1945" s="147"/>
      <c r="C1945" s="147"/>
      <c r="D1945" s="147"/>
      <c r="E1945" s="147"/>
      <c r="F1945" s="147"/>
      <c r="G1945" s="147"/>
      <c r="H1945" s="147"/>
      <c r="I1945" s="147"/>
      <c r="J1945" s="147"/>
      <c r="K1945" s="147"/>
      <c r="L1945" s="147"/>
      <c r="M1945" s="147"/>
      <c r="N1945" s="147"/>
      <c r="O1945" s="147"/>
      <c r="P1945" s="147"/>
      <c r="Q1945" s="147"/>
      <c r="R1945" s="147"/>
      <c r="S1945" s="147"/>
      <c r="T1945" s="147"/>
      <c r="U1945" s="147"/>
      <c r="V1945" s="147"/>
      <c r="W1945" s="147"/>
      <c r="X1945" s="147"/>
      <c r="Y1945" s="147"/>
      <c r="Z1945" s="147"/>
      <c r="AA1945" s="147"/>
      <c r="AB1945" s="147"/>
      <c r="AC1945" s="147"/>
      <c r="AD1945" s="147"/>
      <c r="AE1945" s="147"/>
      <c r="AF1945" s="147"/>
      <c r="AG1945" s="147"/>
      <c r="AH1945" s="147"/>
    </row>
    <row r="2031" spans="2:34" ht="15" customHeight="1">
      <c r="B2031" s="147"/>
      <c r="C2031" s="147"/>
      <c r="D2031" s="147"/>
      <c r="E2031" s="147"/>
      <c r="F2031" s="147"/>
      <c r="G2031" s="147"/>
      <c r="H2031" s="147"/>
      <c r="I2031" s="147"/>
      <c r="J2031" s="147"/>
      <c r="K2031" s="147"/>
      <c r="L2031" s="147"/>
      <c r="M2031" s="147"/>
      <c r="N2031" s="147"/>
      <c r="O2031" s="147"/>
      <c r="P2031" s="147"/>
      <c r="Q2031" s="147"/>
      <c r="R2031" s="147"/>
      <c r="S2031" s="147"/>
      <c r="T2031" s="147"/>
      <c r="U2031" s="147"/>
      <c r="V2031" s="147"/>
      <c r="W2031" s="147"/>
      <c r="X2031" s="147"/>
      <c r="Y2031" s="147"/>
      <c r="Z2031" s="147"/>
      <c r="AA2031" s="147"/>
      <c r="AB2031" s="147"/>
      <c r="AC2031" s="147"/>
      <c r="AD2031" s="147"/>
      <c r="AE2031" s="147"/>
      <c r="AF2031" s="147"/>
      <c r="AG2031" s="147"/>
      <c r="AH2031" s="147"/>
    </row>
    <row r="2153" spans="2:34" ht="15" customHeight="1">
      <c r="B2153" s="147"/>
      <c r="C2153" s="147"/>
      <c r="D2153" s="147"/>
      <c r="E2153" s="147"/>
      <c r="F2153" s="147"/>
      <c r="G2153" s="147"/>
      <c r="H2153" s="147"/>
      <c r="I2153" s="147"/>
      <c r="J2153" s="147"/>
      <c r="K2153" s="147"/>
      <c r="L2153" s="147"/>
      <c r="M2153" s="147"/>
      <c r="N2153" s="147"/>
      <c r="O2153" s="147"/>
      <c r="P2153" s="147"/>
      <c r="Q2153" s="147"/>
      <c r="R2153" s="147"/>
      <c r="S2153" s="147"/>
      <c r="T2153" s="147"/>
      <c r="U2153" s="147"/>
      <c r="V2153" s="147"/>
      <c r="W2153" s="147"/>
      <c r="X2153" s="147"/>
      <c r="Y2153" s="147"/>
      <c r="Z2153" s="147"/>
      <c r="AA2153" s="147"/>
      <c r="AB2153" s="147"/>
      <c r="AC2153" s="147"/>
      <c r="AD2153" s="147"/>
      <c r="AE2153" s="147"/>
      <c r="AF2153" s="147"/>
      <c r="AG2153" s="147"/>
      <c r="AH2153" s="147"/>
    </row>
    <row r="2317" spans="2:34" ht="15" customHeight="1">
      <c r="B2317" s="147"/>
      <c r="C2317" s="147"/>
      <c r="D2317" s="147"/>
      <c r="E2317" s="147"/>
      <c r="F2317" s="147"/>
      <c r="G2317" s="147"/>
      <c r="H2317" s="147"/>
      <c r="I2317" s="147"/>
      <c r="J2317" s="147"/>
      <c r="K2317" s="147"/>
      <c r="L2317" s="147"/>
      <c r="M2317" s="147"/>
      <c r="N2317" s="147"/>
      <c r="O2317" s="147"/>
      <c r="P2317" s="147"/>
      <c r="Q2317" s="147"/>
      <c r="R2317" s="147"/>
      <c r="S2317" s="147"/>
      <c r="T2317" s="147"/>
      <c r="U2317" s="147"/>
      <c r="V2317" s="147"/>
      <c r="W2317" s="147"/>
      <c r="X2317" s="147"/>
      <c r="Y2317" s="147"/>
      <c r="Z2317" s="147"/>
      <c r="AA2317" s="147"/>
      <c r="AB2317" s="147"/>
      <c r="AC2317" s="147"/>
      <c r="AD2317" s="147"/>
      <c r="AE2317" s="147"/>
      <c r="AF2317" s="147"/>
      <c r="AG2317" s="147"/>
      <c r="AH2317" s="147"/>
    </row>
    <row r="2419" spans="2:34" ht="15" customHeight="1">
      <c r="B2419" s="147"/>
      <c r="C2419" s="147"/>
      <c r="D2419" s="147"/>
      <c r="E2419" s="147"/>
      <c r="F2419" s="147"/>
      <c r="G2419" s="147"/>
      <c r="H2419" s="147"/>
      <c r="I2419" s="147"/>
      <c r="J2419" s="147"/>
      <c r="K2419" s="147"/>
      <c r="L2419" s="147"/>
      <c r="M2419" s="147"/>
      <c r="N2419" s="147"/>
      <c r="O2419" s="147"/>
      <c r="P2419" s="147"/>
      <c r="Q2419" s="147"/>
      <c r="R2419" s="147"/>
      <c r="S2419" s="147"/>
      <c r="T2419" s="147"/>
      <c r="U2419" s="147"/>
      <c r="V2419" s="147"/>
      <c r="W2419" s="147"/>
      <c r="X2419" s="147"/>
      <c r="Y2419" s="147"/>
      <c r="Z2419" s="147"/>
      <c r="AA2419" s="147"/>
      <c r="AB2419" s="147"/>
      <c r="AC2419" s="147"/>
      <c r="AD2419" s="147"/>
      <c r="AE2419" s="147"/>
      <c r="AF2419" s="147"/>
      <c r="AG2419" s="147"/>
      <c r="AH2419" s="147"/>
    </row>
    <row r="2509" spans="2:34" ht="15" customHeight="1">
      <c r="B2509" s="147"/>
      <c r="C2509" s="147"/>
      <c r="D2509" s="147"/>
      <c r="E2509" s="147"/>
      <c r="F2509" s="147"/>
      <c r="G2509" s="147"/>
      <c r="H2509" s="147"/>
      <c r="I2509" s="147"/>
      <c r="J2509" s="147"/>
      <c r="K2509" s="147"/>
      <c r="L2509" s="147"/>
      <c r="M2509" s="147"/>
      <c r="N2509" s="147"/>
      <c r="O2509" s="147"/>
      <c r="P2509" s="147"/>
      <c r="Q2509" s="147"/>
      <c r="R2509" s="147"/>
      <c r="S2509" s="147"/>
      <c r="T2509" s="147"/>
      <c r="U2509" s="147"/>
      <c r="V2509" s="147"/>
      <c r="W2509" s="147"/>
      <c r="X2509" s="147"/>
      <c r="Y2509" s="147"/>
      <c r="Z2509" s="147"/>
      <c r="AA2509" s="147"/>
      <c r="AB2509" s="147"/>
      <c r="AC2509" s="147"/>
      <c r="AD2509" s="147"/>
      <c r="AE2509" s="147"/>
      <c r="AF2509" s="147"/>
      <c r="AG2509" s="147"/>
      <c r="AH2509" s="147"/>
    </row>
    <row r="2598" spans="2:34" ht="15" customHeight="1">
      <c r="B2598" s="147"/>
      <c r="C2598" s="147"/>
      <c r="D2598" s="147"/>
      <c r="E2598" s="147"/>
      <c r="F2598" s="147"/>
      <c r="G2598" s="147"/>
      <c r="H2598" s="147"/>
      <c r="I2598" s="147"/>
      <c r="J2598" s="147"/>
      <c r="K2598" s="147"/>
      <c r="L2598" s="147"/>
      <c r="M2598" s="147"/>
      <c r="N2598" s="147"/>
      <c r="O2598" s="147"/>
      <c r="P2598" s="147"/>
      <c r="Q2598" s="147"/>
      <c r="R2598" s="147"/>
      <c r="S2598" s="147"/>
      <c r="T2598" s="147"/>
      <c r="U2598" s="147"/>
      <c r="V2598" s="147"/>
      <c r="W2598" s="147"/>
      <c r="X2598" s="147"/>
      <c r="Y2598" s="147"/>
      <c r="Z2598" s="147"/>
      <c r="AA2598" s="147"/>
      <c r="AB2598" s="147"/>
      <c r="AC2598" s="147"/>
      <c r="AD2598" s="147"/>
      <c r="AE2598" s="147"/>
      <c r="AF2598" s="147"/>
      <c r="AG2598" s="147"/>
      <c r="AH2598" s="147"/>
    </row>
    <row r="2719" spans="2:34" ht="15" customHeight="1">
      <c r="B2719" s="147"/>
      <c r="C2719" s="147"/>
      <c r="D2719" s="147"/>
      <c r="E2719" s="147"/>
      <c r="F2719" s="147"/>
      <c r="G2719" s="147"/>
      <c r="H2719" s="147"/>
      <c r="I2719" s="147"/>
      <c r="J2719" s="147"/>
      <c r="K2719" s="147"/>
      <c r="L2719" s="147"/>
      <c r="M2719" s="147"/>
      <c r="N2719" s="147"/>
      <c r="O2719" s="147"/>
      <c r="P2719" s="147"/>
      <c r="Q2719" s="147"/>
      <c r="R2719" s="147"/>
      <c r="S2719" s="147"/>
      <c r="T2719" s="147"/>
      <c r="U2719" s="147"/>
      <c r="V2719" s="147"/>
      <c r="W2719" s="147"/>
      <c r="X2719" s="147"/>
      <c r="Y2719" s="147"/>
      <c r="Z2719" s="147"/>
      <c r="AA2719" s="147"/>
      <c r="AB2719" s="147"/>
      <c r="AC2719" s="147"/>
      <c r="AD2719" s="147"/>
      <c r="AE2719" s="147"/>
      <c r="AF2719" s="147"/>
      <c r="AG2719" s="147"/>
      <c r="AH2719" s="147"/>
    </row>
    <row r="2837" spans="2:34" ht="15" customHeight="1">
      <c r="B2837" s="147"/>
      <c r="C2837" s="147"/>
      <c r="D2837" s="147"/>
      <c r="E2837" s="147"/>
      <c r="F2837" s="147"/>
      <c r="G2837" s="147"/>
      <c r="H2837" s="147"/>
      <c r="I2837" s="147"/>
      <c r="J2837" s="147"/>
      <c r="K2837" s="147"/>
      <c r="L2837" s="147"/>
      <c r="M2837" s="147"/>
      <c r="N2837" s="147"/>
      <c r="O2837" s="147"/>
      <c r="P2837" s="147"/>
      <c r="Q2837" s="147"/>
      <c r="R2837" s="147"/>
      <c r="S2837" s="147"/>
      <c r="T2837" s="147"/>
      <c r="U2837" s="147"/>
      <c r="V2837" s="147"/>
      <c r="W2837" s="147"/>
      <c r="X2837" s="147"/>
      <c r="Y2837" s="147"/>
      <c r="Z2837" s="147"/>
      <c r="AA2837" s="147"/>
      <c r="AB2837" s="147"/>
      <c r="AC2837" s="147"/>
      <c r="AD2837" s="147"/>
      <c r="AE2837" s="147"/>
      <c r="AF2837" s="147"/>
      <c r="AG2837" s="147"/>
      <c r="AH2837" s="147"/>
    </row>
  </sheetData>
  <mergeCells count="21">
    <mergeCell ref="B2837:AH2837"/>
    <mergeCell ref="B2153:AH2153"/>
    <mergeCell ref="B2317:AH2317"/>
    <mergeCell ref="B2419:AH2419"/>
    <mergeCell ref="B2509:AH2509"/>
    <mergeCell ref="B2598:AH2598"/>
    <mergeCell ref="B1604:AH1604"/>
    <mergeCell ref="B1698:AH1698"/>
    <mergeCell ref="B1945:AH1945"/>
    <mergeCell ref="B2031:AH2031"/>
    <mergeCell ref="B2719:AH2719"/>
    <mergeCell ref="B887:AH887"/>
    <mergeCell ref="B1100:AH1100"/>
    <mergeCell ref="B1227:AH1227"/>
    <mergeCell ref="B1390:AH1390"/>
    <mergeCell ref="B1502:AH1502"/>
    <mergeCell ref="B87:AG87"/>
    <mergeCell ref="B112:AH112"/>
    <mergeCell ref="B308:AH308"/>
    <mergeCell ref="B511:AH511"/>
    <mergeCell ref="B712:AH712"/>
  </mergeCells>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97"/>
  <sheetViews>
    <sheetView topLeftCell="A37" workbookViewId="0">
      <selection sqref="A1:XFD1048576"/>
    </sheetView>
  </sheetViews>
  <sheetFormatPr defaultColWidth="9.08984375" defaultRowHeight="14.5"/>
  <cols>
    <col min="1" max="1" width="31.81640625" style="125" customWidth="1"/>
    <col min="2" max="2" width="45.7265625" style="125" customWidth="1"/>
    <col min="3" max="16384" width="9.08984375" style="125"/>
  </cols>
  <sheetData>
    <row r="1" spans="1:35" ht="15" customHeight="1" thickBot="1">
      <c r="B1" s="26" t="s">
        <v>3042</v>
      </c>
      <c r="C1" s="27">
        <v>2019</v>
      </c>
      <c r="D1" s="27">
        <v>2020</v>
      </c>
      <c r="E1" s="27">
        <v>2021</v>
      </c>
      <c r="F1" s="27">
        <v>2022</v>
      </c>
      <c r="G1" s="27">
        <v>2023</v>
      </c>
      <c r="H1" s="27">
        <v>2024</v>
      </c>
      <c r="I1" s="27">
        <v>2025</v>
      </c>
      <c r="J1" s="27">
        <v>2026</v>
      </c>
      <c r="K1" s="27">
        <v>2027</v>
      </c>
      <c r="L1" s="27">
        <v>2028</v>
      </c>
      <c r="M1" s="27">
        <v>2029</v>
      </c>
      <c r="N1" s="27">
        <v>2030</v>
      </c>
      <c r="O1" s="27">
        <v>2031</v>
      </c>
      <c r="P1" s="27">
        <v>2032</v>
      </c>
      <c r="Q1" s="27">
        <v>2033</v>
      </c>
      <c r="R1" s="27">
        <v>2034</v>
      </c>
      <c r="S1" s="27">
        <v>2035</v>
      </c>
      <c r="T1" s="27">
        <v>2036</v>
      </c>
      <c r="U1" s="27">
        <v>2037</v>
      </c>
      <c r="V1" s="27">
        <v>2038</v>
      </c>
      <c r="W1" s="27">
        <v>2039</v>
      </c>
      <c r="X1" s="27">
        <v>2040</v>
      </c>
      <c r="Y1" s="27">
        <v>2041</v>
      </c>
      <c r="Z1" s="27">
        <v>2042</v>
      </c>
      <c r="AA1" s="27">
        <v>2043</v>
      </c>
      <c r="AB1" s="27">
        <v>2044</v>
      </c>
      <c r="AC1" s="27">
        <v>2045</v>
      </c>
      <c r="AD1" s="27">
        <v>2046</v>
      </c>
      <c r="AE1" s="27">
        <v>2047</v>
      </c>
      <c r="AF1" s="27">
        <v>2048</v>
      </c>
      <c r="AG1" s="27">
        <v>2049</v>
      </c>
      <c r="AH1" s="27">
        <v>2050</v>
      </c>
    </row>
    <row r="2" spans="1:35" ht="15" customHeight="1" thickTop="1"/>
    <row r="3" spans="1:35" ht="15" customHeight="1">
      <c r="C3" s="130" t="s">
        <v>110</v>
      </c>
      <c r="D3" s="130" t="s">
        <v>859</v>
      </c>
      <c r="E3" s="130"/>
      <c r="F3" s="130"/>
      <c r="G3" s="130"/>
    </row>
    <row r="4" spans="1:35" ht="15" customHeight="1">
      <c r="C4" s="130" t="s">
        <v>109</v>
      </c>
      <c r="D4" s="130" t="s">
        <v>3043</v>
      </c>
      <c r="E4" s="130"/>
      <c r="F4" s="130"/>
      <c r="G4" s="130" t="s">
        <v>3044</v>
      </c>
    </row>
    <row r="5" spans="1:35" ht="15" customHeight="1">
      <c r="C5" s="130" t="s">
        <v>107</v>
      </c>
      <c r="D5" s="130" t="s">
        <v>3045</v>
      </c>
      <c r="E5" s="130"/>
      <c r="F5" s="130"/>
      <c r="G5" s="130"/>
    </row>
    <row r="6" spans="1:35" ht="15" customHeight="1">
      <c r="C6" s="130" t="s">
        <v>106</v>
      </c>
      <c r="D6" s="130"/>
      <c r="E6" s="130" t="s">
        <v>3046</v>
      </c>
      <c r="F6" s="130"/>
      <c r="G6" s="130"/>
    </row>
    <row r="10" spans="1:35" ht="15" customHeight="1">
      <c r="A10" s="19" t="s">
        <v>105</v>
      </c>
      <c r="B10" s="29" t="s">
        <v>104</v>
      </c>
    </row>
    <row r="11" spans="1:35" ht="15" customHeight="1">
      <c r="B11" s="26" t="s">
        <v>3047</v>
      </c>
    </row>
    <row r="12" spans="1:35" ht="15" customHeight="1">
      <c r="B12" s="26" t="s">
        <v>3047</v>
      </c>
      <c r="C12" s="5" t="s">
        <v>3047</v>
      </c>
      <c r="D12" s="5" t="s">
        <v>3047</v>
      </c>
      <c r="E12" s="5" t="s">
        <v>3047</v>
      </c>
      <c r="F12" s="5" t="s">
        <v>3047</v>
      </c>
      <c r="G12" s="5" t="s">
        <v>3047</v>
      </c>
      <c r="H12" s="5" t="s">
        <v>3047</v>
      </c>
      <c r="I12" s="5" t="s">
        <v>3047</v>
      </c>
      <c r="J12" s="5" t="s">
        <v>3047</v>
      </c>
      <c r="K12" s="5" t="s">
        <v>3047</v>
      </c>
      <c r="L12" s="5" t="s">
        <v>3047</v>
      </c>
      <c r="M12" s="5" t="s">
        <v>3047</v>
      </c>
      <c r="N12" s="5" t="s">
        <v>3047</v>
      </c>
      <c r="O12" s="5" t="s">
        <v>3047</v>
      </c>
      <c r="P12" s="5" t="s">
        <v>3047</v>
      </c>
      <c r="Q12" s="5" t="s">
        <v>3047</v>
      </c>
      <c r="R12" s="5" t="s">
        <v>3047</v>
      </c>
      <c r="S12" s="5" t="s">
        <v>3047</v>
      </c>
      <c r="T12" s="5" t="s">
        <v>3047</v>
      </c>
      <c r="U12" s="5" t="s">
        <v>3047</v>
      </c>
      <c r="V12" s="5" t="s">
        <v>3047</v>
      </c>
      <c r="W12" s="5" t="s">
        <v>3047</v>
      </c>
      <c r="X12" s="5" t="s">
        <v>3047</v>
      </c>
      <c r="Y12" s="5" t="s">
        <v>3047</v>
      </c>
      <c r="Z12" s="5" t="s">
        <v>3047</v>
      </c>
      <c r="AA12" s="5" t="s">
        <v>3047</v>
      </c>
      <c r="AB12" s="5" t="s">
        <v>3047</v>
      </c>
      <c r="AC12" s="5" t="s">
        <v>3047</v>
      </c>
      <c r="AD12" s="5" t="s">
        <v>3047</v>
      </c>
      <c r="AE12" s="5" t="s">
        <v>3047</v>
      </c>
      <c r="AF12" s="5" t="s">
        <v>3047</v>
      </c>
      <c r="AG12" s="5" t="s">
        <v>3047</v>
      </c>
      <c r="AH12" s="5" t="s">
        <v>3047</v>
      </c>
      <c r="AI12" s="5" t="s">
        <v>3048</v>
      </c>
    </row>
    <row r="13" spans="1:35" ht="15" customHeight="1" thickBot="1">
      <c r="B13" s="27" t="s">
        <v>103</v>
      </c>
      <c r="C13" s="27">
        <v>2019</v>
      </c>
      <c r="D13" s="27">
        <v>2020</v>
      </c>
      <c r="E13" s="27">
        <v>2021</v>
      </c>
      <c r="F13" s="27">
        <v>2022</v>
      </c>
      <c r="G13" s="27">
        <v>2023</v>
      </c>
      <c r="H13" s="27">
        <v>2024</v>
      </c>
      <c r="I13" s="27">
        <v>2025</v>
      </c>
      <c r="J13" s="27">
        <v>2026</v>
      </c>
      <c r="K13" s="27">
        <v>2027</v>
      </c>
      <c r="L13" s="27">
        <v>2028</v>
      </c>
      <c r="M13" s="27">
        <v>2029</v>
      </c>
      <c r="N13" s="27">
        <v>2030</v>
      </c>
      <c r="O13" s="27">
        <v>2031</v>
      </c>
      <c r="P13" s="27">
        <v>2032</v>
      </c>
      <c r="Q13" s="27">
        <v>2033</v>
      </c>
      <c r="R13" s="27">
        <v>2034</v>
      </c>
      <c r="S13" s="27">
        <v>2035</v>
      </c>
      <c r="T13" s="27">
        <v>2036</v>
      </c>
      <c r="U13" s="27">
        <v>2037</v>
      </c>
      <c r="V13" s="27">
        <v>2038</v>
      </c>
      <c r="W13" s="27">
        <v>2039</v>
      </c>
      <c r="X13" s="27">
        <v>2040</v>
      </c>
      <c r="Y13" s="27">
        <v>2041</v>
      </c>
      <c r="Z13" s="27">
        <v>2042</v>
      </c>
      <c r="AA13" s="27">
        <v>2043</v>
      </c>
      <c r="AB13" s="27">
        <v>2044</v>
      </c>
      <c r="AC13" s="27">
        <v>2045</v>
      </c>
      <c r="AD13" s="27">
        <v>2046</v>
      </c>
      <c r="AE13" s="27">
        <v>2047</v>
      </c>
      <c r="AF13" s="27">
        <v>2048</v>
      </c>
      <c r="AG13" s="27">
        <v>2049</v>
      </c>
      <c r="AH13" s="27">
        <v>2050</v>
      </c>
      <c r="AI13" s="27">
        <v>2050</v>
      </c>
    </row>
    <row r="14" spans="1:35" ht="15" customHeight="1" thickTop="1"/>
    <row r="15" spans="1:35" ht="15" customHeight="1">
      <c r="B15" s="30" t="s">
        <v>102</v>
      </c>
    </row>
    <row r="16" spans="1:35" ht="15" customHeight="1">
      <c r="B16" s="30" t="s">
        <v>101</v>
      </c>
    </row>
    <row r="17" spans="1:35" ht="15" customHeight="1">
      <c r="B17" s="30" t="s">
        <v>100</v>
      </c>
    </row>
    <row r="18" spans="1:35" ht="15" customHeight="1">
      <c r="A18" s="19" t="s">
        <v>99</v>
      </c>
      <c r="B18" s="37" t="s">
        <v>98</v>
      </c>
      <c r="C18" s="31">
        <v>2917.2534179999998</v>
      </c>
      <c r="D18" s="31">
        <v>2975.1254880000001</v>
      </c>
      <c r="E18" s="31">
        <v>3025.3583979999999</v>
      </c>
      <c r="F18" s="31">
        <v>3062.7468260000001</v>
      </c>
      <c r="G18" s="31">
        <v>3083.977539</v>
      </c>
      <c r="H18" s="31">
        <v>3096.5910640000002</v>
      </c>
      <c r="I18" s="31">
        <v>3105.9812010000001</v>
      </c>
      <c r="J18" s="31">
        <v>3125.5920409999999</v>
      </c>
      <c r="K18" s="31">
        <v>3146.880615</v>
      </c>
      <c r="L18" s="31">
        <v>3167.633057</v>
      </c>
      <c r="M18" s="31">
        <v>3188.2370609999998</v>
      </c>
      <c r="N18" s="31">
        <v>3209.845703</v>
      </c>
      <c r="O18" s="31">
        <v>3233.3459469999998</v>
      </c>
      <c r="P18" s="31">
        <v>3252.6281739999999</v>
      </c>
      <c r="Q18" s="31">
        <v>3271.139404</v>
      </c>
      <c r="R18" s="31">
        <v>3285.1403810000002</v>
      </c>
      <c r="S18" s="31">
        <v>3295.6909179999998</v>
      </c>
      <c r="T18" s="31">
        <v>3311.9399410000001</v>
      </c>
      <c r="U18" s="31">
        <v>3327.9958499999998</v>
      </c>
      <c r="V18" s="31">
        <v>3344.2626949999999</v>
      </c>
      <c r="W18" s="31">
        <v>3361.544922</v>
      </c>
      <c r="X18" s="31">
        <v>3379.7543949999999</v>
      </c>
      <c r="Y18" s="31">
        <v>3396.2570799999999</v>
      </c>
      <c r="Z18" s="31">
        <v>3413.8405760000001</v>
      </c>
      <c r="AA18" s="31">
        <v>3432.0297850000002</v>
      </c>
      <c r="AB18" s="31">
        <v>3451.1577149999998</v>
      </c>
      <c r="AC18" s="31">
        <v>3472.0922850000002</v>
      </c>
      <c r="AD18" s="31">
        <v>3496.9057619999999</v>
      </c>
      <c r="AE18" s="31">
        <v>3524.3183589999999</v>
      </c>
      <c r="AF18" s="31">
        <v>3555.436768</v>
      </c>
      <c r="AG18" s="31">
        <v>3588.8325199999999</v>
      </c>
      <c r="AH18" s="31">
        <v>3624.4035640000002</v>
      </c>
      <c r="AI18" s="32">
        <v>7.0260000000000001E-3</v>
      </c>
    </row>
    <row r="19" spans="1:35" ht="15" customHeight="1">
      <c r="A19" s="19" t="s">
        <v>97</v>
      </c>
      <c r="B19" s="37" t="s">
        <v>96</v>
      </c>
      <c r="C19" s="31">
        <v>99.321113999999994</v>
      </c>
      <c r="D19" s="31">
        <v>100.61537199999999</v>
      </c>
      <c r="E19" s="31">
        <v>102.27555099999999</v>
      </c>
      <c r="F19" s="31">
        <v>103.794495</v>
      </c>
      <c r="G19" s="31">
        <v>104.99791</v>
      </c>
      <c r="H19" s="31">
        <v>105.845024</v>
      </c>
      <c r="I19" s="31">
        <v>106.78964999999999</v>
      </c>
      <c r="J19" s="31">
        <v>107.83586099999999</v>
      </c>
      <c r="K19" s="31">
        <v>109.086189</v>
      </c>
      <c r="L19" s="31">
        <v>110.314789</v>
      </c>
      <c r="M19" s="31">
        <v>111.61691999999999</v>
      </c>
      <c r="N19" s="31">
        <v>112.770866</v>
      </c>
      <c r="O19" s="31">
        <v>114.262428</v>
      </c>
      <c r="P19" s="31">
        <v>115.52301</v>
      </c>
      <c r="Q19" s="31">
        <v>116.879272</v>
      </c>
      <c r="R19" s="31">
        <v>118.14617200000001</v>
      </c>
      <c r="S19" s="31">
        <v>119.40303</v>
      </c>
      <c r="T19" s="31">
        <v>120.80527499999999</v>
      </c>
      <c r="U19" s="31">
        <v>122.152451</v>
      </c>
      <c r="V19" s="31">
        <v>123.496872</v>
      </c>
      <c r="W19" s="31">
        <v>124.85643</v>
      </c>
      <c r="X19" s="31">
        <v>126.275398</v>
      </c>
      <c r="Y19" s="31">
        <v>127.716537</v>
      </c>
      <c r="Z19" s="31">
        <v>129.18461600000001</v>
      </c>
      <c r="AA19" s="31">
        <v>130.70700099999999</v>
      </c>
      <c r="AB19" s="31">
        <v>132.37408400000001</v>
      </c>
      <c r="AC19" s="31">
        <v>134.19018600000001</v>
      </c>
      <c r="AD19" s="31">
        <v>136.27534499999999</v>
      </c>
      <c r="AE19" s="31">
        <v>138.142303</v>
      </c>
      <c r="AF19" s="31">
        <v>140.203461</v>
      </c>
      <c r="AG19" s="31">
        <v>142.34049999999999</v>
      </c>
      <c r="AH19" s="31">
        <v>144.479523</v>
      </c>
      <c r="AI19" s="32">
        <v>1.2163E-2</v>
      </c>
    </row>
    <row r="20" spans="1:35" ht="15" customHeight="1">
      <c r="A20" s="19" t="s">
        <v>95</v>
      </c>
      <c r="B20" s="37" t="s">
        <v>94</v>
      </c>
      <c r="C20" s="31">
        <v>299.98956299999998</v>
      </c>
      <c r="D20" s="31">
        <v>302.99670400000002</v>
      </c>
      <c r="E20" s="31">
        <v>307.861176</v>
      </c>
      <c r="F20" s="31">
        <v>312.26748700000002</v>
      </c>
      <c r="G20" s="31">
        <v>316.85519399999998</v>
      </c>
      <c r="H20" s="31">
        <v>319.636932</v>
      </c>
      <c r="I20" s="31">
        <v>322.737976</v>
      </c>
      <c r="J20" s="31">
        <v>325.800049</v>
      </c>
      <c r="K20" s="31">
        <v>329.40594499999997</v>
      </c>
      <c r="L20" s="31">
        <v>332.56686400000001</v>
      </c>
      <c r="M20" s="31">
        <v>335.87530500000003</v>
      </c>
      <c r="N20" s="31">
        <v>338.360657</v>
      </c>
      <c r="O20" s="31">
        <v>342.56182899999999</v>
      </c>
      <c r="P20" s="31">
        <v>345.996307</v>
      </c>
      <c r="Q20" s="31">
        <v>349.88958700000001</v>
      </c>
      <c r="R20" s="31">
        <v>353.15029900000002</v>
      </c>
      <c r="S20" s="31">
        <v>356.89837599999998</v>
      </c>
      <c r="T20" s="31">
        <v>360.95452899999998</v>
      </c>
      <c r="U20" s="31">
        <v>364.40631100000002</v>
      </c>
      <c r="V20" s="31">
        <v>367.98541299999999</v>
      </c>
      <c r="W20" s="31">
        <v>371.46130399999998</v>
      </c>
      <c r="X20" s="31">
        <v>375.17526199999998</v>
      </c>
      <c r="Y20" s="31">
        <v>378.96575899999999</v>
      </c>
      <c r="Z20" s="31">
        <v>382.97610500000002</v>
      </c>
      <c r="AA20" s="31">
        <v>386.869507</v>
      </c>
      <c r="AB20" s="31">
        <v>391.47946200000001</v>
      </c>
      <c r="AC20" s="31">
        <v>396.56829800000003</v>
      </c>
      <c r="AD20" s="31">
        <v>402.70736699999998</v>
      </c>
      <c r="AE20" s="31">
        <v>407.39862099999999</v>
      </c>
      <c r="AF20" s="31">
        <v>413.09304800000001</v>
      </c>
      <c r="AG20" s="31">
        <v>419.04983499999997</v>
      </c>
      <c r="AH20" s="31">
        <v>425.07647700000001</v>
      </c>
      <c r="AI20" s="32">
        <v>1.1306E-2</v>
      </c>
    </row>
    <row r="21" spans="1:35" ht="15" customHeight="1">
      <c r="B21" s="30" t="s">
        <v>840</v>
      </c>
    </row>
    <row r="22" spans="1:35" ht="15" customHeight="1">
      <c r="A22" s="19" t="s">
        <v>834</v>
      </c>
      <c r="B22" s="37" t="s">
        <v>835</v>
      </c>
      <c r="C22" s="31">
        <v>210.13850400000001</v>
      </c>
      <c r="D22" s="31">
        <v>211.126205</v>
      </c>
      <c r="E22" s="31">
        <v>212.116165</v>
      </c>
      <c r="F22" s="31">
        <v>213.08595299999999</v>
      </c>
      <c r="G22" s="31">
        <v>214.01353499999999</v>
      </c>
      <c r="H22" s="31">
        <v>214.96095299999999</v>
      </c>
      <c r="I22" s="31">
        <v>215.98413099999999</v>
      </c>
      <c r="J22" s="31">
        <v>216.989777</v>
      </c>
      <c r="K22" s="31">
        <v>217.98005699999999</v>
      </c>
      <c r="L22" s="31">
        <v>218.98109400000001</v>
      </c>
      <c r="M22" s="31">
        <v>219.96804800000001</v>
      </c>
      <c r="N22" s="31">
        <v>220.90673799999999</v>
      </c>
      <c r="O22" s="31">
        <v>221.807053</v>
      </c>
      <c r="P22" s="31">
        <v>222.678833</v>
      </c>
      <c r="Q22" s="31">
        <v>223.455963</v>
      </c>
      <c r="R22" s="31">
        <v>224.19052099999999</v>
      </c>
      <c r="S22" s="31">
        <v>224.88494900000001</v>
      </c>
      <c r="T22" s="31">
        <v>225.54260300000001</v>
      </c>
      <c r="U22" s="31">
        <v>226.167709</v>
      </c>
      <c r="V22" s="31">
        <v>226.76289399999999</v>
      </c>
      <c r="W22" s="31">
        <v>227.33021500000001</v>
      </c>
      <c r="X22" s="31">
        <v>227.87237500000001</v>
      </c>
      <c r="Y22" s="31">
        <v>228.39172400000001</v>
      </c>
      <c r="Z22" s="31">
        <v>228.89146400000001</v>
      </c>
      <c r="AA22" s="31">
        <v>229.376724</v>
      </c>
      <c r="AB22" s="31">
        <v>229.852081</v>
      </c>
      <c r="AC22" s="31">
        <v>230.323227</v>
      </c>
      <c r="AD22" s="31">
        <v>230.79690600000001</v>
      </c>
      <c r="AE22" s="31">
        <v>231.280609</v>
      </c>
      <c r="AF22" s="31">
        <v>231.78066999999999</v>
      </c>
      <c r="AG22" s="31">
        <v>232.30583200000001</v>
      </c>
      <c r="AH22" s="31">
        <v>232.850571</v>
      </c>
      <c r="AI22" s="32">
        <v>3.3159999999999999E-3</v>
      </c>
    </row>
    <row r="23" spans="1:35" ht="15" customHeight="1">
      <c r="A23" s="19" t="s">
        <v>836</v>
      </c>
      <c r="B23" s="37" t="s">
        <v>837</v>
      </c>
      <c r="C23" s="31">
        <v>41.270718000000002</v>
      </c>
      <c r="D23" s="31">
        <v>41.874930999999997</v>
      </c>
      <c r="E23" s="31">
        <v>42.455513000000003</v>
      </c>
      <c r="F23" s="31">
        <v>42.941440999999998</v>
      </c>
      <c r="G23" s="31">
        <v>43.403492</v>
      </c>
      <c r="H23" s="31">
        <v>43.866782999999998</v>
      </c>
      <c r="I23" s="31">
        <v>44.310471</v>
      </c>
      <c r="J23" s="31">
        <v>44.751930000000002</v>
      </c>
      <c r="K23" s="31">
        <v>45.177658000000001</v>
      </c>
      <c r="L23" s="31">
        <v>45.617381999999999</v>
      </c>
      <c r="M23" s="31">
        <v>46.05724</v>
      </c>
      <c r="N23" s="31">
        <v>46.402245000000001</v>
      </c>
      <c r="O23" s="31">
        <v>46.841445999999998</v>
      </c>
      <c r="P23" s="31">
        <v>47.267837999999998</v>
      </c>
      <c r="Q23" s="31">
        <v>47.680484999999997</v>
      </c>
      <c r="R23" s="31">
        <v>48.055225</v>
      </c>
      <c r="S23" s="31">
        <v>48.435218999999996</v>
      </c>
      <c r="T23" s="31">
        <v>48.803921000000003</v>
      </c>
      <c r="U23" s="31">
        <v>49.166313000000002</v>
      </c>
      <c r="V23" s="31">
        <v>49.530780999999998</v>
      </c>
      <c r="W23" s="31">
        <v>49.890510999999996</v>
      </c>
      <c r="X23" s="31">
        <v>50.244216999999999</v>
      </c>
      <c r="Y23" s="31">
        <v>50.573273</v>
      </c>
      <c r="Z23" s="31">
        <v>50.897018000000003</v>
      </c>
      <c r="AA23" s="31">
        <v>51.222712999999999</v>
      </c>
      <c r="AB23" s="31">
        <v>51.549354999999998</v>
      </c>
      <c r="AC23" s="31">
        <v>51.873221999999998</v>
      </c>
      <c r="AD23" s="31">
        <v>52.227497</v>
      </c>
      <c r="AE23" s="31">
        <v>52.585467999999999</v>
      </c>
      <c r="AF23" s="31">
        <v>52.972960999999998</v>
      </c>
      <c r="AG23" s="31">
        <v>53.355491999999998</v>
      </c>
      <c r="AH23" s="31">
        <v>53.757781999999999</v>
      </c>
      <c r="AI23" s="32">
        <v>8.5629999999999994E-3</v>
      </c>
    </row>
    <row r="24" spans="1:35" ht="15" customHeight="1">
      <c r="B24" s="30" t="s">
        <v>93</v>
      </c>
    </row>
    <row r="25" spans="1:35" ht="15" customHeight="1">
      <c r="A25" s="19" t="s">
        <v>92</v>
      </c>
      <c r="B25" s="37" t="s">
        <v>91</v>
      </c>
      <c r="C25" s="31">
        <v>1222.993408</v>
      </c>
      <c r="D25" s="31">
        <v>1245.38501</v>
      </c>
      <c r="E25" s="31">
        <v>1270.2579350000001</v>
      </c>
      <c r="F25" s="31">
        <v>1290.457764</v>
      </c>
      <c r="G25" s="31">
        <v>1307.1331789999999</v>
      </c>
      <c r="H25" s="31">
        <v>1325.8835449999999</v>
      </c>
      <c r="I25" s="31">
        <v>1346.39978</v>
      </c>
      <c r="J25" s="31">
        <v>1366.3946530000001</v>
      </c>
      <c r="K25" s="31">
        <v>1386.9772949999999</v>
      </c>
      <c r="L25" s="31">
        <v>1409.3758539999999</v>
      </c>
      <c r="M25" s="31">
        <v>1434.0158690000001</v>
      </c>
      <c r="N25" s="31">
        <v>1459.4761960000001</v>
      </c>
      <c r="O25" s="31">
        <v>1485.517212</v>
      </c>
      <c r="P25" s="31">
        <v>1512.3081050000001</v>
      </c>
      <c r="Q25" s="31">
        <v>1538.8709719999999</v>
      </c>
      <c r="R25" s="31">
        <v>1563.6232910000001</v>
      </c>
      <c r="S25" s="31">
        <v>1587.8289789999999</v>
      </c>
      <c r="T25" s="31">
        <v>1613.7332759999999</v>
      </c>
      <c r="U25" s="31">
        <v>1640.1088870000001</v>
      </c>
      <c r="V25" s="31">
        <v>1667.4398189999999</v>
      </c>
      <c r="W25" s="31">
        <v>1695.8133539999999</v>
      </c>
      <c r="X25" s="31">
        <v>1724.8636469999999</v>
      </c>
      <c r="Y25" s="31">
        <v>1752.975586</v>
      </c>
      <c r="Z25" s="31">
        <v>1781.3413089999999</v>
      </c>
      <c r="AA25" s="31">
        <v>1810.3131100000001</v>
      </c>
      <c r="AB25" s="31">
        <v>1840.630981</v>
      </c>
      <c r="AC25" s="31">
        <v>1874.0067140000001</v>
      </c>
      <c r="AD25" s="31">
        <v>1909.959595</v>
      </c>
      <c r="AE25" s="31">
        <v>1947.451172</v>
      </c>
      <c r="AF25" s="31">
        <v>1987.4025879999999</v>
      </c>
      <c r="AG25" s="31">
        <v>2028.573975</v>
      </c>
      <c r="AH25" s="31">
        <v>2071.0893550000001</v>
      </c>
      <c r="AI25" s="32">
        <v>1.7138E-2</v>
      </c>
    </row>
    <row r="26" spans="1:35" ht="15" customHeight="1">
      <c r="B26" s="30" t="s">
        <v>90</v>
      </c>
    </row>
    <row r="27" spans="1:35" ht="15" customHeight="1">
      <c r="A27" s="19" t="s">
        <v>89</v>
      </c>
      <c r="B27" s="37" t="s">
        <v>48</v>
      </c>
      <c r="C27" s="31">
        <v>1807.96228</v>
      </c>
      <c r="D27" s="31">
        <v>1730.8404539999999</v>
      </c>
      <c r="E27" s="31">
        <v>1660.033447</v>
      </c>
      <c r="F27" s="31">
        <v>1651.259399</v>
      </c>
      <c r="G27" s="31">
        <v>1652.7242429999999</v>
      </c>
      <c r="H27" s="31">
        <v>1638.4692379999999</v>
      </c>
      <c r="I27" s="31">
        <v>1604.7768550000001</v>
      </c>
      <c r="J27" s="31">
        <v>1643.9995120000001</v>
      </c>
      <c r="K27" s="31">
        <v>1652.7871090000001</v>
      </c>
      <c r="L27" s="31">
        <v>1662.7436520000001</v>
      </c>
      <c r="M27" s="31">
        <v>1655.604004</v>
      </c>
      <c r="N27" s="31">
        <v>1648.302124</v>
      </c>
      <c r="O27" s="31">
        <v>1654.8007809999999</v>
      </c>
      <c r="P27" s="31">
        <v>1663.8508300000001</v>
      </c>
      <c r="Q27" s="31">
        <v>1673.9210210000001</v>
      </c>
      <c r="R27" s="31">
        <v>1684.4979249999999</v>
      </c>
      <c r="S27" s="31">
        <v>1686.8079829999999</v>
      </c>
      <c r="T27" s="31">
        <v>1698.2738039999999</v>
      </c>
      <c r="U27" s="31">
        <v>1704.6904300000001</v>
      </c>
      <c r="V27" s="31">
        <v>1701.2554929999999</v>
      </c>
      <c r="W27" s="31">
        <v>1711.9681399999999</v>
      </c>
      <c r="X27" s="31">
        <v>1715.1282960000001</v>
      </c>
      <c r="Y27" s="31">
        <v>1722.2583010000001</v>
      </c>
      <c r="Z27" s="31">
        <v>1735.240356</v>
      </c>
      <c r="AA27" s="31">
        <v>1747.2885739999999</v>
      </c>
      <c r="AB27" s="31">
        <v>1760.9610600000001</v>
      </c>
      <c r="AC27" s="31">
        <v>1777.279663</v>
      </c>
      <c r="AD27" s="31">
        <v>1802.0692140000001</v>
      </c>
      <c r="AE27" s="31">
        <v>1818.081543</v>
      </c>
      <c r="AF27" s="31">
        <v>1839.2490230000001</v>
      </c>
      <c r="AG27" s="31">
        <v>1861.996948</v>
      </c>
      <c r="AH27" s="31">
        <v>1888.5421140000001</v>
      </c>
      <c r="AI27" s="32">
        <v>1.408E-3</v>
      </c>
    </row>
    <row r="28" spans="1:35" ht="15" customHeight="1">
      <c r="A28" s="19" t="s">
        <v>88</v>
      </c>
      <c r="B28" s="37" t="s">
        <v>46</v>
      </c>
      <c r="C28" s="31">
        <v>416.68075599999997</v>
      </c>
      <c r="D28" s="31">
        <v>409.15490699999998</v>
      </c>
      <c r="E28" s="31">
        <v>404.529877</v>
      </c>
      <c r="F28" s="31">
        <v>396.47796599999998</v>
      </c>
      <c r="G28" s="31">
        <v>388.98980699999998</v>
      </c>
      <c r="H28" s="31">
        <v>379.45697000000001</v>
      </c>
      <c r="I28" s="31">
        <v>370.07324199999999</v>
      </c>
      <c r="J28" s="31">
        <v>361.44610599999999</v>
      </c>
      <c r="K28" s="31">
        <v>352.76406900000001</v>
      </c>
      <c r="L28" s="31">
        <v>343.56066900000002</v>
      </c>
      <c r="M28" s="31">
        <v>333.81878699999999</v>
      </c>
      <c r="N28" s="31">
        <v>323.794983</v>
      </c>
      <c r="O28" s="31">
        <v>320.25204500000001</v>
      </c>
      <c r="P28" s="31">
        <v>316.14532500000001</v>
      </c>
      <c r="Q28" s="31">
        <v>312.65210000000002</v>
      </c>
      <c r="R28" s="31">
        <v>308.385468</v>
      </c>
      <c r="S28" s="31">
        <v>304.23715199999998</v>
      </c>
      <c r="T28" s="31">
        <v>300.63772599999999</v>
      </c>
      <c r="U28" s="31">
        <v>296.55325299999998</v>
      </c>
      <c r="V28" s="31">
        <v>292.41882299999997</v>
      </c>
      <c r="W28" s="31">
        <v>288.76394699999997</v>
      </c>
      <c r="X28" s="31">
        <v>284.95684799999998</v>
      </c>
      <c r="Y28" s="31">
        <v>283.66168199999998</v>
      </c>
      <c r="Z28" s="31">
        <v>282.64859000000001</v>
      </c>
      <c r="AA28" s="31">
        <v>281.33288599999997</v>
      </c>
      <c r="AB28" s="31">
        <v>280.511841</v>
      </c>
      <c r="AC28" s="31">
        <v>279.87280299999998</v>
      </c>
      <c r="AD28" s="31">
        <v>280.18786599999999</v>
      </c>
      <c r="AE28" s="31">
        <v>279.40164199999998</v>
      </c>
      <c r="AF28" s="31">
        <v>279.350281</v>
      </c>
      <c r="AG28" s="31">
        <v>279.69216899999998</v>
      </c>
      <c r="AH28" s="31">
        <v>280.25091600000002</v>
      </c>
      <c r="AI28" s="32">
        <v>-1.2713E-2</v>
      </c>
    </row>
    <row r="30" spans="1:35" ht="15" customHeight="1">
      <c r="B30" s="30" t="s">
        <v>87</v>
      </c>
    </row>
    <row r="31" spans="1:35" ht="15" customHeight="1">
      <c r="B31" s="30" t="s">
        <v>86</v>
      </c>
    </row>
    <row r="32" spans="1:35" ht="15" customHeight="1">
      <c r="A32" s="19" t="s">
        <v>85</v>
      </c>
      <c r="B32" s="37" t="s">
        <v>84</v>
      </c>
      <c r="C32" s="33">
        <v>34.359935999999998</v>
      </c>
      <c r="D32" s="33">
        <v>35.284824</v>
      </c>
      <c r="E32" s="33">
        <v>36.831001000000001</v>
      </c>
      <c r="F32" s="33">
        <v>38.399506000000002</v>
      </c>
      <c r="G32" s="33">
        <v>40.110416000000001</v>
      </c>
      <c r="H32" s="33">
        <v>41.695168000000002</v>
      </c>
      <c r="I32" s="33">
        <v>43.801582000000003</v>
      </c>
      <c r="J32" s="33">
        <v>43.785815999999997</v>
      </c>
      <c r="K32" s="33">
        <v>43.851311000000003</v>
      </c>
      <c r="L32" s="33">
        <v>43.924210000000002</v>
      </c>
      <c r="M32" s="33">
        <v>44.014651999999998</v>
      </c>
      <c r="N32" s="33">
        <v>44.196795999999999</v>
      </c>
      <c r="O32" s="33">
        <v>44.303348999999997</v>
      </c>
      <c r="P32" s="33">
        <v>44.390171000000002</v>
      </c>
      <c r="Q32" s="33">
        <v>44.493732000000001</v>
      </c>
      <c r="R32" s="33">
        <v>44.608539999999998</v>
      </c>
      <c r="S32" s="33">
        <v>44.698715</v>
      </c>
      <c r="T32" s="33">
        <v>44.789574000000002</v>
      </c>
      <c r="U32" s="33">
        <v>44.882373999999999</v>
      </c>
      <c r="V32" s="33">
        <v>44.963428</v>
      </c>
      <c r="W32" s="33">
        <v>45.039088999999997</v>
      </c>
      <c r="X32" s="33">
        <v>45.114040000000003</v>
      </c>
      <c r="Y32" s="33">
        <v>45.192309999999999</v>
      </c>
      <c r="Z32" s="33">
        <v>45.257289999999998</v>
      </c>
      <c r="AA32" s="33">
        <v>45.303879000000002</v>
      </c>
      <c r="AB32" s="33">
        <v>45.340485000000001</v>
      </c>
      <c r="AC32" s="33">
        <v>45.390273999999998</v>
      </c>
      <c r="AD32" s="33">
        <v>45.422103999999997</v>
      </c>
      <c r="AE32" s="33">
        <v>45.456977999999999</v>
      </c>
      <c r="AF32" s="33">
        <v>45.479819999999997</v>
      </c>
      <c r="AG32" s="33">
        <v>45.506923999999998</v>
      </c>
      <c r="AH32" s="33">
        <v>45.514235999999997</v>
      </c>
      <c r="AI32" s="32">
        <v>9.11E-3</v>
      </c>
    </row>
    <row r="33" spans="1:35" ht="15" customHeight="1">
      <c r="A33" s="19" t="s">
        <v>83</v>
      </c>
      <c r="B33" s="37" t="s">
        <v>82</v>
      </c>
      <c r="C33" s="33">
        <v>40.551155000000001</v>
      </c>
      <c r="D33" s="33">
        <v>42.338371000000002</v>
      </c>
      <c r="E33" s="33">
        <v>44.294533000000001</v>
      </c>
      <c r="F33" s="33">
        <v>46.414017000000001</v>
      </c>
      <c r="G33" s="33">
        <v>48.711933000000002</v>
      </c>
      <c r="H33" s="33">
        <v>50.082985000000001</v>
      </c>
      <c r="I33" s="33">
        <v>52.773457000000001</v>
      </c>
      <c r="J33" s="33">
        <v>52.773730999999998</v>
      </c>
      <c r="K33" s="33">
        <v>52.786338999999998</v>
      </c>
      <c r="L33" s="33">
        <v>52.786338999999998</v>
      </c>
      <c r="M33" s="33">
        <v>52.798622000000002</v>
      </c>
      <c r="N33" s="33">
        <v>52.841563999999998</v>
      </c>
      <c r="O33" s="33">
        <v>52.841563999999998</v>
      </c>
      <c r="P33" s="33">
        <v>52.841563999999998</v>
      </c>
      <c r="Q33" s="33">
        <v>52.841563999999998</v>
      </c>
      <c r="R33" s="33">
        <v>52.841563999999998</v>
      </c>
      <c r="S33" s="33">
        <v>52.841563999999998</v>
      </c>
      <c r="T33" s="33">
        <v>52.841563999999998</v>
      </c>
      <c r="U33" s="33">
        <v>52.841563999999998</v>
      </c>
      <c r="V33" s="33">
        <v>52.841563999999998</v>
      </c>
      <c r="W33" s="33">
        <v>52.841563999999998</v>
      </c>
      <c r="X33" s="33">
        <v>52.842728000000001</v>
      </c>
      <c r="Y33" s="33">
        <v>52.844788000000001</v>
      </c>
      <c r="Z33" s="33">
        <v>52.844788000000001</v>
      </c>
      <c r="AA33" s="33">
        <v>52.844788000000001</v>
      </c>
      <c r="AB33" s="33">
        <v>52.844788000000001</v>
      </c>
      <c r="AC33" s="33">
        <v>52.847529999999999</v>
      </c>
      <c r="AD33" s="33">
        <v>52.847529999999999</v>
      </c>
      <c r="AE33" s="33">
        <v>52.848723999999997</v>
      </c>
      <c r="AF33" s="33">
        <v>52.848723999999997</v>
      </c>
      <c r="AG33" s="33">
        <v>52.849879999999999</v>
      </c>
      <c r="AH33" s="33">
        <v>52.849879999999999</v>
      </c>
      <c r="AI33" s="32">
        <v>8.5819999999999994E-3</v>
      </c>
    </row>
    <row r="34" spans="1:35" ht="15" customHeight="1">
      <c r="A34" s="19" t="s">
        <v>81</v>
      </c>
      <c r="B34" s="37" t="s">
        <v>80</v>
      </c>
      <c r="C34" s="33">
        <v>30.299700000000001</v>
      </c>
      <c r="D34" s="33">
        <v>30.889185000000001</v>
      </c>
      <c r="E34" s="33">
        <v>32.380001</v>
      </c>
      <c r="F34" s="33">
        <v>33.779899999999998</v>
      </c>
      <c r="G34" s="33">
        <v>35.309071000000003</v>
      </c>
      <c r="H34" s="33">
        <v>36.976478999999998</v>
      </c>
      <c r="I34" s="33">
        <v>38.765255000000003</v>
      </c>
      <c r="J34" s="33">
        <v>38.772990999999998</v>
      </c>
      <c r="K34" s="33">
        <v>38.772990999999998</v>
      </c>
      <c r="L34" s="33">
        <v>38.772990999999998</v>
      </c>
      <c r="M34" s="33">
        <v>38.772990999999998</v>
      </c>
      <c r="N34" s="33">
        <v>38.772990999999998</v>
      </c>
      <c r="O34" s="33">
        <v>38.772990999999998</v>
      </c>
      <c r="P34" s="33">
        <v>38.772990999999998</v>
      </c>
      <c r="Q34" s="33">
        <v>38.772990999999998</v>
      </c>
      <c r="R34" s="33">
        <v>38.772990999999998</v>
      </c>
      <c r="S34" s="33">
        <v>38.772990999999998</v>
      </c>
      <c r="T34" s="33">
        <v>38.772990999999998</v>
      </c>
      <c r="U34" s="33">
        <v>38.772990999999998</v>
      </c>
      <c r="V34" s="33">
        <v>38.772990999999998</v>
      </c>
      <c r="W34" s="33">
        <v>38.772990999999998</v>
      </c>
      <c r="X34" s="33">
        <v>38.772990999999998</v>
      </c>
      <c r="Y34" s="33">
        <v>38.772990999999998</v>
      </c>
      <c r="Z34" s="33">
        <v>38.772990999999998</v>
      </c>
      <c r="AA34" s="33">
        <v>38.772990999999998</v>
      </c>
      <c r="AB34" s="33">
        <v>38.772990999999998</v>
      </c>
      <c r="AC34" s="33">
        <v>38.772990999999998</v>
      </c>
      <c r="AD34" s="33">
        <v>38.772990999999998</v>
      </c>
      <c r="AE34" s="33">
        <v>38.772990999999998</v>
      </c>
      <c r="AF34" s="33">
        <v>38.772990999999998</v>
      </c>
      <c r="AG34" s="33">
        <v>38.772990999999998</v>
      </c>
      <c r="AH34" s="33">
        <v>38.773014000000003</v>
      </c>
      <c r="AI34" s="32">
        <v>7.986E-3</v>
      </c>
    </row>
    <row r="35" spans="1:35" ht="15" customHeight="1">
      <c r="A35" s="19" t="s">
        <v>79</v>
      </c>
      <c r="B35" s="37" t="s">
        <v>78</v>
      </c>
      <c r="C35" s="33">
        <v>35.348213000000001</v>
      </c>
      <c r="D35" s="33">
        <v>36.238525000000003</v>
      </c>
      <c r="E35" s="33">
        <v>37.596539</v>
      </c>
      <c r="F35" s="33">
        <v>39.379330000000003</v>
      </c>
      <c r="G35" s="33">
        <v>40.901978</v>
      </c>
      <c r="H35" s="33">
        <v>42.360343999999998</v>
      </c>
      <c r="I35" s="33">
        <v>44.567290999999997</v>
      </c>
      <c r="J35" s="33">
        <v>44.831283999999997</v>
      </c>
      <c r="K35" s="33">
        <v>44.934002</v>
      </c>
      <c r="L35" s="33">
        <v>45.040806000000003</v>
      </c>
      <c r="M35" s="33">
        <v>45.183762000000002</v>
      </c>
      <c r="N35" s="33">
        <v>45.495753999999998</v>
      </c>
      <c r="O35" s="33">
        <v>45.787571</v>
      </c>
      <c r="P35" s="33">
        <v>46.034675999999997</v>
      </c>
      <c r="Q35" s="33">
        <v>46.317447999999999</v>
      </c>
      <c r="R35" s="33">
        <v>46.60257</v>
      </c>
      <c r="S35" s="33">
        <v>46.849384000000001</v>
      </c>
      <c r="T35" s="33">
        <v>47.060443999999997</v>
      </c>
      <c r="U35" s="33">
        <v>47.280040999999997</v>
      </c>
      <c r="V35" s="33">
        <v>47.481696999999997</v>
      </c>
      <c r="W35" s="33">
        <v>47.659728999999999</v>
      </c>
      <c r="X35" s="33">
        <v>47.830649999999999</v>
      </c>
      <c r="Y35" s="33">
        <v>47.980514999999997</v>
      </c>
      <c r="Z35" s="33">
        <v>48.108443999999999</v>
      </c>
      <c r="AA35" s="33">
        <v>48.197189000000002</v>
      </c>
      <c r="AB35" s="33">
        <v>48.262737000000001</v>
      </c>
      <c r="AC35" s="33">
        <v>48.354900000000001</v>
      </c>
      <c r="AD35" s="33">
        <v>48.425739</v>
      </c>
      <c r="AE35" s="33">
        <v>48.504185</v>
      </c>
      <c r="AF35" s="33">
        <v>48.562854999999999</v>
      </c>
      <c r="AG35" s="33">
        <v>48.634819</v>
      </c>
      <c r="AH35" s="33">
        <v>48.674247999999999</v>
      </c>
      <c r="AI35" s="32">
        <v>1.0373E-2</v>
      </c>
    </row>
    <row r="36" spans="1:35" ht="15" customHeight="1">
      <c r="A36" s="19" t="s">
        <v>77</v>
      </c>
      <c r="B36" s="37" t="s">
        <v>76</v>
      </c>
      <c r="C36" s="33">
        <v>42.356316</v>
      </c>
      <c r="D36" s="33">
        <v>43.482601000000003</v>
      </c>
      <c r="E36" s="33">
        <v>45.545634999999997</v>
      </c>
      <c r="F36" s="33">
        <v>47.835650999999999</v>
      </c>
      <c r="G36" s="33">
        <v>49.962463</v>
      </c>
      <c r="H36" s="33">
        <v>51.477432</v>
      </c>
      <c r="I36" s="33">
        <v>54.131186999999997</v>
      </c>
      <c r="J36" s="33">
        <v>54.288181000000002</v>
      </c>
      <c r="K36" s="33">
        <v>54.274036000000002</v>
      </c>
      <c r="L36" s="33">
        <v>54.345481999999997</v>
      </c>
      <c r="M36" s="33">
        <v>54.476520999999998</v>
      </c>
      <c r="N36" s="33">
        <v>54.755726000000003</v>
      </c>
      <c r="O36" s="33">
        <v>55.198650000000001</v>
      </c>
      <c r="P36" s="33">
        <v>55.546596999999998</v>
      </c>
      <c r="Q36" s="33">
        <v>55.910609999999998</v>
      </c>
      <c r="R36" s="33">
        <v>56.268237999999997</v>
      </c>
      <c r="S36" s="33">
        <v>56.616008999999998</v>
      </c>
      <c r="T36" s="33">
        <v>56.875309000000001</v>
      </c>
      <c r="U36" s="33">
        <v>57.153564000000003</v>
      </c>
      <c r="V36" s="33">
        <v>57.421860000000002</v>
      </c>
      <c r="W36" s="33">
        <v>57.643833000000001</v>
      </c>
      <c r="X36" s="33">
        <v>57.841147999999997</v>
      </c>
      <c r="Y36" s="33">
        <v>57.984363999999999</v>
      </c>
      <c r="Z36" s="33">
        <v>58.118862</v>
      </c>
      <c r="AA36" s="33">
        <v>58.223202000000001</v>
      </c>
      <c r="AB36" s="33">
        <v>58.303882999999999</v>
      </c>
      <c r="AC36" s="33">
        <v>58.397022</v>
      </c>
      <c r="AD36" s="33">
        <v>58.512680000000003</v>
      </c>
      <c r="AE36" s="33">
        <v>58.621887000000001</v>
      </c>
      <c r="AF36" s="33">
        <v>58.738182000000002</v>
      </c>
      <c r="AG36" s="33">
        <v>58.859608000000001</v>
      </c>
      <c r="AH36" s="33">
        <v>58.987617</v>
      </c>
      <c r="AI36" s="32">
        <v>1.0741000000000001E-2</v>
      </c>
    </row>
    <row r="37" spans="1:35" ht="15" customHeight="1">
      <c r="A37" s="19" t="s">
        <v>75</v>
      </c>
      <c r="B37" s="37" t="s">
        <v>74</v>
      </c>
      <c r="C37" s="33">
        <v>30.865908000000001</v>
      </c>
      <c r="D37" s="33">
        <v>31.724129000000001</v>
      </c>
      <c r="E37" s="33">
        <v>32.910632999999997</v>
      </c>
      <c r="F37" s="33">
        <v>34.543072000000002</v>
      </c>
      <c r="G37" s="33">
        <v>35.889904000000001</v>
      </c>
      <c r="H37" s="33">
        <v>37.32349</v>
      </c>
      <c r="I37" s="33">
        <v>39.265720000000002</v>
      </c>
      <c r="J37" s="33">
        <v>39.595291000000003</v>
      </c>
      <c r="K37" s="33">
        <v>39.653728000000001</v>
      </c>
      <c r="L37" s="33">
        <v>39.666462000000003</v>
      </c>
      <c r="M37" s="33">
        <v>39.683132000000001</v>
      </c>
      <c r="N37" s="33">
        <v>39.748066000000001</v>
      </c>
      <c r="O37" s="33">
        <v>39.797893999999999</v>
      </c>
      <c r="P37" s="33">
        <v>39.852974000000003</v>
      </c>
      <c r="Q37" s="33">
        <v>39.920296</v>
      </c>
      <c r="R37" s="33">
        <v>39.970134999999999</v>
      </c>
      <c r="S37" s="33">
        <v>40.005046999999998</v>
      </c>
      <c r="T37" s="33">
        <v>40.026470000000003</v>
      </c>
      <c r="U37" s="33">
        <v>40.043441999999999</v>
      </c>
      <c r="V37" s="33">
        <v>40.056137</v>
      </c>
      <c r="W37" s="33">
        <v>40.064692999999998</v>
      </c>
      <c r="X37" s="33">
        <v>40.075218</v>
      </c>
      <c r="Y37" s="33">
        <v>40.075614999999999</v>
      </c>
      <c r="Z37" s="33">
        <v>40.069695000000003</v>
      </c>
      <c r="AA37" s="33">
        <v>40.055481</v>
      </c>
      <c r="AB37" s="33">
        <v>40.038029000000002</v>
      </c>
      <c r="AC37" s="33">
        <v>40.029407999999997</v>
      </c>
      <c r="AD37" s="33">
        <v>40.008018</v>
      </c>
      <c r="AE37" s="33">
        <v>39.996074999999998</v>
      </c>
      <c r="AF37" s="33">
        <v>39.972541999999997</v>
      </c>
      <c r="AG37" s="33">
        <v>39.958122000000003</v>
      </c>
      <c r="AH37" s="33">
        <v>39.929473999999999</v>
      </c>
      <c r="AI37" s="32">
        <v>8.3400000000000002E-3</v>
      </c>
    </row>
    <row r="38" spans="1:35" ht="15" customHeight="1">
      <c r="A38" s="19" t="s">
        <v>73</v>
      </c>
      <c r="B38" s="37" t="s">
        <v>72</v>
      </c>
      <c r="C38" s="33">
        <v>34.962322</v>
      </c>
      <c r="D38" s="33">
        <v>35.991081000000001</v>
      </c>
      <c r="E38" s="33">
        <v>37.288235</v>
      </c>
      <c r="F38" s="33">
        <v>39.051093999999999</v>
      </c>
      <c r="G38" s="33">
        <v>40.553646000000001</v>
      </c>
      <c r="H38" s="33">
        <v>41.976016999999999</v>
      </c>
      <c r="I38" s="33">
        <v>44.120575000000002</v>
      </c>
      <c r="J38" s="33">
        <v>44.336227000000001</v>
      </c>
      <c r="K38" s="33">
        <v>44.414065999999998</v>
      </c>
      <c r="L38" s="33">
        <v>44.500385000000001</v>
      </c>
      <c r="M38" s="33">
        <v>44.615799000000003</v>
      </c>
      <c r="N38" s="33">
        <v>44.876506999999997</v>
      </c>
      <c r="O38" s="33">
        <v>45.111603000000002</v>
      </c>
      <c r="P38" s="33">
        <v>45.306648000000003</v>
      </c>
      <c r="Q38" s="33">
        <v>45.531081999999998</v>
      </c>
      <c r="R38" s="33">
        <v>45.754570000000001</v>
      </c>
      <c r="S38" s="33">
        <v>45.942371000000001</v>
      </c>
      <c r="T38" s="33">
        <v>46.099640000000001</v>
      </c>
      <c r="U38" s="33">
        <v>46.263412000000002</v>
      </c>
      <c r="V38" s="33">
        <v>46.411850000000001</v>
      </c>
      <c r="W38" s="33">
        <v>46.541386000000003</v>
      </c>
      <c r="X38" s="33">
        <v>46.666012000000002</v>
      </c>
      <c r="Y38" s="33">
        <v>46.777721</v>
      </c>
      <c r="Z38" s="33">
        <v>46.871037000000001</v>
      </c>
      <c r="AA38" s="33">
        <v>46.931049000000002</v>
      </c>
      <c r="AB38" s="33">
        <v>46.971848000000001</v>
      </c>
      <c r="AC38" s="33">
        <v>47.034362999999999</v>
      </c>
      <c r="AD38" s="33">
        <v>47.077263000000002</v>
      </c>
      <c r="AE38" s="33">
        <v>47.126358000000003</v>
      </c>
      <c r="AF38" s="33">
        <v>47.158011999999999</v>
      </c>
      <c r="AG38" s="33">
        <v>47.200370999999997</v>
      </c>
      <c r="AH38" s="33">
        <v>47.214767000000002</v>
      </c>
      <c r="AI38" s="32">
        <v>9.7389999999999994E-3</v>
      </c>
    </row>
    <row r="39" spans="1:35" ht="15" customHeight="1">
      <c r="A39" s="19" t="s">
        <v>71</v>
      </c>
      <c r="B39" s="37" t="s">
        <v>70</v>
      </c>
      <c r="C39" s="33">
        <v>41.715885</v>
      </c>
      <c r="D39" s="33">
        <v>42.872379000000002</v>
      </c>
      <c r="E39" s="33">
        <v>44.733494</v>
      </c>
      <c r="F39" s="33">
        <v>46.957068999999997</v>
      </c>
      <c r="G39" s="33">
        <v>49.003487</v>
      </c>
      <c r="H39" s="33">
        <v>50.415680000000002</v>
      </c>
      <c r="I39" s="33">
        <v>52.908669000000003</v>
      </c>
      <c r="J39" s="33">
        <v>53.035347000000002</v>
      </c>
      <c r="K39" s="33">
        <v>53.002814999999998</v>
      </c>
      <c r="L39" s="33">
        <v>53.031281</v>
      </c>
      <c r="M39" s="33">
        <v>53.101596999999998</v>
      </c>
      <c r="N39" s="33">
        <v>53.283951000000002</v>
      </c>
      <c r="O39" s="33">
        <v>53.593539999999997</v>
      </c>
      <c r="P39" s="33">
        <v>53.827370000000002</v>
      </c>
      <c r="Q39" s="33">
        <v>54.068119000000003</v>
      </c>
      <c r="R39" s="33">
        <v>54.300162999999998</v>
      </c>
      <c r="S39" s="33">
        <v>54.521735999999997</v>
      </c>
      <c r="T39" s="33">
        <v>54.675041</v>
      </c>
      <c r="U39" s="33">
        <v>54.843936999999997</v>
      </c>
      <c r="V39" s="33">
        <v>55.006740999999998</v>
      </c>
      <c r="W39" s="33">
        <v>55.136218999999997</v>
      </c>
      <c r="X39" s="33">
        <v>55.248565999999997</v>
      </c>
      <c r="Y39" s="33">
        <v>55.326115000000001</v>
      </c>
      <c r="Z39" s="33">
        <v>55.397579</v>
      </c>
      <c r="AA39" s="33">
        <v>55.445976000000002</v>
      </c>
      <c r="AB39" s="33">
        <v>55.477283</v>
      </c>
      <c r="AC39" s="33">
        <v>55.516716000000002</v>
      </c>
      <c r="AD39" s="33">
        <v>55.571734999999997</v>
      </c>
      <c r="AE39" s="33">
        <v>55.621513</v>
      </c>
      <c r="AF39" s="33">
        <v>55.67548</v>
      </c>
      <c r="AG39" s="33">
        <v>55.732970999999999</v>
      </c>
      <c r="AH39" s="33">
        <v>55.794552000000003</v>
      </c>
      <c r="AI39" s="32">
        <v>9.4249999999999994E-3</v>
      </c>
    </row>
    <row r="40" spans="1:35" ht="15" customHeight="1">
      <c r="A40" s="19" t="s">
        <v>69</v>
      </c>
      <c r="B40" s="37" t="s">
        <v>68</v>
      </c>
      <c r="C40" s="33">
        <v>30.612513</v>
      </c>
      <c r="D40" s="33">
        <v>31.651661000000001</v>
      </c>
      <c r="E40" s="33">
        <v>32.830523999999997</v>
      </c>
      <c r="F40" s="33">
        <v>34.456524000000002</v>
      </c>
      <c r="G40" s="33">
        <v>35.799854000000003</v>
      </c>
      <c r="H40" s="33">
        <v>37.227469999999997</v>
      </c>
      <c r="I40" s="33">
        <v>39.151051000000002</v>
      </c>
      <c r="J40" s="33">
        <v>39.426971000000002</v>
      </c>
      <c r="K40" s="33">
        <v>39.465645000000002</v>
      </c>
      <c r="L40" s="33">
        <v>39.475208000000002</v>
      </c>
      <c r="M40" s="33">
        <v>39.488101999999998</v>
      </c>
      <c r="N40" s="33">
        <v>39.541682999999999</v>
      </c>
      <c r="O40" s="33">
        <v>39.581786999999998</v>
      </c>
      <c r="P40" s="33">
        <v>39.624954000000002</v>
      </c>
      <c r="Q40" s="33">
        <v>39.679687999999999</v>
      </c>
      <c r="R40" s="33">
        <v>39.716709000000002</v>
      </c>
      <c r="S40" s="33">
        <v>39.740402000000003</v>
      </c>
      <c r="T40" s="33">
        <v>39.750675000000001</v>
      </c>
      <c r="U40" s="33">
        <v>39.756599000000001</v>
      </c>
      <c r="V40" s="33">
        <v>39.759041000000003</v>
      </c>
      <c r="W40" s="33">
        <v>39.758136999999998</v>
      </c>
      <c r="X40" s="33">
        <v>39.759655000000002</v>
      </c>
      <c r="Y40" s="33">
        <v>39.754989999999999</v>
      </c>
      <c r="Z40" s="33">
        <v>39.745635999999998</v>
      </c>
      <c r="AA40" s="33">
        <v>39.729228999999997</v>
      </c>
      <c r="AB40" s="33">
        <v>39.710048999999998</v>
      </c>
      <c r="AC40" s="33">
        <v>39.698334000000003</v>
      </c>
      <c r="AD40" s="33">
        <v>39.675387999999998</v>
      </c>
      <c r="AE40" s="33">
        <v>39.66048</v>
      </c>
      <c r="AF40" s="33">
        <v>39.635680999999998</v>
      </c>
      <c r="AG40" s="33">
        <v>39.618450000000003</v>
      </c>
      <c r="AH40" s="33">
        <v>39.589142000000002</v>
      </c>
      <c r="AI40" s="32">
        <v>8.3300000000000006E-3</v>
      </c>
    </row>
    <row r="41" spans="1:35" ht="15" customHeight="1">
      <c r="A41" s="19" t="s">
        <v>67</v>
      </c>
      <c r="B41" s="37" t="s">
        <v>66</v>
      </c>
      <c r="C41" s="33">
        <v>28.524006</v>
      </c>
      <c r="D41" s="33">
        <v>29.363092000000002</v>
      </c>
      <c r="E41" s="33">
        <v>30.420794000000001</v>
      </c>
      <c r="F41" s="33">
        <v>31.858644000000002</v>
      </c>
      <c r="G41" s="33">
        <v>33.084071999999999</v>
      </c>
      <c r="H41" s="33">
        <v>34.244456999999997</v>
      </c>
      <c r="I41" s="33">
        <v>35.994076</v>
      </c>
      <c r="J41" s="33">
        <v>36.169978999999998</v>
      </c>
      <c r="K41" s="33">
        <v>36.233745999999996</v>
      </c>
      <c r="L41" s="33">
        <v>36.304462000000001</v>
      </c>
      <c r="M41" s="33">
        <v>36.398952000000001</v>
      </c>
      <c r="N41" s="33">
        <v>36.612296999999998</v>
      </c>
      <c r="O41" s="33">
        <v>36.804462000000001</v>
      </c>
      <c r="P41" s="33">
        <v>36.963898</v>
      </c>
      <c r="Q41" s="33">
        <v>37.147385</v>
      </c>
      <c r="R41" s="33">
        <v>37.330143</v>
      </c>
      <c r="S41" s="33">
        <v>37.483685000000001</v>
      </c>
      <c r="T41" s="33">
        <v>37.612338999999999</v>
      </c>
      <c r="U41" s="33">
        <v>37.746299999999998</v>
      </c>
      <c r="V41" s="33">
        <v>37.867699000000002</v>
      </c>
      <c r="W41" s="33">
        <v>37.973671000000003</v>
      </c>
      <c r="X41" s="33">
        <v>38.075637999999998</v>
      </c>
      <c r="Y41" s="33">
        <v>38.167079999999999</v>
      </c>
      <c r="Z41" s="33">
        <v>38.243473000000002</v>
      </c>
      <c r="AA41" s="33">
        <v>38.292617999999997</v>
      </c>
      <c r="AB41" s="33">
        <v>38.326034999999997</v>
      </c>
      <c r="AC41" s="33">
        <v>38.377234999999999</v>
      </c>
      <c r="AD41" s="33">
        <v>38.412345999999999</v>
      </c>
      <c r="AE41" s="33">
        <v>38.452530000000003</v>
      </c>
      <c r="AF41" s="33">
        <v>38.478436000000002</v>
      </c>
      <c r="AG41" s="33">
        <v>38.513092</v>
      </c>
      <c r="AH41" s="33">
        <v>38.524833999999998</v>
      </c>
      <c r="AI41" s="32">
        <v>9.7420000000000007E-3</v>
      </c>
    </row>
    <row r="42" spans="1:35" ht="15" customHeight="1">
      <c r="A42" s="19" t="s">
        <v>65</v>
      </c>
      <c r="B42" s="37" t="s">
        <v>64</v>
      </c>
      <c r="C42" s="33">
        <v>34.065807</v>
      </c>
      <c r="D42" s="33">
        <v>35.010216</v>
      </c>
      <c r="E42" s="33">
        <v>36.530028999999999</v>
      </c>
      <c r="F42" s="33">
        <v>38.345837000000003</v>
      </c>
      <c r="G42" s="33">
        <v>40.016972000000003</v>
      </c>
      <c r="H42" s="33">
        <v>41.170189000000001</v>
      </c>
      <c r="I42" s="33">
        <v>43.205997000000004</v>
      </c>
      <c r="J42" s="33">
        <v>43.309448000000003</v>
      </c>
      <c r="K42" s="33">
        <v>43.282879000000001</v>
      </c>
      <c r="L42" s="33">
        <v>43.306125999999999</v>
      </c>
      <c r="M42" s="33">
        <v>43.363548000000002</v>
      </c>
      <c r="N42" s="33">
        <v>43.512459</v>
      </c>
      <c r="O42" s="33">
        <v>43.765273999999998</v>
      </c>
      <c r="P42" s="33">
        <v>43.956223000000001</v>
      </c>
      <c r="Q42" s="33">
        <v>44.152824000000003</v>
      </c>
      <c r="R42" s="33">
        <v>44.342315999999997</v>
      </c>
      <c r="S42" s="33">
        <v>44.523254000000001</v>
      </c>
      <c r="T42" s="33">
        <v>44.648445000000002</v>
      </c>
      <c r="U42" s="33">
        <v>44.786369000000001</v>
      </c>
      <c r="V42" s="33">
        <v>44.919314999999997</v>
      </c>
      <c r="W42" s="33">
        <v>45.025050999999998</v>
      </c>
      <c r="X42" s="33">
        <v>45.116795000000003</v>
      </c>
      <c r="Y42" s="33">
        <v>45.180121999999997</v>
      </c>
      <c r="Z42" s="33">
        <v>45.238480000000003</v>
      </c>
      <c r="AA42" s="33">
        <v>45.278004000000003</v>
      </c>
      <c r="AB42" s="33">
        <v>45.303566000000004</v>
      </c>
      <c r="AC42" s="33">
        <v>45.335769999999997</v>
      </c>
      <c r="AD42" s="33">
        <v>45.380699</v>
      </c>
      <c r="AE42" s="33">
        <v>45.421348999999999</v>
      </c>
      <c r="AF42" s="33">
        <v>45.465420000000002</v>
      </c>
      <c r="AG42" s="33">
        <v>45.512366999999998</v>
      </c>
      <c r="AH42" s="33">
        <v>45.562652999999997</v>
      </c>
      <c r="AI42" s="32">
        <v>9.4249999999999994E-3</v>
      </c>
    </row>
    <row r="43" spans="1:35" ht="15" customHeight="1">
      <c r="A43" s="19" t="s">
        <v>63</v>
      </c>
      <c r="B43" s="37" t="s">
        <v>62</v>
      </c>
      <c r="C43" s="33">
        <v>24.960156999999999</v>
      </c>
      <c r="D43" s="33">
        <v>25.807435999999999</v>
      </c>
      <c r="E43" s="33">
        <v>26.768633000000001</v>
      </c>
      <c r="F43" s="33">
        <v>28.094404000000001</v>
      </c>
      <c r="G43" s="33">
        <v>29.189699000000001</v>
      </c>
      <c r="H43" s="33">
        <v>30.353718000000001</v>
      </c>
      <c r="I43" s="33">
        <v>31.922125000000001</v>
      </c>
      <c r="J43" s="33">
        <v>32.147098999999997</v>
      </c>
      <c r="K43" s="33">
        <v>32.178631000000003</v>
      </c>
      <c r="L43" s="33">
        <v>32.186427999999999</v>
      </c>
      <c r="M43" s="33">
        <v>32.196941000000002</v>
      </c>
      <c r="N43" s="33">
        <v>32.240631</v>
      </c>
      <c r="O43" s="33">
        <v>32.273327000000002</v>
      </c>
      <c r="P43" s="33">
        <v>32.308525000000003</v>
      </c>
      <c r="Q43" s="33">
        <v>32.353152999999999</v>
      </c>
      <c r="R43" s="33">
        <v>32.383338999999999</v>
      </c>
      <c r="S43" s="33">
        <v>32.402656999999998</v>
      </c>
      <c r="T43" s="33">
        <v>32.411034000000001</v>
      </c>
      <c r="U43" s="33">
        <v>32.415863000000002</v>
      </c>
      <c r="V43" s="33">
        <v>32.417853999999998</v>
      </c>
      <c r="W43" s="33">
        <v>32.417118000000002</v>
      </c>
      <c r="X43" s="33">
        <v>32.418354000000001</v>
      </c>
      <c r="Y43" s="33">
        <v>32.414551000000003</v>
      </c>
      <c r="Z43" s="33">
        <v>32.406925000000001</v>
      </c>
      <c r="AA43" s="33">
        <v>32.393546999999998</v>
      </c>
      <c r="AB43" s="33">
        <v>32.377907</v>
      </c>
      <c r="AC43" s="33">
        <v>32.368355000000001</v>
      </c>
      <c r="AD43" s="33">
        <v>32.349648000000002</v>
      </c>
      <c r="AE43" s="33">
        <v>32.337490000000003</v>
      </c>
      <c r="AF43" s="33">
        <v>32.317272000000003</v>
      </c>
      <c r="AG43" s="33">
        <v>32.303223000000003</v>
      </c>
      <c r="AH43" s="33">
        <v>32.279324000000003</v>
      </c>
      <c r="AI43" s="32">
        <v>8.3300000000000006E-3</v>
      </c>
    </row>
    <row r="44" spans="1:35" ht="15" customHeight="1">
      <c r="A44" s="19" t="s">
        <v>61</v>
      </c>
      <c r="B44" s="37" t="s">
        <v>60</v>
      </c>
      <c r="C44" s="33">
        <v>23.821982999999999</v>
      </c>
      <c r="D44" s="33">
        <v>24.306308999999999</v>
      </c>
      <c r="E44" s="33">
        <v>24.833947999999999</v>
      </c>
      <c r="F44" s="33">
        <v>25.423760999999999</v>
      </c>
      <c r="G44" s="33">
        <v>26.058413000000002</v>
      </c>
      <c r="H44" s="33">
        <v>26.717703</v>
      </c>
      <c r="I44" s="33">
        <v>27.428259000000001</v>
      </c>
      <c r="J44" s="33">
        <v>28.114606999999999</v>
      </c>
      <c r="K44" s="33">
        <v>28.770239</v>
      </c>
      <c r="L44" s="33">
        <v>29.396702000000001</v>
      </c>
      <c r="M44" s="33">
        <v>29.996196999999999</v>
      </c>
      <c r="N44" s="33">
        <v>30.570719</v>
      </c>
      <c r="O44" s="33">
        <v>31.119152</v>
      </c>
      <c r="P44" s="33">
        <v>31.645043999999999</v>
      </c>
      <c r="Q44" s="33">
        <v>32.146507</v>
      </c>
      <c r="R44" s="33">
        <v>32.624386000000001</v>
      </c>
      <c r="S44" s="33">
        <v>33.076698</v>
      </c>
      <c r="T44" s="33">
        <v>33.502513999999998</v>
      </c>
      <c r="U44" s="33">
        <v>33.899712000000001</v>
      </c>
      <c r="V44" s="33">
        <v>34.266941000000003</v>
      </c>
      <c r="W44" s="33">
        <v>34.603637999999997</v>
      </c>
      <c r="X44" s="33">
        <v>34.907772000000001</v>
      </c>
      <c r="Y44" s="33">
        <v>35.185284000000003</v>
      </c>
      <c r="Z44" s="33">
        <v>35.43647</v>
      </c>
      <c r="AA44" s="33">
        <v>35.660904000000002</v>
      </c>
      <c r="AB44" s="33">
        <v>35.862267000000003</v>
      </c>
      <c r="AC44" s="33">
        <v>36.047432000000001</v>
      </c>
      <c r="AD44" s="33">
        <v>36.213295000000002</v>
      </c>
      <c r="AE44" s="33">
        <v>36.364738000000003</v>
      </c>
      <c r="AF44" s="33">
        <v>36.501759</v>
      </c>
      <c r="AG44" s="33">
        <v>36.625895999999997</v>
      </c>
      <c r="AH44" s="33">
        <v>36.736789999999999</v>
      </c>
      <c r="AI44" s="32">
        <v>1.4071E-2</v>
      </c>
    </row>
    <row r="45" spans="1:35" ht="15" customHeight="1">
      <c r="A45" s="19" t="s">
        <v>59</v>
      </c>
      <c r="B45" s="37" t="s">
        <v>58</v>
      </c>
      <c r="C45" s="33">
        <v>15.062469</v>
      </c>
      <c r="D45" s="33">
        <v>15.147629</v>
      </c>
      <c r="E45" s="33">
        <v>15.353208</v>
      </c>
      <c r="F45" s="33">
        <v>15.505561</v>
      </c>
      <c r="G45" s="33">
        <v>15.702185999999999</v>
      </c>
      <c r="H45" s="33">
        <v>15.942138999999999</v>
      </c>
      <c r="I45" s="33">
        <v>16.225162999999998</v>
      </c>
      <c r="J45" s="33">
        <v>16.512391999999998</v>
      </c>
      <c r="K45" s="33">
        <v>16.752602</v>
      </c>
      <c r="L45" s="33">
        <v>16.764824000000001</v>
      </c>
      <c r="M45" s="33">
        <v>16.822996</v>
      </c>
      <c r="N45" s="33">
        <v>16.881540000000001</v>
      </c>
      <c r="O45" s="33">
        <v>16.860873999999999</v>
      </c>
      <c r="P45" s="33">
        <v>16.878285999999999</v>
      </c>
      <c r="Q45" s="33">
        <v>16.873719999999999</v>
      </c>
      <c r="R45" s="33">
        <v>16.871492</v>
      </c>
      <c r="S45" s="33">
        <v>16.868994000000001</v>
      </c>
      <c r="T45" s="33">
        <v>16.856480000000001</v>
      </c>
      <c r="U45" s="33">
        <v>16.837173</v>
      </c>
      <c r="V45" s="33">
        <v>16.819607000000001</v>
      </c>
      <c r="W45" s="33">
        <v>16.810314000000002</v>
      </c>
      <c r="X45" s="33">
        <v>16.793268000000001</v>
      </c>
      <c r="Y45" s="33">
        <v>16.786476</v>
      </c>
      <c r="Z45" s="33">
        <v>16.779654000000001</v>
      </c>
      <c r="AA45" s="33">
        <v>16.770454000000001</v>
      </c>
      <c r="AB45" s="33">
        <v>16.760960000000001</v>
      </c>
      <c r="AC45" s="33">
        <v>16.751949</v>
      </c>
      <c r="AD45" s="33">
        <v>16.717970000000001</v>
      </c>
      <c r="AE45" s="33">
        <v>16.720061999999999</v>
      </c>
      <c r="AF45" s="33">
        <v>16.725259999999999</v>
      </c>
      <c r="AG45" s="33">
        <v>16.741181999999998</v>
      </c>
      <c r="AH45" s="33">
        <v>16.761585</v>
      </c>
      <c r="AI45" s="32">
        <v>3.454E-3</v>
      </c>
    </row>
    <row r="46" spans="1:35" ht="15" customHeight="1">
      <c r="A46" s="19" t="s">
        <v>57</v>
      </c>
      <c r="B46" s="37" t="s">
        <v>56</v>
      </c>
      <c r="C46" s="33">
        <v>13.941457</v>
      </c>
      <c r="D46" s="33">
        <v>14.109275999999999</v>
      </c>
      <c r="E46" s="33">
        <v>14.278264999999999</v>
      </c>
      <c r="F46" s="33">
        <v>14.458361999999999</v>
      </c>
      <c r="G46" s="33">
        <v>14.638702</v>
      </c>
      <c r="H46" s="33">
        <v>14.82142</v>
      </c>
      <c r="I46" s="33">
        <v>14.962795</v>
      </c>
      <c r="J46" s="33">
        <v>15.119911</v>
      </c>
      <c r="K46" s="33">
        <v>15.285099000000001</v>
      </c>
      <c r="L46" s="33">
        <v>15.439226</v>
      </c>
      <c r="M46" s="33">
        <v>15.589396000000001</v>
      </c>
      <c r="N46" s="33">
        <v>15.729022000000001</v>
      </c>
      <c r="O46" s="33">
        <v>15.855642</v>
      </c>
      <c r="P46" s="33">
        <v>15.968056000000001</v>
      </c>
      <c r="Q46" s="33">
        <v>16.066538000000001</v>
      </c>
      <c r="R46" s="33">
        <v>16.149981</v>
      </c>
      <c r="S46" s="33">
        <v>16.228159000000002</v>
      </c>
      <c r="T46" s="33">
        <v>16.297737000000001</v>
      </c>
      <c r="U46" s="33">
        <v>16.352411</v>
      </c>
      <c r="V46" s="33">
        <v>16.404261000000002</v>
      </c>
      <c r="W46" s="33">
        <v>16.450655000000001</v>
      </c>
      <c r="X46" s="33">
        <v>16.489477000000001</v>
      </c>
      <c r="Y46" s="33">
        <v>16.521460999999999</v>
      </c>
      <c r="Z46" s="33">
        <v>16.556208000000002</v>
      </c>
      <c r="AA46" s="33">
        <v>16.577981999999999</v>
      </c>
      <c r="AB46" s="33">
        <v>16.592866999999998</v>
      </c>
      <c r="AC46" s="33">
        <v>16.605879000000002</v>
      </c>
      <c r="AD46" s="33">
        <v>16.594866</v>
      </c>
      <c r="AE46" s="33">
        <v>16.608923000000001</v>
      </c>
      <c r="AF46" s="33">
        <v>16.628026999999999</v>
      </c>
      <c r="AG46" s="33">
        <v>16.649794</v>
      </c>
      <c r="AH46" s="33">
        <v>16.673071</v>
      </c>
      <c r="AI46" s="32">
        <v>5.7889999999999999E-3</v>
      </c>
    </row>
    <row r="47" spans="1:35" ht="15" customHeight="1">
      <c r="A47" s="19" t="s">
        <v>55</v>
      </c>
      <c r="B47" s="37" t="s">
        <v>54</v>
      </c>
      <c r="C47" s="33">
        <v>7.1191649999999997</v>
      </c>
      <c r="D47" s="33">
        <v>7.1709399999999999</v>
      </c>
      <c r="E47" s="33">
        <v>7.2359859999999996</v>
      </c>
      <c r="F47" s="33">
        <v>7.3072999999999997</v>
      </c>
      <c r="G47" s="33">
        <v>7.3885160000000001</v>
      </c>
      <c r="H47" s="33">
        <v>7.4812799999999999</v>
      </c>
      <c r="I47" s="33">
        <v>7.5863670000000001</v>
      </c>
      <c r="J47" s="33">
        <v>7.7038349999999998</v>
      </c>
      <c r="K47" s="33">
        <v>7.8342210000000003</v>
      </c>
      <c r="L47" s="33">
        <v>7.9678849999999999</v>
      </c>
      <c r="M47" s="33">
        <v>8.1082149999999995</v>
      </c>
      <c r="N47" s="33">
        <v>8.2517910000000008</v>
      </c>
      <c r="O47" s="33">
        <v>8.3964689999999997</v>
      </c>
      <c r="P47" s="33">
        <v>8.5377449999999993</v>
      </c>
      <c r="Q47" s="33">
        <v>8.6695860000000007</v>
      </c>
      <c r="R47" s="33">
        <v>8.7911870000000008</v>
      </c>
      <c r="S47" s="33">
        <v>8.9024380000000001</v>
      </c>
      <c r="T47" s="33">
        <v>9.0043740000000003</v>
      </c>
      <c r="U47" s="33">
        <v>9.0969149999999992</v>
      </c>
      <c r="V47" s="33">
        <v>9.1809999999999992</v>
      </c>
      <c r="W47" s="33">
        <v>9.2583680000000008</v>
      </c>
      <c r="X47" s="33">
        <v>9.3276850000000007</v>
      </c>
      <c r="Y47" s="33">
        <v>9.3914950000000008</v>
      </c>
      <c r="Z47" s="33">
        <v>9.4486720000000002</v>
      </c>
      <c r="AA47" s="33">
        <v>9.5002829999999996</v>
      </c>
      <c r="AB47" s="33">
        <v>9.5474910000000008</v>
      </c>
      <c r="AC47" s="33">
        <v>9.591628</v>
      </c>
      <c r="AD47" s="33">
        <v>9.6341230000000007</v>
      </c>
      <c r="AE47" s="33">
        <v>9.6755969999999998</v>
      </c>
      <c r="AF47" s="33">
        <v>9.7162889999999997</v>
      </c>
      <c r="AG47" s="33">
        <v>9.7564329999999995</v>
      </c>
      <c r="AH47" s="33">
        <v>9.7974809999999994</v>
      </c>
      <c r="AI47" s="32">
        <v>1.0354E-2</v>
      </c>
    </row>
    <row r="48" spans="1:35" ht="15" customHeight="1">
      <c r="B48" s="30" t="s">
        <v>53</v>
      </c>
    </row>
    <row r="49" spans="1:35" ht="15" customHeight="1">
      <c r="A49" s="19" t="s">
        <v>52</v>
      </c>
      <c r="B49" s="37" t="s">
        <v>51</v>
      </c>
      <c r="C49" s="33">
        <v>69.061408999999998</v>
      </c>
      <c r="D49" s="33">
        <v>69.384444999999999</v>
      </c>
      <c r="E49" s="33">
        <v>69.706733999999997</v>
      </c>
      <c r="F49" s="33">
        <v>70.035477</v>
      </c>
      <c r="G49" s="33">
        <v>70.376755000000003</v>
      </c>
      <c r="H49" s="33">
        <v>70.734436000000002</v>
      </c>
      <c r="I49" s="33">
        <v>71.082642000000007</v>
      </c>
      <c r="J49" s="33">
        <v>71.464614999999995</v>
      </c>
      <c r="K49" s="33">
        <v>71.895363000000003</v>
      </c>
      <c r="L49" s="33">
        <v>72.350364999999996</v>
      </c>
      <c r="M49" s="33">
        <v>72.824805999999995</v>
      </c>
      <c r="N49" s="33">
        <v>73.293342999999993</v>
      </c>
      <c r="O49" s="33">
        <v>73.757735999999994</v>
      </c>
      <c r="P49" s="33">
        <v>74.234024000000005</v>
      </c>
      <c r="Q49" s="33">
        <v>74.700492999999994</v>
      </c>
      <c r="R49" s="33">
        <v>75.177054999999996</v>
      </c>
      <c r="S49" s="33">
        <v>75.653640999999993</v>
      </c>
      <c r="T49" s="33">
        <v>76.137352000000007</v>
      </c>
      <c r="U49" s="33">
        <v>76.621902000000006</v>
      </c>
      <c r="V49" s="33">
        <v>77.107963999999996</v>
      </c>
      <c r="W49" s="33">
        <v>77.601532000000006</v>
      </c>
      <c r="X49" s="33">
        <v>78.099959999999996</v>
      </c>
      <c r="Y49" s="33">
        <v>78.565910000000002</v>
      </c>
      <c r="Z49" s="33">
        <v>79.031158000000005</v>
      </c>
      <c r="AA49" s="33">
        <v>79.489036999999996</v>
      </c>
      <c r="AB49" s="33">
        <v>79.918777000000006</v>
      </c>
      <c r="AC49" s="33">
        <v>80.345123000000001</v>
      </c>
      <c r="AD49" s="33">
        <v>80.761702999999997</v>
      </c>
      <c r="AE49" s="33">
        <v>81.177620000000005</v>
      </c>
      <c r="AF49" s="33">
        <v>81.591446000000005</v>
      </c>
      <c r="AG49" s="33">
        <v>81.990547000000007</v>
      </c>
      <c r="AH49" s="33">
        <v>82.372414000000006</v>
      </c>
      <c r="AI49" s="32">
        <v>5.7019999999999996E-3</v>
      </c>
    </row>
    <row r="50" spans="1:35" ht="15" customHeight="1">
      <c r="B50" s="30" t="s">
        <v>50</v>
      </c>
    </row>
    <row r="51" spans="1:35" ht="15" customHeight="1">
      <c r="A51" s="19" t="s">
        <v>49</v>
      </c>
      <c r="B51" s="37" t="s">
        <v>48</v>
      </c>
      <c r="C51" s="33">
        <v>3.4668839999999999</v>
      </c>
      <c r="D51" s="33">
        <v>3.4893709999999998</v>
      </c>
      <c r="E51" s="33">
        <v>3.512003</v>
      </c>
      <c r="F51" s="33">
        <v>3.5347819999999999</v>
      </c>
      <c r="G51" s="33">
        <v>3.5577100000000002</v>
      </c>
      <c r="H51" s="33">
        <v>3.5807850000000001</v>
      </c>
      <c r="I51" s="33">
        <v>3.6040100000000002</v>
      </c>
      <c r="J51" s="33">
        <v>3.627386</v>
      </c>
      <c r="K51" s="33">
        <v>3.6509140000000002</v>
      </c>
      <c r="L51" s="33">
        <v>3.6745939999999999</v>
      </c>
      <c r="M51" s="33">
        <v>3.6984279999999998</v>
      </c>
      <c r="N51" s="33">
        <v>3.7224159999999999</v>
      </c>
      <c r="O51" s="33">
        <v>3.7465600000000001</v>
      </c>
      <c r="P51" s="33">
        <v>3.7708599999999999</v>
      </c>
      <c r="Q51" s="33">
        <v>3.795318</v>
      </c>
      <c r="R51" s="33">
        <v>3.8199350000000001</v>
      </c>
      <c r="S51" s="33">
        <v>3.8447119999999999</v>
      </c>
      <c r="T51" s="33">
        <v>3.8696489999999999</v>
      </c>
      <c r="U51" s="33">
        <v>3.8947479999999999</v>
      </c>
      <c r="V51" s="33">
        <v>3.9200089999999999</v>
      </c>
      <c r="W51" s="33">
        <v>3.9454349999999998</v>
      </c>
      <c r="X51" s="33">
        <v>3.971025</v>
      </c>
      <c r="Y51" s="33">
        <v>3.9967820000000001</v>
      </c>
      <c r="Z51" s="33">
        <v>4.0227050000000002</v>
      </c>
      <c r="AA51" s="33">
        <v>4.0487970000000004</v>
      </c>
      <c r="AB51" s="33">
        <v>4.0750580000000003</v>
      </c>
      <c r="AC51" s="33">
        <v>4.1014889999999999</v>
      </c>
      <c r="AD51" s="33">
        <v>4.1280910000000004</v>
      </c>
      <c r="AE51" s="33">
        <v>4.1548660000000002</v>
      </c>
      <c r="AF51" s="33">
        <v>4.1818150000000003</v>
      </c>
      <c r="AG51" s="33">
        <v>4.208939</v>
      </c>
      <c r="AH51" s="33">
        <v>4.2362380000000002</v>
      </c>
      <c r="AI51" s="32">
        <v>6.4859999999999996E-3</v>
      </c>
    </row>
    <row r="52" spans="1:35" ht="15" customHeight="1">
      <c r="A52" s="19" t="s">
        <v>47</v>
      </c>
      <c r="B52" s="37" t="s">
        <v>46</v>
      </c>
      <c r="C52" s="33">
        <v>4.8133650000000001</v>
      </c>
      <c r="D52" s="33">
        <v>4.8419600000000003</v>
      </c>
      <c r="E52" s="33">
        <v>4.8707260000000003</v>
      </c>
      <c r="F52" s="33">
        <v>4.8996630000000003</v>
      </c>
      <c r="G52" s="33">
        <v>4.9287720000000004</v>
      </c>
      <c r="H52" s="33">
        <v>4.9580539999999997</v>
      </c>
      <c r="I52" s="33">
        <v>4.9875090000000002</v>
      </c>
      <c r="J52" s="33">
        <v>5.0171400000000004</v>
      </c>
      <c r="K52" s="33">
        <v>5.0469470000000003</v>
      </c>
      <c r="L52" s="33">
        <v>5.0769310000000001</v>
      </c>
      <c r="M52" s="33">
        <v>5.1070919999999997</v>
      </c>
      <c r="N52" s="33">
        <v>5.1374339999999998</v>
      </c>
      <c r="O52" s="33">
        <v>5.1679550000000001</v>
      </c>
      <c r="P52" s="33">
        <v>5.198658</v>
      </c>
      <c r="Q52" s="33">
        <v>5.2295429999999996</v>
      </c>
      <c r="R52" s="33">
        <v>5.2606109999999999</v>
      </c>
      <c r="S52" s="33">
        <v>5.2918640000000003</v>
      </c>
      <c r="T52" s="33">
        <v>5.3233030000000001</v>
      </c>
      <c r="U52" s="33">
        <v>5.3549290000000003</v>
      </c>
      <c r="V52" s="33">
        <v>5.3867419999999999</v>
      </c>
      <c r="W52" s="33">
        <v>5.4187450000000004</v>
      </c>
      <c r="X52" s="33">
        <v>5.4509379999999998</v>
      </c>
      <c r="Y52" s="33">
        <v>5.4833220000000003</v>
      </c>
      <c r="Z52" s="33">
        <v>5.515898</v>
      </c>
      <c r="AA52" s="33">
        <v>5.548667</v>
      </c>
      <c r="AB52" s="33">
        <v>5.5816319999999999</v>
      </c>
      <c r="AC52" s="33">
        <v>5.6147919999999996</v>
      </c>
      <c r="AD52" s="33">
        <v>5.6481500000000002</v>
      </c>
      <c r="AE52" s="33">
        <v>5.681705</v>
      </c>
      <c r="AF52" s="33">
        <v>5.7154600000000002</v>
      </c>
      <c r="AG52" s="33">
        <v>5.7494160000000001</v>
      </c>
      <c r="AH52" s="33">
        <v>5.7835729999999996</v>
      </c>
      <c r="AI52" s="32">
        <v>5.9410000000000001E-3</v>
      </c>
    </row>
    <row r="54" spans="1:35" ht="15" customHeight="1">
      <c r="B54" s="30" t="s">
        <v>45</v>
      </c>
    </row>
    <row r="55" spans="1:35" ht="15" customHeight="1">
      <c r="B55" s="30" t="s">
        <v>44</v>
      </c>
    </row>
    <row r="56" spans="1:35" ht="15" customHeight="1">
      <c r="A56" s="19" t="s">
        <v>43</v>
      </c>
      <c r="B56" s="37" t="s">
        <v>27</v>
      </c>
      <c r="C56" s="34">
        <v>15.312445</v>
      </c>
      <c r="D56" s="34">
        <v>15.30714</v>
      </c>
      <c r="E56" s="34">
        <v>15.236718</v>
      </c>
      <c r="F56" s="34">
        <v>15.068806</v>
      </c>
      <c r="G56" s="34">
        <v>14.804812999999999</v>
      </c>
      <c r="H56" s="34">
        <v>14.499307</v>
      </c>
      <c r="I56" s="34">
        <v>14.167157</v>
      </c>
      <c r="J56" s="34">
        <v>13.909196</v>
      </c>
      <c r="K56" s="34">
        <v>13.685458000000001</v>
      </c>
      <c r="L56" s="34">
        <v>13.482775999999999</v>
      </c>
      <c r="M56" s="34">
        <v>13.299863</v>
      </c>
      <c r="N56" s="34">
        <v>13.139068999999999</v>
      </c>
      <c r="O56" s="34">
        <v>13.002687</v>
      </c>
      <c r="P56" s="34">
        <v>12.863337</v>
      </c>
      <c r="Q56" s="34">
        <v>12.735182999999999</v>
      </c>
      <c r="R56" s="34">
        <v>12.602709000000001</v>
      </c>
      <c r="S56" s="34">
        <v>12.470579000000001</v>
      </c>
      <c r="T56" s="34">
        <v>12.372916</v>
      </c>
      <c r="U56" s="34">
        <v>12.287333</v>
      </c>
      <c r="V56" s="34">
        <v>12.215109</v>
      </c>
      <c r="W56" s="34">
        <v>12.15875</v>
      </c>
      <c r="X56" s="34">
        <v>12.118073000000001</v>
      </c>
      <c r="Y56" s="34">
        <v>12.081137</v>
      </c>
      <c r="Z56" s="34">
        <v>12.057517000000001</v>
      </c>
      <c r="AA56" s="34">
        <v>12.045367000000001</v>
      </c>
      <c r="AB56" s="34">
        <v>12.044356000000001</v>
      </c>
      <c r="AC56" s="34">
        <v>12.055040999999999</v>
      </c>
      <c r="AD56" s="34">
        <v>12.085419</v>
      </c>
      <c r="AE56" s="34">
        <v>12.129275</v>
      </c>
      <c r="AF56" s="34">
        <v>12.190246</v>
      </c>
      <c r="AG56" s="34">
        <v>12.262822999999999</v>
      </c>
      <c r="AH56" s="34">
        <v>12.346762</v>
      </c>
      <c r="AI56" s="32">
        <v>-6.9199999999999999E-3</v>
      </c>
    </row>
    <row r="57" spans="1:35" ht="15" customHeight="1">
      <c r="A57" s="19" t="s">
        <v>42</v>
      </c>
      <c r="B57" s="37" t="s">
        <v>25</v>
      </c>
      <c r="C57" s="34">
        <v>0.89102800000000004</v>
      </c>
      <c r="D57" s="34">
        <v>0.891903</v>
      </c>
      <c r="E57" s="34">
        <v>0.89588900000000005</v>
      </c>
      <c r="F57" s="34">
        <v>0.89786999999999995</v>
      </c>
      <c r="G57" s="34">
        <v>0.89709000000000005</v>
      </c>
      <c r="H57" s="34">
        <v>0.89317999999999997</v>
      </c>
      <c r="I57" s="34">
        <v>0.89263599999999999</v>
      </c>
      <c r="J57" s="34">
        <v>0.892015</v>
      </c>
      <c r="K57" s="34">
        <v>0.89260600000000001</v>
      </c>
      <c r="L57" s="34">
        <v>0.893648</v>
      </c>
      <c r="M57" s="34">
        <v>0.895486</v>
      </c>
      <c r="N57" s="34">
        <v>0.89671299999999998</v>
      </c>
      <c r="O57" s="34">
        <v>0.90131700000000003</v>
      </c>
      <c r="P57" s="34">
        <v>0.90484600000000004</v>
      </c>
      <c r="Q57" s="34">
        <v>0.90985700000000003</v>
      </c>
      <c r="R57" s="34">
        <v>0.914968</v>
      </c>
      <c r="S57" s="34">
        <v>0.92024600000000001</v>
      </c>
      <c r="T57" s="34">
        <v>0.92707899999999999</v>
      </c>
      <c r="U57" s="34">
        <v>0.93428299999999997</v>
      </c>
      <c r="V57" s="34">
        <v>0.94157999999999997</v>
      </c>
      <c r="W57" s="34">
        <v>0.94926100000000002</v>
      </c>
      <c r="X57" s="34">
        <v>0.957789</v>
      </c>
      <c r="Y57" s="34">
        <v>0.96684499999999995</v>
      </c>
      <c r="Z57" s="34">
        <v>0.97590600000000005</v>
      </c>
      <c r="AA57" s="34">
        <v>0.98611000000000004</v>
      </c>
      <c r="AB57" s="34">
        <v>0.99779099999999998</v>
      </c>
      <c r="AC57" s="34">
        <v>1.0106869999999999</v>
      </c>
      <c r="AD57" s="34">
        <v>1.027074</v>
      </c>
      <c r="AE57" s="34">
        <v>1.0402640000000001</v>
      </c>
      <c r="AF57" s="34">
        <v>1.0545720000000001</v>
      </c>
      <c r="AG57" s="34">
        <v>1.0692459999999999</v>
      </c>
      <c r="AH57" s="34">
        <v>1.083799</v>
      </c>
      <c r="AI57" s="32">
        <v>6.3379999999999999E-3</v>
      </c>
    </row>
    <row r="58" spans="1:35" ht="15" customHeight="1">
      <c r="A58" s="19" t="s">
        <v>41</v>
      </c>
      <c r="B58" s="37" t="s">
        <v>23</v>
      </c>
      <c r="C58" s="34">
        <v>0.23853099999999999</v>
      </c>
      <c r="D58" s="34">
        <v>0.23988999999999999</v>
      </c>
      <c r="E58" s="34">
        <v>0.241259</v>
      </c>
      <c r="F58" s="34">
        <v>0.24260899999999999</v>
      </c>
      <c r="G58" s="34">
        <v>0.24391299999999999</v>
      </c>
      <c r="H58" s="34">
        <v>0.245252</v>
      </c>
      <c r="I58" s="34">
        <v>0.24668399999999999</v>
      </c>
      <c r="J58" s="34">
        <v>0.24810399999999999</v>
      </c>
      <c r="K58" s="34">
        <v>0.24951599999999999</v>
      </c>
      <c r="L58" s="34">
        <v>0.25095299999999998</v>
      </c>
      <c r="M58" s="34">
        <v>0.25238300000000002</v>
      </c>
      <c r="N58" s="34">
        <v>0.25371700000000003</v>
      </c>
      <c r="O58" s="34">
        <v>0.25501000000000001</v>
      </c>
      <c r="P58" s="34">
        <v>0.25626900000000002</v>
      </c>
      <c r="Q58" s="34">
        <v>0.25740600000000002</v>
      </c>
      <c r="R58" s="34">
        <v>0.25848599999999999</v>
      </c>
      <c r="S58" s="34">
        <v>0.25950800000000002</v>
      </c>
      <c r="T58" s="34">
        <v>0.26046999999999998</v>
      </c>
      <c r="U58" s="34">
        <v>0.26137700000000003</v>
      </c>
      <c r="V58" s="34">
        <v>0.26222299999999998</v>
      </c>
      <c r="W58" s="34">
        <v>0.26300299999999999</v>
      </c>
      <c r="X58" s="34">
        <v>0.263714</v>
      </c>
      <c r="Y58" s="34">
        <v>0.264353</v>
      </c>
      <c r="Z58" s="34">
        <v>0.26492500000000002</v>
      </c>
      <c r="AA58" s="34">
        <v>0.26543899999999998</v>
      </c>
      <c r="AB58" s="34">
        <v>0.26590399999999997</v>
      </c>
      <c r="AC58" s="34">
        <v>0.26633299999999999</v>
      </c>
      <c r="AD58" s="34">
        <v>0.26674799999999999</v>
      </c>
      <c r="AE58" s="34">
        <v>0.267177</v>
      </c>
      <c r="AF58" s="34">
        <v>0.267648</v>
      </c>
      <c r="AG58" s="34">
        <v>0.268208</v>
      </c>
      <c r="AH58" s="34">
        <v>0.26887699999999998</v>
      </c>
      <c r="AI58" s="32">
        <v>3.8700000000000002E-3</v>
      </c>
    </row>
    <row r="59" spans="1:35" ht="15" customHeight="1">
      <c r="A59" s="19" t="s">
        <v>40</v>
      </c>
      <c r="B59" s="37" t="s">
        <v>21</v>
      </c>
      <c r="C59" s="34">
        <v>5.8809579999999997</v>
      </c>
      <c r="D59" s="34">
        <v>5.9040049999999997</v>
      </c>
      <c r="E59" s="34">
        <v>5.9517569999999997</v>
      </c>
      <c r="F59" s="34">
        <v>5.9839580000000003</v>
      </c>
      <c r="G59" s="34">
        <v>6.0106469999999996</v>
      </c>
      <c r="H59" s="34">
        <v>5.9934820000000002</v>
      </c>
      <c r="I59" s="34">
        <v>5.9729049999999999</v>
      </c>
      <c r="J59" s="34">
        <v>5.942755</v>
      </c>
      <c r="K59" s="34">
        <v>5.9138310000000001</v>
      </c>
      <c r="L59" s="34">
        <v>5.875737</v>
      </c>
      <c r="M59" s="34">
        <v>5.8369559999999998</v>
      </c>
      <c r="N59" s="34">
        <v>5.7832369999999997</v>
      </c>
      <c r="O59" s="34">
        <v>5.7600280000000001</v>
      </c>
      <c r="P59" s="34">
        <v>5.7273540000000001</v>
      </c>
      <c r="Q59" s="34">
        <v>5.709549</v>
      </c>
      <c r="R59" s="34">
        <v>5.6887650000000001</v>
      </c>
      <c r="S59" s="34">
        <v>5.6829890000000001</v>
      </c>
      <c r="T59" s="34">
        <v>5.6880410000000001</v>
      </c>
      <c r="U59" s="34">
        <v>5.6894450000000001</v>
      </c>
      <c r="V59" s="34">
        <v>5.6978169999999997</v>
      </c>
      <c r="W59" s="34">
        <v>5.7092549999999997</v>
      </c>
      <c r="X59" s="34">
        <v>5.7294109999999998</v>
      </c>
      <c r="Y59" s="34">
        <v>5.7541630000000001</v>
      </c>
      <c r="Z59" s="34">
        <v>5.7868459999999997</v>
      </c>
      <c r="AA59" s="34">
        <v>5.8210759999999997</v>
      </c>
      <c r="AB59" s="34">
        <v>5.8691979999999999</v>
      </c>
      <c r="AC59" s="34">
        <v>5.9272929999999997</v>
      </c>
      <c r="AD59" s="34">
        <v>6.0019349999999996</v>
      </c>
      <c r="AE59" s="34">
        <v>6.0561199999999999</v>
      </c>
      <c r="AF59" s="34">
        <v>6.1258460000000001</v>
      </c>
      <c r="AG59" s="34">
        <v>6.2000320000000002</v>
      </c>
      <c r="AH59" s="34">
        <v>6.2750170000000001</v>
      </c>
      <c r="AI59" s="32">
        <v>2.0939999999999999E-3</v>
      </c>
    </row>
    <row r="60" spans="1:35" ht="15" customHeight="1">
      <c r="A60" s="19" t="s">
        <v>39</v>
      </c>
      <c r="B60" s="37" t="s">
        <v>19</v>
      </c>
      <c r="C60" s="34">
        <v>4.9125000000000002E-2</v>
      </c>
      <c r="D60" s="34">
        <v>5.0001999999999998E-2</v>
      </c>
      <c r="E60" s="34">
        <v>5.0828999999999999E-2</v>
      </c>
      <c r="F60" s="34">
        <v>5.1513000000000003E-2</v>
      </c>
      <c r="G60" s="34">
        <v>5.2172999999999997E-2</v>
      </c>
      <c r="H60" s="34">
        <v>5.2830000000000002E-2</v>
      </c>
      <c r="I60" s="34">
        <v>5.3461000000000002E-2</v>
      </c>
      <c r="J60" s="34">
        <v>5.4087999999999997E-2</v>
      </c>
      <c r="K60" s="34">
        <v>5.4688000000000001E-2</v>
      </c>
      <c r="L60" s="34">
        <v>5.5315000000000003E-2</v>
      </c>
      <c r="M60" s="34">
        <v>5.5939999999999997E-2</v>
      </c>
      <c r="N60" s="34">
        <v>5.6411000000000003E-2</v>
      </c>
      <c r="O60" s="34">
        <v>5.7056999999999997E-2</v>
      </c>
      <c r="P60" s="34">
        <v>5.7682999999999998E-2</v>
      </c>
      <c r="Q60" s="34">
        <v>5.8288E-2</v>
      </c>
      <c r="R60" s="34">
        <v>5.8840999999999997E-2</v>
      </c>
      <c r="S60" s="34">
        <v>5.9416999999999998E-2</v>
      </c>
      <c r="T60" s="34">
        <v>5.9977000000000003E-2</v>
      </c>
      <c r="U60" s="34">
        <v>6.0532000000000002E-2</v>
      </c>
      <c r="V60" s="34">
        <v>6.1099000000000001E-2</v>
      </c>
      <c r="W60" s="34">
        <v>6.1667E-2</v>
      </c>
      <c r="X60" s="34">
        <v>6.2233999999999998E-2</v>
      </c>
      <c r="Y60" s="34">
        <v>6.2771999999999994E-2</v>
      </c>
      <c r="Z60" s="34">
        <v>6.3311000000000006E-2</v>
      </c>
      <c r="AA60" s="34">
        <v>6.3864000000000004E-2</v>
      </c>
      <c r="AB60" s="34">
        <v>6.4421999999999993E-2</v>
      </c>
      <c r="AC60" s="34">
        <v>6.4971000000000001E-2</v>
      </c>
      <c r="AD60" s="34">
        <v>6.5568000000000001E-2</v>
      </c>
      <c r="AE60" s="34">
        <v>6.6151000000000001E-2</v>
      </c>
      <c r="AF60" s="34">
        <v>6.6765000000000005E-2</v>
      </c>
      <c r="AG60" s="34">
        <v>6.7348000000000005E-2</v>
      </c>
      <c r="AH60" s="34">
        <v>6.7945000000000005E-2</v>
      </c>
      <c r="AI60" s="32">
        <v>1.0517E-2</v>
      </c>
    </row>
    <row r="61" spans="1:35" ht="15" customHeight="1">
      <c r="A61" s="19" t="s">
        <v>38</v>
      </c>
      <c r="B61" s="37" t="s">
        <v>17</v>
      </c>
      <c r="C61" s="34">
        <v>0.52149500000000004</v>
      </c>
      <c r="D61" s="34">
        <v>0.49603199999999997</v>
      </c>
      <c r="E61" s="34">
        <v>0.47267399999999998</v>
      </c>
      <c r="F61" s="34">
        <v>0.46714600000000001</v>
      </c>
      <c r="G61" s="34">
        <v>0.46454699999999999</v>
      </c>
      <c r="H61" s="34">
        <v>0.45757300000000001</v>
      </c>
      <c r="I61" s="34">
        <v>0.44527499999999998</v>
      </c>
      <c r="J61" s="34">
        <v>0.45321899999999998</v>
      </c>
      <c r="K61" s="34">
        <v>0.45270500000000002</v>
      </c>
      <c r="L61" s="34">
        <v>0.45249699999999998</v>
      </c>
      <c r="M61" s="34">
        <v>0.44765100000000002</v>
      </c>
      <c r="N61" s="34">
        <v>0.44280399999999998</v>
      </c>
      <c r="O61" s="34">
        <v>0.44168499999999999</v>
      </c>
      <c r="P61" s="34">
        <v>0.44123899999999999</v>
      </c>
      <c r="Q61" s="34">
        <v>0.44104900000000002</v>
      </c>
      <c r="R61" s="34">
        <v>0.44097599999999998</v>
      </c>
      <c r="S61" s="34">
        <v>0.43873499999999999</v>
      </c>
      <c r="T61" s="34">
        <v>0.43886999999999998</v>
      </c>
      <c r="U61" s="34">
        <v>0.43769000000000002</v>
      </c>
      <c r="V61" s="34">
        <v>0.43399300000000002</v>
      </c>
      <c r="W61" s="34">
        <v>0.43391099999999999</v>
      </c>
      <c r="X61" s="34">
        <v>0.43191099999999999</v>
      </c>
      <c r="Y61" s="34">
        <v>0.43091099999999999</v>
      </c>
      <c r="Z61" s="34">
        <v>0.43136200000000002</v>
      </c>
      <c r="AA61" s="34">
        <v>0.431558</v>
      </c>
      <c r="AB61" s="34">
        <v>0.43213200000000002</v>
      </c>
      <c r="AC61" s="34">
        <v>0.43332599999999999</v>
      </c>
      <c r="AD61" s="34">
        <v>0.43653799999999998</v>
      </c>
      <c r="AE61" s="34">
        <v>0.437579</v>
      </c>
      <c r="AF61" s="34">
        <v>0.43982100000000002</v>
      </c>
      <c r="AG61" s="34">
        <v>0.44239099999999998</v>
      </c>
      <c r="AH61" s="34">
        <v>0.44580599999999998</v>
      </c>
      <c r="AI61" s="32">
        <v>-5.0460000000000001E-3</v>
      </c>
    </row>
    <row r="62" spans="1:35" ht="15" customHeight="1">
      <c r="A62" s="19" t="s">
        <v>37</v>
      </c>
      <c r="B62" s="37" t="s">
        <v>15</v>
      </c>
      <c r="C62" s="34">
        <v>8.9409000000000002E-2</v>
      </c>
      <c r="D62" s="34">
        <v>8.7946999999999997E-2</v>
      </c>
      <c r="E62" s="34">
        <v>8.5824999999999999E-2</v>
      </c>
      <c r="F62" s="34">
        <v>8.3143999999999996E-2</v>
      </c>
      <c r="G62" s="34">
        <v>8.1043000000000004E-2</v>
      </c>
      <c r="H62" s="34">
        <v>7.8539999999999999E-2</v>
      </c>
      <c r="I62" s="34">
        <v>7.6103000000000004E-2</v>
      </c>
      <c r="J62" s="34">
        <v>7.3851E-2</v>
      </c>
      <c r="K62" s="34">
        <v>7.1606000000000003E-2</v>
      </c>
      <c r="L62" s="34">
        <v>6.9278000000000006E-2</v>
      </c>
      <c r="M62" s="34">
        <v>6.6864999999999994E-2</v>
      </c>
      <c r="N62" s="34">
        <v>6.4421000000000006E-2</v>
      </c>
      <c r="O62" s="34">
        <v>6.3281000000000004E-2</v>
      </c>
      <c r="P62" s="34">
        <v>6.2044000000000002E-2</v>
      </c>
      <c r="Q62" s="34">
        <v>6.0933000000000001E-2</v>
      </c>
      <c r="R62" s="34">
        <v>5.9680999999999998E-2</v>
      </c>
      <c r="S62" s="34">
        <v>5.8471000000000002E-2</v>
      </c>
      <c r="T62" s="34">
        <v>5.7384999999999999E-2</v>
      </c>
      <c r="U62" s="34">
        <v>5.6209000000000002E-2</v>
      </c>
      <c r="V62" s="34">
        <v>5.5024999999999998E-2</v>
      </c>
      <c r="W62" s="34">
        <v>5.3933000000000002E-2</v>
      </c>
      <c r="X62" s="34">
        <v>5.2831000000000003E-2</v>
      </c>
      <c r="Y62" s="34">
        <v>5.2283000000000003E-2</v>
      </c>
      <c r="Z62" s="34">
        <v>5.1791999999999998E-2</v>
      </c>
      <c r="AA62" s="34">
        <v>5.1248000000000002E-2</v>
      </c>
      <c r="AB62" s="34">
        <v>5.0798999999999997E-2</v>
      </c>
      <c r="AC62" s="34">
        <v>5.0387000000000001E-2</v>
      </c>
      <c r="AD62" s="34">
        <v>5.0148999999999999E-2</v>
      </c>
      <c r="AE62" s="34">
        <v>4.9715000000000002E-2</v>
      </c>
      <c r="AF62" s="34">
        <v>4.9415000000000001E-2</v>
      </c>
      <c r="AG62" s="34">
        <v>4.9187000000000002E-2</v>
      </c>
      <c r="AH62" s="34">
        <v>4.8996999999999999E-2</v>
      </c>
      <c r="AI62" s="32">
        <v>-1.9214999999999999E-2</v>
      </c>
    </row>
    <row r="63" spans="1:35" ht="15" customHeight="1">
      <c r="A63" s="19" t="s">
        <v>36</v>
      </c>
      <c r="B63" s="37" t="s">
        <v>13</v>
      </c>
      <c r="C63" s="34">
        <v>0.92732700000000001</v>
      </c>
      <c r="D63" s="34">
        <v>1.0088379999999999</v>
      </c>
      <c r="E63" s="34">
        <v>0.97111599999999998</v>
      </c>
      <c r="F63" s="34">
        <v>0.88697199999999998</v>
      </c>
      <c r="G63" s="34">
        <v>0.89194899999999999</v>
      </c>
      <c r="H63" s="34">
        <v>0.87592300000000001</v>
      </c>
      <c r="I63" s="34">
        <v>0.889297</v>
      </c>
      <c r="J63" s="34">
        <v>0.86436500000000005</v>
      </c>
      <c r="K63" s="34">
        <v>0.87566699999999997</v>
      </c>
      <c r="L63" s="34">
        <v>0.87673500000000004</v>
      </c>
      <c r="M63" s="34">
        <v>0.86275199999999996</v>
      </c>
      <c r="N63" s="34">
        <v>0.87661100000000003</v>
      </c>
      <c r="O63" s="34">
        <v>0.87746100000000005</v>
      </c>
      <c r="P63" s="34">
        <v>0.86594400000000005</v>
      </c>
      <c r="Q63" s="34">
        <v>0.87606399999999995</v>
      </c>
      <c r="R63" s="34">
        <v>0.87610900000000003</v>
      </c>
      <c r="S63" s="34">
        <v>0.87291200000000002</v>
      </c>
      <c r="T63" s="34">
        <v>0.86272700000000002</v>
      </c>
      <c r="U63" s="34">
        <v>0.869371</v>
      </c>
      <c r="V63" s="34">
        <v>0.85895600000000005</v>
      </c>
      <c r="W63" s="34">
        <v>0.85843599999999998</v>
      </c>
      <c r="X63" s="34">
        <v>0.864699</v>
      </c>
      <c r="Y63" s="34">
        <v>0.85375100000000004</v>
      </c>
      <c r="Z63" s="34">
        <v>0.85230899999999998</v>
      </c>
      <c r="AA63" s="34">
        <v>0.84980699999999998</v>
      </c>
      <c r="AB63" s="34">
        <v>0.84660400000000002</v>
      </c>
      <c r="AC63" s="34">
        <v>0.84451500000000002</v>
      </c>
      <c r="AD63" s="34">
        <v>0.843746</v>
      </c>
      <c r="AE63" s="34">
        <v>0.841557</v>
      </c>
      <c r="AF63" s="34">
        <v>0.84054899999999999</v>
      </c>
      <c r="AG63" s="34">
        <v>0.83998899999999999</v>
      </c>
      <c r="AH63" s="34">
        <v>0.84009100000000003</v>
      </c>
      <c r="AI63" s="32">
        <v>-3.1819999999999999E-3</v>
      </c>
    </row>
    <row r="64" spans="1:35" ht="15" customHeight="1">
      <c r="A64" s="19" t="s">
        <v>35</v>
      </c>
      <c r="B64" s="37" t="s">
        <v>11</v>
      </c>
      <c r="C64" s="34">
        <v>0.24548700000000001</v>
      </c>
      <c r="D64" s="34">
        <v>0.24624699999999999</v>
      </c>
      <c r="E64" s="34">
        <v>0.246891</v>
      </c>
      <c r="F64" s="34">
        <v>0.247228</v>
      </c>
      <c r="G64" s="34">
        <v>0.24740100000000001</v>
      </c>
      <c r="H64" s="34">
        <v>0.247561</v>
      </c>
      <c r="I64" s="34">
        <v>0.247747</v>
      </c>
      <c r="J64" s="34">
        <v>0.24787200000000001</v>
      </c>
      <c r="K64" s="34">
        <v>0.247948</v>
      </c>
      <c r="L64" s="34">
        <v>0.248034</v>
      </c>
      <c r="M64" s="34">
        <v>0.24811900000000001</v>
      </c>
      <c r="N64" s="34">
        <v>0.24812799999999999</v>
      </c>
      <c r="O64" s="34">
        <v>0.24811900000000001</v>
      </c>
      <c r="P64" s="34">
        <v>0.24807899999999999</v>
      </c>
      <c r="Q64" s="34">
        <v>0.247943</v>
      </c>
      <c r="R64" s="34">
        <v>0.24770400000000001</v>
      </c>
      <c r="S64" s="34">
        <v>0.24738199999999999</v>
      </c>
      <c r="T64" s="34">
        <v>0.24705099999999999</v>
      </c>
      <c r="U64" s="34">
        <v>0.246672</v>
      </c>
      <c r="V64" s="34">
        <v>0.24627099999999999</v>
      </c>
      <c r="W64" s="34">
        <v>0.24584500000000001</v>
      </c>
      <c r="X64" s="34">
        <v>0.245364</v>
      </c>
      <c r="Y64" s="34">
        <v>0.244837</v>
      </c>
      <c r="Z64" s="34">
        <v>0.24424299999999999</v>
      </c>
      <c r="AA64" s="34">
        <v>0.24363599999999999</v>
      </c>
      <c r="AB64" s="34">
        <v>0.243037</v>
      </c>
      <c r="AC64" s="34">
        <v>0.24246699999999999</v>
      </c>
      <c r="AD64" s="34">
        <v>0.241926</v>
      </c>
      <c r="AE64" s="34">
        <v>0.24138699999999999</v>
      </c>
      <c r="AF64" s="34">
        <v>0.24085799999999999</v>
      </c>
      <c r="AG64" s="34">
        <v>0.240316</v>
      </c>
      <c r="AH64" s="34">
        <v>0.23976</v>
      </c>
      <c r="AI64" s="32">
        <v>-7.6099999999999996E-4</v>
      </c>
    </row>
    <row r="65" spans="1:35" ht="15" customHeight="1">
      <c r="A65" s="19" t="s">
        <v>34</v>
      </c>
      <c r="B65" s="37" t="s">
        <v>9</v>
      </c>
      <c r="C65" s="34">
        <v>2.6409440000000002</v>
      </c>
      <c r="D65" s="34">
        <v>2.6730670000000001</v>
      </c>
      <c r="E65" s="34">
        <v>2.70635</v>
      </c>
      <c r="F65" s="34">
        <v>2.7321909999999998</v>
      </c>
      <c r="G65" s="34">
        <v>2.7524329999999999</v>
      </c>
      <c r="H65" s="34">
        <v>2.7760940000000001</v>
      </c>
      <c r="I65" s="34">
        <v>2.803131</v>
      </c>
      <c r="J65" s="34">
        <v>2.8286799999999999</v>
      </c>
      <c r="K65" s="34">
        <v>2.8535170000000001</v>
      </c>
      <c r="L65" s="34">
        <v>2.8798110000000001</v>
      </c>
      <c r="M65" s="34">
        <v>2.9085220000000001</v>
      </c>
      <c r="N65" s="34">
        <v>2.9371990000000001</v>
      </c>
      <c r="O65" s="34">
        <v>2.9673980000000002</v>
      </c>
      <c r="P65" s="34">
        <v>2.997719</v>
      </c>
      <c r="Q65" s="34">
        <v>3.0276000000000001</v>
      </c>
      <c r="R65" s="34">
        <v>3.0532080000000001</v>
      </c>
      <c r="S65" s="34">
        <v>3.0776520000000001</v>
      </c>
      <c r="T65" s="34">
        <v>3.1044260000000001</v>
      </c>
      <c r="U65" s="34">
        <v>3.132126</v>
      </c>
      <c r="V65" s="34">
        <v>3.1603249999999998</v>
      </c>
      <c r="W65" s="34">
        <v>3.1898339999999998</v>
      </c>
      <c r="X65" s="34">
        <v>3.220148</v>
      </c>
      <c r="Y65" s="34">
        <v>3.2501730000000002</v>
      </c>
      <c r="Z65" s="34">
        <v>3.2799529999999999</v>
      </c>
      <c r="AA65" s="34">
        <v>3.3107310000000001</v>
      </c>
      <c r="AB65" s="34">
        <v>3.34457</v>
      </c>
      <c r="AC65" s="34">
        <v>3.3831250000000002</v>
      </c>
      <c r="AD65" s="34">
        <v>3.4260440000000001</v>
      </c>
      <c r="AE65" s="34">
        <v>3.4711810000000001</v>
      </c>
      <c r="AF65" s="34">
        <v>3.5203720000000001</v>
      </c>
      <c r="AG65" s="34">
        <v>3.5717430000000001</v>
      </c>
      <c r="AH65" s="34">
        <v>3.6248130000000001</v>
      </c>
      <c r="AI65" s="32">
        <v>1.0267E-2</v>
      </c>
    </row>
    <row r="66" spans="1:35" ht="15" customHeight="1">
      <c r="A66" s="19" t="s">
        <v>33</v>
      </c>
      <c r="B66" s="37" t="s">
        <v>7</v>
      </c>
      <c r="C66" s="34">
        <v>0.51250099999999998</v>
      </c>
      <c r="D66" s="34">
        <v>0.52636899999999998</v>
      </c>
      <c r="E66" s="34">
        <v>0.51597700000000002</v>
      </c>
      <c r="F66" s="34">
        <v>0.504054</v>
      </c>
      <c r="G66" s="34">
        <v>0.48897299999999999</v>
      </c>
      <c r="H66" s="34">
        <v>0.47893000000000002</v>
      </c>
      <c r="I66" s="34">
        <v>0.47705999999999998</v>
      </c>
      <c r="J66" s="34">
        <v>0.475186</v>
      </c>
      <c r="K66" s="34">
        <v>0.47461300000000001</v>
      </c>
      <c r="L66" s="34">
        <v>0.47716599999999998</v>
      </c>
      <c r="M66" s="34">
        <v>0.47609899999999999</v>
      </c>
      <c r="N66" s="34">
        <v>0.47538999999999998</v>
      </c>
      <c r="O66" s="34">
        <v>0.47547800000000001</v>
      </c>
      <c r="P66" s="34">
        <v>0.47558800000000001</v>
      </c>
      <c r="Q66" s="34">
        <v>0.47572599999999998</v>
      </c>
      <c r="R66" s="34">
        <v>0.475885</v>
      </c>
      <c r="S66" s="34">
        <v>0.47606500000000002</v>
      </c>
      <c r="T66" s="34">
        <v>0.47626800000000002</v>
      </c>
      <c r="U66" s="34">
        <v>0.47649900000000001</v>
      </c>
      <c r="V66" s="34">
        <v>0.47674699999999998</v>
      </c>
      <c r="W66" s="34">
        <v>0.47701500000000002</v>
      </c>
      <c r="X66" s="34">
        <v>0.477302</v>
      </c>
      <c r="Y66" s="34">
        <v>0.47760000000000002</v>
      </c>
      <c r="Z66" s="34">
        <v>0.47791299999999998</v>
      </c>
      <c r="AA66" s="34">
        <v>0.47823700000000002</v>
      </c>
      <c r="AB66" s="34">
        <v>0.47857100000000002</v>
      </c>
      <c r="AC66" s="34">
        <v>0.47891499999999998</v>
      </c>
      <c r="AD66" s="34">
        <v>0.47926800000000003</v>
      </c>
      <c r="AE66" s="34">
        <v>0.47962700000000003</v>
      </c>
      <c r="AF66" s="34">
        <v>0.479993</v>
      </c>
      <c r="AG66" s="34">
        <v>0.48036400000000001</v>
      </c>
      <c r="AH66" s="34">
        <v>0.48074099999999997</v>
      </c>
      <c r="AI66" s="32">
        <v>-2.062E-3</v>
      </c>
    </row>
    <row r="67" spans="1:35" ht="15" customHeight="1">
      <c r="A67" s="19" t="s">
        <v>32</v>
      </c>
      <c r="B67" s="37" t="s">
        <v>5</v>
      </c>
      <c r="C67" s="34">
        <v>0.131469</v>
      </c>
      <c r="D67" s="34">
        <v>0.130998</v>
      </c>
      <c r="E67" s="34">
        <v>0.13061700000000001</v>
      </c>
      <c r="F67" s="34">
        <v>0.130166</v>
      </c>
      <c r="G67" s="34">
        <v>0.129716</v>
      </c>
      <c r="H67" s="34">
        <v>0.12923599999999999</v>
      </c>
      <c r="I67" s="34">
        <v>0.128717</v>
      </c>
      <c r="J67" s="34">
        <v>0.12820999999999999</v>
      </c>
      <c r="K67" s="34">
        <v>0.12773799999999999</v>
      </c>
      <c r="L67" s="34">
        <v>0.127329</v>
      </c>
      <c r="M67" s="34">
        <v>0.126997</v>
      </c>
      <c r="N67" s="34">
        <v>0.12667600000000001</v>
      </c>
      <c r="O67" s="34">
        <v>0.12639500000000001</v>
      </c>
      <c r="P67" s="34">
        <v>0.126142</v>
      </c>
      <c r="Q67" s="34">
        <v>0.12589600000000001</v>
      </c>
      <c r="R67" s="34">
        <v>0.12570400000000001</v>
      </c>
      <c r="S67" s="34">
        <v>0.12554999999999999</v>
      </c>
      <c r="T67" s="34">
        <v>0.12548999999999999</v>
      </c>
      <c r="U67" s="34">
        <v>0.12546399999999999</v>
      </c>
      <c r="V67" s="34">
        <v>0.125469</v>
      </c>
      <c r="W67" s="34">
        <v>0.12551200000000001</v>
      </c>
      <c r="X67" s="34">
        <v>0.125529</v>
      </c>
      <c r="Y67" s="34">
        <v>0.12553300000000001</v>
      </c>
      <c r="Z67" s="34">
        <v>0.125612</v>
      </c>
      <c r="AA67" s="34">
        <v>0.125667</v>
      </c>
      <c r="AB67" s="34">
        <v>0.12576499999999999</v>
      </c>
      <c r="AC67" s="34">
        <v>0.12594</v>
      </c>
      <c r="AD67" s="34">
        <v>0.12614400000000001</v>
      </c>
      <c r="AE67" s="34">
        <v>0.126361</v>
      </c>
      <c r="AF67" s="34">
        <v>0.12662699999999999</v>
      </c>
      <c r="AG67" s="34">
        <v>0.126863</v>
      </c>
      <c r="AH67" s="34">
        <v>0.127078</v>
      </c>
      <c r="AI67" s="32">
        <v>-1.0950000000000001E-3</v>
      </c>
    </row>
    <row r="68" spans="1:35" ht="15" customHeight="1">
      <c r="A68" s="19" t="s">
        <v>31</v>
      </c>
      <c r="B68" s="37" t="s">
        <v>841</v>
      </c>
      <c r="C68" s="34">
        <v>0.67192099999999999</v>
      </c>
      <c r="D68" s="34">
        <v>0.66721600000000003</v>
      </c>
      <c r="E68" s="34">
        <v>0.70137700000000003</v>
      </c>
      <c r="F68" s="34">
        <v>0.71380600000000005</v>
      </c>
      <c r="G68" s="34">
        <v>0.720885</v>
      </c>
      <c r="H68" s="34">
        <v>0.73513099999999998</v>
      </c>
      <c r="I68" s="34">
        <v>0.75184700000000004</v>
      </c>
      <c r="J68" s="34">
        <v>0.76075700000000002</v>
      </c>
      <c r="K68" s="34">
        <v>0.75591399999999997</v>
      </c>
      <c r="L68" s="34">
        <v>0.75647799999999998</v>
      </c>
      <c r="M68" s="34">
        <v>0.76330200000000004</v>
      </c>
      <c r="N68" s="34">
        <v>0.76538499999999998</v>
      </c>
      <c r="O68" s="34">
        <v>0.77258099999999996</v>
      </c>
      <c r="P68" s="34">
        <v>0.775926</v>
      </c>
      <c r="Q68" s="34">
        <v>0.77605999999999997</v>
      </c>
      <c r="R68" s="34">
        <v>0.77757399999999999</v>
      </c>
      <c r="S68" s="34">
        <v>0.78055399999999997</v>
      </c>
      <c r="T68" s="34">
        <v>0.79148700000000005</v>
      </c>
      <c r="U68" s="34">
        <v>0.79676000000000002</v>
      </c>
      <c r="V68" s="34">
        <v>0.80471300000000001</v>
      </c>
      <c r="W68" s="34">
        <v>0.81585600000000003</v>
      </c>
      <c r="X68" s="34">
        <v>0.82309900000000003</v>
      </c>
      <c r="Y68" s="34">
        <v>0.829399</v>
      </c>
      <c r="Z68" s="34">
        <v>0.84421900000000005</v>
      </c>
      <c r="AA68" s="34">
        <v>0.85306599999999999</v>
      </c>
      <c r="AB68" s="34">
        <v>0.86144500000000002</v>
      </c>
      <c r="AC68" s="34">
        <v>0.86952799999999997</v>
      </c>
      <c r="AD68" s="34">
        <v>0.87944999999999995</v>
      </c>
      <c r="AE68" s="34">
        <v>0.88793500000000003</v>
      </c>
      <c r="AF68" s="34">
        <v>0.89792799999999995</v>
      </c>
      <c r="AG68" s="34">
        <v>0.90513600000000005</v>
      </c>
      <c r="AH68" s="34">
        <v>0.912443</v>
      </c>
      <c r="AI68" s="32">
        <v>9.9190000000000007E-3</v>
      </c>
    </row>
    <row r="69" spans="1:35" ht="15" customHeight="1">
      <c r="A69" s="19" t="s">
        <v>30</v>
      </c>
      <c r="B69" s="30" t="s">
        <v>2</v>
      </c>
      <c r="C69" s="35">
        <v>28.112638</v>
      </c>
      <c r="D69" s="35">
        <v>28.229655999999999</v>
      </c>
      <c r="E69" s="35">
        <v>28.207280999999998</v>
      </c>
      <c r="F69" s="35">
        <v>28.009460000000001</v>
      </c>
      <c r="G69" s="35">
        <v>27.785589000000002</v>
      </c>
      <c r="H69" s="35">
        <v>27.463035999999999</v>
      </c>
      <c r="I69" s="35">
        <v>27.152018000000002</v>
      </c>
      <c r="J69" s="35">
        <v>26.878295999999999</v>
      </c>
      <c r="K69" s="35">
        <v>26.655809000000001</v>
      </c>
      <c r="L69" s="35">
        <v>26.445753</v>
      </c>
      <c r="M69" s="35">
        <v>26.240933999999999</v>
      </c>
      <c r="N69" s="35">
        <v>26.065761999999999</v>
      </c>
      <c r="O69" s="35">
        <v>25.948495999999999</v>
      </c>
      <c r="P69" s="35">
        <v>25.80217</v>
      </c>
      <c r="Q69" s="35">
        <v>25.701550999999998</v>
      </c>
      <c r="R69" s="35">
        <v>25.580608000000002</v>
      </c>
      <c r="S69" s="35">
        <v>25.470058000000002</v>
      </c>
      <c r="T69" s="35">
        <v>25.412188</v>
      </c>
      <c r="U69" s="35">
        <v>25.373760000000001</v>
      </c>
      <c r="V69" s="35">
        <v>25.339328999999999</v>
      </c>
      <c r="W69" s="35">
        <v>25.342278</v>
      </c>
      <c r="X69" s="35">
        <v>25.372105000000001</v>
      </c>
      <c r="Y69" s="35">
        <v>25.393758999999999</v>
      </c>
      <c r="Z69" s="35">
        <v>25.455908000000001</v>
      </c>
      <c r="AA69" s="35">
        <v>25.525803</v>
      </c>
      <c r="AB69" s="35">
        <v>25.624593999999998</v>
      </c>
      <c r="AC69" s="35">
        <v>25.752531000000001</v>
      </c>
      <c r="AD69" s="35">
        <v>25.930012000000001</v>
      </c>
      <c r="AE69" s="35">
        <v>26.094328000000001</v>
      </c>
      <c r="AF69" s="35">
        <v>26.300637999999999</v>
      </c>
      <c r="AG69" s="35">
        <v>26.523647</v>
      </c>
      <c r="AH69" s="35">
        <v>26.762129000000002</v>
      </c>
      <c r="AI69" s="36">
        <v>-1.5870000000000001E-3</v>
      </c>
    </row>
    <row r="71" spans="1:35" ht="15" customHeight="1">
      <c r="B71" s="30" t="s">
        <v>29</v>
      </c>
    </row>
    <row r="72" spans="1:35" ht="15" customHeight="1">
      <c r="A72" s="19" t="s">
        <v>28</v>
      </c>
      <c r="B72" s="37" t="s">
        <v>27</v>
      </c>
      <c r="C72" s="34">
        <v>8.2994579999999996</v>
      </c>
      <c r="D72" s="34">
        <v>8.2974309999999996</v>
      </c>
      <c r="E72" s="34">
        <v>8.2588670000000004</v>
      </c>
      <c r="F72" s="34">
        <v>8.1675760000000004</v>
      </c>
      <c r="G72" s="34">
        <v>8.0243540000000007</v>
      </c>
      <c r="H72" s="34">
        <v>7.8586140000000002</v>
      </c>
      <c r="I72" s="34">
        <v>7.6801620000000002</v>
      </c>
      <c r="J72" s="34">
        <v>7.5412800000000004</v>
      </c>
      <c r="K72" s="34">
        <v>7.4203780000000004</v>
      </c>
      <c r="L72" s="34">
        <v>7.3110980000000003</v>
      </c>
      <c r="M72" s="34">
        <v>7.2125899999999996</v>
      </c>
      <c r="N72" s="34">
        <v>7.1268469999999997</v>
      </c>
      <c r="O72" s="34">
        <v>7.0531100000000002</v>
      </c>
      <c r="P72" s="34">
        <v>6.9779020000000003</v>
      </c>
      <c r="Q72" s="34">
        <v>6.9087529999999999</v>
      </c>
      <c r="R72" s="34">
        <v>6.8371320000000004</v>
      </c>
      <c r="S72" s="34">
        <v>6.7657759999999998</v>
      </c>
      <c r="T72" s="34">
        <v>6.7127330000000001</v>
      </c>
      <c r="U72" s="34">
        <v>6.6661789999999996</v>
      </c>
      <c r="V72" s="34">
        <v>6.6268250000000002</v>
      </c>
      <c r="W72" s="34">
        <v>6.5956390000000003</v>
      </c>
      <c r="X72" s="34">
        <v>6.5729730000000002</v>
      </c>
      <c r="Y72" s="34">
        <v>6.552473</v>
      </c>
      <c r="Z72" s="34">
        <v>6.5389530000000002</v>
      </c>
      <c r="AA72" s="34">
        <v>6.5320929999999997</v>
      </c>
      <c r="AB72" s="34">
        <v>6.5313109999999996</v>
      </c>
      <c r="AC72" s="34">
        <v>6.536314</v>
      </c>
      <c r="AD72" s="34">
        <v>6.5523569999999998</v>
      </c>
      <c r="AE72" s="34">
        <v>6.5756370000000004</v>
      </c>
      <c r="AF72" s="34">
        <v>6.6085200000000004</v>
      </c>
      <c r="AG72" s="34">
        <v>6.6477279999999999</v>
      </c>
      <c r="AH72" s="34">
        <v>6.6932349999999996</v>
      </c>
      <c r="AI72" s="32">
        <v>-6.914E-3</v>
      </c>
    </row>
    <row r="73" spans="1:35" ht="15" customHeight="1">
      <c r="A73" s="19" t="s">
        <v>26</v>
      </c>
      <c r="B73" s="37" t="s">
        <v>25</v>
      </c>
      <c r="C73" s="34">
        <v>0.46364499999999997</v>
      </c>
      <c r="D73" s="34">
        <v>0.46393800000000002</v>
      </c>
      <c r="E73" s="34">
        <v>0.46578599999999998</v>
      </c>
      <c r="F73" s="34">
        <v>0.46665899999999999</v>
      </c>
      <c r="G73" s="34">
        <v>0.46610800000000002</v>
      </c>
      <c r="H73" s="34">
        <v>0.46401399999999998</v>
      </c>
      <c r="I73" s="34">
        <v>0.46384199999999998</v>
      </c>
      <c r="J73" s="34">
        <v>0.463561</v>
      </c>
      <c r="K73" s="34">
        <v>0.46387699999999998</v>
      </c>
      <c r="L73" s="34">
        <v>0.46449000000000001</v>
      </c>
      <c r="M73" s="34">
        <v>0.46555299999999999</v>
      </c>
      <c r="N73" s="34">
        <v>0.46645199999999998</v>
      </c>
      <c r="O73" s="34">
        <v>0.468995</v>
      </c>
      <c r="P73" s="34">
        <v>0.47097899999999998</v>
      </c>
      <c r="Q73" s="34">
        <v>0.47375400000000001</v>
      </c>
      <c r="R73" s="34">
        <v>0.476574</v>
      </c>
      <c r="S73" s="34">
        <v>0.47956399999999999</v>
      </c>
      <c r="T73" s="34">
        <v>0.48335600000000001</v>
      </c>
      <c r="U73" s="34">
        <v>0.48743799999999998</v>
      </c>
      <c r="V73" s="34">
        <v>0.49151800000000001</v>
      </c>
      <c r="W73" s="34">
        <v>0.49564900000000001</v>
      </c>
      <c r="X73" s="34">
        <v>0.500162</v>
      </c>
      <c r="Y73" s="34">
        <v>0.50509199999999999</v>
      </c>
      <c r="Z73" s="34">
        <v>0.50988299999999998</v>
      </c>
      <c r="AA73" s="34">
        <v>0.51541300000000001</v>
      </c>
      <c r="AB73" s="34">
        <v>0.52169200000000004</v>
      </c>
      <c r="AC73" s="34">
        <v>0.52834599999999998</v>
      </c>
      <c r="AD73" s="34">
        <v>0.53695999999999999</v>
      </c>
      <c r="AE73" s="34">
        <v>0.54386599999999996</v>
      </c>
      <c r="AF73" s="34">
        <v>0.55152599999999996</v>
      </c>
      <c r="AG73" s="34">
        <v>0.55940400000000001</v>
      </c>
      <c r="AH73" s="34">
        <v>0.56731500000000001</v>
      </c>
      <c r="AI73" s="32">
        <v>6.5310000000000003E-3</v>
      </c>
    </row>
    <row r="74" spans="1:35" ht="15" customHeight="1">
      <c r="A74" s="19" t="s">
        <v>24</v>
      </c>
      <c r="B74" s="37" t="s">
        <v>23</v>
      </c>
      <c r="C74" s="34">
        <v>0.115227</v>
      </c>
      <c r="D74" s="34">
        <v>0.115901</v>
      </c>
      <c r="E74" s="34">
        <v>0.116581</v>
      </c>
      <c r="F74" s="34">
        <v>0.11725099999999999</v>
      </c>
      <c r="G74" s="34">
        <v>0.117882</v>
      </c>
      <c r="H74" s="34">
        <v>0.118551</v>
      </c>
      <c r="I74" s="34">
        <v>0.11926</v>
      </c>
      <c r="J74" s="34">
        <v>0.11995</v>
      </c>
      <c r="K74" s="34">
        <v>0.120641</v>
      </c>
      <c r="L74" s="34">
        <v>0.12134</v>
      </c>
      <c r="M74" s="34">
        <v>0.122028</v>
      </c>
      <c r="N74" s="34">
        <v>0.122645</v>
      </c>
      <c r="O74" s="34">
        <v>0.12329</v>
      </c>
      <c r="P74" s="34">
        <v>0.123892</v>
      </c>
      <c r="Q74" s="34">
        <v>0.124421</v>
      </c>
      <c r="R74" s="34">
        <v>0.12492399999999999</v>
      </c>
      <c r="S74" s="34">
        <v>0.12542900000000001</v>
      </c>
      <c r="T74" s="34">
        <v>0.125889</v>
      </c>
      <c r="U74" s="34">
        <v>0.12637499999999999</v>
      </c>
      <c r="V74" s="34">
        <v>0.12679099999999999</v>
      </c>
      <c r="W74" s="34">
        <v>0.12717300000000001</v>
      </c>
      <c r="X74" s="34">
        <v>0.127473</v>
      </c>
      <c r="Y74" s="34">
        <v>0.12779799999999999</v>
      </c>
      <c r="Z74" s="34">
        <v>0.12806300000000001</v>
      </c>
      <c r="AA74" s="34">
        <v>0.12831100000000001</v>
      </c>
      <c r="AB74" s="34">
        <v>0.12853899999999999</v>
      </c>
      <c r="AC74" s="34">
        <v>0.12875300000000001</v>
      </c>
      <c r="AD74" s="34">
        <v>0.12895599999999999</v>
      </c>
      <c r="AE74" s="34">
        <v>0.12916</v>
      </c>
      <c r="AF74" s="34">
        <v>0.129386</v>
      </c>
      <c r="AG74" s="34">
        <v>0.12965699999999999</v>
      </c>
      <c r="AH74" s="34">
        <v>0.12998299999999999</v>
      </c>
      <c r="AI74" s="32">
        <v>3.895E-3</v>
      </c>
    </row>
    <row r="75" spans="1:35" ht="15" customHeight="1">
      <c r="A75" s="19" t="s">
        <v>22</v>
      </c>
      <c r="B75" s="37" t="s">
        <v>21</v>
      </c>
      <c r="C75" s="34">
        <v>2.827296</v>
      </c>
      <c r="D75" s="34">
        <v>2.8381769999999999</v>
      </c>
      <c r="E75" s="34">
        <v>2.8615330000000001</v>
      </c>
      <c r="F75" s="34">
        <v>2.8774790000000001</v>
      </c>
      <c r="G75" s="34">
        <v>2.8904100000000001</v>
      </c>
      <c r="H75" s="34">
        <v>2.883003</v>
      </c>
      <c r="I75" s="34">
        <v>2.873901</v>
      </c>
      <c r="J75" s="34">
        <v>2.859937</v>
      </c>
      <c r="K75" s="34">
        <v>2.8467769999999999</v>
      </c>
      <c r="L75" s="34">
        <v>2.829164</v>
      </c>
      <c r="M75" s="34">
        <v>2.8111160000000002</v>
      </c>
      <c r="N75" s="34">
        <v>2.7852190000000001</v>
      </c>
      <c r="O75" s="34">
        <v>2.7753410000000001</v>
      </c>
      <c r="P75" s="34">
        <v>2.7602579999999999</v>
      </c>
      <c r="Q75" s="34">
        <v>2.7520319999999998</v>
      </c>
      <c r="R75" s="34">
        <v>2.7423989999999998</v>
      </c>
      <c r="S75" s="34">
        <v>2.740685</v>
      </c>
      <c r="T75" s="34">
        <v>2.7438159999999998</v>
      </c>
      <c r="U75" s="34">
        <v>2.7465440000000001</v>
      </c>
      <c r="V75" s="34">
        <v>2.7515149999999999</v>
      </c>
      <c r="W75" s="34">
        <v>2.7579820000000002</v>
      </c>
      <c r="X75" s="34">
        <v>2.7674479999999999</v>
      </c>
      <c r="Y75" s="34">
        <v>2.7806380000000002</v>
      </c>
      <c r="Z75" s="34">
        <v>2.797015</v>
      </c>
      <c r="AA75" s="34">
        <v>2.8143769999999999</v>
      </c>
      <c r="AB75" s="34">
        <v>2.8386049999999998</v>
      </c>
      <c r="AC75" s="34">
        <v>2.8677969999999999</v>
      </c>
      <c r="AD75" s="34">
        <v>2.9048660000000002</v>
      </c>
      <c r="AE75" s="34">
        <v>2.9319310000000001</v>
      </c>
      <c r="AF75" s="34">
        <v>2.966593</v>
      </c>
      <c r="AG75" s="34">
        <v>3.0034960000000002</v>
      </c>
      <c r="AH75" s="34">
        <v>3.0408949999999999</v>
      </c>
      <c r="AI75" s="32">
        <v>2.3519999999999999E-3</v>
      </c>
    </row>
    <row r="76" spans="1:35" ht="15" customHeight="1">
      <c r="A76" s="19" t="s">
        <v>20</v>
      </c>
      <c r="B76" s="37" t="s">
        <v>19</v>
      </c>
      <c r="C76" s="34">
        <v>2.3255000000000001E-2</v>
      </c>
      <c r="D76" s="34">
        <v>2.3671000000000001E-2</v>
      </c>
      <c r="E76" s="34">
        <v>2.4065E-2</v>
      </c>
      <c r="F76" s="34">
        <v>2.4389999999999998E-2</v>
      </c>
      <c r="G76" s="34">
        <v>2.4702999999999999E-2</v>
      </c>
      <c r="H76" s="34">
        <v>2.5016E-2</v>
      </c>
      <c r="I76" s="34">
        <v>2.5316999999999999E-2</v>
      </c>
      <c r="J76" s="34">
        <v>2.5614000000000001E-2</v>
      </c>
      <c r="K76" s="34">
        <v>2.5898999999999998E-2</v>
      </c>
      <c r="L76" s="34">
        <v>2.6196000000000001E-2</v>
      </c>
      <c r="M76" s="34">
        <v>2.6491000000000001E-2</v>
      </c>
      <c r="N76" s="34">
        <v>2.6709E-2</v>
      </c>
      <c r="O76" s="34">
        <v>2.7018E-2</v>
      </c>
      <c r="P76" s="34">
        <v>2.7313E-2</v>
      </c>
      <c r="Q76" s="34">
        <v>2.7597E-2</v>
      </c>
      <c r="R76" s="34">
        <v>2.7855999999999999E-2</v>
      </c>
      <c r="S76" s="34">
        <v>2.8129999999999999E-2</v>
      </c>
      <c r="T76" s="34">
        <v>2.8393000000000002E-2</v>
      </c>
      <c r="U76" s="34">
        <v>2.8663000000000001E-2</v>
      </c>
      <c r="V76" s="34">
        <v>2.8931999999999999E-2</v>
      </c>
      <c r="W76" s="34">
        <v>2.9201999999999999E-2</v>
      </c>
      <c r="X76" s="34">
        <v>2.9463E-2</v>
      </c>
      <c r="Y76" s="34">
        <v>2.972E-2</v>
      </c>
      <c r="Z76" s="34">
        <v>2.9973E-2</v>
      </c>
      <c r="AA76" s="34">
        <v>3.0235000000000001E-2</v>
      </c>
      <c r="AB76" s="34">
        <v>3.0498999999999998E-2</v>
      </c>
      <c r="AC76" s="34">
        <v>3.0761E-2</v>
      </c>
      <c r="AD76" s="34">
        <v>3.1043000000000001E-2</v>
      </c>
      <c r="AE76" s="34">
        <v>3.1319E-2</v>
      </c>
      <c r="AF76" s="34">
        <v>3.1608999999999998E-2</v>
      </c>
      <c r="AG76" s="34">
        <v>3.1884999999999997E-2</v>
      </c>
      <c r="AH76" s="34">
        <v>3.2168000000000002E-2</v>
      </c>
      <c r="AI76" s="32">
        <v>1.0521000000000001E-2</v>
      </c>
    </row>
    <row r="77" spans="1:35" ht="15" customHeight="1">
      <c r="A77" s="19" t="s">
        <v>18</v>
      </c>
      <c r="B77" s="37" t="s">
        <v>17</v>
      </c>
      <c r="C77" s="34">
        <v>0.24742500000000001</v>
      </c>
      <c r="D77" s="34">
        <v>0.235349</v>
      </c>
      <c r="E77" s="34">
        <v>0.22429399999999999</v>
      </c>
      <c r="F77" s="34">
        <v>0.22170300000000001</v>
      </c>
      <c r="G77" s="34">
        <v>0.22045799999999999</v>
      </c>
      <c r="H77" s="34">
        <v>0.21718599999999999</v>
      </c>
      <c r="I77" s="34">
        <v>0.211368</v>
      </c>
      <c r="J77" s="34">
        <v>0.21512300000000001</v>
      </c>
      <c r="K77" s="34">
        <v>0.21487100000000001</v>
      </c>
      <c r="L77" s="34">
        <v>0.214751</v>
      </c>
      <c r="M77" s="34">
        <v>0.21241499999999999</v>
      </c>
      <c r="N77" s="34">
        <v>0.21002999999999999</v>
      </c>
      <c r="O77" s="34">
        <v>0.20951500000000001</v>
      </c>
      <c r="P77" s="34">
        <v>0.20926700000000001</v>
      </c>
      <c r="Q77" s="34">
        <v>0.209119</v>
      </c>
      <c r="R77" s="34">
        <v>0.20902899999999999</v>
      </c>
      <c r="S77" s="34">
        <v>0.20796100000000001</v>
      </c>
      <c r="T77" s="34">
        <v>0.20799300000000001</v>
      </c>
      <c r="U77" s="34">
        <v>0.20749400000000001</v>
      </c>
      <c r="V77" s="34">
        <v>0.20572799999999999</v>
      </c>
      <c r="W77" s="34">
        <v>0.205676</v>
      </c>
      <c r="X77" s="34">
        <v>0.20463999999999999</v>
      </c>
      <c r="Y77" s="34">
        <v>0.20417199999999999</v>
      </c>
      <c r="Z77" s="34">
        <v>0.20435200000000001</v>
      </c>
      <c r="AA77" s="34">
        <v>0.204426</v>
      </c>
      <c r="AB77" s="34">
        <v>0.20468800000000001</v>
      </c>
      <c r="AC77" s="34">
        <v>0.20524800000000001</v>
      </c>
      <c r="AD77" s="34">
        <v>0.206758</v>
      </c>
      <c r="AE77" s="34">
        <v>0.207232</v>
      </c>
      <c r="AF77" s="34">
        <v>0.20827699999999999</v>
      </c>
      <c r="AG77" s="34">
        <v>0.209481</v>
      </c>
      <c r="AH77" s="34">
        <v>0.211086</v>
      </c>
      <c r="AI77" s="32">
        <v>-5.1110000000000001E-3</v>
      </c>
    </row>
    <row r="78" spans="1:35" ht="15" customHeight="1">
      <c r="A78" s="19" t="s">
        <v>16</v>
      </c>
      <c r="B78" s="37" t="s">
        <v>15</v>
      </c>
      <c r="C78" s="34">
        <v>4.2333000000000003E-2</v>
      </c>
      <c r="D78" s="34">
        <v>4.1603000000000001E-2</v>
      </c>
      <c r="E78" s="34">
        <v>4.0634999999999998E-2</v>
      </c>
      <c r="F78" s="34">
        <v>3.9399999999999998E-2</v>
      </c>
      <c r="G78" s="34">
        <v>3.8405000000000002E-2</v>
      </c>
      <c r="H78" s="34">
        <v>3.7228999999999998E-2</v>
      </c>
      <c r="I78" s="34">
        <v>3.6080000000000001E-2</v>
      </c>
      <c r="J78" s="34">
        <v>3.5014000000000003E-2</v>
      </c>
      <c r="K78" s="34">
        <v>3.3952999999999997E-2</v>
      </c>
      <c r="L78" s="34">
        <v>3.2850999999999998E-2</v>
      </c>
      <c r="M78" s="34">
        <v>3.1706999999999999E-2</v>
      </c>
      <c r="N78" s="34">
        <v>3.0539E-2</v>
      </c>
      <c r="O78" s="34">
        <v>3.0006000000000001E-2</v>
      </c>
      <c r="P78" s="34">
        <v>2.9419000000000001E-2</v>
      </c>
      <c r="Q78" s="34">
        <v>2.8888E-2</v>
      </c>
      <c r="R78" s="34">
        <v>2.8289999999999999E-2</v>
      </c>
      <c r="S78" s="34">
        <v>2.7720000000000002E-2</v>
      </c>
      <c r="T78" s="34">
        <v>2.7203999999999999E-2</v>
      </c>
      <c r="U78" s="34">
        <v>2.666E-2</v>
      </c>
      <c r="V78" s="34">
        <v>2.6100999999999999E-2</v>
      </c>
      <c r="W78" s="34">
        <v>2.5585E-2</v>
      </c>
      <c r="X78" s="34">
        <v>2.5052000000000001E-2</v>
      </c>
      <c r="Y78" s="34">
        <v>2.4795000000000001E-2</v>
      </c>
      <c r="Z78" s="34">
        <v>2.4559000000000001E-2</v>
      </c>
      <c r="AA78" s="34">
        <v>2.4299999999999999E-2</v>
      </c>
      <c r="AB78" s="34">
        <v>2.4087999999999998E-2</v>
      </c>
      <c r="AC78" s="34">
        <v>2.3893000000000001E-2</v>
      </c>
      <c r="AD78" s="34">
        <v>2.3781E-2</v>
      </c>
      <c r="AE78" s="34">
        <v>2.3574000000000001E-2</v>
      </c>
      <c r="AF78" s="34">
        <v>2.3429999999999999E-2</v>
      </c>
      <c r="AG78" s="34">
        <v>2.3321999999999999E-2</v>
      </c>
      <c r="AH78" s="34">
        <v>2.3231000000000002E-2</v>
      </c>
      <c r="AI78" s="32">
        <v>-1.9171000000000001E-2</v>
      </c>
    </row>
    <row r="79" spans="1:35" ht="15" customHeight="1">
      <c r="A79" s="19" t="s">
        <v>14</v>
      </c>
      <c r="B79" s="37" t="s">
        <v>13</v>
      </c>
      <c r="C79" s="34">
        <v>0.41904400000000003</v>
      </c>
      <c r="D79" s="34">
        <v>0.45932400000000001</v>
      </c>
      <c r="E79" s="34">
        <v>0.44025500000000001</v>
      </c>
      <c r="F79" s="34">
        <v>0.39814699999999997</v>
      </c>
      <c r="G79" s="34">
        <v>0.4</v>
      </c>
      <c r="H79" s="34">
        <v>0.39439400000000002</v>
      </c>
      <c r="I79" s="34">
        <v>0.39922200000000002</v>
      </c>
      <c r="J79" s="34">
        <v>0.39042500000000002</v>
      </c>
      <c r="K79" s="34">
        <v>0.394511</v>
      </c>
      <c r="L79" s="34">
        <v>0.39495000000000002</v>
      </c>
      <c r="M79" s="34">
        <v>0.39003300000000002</v>
      </c>
      <c r="N79" s="34">
        <v>0.394978</v>
      </c>
      <c r="O79" s="34">
        <v>0.39536399999999999</v>
      </c>
      <c r="P79" s="34">
        <v>0.39130700000000002</v>
      </c>
      <c r="Q79" s="34">
        <v>0.39493099999999998</v>
      </c>
      <c r="R79" s="34">
        <v>0.39496900000000001</v>
      </c>
      <c r="S79" s="34">
        <v>0.39388800000000002</v>
      </c>
      <c r="T79" s="34">
        <v>0.39029199999999997</v>
      </c>
      <c r="U79" s="34">
        <v>0.39277800000000002</v>
      </c>
      <c r="V79" s="34">
        <v>0.38911699999999999</v>
      </c>
      <c r="W79" s="34">
        <v>0.38897999999999999</v>
      </c>
      <c r="X79" s="34">
        <v>0.39118900000000001</v>
      </c>
      <c r="Y79" s="34">
        <v>0.387353</v>
      </c>
      <c r="Z79" s="34">
        <v>0.38686100000000001</v>
      </c>
      <c r="AA79" s="34">
        <v>0.38600800000000002</v>
      </c>
      <c r="AB79" s="34">
        <v>0.38491500000000001</v>
      </c>
      <c r="AC79" s="34">
        <v>0.38422600000000001</v>
      </c>
      <c r="AD79" s="34">
        <v>0.38400499999999999</v>
      </c>
      <c r="AE79" s="34">
        <v>0.38326900000000003</v>
      </c>
      <c r="AF79" s="34">
        <v>0.382965</v>
      </c>
      <c r="AG79" s="34">
        <v>0.38282300000000002</v>
      </c>
      <c r="AH79" s="34">
        <v>0.382909</v>
      </c>
      <c r="AI79" s="32">
        <v>-2.905E-3</v>
      </c>
    </row>
    <row r="80" spans="1:35" ht="15" customHeight="1">
      <c r="A80" s="19" t="s">
        <v>12</v>
      </c>
      <c r="B80" s="37" t="s">
        <v>11</v>
      </c>
      <c r="C80" s="34">
        <v>0.13308</v>
      </c>
      <c r="D80" s="34">
        <v>0.13350000000000001</v>
      </c>
      <c r="E80" s="34">
        <v>0.133858</v>
      </c>
      <c r="F80" s="34">
        <v>0.134049</v>
      </c>
      <c r="G80" s="34">
        <v>0.13415199999999999</v>
      </c>
      <c r="H80" s="34">
        <v>0.13424700000000001</v>
      </c>
      <c r="I80" s="34">
        <v>0.134378</v>
      </c>
      <c r="J80" s="34">
        <v>0.13447700000000001</v>
      </c>
      <c r="K80" s="34">
        <v>0.134548</v>
      </c>
      <c r="L80" s="34">
        <v>0.13462499999999999</v>
      </c>
      <c r="M80" s="34">
        <v>0.13470099999999999</v>
      </c>
      <c r="N80" s="34">
        <v>0.134737</v>
      </c>
      <c r="O80" s="34">
        <v>0.13476199999999999</v>
      </c>
      <c r="P80" s="34">
        <v>0.134771</v>
      </c>
      <c r="Q80" s="34">
        <v>0.13472700000000001</v>
      </c>
      <c r="R80" s="34">
        <v>0.134629</v>
      </c>
      <c r="S80" s="34">
        <v>0.13448399999999999</v>
      </c>
      <c r="T80" s="34">
        <v>0.134326</v>
      </c>
      <c r="U80" s="34">
        <v>0.13414300000000001</v>
      </c>
      <c r="V80" s="34">
        <v>0.13394700000000001</v>
      </c>
      <c r="W80" s="34">
        <v>0.133738</v>
      </c>
      <c r="X80" s="34">
        <v>0.13349800000000001</v>
      </c>
      <c r="Y80" s="34">
        <v>0.13322999999999999</v>
      </c>
      <c r="Z80" s="34">
        <v>0.13292499999999999</v>
      </c>
      <c r="AA80" s="34">
        <v>0.13261300000000001</v>
      </c>
      <c r="AB80" s="34">
        <v>0.13230500000000001</v>
      </c>
      <c r="AC80" s="34">
        <v>0.13201299999999999</v>
      </c>
      <c r="AD80" s="34">
        <v>0.13173699999999999</v>
      </c>
      <c r="AE80" s="34">
        <v>0.13146099999999999</v>
      </c>
      <c r="AF80" s="34">
        <v>0.131191</v>
      </c>
      <c r="AG80" s="34">
        <v>0.130914</v>
      </c>
      <c r="AH80" s="34">
        <v>0.130629</v>
      </c>
      <c r="AI80" s="32">
        <v>-5.9999999999999995E-4</v>
      </c>
    </row>
    <row r="81" spans="1:35" ht="15" customHeight="1">
      <c r="A81" s="19" t="s">
        <v>10</v>
      </c>
      <c r="B81" s="37" t="s">
        <v>9</v>
      </c>
      <c r="C81" s="34">
        <v>1.2774190000000001</v>
      </c>
      <c r="D81" s="34">
        <v>1.2929409999999999</v>
      </c>
      <c r="E81" s="34">
        <v>1.309023</v>
      </c>
      <c r="F81" s="34">
        <v>1.321509</v>
      </c>
      <c r="G81" s="34">
        <v>1.3312900000000001</v>
      </c>
      <c r="H81" s="34">
        <v>1.3427230000000001</v>
      </c>
      <c r="I81" s="34">
        <v>1.3557900000000001</v>
      </c>
      <c r="J81" s="34">
        <v>1.3681369999999999</v>
      </c>
      <c r="K81" s="34">
        <v>1.3801410000000001</v>
      </c>
      <c r="L81" s="34">
        <v>1.3928480000000001</v>
      </c>
      <c r="M81" s="34">
        <v>1.4067240000000001</v>
      </c>
      <c r="N81" s="34">
        <v>1.4205829999999999</v>
      </c>
      <c r="O81" s="34">
        <v>1.4351780000000001</v>
      </c>
      <c r="P81" s="34">
        <v>1.449832</v>
      </c>
      <c r="Q81" s="34">
        <v>1.464272</v>
      </c>
      <c r="R81" s="34">
        <v>1.4766490000000001</v>
      </c>
      <c r="S81" s="34">
        <v>1.4884630000000001</v>
      </c>
      <c r="T81" s="34">
        <v>1.5014019999999999</v>
      </c>
      <c r="U81" s="34">
        <v>1.5147889999999999</v>
      </c>
      <c r="V81" s="34">
        <v>1.528416</v>
      </c>
      <c r="W81" s="34">
        <v>1.5426770000000001</v>
      </c>
      <c r="X81" s="34">
        <v>1.5573269999999999</v>
      </c>
      <c r="Y81" s="34">
        <v>1.571836</v>
      </c>
      <c r="Z81" s="34">
        <v>1.586228</v>
      </c>
      <c r="AA81" s="34">
        <v>1.6011010000000001</v>
      </c>
      <c r="AB81" s="34">
        <v>1.6174539999999999</v>
      </c>
      <c r="AC81" s="34">
        <v>1.636085</v>
      </c>
      <c r="AD81" s="34">
        <v>1.656825</v>
      </c>
      <c r="AE81" s="34">
        <v>1.6786369999999999</v>
      </c>
      <c r="AF81" s="34">
        <v>1.702407</v>
      </c>
      <c r="AG81" s="34">
        <v>1.727231</v>
      </c>
      <c r="AH81" s="34">
        <v>1.7528760000000001</v>
      </c>
      <c r="AI81" s="32">
        <v>1.0259000000000001E-2</v>
      </c>
    </row>
    <row r="82" spans="1:35" ht="15" customHeight="1">
      <c r="A82" s="19" t="s">
        <v>8</v>
      </c>
      <c r="B82" s="37" t="s">
        <v>7</v>
      </c>
      <c r="C82" s="34">
        <v>0.245757</v>
      </c>
      <c r="D82" s="34">
        <v>0.25195600000000001</v>
      </c>
      <c r="E82" s="34">
        <v>0.24727399999999999</v>
      </c>
      <c r="F82" s="34">
        <v>0.24185499999999999</v>
      </c>
      <c r="G82" s="34">
        <v>0.23461799999999999</v>
      </c>
      <c r="H82" s="34">
        <v>0.22980800000000001</v>
      </c>
      <c r="I82" s="34">
        <v>0.22891800000000001</v>
      </c>
      <c r="J82" s="34">
        <v>0.228018</v>
      </c>
      <c r="K82" s="34">
        <v>0.227745</v>
      </c>
      <c r="L82" s="34">
        <v>0.22897000000000001</v>
      </c>
      <c r="M82" s="34">
        <v>0.22845399999999999</v>
      </c>
      <c r="N82" s="34">
        <v>0.228098</v>
      </c>
      <c r="O82" s="34">
        <v>0.22814899999999999</v>
      </c>
      <c r="P82" s="34">
        <v>0.22819700000000001</v>
      </c>
      <c r="Q82" s="34">
        <v>0.22825300000000001</v>
      </c>
      <c r="R82" s="34">
        <v>0.22831799999999999</v>
      </c>
      <c r="S82" s="34">
        <v>0.228408</v>
      </c>
      <c r="T82" s="34">
        <v>0.22850100000000001</v>
      </c>
      <c r="U82" s="34">
        <v>0.228635</v>
      </c>
      <c r="V82" s="34">
        <v>0.22875499999999999</v>
      </c>
      <c r="W82" s="34">
        <v>0.22888500000000001</v>
      </c>
      <c r="X82" s="34">
        <v>0.22899900000000001</v>
      </c>
      <c r="Y82" s="34">
        <v>0.22914799999999999</v>
      </c>
      <c r="Z82" s="34">
        <v>0.22929099999999999</v>
      </c>
      <c r="AA82" s="34">
        <v>0.22944500000000001</v>
      </c>
      <c r="AB82" s="34">
        <v>0.22960700000000001</v>
      </c>
      <c r="AC82" s="34">
        <v>0.22977500000000001</v>
      </c>
      <c r="AD82" s="34">
        <v>0.22994500000000001</v>
      </c>
      <c r="AE82" s="34">
        <v>0.23011400000000001</v>
      </c>
      <c r="AF82" s="34">
        <v>0.23028799999999999</v>
      </c>
      <c r="AG82" s="34">
        <v>0.230466</v>
      </c>
      <c r="AH82" s="34">
        <v>0.23064699999999999</v>
      </c>
      <c r="AI82" s="32">
        <v>-2.0449999999999999E-3</v>
      </c>
    </row>
    <row r="83" spans="1:35" ht="15" customHeight="1">
      <c r="A83" s="19" t="s">
        <v>6</v>
      </c>
      <c r="B83" s="37" t="s">
        <v>5</v>
      </c>
      <c r="C83" s="34">
        <v>6.2101000000000003E-2</v>
      </c>
      <c r="D83" s="34">
        <v>6.1879000000000003E-2</v>
      </c>
      <c r="E83" s="34">
        <v>6.1698999999999997E-2</v>
      </c>
      <c r="F83" s="34">
        <v>6.1485999999999999E-2</v>
      </c>
      <c r="G83" s="34">
        <v>6.1273000000000001E-2</v>
      </c>
      <c r="H83" s="34">
        <v>6.1046999999999997E-2</v>
      </c>
      <c r="I83" s="34">
        <v>6.0801000000000001E-2</v>
      </c>
      <c r="J83" s="34">
        <v>6.0561999999999998E-2</v>
      </c>
      <c r="K83" s="34">
        <v>6.0338999999999997E-2</v>
      </c>
      <c r="L83" s="34">
        <v>6.0145999999999998E-2</v>
      </c>
      <c r="M83" s="34">
        <v>5.9989000000000001E-2</v>
      </c>
      <c r="N83" s="34">
        <v>5.9838000000000002E-2</v>
      </c>
      <c r="O83" s="34">
        <v>5.9705000000000001E-2</v>
      </c>
      <c r="P83" s="34">
        <v>5.9584999999999999E-2</v>
      </c>
      <c r="Q83" s="34">
        <v>5.9469000000000001E-2</v>
      </c>
      <c r="R83" s="34">
        <v>5.9378E-2</v>
      </c>
      <c r="S83" s="34">
        <v>5.9305999999999998E-2</v>
      </c>
      <c r="T83" s="34">
        <v>5.9277000000000003E-2</v>
      </c>
      <c r="U83" s="34">
        <v>5.9264999999999998E-2</v>
      </c>
      <c r="V83" s="34">
        <v>5.9268000000000001E-2</v>
      </c>
      <c r="W83" s="34">
        <v>5.9288E-2</v>
      </c>
      <c r="X83" s="34">
        <v>5.9296000000000001E-2</v>
      </c>
      <c r="Y83" s="34">
        <v>5.9297999999999997E-2</v>
      </c>
      <c r="Z83" s="34">
        <v>5.9334999999999999E-2</v>
      </c>
      <c r="AA83" s="34">
        <v>5.9360999999999997E-2</v>
      </c>
      <c r="AB83" s="34">
        <v>5.9407000000000001E-2</v>
      </c>
      <c r="AC83" s="34">
        <v>5.9490000000000001E-2</v>
      </c>
      <c r="AD83" s="34">
        <v>5.9586E-2</v>
      </c>
      <c r="AE83" s="34">
        <v>5.9687999999999998E-2</v>
      </c>
      <c r="AF83" s="34">
        <v>5.9813999999999999E-2</v>
      </c>
      <c r="AG83" s="34">
        <v>5.9926E-2</v>
      </c>
      <c r="AH83" s="34">
        <v>6.0026999999999997E-2</v>
      </c>
      <c r="AI83" s="32">
        <v>-1.0950000000000001E-3</v>
      </c>
    </row>
    <row r="84" spans="1:35" ht="15" customHeight="1">
      <c r="A84" s="19" t="s">
        <v>4</v>
      </c>
      <c r="B84" s="37" t="s">
        <v>841</v>
      </c>
      <c r="C84" s="34">
        <v>0.31739299999999998</v>
      </c>
      <c r="D84" s="34">
        <v>0.31517099999999998</v>
      </c>
      <c r="E84" s="34">
        <v>0.33130700000000002</v>
      </c>
      <c r="F84" s="34">
        <v>0.33717799999999998</v>
      </c>
      <c r="G84" s="34">
        <v>0.34052199999999999</v>
      </c>
      <c r="H84" s="34">
        <v>0.34725099999999998</v>
      </c>
      <c r="I84" s="34">
        <v>0.35514699999999999</v>
      </c>
      <c r="J84" s="34">
        <v>0.35935600000000001</v>
      </c>
      <c r="K84" s="34">
        <v>0.357068</v>
      </c>
      <c r="L84" s="34">
        <v>0.35733500000000001</v>
      </c>
      <c r="M84" s="34">
        <v>0.36055799999999999</v>
      </c>
      <c r="N84" s="34">
        <v>0.36154199999999997</v>
      </c>
      <c r="O84" s="34">
        <v>0.36494100000000002</v>
      </c>
      <c r="P84" s="34">
        <v>0.36652099999999999</v>
      </c>
      <c r="Q84" s="34">
        <v>0.36658499999999999</v>
      </c>
      <c r="R84" s="34">
        <v>0.36730000000000002</v>
      </c>
      <c r="S84" s="34">
        <v>0.36870799999999998</v>
      </c>
      <c r="T84" s="34">
        <v>0.37387199999999998</v>
      </c>
      <c r="U84" s="34">
        <v>0.376363</v>
      </c>
      <c r="V84" s="34">
        <v>0.38012000000000001</v>
      </c>
      <c r="W84" s="34">
        <v>0.38538299999999998</v>
      </c>
      <c r="X84" s="34">
        <v>0.38880399999999998</v>
      </c>
      <c r="Y84" s="34">
        <v>0.39178000000000002</v>
      </c>
      <c r="Z84" s="34">
        <v>0.398781</v>
      </c>
      <c r="AA84" s="34">
        <v>0.40295999999999998</v>
      </c>
      <c r="AB84" s="34">
        <v>0.406918</v>
      </c>
      <c r="AC84" s="34">
        <v>0.41073599999999999</v>
      </c>
      <c r="AD84" s="34">
        <v>0.41542299999999999</v>
      </c>
      <c r="AE84" s="34">
        <v>0.419431</v>
      </c>
      <c r="AF84" s="34">
        <v>0.424151</v>
      </c>
      <c r="AG84" s="34">
        <v>0.42755599999999999</v>
      </c>
      <c r="AH84" s="34">
        <v>0.431008</v>
      </c>
      <c r="AI84" s="32">
        <v>9.9190000000000007E-3</v>
      </c>
    </row>
    <row r="85" spans="1:35" ht="15" customHeight="1">
      <c r="A85" s="19" t="s">
        <v>3</v>
      </c>
      <c r="B85" s="30" t="s">
        <v>2</v>
      </c>
      <c r="C85" s="35">
        <v>14.473433</v>
      </c>
      <c r="D85" s="35">
        <v>14.53084</v>
      </c>
      <c r="E85" s="35">
        <v>14.515177</v>
      </c>
      <c r="F85" s="35">
        <v>14.408682000000001</v>
      </c>
      <c r="G85" s="35">
        <v>14.284176</v>
      </c>
      <c r="H85" s="35">
        <v>14.113085</v>
      </c>
      <c r="I85" s="35">
        <v>13.944188</v>
      </c>
      <c r="J85" s="35">
        <v>13.801455000000001</v>
      </c>
      <c r="K85" s="35">
        <v>13.680749</v>
      </c>
      <c r="L85" s="35">
        <v>13.568763000000001</v>
      </c>
      <c r="M85" s="35">
        <v>13.462358</v>
      </c>
      <c r="N85" s="35">
        <v>13.368217</v>
      </c>
      <c r="O85" s="35">
        <v>13.305375</v>
      </c>
      <c r="P85" s="35">
        <v>13.229243</v>
      </c>
      <c r="Q85" s="35">
        <v>13.172801</v>
      </c>
      <c r="R85" s="35">
        <v>13.107445999999999</v>
      </c>
      <c r="S85" s="35">
        <v>13.048519000000001</v>
      </c>
      <c r="T85" s="35">
        <v>13.017054999999999</v>
      </c>
      <c r="U85" s="35">
        <v>12.995324999999999</v>
      </c>
      <c r="V85" s="35">
        <v>12.977034</v>
      </c>
      <c r="W85" s="35">
        <v>12.975856</v>
      </c>
      <c r="X85" s="35">
        <v>12.986323000000001</v>
      </c>
      <c r="Y85" s="35">
        <v>12.997332999999999</v>
      </c>
      <c r="Z85" s="35">
        <v>13.026218</v>
      </c>
      <c r="AA85" s="35">
        <v>13.060641</v>
      </c>
      <c r="AB85" s="35">
        <v>13.110025</v>
      </c>
      <c r="AC85" s="35">
        <v>13.173438000000001</v>
      </c>
      <c r="AD85" s="35">
        <v>13.26224</v>
      </c>
      <c r="AE85" s="35">
        <v>13.345319999999999</v>
      </c>
      <c r="AF85" s="35">
        <v>13.450161</v>
      </c>
      <c r="AG85" s="35">
        <v>13.563889</v>
      </c>
      <c r="AH85" s="35">
        <v>13.686009</v>
      </c>
      <c r="AI85" s="36">
        <v>-1.8029999999999999E-3</v>
      </c>
    </row>
    <row r="86" spans="1:35" ht="15" customHeight="1" thickBot="1"/>
    <row r="87" spans="1:35" ht="15" customHeight="1">
      <c r="B87" s="148" t="s">
        <v>3049</v>
      </c>
      <c r="C87" s="148"/>
      <c r="D87" s="148"/>
      <c r="E87" s="148"/>
      <c r="F87" s="148"/>
      <c r="G87" s="148"/>
      <c r="H87" s="148"/>
      <c r="I87" s="148"/>
      <c r="J87" s="148"/>
      <c r="K87" s="148"/>
      <c r="L87" s="148"/>
      <c r="M87" s="148"/>
      <c r="N87" s="148"/>
      <c r="O87" s="148"/>
      <c r="P87" s="148"/>
      <c r="Q87" s="148"/>
      <c r="R87" s="148"/>
      <c r="S87" s="148"/>
      <c r="T87" s="148"/>
      <c r="U87" s="148"/>
      <c r="V87" s="148"/>
      <c r="W87" s="148"/>
      <c r="X87" s="148"/>
      <c r="Y87" s="148"/>
      <c r="Z87" s="148"/>
      <c r="AA87" s="148"/>
      <c r="AB87" s="148"/>
      <c r="AC87" s="148"/>
      <c r="AD87" s="148"/>
      <c r="AE87" s="148"/>
      <c r="AF87" s="148"/>
      <c r="AG87" s="148"/>
      <c r="AH87" s="148"/>
      <c r="AI87" s="148"/>
    </row>
    <row r="88" spans="1:35" ht="15" customHeight="1">
      <c r="B88" s="20" t="s">
        <v>3050</v>
      </c>
    </row>
    <row r="89" spans="1:35" ht="15" customHeight="1">
      <c r="B89" s="20" t="s">
        <v>3051</v>
      </c>
    </row>
    <row r="90" spans="1:35" ht="15" customHeight="1">
      <c r="B90" s="20" t="s">
        <v>3052</v>
      </c>
    </row>
    <row r="91" spans="1:35" ht="15" customHeight="1">
      <c r="B91" s="20" t="s">
        <v>3053</v>
      </c>
    </row>
    <row r="92" spans="1:35" ht="15" customHeight="1">
      <c r="B92" s="20" t="s">
        <v>3054</v>
      </c>
    </row>
    <row r="93" spans="1:35" ht="15" customHeight="1">
      <c r="B93" s="20" t="s">
        <v>3055</v>
      </c>
    </row>
    <row r="94" spans="1:35" ht="15" customHeight="1">
      <c r="B94" s="20" t="s">
        <v>3056</v>
      </c>
    </row>
    <row r="95" spans="1:35" ht="15" customHeight="1">
      <c r="B95" s="20" t="s">
        <v>3057</v>
      </c>
    </row>
    <row r="96" spans="1:35" ht="15" customHeight="1">
      <c r="B96" s="20" t="s">
        <v>3058</v>
      </c>
    </row>
    <row r="97" spans="2:2" ht="15" customHeight="1">
      <c r="B97" s="20" t="s">
        <v>3059</v>
      </c>
    </row>
  </sheetData>
  <mergeCells count="1">
    <mergeCell ref="B87:AI8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69"/>
  <sheetViews>
    <sheetView workbookViewId="0"/>
  </sheetViews>
  <sheetFormatPr defaultColWidth="12.08984375" defaultRowHeight="15" customHeight="1"/>
  <cols>
    <col min="1" max="1" width="21.81640625" style="60" customWidth="1"/>
    <col min="2" max="4" width="9.08984375"/>
  </cols>
  <sheetData>
    <row r="1" spans="1:37" s="60" customFormat="1" ht="15" customHeight="1">
      <c r="A1" s="60" t="s">
        <v>1347</v>
      </c>
      <c r="F1" s="60">
        <v>2020</v>
      </c>
      <c r="G1" s="60">
        <v>2021</v>
      </c>
      <c r="H1" s="60">
        <v>2022</v>
      </c>
      <c r="I1" s="60">
        <v>2023</v>
      </c>
      <c r="J1" s="60">
        <v>2024</v>
      </c>
      <c r="K1" s="60">
        <v>2025</v>
      </c>
      <c r="L1" s="60">
        <v>2026</v>
      </c>
      <c r="M1" s="60">
        <v>2027</v>
      </c>
      <c r="N1" s="60">
        <v>2028</v>
      </c>
      <c r="O1" s="60">
        <v>2029</v>
      </c>
      <c r="P1" s="60">
        <v>2030</v>
      </c>
      <c r="Q1" s="60">
        <v>2031</v>
      </c>
      <c r="R1" s="60">
        <v>2032</v>
      </c>
      <c r="S1" s="60">
        <v>2033</v>
      </c>
      <c r="T1" s="60">
        <v>2034</v>
      </c>
      <c r="U1" s="60">
        <v>2035</v>
      </c>
      <c r="V1" s="60">
        <v>2036</v>
      </c>
      <c r="W1" s="60">
        <v>2037</v>
      </c>
      <c r="X1" s="60">
        <v>2038</v>
      </c>
      <c r="Y1" s="60">
        <v>2039</v>
      </c>
      <c r="Z1" s="60">
        <v>2040</v>
      </c>
      <c r="AA1" s="60">
        <v>2041</v>
      </c>
      <c r="AB1" s="60">
        <v>2042</v>
      </c>
      <c r="AC1" s="60">
        <v>2043</v>
      </c>
      <c r="AD1" s="60">
        <v>2044</v>
      </c>
      <c r="AE1" s="60">
        <v>2045</v>
      </c>
      <c r="AF1" s="60">
        <v>2046</v>
      </c>
      <c r="AG1" s="60">
        <v>2047</v>
      </c>
      <c r="AH1" s="60">
        <v>2048</v>
      </c>
      <c r="AI1" s="60">
        <v>2049</v>
      </c>
      <c r="AJ1" s="60">
        <v>2050</v>
      </c>
      <c r="AK1" s="60" t="s">
        <v>1290</v>
      </c>
    </row>
    <row r="10" spans="1:37" ht="15" customHeight="1">
      <c r="A10" s="116" t="s">
        <v>542</v>
      </c>
      <c r="B10" t="s">
        <v>1195</v>
      </c>
    </row>
    <row r="11" spans="1:37" ht="15" customHeight="1">
      <c r="B11" t="s">
        <v>1196</v>
      </c>
    </row>
    <row r="12" spans="1:37" ht="15" customHeight="1">
      <c r="B12" t="s">
        <v>1197</v>
      </c>
    </row>
    <row r="13" spans="1:37" ht="15" customHeight="1">
      <c r="B13" t="s">
        <v>1198</v>
      </c>
    </row>
    <row r="14" spans="1:37" ht="15" customHeight="1">
      <c r="C14" t="s">
        <v>1199</v>
      </c>
      <c r="D14" t="s">
        <v>1288</v>
      </c>
      <c r="E14" t="s">
        <v>1289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1290</v>
      </c>
    </row>
    <row r="15" spans="1:37" ht="15" customHeight="1">
      <c r="B15" t="s">
        <v>45</v>
      </c>
      <c r="D15" t="s">
        <v>1291</v>
      </c>
    </row>
    <row r="16" spans="1:37" ht="15" customHeight="1">
      <c r="B16" t="s">
        <v>1200</v>
      </c>
      <c r="D16" t="s">
        <v>1292</v>
      </c>
    </row>
    <row r="17" spans="1:37" ht="15" customHeight="1">
      <c r="A17" s="116" t="s">
        <v>543</v>
      </c>
      <c r="B17" t="s">
        <v>1201</v>
      </c>
      <c r="C17" t="s">
        <v>1202</v>
      </c>
      <c r="D17" t="s">
        <v>1293</v>
      </c>
      <c r="E17" t="s">
        <v>1294</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115">
        <v>0</v>
      </c>
    </row>
    <row r="18" spans="1:37" ht="15" customHeight="1">
      <c r="A18" s="116" t="s">
        <v>544</v>
      </c>
      <c r="B18" t="s">
        <v>1203</v>
      </c>
      <c r="C18" t="s">
        <v>1204</v>
      </c>
      <c r="D18" t="s">
        <v>1295</v>
      </c>
      <c r="E18" t="s">
        <v>1294</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115">
        <v>-1.0999999999999999E-2</v>
      </c>
    </row>
    <row r="19" spans="1:37" ht="15" customHeight="1">
      <c r="A19" s="116" t="s">
        <v>545</v>
      </c>
      <c r="B19" t="s">
        <v>1205</v>
      </c>
      <c r="C19" t="s">
        <v>1206</v>
      </c>
      <c r="D19" t="s">
        <v>1296</v>
      </c>
      <c r="E19" t="s">
        <v>1294</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115">
        <v>6.0000000000000001E-3</v>
      </c>
    </row>
    <row r="20" spans="1:37" ht="15" customHeight="1">
      <c r="A20" s="116" t="s">
        <v>546</v>
      </c>
      <c r="B20" t="s">
        <v>1207</v>
      </c>
      <c r="C20" t="s">
        <v>1208</v>
      </c>
      <c r="D20" t="s">
        <v>1297</v>
      </c>
      <c r="E20" t="s">
        <v>1294</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115">
        <v>-1.0999999999999999E-2</v>
      </c>
    </row>
    <row r="21" spans="1:37" ht="15" customHeight="1">
      <c r="A21" s="116" t="s">
        <v>547</v>
      </c>
      <c r="B21" t="s">
        <v>1209</v>
      </c>
      <c r="C21" t="s">
        <v>1210</v>
      </c>
      <c r="D21" t="s">
        <v>1298</v>
      </c>
      <c r="E21" t="s">
        <v>1294</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115">
        <v>8.9999999999999993E-3</v>
      </c>
    </row>
    <row r="22" spans="1:37" ht="15" customHeight="1">
      <c r="A22" s="116" t="s">
        <v>548</v>
      </c>
      <c r="B22" t="s">
        <v>1211</v>
      </c>
      <c r="C22" t="s">
        <v>1212</v>
      </c>
      <c r="D22" t="s">
        <v>1299</v>
      </c>
      <c r="E22" t="s">
        <v>1294</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115">
        <v>0.02</v>
      </c>
    </row>
    <row r="23" spans="1:37" ht="15" customHeight="1">
      <c r="A23" s="116" t="s">
        <v>549</v>
      </c>
      <c r="B23" t="s">
        <v>1213</v>
      </c>
      <c r="C23" t="s">
        <v>1214</v>
      </c>
      <c r="D23" t="s">
        <v>1300</v>
      </c>
      <c r="E23" t="s">
        <v>1294</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115">
        <v>0.01</v>
      </c>
    </row>
    <row r="24" spans="1:37" ht="15" customHeight="1">
      <c r="A24" s="116" t="s">
        <v>550</v>
      </c>
      <c r="B24" t="s">
        <v>1215</v>
      </c>
      <c r="C24" t="s">
        <v>1216</v>
      </c>
      <c r="D24" t="s">
        <v>1301</v>
      </c>
      <c r="E24" t="s">
        <v>1294</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115">
        <v>2.1999999999999999E-2</v>
      </c>
    </row>
    <row r="25" spans="1:37" ht="15" customHeight="1">
      <c r="A25" s="116" t="s">
        <v>551</v>
      </c>
      <c r="B25" t="s">
        <v>1217</v>
      </c>
      <c r="C25" t="s">
        <v>1218</v>
      </c>
      <c r="D25" t="s">
        <v>1302</v>
      </c>
      <c r="E25" t="s">
        <v>1294</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115">
        <v>3.3000000000000002E-2</v>
      </c>
    </row>
    <row r="26" spans="1:37" ht="15" customHeight="1">
      <c r="A26" s="116" t="s">
        <v>552</v>
      </c>
      <c r="B26" t="s">
        <v>1219</v>
      </c>
      <c r="C26" t="s">
        <v>1220</v>
      </c>
      <c r="D26" t="s">
        <v>1303</v>
      </c>
      <c r="E26" t="s">
        <v>1294</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115">
        <v>5.0000000000000001E-3</v>
      </c>
    </row>
    <row r="27" spans="1:37" ht="15" customHeight="1">
      <c r="A27" s="116" t="s">
        <v>838</v>
      </c>
      <c r="B27" t="s">
        <v>1221</v>
      </c>
      <c r="C27" t="s">
        <v>1222</v>
      </c>
      <c r="D27" t="s">
        <v>1304</v>
      </c>
      <c r="E27" t="s">
        <v>1294</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115">
        <v>1.4999999999999999E-2</v>
      </c>
    </row>
    <row r="28" spans="1:37" ht="15" customHeight="1">
      <c r="A28" s="116" t="s">
        <v>839</v>
      </c>
      <c r="B28" t="s">
        <v>1223</v>
      </c>
      <c r="C28" t="s">
        <v>1224</v>
      </c>
      <c r="D28" t="s">
        <v>1305</v>
      </c>
      <c r="E28" t="s">
        <v>1294</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115">
        <v>1.4E-2</v>
      </c>
    </row>
    <row r="29" spans="1:37" ht="15" customHeight="1">
      <c r="A29" s="116" t="s">
        <v>553</v>
      </c>
      <c r="B29" t="s">
        <v>1225</v>
      </c>
      <c r="C29" t="s">
        <v>1226</v>
      </c>
      <c r="D29" t="s">
        <v>1306</v>
      </c>
      <c r="E29" t="s">
        <v>1294</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115">
        <v>1E-3</v>
      </c>
    </row>
    <row r="30" spans="1:37" ht="15" customHeight="1">
      <c r="B30" t="s">
        <v>1227</v>
      </c>
      <c r="D30" t="s">
        <v>1307</v>
      </c>
    </row>
    <row r="31" spans="1:37" ht="15" customHeight="1">
      <c r="A31" s="116" t="s">
        <v>554</v>
      </c>
      <c r="B31" t="s">
        <v>534</v>
      </c>
      <c r="C31" t="s">
        <v>1228</v>
      </c>
      <c r="D31" t="s">
        <v>1308</v>
      </c>
      <c r="E31" t="s">
        <v>1294</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115">
        <v>2.5999999999999999E-2</v>
      </c>
    </row>
    <row r="32" spans="1:37" ht="15" customHeight="1">
      <c r="A32" s="116" t="s">
        <v>555</v>
      </c>
      <c r="B32" t="s">
        <v>1229</v>
      </c>
      <c r="C32" t="s">
        <v>1230</v>
      </c>
      <c r="D32" t="s">
        <v>1309</v>
      </c>
      <c r="E32" t="s">
        <v>1294</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115">
        <v>2.3E-2</v>
      </c>
    </row>
    <row r="33" spans="1:37" ht="15" customHeight="1">
      <c r="A33" s="116" t="s">
        <v>556</v>
      </c>
      <c r="B33" t="s">
        <v>1231</v>
      </c>
      <c r="C33" t="s">
        <v>1232</v>
      </c>
      <c r="D33" t="s">
        <v>1310</v>
      </c>
      <c r="E33" t="s">
        <v>1294</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115">
        <v>2.1000000000000001E-2</v>
      </c>
    </row>
    <row r="34" spans="1:37" ht="15" customHeight="1">
      <c r="A34" s="116" t="s">
        <v>557</v>
      </c>
      <c r="B34" t="s">
        <v>1233</v>
      </c>
      <c r="C34" t="s">
        <v>1234</v>
      </c>
      <c r="D34" t="s">
        <v>1311</v>
      </c>
      <c r="E34" t="s">
        <v>1294</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115">
        <v>6.8000000000000005E-2</v>
      </c>
    </row>
    <row r="35" spans="1:37" ht="15" customHeight="1">
      <c r="A35" s="116" t="s">
        <v>558</v>
      </c>
      <c r="B35" t="s">
        <v>1235</v>
      </c>
      <c r="C35" t="s">
        <v>1236</v>
      </c>
      <c r="D35" t="s">
        <v>1312</v>
      </c>
      <c r="E35" t="s">
        <v>1294</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115">
        <v>0.01</v>
      </c>
    </row>
    <row r="36" spans="1:37" ht="15" customHeight="1">
      <c r="A36" s="116" t="s">
        <v>559</v>
      </c>
      <c r="B36" t="s">
        <v>1237</v>
      </c>
      <c r="C36" t="s">
        <v>1238</v>
      </c>
      <c r="D36" t="s">
        <v>1313</v>
      </c>
      <c r="E36" t="s">
        <v>1294</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115">
        <v>0</v>
      </c>
    </row>
    <row r="37" spans="1:37" ht="15" customHeight="1">
      <c r="A37" s="116" t="s">
        <v>560</v>
      </c>
      <c r="B37" t="s">
        <v>1239</v>
      </c>
      <c r="C37" t="s">
        <v>1240</v>
      </c>
      <c r="D37" t="s">
        <v>1314</v>
      </c>
      <c r="E37" t="s">
        <v>1294</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115">
        <v>1E-3</v>
      </c>
    </row>
    <row r="38" spans="1:37" ht="15" customHeight="1">
      <c r="A38" s="116" t="s">
        <v>561</v>
      </c>
      <c r="B38" t="s">
        <v>627</v>
      </c>
      <c r="C38" t="s">
        <v>1241</v>
      </c>
      <c r="D38" t="s">
        <v>1315</v>
      </c>
      <c r="E38" t="s">
        <v>1294</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115">
        <v>-1.4E-2</v>
      </c>
    </row>
    <row r="39" spans="1:37" ht="15" customHeight="1">
      <c r="A39" s="116" t="s">
        <v>562</v>
      </c>
      <c r="B39" t="s">
        <v>620</v>
      </c>
      <c r="C39" t="s">
        <v>1242</v>
      </c>
      <c r="D39" t="s">
        <v>1316</v>
      </c>
      <c r="E39" t="s">
        <v>1294</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115">
        <v>2E-3</v>
      </c>
    </row>
    <row r="40" spans="1:37" ht="15" customHeight="1">
      <c r="A40" s="116" t="s">
        <v>563</v>
      </c>
      <c r="B40" t="s">
        <v>1082</v>
      </c>
      <c r="C40" t="s">
        <v>1243</v>
      </c>
      <c r="D40" t="s">
        <v>1317</v>
      </c>
      <c r="E40" t="s">
        <v>1294</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115">
        <v>-3.0000000000000001E-3</v>
      </c>
    </row>
    <row r="41" spans="1:37" ht="15" customHeight="1">
      <c r="A41" s="116" t="s">
        <v>564</v>
      </c>
      <c r="B41" t="s">
        <v>529</v>
      </c>
      <c r="C41" t="s">
        <v>1244</v>
      </c>
      <c r="D41" t="s">
        <v>1318</v>
      </c>
      <c r="E41" t="s">
        <v>1294</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115">
        <v>4.0000000000000001E-3</v>
      </c>
    </row>
    <row r="42" spans="1:37" ht="15" customHeight="1">
      <c r="A42" s="116" t="s">
        <v>565</v>
      </c>
      <c r="B42" t="s">
        <v>1239</v>
      </c>
      <c r="C42" t="s">
        <v>1245</v>
      </c>
      <c r="D42" t="s">
        <v>1319</v>
      </c>
      <c r="E42" t="s">
        <v>1294</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115">
        <v>1E-3</v>
      </c>
    </row>
    <row r="43" spans="1:37" ht="15" customHeight="1">
      <c r="A43" s="116" t="s">
        <v>566</v>
      </c>
      <c r="B43" t="s">
        <v>1246</v>
      </c>
      <c r="C43" t="s">
        <v>1247</v>
      </c>
      <c r="D43" t="s">
        <v>1320</v>
      </c>
      <c r="E43" t="s">
        <v>1294</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115">
        <v>2.7E-2</v>
      </c>
    </row>
    <row r="44" spans="1:37" ht="15" customHeight="1">
      <c r="A44" s="116" t="s">
        <v>567</v>
      </c>
      <c r="B44" t="s">
        <v>1215</v>
      </c>
      <c r="C44" t="s">
        <v>1248</v>
      </c>
      <c r="D44" t="s">
        <v>1321</v>
      </c>
      <c r="E44" t="s">
        <v>1294</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115">
        <v>0.03</v>
      </c>
    </row>
    <row r="45" spans="1:37" ht="15" customHeight="1">
      <c r="A45" s="116" t="s">
        <v>568</v>
      </c>
      <c r="B45" t="s">
        <v>1213</v>
      </c>
      <c r="C45" t="s">
        <v>1249</v>
      </c>
      <c r="D45" t="s">
        <v>1322</v>
      </c>
      <c r="E45" t="s">
        <v>1294</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115">
        <v>2.5999999999999999E-2</v>
      </c>
    </row>
    <row r="46" spans="1:37" ht="15" customHeight="1">
      <c r="A46" s="116" t="s">
        <v>569</v>
      </c>
      <c r="B46" t="s">
        <v>1250</v>
      </c>
      <c r="C46" t="s">
        <v>1251</v>
      </c>
      <c r="D46" t="s">
        <v>1323</v>
      </c>
      <c r="E46" t="s">
        <v>1294</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115">
        <v>2.5000000000000001E-2</v>
      </c>
    </row>
    <row r="47" spans="1:37" ht="15" customHeight="1">
      <c r="A47" s="116" t="s">
        <v>570</v>
      </c>
      <c r="B47" t="s">
        <v>1086</v>
      </c>
      <c r="C47" t="s">
        <v>1252</v>
      </c>
      <c r="D47" t="s">
        <v>1324</v>
      </c>
      <c r="E47" t="s">
        <v>1294</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115">
        <v>1E-3</v>
      </c>
    </row>
    <row r="48" spans="1:37" ht="15" customHeight="1">
      <c r="A48" s="116" t="s">
        <v>571</v>
      </c>
      <c r="B48" t="s">
        <v>1088</v>
      </c>
      <c r="C48" t="s">
        <v>1253</v>
      </c>
      <c r="D48" t="s">
        <v>1325</v>
      </c>
      <c r="E48" t="s">
        <v>1294</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115">
        <v>4.0000000000000001E-3</v>
      </c>
    </row>
    <row r="49" spans="1:37" ht="15" customHeight="1">
      <c r="A49" s="116" t="s">
        <v>572</v>
      </c>
      <c r="B49" t="s">
        <v>1037</v>
      </c>
      <c r="C49" t="s">
        <v>1254</v>
      </c>
      <c r="D49" t="s">
        <v>1326</v>
      </c>
      <c r="E49" t="s">
        <v>1294</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115">
        <v>0</v>
      </c>
    </row>
    <row r="50" spans="1:37" ht="15" customHeight="1">
      <c r="A50" s="116" t="s">
        <v>573</v>
      </c>
      <c r="B50" t="s">
        <v>1255</v>
      </c>
      <c r="C50" t="s">
        <v>1256</v>
      </c>
      <c r="D50" t="s">
        <v>1327</v>
      </c>
      <c r="E50" t="s">
        <v>1294</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115">
        <v>0</v>
      </c>
    </row>
    <row r="51" spans="1:37" ht="15" customHeight="1">
      <c r="A51" s="116" t="s">
        <v>574</v>
      </c>
      <c r="B51" t="s">
        <v>1257</v>
      </c>
      <c r="C51" t="s">
        <v>1258</v>
      </c>
      <c r="D51" t="s">
        <v>1328</v>
      </c>
      <c r="E51" t="s">
        <v>1294</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115">
        <v>0</v>
      </c>
    </row>
    <row r="52" spans="1:37" ht="15" customHeight="1">
      <c r="A52" s="116" t="s">
        <v>575</v>
      </c>
      <c r="B52" t="s">
        <v>1259</v>
      </c>
      <c r="C52" t="s">
        <v>1260</v>
      </c>
      <c r="D52" t="s">
        <v>1329</v>
      </c>
      <c r="E52" t="s">
        <v>1294</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115">
        <v>0</v>
      </c>
    </row>
    <row r="53" spans="1:37" ht="15" customHeight="1">
      <c r="A53" s="116" t="s">
        <v>576</v>
      </c>
      <c r="B53" t="s">
        <v>577</v>
      </c>
      <c r="C53" t="s">
        <v>1261</v>
      </c>
      <c r="D53" t="s">
        <v>1330</v>
      </c>
      <c r="E53" t="s">
        <v>1294</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115">
        <v>5.0000000000000001E-3</v>
      </c>
    </row>
    <row r="54" spans="1:37" ht="15" customHeight="1">
      <c r="B54" t="s">
        <v>578</v>
      </c>
      <c r="D54" t="s">
        <v>1331</v>
      </c>
    </row>
    <row r="55" spans="1:37" ht="15" customHeight="1">
      <c r="A55" s="116" t="s">
        <v>579</v>
      </c>
      <c r="B55" t="s">
        <v>1262</v>
      </c>
      <c r="C55" t="s">
        <v>1263</v>
      </c>
      <c r="D55" t="s">
        <v>1332</v>
      </c>
      <c r="E55" t="s">
        <v>1294</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115">
        <v>0</v>
      </c>
    </row>
    <row r="56" spans="1:37" ht="15" customHeight="1">
      <c r="A56" s="116" t="s">
        <v>580</v>
      </c>
      <c r="B56" t="s">
        <v>1264</v>
      </c>
      <c r="C56" t="s">
        <v>1265</v>
      </c>
      <c r="D56" t="s">
        <v>1333</v>
      </c>
      <c r="E56" t="s">
        <v>1294</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115">
        <v>1.4999999999999999E-2</v>
      </c>
    </row>
    <row r="57" spans="1:37" ht="15" customHeight="1">
      <c r="A57" s="116" t="s">
        <v>581</v>
      </c>
      <c r="B57" t="s">
        <v>1266</v>
      </c>
      <c r="C57" t="s">
        <v>1267</v>
      </c>
      <c r="D57" t="s">
        <v>1334</v>
      </c>
      <c r="E57" t="s">
        <v>1294</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115">
        <v>2E-3</v>
      </c>
    </row>
    <row r="58" spans="1:37" ht="15" customHeight="1">
      <c r="A58" s="116" t="s">
        <v>582</v>
      </c>
      <c r="B58" t="s">
        <v>1268</v>
      </c>
      <c r="C58" t="s">
        <v>1269</v>
      </c>
      <c r="D58" t="s">
        <v>1335</v>
      </c>
      <c r="E58" t="s">
        <v>1294</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115">
        <v>2.3E-2</v>
      </c>
    </row>
    <row r="59" spans="1:37" ht="15" customHeight="1">
      <c r="A59" s="116" t="s">
        <v>583</v>
      </c>
      <c r="B59" t="s">
        <v>1257</v>
      </c>
      <c r="C59" t="s">
        <v>1270</v>
      </c>
      <c r="D59" t="s">
        <v>1336</v>
      </c>
      <c r="E59" t="s">
        <v>1294</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115">
        <v>5.0000000000000001E-3</v>
      </c>
    </row>
    <row r="60" spans="1:37" ht="15" customHeight="1">
      <c r="A60" s="116" t="s">
        <v>584</v>
      </c>
      <c r="B60" t="s">
        <v>1271</v>
      </c>
      <c r="C60" t="s">
        <v>1272</v>
      </c>
      <c r="D60" t="s">
        <v>1337</v>
      </c>
      <c r="E60" t="s">
        <v>1294</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115">
        <v>0</v>
      </c>
    </row>
    <row r="61" spans="1:37" ht="15" customHeight="1">
      <c r="A61" s="116" t="s">
        <v>585</v>
      </c>
      <c r="B61" t="s">
        <v>1273</v>
      </c>
      <c r="C61" t="s">
        <v>1274</v>
      </c>
      <c r="D61" t="s">
        <v>1338</v>
      </c>
      <c r="E61" t="s">
        <v>1294</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115">
        <v>2.7E-2</v>
      </c>
    </row>
    <row r="62" spans="1:37" ht="15" customHeight="1">
      <c r="A62" s="116" t="s">
        <v>586</v>
      </c>
      <c r="B62" t="s">
        <v>1086</v>
      </c>
      <c r="C62" t="s">
        <v>1275</v>
      </c>
      <c r="D62" t="s">
        <v>1339</v>
      </c>
      <c r="E62" t="s">
        <v>1294</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115">
        <v>1E-3</v>
      </c>
    </row>
    <row r="63" spans="1:37" ht="15" customHeight="1">
      <c r="A63" s="116" t="s">
        <v>587</v>
      </c>
      <c r="B63" t="s">
        <v>1276</v>
      </c>
      <c r="C63" t="s">
        <v>1277</v>
      </c>
      <c r="D63" t="s">
        <v>1340</v>
      </c>
      <c r="E63" t="s">
        <v>1294</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115">
        <v>4.0000000000000001E-3</v>
      </c>
    </row>
    <row r="64" spans="1:37" ht="15" customHeight="1">
      <c r="A64" s="116" t="s">
        <v>588</v>
      </c>
      <c r="B64" t="s">
        <v>1278</v>
      </c>
      <c r="C64" t="s">
        <v>1279</v>
      </c>
      <c r="D64" t="s">
        <v>1341</v>
      </c>
      <c r="E64" t="s">
        <v>1294</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146</v>
      </c>
    </row>
    <row r="65" spans="1:37" ht="15" customHeight="1">
      <c r="A65" s="116" t="s">
        <v>589</v>
      </c>
      <c r="B65" t="s">
        <v>1280</v>
      </c>
      <c r="C65" t="s">
        <v>1281</v>
      </c>
      <c r="D65" t="s">
        <v>1342</v>
      </c>
      <c r="E65" t="s">
        <v>1294</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115">
        <v>8.3000000000000004E-2</v>
      </c>
    </row>
    <row r="66" spans="1:37" ht="15" customHeight="1">
      <c r="A66" s="116" t="s">
        <v>590</v>
      </c>
      <c r="B66" t="s">
        <v>1282</v>
      </c>
      <c r="C66" t="s">
        <v>1283</v>
      </c>
      <c r="D66" t="s">
        <v>1343</v>
      </c>
      <c r="E66" t="s">
        <v>1294</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115">
        <v>5.2999999999999999E-2</v>
      </c>
    </row>
    <row r="67" spans="1:37" ht="15" customHeight="1">
      <c r="A67" s="116" t="s">
        <v>591</v>
      </c>
      <c r="B67" t="s">
        <v>1284</v>
      </c>
      <c r="C67" t="s">
        <v>1285</v>
      </c>
      <c r="D67" t="s">
        <v>1344</v>
      </c>
      <c r="E67" t="s">
        <v>1294</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115">
        <v>3.7999999999999999E-2</v>
      </c>
    </row>
    <row r="68" spans="1:37" ht="15" customHeight="1">
      <c r="A68" s="116" t="s">
        <v>592</v>
      </c>
      <c r="B68" t="s">
        <v>1088</v>
      </c>
      <c r="C68" t="s">
        <v>1286</v>
      </c>
      <c r="D68" t="s">
        <v>1345</v>
      </c>
      <c r="E68" t="s">
        <v>1294</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115">
        <v>4.0000000000000001E-3</v>
      </c>
    </row>
    <row r="69" spans="1:37" ht="15" customHeight="1">
      <c r="A69" s="116" t="s">
        <v>593</v>
      </c>
      <c r="B69" t="s">
        <v>594</v>
      </c>
      <c r="C69" t="s">
        <v>1287</v>
      </c>
      <c r="D69" t="s">
        <v>1346</v>
      </c>
      <c r="E69" t="s">
        <v>1294</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115">
        <v>5.0000000000000001E-3</v>
      </c>
    </row>
  </sheetData>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L114"/>
  <sheetViews>
    <sheetView topLeftCell="A55" workbookViewId="0">
      <selection activeCell="A63" sqref="A63"/>
    </sheetView>
  </sheetViews>
  <sheetFormatPr defaultRowHeight="14.5"/>
  <cols>
    <col min="1" max="1" width="9.08984375" style="142"/>
    <col min="2" max="2" width="19.36328125" style="46" customWidth="1"/>
    <col min="4" max="4" width="43.90625" customWidth="1"/>
  </cols>
  <sheetData>
    <row r="1" spans="2:38" s="60" customFormat="1" ht="15" customHeight="1">
      <c r="B1" s="46" t="s">
        <v>1347</v>
      </c>
      <c r="G1" s="60">
        <v>2020</v>
      </c>
      <c r="H1" s="60">
        <v>2021</v>
      </c>
      <c r="I1" s="60">
        <v>2022</v>
      </c>
      <c r="J1" s="60">
        <v>2023</v>
      </c>
      <c r="K1" s="60">
        <v>2024</v>
      </c>
      <c r="L1" s="60">
        <v>2025</v>
      </c>
      <c r="M1" s="60">
        <v>2026</v>
      </c>
      <c r="N1" s="60">
        <v>2027</v>
      </c>
      <c r="O1" s="60">
        <v>2028</v>
      </c>
      <c r="P1" s="60">
        <v>2029</v>
      </c>
      <c r="Q1" s="60">
        <v>2030</v>
      </c>
      <c r="R1" s="60">
        <v>2031</v>
      </c>
      <c r="S1" s="60">
        <v>2032</v>
      </c>
      <c r="T1" s="60">
        <v>2033</v>
      </c>
      <c r="U1" s="60">
        <v>2034</v>
      </c>
      <c r="V1" s="60">
        <v>2035</v>
      </c>
      <c r="W1" s="60">
        <v>2036</v>
      </c>
      <c r="X1" s="60">
        <v>2037</v>
      </c>
      <c r="Y1" s="60">
        <v>2038</v>
      </c>
      <c r="Z1" s="60">
        <v>2039</v>
      </c>
      <c r="AA1" s="60">
        <v>2040</v>
      </c>
      <c r="AB1" s="60">
        <v>2041</v>
      </c>
      <c r="AC1" s="60">
        <v>2042</v>
      </c>
      <c r="AD1" s="60">
        <v>2043</v>
      </c>
      <c r="AE1" s="60">
        <v>2044</v>
      </c>
      <c r="AF1" s="60">
        <v>2045</v>
      </c>
      <c r="AG1" s="60">
        <v>2046</v>
      </c>
      <c r="AH1" s="60">
        <v>2047</v>
      </c>
      <c r="AI1" s="60">
        <v>2048</v>
      </c>
      <c r="AJ1" s="60">
        <v>2049</v>
      </c>
      <c r="AK1" s="60">
        <v>2050</v>
      </c>
      <c r="AL1" s="60" t="s">
        <v>1290</v>
      </c>
    </row>
    <row r="2" spans="2:38" ht="15" customHeight="1"/>
    <row r="3" spans="2:38" ht="15" customHeight="1"/>
    <row r="4" spans="2:38" ht="15" customHeight="1"/>
    <row r="5" spans="2:38" ht="15" customHeight="1"/>
    <row r="6" spans="2:38" ht="15" customHeight="1"/>
    <row r="10" spans="2:38" ht="15" customHeight="1">
      <c r="B10" s="117" t="s">
        <v>991</v>
      </c>
      <c r="C10" t="s">
        <v>1348</v>
      </c>
    </row>
    <row r="11" spans="2:38" ht="15" customHeight="1">
      <c r="C11" t="s">
        <v>1349</v>
      </c>
    </row>
    <row r="12" spans="2:38" ht="15" customHeight="1">
      <c r="C12" t="s">
        <v>1350</v>
      </c>
    </row>
    <row r="13" spans="2:38" ht="15" customHeight="1">
      <c r="C13" t="s">
        <v>1198</v>
      </c>
    </row>
    <row r="14" spans="2:38" ht="15" customHeight="1">
      <c r="D14" t="s">
        <v>1199</v>
      </c>
      <c r="E14" t="s">
        <v>1288</v>
      </c>
      <c r="F14" t="s">
        <v>1289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1290</v>
      </c>
    </row>
    <row r="15" spans="2:38" ht="15" customHeight="1">
      <c r="B15" s="117" t="s">
        <v>992</v>
      </c>
      <c r="C15" t="s">
        <v>993</v>
      </c>
      <c r="D15" t="s">
        <v>1365</v>
      </c>
      <c r="E15" t="s">
        <v>1366</v>
      </c>
      <c r="F15" t="s">
        <v>1294</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115">
        <v>0</v>
      </c>
    </row>
    <row r="16" spans="2:38" ht="15" customHeight="1">
      <c r="B16" s="117" t="s">
        <v>994</v>
      </c>
      <c r="C16" t="s">
        <v>1262</v>
      </c>
      <c r="D16" t="s">
        <v>1367</v>
      </c>
      <c r="E16" t="s">
        <v>1368</v>
      </c>
      <c r="F16" t="s">
        <v>1294</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115">
        <v>-1E-3</v>
      </c>
    </row>
    <row r="17" spans="2:38" ht="15" customHeight="1">
      <c r="B17" s="117" t="s">
        <v>995</v>
      </c>
      <c r="C17" t="s">
        <v>1264</v>
      </c>
      <c r="D17" t="s">
        <v>1369</v>
      </c>
      <c r="E17" t="s">
        <v>1370</v>
      </c>
      <c r="F17" t="s">
        <v>1294</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115">
        <v>4.0000000000000001E-3</v>
      </c>
    </row>
    <row r="18" spans="2:38" ht="15" customHeight="1">
      <c r="B18" s="117" t="s">
        <v>996</v>
      </c>
      <c r="C18" t="s">
        <v>1351</v>
      </c>
      <c r="D18" t="s">
        <v>1371</v>
      </c>
      <c r="E18" t="s">
        <v>1372</v>
      </c>
      <c r="F18" t="s">
        <v>1294</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115">
        <v>2.5000000000000001E-2</v>
      </c>
    </row>
    <row r="19" spans="2:38" ht="15" customHeight="1">
      <c r="B19" s="117" t="s">
        <v>997</v>
      </c>
      <c r="C19" t="s">
        <v>1282</v>
      </c>
      <c r="D19" t="s">
        <v>1373</v>
      </c>
      <c r="E19" t="s">
        <v>1374</v>
      </c>
      <c r="F19" t="s">
        <v>1294</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115">
        <v>-1E-3</v>
      </c>
    </row>
    <row r="20" spans="2:38" ht="15" customHeight="1">
      <c r="B20" s="117" t="s">
        <v>998</v>
      </c>
      <c r="C20" t="s">
        <v>1273</v>
      </c>
      <c r="D20" t="s">
        <v>1375</v>
      </c>
      <c r="E20" t="s">
        <v>1376</v>
      </c>
      <c r="F20" t="s">
        <v>1294</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115">
        <v>-7.0000000000000001E-3</v>
      </c>
    </row>
    <row r="21" spans="2:38" ht="15" customHeight="1">
      <c r="B21" s="117" t="s">
        <v>999</v>
      </c>
      <c r="C21" t="s">
        <v>1280</v>
      </c>
      <c r="D21" t="s">
        <v>1377</v>
      </c>
      <c r="E21" t="s">
        <v>1378</v>
      </c>
      <c r="F21" t="s">
        <v>1294</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115">
        <v>0.10100000000000001</v>
      </c>
    </row>
    <row r="22" spans="2:38" ht="15" customHeight="1">
      <c r="B22" s="117" t="s">
        <v>1000</v>
      </c>
      <c r="C22" t="s">
        <v>1284</v>
      </c>
      <c r="D22" t="s">
        <v>1379</v>
      </c>
      <c r="E22" t="s">
        <v>1380</v>
      </c>
      <c r="F22" t="s">
        <v>1294</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115">
        <v>3.7999999999999999E-2</v>
      </c>
    </row>
    <row r="23" spans="2:38" ht="15" customHeight="1">
      <c r="B23" s="117" t="s">
        <v>1001</v>
      </c>
      <c r="C23" t="s">
        <v>1209</v>
      </c>
      <c r="D23" t="s">
        <v>1381</v>
      </c>
      <c r="E23" t="s">
        <v>1382</v>
      </c>
      <c r="F23" t="s">
        <v>1294</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115">
        <v>8.9999999999999993E-3</v>
      </c>
    </row>
    <row r="24" spans="2:38" ht="15" customHeight="1">
      <c r="B24" s="117" t="s">
        <v>1002</v>
      </c>
      <c r="C24" t="s">
        <v>1262</v>
      </c>
      <c r="D24" t="s">
        <v>1383</v>
      </c>
      <c r="E24" t="s">
        <v>1384</v>
      </c>
      <c r="F24" t="s">
        <v>1294</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115">
        <v>8.0000000000000002E-3</v>
      </c>
    </row>
    <row r="25" spans="2:38" ht="15" customHeight="1">
      <c r="B25" s="117" t="s">
        <v>1003</v>
      </c>
      <c r="C25" t="s">
        <v>1264</v>
      </c>
      <c r="D25" t="s">
        <v>1385</v>
      </c>
      <c r="E25" t="s">
        <v>1386</v>
      </c>
      <c r="F25" t="s">
        <v>1294</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115">
        <v>4.7E-2</v>
      </c>
    </row>
    <row r="26" spans="2:38" ht="15" customHeight="1">
      <c r="B26" s="117" t="s">
        <v>1004</v>
      </c>
      <c r="C26" t="s">
        <v>1351</v>
      </c>
      <c r="D26" t="s">
        <v>1387</v>
      </c>
      <c r="E26" t="s">
        <v>1388</v>
      </c>
      <c r="F26" t="s">
        <v>1294</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115">
        <v>8.0000000000000002E-3</v>
      </c>
    </row>
    <row r="27" spans="2:38" ht="15" customHeight="1">
      <c r="B27" s="117" t="s">
        <v>1005</v>
      </c>
      <c r="C27" t="s">
        <v>1273</v>
      </c>
      <c r="D27" t="s">
        <v>1389</v>
      </c>
      <c r="E27" t="s">
        <v>1390</v>
      </c>
      <c r="F27" t="s">
        <v>1294</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115">
        <v>8.7999999999999995E-2</v>
      </c>
    </row>
    <row r="28" spans="2:38" ht="15" customHeight="1">
      <c r="B28" s="117" t="s">
        <v>1006</v>
      </c>
      <c r="C28" t="s">
        <v>1282</v>
      </c>
      <c r="D28" t="s">
        <v>1391</v>
      </c>
      <c r="E28" t="s">
        <v>1392</v>
      </c>
      <c r="F28" t="s">
        <v>1294</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115">
        <v>-1.2999999999999999E-2</v>
      </c>
    </row>
    <row r="29" spans="2:38" ht="15" customHeight="1">
      <c r="B29" s="117" t="s">
        <v>1007</v>
      </c>
      <c r="C29" t="s">
        <v>1280</v>
      </c>
      <c r="D29" t="s">
        <v>1393</v>
      </c>
      <c r="E29" t="s">
        <v>1394</v>
      </c>
      <c r="F29" t="s">
        <v>1294</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115">
        <v>0.115</v>
      </c>
    </row>
    <row r="30" spans="2:38" ht="15" customHeight="1">
      <c r="B30" s="117" t="s">
        <v>1008</v>
      </c>
      <c r="C30" t="s">
        <v>1284</v>
      </c>
      <c r="D30" t="s">
        <v>1395</v>
      </c>
      <c r="E30" t="s">
        <v>1396</v>
      </c>
      <c r="F30" t="s">
        <v>1294</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146</v>
      </c>
    </row>
    <row r="31" spans="2:38" ht="15" customHeight="1">
      <c r="B31" s="117" t="s">
        <v>1009</v>
      </c>
      <c r="C31" t="s">
        <v>1219</v>
      </c>
      <c r="D31" t="s">
        <v>1397</v>
      </c>
      <c r="E31" t="s">
        <v>1398</v>
      </c>
      <c r="F31" t="s">
        <v>1294</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115">
        <v>5.0000000000000001E-3</v>
      </c>
    </row>
    <row r="32" spans="2:38" ht="15" customHeight="1">
      <c r="B32" s="117" t="s">
        <v>1010</v>
      </c>
      <c r="C32" t="s">
        <v>1352</v>
      </c>
      <c r="D32" t="s">
        <v>1399</v>
      </c>
      <c r="E32" t="s">
        <v>1400</v>
      </c>
      <c r="F32" t="s">
        <v>1294</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115">
        <v>1.7000000000000001E-2</v>
      </c>
    </row>
    <row r="33" spans="2:38" ht="15" customHeight="1">
      <c r="B33" s="117" t="s">
        <v>1011</v>
      </c>
      <c r="C33" t="s">
        <v>1351</v>
      </c>
      <c r="D33" t="s">
        <v>1401</v>
      </c>
      <c r="E33" t="s">
        <v>1402</v>
      </c>
      <c r="F33" t="s">
        <v>1294</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115">
        <v>3.0000000000000001E-3</v>
      </c>
    </row>
    <row r="34" spans="2:38" ht="15" customHeight="1">
      <c r="B34" s="117" t="s">
        <v>1012</v>
      </c>
      <c r="C34" t="s">
        <v>1282</v>
      </c>
      <c r="D34" t="s">
        <v>1403</v>
      </c>
      <c r="E34" t="s">
        <v>1404</v>
      </c>
      <c r="F34" t="s">
        <v>1294</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115">
        <v>2.1999999999999999E-2</v>
      </c>
    </row>
    <row r="35" spans="2:38" ht="15" customHeight="1">
      <c r="B35" s="117" t="s">
        <v>1013</v>
      </c>
      <c r="C35" t="s">
        <v>1273</v>
      </c>
      <c r="D35" t="s">
        <v>1405</v>
      </c>
      <c r="E35" t="s">
        <v>1406</v>
      </c>
      <c r="F35" t="s">
        <v>1294</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115">
        <v>4.4999999999999998E-2</v>
      </c>
    </row>
    <row r="36" spans="2:38" ht="15" customHeight="1">
      <c r="B36" s="117" t="s">
        <v>1014</v>
      </c>
      <c r="C36" t="s">
        <v>1264</v>
      </c>
      <c r="D36" t="s">
        <v>1407</v>
      </c>
      <c r="E36" t="s">
        <v>1408</v>
      </c>
      <c r="F36" t="s">
        <v>1294</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115">
        <v>6.7000000000000004E-2</v>
      </c>
    </row>
    <row r="37" spans="2:38" ht="15" customHeight="1">
      <c r="B37" s="117" t="s">
        <v>1015</v>
      </c>
      <c r="C37" t="s">
        <v>1280</v>
      </c>
      <c r="D37" t="s">
        <v>1409</v>
      </c>
      <c r="E37" t="s">
        <v>1410</v>
      </c>
      <c r="F37" t="s">
        <v>1294</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115">
        <v>0.123</v>
      </c>
    </row>
    <row r="38" spans="2:38" ht="15" customHeight="1">
      <c r="B38" s="117" t="s">
        <v>1016</v>
      </c>
      <c r="C38" t="s">
        <v>1284</v>
      </c>
      <c r="D38" t="s">
        <v>1411</v>
      </c>
      <c r="E38" t="s">
        <v>1412</v>
      </c>
      <c r="F38" t="s">
        <v>1294</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115">
        <v>0.13400000000000001</v>
      </c>
    </row>
    <row r="39" spans="2:38" ht="15" customHeight="1">
      <c r="B39" s="117" t="s">
        <v>1017</v>
      </c>
      <c r="C39" t="s">
        <v>1353</v>
      </c>
      <c r="D39" t="s">
        <v>1413</v>
      </c>
      <c r="E39" t="s">
        <v>1414</v>
      </c>
      <c r="F39" t="s">
        <v>1294</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115">
        <v>1E-3</v>
      </c>
    </row>
    <row r="40" spans="2:38" ht="15" customHeight="1">
      <c r="B40" s="117" t="s">
        <v>1018</v>
      </c>
      <c r="C40" t="s">
        <v>1351</v>
      </c>
      <c r="D40" t="s">
        <v>1415</v>
      </c>
      <c r="E40" t="s">
        <v>1416</v>
      </c>
      <c r="F40" t="s">
        <v>1294</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115">
        <v>-1.7000000000000001E-2</v>
      </c>
    </row>
    <row r="41" spans="2:38" ht="15" customHeight="1">
      <c r="B41" s="117" t="s">
        <v>1019</v>
      </c>
      <c r="C41" t="s">
        <v>1257</v>
      </c>
      <c r="D41" t="s">
        <v>1417</v>
      </c>
      <c r="E41" t="s">
        <v>1418</v>
      </c>
      <c r="F41" t="s">
        <v>1294</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146</v>
      </c>
    </row>
    <row r="42" spans="2:38" ht="15" customHeight="1">
      <c r="B42" s="117" t="s">
        <v>1020</v>
      </c>
      <c r="C42" t="s">
        <v>1354</v>
      </c>
      <c r="D42" t="s">
        <v>1419</v>
      </c>
      <c r="E42" t="s">
        <v>1420</v>
      </c>
      <c r="F42" t="s">
        <v>1294</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146</v>
      </c>
    </row>
    <row r="43" spans="2:38" ht="15" customHeight="1">
      <c r="B43" s="117" t="s">
        <v>1021</v>
      </c>
      <c r="C43" t="s">
        <v>1355</v>
      </c>
      <c r="D43" t="s">
        <v>1421</v>
      </c>
      <c r="E43" t="s">
        <v>1422</v>
      </c>
      <c r="F43" t="s">
        <v>1294</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115">
        <v>0.223</v>
      </c>
    </row>
    <row r="44" spans="2:38" ht="15" customHeight="1">
      <c r="B44" s="117" t="s">
        <v>1022</v>
      </c>
      <c r="C44" t="s">
        <v>627</v>
      </c>
      <c r="D44" t="s">
        <v>1423</v>
      </c>
      <c r="E44" t="s">
        <v>1424</v>
      </c>
      <c r="F44" t="s">
        <v>1294</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115">
        <v>-1.4E-2</v>
      </c>
    </row>
    <row r="45" spans="2:38" ht="15" customHeight="1">
      <c r="B45" s="117" t="s">
        <v>1023</v>
      </c>
      <c r="C45" t="s">
        <v>1351</v>
      </c>
      <c r="D45" t="s">
        <v>1425</v>
      </c>
      <c r="E45" t="s">
        <v>1426</v>
      </c>
      <c r="F45" t="s">
        <v>1294</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115">
        <v>-1.4E-2</v>
      </c>
    </row>
    <row r="46" spans="2:38" ht="15" customHeight="1">
      <c r="B46" s="117" t="s">
        <v>1024</v>
      </c>
      <c r="C46" t="s">
        <v>1356</v>
      </c>
      <c r="D46" t="s">
        <v>1427</v>
      </c>
      <c r="E46" t="s">
        <v>1428</v>
      </c>
      <c r="F46" t="s">
        <v>1294</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115">
        <v>-6.0999999999999999E-2</v>
      </c>
    </row>
    <row r="47" spans="2:38" ht="15" customHeight="1">
      <c r="B47" s="117" t="s">
        <v>1025</v>
      </c>
      <c r="C47" t="s">
        <v>1354</v>
      </c>
      <c r="D47" t="s">
        <v>1429</v>
      </c>
      <c r="E47" t="s">
        <v>1430</v>
      </c>
      <c r="F47" t="s">
        <v>1294</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146</v>
      </c>
    </row>
    <row r="48" spans="2:38" ht="15" customHeight="1">
      <c r="B48" s="117" t="s">
        <v>1026</v>
      </c>
      <c r="C48" t="s">
        <v>1355</v>
      </c>
      <c r="D48" t="s">
        <v>1431</v>
      </c>
      <c r="E48" t="s">
        <v>1432</v>
      </c>
      <c r="F48" t="s">
        <v>1294</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115">
        <v>4.8000000000000001E-2</v>
      </c>
    </row>
    <row r="49" spans="2:38" ht="15" customHeight="1">
      <c r="B49" s="117" t="s">
        <v>1027</v>
      </c>
      <c r="C49" t="s">
        <v>620</v>
      </c>
      <c r="D49" t="s">
        <v>1433</v>
      </c>
      <c r="E49" t="s">
        <v>1434</v>
      </c>
      <c r="F49" t="s">
        <v>1294</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115">
        <v>2E-3</v>
      </c>
    </row>
    <row r="50" spans="2:38" ht="15" customHeight="1">
      <c r="B50" s="117" t="s">
        <v>1028</v>
      </c>
      <c r="C50" t="s">
        <v>1351</v>
      </c>
      <c r="D50" t="s">
        <v>1435</v>
      </c>
      <c r="E50" t="s">
        <v>1436</v>
      </c>
      <c r="F50" t="s">
        <v>1294</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115">
        <v>-0.01</v>
      </c>
    </row>
    <row r="51" spans="2:38" ht="15" customHeight="1">
      <c r="B51" s="117" t="s">
        <v>1029</v>
      </c>
      <c r="C51" t="s">
        <v>1356</v>
      </c>
      <c r="D51" t="s">
        <v>1437</v>
      </c>
      <c r="E51" t="s">
        <v>1438</v>
      </c>
      <c r="F51" t="s">
        <v>1294</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115">
        <v>5.0000000000000001E-3</v>
      </c>
    </row>
    <row r="52" spans="2:38" ht="15" customHeight="1">
      <c r="B52" s="117" t="s">
        <v>1030</v>
      </c>
      <c r="C52" t="s">
        <v>1354</v>
      </c>
      <c r="D52" t="s">
        <v>1439</v>
      </c>
      <c r="E52" t="s">
        <v>1440</v>
      </c>
      <c r="F52" t="s">
        <v>1294</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146</v>
      </c>
    </row>
    <row r="53" spans="2:38" ht="15" customHeight="1">
      <c r="B53" s="117" t="s">
        <v>1031</v>
      </c>
      <c r="C53" t="s">
        <v>1355</v>
      </c>
      <c r="D53" t="s">
        <v>1441</v>
      </c>
      <c r="E53" t="s">
        <v>1442</v>
      </c>
      <c r="F53" t="s">
        <v>1294</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115">
        <v>6.0999999999999999E-2</v>
      </c>
    </row>
    <row r="54" spans="2:38" ht="15" customHeight="1">
      <c r="B54" s="117" t="s">
        <v>1032</v>
      </c>
      <c r="C54" t="s">
        <v>1033</v>
      </c>
      <c r="D54" t="s">
        <v>1443</v>
      </c>
      <c r="E54" t="s">
        <v>1444</v>
      </c>
      <c r="F54" t="s">
        <v>1294</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115">
        <v>2.5999999999999999E-2</v>
      </c>
    </row>
    <row r="55" spans="2:38" ht="15" customHeight="1">
      <c r="B55" s="117" t="s">
        <v>1034</v>
      </c>
      <c r="C55" t="s">
        <v>1357</v>
      </c>
      <c r="D55" t="s">
        <v>1445</v>
      </c>
      <c r="E55" t="s">
        <v>1446</v>
      </c>
      <c r="F55" t="s">
        <v>1294</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115">
        <v>2.7E-2</v>
      </c>
    </row>
    <row r="56" spans="2:38" ht="15" customHeight="1">
      <c r="B56" s="117" t="s">
        <v>1035</v>
      </c>
      <c r="C56" t="s">
        <v>1271</v>
      </c>
      <c r="D56" t="s">
        <v>1447</v>
      </c>
      <c r="E56" t="s">
        <v>1448</v>
      </c>
      <c r="F56" t="s">
        <v>1294</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115">
        <v>0</v>
      </c>
    </row>
    <row r="57" spans="2:38" ht="15" customHeight="1">
      <c r="B57" s="117" t="s">
        <v>1036</v>
      </c>
      <c r="C57" t="s">
        <v>1037</v>
      </c>
      <c r="D57" t="s">
        <v>1449</v>
      </c>
      <c r="E57" t="s">
        <v>1450</v>
      </c>
      <c r="F57" t="s">
        <v>1294</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115">
        <v>0</v>
      </c>
    </row>
    <row r="58" spans="2:38" ht="15" customHeight="1">
      <c r="B58" s="117" t="s">
        <v>1038</v>
      </c>
      <c r="C58" t="s">
        <v>1255</v>
      </c>
      <c r="D58" t="s">
        <v>1451</v>
      </c>
      <c r="E58" t="s">
        <v>1452</v>
      </c>
      <c r="F58" t="s">
        <v>1294</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115">
        <v>0</v>
      </c>
    </row>
    <row r="59" spans="2:38" ht="15" customHeight="1">
      <c r="B59" s="117" t="s">
        <v>1039</v>
      </c>
      <c r="C59" t="s">
        <v>1257</v>
      </c>
      <c r="D59" t="s">
        <v>1453</v>
      </c>
      <c r="E59" t="s">
        <v>1454</v>
      </c>
      <c r="F59" t="s">
        <v>1294</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115">
        <v>0</v>
      </c>
    </row>
    <row r="60" spans="2:38" ht="15" customHeight="1">
      <c r="B60" s="117" t="s">
        <v>1040</v>
      </c>
      <c r="C60" t="s">
        <v>1259</v>
      </c>
      <c r="D60" t="s">
        <v>1455</v>
      </c>
      <c r="E60" t="s">
        <v>1456</v>
      </c>
      <c r="F60" t="s">
        <v>1294</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115">
        <v>0</v>
      </c>
    </row>
    <row r="61" spans="2:38" ht="15" customHeight="1">
      <c r="B61" s="117" t="s">
        <v>1041</v>
      </c>
      <c r="C61" t="s">
        <v>1042</v>
      </c>
      <c r="D61" t="s">
        <v>1457</v>
      </c>
      <c r="E61" t="s">
        <v>1458</v>
      </c>
      <c r="F61" t="s">
        <v>1294</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115">
        <v>1.9E-2</v>
      </c>
    </row>
    <row r="62" spans="2:38" ht="15" customHeight="1">
      <c r="B62" s="117" t="s">
        <v>1043</v>
      </c>
      <c r="C62" t="s">
        <v>1358</v>
      </c>
      <c r="D62" t="s">
        <v>1459</v>
      </c>
      <c r="E62" t="s">
        <v>1460</v>
      </c>
      <c r="F62" t="s">
        <v>1294</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115">
        <v>0.01</v>
      </c>
    </row>
    <row r="63" spans="2:38" ht="15" customHeight="1">
      <c r="B63" s="117" t="s">
        <v>1044</v>
      </c>
      <c r="C63" t="s">
        <v>1352</v>
      </c>
      <c r="D63" t="s">
        <v>1461</v>
      </c>
      <c r="E63" t="s">
        <v>1462</v>
      </c>
      <c r="F63" t="s">
        <v>1294</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115">
        <v>1.0999999999999999E-2</v>
      </c>
    </row>
    <row r="64" spans="2:38" ht="15" customHeight="1">
      <c r="B64" s="117" t="s">
        <v>1045</v>
      </c>
      <c r="C64" t="s">
        <v>1264</v>
      </c>
      <c r="D64" t="s">
        <v>1463</v>
      </c>
      <c r="E64" t="s">
        <v>1464</v>
      </c>
      <c r="F64" t="s">
        <v>1294</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115">
        <v>3.0000000000000001E-3</v>
      </c>
    </row>
    <row r="65" spans="2:38" ht="15" customHeight="1">
      <c r="B65" s="117" t="s">
        <v>1046</v>
      </c>
      <c r="C65" t="s">
        <v>1351</v>
      </c>
      <c r="D65" t="s">
        <v>1465</v>
      </c>
      <c r="E65" t="s">
        <v>1466</v>
      </c>
      <c r="F65" t="s">
        <v>1294</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115">
        <v>5.0000000000000001E-3</v>
      </c>
    </row>
    <row r="66" spans="2:38" ht="15" customHeight="1">
      <c r="B66" s="117" t="s">
        <v>1047</v>
      </c>
      <c r="C66" t="s">
        <v>1282</v>
      </c>
      <c r="D66" t="s">
        <v>1467</v>
      </c>
      <c r="E66" t="s">
        <v>1468</v>
      </c>
      <c r="F66" t="s">
        <v>1294</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115">
        <v>0.01</v>
      </c>
    </row>
    <row r="67" spans="2:38" ht="15" customHeight="1">
      <c r="B67" s="117" t="s">
        <v>1048</v>
      </c>
      <c r="C67" t="s">
        <v>1273</v>
      </c>
      <c r="D67" t="s">
        <v>1469</v>
      </c>
      <c r="E67" t="s">
        <v>1470</v>
      </c>
      <c r="F67" t="s">
        <v>1294</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115">
        <v>1.6E-2</v>
      </c>
    </row>
    <row r="68" spans="2:38" ht="15" customHeight="1">
      <c r="B68" s="117" t="s">
        <v>1049</v>
      </c>
      <c r="C68" t="s">
        <v>1280</v>
      </c>
      <c r="D68" t="s">
        <v>1471</v>
      </c>
      <c r="E68" t="s">
        <v>1472</v>
      </c>
      <c r="F68" t="s">
        <v>1294</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115">
        <v>0.106</v>
      </c>
    </row>
    <row r="69" spans="2:38" ht="15" customHeight="1">
      <c r="B69" s="117" t="s">
        <v>1050</v>
      </c>
      <c r="C69" t="s">
        <v>1284</v>
      </c>
      <c r="D69" t="s">
        <v>1473</v>
      </c>
      <c r="E69" t="s">
        <v>1474</v>
      </c>
      <c r="F69" t="s">
        <v>1294</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115">
        <v>1.2E-2</v>
      </c>
    </row>
    <row r="70" spans="2:38" ht="15" customHeight="1">
      <c r="B70" s="117" t="s">
        <v>1051</v>
      </c>
      <c r="C70" t="s">
        <v>1359</v>
      </c>
      <c r="D70" t="s">
        <v>1475</v>
      </c>
      <c r="E70" t="s">
        <v>1476</v>
      </c>
      <c r="F70" t="s">
        <v>1294</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115">
        <v>2.1999999999999999E-2</v>
      </c>
    </row>
    <row r="71" spans="2:38" ht="15" customHeight="1">
      <c r="B71" s="117" t="s">
        <v>1052</v>
      </c>
      <c r="C71" t="s">
        <v>1352</v>
      </c>
      <c r="D71" t="s">
        <v>1477</v>
      </c>
      <c r="E71" t="s">
        <v>1478</v>
      </c>
      <c r="F71" t="s">
        <v>1294</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146</v>
      </c>
    </row>
    <row r="72" spans="2:38" ht="15" customHeight="1">
      <c r="B72" s="117" t="s">
        <v>1053</v>
      </c>
      <c r="C72" t="s">
        <v>1264</v>
      </c>
      <c r="D72" t="s">
        <v>1479</v>
      </c>
      <c r="E72" t="s">
        <v>1480</v>
      </c>
      <c r="F72" t="s">
        <v>1294</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146</v>
      </c>
    </row>
    <row r="73" spans="2:38" ht="15" customHeight="1">
      <c r="B73" s="117" t="s">
        <v>1054</v>
      </c>
      <c r="C73" t="s">
        <v>1351</v>
      </c>
      <c r="D73" t="s">
        <v>1481</v>
      </c>
      <c r="E73" t="s">
        <v>1482</v>
      </c>
      <c r="F73" t="s">
        <v>1294</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115">
        <v>2.1999999999999999E-2</v>
      </c>
    </row>
    <row r="74" spans="2:38" ht="15" customHeight="1">
      <c r="B74" s="117" t="s">
        <v>1055</v>
      </c>
      <c r="C74" t="s">
        <v>1282</v>
      </c>
      <c r="D74" t="s">
        <v>1483</v>
      </c>
      <c r="E74" t="s">
        <v>1484</v>
      </c>
      <c r="F74" t="s">
        <v>1294</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146</v>
      </c>
    </row>
    <row r="75" spans="2:38" ht="15" customHeight="1">
      <c r="B75" s="117" t="s">
        <v>1056</v>
      </c>
      <c r="C75" t="s">
        <v>1273</v>
      </c>
      <c r="D75" t="s">
        <v>1485</v>
      </c>
      <c r="E75" t="s">
        <v>1486</v>
      </c>
      <c r="F75" t="s">
        <v>1294</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146</v>
      </c>
    </row>
    <row r="76" spans="2:38" ht="15" customHeight="1">
      <c r="B76" s="117" t="s">
        <v>1057</v>
      </c>
      <c r="C76" t="s">
        <v>1280</v>
      </c>
      <c r="D76" t="s">
        <v>1487</v>
      </c>
      <c r="E76" t="s">
        <v>1488</v>
      </c>
      <c r="F76" t="s">
        <v>1294</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146</v>
      </c>
    </row>
    <row r="77" spans="2:38" ht="15" customHeight="1">
      <c r="B77" s="117" t="s">
        <v>1058</v>
      </c>
      <c r="C77" t="s">
        <v>1284</v>
      </c>
      <c r="D77" t="s">
        <v>1489</v>
      </c>
      <c r="E77" t="s">
        <v>1490</v>
      </c>
      <c r="F77" t="s">
        <v>1294</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146</v>
      </c>
    </row>
    <row r="78" spans="2:38" ht="15" customHeight="1">
      <c r="B78" s="117" t="s">
        <v>1059</v>
      </c>
      <c r="C78" t="s">
        <v>1360</v>
      </c>
      <c r="D78" t="s">
        <v>1491</v>
      </c>
      <c r="E78" t="s">
        <v>1492</v>
      </c>
      <c r="F78" t="s">
        <v>1294</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115">
        <v>3.3000000000000002E-2</v>
      </c>
    </row>
    <row r="79" spans="2:38" ht="15" customHeight="1">
      <c r="B79" s="117" t="s">
        <v>1060</v>
      </c>
      <c r="C79" t="s">
        <v>1352</v>
      </c>
      <c r="D79" t="s">
        <v>1493</v>
      </c>
      <c r="E79" t="s">
        <v>1494</v>
      </c>
      <c r="F79" t="s">
        <v>1294</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115">
        <v>3.3000000000000002E-2</v>
      </c>
    </row>
    <row r="80" spans="2:38" ht="15" customHeight="1">
      <c r="B80" s="117" t="s">
        <v>1061</v>
      </c>
      <c r="C80" t="s">
        <v>1264</v>
      </c>
      <c r="D80" t="s">
        <v>1495</v>
      </c>
      <c r="E80" t="s">
        <v>1496</v>
      </c>
      <c r="F80" t="s">
        <v>1294</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146</v>
      </c>
    </row>
    <row r="81" spans="2:38" ht="15" customHeight="1">
      <c r="B81" s="117" t="s">
        <v>1062</v>
      </c>
      <c r="C81" t="s">
        <v>1351</v>
      </c>
      <c r="D81" t="s">
        <v>1497</v>
      </c>
      <c r="E81" t="s">
        <v>1498</v>
      </c>
      <c r="F81" t="s">
        <v>1294</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115">
        <v>3.3000000000000002E-2</v>
      </c>
    </row>
    <row r="82" spans="2:38" ht="15" customHeight="1">
      <c r="B82" s="117" t="s">
        <v>1063</v>
      </c>
      <c r="C82" t="s">
        <v>1282</v>
      </c>
      <c r="D82" t="s">
        <v>1499</v>
      </c>
      <c r="E82" t="s">
        <v>1500</v>
      </c>
      <c r="F82" t="s">
        <v>1294</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115">
        <v>0.05</v>
      </c>
    </row>
    <row r="83" spans="2:38" ht="15" customHeight="1">
      <c r="B83" s="117" t="s">
        <v>1064</v>
      </c>
      <c r="C83" t="s">
        <v>1273</v>
      </c>
      <c r="D83" t="s">
        <v>1501</v>
      </c>
      <c r="E83" t="s">
        <v>1502</v>
      </c>
      <c r="F83" t="s">
        <v>1294</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115">
        <v>3.3000000000000002E-2</v>
      </c>
    </row>
    <row r="84" spans="2:38" ht="15" customHeight="1">
      <c r="B84" s="117" t="s">
        <v>1065</v>
      </c>
      <c r="C84" t="s">
        <v>1280</v>
      </c>
      <c r="D84" t="s">
        <v>1503</v>
      </c>
      <c r="E84" t="s">
        <v>1504</v>
      </c>
      <c r="F84" t="s">
        <v>1294</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146</v>
      </c>
    </row>
    <row r="85" spans="2:38" ht="15" customHeight="1">
      <c r="B85" s="117" t="s">
        <v>1066</v>
      </c>
      <c r="C85" t="s">
        <v>1284</v>
      </c>
      <c r="D85" t="s">
        <v>1505</v>
      </c>
      <c r="E85" t="s">
        <v>1506</v>
      </c>
      <c r="F85" t="s">
        <v>1294</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146</v>
      </c>
    </row>
    <row r="86" spans="2:38" ht="15" customHeight="1">
      <c r="B86" s="117" t="s">
        <v>1067</v>
      </c>
      <c r="C86" t="s">
        <v>1068</v>
      </c>
      <c r="D86" t="s">
        <v>1507</v>
      </c>
      <c r="E86" t="s">
        <v>1508</v>
      </c>
      <c r="F86" t="s">
        <v>1294</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115">
        <v>2.7E-2</v>
      </c>
    </row>
    <row r="87" spans="2:38" ht="15" customHeight="1">
      <c r="B87" s="117" t="s">
        <v>1069</v>
      </c>
      <c r="C87" t="s">
        <v>1361</v>
      </c>
      <c r="D87" t="s">
        <v>1509</v>
      </c>
      <c r="E87" t="s">
        <v>1510</v>
      </c>
      <c r="F87" t="s">
        <v>1294</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115">
        <v>0.03</v>
      </c>
    </row>
    <row r="88" spans="2:38" ht="15" customHeight="1">
      <c r="B88" s="117" t="s">
        <v>1070</v>
      </c>
      <c r="C88" t="s">
        <v>1280</v>
      </c>
      <c r="D88" t="s">
        <v>1511</v>
      </c>
      <c r="E88" t="s">
        <v>1512</v>
      </c>
      <c r="F88" t="s">
        <v>1294</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115">
        <v>0.03</v>
      </c>
    </row>
    <row r="89" spans="2:38" ht="15" customHeight="1">
      <c r="B89" s="117" t="s">
        <v>1071</v>
      </c>
      <c r="C89" t="s">
        <v>1266</v>
      </c>
      <c r="D89" t="s">
        <v>1513</v>
      </c>
      <c r="E89" t="s">
        <v>1514</v>
      </c>
      <c r="F89" t="s">
        <v>1294</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115">
        <v>0.03</v>
      </c>
    </row>
    <row r="90" spans="2:38" ht="15" customHeight="1">
      <c r="B90" s="117" t="s">
        <v>1072</v>
      </c>
      <c r="C90" t="s">
        <v>1354</v>
      </c>
      <c r="D90" t="s">
        <v>1515</v>
      </c>
      <c r="E90" t="s">
        <v>1516</v>
      </c>
      <c r="F90" t="s">
        <v>1294</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146</v>
      </c>
    </row>
    <row r="91" spans="2:38" ht="15" customHeight="1">
      <c r="B91" s="117" t="s">
        <v>1073</v>
      </c>
      <c r="C91" t="s">
        <v>1355</v>
      </c>
      <c r="D91" t="s">
        <v>1517</v>
      </c>
      <c r="E91" t="s">
        <v>1518</v>
      </c>
      <c r="F91" t="s">
        <v>1294</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146</v>
      </c>
    </row>
    <row r="92" spans="2:38" ht="15" customHeight="1">
      <c r="B92" s="117" t="s">
        <v>1074</v>
      </c>
      <c r="C92" t="s">
        <v>1362</v>
      </c>
      <c r="D92" t="s">
        <v>1519</v>
      </c>
      <c r="E92" t="s">
        <v>1520</v>
      </c>
      <c r="F92" t="s">
        <v>1294</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115">
        <v>2.5999999999999999E-2</v>
      </c>
    </row>
    <row r="93" spans="2:38" ht="15" customHeight="1">
      <c r="B93" s="117" t="s">
        <v>1075</v>
      </c>
      <c r="C93" t="s">
        <v>1280</v>
      </c>
      <c r="D93" t="s">
        <v>1521</v>
      </c>
      <c r="E93" t="s">
        <v>1522</v>
      </c>
      <c r="F93" t="s">
        <v>1294</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115">
        <v>2.5999999999999999E-2</v>
      </c>
    </row>
    <row r="94" spans="2:38" ht="15" customHeight="1">
      <c r="B94" s="117" t="s">
        <v>1076</v>
      </c>
      <c r="C94" t="s">
        <v>1363</v>
      </c>
      <c r="D94" t="s">
        <v>1523</v>
      </c>
      <c r="E94" t="s">
        <v>1524</v>
      </c>
      <c r="F94" t="s">
        <v>1294</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115">
        <v>2.5000000000000001E-2</v>
      </c>
    </row>
    <row r="95" spans="2:38" ht="15" customHeight="1">
      <c r="B95" s="117" t="s">
        <v>1077</v>
      </c>
      <c r="C95" t="s">
        <v>1280</v>
      </c>
      <c r="D95" t="s">
        <v>1525</v>
      </c>
      <c r="E95" t="s">
        <v>1526</v>
      </c>
      <c r="F95" t="s">
        <v>1294</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115">
        <v>2.5000000000000001E-2</v>
      </c>
    </row>
    <row r="96" spans="2:38" ht="15" customHeight="1">
      <c r="B96" s="117" t="s">
        <v>1078</v>
      </c>
      <c r="C96" t="s">
        <v>1266</v>
      </c>
      <c r="D96" t="s">
        <v>1527</v>
      </c>
      <c r="E96" t="s">
        <v>1528</v>
      </c>
      <c r="F96" t="s">
        <v>1294</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115">
        <v>2.5999999999999999E-2</v>
      </c>
    </row>
    <row r="97" spans="2:38" ht="15" customHeight="1">
      <c r="B97" s="117" t="s">
        <v>1079</v>
      </c>
      <c r="C97" t="s">
        <v>1354</v>
      </c>
      <c r="D97" t="s">
        <v>1529</v>
      </c>
      <c r="E97" t="s">
        <v>1530</v>
      </c>
      <c r="F97" t="s">
        <v>1294</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146</v>
      </c>
    </row>
    <row r="98" spans="2:38" ht="15" customHeight="1">
      <c r="B98" s="117" t="s">
        <v>1080</v>
      </c>
      <c r="C98" t="s">
        <v>1355</v>
      </c>
      <c r="D98" t="s">
        <v>1531</v>
      </c>
      <c r="E98" t="s">
        <v>1532</v>
      </c>
      <c r="F98" t="s">
        <v>1294</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146</v>
      </c>
    </row>
    <row r="99" spans="2:38" ht="15" customHeight="1">
      <c r="B99" s="117" t="s">
        <v>1081</v>
      </c>
      <c r="C99" t="s">
        <v>1082</v>
      </c>
      <c r="D99" t="s">
        <v>1533</v>
      </c>
      <c r="E99" t="s">
        <v>1534</v>
      </c>
      <c r="F99" t="s">
        <v>1294</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115">
        <v>-3.0000000000000001E-3</v>
      </c>
    </row>
    <row r="100" spans="2:38" ht="15" customHeight="1">
      <c r="B100" s="117" t="s">
        <v>1083</v>
      </c>
      <c r="C100" t="s">
        <v>1364</v>
      </c>
      <c r="D100" t="s">
        <v>1535</v>
      </c>
      <c r="E100" t="s">
        <v>1536</v>
      </c>
      <c r="F100" t="s">
        <v>1294</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115">
        <v>-5.0000000000000001E-3</v>
      </c>
    </row>
    <row r="101" spans="2:38" ht="15" customHeight="1">
      <c r="B101" s="117" t="s">
        <v>1084</v>
      </c>
      <c r="C101" t="s">
        <v>1351</v>
      </c>
      <c r="D101" t="s">
        <v>1537</v>
      </c>
      <c r="E101" t="s">
        <v>1538</v>
      </c>
      <c r="F101" t="s">
        <v>1294</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115">
        <v>3.0000000000000001E-3</v>
      </c>
    </row>
    <row r="102" spans="2:38" ht="15" customHeight="1">
      <c r="B102" s="117" t="s">
        <v>1085</v>
      </c>
      <c r="C102" t="s">
        <v>1086</v>
      </c>
      <c r="D102" t="s">
        <v>1539</v>
      </c>
      <c r="E102" t="s">
        <v>1540</v>
      </c>
      <c r="F102" t="s">
        <v>1294</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115">
        <v>1E-3</v>
      </c>
    </row>
    <row r="103" spans="2:38" ht="15" customHeight="1">
      <c r="B103" s="117" t="s">
        <v>1087</v>
      </c>
      <c r="C103" t="s">
        <v>1088</v>
      </c>
      <c r="D103" t="s">
        <v>1286</v>
      </c>
      <c r="E103" t="s">
        <v>1541</v>
      </c>
      <c r="F103" t="s">
        <v>1294</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115">
        <v>4.0000000000000001E-3</v>
      </c>
    </row>
    <row r="104" spans="2:38" ht="15" customHeight="1">
      <c r="B104" s="117" t="s">
        <v>1089</v>
      </c>
      <c r="C104" t="s">
        <v>594</v>
      </c>
      <c r="D104" t="s">
        <v>1542</v>
      </c>
      <c r="E104" t="s">
        <v>1543</v>
      </c>
      <c r="F104" t="s">
        <v>1294</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115">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L104"/>
  <sheetViews>
    <sheetView topLeftCell="A43" workbookViewId="0">
      <selection activeCell="A22" sqref="A1:B1048576"/>
    </sheetView>
  </sheetViews>
  <sheetFormatPr defaultRowHeight="14.5"/>
  <cols>
    <col min="1" max="1" width="19.54296875" style="8" customWidth="1"/>
    <col min="2" max="2" width="19.36328125" style="46" customWidth="1"/>
    <col min="3" max="3" width="25" customWidth="1"/>
  </cols>
  <sheetData>
    <row r="1" spans="1:38" s="60" customFormat="1" ht="15" customHeight="1">
      <c r="A1" s="8"/>
      <c r="B1" s="46" t="s">
        <v>1347</v>
      </c>
      <c r="G1" s="60">
        <v>2020</v>
      </c>
      <c r="H1" s="60">
        <v>2021</v>
      </c>
      <c r="I1" s="60">
        <v>2022</v>
      </c>
      <c r="J1" s="60">
        <v>2023</v>
      </c>
      <c r="K1" s="60">
        <v>2024</v>
      </c>
      <c r="L1" s="60">
        <v>2025</v>
      </c>
      <c r="M1" s="60">
        <v>2026</v>
      </c>
      <c r="N1" s="60">
        <v>2027</v>
      </c>
      <c r="O1" s="60">
        <v>2028</v>
      </c>
      <c r="P1" s="60">
        <v>2029</v>
      </c>
      <c r="Q1" s="60">
        <v>2030</v>
      </c>
      <c r="R1" s="60">
        <v>2031</v>
      </c>
      <c r="S1" s="60">
        <v>2032</v>
      </c>
      <c r="T1" s="60">
        <v>2033</v>
      </c>
      <c r="U1" s="60">
        <v>2034</v>
      </c>
      <c r="V1" s="60">
        <v>2035</v>
      </c>
      <c r="W1" s="60">
        <v>2036</v>
      </c>
      <c r="X1" s="60">
        <v>2037</v>
      </c>
      <c r="Y1" s="60">
        <v>2038</v>
      </c>
      <c r="Z1" s="60">
        <v>2039</v>
      </c>
      <c r="AA1" s="60">
        <v>2040</v>
      </c>
      <c r="AB1" s="60">
        <v>2041</v>
      </c>
      <c r="AC1" s="60">
        <v>2042</v>
      </c>
      <c r="AD1" s="60">
        <v>2043</v>
      </c>
      <c r="AE1" s="60">
        <v>2044</v>
      </c>
      <c r="AF1" s="60">
        <v>2045</v>
      </c>
      <c r="AG1" s="60">
        <v>2046</v>
      </c>
      <c r="AH1" s="60">
        <v>2047</v>
      </c>
      <c r="AI1" s="60">
        <v>2048</v>
      </c>
      <c r="AJ1" s="60">
        <v>2049</v>
      </c>
      <c r="AK1" s="60">
        <v>2050</v>
      </c>
      <c r="AL1" s="60" t="s">
        <v>1290</v>
      </c>
    </row>
    <row r="2" spans="1:38" ht="15" customHeight="1"/>
    <row r="3" spans="1:38" ht="15" customHeight="1"/>
    <row r="4" spans="1:38" ht="15" customHeight="1"/>
    <row r="5" spans="1:38" ht="15" customHeight="1"/>
    <row r="6" spans="1:38" ht="15" customHeight="1"/>
    <row r="7" spans="1:38" ht="15" customHeight="1"/>
    <row r="8" spans="1:38" ht="15" customHeight="1"/>
    <row r="9" spans="1:38" ht="15" customHeight="1"/>
    <row r="10" spans="1:38" ht="15" customHeight="1">
      <c r="B10" s="117" t="s">
        <v>915</v>
      </c>
      <c r="C10" t="s">
        <v>1544</v>
      </c>
    </row>
    <row r="11" spans="1:38" ht="15" customHeight="1">
      <c r="C11" t="s">
        <v>1545</v>
      </c>
    </row>
    <row r="12" spans="1:38" ht="15" customHeight="1">
      <c r="C12" t="s">
        <v>1546</v>
      </c>
    </row>
    <row r="13" spans="1:38" ht="15" customHeight="1">
      <c r="C13" t="s">
        <v>1198</v>
      </c>
    </row>
    <row r="14" spans="1:38" ht="15" customHeight="1">
      <c r="D14" t="s">
        <v>1199</v>
      </c>
      <c r="E14" t="s">
        <v>1288</v>
      </c>
      <c r="F14" t="s">
        <v>1289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1290</v>
      </c>
    </row>
    <row r="15" spans="1:38" ht="15" customHeight="1">
      <c r="B15" s="117"/>
      <c r="C15" t="s">
        <v>1547</v>
      </c>
      <c r="E15" t="s">
        <v>1584</v>
      </c>
    </row>
    <row r="16" spans="1:38" ht="15" customHeight="1">
      <c r="B16" s="117"/>
      <c r="C16" t="s">
        <v>1548</v>
      </c>
      <c r="E16" t="s">
        <v>1585</v>
      </c>
    </row>
    <row r="17" spans="1:38" s="42" customFormat="1" ht="15" customHeight="1">
      <c r="A17" s="132" t="s">
        <v>114</v>
      </c>
      <c r="B17" s="117" t="s">
        <v>916</v>
      </c>
      <c r="C17" t="s">
        <v>1549</v>
      </c>
      <c r="D17" t="s">
        <v>1586</v>
      </c>
      <c r="E17" t="s">
        <v>1587</v>
      </c>
      <c r="F17" t="s">
        <v>1588</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115">
        <v>-1E-3</v>
      </c>
    </row>
    <row r="18" spans="1:38" ht="15" customHeight="1">
      <c r="A18" s="132" t="s">
        <v>115</v>
      </c>
      <c r="B18" s="117" t="s">
        <v>917</v>
      </c>
      <c r="C18" t="s">
        <v>1550</v>
      </c>
      <c r="D18" t="s">
        <v>1589</v>
      </c>
      <c r="E18" t="s">
        <v>1590</v>
      </c>
      <c r="F18" t="s">
        <v>1588</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115">
        <v>-8.9999999999999993E-3</v>
      </c>
    </row>
    <row r="19" spans="1:38" ht="15" customHeight="1">
      <c r="A19" s="132"/>
      <c r="B19" s="117" t="s">
        <v>918</v>
      </c>
      <c r="C19" t="s">
        <v>1551</v>
      </c>
      <c r="D19" t="s">
        <v>1591</v>
      </c>
      <c r="E19" t="s">
        <v>1592</v>
      </c>
      <c r="F19" t="s">
        <v>1588</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115">
        <v>-1E-3</v>
      </c>
    </row>
    <row r="20" spans="1:38" ht="15" customHeight="1">
      <c r="A20" s="132"/>
      <c r="B20" s="117"/>
      <c r="C20" t="s">
        <v>1552</v>
      </c>
      <c r="E20" t="s">
        <v>1593</v>
      </c>
    </row>
    <row r="21" spans="1:38" ht="15" customHeight="1">
      <c r="A21" s="132" t="s">
        <v>114</v>
      </c>
      <c r="B21" s="117" t="s">
        <v>919</v>
      </c>
      <c r="C21" t="s">
        <v>1553</v>
      </c>
      <c r="D21" t="s">
        <v>1594</v>
      </c>
      <c r="E21" t="s">
        <v>1595</v>
      </c>
      <c r="F21" t="s">
        <v>1588</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115">
        <v>2E-3</v>
      </c>
    </row>
    <row r="22" spans="1:38" ht="15" customHeight="1">
      <c r="A22" s="132" t="s">
        <v>112</v>
      </c>
      <c r="B22" s="117" t="s">
        <v>920</v>
      </c>
      <c r="C22" t="s">
        <v>1554</v>
      </c>
      <c r="D22" t="s">
        <v>1596</v>
      </c>
      <c r="E22" t="s">
        <v>1597</v>
      </c>
      <c r="F22" t="s">
        <v>1588</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115">
        <v>0.02</v>
      </c>
    </row>
    <row r="23" spans="1:38" ht="15" customHeight="1">
      <c r="A23" s="132" t="s">
        <v>112</v>
      </c>
      <c r="B23" s="117" t="s">
        <v>921</v>
      </c>
      <c r="C23" t="s">
        <v>1555</v>
      </c>
      <c r="D23" t="s">
        <v>1598</v>
      </c>
      <c r="E23" t="s">
        <v>1599</v>
      </c>
      <c r="F23" t="s">
        <v>1588</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115">
        <v>4.9000000000000002E-2</v>
      </c>
    </row>
    <row r="24" spans="1:38" ht="15" customHeight="1">
      <c r="A24" s="132" t="s">
        <v>112</v>
      </c>
      <c r="B24" s="117" t="s">
        <v>922</v>
      </c>
      <c r="C24" t="s">
        <v>1556</v>
      </c>
      <c r="D24" t="s">
        <v>1600</v>
      </c>
      <c r="E24" t="s">
        <v>1601</v>
      </c>
      <c r="F24" t="s">
        <v>1588</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115">
        <v>7.5999999999999998E-2</v>
      </c>
    </row>
    <row r="25" spans="1:38" ht="15" customHeight="1">
      <c r="A25" s="132" t="s">
        <v>116</v>
      </c>
      <c r="B25" s="117" t="s">
        <v>923</v>
      </c>
      <c r="C25" t="s">
        <v>1557</v>
      </c>
      <c r="D25" t="s">
        <v>1602</v>
      </c>
      <c r="E25" t="s">
        <v>1603</v>
      </c>
      <c r="F25" t="s">
        <v>1588</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115">
        <v>3.4000000000000002E-2</v>
      </c>
    </row>
    <row r="26" spans="1:38" ht="15" customHeight="1">
      <c r="A26" s="132" t="s">
        <v>116</v>
      </c>
      <c r="B26" s="117" t="s">
        <v>924</v>
      </c>
      <c r="C26" t="s">
        <v>1558</v>
      </c>
      <c r="D26" t="s">
        <v>1604</v>
      </c>
      <c r="E26" t="s">
        <v>1605</v>
      </c>
      <c r="F26" t="s">
        <v>1588</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115">
        <v>1.0999999999999999E-2</v>
      </c>
    </row>
    <row r="27" spans="1:38" ht="15" customHeight="1">
      <c r="A27" s="132" t="s">
        <v>115</v>
      </c>
      <c r="B27" s="117" t="s">
        <v>925</v>
      </c>
      <c r="C27" t="s">
        <v>1559</v>
      </c>
      <c r="D27" t="s">
        <v>1606</v>
      </c>
      <c r="E27" t="s">
        <v>1607</v>
      </c>
      <c r="F27" t="s">
        <v>1588</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146</v>
      </c>
    </row>
    <row r="28" spans="1:38" ht="15" customHeight="1">
      <c r="A28" s="132" t="s">
        <v>114</v>
      </c>
      <c r="B28" s="117" t="s">
        <v>926</v>
      </c>
      <c r="C28" t="s">
        <v>1560</v>
      </c>
      <c r="D28" t="s">
        <v>1608</v>
      </c>
      <c r="E28" t="s">
        <v>1609</v>
      </c>
      <c r="F28" t="s">
        <v>1588</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115">
        <v>4.9000000000000002E-2</v>
      </c>
    </row>
    <row r="29" spans="1:38" ht="15" customHeight="1">
      <c r="A29" s="132" t="s">
        <v>113</v>
      </c>
      <c r="B29" s="117" t="s">
        <v>927</v>
      </c>
      <c r="C29" t="s">
        <v>1561</v>
      </c>
      <c r="D29" t="s">
        <v>1610</v>
      </c>
      <c r="E29" t="s">
        <v>1611</v>
      </c>
      <c r="F29" t="s">
        <v>1588</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115">
        <v>1.2E-2</v>
      </c>
    </row>
    <row r="30" spans="1:38" ht="15" customHeight="1">
      <c r="A30" s="132" t="s">
        <v>113</v>
      </c>
      <c r="B30" s="117" t="s">
        <v>928</v>
      </c>
      <c r="C30" t="s">
        <v>1562</v>
      </c>
      <c r="D30" t="s">
        <v>1612</v>
      </c>
      <c r="E30" t="s">
        <v>1613</v>
      </c>
      <c r="F30" t="s">
        <v>1588</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115">
        <v>5.0000000000000001E-3</v>
      </c>
    </row>
    <row r="31" spans="1:38" ht="15" customHeight="1">
      <c r="A31" s="132" t="s">
        <v>853</v>
      </c>
      <c r="B31" s="117" t="s">
        <v>929</v>
      </c>
      <c r="C31" t="s">
        <v>1563</v>
      </c>
      <c r="D31" t="s">
        <v>1614</v>
      </c>
      <c r="E31" t="s">
        <v>1615</v>
      </c>
      <c r="F31" t="s">
        <v>1588</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115">
        <v>8.0000000000000002E-3</v>
      </c>
    </row>
    <row r="32" spans="1:38" ht="15" customHeight="1">
      <c r="A32" s="132" t="s">
        <v>853</v>
      </c>
      <c r="B32" s="117" t="s">
        <v>930</v>
      </c>
      <c r="C32" t="s">
        <v>1564</v>
      </c>
      <c r="D32" t="s">
        <v>1614</v>
      </c>
      <c r="E32" t="s">
        <v>1616</v>
      </c>
      <c r="F32" t="s">
        <v>1588</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115">
        <v>5.0000000000000001E-3</v>
      </c>
    </row>
    <row r="33" spans="1:38" ht="15" customHeight="1">
      <c r="A33" s="132" t="s">
        <v>854</v>
      </c>
      <c r="B33" s="117" t="s">
        <v>931</v>
      </c>
      <c r="C33" t="s">
        <v>1565</v>
      </c>
      <c r="D33" t="s">
        <v>1617</v>
      </c>
      <c r="E33" t="s">
        <v>1618</v>
      </c>
      <c r="F33" t="s">
        <v>1588</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146</v>
      </c>
    </row>
    <row r="34" spans="1:38" ht="15" customHeight="1">
      <c r="A34" s="132" t="s">
        <v>854</v>
      </c>
      <c r="B34" s="117" t="s">
        <v>932</v>
      </c>
      <c r="C34" t="s">
        <v>1566</v>
      </c>
      <c r="D34" t="s">
        <v>1619</v>
      </c>
      <c r="E34" t="s">
        <v>1620</v>
      </c>
      <c r="F34" t="s">
        <v>1588</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115">
        <v>6.8000000000000005E-2</v>
      </c>
    </row>
    <row r="35" spans="1:38" ht="15" customHeight="1">
      <c r="A35" s="132"/>
      <c r="B35" s="117" t="s">
        <v>933</v>
      </c>
      <c r="C35" t="s">
        <v>1567</v>
      </c>
      <c r="D35" t="s">
        <v>1621</v>
      </c>
      <c r="E35" t="s">
        <v>1622</v>
      </c>
      <c r="F35" t="s">
        <v>1588</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115">
        <v>4.9000000000000002E-2</v>
      </c>
    </row>
    <row r="36" spans="1:38" ht="15" customHeight="1">
      <c r="A36" s="132"/>
      <c r="B36" s="117" t="s">
        <v>934</v>
      </c>
      <c r="C36" t="s">
        <v>935</v>
      </c>
      <c r="D36" t="s">
        <v>1623</v>
      </c>
      <c r="E36" t="s">
        <v>1624</v>
      </c>
      <c r="F36" t="s">
        <v>1625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115">
        <v>4.2999999999999997E-2</v>
      </c>
    </row>
    <row r="37" spans="1:38" ht="15" customHeight="1">
      <c r="A37" s="132"/>
      <c r="B37" s="117" t="s">
        <v>936</v>
      </c>
      <c r="C37" t="s">
        <v>937</v>
      </c>
      <c r="D37" t="s">
        <v>1626</v>
      </c>
      <c r="E37" t="s">
        <v>1627</v>
      </c>
      <c r="F37" t="s">
        <v>1588</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115">
        <v>6.0000000000000001E-3</v>
      </c>
    </row>
    <row r="38" spans="1:38" ht="15" customHeight="1">
      <c r="A38" s="132"/>
      <c r="B38" s="117"/>
      <c r="C38" t="s">
        <v>1568</v>
      </c>
      <c r="E38" t="s">
        <v>1628</v>
      </c>
    </row>
    <row r="39" spans="1:38" ht="15" customHeight="1">
      <c r="A39" s="132"/>
      <c r="B39" s="117"/>
      <c r="C39" t="s">
        <v>1569</v>
      </c>
      <c r="E39" t="s">
        <v>1629</v>
      </c>
    </row>
    <row r="40" spans="1:38" s="42" customFormat="1" ht="15" customHeight="1">
      <c r="A40" s="132" t="s">
        <v>114</v>
      </c>
      <c r="B40" s="117" t="s">
        <v>938</v>
      </c>
      <c r="C40" t="s">
        <v>1549</v>
      </c>
      <c r="D40" t="s">
        <v>1630</v>
      </c>
      <c r="E40" t="s">
        <v>1631</v>
      </c>
      <c r="F40" t="s">
        <v>1588</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115">
        <v>3.0000000000000001E-3</v>
      </c>
    </row>
    <row r="41" spans="1:38" ht="15" customHeight="1">
      <c r="A41" s="132" t="s">
        <v>115</v>
      </c>
      <c r="B41" s="117" t="s">
        <v>939</v>
      </c>
      <c r="C41" t="s">
        <v>1550</v>
      </c>
      <c r="D41" t="s">
        <v>1632</v>
      </c>
      <c r="E41" t="s">
        <v>1633</v>
      </c>
      <c r="F41" t="s">
        <v>1588</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115">
        <v>3.1E-2</v>
      </c>
    </row>
    <row r="42" spans="1:38" ht="15" customHeight="1">
      <c r="A42" s="132"/>
      <c r="B42" s="117" t="s">
        <v>940</v>
      </c>
      <c r="C42" t="s">
        <v>1570</v>
      </c>
      <c r="D42" t="s">
        <v>1634</v>
      </c>
      <c r="E42" t="s">
        <v>1635</v>
      </c>
      <c r="F42" t="s">
        <v>1588</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115">
        <v>3.0000000000000001E-3</v>
      </c>
    </row>
    <row r="43" spans="1:38" ht="15" customHeight="1">
      <c r="A43" s="132"/>
      <c r="B43" s="117"/>
      <c r="C43" t="s">
        <v>1571</v>
      </c>
      <c r="E43" t="s">
        <v>1636</v>
      </c>
    </row>
    <row r="44" spans="1:38" ht="15" customHeight="1">
      <c r="A44" s="132" t="s">
        <v>114</v>
      </c>
      <c r="B44" s="117" t="s">
        <v>941</v>
      </c>
      <c r="C44" t="s">
        <v>1553</v>
      </c>
      <c r="D44" t="s">
        <v>1637</v>
      </c>
      <c r="E44" t="s">
        <v>1638</v>
      </c>
      <c r="F44" t="s">
        <v>1588</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115">
        <v>1E-3</v>
      </c>
    </row>
    <row r="45" spans="1:38" ht="15" customHeight="1">
      <c r="A45" s="132" t="s">
        <v>112</v>
      </c>
      <c r="B45" s="117" t="s">
        <v>942</v>
      </c>
      <c r="C45" t="s">
        <v>1554</v>
      </c>
      <c r="D45" t="s">
        <v>1639</v>
      </c>
      <c r="E45" t="s">
        <v>1640</v>
      </c>
      <c r="F45" t="s">
        <v>1588</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146</v>
      </c>
    </row>
    <row r="46" spans="1:38" ht="15" customHeight="1">
      <c r="A46" s="132" t="s">
        <v>112</v>
      </c>
      <c r="B46" s="117" t="s">
        <v>943</v>
      </c>
      <c r="C46" t="s">
        <v>1555</v>
      </c>
      <c r="D46" t="s">
        <v>1641</v>
      </c>
      <c r="E46" t="s">
        <v>1642</v>
      </c>
      <c r="F46" t="s">
        <v>1588</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115">
        <v>8.8999999999999996E-2</v>
      </c>
    </row>
    <row r="47" spans="1:38" ht="15" customHeight="1">
      <c r="A47" s="132" t="s">
        <v>112</v>
      </c>
      <c r="B47" s="117" t="s">
        <v>944</v>
      </c>
      <c r="C47" t="s">
        <v>1556</v>
      </c>
      <c r="D47" t="s">
        <v>1643</v>
      </c>
      <c r="E47" t="s">
        <v>1644</v>
      </c>
      <c r="F47" t="s">
        <v>1588</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115">
        <v>9.7000000000000003E-2</v>
      </c>
    </row>
    <row r="48" spans="1:38" ht="15" customHeight="1">
      <c r="A48" s="132" t="s">
        <v>116</v>
      </c>
      <c r="B48" s="117" t="s">
        <v>945</v>
      </c>
      <c r="C48" t="s">
        <v>1557</v>
      </c>
      <c r="D48" t="s">
        <v>1645</v>
      </c>
      <c r="E48" t="s">
        <v>1646</v>
      </c>
      <c r="F48" t="s">
        <v>1588</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115">
        <v>9.2999999999999999E-2</v>
      </c>
    </row>
    <row r="49" spans="1:38" ht="15" customHeight="1">
      <c r="A49" s="132" t="s">
        <v>116</v>
      </c>
      <c r="B49" s="117" t="s">
        <v>946</v>
      </c>
      <c r="C49" t="s">
        <v>1558</v>
      </c>
      <c r="D49" t="s">
        <v>1647</v>
      </c>
      <c r="E49" t="s">
        <v>1648</v>
      </c>
      <c r="F49" t="s">
        <v>1588</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115">
        <v>7.0000000000000007E-2</v>
      </c>
    </row>
    <row r="50" spans="1:38" ht="15" customHeight="1">
      <c r="A50" s="132" t="s">
        <v>115</v>
      </c>
      <c r="B50" s="117" t="s">
        <v>947</v>
      </c>
      <c r="C50" t="s">
        <v>1559</v>
      </c>
      <c r="D50" t="s">
        <v>1649</v>
      </c>
      <c r="E50" t="s">
        <v>1650</v>
      </c>
      <c r="F50" t="s">
        <v>1588</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146</v>
      </c>
    </row>
    <row r="51" spans="1:38" ht="15" customHeight="1">
      <c r="A51" s="132" t="s">
        <v>114</v>
      </c>
      <c r="B51" s="117" t="s">
        <v>948</v>
      </c>
      <c r="C51" t="s">
        <v>1560</v>
      </c>
      <c r="D51" t="s">
        <v>1651</v>
      </c>
      <c r="E51" t="s">
        <v>1652</v>
      </c>
      <c r="F51" t="s">
        <v>1588</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115">
        <v>3.9E-2</v>
      </c>
    </row>
    <row r="52" spans="1:38" ht="15" customHeight="1">
      <c r="A52" s="132" t="s">
        <v>113</v>
      </c>
      <c r="B52" s="117" t="s">
        <v>949</v>
      </c>
      <c r="C52" t="s">
        <v>1561</v>
      </c>
      <c r="D52" t="s">
        <v>1653</v>
      </c>
      <c r="E52" t="s">
        <v>1654</v>
      </c>
      <c r="F52" t="s">
        <v>1588</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115">
        <v>1.2E-2</v>
      </c>
    </row>
    <row r="53" spans="1:38" ht="15" customHeight="1">
      <c r="A53" s="132" t="s">
        <v>113</v>
      </c>
      <c r="B53" s="117" t="s">
        <v>950</v>
      </c>
      <c r="C53" t="s">
        <v>1562</v>
      </c>
      <c r="D53" t="s">
        <v>1655</v>
      </c>
      <c r="E53" t="s">
        <v>1656</v>
      </c>
      <c r="F53" t="s">
        <v>1588</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115">
        <v>7.0000000000000001E-3</v>
      </c>
    </row>
    <row r="54" spans="1:38" ht="15" customHeight="1">
      <c r="A54" s="132" t="s">
        <v>853</v>
      </c>
      <c r="B54" s="117" t="s">
        <v>951</v>
      </c>
      <c r="C54" t="s">
        <v>1563</v>
      </c>
      <c r="D54" t="s">
        <v>1657</v>
      </c>
      <c r="E54" t="s">
        <v>1658</v>
      </c>
      <c r="F54" t="s">
        <v>1588</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115">
        <v>2.3E-2</v>
      </c>
    </row>
    <row r="55" spans="1:38" ht="15" customHeight="1">
      <c r="A55" s="132" t="s">
        <v>853</v>
      </c>
      <c r="B55" s="117" t="s">
        <v>952</v>
      </c>
      <c r="C55" t="s">
        <v>1564</v>
      </c>
      <c r="D55" t="s">
        <v>1659</v>
      </c>
      <c r="E55" t="s">
        <v>1660</v>
      </c>
      <c r="F55" t="s">
        <v>1588</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115">
        <v>7.0000000000000001E-3</v>
      </c>
    </row>
    <row r="56" spans="1:38" ht="15" customHeight="1">
      <c r="A56" s="132" t="s">
        <v>854</v>
      </c>
      <c r="B56" s="117" t="s">
        <v>953</v>
      </c>
      <c r="C56" t="s">
        <v>1565</v>
      </c>
      <c r="D56" t="s">
        <v>1661</v>
      </c>
      <c r="E56" t="s">
        <v>1662</v>
      </c>
      <c r="F56" t="s">
        <v>1588</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146</v>
      </c>
    </row>
    <row r="57" spans="1:38" ht="15" customHeight="1">
      <c r="A57" s="132" t="s">
        <v>854</v>
      </c>
      <c r="B57" s="117" t="s">
        <v>954</v>
      </c>
      <c r="C57" t="s">
        <v>1566</v>
      </c>
      <c r="D57" t="s">
        <v>1663</v>
      </c>
      <c r="E57" t="s">
        <v>1664</v>
      </c>
      <c r="F57" t="s">
        <v>1588</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115">
        <v>0.14599999999999999</v>
      </c>
    </row>
    <row r="58" spans="1:38" ht="15" customHeight="1">
      <c r="A58" s="132"/>
      <c r="B58" s="117" t="s">
        <v>955</v>
      </c>
      <c r="C58" t="s">
        <v>1572</v>
      </c>
      <c r="D58" t="s">
        <v>1665</v>
      </c>
      <c r="E58" t="s">
        <v>1666</v>
      </c>
      <c r="F58" t="s">
        <v>1588</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115">
        <v>2.8000000000000001E-2</v>
      </c>
    </row>
    <row r="59" spans="1:38" ht="15" customHeight="1">
      <c r="B59" s="117" t="s">
        <v>956</v>
      </c>
      <c r="C59" t="s">
        <v>957</v>
      </c>
      <c r="D59" t="s">
        <v>1667</v>
      </c>
      <c r="E59" t="s">
        <v>1668</v>
      </c>
      <c r="F59" t="s">
        <v>1625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115">
        <v>0.02</v>
      </c>
    </row>
    <row r="60" spans="1:38" ht="15" customHeight="1">
      <c r="B60" s="117" t="s">
        <v>958</v>
      </c>
      <c r="C60" t="s">
        <v>959</v>
      </c>
      <c r="D60" t="s">
        <v>1669</v>
      </c>
      <c r="E60" t="s">
        <v>1670</v>
      </c>
      <c r="F60" t="s">
        <v>1588</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115">
        <v>7.0000000000000001E-3</v>
      </c>
    </row>
    <row r="61" spans="1:38" ht="15" customHeight="1">
      <c r="B61" s="117" t="s">
        <v>960</v>
      </c>
      <c r="C61" t="s">
        <v>961</v>
      </c>
      <c r="D61" t="s">
        <v>1671</v>
      </c>
      <c r="E61" t="s">
        <v>1672</v>
      </c>
      <c r="F61" t="s">
        <v>1625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115">
        <v>2.8000000000000001E-2</v>
      </c>
    </row>
    <row r="62" spans="1:38" ht="15" customHeight="1">
      <c r="B62" s="117" t="s">
        <v>962</v>
      </c>
      <c r="C62" t="s">
        <v>963</v>
      </c>
      <c r="D62" t="s">
        <v>1673</v>
      </c>
      <c r="E62" t="s">
        <v>1674</v>
      </c>
      <c r="F62" t="s">
        <v>1588</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115">
        <v>3.1E-2</v>
      </c>
    </row>
    <row r="63" spans="1:38" ht="15" customHeight="1">
      <c r="B63" s="117" t="s">
        <v>964</v>
      </c>
      <c r="C63" t="s">
        <v>965</v>
      </c>
      <c r="D63" t="s">
        <v>1675</v>
      </c>
      <c r="E63" t="s">
        <v>1676</v>
      </c>
      <c r="F63" t="s">
        <v>1588</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146</v>
      </c>
    </row>
    <row r="64" spans="1:38" ht="15" customHeight="1">
      <c r="B64" s="117"/>
      <c r="C64" t="s">
        <v>1573</v>
      </c>
      <c r="D64" t="s">
        <v>1677</v>
      </c>
      <c r="F64" t="s">
        <v>1678</v>
      </c>
    </row>
    <row r="65" spans="2:38" ht="15" customHeight="1">
      <c r="B65" s="117" t="s">
        <v>966</v>
      </c>
      <c r="C65" t="s">
        <v>1574</v>
      </c>
      <c r="D65" t="s">
        <v>1679</v>
      </c>
      <c r="E65" t="s">
        <v>1680</v>
      </c>
      <c r="F65" t="s">
        <v>1588</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115">
        <v>1E-3</v>
      </c>
    </row>
    <row r="66" spans="2:38" ht="15" customHeight="1">
      <c r="B66" s="117" t="s">
        <v>967</v>
      </c>
      <c r="C66" t="s">
        <v>1575</v>
      </c>
      <c r="D66" t="s">
        <v>1681</v>
      </c>
      <c r="E66" t="s">
        <v>1682</v>
      </c>
      <c r="F66" t="s">
        <v>1588</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115">
        <v>3.1E-2</v>
      </c>
    </row>
    <row r="67" spans="2:38" ht="15" customHeight="1">
      <c r="B67" s="117" t="s">
        <v>968</v>
      </c>
      <c r="C67" t="s">
        <v>1576</v>
      </c>
      <c r="D67" t="s">
        <v>1683</v>
      </c>
      <c r="E67" t="s">
        <v>1684</v>
      </c>
      <c r="F67" t="s">
        <v>1588</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115">
        <v>2E-3</v>
      </c>
    </row>
    <row r="68" spans="2:38" ht="15" customHeight="1">
      <c r="B68" s="117" t="s">
        <v>969</v>
      </c>
      <c r="C68" t="s">
        <v>1577</v>
      </c>
      <c r="D68" t="s">
        <v>1685</v>
      </c>
      <c r="E68" t="s">
        <v>1686</v>
      </c>
      <c r="F68" t="s">
        <v>1588</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115">
        <v>7.5999999999999998E-2</v>
      </c>
    </row>
    <row r="69" spans="2:38" ht="15" customHeight="1">
      <c r="B69" s="117" t="s">
        <v>970</v>
      </c>
      <c r="C69" t="s">
        <v>1578</v>
      </c>
      <c r="D69" t="s">
        <v>1687</v>
      </c>
      <c r="E69" t="s">
        <v>1688</v>
      </c>
      <c r="F69" t="s">
        <v>1588</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115">
        <v>5.8000000000000003E-2</v>
      </c>
    </row>
    <row r="70" spans="2:38" ht="15" customHeight="1">
      <c r="B70" s="117" t="s">
        <v>971</v>
      </c>
      <c r="C70" t="s">
        <v>1579</v>
      </c>
      <c r="D70" t="s">
        <v>1689</v>
      </c>
      <c r="E70" t="s">
        <v>1690</v>
      </c>
      <c r="F70" t="s">
        <v>1588</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115">
        <v>4.2999999999999997E-2</v>
      </c>
    </row>
    <row r="71" spans="2:38" ht="15" customHeight="1">
      <c r="B71" s="117" t="s">
        <v>972</v>
      </c>
      <c r="C71" t="s">
        <v>1580</v>
      </c>
      <c r="D71" t="s">
        <v>1691</v>
      </c>
      <c r="E71" t="s">
        <v>1692</v>
      </c>
      <c r="F71" t="s">
        <v>1588</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115">
        <v>8.9999999999999993E-3</v>
      </c>
    </row>
    <row r="72" spans="2:38" ht="15" customHeight="1">
      <c r="B72" s="117" t="s">
        <v>973</v>
      </c>
      <c r="C72" t="s">
        <v>1581</v>
      </c>
      <c r="D72" t="s">
        <v>1693</v>
      </c>
      <c r="E72" t="s">
        <v>1694</v>
      </c>
      <c r="F72" t="s">
        <v>1588</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115">
        <v>7.3999999999999996E-2</v>
      </c>
    </row>
    <row r="73" spans="2:38" ht="15" customHeight="1">
      <c r="B73" s="117" t="s">
        <v>974</v>
      </c>
      <c r="C73" t="s">
        <v>975</v>
      </c>
      <c r="D73" t="s">
        <v>1695</v>
      </c>
      <c r="E73" t="s">
        <v>1696</v>
      </c>
      <c r="F73" t="s">
        <v>1588</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115">
        <v>7.0000000000000001E-3</v>
      </c>
    </row>
    <row r="74" spans="2:38" ht="15" customHeight="1">
      <c r="B74" s="117" t="s">
        <v>976</v>
      </c>
      <c r="C74" t="s">
        <v>1582</v>
      </c>
      <c r="D74" t="s">
        <v>1697</v>
      </c>
      <c r="E74" t="s">
        <v>1698</v>
      </c>
      <c r="F74" t="s">
        <v>1588</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115">
        <v>1.6E-2</v>
      </c>
    </row>
    <row r="75" spans="2:38" ht="15" customHeight="1">
      <c r="B75" s="117" t="s">
        <v>977</v>
      </c>
      <c r="C75" t="s">
        <v>1583</v>
      </c>
      <c r="D75" t="s">
        <v>1699</v>
      </c>
      <c r="E75" t="s">
        <v>1700</v>
      </c>
      <c r="F75" t="s">
        <v>1588</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146</v>
      </c>
    </row>
    <row r="76" spans="2:38" ht="15" customHeight="1">
      <c r="B76" s="117" t="s">
        <v>978</v>
      </c>
      <c r="C76" t="s">
        <v>979</v>
      </c>
      <c r="D76" t="s">
        <v>1701</v>
      </c>
      <c r="E76" t="s">
        <v>1702</v>
      </c>
      <c r="F76" t="s">
        <v>1588</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115">
        <v>2.1999999999999999E-2</v>
      </c>
    </row>
    <row r="77" spans="2:38" ht="15" customHeight="1">
      <c r="B77" s="117"/>
    </row>
    <row r="78" spans="2:38" ht="15" customHeight="1">
      <c r="B78" s="117"/>
    </row>
    <row r="79" spans="2:38" ht="15" customHeight="1">
      <c r="B79" s="117"/>
    </row>
    <row r="80" spans="2:38" ht="15" customHeight="1">
      <c r="B80" s="117"/>
    </row>
    <row r="81" spans="2:2" ht="15" customHeight="1">
      <c r="B81" s="117"/>
    </row>
    <row r="82" spans="2:2" ht="15" customHeight="1">
      <c r="B82" s="117"/>
    </row>
    <row r="83" spans="2:2" ht="15" customHeight="1">
      <c r="B83" s="117"/>
    </row>
    <row r="84" spans="2:2" ht="15" customHeight="1">
      <c r="B84" s="117"/>
    </row>
    <row r="85" spans="2:2" ht="15" customHeight="1">
      <c r="B85" s="117"/>
    </row>
    <row r="86" spans="2:2" ht="15" customHeight="1">
      <c r="B86" s="117"/>
    </row>
    <row r="87" spans="2:2" ht="15" customHeight="1">
      <c r="B87" s="117"/>
    </row>
    <row r="88" spans="2:2" ht="15" customHeight="1">
      <c r="B88" s="117"/>
    </row>
    <row r="89" spans="2:2" ht="15" customHeight="1">
      <c r="B89" s="117"/>
    </row>
    <row r="90" spans="2:2" ht="15" customHeight="1">
      <c r="B90" s="117"/>
    </row>
    <row r="91" spans="2:2">
      <c r="B91" s="117"/>
    </row>
    <row r="92" spans="2:2">
      <c r="B92" s="117"/>
    </row>
    <row r="93" spans="2:2">
      <c r="B93" s="117"/>
    </row>
    <row r="94" spans="2:2">
      <c r="B94" s="117"/>
    </row>
    <row r="95" spans="2:2">
      <c r="B95" s="117"/>
    </row>
    <row r="96" spans="2:2">
      <c r="B96" s="117"/>
    </row>
    <row r="97" spans="2:2">
      <c r="B97" s="117"/>
    </row>
    <row r="98" spans="2:2">
      <c r="B98" s="117"/>
    </row>
    <row r="99" spans="2:2">
      <c r="B99" s="117"/>
    </row>
    <row r="100" spans="2:2">
      <c r="B100" s="117"/>
    </row>
    <row r="101" spans="2:2">
      <c r="B101" s="117"/>
    </row>
    <row r="102" spans="2:2">
      <c r="B102" s="117"/>
    </row>
    <row r="103" spans="2:2">
      <c r="B103" s="117"/>
    </row>
    <row r="104" spans="2:2">
      <c r="B104" s="11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L104"/>
  <sheetViews>
    <sheetView workbookViewId="0">
      <selection activeCell="A17" sqref="A17:C54"/>
    </sheetView>
  </sheetViews>
  <sheetFormatPr defaultColWidth="9" defaultRowHeight="15" customHeight="1"/>
  <cols>
    <col min="1" max="1" width="25.7265625" style="131" customWidth="1"/>
    <col min="2" max="2" width="19.36328125" style="46" customWidth="1"/>
    <col min="3" max="3" width="29.7265625" customWidth="1"/>
    <col min="4" max="4" width="22.7265625" customWidth="1"/>
    <col min="5" max="5" width="9.08984375"/>
    <col min="39" max="16384" width="9" style="25"/>
  </cols>
  <sheetData>
    <row r="1" spans="1:38" s="60" customFormat="1" ht="15" customHeight="1">
      <c r="A1" s="8"/>
      <c r="B1" s="46" t="s">
        <v>1347</v>
      </c>
      <c r="G1" s="60">
        <v>2020</v>
      </c>
      <c r="H1" s="60">
        <v>2021</v>
      </c>
      <c r="I1" s="60">
        <v>2022</v>
      </c>
      <c r="J1" s="60">
        <v>2023</v>
      </c>
      <c r="K1" s="60">
        <v>2024</v>
      </c>
      <c r="L1" s="60">
        <v>2025</v>
      </c>
      <c r="M1" s="60">
        <v>2026</v>
      </c>
      <c r="N1" s="60">
        <v>2027</v>
      </c>
      <c r="O1" s="60">
        <v>2028</v>
      </c>
      <c r="P1" s="60">
        <v>2029</v>
      </c>
      <c r="Q1" s="60">
        <v>2030</v>
      </c>
      <c r="R1" s="60">
        <v>2031</v>
      </c>
      <c r="S1" s="60">
        <v>2032</v>
      </c>
      <c r="T1" s="60">
        <v>2033</v>
      </c>
      <c r="U1" s="60">
        <v>2034</v>
      </c>
      <c r="V1" s="60">
        <v>2035</v>
      </c>
      <c r="W1" s="60">
        <v>2036</v>
      </c>
      <c r="X1" s="60">
        <v>2037</v>
      </c>
      <c r="Y1" s="60">
        <v>2038</v>
      </c>
      <c r="Z1" s="60">
        <v>2039</v>
      </c>
      <c r="AA1" s="60">
        <v>2040</v>
      </c>
      <c r="AB1" s="60">
        <v>2041</v>
      </c>
      <c r="AC1" s="60">
        <v>2042</v>
      </c>
      <c r="AD1" s="60">
        <v>2043</v>
      </c>
      <c r="AE1" s="60">
        <v>2044</v>
      </c>
      <c r="AF1" s="60">
        <v>2045</v>
      </c>
      <c r="AG1" s="60">
        <v>2046</v>
      </c>
      <c r="AH1" s="60">
        <v>2047</v>
      </c>
      <c r="AI1" s="60">
        <v>2048</v>
      </c>
      <c r="AJ1" s="60">
        <v>2049</v>
      </c>
      <c r="AK1" s="60">
        <v>2050</v>
      </c>
      <c r="AL1" s="60" t="s">
        <v>1290</v>
      </c>
    </row>
    <row r="10" spans="1:38" ht="15" customHeight="1">
      <c r="B10" s="117" t="s">
        <v>872</v>
      </c>
      <c r="C10" t="s">
        <v>1703</v>
      </c>
    </row>
    <row r="11" spans="1:38" ht="15" customHeight="1">
      <c r="C11" t="s">
        <v>1704</v>
      </c>
    </row>
    <row r="12" spans="1:38" ht="15" customHeight="1">
      <c r="C12" t="s">
        <v>1705</v>
      </c>
    </row>
    <row r="13" spans="1:38" ht="15" customHeight="1">
      <c r="C13" t="s">
        <v>1198</v>
      </c>
    </row>
    <row r="14" spans="1:38" ht="15" customHeight="1">
      <c r="D14" t="s">
        <v>1199</v>
      </c>
      <c r="E14" t="s">
        <v>1288</v>
      </c>
      <c r="F14" t="s">
        <v>1289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1290</v>
      </c>
    </row>
    <row r="15" spans="1:38" ht="15" customHeight="1">
      <c r="B15" s="117"/>
      <c r="C15" t="s">
        <v>1706</v>
      </c>
      <c r="E15" t="s">
        <v>1714</v>
      </c>
    </row>
    <row r="16" spans="1:38" ht="15" customHeight="1">
      <c r="B16" s="117"/>
      <c r="C16" t="s">
        <v>1548</v>
      </c>
      <c r="E16" t="s">
        <v>1715</v>
      </c>
    </row>
    <row r="17" spans="1:38" s="44" customFormat="1" ht="15" customHeight="1">
      <c r="A17" s="132" t="s">
        <v>114</v>
      </c>
      <c r="B17" s="117" t="s">
        <v>874</v>
      </c>
      <c r="C17" t="s">
        <v>1549</v>
      </c>
      <c r="D17" t="s">
        <v>1716</v>
      </c>
      <c r="E17" t="s">
        <v>1717</v>
      </c>
      <c r="F17" t="s">
        <v>1718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115">
        <v>3.0000000000000001E-3</v>
      </c>
    </row>
    <row r="18" spans="1:38" ht="15" customHeight="1">
      <c r="A18" s="132" t="s">
        <v>115</v>
      </c>
      <c r="B18" s="117" t="s">
        <v>875</v>
      </c>
      <c r="C18" t="s">
        <v>1550</v>
      </c>
      <c r="D18" t="s">
        <v>1719</v>
      </c>
      <c r="E18" t="s">
        <v>1720</v>
      </c>
      <c r="F18" t="s">
        <v>1718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115">
        <v>1E-3</v>
      </c>
    </row>
    <row r="19" spans="1:38" ht="15" customHeight="1">
      <c r="A19" s="132"/>
      <c r="B19" s="117"/>
      <c r="C19" t="s">
        <v>1552</v>
      </c>
      <c r="E19" t="s">
        <v>1721</v>
      </c>
    </row>
    <row r="20" spans="1:38" ht="15" customHeight="1">
      <c r="A20" s="132" t="s">
        <v>114</v>
      </c>
      <c r="B20" s="117" t="s">
        <v>876</v>
      </c>
      <c r="C20" t="s">
        <v>1553</v>
      </c>
      <c r="D20" t="s">
        <v>1722</v>
      </c>
      <c r="E20" t="s">
        <v>1723</v>
      </c>
      <c r="F20" t="s">
        <v>1718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115">
        <v>3.0000000000000001E-3</v>
      </c>
    </row>
    <row r="21" spans="1:38" ht="15" customHeight="1">
      <c r="A21" s="132" t="s">
        <v>112</v>
      </c>
      <c r="B21" s="117" t="s">
        <v>877</v>
      </c>
      <c r="C21" t="s">
        <v>1554</v>
      </c>
      <c r="D21" t="s">
        <v>1724</v>
      </c>
      <c r="E21" t="s">
        <v>1725</v>
      </c>
      <c r="F21" t="s">
        <v>1718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115">
        <v>0</v>
      </c>
    </row>
    <row r="22" spans="1:38" ht="15" customHeight="1">
      <c r="A22" s="132" t="s">
        <v>112</v>
      </c>
      <c r="B22" s="117" t="s">
        <v>878</v>
      </c>
      <c r="C22" t="s">
        <v>1555</v>
      </c>
      <c r="D22" t="s">
        <v>1726</v>
      </c>
      <c r="E22" t="s">
        <v>1727</v>
      </c>
      <c r="F22" t="s">
        <v>1718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115">
        <v>0</v>
      </c>
    </row>
    <row r="23" spans="1:38" ht="15" customHeight="1">
      <c r="A23" s="132" t="s">
        <v>112</v>
      </c>
      <c r="B23" s="117" t="s">
        <v>879</v>
      </c>
      <c r="C23" t="s">
        <v>1556</v>
      </c>
      <c r="D23" t="s">
        <v>1728</v>
      </c>
      <c r="E23" t="s">
        <v>1729</v>
      </c>
      <c r="F23" t="s">
        <v>1718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115">
        <v>0</v>
      </c>
    </row>
    <row r="24" spans="1:38" ht="15" customHeight="1">
      <c r="A24" s="132" t="s">
        <v>116</v>
      </c>
      <c r="B24" s="117" t="s">
        <v>880</v>
      </c>
      <c r="C24" t="s">
        <v>1557</v>
      </c>
      <c r="D24" t="s">
        <v>1730</v>
      </c>
      <c r="E24" t="s">
        <v>1731</v>
      </c>
      <c r="F24" t="s">
        <v>1718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115">
        <v>3.0000000000000001E-3</v>
      </c>
    </row>
    <row r="25" spans="1:38" ht="15" customHeight="1">
      <c r="A25" s="132" t="s">
        <v>116</v>
      </c>
      <c r="B25" s="117" t="s">
        <v>881</v>
      </c>
      <c r="C25" t="s">
        <v>1558</v>
      </c>
      <c r="D25" t="s">
        <v>1732</v>
      </c>
      <c r="E25" t="s">
        <v>1733</v>
      </c>
      <c r="F25" t="s">
        <v>1718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115">
        <v>2E-3</v>
      </c>
    </row>
    <row r="26" spans="1:38" ht="15" customHeight="1">
      <c r="A26" s="132" t="s">
        <v>115</v>
      </c>
      <c r="B26" s="117" t="s">
        <v>882</v>
      </c>
      <c r="C26" t="s">
        <v>1559</v>
      </c>
      <c r="D26" t="s">
        <v>1734</v>
      </c>
      <c r="E26" t="s">
        <v>1735</v>
      </c>
      <c r="F26" t="s">
        <v>1718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146</v>
      </c>
    </row>
    <row r="27" spans="1:38" ht="15" customHeight="1">
      <c r="A27" s="132" t="s">
        <v>114</v>
      </c>
      <c r="B27" s="117" t="s">
        <v>883</v>
      </c>
      <c r="C27" t="s">
        <v>1560</v>
      </c>
      <c r="D27" t="s">
        <v>1736</v>
      </c>
      <c r="E27" t="s">
        <v>1737</v>
      </c>
      <c r="F27" t="s">
        <v>1718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115">
        <v>3.0000000000000001E-3</v>
      </c>
    </row>
    <row r="28" spans="1:38" ht="15" customHeight="1">
      <c r="A28" s="132" t="s">
        <v>113</v>
      </c>
      <c r="B28" s="117" t="s">
        <v>884</v>
      </c>
      <c r="C28" t="s">
        <v>1561</v>
      </c>
      <c r="D28" t="s">
        <v>1738</v>
      </c>
      <c r="E28" t="s">
        <v>1739</v>
      </c>
      <c r="F28" t="s">
        <v>1718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115">
        <v>3.0000000000000001E-3</v>
      </c>
    </row>
    <row r="29" spans="1:38" ht="15" customHeight="1">
      <c r="A29" s="132" t="s">
        <v>113</v>
      </c>
      <c r="B29" s="117" t="s">
        <v>885</v>
      </c>
      <c r="C29" t="s">
        <v>1562</v>
      </c>
      <c r="D29" t="s">
        <v>1740</v>
      </c>
      <c r="E29" t="s">
        <v>1741</v>
      </c>
      <c r="F29" t="s">
        <v>1718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115">
        <v>3.0000000000000001E-3</v>
      </c>
    </row>
    <row r="30" spans="1:38" ht="15" customHeight="1">
      <c r="A30" s="132" t="s">
        <v>853</v>
      </c>
      <c r="B30" s="117" t="s">
        <v>886</v>
      </c>
      <c r="C30" t="s">
        <v>1563</v>
      </c>
      <c r="D30" t="s">
        <v>1742</v>
      </c>
      <c r="E30" t="s">
        <v>1743</v>
      </c>
      <c r="F30" t="s">
        <v>1718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115">
        <v>3.0000000000000001E-3</v>
      </c>
    </row>
    <row r="31" spans="1:38" ht="15" customHeight="1">
      <c r="A31" s="132" t="s">
        <v>853</v>
      </c>
      <c r="B31" s="117" t="s">
        <v>887</v>
      </c>
      <c r="C31" t="s">
        <v>1564</v>
      </c>
      <c r="D31" t="s">
        <v>1744</v>
      </c>
      <c r="E31" t="s">
        <v>1745</v>
      </c>
      <c r="F31" t="s">
        <v>1718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115">
        <v>3.0000000000000001E-3</v>
      </c>
    </row>
    <row r="32" spans="1:38" ht="15" customHeight="1">
      <c r="A32" s="132" t="s">
        <v>854</v>
      </c>
      <c r="B32" s="117" t="s">
        <v>888</v>
      </c>
      <c r="C32" t="s">
        <v>1565</v>
      </c>
      <c r="D32" t="s">
        <v>1746</v>
      </c>
      <c r="E32" t="s">
        <v>1747</v>
      </c>
      <c r="F32" t="s">
        <v>1718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146</v>
      </c>
    </row>
    <row r="33" spans="1:38" ht="15" customHeight="1">
      <c r="A33" s="132" t="s">
        <v>854</v>
      </c>
      <c r="B33" s="117" t="s">
        <v>889</v>
      </c>
      <c r="C33" t="s">
        <v>1566</v>
      </c>
      <c r="D33" t="s">
        <v>1748</v>
      </c>
      <c r="E33" t="s">
        <v>1749</v>
      </c>
      <c r="F33" t="s">
        <v>1718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115">
        <v>1E-3</v>
      </c>
    </row>
    <row r="34" spans="1:38" ht="15" customHeight="1">
      <c r="A34" s="132"/>
      <c r="B34" s="117" t="s">
        <v>890</v>
      </c>
      <c r="C34" t="s">
        <v>1707</v>
      </c>
      <c r="D34" t="s">
        <v>1750</v>
      </c>
      <c r="E34" t="s">
        <v>1751</v>
      </c>
      <c r="F34" t="s">
        <v>1718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115">
        <v>7.0000000000000001E-3</v>
      </c>
    </row>
    <row r="35" spans="1:38" ht="15" customHeight="1">
      <c r="A35" s="132"/>
      <c r="B35" s="117"/>
      <c r="C35" t="s">
        <v>1708</v>
      </c>
      <c r="E35" t="s">
        <v>1752</v>
      </c>
    </row>
    <row r="36" spans="1:38" ht="15" customHeight="1">
      <c r="A36" s="132"/>
      <c r="B36" s="117"/>
      <c r="C36" t="s">
        <v>1569</v>
      </c>
      <c r="E36" t="s">
        <v>1753</v>
      </c>
    </row>
    <row r="37" spans="1:38" s="44" customFormat="1" ht="15" customHeight="1">
      <c r="A37" s="132" t="s">
        <v>114</v>
      </c>
      <c r="B37" s="117" t="s">
        <v>891</v>
      </c>
      <c r="C37" t="s">
        <v>1549</v>
      </c>
      <c r="D37" t="s">
        <v>1754</v>
      </c>
      <c r="E37" t="s">
        <v>1755</v>
      </c>
      <c r="F37" t="s">
        <v>1718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115">
        <v>2E-3</v>
      </c>
    </row>
    <row r="38" spans="1:38" ht="15" customHeight="1">
      <c r="A38" s="132" t="s">
        <v>115</v>
      </c>
      <c r="B38" s="117" t="s">
        <v>892</v>
      </c>
      <c r="C38" t="s">
        <v>1550</v>
      </c>
      <c r="D38" t="s">
        <v>1756</v>
      </c>
      <c r="E38" t="s">
        <v>1757</v>
      </c>
      <c r="F38" t="s">
        <v>1718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115">
        <v>1E-3</v>
      </c>
    </row>
    <row r="39" spans="1:38" ht="15" customHeight="1">
      <c r="A39" s="132"/>
      <c r="B39" s="117"/>
      <c r="C39" t="s">
        <v>1571</v>
      </c>
      <c r="E39" t="s">
        <v>1758</v>
      </c>
    </row>
    <row r="40" spans="1:38" ht="15" customHeight="1">
      <c r="A40" s="132" t="s">
        <v>114</v>
      </c>
      <c r="B40" s="117" t="s">
        <v>893</v>
      </c>
      <c r="C40" t="s">
        <v>1553</v>
      </c>
      <c r="D40" t="s">
        <v>1759</v>
      </c>
      <c r="E40" t="s">
        <v>1760</v>
      </c>
      <c r="F40" t="s">
        <v>1718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115">
        <v>2E-3</v>
      </c>
    </row>
    <row r="41" spans="1:38" ht="15" customHeight="1">
      <c r="A41" s="132" t="s">
        <v>112</v>
      </c>
      <c r="B41" s="117" t="s">
        <v>894</v>
      </c>
      <c r="C41" t="s">
        <v>1554</v>
      </c>
      <c r="D41" t="s">
        <v>1761</v>
      </c>
      <c r="E41" t="s">
        <v>1762</v>
      </c>
      <c r="F41" t="s">
        <v>1718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146</v>
      </c>
    </row>
    <row r="42" spans="1:38" ht="15" customHeight="1">
      <c r="A42" s="132" t="s">
        <v>112</v>
      </c>
      <c r="B42" s="117" t="s">
        <v>895</v>
      </c>
      <c r="C42" t="s">
        <v>1555</v>
      </c>
      <c r="D42" t="s">
        <v>1763</v>
      </c>
      <c r="E42" t="s">
        <v>1764</v>
      </c>
      <c r="F42" t="s">
        <v>1718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115">
        <v>-2E-3</v>
      </c>
    </row>
    <row r="43" spans="1:38" ht="15" customHeight="1">
      <c r="A43" s="132" t="s">
        <v>112</v>
      </c>
      <c r="B43" s="117" t="s">
        <v>896</v>
      </c>
      <c r="C43" t="s">
        <v>1556</v>
      </c>
      <c r="D43" t="s">
        <v>1765</v>
      </c>
      <c r="E43" t="s">
        <v>1766</v>
      </c>
      <c r="F43" t="s">
        <v>1718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115">
        <v>-1E-3</v>
      </c>
    </row>
    <row r="44" spans="1:38" ht="15" customHeight="1">
      <c r="A44" s="132" t="s">
        <v>116</v>
      </c>
      <c r="B44" s="117" t="s">
        <v>897</v>
      </c>
      <c r="C44" t="s">
        <v>1557</v>
      </c>
      <c r="D44" t="s">
        <v>1767</v>
      </c>
      <c r="E44" t="s">
        <v>1768</v>
      </c>
      <c r="F44" t="s">
        <v>1718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115">
        <v>2E-3</v>
      </c>
    </row>
    <row r="45" spans="1:38" ht="15" customHeight="1">
      <c r="A45" s="132" t="s">
        <v>116</v>
      </c>
      <c r="B45" s="117" t="s">
        <v>898</v>
      </c>
      <c r="C45" t="s">
        <v>1558</v>
      </c>
      <c r="D45" t="s">
        <v>1769</v>
      </c>
      <c r="E45" t="s">
        <v>1770</v>
      </c>
      <c r="F45" t="s">
        <v>1718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115">
        <v>8.0000000000000002E-3</v>
      </c>
    </row>
    <row r="46" spans="1:38" ht="15" customHeight="1">
      <c r="A46" s="132" t="s">
        <v>115</v>
      </c>
      <c r="B46" s="117" t="s">
        <v>899</v>
      </c>
      <c r="C46" t="s">
        <v>1559</v>
      </c>
      <c r="D46" t="s">
        <v>1771</v>
      </c>
      <c r="E46" t="s">
        <v>1772</v>
      </c>
      <c r="F46" t="s">
        <v>1718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146</v>
      </c>
    </row>
    <row r="47" spans="1:38" ht="15" customHeight="1">
      <c r="A47" s="132" t="s">
        <v>114</v>
      </c>
      <c r="B47" s="117" t="s">
        <v>900</v>
      </c>
      <c r="C47" t="s">
        <v>1560</v>
      </c>
      <c r="D47" t="s">
        <v>1773</v>
      </c>
      <c r="E47" t="s">
        <v>1774</v>
      </c>
      <c r="F47" t="s">
        <v>1718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115">
        <v>3.0000000000000001E-3</v>
      </c>
    </row>
    <row r="48" spans="1:38" ht="15" customHeight="1">
      <c r="A48" s="132" t="s">
        <v>113</v>
      </c>
      <c r="B48" s="117" t="s">
        <v>901</v>
      </c>
      <c r="C48" t="s">
        <v>1561</v>
      </c>
      <c r="D48" t="s">
        <v>1775</v>
      </c>
      <c r="E48" t="s">
        <v>1776</v>
      </c>
      <c r="F48" t="s">
        <v>1718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115">
        <v>2E-3</v>
      </c>
    </row>
    <row r="49" spans="1:38" ht="15" customHeight="1">
      <c r="A49" s="132" t="s">
        <v>113</v>
      </c>
      <c r="B49" s="117" t="s">
        <v>902</v>
      </c>
      <c r="C49" t="s">
        <v>1562</v>
      </c>
      <c r="D49" t="s">
        <v>1777</v>
      </c>
      <c r="E49" t="s">
        <v>1778</v>
      </c>
      <c r="F49" t="s">
        <v>1718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115">
        <v>2E-3</v>
      </c>
    </row>
    <row r="50" spans="1:38" ht="15" customHeight="1">
      <c r="A50" s="132" t="s">
        <v>853</v>
      </c>
      <c r="B50" s="117" t="s">
        <v>903</v>
      </c>
      <c r="C50" t="s">
        <v>1563</v>
      </c>
      <c r="D50" t="s">
        <v>1779</v>
      </c>
      <c r="E50" t="s">
        <v>1780</v>
      </c>
      <c r="F50" t="s">
        <v>1718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115">
        <v>2E-3</v>
      </c>
    </row>
    <row r="51" spans="1:38" ht="15" customHeight="1">
      <c r="A51" s="132" t="s">
        <v>853</v>
      </c>
      <c r="B51" s="117" t="s">
        <v>904</v>
      </c>
      <c r="C51" t="s">
        <v>1564</v>
      </c>
      <c r="D51" t="s">
        <v>1781</v>
      </c>
      <c r="E51" t="s">
        <v>1782</v>
      </c>
      <c r="F51" t="s">
        <v>1718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115">
        <v>2E-3</v>
      </c>
    </row>
    <row r="52" spans="1:38" ht="15" customHeight="1">
      <c r="A52" s="132" t="s">
        <v>854</v>
      </c>
      <c r="B52" s="117" t="s">
        <v>905</v>
      </c>
      <c r="C52" t="s">
        <v>1565</v>
      </c>
      <c r="D52" t="s">
        <v>1783</v>
      </c>
      <c r="E52" t="s">
        <v>1784</v>
      </c>
      <c r="F52" t="s">
        <v>1718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146</v>
      </c>
    </row>
    <row r="53" spans="1:38" ht="15" customHeight="1">
      <c r="A53" s="132" t="s">
        <v>854</v>
      </c>
      <c r="B53" s="117" t="s">
        <v>906</v>
      </c>
      <c r="C53" t="s">
        <v>1566</v>
      </c>
      <c r="D53" t="s">
        <v>1785</v>
      </c>
      <c r="E53" t="s">
        <v>1786</v>
      </c>
      <c r="F53" t="s">
        <v>1718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115">
        <v>3.0000000000000001E-3</v>
      </c>
    </row>
    <row r="54" spans="1:38" ht="15" customHeight="1">
      <c r="A54" s="132"/>
      <c r="B54" s="117" t="s">
        <v>907</v>
      </c>
      <c r="C54" t="s">
        <v>1709</v>
      </c>
      <c r="D54" t="s">
        <v>1787</v>
      </c>
      <c r="E54" t="s">
        <v>1788</v>
      </c>
      <c r="F54" t="s">
        <v>1718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115">
        <v>5.0000000000000001E-3</v>
      </c>
    </row>
    <row r="55" spans="1:38" ht="15" customHeight="1">
      <c r="B55" s="117" t="s">
        <v>908</v>
      </c>
      <c r="C55" t="s">
        <v>909</v>
      </c>
      <c r="D55" t="s">
        <v>1789</v>
      </c>
      <c r="E55" t="s">
        <v>1790</v>
      </c>
      <c r="F55" t="s">
        <v>1718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115">
        <v>5.0000000000000001E-3</v>
      </c>
    </row>
    <row r="56" spans="1:38" ht="15" customHeight="1">
      <c r="B56" s="117" t="s">
        <v>910</v>
      </c>
      <c r="C56" t="s">
        <v>1710</v>
      </c>
      <c r="D56" t="s">
        <v>1791</v>
      </c>
      <c r="E56" t="s">
        <v>1792</v>
      </c>
      <c r="F56" t="s">
        <v>1718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115">
        <v>1.0999999999999999E-2</v>
      </c>
    </row>
    <row r="57" spans="1:38" ht="15" customHeight="1">
      <c r="B57" s="117" t="s">
        <v>911</v>
      </c>
      <c r="C57" t="s">
        <v>1711</v>
      </c>
      <c r="D57" t="s">
        <v>1793</v>
      </c>
      <c r="E57" t="s">
        <v>1794</v>
      </c>
      <c r="F57" t="s">
        <v>1718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115">
        <v>0.01</v>
      </c>
    </row>
    <row r="58" spans="1:38" ht="15" customHeight="1">
      <c r="B58" s="117" t="s">
        <v>912</v>
      </c>
      <c r="C58" t="s">
        <v>1712</v>
      </c>
      <c r="D58" t="s">
        <v>1795</v>
      </c>
      <c r="E58" t="s">
        <v>1796</v>
      </c>
      <c r="F58" t="s">
        <v>1718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115">
        <v>8.9999999999999993E-3</v>
      </c>
    </row>
    <row r="59" spans="1:38" ht="15" customHeight="1">
      <c r="B59" s="117" t="s">
        <v>913</v>
      </c>
      <c r="C59" t="s">
        <v>1713</v>
      </c>
      <c r="D59" t="s">
        <v>1797</v>
      </c>
      <c r="E59" t="s">
        <v>1798</v>
      </c>
      <c r="F59" t="s">
        <v>1718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115">
        <v>4.0000000000000001E-3</v>
      </c>
    </row>
    <row r="60" spans="1:38" ht="15" customHeight="1">
      <c r="B60" s="117" t="s">
        <v>914</v>
      </c>
      <c r="C60" t="s">
        <v>1712</v>
      </c>
      <c r="D60" t="s">
        <v>1799</v>
      </c>
      <c r="E60" t="s">
        <v>1800</v>
      </c>
      <c r="F60" t="s">
        <v>1718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115">
        <v>8.9999999999999993E-3</v>
      </c>
    </row>
    <row r="61" spans="1:38" ht="15" customHeight="1">
      <c r="B61" s="117"/>
    </row>
    <row r="62" spans="1:38" ht="15" customHeight="1">
      <c r="B62" s="117"/>
    </row>
    <row r="63" spans="1:38" ht="15" customHeight="1">
      <c r="B63" s="117"/>
    </row>
    <row r="64" spans="1:38" ht="15" customHeight="1">
      <c r="B64" s="117"/>
    </row>
    <row r="65" spans="2:2" ht="15" customHeight="1">
      <c r="B65" s="117"/>
    </row>
    <row r="66" spans="2:2" ht="15" customHeight="1">
      <c r="B66" s="117"/>
    </row>
    <row r="67" spans="2:2" ht="15" customHeight="1">
      <c r="B67" s="117"/>
    </row>
    <row r="68" spans="2:2" ht="15" customHeight="1">
      <c r="B68" s="117"/>
    </row>
    <row r="69" spans="2:2" ht="15" customHeight="1">
      <c r="B69" s="117"/>
    </row>
    <row r="70" spans="2:2" ht="15" customHeight="1">
      <c r="B70" s="117"/>
    </row>
    <row r="71" spans="2:2" ht="15" customHeight="1">
      <c r="B71" s="117"/>
    </row>
    <row r="72" spans="2:2" ht="15" customHeight="1">
      <c r="B72" s="117"/>
    </row>
    <row r="73" spans="2:2" ht="15" customHeight="1">
      <c r="B73" s="117"/>
    </row>
    <row r="74" spans="2:2" ht="15" customHeight="1">
      <c r="B74" s="117"/>
    </row>
    <row r="75" spans="2:2" ht="15" customHeight="1">
      <c r="B75" s="117"/>
    </row>
    <row r="76" spans="2:2" ht="15" customHeight="1">
      <c r="B76" s="117"/>
    </row>
    <row r="77" spans="2:2" ht="15" customHeight="1">
      <c r="B77" s="117"/>
    </row>
    <row r="78" spans="2:2" ht="15" customHeight="1">
      <c r="B78" s="117"/>
    </row>
    <row r="79" spans="2:2" ht="15" customHeight="1">
      <c r="B79" s="117"/>
    </row>
    <row r="80" spans="2:2" ht="15" customHeight="1">
      <c r="B80" s="117"/>
    </row>
    <row r="81" spans="2:2" ht="15" customHeight="1">
      <c r="B81" s="117"/>
    </row>
    <row r="82" spans="2:2" ht="15" customHeight="1">
      <c r="B82" s="117"/>
    </row>
    <row r="83" spans="2:2" ht="15" customHeight="1">
      <c r="B83" s="117"/>
    </row>
    <row r="84" spans="2:2" ht="15" customHeight="1">
      <c r="B84" s="117"/>
    </row>
    <row r="85" spans="2:2" ht="15" customHeight="1">
      <c r="B85" s="117"/>
    </row>
    <row r="86" spans="2:2" ht="15" customHeight="1">
      <c r="B86" s="117"/>
    </row>
    <row r="87" spans="2:2" ht="15" customHeight="1">
      <c r="B87" s="117"/>
    </row>
    <row r="88" spans="2:2" ht="15" customHeight="1">
      <c r="B88" s="117"/>
    </row>
    <row r="89" spans="2:2" ht="15" customHeight="1">
      <c r="B89" s="117"/>
    </row>
    <row r="90" spans="2:2" ht="15" customHeight="1">
      <c r="B90" s="117"/>
    </row>
    <row r="91" spans="2:2" ht="15" customHeight="1">
      <c r="B91" s="117"/>
    </row>
    <row r="92" spans="2:2" ht="15" customHeight="1">
      <c r="B92" s="117"/>
    </row>
    <row r="93" spans="2:2" ht="15" customHeight="1">
      <c r="B93" s="117"/>
    </row>
    <row r="94" spans="2:2" ht="15" customHeight="1">
      <c r="B94" s="117"/>
    </row>
    <row r="95" spans="2:2" ht="15" customHeight="1">
      <c r="B95" s="117"/>
    </row>
    <row r="96" spans="2:2" ht="15" customHeight="1">
      <c r="B96" s="117"/>
    </row>
    <row r="97" spans="2:2" ht="15" customHeight="1">
      <c r="B97" s="117"/>
    </row>
    <row r="98" spans="2:2" ht="15" customHeight="1">
      <c r="B98" s="117"/>
    </row>
    <row r="99" spans="2:2" ht="15" customHeight="1">
      <c r="B99" s="117"/>
    </row>
    <row r="100" spans="2:2" ht="15" customHeight="1">
      <c r="B100" s="117"/>
    </row>
    <row r="101" spans="2:2" ht="15" customHeight="1">
      <c r="B101" s="117"/>
    </row>
    <row r="102" spans="2:2" ht="15" customHeight="1">
      <c r="B102" s="117"/>
    </row>
    <row r="103" spans="2:2" ht="15" customHeight="1">
      <c r="B103" s="117"/>
    </row>
    <row r="104" spans="2:2" ht="15" customHeight="1">
      <c r="B104" s="117"/>
    </row>
  </sheetData>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7"/>
  <sheetViews>
    <sheetView workbookViewId="0">
      <selection activeCell="D12" sqref="D12"/>
    </sheetView>
  </sheetViews>
  <sheetFormatPr defaultColWidth="9.08984375" defaultRowHeight="14.5"/>
  <cols>
    <col min="1" max="16384" width="9.08984375" style="135"/>
  </cols>
  <sheetData>
    <row r="1" spans="1:11">
      <c r="A1" s="135" t="s">
        <v>3363</v>
      </c>
    </row>
    <row r="2" spans="1:11">
      <c r="A2" s="135" t="s">
        <v>3364</v>
      </c>
    </row>
    <row r="3" spans="1:11">
      <c r="A3" s="135" t="s">
        <v>3365</v>
      </c>
    </row>
    <row r="4" spans="1:11">
      <c r="A4" s="135" t="s">
        <v>1198</v>
      </c>
    </row>
    <row r="5" spans="1:11" s="140" customFormat="1">
      <c r="A5" s="135" t="s">
        <v>3352</v>
      </c>
      <c r="B5" s="135" t="s">
        <v>3353</v>
      </c>
      <c r="C5" s="135" t="s">
        <v>3354</v>
      </c>
      <c r="D5" s="135" t="s">
        <v>3355</v>
      </c>
      <c r="E5" s="135" t="s">
        <v>3356</v>
      </c>
      <c r="F5" s="135" t="s">
        <v>3357</v>
      </c>
      <c r="G5" s="135" t="s">
        <v>3358</v>
      </c>
      <c r="H5" s="135" t="s">
        <v>3359</v>
      </c>
      <c r="I5" s="135" t="s">
        <v>3360</v>
      </c>
      <c r="J5" s="135" t="s">
        <v>3361</v>
      </c>
      <c r="K5" s="135" t="s">
        <v>3362</v>
      </c>
    </row>
    <row r="6" spans="1:11">
      <c r="A6" s="135">
        <v>2050</v>
      </c>
      <c r="B6" s="135">
        <v>41.234305999999997</v>
      </c>
      <c r="C6" s="135">
        <v>303.525238</v>
      </c>
      <c r="D6" s="135">
        <v>2.627345</v>
      </c>
      <c r="E6" s="135">
        <v>0.502718</v>
      </c>
      <c r="F6" s="135">
        <v>611.61779799999999</v>
      </c>
      <c r="G6" s="135">
        <v>2.8294320000000002</v>
      </c>
      <c r="H6" s="135">
        <v>3.0396559999999999</v>
      </c>
      <c r="I6" s="135">
        <v>3.2382460000000002</v>
      </c>
      <c r="J6" s="135">
        <v>0</v>
      </c>
      <c r="K6" s="135">
        <v>968.61480700000004</v>
      </c>
    </row>
    <row r="7" spans="1:11">
      <c r="A7" s="135">
        <v>2049</v>
      </c>
      <c r="B7" s="135">
        <v>52.488135999999997</v>
      </c>
      <c r="C7" s="135">
        <v>312.71551499999998</v>
      </c>
      <c r="D7" s="135">
        <v>2.5694270000000001</v>
      </c>
      <c r="E7" s="135">
        <v>0.50015699999999996</v>
      </c>
      <c r="F7" s="135">
        <v>598.50061000000005</v>
      </c>
      <c r="G7" s="135">
        <v>2.7670599999999999</v>
      </c>
      <c r="H7" s="135">
        <v>2.9726509999999999</v>
      </c>
      <c r="I7" s="135">
        <v>3.1668630000000002</v>
      </c>
      <c r="J7" s="135">
        <v>0</v>
      </c>
      <c r="K7" s="135">
        <v>975.68035899999995</v>
      </c>
    </row>
    <row r="8" spans="1:11">
      <c r="A8" s="135">
        <v>2048</v>
      </c>
      <c r="B8" s="135">
        <v>65.500670999999997</v>
      </c>
      <c r="C8" s="135">
        <v>319.407623</v>
      </c>
      <c r="D8" s="135">
        <v>2.509144</v>
      </c>
      <c r="E8" s="135">
        <v>0.49745099999999998</v>
      </c>
      <c r="F8" s="135">
        <v>584.76025400000003</v>
      </c>
      <c r="G8" s="135">
        <v>2.7021389999999998</v>
      </c>
      <c r="H8" s="135">
        <v>2.9029069999999999</v>
      </c>
      <c r="I8" s="135">
        <v>3.092562</v>
      </c>
      <c r="J8" s="135">
        <v>0</v>
      </c>
      <c r="K8" s="135">
        <v>981.37280299999998</v>
      </c>
    </row>
    <row r="9" spans="1:11">
      <c r="A9" s="135">
        <v>2047</v>
      </c>
      <c r="B9" s="135">
        <v>78.435828999999998</v>
      </c>
      <c r="C9" s="135">
        <v>321.22879</v>
      </c>
      <c r="D9" s="135">
        <v>2.4222769999999998</v>
      </c>
      <c r="E9" s="135">
        <v>0.49229899999999999</v>
      </c>
      <c r="F9" s="135">
        <v>564.84399399999995</v>
      </c>
      <c r="G9" s="135">
        <v>2.6085910000000001</v>
      </c>
      <c r="H9" s="135">
        <v>2.8024079999999998</v>
      </c>
      <c r="I9" s="135">
        <v>2.9854980000000002</v>
      </c>
      <c r="J9" s="135">
        <v>0</v>
      </c>
      <c r="K9" s="135">
        <v>975.81964100000005</v>
      </c>
    </row>
    <row r="10" spans="1:11">
      <c r="A10" s="135">
        <v>2046</v>
      </c>
      <c r="B10" s="135">
        <v>91.947372000000001</v>
      </c>
      <c r="C10" s="135">
        <v>326.26950099999999</v>
      </c>
      <c r="D10" s="135">
        <v>2.3632219999999999</v>
      </c>
      <c r="E10" s="135">
        <v>0.49283300000000002</v>
      </c>
      <c r="F10" s="135">
        <v>551.32525599999997</v>
      </c>
      <c r="G10" s="135">
        <v>2.544994</v>
      </c>
      <c r="H10" s="135">
        <v>2.734086</v>
      </c>
      <c r="I10" s="135">
        <v>2.912712</v>
      </c>
      <c r="J10" s="135">
        <v>0</v>
      </c>
      <c r="K10" s="135">
        <v>980.589966</v>
      </c>
    </row>
    <row r="11" spans="1:11">
      <c r="A11" s="135">
        <v>2045</v>
      </c>
      <c r="B11" s="135">
        <v>105.51058999999999</v>
      </c>
      <c r="C11" s="135">
        <v>330.60977200000002</v>
      </c>
      <c r="D11" s="135">
        <v>2.302584</v>
      </c>
      <c r="E11" s="135">
        <v>0.49298900000000001</v>
      </c>
      <c r="F11" s="135">
        <v>537.19427499999995</v>
      </c>
      <c r="G11" s="135">
        <v>2.479692</v>
      </c>
      <c r="H11" s="135">
        <v>2.663932</v>
      </c>
      <c r="I11" s="135">
        <v>2.8379750000000001</v>
      </c>
      <c r="J11" s="135">
        <v>0</v>
      </c>
      <c r="K11" s="135">
        <v>984.091858</v>
      </c>
    </row>
    <row r="12" spans="1:11">
      <c r="A12" s="135">
        <v>2044</v>
      </c>
      <c r="B12" s="135">
        <v>117.87550400000001</v>
      </c>
      <c r="C12" s="135">
        <v>330.536743</v>
      </c>
      <c r="D12" s="135">
        <v>2.2174510000000001</v>
      </c>
      <c r="E12" s="135">
        <v>0.48947099999999999</v>
      </c>
      <c r="F12" s="135">
        <v>517.332581</v>
      </c>
      <c r="G12" s="135">
        <v>2.38801</v>
      </c>
      <c r="H12" s="135">
        <v>2.5654379999999999</v>
      </c>
      <c r="I12" s="135">
        <v>2.7330459999999999</v>
      </c>
      <c r="J12" s="135">
        <v>0</v>
      </c>
      <c r="K12" s="135">
        <v>976.13824499999998</v>
      </c>
    </row>
    <row r="13" spans="1:11">
      <c r="A13" s="135">
        <v>2043</v>
      </c>
      <c r="B13" s="135">
        <v>131.30926500000001</v>
      </c>
      <c r="C13" s="135">
        <v>332.91735799999998</v>
      </c>
      <c r="D13" s="135">
        <v>2.1549939999999999</v>
      </c>
      <c r="E13" s="135">
        <v>0.49047299999999999</v>
      </c>
      <c r="F13" s="135">
        <v>502.76123000000001</v>
      </c>
      <c r="G13" s="135">
        <v>2.3207490000000002</v>
      </c>
      <c r="H13" s="135">
        <v>2.493179</v>
      </c>
      <c r="I13" s="135">
        <v>2.656066</v>
      </c>
      <c r="J13" s="135">
        <v>0</v>
      </c>
      <c r="K13" s="135">
        <v>977.10333300000002</v>
      </c>
    </row>
    <row r="14" spans="1:11">
      <c r="A14" s="135">
        <v>2042</v>
      </c>
      <c r="B14" s="135">
        <v>144.83325199999999</v>
      </c>
      <c r="C14" s="135">
        <v>335.44134500000001</v>
      </c>
      <c r="D14" s="135">
        <v>2.0971380000000002</v>
      </c>
      <c r="E14" s="135">
        <v>0.49220199999999997</v>
      </c>
      <c r="F14" s="135">
        <v>489.26348899999999</v>
      </c>
      <c r="G14" s="135">
        <v>2.2584430000000002</v>
      </c>
      <c r="H14" s="135">
        <v>2.4262440000000001</v>
      </c>
      <c r="I14" s="135">
        <v>2.5847579999999999</v>
      </c>
      <c r="J14" s="135">
        <v>0</v>
      </c>
      <c r="K14" s="135">
        <v>979.39685099999997</v>
      </c>
    </row>
    <row r="15" spans="1:11">
      <c r="A15" s="135">
        <v>2041</v>
      </c>
      <c r="B15" s="135">
        <v>158.02543600000001</v>
      </c>
      <c r="C15" s="135">
        <v>336.600525</v>
      </c>
      <c r="D15" s="135">
        <v>2.0353520000000001</v>
      </c>
      <c r="E15" s="135">
        <v>0.49284299999999998</v>
      </c>
      <c r="F15" s="135">
        <v>474.84887700000002</v>
      </c>
      <c r="G15" s="135">
        <v>2.1919050000000002</v>
      </c>
      <c r="H15" s="135">
        <v>2.3547630000000002</v>
      </c>
      <c r="I15" s="135">
        <v>2.5086059999999999</v>
      </c>
      <c r="J15" s="135">
        <v>0</v>
      </c>
      <c r="K15" s="135">
        <v>979.05828899999995</v>
      </c>
    </row>
    <row r="16" spans="1:11">
      <c r="A16" s="135">
        <v>2040</v>
      </c>
      <c r="B16" s="135">
        <v>171.80561800000001</v>
      </c>
      <c r="C16" s="135">
        <v>337.33624300000002</v>
      </c>
      <c r="D16" s="135">
        <v>1.977708</v>
      </c>
      <c r="E16" s="135">
        <v>0.49430800000000003</v>
      </c>
      <c r="F16" s="135">
        <v>461.40045199999997</v>
      </c>
      <c r="G16" s="135">
        <v>2.1298270000000001</v>
      </c>
      <c r="H16" s="135">
        <v>2.2880720000000001</v>
      </c>
      <c r="I16" s="135">
        <v>2.4375589999999998</v>
      </c>
      <c r="J16" s="135">
        <v>0</v>
      </c>
      <c r="K16" s="135">
        <v>979.86975099999995</v>
      </c>
    </row>
    <row r="17" spans="1:11">
      <c r="A17" s="135">
        <v>2039</v>
      </c>
      <c r="B17" s="135">
        <v>186.04432700000001</v>
      </c>
      <c r="C17" s="135">
        <v>337.47348</v>
      </c>
      <c r="D17" s="135">
        <v>1.9226080000000001</v>
      </c>
      <c r="E17" s="135">
        <v>0.496506</v>
      </c>
      <c r="F17" s="135">
        <v>448.545502</v>
      </c>
      <c r="G17" s="135">
        <v>2.0704880000000001</v>
      </c>
      <c r="H17" s="135">
        <v>2.2243240000000002</v>
      </c>
      <c r="I17" s="135">
        <v>2.3696470000000001</v>
      </c>
      <c r="J17" s="135">
        <v>0</v>
      </c>
      <c r="K17" s="135">
        <v>981.14685099999997</v>
      </c>
    </row>
    <row r="18" spans="1:11">
      <c r="A18" s="135">
        <v>2038</v>
      </c>
      <c r="B18" s="135">
        <v>199.508972</v>
      </c>
      <c r="C18" s="135">
        <v>336.64590500000003</v>
      </c>
      <c r="D18" s="135">
        <v>1.86426</v>
      </c>
      <c r="E18" s="135">
        <v>0.49760399999999999</v>
      </c>
      <c r="F18" s="135">
        <v>434.93289199999998</v>
      </c>
      <c r="G18" s="135">
        <v>2.0076529999999999</v>
      </c>
      <c r="H18" s="135">
        <v>2.1568200000000002</v>
      </c>
      <c r="I18" s="135">
        <v>2.2977319999999999</v>
      </c>
      <c r="J18" s="135">
        <v>0</v>
      </c>
      <c r="K18" s="135">
        <v>979.91186500000003</v>
      </c>
    </row>
    <row r="19" spans="1:11">
      <c r="A19" s="135">
        <v>2037</v>
      </c>
      <c r="B19" s="135">
        <v>210.32974200000001</v>
      </c>
      <c r="C19" s="135">
        <v>337.62747200000001</v>
      </c>
      <c r="D19" s="135">
        <v>1.8063149999999999</v>
      </c>
      <c r="E19" s="135">
        <v>0.498529</v>
      </c>
      <c r="F19" s="135">
        <v>421.41424599999999</v>
      </c>
      <c r="G19" s="135">
        <v>1.9452510000000001</v>
      </c>
      <c r="H19" s="135">
        <v>2.089782</v>
      </c>
      <c r="I19" s="135">
        <v>2.2263130000000002</v>
      </c>
      <c r="J19" s="135">
        <v>0</v>
      </c>
      <c r="K19" s="135">
        <v>977.93768299999999</v>
      </c>
    </row>
    <row r="20" spans="1:11">
      <c r="A20" s="135">
        <v>2036</v>
      </c>
      <c r="B20" s="135">
        <v>218.55239900000001</v>
      </c>
      <c r="C20" s="135">
        <v>344.63082900000001</v>
      </c>
      <c r="D20" s="135">
        <v>1.7622119999999999</v>
      </c>
      <c r="E20" s="135">
        <v>0.50331899999999996</v>
      </c>
      <c r="F20" s="135">
        <v>411.125092</v>
      </c>
      <c r="G20" s="135">
        <v>1.897756</v>
      </c>
      <c r="H20" s="135">
        <v>2.0387580000000001</v>
      </c>
      <c r="I20" s="135">
        <v>2.1719560000000002</v>
      </c>
      <c r="J20" s="135">
        <v>0</v>
      </c>
      <c r="K20" s="135">
        <v>982.68225099999995</v>
      </c>
    </row>
    <row r="21" spans="1:11">
      <c r="A21" s="135">
        <v>2035</v>
      </c>
      <c r="B21" s="135">
        <v>228.78547699999999</v>
      </c>
      <c r="C21" s="135">
        <v>348.27847300000002</v>
      </c>
      <c r="D21" s="135">
        <v>1.7158800000000001</v>
      </c>
      <c r="E21" s="135">
        <v>0.50743000000000005</v>
      </c>
      <c r="F21" s="135">
        <v>400.31573500000002</v>
      </c>
      <c r="G21" s="135">
        <v>1.8478600000000001</v>
      </c>
      <c r="H21" s="135">
        <v>1.985155</v>
      </c>
      <c r="I21" s="135">
        <v>2.1148509999999998</v>
      </c>
      <c r="J21" s="135">
        <v>0</v>
      </c>
      <c r="K21" s="135">
        <v>985.55090299999995</v>
      </c>
    </row>
    <row r="22" spans="1:11">
      <c r="A22" s="135">
        <v>2034</v>
      </c>
      <c r="B22" s="135">
        <v>236.77565000000001</v>
      </c>
      <c r="C22" s="135">
        <v>349.21078499999999</v>
      </c>
      <c r="D22" s="135">
        <v>1.657538</v>
      </c>
      <c r="E22" s="135">
        <v>0.50814300000000001</v>
      </c>
      <c r="F22" s="135">
        <v>386.70461999999998</v>
      </c>
      <c r="G22" s="135">
        <v>1.785031</v>
      </c>
      <c r="H22" s="135">
        <v>1.9176569999999999</v>
      </c>
      <c r="I22" s="135">
        <v>2.0429439999999999</v>
      </c>
      <c r="J22" s="135">
        <v>0</v>
      </c>
      <c r="K22" s="135">
        <v>980.60241699999995</v>
      </c>
    </row>
    <row r="23" spans="1:11">
      <c r="A23" s="135">
        <v>2033</v>
      </c>
      <c r="B23" s="135">
        <v>244.811722</v>
      </c>
      <c r="C23" s="135">
        <v>351.04898100000003</v>
      </c>
      <c r="D23" s="135">
        <v>1.604949</v>
      </c>
      <c r="E23" s="135">
        <v>0.51067099999999999</v>
      </c>
      <c r="F23" s="135">
        <v>374.43545499999999</v>
      </c>
      <c r="G23" s="135">
        <v>1.728396</v>
      </c>
      <c r="H23" s="135">
        <v>1.8568150000000001</v>
      </c>
      <c r="I23" s="135">
        <v>1.9781260000000001</v>
      </c>
      <c r="J23" s="135">
        <v>0</v>
      </c>
      <c r="K23" s="135">
        <v>977.975098</v>
      </c>
    </row>
    <row r="24" spans="1:11">
      <c r="A24" s="135">
        <v>2032</v>
      </c>
      <c r="B24" s="135">
        <v>250.27235400000001</v>
      </c>
      <c r="C24" s="135">
        <v>355.40701300000001</v>
      </c>
      <c r="D24" s="135">
        <v>1.5548869999999999</v>
      </c>
      <c r="E24" s="135">
        <v>0.51392700000000002</v>
      </c>
      <c r="F24" s="135">
        <v>362.756012</v>
      </c>
      <c r="G24" s="135">
        <v>1.6744840000000001</v>
      </c>
      <c r="H24" s="135">
        <v>1.798897</v>
      </c>
      <c r="I24" s="135">
        <v>1.9164239999999999</v>
      </c>
      <c r="J24" s="135">
        <v>0</v>
      </c>
      <c r="K24" s="135">
        <v>975.89404300000001</v>
      </c>
    </row>
    <row r="25" spans="1:11">
      <c r="A25" s="135">
        <v>2031</v>
      </c>
      <c r="B25" s="135">
        <v>256.645355</v>
      </c>
      <c r="C25" s="135">
        <v>357.63510100000002</v>
      </c>
      <c r="D25" s="135">
        <v>1.5043040000000001</v>
      </c>
      <c r="E25" s="135">
        <v>0.51693299999999998</v>
      </c>
      <c r="F25" s="135">
        <v>350.95504799999998</v>
      </c>
      <c r="G25" s="135">
        <v>1.6200110000000001</v>
      </c>
      <c r="H25" s="135">
        <v>1.7403770000000001</v>
      </c>
      <c r="I25" s="135">
        <v>1.8540810000000001</v>
      </c>
      <c r="J25" s="135">
        <v>0</v>
      </c>
      <c r="K25" s="135">
        <v>972.47125200000005</v>
      </c>
    </row>
    <row r="26" spans="1:11">
      <c r="A26" s="135">
        <v>2030</v>
      </c>
      <c r="B26" s="135">
        <v>262.66973899999999</v>
      </c>
      <c r="C26" s="135">
        <v>360.65728799999999</v>
      </c>
      <c r="D26" s="135">
        <v>1.4582569999999999</v>
      </c>
      <c r="E26" s="135">
        <v>0.52147699999999997</v>
      </c>
      <c r="F26" s="135">
        <v>340.62298600000003</v>
      </c>
      <c r="G26" s="135">
        <v>1.570422</v>
      </c>
      <c r="H26" s="135">
        <v>1.687103</v>
      </c>
      <c r="I26" s="135">
        <v>1.797326</v>
      </c>
      <c r="J26" s="135">
        <v>0</v>
      </c>
      <c r="K26" s="135">
        <v>970.98468000000003</v>
      </c>
    </row>
    <row r="27" spans="1:11">
      <c r="A27" s="135">
        <v>2029</v>
      </c>
      <c r="B27" s="135">
        <v>270.68841600000002</v>
      </c>
      <c r="C27" s="135">
        <v>369.00195300000001</v>
      </c>
      <c r="D27" s="135">
        <v>1.430736</v>
      </c>
      <c r="E27" s="135">
        <v>0.53297399999999995</v>
      </c>
      <c r="F27" s="135">
        <v>334.625854</v>
      </c>
      <c r="G27" s="135">
        <v>1.5407839999999999</v>
      </c>
      <c r="H27" s="135">
        <v>1.6552629999999999</v>
      </c>
      <c r="I27" s="135">
        <v>1.763406</v>
      </c>
      <c r="J27" s="135">
        <v>0</v>
      </c>
      <c r="K27" s="135">
        <v>981.23956299999998</v>
      </c>
    </row>
    <row r="28" spans="1:11">
      <c r="A28" s="135">
        <v>2028</v>
      </c>
      <c r="B28" s="135">
        <v>271.92001299999998</v>
      </c>
      <c r="C28" s="135">
        <v>367.16564899999997</v>
      </c>
      <c r="D28" s="135">
        <v>1.367756</v>
      </c>
      <c r="E28" s="135">
        <v>0.53148200000000001</v>
      </c>
      <c r="F28" s="135">
        <v>320.46148699999998</v>
      </c>
      <c r="G28" s="135">
        <v>1.47296</v>
      </c>
      <c r="H28" s="135">
        <v>1.5824</v>
      </c>
      <c r="I28" s="135">
        <v>1.685783</v>
      </c>
      <c r="J28" s="135">
        <v>0</v>
      </c>
      <c r="K28" s="135">
        <v>966.18756099999996</v>
      </c>
    </row>
    <row r="29" spans="1:11">
      <c r="A29" s="135">
        <v>2027</v>
      </c>
      <c r="B29" s="135">
        <v>269.96063199999998</v>
      </c>
      <c r="C29" s="135">
        <v>368.80770899999999</v>
      </c>
      <c r="D29" s="135">
        <v>1.310783</v>
      </c>
      <c r="E29" s="135">
        <v>0.53358700000000003</v>
      </c>
      <c r="F29" s="135">
        <v>308.562927</v>
      </c>
      <c r="G29" s="135">
        <v>1.4116040000000001</v>
      </c>
      <c r="H29" s="135">
        <v>1.5164850000000001</v>
      </c>
      <c r="I29" s="135">
        <v>1.6155619999999999</v>
      </c>
      <c r="J29" s="135">
        <v>0</v>
      </c>
      <c r="K29" s="135">
        <v>953.71936000000005</v>
      </c>
    </row>
    <row r="30" spans="1:11">
      <c r="A30" s="135">
        <v>2026</v>
      </c>
      <c r="B30" s="135">
        <v>273.16470299999997</v>
      </c>
      <c r="C30" s="135">
        <v>377.43167099999999</v>
      </c>
      <c r="D30" s="135">
        <v>1.2895080000000001</v>
      </c>
      <c r="E30" s="135">
        <v>0.55846799999999996</v>
      </c>
      <c r="F30" s="135">
        <v>309.47274800000002</v>
      </c>
      <c r="G30" s="135">
        <v>1.388693</v>
      </c>
      <c r="H30" s="135">
        <v>1.4918720000000001</v>
      </c>
      <c r="I30" s="135">
        <v>1.58934</v>
      </c>
      <c r="J30" s="135">
        <v>0</v>
      </c>
      <c r="K30" s="135">
        <v>966.38690199999996</v>
      </c>
    </row>
    <row r="31" spans="1:11">
      <c r="A31" s="135">
        <v>2025</v>
      </c>
      <c r="B31" s="135">
        <v>268.64215100000001</v>
      </c>
      <c r="C31" s="135">
        <v>378.94164999999998</v>
      </c>
      <c r="D31" s="135">
        <v>1.2498549999999999</v>
      </c>
      <c r="E31" s="135">
        <v>0.58546100000000001</v>
      </c>
      <c r="F31" s="135">
        <v>311.01882899999998</v>
      </c>
      <c r="G31" s="135">
        <v>1.34599</v>
      </c>
      <c r="H31" s="135">
        <v>1.4459960000000001</v>
      </c>
      <c r="I31" s="135">
        <v>1.5404679999999999</v>
      </c>
      <c r="J31" s="135">
        <v>0</v>
      </c>
      <c r="K31" s="135">
        <v>964.77038600000003</v>
      </c>
    </row>
    <row r="32" spans="1:11">
      <c r="A32" s="135">
        <v>2024</v>
      </c>
      <c r="B32" s="135">
        <v>256.30319200000002</v>
      </c>
      <c r="C32" s="135">
        <v>370.47814899999997</v>
      </c>
      <c r="D32" s="135">
        <v>1.18303</v>
      </c>
      <c r="E32" s="135">
        <v>0.60292599999999996</v>
      </c>
      <c r="F32" s="135">
        <v>307.91522200000003</v>
      </c>
      <c r="G32" s="135">
        <v>1.274025</v>
      </c>
      <c r="H32" s="135">
        <v>1.368684</v>
      </c>
      <c r="I32" s="135">
        <v>1.458105</v>
      </c>
      <c r="J32" s="135">
        <v>0</v>
      </c>
      <c r="K32" s="135">
        <v>940.58337400000005</v>
      </c>
    </row>
    <row r="33" spans="1:11">
      <c r="A33" s="135">
        <v>2023</v>
      </c>
      <c r="B33" s="135">
        <v>241.69340500000001</v>
      </c>
      <c r="C33" s="135">
        <v>356.18954500000001</v>
      </c>
      <c r="D33" s="135">
        <v>1.107456</v>
      </c>
      <c r="E33" s="135">
        <v>0.61705100000000002</v>
      </c>
      <c r="F33" s="135">
        <v>303.46545400000002</v>
      </c>
      <c r="G33" s="135">
        <v>1.1926380000000001</v>
      </c>
      <c r="H33" s="135">
        <v>1.28125</v>
      </c>
      <c r="I33" s="135">
        <v>1.3649579999999999</v>
      </c>
      <c r="J33" s="135">
        <v>0</v>
      </c>
      <c r="K33" s="135">
        <v>906.911743</v>
      </c>
    </row>
    <row r="34" spans="1:11">
      <c r="A34" s="135">
        <v>2022</v>
      </c>
      <c r="B34" s="135">
        <v>229.101303</v>
      </c>
      <c r="C34" s="135">
        <v>341.420502</v>
      </c>
      <c r="D34" s="135">
        <v>1.0420659999999999</v>
      </c>
      <c r="E34" s="135">
        <v>0.63706600000000002</v>
      </c>
      <c r="F34" s="135">
        <v>303.149292</v>
      </c>
      <c r="G34" s="135">
        <v>1.124236</v>
      </c>
      <c r="H34" s="135">
        <v>1.2055990000000001</v>
      </c>
      <c r="I34" s="135">
        <v>1.2843640000000001</v>
      </c>
      <c r="J34" s="135">
        <v>0</v>
      </c>
      <c r="K34" s="135">
        <v>878.96453899999995</v>
      </c>
    </row>
    <row r="35" spans="1:11">
      <c r="A35" s="135">
        <v>2021</v>
      </c>
      <c r="B35" s="135">
        <v>209.25556900000001</v>
      </c>
      <c r="C35" s="135">
        <v>316.24591099999998</v>
      </c>
      <c r="D35" s="135">
        <v>0.94705799999999996</v>
      </c>
      <c r="E35" s="135">
        <v>0.63694700000000004</v>
      </c>
      <c r="F35" s="135">
        <v>292.40875199999999</v>
      </c>
      <c r="G35" s="135">
        <v>1.0340469999999999</v>
      </c>
      <c r="H35" s="135">
        <v>1.0956809999999999</v>
      </c>
      <c r="I35" s="135">
        <v>1.167265</v>
      </c>
      <c r="J35" s="135">
        <v>0</v>
      </c>
      <c r="K35" s="135">
        <v>822.79125999999997</v>
      </c>
    </row>
    <row r="36" spans="1:11">
      <c r="A36" s="135">
        <v>2020</v>
      </c>
      <c r="B36" s="135">
        <v>180.749008</v>
      </c>
      <c r="C36" s="135">
        <v>276.82663000000002</v>
      </c>
      <c r="D36" s="135">
        <v>0.81437199999999998</v>
      </c>
      <c r="E36" s="135">
        <v>0.60410600000000003</v>
      </c>
      <c r="F36" s="135">
        <v>266.90481599999998</v>
      </c>
      <c r="G36" s="135">
        <v>0.89579500000000001</v>
      </c>
      <c r="H36" s="135">
        <v>0.94217200000000001</v>
      </c>
      <c r="I36" s="135">
        <v>1.003727</v>
      </c>
      <c r="J36" s="135">
        <v>0</v>
      </c>
      <c r="K36" s="135">
        <v>728.74066200000004</v>
      </c>
    </row>
    <row r="37" spans="1:11">
      <c r="A37" s="135">
        <v>2019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195"/>
  <sheetViews>
    <sheetView topLeftCell="A19" workbookViewId="0"/>
  </sheetViews>
  <sheetFormatPr defaultRowHeight="15" customHeight="1"/>
  <cols>
    <col min="1" max="1" width="19.36328125" style="46" customWidth="1"/>
  </cols>
  <sheetData>
    <row r="1" spans="1:39" ht="15" customHeight="1" thickBot="1">
      <c r="A1" s="46" t="s">
        <v>1347</v>
      </c>
      <c r="B1" s="60"/>
      <c r="C1" s="60"/>
      <c r="D1" s="60"/>
      <c r="E1" s="60"/>
      <c r="F1" s="60">
        <v>2020</v>
      </c>
      <c r="G1" s="60">
        <v>2021</v>
      </c>
      <c r="H1" s="60">
        <v>2022</v>
      </c>
      <c r="I1" s="60">
        <v>2023</v>
      </c>
      <c r="J1" s="60">
        <v>2024</v>
      </c>
      <c r="K1" s="60">
        <v>2025</v>
      </c>
      <c r="L1" s="60">
        <v>2026</v>
      </c>
      <c r="M1" s="60">
        <v>2027</v>
      </c>
      <c r="N1" s="60">
        <v>2028</v>
      </c>
      <c r="O1" s="60">
        <v>2029</v>
      </c>
      <c r="P1" s="60">
        <v>2030</v>
      </c>
      <c r="Q1" s="60">
        <v>2031</v>
      </c>
      <c r="R1" s="60">
        <v>2032</v>
      </c>
      <c r="S1" s="60">
        <v>2033</v>
      </c>
      <c r="T1" s="60">
        <v>2034</v>
      </c>
      <c r="U1" s="60">
        <v>2035</v>
      </c>
      <c r="V1" s="60">
        <v>2036</v>
      </c>
      <c r="W1" s="60">
        <v>2037</v>
      </c>
      <c r="X1" s="60">
        <v>2038</v>
      </c>
      <c r="Y1" s="60">
        <v>2039</v>
      </c>
      <c r="Z1" s="60">
        <v>2040</v>
      </c>
      <c r="AA1" s="60">
        <v>2041</v>
      </c>
      <c r="AB1" s="60">
        <v>2042</v>
      </c>
      <c r="AC1" s="60">
        <v>2043</v>
      </c>
      <c r="AD1" s="60">
        <v>2044</v>
      </c>
      <c r="AE1" s="60">
        <v>2045</v>
      </c>
      <c r="AF1" s="60">
        <v>2046</v>
      </c>
      <c r="AG1" s="60">
        <v>2047</v>
      </c>
      <c r="AH1" s="60">
        <v>2048</v>
      </c>
      <c r="AI1" s="60">
        <v>2049</v>
      </c>
      <c r="AJ1" s="60">
        <v>2050</v>
      </c>
      <c r="AK1" s="60" t="s">
        <v>1290</v>
      </c>
      <c r="AL1" s="27"/>
    </row>
    <row r="2" spans="1:39" ht="15" customHeight="1" thickTop="1"/>
    <row r="10" spans="1:39" ht="15" customHeight="1">
      <c r="A10" s="117" t="s">
        <v>290</v>
      </c>
      <c r="B10" t="s">
        <v>1801</v>
      </c>
    </row>
    <row r="11" spans="1:39" ht="15" customHeight="1">
      <c r="B11" t="s">
        <v>1802</v>
      </c>
    </row>
    <row r="12" spans="1:39" ht="15" customHeight="1">
      <c r="B12" t="s">
        <v>1803</v>
      </c>
      <c r="AL12" s="5"/>
      <c r="AM12" s="5"/>
    </row>
    <row r="13" spans="1:39" ht="15" customHeight="1" thickBot="1">
      <c r="B13" t="s">
        <v>1198</v>
      </c>
      <c r="AL13" s="27"/>
      <c r="AM13" s="27"/>
    </row>
    <row r="14" spans="1:39" ht="15" customHeight="1" thickTop="1">
      <c r="C14" t="s">
        <v>1199</v>
      </c>
      <c r="D14" t="s">
        <v>1288</v>
      </c>
      <c r="E14" t="s">
        <v>1289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1290</v>
      </c>
    </row>
    <row r="15" spans="1:39" ht="15" customHeight="1">
      <c r="A15" s="117" t="s">
        <v>289</v>
      </c>
      <c r="B15" t="s">
        <v>288</v>
      </c>
      <c r="C15" t="s">
        <v>1843</v>
      </c>
      <c r="D15" t="s">
        <v>1844</v>
      </c>
      <c r="E15" t="s">
        <v>1845</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115">
        <v>2.1000000000000001E-2</v>
      </c>
      <c r="AL15" s="39"/>
      <c r="AM15" s="36"/>
    </row>
    <row r="16" spans="1:39" ht="15" customHeight="1">
      <c r="A16" s="117"/>
      <c r="B16" t="s">
        <v>287</v>
      </c>
      <c r="D16" t="s">
        <v>1846</v>
      </c>
    </row>
    <row r="17" spans="1:39" ht="15" customHeight="1">
      <c r="A17" s="117" t="s">
        <v>286</v>
      </c>
      <c r="B17" t="s">
        <v>1804</v>
      </c>
      <c r="C17" t="s">
        <v>1847</v>
      </c>
      <c r="D17" t="s">
        <v>1848</v>
      </c>
      <c r="E17" t="s">
        <v>1849</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115">
        <v>1.4999999999999999E-2</v>
      </c>
      <c r="AL17" s="33"/>
      <c r="AM17" s="32"/>
    </row>
    <row r="18" spans="1:39" ht="15" customHeight="1">
      <c r="A18" s="117" t="s">
        <v>285</v>
      </c>
      <c r="B18" t="s">
        <v>1805</v>
      </c>
      <c r="C18" t="s">
        <v>1850</v>
      </c>
      <c r="D18" t="s">
        <v>1851</v>
      </c>
      <c r="E18" t="s">
        <v>1849</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115">
        <v>1.6E-2</v>
      </c>
      <c r="AL18" s="33"/>
      <c r="AM18" s="32"/>
    </row>
    <row r="19" spans="1:39" ht="15" customHeight="1">
      <c r="A19" s="117" t="s">
        <v>284</v>
      </c>
      <c r="B19" t="s">
        <v>1806</v>
      </c>
      <c r="C19" t="s">
        <v>1852</v>
      </c>
      <c r="D19" t="s">
        <v>1853</v>
      </c>
      <c r="E19" t="s">
        <v>1849</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115">
        <v>1.6E-2</v>
      </c>
      <c r="AL19" s="33"/>
      <c r="AM19" s="32"/>
    </row>
    <row r="20" spans="1:39" ht="15" customHeight="1">
      <c r="A20" s="117"/>
      <c r="B20" t="s">
        <v>283</v>
      </c>
      <c r="D20" t="s">
        <v>1854</v>
      </c>
    </row>
    <row r="21" spans="1:39" ht="15" customHeight="1">
      <c r="A21" s="117" t="s">
        <v>282</v>
      </c>
      <c r="B21" t="s">
        <v>1807</v>
      </c>
      <c r="C21" t="s">
        <v>1855</v>
      </c>
      <c r="D21" t="s">
        <v>1856</v>
      </c>
      <c r="E21" t="s">
        <v>1857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115">
        <v>1.4E-2</v>
      </c>
      <c r="AL21" s="34"/>
      <c r="AM21" s="32"/>
    </row>
    <row r="22" spans="1:39" ht="15" customHeight="1">
      <c r="A22" s="117" t="s">
        <v>281</v>
      </c>
      <c r="B22" t="s">
        <v>1808</v>
      </c>
      <c r="C22" t="s">
        <v>1858</v>
      </c>
      <c r="D22" t="s">
        <v>1859</v>
      </c>
      <c r="E22" t="s">
        <v>1857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115">
        <v>7.0000000000000001E-3</v>
      </c>
      <c r="AL22" s="34"/>
      <c r="AM22" s="32"/>
    </row>
    <row r="23" spans="1:39" ht="15" customHeight="1">
      <c r="A23" s="117"/>
      <c r="B23" t="s">
        <v>280</v>
      </c>
      <c r="D23" t="s">
        <v>1860</v>
      </c>
    </row>
    <row r="24" spans="1:39" ht="15" customHeight="1">
      <c r="A24" s="117"/>
      <c r="B24" t="s">
        <v>1809</v>
      </c>
      <c r="D24" t="s">
        <v>1861</v>
      </c>
    </row>
    <row r="25" spans="1:39" ht="15" customHeight="1">
      <c r="A25" s="117" t="s">
        <v>279</v>
      </c>
      <c r="B25" t="s">
        <v>1810</v>
      </c>
      <c r="C25" t="s">
        <v>1862</v>
      </c>
      <c r="D25" t="s">
        <v>1863</v>
      </c>
      <c r="E25" t="s">
        <v>1864</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115">
        <v>5.0000000000000001E-3</v>
      </c>
      <c r="AL25" s="31"/>
      <c r="AM25" s="32"/>
    </row>
    <row r="26" spans="1:39" ht="15" customHeight="1">
      <c r="A26" s="117" t="s">
        <v>278</v>
      </c>
      <c r="B26" t="s">
        <v>1811</v>
      </c>
      <c r="C26" t="s">
        <v>1865</v>
      </c>
      <c r="D26" t="s">
        <v>1866</v>
      </c>
      <c r="E26" t="s">
        <v>1864</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115">
        <v>8.0000000000000002E-3</v>
      </c>
      <c r="AL26" s="31"/>
      <c r="AM26" s="32"/>
    </row>
    <row r="27" spans="1:39" ht="15" customHeight="1">
      <c r="A27" s="117" t="s">
        <v>277</v>
      </c>
      <c r="B27" t="s">
        <v>1812</v>
      </c>
      <c r="C27" t="s">
        <v>1867</v>
      </c>
      <c r="D27" t="s">
        <v>1868</v>
      </c>
      <c r="E27" t="s">
        <v>1864</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115">
        <v>6.0000000000000001E-3</v>
      </c>
      <c r="AL27" s="31"/>
      <c r="AM27" s="32"/>
    </row>
    <row r="28" spans="1:39" ht="15" customHeight="1">
      <c r="A28" s="117" t="s">
        <v>276</v>
      </c>
      <c r="B28" t="s">
        <v>1813</v>
      </c>
      <c r="C28" t="s">
        <v>1869</v>
      </c>
      <c r="D28" t="s">
        <v>1870</v>
      </c>
      <c r="E28" t="s">
        <v>1864</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115">
        <v>4.0000000000000001E-3</v>
      </c>
      <c r="AL28" s="31"/>
      <c r="AM28" s="32"/>
    </row>
    <row r="29" spans="1:39" ht="15" customHeight="1">
      <c r="A29" s="117" t="s">
        <v>275</v>
      </c>
      <c r="B29" t="s">
        <v>1814</v>
      </c>
      <c r="C29" t="s">
        <v>1871</v>
      </c>
      <c r="D29" t="s">
        <v>1872</v>
      </c>
      <c r="E29" t="s">
        <v>1864</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115">
        <v>1E-3</v>
      </c>
      <c r="AL29" s="31"/>
      <c r="AM29" s="32"/>
    </row>
    <row r="30" spans="1:39" ht="15" customHeight="1">
      <c r="A30" s="117" t="s">
        <v>274</v>
      </c>
      <c r="B30" t="s">
        <v>1815</v>
      </c>
      <c r="C30" t="s">
        <v>1873</v>
      </c>
      <c r="D30" t="s">
        <v>1874</v>
      </c>
      <c r="E30" t="s">
        <v>1864</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115">
        <v>2.1000000000000001E-2</v>
      </c>
      <c r="AL30" s="31"/>
      <c r="AM30" s="32"/>
    </row>
    <row r="31" spans="1:39" ht="15" customHeight="1">
      <c r="A31" s="117" t="s">
        <v>273</v>
      </c>
      <c r="B31" t="s">
        <v>1816</v>
      </c>
      <c r="C31" t="s">
        <v>1875</v>
      </c>
      <c r="D31" t="s">
        <v>1876</v>
      </c>
      <c r="E31" t="s">
        <v>1864</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115">
        <v>1.2999999999999999E-2</v>
      </c>
      <c r="AL31" s="31"/>
      <c r="AM31" s="32"/>
    </row>
    <row r="32" spans="1:39" ht="15" customHeight="1">
      <c r="A32" s="117" t="s">
        <v>272</v>
      </c>
      <c r="B32" t="s">
        <v>1817</v>
      </c>
      <c r="C32" t="s">
        <v>1877</v>
      </c>
      <c r="D32" t="s">
        <v>1878</v>
      </c>
      <c r="E32" t="s">
        <v>1864</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115">
        <v>1E-3</v>
      </c>
      <c r="AL32" s="31"/>
      <c r="AM32" s="32"/>
    </row>
    <row r="33" spans="1:39" ht="15" customHeight="1">
      <c r="A33" s="117" t="s">
        <v>271</v>
      </c>
      <c r="B33" t="s">
        <v>1818</v>
      </c>
      <c r="C33" t="s">
        <v>1879</v>
      </c>
      <c r="D33" t="s">
        <v>1880</v>
      </c>
      <c r="E33" t="s">
        <v>1864</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115">
        <v>-1E-3</v>
      </c>
      <c r="AL33" s="31"/>
      <c r="AM33" s="32"/>
    </row>
    <row r="34" spans="1:39" ht="15" customHeight="1">
      <c r="A34" s="117" t="s">
        <v>270</v>
      </c>
      <c r="B34" t="s">
        <v>1819</v>
      </c>
      <c r="C34" t="s">
        <v>1881</v>
      </c>
      <c r="D34" t="s">
        <v>1882</v>
      </c>
      <c r="E34" t="s">
        <v>1864</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115">
        <v>-4.0000000000000001E-3</v>
      </c>
      <c r="AL34" s="31"/>
      <c r="AM34" s="32"/>
    </row>
    <row r="35" spans="1:39" ht="15" customHeight="1">
      <c r="A35" s="117" t="s">
        <v>269</v>
      </c>
      <c r="B35" t="s">
        <v>1820</v>
      </c>
      <c r="C35" t="s">
        <v>1883</v>
      </c>
      <c r="D35" t="s">
        <v>1884</v>
      </c>
      <c r="E35" t="s">
        <v>1864</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115">
        <v>5.0000000000000001E-3</v>
      </c>
      <c r="AL35" s="31"/>
      <c r="AM35" s="32"/>
    </row>
    <row r="36" spans="1:39" ht="15" customHeight="1">
      <c r="A36" s="117" t="s">
        <v>268</v>
      </c>
      <c r="B36" t="s">
        <v>1821</v>
      </c>
      <c r="C36" t="s">
        <v>1885</v>
      </c>
      <c r="D36" t="s">
        <v>1886</v>
      </c>
      <c r="E36" t="s">
        <v>1864</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115">
        <v>7.0000000000000001E-3</v>
      </c>
      <c r="AL36" s="31"/>
      <c r="AM36" s="32"/>
    </row>
    <row r="37" spans="1:39" ht="15" customHeight="1">
      <c r="A37" s="117" t="s">
        <v>267</v>
      </c>
      <c r="B37" t="s">
        <v>1822</v>
      </c>
      <c r="C37" t="s">
        <v>1887</v>
      </c>
      <c r="D37" t="s">
        <v>1888</v>
      </c>
      <c r="E37" t="s">
        <v>1864</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115">
        <v>1.2E-2</v>
      </c>
      <c r="AL37" s="31"/>
      <c r="AM37" s="32"/>
    </row>
    <row r="38" spans="1:39" ht="15" customHeight="1">
      <c r="A38" s="117"/>
      <c r="B38" t="s">
        <v>266</v>
      </c>
      <c r="D38" t="s">
        <v>1889</v>
      </c>
    </row>
    <row r="39" spans="1:39" ht="15" customHeight="1">
      <c r="A39" s="117"/>
      <c r="B39" t="s">
        <v>1823</v>
      </c>
      <c r="D39" t="s">
        <v>1890</v>
      </c>
    </row>
    <row r="40" spans="1:39" ht="15" customHeight="1">
      <c r="A40" s="117"/>
      <c r="B40" t="s">
        <v>1804</v>
      </c>
      <c r="D40" t="s">
        <v>1891</v>
      </c>
    </row>
    <row r="41" spans="1:39" ht="15" customHeight="1">
      <c r="A41" s="117" t="s">
        <v>265</v>
      </c>
      <c r="B41" t="s">
        <v>1810</v>
      </c>
      <c r="C41" t="s">
        <v>1892</v>
      </c>
      <c r="D41" t="s">
        <v>1893</v>
      </c>
      <c r="E41" t="s">
        <v>1894</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115">
        <v>4.1000000000000002E-2</v>
      </c>
      <c r="AL41" s="31"/>
      <c r="AM41" s="32"/>
    </row>
    <row r="42" spans="1:39" ht="15" customHeight="1">
      <c r="A42" s="117" t="s">
        <v>264</v>
      </c>
      <c r="B42" t="s">
        <v>1811</v>
      </c>
      <c r="C42" t="s">
        <v>1895</v>
      </c>
      <c r="D42" t="s">
        <v>1896</v>
      </c>
      <c r="E42" t="s">
        <v>1894</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115">
        <v>4.3999999999999997E-2</v>
      </c>
      <c r="AL42" s="31"/>
      <c r="AM42" s="32"/>
    </row>
    <row r="43" spans="1:39" ht="15" customHeight="1">
      <c r="A43" s="117" t="s">
        <v>263</v>
      </c>
      <c r="B43" t="s">
        <v>1812</v>
      </c>
      <c r="C43" t="s">
        <v>1897</v>
      </c>
      <c r="D43" t="s">
        <v>1898</v>
      </c>
      <c r="E43" t="s">
        <v>1894</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115">
        <v>4.5999999999999999E-2</v>
      </c>
      <c r="AL43" s="31"/>
      <c r="AM43" s="32"/>
    </row>
    <row r="44" spans="1:39" ht="15" customHeight="1">
      <c r="A44" s="117" t="s">
        <v>262</v>
      </c>
      <c r="B44" t="s">
        <v>1813</v>
      </c>
      <c r="C44" t="s">
        <v>1899</v>
      </c>
      <c r="D44" t="s">
        <v>1900</v>
      </c>
      <c r="E44" t="s">
        <v>1894</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115">
        <v>7.4999999999999997E-2</v>
      </c>
      <c r="AL44" s="31"/>
      <c r="AM44" s="32"/>
    </row>
    <row r="45" spans="1:39" ht="15" customHeight="1">
      <c r="A45" s="117" t="s">
        <v>261</v>
      </c>
      <c r="B45" t="s">
        <v>1814</v>
      </c>
      <c r="C45" t="s">
        <v>1901</v>
      </c>
      <c r="D45" t="s">
        <v>1902</v>
      </c>
      <c r="E45" t="s">
        <v>1894</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115">
        <v>5.2999999999999999E-2</v>
      </c>
      <c r="AL45" s="31"/>
      <c r="AM45" s="32"/>
    </row>
    <row r="46" spans="1:39" ht="15" customHeight="1">
      <c r="A46" s="117" t="s">
        <v>260</v>
      </c>
      <c r="B46" t="s">
        <v>1815</v>
      </c>
      <c r="C46" t="s">
        <v>1903</v>
      </c>
      <c r="D46" t="s">
        <v>1904</v>
      </c>
      <c r="E46" t="s">
        <v>1894</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115">
        <v>8.5000000000000006E-2</v>
      </c>
      <c r="AL46" s="31"/>
      <c r="AM46" s="32"/>
    </row>
    <row r="47" spans="1:39" ht="15" customHeight="1">
      <c r="A47" s="117" t="s">
        <v>259</v>
      </c>
      <c r="B47" t="s">
        <v>1816</v>
      </c>
      <c r="C47" t="s">
        <v>1905</v>
      </c>
      <c r="D47" t="s">
        <v>1906</v>
      </c>
      <c r="E47" t="s">
        <v>1894</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115">
        <v>6.0999999999999999E-2</v>
      </c>
      <c r="AL47" s="31"/>
      <c r="AM47" s="32"/>
    </row>
    <row r="48" spans="1:39" ht="15" customHeight="1">
      <c r="A48" s="117" t="s">
        <v>258</v>
      </c>
      <c r="B48" t="s">
        <v>1817</v>
      </c>
      <c r="C48" t="s">
        <v>1907</v>
      </c>
      <c r="D48" t="s">
        <v>1908</v>
      </c>
      <c r="E48" t="s">
        <v>1894</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115">
        <v>3.6999999999999998E-2</v>
      </c>
      <c r="AL48" s="31"/>
      <c r="AM48" s="32"/>
    </row>
    <row r="49" spans="1:39" ht="15" customHeight="1">
      <c r="A49" s="117" t="s">
        <v>257</v>
      </c>
      <c r="B49" t="s">
        <v>1818</v>
      </c>
      <c r="C49" t="s">
        <v>1909</v>
      </c>
      <c r="D49" t="s">
        <v>1910</v>
      </c>
      <c r="E49" t="s">
        <v>1894</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115">
        <v>5.5E-2</v>
      </c>
      <c r="AL49" s="31"/>
      <c r="AM49" s="32"/>
    </row>
    <row r="50" spans="1:39" ht="15" customHeight="1">
      <c r="A50" s="117" t="s">
        <v>256</v>
      </c>
      <c r="B50" t="s">
        <v>1819</v>
      </c>
      <c r="C50" t="s">
        <v>1911</v>
      </c>
      <c r="D50" t="s">
        <v>1912</v>
      </c>
      <c r="E50" t="s">
        <v>1894</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115">
        <v>3.2000000000000001E-2</v>
      </c>
      <c r="AL50" s="31"/>
      <c r="AM50" s="32"/>
    </row>
    <row r="51" spans="1:39" ht="15" customHeight="1">
      <c r="A51" s="117" t="s">
        <v>255</v>
      </c>
      <c r="B51" t="s">
        <v>1820</v>
      </c>
      <c r="C51" t="s">
        <v>1913</v>
      </c>
      <c r="D51" t="s">
        <v>1914</v>
      </c>
      <c r="E51" t="s">
        <v>1894</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115">
        <v>7.2999999999999995E-2</v>
      </c>
      <c r="AL51" s="31"/>
      <c r="AM51" s="32"/>
    </row>
    <row r="52" spans="1:39" ht="15" customHeight="1">
      <c r="A52" s="117" t="s">
        <v>254</v>
      </c>
      <c r="B52" t="s">
        <v>1821</v>
      </c>
      <c r="C52" t="s">
        <v>1915</v>
      </c>
      <c r="D52" t="s">
        <v>1916</v>
      </c>
      <c r="E52" t="s">
        <v>1894</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115">
        <v>8.5000000000000006E-2</v>
      </c>
      <c r="AL52" s="31"/>
      <c r="AM52" s="32"/>
    </row>
    <row r="53" spans="1:39" ht="15" customHeight="1">
      <c r="A53" s="117" t="s">
        <v>253</v>
      </c>
      <c r="B53" t="s">
        <v>1822</v>
      </c>
      <c r="C53" t="s">
        <v>1917</v>
      </c>
      <c r="D53" t="s">
        <v>1918</v>
      </c>
      <c r="E53" t="s">
        <v>1894</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115">
        <v>5.2999999999999999E-2</v>
      </c>
      <c r="AL53" s="31"/>
      <c r="AM53" s="32"/>
    </row>
    <row r="54" spans="1:39" ht="15" customHeight="1">
      <c r="A54" s="117"/>
      <c r="B54" t="s">
        <v>1805</v>
      </c>
      <c r="D54" t="s">
        <v>1919</v>
      </c>
    </row>
    <row r="55" spans="1:39" ht="15" customHeight="1">
      <c r="A55" s="117" t="s">
        <v>252</v>
      </c>
      <c r="B55" t="s">
        <v>1810</v>
      </c>
      <c r="C55" t="s">
        <v>1920</v>
      </c>
      <c r="D55" t="s">
        <v>1921</v>
      </c>
      <c r="E55" t="s">
        <v>1894</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115">
        <v>8.1000000000000003E-2</v>
      </c>
      <c r="AL55" s="31"/>
      <c r="AM55" s="32"/>
    </row>
    <row r="56" spans="1:39" ht="15" customHeight="1">
      <c r="A56" s="117" t="s">
        <v>251</v>
      </c>
      <c r="B56" t="s">
        <v>1811</v>
      </c>
      <c r="C56" t="s">
        <v>1922</v>
      </c>
      <c r="D56" t="s">
        <v>1923</v>
      </c>
      <c r="E56" t="s">
        <v>1894</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115">
        <v>8.5999999999999993E-2</v>
      </c>
      <c r="AL56" s="31"/>
      <c r="AM56" s="32"/>
    </row>
    <row r="57" spans="1:39" ht="15" customHeight="1">
      <c r="A57" s="117" t="s">
        <v>250</v>
      </c>
      <c r="B57" t="s">
        <v>1812</v>
      </c>
      <c r="C57" t="s">
        <v>1924</v>
      </c>
      <c r="D57" t="s">
        <v>1925</v>
      </c>
      <c r="E57" t="s">
        <v>1894</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115">
        <v>9.5000000000000001E-2</v>
      </c>
      <c r="AL57" s="31"/>
      <c r="AM57" s="32"/>
    </row>
    <row r="58" spans="1:39" ht="15" customHeight="1">
      <c r="A58" s="117" t="s">
        <v>249</v>
      </c>
      <c r="B58" t="s">
        <v>1813</v>
      </c>
      <c r="C58" t="s">
        <v>1926</v>
      </c>
      <c r="D58" t="s">
        <v>1927</v>
      </c>
      <c r="E58" t="s">
        <v>1894</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115">
        <v>9.9000000000000005E-2</v>
      </c>
      <c r="AL58" s="31"/>
      <c r="AM58" s="32"/>
    </row>
    <row r="59" spans="1:39" ht="15" customHeight="1">
      <c r="A59" s="117" t="s">
        <v>248</v>
      </c>
      <c r="B59" t="s">
        <v>1814</v>
      </c>
      <c r="C59" t="s">
        <v>1928</v>
      </c>
      <c r="D59" t="s">
        <v>1929</v>
      </c>
      <c r="E59" t="s">
        <v>1894</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115">
        <v>9.2999999999999999E-2</v>
      </c>
      <c r="AL59" s="31"/>
      <c r="AM59" s="32"/>
    </row>
    <row r="60" spans="1:39" ht="15" customHeight="1">
      <c r="A60" s="117" t="s">
        <v>247</v>
      </c>
      <c r="B60" t="s">
        <v>1815</v>
      </c>
      <c r="C60" t="s">
        <v>1930</v>
      </c>
      <c r="D60" t="s">
        <v>1931</v>
      </c>
      <c r="E60" t="s">
        <v>1894</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115">
        <v>0.105</v>
      </c>
      <c r="AL60" s="31"/>
      <c r="AM60" s="32"/>
    </row>
    <row r="61" spans="1:39" ht="15" customHeight="1">
      <c r="A61" s="117" t="s">
        <v>246</v>
      </c>
      <c r="B61" t="s">
        <v>1816</v>
      </c>
      <c r="C61" t="s">
        <v>1932</v>
      </c>
      <c r="D61" t="s">
        <v>1933</v>
      </c>
      <c r="E61" t="s">
        <v>1894</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115">
        <v>8.7999999999999995E-2</v>
      </c>
      <c r="AL61" s="31"/>
      <c r="AM61" s="32"/>
    </row>
    <row r="62" spans="1:39" ht="15" customHeight="1">
      <c r="A62" s="117" t="s">
        <v>245</v>
      </c>
      <c r="B62" t="s">
        <v>1817</v>
      </c>
      <c r="C62" t="s">
        <v>1934</v>
      </c>
      <c r="D62" t="s">
        <v>1935</v>
      </c>
      <c r="E62" t="s">
        <v>1894</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115">
        <v>9.1999999999999998E-2</v>
      </c>
      <c r="AL62" s="31"/>
      <c r="AM62" s="32"/>
    </row>
    <row r="63" spans="1:39" ht="15" customHeight="1">
      <c r="A63" s="117" t="s">
        <v>244</v>
      </c>
      <c r="B63" t="s">
        <v>1818</v>
      </c>
      <c r="C63" t="s">
        <v>1936</v>
      </c>
      <c r="D63" t="s">
        <v>1937</v>
      </c>
      <c r="E63" t="s">
        <v>1894</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115">
        <v>0.10100000000000001</v>
      </c>
      <c r="AL63" s="31"/>
      <c r="AM63" s="32"/>
    </row>
    <row r="64" spans="1:39" ht="15" customHeight="1">
      <c r="A64" s="117" t="s">
        <v>243</v>
      </c>
      <c r="B64" t="s">
        <v>1819</v>
      </c>
      <c r="C64" t="s">
        <v>1938</v>
      </c>
      <c r="D64" t="s">
        <v>1939</v>
      </c>
      <c r="E64" t="s">
        <v>1894</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115">
        <v>7.1999999999999995E-2</v>
      </c>
      <c r="AL64" s="31"/>
      <c r="AM64" s="32"/>
    </row>
    <row r="65" spans="1:39" ht="15" customHeight="1">
      <c r="A65" s="117" t="s">
        <v>242</v>
      </c>
      <c r="B65" t="s">
        <v>1820</v>
      </c>
      <c r="C65" t="s">
        <v>1940</v>
      </c>
      <c r="D65" t="s">
        <v>1941</v>
      </c>
      <c r="E65" t="s">
        <v>1894</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115">
        <v>0.123</v>
      </c>
      <c r="AL65" s="31"/>
      <c r="AM65" s="32"/>
    </row>
    <row r="66" spans="1:39" ht="15" customHeight="1">
      <c r="A66" s="117" t="s">
        <v>241</v>
      </c>
      <c r="B66" t="s">
        <v>1821</v>
      </c>
      <c r="C66" t="s">
        <v>1942</v>
      </c>
      <c r="D66" t="s">
        <v>1943</v>
      </c>
      <c r="E66" t="s">
        <v>1894</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115">
        <v>0.14000000000000001</v>
      </c>
      <c r="AL66" s="31"/>
      <c r="AM66" s="32"/>
    </row>
    <row r="67" spans="1:39" ht="15" customHeight="1">
      <c r="A67" s="117" t="s">
        <v>240</v>
      </c>
      <c r="B67" t="s">
        <v>1822</v>
      </c>
      <c r="C67" t="s">
        <v>1944</v>
      </c>
      <c r="D67" t="s">
        <v>1945</v>
      </c>
      <c r="E67" t="s">
        <v>1894</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115">
        <v>0.11899999999999999</v>
      </c>
      <c r="AL67" s="31"/>
      <c r="AM67" s="32"/>
    </row>
    <row r="68" spans="1:39" ht="15" customHeight="1">
      <c r="A68" s="117"/>
      <c r="B68" t="s">
        <v>1824</v>
      </c>
      <c r="D68" t="s">
        <v>1946</v>
      </c>
    </row>
    <row r="69" spans="1:39" ht="15" customHeight="1">
      <c r="A69" s="117" t="s">
        <v>239</v>
      </c>
      <c r="B69" t="s">
        <v>1810</v>
      </c>
      <c r="C69" t="s">
        <v>1947</v>
      </c>
      <c r="D69" t="s">
        <v>1948</v>
      </c>
      <c r="E69" t="s">
        <v>1894</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115">
        <v>2.3E-2</v>
      </c>
      <c r="AL69" s="33"/>
      <c r="AM69" s="32"/>
    </row>
    <row r="70" spans="1:39" ht="15" customHeight="1">
      <c r="A70" s="117" t="s">
        <v>238</v>
      </c>
      <c r="B70" t="s">
        <v>1811</v>
      </c>
      <c r="C70" t="s">
        <v>1949</v>
      </c>
      <c r="D70" t="s">
        <v>1950</v>
      </c>
      <c r="E70" t="s">
        <v>1894</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115">
        <v>1.6E-2</v>
      </c>
      <c r="AL70" s="33"/>
      <c r="AM70" s="32"/>
    </row>
    <row r="71" spans="1:39" ht="15" customHeight="1">
      <c r="A71" s="117" t="s">
        <v>237</v>
      </c>
      <c r="B71" t="s">
        <v>1812</v>
      </c>
      <c r="C71" t="s">
        <v>1951</v>
      </c>
      <c r="D71" t="s">
        <v>1952</v>
      </c>
      <c r="E71" t="s">
        <v>1894</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115">
        <v>3.2000000000000001E-2</v>
      </c>
      <c r="AL71" s="33"/>
      <c r="AM71" s="32"/>
    </row>
    <row r="72" spans="1:39" ht="15" customHeight="1">
      <c r="A72" s="117" t="s">
        <v>236</v>
      </c>
      <c r="B72" t="s">
        <v>1813</v>
      </c>
      <c r="C72" t="s">
        <v>1953</v>
      </c>
      <c r="D72" t="s">
        <v>1954</v>
      </c>
      <c r="E72" t="s">
        <v>1894</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115">
        <v>2.5000000000000001E-2</v>
      </c>
      <c r="AL72" s="33"/>
      <c r="AM72" s="32"/>
    </row>
    <row r="73" spans="1:39" ht="15" customHeight="1">
      <c r="A73" s="117" t="s">
        <v>235</v>
      </c>
      <c r="B73" t="s">
        <v>1814</v>
      </c>
      <c r="C73" t="s">
        <v>1955</v>
      </c>
      <c r="D73" t="s">
        <v>1956</v>
      </c>
      <c r="E73" t="s">
        <v>1894</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115">
        <v>1.7000000000000001E-2</v>
      </c>
      <c r="AL73" s="33"/>
      <c r="AM73" s="32"/>
    </row>
    <row r="74" spans="1:39" ht="15" customHeight="1">
      <c r="A74" s="117" t="s">
        <v>234</v>
      </c>
      <c r="B74" t="s">
        <v>1815</v>
      </c>
      <c r="C74" t="s">
        <v>1957</v>
      </c>
      <c r="D74" t="s">
        <v>1958</v>
      </c>
      <c r="E74" t="s">
        <v>1894</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115">
        <v>3.3000000000000002E-2</v>
      </c>
      <c r="AL74" s="33"/>
      <c r="AM74" s="32"/>
    </row>
    <row r="75" spans="1:39" ht="15" customHeight="1">
      <c r="A75" s="117" t="s">
        <v>233</v>
      </c>
      <c r="B75" t="s">
        <v>1816</v>
      </c>
      <c r="C75" t="s">
        <v>1959</v>
      </c>
      <c r="D75" t="s">
        <v>1960</v>
      </c>
      <c r="E75" t="s">
        <v>1894</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115">
        <v>2.8000000000000001E-2</v>
      </c>
      <c r="AL75" s="33"/>
      <c r="AM75" s="32"/>
    </row>
    <row r="76" spans="1:39" ht="15" customHeight="1">
      <c r="A76" s="117" t="s">
        <v>232</v>
      </c>
      <c r="B76" t="s">
        <v>1817</v>
      </c>
      <c r="C76" t="s">
        <v>1961</v>
      </c>
      <c r="D76" t="s">
        <v>1962</v>
      </c>
      <c r="E76" t="s">
        <v>1894</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115">
        <v>3.1E-2</v>
      </c>
      <c r="AL76" s="33"/>
      <c r="AM76" s="32"/>
    </row>
    <row r="77" spans="1:39" ht="15" customHeight="1">
      <c r="A77" s="117" t="s">
        <v>231</v>
      </c>
      <c r="B77" t="s">
        <v>1818</v>
      </c>
      <c r="C77" t="s">
        <v>1963</v>
      </c>
      <c r="D77" t="s">
        <v>1964</v>
      </c>
      <c r="E77" t="s">
        <v>1894</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115">
        <v>2.9000000000000001E-2</v>
      </c>
      <c r="AL77" s="33"/>
      <c r="AM77" s="32"/>
    </row>
    <row r="78" spans="1:39" ht="15" customHeight="1">
      <c r="A78" s="117" t="s">
        <v>230</v>
      </c>
      <c r="B78" t="s">
        <v>1819</v>
      </c>
      <c r="C78" t="s">
        <v>1965</v>
      </c>
      <c r="D78" t="s">
        <v>1966</v>
      </c>
      <c r="E78" t="s">
        <v>1894</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115">
        <v>1.6E-2</v>
      </c>
      <c r="AL78" s="33"/>
      <c r="AM78" s="32"/>
    </row>
    <row r="79" spans="1:39" ht="15" customHeight="1">
      <c r="A79" s="117" t="s">
        <v>229</v>
      </c>
      <c r="B79" t="s">
        <v>1820</v>
      </c>
      <c r="C79" t="s">
        <v>1967</v>
      </c>
      <c r="D79" t="s">
        <v>1968</v>
      </c>
      <c r="E79" t="s">
        <v>1894</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115">
        <v>2.9000000000000001E-2</v>
      </c>
      <c r="AL79" s="33"/>
      <c r="AM79" s="32"/>
    </row>
    <row r="80" spans="1:39" ht="15" customHeight="1">
      <c r="A80" s="117" t="s">
        <v>228</v>
      </c>
      <c r="B80" t="s">
        <v>1821</v>
      </c>
      <c r="C80" t="s">
        <v>1969</v>
      </c>
      <c r="D80" t="s">
        <v>1970</v>
      </c>
      <c r="E80" t="s">
        <v>1894</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115">
        <v>4.2000000000000003E-2</v>
      </c>
      <c r="AL80" s="33"/>
      <c r="AM80" s="32"/>
    </row>
    <row r="81" spans="1:39" ht="15" customHeight="1">
      <c r="A81" s="117" t="s">
        <v>227</v>
      </c>
      <c r="B81" t="s">
        <v>1822</v>
      </c>
      <c r="C81" t="s">
        <v>1971</v>
      </c>
      <c r="D81" t="s">
        <v>1972</v>
      </c>
      <c r="E81" t="s">
        <v>1894</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115">
        <v>3.6999999999999998E-2</v>
      </c>
      <c r="AL81" s="33"/>
      <c r="AM81" s="32"/>
    </row>
    <row r="82" spans="1:39" ht="15" customHeight="1">
      <c r="A82" s="117" t="s">
        <v>226</v>
      </c>
      <c r="B82" t="s">
        <v>153</v>
      </c>
      <c r="C82" t="s">
        <v>1973</v>
      </c>
      <c r="D82" t="s">
        <v>1974</v>
      </c>
      <c r="E82" t="s">
        <v>1894</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115">
        <v>2.4E-2</v>
      </c>
      <c r="AL82" s="33"/>
      <c r="AM82" s="32"/>
    </row>
    <row r="83" spans="1:39" ht="15" customHeight="1">
      <c r="A83" s="117"/>
      <c r="B83" t="s">
        <v>225</v>
      </c>
      <c r="D83" t="s">
        <v>1975</v>
      </c>
    </row>
    <row r="84" spans="1:39" ht="15" customHeight="1">
      <c r="A84" s="117" t="s">
        <v>224</v>
      </c>
      <c r="B84" t="s">
        <v>1810</v>
      </c>
      <c r="C84" t="s">
        <v>1976</v>
      </c>
      <c r="D84" t="s">
        <v>1977</v>
      </c>
      <c r="E84" t="s">
        <v>1894</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115">
        <v>3.7999999999999999E-2</v>
      </c>
      <c r="AL84" s="31"/>
      <c r="AM84" s="32"/>
    </row>
    <row r="85" spans="1:39" ht="15" customHeight="1">
      <c r="A85" s="117" t="s">
        <v>223</v>
      </c>
      <c r="B85" t="s">
        <v>1825</v>
      </c>
      <c r="C85" t="s">
        <v>1978</v>
      </c>
      <c r="D85" t="s">
        <v>1979</v>
      </c>
      <c r="E85" t="s">
        <v>1894</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115">
        <v>3.5000000000000003E-2</v>
      </c>
      <c r="AL85" s="31"/>
      <c r="AM85" s="32"/>
    </row>
    <row r="86" spans="1:39" ht="15" customHeight="1">
      <c r="A86" s="117" t="s">
        <v>222</v>
      </c>
      <c r="B86" t="s">
        <v>1826</v>
      </c>
      <c r="C86" t="s">
        <v>1980</v>
      </c>
      <c r="D86" t="s">
        <v>1981</v>
      </c>
      <c r="E86" t="s">
        <v>1894</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115">
        <v>6.0999999999999999E-2</v>
      </c>
      <c r="AL86" s="31"/>
      <c r="AM86" s="32"/>
    </row>
    <row r="87" spans="1:39" ht="15" customHeight="1">
      <c r="A87" s="117" t="s">
        <v>221</v>
      </c>
      <c r="B87" t="s">
        <v>1827</v>
      </c>
      <c r="C87" t="s">
        <v>1982</v>
      </c>
      <c r="D87" t="s">
        <v>1983</v>
      </c>
      <c r="E87" t="s">
        <v>1894</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115">
        <v>-4.0000000000000001E-3</v>
      </c>
      <c r="AL87" s="31"/>
      <c r="AM87" s="32"/>
    </row>
    <row r="88" spans="1:39" ht="15" customHeight="1">
      <c r="A88" s="117" t="s">
        <v>220</v>
      </c>
      <c r="B88" t="s">
        <v>1811</v>
      </c>
      <c r="C88" t="s">
        <v>1984</v>
      </c>
      <c r="D88" t="s">
        <v>1985</v>
      </c>
      <c r="E88" t="s">
        <v>1894</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115">
        <v>5.8000000000000003E-2</v>
      </c>
      <c r="AL88" s="31"/>
      <c r="AM88" s="32"/>
    </row>
    <row r="89" spans="1:39" ht="15" customHeight="1">
      <c r="A89" s="117" t="s">
        <v>219</v>
      </c>
      <c r="B89" t="s">
        <v>1812</v>
      </c>
      <c r="C89" t="s">
        <v>1986</v>
      </c>
      <c r="D89" t="s">
        <v>1987</v>
      </c>
      <c r="E89" t="s">
        <v>1894</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115">
        <v>6.8000000000000005E-2</v>
      </c>
      <c r="AL89" s="31"/>
      <c r="AM89" s="32"/>
    </row>
    <row r="90" spans="1:39" ht="15" customHeight="1">
      <c r="A90" s="117" t="s">
        <v>218</v>
      </c>
      <c r="B90" t="s">
        <v>1813</v>
      </c>
      <c r="C90" t="s">
        <v>1988</v>
      </c>
      <c r="D90" t="s">
        <v>1989</v>
      </c>
      <c r="E90" t="s">
        <v>1894</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115">
        <v>6.8000000000000005E-2</v>
      </c>
      <c r="AL90" s="31"/>
      <c r="AM90" s="32"/>
    </row>
    <row r="91" spans="1:39" ht="15" customHeight="1">
      <c r="A91" s="117" t="s">
        <v>217</v>
      </c>
      <c r="B91" t="s">
        <v>1814</v>
      </c>
      <c r="C91" t="s">
        <v>1990</v>
      </c>
      <c r="D91" t="s">
        <v>1991</v>
      </c>
      <c r="E91" t="s">
        <v>1894</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115">
        <v>5.3999999999999999E-2</v>
      </c>
      <c r="AL91" s="31"/>
      <c r="AM91" s="32"/>
    </row>
    <row r="92" spans="1:39" ht="15" customHeight="1">
      <c r="A92" s="117" t="s">
        <v>216</v>
      </c>
      <c r="B92" t="s">
        <v>1815</v>
      </c>
      <c r="C92" t="s">
        <v>1992</v>
      </c>
      <c r="D92" t="s">
        <v>1993</v>
      </c>
      <c r="E92" t="s">
        <v>1894</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115">
        <v>8.4000000000000005E-2</v>
      </c>
      <c r="AL92" s="31"/>
      <c r="AM92" s="32"/>
    </row>
    <row r="93" spans="1:39" ht="15" customHeight="1">
      <c r="A93" s="117" t="s">
        <v>215</v>
      </c>
      <c r="B93" t="s">
        <v>1816</v>
      </c>
      <c r="C93" t="s">
        <v>1994</v>
      </c>
      <c r="D93" t="s">
        <v>1995</v>
      </c>
      <c r="E93" t="s">
        <v>1894</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115">
        <v>7.0000000000000007E-2</v>
      </c>
      <c r="AL93" s="31"/>
      <c r="AM93" s="32"/>
    </row>
    <row r="94" spans="1:39" ht="15" customHeight="1">
      <c r="A94" s="117" t="s">
        <v>214</v>
      </c>
      <c r="B94" t="s">
        <v>1817</v>
      </c>
      <c r="C94" t="s">
        <v>1996</v>
      </c>
      <c r="D94" t="s">
        <v>1997</v>
      </c>
      <c r="E94" t="s">
        <v>1894</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115">
        <v>3.9E-2</v>
      </c>
      <c r="AL94" s="31"/>
      <c r="AM94" s="32"/>
    </row>
    <row r="95" spans="1:39" ht="15" customHeight="1">
      <c r="A95" s="117" t="s">
        <v>213</v>
      </c>
      <c r="B95" t="s">
        <v>1818</v>
      </c>
      <c r="C95" t="s">
        <v>1998</v>
      </c>
      <c r="D95" t="s">
        <v>1999</v>
      </c>
      <c r="E95" t="s">
        <v>1894</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115">
        <v>0.05</v>
      </c>
      <c r="AL95" s="31"/>
      <c r="AM95" s="32"/>
    </row>
    <row r="96" spans="1:39" ht="15" customHeight="1">
      <c r="A96" s="117" t="s">
        <v>212</v>
      </c>
      <c r="B96" t="s">
        <v>1819</v>
      </c>
      <c r="C96" t="s">
        <v>2000</v>
      </c>
      <c r="D96" t="s">
        <v>2001</v>
      </c>
      <c r="E96" t="s">
        <v>1894</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115">
        <v>4.2000000000000003E-2</v>
      </c>
      <c r="AL96" s="31"/>
      <c r="AM96" s="32"/>
    </row>
    <row r="97" spans="1:39" ht="15" customHeight="1">
      <c r="A97" s="117" t="s">
        <v>211</v>
      </c>
      <c r="B97" t="s">
        <v>1820</v>
      </c>
      <c r="C97" t="s">
        <v>2002</v>
      </c>
      <c r="D97" t="s">
        <v>2003</v>
      </c>
      <c r="E97" t="s">
        <v>1894</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115">
        <v>7.5999999999999998E-2</v>
      </c>
      <c r="AL97" s="31"/>
      <c r="AM97" s="32"/>
    </row>
    <row r="98" spans="1:39" ht="15" customHeight="1">
      <c r="A98" s="117" t="s">
        <v>210</v>
      </c>
      <c r="B98" t="s">
        <v>1821</v>
      </c>
      <c r="C98" t="s">
        <v>2004</v>
      </c>
      <c r="D98" t="s">
        <v>2005</v>
      </c>
      <c r="E98" t="s">
        <v>1894</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115">
        <v>8.5000000000000006E-2</v>
      </c>
      <c r="AL98" s="31"/>
      <c r="AM98" s="32"/>
    </row>
    <row r="99" spans="1:39" ht="15" customHeight="1">
      <c r="A99" s="117" t="s">
        <v>209</v>
      </c>
      <c r="B99" t="s">
        <v>1822</v>
      </c>
      <c r="C99" t="s">
        <v>2006</v>
      </c>
      <c r="D99" t="s">
        <v>2007</v>
      </c>
      <c r="E99" t="s">
        <v>1894</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115">
        <v>6.3E-2</v>
      </c>
      <c r="AL99" s="31"/>
      <c r="AM99" s="32"/>
    </row>
    <row r="100" spans="1:39" ht="15" customHeight="1">
      <c r="A100" s="117" t="s">
        <v>208</v>
      </c>
      <c r="B100" t="s">
        <v>153</v>
      </c>
      <c r="C100" t="s">
        <v>2008</v>
      </c>
      <c r="D100" t="s">
        <v>2009</v>
      </c>
      <c r="E100" t="s">
        <v>1894</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115">
        <v>5.6000000000000001E-2</v>
      </c>
      <c r="AL100" s="31"/>
      <c r="AM100" s="32"/>
    </row>
    <row r="101" spans="1:39" ht="15" customHeight="1">
      <c r="A101" s="117"/>
      <c r="B101" t="s">
        <v>207</v>
      </c>
      <c r="D101" t="s">
        <v>2010</v>
      </c>
    </row>
    <row r="102" spans="1:39" ht="15" customHeight="1">
      <c r="A102" s="117" t="s">
        <v>206</v>
      </c>
      <c r="B102" t="s">
        <v>1810</v>
      </c>
      <c r="C102" t="s">
        <v>2011</v>
      </c>
      <c r="D102" t="s">
        <v>2012</v>
      </c>
      <c r="E102" t="s">
        <v>1289</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115">
        <v>0.13200000000000001</v>
      </c>
      <c r="AL102" s="31"/>
      <c r="AM102" s="32"/>
    </row>
    <row r="103" spans="1:39" ht="15" customHeight="1">
      <c r="A103" s="117" t="s">
        <v>205</v>
      </c>
      <c r="B103" t="s">
        <v>1825</v>
      </c>
      <c r="C103" t="s">
        <v>2013</v>
      </c>
      <c r="D103" t="s">
        <v>2014</v>
      </c>
      <c r="E103" t="s">
        <v>1289</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146</v>
      </c>
      <c r="AL103" s="31"/>
      <c r="AM103" s="32"/>
    </row>
    <row r="104" spans="1:39" ht="15" customHeight="1">
      <c r="A104" s="117" t="s">
        <v>204</v>
      </c>
      <c r="B104" t="s">
        <v>1826</v>
      </c>
      <c r="C104" t="s">
        <v>2015</v>
      </c>
      <c r="D104" t="s">
        <v>2016</v>
      </c>
      <c r="E104" t="s">
        <v>1289</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115">
        <v>6.5000000000000002E-2</v>
      </c>
      <c r="AL104" s="31"/>
      <c r="AM104" s="32"/>
    </row>
    <row r="105" spans="1:39" ht="15" customHeight="1">
      <c r="A105" s="46" t="s">
        <v>203</v>
      </c>
      <c r="B105" t="s">
        <v>1827</v>
      </c>
      <c r="C105" t="s">
        <v>2017</v>
      </c>
      <c r="D105" t="s">
        <v>2018</v>
      </c>
      <c r="E105" t="s">
        <v>1289</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146</v>
      </c>
      <c r="AL105" s="31"/>
      <c r="AM105" s="32"/>
    </row>
    <row r="106" spans="1:39" ht="15" customHeight="1">
      <c r="A106" s="46" t="s">
        <v>202</v>
      </c>
      <c r="B106" t="s">
        <v>1811</v>
      </c>
      <c r="C106" t="s">
        <v>2019</v>
      </c>
      <c r="D106" t="s">
        <v>2020</v>
      </c>
      <c r="E106" t="s">
        <v>1289</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146</v>
      </c>
      <c r="AL106" s="31"/>
      <c r="AM106" s="32"/>
    </row>
    <row r="107" spans="1:39" ht="15" customHeight="1">
      <c r="A107" s="46" t="s">
        <v>201</v>
      </c>
      <c r="B107" t="s">
        <v>1825</v>
      </c>
      <c r="C107" t="s">
        <v>2021</v>
      </c>
      <c r="D107" t="s">
        <v>2022</v>
      </c>
      <c r="E107" t="s">
        <v>1289</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146</v>
      </c>
      <c r="AL107" s="31"/>
      <c r="AM107" s="32"/>
    </row>
    <row r="108" spans="1:39" ht="15" customHeight="1">
      <c r="A108" s="46" t="s">
        <v>200</v>
      </c>
      <c r="B108" t="s">
        <v>1826</v>
      </c>
      <c r="C108" t="s">
        <v>2023</v>
      </c>
      <c r="D108" t="s">
        <v>2024</v>
      </c>
      <c r="E108" t="s">
        <v>1289</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146</v>
      </c>
      <c r="AL108" s="31"/>
      <c r="AM108" s="32"/>
    </row>
    <row r="109" spans="1:39" ht="15" customHeight="1">
      <c r="A109" s="46" t="s">
        <v>199</v>
      </c>
      <c r="B109" t="s">
        <v>1827</v>
      </c>
      <c r="C109" t="s">
        <v>2025</v>
      </c>
      <c r="D109" t="s">
        <v>2026</v>
      </c>
      <c r="E109" t="s">
        <v>1289</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146</v>
      </c>
      <c r="AL109" s="31"/>
      <c r="AM109" s="32"/>
    </row>
    <row r="110" spans="1:39" ht="15" customHeight="1">
      <c r="A110" s="46" t="s">
        <v>198</v>
      </c>
      <c r="B110" t="s">
        <v>1812</v>
      </c>
      <c r="C110" t="s">
        <v>2027</v>
      </c>
      <c r="D110" t="s">
        <v>2028</v>
      </c>
      <c r="E110" t="s">
        <v>1289</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146</v>
      </c>
      <c r="AL110" s="31"/>
      <c r="AM110" s="32"/>
    </row>
    <row r="111" spans="1:39" ht="15" customHeight="1">
      <c r="A111" s="46" t="s">
        <v>197</v>
      </c>
      <c r="B111" t="s">
        <v>1825</v>
      </c>
      <c r="C111" t="s">
        <v>2029</v>
      </c>
      <c r="D111" t="s">
        <v>2030</v>
      </c>
      <c r="E111" t="s">
        <v>1289</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146</v>
      </c>
      <c r="AL111" s="31"/>
      <c r="AM111" s="32"/>
    </row>
    <row r="112" spans="1:39" ht="15" customHeight="1">
      <c r="A112" s="46" t="s">
        <v>196</v>
      </c>
      <c r="B112" t="s">
        <v>1826</v>
      </c>
      <c r="C112" t="s">
        <v>2031</v>
      </c>
      <c r="D112" t="s">
        <v>2032</v>
      </c>
      <c r="E112" t="s">
        <v>1289</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146</v>
      </c>
      <c r="AL112" s="31"/>
      <c r="AM112" s="32"/>
    </row>
    <row r="113" spans="1:39" ht="15" customHeight="1">
      <c r="A113" s="46" t="s">
        <v>195</v>
      </c>
      <c r="B113" t="s">
        <v>1827</v>
      </c>
      <c r="C113" t="s">
        <v>2033</v>
      </c>
      <c r="D113" t="s">
        <v>2034</v>
      </c>
      <c r="E113" t="s">
        <v>1289</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146</v>
      </c>
      <c r="AL113" s="31"/>
      <c r="AM113" s="32"/>
    </row>
    <row r="114" spans="1:39" ht="15" customHeight="1">
      <c r="A114" s="46" t="s">
        <v>194</v>
      </c>
      <c r="B114" t="s">
        <v>1813</v>
      </c>
      <c r="C114" t="s">
        <v>2035</v>
      </c>
      <c r="D114" t="s">
        <v>2036</v>
      </c>
      <c r="E114" t="s">
        <v>1289</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146</v>
      </c>
      <c r="AL114" s="31"/>
      <c r="AM114" s="32"/>
    </row>
    <row r="115" spans="1:39" ht="15" customHeight="1">
      <c r="A115" s="46" t="s">
        <v>193</v>
      </c>
      <c r="B115" t="s">
        <v>1825</v>
      </c>
      <c r="C115" t="s">
        <v>2037</v>
      </c>
      <c r="D115" t="s">
        <v>2038</v>
      </c>
      <c r="E115" t="s">
        <v>1289</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146</v>
      </c>
      <c r="AL115" s="31"/>
      <c r="AM115" s="32"/>
    </row>
    <row r="116" spans="1:39" ht="15" customHeight="1">
      <c r="A116" s="46" t="s">
        <v>192</v>
      </c>
      <c r="B116" t="s">
        <v>1826</v>
      </c>
      <c r="C116" t="s">
        <v>2039</v>
      </c>
      <c r="D116" t="s">
        <v>2040</v>
      </c>
      <c r="E116" t="s">
        <v>1289</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146</v>
      </c>
      <c r="AL116" s="31"/>
      <c r="AM116" s="32"/>
    </row>
    <row r="117" spans="1:39" ht="15" customHeight="1">
      <c r="A117" s="46" t="s">
        <v>191</v>
      </c>
      <c r="B117" t="s">
        <v>1827</v>
      </c>
      <c r="C117" t="s">
        <v>2041</v>
      </c>
      <c r="D117" t="s">
        <v>2042</v>
      </c>
      <c r="E117" t="s">
        <v>1289</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146</v>
      </c>
      <c r="AL117" s="31"/>
      <c r="AM117" s="32"/>
    </row>
    <row r="118" spans="1:39" ht="15" customHeight="1">
      <c r="A118" s="46" t="s">
        <v>190</v>
      </c>
      <c r="B118" t="s">
        <v>1814</v>
      </c>
      <c r="C118" t="s">
        <v>2043</v>
      </c>
      <c r="D118" t="s">
        <v>2044</v>
      </c>
      <c r="E118" t="s">
        <v>1289</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146</v>
      </c>
      <c r="AL118" s="31"/>
      <c r="AM118" s="32"/>
    </row>
    <row r="119" spans="1:39" ht="15" customHeight="1">
      <c r="A119" s="46" t="s">
        <v>189</v>
      </c>
      <c r="B119" t="s">
        <v>1825</v>
      </c>
      <c r="C119" t="s">
        <v>2045</v>
      </c>
      <c r="D119" t="s">
        <v>2046</v>
      </c>
      <c r="E119" t="s">
        <v>1289</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146</v>
      </c>
      <c r="AL119" s="31"/>
      <c r="AM119" s="32"/>
    </row>
    <row r="120" spans="1:39" ht="15" customHeight="1">
      <c r="A120" s="46" t="s">
        <v>188</v>
      </c>
      <c r="B120" t="s">
        <v>1826</v>
      </c>
      <c r="C120" t="s">
        <v>2047</v>
      </c>
      <c r="D120" t="s">
        <v>2048</v>
      </c>
      <c r="E120" t="s">
        <v>1289</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146</v>
      </c>
      <c r="AL120" s="31"/>
      <c r="AM120" s="32"/>
    </row>
    <row r="121" spans="1:39" ht="15" customHeight="1">
      <c r="A121" s="46" t="s">
        <v>187</v>
      </c>
      <c r="B121" t="s">
        <v>1827</v>
      </c>
      <c r="C121" t="s">
        <v>2049</v>
      </c>
      <c r="D121" t="s">
        <v>2050</v>
      </c>
      <c r="E121" t="s">
        <v>1289</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146</v>
      </c>
      <c r="AL121" s="31"/>
      <c r="AM121" s="32"/>
    </row>
    <row r="122" spans="1:39" ht="15" customHeight="1">
      <c r="A122" s="46" t="s">
        <v>186</v>
      </c>
      <c r="B122" t="s">
        <v>1815</v>
      </c>
      <c r="C122" t="s">
        <v>2051</v>
      </c>
      <c r="D122" t="s">
        <v>2052</v>
      </c>
      <c r="E122" t="s">
        <v>1289</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146</v>
      </c>
      <c r="AL122" s="31"/>
      <c r="AM122" s="32"/>
    </row>
    <row r="123" spans="1:39" ht="15" customHeight="1">
      <c r="A123" s="46" t="s">
        <v>185</v>
      </c>
      <c r="B123" t="s">
        <v>1825</v>
      </c>
      <c r="C123" t="s">
        <v>2053</v>
      </c>
      <c r="D123" t="s">
        <v>2054</v>
      </c>
      <c r="E123" t="s">
        <v>1289</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146</v>
      </c>
      <c r="AL123" s="31"/>
      <c r="AM123" s="32"/>
    </row>
    <row r="124" spans="1:39" ht="15" customHeight="1">
      <c r="A124" s="46" t="s">
        <v>184</v>
      </c>
      <c r="B124" t="s">
        <v>1826</v>
      </c>
      <c r="C124" t="s">
        <v>2055</v>
      </c>
      <c r="D124" t="s">
        <v>2056</v>
      </c>
      <c r="E124" t="s">
        <v>1289</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146</v>
      </c>
      <c r="AL124" s="31"/>
      <c r="AM124" s="32"/>
    </row>
    <row r="125" spans="1:39" ht="15" customHeight="1">
      <c r="A125" s="46" t="s">
        <v>183</v>
      </c>
      <c r="B125" t="s">
        <v>1827</v>
      </c>
      <c r="C125" t="s">
        <v>2057</v>
      </c>
      <c r="D125" t="s">
        <v>2058</v>
      </c>
      <c r="E125" t="s">
        <v>1289</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146</v>
      </c>
      <c r="AL125" s="31"/>
      <c r="AM125" s="32"/>
    </row>
    <row r="126" spans="1:39" ht="15" customHeight="1">
      <c r="A126" s="46" t="s">
        <v>182</v>
      </c>
      <c r="B126" t="s">
        <v>1816</v>
      </c>
      <c r="C126" t="s">
        <v>2059</v>
      </c>
      <c r="D126" t="s">
        <v>2060</v>
      </c>
      <c r="E126" t="s">
        <v>1289</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146</v>
      </c>
      <c r="AL126" s="31"/>
      <c r="AM126" s="32"/>
    </row>
    <row r="127" spans="1:39" ht="15" customHeight="1">
      <c r="A127" s="46" t="s">
        <v>181</v>
      </c>
      <c r="B127" t="s">
        <v>1825</v>
      </c>
      <c r="C127" t="s">
        <v>2061</v>
      </c>
      <c r="D127" t="s">
        <v>2062</v>
      </c>
      <c r="E127" t="s">
        <v>1289</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146</v>
      </c>
      <c r="AL127" s="31"/>
      <c r="AM127" s="32"/>
    </row>
    <row r="128" spans="1:39" ht="15" customHeight="1">
      <c r="A128" s="46" t="s">
        <v>180</v>
      </c>
      <c r="B128" t="s">
        <v>1826</v>
      </c>
      <c r="C128" t="s">
        <v>2063</v>
      </c>
      <c r="D128" t="s">
        <v>2064</v>
      </c>
      <c r="E128" t="s">
        <v>1289</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146</v>
      </c>
      <c r="AL128" s="31"/>
      <c r="AM128" s="32"/>
    </row>
    <row r="129" spans="1:39" ht="15" customHeight="1">
      <c r="A129" s="46" t="s">
        <v>179</v>
      </c>
      <c r="B129" t="s">
        <v>1827</v>
      </c>
      <c r="C129" t="s">
        <v>2065</v>
      </c>
      <c r="D129" t="s">
        <v>2066</v>
      </c>
      <c r="E129" t="s">
        <v>1289</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146</v>
      </c>
      <c r="AL129" s="31"/>
      <c r="AM129" s="32"/>
    </row>
    <row r="130" spans="1:39" ht="15" customHeight="1">
      <c r="A130" s="46" t="s">
        <v>178</v>
      </c>
      <c r="B130" t="s">
        <v>1817</v>
      </c>
      <c r="C130" t="s">
        <v>2067</v>
      </c>
      <c r="D130" t="s">
        <v>2068</v>
      </c>
      <c r="E130" t="s">
        <v>1289</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146</v>
      </c>
      <c r="AL130" s="31"/>
      <c r="AM130" s="32"/>
    </row>
    <row r="131" spans="1:39" ht="15" customHeight="1">
      <c r="A131" s="46" t="s">
        <v>177</v>
      </c>
      <c r="B131" t="s">
        <v>1825</v>
      </c>
      <c r="C131" t="s">
        <v>2069</v>
      </c>
      <c r="D131" t="s">
        <v>2070</v>
      </c>
      <c r="E131" t="s">
        <v>1289</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146</v>
      </c>
      <c r="AL131" s="31"/>
      <c r="AM131" s="32"/>
    </row>
    <row r="132" spans="1:39" ht="15" customHeight="1">
      <c r="A132" s="46" t="s">
        <v>176</v>
      </c>
      <c r="B132" t="s">
        <v>1826</v>
      </c>
      <c r="C132" t="s">
        <v>2071</v>
      </c>
      <c r="D132" t="s">
        <v>2072</v>
      </c>
      <c r="E132" t="s">
        <v>1289</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146</v>
      </c>
      <c r="AL132" s="31"/>
      <c r="AM132" s="32"/>
    </row>
    <row r="133" spans="1:39" ht="15" customHeight="1">
      <c r="A133" s="46" t="s">
        <v>175</v>
      </c>
      <c r="B133" t="s">
        <v>1827</v>
      </c>
      <c r="C133" t="s">
        <v>2073</v>
      </c>
      <c r="D133" t="s">
        <v>2074</v>
      </c>
      <c r="E133" t="s">
        <v>1289</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146</v>
      </c>
      <c r="AL133" s="31"/>
      <c r="AM133" s="32"/>
    </row>
    <row r="134" spans="1:39" ht="15" customHeight="1">
      <c r="A134" s="46" t="s">
        <v>174</v>
      </c>
      <c r="B134" t="s">
        <v>1818</v>
      </c>
      <c r="C134" t="s">
        <v>2075</v>
      </c>
      <c r="D134" t="s">
        <v>2076</v>
      </c>
      <c r="E134" t="s">
        <v>1289</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115">
        <v>0.13300000000000001</v>
      </c>
      <c r="AL134" s="31"/>
      <c r="AM134" s="32"/>
    </row>
    <row r="135" spans="1:39" ht="15" customHeight="1">
      <c r="A135" s="46" t="s">
        <v>173</v>
      </c>
      <c r="B135" t="s">
        <v>1825</v>
      </c>
      <c r="C135" t="s">
        <v>2077</v>
      </c>
      <c r="D135" t="s">
        <v>2078</v>
      </c>
      <c r="E135" t="s">
        <v>1289</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115">
        <v>0.17599999999999999</v>
      </c>
      <c r="AL135" s="31"/>
      <c r="AM135" s="32"/>
    </row>
    <row r="136" spans="1:39" ht="15" customHeight="1">
      <c r="A136" s="46" t="s">
        <v>172</v>
      </c>
      <c r="B136" t="s">
        <v>1826</v>
      </c>
      <c r="C136" t="s">
        <v>2079</v>
      </c>
      <c r="D136" t="s">
        <v>2080</v>
      </c>
      <c r="E136" t="s">
        <v>1289</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115">
        <v>7.2999999999999995E-2</v>
      </c>
      <c r="AL136" s="31"/>
      <c r="AM136" s="32"/>
    </row>
    <row r="137" spans="1:39" ht="15" customHeight="1">
      <c r="A137" s="46" t="s">
        <v>171</v>
      </c>
      <c r="B137" t="s">
        <v>1827</v>
      </c>
      <c r="C137" t="s">
        <v>2081</v>
      </c>
      <c r="D137" t="s">
        <v>2082</v>
      </c>
      <c r="E137" t="s">
        <v>1289</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146</v>
      </c>
      <c r="AL137" s="31"/>
      <c r="AM137" s="32"/>
    </row>
    <row r="138" spans="1:39" ht="15" customHeight="1">
      <c r="A138" s="46" t="s">
        <v>170</v>
      </c>
      <c r="B138" t="s">
        <v>1819</v>
      </c>
      <c r="C138" t="s">
        <v>2083</v>
      </c>
      <c r="D138" t="s">
        <v>2084</v>
      </c>
      <c r="E138" t="s">
        <v>1289</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146</v>
      </c>
      <c r="AL138" s="31"/>
      <c r="AM138" s="32"/>
    </row>
    <row r="139" spans="1:39" ht="15" customHeight="1">
      <c r="A139" s="46" t="s">
        <v>169</v>
      </c>
      <c r="B139" t="s">
        <v>1825</v>
      </c>
      <c r="C139" t="s">
        <v>2085</v>
      </c>
      <c r="D139" t="s">
        <v>2086</v>
      </c>
      <c r="E139" t="s">
        <v>1289</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146</v>
      </c>
      <c r="AL139" s="31"/>
      <c r="AM139" s="32"/>
    </row>
    <row r="140" spans="1:39" ht="15" customHeight="1">
      <c r="A140" s="46" t="s">
        <v>168</v>
      </c>
      <c r="B140" t="s">
        <v>1826</v>
      </c>
      <c r="C140" t="s">
        <v>2087</v>
      </c>
      <c r="D140" t="s">
        <v>2088</v>
      </c>
      <c r="E140" t="s">
        <v>1289</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146</v>
      </c>
      <c r="AL140" s="31"/>
      <c r="AM140" s="32"/>
    </row>
    <row r="141" spans="1:39" ht="15" customHeight="1">
      <c r="A141" s="46" t="s">
        <v>167</v>
      </c>
      <c r="B141" t="s">
        <v>1827</v>
      </c>
      <c r="C141" t="s">
        <v>2089</v>
      </c>
      <c r="D141" t="s">
        <v>2090</v>
      </c>
      <c r="E141" t="s">
        <v>1289</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146</v>
      </c>
      <c r="AL141" s="31"/>
      <c r="AM141" s="32"/>
    </row>
    <row r="142" spans="1:39" ht="15" customHeight="1">
      <c r="A142" s="46" t="s">
        <v>166</v>
      </c>
      <c r="B142" t="s">
        <v>1820</v>
      </c>
      <c r="C142" t="s">
        <v>2091</v>
      </c>
      <c r="D142" t="s">
        <v>2092</v>
      </c>
      <c r="E142" t="s">
        <v>1289</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146</v>
      </c>
      <c r="AL142" s="31"/>
      <c r="AM142" s="32"/>
    </row>
    <row r="143" spans="1:39" ht="15" customHeight="1">
      <c r="A143" s="46" t="s">
        <v>165</v>
      </c>
      <c r="B143" t="s">
        <v>1825</v>
      </c>
      <c r="C143" t="s">
        <v>2093</v>
      </c>
      <c r="D143" t="s">
        <v>2094</v>
      </c>
      <c r="E143" t="s">
        <v>1289</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146</v>
      </c>
      <c r="AL143" s="31"/>
      <c r="AM143" s="32"/>
    </row>
    <row r="144" spans="1:39" ht="15" customHeight="1">
      <c r="A144" s="46" t="s">
        <v>164</v>
      </c>
      <c r="B144" t="s">
        <v>1826</v>
      </c>
      <c r="C144" t="s">
        <v>2095</v>
      </c>
      <c r="D144" t="s">
        <v>2096</v>
      </c>
      <c r="E144" t="s">
        <v>1289</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146</v>
      </c>
      <c r="AL144" s="31"/>
      <c r="AM144" s="32"/>
    </row>
    <row r="145" spans="1:39" ht="15" customHeight="1">
      <c r="A145" s="46" t="s">
        <v>163</v>
      </c>
      <c r="B145" t="s">
        <v>1827</v>
      </c>
      <c r="C145" t="s">
        <v>2097</v>
      </c>
      <c r="D145" t="s">
        <v>2098</v>
      </c>
      <c r="E145" t="s">
        <v>1289</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146</v>
      </c>
      <c r="AL145" s="31"/>
      <c r="AM145" s="32"/>
    </row>
    <row r="146" spans="1:39" ht="15" customHeight="1">
      <c r="A146" s="46" t="s">
        <v>162</v>
      </c>
      <c r="B146" t="s">
        <v>1821</v>
      </c>
      <c r="C146" t="s">
        <v>2099</v>
      </c>
      <c r="D146" t="s">
        <v>2100</v>
      </c>
      <c r="E146" t="s">
        <v>1289</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146</v>
      </c>
      <c r="AL146" s="31"/>
      <c r="AM146" s="32"/>
    </row>
    <row r="147" spans="1:39" ht="15" customHeight="1">
      <c r="A147" s="46" t="s">
        <v>161</v>
      </c>
      <c r="B147" t="s">
        <v>1825</v>
      </c>
      <c r="C147" t="s">
        <v>2101</v>
      </c>
      <c r="D147" t="s">
        <v>2102</v>
      </c>
      <c r="E147" t="s">
        <v>1289</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146</v>
      </c>
      <c r="AL147" s="31"/>
      <c r="AM147" s="32"/>
    </row>
    <row r="148" spans="1:39" ht="15" customHeight="1">
      <c r="A148" s="46" t="s">
        <v>160</v>
      </c>
      <c r="B148" t="s">
        <v>1826</v>
      </c>
      <c r="C148" t="s">
        <v>2103</v>
      </c>
      <c r="D148" t="s">
        <v>2104</v>
      </c>
      <c r="E148" t="s">
        <v>1289</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146</v>
      </c>
      <c r="AL148" s="31"/>
      <c r="AM148" s="32"/>
    </row>
    <row r="149" spans="1:39" ht="15" customHeight="1">
      <c r="A149" s="46" t="s">
        <v>159</v>
      </c>
      <c r="B149" t="s">
        <v>1827</v>
      </c>
      <c r="C149" t="s">
        <v>2105</v>
      </c>
      <c r="D149" t="s">
        <v>2106</v>
      </c>
      <c r="E149" t="s">
        <v>1289</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146</v>
      </c>
      <c r="AL149" s="31"/>
      <c r="AM149" s="32"/>
    </row>
    <row r="150" spans="1:39" ht="15" customHeight="1">
      <c r="A150" s="46" t="s">
        <v>158</v>
      </c>
      <c r="B150" t="s">
        <v>1822</v>
      </c>
      <c r="C150" t="s">
        <v>2107</v>
      </c>
      <c r="D150" t="s">
        <v>2108</v>
      </c>
      <c r="E150" t="s">
        <v>1289</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115">
        <v>8.6999999999999994E-2</v>
      </c>
      <c r="AL150" s="31"/>
      <c r="AM150" s="32"/>
    </row>
    <row r="151" spans="1:39" ht="15" customHeight="1">
      <c r="A151" s="46" t="s">
        <v>157</v>
      </c>
      <c r="B151" t="s">
        <v>1825</v>
      </c>
      <c r="C151" t="s">
        <v>2109</v>
      </c>
      <c r="D151" t="s">
        <v>2110</v>
      </c>
      <c r="E151" t="s">
        <v>1289</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115">
        <v>7.0000000000000007E-2</v>
      </c>
      <c r="AL151" s="31"/>
      <c r="AM151" s="32"/>
    </row>
    <row r="152" spans="1:39" ht="15" customHeight="1">
      <c r="A152" s="46" t="s">
        <v>156</v>
      </c>
      <c r="B152" t="s">
        <v>1826</v>
      </c>
      <c r="C152" t="s">
        <v>2111</v>
      </c>
      <c r="D152" t="s">
        <v>2112</v>
      </c>
      <c r="E152" t="s">
        <v>1289</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146</v>
      </c>
      <c r="AL152" s="31"/>
      <c r="AM152" s="32"/>
    </row>
    <row r="153" spans="1:39" ht="15" customHeight="1">
      <c r="A153" s="46" t="s">
        <v>155</v>
      </c>
      <c r="B153" t="s">
        <v>1827</v>
      </c>
      <c r="C153" t="s">
        <v>2113</v>
      </c>
      <c r="D153" t="s">
        <v>2114</v>
      </c>
      <c r="E153" t="s">
        <v>1289</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146</v>
      </c>
      <c r="AL153" s="31"/>
      <c r="AM153" s="32"/>
    </row>
    <row r="154" spans="1:39" ht="15" customHeight="1">
      <c r="A154" s="46" t="s">
        <v>154</v>
      </c>
      <c r="B154" t="s">
        <v>153</v>
      </c>
      <c r="C154" t="s">
        <v>2115</v>
      </c>
      <c r="D154" t="s">
        <v>2116</v>
      </c>
      <c r="E154" t="s">
        <v>1289</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115">
        <v>0.17100000000000001</v>
      </c>
      <c r="AL154" s="38"/>
      <c r="AM154" s="36"/>
    </row>
    <row r="155" spans="1:39" ht="15" customHeight="1">
      <c r="B155" t="s">
        <v>152</v>
      </c>
      <c r="D155" t="s">
        <v>2117</v>
      </c>
    </row>
    <row r="156" spans="1:39" ht="15" customHeight="1">
      <c r="A156" s="46" t="s">
        <v>151</v>
      </c>
      <c r="B156" t="s">
        <v>1828</v>
      </c>
      <c r="C156" t="s">
        <v>2118</v>
      </c>
      <c r="D156" t="s">
        <v>2119</v>
      </c>
      <c r="E156" t="s">
        <v>1857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146</v>
      </c>
      <c r="AL156" s="34"/>
      <c r="AM156" s="32"/>
    </row>
    <row r="157" spans="1:39" ht="15" customHeight="1">
      <c r="A157" s="46" t="s">
        <v>150</v>
      </c>
      <c r="B157" t="s">
        <v>1829</v>
      </c>
      <c r="C157" t="s">
        <v>2120</v>
      </c>
      <c r="D157" t="s">
        <v>2121</v>
      </c>
      <c r="E157" t="s">
        <v>1857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146</v>
      </c>
      <c r="AL157" s="34"/>
      <c r="AM157" s="32"/>
    </row>
    <row r="158" spans="1:39" ht="15" customHeight="1">
      <c r="A158" s="46" t="s">
        <v>149</v>
      </c>
      <c r="B158" t="s">
        <v>1830</v>
      </c>
      <c r="C158" t="s">
        <v>2122</v>
      </c>
      <c r="D158" t="s">
        <v>2123</v>
      </c>
      <c r="E158" t="s">
        <v>1857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146</v>
      </c>
      <c r="AL158" s="34"/>
      <c r="AM158" s="32"/>
    </row>
    <row r="159" spans="1:39" ht="15" customHeight="1">
      <c r="A159" s="46" t="s">
        <v>148</v>
      </c>
      <c r="B159" t="s">
        <v>1831</v>
      </c>
      <c r="C159" t="s">
        <v>2124</v>
      </c>
      <c r="D159" t="s">
        <v>2125</v>
      </c>
      <c r="E159" t="s">
        <v>1857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146</v>
      </c>
      <c r="AL159" s="34"/>
      <c r="AM159" s="32"/>
    </row>
    <row r="160" spans="1:39" ht="15" customHeight="1">
      <c r="A160" s="46" t="s">
        <v>147</v>
      </c>
      <c r="B160" t="s">
        <v>1832</v>
      </c>
      <c r="C160" t="s">
        <v>2126</v>
      </c>
      <c r="D160" t="s">
        <v>2127</v>
      </c>
      <c r="E160" t="s">
        <v>1857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146</v>
      </c>
      <c r="AL160" s="34"/>
      <c r="AM160" s="32"/>
    </row>
    <row r="161" spans="1:39" ht="15" customHeight="1">
      <c r="A161" s="46" t="s">
        <v>145</v>
      </c>
      <c r="B161" t="s">
        <v>1833</v>
      </c>
      <c r="C161" t="s">
        <v>2128</v>
      </c>
      <c r="D161" t="s">
        <v>2129</v>
      </c>
      <c r="E161" t="s">
        <v>1857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115">
        <v>6.8000000000000005E-2</v>
      </c>
      <c r="AL161" s="34"/>
      <c r="AM161" s="32"/>
    </row>
    <row r="162" spans="1:39" ht="15" customHeight="1">
      <c r="A162" s="46" t="s">
        <v>144</v>
      </c>
      <c r="B162" t="s">
        <v>1834</v>
      </c>
      <c r="C162" t="s">
        <v>2130</v>
      </c>
      <c r="D162" t="s">
        <v>2131</v>
      </c>
      <c r="E162" t="s">
        <v>1857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115">
        <v>0.35499999999999998</v>
      </c>
      <c r="AL162" s="34"/>
      <c r="AM162" s="32"/>
    </row>
    <row r="163" spans="1:39" ht="15" customHeight="1">
      <c r="A163" s="46" t="s">
        <v>143</v>
      </c>
      <c r="B163" t="s">
        <v>1835</v>
      </c>
      <c r="C163" t="s">
        <v>2132</v>
      </c>
      <c r="D163" t="s">
        <v>2133</v>
      </c>
      <c r="E163" t="s">
        <v>1857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115">
        <v>0</v>
      </c>
      <c r="AL163" s="34"/>
      <c r="AM163" s="32"/>
    </row>
    <row r="164" spans="1:39" ht="15" customHeight="1">
      <c r="A164" s="46" t="s">
        <v>142</v>
      </c>
      <c r="B164" t="s">
        <v>1836</v>
      </c>
      <c r="C164" t="s">
        <v>2134</v>
      </c>
      <c r="D164" t="s">
        <v>2135</v>
      </c>
      <c r="E164" t="s">
        <v>1857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115">
        <v>0</v>
      </c>
      <c r="AL164" s="34"/>
      <c r="AM164" s="32"/>
    </row>
    <row r="165" spans="1:39" ht="15" customHeight="1">
      <c r="B165" t="s">
        <v>1837</v>
      </c>
      <c r="D165" t="s">
        <v>2136</v>
      </c>
    </row>
    <row r="166" spans="1:39" ht="15" customHeight="1">
      <c r="B166" t="s">
        <v>1838</v>
      </c>
      <c r="D166" t="s">
        <v>2137</v>
      </c>
    </row>
    <row r="167" spans="1:39" ht="15" customHeight="1">
      <c r="A167" s="46" t="s">
        <v>141</v>
      </c>
      <c r="B167" t="s">
        <v>1825</v>
      </c>
      <c r="C167" t="s">
        <v>2138</v>
      </c>
      <c r="D167" t="s">
        <v>2139</v>
      </c>
      <c r="E167" t="s">
        <v>2140</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115">
        <v>6.0000000000000001E-3</v>
      </c>
      <c r="AL167" s="33"/>
      <c r="AM167" s="32"/>
    </row>
    <row r="168" spans="1:39" ht="15" customHeight="1">
      <c r="A168" s="46" t="s">
        <v>140</v>
      </c>
      <c r="B168" t="s">
        <v>1826</v>
      </c>
      <c r="C168" t="s">
        <v>2141</v>
      </c>
      <c r="D168" t="s">
        <v>2142</v>
      </c>
      <c r="E168" t="s">
        <v>2140</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115">
        <v>7.0000000000000001E-3</v>
      </c>
      <c r="AL168" s="33"/>
      <c r="AM168" s="32"/>
    </row>
    <row r="169" spans="1:39" ht="15" customHeight="1">
      <c r="A169" s="46" t="s">
        <v>139</v>
      </c>
      <c r="B169" t="s">
        <v>1827</v>
      </c>
      <c r="C169" t="s">
        <v>2143</v>
      </c>
      <c r="D169" t="s">
        <v>2144</v>
      </c>
      <c r="E169" t="s">
        <v>2140</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115">
        <v>8.0000000000000002E-3</v>
      </c>
      <c r="AL169" s="33"/>
      <c r="AM169" s="32"/>
    </row>
    <row r="170" spans="1:39" ht="15" customHeight="1">
      <c r="A170" s="46" t="s">
        <v>138</v>
      </c>
      <c r="B170" t="s">
        <v>1839</v>
      </c>
      <c r="C170" t="s">
        <v>2145</v>
      </c>
      <c r="D170" t="s">
        <v>2146</v>
      </c>
      <c r="E170" t="s">
        <v>2140</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115">
        <v>8.9999999999999993E-3</v>
      </c>
      <c r="AL170" s="33"/>
      <c r="AM170" s="32"/>
    </row>
    <row r="171" spans="1:39" ht="15" customHeight="1">
      <c r="B171" t="s">
        <v>467</v>
      </c>
      <c r="D171" t="s">
        <v>2147</v>
      </c>
    </row>
    <row r="172" spans="1:39" ht="15" customHeight="1">
      <c r="A172" s="46" t="s">
        <v>137</v>
      </c>
      <c r="B172" t="s">
        <v>1825</v>
      </c>
      <c r="C172" t="s">
        <v>2148</v>
      </c>
      <c r="D172" t="s">
        <v>2149</v>
      </c>
      <c r="E172" t="s">
        <v>2140</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115">
        <v>5.0000000000000001E-3</v>
      </c>
      <c r="AL172" s="33"/>
      <c r="AM172" s="32"/>
    </row>
    <row r="173" spans="1:39" ht="15" customHeight="1">
      <c r="A173" s="46" t="s">
        <v>136</v>
      </c>
      <c r="B173" t="s">
        <v>1826</v>
      </c>
      <c r="C173" t="s">
        <v>2150</v>
      </c>
      <c r="D173" t="s">
        <v>2151</v>
      </c>
      <c r="E173" t="s">
        <v>2140</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115">
        <v>6.0000000000000001E-3</v>
      </c>
      <c r="AL173" s="33"/>
      <c r="AM173" s="32"/>
    </row>
    <row r="174" spans="1:39" ht="15" customHeight="1">
      <c r="A174" s="46" t="s">
        <v>135</v>
      </c>
      <c r="B174" t="s">
        <v>1827</v>
      </c>
      <c r="C174" t="s">
        <v>2152</v>
      </c>
      <c r="D174" t="s">
        <v>2153</v>
      </c>
      <c r="E174" t="s">
        <v>2140</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115">
        <v>6.0000000000000001E-3</v>
      </c>
      <c r="AL174" s="33"/>
      <c r="AM174" s="32"/>
    </row>
    <row r="175" spans="1:39" ht="15" customHeight="1">
      <c r="A175" s="46" t="s">
        <v>134</v>
      </c>
      <c r="B175" t="s">
        <v>1839</v>
      </c>
      <c r="C175" t="s">
        <v>2154</v>
      </c>
      <c r="D175" t="s">
        <v>2155</v>
      </c>
      <c r="E175" t="s">
        <v>2140</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115">
        <v>7.0000000000000001E-3</v>
      </c>
      <c r="AL175" s="33"/>
      <c r="AM175" s="32"/>
    </row>
    <row r="176" spans="1:39" ht="15" customHeight="1">
      <c r="B176" t="s">
        <v>133</v>
      </c>
      <c r="D176" t="s">
        <v>2156</v>
      </c>
    </row>
    <row r="177" spans="1:39" ht="15" customHeight="1">
      <c r="B177" t="s">
        <v>1840</v>
      </c>
      <c r="D177" t="s">
        <v>2157</v>
      </c>
    </row>
    <row r="178" spans="1:39" ht="15" customHeight="1">
      <c r="A178" s="46" t="s">
        <v>132</v>
      </c>
      <c r="B178" t="s">
        <v>1810</v>
      </c>
      <c r="C178" t="s">
        <v>2158</v>
      </c>
      <c r="D178" t="s">
        <v>2159</v>
      </c>
      <c r="E178" t="s">
        <v>1294</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115">
        <v>2.7E-2</v>
      </c>
      <c r="AL178" s="31"/>
      <c r="AM178" s="32"/>
    </row>
    <row r="179" spans="1:39" ht="15" customHeight="1">
      <c r="A179" s="46" t="s">
        <v>131</v>
      </c>
      <c r="B179" t="s">
        <v>1811</v>
      </c>
      <c r="C179" t="s">
        <v>2160</v>
      </c>
      <c r="D179" t="s">
        <v>2161</v>
      </c>
      <c r="E179" t="s">
        <v>1294</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115">
        <v>4.3999999999999997E-2</v>
      </c>
      <c r="AL179" s="31"/>
      <c r="AM179" s="32"/>
    </row>
    <row r="180" spans="1:39" ht="15" customHeight="1">
      <c r="A180" s="46" t="s">
        <v>130</v>
      </c>
      <c r="B180" t="s">
        <v>1812</v>
      </c>
      <c r="C180" t="s">
        <v>2162</v>
      </c>
      <c r="D180" t="s">
        <v>2163</v>
      </c>
      <c r="E180" t="s">
        <v>1294</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115">
        <v>5.8000000000000003E-2</v>
      </c>
      <c r="AL180" s="31"/>
      <c r="AM180" s="32"/>
    </row>
    <row r="181" spans="1:39" ht="15" customHeight="1">
      <c r="A181" s="46" t="s">
        <v>129</v>
      </c>
      <c r="B181" t="s">
        <v>1813</v>
      </c>
      <c r="C181" t="s">
        <v>2164</v>
      </c>
      <c r="D181" t="s">
        <v>2165</v>
      </c>
      <c r="E181" t="s">
        <v>1294</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115">
        <v>5.6000000000000001E-2</v>
      </c>
      <c r="AL181" s="31"/>
      <c r="AM181" s="32"/>
    </row>
    <row r="182" spans="1:39" ht="15" customHeight="1">
      <c r="A182" s="46" t="s">
        <v>128</v>
      </c>
      <c r="B182" t="s">
        <v>1814</v>
      </c>
      <c r="C182" t="s">
        <v>2166</v>
      </c>
      <c r="D182" t="s">
        <v>2167</v>
      </c>
      <c r="E182" t="s">
        <v>1294</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115">
        <v>0.04</v>
      </c>
      <c r="AL182" s="31"/>
      <c r="AM182" s="32"/>
    </row>
    <row r="183" spans="1:39" ht="15" customHeight="1">
      <c r="A183" s="46" t="s">
        <v>127</v>
      </c>
      <c r="B183" t="s">
        <v>1815</v>
      </c>
      <c r="C183" t="s">
        <v>2168</v>
      </c>
      <c r="D183" t="s">
        <v>2169</v>
      </c>
      <c r="E183" t="s">
        <v>1294</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115">
        <v>6.7000000000000004E-2</v>
      </c>
      <c r="AL183" s="31"/>
      <c r="AM183" s="32"/>
    </row>
    <row r="184" spans="1:39" ht="15" customHeight="1">
      <c r="A184" s="46" t="s">
        <v>126</v>
      </c>
      <c r="B184" t="s">
        <v>1816</v>
      </c>
      <c r="C184" t="s">
        <v>2170</v>
      </c>
      <c r="D184" t="s">
        <v>2171</v>
      </c>
      <c r="E184" t="s">
        <v>1294</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115">
        <v>4.8000000000000001E-2</v>
      </c>
      <c r="AL184" s="31"/>
      <c r="AM184" s="32"/>
    </row>
    <row r="185" spans="1:39" ht="15" customHeight="1">
      <c r="A185" s="46" t="s">
        <v>125</v>
      </c>
      <c r="B185" t="s">
        <v>1817</v>
      </c>
      <c r="C185" t="s">
        <v>2172</v>
      </c>
      <c r="D185" t="s">
        <v>2173</v>
      </c>
      <c r="E185" t="s">
        <v>1294</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115">
        <v>2.9000000000000001E-2</v>
      </c>
      <c r="AL185" s="31"/>
      <c r="AM185" s="32"/>
    </row>
    <row r="186" spans="1:39" ht="15" customHeight="1">
      <c r="A186" s="46" t="s">
        <v>124</v>
      </c>
      <c r="B186" t="s">
        <v>1818</v>
      </c>
      <c r="C186" t="s">
        <v>2174</v>
      </c>
      <c r="D186" t="s">
        <v>2175</v>
      </c>
      <c r="E186" t="s">
        <v>1294</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115">
        <v>3.6999999999999998E-2</v>
      </c>
      <c r="AL186" s="31"/>
      <c r="AM186" s="32"/>
    </row>
    <row r="187" spans="1:39" ht="15" customHeight="1">
      <c r="A187" s="46" t="s">
        <v>123</v>
      </c>
      <c r="B187" t="s">
        <v>1819</v>
      </c>
      <c r="C187" t="s">
        <v>2176</v>
      </c>
      <c r="D187" t="s">
        <v>2177</v>
      </c>
      <c r="E187" t="s">
        <v>1294</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115">
        <v>2.1000000000000001E-2</v>
      </c>
      <c r="AL187" s="31"/>
      <c r="AM187" s="32"/>
    </row>
    <row r="188" spans="1:39" ht="15" customHeight="1">
      <c r="A188" s="46" t="s">
        <v>122</v>
      </c>
      <c r="B188" t="s">
        <v>1820</v>
      </c>
      <c r="C188" t="s">
        <v>2178</v>
      </c>
      <c r="D188" t="s">
        <v>2179</v>
      </c>
      <c r="E188" t="s">
        <v>1294</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115">
        <v>5.8999999999999997E-2</v>
      </c>
      <c r="AL188" s="31"/>
      <c r="AM188" s="32"/>
    </row>
    <row r="189" spans="1:39" ht="15" customHeight="1">
      <c r="A189" s="46" t="s">
        <v>121</v>
      </c>
      <c r="B189" t="s">
        <v>1821</v>
      </c>
      <c r="C189" t="s">
        <v>2180</v>
      </c>
      <c r="D189" t="s">
        <v>2181</v>
      </c>
      <c r="E189" t="s">
        <v>1294</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115">
        <v>7.1999999999999995E-2</v>
      </c>
      <c r="AL189" s="31"/>
      <c r="AM189" s="32"/>
    </row>
    <row r="190" spans="1:39" ht="15" customHeight="1">
      <c r="A190" s="46" t="s">
        <v>120</v>
      </c>
      <c r="B190" t="s">
        <v>1822</v>
      </c>
      <c r="C190" t="s">
        <v>2182</v>
      </c>
      <c r="D190" t="s">
        <v>2183</v>
      </c>
      <c r="E190" t="s">
        <v>1294</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115">
        <v>5.0999999999999997E-2</v>
      </c>
      <c r="AL190" s="31"/>
      <c r="AM190" s="32"/>
    </row>
    <row r="191" spans="1:39" ht="15" customHeight="1">
      <c r="A191" s="46" t="s">
        <v>119</v>
      </c>
      <c r="B191" t="s">
        <v>153</v>
      </c>
      <c r="C191" t="s">
        <v>2184</v>
      </c>
      <c r="D191" t="s">
        <v>2185</v>
      </c>
      <c r="E191" t="s">
        <v>1294</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115">
        <v>4.1000000000000002E-2</v>
      </c>
      <c r="AL191" s="31"/>
      <c r="AM191" s="32"/>
    </row>
    <row r="192" spans="1:39" ht="15" customHeight="1">
      <c r="A192" s="46" t="s">
        <v>118</v>
      </c>
      <c r="B192" t="s">
        <v>1841</v>
      </c>
      <c r="C192" t="s">
        <v>2186</v>
      </c>
      <c r="D192" t="s">
        <v>2187</v>
      </c>
      <c r="E192" t="s">
        <v>2188</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31"/>
      <c r="AM192" s="32"/>
    </row>
    <row r="193" spans="1:39" ht="15" customHeight="1">
      <c r="A193" s="46" t="s">
        <v>117</v>
      </c>
      <c r="B193" t="s">
        <v>1842</v>
      </c>
      <c r="C193" t="s">
        <v>2186</v>
      </c>
      <c r="D193" t="s">
        <v>2189</v>
      </c>
      <c r="E193" t="s">
        <v>2190</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31"/>
      <c r="AM193" s="32"/>
    </row>
    <row r="194" spans="1:39" ht="15" customHeight="1" thickBot="1"/>
    <row r="195" spans="1:39" ht="15" customHeight="1">
      <c r="AL195" s="70"/>
      <c r="AM195" s="70"/>
    </row>
  </sheetData>
  <pageMargins left="0.75" right="0.75" top="1" bottom="1" header="0.5" footer="0.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192"/>
  <sheetViews>
    <sheetView workbookViewId="0"/>
  </sheetViews>
  <sheetFormatPr defaultRowHeight="15" customHeight="1"/>
  <cols>
    <col min="1" max="1" width="14.36328125" style="46" customWidth="1"/>
  </cols>
  <sheetData>
    <row r="1" spans="1:39" ht="15" customHeight="1" thickBot="1">
      <c r="A1" s="46" t="s">
        <v>1347</v>
      </c>
      <c r="B1" s="60"/>
      <c r="C1" s="60"/>
      <c r="D1" s="60"/>
      <c r="E1" s="60"/>
      <c r="F1" s="60">
        <v>2020</v>
      </c>
      <c r="G1" s="60">
        <v>2021</v>
      </c>
      <c r="H1" s="60">
        <v>2022</v>
      </c>
      <c r="I1" s="60">
        <v>2023</v>
      </c>
      <c r="J1" s="60">
        <v>2024</v>
      </c>
      <c r="K1" s="60">
        <v>2025</v>
      </c>
      <c r="L1" s="60">
        <v>2026</v>
      </c>
      <c r="M1" s="60">
        <v>2027</v>
      </c>
      <c r="N1" s="60">
        <v>2028</v>
      </c>
      <c r="O1" s="60">
        <v>2029</v>
      </c>
      <c r="P1" s="60">
        <v>2030</v>
      </c>
      <c r="Q1" s="60">
        <v>2031</v>
      </c>
      <c r="R1" s="60">
        <v>2032</v>
      </c>
      <c r="S1" s="60">
        <v>2033</v>
      </c>
      <c r="T1" s="60">
        <v>2034</v>
      </c>
      <c r="U1" s="60">
        <v>2035</v>
      </c>
      <c r="V1" s="60">
        <v>2036</v>
      </c>
      <c r="W1" s="60">
        <v>2037</v>
      </c>
      <c r="X1" s="60">
        <v>2038</v>
      </c>
      <c r="Y1" s="60">
        <v>2039</v>
      </c>
      <c r="Z1" s="60">
        <v>2040</v>
      </c>
      <c r="AA1" s="60">
        <v>2041</v>
      </c>
      <c r="AB1" s="60">
        <v>2042</v>
      </c>
      <c r="AC1" s="60">
        <v>2043</v>
      </c>
      <c r="AD1" s="60">
        <v>2044</v>
      </c>
      <c r="AE1" s="60">
        <v>2045</v>
      </c>
      <c r="AF1" s="60">
        <v>2046</v>
      </c>
      <c r="AG1" s="60">
        <v>2047</v>
      </c>
      <c r="AH1" s="60">
        <v>2048</v>
      </c>
      <c r="AI1" s="60">
        <v>2049</v>
      </c>
      <c r="AJ1" s="60">
        <v>2050</v>
      </c>
      <c r="AK1" s="60" t="s">
        <v>1290</v>
      </c>
      <c r="AL1" s="27"/>
    </row>
    <row r="2" spans="1:39" ht="15" customHeight="1" thickTop="1">
      <c r="A2" s="118"/>
    </row>
    <row r="3" spans="1:39" ht="15" customHeight="1">
      <c r="A3" s="118"/>
    </row>
    <row r="4" spans="1:39" ht="15" customHeight="1">
      <c r="A4" s="118"/>
    </row>
    <row r="5" spans="1:39" ht="15" customHeight="1">
      <c r="A5" s="118"/>
    </row>
    <row r="6" spans="1:39" ht="15" customHeight="1">
      <c r="A6" s="118"/>
    </row>
    <row r="10" spans="1:39" ht="15" customHeight="1">
      <c r="A10" s="61" t="s">
        <v>468</v>
      </c>
      <c r="B10" t="s">
        <v>2191</v>
      </c>
    </row>
    <row r="11" spans="1:39" ht="15" customHeight="1">
      <c r="A11" s="118"/>
      <c r="B11" t="s">
        <v>2192</v>
      </c>
    </row>
    <row r="12" spans="1:39" ht="15" customHeight="1">
      <c r="A12" s="118"/>
      <c r="B12" t="s">
        <v>2193</v>
      </c>
      <c r="AL12" s="5"/>
      <c r="AM12" s="5"/>
    </row>
    <row r="13" spans="1:39" ht="15" customHeight="1" thickBot="1">
      <c r="A13" s="118"/>
      <c r="B13" t="s">
        <v>1198</v>
      </c>
      <c r="AL13" s="27"/>
      <c r="AM13" s="27"/>
    </row>
    <row r="14" spans="1:39" ht="15" customHeight="1" thickTop="1">
      <c r="A14" s="118"/>
      <c r="C14" t="s">
        <v>1199</v>
      </c>
      <c r="D14" t="s">
        <v>1288</v>
      </c>
      <c r="E14" t="s">
        <v>1289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1290</v>
      </c>
    </row>
    <row r="15" spans="1:39" ht="15" customHeight="1">
      <c r="A15" s="118"/>
      <c r="B15" t="s">
        <v>467</v>
      </c>
      <c r="D15" t="s">
        <v>2194</v>
      </c>
    </row>
    <row r="16" spans="1:39" ht="15" customHeight="1">
      <c r="A16" s="61" t="s">
        <v>466</v>
      </c>
      <c r="B16" t="s">
        <v>1810</v>
      </c>
      <c r="C16" t="s">
        <v>2195</v>
      </c>
      <c r="D16" t="s">
        <v>2196</v>
      </c>
      <c r="E16" t="s">
        <v>1289</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115">
        <v>1.0999999999999999E-2</v>
      </c>
      <c r="AL16" s="31"/>
      <c r="AM16" s="32"/>
    </row>
    <row r="17" spans="1:39" ht="15" customHeight="1">
      <c r="A17" s="61" t="s">
        <v>465</v>
      </c>
      <c r="B17" t="s">
        <v>1825</v>
      </c>
      <c r="C17" t="s">
        <v>2197</v>
      </c>
      <c r="D17" t="s">
        <v>2198</v>
      </c>
      <c r="E17" t="s">
        <v>1289</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115">
        <v>0.02</v>
      </c>
      <c r="AL17" s="31"/>
      <c r="AM17" s="32"/>
    </row>
    <row r="18" spans="1:39" ht="15" customHeight="1">
      <c r="A18" s="61" t="s">
        <v>464</v>
      </c>
      <c r="B18" t="s">
        <v>1826</v>
      </c>
      <c r="C18" t="s">
        <v>2199</v>
      </c>
      <c r="D18" t="s">
        <v>2200</v>
      </c>
      <c r="E18" t="s">
        <v>1289</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115">
        <v>1.7000000000000001E-2</v>
      </c>
      <c r="AL18" s="31"/>
      <c r="AM18" s="32"/>
    </row>
    <row r="19" spans="1:39" ht="15" customHeight="1">
      <c r="A19" s="61" t="s">
        <v>463</v>
      </c>
      <c r="B19" t="s">
        <v>1827</v>
      </c>
      <c r="C19" t="s">
        <v>2201</v>
      </c>
      <c r="D19" t="s">
        <v>2202</v>
      </c>
      <c r="E19" t="s">
        <v>1289</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115">
        <v>-1.6E-2</v>
      </c>
      <c r="AL19" s="31"/>
      <c r="AM19" s="32"/>
    </row>
    <row r="20" spans="1:39" ht="15" customHeight="1">
      <c r="A20" s="61" t="s">
        <v>462</v>
      </c>
      <c r="B20" t="s">
        <v>1811</v>
      </c>
      <c r="C20" t="s">
        <v>2203</v>
      </c>
      <c r="D20" t="s">
        <v>2204</v>
      </c>
      <c r="E20" t="s">
        <v>1289</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115">
        <v>1.2999999999999999E-2</v>
      </c>
      <c r="AL20" s="31"/>
      <c r="AM20" s="32"/>
    </row>
    <row r="21" spans="1:39" ht="15" customHeight="1">
      <c r="A21" s="61" t="s">
        <v>461</v>
      </c>
      <c r="B21" t="s">
        <v>1825</v>
      </c>
      <c r="C21" t="s">
        <v>2205</v>
      </c>
      <c r="D21" t="s">
        <v>2206</v>
      </c>
      <c r="E21" t="s">
        <v>1289</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115">
        <v>2.7E-2</v>
      </c>
      <c r="AL21" s="31"/>
      <c r="AM21" s="32"/>
    </row>
    <row r="22" spans="1:39" ht="15" customHeight="1">
      <c r="A22" s="61" t="s">
        <v>460</v>
      </c>
      <c r="B22" t="s">
        <v>1826</v>
      </c>
      <c r="C22" t="s">
        <v>2207</v>
      </c>
      <c r="D22" t="s">
        <v>2208</v>
      </c>
      <c r="E22" t="s">
        <v>1289</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115">
        <v>1.9E-2</v>
      </c>
      <c r="AL22" s="31"/>
      <c r="AM22" s="32"/>
    </row>
    <row r="23" spans="1:39" ht="15" customHeight="1">
      <c r="A23" s="61" t="s">
        <v>459</v>
      </c>
      <c r="B23" t="s">
        <v>1827</v>
      </c>
      <c r="C23" t="s">
        <v>2209</v>
      </c>
      <c r="D23" t="s">
        <v>2210</v>
      </c>
      <c r="E23" t="s">
        <v>1289</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115">
        <v>-6.0000000000000001E-3</v>
      </c>
      <c r="AL23" s="31"/>
      <c r="AM23" s="32"/>
    </row>
    <row r="24" spans="1:39" ht="15" customHeight="1">
      <c r="A24" s="61" t="s">
        <v>458</v>
      </c>
      <c r="B24" t="s">
        <v>1812</v>
      </c>
      <c r="C24" t="s">
        <v>2211</v>
      </c>
      <c r="D24" t="s">
        <v>2212</v>
      </c>
      <c r="E24" t="s">
        <v>1289</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115">
        <v>2.1999999999999999E-2</v>
      </c>
      <c r="AL24" s="31"/>
      <c r="AM24" s="32"/>
    </row>
    <row r="25" spans="1:39" ht="15" customHeight="1">
      <c r="A25" s="61" t="s">
        <v>457</v>
      </c>
      <c r="B25" t="s">
        <v>1825</v>
      </c>
      <c r="C25" t="s">
        <v>2213</v>
      </c>
      <c r="D25" t="s">
        <v>2214</v>
      </c>
      <c r="E25" t="s">
        <v>1289</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115">
        <v>3.1E-2</v>
      </c>
      <c r="AL25" s="31"/>
      <c r="AM25" s="32"/>
    </row>
    <row r="26" spans="1:39" ht="15" customHeight="1">
      <c r="A26" s="61" t="s">
        <v>456</v>
      </c>
      <c r="B26" t="s">
        <v>1826</v>
      </c>
      <c r="C26" t="s">
        <v>2215</v>
      </c>
      <c r="D26" t="s">
        <v>2216</v>
      </c>
      <c r="E26" t="s">
        <v>1289</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115">
        <v>2.5000000000000001E-2</v>
      </c>
      <c r="AL26" s="31"/>
      <c r="AM26" s="32"/>
    </row>
    <row r="27" spans="1:39" ht="15" customHeight="1">
      <c r="A27" s="61" t="s">
        <v>455</v>
      </c>
      <c r="B27" t="s">
        <v>1827</v>
      </c>
      <c r="C27" t="s">
        <v>2217</v>
      </c>
      <c r="D27" t="s">
        <v>2218</v>
      </c>
      <c r="E27" t="s">
        <v>1289</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115">
        <v>0</v>
      </c>
      <c r="AL27" s="31"/>
      <c r="AM27" s="32"/>
    </row>
    <row r="28" spans="1:39" ht="15" customHeight="1">
      <c r="A28" s="61" t="s">
        <v>454</v>
      </c>
      <c r="B28" t="s">
        <v>1813</v>
      </c>
      <c r="C28" t="s">
        <v>2219</v>
      </c>
      <c r="D28" t="s">
        <v>2220</v>
      </c>
      <c r="E28" t="s">
        <v>1289</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115">
        <v>0.04</v>
      </c>
      <c r="AL28" s="31"/>
      <c r="AM28" s="32"/>
    </row>
    <row r="29" spans="1:39" ht="15" customHeight="1">
      <c r="A29" s="61" t="s">
        <v>453</v>
      </c>
      <c r="B29" t="s">
        <v>1825</v>
      </c>
      <c r="C29" t="s">
        <v>2221</v>
      </c>
      <c r="D29" t="s">
        <v>2222</v>
      </c>
      <c r="E29" t="s">
        <v>1289</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115">
        <v>4.8000000000000001E-2</v>
      </c>
      <c r="AL29" s="31"/>
      <c r="AM29" s="32"/>
    </row>
    <row r="30" spans="1:39" ht="15" customHeight="1">
      <c r="A30" s="61" t="s">
        <v>452</v>
      </c>
      <c r="B30" t="s">
        <v>1826</v>
      </c>
      <c r="C30" t="s">
        <v>2223</v>
      </c>
      <c r="D30" t="s">
        <v>2224</v>
      </c>
      <c r="E30" t="s">
        <v>1289</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115">
        <v>2.9000000000000001E-2</v>
      </c>
      <c r="AL30" s="31"/>
      <c r="AM30" s="32"/>
    </row>
    <row r="31" spans="1:39" ht="15" customHeight="1">
      <c r="A31" s="61" t="s">
        <v>451</v>
      </c>
      <c r="B31" t="s">
        <v>1827</v>
      </c>
      <c r="C31" t="s">
        <v>2225</v>
      </c>
      <c r="D31" t="s">
        <v>2226</v>
      </c>
      <c r="E31" t="s">
        <v>1289</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115">
        <v>1.4E-2</v>
      </c>
      <c r="AL31" s="31"/>
      <c r="AM31" s="32"/>
    </row>
    <row r="32" spans="1:39" ht="15" customHeight="1">
      <c r="A32" s="61" t="s">
        <v>450</v>
      </c>
      <c r="B32" t="s">
        <v>1814</v>
      </c>
      <c r="C32" t="s">
        <v>2227</v>
      </c>
      <c r="D32" t="s">
        <v>2228</v>
      </c>
      <c r="E32" t="s">
        <v>1289</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115">
        <v>2.4E-2</v>
      </c>
      <c r="AL32" s="31"/>
      <c r="AM32" s="32"/>
    </row>
    <row r="33" spans="1:39" ht="15" customHeight="1">
      <c r="A33" s="61" t="s">
        <v>449</v>
      </c>
      <c r="B33" t="s">
        <v>1825</v>
      </c>
      <c r="C33" t="s">
        <v>2229</v>
      </c>
      <c r="D33" t="s">
        <v>2230</v>
      </c>
      <c r="E33" t="s">
        <v>1289</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115">
        <v>3.2000000000000001E-2</v>
      </c>
      <c r="AL33" s="31"/>
      <c r="AM33" s="32"/>
    </row>
    <row r="34" spans="1:39" ht="15" customHeight="1">
      <c r="A34" s="61" t="s">
        <v>448</v>
      </c>
      <c r="B34" t="s">
        <v>1826</v>
      </c>
      <c r="C34" t="s">
        <v>2231</v>
      </c>
      <c r="D34" t="s">
        <v>2232</v>
      </c>
      <c r="E34" t="s">
        <v>1289</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115">
        <v>2.1999999999999999E-2</v>
      </c>
      <c r="AL34" s="31"/>
      <c r="AM34" s="32"/>
    </row>
    <row r="35" spans="1:39" ht="15" customHeight="1">
      <c r="A35" s="61" t="s">
        <v>447</v>
      </c>
      <c r="B35" t="s">
        <v>1827</v>
      </c>
      <c r="C35" t="s">
        <v>2233</v>
      </c>
      <c r="D35" t="s">
        <v>2234</v>
      </c>
      <c r="E35" t="s">
        <v>1289</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115">
        <v>-7.0000000000000001E-3</v>
      </c>
      <c r="AL35" s="31"/>
      <c r="AM35" s="32"/>
    </row>
    <row r="36" spans="1:39" ht="15" customHeight="1">
      <c r="A36" s="61" t="s">
        <v>446</v>
      </c>
      <c r="B36" t="s">
        <v>1815</v>
      </c>
      <c r="C36" t="s">
        <v>2235</v>
      </c>
      <c r="D36" t="s">
        <v>2236</v>
      </c>
      <c r="E36" t="s">
        <v>1289</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115">
        <v>3.4000000000000002E-2</v>
      </c>
      <c r="AL36" s="31"/>
      <c r="AM36" s="32"/>
    </row>
    <row r="37" spans="1:39" ht="15" customHeight="1">
      <c r="A37" s="61" t="s">
        <v>445</v>
      </c>
      <c r="B37" t="s">
        <v>1825</v>
      </c>
      <c r="C37" t="s">
        <v>2237</v>
      </c>
      <c r="D37" t="s">
        <v>2238</v>
      </c>
      <c r="E37" t="s">
        <v>1289</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115">
        <v>4.7E-2</v>
      </c>
      <c r="AL37" s="31"/>
      <c r="AM37" s="32"/>
    </row>
    <row r="38" spans="1:39" ht="15" customHeight="1">
      <c r="A38" s="61" t="s">
        <v>444</v>
      </c>
      <c r="B38" t="s">
        <v>1826</v>
      </c>
      <c r="C38" t="s">
        <v>2239</v>
      </c>
      <c r="D38" t="s">
        <v>2240</v>
      </c>
      <c r="E38" t="s">
        <v>1289</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115">
        <v>3.3000000000000002E-2</v>
      </c>
      <c r="AL38" s="31"/>
      <c r="AM38" s="32"/>
    </row>
    <row r="39" spans="1:39" ht="15" customHeight="1">
      <c r="A39" s="61" t="s">
        <v>443</v>
      </c>
      <c r="B39" t="s">
        <v>1827</v>
      </c>
      <c r="C39" t="s">
        <v>2241</v>
      </c>
      <c r="D39" t="s">
        <v>2242</v>
      </c>
      <c r="E39" t="s">
        <v>1289</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115">
        <v>1.7999999999999999E-2</v>
      </c>
      <c r="AL39" s="31"/>
      <c r="AM39" s="32"/>
    </row>
    <row r="40" spans="1:39" ht="15" customHeight="1">
      <c r="A40" s="61" t="s">
        <v>442</v>
      </c>
      <c r="B40" t="s">
        <v>1816</v>
      </c>
      <c r="C40" t="s">
        <v>2243</v>
      </c>
      <c r="D40" t="s">
        <v>2244</v>
      </c>
      <c r="E40" t="s">
        <v>1289</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115">
        <v>3.4000000000000002E-2</v>
      </c>
      <c r="AL40" s="31"/>
      <c r="AM40" s="32"/>
    </row>
    <row r="41" spans="1:39" ht="15" customHeight="1">
      <c r="A41" s="61" t="s">
        <v>441</v>
      </c>
      <c r="B41" t="s">
        <v>1825</v>
      </c>
      <c r="C41" t="s">
        <v>2245</v>
      </c>
      <c r="D41" t="s">
        <v>2246</v>
      </c>
      <c r="E41" t="s">
        <v>1289</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115">
        <v>4.1000000000000002E-2</v>
      </c>
      <c r="AL41" s="31"/>
      <c r="AM41" s="32"/>
    </row>
    <row r="42" spans="1:39" ht="15" customHeight="1">
      <c r="A42" s="61" t="s">
        <v>440</v>
      </c>
      <c r="B42" t="s">
        <v>1826</v>
      </c>
      <c r="C42" t="s">
        <v>2247</v>
      </c>
      <c r="D42" t="s">
        <v>2248</v>
      </c>
      <c r="E42" t="s">
        <v>1289</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115">
        <v>3.1E-2</v>
      </c>
      <c r="AL42" s="31"/>
      <c r="AM42" s="32"/>
    </row>
    <row r="43" spans="1:39" ht="15" customHeight="1">
      <c r="A43" s="61" t="s">
        <v>439</v>
      </c>
      <c r="B43" t="s">
        <v>1827</v>
      </c>
      <c r="C43" t="s">
        <v>2249</v>
      </c>
      <c r="D43" t="s">
        <v>2250</v>
      </c>
      <c r="E43" t="s">
        <v>1289</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115">
        <v>1.0999999999999999E-2</v>
      </c>
      <c r="AL43" s="31"/>
      <c r="AM43" s="32"/>
    </row>
    <row r="44" spans="1:39" ht="15" customHeight="1">
      <c r="A44" s="61" t="s">
        <v>438</v>
      </c>
      <c r="B44" t="s">
        <v>1817</v>
      </c>
      <c r="C44" t="s">
        <v>2251</v>
      </c>
      <c r="D44" t="s">
        <v>2252</v>
      </c>
      <c r="E44" t="s">
        <v>1289</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115">
        <v>1.2999999999999999E-2</v>
      </c>
      <c r="AL44" s="31"/>
      <c r="AM44" s="32"/>
    </row>
    <row r="45" spans="1:39" ht="15" customHeight="1">
      <c r="A45" s="61" t="s">
        <v>437</v>
      </c>
      <c r="B45" t="s">
        <v>1825</v>
      </c>
      <c r="C45" t="s">
        <v>2253</v>
      </c>
      <c r="D45" t="s">
        <v>2254</v>
      </c>
      <c r="E45" t="s">
        <v>1289</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115">
        <v>1.7999999999999999E-2</v>
      </c>
      <c r="AL45" s="31"/>
      <c r="AM45" s="32"/>
    </row>
    <row r="46" spans="1:39" ht="15" customHeight="1">
      <c r="A46" s="61" t="s">
        <v>436</v>
      </c>
      <c r="B46" t="s">
        <v>1826</v>
      </c>
      <c r="C46" t="s">
        <v>2255</v>
      </c>
      <c r="D46" t="s">
        <v>2256</v>
      </c>
      <c r="E46" t="s">
        <v>1289</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115">
        <v>2.1000000000000001E-2</v>
      </c>
      <c r="AL46" s="31"/>
      <c r="AM46" s="32"/>
    </row>
    <row r="47" spans="1:39" ht="15" customHeight="1">
      <c r="A47" s="61" t="s">
        <v>435</v>
      </c>
      <c r="B47" t="s">
        <v>1827</v>
      </c>
      <c r="C47" t="s">
        <v>2257</v>
      </c>
      <c r="D47" t="s">
        <v>2258</v>
      </c>
      <c r="E47" t="s">
        <v>1289</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115">
        <v>-8.9999999999999993E-3</v>
      </c>
      <c r="AL47" s="31"/>
      <c r="AM47" s="32"/>
    </row>
    <row r="48" spans="1:39" ht="15" customHeight="1">
      <c r="A48" s="61" t="s">
        <v>434</v>
      </c>
      <c r="B48" t="s">
        <v>1818</v>
      </c>
      <c r="C48" t="s">
        <v>2259</v>
      </c>
      <c r="D48" t="s">
        <v>2260</v>
      </c>
      <c r="E48" t="s">
        <v>1289</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115">
        <v>3.6999999999999998E-2</v>
      </c>
      <c r="AL48" s="31"/>
      <c r="AM48" s="32"/>
    </row>
    <row r="49" spans="1:39" ht="15" customHeight="1">
      <c r="A49" s="61" t="s">
        <v>433</v>
      </c>
      <c r="B49" t="s">
        <v>1825</v>
      </c>
      <c r="C49" t="s">
        <v>2261</v>
      </c>
      <c r="D49" t="s">
        <v>2262</v>
      </c>
      <c r="E49" t="s">
        <v>1289</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115">
        <v>0.04</v>
      </c>
      <c r="AL49" s="31"/>
      <c r="AM49" s="32"/>
    </row>
    <row r="50" spans="1:39" ht="15" customHeight="1">
      <c r="A50" s="61" t="s">
        <v>432</v>
      </c>
      <c r="B50" t="s">
        <v>1826</v>
      </c>
      <c r="C50" t="s">
        <v>2263</v>
      </c>
      <c r="D50" t="s">
        <v>2264</v>
      </c>
      <c r="E50" t="s">
        <v>1289</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115">
        <v>3.1E-2</v>
      </c>
      <c r="AL50" s="31"/>
      <c r="AM50" s="32"/>
    </row>
    <row r="51" spans="1:39" ht="15" customHeight="1">
      <c r="A51" s="61" t="s">
        <v>431</v>
      </c>
      <c r="B51" t="s">
        <v>1827</v>
      </c>
      <c r="C51" t="s">
        <v>2265</v>
      </c>
      <c r="D51" t="s">
        <v>2266</v>
      </c>
      <c r="E51" t="s">
        <v>1289</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115">
        <v>1E-3</v>
      </c>
      <c r="AL51" s="31"/>
      <c r="AM51" s="32"/>
    </row>
    <row r="52" spans="1:39" ht="15" customHeight="1">
      <c r="A52" s="61" t="s">
        <v>430</v>
      </c>
      <c r="B52" t="s">
        <v>1819</v>
      </c>
      <c r="C52" t="s">
        <v>2267</v>
      </c>
      <c r="D52" t="s">
        <v>2268</v>
      </c>
      <c r="E52" t="s">
        <v>1289</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115">
        <v>8.0000000000000002E-3</v>
      </c>
      <c r="AL52" s="31"/>
      <c r="AM52" s="32"/>
    </row>
    <row r="53" spans="1:39" ht="15" customHeight="1">
      <c r="A53" s="61" t="s">
        <v>429</v>
      </c>
      <c r="B53" t="s">
        <v>1825</v>
      </c>
      <c r="C53" t="s">
        <v>2269</v>
      </c>
      <c r="D53" t="s">
        <v>2270</v>
      </c>
      <c r="E53" t="s">
        <v>1289</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115">
        <v>1.4E-2</v>
      </c>
      <c r="AL53" s="31"/>
      <c r="AM53" s="32"/>
    </row>
    <row r="54" spans="1:39" ht="15" customHeight="1">
      <c r="A54" s="61" t="s">
        <v>428</v>
      </c>
      <c r="B54" t="s">
        <v>1826</v>
      </c>
      <c r="C54" t="s">
        <v>2271</v>
      </c>
      <c r="D54" t="s">
        <v>2272</v>
      </c>
      <c r="E54" t="s">
        <v>1289</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115">
        <v>6.0000000000000001E-3</v>
      </c>
      <c r="AL54" s="31"/>
      <c r="AM54" s="32"/>
    </row>
    <row r="55" spans="1:39" ht="15" customHeight="1">
      <c r="A55" s="61" t="s">
        <v>427</v>
      </c>
      <c r="B55" t="s">
        <v>1827</v>
      </c>
      <c r="C55" t="s">
        <v>2273</v>
      </c>
      <c r="D55" t="s">
        <v>2274</v>
      </c>
      <c r="E55" t="s">
        <v>1289</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115">
        <v>-1.9E-2</v>
      </c>
      <c r="AL55" s="31"/>
      <c r="AM55" s="32"/>
    </row>
    <row r="56" spans="1:39" ht="15" customHeight="1">
      <c r="A56" s="61" t="s">
        <v>426</v>
      </c>
      <c r="B56" t="s">
        <v>1820</v>
      </c>
      <c r="C56" t="s">
        <v>2275</v>
      </c>
      <c r="D56" t="s">
        <v>2276</v>
      </c>
      <c r="E56" t="s">
        <v>1289</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115">
        <v>3.5999999999999997E-2</v>
      </c>
      <c r="AL56" s="31"/>
      <c r="AM56" s="32"/>
    </row>
    <row r="57" spans="1:39" ht="15" customHeight="1">
      <c r="A57" s="61" t="s">
        <v>425</v>
      </c>
      <c r="B57" t="s">
        <v>1825</v>
      </c>
      <c r="C57" t="s">
        <v>2277</v>
      </c>
      <c r="D57" t="s">
        <v>2278</v>
      </c>
      <c r="E57" t="s">
        <v>1289</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115">
        <v>4.4999999999999998E-2</v>
      </c>
      <c r="AL57" s="31"/>
      <c r="AM57" s="32"/>
    </row>
    <row r="58" spans="1:39" ht="15" customHeight="1">
      <c r="A58" s="61" t="s">
        <v>424</v>
      </c>
      <c r="B58" t="s">
        <v>1826</v>
      </c>
      <c r="C58" t="s">
        <v>2279</v>
      </c>
      <c r="D58" t="s">
        <v>2280</v>
      </c>
      <c r="E58" t="s">
        <v>1289</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115">
        <v>2.5000000000000001E-2</v>
      </c>
      <c r="AL58" s="31"/>
      <c r="AM58" s="32"/>
    </row>
    <row r="59" spans="1:39" ht="15" customHeight="1">
      <c r="A59" s="61" t="s">
        <v>423</v>
      </c>
      <c r="B59" t="s">
        <v>1827</v>
      </c>
      <c r="C59" t="s">
        <v>2281</v>
      </c>
      <c r="D59" t="s">
        <v>2282</v>
      </c>
      <c r="E59" t="s">
        <v>1289</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115">
        <v>1.2999999999999999E-2</v>
      </c>
      <c r="AL59" s="31"/>
      <c r="AM59" s="32"/>
    </row>
    <row r="60" spans="1:39" ht="15" customHeight="1">
      <c r="A60" s="61" t="s">
        <v>422</v>
      </c>
      <c r="B60" t="s">
        <v>1821</v>
      </c>
      <c r="C60" t="s">
        <v>2283</v>
      </c>
      <c r="D60" t="s">
        <v>2284</v>
      </c>
      <c r="E60" t="s">
        <v>1289</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115">
        <v>5.3999999999999999E-2</v>
      </c>
      <c r="AL60" s="31"/>
      <c r="AM60" s="32"/>
    </row>
    <row r="61" spans="1:39" ht="15" customHeight="1">
      <c r="A61" s="61" t="s">
        <v>421</v>
      </c>
      <c r="B61" t="s">
        <v>1825</v>
      </c>
      <c r="C61" t="s">
        <v>2285</v>
      </c>
      <c r="D61" t="s">
        <v>2286</v>
      </c>
      <c r="E61" t="s">
        <v>1289</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115">
        <v>0.06</v>
      </c>
      <c r="AL61" s="31"/>
      <c r="AM61" s="32"/>
    </row>
    <row r="62" spans="1:39" ht="15" customHeight="1">
      <c r="A62" s="61" t="s">
        <v>420</v>
      </c>
      <c r="B62" t="s">
        <v>1826</v>
      </c>
      <c r="C62" t="s">
        <v>2287</v>
      </c>
      <c r="D62" t="s">
        <v>2288</v>
      </c>
      <c r="E62" t="s">
        <v>1289</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115">
        <v>4.2999999999999997E-2</v>
      </c>
      <c r="AL62" s="31"/>
      <c r="AM62" s="32"/>
    </row>
    <row r="63" spans="1:39" ht="15" customHeight="1">
      <c r="A63" s="61" t="s">
        <v>419</v>
      </c>
      <c r="B63" t="s">
        <v>1827</v>
      </c>
      <c r="C63" t="s">
        <v>2289</v>
      </c>
      <c r="D63" t="s">
        <v>2290</v>
      </c>
      <c r="E63" t="s">
        <v>1289</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115">
        <v>2.3E-2</v>
      </c>
      <c r="AL63" s="31"/>
      <c r="AM63" s="32"/>
    </row>
    <row r="64" spans="1:39" ht="15" customHeight="1">
      <c r="A64" s="61" t="s">
        <v>418</v>
      </c>
      <c r="B64" t="s">
        <v>1822</v>
      </c>
      <c r="C64" t="s">
        <v>2291</v>
      </c>
      <c r="D64" t="s">
        <v>2292</v>
      </c>
      <c r="E64" t="s">
        <v>1289</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115">
        <v>1.9E-2</v>
      </c>
      <c r="AL64" s="31"/>
      <c r="AM64" s="32"/>
    </row>
    <row r="65" spans="1:39" ht="15" customHeight="1">
      <c r="A65" s="61" t="s">
        <v>417</v>
      </c>
      <c r="B65" t="s">
        <v>1825</v>
      </c>
      <c r="C65" t="s">
        <v>2293</v>
      </c>
      <c r="D65" t="s">
        <v>2294</v>
      </c>
      <c r="E65" t="s">
        <v>1289</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115">
        <v>3.2000000000000001E-2</v>
      </c>
      <c r="AL65" s="31"/>
      <c r="AM65" s="32"/>
    </row>
    <row r="66" spans="1:39" ht="15" customHeight="1">
      <c r="A66" s="61" t="s">
        <v>416</v>
      </c>
      <c r="B66" t="s">
        <v>1826</v>
      </c>
      <c r="C66" t="s">
        <v>2295</v>
      </c>
      <c r="D66" t="s">
        <v>2296</v>
      </c>
      <c r="E66" t="s">
        <v>1289</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115">
        <v>2.5000000000000001E-2</v>
      </c>
      <c r="AL66" s="31"/>
      <c r="AM66" s="32"/>
    </row>
    <row r="67" spans="1:39" ht="15" customHeight="1">
      <c r="A67" s="61" t="s">
        <v>415</v>
      </c>
      <c r="B67" t="s">
        <v>1827</v>
      </c>
      <c r="C67" t="s">
        <v>2297</v>
      </c>
      <c r="D67" t="s">
        <v>2298</v>
      </c>
      <c r="E67" t="s">
        <v>1289</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115">
        <v>0</v>
      </c>
      <c r="AL67" s="31"/>
      <c r="AM67" s="32"/>
    </row>
    <row r="68" spans="1:39" ht="15" customHeight="1">
      <c r="A68" s="61" t="s">
        <v>414</v>
      </c>
      <c r="B68" t="s">
        <v>153</v>
      </c>
      <c r="C68" t="s">
        <v>2299</v>
      </c>
      <c r="D68" t="s">
        <v>2300</v>
      </c>
      <c r="E68" t="s">
        <v>1289</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115">
        <v>2.7E-2</v>
      </c>
      <c r="AL68" s="38"/>
      <c r="AM68" s="36"/>
    </row>
    <row r="69" spans="1:39" ht="15" customHeight="1">
      <c r="A69" s="118"/>
      <c r="B69" t="s">
        <v>413</v>
      </c>
      <c r="D69" t="s">
        <v>2301</v>
      </c>
    </row>
    <row r="70" spans="1:39" ht="15" customHeight="1">
      <c r="A70" s="61" t="s">
        <v>412</v>
      </c>
      <c r="B70" t="s">
        <v>1810</v>
      </c>
      <c r="C70" t="s">
        <v>2302</v>
      </c>
      <c r="D70" t="s">
        <v>2303</v>
      </c>
      <c r="E70" t="s">
        <v>1289</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115">
        <v>5.0999999999999997E-2</v>
      </c>
      <c r="AL70" s="31"/>
      <c r="AM70" s="32"/>
    </row>
    <row r="71" spans="1:39" ht="15" customHeight="1">
      <c r="A71" s="61" t="s">
        <v>411</v>
      </c>
      <c r="B71" t="s">
        <v>1825</v>
      </c>
      <c r="C71" t="s">
        <v>2304</v>
      </c>
      <c r="D71" t="s">
        <v>2305</v>
      </c>
      <c r="E71" t="s">
        <v>1289</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115">
        <v>5.6000000000000001E-2</v>
      </c>
      <c r="AL71" s="31"/>
      <c r="AM71" s="32"/>
    </row>
    <row r="72" spans="1:39" ht="15" customHeight="1">
      <c r="A72" s="61" t="s">
        <v>410</v>
      </c>
      <c r="B72" t="s">
        <v>1826</v>
      </c>
      <c r="C72" t="s">
        <v>2306</v>
      </c>
      <c r="D72" t="s">
        <v>2307</v>
      </c>
      <c r="E72" t="s">
        <v>1289</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115">
        <v>5.0999999999999997E-2</v>
      </c>
      <c r="AL72" s="31"/>
      <c r="AM72" s="32"/>
    </row>
    <row r="73" spans="1:39" ht="15" customHeight="1">
      <c r="A73" s="61" t="s">
        <v>409</v>
      </c>
      <c r="B73" t="s">
        <v>1827</v>
      </c>
      <c r="C73" t="s">
        <v>2308</v>
      </c>
      <c r="D73" t="s">
        <v>2309</v>
      </c>
      <c r="E73" t="s">
        <v>1289</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115">
        <v>3.2000000000000001E-2</v>
      </c>
      <c r="AL73" s="31"/>
      <c r="AM73" s="32"/>
    </row>
    <row r="74" spans="1:39" ht="15" customHeight="1">
      <c r="A74" s="61" t="s">
        <v>408</v>
      </c>
      <c r="B74" t="s">
        <v>1811</v>
      </c>
      <c r="C74" t="s">
        <v>2310</v>
      </c>
      <c r="D74" t="s">
        <v>2311</v>
      </c>
      <c r="E74" t="s">
        <v>1289</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115">
        <v>5.8000000000000003E-2</v>
      </c>
      <c r="AL74" s="31"/>
      <c r="AM74" s="32"/>
    </row>
    <row r="75" spans="1:39" ht="15" customHeight="1">
      <c r="A75" s="61" t="s">
        <v>407</v>
      </c>
      <c r="B75" t="s">
        <v>1825</v>
      </c>
      <c r="C75" t="s">
        <v>2312</v>
      </c>
      <c r="D75" t="s">
        <v>2313</v>
      </c>
      <c r="E75" t="s">
        <v>1289</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115">
        <v>6.7000000000000004E-2</v>
      </c>
      <c r="AL75" s="31"/>
      <c r="AM75" s="32"/>
    </row>
    <row r="76" spans="1:39" ht="15" customHeight="1">
      <c r="A76" s="61" t="s">
        <v>406</v>
      </c>
      <c r="B76" t="s">
        <v>1826</v>
      </c>
      <c r="C76" t="s">
        <v>2314</v>
      </c>
      <c r="D76" t="s">
        <v>2315</v>
      </c>
      <c r="E76" t="s">
        <v>1289</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115">
        <v>5.1999999999999998E-2</v>
      </c>
      <c r="AL76" s="31"/>
      <c r="AM76" s="32"/>
    </row>
    <row r="77" spans="1:39" ht="15" customHeight="1">
      <c r="A77" s="61" t="s">
        <v>405</v>
      </c>
      <c r="B77" t="s">
        <v>1827</v>
      </c>
      <c r="C77" t="s">
        <v>2316</v>
      </c>
      <c r="D77" t="s">
        <v>2317</v>
      </c>
      <c r="E77" t="s">
        <v>1289</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115">
        <v>4.7E-2</v>
      </c>
      <c r="AL77" s="31"/>
      <c r="AM77" s="32"/>
    </row>
    <row r="78" spans="1:39" ht="15" customHeight="1">
      <c r="A78" s="61" t="s">
        <v>404</v>
      </c>
      <c r="B78" t="s">
        <v>1812</v>
      </c>
      <c r="C78" t="s">
        <v>2318</v>
      </c>
      <c r="D78" t="s">
        <v>2319</v>
      </c>
      <c r="E78" t="s">
        <v>1289</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115">
        <v>0.05</v>
      </c>
      <c r="AL78" s="31"/>
      <c r="AM78" s="32"/>
    </row>
    <row r="79" spans="1:39" ht="15" customHeight="1">
      <c r="A79" s="61" t="s">
        <v>403</v>
      </c>
      <c r="B79" t="s">
        <v>1825</v>
      </c>
      <c r="C79" t="s">
        <v>2320</v>
      </c>
      <c r="D79" t="s">
        <v>2321</v>
      </c>
      <c r="E79" t="s">
        <v>1289</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115">
        <v>5.3999999999999999E-2</v>
      </c>
      <c r="AL79" s="31"/>
      <c r="AM79" s="32"/>
    </row>
    <row r="80" spans="1:39" ht="15" customHeight="1">
      <c r="A80" s="61" t="s">
        <v>402</v>
      </c>
      <c r="B80" t="s">
        <v>1826</v>
      </c>
      <c r="C80" t="s">
        <v>2322</v>
      </c>
      <c r="D80" t="s">
        <v>2323</v>
      </c>
      <c r="E80" t="s">
        <v>1289</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115">
        <v>4.4999999999999998E-2</v>
      </c>
      <c r="AL80" s="31"/>
      <c r="AM80" s="32"/>
    </row>
    <row r="81" spans="1:39" ht="15" customHeight="1">
      <c r="A81" s="61" t="s">
        <v>401</v>
      </c>
      <c r="B81" t="s">
        <v>1827</v>
      </c>
      <c r="C81" t="s">
        <v>2324</v>
      </c>
      <c r="D81" t="s">
        <v>2325</v>
      </c>
      <c r="E81" t="s">
        <v>1289</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115">
        <v>3.9E-2</v>
      </c>
      <c r="AL81" s="31"/>
      <c r="AM81" s="32"/>
    </row>
    <row r="82" spans="1:39" ht="15" customHeight="1">
      <c r="A82" s="61" t="s">
        <v>400</v>
      </c>
      <c r="B82" t="s">
        <v>1813</v>
      </c>
      <c r="C82" t="s">
        <v>2326</v>
      </c>
      <c r="D82" t="s">
        <v>2327</v>
      </c>
      <c r="E82" t="s">
        <v>1289</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115">
        <v>7.1999999999999995E-2</v>
      </c>
      <c r="AL82" s="31"/>
      <c r="AM82" s="32"/>
    </row>
    <row r="83" spans="1:39" ht="15" customHeight="1">
      <c r="A83" s="61" t="s">
        <v>399</v>
      </c>
      <c r="B83" t="s">
        <v>1825</v>
      </c>
      <c r="C83" t="s">
        <v>2328</v>
      </c>
      <c r="D83" t="s">
        <v>2329</v>
      </c>
      <c r="E83" t="s">
        <v>1289</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115">
        <v>8.2000000000000003E-2</v>
      </c>
      <c r="AL83" s="31"/>
      <c r="AM83" s="32"/>
    </row>
    <row r="84" spans="1:39" ht="15" customHeight="1">
      <c r="A84" s="61" t="s">
        <v>398</v>
      </c>
      <c r="B84" t="s">
        <v>1826</v>
      </c>
      <c r="C84" t="s">
        <v>2330</v>
      </c>
      <c r="D84" t="s">
        <v>2331</v>
      </c>
      <c r="E84" t="s">
        <v>1289</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115">
        <v>5.0999999999999997E-2</v>
      </c>
      <c r="AL84" s="31"/>
      <c r="AM84" s="32"/>
    </row>
    <row r="85" spans="1:39" ht="15" customHeight="1">
      <c r="A85" s="61" t="s">
        <v>397</v>
      </c>
      <c r="B85" t="s">
        <v>1827</v>
      </c>
      <c r="C85" t="s">
        <v>2332</v>
      </c>
      <c r="D85" t="s">
        <v>2333</v>
      </c>
      <c r="E85" t="s">
        <v>1289</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115">
        <v>4.7E-2</v>
      </c>
      <c r="AL85" s="31"/>
      <c r="AM85" s="32"/>
    </row>
    <row r="86" spans="1:39" ht="15" customHeight="1">
      <c r="A86" s="61" t="s">
        <v>396</v>
      </c>
      <c r="B86" t="s">
        <v>1814</v>
      </c>
      <c r="C86" t="s">
        <v>2334</v>
      </c>
      <c r="D86" t="s">
        <v>2335</v>
      </c>
      <c r="E86" t="s">
        <v>1289</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115">
        <v>6.0999999999999999E-2</v>
      </c>
      <c r="AL86" s="31"/>
      <c r="AM86" s="32"/>
    </row>
    <row r="87" spans="1:39" ht="15" customHeight="1">
      <c r="A87" s="61" t="s">
        <v>395</v>
      </c>
      <c r="B87" t="s">
        <v>1825</v>
      </c>
      <c r="C87" t="s">
        <v>2336</v>
      </c>
      <c r="D87" t="s">
        <v>2337</v>
      </c>
      <c r="E87" t="s">
        <v>1289</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115">
        <v>6.5000000000000002E-2</v>
      </c>
      <c r="AL87" s="31"/>
      <c r="AM87" s="32"/>
    </row>
    <row r="88" spans="1:39" ht="15" customHeight="1">
      <c r="A88" s="61" t="s">
        <v>394</v>
      </c>
      <c r="B88" t="s">
        <v>1826</v>
      </c>
      <c r="C88" t="s">
        <v>2338</v>
      </c>
      <c r="D88" t="s">
        <v>2339</v>
      </c>
      <c r="E88" t="s">
        <v>1289</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115">
        <v>5.6000000000000001E-2</v>
      </c>
      <c r="AL88" s="31"/>
      <c r="AM88" s="32"/>
    </row>
    <row r="89" spans="1:39" ht="15" customHeight="1">
      <c r="A89" s="61" t="s">
        <v>393</v>
      </c>
      <c r="B89" t="s">
        <v>1827</v>
      </c>
      <c r="C89" t="s">
        <v>2340</v>
      </c>
      <c r="D89" t="s">
        <v>2341</v>
      </c>
      <c r="E89" t="s">
        <v>1289</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115">
        <v>4.2000000000000003E-2</v>
      </c>
      <c r="AL89" s="31"/>
      <c r="AM89" s="32"/>
    </row>
    <row r="90" spans="1:39" ht="15" customHeight="1">
      <c r="A90" s="61" t="s">
        <v>392</v>
      </c>
      <c r="B90" t="s">
        <v>1815</v>
      </c>
      <c r="C90" t="s">
        <v>2342</v>
      </c>
      <c r="D90" t="s">
        <v>2343</v>
      </c>
      <c r="E90" t="s">
        <v>1289</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115">
        <v>8.7999999999999995E-2</v>
      </c>
      <c r="AL90" s="31"/>
      <c r="AM90" s="32"/>
    </row>
    <row r="91" spans="1:39" ht="15" customHeight="1">
      <c r="A91" s="61" t="s">
        <v>391</v>
      </c>
      <c r="B91" t="s">
        <v>1825</v>
      </c>
      <c r="C91" t="s">
        <v>2344</v>
      </c>
      <c r="D91" t="s">
        <v>2345</v>
      </c>
      <c r="E91" t="s">
        <v>1289</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115">
        <v>0.10199999999999999</v>
      </c>
      <c r="AL91" s="31"/>
      <c r="AM91" s="32"/>
    </row>
    <row r="92" spans="1:39" ht="15" customHeight="1">
      <c r="A92" s="61" t="s">
        <v>390</v>
      </c>
      <c r="B92" t="s">
        <v>1826</v>
      </c>
      <c r="C92" t="s">
        <v>2346</v>
      </c>
      <c r="D92" t="s">
        <v>2347</v>
      </c>
      <c r="E92" t="s">
        <v>1289</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115">
        <v>5.8999999999999997E-2</v>
      </c>
      <c r="AL92" s="31"/>
      <c r="AM92" s="32"/>
    </row>
    <row r="93" spans="1:39" ht="15" customHeight="1">
      <c r="A93" s="61" t="s">
        <v>389</v>
      </c>
      <c r="B93" t="s">
        <v>1827</v>
      </c>
      <c r="C93" t="s">
        <v>2348</v>
      </c>
      <c r="D93" t="s">
        <v>2349</v>
      </c>
      <c r="E93" t="s">
        <v>1289</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115">
        <v>8.4000000000000005E-2</v>
      </c>
      <c r="AL93" s="31"/>
      <c r="AM93" s="32"/>
    </row>
    <row r="94" spans="1:39" ht="15" customHeight="1">
      <c r="A94" s="61" t="s">
        <v>388</v>
      </c>
      <c r="B94" t="s">
        <v>1816</v>
      </c>
      <c r="C94" t="s">
        <v>2350</v>
      </c>
      <c r="D94" t="s">
        <v>2351</v>
      </c>
      <c r="E94" t="s">
        <v>1289</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115">
        <v>6.2E-2</v>
      </c>
      <c r="AL94" s="31"/>
      <c r="AM94" s="32"/>
    </row>
    <row r="95" spans="1:39" ht="15" customHeight="1">
      <c r="A95" s="61" t="s">
        <v>387</v>
      </c>
      <c r="B95" t="s">
        <v>1825</v>
      </c>
      <c r="C95" t="s">
        <v>2352</v>
      </c>
      <c r="D95" t="s">
        <v>2353</v>
      </c>
      <c r="E95" t="s">
        <v>1289</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115">
        <v>7.2999999999999995E-2</v>
      </c>
      <c r="AL95" s="31"/>
      <c r="AM95" s="32"/>
    </row>
    <row r="96" spans="1:39" ht="15" customHeight="1">
      <c r="A96" s="61" t="s">
        <v>386</v>
      </c>
      <c r="B96" t="s">
        <v>1826</v>
      </c>
      <c r="C96" t="s">
        <v>2354</v>
      </c>
      <c r="D96" t="s">
        <v>2355</v>
      </c>
      <c r="E96" t="s">
        <v>1289</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115">
        <v>5.1999999999999998E-2</v>
      </c>
      <c r="AL96" s="31"/>
      <c r="AM96" s="32"/>
    </row>
    <row r="97" spans="1:39" ht="15" customHeight="1">
      <c r="A97" s="61" t="s">
        <v>385</v>
      </c>
      <c r="B97" t="s">
        <v>1827</v>
      </c>
      <c r="C97" t="s">
        <v>2356</v>
      </c>
      <c r="D97" t="s">
        <v>2357</v>
      </c>
      <c r="E97" t="s">
        <v>1289</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115">
        <v>7.0000000000000007E-2</v>
      </c>
      <c r="AL97" s="31"/>
      <c r="AM97" s="32"/>
    </row>
    <row r="98" spans="1:39" ht="15" customHeight="1">
      <c r="A98" s="61" t="s">
        <v>384</v>
      </c>
      <c r="B98" t="s">
        <v>1817</v>
      </c>
      <c r="C98" t="s">
        <v>2358</v>
      </c>
      <c r="D98" t="s">
        <v>2359</v>
      </c>
      <c r="E98" t="s">
        <v>1289</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115">
        <v>5.3999999999999999E-2</v>
      </c>
      <c r="AL98" s="31"/>
      <c r="AM98" s="32"/>
    </row>
    <row r="99" spans="1:39" ht="15" customHeight="1">
      <c r="A99" s="61" t="s">
        <v>383</v>
      </c>
      <c r="B99" t="s">
        <v>1825</v>
      </c>
      <c r="C99" t="s">
        <v>2360</v>
      </c>
      <c r="D99" t="s">
        <v>2361</v>
      </c>
      <c r="E99" t="s">
        <v>1289</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115">
        <v>6.3E-2</v>
      </c>
      <c r="AL99" s="31"/>
      <c r="AM99" s="32"/>
    </row>
    <row r="100" spans="1:39" ht="15" customHeight="1">
      <c r="A100" s="61" t="s">
        <v>382</v>
      </c>
      <c r="B100" t="s">
        <v>1826</v>
      </c>
      <c r="C100" t="s">
        <v>2362</v>
      </c>
      <c r="D100" t="s">
        <v>2363</v>
      </c>
      <c r="E100" t="s">
        <v>1289</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115">
        <v>0.06</v>
      </c>
      <c r="AL100" s="31"/>
      <c r="AM100" s="32"/>
    </row>
    <row r="101" spans="1:39" ht="15" customHeight="1">
      <c r="A101" s="61" t="s">
        <v>381</v>
      </c>
      <c r="B101" t="s">
        <v>1827</v>
      </c>
      <c r="C101" t="s">
        <v>2364</v>
      </c>
      <c r="D101" t="s">
        <v>2365</v>
      </c>
      <c r="E101" t="s">
        <v>1289</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115">
        <v>1.9E-2</v>
      </c>
      <c r="AL101" s="31"/>
      <c r="AM101" s="32"/>
    </row>
    <row r="102" spans="1:39" ht="15" customHeight="1">
      <c r="A102" s="61" t="s">
        <v>380</v>
      </c>
      <c r="B102" t="s">
        <v>1818</v>
      </c>
      <c r="C102" t="s">
        <v>2366</v>
      </c>
      <c r="D102" t="s">
        <v>2367</v>
      </c>
      <c r="E102" t="s">
        <v>1289</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115">
        <v>5.1999999999999998E-2</v>
      </c>
      <c r="AL102" s="31"/>
      <c r="AM102" s="32"/>
    </row>
    <row r="103" spans="1:39" ht="15" customHeight="1">
      <c r="A103" s="61" t="s">
        <v>379</v>
      </c>
      <c r="B103" t="s">
        <v>1825</v>
      </c>
      <c r="C103" t="s">
        <v>2368</v>
      </c>
      <c r="D103" t="s">
        <v>2369</v>
      </c>
      <c r="E103" t="s">
        <v>1289</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115">
        <v>5.3999999999999999E-2</v>
      </c>
      <c r="AL103" s="31"/>
      <c r="AM103" s="32"/>
    </row>
    <row r="104" spans="1:39" ht="15" customHeight="1">
      <c r="A104" s="61" t="s">
        <v>378</v>
      </c>
      <c r="B104" t="s">
        <v>1826</v>
      </c>
      <c r="C104" t="s">
        <v>2370</v>
      </c>
      <c r="D104" t="s">
        <v>2371</v>
      </c>
      <c r="E104" t="s">
        <v>1289</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115">
        <v>4.2999999999999997E-2</v>
      </c>
      <c r="AL104" s="31"/>
      <c r="AM104" s="32"/>
    </row>
    <row r="105" spans="1:39" ht="15" customHeight="1">
      <c r="A105" s="61" t="s">
        <v>377</v>
      </c>
      <c r="B105" t="s">
        <v>1827</v>
      </c>
      <c r="C105" t="s">
        <v>2372</v>
      </c>
      <c r="D105" t="s">
        <v>2373</v>
      </c>
      <c r="E105" t="s">
        <v>1289</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115">
        <v>2.1000000000000001E-2</v>
      </c>
      <c r="AL105" s="31"/>
      <c r="AM105" s="32"/>
    </row>
    <row r="106" spans="1:39" ht="15" customHeight="1">
      <c r="A106" s="61" t="s">
        <v>376</v>
      </c>
      <c r="B106" t="s">
        <v>1819</v>
      </c>
      <c r="C106" t="s">
        <v>2374</v>
      </c>
      <c r="D106" t="s">
        <v>2375</v>
      </c>
      <c r="E106" t="s">
        <v>1289</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115">
        <v>3.2000000000000001E-2</v>
      </c>
      <c r="AL106" s="31"/>
      <c r="AM106" s="32"/>
    </row>
    <row r="107" spans="1:39" ht="15" customHeight="1">
      <c r="A107" s="61" t="s">
        <v>375</v>
      </c>
      <c r="B107" t="s">
        <v>1825</v>
      </c>
      <c r="C107" t="s">
        <v>2376</v>
      </c>
      <c r="D107" t="s">
        <v>2377</v>
      </c>
      <c r="E107" t="s">
        <v>1289</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115">
        <v>3.6999999999999998E-2</v>
      </c>
      <c r="AL107" s="31"/>
      <c r="AM107" s="32"/>
    </row>
    <row r="108" spans="1:39" ht="15" customHeight="1">
      <c r="A108" s="61" t="s">
        <v>374</v>
      </c>
      <c r="B108" t="s">
        <v>1826</v>
      </c>
      <c r="C108" t="s">
        <v>2378</v>
      </c>
      <c r="D108" t="s">
        <v>2379</v>
      </c>
      <c r="E108" t="s">
        <v>1289</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115">
        <v>3.2000000000000001E-2</v>
      </c>
      <c r="AL108" s="31"/>
      <c r="AM108" s="32"/>
    </row>
    <row r="109" spans="1:39" ht="15" customHeight="1">
      <c r="A109" s="61" t="s">
        <v>373</v>
      </c>
      <c r="B109" t="s">
        <v>1827</v>
      </c>
      <c r="C109" t="s">
        <v>2380</v>
      </c>
      <c r="D109" t="s">
        <v>2381</v>
      </c>
      <c r="E109" t="s">
        <v>1289</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115">
        <v>3.0000000000000001E-3</v>
      </c>
      <c r="AL109" s="31"/>
      <c r="AM109" s="32"/>
    </row>
    <row r="110" spans="1:39" ht="15" customHeight="1">
      <c r="A110" s="61" t="s">
        <v>372</v>
      </c>
      <c r="B110" t="s">
        <v>1820</v>
      </c>
      <c r="C110" t="s">
        <v>2382</v>
      </c>
      <c r="D110" t="s">
        <v>2383</v>
      </c>
      <c r="E110" t="s">
        <v>1289</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115">
        <v>5.5E-2</v>
      </c>
      <c r="AL110" s="31"/>
      <c r="AM110" s="32"/>
    </row>
    <row r="111" spans="1:39" ht="15" customHeight="1">
      <c r="A111" s="61" t="s">
        <v>371</v>
      </c>
      <c r="B111" t="s">
        <v>1825</v>
      </c>
      <c r="C111" t="s">
        <v>2384</v>
      </c>
      <c r="D111" t="s">
        <v>2385</v>
      </c>
      <c r="E111" t="s">
        <v>1289</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115">
        <v>6.3E-2</v>
      </c>
      <c r="AL111" s="31"/>
      <c r="AM111" s="32"/>
    </row>
    <row r="112" spans="1:39" ht="15" customHeight="1">
      <c r="A112" s="61" t="s">
        <v>370</v>
      </c>
      <c r="B112" t="s">
        <v>1826</v>
      </c>
      <c r="C112" t="s">
        <v>2386</v>
      </c>
      <c r="D112" t="s">
        <v>2387</v>
      </c>
      <c r="E112" t="s">
        <v>1289</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115">
        <v>4.2999999999999997E-2</v>
      </c>
      <c r="AL112" s="31"/>
      <c r="AM112" s="32"/>
    </row>
    <row r="113" spans="1:39" ht="15" customHeight="1">
      <c r="A113" s="61" t="s">
        <v>369</v>
      </c>
      <c r="B113" t="s">
        <v>1827</v>
      </c>
      <c r="C113" t="s">
        <v>2388</v>
      </c>
      <c r="D113" t="s">
        <v>2389</v>
      </c>
      <c r="E113" t="s">
        <v>1289</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115">
        <v>3.5999999999999997E-2</v>
      </c>
      <c r="AL113" s="31"/>
      <c r="AM113" s="32"/>
    </row>
    <row r="114" spans="1:39" ht="15" customHeight="1">
      <c r="A114" s="61" t="s">
        <v>368</v>
      </c>
      <c r="B114" t="s">
        <v>1821</v>
      </c>
      <c r="C114" t="s">
        <v>2390</v>
      </c>
      <c r="D114" t="s">
        <v>2391</v>
      </c>
      <c r="E114" t="s">
        <v>1289</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115">
        <v>0.08</v>
      </c>
      <c r="AL114" s="31"/>
      <c r="AM114" s="32"/>
    </row>
    <row r="115" spans="1:39" ht="15" customHeight="1">
      <c r="A115" s="61" t="s">
        <v>367</v>
      </c>
      <c r="B115" t="s">
        <v>1825</v>
      </c>
      <c r="C115" t="s">
        <v>2392</v>
      </c>
      <c r="D115" t="s">
        <v>2393</v>
      </c>
      <c r="E115" t="s">
        <v>1289</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115">
        <v>8.4000000000000005E-2</v>
      </c>
      <c r="AL115" s="31"/>
      <c r="AM115" s="32"/>
    </row>
    <row r="116" spans="1:39" ht="15" customHeight="1">
      <c r="A116" s="61" t="s">
        <v>366</v>
      </c>
      <c r="B116" t="s">
        <v>1826</v>
      </c>
      <c r="C116" t="s">
        <v>2394</v>
      </c>
      <c r="D116" t="s">
        <v>2395</v>
      </c>
      <c r="E116" t="s">
        <v>1289</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115">
        <v>7.3999999999999996E-2</v>
      </c>
      <c r="AL116" s="31"/>
      <c r="AM116" s="32"/>
    </row>
    <row r="117" spans="1:39" ht="15" customHeight="1">
      <c r="A117" s="61" t="s">
        <v>365</v>
      </c>
      <c r="B117" t="s">
        <v>1827</v>
      </c>
      <c r="C117" t="s">
        <v>2396</v>
      </c>
      <c r="D117" t="s">
        <v>2397</v>
      </c>
      <c r="E117" t="s">
        <v>1289</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115">
        <v>5.7000000000000002E-2</v>
      </c>
      <c r="AL117" s="31"/>
      <c r="AM117" s="32"/>
    </row>
    <row r="118" spans="1:39" ht="15" customHeight="1">
      <c r="A118" s="61" t="s">
        <v>364</v>
      </c>
      <c r="B118" t="s">
        <v>1822</v>
      </c>
      <c r="C118" t="s">
        <v>2398</v>
      </c>
      <c r="D118" t="s">
        <v>2399</v>
      </c>
      <c r="E118" t="s">
        <v>1289</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115">
        <v>6.4000000000000001E-2</v>
      </c>
      <c r="AL118" s="31"/>
      <c r="AM118" s="32"/>
    </row>
    <row r="119" spans="1:39" ht="15" customHeight="1">
      <c r="A119" s="61" t="s">
        <v>363</v>
      </c>
      <c r="B119" t="s">
        <v>1825</v>
      </c>
      <c r="C119" t="s">
        <v>2400</v>
      </c>
      <c r="D119" t="s">
        <v>2401</v>
      </c>
      <c r="E119" t="s">
        <v>1289</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115">
        <v>7.1999999999999995E-2</v>
      </c>
      <c r="AL119" s="31"/>
      <c r="AM119" s="32"/>
    </row>
    <row r="120" spans="1:39" ht="15" customHeight="1">
      <c r="A120" s="61" t="s">
        <v>362</v>
      </c>
      <c r="B120" t="s">
        <v>1826</v>
      </c>
      <c r="C120" t="s">
        <v>2402</v>
      </c>
      <c r="D120" t="s">
        <v>2403</v>
      </c>
      <c r="E120" t="s">
        <v>1289</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115">
        <v>5.5E-2</v>
      </c>
      <c r="AL120" s="31"/>
      <c r="AM120" s="32"/>
    </row>
    <row r="121" spans="1:39" ht="15" customHeight="1">
      <c r="A121" s="61" t="s">
        <v>361</v>
      </c>
      <c r="B121" t="s">
        <v>1827</v>
      </c>
      <c r="C121" t="s">
        <v>2404</v>
      </c>
      <c r="D121" t="s">
        <v>2405</v>
      </c>
      <c r="E121" t="s">
        <v>1289</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115">
        <v>5.5E-2</v>
      </c>
      <c r="AL121" s="31"/>
      <c r="AM121" s="32"/>
    </row>
    <row r="122" spans="1:39" ht="15" customHeight="1">
      <c r="A122" s="61" t="s">
        <v>360</v>
      </c>
      <c r="B122" t="s">
        <v>153</v>
      </c>
      <c r="C122" t="s">
        <v>2406</v>
      </c>
      <c r="D122" t="s">
        <v>2407</v>
      </c>
      <c r="E122" t="s">
        <v>1289</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115">
        <v>5.8000000000000003E-2</v>
      </c>
      <c r="AL122" s="38"/>
      <c r="AM122" s="36"/>
    </row>
    <row r="123" spans="1:39" ht="15" customHeight="1">
      <c r="A123" s="118"/>
      <c r="B123" t="s">
        <v>359</v>
      </c>
      <c r="D123" t="s">
        <v>2408</v>
      </c>
    </row>
    <row r="124" spans="1:39" ht="15" customHeight="1">
      <c r="A124" s="61" t="s">
        <v>358</v>
      </c>
      <c r="B124" t="s">
        <v>1810</v>
      </c>
      <c r="C124" t="s">
        <v>2409</v>
      </c>
      <c r="D124" t="s">
        <v>2410</v>
      </c>
      <c r="E124" t="s">
        <v>1289</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115">
        <v>-0.106</v>
      </c>
      <c r="AL124" s="31"/>
      <c r="AM124" s="32"/>
    </row>
    <row r="125" spans="1:39" ht="15" customHeight="1">
      <c r="A125" s="61" t="s">
        <v>357</v>
      </c>
      <c r="B125" t="s">
        <v>1825</v>
      </c>
      <c r="C125" t="s">
        <v>2411</v>
      </c>
      <c r="D125" t="s">
        <v>2412</v>
      </c>
      <c r="E125" t="s">
        <v>1289</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146</v>
      </c>
      <c r="AL125" s="31"/>
      <c r="AM125" s="32"/>
    </row>
    <row r="126" spans="1:39" ht="15" customHeight="1">
      <c r="A126" s="61" t="s">
        <v>356</v>
      </c>
      <c r="B126" t="s">
        <v>1826</v>
      </c>
      <c r="C126" t="s">
        <v>2413</v>
      </c>
      <c r="D126" t="s">
        <v>2414</v>
      </c>
      <c r="E126" t="s">
        <v>1289</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146</v>
      </c>
      <c r="AL126" s="31"/>
      <c r="AM126" s="32"/>
    </row>
    <row r="127" spans="1:39" ht="15" customHeight="1">
      <c r="A127" s="61" t="s">
        <v>355</v>
      </c>
      <c r="B127" t="s">
        <v>1827</v>
      </c>
      <c r="C127" t="s">
        <v>2415</v>
      </c>
      <c r="D127" t="s">
        <v>2416</v>
      </c>
      <c r="E127" t="s">
        <v>1289</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115">
        <v>-0.08</v>
      </c>
      <c r="AL127" s="31"/>
      <c r="AM127" s="32"/>
    </row>
    <row r="128" spans="1:39" ht="15" customHeight="1">
      <c r="A128" s="61" t="s">
        <v>354</v>
      </c>
      <c r="B128" t="s">
        <v>1811</v>
      </c>
      <c r="C128" t="s">
        <v>2417</v>
      </c>
      <c r="D128" t="s">
        <v>2418</v>
      </c>
      <c r="E128" t="s">
        <v>1289</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115">
        <v>-0.109</v>
      </c>
      <c r="AL128" s="31"/>
      <c r="AM128" s="32"/>
    </row>
    <row r="129" spans="1:39" ht="15" customHeight="1">
      <c r="A129" s="61" t="s">
        <v>353</v>
      </c>
      <c r="B129" t="s">
        <v>1825</v>
      </c>
      <c r="C129" t="s">
        <v>2419</v>
      </c>
      <c r="D129" t="s">
        <v>2420</v>
      </c>
      <c r="E129" t="s">
        <v>1289</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146</v>
      </c>
      <c r="AL129" s="31"/>
      <c r="AM129" s="32"/>
    </row>
    <row r="130" spans="1:39" ht="15" customHeight="1">
      <c r="A130" s="61" t="s">
        <v>352</v>
      </c>
      <c r="B130" t="s">
        <v>1826</v>
      </c>
      <c r="C130" t="s">
        <v>2421</v>
      </c>
      <c r="D130" t="s">
        <v>2422</v>
      </c>
      <c r="E130" t="s">
        <v>1289</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146</v>
      </c>
      <c r="AL130" s="31"/>
      <c r="AM130" s="32"/>
    </row>
    <row r="131" spans="1:39" ht="15" customHeight="1">
      <c r="A131" s="61" t="s">
        <v>351</v>
      </c>
      <c r="B131" t="s">
        <v>1827</v>
      </c>
      <c r="C131" t="s">
        <v>2423</v>
      </c>
      <c r="D131" t="s">
        <v>2424</v>
      </c>
      <c r="E131" t="s">
        <v>1289</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115">
        <v>-9.0999999999999998E-2</v>
      </c>
      <c r="AL131" s="31"/>
      <c r="AM131" s="32"/>
    </row>
    <row r="132" spans="1:39" ht="15" customHeight="1">
      <c r="A132" s="61" t="s">
        <v>350</v>
      </c>
      <c r="B132" t="s">
        <v>1812</v>
      </c>
      <c r="C132" t="s">
        <v>2425</v>
      </c>
      <c r="D132" t="s">
        <v>2426</v>
      </c>
      <c r="E132" t="s">
        <v>1289</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115">
        <v>-0.19500000000000001</v>
      </c>
      <c r="AL132" s="31"/>
      <c r="AM132" s="32"/>
    </row>
    <row r="133" spans="1:39" ht="15" customHeight="1">
      <c r="A133" s="61" t="s">
        <v>349</v>
      </c>
      <c r="B133" t="s">
        <v>1825</v>
      </c>
      <c r="C133" t="s">
        <v>2427</v>
      </c>
      <c r="D133" t="s">
        <v>2428</v>
      </c>
      <c r="E133" t="s">
        <v>1289</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146</v>
      </c>
      <c r="AL133" s="31"/>
      <c r="AM133" s="32"/>
    </row>
    <row r="134" spans="1:39" ht="15" customHeight="1">
      <c r="A134" s="61" t="s">
        <v>348</v>
      </c>
      <c r="B134" t="s">
        <v>1826</v>
      </c>
      <c r="C134" t="s">
        <v>2429</v>
      </c>
      <c r="D134" t="s">
        <v>2430</v>
      </c>
      <c r="E134" t="s">
        <v>1289</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146</v>
      </c>
      <c r="AL134" s="31"/>
      <c r="AM134" s="32"/>
    </row>
    <row r="135" spans="1:39" ht="15" customHeight="1">
      <c r="A135" s="61" t="s">
        <v>347</v>
      </c>
      <c r="B135" t="s">
        <v>1827</v>
      </c>
      <c r="C135" t="s">
        <v>2431</v>
      </c>
      <c r="D135" t="s">
        <v>2432</v>
      </c>
      <c r="E135" t="s">
        <v>1289</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115">
        <v>-0.17299999999999999</v>
      </c>
      <c r="AL135" s="31"/>
      <c r="AM135" s="32"/>
    </row>
    <row r="136" spans="1:39" ht="15" customHeight="1">
      <c r="A136" s="61" t="s">
        <v>346</v>
      </c>
      <c r="B136" t="s">
        <v>1813</v>
      </c>
      <c r="C136" t="s">
        <v>2433</v>
      </c>
      <c r="D136" t="s">
        <v>2434</v>
      </c>
      <c r="E136" t="s">
        <v>1289</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115">
        <v>-7.6999999999999999E-2</v>
      </c>
      <c r="AL136" s="31"/>
      <c r="AM136" s="32"/>
    </row>
    <row r="137" spans="1:39" ht="15" customHeight="1">
      <c r="A137" s="61" t="s">
        <v>345</v>
      </c>
      <c r="B137" t="s">
        <v>1825</v>
      </c>
      <c r="C137" t="s">
        <v>2435</v>
      </c>
      <c r="D137" t="s">
        <v>2436</v>
      </c>
      <c r="E137" t="s">
        <v>1289</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146</v>
      </c>
      <c r="AL137" s="31"/>
      <c r="AM137" s="32"/>
    </row>
    <row r="138" spans="1:39" ht="15" customHeight="1">
      <c r="A138" s="61" t="s">
        <v>344</v>
      </c>
      <c r="B138" t="s">
        <v>1826</v>
      </c>
      <c r="C138" t="s">
        <v>2437</v>
      </c>
      <c r="D138" t="s">
        <v>2438</v>
      </c>
      <c r="E138" t="s">
        <v>1289</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146</v>
      </c>
      <c r="AL138" s="31"/>
      <c r="AM138" s="32"/>
    </row>
    <row r="139" spans="1:39" ht="15" customHeight="1">
      <c r="A139" s="61" t="s">
        <v>343</v>
      </c>
      <c r="B139" t="s">
        <v>1827</v>
      </c>
      <c r="C139" t="s">
        <v>2439</v>
      </c>
      <c r="D139" t="s">
        <v>2440</v>
      </c>
      <c r="E139" t="s">
        <v>1289</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115">
        <v>-0.04</v>
      </c>
      <c r="AL139" s="31"/>
      <c r="AM139" s="32"/>
    </row>
    <row r="140" spans="1:39" ht="15" customHeight="1">
      <c r="A140" s="61" t="s">
        <v>342</v>
      </c>
      <c r="B140" t="s">
        <v>1814</v>
      </c>
      <c r="C140" t="s">
        <v>2441</v>
      </c>
      <c r="D140" t="s">
        <v>2442</v>
      </c>
      <c r="E140" t="s">
        <v>1289</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146</v>
      </c>
      <c r="AL140" s="31"/>
      <c r="AM140" s="32"/>
    </row>
    <row r="141" spans="1:39" ht="15" customHeight="1">
      <c r="A141" s="61" t="s">
        <v>341</v>
      </c>
      <c r="B141" t="s">
        <v>1825</v>
      </c>
      <c r="C141" t="s">
        <v>2443</v>
      </c>
      <c r="D141" t="s">
        <v>2444</v>
      </c>
      <c r="E141" t="s">
        <v>1289</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146</v>
      </c>
      <c r="AL141" s="31"/>
      <c r="AM141" s="32"/>
    </row>
    <row r="142" spans="1:39" ht="15" customHeight="1">
      <c r="A142" s="61" t="s">
        <v>340</v>
      </c>
      <c r="B142" t="s">
        <v>1826</v>
      </c>
      <c r="C142" t="s">
        <v>2445</v>
      </c>
      <c r="D142" t="s">
        <v>2446</v>
      </c>
      <c r="E142" t="s">
        <v>1289</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146</v>
      </c>
      <c r="AL142" s="31"/>
      <c r="AM142" s="32"/>
    </row>
    <row r="143" spans="1:39" ht="15" customHeight="1">
      <c r="A143" s="61" t="s">
        <v>339</v>
      </c>
      <c r="B143" t="s">
        <v>1827</v>
      </c>
      <c r="C143" t="s">
        <v>2447</v>
      </c>
      <c r="D143" t="s">
        <v>2448</v>
      </c>
      <c r="E143" t="s">
        <v>1289</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146</v>
      </c>
      <c r="AL143" s="31"/>
      <c r="AM143" s="32"/>
    </row>
    <row r="144" spans="1:39" ht="15" customHeight="1">
      <c r="A144" s="61" t="s">
        <v>338</v>
      </c>
      <c r="B144" t="s">
        <v>1815</v>
      </c>
      <c r="C144" t="s">
        <v>2449</v>
      </c>
      <c r="D144" t="s">
        <v>2450</v>
      </c>
      <c r="E144" t="s">
        <v>1289</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115">
        <v>-0.159</v>
      </c>
      <c r="AL144" s="31"/>
      <c r="AM144" s="32"/>
    </row>
    <row r="145" spans="1:39" ht="15" customHeight="1">
      <c r="A145" s="61" t="s">
        <v>337</v>
      </c>
      <c r="B145" t="s">
        <v>1825</v>
      </c>
      <c r="C145" t="s">
        <v>2451</v>
      </c>
      <c r="D145" t="s">
        <v>2452</v>
      </c>
      <c r="E145" t="s">
        <v>1289</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146</v>
      </c>
      <c r="AL145" s="31"/>
      <c r="AM145" s="32"/>
    </row>
    <row r="146" spans="1:39" ht="15" customHeight="1">
      <c r="A146" s="61" t="s">
        <v>336</v>
      </c>
      <c r="B146" t="s">
        <v>1826</v>
      </c>
      <c r="C146" t="s">
        <v>2453</v>
      </c>
      <c r="D146" t="s">
        <v>2454</v>
      </c>
      <c r="E146" t="s">
        <v>1289</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146</v>
      </c>
      <c r="AL146" s="31"/>
      <c r="AM146" s="32"/>
    </row>
    <row r="147" spans="1:39" ht="15" customHeight="1">
      <c r="A147" s="61" t="s">
        <v>335</v>
      </c>
      <c r="B147" t="s">
        <v>1827</v>
      </c>
      <c r="C147" t="s">
        <v>2455</v>
      </c>
      <c r="D147" t="s">
        <v>2456</v>
      </c>
      <c r="E147" t="s">
        <v>1289</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115">
        <v>-0.13900000000000001</v>
      </c>
      <c r="AL147" s="31"/>
      <c r="AM147" s="32"/>
    </row>
    <row r="148" spans="1:39" ht="15" customHeight="1">
      <c r="A148" s="61" t="s">
        <v>334</v>
      </c>
      <c r="B148" t="s">
        <v>1816</v>
      </c>
      <c r="C148" t="s">
        <v>2457</v>
      </c>
      <c r="D148" t="s">
        <v>2458</v>
      </c>
      <c r="E148" t="s">
        <v>1289</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115">
        <v>-8.1000000000000003E-2</v>
      </c>
      <c r="AL148" s="31"/>
      <c r="AM148" s="32"/>
    </row>
    <row r="149" spans="1:39" ht="15" customHeight="1">
      <c r="A149" s="61" t="s">
        <v>333</v>
      </c>
      <c r="B149" t="s">
        <v>1825</v>
      </c>
      <c r="C149" t="s">
        <v>2459</v>
      </c>
      <c r="D149" t="s">
        <v>2460</v>
      </c>
      <c r="E149" t="s">
        <v>1289</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115">
        <v>-7.0999999999999994E-2</v>
      </c>
      <c r="AL149" s="31"/>
      <c r="AM149" s="32"/>
    </row>
    <row r="150" spans="1:39" ht="15" customHeight="1">
      <c r="A150" s="61" t="s">
        <v>332</v>
      </c>
      <c r="B150" t="s">
        <v>1826</v>
      </c>
      <c r="C150" t="s">
        <v>2461</v>
      </c>
      <c r="D150" t="s">
        <v>2462</v>
      </c>
      <c r="E150" t="s">
        <v>1289</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146</v>
      </c>
      <c r="AL150" s="31"/>
      <c r="AM150" s="32"/>
    </row>
    <row r="151" spans="1:39" ht="15" customHeight="1">
      <c r="A151" s="61" t="s">
        <v>331</v>
      </c>
      <c r="B151" t="s">
        <v>1827</v>
      </c>
      <c r="C151" t="s">
        <v>2463</v>
      </c>
      <c r="D151" t="s">
        <v>2464</v>
      </c>
      <c r="E151" t="s">
        <v>1289</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115">
        <v>-5.8999999999999997E-2</v>
      </c>
      <c r="AL151" s="31"/>
      <c r="AM151" s="32"/>
    </row>
    <row r="152" spans="1:39" ht="15" customHeight="1">
      <c r="A152" s="61" t="s">
        <v>330</v>
      </c>
      <c r="B152" t="s">
        <v>1817</v>
      </c>
      <c r="C152" t="s">
        <v>2465</v>
      </c>
      <c r="D152" t="s">
        <v>2466</v>
      </c>
      <c r="E152" t="s">
        <v>1289</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115">
        <v>-0.06</v>
      </c>
      <c r="AL152" s="31"/>
      <c r="AM152" s="32"/>
    </row>
    <row r="153" spans="1:39" ht="15" customHeight="1">
      <c r="A153" s="61" t="s">
        <v>329</v>
      </c>
      <c r="B153" t="s">
        <v>1825</v>
      </c>
      <c r="C153" t="s">
        <v>2467</v>
      </c>
      <c r="D153" t="s">
        <v>2468</v>
      </c>
      <c r="E153" t="s">
        <v>1289</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115">
        <v>-6.9000000000000006E-2</v>
      </c>
      <c r="AL153" s="31"/>
      <c r="AM153" s="32"/>
    </row>
    <row r="154" spans="1:39" ht="15" customHeight="1">
      <c r="A154" s="61" t="s">
        <v>328</v>
      </c>
      <c r="B154" t="s">
        <v>1826</v>
      </c>
      <c r="C154" t="s">
        <v>2469</v>
      </c>
      <c r="D154" t="s">
        <v>2470</v>
      </c>
      <c r="E154" t="s">
        <v>1289</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146</v>
      </c>
      <c r="AL154" s="31"/>
      <c r="AM154" s="32"/>
    </row>
    <row r="155" spans="1:39" ht="15" customHeight="1">
      <c r="A155" s="61" t="s">
        <v>327</v>
      </c>
      <c r="B155" t="s">
        <v>1827</v>
      </c>
      <c r="C155" t="s">
        <v>2471</v>
      </c>
      <c r="D155" t="s">
        <v>2472</v>
      </c>
      <c r="E155" t="s">
        <v>1289</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115">
        <v>-3.7999999999999999E-2</v>
      </c>
      <c r="AL155" s="31"/>
      <c r="AM155" s="32"/>
    </row>
    <row r="156" spans="1:39" ht="15" customHeight="1">
      <c r="A156" s="61" t="s">
        <v>326</v>
      </c>
      <c r="B156" t="s">
        <v>1818</v>
      </c>
      <c r="C156" t="s">
        <v>2473</v>
      </c>
      <c r="D156" t="s">
        <v>2474</v>
      </c>
      <c r="E156" t="s">
        <v>1289</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115">
        <v>-0.129</v>
      </c>
      <c r="AL156" s="31"/>
      <c r="AM156" s="32"/>
    </row>
    <row r="157" spans="1:39" ht="15" customHeight="1">
      <c r="A157" s="61" t="s">
        <v>325</v>
      </c>
      <c r="B157" t="s">
        <v>1825</v>
      </c>
      <c r="C157" t="s">
        <v>2475</v>
      </c>
      <c r="D157" t="s">
        <v>2476</v>
      </c>
      <c r="E157" t="s">
        <v>1289</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146</v>
      </c>
      <c r="AL157" s="31"/>
      <c r="AM157" s="32"/>
    </row>
    <row r="158" spans="1:39" ht="15" customHeight="1">
      <c r="A158" s="61" t="s">
        <v>324</v>
      </c>
      <c r="B158" t="s">
        <v>1826</v>
      </c>
      <c r="C158" t="s">
        <v>2477</v>
      </c>
      <c r="D158" t="s">
        <v>2478</v>
      </c>
      <c r="E158" t="s">
        <v>1289</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146</v>
      </c>
      <c r="AL158" s="31"/>
      <c r="AM158" s="32"/>
    </row>
    <row r="159" spans="1:39" ht="15" customHeight="1">
      <c r="A159" s="61" t="s">
        <v>323</v>
      </c>
      <c r="B159" t="s">
        <v>1827</v>
      </c>
      <c r="C159" t="s">
        <v>2479</v>
      </c>
      <c r="D159" t="s">
        <v>2480</v>
      </c>
      <c r="E159" t="s">
        <v>1289</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115">
        <v>-5.7000000000000002E-2</v>
      </c>
      <c r="AL159" s="31"/>
      <c r="AM159" s="32"/>
    </row>
    <row r="160" spans="1:39" ht="15" customHeight="1">
      <c r="A160" s="61" t="s">
        <v>322</v>
      </c>
      <c r="B160" t="s">
        <v>1819</v>
      </c>
      <c r="C160" t="s">
        <v>2481</v>
      </c>
      <c r="D160" t="s">
        <v>2482</v>
      </c>
      <c r="E160" t="s">
        <v>1289</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115">
        <v>-9.5000000000000001E-2</v>
      </c>
      <c r="AL160" s="31"/>
      <c r="AM160" s="32"/>
    </row>
    <row r="161" spans="1:39" ht="15" customHeight="1">
      <c r="A161" s="61" t="s">
        <v>321</v>
      </c>
      <c r="B161" t="s">
        <v>1825</v>
      </c>
      <c r="C161" t="s">
        <v>2483</v>
      </c>
      <c r="D161" t="s">
        <v>2484</v>
      </c>
      <c r="E161" t="s">
        <v>1289</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115">
        <v>-7.1999999999999995E-2</v>
      </c>
      <c r="AL161" s="31"/>
      <c r="AM161" s="32"/>
    </row>
    <row r="162" spans="1:39" ht="15" customHeight="1">
      <c r="A162" s="61" t="s">
        <v>320</v>
      </c>
      <c r="B162" t="s">
        <v>1826</v>
      </c>
      <c r="C162" t="s">
        <v>2485</v>
      </c>
      <c r="D162" t="s">
        <v>2486</v>
      </c>
      <c r="E162" t="s">
        <v>1289</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146</v>
      </c>
      <c r="AL162" s="31"/>
      <c r="AM162" s="32"/>
    </row>
    <row r="163" spans="1:39" ht="15" customHeight="1">
      <c r="A163" s="61" t="s">
        <v>319</v>
      </c>
      <c r="B163" t="s">
        <v>1827</v>
      </c>
      <c r="C163" t="s">
        <v>2487</v>
      </c>
      <c r="D163" t="s">
        <v>2488</v>
      </c>
      <c r="E163" t="s">
        <v>1289</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146</v>
      </c>
      <c r="AL163" s="31"/>
      <c r="AM163" s="32"/>
    </row>
    <row r="164" spans="1:39" ht="15" customHeight="1">
      <c r="A164" s="61" t="s">
        <v>318</v>
      </c>
      <c r="B164" t="s">
        <v>1820</v>
      </c>
      <c r="C164" t="s">
        <v>2489</v>
      </c>
      <c r="D164" t="s">
        <v>2490</v>
      </c>
      <c r="E164" t="s">
        <v>1289</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115">
        <v>-9.5000000000000001E-2</v>
      </c>
      <c r="AL164" s="31"/>
      <c r="AM164" s="32"/>
    </row>
    <row r="165" spans="1:39" ht="15" customHeight="1">
      <c r="A165" s="61" t="s">
        <v>317</v>
      </c>
      <c r="B165" t="s">
        <v>1825</v>
      </c>
      <c r="C165" t="s">
        <v>2491</v>
      </c>
      <c r="D165" t="s">
        <v>2492</v>
      </c>
      <c r="E165" t="s">
        <v>1289</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146</v>
      </c>
      <c r="AL165" s="31"/>
      <c r="AM165" s="32"/>
    </row>
    <row r="166" spans="1:39" ht="15" customHeight="1">
      <c r="A166" s="61" t="s">
        <v>316</v>
      </c>
      <c r="B166" t="s">
        <v>1826</v>
      </c>
      <c r="C166" t="s">
        <v>2493</v>
      </c>
      <c r="D166" t="s">
        <v>2494</v>
      </c>
      <c r="E166" t="s">
        <v>1289</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146</v>
      </c>
      <c r="AL166" s="31"/>
      <c r="AM166" s="32"/>
    </row>
    <row r="167" spans="1:39" ht="15" customHeight="1">
      <c r="A167" s="61" t="s">
        <v>315</v>
      </c>
      <c r="B167" t="s">
        <v>1827</v>
      </c>
      <c r="C167" t="s">
        <v>2495</v>
      </c>
      <c r="D167" t="s">
        <v>2496</v>
      </c>
      <c r="E167" t="s">
        <v>1289</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115">
        <v>-5.0999999999999997E-2</v>
      </c>
      <c r="AL167" s="31"/>
      <c r="AM167" s="32"/>
    </row>
    <row r="168" spans="1:39" ht="15" customHeight="1">
      <c r="A168" s="61" t="s">
        <v>314</v>
      </c>
      <c r="B168" t="s">
        <v>1821</v>
      </c>
      <c r="C168" t="s">
        <v>2497</v>
      </c>
      <c r="D168" t="s">
        <v>2498</v>
      </c>
      <c r="E168" t="s">
        <v>1289</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115">
        <v>-0.13300000000000001</v>
      </c>
      <c r="AL168" s="31"/>
      <c r="AM168" s="32"/>
    </row>
    <row r="169" spans="1:39" ht="15" customHeight="1">
      <c r="A169" s="61" t="s">
        <v>313</v>
      </c>
      <c r="B169" t="s">
        <v>1825</v>
      </c>
      <c r="C169" t="s">
        <v>2499</v>
      </c>
      <c r="D169" t="s">
        <v>2500</v>
      </c>
      <c r="E169" t="s">
        <v>1289</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146</v>
      </c>
      <c r="AL169" s="31"/>
      <c r="AM169" s="32"/>
    </row>
    <row r="170" spans="1:39" ht="15" customHeight="1">
      <c r="A170" s="61" t="s">
        <v>312</v>
      </c>
      <c r="B170" t="s">
        <v>1826</v>
      </c>
      <c r="C170" t="s">
        <v>2501</v>
      </c>
      <c r="D170" t="s">
        <v>2502</v>
      </c>
      <c r="E170" t="s">
        <v>1289</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146</v>
      </c>
      <c r="AL170" s="31"/>
      <c r="AM170" s="32"/>
    </row>
    <row r="171" spans="1:39" ht="15" customHeight="1">
      <c r="A171" s="61" t="s">
        <v>311</v>
      </c>
      <c r="B171" t="s">
        <v>1827</v>
      </c>
      <c r="C171" t="s">
        <v>2503</v>
      </c>
      <c r="D171" t="s">
        <v>2504</v>
      </c>
      <c r="E171" t="s">
        <v>1289</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115">
        <v>-8.4000000000000005E-2</v>
      </c>
      <c r="AL171" s="31"/>
      <c r="AM171" s="32"/>
    </row>
    <row r="172" spans="1:39" ht="15" customHeight="1">
      <c r="A172" s="61" t="s">
        <v>310</v>
      </c>
      <c r="B172" t="s">
        <v>1822</v>
      </c>
      <c r="C172" t="s">
        <v>2505</v>
      </c>
      <c r="D172" t="s">
        <v>2506</v>
      </c>
      <c r="E172" t="s">
        <v>1289</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115">
        <v>-0.13300000000000001</v>
      </c>
      <c r="AL172" s="31"/>
      <c r="AM172" s="32"/>
    </row>
    <row r="173" spans="1:39" ht="15" customHeight="1">
      <c r="A173" s="61" t="s">
        <v>309</v>
      </c>
      <c r="B173" t="s">
        <v>1825</v>
      </c>
      <c r="C173" t="s">
        <v>2507</v>
      </c>
      <c r="D173" t="s">
        <v>2508</v>
      </c>
      <c r="E173" t="s">
        <v>1289</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146</v>
      </c>
      <c r="AL173" s="31"/>
      <c r="AM173" s="32"/>
    </row>
    <row r="174" spans="1:39" ht="15" customHeight="1">
      <c r="A174" s="61" t="s">
        <v>308</v>
      </c>
      <c r="B174" t="s">
        <v>1826</v>
      </c>
      <c r="C174" t="s">
        <v>2509</v>
      </c>
      <c r="D174" t="s">
        <v>2510</v>
      </c>
      <c r="E174" t="s">
        <v>1289</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115">
        <v>-7.2999999999999995E-2</v>
      </c>
      <c r="AL174" s="31"/>
      <c r="AM174" s="32"/>
    </row>
    <row r="175" spans="1:39" ht="15" customHeight="1">
      <c r="A175" s="61" t="s">
        <v>307</v>
      </c>
      <c r="B175" t="s">
        <v>1827</v>
      </c>
      <c r="C175" t="s">
        <v>2511</v>
      </c>
      <c r="D175" t="s">
        <v>2512</v>
      </c>
      <c r="E175" t="s">
        <v>1289</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146</v>
      </c>
      <c r="AL175" s="31"/>
      <c r="AM175" s="32"/>
    </row>
    <row r="176" spans="1:39" ht="15" customHeight="1">
      <c r="A176" s="61" t="s">
        <v>306</v>
      </c>
      <c r="B176" t="s">
        <v>153</v>
      </c>
      <c r="C176" t="s">
        <v>2513</v>
      </c>
      <c r="D176" t="s">
        <v>2514</v>
      </c>
      <c r="E176" t="s">
        <v>1289</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115">
        <v>-0.104</v>
      </c>
      <c r="AL176" s="38"/>
      <c r="AM176" s="36"/>
    </row>
    <row r="177" spans="1:39" ht="15" customHeight="1">
      <c r="A177" s="118"/>
      <c r="B177" t="s">
        <v>305</v>
      </c>
      <c r="D177" t="s">
        <v>2515</v>
      </c>
    </row>
    <row r="178" spans="1:39" ht="15" customHeight="1">
      <c r="A178" s="61" t="s">
        <v>304</v>
      </c>
      <c r="B178" t="s">
        <v>1810</v>
      </c>
      <c r="C178" t="s">
        <v>2516</v>
      </c>
      <c r="D178" t="s">
        <v>2517</v>
      </c>
      <c r="E178" t="s">
        <v>1289</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115">
        <v>1.7000000000000001E-2</v>
      </c>
      <c r="AL178" s="31"/>
      <c r="AM178" s="32"/>
    </row>
    <row r="179" spans="1:39" ht="15" customHeight="1">
      <c r="A179" s="61" t="s">
        <v>303</v>
      </c>
      <c r="B179" t="s">
        <v>1811</v>
      </c>
      <c r="C179" t="s">
        <v>2518</v>
      </c>
      <c r="D179" t="s">
        <v>2519</v>
      </c>
      <c r="E179" t="s">
        <v>1289</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115">
        <v>4.0000000000000001E-3</v>
      </c>
      <c r="AL179" s="31"/>
      <c r="AM179" s="32"/>
    </row>
    <row r="180" spans="1:39" ht="15" customHeight="1">
      <c r="A180" s="61" t="s">
        <v>302</v>
      </c>
      <c r="B180" t="s">
        <v>1812</v>
      </c>
      <c r="C180" t="s">
        <v>2520</v>
      </c>
      <c r="D180" t="s">
        <v>2521</v>
      </c>
      <c r="E180" t="s">
        <v>1289</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115">
        <v>1.7999999999999999E-2</v>
      </c>
      <c r="AL180" s="31"/>
      <c r="AM180" s="32"/>
    </row>
    <row r="181" spans="1:39" ht="15" customHeight="1">
      <c r="A181" s="61" t="s">
        <v>301</v>
      </c>
      <c r="B181" t="s">
        <v>1813</v>
      </c>
      <c r="C181" t="s">
        <v>2522</v>
      </c>
      <c r="D181" t="s">
        <v>2523</v>
      </c>
      <c r="E181" t="s">
        <v>1289</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115">
        <v>0.01</v>
      </c>
      <c r="AL181" s="31"/>
      <c r="AM181" s="32"/>
    </row>
    <row r="182" spans="1:39" ht="15" customHeight="1">
      <c r="A182" s="61" t="s">
        <v>300</v>
      </c>
      <c r="B182" t="s">
        <v>1814</v>
      </c>
      <c r="C182" t="s">
        <v>2524</v>
      </c>
      <c r="D182" t="s">
        <v>2525</v>
      </c>
      <c r="E182" t="s">
        <v>1289</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115">
        <v>7.0000000000000001E-3</v>
      </c>
      <c r="AL182" s="31"/>
      <c r="AM182" s="32"/>
    </row>
    <row r="183" spans="1:39" ht="15" customHeight="1">
      <c r="A183" s="61" t="s">
        <v>299</v>
      </c>
      <c r="B183" t="s">
        <v>1815</v>
      </c>
      <c r="C183" t="s">
        <v>2526</v>
      </c>
      <c r="D183" t="s">
        <v>2527</v>
      </c>
      <c r="E183" t="s">
        <v>1289</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115">
        <v>2.1000000000000001E-2</v>
      </c>
      <c r="AL183" s="31"/>
      <c r="AM183" s="32"/>
    </row>
    <row r="184" spans="1:39" ht="15" customHeight="1">
      <c r="A184" s="61" t="s">
        <v>298</v>
      </c>
      <c r="B184" t="s">
        <v>1816</v>
      </c>
      <c r="C184" t="s">
        <v>2528</v>
      </c>
      <c r="D184" t="s">
        <v>2529</v>
      </c>
      <c r="E184" t="s">
        <v>1289</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115">
        <v>2.3E-2</v>
      </c>
      <c r="AL184" s="31"/>
      <c r="AM184" s="32"/>
    </row>
    <row r="185" spans="1:39" ht="15" customHeight="1">
      <c r="A185" s="61" t="s">
        <v>297</v>
      </c>
      <c r="B185" t="s">
        <v>1817</v>
      </c>
      <c r="C185" t="s">
        <v>2530</v>
      </c>
      <c r="D185" t="s">
        <v>2531</v>
      </c>
      <c r="E185" t="s">
        <v>1289</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115">
        <v>2.1000000000000001E-2</v>
      </c>
      <c r="AL185" s="31"/>
      <c r="AM185" s="32"/>
    </row>
    <row r="186" spans="1:39" ht="15" customHeight="1">
      <c r="A186" s="61" t="s">
        <v>296</v>
      </c>
      <c r="B186" t="s">
        <v>1818</v>
      </c>
      <c r="C186" t="s">
        <v>2532</v>
      </c>
      <c r="D186" t="s">
        <v>2533</v>
      </c>
      <c r="E186" t="s">
        <v>1289</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115">
        <v>0.02</v>
      </c>
      <c r="AL186" s="31"/>
      <c r="AM186" s="32"/>
    </row>
    <row r="187" spans="1:39" ht="15" customHeight="1">
      <c r="A187" s="61" t="s">
        <v>295</v>
      </c>
      <c r="B187" t="s">
        <v>1819</v>
      </c>
      <c r="C187" t="s">
        <v>2534</v>
      </c>
      <c r="D187" t="s">
        <v>2535</v>
      </c>
      <c r="E187" t="s">
        <v>1289</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115">
        <v>8.9999999999999993E-3</v>
      </c>
      <c r="AL187" s="31"/>
      <c r="AM187" s="32"/>
    </row>
    <row r="188" spans="1:39" ht="15" customHeight="1">
      <c r="A188" s="61" t="s">
        <v>294</v>
      </c>
      <c r="B188" t="s">
        <v>1820</v>
      </c>
      <c r="C188" t="s">
        <v>2536</v>
      </c>
      <c r="D188" t="s">
        <v>2537</v>
      </c>
      <c r="E188" t="s">
        <v>1289</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115">
        <v>0.02</v>
      </c>
      <c r="AL188" s="31"/>
      <c r="AM188" s="32"/>
    </row>
    <row r="189" spans="1:39" ht="15" customHeight="1">
      <c r="A189" s="61" t="s">
        <v>293</v>
      </c>
      <c r="B189" t="s">
        <v>1821</v>
      </c>
      <c r="C189" t="s">
        <v>2538</v>
      </c>
      <c r="D189" t="s">
        <v>2539</v>
      </c>
      <c r="E189" t="s">
        <v>1289</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115">
        <v>0.03</v>
      </c>
      <c r="AL189" s="31"/>
      <c r="AM189" s="32"/>
    </row>
    <row r="190" spans="1:39" ht="15" customHeight="1">
      <c r="A190" s="61" t="s">
        <v>292</v>
      </c>
      <c r="B190" t="s">
        <v>1822</v>
      </c>
      <c r="C190" t="s">
        <v>2540</v>
      </c>
      <c r="D190" t="s">
        <v>2541</v>
      </c>
      <c r="E190" t="s">
        <v>1289</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115">
        <v>2.9000000000000001E-2</v>
      </c>
      <c r="AL190" s="31"/>
      <c r="AM190" s="32"/>
    </row>
    <row r="191" spans="1:39" ht="15" customHeight="1" thickBot="1">
      <c r="A191" s="61" t="s">
        <v>291</v>
      </c>
      <c r="B191" t="s">
        <v>153</v>
      </c>
      <c r="C191" t="s">
        <v>2542</v>
      </c>
      <c r="D191" t="s">
        <v>2543</v>
      </c>
      <c r="E191" t="s">
        <v>1289</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115">
        <v>1.6E-2</v>
      </c>
      <c r="AL191" s="38"/>
      <c r="AM191" s="36"/>
    </row>
    <row r="192" spans="1:39" ht="15" customHeight="1">
      <c r="A192" s="118"/>
      <c r="AL192" s="70"/>
      <c r="AM192" s="70"/>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L270"/>
  <sheetViews>
    <sheetView topLeftCell="A126" workbookViewId="0">
      <selection activeCell="A197" sqref="A197:XFD197"/>
    </sheetView>
  </sheetViews>
  <sheetFormatPr defaultRowHeight="14.5"/>
  <cols>
    <col min="1" max="1" width="20.08984375" style="127" customWidth="1"/>
    <col min="2" max="2" width="37.08984375" style="46" customWidth="1"/>
  </cols>
  <sheetData>
    <row r="1" spans="2:38" ht="15" customHeight="1">
      <c r="B1" s="46" t="s">
        <v>1347</v>
      </c>
      <c r="C1" s="60"/>
      <c r="D1" s="60"/>
      <c r="E1" s="60"/>
      <c r="F1" s="60"/>
      <c r="G1" s="60">
        <v>2020</v>
      </c>
      <c r="H1" s="60">
        <v>2021</v>
      </c>
      <c r="I1" s="60">
        <v>2022</v>
      </c>
      <c r="J1" s="60">
        <v>2023</v>
      </c>
      <c r="K1" s="60">
        <v>2024</v>
      </c>
      <c r="L1" s="60">
        <v>2025</v>
      </c>
      <c r="M1" s="60">
        <v>2026</v>
      </c>
      <c r="N1" s="60">
        <v>2027</v>
      </c>
      <c r="O1" s="60">
        <v>2028</v>
      </c>
      <c r="P1" s="60">
        <v>2029</v>
      </c>
      <c r="Q1" s="60">
        <v>2030</v>
      </c>
      <c r="R1" s="60">
        <v>2031</v>
      </c>
      <c r="S1" s="60">
        <v>2032</v>
      </c>
      <c r="T1" s="60">
        <v>2033</v>
      </c>
      <c r="U1" s="60">
        <v>2034</v>
      </c>
      <c r="V1" s="60">
        <v>2035</v>
      </c>
      <c r="W1" s="60">
        <v>2036</v>
      </c>
      <c r="X1" s="60">
        <v>2037</v>
      </c>
      <c r="Y1" s="60">
        <v>2038</v>
      </c>
      <c r="Z1" s="60">
        <v>2039</v>
      </c>
      <c r="AA1" s="60">
        <v>2040</v>
      </c>
      <c r="AB1" s="60">
        <v>2041</v>
      </c>
      <c r="AC1" s="60">
        <v>2042</v>
      </c>
      <c r="AD1" s="60">
        <v>2043</v>
      </c>
      <c r="AE1" s="60">
        <v>2044</v>
      </c>
      <c r="AF1" s="60">
        <v>2045</v>
      </c>
      <c r="AG1" s="60">
        <v>2046</v>
      </c>
      <c r="AH1" s="60">
        <v>2047</v>
      </c>
      <c r="AI1" s="60">
        <v>2048</v>
      </c>
      <c r="AJ1" s="60">
        <v>2049</v>
      </c>
      <c r="AK1" s="60">
        <v>2050</v>
      </c>
      <c r="AL1" s="60" t="s">
        <v>1290</v>
      </c>
    </row>
    <row r="2" spans="2:38" ht="15" customHeight="1"/>
    <row r="3" spans="2:38" ht="15" customHeight="1"/>
    <row r="4" spans="2:38" ht="15" customHeight="1"/>
    <row r="5" spans="2:38" ht="15" customHeight="1"/>
    <row r="6" spans="2:38" ht="15" customHeight="1"/>
    <row r="10" spans="2:38" ht="15" customHeight="1">
      <c r="B10" s="117" t="s">
        <v>832</v>
      </c>
    </row>
    <row r="11" spans="2:38" ht="15" customHeight="1">
      <c r="C11" t="s">
        <v>2544</v>
      </c>
    </row>
    <row r="12" spans="2:38" ht="15" customHeight="1">
      <c r="C12" t="s">
        <v>2545</v>
      </c>
    </row>
    <row r="13" spans="2:38" ht="15" customHeight="1">
      <c r="C13" t="s">
        <v>2546</v>
      </c>
    </row>
    <row r="14" spans="2:38" ht="15" customHeight="1">
      <c r="C14" t="s">
        <v>1198</v>
      </c>
    </row>
    <row r="15" spans="2:38" ht="15" customHeight="1">
      <c r="D15" t="s">
        <v>1199</v>
      </c>
      <c r="E15" t="s">
        <v>1288</v>
      </c>
      <c r="F15" t="s">
        <v>1289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1290</v>
      </c>
    </row>
    <row r="16" spans="2:38">
      <c r="C16" t="s">
        <v>831</v>
      </c>
      <c r="E16" t="s">
        <v>2571</v>
      </c>
    </row>
    <row r="17" spans="1:38" ht="15" customHeight="1">
      <c r="C17" t="s">
        <v>2547</v>
      </c>
      <c r="E17" t="s">
        <v>2572</v>
      </c>
    </row>
    <row r="18" spans="1:38" ht="15" customHeight="1">
      <c r="C18" t="s">
        <v>1221</v>
      </c>
      <c r="E18" t="s">
        <v>2573</v>
      </c>
    </row>
    <row r="19" spans="1:38" ht="15" customHeight="1">
      <c r="A19" s="134" t="s">
        <v>115</v>
      </c>
      <c r="B19" s="117" t="s">
        <v>830</v>
      </c>
      <c r="C19" t="s">
        <v>1266</v>
      </c>
      <c r="D19" t="s">
        <v>2574</v>
      </c>
      <c r="E19" t="s">
        <v>2575</v>
      </c>
      <c r="F19" t="s">
        <v>1894</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115">
        <v>1.6E-2</v>
      </c>
    </row>
    <row r="20" spans="1:38" ht="15" customHeight="1">
      <c r="A20" s="134" t="s">
        <v>114</v>
      </c>
      <c r="B20" s="117" t="s">
        <v>829</v>
      </c>
      <c r="C20" t="s">
        <v>1352</v>
      </c>
      <c r="D20" t="s">
        <v>2576</v>
      </c>
      <c r="E20" t="s">
        <v>2577</v>
      </c>
      <c r="F20" t="s">
        <v>1894</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115">
        <v>2.4E-2</v>
      </c>
    </row>
    <row r="21" spans="1:38" ht="15" customHeight="1">
      <c r="A21" s="134" t="s">
        <v>853</v>
      </c>
      <c r="B21" s="117" t="s">
        <v>828</v>
      </c>
      <c r="C21" t="s">
        <v>1273</v>
      </c>
      <c r="D21" t="s">
        <v>2578</v>
      </c>
      <c r="E21" t="s">
        <v>2579</v>
      </c>
      <c r="F21" t="s">
        <v>1894</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115">
        <v>0.104</v>
      </c>
    </row>
    <row r="22" spans="1:38" ht="15" customHeight="1">
      <c r="A22" s="134" t="s">
        <v>113</v>
      </c>
      <c r="B22" s="117" t="s">
        <v>827</v>
      </c>
      <c r="C22" t="s">
        <v>1282</v>
      </c>
      <c r="D22" t="s">
        <v>2580</v>
      </c>
      <c r="E22" t="s">
        <v>2581</v>
      </c>
      <c r="F22" t="s">
        <v>1894</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115">
        <v>7.9000000000000001E-2</v>
      </c>
    </row>
    <row r="23" spans="1:38" ht="15" customHeight="1">
      <c r="A23" s="134" t="s">
        <v>114</v>
      </c>
      <c r="B23" s="117" t="s">
        <v>826</v>
      </c>
      <c r="C23" t="s">
        <v>2548</v>
      </c>
      <c r="D23" t="s">
        <v>2582</v>
      </c>
      <c r="E23" t="s">
        <v>2583</v>
      </c>
      <c r="F23" t="s">
        <v>1894</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115">
        <v>5.8000000000000003E-2</v>
      </c>
    </row>
    <row r="24" spans="1:38" ht="15" customHeight="1">
      <c r="A24" s="134" t="s">
        <v>112</v>
      </c>
      <c r="B24" s="117" t="s">
        <v>825</v>
      </c>
      <c r="C24" t="s">
        <v>1577</v>
      </c>
      <c r="D24" t="s">
        <v>2584</v>
      </c>
      <c r="E24" t="s">
        <v>2585</v>
      </c>
      <c r="F24" t="s">
        <v>1894</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115">
        <v>0.13600000000000001</v>
      </c>
    </row>
    <row r="25" spans="1:38" ht="15" customHeight="1">
      <c r="A25" s="134" t="s">
        <v>116</v>
      </c>
      <c r="B25" s="117" t="s">
        <v>824</v>
      </c>
      <c r="C25" t="s">
        <v>2549</v>
      </c>
      <c r="D25" t="s">
        <v>2586</v>
      </c>
      <c r="E25" t="s">
        <v>2587</v>
      </c>
      <c r="F25" t="s">
        <v>1894</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115">
        <v>0.14399999999999999</v>
      </c>
    </row>
    <row r="26" spans="1:38" ht="15" customHeight="1">
      <c r="A26" s="134" t="s">
        <v>116</v>
      </c>
      <c r="B26" s="117" t="s">
        <v>823</v>
      </c>
      <c r="C26" t="s">
        <v>2550</v>
      </c>
      <c r="D26" t="s">
        <v>2588</v>
      </c>
      <c r="E26" t="s">
        <v>2589</v>
      </c>
      <c r="F26" t="s">
        <v>1894</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115">
        <v>0.14399999999999999</v>
      </c>
    </row>
    <row r="27" spans="1:38" ht="15" customHeight="1">
      <c r="A27" s="134" t="s">
        <v>854</v>
      </c>
      <c r="B27" s="117" t="s">
        <v>822</v>
      </c>
      <c r="C27" t="s">
        <v>1581</v>
      </c>
      <c r="D27" t="s">
        <v>2590</v>
      </c>
      <c r="E27" t="s">
        <v>2591</v>
      </c>
      <c r="F27" t="s">
        <v>1894</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115">
        <v>0.106</v>
      </c>
    </row>
    <row r="28" spans="1:38" ht="15" customHeight="1">
      <c r="B28" s="117" t="s">
        <v>821</v>
      </c>
      <c r="C28" t="s">
        <v>2551</v>
      </c>
      <c r="D28" t="s">
        <v>2592</v>
      </c>
      <c r="E28" t="s">
        <v>2593</v>
      </c>
      <c r="F28" t="s">
        <v>1894</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115">
        <v>2.3E-2</v>
      </c>
    </row>
    <row r="29" spans="1:38" ht="15" customHeight="1">
      <c r="C29" t="s">
        <v>1223</v>
      </c>
      <c r="E29" t="s">
        <v>2594</v>
      </c>
    </row>
    <row r="30" spans="1:38" ht="15" customHeight="1">
      <c r="A30" s="134" t="s">
        <v>115</v>
      </c>
      <c r="B30" s="117" t="s">
        <v>820</v>
      </c>
      <c r="C30" t="s">
        <v>1266</v>
      </c>
      <c r="D30" t="s">
        <v>2595</v>
      </c>
      <c r="E30" t="s">
        <v>2596</v>
      </c>
      <c r="F30" t="s">
        <v>1894</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115">
        <v>2.5999999999999999E-2</v>
      </c>
    </row>
    <row r="31" spans="1:38" ht="15" customHeight="1">
      <c r="A31" s="134" t="s">
        <v>114</v>
      </c>
      <c r="B31" s="117" t="s">
        <v>819</v>
      </c>
      <c r="C31" t="s">
        <v>1352</v>
      </c>
      <c r="D31" t="s">
        <v>2597</v>
      </c>
      <c r="E31" t="s">
        <v>2598</v>
      </c>
      <c r="F31" t="s">
        <v>1894</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115">
        <v>1.7999999999999999E-2</v>
      </c>
    </row>
    <row r="32" spans="1:38" ht="15" customHeight="1">
      <c r="A32" s="134" t="s">
        <v>853</v>
      </c>
      <c r="B32" s="117" t="s">
        <v>818</v>
      </c>
      <c r="C32" t="s">
        <v>1273</v>
      </c>
      <c r="D32" t="s">
        <v>2599</v>
      </c>
      <c r="E32" t="s">
        <v>2600</v>
      </c>
      <c r="F32" t="s">
        <v>1894</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115">
        <v>5.1999999999999998E-2</v>
      </c>
    </row>
    <row r="33" spans="1:38" ht="15" customHeight="1">
      <c r="A33" s="134" t="s">
        <v>113</v>
      </c>
      <c r="B33" s="117" t="s">
        <v>817</v>
      </c>
      <c r="C33" t="s">
        <v>1282</v>
      </c>
      <c r="D33" t="s">
        <v>2601</v>
      </c>
      <c r="E33" t="s">
        <v>2602</v>
      </c>
      <c r="F33" t="s">
        <v>1894</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115">
        <v>5.8999999999999997E-2</v>
      </c>
    </row>
    <row r="34" spans="1:38" ht="15" customHeight="1">
      <c r="A34" s="134" t="s">
        <v>114</v>
      </c>
      <c r="B34" s="117" t="s">
        <v>816</v>
      </c>
      <c r="C34" t="s">
        <v>2548</v>
      </c>
      <c r="D34" t="s">
        <v>2603</v>
      </c>
      <c r="E34" t="s">
        <v>2604</v>
      </c>
      <c r="F34" t="s">
        <v>1894</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115">
        <v>6.9000000000000006E-2</v>
      </c>
    </row>
    <row r="35" spans="1:38" ht="15" customHeight="1">
      <c r="A35" s="134" t="s">
        <v>112</v>
      </c>
      <c r="B35" s="117" t="s">
        <v>815</v>
      </c>
      <c r="C35" t="s">
        <v>1577</v>
      </c>
      <c r="D35" t="s">
        <v>2605</v>
      </c>
      <c r="E35" t="s">
        <v>2606</v>
      </c>
      <c r="F35" t="s">
        <v>1894</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115">
        <v>0.129</v>
      </c>
    </row>
    <row r="36" spans="1:38" ht="15" customHeight="1">
      <c r="A36" s="134" t="s">
        <v>116</v>
      </c>
      <c r="B36" s="117" t="s">
        <v>814</v>
      </c>
      <c r="C36" t="s">
        <v>2549</v>
      </c>
      <c r="D36" t="s">
        <v>2607</v>
      </c>
      <c r="E36" t="s">
        <v>2608</v>
      </c>
      <c r="F36" t="s">
        <v>1894</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115">
        <v>0.14499999999999999</v>
      </c>
    </row>
    <row r="37" spans="1:38" ht="15" customHeight="1">
      <c r="A37" s="134" t="s">
        <v>116</v>
      </c>
      <c r="B37" s="117" t="s">
        <v>813</v>
      </c>
      <c r="C37" t="s">
        <v>2550</v>
      </c>
      <c r="D37" t="s">
        <v>2609</v>
      </c>
      <c r="E37" t="s">
        <v>2610</v>
      </c>
      <c r="F37" t="s">
        <v>1894</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115">
        <v>0.14499999999999999</v>
      </c>
    </row>
    <row r="38" spans="1:38" ht="15" customHeight="1">
      <c r="A38" s="134" t="s">
        <v>854</v>
      </c>
      <c r="B38" s="117" t="s">
        <v>812</v>
      </c>
      <c r="C38" t="s">
        <v>1581</v>
      </c>
      <c r="D38" t="s">
        <v>2611</v>
      </c>
      <c r="E38" t="s">
        <v>2612</v>
      </c>
      <c r="F38" t="s">
        <v>1894</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115">
        <v>0.14499999999999999</v>
      </c>
    </row>
    <row r="39" spans="1:38" ht="15" customHeight="1">
      <c r="B39" s="117" t="s">
        <v>811</v>
      </c>
      <c r="C39" t="s">
        <v>2552</v>
      </c>
      <c r="D39" t="s">
        <v>2613</v>
      </c>
      <c r="E39" t="s">
        <v>2614</v>
      </c>
      <c r="F39" t="s">
        <v>1894</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115">
        <v>2.5000000000000001E-2</v>
      </c>
    </row>
    <row r="40" spans="1:38" ht="15" customHeight="1">
      <c r="C40" t="s">
        <v>2553</v>
      </c>
      <c r="E40" t="s">
        <v>2615</v>
      </c>
    </row>
    <row r="41" spans="1:38" ht="15" customHeight="1">
      <c r="A41" s="134" t="s">
        <v>115</v>
      </c>
      <c r="B41" s="117" t="s">
        <v>810</v>
      </c>
      <c r="C41" t="s">
        <v>1266</v>
      </c>
      <c r="D41" t="s">
        <v>2616</v>
      </c>
      <c r="E41" t="s">
        <v>2617</v>
      </c>
      <c r="F41" t="s">
        <v>1894</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115">
        <v>8.9999999999999993E-3</v>
      </c>
    </row>
    <row r="42" spans="1:38" ht="15" customHeight="1">
      <c r="A42" s="134" t="s">
        <v>114</v>
      </c>
      <c r="B42" s="117" t="s">
        <v>809</v>
      </c>
      <c r="C42" t="s">
        <v>1352</v>
      </c>
      <c r="D42" t="s">
        <v>2618</v>
      </c>
      <c r="E42" t="s">
        <v>2619</v>
      </c>
      <c r="F42" t="s">
        <v>1894</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115">
        <v>-1.9E-2</v>
      </c>
    </row>
    <row r="43" spans="1:38" ht="15" customHeight="1">
      <c r="A43" s="134" t="s">
        <v>853</v>
      </c>
      <c r="B43" s="117" t="s">
        <v>808</v>
      </c>
      <c r="C43" t="s">
        <v>1273</v>
      </c>
      <c r="D43" t="s">
        <v>2620</v>
      </c>
      <c r="E43" t="s">
        <v>2621</v>
      </c>
      <c r="F43" t="s">
        <v>1894</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115">
        <v>2.8000000000000001E-2</v>
      </c>
    </row>
    <row r="44" spans="1:38" ht="15" customHeight="1">
      <c r="A44" s="134" t="s">
        <v>113</v>
      </c>
      <c r="B44" s="117" t="s">
        <v>807</v>
      </c>
      <c r="C44" t="s">
        <v>1282</v>
      </c>
      <c r="D44" t="s">
        <v>2622</v>
      </c>
      <c r="E44" t="s">
        <v>2623</v>
      </c>
      <c r="F44" t="s">
        <v>1894</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115">
        <v>2.9000000000000001E-2</v>
      </c>
    </row>
    <row r="45" spans="1:38" ht="15" customHeight="1">
      <c r="A45" s="134" t="s">
        <v>114</v>
      </c>
      <c r="B45" s="117" t="s">
        <v>806</v>
      </c>
      <c r="C45" t="s">
        <v>2548</v>
      </c>
      <c r="D45" t="s">
        <v>2624</v>
      </c>
      <c r="E45" t="s">
        <v>2625</v>
      </c>
      <c r="F45" t="s">
        <v>1894</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146</v>
      </c>
    </row>
    <row r="46" spans="1:38" ht="15" customHeight="1">
      <c r="A46" s="134" t="s">
        <v>112</v>
      </c>
      <c r="B46" s="117" t="s">
        <v>805</v>
      </c>
      <c r="C46" t="s">
        <v>1577</v>
      </c>
      <c r="D46" t="s">
        <v>2626</v>
      </c>
      <c r="E46" t="s">
        <v>2627</v>
      </c>
      <c r="F46" t="s">
        <v>1894</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115">
        <v>0.127</v>
      </c>
    </row>
    <row r="47" spans="1:38" ht="15" customHeight="1">
      <c r="A47" s="134" t="s">
        <v>116</v>
      </c>
      <c r="B47" s="117" t="s">
        <v>804</v>
      </c>
      <c r="C47" t="s">
        <v>2549</v>
      </c>
      <c r="D47" t="s">
        <v>2628</v>
      </c>
      <c r="E47" t="s">
        <v>2629</v>
      </c>
      <c r="F47" t="s">
        <v>1894</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115">
        <v>0.11600000000000001</v>
      </c>
    </row>
    <row r="48" spans="1:38" ht="15" customHeight="1">
      <c r="A48" s="134" t="s">
        <v>116</v>
      </c>
      <c r="B48" s="117" t="s">
        <v>803</v>
      </c>
      <c r="C48" t="s">
        <v>2550</v>
      </c>
      <c r="D48" t="s">
        <v>2630</v>
      </c>
      <c r="E48" t="s">
        <v>2631</v>
      </c>
      <c r="F48" t="s">
        <v>1894</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115">
        <v>0.11600000000000001</v>
      </c>
    </row>
    <row r="49" spans="1:38" ht="15" customHeight="1">
      <c r="A49" s="134" t="s">
        <v>854</v>
      </c>
      <c r="B49" s="117" t="s">
        <v>802</v>
      </c>
      <c r="C49" t="s">
        <v>1581</v>
      </c>
      <c r="D49" t="s">
        <v>2632</v>
      </c>
      <c r="E49" t="s">
        <v>2633</v>
      </c>
      <c r="F49" t="s">
        <v>1894</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115">
        <v>0.11899999999999999</v>
      </c>
    </row>
    <row r="50" spans="1:38" ht="15" customHeight="1">
      <c r="B50" s="117" t="s">
        <v>801</v>
      </c>
      <c r="C50" t="s">
        <v>2554</v>
      </c>
      <c r="D50" t="s">
        <v>2634</v>
      </c>
      <c r="E50" t="s">
        <v>2635</v>
      </c>
      <c r="F50" t="s">
        <v>1894</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115">
        <v>8.9999999999999993E-3</v>
      </c>
    </row>
    <row r="51" spans="1:38" ht="15" customHeight="1">
      <c r="B51" s="117" t="s">
        <v>800</v>
      </c>
      <c r="C51" t="s">
        <v>2555</v>
      </c>
      <c r="D51" t="s">
        <v>2636</v>
      </c>
      <c r="E51" t="s">
        <v>2637</v>
      </c>
      <c r="F51" t="s">
        <v>1894</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115">
        <v>1.6E-2</v>
      </c>
    </row>
    <row r="52" spans="1:38" ht="15" customHeight="1">
      <c r="C52" t="s">
        <v>2556</v>
      </c>
      <c r="E52" t="s">
        <v>2638</v>
      </c>
    </row>
    <row r="53" spans="1:38" ht="15" customHeight="1">
      <c r="C53" t="s">
        <v>1221</v>
      </c>
      <c r="E53" t="s">
        <v>2639</v>
      </c>
    </row>
    <row r="54" spans="1:38" ht="15" customHeight="1">
      <c r="A54" s="134" t="s">
        <v>115</v>
      </c>
      <c r="B54" s="117" t="s">
        <v>799</v>
      </c>
      <c r="C54" t="s">
        <v>1266</v>
      </c>
      <c r="D54" t="s">
        <v>2640</v>
      </c>
      <c r="E54" t="s">
        <v>2641</v>
      </c>
      <c r="F54" t="s">
        <v>1294</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115">
        <v>8.0000000000000002E-3</v>
      </c>
    </row>
    <row r="55" spans="1:38" ht="15" customHeight="1">
      <c r="A55" s="134" t="s">
        <v>114</v>
      </c>
      <c r="B55" s="117" t="s">
        <v>798</v>
      </c>
      <c r="C55" t="s">
        <v>1352</v>
      </c>
      <c r="D55" t="s">
        <v>2642</v>
      </c>
      <c r="E55" t="s">
        <v>2643</v>
      </c>
      <c r="F55" t="s">
        <v>1294</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115">
        <v>1.2999999999999999E-2</v>
      </c>
    </row>
    <row r="56" spans="1:38" ht="15" customHeight="1">
      <c r="A56" s="134" t="s">
        <v>853</v>
      </c>
      <c r="B56" s="117" t="s">
        <v>797</v>
      </c>
      <c r="C56" t="s">
        <v>1273</v>
      </c>
      <c r="D56" t="s">
        <v>2644</v>
      </c>
      <c r="E56" t="s">
        <v>2645</v>
      </c>
      <c r="F56" t="s">
        <v>1294</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115">
        <v>9.8000000000000004E-2</v>
      </c>
    </row>
    <row r="57" spans="1:38" ht="15" customHeight="1">
      <c r="A57" s="134" t="s">
        <v>113</v>
      </c>
      <c r="B57" s="117" t="s">
        <v>796</v>
      </c>
      <c r="C57" t="s">
        <v>1282</v>
      </c>
      <c r="D57" t="s">
        <v>2646</v>
      </c>
      <c r="E57" t="s">
        <v>2647</v>
      </c>
      <c r="F57" t="s">
        <v>1294</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115">
        <v>7.0999999999999994E-2</v>
      </c>
    </row>
    <row r="58" spans="1:38" ht="15" customHeight="1">
      <c r="A58" s="134" t="s">
        <v>114</v>
      </c>
      <c r="B58" s="117" t="s">
        <v>795</v>
      </c>
      <c r="C58" t="s">
        <v>2548</v>
      </c>
      <c r="D58" t="s">
        <v>2648</v>
      </c>
      <c r="E58" t="s">
        <v>2649</v>
      </c>
      <c r="F58" t="s">
        <v>1294</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115">
        <v>4.8000000000000001E-2</v>
      </c>
    </row>
    <row r="59" spans="1:38" ht="15" customHeight="1">
      <c r="A59" s="134" t="s">
        <v>112</v>
      </c>
      <c r="B59" s="117" t="s">
        <v>794</v>
      </c>
      <c r="C59" t="s">
        <v>1577</v>
      </c>
      <c r="D59" t="s">
        <v>2650</v>
      </c>
      <c r="E59" t="s">
        <v>2651</v>
      </c>
      <c r="F59" t="s">
        <v>1294</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115">
        <v>0.13200000000000001</v>
      </c>
    </row>
    <row r="60" spans="1:38" ht="15" customHeight="1">
      <c r="A60" s="134" t="s">
        <v>116</v>
      </c>
      <c r="B60" s="117" t="s">
        <v>793</v>
      </c>
      <c r="C60" t="s">
        <v>2549</v>
      </c>
      <c r="D60" t="s">
        <v>2652</v>
      </c>
      <c r="E60" t="s">
        <v>2653</v>
      </c>
      <c r="F60" t="s">
        <v>1294</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115">
        <v>0.13500000000000001</v>
      </c>
    </row>
    <row r="61" spans="1:38" ht="15" customHeight="1">
      <c r="A61" s="134" t="s">
        <v>116</v>
      </c>
      <c r="B61" s="117" t="s">
        <v>792</v>
      </c>
      <c r="C61" t="s">
        <v>2550</v>
      </c>
      <c r="D61" t="s">
        <v>2654</v>
      </c>
      <c r="E61" t="s">
        <v>2655</v>
      </c>
      <c r="F61" t="s">
        <v>1294</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115">
        <v>0.14000000000000001</v>
      </c>
    </row>
    <row r="62" spans="1:38" ht="15" customHeight="1">
      <c r="A62" s="134" t="s">
        <v>854</v>
      </c>
      <c r="B62" s="117" t="s">
        <v>791</v>
      </c>
      <c r="C62" t="s">
        <v>1581</v>
      </c>
      <c r="D62" t="s">
        <v>2656</v>
      </c>
      <c r="E62" t="s">
        <v>2657</v>
      </c>
      <c r="F62" t="s">
        <v>1294</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115">
        <v>0.111</v>
      </c>
    </row>
    <row r="63" spans="1:38" ht="15" customHeight="1">
      <c r="B63" s="117" t="s">
        <v>790</v>
      </c>
      <c r="C63" t="s">
        <v>2551</v>
      </c>
      <c r="D63" t="s">
        <v>2658</v>
      </c>
      <c r="E63" t="s">
        <v>2659</v>
      </c>
      <c r="F63" t="s">
        <v>1294</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115">
        <v>1.4999999999999999E-2</v>
      </c>
    </row>
    <row r="64" spans="1:38" ht="15" customHeight="1">
      <c r="C64" t="s">
        <v>1223</v>
      </c>
      <c r="E64" t="s">
        <v>2660</v>
      </c>
    </row>
    <row r="65" spans="1:38" ht="15" customHeight="1">
      <c r="A65" s="134" t="s">
        <v>115</v>
      </c>
      <c r="B65" s="117" t="s">
        <v>789</v>
      </c>
      <c r="C65" t="s">
        <v>1266</v>
      </c>
      <c r="D65" t="s">
        <v>2661</v>
      </c>
      <c r="E65" t="s">
        <v>2662</v>
      </c>
      <c r="F65" t="s">
        <v>1294</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115">
        <v>1.4999999999999999E-2</v>
      </c>
    </row>
    <row r="66" spans="1:38" ht="15" customHeight="1">
      <c r="A66" s="134" t="s">
        <v>114</v>
      </c>
      <c r="B66" s="117" t="s">
        <v>788</v>
      </c>
      <c r="C66" t="s">
        <v>1352</v>
      </c>
      <c r="D66" t="s">
        <v>2663</v>
      </c>
      <c r="E66" t="s">
        <v>2664</v>
      </c>
      <c r="F66" t="s">
        <v>1294</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115">
        <v>8.0000000000000002E-3</v>
      </c>
    </row>
    <row r="67" spans="1:38" ht="15" customHeight="1">
      <c r="A67" s="134" t="s">
        <v>853</v>
      </c>
      <c r="B67" s="117" t="s">
        <v>787</v>
      </c>
      <c r="C67" t="s">
        <v>1273</v>
      </c>
      <c r="D67" t="s">
        <v>2665</v>
      </c>
      <c r="E67" t="s">
        <v>2666</v>
      </c>
      <c r="F67" t="s">
        <v>1294</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115">
        <v>4.1000000000000002E-2</v>
      </c>
    </row>
    <row r="68" spans="1:38" ht="15" customHeight="1">
      <c r="A68" s="134" t="s">
        <v>113</v>
      </c>
      <c r="B68" s="117" t="s">
        <v>786</v>
      </c>
      <c r="C68" t="s">
        <v>1282</v>
      </c>
      <c r="D68" t="s">
        <v>2667</v>
      </c>
      <c r="E68" t="s">
        <v>2668</v>
      </c>
      <c r="F68" t="s">
        <v>1294</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115">
        <v>4.8000000000000001E-2</v>
      </c>
    </row>
    <row r="69" spans="1:38" ht="15" customHeight="1">
      <c r="A69" s="134" t="s">
        <v>114</v>
      </c>
      <c r="B69" s="117" t="s">
        <v>785</v>
      </c>
      <c r="C69" t="s">
        <v>2548</v>
      </c>
      <c r="D69" t="s">
        <v>2669</v>
      </c>
      <c r="E69" t="s">
        <v>2670</v>
      </c>
      <c r="F69" t="s">
        <v>1294</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115">
        <v>5.8999999999999997E-2</v>
      </c>
    </row>
    <row r="70" spans="1:38" ht="15" customHeight="1">
      <c r="A70" s="134" t="s">
        <v>112</v>
      </c>
      <c r="B70" s="117" t="s">
        <v>784</v>
      </c>
      <c r="C70" t="s">
        <v>1577</v>
      </c>
      <c r="D70" t="s">
        <v>2671</v>
      </c>
      <c r="E70" t="s">
        <v>2672</v>
      </c>
      <c r="F70" t="s">
        <v>1294</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115">
        <v>0.123</v>
      </c>
    </row>
    <row r="71" spans="1:38" ht="15" customHeight="1">
      <c r="A71" s="134" t="s">
        <v>116</v>
      </c>
      <c r="B71" s="117" t="s">
        <v>783</v>
      </c>
      <c r="C71" t="s">
        <v>2549</v>
      </c>
      <c r="D71" t="s">
        <v>2673</v>
      </c>
      <c r="E71" t="s">
        <v>2674</v>
      </c>
      <c r="F71" t="s">
        <v>1294</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115">
        <v>0.13500000000000001</v>
      </c>
    </row>
    <row r="72" spans="1:38" ht="15" customHeight="1">
      <c r="A72" s="134" t="s">
        <v>116</v>
      </c>
      <c r="B72" s="117" t="s">
        <v>782</v>
      </c>
      <c r="C72" t="s">
        <v>2550</v>
      </c>
      <c r="D72" t="s">
        <v>2675</v>
      </c>
      <c r="E72" t="s">
        <v>2676</v>
      </c>
      <c r="F72" t="s">
        <v>1294</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115">
        <v>0.13600000000000001</v>
      </c>
    </row>
    <row r="73" spans="1:38" ht="15" customHeight="1">
      <c r="A73" s="134" t="s">
        <v>854</v>
      </c>
      <c r="B73" s="117" t="s">
        <v>781</v>
      </c>
      <c r="C73" t="s">
        <v>1581</v>
      </c>
      <c r="D73" t="s">
        <v>2677</v>
      </c>
      <c r="E73" t="s">
        <v>2678</v>
      </c>
      <c r="F73" t="s">
        <v>1294</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115">
        <v>0.14499999999999999</v>
      </c>
    </row>
    <row r="74" spans="1:38" ht="15" customHeight="1">
      <c r="B74" s="117" t="s">
        <v>780</v>
      </c>
      <c r="C74" t="s">
        <v>2552</v>
      </c>
      <c r="D74" t="s">
        <v>2679</v>
      </c>
      <c r="E74" t="s">
        <v>2680</v>
      </c>
      <c r="F74" t="s">
        <v>1294</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115">
        <v>1.4E-2</v>
      </c>
    </row>
    <row r="75" spans="1:38" ht="15" customHeight="1">
      <c r="C75" t="s">
        <v>2553</v>
      </c>
      <c r="E75" t="s">
        <v>2681</v>
      </c>
    </row>
    <row r="76" spans="1:38" ht="15" customHeight="1">
      <c r="A76" s="134" t="s">
        <v>115</v>
      </c>
      <c r="B76" s="117" t="s">
        <v>779</v>
      </c>
      <c r="C76" t="s">
        <v>1266</v>
      </c>
      <c r="D76" t="s">
        <v>2682</v>
      </c>
      <c r="E76" t="s">
        <v>2683</v>
      </c>
      <c r="F76" t="s">
        <v>1294</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115">
        <v>0</v>
      </c>
    </row>
    <row r="77" spans="1:38" ht="15" customHeight="1">
      <c r="A77" s="134" t="s">
        <v>114</v>
      </c>
      <c r="B77" s="117" t="s">
        <v>778</v>
      </c>
      <c r="C77" t="s">
        <v>1352</v>
      </c>
      <c r="D77" t="s">
        <v>2684</v>
      </c>
      <c r="E77" t="s">
        <v>2685</v>
      </c>
      <c r="F77" t="s">
        <v>1294</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115">
        <v>-2.9000000000000001E-2</v>
      </c>
    </row>
    <row r="78" spans="1:38" ht="15" customHeight="1">
      <c r="A78" s="134" t="s">
        <v>853</v>
      </c>
      <c r="B78" s="117" t="s">
        <v>777</v>
      </c>
      <c r="C78" t="s">
        <v>1273</v>
      </c>
      <c r="D78" t="s">
        <v>2686</v>
      </c>
      <c r="E78" t="s">
        <v>2687</v>
      </c>
      <c r="F78" t="s">
        <v>1294</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115">
        <v>0.02</v>
      </c>
    </row>
    <row r="79" spans="1:38" ht="15" customHeight="1">
      <c r="A79" s="134" t="s">
        <v>113</v>
      </c>
      <c r="B79" s="117" t="s">
        <v>776</v>
      </c>
      <c r="C79" t="s">
        <v>1282</v>
      </c>
      <c r="D79" t="s">
        <v>2688</v>
      </c>
      <c r="E79" t="s">
        <v>2689</v>
      </c>
      <c r="F79" t="s">
        <v>1294</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115">
        <v>2.1000000000000001E-2</v>
      </c>
    </row>
    <row r="80" spans="1:38" ht="15" customHeight="1">
      <c r="A80" s="134" t="s">
        <v>114</v>
      </c>
      <c r="B80" s="117" t="s">
        <v>775</v>
      </c>
      <c r="C80" t="s">
        <v>2548</v>
      </c>
      <c r="D80" t="s">
        <v>2690</v>
      </c>
      <c r="E80" t="s">
        <v>2691</v>
      </c>
      <c r="F80" t="s">
        <v>1294</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146</v>
      </c>
    </row>
    <row r="81" spans="1:38" ht="15" customHeight="1">
      <c r="A81" s="134" t="s">
        <v>112</v>
      </c>
      <c r="B81" s="117" t="s">
        <v>774</v>
      </c>
      <c r="C81" t="s">
        <v>1577</v>
      </c>
      <c r="D81" t="s">
        <v>2692</v>
      </c>
      <c r="E81" t="s">
        <v>2693</v>
      </c>
      <c r="F81" t="s">
        <v>1294</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115">
        <v>0.113</v>
      </c>
    </row>
    <row r="82" spans="1:38" ht="15" customHeight="1">
      <c r="A82" s="134" t="s">
        <v>116</v>
      </c>
      <c r="B82" s="117" t="s">
        <v>773</v>
      </c>
      <c r="C82" t="s">
        <v>2549</v>
      </c>
      <c r="D82" t="s">
        <v>2694</v>
      </c>
      <c r="E82" t="s">
        <v>2695</v>
      </c>
      <c r="F82" t="s">
        <v>1294</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115">
        <v>7.2999999999999995E-2</v>
      </c>
    </row>
    <row r="83" spans="1:38" ht="15" customHeight="1">
      <c r="A83" s="134" t="s">
        <v>116</v>
      </c>
      <c r="B83" s="117" t="s">
        <v>772</v>
      </c>
      <c r="C83" t="s">
        <v>2550</v>
      </c>
      <c r="D83" t="s">
        <v>2696</v>
      </c>
      <c r="E83" t="s">
        <v>2697</v>
      </c>
      <c r="F83" t="s">
        <v>1294</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115">
        <v>7.2999999999999995E-2</v>
      </c>
    </row>
    <row r="84" spans="1:38" ht="15" customHeight="1">
      <c r="A84" s="134" t="s">
        <v>854</v>
      </c>
      <c r="B84" s="117" t="s">
        <v>771</v>
      </c>
      <c r="C84" t="s">
        <v>1581</v>
      </c>
      <c r="D84" t="s">
        <v>2698</v>
      </c>
      <c r="E84" t="s">
        <v>2699</v>
      </c>
      <c r="F84" t="s">
        <v>1294</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115">
        <v>0.11600000000000001</v>
      </c>
    </row>
    <row r="85" spans="1:38" ht="15" customHeight="1">
      <c r="B85" s="117" t="s">
        <v>770</v>
      </c>
      <c r="C85" t="s">
        <v>2554</v>
      </c>
      <c r="D85" t="s">
        <v>2700</v>
      </c>
      <c r="E85" t="s">
        <v>2701</v>
      </c>
      <c r="F85" t="s">
        <v>1294</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115">
        <v>1E-3</v>
      </c>
    </row>
    <row r="86" spans="1:38" ht="15" customHeight="1">
      <c r="C86" t="s">
        <v>1221</v>
      </c>
      <c r="D86" t="s">
        <v>2702</v>
      </c>
      <c r="E86" t="s">
        <v>2703</v>
      </c>
      <c r="G86" t="s">
        <v>2704</v>
      </c>
    </row>
    <row r="87" spans="1:38" ht="15" customHeight="1">
      <c r="A87" s="134" t="s">
        <v>115</v>
      </c>
      <c r="B87" s="117" t="s">
        <v>769</v>
      </c>
      <c r="C87" t="s">
        <v>1266</v>
      </c>
      <c r="D87" t="s">
        <v>2705</v>
      </c>
      <c r="E87" t="s">
        <v>2706</v>
      </c>
      <c r="F87" t="s">
        <v>1294</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115">
        <v>3.0000000000000001E-3</v>
      </c>
    </row>
    <row r="88" spans="1:38" ht="15" customHeight="1">
      <c r="A88" s="134" t="s">
        <v>114</v>
      </c>
      <c r="B88" s="117" t="s">
        <v>768</v>
      </c>
      <c r="C88" t="s">
        <v>1352</v>
      </c>
      <c r="D88" t="s">
        <v>2707</v>
      </c>
      <c r="E88" t="s">
        <v>2708</v>
      </c>
      <c r="F88" t="s">
        <v>1294</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115">
        <v>0.01</v>
      </c>
    </row>
    <row r="89" spans="1:38" ht="15" customHeight="1">
      <c r="A89" s="134" t="s">
        <v>853</v>
      </c>
      <c r="B89" s="117" t="s">
        <v>767</v>
      </c>
      <c r="C89" t="s">
        <v>1273</v>
      </c>
      <c r="D89" t="s">
        <v>2709</v>
      </c>
      <c r="E89" t="s">
        <v>2710</v>
      </c>
      <c r="F89" t="s">
        <v>1294</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115">
        <v>4.4999999999999998E-2</v>
      </c>
    </row>
    <row r="90" spans="1:38" ht="15" customHeight="1">
      <c r="A90" s="134" t="s">
        <v>113</v>
      </c>
      <c r="B90" s="117" t="s">
        <v>766</v>
      </c>
      <c r="C90" t="s">
        <v>1282</v>
      </c>
      <c r="D90" t="s">
        <v>2711</v>
      </c>
      <c r="E90" t="s">
        <v>2712</v>
      </c>
      <c r="F90" t="s">
        <v>1294</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115">
        <v>2.1999999999999999E-2</v>
      </c>
    </row>
    <row r="91" spans="1:38" ht="15" customHeight="1">
      <c r="A91" s="134" t="s">
        <v>114</v>
      </c>
      <c r="B91" s="117" t="s">
        <v>765</v>
      </c>
      <c r="C91" t="s">
        <v>2548</v>
      </c>
      <c r="D91" t="s">
        <v>2713</v>
      </c>
      <c r="E91" t="s">
        <v>2714</v>
      </c>
      <c r="F91" t="s">
        <v>1294</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115">
        <v>5.0999999999999997E-2</v>
      </c>
    </row>
    <row r="92" spans="1:38" ht="15" customHeight="1">
      <c r="A92" s="134" t="s">
        <v>112</v>
      </c>
      <c r="B92" s="117" t="s">
        <v>764</v>
      </c>
      <c r="C92" t="s">
        <v>1577</v>
      </c>
      <c r="D92" t="s">
        <v>2715</v>
      </c>
      <c r="E92" t="s">
        <v>2716</v>
      </c>
      <c r="F92" t="s">
        <v>1294</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115">
        <v>0.124</v>
      </c>
    </row>
    <row r="93" spans="1:38" ht="15" customHeight="1">
      <c r="A93" s="134" t="s">
        <v>116</v>
      </c>
      <c r="B93" s="117" t="s">
        <v>763</v>
      </c>
      <c r="C93" t="s">
        <v>2549</v>
      </c>
      <c r="D93" t="s">
        <v>2717</v>
      </c>
      <c r="E93" t="s">
        <v>2718</v>
      </c>
      <c r="F93" t="s">
        <v>1294</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115">
        <v>0.11</v>
      </c>
    </row>
    <row r="94" spans="1:38" ht="15" customHeight="1">
      <c r="A94" s="134" t="s">
        <v>116</v>
      </c>
      <c r="B94" s="117" t="s">
        <v>762</v>
      </c>
      <c r="C94" t="s">
        <v>2550</v>
      </c>
      <c r="D94" t="s">
        <v>2719</v>
      </c>
      <c r="E94" t="s">
        <v>2720</v>
      </c>
      <c r="F94" t="s">
        <v>1294</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115">
        <v>0.114</v>
      </c>
    </row>
    <row r="95" spans="1:38" ht="15" customHeight="1">
      <c r="A95" s="134" t="s">
        <v>854</v>
      </c>
      <c r="B95" s="117" t="s">
        <v>761</v>
      </c>
      <c r="C95" t="s">
        <v>1581</v>
      </c>
      <c r="D95" t="s">
        <v>2721</v>
      </c>
      <c r="E95" t="s">
        <v>2722</v>
      </c>
      <c r="F95" t="s">
        <v>1294</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115">
        <v>0.13400000000000001</v>
      </c>
    </row>
    <row r="96" spans="1:38" ht="15" customHeight="1">
      <c r="B96" s="117" t="s">
        <v>760</v>
      </c>
      <c r="C96" t="s">
        <v>594</v>
      </c>
      <c r="D96" t="s">
        <v>2723</v>
      </c>
      <c r="E96" t="s">
        <v>2724</v>
      </c>
      <c r="F96" t="s">
        <v>1294</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115">
        <v>5.0000000000000001E-3</v>
      </c>
    </row>
    <row r="97" spans="1:38" ht="15" customHeight="1">
      <c r="C97" t="s">
        <v>2557</v>
      </c>
      <c r="E97" t="s">
        <v>2725</v>
      </c>
    </row>
    <row r="98" spans="1:38" ht="15" customHeight="1">
      <c r="C98" t="s">
        <v>1221</v>
      </c>
      <c r="E98" t="s">
        <v>2726</v>
      </c>
    </row>
    <row r="99" spans="1:38" ht="15" customHeight="1">
      <c r="A99" s="134" t="s">
        <v>115</v>
      </c>
      <c r="B99" s="117" t="s">
        <v>759</v>
      </c>
      <c r="C99" t="s">
        <v>1266</v>
      </c>
      <c r="D99" t="s">
        <v>2727</v>
      </c>
      <c r="E99" t="s">
        <v>2728</v>
      </c>
      <c r="F99" t="s">
        <v>2729</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115">
        <v>8.0000000000000002E-3</v>
      </c>
    </row>
    <row r="100" spans="1:38" ht="15" customHeight="1">
      <c r="A100" s="134" t="s">
        <v>114</v>
      </c>
      <c r="B100" s="117" t="s">
        <v>758</v>
      </c>
      <c r="C100" t="s">
        <v>1352</v>
      </c>
      <c r="D100" t="s">
        <v>2730</v>
      </c>
      <c r="E100" t="s">
        <v>2731</v>
      </c>
      <c r="F100" t="s">
        <v>1718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115">
        <v>1.0999999999999999E-2</v>
      </c>
    </row>
    <row r="101" spans="1:38" ht="15" customHeight="1">
      <c r="A101" s="134" t="s">
        <v>853</v>
      </c>
      <c r="B101" s="117" t="s">
        <v>757</v>
      </c>
      <c r="C101" t="s">
        <v>1273</v>
      </c>
      <c r="D101" t="s">
        <v>2732</v>
      </c>
      <c r="E101" t="s">
        <v>2733</v>
      </c>
      <c r="F101" t="s">
        <v>1718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115">
        <v>5.0000000000000001E-3</v>
      </c>
    </row>
    <row r="102" spans="1:38" ht="15" customHeight="1">
      <c r="A102" s="134" t="s">
        <v>113</v>
      </c>
      <c r="B102" s="117" t="s">
        <v>756</v>
      </c>
      <c r="C102" t="s">
        <v>1282</v>
      </c>
      <c r="D102" t="s">
        <v>2734</v>
      </c>
      <c r="E102" t="s">
        <v>2735</v>
      </c>
      <c r="F102" t="s">
        <v>1718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115">
        <v>7.0000000000000001E-3</v>
      </c>
    </row>
    <row r="103" spans="1:38" ht="15" customHeight="1">
      <c r="A103" s="134" t="s">
        <v>114</v>
      </c>
      <c r="B103" s="117" t="s">
        <v>755</v>
      </c>
      <c r="C103" t="s">
        <v>2548</v>
      </c>
      <c r="D103" t="s">
        <v>2736</v>
      </c>
      <c r="E103" t="s">
        <v>2737</v>
      </c>
      <c r="F103" t="s">
        <v>1718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115">
        <v>8.9999999999999993E-3</v>
      </c>
    </row>
    <row r="104" spans="1:38" ht="15" customHeight="1">
      <c r="A104" s="134" t="s">
        <v>112</v>
      </c>
      <c r="B104" s="117" t="s">
        <v>754</v>
      </c>
      <c r="C104" t="s">
        <v>1577</v>
      </c>
      <c r="D104" t="s">
        <v>2738</v>
      </c>
      <c r="E104" t="s">
        <v>2739</v>
      </c>
      <c r="F104" t="s">
        <v>2729</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115">
        <v>3.0000000000000001E-3</v>
      </c>
    </row>
    <row r="105" spans="1:38" ht="15" customHeight="1">
      <c r="A105" s="134" t="s">
        <v>116</v>
      </c>
      <c r="B105" s="117" t="s">
        <v>753</v>
      </c>
      <c r="C105" t="s">
        <v>2549</v>
      </c>
      <c r="D105" t="s">
        <v>2740</v>
      </c>
      <c r="E105" t="s">
        <v>2741</v>
      </c>
      <c r="F105" t="s">
        <v>2729</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115">
        <v>8.0000000000000002E-3</v>
      </c>
    </row>
    <row r="106" spans="1:38" ht="15" customHeight="1">
      <c r="A106" s="134" t="s">
        <v>116</v>
      </c>
      <c r="B106" s="117" t="s">
        <v>752</v>
      </c>
      <c r="C106" t="s">
        <v>2550</v>
      </c>
      <c r="D106" t="s">
        <v>2742</v>
      </c>
      <c r="E106" t="s">
        <v>2743</v>
      </c>
      <c r="F106" t="s">
        <v>1718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115">
        <v>4.0000000000000001E-3</v>
      </c>
    </row>
    <row r="107" spans="1:38" ht="15" customHeight="1">
      <c r="A107" s="134" t="s">
        <v>854</v>
      </c>
      <c r="B107" s="117" t="s">
        <v>751</v>
      </c>
      <c r="C107" t="s">
        <v>1581</v>
      </c>
      <c r="D107" t="s">
        <v>2744</v>
      </c>
      <c r="E107" t="s">
        <v>2745</v>
      </c>
      <c r="F107" t="s">
        <v>2729</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115">
        <v>-4.0000000000000001E-3</v>
      </c>
    </row>
    <row r="108" spans="1:38" ht="15" customHeight="1">
      <c r="B108" s="117" t="s">
        <v>750</v>
      </c>
      <c r="C108" t="s">
        <v>2558</v>
      </c>
      <c r="D108" t="s">
        <v>2746</v>
      </c>
      <c r="E108" t="s">
        <v>2747</v>
      </c>
      <c r="G108">
        <v>13.189800999999999</v>
      </c>
      <c r="H108">
        <v>13.375156</v>
      </c>
      <c r="I108">
        <v>13.572721</v>
      </c>
      <c r="J108">
        <v>13.777642</v>
      </c>
      <c r="K108">
        <v>13.995559</v>
      </c>
      <c r="L108">
        <v>14.225581999999999</v>
      </c>
      <c r="M108">
        <v>14.460044999999999</v>
      </c>
      <c r="N108">
        <v>14.692441000000001</v>
      </c>
      <c r="O108">
        <v>14.913171</v>
      </c>
      <c r="P108">
        <v>15.124737</v>
      </c>
      <c r="Q108">
        <v>15.319850000000001</v>
      </c>
      <c r="R108">
        <v>15.500711000000001</v>
      </c>
      <c r="S108">
        <v>15.664879000000001</v>
      </c>
      <c r="T108">
        <v>15.812077</v>
      </c>
      <c r="U108">
        <v>15.943821</v>
      </c>
      <c r="V108">
        <v>16.063237999999998</v>
      </c>
      <c r="W108">
        <v>16.169933</v>
      </c>
      <c r="X108">
        <v>16.265076000000001</v>
      </c>
      <c r="Y108">
        <v>16.351177</v>
      </c>
      <c r="Z108">
        <v>16.427665999999999</v>
      </c>
      <c r="AA108">
        <v>16.494938000000001</v>
      </c>
      <c r="AB108">
        <v>16.551075000000001</v>
      </c>
      <c r="AC108">
        <v>16.599229999999999</v>
      </c>
      <c r="AD108">
        <v>16.638247</v>
      </c>
      <c r="AE108">
        <v>16.66939</v>
      </c>
      <c r="AF108">
        <v>16.695119999999999</v>
      </c>
      <c r="AG108">
        <v>16.716131000000001</v>
      </c>
      <c r="AH108">
        <v>16.732790000000001</v>
      </c>
      <c r="AI108">
        <v>16.746760999999999</v>
      </c>
      <c r="AJ108">
        <v>16.759088999999999</v>
      </c>
      <c r="AK108">
        <v>16.770112999999998</v>
      </c>
      <c r="AL108" s="115">
        <v>8.0000000000000002E-3</v>
      </c>
    </row>
    <row r="109" spans="1:38" ht="15" customHeight="1">
      <c r="C109" t="s">
        <v>1223</v>
      </c>
      <c r="E109" t="s">
        <v>2748</v>
      </c>
    </row>
    <row r="110" spans="1:38" ht="15" customHeight="1">
      <c r="A110" s="134" t="s">
        <v>115</v>
      </c>
      <c r="B110" s="117" t="s">
        <v>749</v>
      </c>
      <c r="C110" t="s">
        <v>1266</v>
      </c>
      <c r="D110" t="s">
        <v>2749</v>
      </c>
      <c r="E110" t="s">
        <v>2750</v>
      </c>
      <c r="F110" t="s">
        <v>2729</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115">
        <v>1.2E-2</v>
      </c>
    </row>
    <row r="111" spans="1:38" ht="15" customHeight="1">
      <c r="A111" s="134" t="s">
        <v>114</v>
      </c>
      <c r="B111" s="117" t="s">
        <v>748</v>
      </c>
      <c r="C111" t="s">
        <v>1352</v>
      </c>
      <c r="D111" t="s">
        <v>2751</v>
      </c>
      <c r="E111" t="s">
        <v>2752</v>
      </c>
      <c r="F111" t="s">
        <v>1718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115">
        <v>0.01</v>
      </c>
    </row>
    <row r="112" spans="1:38" ht="15" customHeight="1">
      <c r="A112" s="134" t="s">
        <v>853</v>
      </c>
      <c r="B112" s="117" t="s">
        <v>747</v>
      </c>
      <c r="C112" t="s">
        <v>1273</v>
      </c>
      <c r="D112" t="s">
        <v>2753</v>
      </c>
      <c r="E112" t="s">
        <v>2754</v>
      </c>
      <c r="F112" t="s">
        <v>1718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115">
        <v>0.01</v>
      </c>
    </row>
    <row r="113" spans="1:38" ht="15" customHeight="1">
      <c r="A113" s="134" t="s">
        <v>113</v>
      </c>
      <c r="B113" s="117" t="s">
        <v>746</v>
      </c>
      <c r="C113" t="s">
        <v>1282</v>
      </c>
      <c r="D113" t="s">
        <v>2755</v>
      </c>
      <c r="E113" t="s">
        <v>2756</v>
      </c>
      <c r="F113" t="s">
        <v>1718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115">
        <v>1.0999999999999999E-2</v>
      </c>
    </row>
    <row r="114" spans="1:38" ht="15" customHeight="1">
      <c r="A114" s="134" t="s">
        <v>114</v>
      </c>
      <c r="B114" s="117" t="s">
        <v>745</v>
      </c>
      <c r="C114" t="s">
        <v>2548</v>
      </c>
      <c r="D114" t="s">
        <v>2757</v>
      </c>
      <c r="E114" t="s">
        <v>2758</v>
      </c>
      <c r="F114" t="s">
        <v>2759</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115">
        <v>8.9999999999999993E-3</v>
      </c>
    </row>
    <row r="115" spans="1:38" ht="15" customHeight="1">
      <c r="A115" s="134" t="s">
        <v>112</v>
      </c>
      <c r="B115" s="117" t="s">
        <v>744</v>
      </c>
      <c r="C115" t="s">
        <v>1577</v>
      </c>
      <c r="D115" t="s">
        <v>2760</v>
      </c>
      <c r="E115" t="s">
        <v>2761</v>
      </c>
      <c r="F115" t="s">
        <v>1718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115">
        <v>5.0000000000000001E-3</v>
      </c>
    </row>
    <row r="116" spans="1:38" ht="15" customHeight="1">
      <c r="A116" s="134" t="s">
        <v>116</v>
      </c>
      <c r="B116" s="117" t="s">
        <v>743</v>
      </c>
      <c r="C116" t="s">
        <v>2549</v>
      </c>
      <c r="D116" t="s">
        <v>2762</v>
      </c>
      <c r="E116" t="s">
        <v>2763</v>
      </c>
      <c r="F116" t="s">
        <v>1718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115">
        <v>8.0000000000000002E-3</v>
      </c>
    </row>
    <row r="117" spans="1:38" ht="15" customHeight="1">
      <c r="A117" s="134" t="s">
        <v>116</v>
      </c>
      <c r="B117" s="117" t="s">
        <v>742</v>
      </c>
      <c r="C117" t="s">
        <v>2550</v>
      </c>
      <c r="D117" t="s">
        <v>2764</v>
      </c>
      <c r="E117" t="s">
        <v>2765</v>
      </c>
      <c r="F117" t="s">
        <v>1718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115">
        <v>8.0000000000000002E-3</v>
      </c>
    </row>
    <row r="118" spans="1:38" ht="15" customHeight="1">
      <c r="A118" s="134" t="s">
        <v>854</v>
      </c>
      <c r="B118" s="117" t="s">
        <v>741</v>
      </c>
      <c r="C118" t="s">
        <v>1581</v>
      </c>
      <c r="D118" t="s">
        <v>2766</v>
      </c>
      <c r="E118" t="s">
        <v>2767</v>
      </c>
      <c r="F118" t="s">
        <v>1718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115">
        <v>0</v>
      </c>
    </row>
    <row r="119" spans="1:38" ht="15" customHeight="1">
      <c r="B119" s="117" t="s">
        <v>740</v>
      </c>
      <c r="C119" t="s">
        <v>2559</v>
      </c>
      <c r="D119" t="s">
        <v>2768</v>
      </c>
      <c r="E119" t="s">
        <v>2769</v>
      </c>
      <c r="G119">
        <v>8.0269100000000009</v>
      </c>
      <c r="H119">
        <v>8.1093650000000004</v>
      </c>
      <c r="I119">
        <v>8.2135390000000008</v>
      </c>
      <c r="J119">
        <v>8.3347049999999996</v>
      </c>
      <c r="K119">
        <v>8.4702009999999994</v>
      </c>
      <c r="L119">
        <v>8.6213639999999998</v>
      </c>
      <c r="M119">
        <v>8.7775839999999992</v>
      </c>
      <c r="N119">
        <v>8.9348960000000002</v>
      </c>
      <c r="O119">
        <v>9.0845920000000007</v>
      </c>
      <c r="P119">
        <v>9.2408459999999994</v>
      </c>
      <c r="Q119">
        <v>9.403511</v>
      </c>
      <c r="R119">
        <v>9.5731300000000008</v>
      </c>
      <c r="S119">
        <v>9.7428299999999997</v>
      </c>
      <c r="T119">
        <v>9.9062400000000004</v>
      </c>
      <c r="U119">
        <v>10.060589</v>
      </c>
      <c r="V119">
        <v>10.206059</v>
      </c>
      <c r="W119">
        <v>10.342311</v>
      </c>
      <c r="X119">
        <v>10.462132</v>
      </c>
      <c r="Y119">
        <v>10.572412</v>
      </c>
      <c r="Z119">
        <v>10.673792000000001</v>
      </c>
      <c r="AA119">
        <v>10.769824</v>
      </c>
      <c r="AB119">
        <v>10.858295</v>
      </c>
      <c r="AC119">
        <v>10.937979</v>
      </c>
      <c r="AD119">
        <v>11.006994000000001</v>
      </c>
      <c r="AE119">
        <v>11.066654</v>
      </c>
      <c r="AF119">
        <v>11.120628</v>
      </c>
      <c r="AG119">
        <v>11.170114999999999</v>
      </c>
      <c r="AH119">
        <v>11.214213000000001</v>
      </c>
      <c r="AI119">
        <v>11.253644</v>
      </c>
      <c r="AJ119">
        <v>11.290132</v>
      </c>
      <c r="AK119">
        <v>11.324723000000001</v>
      </c>
      <c r="AL119" s="115">
        <v>1.2E-2</v>
      </c>
    </row>
    <row r="120" spans="1:38" ht="15" customHeight="1">
      <c r="C120" t="s">
        <v>2553</v>
      </c>
      <c r="E120" t="s">
        <v>2770</v>
      </c>
    </row>
    <row r="121" spans="1:38" ht="15" customHeight="1">
      <c r="A121" s="134" t="s">
        <v>115</v>
      </c>
      <c r="B121" s="117" t="s">
        <v>739</v>
      </c>
      <c r="C121" t="s">
        <v>1266</v>
      </c>
      <c r="D121" t="s">
        <v>2771</v>
      </c>
      <c r="E121" t="s">
        <v>2772</v>
      </c>
      <c r="F121" t="s">
        <v>2729</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115">
        <v>8.0000000000000002E-3</v>
      </c>
    </row>
    <row r="122" spans="1:38" ht="15" customHeight="1">
      <c r="A122" s="134" t="s">
        <v>114</v>
      </c>
      <c r="B122" s="117" t="s">
        <v>738</v>
      </c>
      <c r="C122" t="s">
        <v>1352</v>
      </c>
      <c r="D122" t="s">
        <v>2773</v>
      </c>
      <c r="E122" t="s">
        <v>2774</v>
      </c>
      <c r="F122" t="s">
        <v>1718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115">
        <v>0.01</v>
      </c>
    </row>
    <row r="123" spans="1:38" ht="15" customHeight="1">
      <c r="A123" s="134" t="s">
        <v>853</v>
      </c>
      <c r="B123" s="117" t="s">
        <v>737</v>
      </c>
      <c r="C123" t="s">
        <v>1273</v>
      </c>
      <c r="D123" t="s">
        <v>2775</v>
      </c>
      <c r="E123" t="s">
        <v>2776</v>
      </c>
      <c r="F123" t="s">
        <v>1718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115">
        <v>7.0000000000000001E-3</v>
      </c>
    </row>
    <row r="124" spans="1:38" ht="15" customHeight="1">
      <c r="A124" s="134" t="s">
        <v>113</v>
      </c>
      <c r="B124" s="117" t="s">
        <v>736</v>
      </c>
      <c r="C124" t="s">
        <v>1282</v>
      </c>
      <c r="D124" t="s">
        <v>2777</v>
      </c>
      <c r="E124" t="s">
        <v>2778</v>
      </c>
      <c r="F124" t="s">
        <v>2729</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115">
        <v>8.0000000000000002E-3</v>
      </c>
    </row>
    <row r="125" spans="1:38" ht="15" customHeight="1">
      <c r="A125" s="134" t="s">
        <v>114</v>
      </c>
      <c r="B125" s="117" t="s">
        <v>735</v>
      </c>
      <c r="C125" t="s">
        <v>2548</v>
      </c>
      <c r="D125" t="s">
        <v>2779</v>
      </c>
      <c r="E125" t="s">
        <v>2780</v>
      </c>
      <c r="F125" t="s">
        <v>1718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146</v>
      </c>
    </row>
    <row r="126" spans="1:38" ht="15" customHeight="1">
      <c r="A126" s="134" t="s">
        <v>112</v>
      </c>
      <c r="B126" s="117" t="s">
        <v>734</v>
      </c>
      <c r="C126" t="s">
        <v>1577</v>
      </c>
      <c r="D126" t="s">
        <v>2781</v>
      </c>
      <c r="E126" t="s">
        <v>2782</v>
      </c>
      <c r="F126" t="s">
        <v>2729</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115">
        <v>1.2E-2</v>
      </c>
    </row>
    <row r="127" spans="1:38" ht="15" customHeight="1">
      <c r="A127" s="134" t="s">
        <v>116</v>
      </c>
      <c r="B127" s="117" t="s">
        <v>733</v>
      </c>
      <c r="C127" t="s">
        <v>2549</v>
      </c>
      <c r="D127" t="s">
        <v>2783</v>
      </c>
      <c r="E127" t="s">
        <v>2784</v>
      </c>
      <c r="F127" t="s">
        <v>2729</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115">
        <v>0.04</v>
      </c>
    </row>
    <row r="128" spans="1:38" ht="15" customHeight="1">
      <c r="A128" s="134" t="s">
        <v>116</v>
      </c>
      <c r="B128" s="117" t="s">
        <v>732</v>
      </c>
      <c r="C128" t="s">
        <v>2550</v>
      </c>
      <c r="D128" t="s">
        <v>2785</v>
      </c>
      <c r="E128" t="s">
        <v>2786</v>
      </c>
      <c r="F128" t="s">
        <v>1718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115">
        <v>0.04</v>
      </c>
    </row>
    <row r="129" spans="1:38" ht="15" customHeight="1">
      <c r="A129" s="134" t="s">
        <v>854</v>
      </c>
      <c r="B129" s="117" t="s">
        <v>731</v>
      </c>
      <c r="C129" t="s">
        <v>1581</v>
      </c>
      <c r="D129" t="s">
        <v>2787</v>
      </c>
      <c r="E129" t="s">
        <v>2788</v>
      </c>
      <c r="F129" t="s">
        <v>2729</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115">
        <v>2E-3</v>
      </c>
    </row>
    <row r="130" spans="1:38" ht="15" customHeight="1">
      <c r="B130" s="117" t="s">
        <v>730</v>
      </c>
      <c r="C130" t="s">
        <v>2560</v>
      </c>
      <c r="D130" t="s">
        <v>2789</v>
      </c>
      <c r="E130" t="s">
        <v>2790</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115">
        <v>8.0000000000000002E-3</v>
      </c>
    </row>
    <row r="131" spans="1:38" s="42" customFormat="1" ht="15" customHeight="1">
      <c r="A131" s="127"/>
      <c r="B131" s="41" t="s">
        <v>729</v>
      </c>
      <c r="C131" s="42" t="s">
        <v>2561</v>
      </c>
      <c r="D131" s="42" t="s">
        <v>2791</v>
      </c>
      <c r="E131" s="42" t="s">
        <v>2792</v>
      </c>
      <c r="G131" s="42">
        <v>7.238181</v>
      </c>
      <c r="H131" s="42">
        <v>7.3106159999999996</v>
      </c>
      <c r="I131" s="42">
        <v>7.3899489999999997</v>
      </c>
      <c r="J131" s="42">
        <v>7.4766839999999997</v>
      </c>
      <c r="K131" s="42">
        <v>7.5747030000000004</v>
      </c>
      <c r="L131" s="42">
        <v>7.6863210000000004</v>
      </c>
      <c r="M131" s="42">
        <v>7.8097329999999996</v>
      </c>
      <c r="N131" s="42">
        <v>7.9445509999999997</v>
      </c>
      <c r="O131" s="42">
        <v>8.0834510000000002</v>
      </c>
      <c r="P131" s="42">
        <v>8.2308420000000009</v>
      </c>
      <c r="Q131" s="42">
        <v>8.3825859999999999</v>
      </c>
      <c r="R131" s="42">
        <v>8.5364260000000005</v>
      </c>
      <c r="S131" s="42">
        <v>8.6869980000000009</v>
      </c>
      <c r="T131" s="42">
        <v>8.8273639999999993</v>
      </c>
      <c r="U131" s="42">
        <v>8.9563410000000001</v>
      </c>
      <c r="V131" s="42">
        <v>9.0734779999999997</v>
      </c>
      <c r="W131" s="42">
        <v>9.1788980000000002</v>
      </c>
      <c r="X131" s="42">
        <v>9.2730580000000007</v>
      </c>
      <c r="Y131" s="42">
        <v>9.3587249999999997</v>
      </c>
      <c r="Z131" s="42">
        <v>9.4375730000000004</v>
      </c>
      <c r="AA131" s="42">
        <v>9.5084780000000002</v>
      </c>
      <c r="AB131" s="42">
        <v>9.572991</v>
      </c>
      <c r="AC131" s="42">
        <v>9.6297540000000001</v>
      </c>
      <c r="AD131" s="42">
        <v>9.6799710000000001</v>
      </c>
      <c r="AE131" s="42">
        <v>9.7249739999999996</v>
      </c>
      <c r="AF131" s="42">
        <v>9.7670309999999994</v>
      </c>
      <c r="AG131" s="42">
        <v>9.8068960000000001</v>
      </c>
      <c r="AH131" s="42">
        <v>9.8463209999999997</v>
      </c>
      <c r="AI131" s="42">
        <v>9.8857789999999994</v>
      </c>
      <c r="AJ131" s="42">
        <v>9.9239490000000004</v>
      </c>
      <c r="AK131" s="42">
        <v>9.9616600000000002</v>
      </c>
      <c r="AL131" s="119">
        <v>1.0999999999999999E-2</v>
      </c>
    </row>
    <row r="132" spans="1:38" ht="15" customHeight="1">
      <c r="C132" t="s">
        <v>2562</v>
      </c>
      <c r="E132" t="s">
        <v>2793</v>
      </c>
    </row>
    <row r="133" spans="1:38" ht="15" customHeight="1">
      <c r="C133" t="s">
        <v>1221</v>
      </c>
      <c r="E133" t="s">
        <v>2794</v>
      </c>
    </row>
    <row r="134" spans="1:38" ht="15" customHeight="1">
      <c r="A134" s="134" t="s">
        <v>115</v>
      </c>
      <c r="B134" s="117" t="s">
        <v>728</v>
      </c>
      <c r="C134" t="s">
        <v>1266</v>
      </c>
      <c r="D134" t="s">
        <v>2795</v>
      </c>
      <c r="E134" t="s">
        <v>2796</v>
      </c>
      <c r="F134" t="s">
        <v>1864</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115">
        <v>2.1999999999999999E-2</v>
      </c>
    </row>
    <row r="135" spans="1:38" ht="15" customHeight="1">
      <c r="A135" s="134" t="s">
        <v>114</v>
      </c>
      <c r="B135" s="117" t="s">
        <v>727</v>
      </c>
      <c r="C135" t="s">
        <v>1352</v>
      </c>
      <c r="D135" t="s">
        <v>2797</v>
      </c>
      <c r="E135" t="s">
        <v>2798</v>
      </c>
      <c r="F135" t="s">
        <v>1864</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115">
        <v>2.1000000000000001E-2</v>
      </c>
    </row>
    <row r="136" spans="1:38" ht="15" customHeight="1">
      <c r="A136" s="134" t="s">
        <v>853</v>
      </c>
      <c r="B136" s="117" t="s">
        <v>726</v>
      </c>
      <c r="C136" t="s">
        <v>1273</v>
      </c>
      <c r="D136" t="s">
        <v>2799</v>
      </c>
      <c r="E136" t="s">
        <v>2800</v>
      </c>
      <c r="F136" t="s">
        <v>1864</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115">
        <v>0.11600000000000001</v>
      </c>
    </row>
    <row r="137" spans="1:38" ht="15" customHeight="1">
      <c r="A137" s="134" t="s">
        <v>113</v>
      </c>
      <c r="B137" s="117" t="s">
        <v>725</v>
      </c>
      <c r="C137" t="s">
        <v>1282</v>
      </c>
      <c r="D137" t="s">
        <v>2801</v>
      </c>
      <c r="E137" t="s">
        <v>2802</v>
      </c>
      <c r="F137" t="s">
        <v>1864</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115">
        <v>0.10100000000000001</v>
      </c>
    </row>
    <row r="138" spans="1:38" ht="15" customHeight="1">
      <c r="A138" s="134" t="s">
        <v>114</v>
      </c>
      <c r="B138" s="117" t="s">
        <v>724</v>
      </c>
      <c r="C138" t="s">
        <v>2548</v>
      </c>
      <c r="D138" t="s">
        <v>2803</v>
      </c>
      <c r="E138" t="s">
        <v>2804</v>
      </c>
      <c r="F138" t="s">
        <v>1864</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115">
        <v>6.6000000000000003E-2</v>
      </c>
    </row>
    <row r="139" spans="1:38" ht="15" customHeight="1">
      <c r="A139" s="134" t="s">
        <v>112</v>
      </c>
      <c r="B139" s="117" t="s">
        <v>723</v>
      </c>
      <c r="C139" t="s">
        <v>1577</v>
      </c>
      <c r="D139" t="s">
        <v>2805</v>
      </c>
      <c r="E139" t="s">
        <v>2806</v>
      </c>
      <c r="F139" t="s">
        <v>1864</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115">
        <v>0.14299999999999999</v>
      </c>
    </row>
    <row r="140" spans="1:38" ht="15" customHeight="1">
      <c r="A140" s="134" t="s">
        <v>116</v>
      </c>
      <c r="B140" s="117" t="s">
        <v>722</v>
      </c>
      <c r="C140" t="s">
        <v>2549</v>
      </c>
      <c r="D140" t="s">
        <v>2807</v>
      </c>
      <c r="E140" t="s">
        <v>2808</v>
      </c>
      <c r="F140" t="s">
        <v>1864</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115">
        <v>0.153</v>
      </c>
    </row>
    <row r="141" spans="1:38" ht="15" customHeight="1">
      <c r="A141" s="134" t="s">
        <v>116</v>
      </c>
      <c r="B141" s="117" t="s">
        <v>721</v>
      </c>
      <c r="C141" t="s">
        <v>2550</v>
      </c>
      <c r="D141" t="s">
        <v>2809</v>
      </c>
      <c r="E141" t="s">
        <v>2810</v>
      </c>
      <c r="F141" t="s">
        <v>1864</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115">
        <v>0.153</v>
      </c>
    </row>
    <row r="142" spans="1:38" ht="15" customHeight="1">
      <c r="A142" s="134" t="s">
        <v>854</v>
      </c>
      <c r="B142" s="117" t="s">
        <v>720</v>
      </c>
      <c r="C142" t="s">
        <v>1581</v>
      </c>
      <c r="D142" t="s">
        <v>2811</v>
      </c>
      <c r="E142" t="s">
        <v>2812</v>
      </c>
      <c r="F142" t="s">
        <v>1864</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115">
        <v>0.123</v>
      </c>
    </row>
    <row r="143" spans="1:38" ht="15" customHeight="1">
      <c r="B143" s="117" t="s">
        <v>719</v>
      </c>
      <c r="C143" t="s">
        <v>2551</v>
      </c>
      <c r="D143" t="s">
        <v>2813</v>
      </c>
      <c r="E143" t="s">
        <v>2814</v>
      </c>
      <c r="F143" t="s">
        <v>1864</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115">
        <v>2.7E-2</v>
      </c>
    </row>
    <row r="144" spans="1:38" ht="15" customHeight="1">
      <c r="C144" t="s">
        <v>1223</v>
      </c>
      <c r="E144" t="s">
        <v>2815</v>
      </c>
    </row>
    <row r="145" spans="1:38" ht="15" customHeight="1">
      <c r="A145" s="134" t="s">
        <v>115</v>
      </c>
      <c r="B145" s="117" t="s">
        <v>718</v>
      </c>
      <c r="C145" t="s">
        <v>1266</v>
      </c>
      <c r="D145" t="s">
        <v>2816</v>
      </c>
      <c r="E145" t="s">
        <v>2817</v>
      </c>
      <c r="F145" t="s">
        <v>1864</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115">
        <v>2.1000000000000001E-2</v>
      </c>
    </row>
    <row r="146" spans="1:38" ht="15" customHeight="1">
      <c r="A146" s="134" t="s">
        <v>114</v>
      </c>
      <c r="B146" s="117" t="s">
        <v>717</v>
      </c>
      <c r="C146" t="s">
        <v>1352</v>
      </c>
      <c r="D146" t="s">
        <v>2818</v>
      </c>
      <c r="E146" t="s">
        <v>2819</v>
      </c>
      <c r="F146" t="s">
        <v>1864</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115">
        <v>1.4E-2</v>
      </c>
    </row>
    <row r="147" spans="1:38" ht="15" customHeight="1">
      <c r="A147" s="134" t="s">
        <v>853</v>
      </c>
      <c r="B147" s="117" t="s">
        <v>716</v>
      </c>
      <c r="C147" t="s">
        <v>1273</v>
      </c>
      <c r="D147" t="s">
        <v>2820</v>
      </c>
      <c r="E147" t="s">
        <v>2821</v>
      </c>
      <c r="F147" t="s">
        <v>1864</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115">
        <v>4.2999999999999997E-2</v>
      </c>
    </row>
    <row r="148" spans="1:38" ht="15" customHeight="1">
      <c r="A148" s="134" t="s">
        <v>113</v>
      </c>
      <c r="B148" s="117" t="s">
        <v>715</v>
      </c>
      <c r="C148" t="s">
        <v>1282</v>
      </c>
      <c r="D148" t="s">
        <v>2822</v>
      </c>
      <c r="E148" t="s">
        <v>2823</v>
      </c>
      <c r="F148" t="s">
        <v>1864</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115">
        <v>6.4000000000000001E-2</v>
      </c>
    </row>
    <row r="149" spans="1:38" ht="15" customHeight="1">
      <c r="A149" s="134" t="s">
        <v>114</v>
      </c>
      <c r="B149" s="117" t="s">
        <v>714</v>
      </c>
      <c r="C149" t="s">
        <v>2548</v>
      </c>
      <c r="D149" t="s">
        <v>2824</v>
      </c>
      <c r="E149" t="s">
        <v>2825</v>
      </c>
      <c r="F149" t="s">
        <v>1864</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115">
        <v>7.3999999999999996E-2</v>
      </c>
    </row>
    <row r="150" spans="1:38" ht="15" customHeight="1">
      <c r="A150" s="134" t="s">
        <v>112</v>
      </c>
      <c r="B150" s="117" t="s">
        <v>713</v>
      </c>
      <c r="C150" t="s">
        <v>1577</v>
      </c>
      <c r="D150" t="s">
        <v>2826</v>
      </c>
      <c r="E150" t="s">
        <v>2827</v>
      </c>
      <c r="F150" t="s">
        <v>1864</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115">
        <v>0.13900000000000001</v>
      </c>
    </row>
    <row r="151" spans="1:38" ht="15" customHeight="1">
      <c r="A151" s="134" t="s">
        <v>116</v>
      </c>
      <c r="B151" s="117" t="s">
        <v>712</v>
      </c>
      <c r="C151" t="s">
        <v>2549</v>
      </c>
      <c r="D151" t="s">
        <v>2828</v>
      </c>
      <c r="E151" t="s">
        <v>2829</v>
      </c>
      <c r="F151" t="s">
        <v>1864</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115">
        <v>0.157</v>
      </c>
    </row>
    <row r="152" spans="1:38" ht="15" customHeight="1">
      <c r="A152" s="134" t="s">
        <v>116</v>
      </c>
      <c r="B152" s="117" t="s">
        <v>711</v>
      </c>
      <c r="C152" t="s">
        <v>2550</v>
      </c>
      <c r="D152" t="s">
        <v>2830</v>
      </c>
      <c r="E152" t="s">
        <v>2831</v>
      </c>
      <c r="F152" t="s">
        <v>1864</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115">
        <v>0.157</v>
      </c>
    </row>
    <row r="153" spans="1:38" ht="15" customHeight="1">
      <c r="A153" s="134" t="s">
        <v>854</v>
      </c>
      <c r="B153" s="117" t="s">
        <v>710</v>
      </c>
      <c r="C153" t="s">
        <v>1581</v>
      </c>
      <c r="D153" t="s">
        <v>2832</v>
      </c>
      <c r="E153" t="s">
        <v>2833</v>
      </c>
      <c r="F153" t="s">
        <v>1864</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115">
        <v>0.157</v>
      </c>
    </row>
    <row r="154" spans="1:38" ht="15" customHeight="1">
      <c r="B154" s="117" t="s">
        <v>709</v>
      </c>
      <c r="C154" t="s">
        <v>2552</v>
      </c>
      <c r="D154" t="s">
        <v>2834</v>
      </c>
      <c r="E154" t="s">
        <v>2835</v>
      </c>
      <c r="F154" t="s">
        <v>1864</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115">
        <v>0.02</v>
      </c>
    </row>
    <row r="155" spans="1:38" ht="15" customHeight="1">
      <c r="C155" t="s">
        <v>2553</v>
      </c>
      <c r="E155" t="s">
        <v>2836</v>
      </c>
    </row>
    <row r="156" spans="1:38" ht="15" customHeight="1">
      <c r="A156" s="134" t="s">
        <v>115</v>
      </c>
      <c r="B156" s="117" t="s">
        <v>708</v>
      </c>
      <c r="C156" t="s">
        <v>1266</v>
      </c>
      <c r="D156" t="s">
        <v>2837</v>
      </c>
      <c r="E156" t="s">
        <v>2838</v>
      </c>
      <c r="F156" t="s">
        <v>1864</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115">
        <v>8.0000000000000002E-3</v>
      </c>
    </row>
    <row r="157" spans="1:38" ht="15" customHeight="1">
      <c r="A157" s="134" t="s">
        <v>114</v>
      </c>
      <c r="B157" s="117" t="s">
        <v>707</v>
      </c>
      <c r="C157" t="s">
        <v>1352</v>
      </c>
      <c r="D157" t="s">
        <v>2839</v>
      </c>
      <c r="E157" t="s">
        <v>2840</v>
      </c>
      <c r="F157" t="s">
        <v>1864</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115">
        <v>-4.2000000000000003E-2</v>
      </c>
    </row>
    <row r="158" spans="1:38" ht="15" customHeight="1">
      <c r="A158" s="134" t="s">
        <v>853</v>
      </c>
      <c r="B158" s="117" t="s">
        <v>706</v>
      </c>
      <c r="C158" t="s">
        <v>1273</v>
      </c>
      <c r="D158" t="s">
        <v>2841</v>
      </c>
      <c r="E158" t="s">
        <v>2842</v>
      </c>
      <c r="F158" t="s">
        <v>1864</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115">
        <v>0.02</v>
      </c>
    </row>
    <row r="159" spans="1:38" ht="15" customHeight="1">
      <c r="A159" s="134" t="s">
        <v>113</v>
      </c>
      <c r="B159" s="117" t="s">
        <v>705</v>
      </c>
      <c r="C159" t="s">
        <v>1282</v>
      </c>
      <c r="D159" t="s">
        <v>2843</v>
      </c>
      <c r="E159" t="s">
        <v>2844</v>
      </c>
      <c r="F159" t="s">
        <v>1864</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115">
        <v>3.4000000000000002E-2</v>
      </c>
    </row>
    <row r="160" spans="1:38" ht="15" customHeight="1">
      <c r="A160" s="134" t="s">
        <v>114</v>
      </c>
      <c r="B160" s="117" t="s">
        <v>704</v>
      </c>
      <c r="C160" t="s">
        <v>2548</v>
      </c>
      <c r="D160" t="s">
        <v>2845</v>
      </c>
      <c r="E160" t="s">
        <v>2846</v>
      </c>
      <c r="F160" t="s">
        <v>1864</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146</v>
      </c>
    </row>
    <row r="161" spans="1:38" ht="15" customHeight="1">
      <c r="A161" s="134" t="s">
        <v>112</v>
      </c>
      <c r="B161" s="117" t="s">
        <v>703</v>
      </c>
      <c r="C161" t="s">
        <v>1577</v>
      </c>
      <c r="D161" t="s">
        <v>2847</v>
      </c>
      <c r="E161" t="s">
        <v>2848</v>
      </c>
      <c r="F161" t="s">
        <v>1864</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115">
        <v>0.13700000000000001</v>
      </c>
    </row>
    <row r="162" spans="1:38" ht="15" customHeight="1">
      <c r="A162" s="134" t="s">
        <v>116</v>
      </c>
      <c r="B162" s="117" t="s">
        <v>702</v>
      </c>
      <c r="C162" t="s">
        <v>2549</v>
      </c>
      <c r="D162" t="s">
        <v>2849</v>
      </c>
      <c r="E162" t="s">
        <v>2850</v>
      </c>
      <c r="F162" t="s">
        <v>1864</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115">
        <v>0.124</v>
      </c>
    </row>
    <row r="163" spans="1:38" ht="15" customHeight="1">
      <c r="A163" s="134" t="s">
        <v>116</v>
      </c>
      <c r="B163" s="117" t="s">
        <v>701</v>
      </c>
      <c r="C163" t="s">
        <v>2550</v>
      </c>
      <c r="D163" t="s">
        <v>2851</v>
      </c>
      <c r="E163" t="s">
        <v>2852</v>
      </c>
      <c r="F163" t="s">
        <v>1864</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115">
        <v>0.123</v>
      </c>
    </row>
    <row r="164" spans="1:38" ht="15" customHeight="1">
      <c r="A164" s="134" t="s">
        <v>854</v>
      </c>
      <c r="B164" s="117" t="s">
        <v>700</v>
      </c>
      <c r="C164" t="s">
        <v>1581</v>
      </c>
      <c r="D164" t="s">
        <v>2853</v>
      </c>
      <c r="E164" t="s">
        <v>2854</v>
      </c>
      <c r="F164" t="s">
        <v>1864</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115">
        <v>0.126</v>
      </c>
    </row>
    <row r="165" spans="1:38" ht="15" customHeight="1">
      <c r="B165" s="117" t="s">
        <v>699</v>
      </c>
      <c r="C165" t="s">
        <v>2554</v>
      </c>
      <c r="D165" t="s">
        <v>2855</v>
      </c>
      <c r="E165" t="s">
        <v>2856</v>
      </c>
      <c r="F165" t="s">
        <v>1864</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115">
        <v>8.9999999999999993E-3</v>
      </c>
    </row>
    <row r="166" spans="1:38" ht="15" customHeight="1">
      <c r="B166" s="117" t="s">
        <v>698</v>
      </c>
      <c r="C166" t="s">
        <v>2563</v>
      </c>
      <c r="D166" t="s">
        <v>2857</v>
      </c>
      <c r="E166" t="s">
        <v>2858</v>
      </c>
      <c r="F166" t="s">
        <v>1864</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115">
        <v>1.7999999999999999E-2</v>
      </c>
    </row>
    <row r="167" spans="1:38" ht="15" customHeight="1">
      <c r="C167" t="s">
        <v>697</v>
      </c>
      <c r="E167" t="s">
        <v>2859</v>
      </c>
    </row>
    <row r="168" spans="1:38" ht="15" customHeight="1">
      <c r="C168" t="s">
        <v>2557</v>
      </c>
      <c r="E168" t="s">
        <v>2860</v>
      </c>
    </row>
    <row r="169" spans="1:38" ht="15" customHeight="1">
      <c r="C169" t="s">
        <v>1221</v>
      </c>
      <c r="E169" t="s">
        <v>2861</v>
      </c>
    </row>
    <row r="170" spans="1:38" ht="15" customHeight="1">
      <c r="A170" s="134" t="s">
        <v>115</v>
      </c>
      <c r="B170" s="117" t="s">
        <v>696</v>
      </c>
      <c r="C170" t="s">
        <v>1266</v>
      </c>
      <c r="D170" t="s">
        <v>2862</v>
      </c>
      <c r="E170" t="s">
        <v>2863</v>
      </c>
      <c r="F170" t="s">
        <v>2729</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115">
        <v>4.0000000000000001E-3</v>
      </c>
    </row>
    <row r="171" spans="1:38" ht="15" customHeight="1">
      <c r="A171" s="134" t="s">
        <v>114</v>
      </c>
      <c r="B171" s="117" t="s">
        <v>695</v>
      </c>
      <c r="C171" t="s">
        <v>1352</v>
      </c>
      <c r="D171" t="s">
        <v>2864</v>
      </c>
      <c r="E171" t="s">
        <v>2865</v>
      </c>
      <c r="F171" t="s">
        <v>1718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115">
        <v>7.0000000000000001E-3</v>
      </c>
    </row>
    <row r="172" spans="1:38" ht="15" customHeight="1">
      <c r="A172" s="134" t="s">
        <v>853</v>
      </c>
      <c r="B172" s="117" t="s">
        <v>694</v>
      </c>
      <c r="C172" t="s">
        <v>1273</v>
      </c>
      <c r="D172" t="s">
        <v>2866</v>
      </c>
      <c r="E172" t="s">
        <v>2867</v>
      </c>
      <c r="F172" t="s">
        <v>1718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115">
        <v>4.0000000000000001E-3</v>
      </c>
    </row>
    <row r="173" spans="1:38" ht="15" customHeight="1">
      <c r="A173" s="134" t="s">
        <v>113</v>
      </c>
      <c r="B173" s="117" t="s">
        <v>693</v>
      </c>
      <c r="C173" t="s">
        <v>1282</v>
      </c>
      <c r="D173" t="s">
        <v>2868</v>
      </c>
      <c r="E173" t="s">
        <v>2869</v>
      </c>
      <c r="F173" t="s">
        <v>1718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115">
        <v>4.0000000000000001E-3</v>
      </c>
    </row>
    <row r="174" spans="1:38" ht="15" customHeight="1">
      <c r="A174" s="134" t="s">
        <v>114</v>
      </c>
      <c r="B174" s="117" t="s">
        <v>692</v>
      </c>
      <c r="C174" t="s">
        <v>2548</v>
      </c>
      <c r="D174" t="s">
        <v>2870</v>
      </c>
      <c r="E174" t="s">
        <v>2871</v>
      </c>
      <c r="F174" t="s">
        <v>1718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115">
        <v>7.0000000000000001E-3</v>
      </c>
    </row>
    <row r="175" spans="1:38" ht="15" customHeight="1">
      <c r="A175" s="134" t="s">
        <v>112</v>
      </c>
      <c r="B175" s="117" t="s">
        <v>691</v>
      </c>
      <c r="C175" t="s">
        <v>1577</v>
      </c>
      <c r="D175" t="s">
        <v>2872</v>
      </c>
      <c r="E175" t="s">
        <v>2873</v>
      </c>
      <c r="F175" t="s">
        <v>2729</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115">
        <v>3.0000000000000001E-3</v>
      </c>
    </row>
    <row r="176" spans="1:38" ht="15" customHeight="1">
      <c r="A176" s="134" t="s">
        <v>116</v>
      </c>
      <c r="B176" s="117" t="s">
        <v>690</v>
      </c>
      <c r="C176" t="s">
        <v>2549</v>
      </c>
      <c r="D176" t="s">
        <v>2874</v>
      </c>
      <c r="E176" t="s">
        <v>2875</v>
      </c>
      <c r="F176" t="s">
        <v>2729</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115">
        <v>8.0000000000000002E-3</v>
      </c>
    </row>
    <row r="177" spans="1:38" ht="15" customHeight="1">
      <c r="A177" s="134" t="s">
        <v>116</v>
      </c>
      <c r="B177" s="117" t="s">
        <v>689</v>
      </c>
      <c r="C177" t="s">
        <v>2550</v>
      </c>
      <c r="D177" t="s">
        <v>2876</v>
      </c>
      <c r="E177" t="s">
        <v>2877</v>
      </c>
      <c r="F177" t="s">
        <v>1718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115">
        <v>4.0000000000000001E-3</v>
      </c>
    </row>
    <row r="178" spans="1:38" ht="15" customHeight="1">
      <c r="A178" s="134" t="s">
        <v>854</v>
      </c>
      <c r="B178" s="117" t="s">
        <v>688</v>
      </c>
      <c r="C178" t="s">
        <v>1581</v>
      </c>
      <c r="D178" t="s">
        <v>2878</v>
      </c>
      <c r="E178" t="s">
        <v>2879</v>
      </c>
      <c r="F178" t="s">
        <v>2729</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115">
        <v>-4.0000000000000001E-3</v>
      </c>
    </row>
    <row r="179" spans="1:38" ht="15" customHeight="1">
      <c r="B179" s="117" t="s">
        <v>687</v>
      </c>
      <c r="C179" t="s">
        <v>2558</v>
      </c>
      <c r="D179" t="s">
        <v>2880</v>
      </c>
      <c r="E179" t="s">
        <v>2881</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115">
        <v>4.0000000000000001E-3</v>
      </c>
    </row>
    <row r="180" spans="1:38" ht="15" customHeight="1">
      <c r="C180" t="s">
        <v>1223</v>
      </c>
      <c r="E180" t="s">
        <v>2882</v>
      </c>
    </row>
    <row r="181" spans="1:38" ht="15" customHeight="1">
      <c r="A181" s="134" t="s">
        <v>115</v>
      </c>
      <c r="B181" s="117" t="s">
        <v>686</v>
      </c>
      <c r="C181" t="s">
        <v>1266</v>
      </c>
      <c r="D181" t="s">
        <v>2883</v>
      </c>
      <c r="E181" t="s">
        <v>2884</v>
      </c>
      <c r="F181" t="s">
        <v>2729</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115">
        <v>0.01</v>
      </c>
    </row>
    <row r="182" spans="1:38" ht="15" customHeight="1">
      <c r="A182" s="134" t="s">
        <v>114</v>
      </c>
      <c r="B182" s="117" t="s">
        <v>685</v>
      </c>
      <c r="C182" t="s">
        <v>1352</v>
      </c>
      <c r="D182" t="s">
        <v>2885</v>
      </c>
      <c r="E182" t="s">
        <v>2886</v>
      </c>
      <c r="F182" t="s">
        <v>1718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115">
        <v>8.9999999999999993E-3</v>
      </c>
    </row>
    <row r="183" spans="1:38" ht="15" customHeight="1">
      <c r="A183" s="134" t="s">
        <v>853</v>
      </c>
      <c r="B183" s="117" t="s">
        <v>684</v>
      </c>
      <c r="C183" t="s">
        <v>1273</v>
      </c>
      <c r="D183" t="s">
        <v>2887</v>
      </c>
      <c r="E183" t="s">
        <v>2888</v>
      </c>
      <c r="F183" t="s">
        <v>1718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115">
        <v>0.01</v>
      </c>
    </row>
    <row r="184" spans="1:38" ht="15" customHeight="1">
      <c r="A184" s="134" t="s">
        <v>113</v>
      </c>
      <c r="B184" s="117" t="s">
        <v>683</v>
      </c>
      <c r="C184" t="s">
        <v>1282</v>
      </c>
      <c r="D184" t="s">
        <v>2889</v>
      </c>
      <c r="E184" t="s">
        <v>2890</v>
      </c>
      <c r="F184" t="s">
        <v>1718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115">
        <v>0.01</v>
      </c>
    </row>
    <row r="185" spans="1:38" ht="15" customHeight="1">
      <c r="A185" s="134" t="s">
        <v>114</v>
      </c>
      <c r="B185" s="117" t="s">
        <v>682</v>
      </c>
      <c r="C185" t="s">
        <v>2548</v>
      </c>
      <c r="D185" t="s">
        <v>2891</v>
      </c>
      <c r="E185" t="s">
        <v>2892</v>
      </c>
      <c r="F185" t="s">
        <v>2759</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115">
        <v>8.9999999999999993E-3</v>
      </c>
    </row>
    <row r="186" spans="1:38" ht="15" customHeight="1">
      <c r="A186" s="134" t="s">
        <v>112</v>
      </c>
      <c r="B186" s="117" t="s">
        <v>681</v>
      </c>
      <c r="C186" t="s">
        <v>1577</v>
      </c>
      <c r="D186" t="s">
        <v>2893</v>
      </c>
      <c r="E186" t="s">
        <v>2894</v>
      </c>
      <c r="F186" t="s">
        <v>1718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115">
        <v>7.0000000000000001E-3</v>
      </c>
    </row>
    <row r="187" spans="1:38" ht="15" customHeight="1">
      <c r="A187" s="134" t="s">
        <v>116</v>
      </c>
      <c r="B187" s="117" t="s">
        <v>680</v>
      </c>
      <c r="C187" t="s">
        <v>2549</v>
      </c>
      <c r="D187" t="s">
        <v>2895</v>
      </c>
      <c r="E187" t="s">
        <v>2896</v>
      </c>
      <c r="F187" t="s">
        <v>1718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115">
        <v>8.9999999999999993E-3</v>
      </c>
    </row>
    <row r="188" spans="1:38" ht="15" customHeight="1">
      <c r="A188" s="134" t="s">
        <v>116</v>
      </c>
      <c r="B188" s="117" t="s">
        <v>679</v>
      </c>
      <c r="C188" t="s">
        <v>2550</v>
      </c>
      <c r="D188" t="s">
        <v>2897</v>
      </c>
      <c r="E188" t="s">
        <v>2898</v>
      </c>
      <c r="F188" t="s">
        <v>1718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115">
        <v>8.0000000000000002E-3</v>
      </c>
    </row>
    <row r="189" spans="1:38" ht="15" customHeight="1">
      <c r="A189" s="134" t="s">
        <v>854</v>
      </c>
      <c r="B189" s="117" t="s">
        <v>678</v>
      </c>
      <c r="C189" t="s">
        <v>1581</v>
      </c>
      <c r="D189" t="s">
        <v>2899</v>
      </c>
      <c r="E189" t="s">
        <v>2900</v>
      </c>
      <c r="F189" t="s">
        <v>1718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115">
        <v>0</v>
      </c>
    </row>
    <row r="190" spans="1:38" ht="15" customHeight="1">
      <c r="B190" s="117" t="s">
        <v>677</v>
      </c>
      <c r="C190" t="s">
        <v>2559</v>
      </c>
      <c r="D190" t="s">
        <v>2901</v>
      </c>
      <c r="E190" t="s">
        <v>2902</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115">
        <v>8.9999999999999993E-3</v>
      </c>
    </row>
    <row r="191" spans="1:38" ht="15" customHeight="1">
      <c r="C191" t="s">
        <v>2553</v>
      </c>
      <c r="E191" t="s">
        <v>2903</v>
      </c>
    </row>
    <row r="192" spans="1:38" ht="15" customHeight="1">
      <c r="A192" s="134" t="s">
        <v>115</v>
      </c>
      <c r="B192" s="117" t="s">
        <v>676</v>
      </c>
      <c r="C192" t="s">
        <v>1266</v>
      </c>
      <c r="D192" t="s">
        <v>2904</v>
      </c>
      <c r="E192" t="s">
        <v>2905</v>
      </c>
      <c r="F192" t="s">
        <v>2729</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115">
        <v>8.0000000000000002E-3</v>
      </c>
    </row>
    <row r="193" spans="1:38" ht="15" customHeight="1">
      <c r="A193" s="134" t="s">
        <v>114</v>
      </c>
      <c r="B193" s="117" t="s">
        <v>675</v>
      </c>
      <c r="C193" t="s">
        <v>1352</v>
      </c>
      <c r="D193" t="s">
        <v>2906</v>
      </c>
      <c r="E193" t="s">
        <v>2907</v>
      </c>
      <c r="F193" t="s">
        <v>1718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115">
        <v>7.0000000000000001E-3</v>
      </c>
    </row>
    <row r="194" spans="1:38" ht="15" customHeight="1">
      <c r="A194" s="134" t="s">
        <v>853</v>
      </c>
      <c r="B194" s="117" t="s">
        <v>674</v>
      </c>
      <c r="C194" t="s">
        <v>1273</v>
      </c>
      <c r="D194" t="s">
        <v>2908</v>
      </c>
      <c r="E194" t="s">
        <v>2909</v>
      </c>
      <c r="F194" t="s">
        <v>1718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115">
        <v>6.0000000000000001E-3</v>
      </c>
    </row>
    <row r="195" spans="1:38" ht="15" customHeight="1">
      <c r="A195" s="134" t="s">
        <v>113</v>
      </c>
      <c r="B195" s="117" t="s">
        <v>673</v>
      </c>
      <c r="C195" t="s">
        <v>1282</v>
      </c>
      <c r="D195" t="s">
        <v>2910</v>
      </c>
      <c r="E195" t="s">
        <v>2911</v>
      </c>
      <c r="F195" t="s">
        <v>2729</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115">
        <v>8.9999999999999993E-3</v>
      </c>
    </row>
    <row r="196" spans="1:38" ht="15" customHeight="1">
      <c r="A196" s="134" t="s">
        <v>114</v>
      </c>
      <c r="B196" s="117" t="s">
        <v>672</v>
      </c>
      <c r="C196" t="s">
        <v>2548</v>
      </c>
      <c r="D196" t="s">
        <v>2912</v>
      </c>
      <c r="E196" t="s">
        <v>2913</v>
      </c>
      <c r="F196" t="s">
        <v>1718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146</v>
      </c>
    </row>
    <row r="197" spans="1:38" ht="15" customHeight="1">
      <c r="A197" s="134" t="s">
        <v>112</v>
      </c>
      <c r="B197" s="117" t="s">
        <v>671</v>
      </c>
      <c r="C197" t="s">
        <v>1577</v>
      </c>
      <c r="D197" t="s">
        <v>2914</v>
      </c>
      <c r="E197" t="s">
        <v>2915</v>
      </c>
      <c r="F197" t="s">
        <v>2729</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115">
        <v>1.7000000000000001E-2</v>
      </c>
    </row>
    <row r="198" spans="1:38" ht="15" customHeight="1">
      <c r="A198" s="134" t="s">
        <v>116</v>
      </c>
      <c r="B198" s="117" t="s">
        <v>670</v>
      </c>
      <c r="C198" t="s">
        <v>2549</v>
      </c>
      <c r="D198" t="s">
        <v>2916</v>
      </c>
      <c r="E198" t="s">
        <v>2917</v>
      </c>
      <c r="F198" t="s">
        <v>2729</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115">
        <v>0.01</v>
      </c>
    </row>
    <row r="199" spans="1:38" ht="15" customHeight="1">
      <c r="A199" s="134" t="s">
        <v>116</v>
      </c>
      <c r="B199" s="117" t="s">
        <v>669</v>
      </c>
      <c r="C199" t="s">
        <v>2550</v>
      </c>
      <c r="D199" t="s">
        <v>2918</v>
      </c>
      <c r="E199" t="s">
        <v>2919</v>
      </c>
      <c r="F199" t="s">
        <v>1718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115">
        <v>7.0000000000000001E-3</v>
      </c>
    </row>
    <row r="200" spans="1:38" ht="15" customHeight="1">
      <c r="A200" s="134" t="s">
        <v>854</v>
      </c>
      <c r="B200" s="117" t="s">
        <v>668</v>
      </c>
      <c r="C200" t="s">
        <v>1581</v>
      </c>
      <c r="D200" t="s">
        <v>2920</v>
      </c>
      <c r="E200" t="s">
        <v>2921</v>
      </c>
      <c r="F200" t="s">
        <v>2729</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115">
        <v>3.0000000000000001E-3</v>
      </c>
    </row>
    <row r="201" spans="1:38" ht="15" customHeight="1">
      <c r="B201" s="117" t="s">
        <v>667</v>
      </c>
      <c r="C201" t="s">
        <v>2560</v>
      </c>
      <c r="D201" t="s">
        <v>2922</v>
      </c>
      <c r="E201" t="s">
        <v>2923</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115">
        <v>8.0000000000000002E-3</v>
      </c>
    </row>
    <row r="202" spans="1:38" s="42" customFormat="1" ht="15" customHeight="1">
      <c r="A202" s="127"/>
      <c r="B202" s="41" t="s">
        <v>666</v>
      </c>
      <c r="C202" s="42" t="s">
        <v>2561</v>
      </c>
      <c r="D202" s="42" t="s">
        <v>2924</v>
      </c>
      <c r="E202" s="42" t="s">
        <v>2925</v>
      </c>
      <c r="G202" s="42">
        <v>7.6005520000000004</v>
      </c>
      <c r="H202" s="42">
        <v>7.7448100000000002</v>
      </c>
      <c r="I202" s="42">
        <v>7.7984179999999999</v>
      </c>
      <c r="J202" s="42">
        <v>7.9240930000000001</v>
      </c>
      <c r="K202" s="42">
        <v>8.1204750000000008</v>
      </c>
      <c r="L202" s="42">
        <v>8.3556380000000008</v>
      </c>
      <c r="M202" s="42">
        <v>8.6110620000000004</v>
      </c>
      <c r="N202" s="42">
        <v>8.8968889999999998</v>
      </c>
      <c r="O202" s="42">
        <v>9.0684109999999993</v>
      </c>
      <c r="P202" s="42">
        <v>9.2839899999999993</v>
      </c>
      <c r="Q202" s="42">
        <v>9.4586810000000003</v>
      </c>
      <c r="R202" s="42">
        <v>9.6130429999999993</v>
      </c>
      <c r="S202" s="42">
        <v>9.6999359999999992</v>
      </c>
      <c r="T202" s="42">
        <v>9.7199050000000007</v>
      </c>
      <c r="U202" s="42">
        <v>9.7401199999999992</v>
      </c>
      <c r="V202" s="42">
        <v>9.7502650000000006</v>
      </c>
      <c r="W202" s="42">
        <v>9.7553870000000007</v>
      </c>
      <c r="X202" s="42">
        <v>9.7669490000000003</v>
      </c>
      <c r="Y202" s="42">
        <v>9.7875510000000006</v>
      </c>
      <c r="Z202" s="42">
        <v>9.7904140000000002</v>
      </c>
      <c r="AA202" s="42">
        <v>9.7858309999999999</v>
      </c>
      <c r="AB202" s="42">
        <v>9.7924319999999998</v>
      </c>
      <c r="AC202" s="42">
        <v>9.8092039999999994</v>
      </c>
      <c r="AD202" s="42">
        <v>9.8243899999999993</v>
      </c>
      <c r="AE202" s="42">
        <v>9.8458670000000001</v>
      </c>
      <c r="AF202" s="42">
        <v>9.8725470000000008</v>
      </c>
      <c r="AG202" s="42">
        <v>9.8889309999999995</v>
      </c>
      <c r="AH202" s="42">
        <v>9.9205079999999999</v>
      </c>
      <c r="AI202" s="42">
        <v>9.9537700000000005</v>
      </c>
      <c r="AJ202" s="42">
        <v>9.964264</v>
      </c>
      <c r="AK202" s="42">
        <v>9.9811899999999998</v>
      </c>
      <c r="AL202" s="119">
        <v>8.9999999999999993E-3</v>
      </c>
    </row>
    <row r="203" spans="1:38" ht="15" customHeight="1">
      <c r="C203" t="s">
        <v>2564</v>
      </c>
      <c r="E203" t="s">
        <v>2926</v>
      </c>
    </row>
    <row r="204" spans="1:38" ht="15" customHeight="1">
      <c r="C204" t="s">
        <v>1221</v>
      </c>
      <c r="E204" t="s">
        <v>2927</v>
      </c>
    </row>
    <row r="205" spans="1:38" ht="15" customHeight="1">
      <c r="A205" s="134" t="s">
        <v>115</v>
      </c>
      <c r="B205" s="117" t="s">
        <v>665</v>
      </c>
      <c r="C205" t="s">
        <v>1266</v>
      </c>
      <c r="D205" t="s">
        <v>2928</v>
      </c>
      <c r="E205" t="s">
        <v>2929</v>
      </c>
      <c r="F205" t="s">
        <v>1588</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115">
        <v>7.0000000000000001E-3</v>
      </c>
    </row>
    <row r="206" spans="1:38" ht="15" customHeight="1">
      <c r="A206" s="134" t="s">
        <v>114</v>
      </c>
      <c r="B206" s="117" t="s">
        <v>664</v>
      </c>
      <c r="C206" t="s">
        <v>1352</v>
      </c>
      <c r="D206" t="s">
        <v>2930</v>
      </c>
      <c r="E206" t="s">
        <v>2931</v>
      </c>
      <c r="F206" t="s">
        <v>1588</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115">
        <v>2.7E-2</v>
      </c>
    </row>
    <row r="207" spans="1:38" ht="15" customHeight="1">
      <c r="A207" s="134" t="s">
        <v>853</v>
      </c>
      <c r="B207" s="117" t="s">
        <v>663</v>
      </c>
      <c r="C207" t="s">
        <v>1273</v>
      </c>
      <c r="D207" t="s">
        <v>2932</v>
      </c>
      <c r="E207" t="s">
        <v>2933</v>
      </c>
      <c r="F207" t="s">
        <v>1588</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115">
        <v>4.9000000000000002E-2</v>
      </c>
    </row>
    <row r="208" spans="1:38" ht="15" customHeight="1">
      <c r="A208" s="134" t="s">
        <v>113</v>
      </c>
      <c r="B208" s="117" t="s">
        <v>662</v>
      </c>
      <c r="C208" t="s">
        <v>1282</v>
      </c>
      <c r="D208" t="s">
        <v>2934</v>
      </c>
      <c r="E208" t="s">
        <v>2935</v>
      </c>
      <c r="F208" t="s">
        <v>1588</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115">
        <v>2.4E-2</v>
      </c>
    </row>
    <row r="209" spans="1:38" ht="15" customHeight="1">
      <c r="A209" s="134" t="s">
        <v>114</v>
      </c>
      <c r="B209" s="117" t="s">
        <v>661</v>
      </c>
      <c r="C209" t="s">
        <v>2548</v>
      </c>
      <c r="D209" t="s">
        <v>2936</v>
      </c>
      <c r="E209" t="s">
        <v>2937</v>
      </c>
      <c r="F209" t="s">
        <v>1588</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115">
        <v>4.8000000000000001E-2</v>
      </c>
    </row>
    <row r="210" spans="1:38" ht="15" customHeight="1">
      <c r="A210" s="134" t="s">
        <v>112</v>
      </c>
      <c r="B210" s="117" t="s">
        <v>660</v>
      </c>
      <c r="C210" t="s">
        <v>1577</v>
      </c>
      <c r="D210" t="s">
        <v>2938</v>
      </c>
      <c r="E210" t="s">
        <v>2939</v>
      </c>
      <c r="F210" t="s">
        <v>1588</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115">
        <v>4.8000000000000001E-2</v>
      </c>
    </row>
    <row r="211" spans="1:38" ht="15" customHeight="1">
      <c r="A211" s="134" t="s">
        <v>116</v>
      </c>
      <c r="B211" s="117" t="s">
        <v>659</v>
      </c>
      <c r="C211" t="s">
        <v>2549</v>
      </c>
      <c r="D211" t="s">
        <v>2940</v>
      </c>
      <c r="E211" t="s">
        <v>2941</v>
      </c>
      <c r="F211" t="s">
        <v>1588</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115">
        <v>4.9000000000000002E-2</v>
      </c>
    </row>
    <row r="212" spans="1:38" ht="15" customHeight="1">
      <c r="A212" s="134" t="s">
        <v>116</v>
      </c>
      <c r="B212" s="117" t="s">
        <v>658</v>
      </c>
      <c r="C212" t="s">
        <v>2550</v>
      </c>
      <c r="D212" t="s">
        <v>2942</v>
      </c>
      <c r="E212" t="s">
        <v>2943</v>
      </c>
      <c r="F212" t="s">
        <v>1588</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115">
        <v>4.9000000000000002E-2</v>
      </c>
    </row>
    <row r="213" spans="1:38" ht="15" customHeight="1">
      <c r="A213" s="134" t="s">
        <v>854</v>
      </c>
      <c r="B213" s="117" t="s">
        <v>657</v>
      </c>
      <c r="C213" t="s">
        <v>1581</v>
      </c>
      <c r="D213" t="s">
        <v>2944</v>
      </c>
      <c r="E213" t="s">
        <v>2945</v>
      </c>
      <c r="F213" t="s">
        <v>1588</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115">
        <v>-4.0000000000000001E-3</v>
      </c>
    </row>
    <row r="214" spans="1:38" ht="15" customHeight="1">
      <c r="B214" s="117" t="s">
        <v>656</v>
      </c>
      <c r="C214" t="s">
        <v>2551</v>
      </c>
      <c r="D214" t="s">
        <v>2946</v>
      </c>
      <c r="E214" t="s">
        <v>2947</v>
      </c>
      <c r="F214" t="s">
        <v>1588</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115">
        <v>1.9E-2</v>
      </c>
    </row>
    <row r="215" spans="1:38" ht="15" customHeight="1">
      <c r="C215" t="s">
        <v>1223</v>
      </c>
      <c r="E215" t="s">
        <v>2948</v>
      </c>
    </row>
    <row r="216" spans="1:38" ht="15" customHeight="1">
      <c r="A216" s="134" t="s">
        <v>115</v>
      </c>
      <c r="B216" s="117" t="s">
        <v>655</v>
      </c>
      <c r="C216" t="s">
        <v>1266</v>
      </c>
      <c r="D216" t="s">
        <v>2949</v>
      </c>
      <c r="E216" t="s">
        <v>2950</v>
      </c>
      <c r="F216" t="s">
        <v>1588</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115">
        <v>2.9000000000000001E-2</v>
      </c>
    </row>
    <row r="217" spans="1:38" ht="15" customHeight="1">
      <c r="A217" s="134" t="s">
        <v>114</v>
      </c>
      <c r="B217" s="117" t="s">
        <v>654</v>
      </c>
      <c r="C217" t="s">
        <v>1352</v>
      </c>
      <c r="D217" t="s">
        <v>2951</v>
      </c>
      <c r="E217" t="s">
        <v>2952</v>
      </c>
      <c r="F217" t="s">
        <v>1588</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115">
        <v>2.5999999999999999E-2</v>
      </c>
    </row>
    <row r="218" spans="1:38" ht="15" customHeight="1">
      <c r="A218" s="134" t="s">
        <v>853</v>
      </c>
      <c r="B218" s="117" t="s">
        <v>653</v>
      </c>
      <c r="C218" t="s">
        <v>1273</v>
      </c>
      <c r="D218" t="s">
        <v>2953</v>
      </c>
      <c r="E218" t="s">
        <v>2954</v>
      </c>
      <c r="F218" t="s">
        <v>1588</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115">
        <v>0.06</v>
      </c>
    </row>
    <row r="219" spans="1:38" ht="15" customHeight="1">
      <c r="A219" s="134" t="s">
        <v>113</v>
      </c>
      <c r="B219" s="117" t="s">
        <v>652</v>
      </c>
      <c r="C219" t="s">
        <v>1282</v>
      </c>
      <c r="D219" t="s">
        <v>2955</v>
      </c>
      <c r="E219" t="s">
        <v>2956</v>
      </c>
      <c r="F219" t="s">
        <v>1588</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115">
        <v>3.2000000000000001E-2</v>
      </c>
    </row>
    <row r="220" spans="1:38" ht="15" customHeight="1">
      <c r="A220" s="134" t="s">
        <v>114</v>
      </c>
      <c r="B220" s="117" t="s">
        <v>651</v>
      </c>
      <c r="C220" t="s">
        <v>2548</v>
      </c>
      <c r="D220" t="s">
        <v>2957</v>
      </c>
      <c r="E220" t="s">
        <v>2958</v>
      </c>
      <c r="F220" t="s">
        <v>1588</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115">
        <v>5.3999999999999999E-2</v>
      </c>
    </row>
    <row r="221" spans="1:38" ht="15" customHeight="1">
      <c r="A221" s="134" t="s">
        <v>112</v>
      </c>
      <c r="B221" s="117" t="s">
        <v>650</v>
      </c>
      <c r="C221" t="s">
        <v>1577</v>
      </c>
      <c r="D221" t="s">
        <v>2959</v>
      </c>
      <c r="E221" t="s">
        <v>2960</v>
      </c>
      <c r="F221" t="s">
        <v>1588</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115">
        <v>0.06</v>
      </c>
    </row>
    <row r="222" spans="1:38" ht="15" customHeight="1">
      <c r="A222" s="134" t="s">
        <v>116</v>
      </c>
      <c r="B222" s="117" t="s">
        <v>649</v>
      </c>
      <c r="C222" t="s">
        <v>2549</v>
      </c>
      <c r="D222" t="s">
        <v>2961</v>
      </c>
      <c r="E222" t="s">
        <v>2962</v>
      </c>
      <c r="F222" t="s">
        <v>1588</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115">
        <v>0.06</v>
      </c>
    </row>
    <row r="223" spans="1:38" ht="15" customHeight="1">
      <c r="A223" s="134" t="s">
        <v>116</v>
      </c>
      <c r="B223" s="117" t="s">
        <v>648</v>
      </c>
      <c r="C223" t="s">
        <v>2550</v>
      </c>
      <c r="D223" t="s">
        <v>2963</v>
      </c>
      <c r="E223" t="s">
        <v>2964</v>
      </c>
      <c r="F223" t="s">
        <v>1588</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115">
        <v>0.06</v>
      </c>
    </row>
    <row r="224" spans="1:38" ht="15" customHeight="1">
      <c r="A224" s="134" t="s">
        <v>854</v>
      </c>
      <c r="B224" s="117" t="s">
        <v>647</v>
      </c>
      <c r="C224" t="s">
        <v>1581</v>
      </c>
      <c r="D224" t="s">
        <v>2965</v>
      </c>
      <c r="E224" t="s">
        <v>2966</v>
      </c>
      <c r="F224" t="s">
        <v>1588</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115">
        <v>0.06</v>
      </c>
    </row>
    <row r="225" spans="1:38" ht="15" customHeight="1">
      <c r="B225" s="117" t="s">
        <v>646</v>
      </c>
      <c r="C225" t="s">
        <v>2552</v>
      </c>
      <c r="D225" t="s">
        <v>2967</v>
      </c>
      <c r="E225" t="s">
        <v>2968</v>
      </c>
      <c r="F225" t="s">
        <v>1588</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115">
        <v>2.9000000000000001E-2</v>
      </c>
    </row>
    <row r="226" spans="1:38" ht="15" customHeight="1">
      <c r="C226" t="s">
        <v>2553</v>
      </c>
      <c r="E226" t="s">
        <v>2969</v>
      </c>
    </row>
    <row r="227" spans="1:38" ht="15" customHeight="1">
      <c r="A227" s="134" t="s">
        <v>115</v>
      </c>
      <c r="B227" s="117" t="s">
        <v>645</v>
      </c>
      <c r="C227" t="s">
        <v>1266</v>
      </c>
      <c r="D227" t="s">
        <v>2970</v>
      </c>
      <c r="E227" t="s">
        <v>2971</v>
      </c>
      <c r="F227" t="s">
        <v>1588</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115">
        <v>6.0000000000000001E-3</v>
      </c>
    </row>
    <row r="228" spans="1:38" ht="15" customHeight="1">
      <c r="A228" s="134" t="s">
        <v>114</v>
      </c>
      <c r="B228" s="117" t="s">
        <v>644</v>
      </c>
      <c r="C228" t="s">
        <v>1352</v>
      </c>
      <c r="D228" t="s">
        <v>2972</v>
      </c>
      <c r="E228" t="s">
        <v>2973</v>
      </c>
      <c r="F228" t="s">
        <v>1588</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115">
        <v>6.0000000000000001E-3</v>
      </c>
    </row>
    <row r="229" spans="1:38" ht="15" customHeight="1">
      <c r="A229" s="134" t="s">
        <v>853</v>
      </c>
      <c r="B229" s="117" t="s">
        <v>643</v>
      </c>
      <c r="C229" t="s">
        <v>1273</v>
      </c>
      <c r="D229" t="s">
        <v>2974</v>
      </c>
      <c r="E229" t="s">
        <v>2975</v>
      </c>
      <c r="F229" t="s">
        <v>1588</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115">
        <v>5.0000000000000001E-3</v>
      </c>
    </row>
    <row r="230" spans="1:38" ht="15" customHeight="1">
      <c r="A230" s="134" t="s">
        <v>113</v>
      </c>
      <c r="B230" s="117" t="s">
        <v>642</v>
      </c>
      <c r="C230" t="s">
        <v>1282</v>
      </c>
      <c r="D230" t="s">
        <v>2976</v>
      </c>
      <c r="E230" t="s">
        <v>2977</v>
      </c>
      <c r="F230" t="s">
        <v>1588</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115">
        <v>3.1E-2</v>
      </c>
    </row>
    <row r="231" spans="1:38" ht="15" customHeight="1">
      <c r="A231" s="134" t="s">
        <v>114</v>
      </c>
      <c r="B231" s="117" t="s">
        <v>641</v>
      </c>
      <c r="C231" t="s">
        <v>2548</v>
      </c>
      <c r="D231" t="s">
        <v>2978</v>
      </c>
      <c r="E231" t="s">
        <v>2979</v>
      </c>
      <c r="F231" t="s">
        <v>1588</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146</v>
      </c>
    </row>
    <row r="232" spans="1:38" ht="15" customHeight="1">
      <c r="A232" s="134" t="s">
        <v>112</v>
      </c>
      <c r="B232" s="117" t="s">
        <v>640</v>
      </c>
      <c r="C232" t="s">
        <v>1577</v>
      </c>
      <c r="D232" t="s">
        <v>2980</v>
      </c>
      <c r="E232" t="s">
        <v>2981</v>
      </c>
      <c r="F232" t="s">
        <v>1588</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115">
        <v>3.5999999999999997E-2</v>
      </c>
    </row>
    <row r="233" spans="1:38" ht="15" customHeight="1">
      <c r="A233" s="134" t="s">
        <v>116</v>
      </c>
      <c r="B233" s="117" t="s">
        <v>639</v>
      </c>
      <c r="C233" t="s">
        <v>2549</v>
      </c>
      <c r="D233" t="s">
        <v>2982</v>
      </c>
      <c r="E233" t="s">
        <v>2983</v>
      </c>
      <c r="F233" t="s">
        <v>1588</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115">
        <v>3.6999999999999998E-2</v>
      </c>
    </row>
    <row r="234" spans="1:38" ht="15" customHeight="1">
      <c r="A234" s="134" t="s">
        <v>116</v>
      </c>
      <c r="B234" s="117" t="s">
        <v>638</v>
      </c>
      <c r="C234" t="s">
        <v>2550</v>
      </c>
      <c r="D234" t="s">
        <v>2984</v>
      </c>
      <c r="E234" t="s">
        <v>2985</v>
      </c>
      <c r="F234" t="s">
        <v>1588</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115">
        <v>3.6999999999999998E-2</v>
      </c>
    </row>
    <row r="235" spans="1:38" ht="15" customHeight="1">
      <c r="A235" s="134" t="s">
        <v>854</v>
      </c>
      <c r="B235" s="117" t="s">
        <v>637</v>
      </c>
      <c r="C235" t="s">
        <v>1581</v>
      </c>
      <c r="D235" t="s">
        <v>2986</v>
      </c>
      <c r="E235" t="s">
        <v>2987</v>
      </c>
      <c r="F235" t="s">
        <v>1588</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115">
        <v>3.6999999999999998E-2</v>
      </c>
    </row>
    <row r="236" spans="1:38" ht="15" customHeight="1">
      <c r="B236" s="117" t="s">
        <v>636</v>
      </c>
      <c r="C236" t="s">
        <v>2554</v>
      </c>
      <c r="D236" t="s">
        <v>2988</v>
      </c>
      <c r="E236" t="s">
        <v>2989</v>
      </c>
      <c r="F236" t="s">
        <v>1588</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115">
        <v>6.0000000000000001E-3</v>
      </c>
    </row>
    <row r="237" spans="1:38" ht="15" customHeight="1">
      <c r="B237" s="117" t="s">
        <v>635</v>
      </c>
      <c r="C237" t="s">
        <v>1573</v>
      </c>
      <c r="D237" t="s">
        <v>2990</v>
      </c>
      <c r="E237" t="s">
        <v>2991</v>
      </c>
      <c r="F237" t="s">
        <v>1588</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115">
        <v>1.7999999999999999E-2</v>
      </c>
    </row>
    <row r="238" spans="1:38" ht="15" customHeight="1">
      <c r="C238" t="s">
        <v>634</v>
      </c>
      <c r="E238" t="s">
        <v>2992</v>
      </c>
    </row>
    <row r="239" spans="1:38" ht="15" customHeight="1">
      <c r="B239" s="117" t="s">
        <v>633</v>
      </c>
      <c r="C239" t="s">
        <v>2565</v>
      </c>
      <c r="D239" t="s">
        <v>2993</v>
      </c>
      <c r="E239" t="s">
        <v>2994</v>
      </c>
      <c r="F239" t="s">
        <v>2995</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115">
        <v>8.0000000000000002E-3</v>
      </c>
    </row>
    <row r="240" spans="1:38" ht="15" customHeight="1">
      <c r="B240" s="117" t="s">
        <v>632</v>
      </c>
      <c r="C240" t="s">
        <v>2566</v>
      </c>
      <c r="D240" t="s">
        <v>2996</v>
      </c>
      <c r="E240" t="s">
        <v>2997</v>
      </c>
      <c r="F240" t="s">
        <v>2998</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115">
        <v>6.0000000000000001E-3</v>
      </c>
    </row>
    <row r="241" spans="2:38" ht="15" customHeight="1">
      <c r="C241" t="s">
        <v>133</v>
      </c>
      <c r="E241" t="s">
        <v>2999</v>
      </c>
    </row>
    <row r="242" spans="2:38" ht="15" customHeight="1">
      <c r="B242" s="117" t="s">
        <v>631</v>
      </c>
      <c r="C242" t="s">
        <v>1351</v>
      </c>
      <c r="D242" t="s">
        <v>3000</v>
      </c>
      <c r="E242" t="s">
        <v>3001</v>
      </c>
      <c r="F242" t="s">
        <v>1294</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115">
        <v>-1.7000000000000001E-2</v>
      </c>
    </row>
    <row r="243" spans="2:38" ht="15" customHeight="1">
      <c r="B243" s="117" t="s">
        <v>630</v>
      </c>
      <c r="C243" t="s">
        <v>1257</v>
      </c>
      <c r="D243" t="s">
        <v>3002</v>
      </c>
      <c r="E243" t="s">
        <v>3003</v>
      </c>
      <c r="F243" t="s">
        <v>1294</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146</v>
      </c>
    </row>
    <row r="244" spans="2:38" ht="15" customHeight="1">
      <c r="B244" s="117" t="s">
        <v>629</v>
      </c>
      <c r="C244" t="s">
        <v>1354</v>
      </c>
      <c r="D244" t="s">
        <v>3004</v>
      </c>
      <c r="E244" t="s">
        <v>3005</v>
      </c>
      <c r="F244" t="s">
        <v>1294</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146</v>
      </c>
    </row>
    <row r="245" spans="2:38" ht="15" customHeight="1">
      <c r="B245" s="117" t="s">
        <v>628</v>
      </c>
      <c r="C245" t="s">
        <v>1355</v>
      </c>
      <c r="D245" t="s">
        <v>3006</v>
      </c>
      <c r="E245" t="s">
        <v>3007</v>
      </c>
      <c r="F245" t="s">
        <v>1294</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115">
        <v>0.223</v>
      </c>
    </row>
    <row r="246" spans="2:38" ht="15" customHeight="1">
      <c r="C246" t="s">
        <v>627</v>
      </c>
      <c r="E246" t="s">
        <v>3008</v>
      </c>
    </row>
    <row r="247" spans="2:38" ht="15" customHeight="1">
      <c r="B247" s="117" t="s">
        <v>626</v>
      </c>
      <c r="C247" t="s">
        <v>2567</v>
      </c>
      <c r="D247" t="s">
        <v>3009</v>
      </c>
      <c r="E247" t="s">
        <v>3010</v>
      </c>
      <c r="F247" t="s">
        <v>2995</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115">
        <v>-8.0000000000000002E-3</v>
      </c>
    </row>
    <row r="248" spans="2:38" ht="15" customHeight="1">
      <c r="B248" s="117" t="s">
        <v>625</v>
      </c>
      <c r="C248" t="s">
        <v>2566</v>
      </c>
      <c r="D248" t="s">
        <v>3011</v>
      </c>
      <c r="E248" t="s">
        <v>3012</v>
      </c>
      <c r="F248" t="s">
        <v>2998</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115">
        <v>6.0000000000000001E-3</v>
      </c>
    </row>
    <row r="249" spans="2:38" ht="15" customHeight="1">
      <c r="C249" t="s">
        <v>133</v>
      </c>
      <c r="E249" t="s">
        <v>3013</v>
      </c>
    </row>
    <row r="250" spans="2:38" ht="15" customHeight="1">
      <c r="B250" s="117" t="s">
        <v>624</v>
      </c>
      <c r="C250" t="s">
        <v>1351</v>
      </c>
      <c r="D250" t="s">
        <v>3014</v>
      </c>
      <c r="E250" t="s">
        <v>3015</v>
      </c>
      <c r="F250" t="s">
        <v>1294</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115">
        <v>-1.4E-2</v>
      </c>
    </row>
    <row r="251" spans="2:38" ht="15" customHeight="1">
      <c r="B251" s="117" t="s">
        <v>623</v>
      </c>
      <c r="C251" t="s">
        <v>1257</v>
      </c>
      <c r="D251" t="s">
        <v>3016</v>
      </c>
      <c r="E251" t="s">
        <v>3017</v>
      </c>
      <c r="F251" t="s">
        <v>1294</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115">
        <v>-6.0999999999999999E-2</v>
      </c>
    </row>
    <row r="252" spans="2:38" ht="15" customHeight="1">
      <c r="B252" s="117" t="s">
        <v>622</v>
      </c>
      <c r="C252" t="s">
        <v>1354</v>
      </c>
      <c r="D252" t="s">
        <v>3018</v>
      </c>
      <c r="E252" t="s">
        <v>3019</v>
      </c>
      <c r="F252" t="s">
        <v>1294</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146</v>
      </c>
    </row>
    <row r="253" spans="2:38" ht="15" customHeight="1">
      <c r="B253" s="117" t="s">
        <v>621</v>
      </c>
      <c r="C253" t="s">
        <v>1355</v>
      </c>
      <c r="D253" t="s">
        <v>3020</v>
      </c>
      <c r="E253" t="s">
        <v>3021</v>
      </c>
      <c r="F253" t="s">
        <v>1294</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115">
        <v>4.8000000000000001E-2</v>
      </c>
    </row>
    <row r="254" spans="2:38" ht="15" customHeight="1">
      <c r="C254" t="s">
        <v>620</v>
      </c>
      <c r="E254" t="s">
        <v>3022</v>
      </c>
    </row>
    <row r="255" spans="2:38" ht="15" customHeight="1">
      <c r="B255" s="117" t="s">
        <v>619</v>
      </c>
      <c r="C255" t="s">
        <v>2568</v>
      </c>
      <c r="D255" t="s">
        <v>3023</v>
      </c>
      <c r="E255" t="s">
        <v>3024</v>
      </c>
      <c r="F255" t="s">
        <v>3025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115">
        <v>0.04</v>
      </c>
    </row>
    <row r="256" spans="2:38" ht="15" customHeight="1">
      <c r="B256" s="117" t="s">
        <v>618</v>
      </c>
      <c r="C256" t="s">
        <v>2569</v>
      </c>
      <c r="D256" t="s">
        <v>3026</v>
      </c>
      <c r="E256" t="s">
        <v>3027</v>
      </c>
      <c r="F256" t="s">
        <v>3025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115">
        <v>4.2000000000000003E-2</v>
      </c>
    </row>
    <row r="257" spans="2:38" ht="15" customHeight="1">
      <c r="B257" s="117" t="s">
        <v>617</v>
      </c>
      <c r="C257" t="s">
        <v>2570</v>
      </c>
      <c r="D257" t="s">
        <v>3028</v>
      </c>
      <c r="E257" t="s">
        <v>3029</v>
      </c>
      <c r="F257" t="s">
        <v>3025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115">
        <v>3.7999999999999999E-2</v>
      </c>
    </row>
    <row r="258" spans="2:38" ht="15" customHeight="1">
      <c r="C258" t="s">
        <v>133</v>
      </c>
      <c r="E258" t="s">
        <v>3030</v>
      </c>
    </row>
    <row r="259" spans="2:38" ht="15" customHeight="1">
      <c r="B259" s="117" t="s">
        <v>616</v>
      </c>
      <c r="C259" t="s">
        <v>1351</v>
      </c>
      <c r="D259" t="s">
        <v>3031</v>
      </c>
      <c r="E259" t="s">
        <v>3032</v>
      </c>
      <c r="F259" t="s">
        <v>1294</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115">
        <v>-0.01</v>
      </c>
    </row>
    <row r="260" spans="2:38" ht="15" customHeight="1">
      <c r="B260" s="117" t="s">
        <v>615</v>
      </c>
      <c r="C260" t="s">
        <v>1257</v>
      </c>
      <c r="D260" t="s">
        <v>3033</v>
      </c>
      <c r="E260" t="s">
        <v>3034</v>
      </c>
      <c r="F260" t="s">
        <v>1294</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115">
        <v>5.0000000000000001E-3</v>
      </c>
    </row>
    <row r="261" spans="2:38" ht="15" customHeight="1">
      <c r="B261" s="117" t="s">
        <v>614</v>
      </c>
      <c r="C261" t="s">
        <v>1354</v>
      </c>
      <c r="D261" t="s">
        <v>3035</v>
      </c>
      <c r="E261" t="s">
        <v>3036</v>
      </c>
      <c r="F261" t="s">
        <v>1294</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146</v>
      </c>
    </row>
    <row r="262" spans="2:38" ht="15" customHeight="1">
      <c r="B262" s="117" t="s">
        <v>613</v>
      </c>
      <c r="C262" t="s">
        <v>1355</v>
      </c>
      <c r="D262" t="s">
        <v>3037</v>
      </c>
      <c r="E262" t="s">
        <v>3038</v>
      </c>
      <c r="F262" t="s">
        <v>1294</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115">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L262"/>
  <sheetViews>
    <sheetView topLeftCell="A107" workbookViewId="0">
      <selection sqref="A1:XFD1048576"/>
    </sheetView>
  </sheetViews>
  <sheetFormatPr defaultColWidth="9.08984375" defaultRowHeight="14.5"/>
  <cols>
    <col min="1" max="16384" width="9.08984375" style="126"/>
  </cols>
  <sheetData>
    <row r="1" spans="2:38" ht="15" customHeight="1">
      <c r="F1" s="126">
        <v>2019</v>
      </c>
      <c r="G1" s="126">
        <v>2020</v>
      </c>
      <c r="H1" s="126">
        <v>2021</v>
      </c>
      <c r="I1" s="126">
        <v>2022</v>
      </c>
      <c r="J1" s="126">
        <v>2023</v>
      </c>
      <c r="K1" s="126">
        <v>2024</v>
      </c>
      <c r="L1" s="126">
        <v>2025</v>
      </c>
      <c r="M1" s="126">
        <v>2026</v>
      </c>
      <c r="N1" s="126">
        <v>2027</v>
      </c>
      <c r="O1" s="126">
        <v>2028</v>
      </c>
      <c r="P1" s="126">
        <v>2029</v>
      </c>
      <c r="Q1" s="126">
        <v>2030</v>
      </c>
      <c r="R1" s="126">
        <v>2031</v>
      </c>
      <c r="S1" s="126">
        <v>2032</v>
      </c>
      <c r="T1" s="126">
        <v>2033</v>
      </c>
      <c r="U1" s="126">
        <v>2034</v>
      </c>
      <c r="V1" s="126">
        <v>2035</v>
      </c>
      <c r="W1" s="126">
        <v>2036</v>
      </c>
      <c r="X1" s="126">
        <v>2037</v>
      </c>
      <c r="Y1" s="126">
        <v>2038</v>
      </c>
      <c r="Z1" s="126">
        <v>2039</v>
      </c>
      <c r="AA1" s="126">
        <v>2040</v>
      </c>
      <c r="AB1" s="126">
        <v>2041</v>
      </c>
      <c r="AC1" s="126">
        <v>2042</v>
      </c>
      <c r="AD1" s="126">
        <v>2043</v>
      </c>
      <c r="AE1" s="126">
        <v>2044</v>
      </c>
      <c r="AF1" s="126">
        <v>2045</v>
      </c>
      <c r="AG1" s="126">
        <v>2046</v>
      </c>
      <c r="AH1" s="126">
        <v>2047</v>
      </c>
      <c r="AI1" s="126">
        <v>2048</v>
      </c>
      <c r="AJ1" s="126">
        <v>2049</v>
      </c>
      <c r="AK1" s="126">
        <v>2050</v>
      </c>
      <c r="AL1" s="126" t="s">
        <v>3065</v>
      </c>
    </row>
    <row r="11" spans="2:38">
      <c r="B11" s="126" t="s">
        <v>2544</v>
      </c>
    </row>
    <row r="12" spans="2:38">
      <c r="B12" s="126" t="s">
        <v>3066</v>
      </c>
    </row>
    <row r="13" spans="2:38">
      <c r="B13" s="126" t="s">
        <v>3067</v>
      </c>
    </row>
    <row r="14" spans="2:38">
      <c r="B14" s="126" t="s">
        <v>1198</v>
      </c>
    </row>
    <row r="15" spans="2:38">
      <c r="C15" s="126" t="s">
        <v>1199</v>
      </c>
      <c r="D15" s="126" t="s">
        <v>1288</v>
      </c>
      <c r="E15" s="126" t="s">
        <v>1289</v>
      </c>
      <c r="F15" s="126">
        <v>2019</v>
      </c>
      <c r="G15" s="126">
        <v>2020</v>
      </c>
      <c r="H15" s="126">
        <v>2021</v>
      </c>
      <c r="I15" s="126">
        <v>2022</v>
      </c>
      <c r="J15" s="126">
        <v>2023</v>
      </c>
      <c r="K15" s="126">
        <v>2024</v>
      </c>
      <c r="L15" s="126">
        <v>2025</v>
      </c>
      <c r="M15" s="126">
        <v>2026</v>
      </c>
      <c r="N15" s="126">
        <v>2027</v>
      </c>
      <c r="O15" s="126">
        <v>2028</v>
      </c>
      <c r="P15" s="126">
        <v>2029</v>
      </c>
      <c r="Q15" s="126">
        <v>2030</v>
      </c>
      <c r="R15" s="126">
        <v>2031</v>
      </c>
      <c r="S15" s="126">
        <v>2032</v>
      </c>
      <c r="T15" s="126">
        <v>2033</v>
      </c>
      <c r="U15" s="126">
        <v>2034</v>
      </c>
      <c r="V15" s="126">
        <v>2035</v>
      </c>
      <c r="W15" s="126">
        <v>2036</v>
      </c>
      <c r="X15" s="126">
        <v>2037</v>
      </c>
      <c r="Y15" s="126">
        <v>2038</v>
      </c>
      <c r="Z15" s="126">
        <v>2039</v>
      </c>
      <c r="AA15" s="126">
        <v>2040</v>
      </c>
      <c r="AB15" s="126">
        <v>2041</v>
      </c>
      <c r="AC15" s="126">
        <v>2042</v>
      </c>
      <c r="AD15" s="126">
        <v>2043</v>
      </c>
      <c r="AE15" s="126">
        <v>2044</v>
      </c>
      <c r="AF15" s="126">
        <v>2045</v>
      </c>
      <c r="AG15" s="126">
        <v>2046</v>
      </c>
      <c r="AH15" s="126">
        <v>2047</v>
      </c>
      <c r="AI15" s="126">
        <v>2048</v>
      </c>
      <c r="AJ15" s="126">
        <v>2049</v>
      </c>
      <c r="AK15" s="126">
        <v>2050</v>
      </c>
      <c r="AL15" s="126" t="s">
        <v>3065</v>
      </c>
    </row>
    <row r="16" spans="2:38">
      <c r="B16" s="126" t="s">
        <v>831</v>
      </c>
      <c r="D16" s="126" t="s">
        <v>3068</v>
      </c>
    </row>
    <row r="17" spans="1:38">
      <c r="B17" s="126" t="s">
        <v>2547</v>
      </c>
      <c r="D17" s="126" t="s">
        <v>3069</v>
      </c>
    </row>
    <row r="18" spans="1:38">
      <c r="B18" s="126" t="s">
        <v>1221</v>
      </c>
      <c r="D18" s="126" t="s">
        <v>3070</v>
      </c>
    </row>
    <row r="19" spans="1:38">
      <c r="A19" s="17" t="s">
        <v>115</v>
      </c>
      <c r="B19" s="126" t="s">
        <v>1266</v>
      </c>
      <c r="C19" s="126" t="s">
        <v>2574</v>
      </c>
      <c r="D19" s="126" t="s">
        <v>3071</v>
      </c>
      <c r="E19" s="126" t="s">
        <v>1894</v>
      </c>
      <c r="F19" s="126">
        <v>45.338524</v>
      </c>
      <c r="G19" s="126">
        <v>45.788283999999997</v>
      </c>
      <c r="H19" s="126">
        <v>46.912452999999999</v>
      </c>
      <c r="I19" s="126">
        <v>47.608184999999999</v>
      </c>
      <c r="J19" s="126">
        <v>48.372050999999999</v>
      </c>
      <c r="K19" s="126">
        <v>48.945735999999997</v>
      </c>
      <c r="L19" s="126">
        <v>49.610019999999999</v>
      </c>
      <c r="M19" s="126">
        <v>50.23959</v>
      </c>
      <c r="N19" s="126">
        <v>50.934586000000003</v>
      </c>
      <c r="O19" s="126">
        <v>51.568053999999997</v>
      </c>
      <c r="P19" s="126">
        <v>52.208961000000002</v>
      </c>
      <c r="Q19" s="126">
        <v>52.738464</v>
      </c>
      <c r="R19" s="126">
        <v>53.561646000000003</v>
      </c>
      <c r="S19" s="126">
        <v>54.217136000000004</v>
      </c>
      <c r="T19" s="126">
        <v>54.899765000000002</v>
      </c>
      <c r="U19" s="126">
        <v>55.501263000000002</v>
      </c>
      <c r="V19" s="126">
        <v>56.200676000000001</v>
      </c>
      <c r="W19" s="126">
        <v>56.891013999999998</v>
      </c>
      <c r="X19" s="126">
        <v>57.387309999999999</v>
      </c>
      <c r="Y19" s="126">
        <v>57.848193999999999</v>
      </c>
      <c r="Z19" s="126">
        <v>58.258121000000003</v>
      </c>
      <c r="AA19" s="126">
        <v>58.647995000000002</v>
      </c>
      <c r="AB19" s="126">
        <v>59.020535000000002</v>
      </c>
      <c r="AC19" s="126">
        <v>59.377746999999999</v>
      </c>
      <c r="AD19" s="126">
        <v>59.672009000000003</v>
      </c>
      <c r="AE19" s="126">
        <v>60.044643000000001</v>
      </c>
      <c r="AF19" s="126">
        <v>60.455593</v>
      </c>
      <c r="AG19" s="126">
        <v>61.005057999999998</v>
      </c>
      <c r="AH19" s="126">
        <v>61.351241999999999</v>
      </c>
      <c r="AI19" s="126">
        <v>61.864722999999998</v>
      </c>
      <c r="AJ19" s="126">
        <v>62.415005000000001</v>
      </c>
      <c r="AK19" s="126">
        <v>63.041077000000001</v>
      </c>
      <c r="AL19" s="115">
        <v>1.0999999999999999E-2</v>
      </c>
    </row>
    <row r="20" spans="1:38">
      <c r="A20" s="17" t="s">
        <v>114</v>
      </c>
      <c r="B20" s="126" t="s">
        <v>1352</v>
      </c>
      <c r="C20" s="126" t="s">
        <v>2576</v>
      </c>
      <c r="D20" s="126" t="s">
        <v>3072</v>
      </c>
      <c r="E20" s="126" t="s">
        <v>1894</v>
      </c>
      <c r="F20" s="126">
        <v>12.993387999999999</v>
      </c>
      <c r="G20" s="126">
        <v>13.085564</v>
      </c>
      <c r="H20" s="126">
        <v>13.426015</v>
      </c>
      <c r="I20" s="126">
        <v>13.682649</v>
      </c>
      <c r="J20" s="126">
        <v>13.986616</v>
      </c>
      <c r="K20" s="126">
        <v>14.255686000000001</v>
      </c>
      <c r="L20" s="126">
        <v>14.576639</v>
      </c>
      <c r="M20" s="126">
        <v>14.91924</v>
      </c>
      <c r="N20" s="126">
        <v>15.298795</v>
      </c>
      <c r="O20" s="126">
        <v>15.655293</v>
      </c>
      <c r="P20" s="126">
        <v>16.036183999999999</v>
      </c>
      <c r="Q20" s="126">
        <v>16.403683000000001</v>
      </c>
      <c r="R20" s="126">
        <v>16.869240000000001</v>
      </c>
      <c r="S20" s="126">
        <v>17.3323</v>
      </c>
      <c r="T20" s="126">
        <v>17.859477999999999</v>
      </c>
      <c r="U20" s="126">
        <v>18.381401</v>
      </c>
      <c r="V20" s="126">
        <v>18.955078</v>
      </c>
      <c r="W20" s="126">
        <v>19.562397000000001</v>
      </c>
      <c r="X20" s="126">
        <v>20.127655000000001</v>
      </c>
      <c r="Y20" s="126">
        <v>20.680295999999998</v>
      </c>
      <c r="Z20" s="126">
        <v>21.201677</v>
      </c>
      <c r="AA20" s="126">
        <v>21.717047000000001</v>
      </c>
      <c r="AB20" s="126">
        <v>22.233829</v>
      </c>
      <c r="AC20" s="126">
        <v>22.74757</v>
      </c>
      <c r="AD20" s="126">
        <v>23.234901000000001</v>
      </c>
      <c r="AE20" s="126">
        <v>23.752506</v>
      </c>
      <c r="AF20" s="126">
        <v>24.289179000000001</v>
      </c>
      <c r="AG20" s="126">
        <v>24.883963000000001</v>
      </c>
      <c r="AH20" s="126">
        <v>25.396719000000001</v>
      </c>
      <c r="AI20" s="126">
        <v>25.982728999999999</v>
      </c>
      <c r="AJ20" s="126">
        <v>26.591958999999999</v>
      </c>
      <c r="AK20" s="126">
        <v>27.240181</v>
      </c>
      <c r="AL20" s="115">
        <v>2.4E-2</v>
      </c>
    </row>
    <row r="21" spans="1:38">
      <c r="A21" s="17" t="s">
        <v>853</v>
      </c>
      <c r="B21" s="126" t="s">
        <v>1273</v>
      </c>
      <c r="C21" s="126" t="s">
        <v>2578</v>
      </c>
      <c r="D21" s="126" t="s">
        <v>3073</v>
      </c>
      <c r="E21" s="126" t="s">
        <v>1894</v>
      </c>
      <c r="F21" s="126">
        <v>1.0973999999999999E-2</v>
      </c>
      <c r="G21" s="126">
        <v>1.5585999999999999E-2</v>
      </c>
      <c r="H21" s="126">
        <v>2.0188000000000001E-2</v>
      </c>
      <c r="I21" s="126">
        <v>2.444E-2</v>
      </c>
      <c r="J21" s="126">
        <v>2.8656000000000001E-2</v>
      </c>
      <c r="K21" s="126">
        <v>3.2684999999999999E-2</v>
      </c>
      <c r="L21" s="126">
        <v>3.6714999999999998E-2</v>
      </c>
      <c r="M21" s="126">
        <v>4.0721E-2</v>
      </c>
      <c r="N21" s="126">
        <v>4.4825999999999998E-2</v>
      </c>
      <c r="O21" s="126">
        <v>4.8932999999999997E-2</v>
      </c>
      <c r="P21" s="126">
        <v>5.3137999999999998E-2</v>
      </c>
      <c r="Q21" s="126">
        <v>5.7251000000000003E-2</v>
      </c>
      <c r="R21" s="126">
        <v>6.1745000000000001E-2</v>
      </c>
      <c r="S21" s="126">
        <v>6.6189999999999999E-2</v>
      </c>
      <c r="T21" s="126">
        <v>7.0832000000000006E-2</v>
      </c>
      <c r="U21" s="126">
        <v>7.5462000000000001E-2</v>
      </c>
      <c r="V21" s="126">
        <v>8.0383999999999997E-2</v>
      </c>
      <c r="W21" s="126">
        <v>8.5558999999999996E-2</v>
      </c>
      <c r="X21" s="126">
        <v>9.0691999999999995E-2</v>
      </c>
      <c r="Y21" s="126">
        <v>9.6003000000000005E-2</v>
      </c>
      <c r="Z21" s="126">
        <v>0.101338</v>
      </c>
      <c r="AA21" s="126">
        <v>0.106766</v>
      </c>
      <c r="AB21" s="126">
        <v>0.112318</v>
      </c>
      <c r="AC21" s="126">
        <v>0.118038</v>
      </c>
      <c r="AD21" s="126">
        <v>0.123782</v>
      </c>
      <c r="AE21" s="126">
        <v>0.129915</v>
      </c>
      <c r="AF21" s="126">
        <v>0.136434</v>
      </c>
      <c r="AG21" s="126">
        <v>0.143651</v>
      </c>
      <c r="AH21" s="126">
        <v>0.150753</v>
      </c>
      <c r="AI21" s="126">
        <v>0.15869900000000001</v>
      </c>
      <c r="AJ21" s="126">
        <v>0.16719000000000001</v>
      </c>
      <c r="AK21" s="126">
        <v>0.176341</v>
      </c>
      <c r="AL21" s="115">
        <v>9.4E-2</v>
      </c>
    </row>
    <row r="22" spans="1:38">
      <c r="A22" s="17" t="s">
        <v>113</v>
      </c>
      <c r="B22" s="126" t="s">
        <v>1282</v>
      </c>
      <c r="C22" s="126" t="s">
        <v>2580</v>
      </c>
      <c r="D22" s="126" t="s">
        <v>3074</v>
      </c>
      <c r="E22" s="126" t="s">
        <v>1894</v>
      </c>
      <c r="F22" s="126">
        <v>6.4700000000000001E-3</v>
      </c>
      <c r="G22" s="126">
        <v>9.3130000000000001E-3</v>
      </c>
      <c r="H22" s="126">
        <v>1.2081E-2</v>
      </c>
      <c r="I22" s="126">
        <v>1.4557E-2</v>
      </c>
      <c r="J22" s="126">
        <v>1.6896999999999999E-2</v>
      </c>
      <c r="K22" s="126">
        <v>1.9022000000000001E-2</v>
      </c>
      <c r="L22" s="126">
        <v>2.1052000000000001E-2</v>
      </c>
      <c r="M22" s="126">
        <v>2.2974999999999999E-2</v>
      </c>
      <c r="N22" s="126">
        <v>2.486E-2</v>
      </c>
      <c r="O22" s="126">
        <v>2.6644000000000001E-2</v>
      </c>
      <c r="P22" s="126">
        <v>2.8382999999999999E-2</v>
      </c>
      <c r="Q22" s="126">
        <v>2.9987E-2</v>
      </c>
      <c r="R22" s="126">
        <v>3.1701E-2</v>
      </c>
      <c r="S22" s="126">
        <v>3.3299000000000002E-2</v>
      </c>
      <c r="T22" s="126">
        <v>3.492E-2</v>
      </c>
      <c r="U22" s="126">
        <v>3.6471999999999997E-2</v>
      </c>
      <c r="V22" s="126">
        <v>3.8091E-2</v>
      </c>
      <c r="W22" s="126">
        <v>3.9747999999999999E-2</v>
      </c>
      <c r="X22" s="126">
        <v>4.1317E-2</v>
      </c>
      <c r="Y22" s="126">
        <v>4.2903999999999998E-2</v>
      </c>
      <c r="Z22" s="126">
        <v>4.4456000000000002E-2</v>
      </c>
      <c r="AA22" s="126">
        <v>4.6025999999999997E-2</v>
      </c>
      <c r="AB22" s="126">
        <v>4.7642999999999998E-2</v>
      </c>
      <c r="AC22" s="126">
        <v>4.9410000000000003E-2</v>
      </c>
      <c r="AD22" s="126">
        <v>5.1302E-2</v>
      </c>
      <c r="AE22" s="126">
        <v>5.3527999999999999E-2</v>
      </c>
      <c r="AF22" s="126">
        <v>5.6118000000000001E-2</v>
      </c>
      <c r="AG22" s="126">
        <v>5.9241000000000002E-2</v>
      </c>
      <c r="AH22" s="126">
        <v>6.2593999999999997E-2</v>
      </c>
      <c r="AI22" s="126">
        <v>6.6616999999999996E-2</v>
      </c>
      <c r="AJ22" s="126">
        <v>7.1225999999999998E-2</v>
      </c>
      <c r="AK22" s="126">
        <v>7.6518000000000003E-2</v>
      </c>
      <c r="AL22" s="115">
        <v>8.3000000000000004E-2</v>
      </c>
    </row>
    <row r="23" spans="1:38">
      <c r="A23" s="17" t="s">
        <v>114</v>
      </c>
      <c r="B23" s="126" t="s">
        <v>2548</v>
      </c>
      <c r="C23" s="126" t="s">
        <v>2582</v>
      </c>
      <c r="D23" s="126" t="s">
        <v>3075</v>
      </c>
      <c r="E23" s="126" t="s">
        <v>1894</v>
      </c>
      <c r="F23" s="126">
        <v>3.7658459999999998</v>
      </c>
      <c r="G23" s="126">
        <v>4.0269579999999996</v>
      </c>
      <c r="H23" s="126">
        <v>4.3382360000000002</v>
      </c>
      <c r="I23" s="126">
        <v>4.6058060000000003</v>
      </c>
      <c r="J23" s="126">
        <v>4.8769720000000003</v>
      </c>
      <c r="K23" s="126">
        <v>5.1299029999999997</v>
      </c>
      <c r="L23" s="126">
        <v>5.4042149999999998</v>
      </c>
      <c r="M23" s="126">
        <v>5.6910990000000004</v>
      </c>
      <c r="N23" s="126">
        <v>6.0002329999999997</v>
      </c>
      <c r="O23" s="126">
        <v>6.3149290000000002</v>
      </c>
      <c r="P23" s="126">
        <v>6.6534370000000003</v>
      </c>
      <c r="Q23" s="126">
        <v>6.9958359999999997</v>
      </c>
      <c r="R23" s="126">
        <v>7.3890659999999997</v>
      </c>
      <c r="S23" s="126">
        <v>7.7803979999999999</v>
      </c>
      <c r="T23" s="126">
        <v>8.1963489999999997</v>
      </c>
      <c r="U23" s="126">
        <v>8.6005299999999991</v>
      </c>
      <c r="V23" s="126">
        <v>9.0316989999999997</v>
      </c>
      <c r="W23" s="126">
        <v>9.4831579999999995</v>
      </c>
      <c r="X23" s="126">
        <v>9.9278499999999994</v>
      </c>
      <c r="Y23" s="126">
        <v>10.378411</v>
      </c>
      <c r="Z23" s="126">
        <v>10.864091999999999</v>
      </c>
      <c r="AA23" s="126">
        <v>11.382462</v>
      </c>
      <c r="AB23" s="126">
        <v>11.932074999999999</v>
      </c>
      <c r="AC23" s="126">
        <v>12.513221</v>
      </c>
      <c r="AD23" s="126">
        <v>13.108843999999999</v>
      </c>
      <c r="AE23" s="126">
        <v>13.756455000000001</v>
      </c>
      <c r="AF23" s="126">
        <v>14.446859999999999</v>
      </c>
      <c r="AG23" s="126">
        <v>15.205769</v>
      </c>
      <c r="AH23" s="126">
        <v>15.949208</v>
      </c>
      <c r="AI23" s="126">
        <v>16.787099999999999</v>
      </c>
      <c r="AJ23" s="126">
        <v>17.678599999999999</v>
      </c>
      <c r="AK23" s="126">
        <v>18.642465999999999</v>
      </c>
      <c r="AL23" s="115">
        <v>5.2999999999999999E-2</v>
      </c>
    </row>
    <row r="24" spans="1:38">
      <c r="A24" s="17" t="s">
        <v>112</v>
      </c>
      <c r="B24" s="126" t="s">
        <v>1577</v>
      </c>
      <c r="C24" s="126" t="s">
        <v>2584</v>
      </c>
      <c r="D24" s="126" t="s">
        <v>3076</v>
      </c>
      <c r="E24" s="126" t="s">
        <v>1894</v>
      </c>
      <c r="F24" s="126">
        <v>1.196E-3</v>
      </c>
      <c r="G24" s="126">
        <v>6.3699999999999998E-3</v>
      </c>
      <c r="H24" s="126">
        <v>1.1726E-2</v>
      </c>
      <c r="I24" s="126">
        <v>1.7243000000000001E-2</v>
      </c>
      <c r="J24" s="126">
        <v>2.2969E-2</v>
      </c>
      <c r="K24" s="126">
        <v>2.8681999999999999E-2</v>
      </c>
      <c r="L24" s="126">
        <v>3.4469E-2</v>
      </c>
      <c r="M24" s="126">
        <v>4.0264000000000001E-2</v>
      </c>
      <c r="N24" s="126">
        <v>4.6150999999999998E-2</v>
      </c>
      <c r="O24" s="126">
        <v>5.1985000000000003E-2</v>
      </c>
      <c r="P24" s="126">
        <v>5.7835999999999999E-2</v>
      </c>
      <c r="Q24" s="126">
        <v>6.3519999999999993E-2</v>
      </c>
      <c r="R24" s="126">
        <v>6.9581000000000004E-2</v>
      </c>
      <c r="S24" s="126">
        <v>7.5558E-2</v>
      </c>
      <c r="T24" s="126">
        <v>8.1714999999999996E-2</v>
      </c>
      <c r="U24" s="126">
        <v>8.7892999999999999E-2</v>
      </c>
      <c r="V24" s="126">
        <v>9.4470999999999999E-2</v>
      </c>
      <c r="W24" s="126">
        <v>0.10138999999999999</v>
      </c>
      <c r="X24" s="126">
        <v>0.108333</v>
      </c>
      <c r="Y24" s="126">
        <v>0.115579</v>
      </c>
      <c r="Z24" s="126">
        <v>0.12299499999999999</v>
      </c>
      <c r="AA24" s="126">
        <v>0.13064999999999999</v>
      </c>
      <c r="AB24" s="126">
        <v>0.138547</v>
      </c>
      <c r="AC24" s="126">
        <v>0.146707</v>
      </c>
      <c r="AD24" s="126">
        <v>0.15472</v>
      </c>
      <c r="AE24" s="126">
        <v>0.16304199999999999</v>
      </c>
      <c r="AF24" s="126">
        <v>0.171683</v>
      </c>
      <c r="AG24" s="126">
        <v>0.18102399999999999</v>
      </c>
      <c r="AH24" s="126">
        <v>0.190083</v>
      </c>
      <c r="AI24" s="126">
        <v>0.20007900000000001</v>
      </c>
      <c r="AJ24" s="126">
        <v>0.2107</v>
      </c>
      <c r="AK24" s="126">
        <v>0.22218199999999999</v>
      </c>
      <c r="AL24" s="115">
        <v>0.184</v>
      </c>
    </row>
    <row r="25" spans="1:38">
      <c r="A25" s="17" t="s">
        <v>116</v>
      </c>
      <c r="B25" s="126" t="s">
        <v>2549</v>
      </c>
      <c r="C25" s="126" t="s">
        <v>2586</v>
      </c>
      <c r="D25" s="126" t="s">
        <v>3077</v>
      </c>
      <c r="E25" s="126" t="s">
        <v>1894</v>
      </c>
      <c r="F25" s="126">
        <v>0</v>
      </c>
      <c r="G25" s="126">
        <v>5.8529999999999997E-3</v>
      </c>
      <c r="H25" s="126">
        <v>1.1892E-2</v>
      </c>
      <c r="I25" s="126">
        <v>1.8107000000000002E-2</v>
      </c>
      <c r="J25" s="126">
        <v>2.4537E-2</v>
      </c>
      <c r="K25" s="126">
        <v>3.0942000000000001E-2</v>
      </c>
      <c r="L25" s="126">
        <v>3.7413000000000002E-2</v>
      </c>
      <c r="M25" s="126">
        <v>4.3880000000000002E-2</v>
      </c>
      <c r="N25" s="126">
        <v>5.0436000000000002E-2</v>
      </c>
      <c r="O25" s="126">
        <v>5.6926999999999998E-2</v>
      </c>
      <c r="P25" s="126">
        <v>6.3450999999999994E-2</v>
      </c>
      <c r="Q25" s="126">
        <v>6.9806000000000007E-2</v>
      </c>
      <c r="R25" s="126">
        <v>7.6573000000000002E-2</v>
      </c>
      <c r="S25" s="126">
        <v>8.3243999999999999E-2</v>
      </c>
      <c r="T25" s="126">
        <v>9.0151999999999996E-2</v>
      </c>
      <c r="U25" s="126">
        <v>9.7090999999999997E-2</v>
      </c>
      <c r="V25" s="126">
        <v>0.10445500000000001</v>
      </c>
      <c r="W25" s="126">
        <v>0.112183</v>
      </c>
      <c r="X25" s="126">
        <v>0.119925</v>
      </c>
      <c r="Y25" s="126">
        <v>0.127994</v>
      </c>
      <c r="Z25" s="126">
        <v>0.136243</v>
      </c>
      <c r="AA25" s="126">
        <v>0.14474000000000001</v>
      </c>
      <c r="AB25" s="126">
        <v>0.153498</v>
      </c>
      <c r="AC25" s="126">
        <v>0.162546</v>
      </c>
      <c r="AD25" s="126">
        <v>0.171433</v>
      </c>
      <c r="AE25" s="126">
        <v>0.180675</v>
      </c>
      <c r="AF25" s="126">
        <v>0.190275</v>
      </c>
      <c r="AG25" s="126">
        <v>0.20064499999999999</v>
      </c>
      <c r="AH25" s="126">
        <v>0.210698</v>
      </c>
      <c r="AI25" s="126">
        <v>0.22178700000000001</v>
      </c>
      <c r="AJ25" s="126">
        <v>0.233566</v>
      </c>
      <c r="AK25" s="126">
        <v>0.24629899999999999</v>
      </c>
      <c r="AL25" s="126" t="s">
        <v>146</v>
      </c>
    </row>
    <row r="26" spans="1:38">
      <c r="A26" s="17" t="s">
        <v>116</v>
      </c>
      <c r="B26" s="126" t="s">
        <v>2550</v>
      </c>
      <c r="C26" s="126" t="s">
        <v>2588</v>
      </c>
      <c r="D26" s="126" t="s">
        <v>3078</v>
      </c>
      <c r="E26" s="126" t="s">
        <v>1894</v>
      </c>
      <c r="F26" s="126">
        <v>0</v>
      </c>
      <c r="G26" s="126">
        <v>5.4299999999999999E-3</v>
      </c>
      <c r="H26" s="126">
        <v>1.1032E-2</v>
      </c>
      <c r="I26" s="126">
        <v>1.6796999999999999E-2</v>
      </c>
      <c r="J26" s="126">
        <v>2.2762000000000001E-2</v>
      </c>
      <c r="K26" s="126">
        <v>2.8704E-2</v>
      </c>
      <c r="L26" s="126">
        <v>3.4707000000000002E-2</v>
      </c>
      <c r="M26" s="126">
        <v>4.0707E-2</v>
      </c>
      <c r="N26" s="126">
        <v>4.6788000000000003E-2</v>
      </c>
      <c r="O26" s="126">
        <v>5.2809000000000002E-2</v>
      </c>
      <c r="P26" s="126">
        <v>5.8861999999999998E-2</v>
      </c>
      <c r="Q26" s="126">
        <v>6.4756999999999995E-2</v>
      </c>
      <c r="R26" s="126">
        <v>7.1034E-2</v>
      </c>
      <c r="S26" s="126">
        <v>7.7223E-2</v>
      </c>
      <c r="T26" s="126">
        <v>8.3630999999999997E-2</v>
      </c>
      <c r="U26" s="126">
        <v>9.0068999999999996E-2</v>
      </c>
      <c r="V26" s="126">
        <v>9.69E-2</v>
      </c>
      <c r="W26" s="126">
        <v>0.10406899999999999</v>
      </c>
      <c r="X26" s="126">
        <v>0.111251</v>
      </c>
      <c r="Y26" s="126">
        <v>0.11873599999999999</v>
      </c>
      <c r="Z26" s="126">
        <v>0.126389</v>
      </c>
      <c r="AA26" s="126">
        <v>0.134272</v>
      </c>
      <c r="AB26" s="126">
        <v>0.14239599999999999</v>
      </c>
      <c r="AC26" s="126">
        <v>0.15079000000000001</v>
      </c>
      <c r="AD26" s="126">
        <v>0.15903400000000001</v>
      </c>
      <c r="AE26" s="126">
        <v>0.16760800000000001</v>
      </c>
      <c r="AF26" s="126">
        <v>0.176513</v>
      </c>
      <c r="AG26" s="126">
        <v>0.18613299999999999</v>
      </c>
      <c r="AH26" s="126">
        <v>0.19545899999999999</v>
      </c>
      <c r="AI26" s="126">
        <v>0.20574500000000001</v>
      </c>
      <c r="AJ26" s="126">
        <v>0.216673</v>
      </c>
      <c r="AK26" s="126">
        <v>0.22848499999999999</v>
      </c>
      <c r="AL26" s="126" t="s">
        <v>146</v>
      </c>
    </row>
    <row r="27" spans="1:38">
      <c r="A27" s="17" t="s">
        <v>854</v>
      </c>
      <c r="B27" s="126" t="s">
        <v>1581</v>
      </c>
      <c r="C27" s="126" t="s">
        <v>2590</v>
      </c>
      <c r="D27" s="126" t="s">
        <v>3079</v>
      </c>
      <c r="E27" s="126" t="s">
        <v>1894</v>
      </c>
      <c r="F27" s="126">
        <v>0</v>
      </c>
      <c r="G27" s="126">
        <v>3.9999999999999998E-6</v>
      </c>
      <c r="H27" s="126">
        <v>7.9999999999999996E-6</v>
      </c>
      <c r="I27" s="126">
        <v>1.1E-5</v>
      </c>
      <c r="J27" s="126">
        <v>1.5E-5</v>
      </c>
      <c r="K27" s="126">
        <v>1.9000000000000001E-5</v>
      </c>
      <c r="L27" s="126">
        <v>2.1999999999999999E-5</v>
      </c>
      <c r="M27" s="126">
        <v>2.5000000000000001E-5</v>
      </c>
      <c r="N27" s="126">
        <v>2.9E-5</v>
      </c>
      <c r="O27" s="126">
        <v>3.1999999999999999E-5</v>
      </c>
      <c r="P27" s="126">
        <v>3.4999999999999997E-5</v>
      </c>
      <c r="Q27" s="126">
        <v>3.6999999999999998E-5</v>
      </c>
      <c r="R27" s="126">
        <v>4.0000000000000003E-5</v>
      </c>
      <c r="S27" s="126">
        <v>4.1999999999999998E-5</v>
      </c>
      <c r="T27" s="126">
        <v>4.3999999999999999E-5</v>
      </c>
      <c r="U27" s="126">
        <v>4.6E-5</v>
      </c>
      <c r="V27" s="126">
        <v>4.8000000000000001E-5</v>
      </c>
      <c r="W27" s="126">
        <v>5.0000000000000002E-5</v>
      </c>
      <c r="X27" s="126">
        <v>5.1E-5</v>
      </c>
      <c r="Y27" s="126">
        <v>5.3000000000000001E-5</v>
      </c>
      <c r="Z27" s="126">
        <v>5.3999999999999998E-5</v>
      </c>
      <c r="AA27" s="126">
        <v>5.5000000000000002E-5</v>
      </c>
      <c r="AB27" s="126">
        <v>5.5999999999999999E-5</v>
      </c>
      <c r="AC27" s="126">
        <v>5.7000000000000003E-5</v>
      </c>
      <c r="AD27" s="126">
        <v>5.7000000000000003E-5</v>
      </c>
      <c r="AE27" s="126">
        <v>5.8E-5</v>
      </c>
      <c r="AF27" s="126">
        <v>5.8E-5</v>
      </c>
      <c r="AG27" s="126">
        <v>5.8E-5</v>
      </c>
      <c r="AH27" s="126">
        <v>5.8E-5</v>
      </c>
      <c r="AI27" s="126">
        <v>5.7000000000000003E-5</v>
      </c>
      <c r="AJ27" s="126">
        <v>5.7000000000000003E-5</v>
      </c>
      <c r="AK27" s="126">
        <v>5.7000000000000003E-5</v>
      </c>
      <c r="AL27" s="126" t="s">
        <v>146</v>
      </c>
    </row>
    <row r="28" spans="1:38">
      <c r="B28" s="126" t="s">
        <v>2551</v>
      </c>
      <c r="C28" s="126" t="s">
        <v>2592</v>
      </c>
      <c r="D28" s="126" t="s">
        <v>3080</v>
      </c>
      <c r="E28" s="126" t="s">
        <v>1894</v>
      </c>
      <c r="F28" s="126">
        <v>62.116385999999999</v>
      </c>
      <c r="G28" s="126">
        <v>62.943370999999999</v>
      </c>
      <c r="H28" s="126">
        <v>64.743599000000003</v>
      </c>
      <c r="I28" s="126">
        <v>65.987815999999995</v>
      </c>
      <c r="J28" s="126">
        <v>67.351500999999999</v>
      </c>
      <c r="K28" s="126">
        <v>68.471275000000006</v>
      </c>
      <c r="L28" s="126">
        <v>69.755111999999997</v>
      </c>
      <c r="M28" s="126">
        <v>71.038391000000004</v>
      </c>
      <c r="N28" s="126">
        <v>72.446449000000001</v>
      </c>
      <c r="O28" s="126">
        <v>73.775642000000005</v>
      </c>
      <c r="P28" s="126">
        <v>75.160049000000001</v>
      </c>
      <c r="Q28" s="126">
        <v>76.423125999999996</v>
      </c>
      <c r="R28" s="126">
        <v>78.130523999999994</v>
      </c>
      <c r="S28" s="126">
        <v>79.665405000000007</v>
      </c>
      <c r="T28" s="126">
        <v>81.316840999999997</v>
      </c>
      <c r="U28" s="126">
        <v>82.870200999999994</v>
      </c>
      <c r="V28" s="126">
        <v>84.601653999999996</v>
      </c>
      <c r="W28" s="126">
        <v>86.379333000000003</v>
      </c>
      <c r="X28" s="126">
        <v>87.914253000000002</v>
      </c>
      <c r="Y28" s="126">
        <v>89.408103999999994</v>
      </c>
      <c r="Z28" s="126">
        <v>90.855507000000003</v>
      </c>
      <c r="AA28" s="126">
        <v>92.309944000000002</v>
      </c>
      <c r="AB28" s="126">
        <v>93.781006000000005</v>
      </c>
      <c r="AC28" s="126">
        <v>95.266006000000004</v>
      </c>
      <c r="AD28" s="126">
        <v>96.675811999999993</v>
      </c>
      <c r="AE28" s="126">
        <v>98.248458999999997</v>
      </c>
      <c r="AF28" s="126">
        <v>99.922531000000006</v>
      </c>
      <c r="AG28" s="126">
        <v>101.865318</v>
      </c>
      <c r="AH28" s="126">
        <v>103.506516</v>
      </c>
      <c r="AI28" s="126">
        <v>105.487534</v>
      </c>
      <c r="AJ28" s="126">
        <v>107.584824</v>
      </c>
      <c r="AK28" s="126">
        <v>109.87376399999999</v>
      </c>
      <c r="AL28" s="115">
        <v>1.9E-2</v>
      </c>
    </row>
    <row r="29" spans="1:38">
      <c r="B29" s="126" t="s">
        <v>1223</v>
      </c>
      <c r="D29" s="126" t="s">
        <v>3081</v>
      </c>
    </row>
    <row r="30" spans="1:38">
      <c r="A30" s="17" t="s">
        <v>115</v>
      </c>
      <c r="B30" s="126" t="s">
        <v>1266</v>
      </c>
      <c r="C30" s="126" t="s">
        <v>2595</v>
      </c>
      <c r="D30" s="126" t="s">
        <v>3082</v>
      </c>
      <c r="E30" s="126" t="s">
        <v>1894</v>
      </c>
      <c r="F30" s="126">
        <v>37.390987000000003</v>
      </c>
      <c r="G30" s="126">
        <v>37.651057999999999</v>
      </c>
      <c r="H30" s="126">
        <v>38.255333</v>
      </c>
      <c r="I30" s="126">
        <v>39.042721</v>
      </c>
      <c r="J30" s="126">
        <v>39.896670999999998</v>
      </c>
      <c r="K30" s="126">
        <v>40.529400000000003</v>
      </c>
      <c r="L30" s="126">
        <v>41.234603999999997</v>
      </c>
      <c r="M30" s="126">
        <v>42.001170999999999</v>
      </c>
      <c r="N30" s="126">
        <v>42.927920999999998</v>
      </c>
      <c r="O30" s="126">
        <v>43.856090999999999</v>
      </c>
      <c r="P30" s="126">
        <v>44.826850999999998</v>
      </c>
      <c r="Q30" s="126">
        <v>45.700695000000003</v>
      </c>
      <c r="R30" s="126">
        <v>46.816063</v>
      </c>
      <c r="S30" s="126">
        <v>47.872447999999999</v>
      </c>
      <c r="T30" s="126">
        <v>49.006832000000003</v>
      </c>
      <c r="U30" s="126">
        <v>50.061405000000001</v>
      </c>
      <c r="V30" s="126">
        <v>51.208477000000002</v>
      </c>
      <c r="W30" s="126">
        <v>52.445694000000003</v>
      </c>
      <c r="X30" s="126">
        <v>53.645896999999998</v>
      </c>
      <c r="Y30" s="126">
        <v>54.897556000000002</v>
      </c>
      <c r="Z30" s="126">
        <v>56.169155000000003</v>
      </c>
      <c r="AA30" s="126">
        <v>57.510933000000001</v>
      </c>
      <c r="AB30" s="126">
        <v>58.898468000000001</v>
      </c>
      <c r="AC30" s="126">
        <v>60.352451000000002</v>
      </c>
      <c r="AD30" s="126">
        <v>61.86562</v>
      </c>
      <c r="AE30" s="126">
        <v>63.564087000000001</v>
      </c>
      <c r="AF30" s="126">
        <v>65.405051999999998</v>
      </c>
      <c r="AG30" s="126">
        <v>67.477622999999994</v>
      </c>
      <c r="AH30" s="126">
        <v>69.356185999999994</v>
      </c>
      <c r="AI30" s="126">
        <v>71.449592999999993</v>
      </c>
      <c r="AJ30" s="126">
        <v>73.637810000000002</v>
      </c>
      <c r="AK30" s="126">
        <v>75.867867000000004</v>
      </c>
      <c r="AL30" s="115">
        <v>2.3E-2</v>
      </c>
    </row>
    <row r="31" spans="1:38">
      <c r="A31" s="17" t="s">
        <v>114</v>
      </c>
      <c r="B31" s="126" t="s">
        <v>1352</v>
      </c>
      <c r="C31" s="126" t="s">
        <v>2597</v>
      </c>
      <c r="D31" s="126" t="s">
        <v>3083</v>
      </c>
      <c r="E31" s="126" t="s">
        <v>1894</v>
      </c>
      <c r="F31" s="126">
        <v>16.566603000000001</v>
      </c>
      <c r="G31" s="126">
        <v>16.396280000000001</v>
      </c>
      <c r="H31" s="126">
        <v>16.439896000000001</v>
      </c>
      <c r="I31" s="126">
        <v>16.529689999999999</v>
      </c>
      <c r="J31" s="126">
        <v>16.688790999999998</v>
      </c>
      <c r="K31" s="126">
        <v>16.827316</v>
      </c>
      <c r="L31" s="126">
        <v>17.001038000000001</v>
      </c>
      <c r="M31" s="126">
        <v>17.231853000000001</v>
      </c>
      <c r="N31" s="126">
        <v>17.535267000000001</v>
      </c>
      <c r="O31" s="126">
        <v>17.869351999999999</v>
      </c>
      <c r="P31" s="126">
        <v>18.247271000000001</v>
      </c>
      <c r="Q31" s="126">
        <v>18.587626</v>
      </c>
      <c r="R31" s="126">
        <v>19.025107999999999</v>
      </c>
      <c r="S31" s="126">
        <v>19.452936000000001</v>
      </c>
      <c r="T31" s="126">
        <v>19.913948000000001</v>
      </c>
      <c r="U31" s="126">
        <v>20.349620999999999</v>
      </c>
      <c r="V31" s="126">
        <v>20.815242999999999</v>
      </c>
      <c r="W31" s="126">
        <v>21.332705000000001</v>
      </c>
      <c r="X31" s="126">
        <v>21.817457000000001</v>
      </c>
      <c r="Y31" s="126">
        <v>22.307468</v>
      </c>
      <c r="Z31" s="126">
        <v>22.81044</v>
      </c>
      <c r="AA31" s="126">
        <v>23.333673000000001</v>
      </c>
      <c r="AB31" s="126">
        <v>23.874891000000002</v>
      </c>
      <c r="AC31" s="126">
        <v>24.436152</v>
      </c>
      <c r="AD31" s="126">
        <v>25.008697999999999</v>
      </c>
      <c r="AE31" s="126">
        <v>25.639744</v>
      </c>
      <c r="AF31" s="126">
        <v>26.300379</v>
      </c>
      <c r="AG31" s="126">
        <v>27.032423000000001</v>
      </c>
      <c r="AH31" s="126">
        <v>27.666231</v>
      </c>
      <c r="AI31" s="126">
        <v>28.366410999999999</v>
      </c>
      <c r="AJ31" s="126">
        <v>29.091557999999999</v>
      </c>
      <c r="AK31" s="126">
        <v>29.820221</v>
      </c>
      <c r="AL31" s="115">
        <v>1.9E-2</v>
      </c>
    </row>
    <row r="32" spans="1:38">
      <c r="A32" s="17" t="s">
        <v>853</v>
      </c>
      <c r="B32" s="126" t="s">
        <v>1273</v>
      </c>
      <c r="C32" s="126" t="s">
        <v>2599</v>
      </c>
      <c r="D32" s="126" t="s">
        <v>3084</v>
      </c>
      <c r="E32" s="126" t="s">
        <v>1894</v>
      </c>
      <c r="F32" s="126">
        <v>5.5921999999999999E-2</v>
      </c>
      <c r="G32" s="126">
        <v>5.8422000000000002E-2</v>
      </c>
      <c r="H32" s="126">
        <v>6.1231000000000001E-2</v>
      </c>
      <c r="I32" s="126">
        <v>6.4163999999999999E-2</v>
      </c>
      <c r="J32" s="126">
        <v>6.7024E-2</v>
      </c>
      <c r="K32" s="126">
        <v>6.9318000000000005E-2</v>
      </c>
      <c r="L32" s="126">
        <v>7.1513999999999994E-2</v>
      </c>
      <c r="M32" s="126">
        <v>7.3596999999999996E-2</v>
      </c>
      <c r="N32" s="126">
        <v>7.5757000000000005E-2</v>
      </c>
      <c r="O32" s="126">
        <v>7.7814999999999995E-2</v>
      </c>
      <c r="P32" s="126">
        <v>7.9933000000000004E-2</v>
      </c>
      <c r="Q32" s="126">
        <v>8.1991999999999995E-2</v>
      </c>
      <c r="R32" s="126">
        <v>8.4631999999999999E-2</v>
      </c>
      <c r="S32" s="126">
        <v>8.7399000000000004E-2</v>
      </c>
      <c r="T32" s="126">
        <v>9.0812000000000004E-2</v>
      </c>
      <c r="U32" s="126">
        <v>9.4510999999999998E-2</v>
      </c>
      <c r="V32" s="126">
        <v>9.8367999999999997E-2</v>
      </c>
      <c r="W32" s="126">
        <v>0.10267900000000001</v>
      </c>
      <c r="X32" s="126">
        <v>0.107306</v>
      </c>
      <c r="Y32" s="126">
        <v>0.112402</v>
      </c>
      <c r="Z32" s="126">
        <v>0.117908</v>
      </c>
      <c r="AA32" s="126">
        <v>0.123947</v>
      </c>
      <c r="AB32" s="126">
        <v>0.13048199999999999</v>
      </c>
      <c r="AC32" s="126">
        <v>0.13749600000000001</v>
      </c>
      <c r="AD32" s="126">
        <v>0.14489199999999999</v>
      </c>
      <c r="AE32" s="126">
        <v>0.153001</v>
      </c>
      <c r="AF32" s="126">
        <v>0.161827</v>
      </c>
      <c r="AG32" s="126">
        <v>0.17168600000000001</v>
      </c>
      <c r="AH32" s="126">
        <v>0.18148</v>
      </c>
      <c r="AI32" s="126">
        <v>0.19229099999999999</v>
      </c>
      <c r="AJ32" s="126">
        <v>0.20347499999999999</v>
      </c>
      <c r="AK32" s="126">
        <v>0.21540500000000001</v>
      </c>
      <c r="AL32" s="115">
        <v>4.3999999999999997E-2</v>
      </c>
    </row>
    <row r="33" spans="1:38">
      <c r="A33" s="17" t="s">
        <v>113</v>
      </c>
      <c r="B33" s="126" t="s">
        <v>1282</v>
      </c>
      <c r="C33" s="126" t="s">
        <v>2601</v>
      </c>
      <c r="D33" s="126" t="s">
        <v>3085</v>
      </c>
      <c r="E33" s="126" t="s">
        <v>1894</v>
      </c>
      <c r="F33" s="126">
        <v>5.5612000000000002E-2</v>
      </c>
      <c r="G33" s="126">
        <v>6.5286999999999998E-2</v>
      </c>
      <c r="H33" s="126">
        <v>7.4654999999999999E-2</v>
      </c>
      <c r="I33" s="126">
        <v>8.4429000000000004E-2</v>
      </c>
      <c r="J33" s="126">
        <v>9.3921000000000004E-2</v>
      </c>
      <c r="K33" s="126">
        <v>0.102322</v>
      </c>
      <c r="L33" s="126">
        <v>0.110358</v>
      </c>
      <c r="M33" s="126">
        <v>0.118071</v>
      </c>
      <c r="N33" s="126">
        <v>0.12572800000000001</v>
      </c>
      <c r="O33" s="126">
        <v>0.133018</v>
      </c>
      <c r="P33" s="126">
        <v>0.140044</v>
      </c>
      <c r="Q33" s="126">
        <v>0.14629900000000001</v>
      </c>
      <c r="R33" s="126">
        <v>0.152974</v>
      </c>
      <c r="S33" s="126">
        <v>0.15912000000000001</v>
      </c>
      <c r="T33" s="126">
        <v>0.165322</v>
      </c>
      <c r="U33" s="126">
        <v>0.17105899999999999</v>
      </c>
      <c r="V33" s="126">
        <v>0.176927</v>
      </c>
      <c r="W33" s="126">
        <v>0.183001</v>
      </c>
      <c r="X33" s="126">
        <v>0.18904699999999999</v>
      </c>
      <c r="Y33" s="126">
        <v>0.19531000000000001</v>
      </c>
      <c r="Z33" s="126">
        <v>0.201764</v>
      </c>
      <c r="AA33" s="126">
        <v>0.20865300000000001</v>
      </c>
      <c r="AB33" s="126">
        <v>0.21584600000000001</v>
      </c>
      <c r="AC33" s="126">
        <v>0.22340399999999999</v>
      </c>
      <c r="AD33" s="126">
        <v>0.23105500000000001</v>
      </c>
      <c r="AE33" s="126">
        <v>0.239401</v>
      </c>
      <c r="AF33" s="126">
        <v>0.24857000000000001</v>
      </c>
      <c r="AG33" s="126">
        <v>0.25901099999999999</v>
      </c>
      <c r="AH33" s="126">
        <v>0.26900299999999999</v>
      </c>
      <c r="AI33" s="126">
        <v>0.28018599999999999</v>
      </c>
      <c r="AJ33" s="126">
        <v>0.29225899999999999</v>
      </c>
      <c r="AK33" s="126">
        <v>0.30513000000000001</v>
      </c>
      <c r="AL33" s="115">
        <v>5.6000000000000001E-2</v>
      </c>
    </row>
    <row r="34" spans="1:38">
      <c r="A34" s="17" t="s">
        <v>114</v>
      </c>
      <c r="B34" s="126" t="s">
        <v>2548</v>
      </c>
      <c r="C34" s="126" t="s">
        <v>2603</v>
      </c>
      <c r="D34" s="126" t="s">
        <v>3086</v>
      </c>
      <c r="E34" s="126" t="s">
        <v>1894</v>
      </c>
      <c r="F34" s="126">
        <v>0.53423900000000002</v>
      </c>
      <c r="G34" s="126">
        <v>0.58652700000000002</v>
      </c>
      <c r="H34" s="126">
        <v>0.637934</v>
      </c>
      <c r="I34" s="126">
        <v>0.69095700000000004</v>
      </c>
      <c r="J34" s="126">
        <v>0.74268299999999998</v>
      </c>
      <c r="K34" s="126">
        <v>0.78819300000000003</v>
      </c>
      <c r="L34" s="126">
        <v>0.83354200000000001</v>
      </c>
      <c r="M34" s="126">
        <v>0.87686900000000001</v>
      </c>
      <c r="N34" s="126">
        <v>0.92605300000000002</v>
      </c>
      <c r="O34" s="126">
        <v>0.97683500000000001</v>
      </c>
      <c r="P34" s="126">
        <v>1.0313369999999999</v>
      </c>
      <c r="Q34" s="126">
        <v>1.08677</v>
      </c>
      <c r="R34" s="126">
        <v>1.1505369999999999</v>
      </c>
      <c r="S34" s="126">
        <v>1.2158640000000001</v>
      </c>
      <c r="T34" s="126">
        <v>1.2856099999999999</v>
      </c>
      <c r="U34" s="126">
        <v>1.358646</v>
      </c>
      <c r="V34" s="126">
        <v>1.4376869999999999</v>
      </c>
      <c r="W34" s="126">
        <v>1.521798</v>
      </c>
      <c r="X34" s="126">
        <v>1.6080209999999999</v>
      </c>
      <c r="Y34" s="126">
        <v>1.6993689999999999</v>
      </c>
      <c r="Z34" s="126">
        <v>1.795857</v>
      </c>
      <c r="AA34" s="126">
        <v>1.8995789999999999</v>
      </c>
      <c r="AB34" s="126">
        <v>2.0079929999999999</v>
      </c>
      <c r="AC34" s="126">
        <v>2.1233209999999998</v>
      </c>
      <c r="AD34" s="126">
        <v>2.2442489999999999</v>
      </c>
      <c r="AE34" s="126">
        <v>2.3755730000000002</v>
      </c>
      <c r="AF34" s="126">
        <v>2.517299</v>
      </c>
      <c r="AG34" s="126">
        <v>2.6739329999999999</v>
      </c>
      <c r="AH34" s="126">
        <v>2.828532</v>
      </c>
      <c r="AI34" s="126">
        <v>2.9973200000000002</v>
      </c>
      <c r="AJ34" s="126">
        <v>3.1779609999999998</v>
      </c>
      <c r="AK34" s="126">
        <v>3.3688739999999999</v>
      </c>
      <c r="AL34" s="115">
        <v>6.0999999999999999E-2</v>
      </c>
    </row>
    <row r="35" spans="1:38">
      <c r="A35" s="17" t="s">
        <v>112</v>
      </c>
      <c r="B35" s="126" t="s">
        <v>1577</v>
      </c>
      <c r="C35" s="126" t="s">
        <v>2605</v>
      </c>
      <c r="D35" s="126" t="s">
        <v>3087</v>
      </c>
      <c r="E35" s="126" t="s">
        <v>1894</v>
      </c>
      <c r="F35" s="126">
        <v>7.1000000000000005E-5</v>
      </c>
      <c r="G35" s="126">
        <v>5.1609999999999998E-3</v>
      </c>
      <c r="H35" s="126">
        <v>9.7660000000000004E-3</v>
      </c>
      <c r="I35" s="126">
        <v>1.4656000000000001E-2</v>
      </c>
      <c r="J35" s="126">
        <v>1.9452000000000001E-2</v>
      </c>
      <c r="K35" s="126">
        <v>2.3952999999999999E-2</v>
      </c>
      <c r="L35" s="126">
        <v>2.8353E-2</v>
      </c>
      <c r="M35" s="126">
        <v>3.2732999999999998E-2</v>
      </c>
      <c r="N35" s="126">
        <v>3.7233000000000002E-2</v>
      </c>
      <c r="O35" s="126">
        <v>4.1780999999999999E-2</v>
      </c>
      <c r="P35" s="126">
        <v>4.6467000000000001E-2</v>
      </c>
      <c r="Q35" s="126">
        <v>5.1115000000000001E-2</v>
      </c>
      <c r="R35" s="126">
        <v>5.6113999999999997E-2</v>
      </c>
      <c r="S35" s="126">
        <v>6.1133E-2</v>
      </c>
      <c r="T35" s="126">
        <v>6.6396999999999998E-2</v>
      </c>
      <c r="U35" s="126">
        <v>7.1689000000000003E-2</v>
      </c>
      <c r="V35" s="126">
        <v>7.7237E-2</v>
      </c>
      <c r="W35" s="126">
        <v>8.3089999999999997E-2</v>
      </c>
      <c r="X35" s="126">
        <v>8.9113999999999999E-2</v>
      </c>
      <c r="Y35" s="126">
        <v>9.5493999999999996E-2</v>
      </c>
      <c r="Z35" s="126">
        <v>0.10194499999999999</v>
      </c>
      <c r="AA35" s="126">
        <v>0.108822</v>
      </c>
      <c r="AB35" s="126">
        <v>0.11605600000000001</v>
      </c>
      <c r="AC35" s="126">
        <v>0.123671</v>
      </c>
      <c r="AD35" s="126">
        <v>0.131604</v>
      </c>
      <c r="AE35" s="126">
        <v>0.14016500000000001</v>
      </c>
      <c r="AF35" s="126">
        <v>0.149365</v>
      </c>
      <c r="AG35" s="126">
        <v>0.159495</v>
      </c>
      <c r="AH35" s="126">
        <v>0.169539</v>
      </c>
      <c r="AI35" s="126">
        <v>0.180507</v>
      </c>
      <c r="AJ35" s="126">
        <v>0.19219</v>
      </c>
      <c r="AK35" s="126">
        <v>0.204486</v>
      </c>
      <c r="AL35" s="115">
        <v>0.29299999999999998</v>
      </c>
    </row>
    <row r="36" spans="1:38">
      <c r="A36" s="17" t="s">
        <v>116</v>
      </c>
      <c r="B36" s="126" t="s">
        <v>2549</v>
      </c>
      <c r="C36" s="126" t="s">
        <v>2607</v>
      </c>
      <c r="D36" s="126" t="s">
        <v>3088</v>
      </c>
      <c r="E36" s="126" t="s">
        <v>1894</v>
      </c>
      <c r="F36" s="126">
        <v>0</v>
      </c>
      <c r="G36" s="126">
        <v>5.6379999999999998E-3</v>
      </c>
      <c r="H36" s="126">
        <v>1.0749999999999999E-2</v>
      </c>
      <c r="I36" s="126">
        <v>1.6177E-2</v>
      </c>
      <c r="J36" s="126">
        <v>2.1499999999999998E-2</v>
      </c>
      <c r="K36" s="126">
        <v>2.6495999999999999E-2</v>
      </c>
      <c r="L36" s="126">
        <v>3.1379999999999998E-2</v>
      </c>
      <c r="M36" s="126">
        <v>3.6240000000000001E-2</v>
      </c>
      <c r="N36" s="126">
        <v>4.1232999999999999E-2</v>
      </c>
      <c r="O36" s="126">
        <v>4.6280000000000002E-2</v>
      </c>
      <c r="P36" s="126">
        <v>5.1478999999999997E-2</v>
      </c>
      <c r="Q36" s="126">
        <v>5.6634999999999998E-2</v>
      </c>
      <c r="R36" s="126">
        <v>6.2178999999999998E-2</v>
      </c>
      <c r="S36" s="126">
        <v>6.7746000000000001E-2</v>
      </c>
      <c r="T36" s="126">
        <v>7.3582999999999996E-2</v>
      </c>
      <c r="U36" s="126">
        <v>7.9455999999999999E-2</v>
      </c>
      <c r="V36" s="126">
        <v>8.5608000000000004E-2</v>
      </c>
      <c r="W36" s="126">
        <v>9.2099E-2</v>
      </c>
      <c r="X36" s="126">
        <v>9.8779000000000006E-2</v>
      </c>
      <c r="Y36" s="126">
        <v>0.105854</v>
      </c>
      <c r="Z36" s="126">
        <v>0.113008</v>
      </c>
      <c r="AA36" s="126">
        <v>0.12063400000000001</v>
      </c>
      <c r="AB36" s="126">
        <v>0.12865599999999999</v>
      </c>
      <c r="AC36" s="126">
        <v>0.1371</v>
      </c>
      <c r="AD36" s="126">
        <v>0.145896</v>
      </c>
      <c r="AE36" s="126">
        <v>0.15539</v>
      </c>
      <c r="AF36" s="126">
        <v>0.16558999999999999</v>
      </c>
      <c r="AG36" s="126">
        <v>0.17682300000000001</v>
      </c>
      <c r="AH36" s="126">
        <v>0.18795999999999999</v>
      </c>
      <c r="AI36" s="126">
        <v>0.20012199999999999</v>
      </c>
      <c r="AJ36" s="126">
        <v>0.21307799999999999</v>
      </c>
      <c r="AK36" s="126">
        <v>0.226713</v>
      </c>
      <c r="AL36" s="126" t="s">
        <v>146</v>
      </c>
    </row>
    <row r="37" spans="1:38">
      <c r="A37" s="17" t="s">
        <v>116</v>
      </c>
      <c r="B37" s="126" t="s">
        <v>2550</v>
      </c>
      <c r="C37" s="126" t="s">
        <v>2609</v>
      </c>
      <c r="D37" s="126" t="s">
        <v>3089</v>
      </c>
      <c r="E37" s="126" t="s">
        <v>1894</v>
      </c>
      <c r="F37" s="126">
        <v>0</v>
      </c>
      <c r="G37" s="126">
        <v>4.8609999999999999E-3</v>
      </c>
      <c r="H37" s="126">
        <v>9.2689999999999995E-3</v>
      </c>
      <c r="I37" s="126">
        <v>1.3949E-2</v>
      </c>
      <c r="J37" s="126">
        <v>1.8537999999999999E-2</v>
      </c>
      <c r="K37" s="126">
        <v>2.2846000000000002E-2</v>
      </c>
      <c r="L37" s="126">
        <v>2.7057000000000001E-2</v>
      </c>
      <c r="M37" s="126">
        <v>3.1247E-2</v>
      </c>
      <c r="N37" s="126">
        <v>3.5553000000000001E-2</v>
      </c>
      <c r="O37" s="126">
        <v>3.9904000000000002E-2</v>
      </c>
      <c r="P37" s="126">
        <v>4.4387000000000003E-2</v>
      </c>
      <c r="Q37" s="126">
        <v>4.8832E-2</v>
      </c>
      <c r="R37" s="126">
        <v>5.3613000000000001E-2</v>
      </c>
      <c r="S37" s="126">
        <v>5.8413E-2</v>
      </c>
      <c r="T37" s="126">
        <v>6.3446000000000002E-2</v>
      </c>
      <c r="U37" s="126">
        <v>6.8510000000000001E-2</v>
      </c>
      <c r="V37" s="126">
        <v>7.3814000000000005E-2</v>
      </c>
      <c r="W37" s="126">
        <v>7.9410999999999995E-2</v>
      </c>
      <c r="X37" s="126">
        <v>8.5170999999999997E-2</v>
      </c>
      <c r="Y37" s="126">
        <v>9.1271000000000005E-2</v>
      </c>
      <c r="Z37" s="126">
        <v>9.7438999999999998E-2</v>
      </c>
      <c r="AA37" s="126">
        <v>0.104014</v>
      </c>
      <c r="AB37" s="126">
        <v>0.110931</v>
      </c>
      <c r="AC37" s="126">
        <v>0.118212</v>
      </c>
      <c r="AD37" s="126">
        <v>0.12579699999999999</v>
      </c>
      <c r="AE37" s="126">
        <v>0.13398199999999999</v>
      </c>
      <c r="AF37" s="126">
        <v>0.14277699999999999</v>
      </c>
      <c r="AG37" s="126">
        <v>0.15246299999999999</v>
      </c>
      <c r="AH37" s="126">
        <v>0.16206499999999999</v>
      </c>
      <c r="AI37" s="126">
        <v>0.17255200000000001</v>
      </c>
      <c r="AJ37" s="126">
        <v>0.183723</v>
      </c>
      <c r="AK37" s="126">
        <v>0.19547999999999999</v>
      </c>
      <c r="AL37" s="126" t="s">
        <v>146</v>
      </c>
    </row>
    <row r="38" spans="1:38">
      <c r="A38" s="17" t="s">
        <v>854</v>
      </c>
      <c r="B38" s="126" t="s">
        <v>1581</v>
      </c>
      <c r="C38" s="126" t="s">
        <v>2611</v>
      </c>
      <c r="D38" s="126" t="s">
        <v>3090</v>
      </c>
      <c r="E38" s="126" t="s">
        <v>1894</v>
      </c>
      <c r="F38" s="126">
        <v>0</v>
      </c>
      <c r="G38" s="126">
        <v>8.6680000000000004E-3</v>
      </c>
      <c r="H38" s="126">
        <v>1.6527E-2</v>
      </c>
      <c r="I38" s="126">
        <v>2.4871999999999998E-2</v>
      </c>
      <c r="J38" s="126">
        <v>3.3055000000000001E-2</v>
      </c>
      <c r="K38" s="126">
        <v>4.0737000000000002E-2</v>
      </c>
      <c r="L38" s="126">
        <v>4.8244000000000002E-2</v>
      </c>
      <c r="M38" s="126">
        <v>5.5717000000000003E-2</v>
      </c>
      <c r="N38" s="126">
        <v>6.3394000000000006E-2</v>
      </c>
      <c r="O38" s="126">
        <v>7.1152999999999994E-2</v>
      </c>
      <c r="P38" s="126">
        <v>7.9145999999999994E-2</v>
      </c>
      <c r="Q38" s="126">
        <v>8.7072999999999998E-2</v>
      </c>
      <c r="R38" s="126">
        <v>9.5597000000000001E-2</v>
      </c>
      <c r="S38" s="126">
        <v>0.104156</v>
      </c>
      <c r="T38" s="126">
        <v>0.11312999999999999</v>
      </c>
      <c r="U38" s="126">
        <v>0.12216</v>
      </c>
      <c r="V38" s="126">
        <v>0.13161800000000001</v>
      </c>
      <c r="W38" s="126">
        <v>0.141597</v>
      </c>
      <c r="X38" s="126">
        <v>0.151867</v>
      </c>
      <c r="Y38" s="126">
        <v>0.162744</v>
      </c>
      <c r="Z38" s="126">
        <v>0.17374300000000001</v>
      </c>
      <c r="AA38" s="126">
        <v>0.18546799999999999</v>
      </c>
      <c r="AB38" s="126">
        <v>0.197801</v>
      </c>
      <c r="AC38" s="126">
        <v>0.210784</v>
      </c>
      <c r="AD38" s="126">
        <v>0.22430700000000001</v>
      </c>
      <c r="AE38" s="126">
        <v>0.238903</v>
      </c>
      <c r="AF38" s="126">
        <v>0.25458599999999998</v>
      </c>
      <c r="AG38" s="126">
        <v>0.27185599999999999</v>
      </c>
      <c r="AH38" s="126">
        <v>0.28897800000000001</v>
      </c>
      <c r="AI38" s="126">
        <v>0.30767600000000001</v>
      </c>
      <c r="AJ38" s="126">
        <v>0.32759500000000003</v>
      </c>
      <c r="AK38" s="126">
        <v>0.34855900000000001</v>
      </c>
      <c r="AL38" s="126" t="s">
        <v>146</v>
      </c>
    </row>
    <row r="39" spans="1:38">
      <c r="B39" s="126" t="s">
        <v>2552</v>
      </c>
      <c r="C39" s="126" t="s">
        <v>2613</v>
      </c>
      <c r="D39" s="126" t="s">
        <v>3091</v>
      </c>
      <c r="E39" s="126" t="s">
        <v>1894</v>
      </c>
      <c r="F39" s="126">
        <v>54.603447000000003</v>
      </c>
      <c r="G39" s="126">
        <v>54.781798999999999</v>
      </c>
      <c r="H39" s="126">
        <v>55.515346999999998</v>
      </c>
      <c r="I39" s="126">
        <v>56.481617</v>
      </c>
      <c r="J39" s="126">
        <v>57.581673000000002</v>
      </c>
      <c r="K39" s="126">
        <v>58.430546</v>
      </c>
      <c r="L39" s="126">
        <v>59.386108</v>
      </c>
      <c r="M39" s="126">
        <v>60.457507999999997</v>
      </c>
      <c r="N39" s="126">
        <v>61.768149999999999</v>
      </c>
      <c r="O39" s="126">
        <v>63.112183000000002</v>
      </c>
      <c r="P39" s="126">
        <v>64.546806000000004</v>
      </c>
      <c r="Q39" s="126">
        <v>65.847083999999995</v>
      </c>
      <c r="R39" s="126">
        <v>67.496689000000003</v>
      </c>
      <c r="S39" s="126">
        <v>69.079162999999994</v>
      </c>
      <c r="T39" s="126">
        <v>70.779044999999996</v>
      </c>
      <c r="U39" s="126">
        <v>72.377150999999998</v>
      </c>
      <c r="V39" s="126">
        <v>74.105148</v>
      </c>
      <c r="W39" s="126">
        <v>75.981803999999997</v>
      </c>
      <c r="X39" s="126">
        <v>77.792572000000007</v>
      </c>
      <c r="Y39" s="126">
        <v>79.667381000000006</v>
      </c>
      <c r="Z39" s="126">
        <v>81.581305999999998</v>
      </c>
      <c r="AA39" s="126">
        <v>83.595695000000006</v>
      </c>
      <c r="AB39" s="126">
        <v>85.681190000000001</v>
      </c>
      <c r="AC39" s="126">
        <v>87.862358</v>
      </c>
      <c r="AD39" s="126">
        <v>90.121964000000006</v>
      </c>
      <c r="AE39" s="126">
        <v>92.640227999999993</v>
      </c>
      <c r="AF39" s="126">
        <v>95.345427999999998</v>
      </c>
      <c r="AG39" s="126">
        <v>98.375381000000004</v>
      </c>
      <c r="AH39" s="126">
        <v>101.10974899999999</v>
      </c>
      <c r="AI39" s="126">
        <v>104.14670599999999</v>
      </c>
      <c r="AJ39" s="126">
        <v>107.31989299999999</v>
      </c>
      <c r="AK39" s="126">
        <v>110.55276499999999</v>
      </c>
      <c r="AL39" s="115">
        <v>2.3E-2</v>
      </c>
    </row>
    <row r="40" spans="1:38">
      <c r="B40" s="126" t="s">
        <v>2553</v>
      </c>
      <c r="D40" s="126" t="s">
        <v>3092</v>
      </c>
    </row>
    <row r="41" spans="1:38">
      <c r="A41" s="17" t="s">
        <v>115</v>
      </c>
      <c r="B41" s="126" t="s">
        <v>1266</v>
      </c>
      <c r="C41" s="126" t="s">
        <v>2616</v>
      </c>
      <c r="D41" s="126" t="s">
        <v>3093</v>
      </c>
      <c r="E41" s="126" t="s">
        <v>1894</v>
      </c>
      <c r="F41" s="126">
        <v>185.11108400000001</v>
      </c>
      <c r="G41" s="126">
        <v>187.41339099999999</v>
      </c>
      <c r="H41" s="126">
        <v>190.11419699999999</v>
      </c>
      <c r="I41" s="126">
        <v>192.664795</v>
      </c>
      <c r="J41" s="126">
        <v>195.16325399999999</v>
      </c>
      <c r="K41" s="126">
        <v>196.35145600000001</v>
      </c>
      <c r="L41" s="126">
        <v>197.61440999999999</v>
      </c>
      <c r="M41" s="126">
        <v>198.733994</v>
      </c>
      <c r="N41" s="126">
        <v>200.05453499999999</v>
      </c>
      <c r="O41" s="126">
        <v>200.98191800000001</v>
      </c>
      <c r="P41" s="126">
        <v>201.929855</v>
      </c>
      <c r="Q41" s="126">
        <v>202.31111100000001</v>
      </c>
      <c r="R41" s="126">
        <v>203.65454099999999</v>
      </c>
      <c r="S41" s="126">
        <v>204.46348599999999</v>
      </c>
      <c r="T41" s="126">
        <v>205.50788900000001</v>
      </c>
      <c r="U41" s="126">
        <v>206.09761</v>
      </c>
      <c r="V41" s="126">
        <v>206.87872300000001</v>
      </c>
      <c r="W41" s="126">
        <v>207.776093</v>
      </c>
      <c r="X41" s="126">
        <v>208.35296600000001</v>
      </c>
      <c r="Y41" s="126">
        <v>209.02235400000001</v>
      </c>
      <c r="Z41" s="126">
        <v>209.614487</v>
      </c>
      <c r="AA41" s="126">
        <v>210.35394299999999</v>
      </c>
      <c r="AB41" s="126">
        <v>211.09272799999999</v>
      </c>
      <c r="AC41" s="126">
        <v>211.95198099999999</v>
      </c>
      <c r="AD41" s="126">
        <v>212.687378</v>
      </c>
      <c r="AE41" s="126">
        <v>213.74752799999999</v>
      </c>
      <c r="AF41" s="126">
        <v>215.013824</v>
      </c>
      <c r="AG41" s="126">
        <v>216.77552800000001</v>
      </c>
      <c r="AH41" s="126">
        <v>217.644012</v>
      </c>
      <c r="AI41" s="126">
        <v>218.93441799999999</v>
      </c>
      <c r="AJ41" s="126">
        <v>220.25176999999999</v>
      </c>
      <c r="AK41" s="126">
        <v>221.42288199999999</v>
      </c>
      <c r="AL41" s="115">
        <v>6.0000000000000001E-3</v>
      </c>
    </row>
    <row r="42" spans="1:38">
      <c r="A42" s="17" t="s">
        <v>114</v>
      </c>
      <c r="B42" s="126" t="s">
        <v>1352</v>
      </c>
      <c r="C42" s="126" t="s">
        <v>2618</v>
      </c>
      <c r="D42" s="126" t="s">
        <v>3094</v>
      </c>
      <c r="E42" s="126" t="s">
        <v>1894</v>
      </c>
      <c r="F42" s="126">
        <v>0.18604699999999999</v>
      </c>
      <c r="G42" s="126">
        <v>0.164021</v>
      </c>
      <c r="H42" s="126">
        <v>0.147254</v>
      </c>
      <c r="I42" s="126">
        <v>0.13270699999999999</v>
      </c>
      <c r="J42" s="126">
        <v>0.121167</v>
      </c>
      <c r="K42" s="126">
        <v>0.111348</v>
      </c>
      <c r="L42" s="126">
        <v>0.10306899999999999</v>
      </c>
      <c r="M42" s="126">
        <v>9.6655000000000005E-2</v>
      </c>
      <c r="N42" s="126">
        <v>9.1883999999999993E-2</v>
      </c>
      <c r="O42" s="126">
        <v>8.7783E-2</v>
      </c>
      <c r="P42" s="126">
        <v>8.4326999999999999E-2</v>
      </c>
      <c r="Q42" s="126">
        <v>8.1729999999999997E-2</v>
      </c>
      <c r="R42" s="126">
        <v>7.9777000000000001E-2</v>
      </c>
      <c r="S42" s="126">
        <v>7.7663999999999997E-2</v>
      </c>
      <c r="T42" s="126">
        <v>7.6067999999999997E-2</v>
      </c>
      <c r="U42" s="126">
        <v>7.4709999999999999E-2</v>
      </c>
      <c r="V42" s="126">
        <v>7.3875999999999997E-2</v>
      </c>
      <c r="W42" s="126">
        <v>7.3050000000000004E-2</v>
      </c>
      <c r="X42" s="126">
        <v>7.2313000000000002E-2</v>
      </c>
      <c r="Y42" s="126">
        <v>7.1783E-2</v>
      </c>
      <c r="Z42" s="126">
        <v>7.1441000000000004E-2</v>
      </c>
      <c r="AA42" s="126">
        <v>7.1091000000000001E-2</v>
      </c>
      <c r="AB42" s="126">
        <v>7.0878999999999998E-2</v>
      </c>
      <c r="AC42" s="126">
        <v>7.0614999999999997E-2</v>
      </c>
      <c r="AD42" s="126">
        <v>7.0347999999999994E-2</v>
      </c>
      <c r="AE42" s="126">
        <v>7.0442000000000005E-2</v>
      </c>
      <c r="AF42" s="126">
        <v>7.0763000000000006E-2</v>
      </c>
      <c r="AG42" s="126">
        <v>7.1356000000000003E-2</v>
      </c>
      <c r="AH42" s="126">
        <v>7.1734000000000006E-2</v>
      </c>
      <c r="AI42" s="126">
        <v>7.2326000000000001E-2</v>
      </c>
      <c r="AJ42" s="126">
        <v>7.2960999999999998E-2</v>
      </c>
      <c r="AK42" s="126">
        <v>7.3634000000000005E-2</v>
      </c>
      <c r="AL42" s="115">
        <v>-2.9000000000000001E-2</v>
      </c>
    </row>
    <row r="43" spans="1:38">
      <c r="A43" s="17" t="s">
        <v>853</v>
      </c>
      <c r="B43" s="126" t="s">
        <v>1273</v>
      </c>
      <c r="C43" s="126" t="s">
        <v>2620</v>
      </c>
      <c r="D43" s="126" t="s">
        <v>3095</v>
      </c>
      <c r="E43" s="126" t="s">
        <v>1894</v>
      </c>
      <c r="F43" s="126">
        <v>3.8039999999999997E-2</v>
      </c>
      <c r="G43" s="126">
        <v>4.2250000000000003E-2</v>
      </c>
      <c r="H43" s="126">
        <v>4.5719000000000003E-2</v>
      </c>
      <c r="I43" s="126">
        <v>4.8656999999999999E-2</v>
      </c>
      <c r="J43" s="126">
        <v>5.1005000000000002E-2</v>
      </c>
      <c r="K43" s="126">
        <v>5.2517000000000001E-2</v>
      </c>
      <c r="L43" s="126">
        <v>5.3672999999999998E-2</v>
      </c>
      <c r="M43" s="126">
        <v>5.4608999999999998E-2</v>
      </c>
      <c r="N43" s="126">
        <v>5.5481000000000003E-2</v>
      </c>
      <c r="O43" s="126">
        <v>5.6133000000000002E-2</v>
      </c>
      <c r="P43" s="126">
        <v>5.6626999999999997E-2</v>
      </c>
      <c r="Q43" s="126">
        <v>5.6869999999999997E-2</v>
      </c>
      <c r="R43" s="126">
        <v>5.7257000000000002E-2</v>
      </c>
      <c r="S43" s="126">
        <v>5.7373E-2</v>
      </c>
      <c r="T43" s="126">
        <v>5.7585999999999998E-2</v>
      </c>
      <c r="U43" s="126">
        <v>5.7757000000000003E-2</v>
      </c>
      <c r="V43" s="126">
        <v>5.8034000000000002E-2</v>
      </c>
      <c r="W43" s="126">
        <v>5.8368000000000003E-2</v>
      </c>
      <c r="X43" s="126">
        <v>5.8708000000000003E-2</v>
      </c>
      <c r="Y43" s="126">
        <v>5.9150000000000001E-2</v>
      </c>
      <c r="Z43" s="126">
        <v>5.9648E-2</v>
      </c>
      <c r="AA43" s="126">
        <v>6.0263999999999998E-2</v>
      </c>
      <c r="AB43" s="126">
        <v>6.0982000000000001E-2</v>
      </c>
      <c r="AC43" s="126">
        <v>6.1772000000000001E-2</v>
      </c>
      <c r="AD43" s="126">
        <v>6.2573000000000004E-2</v>
      </c>
      <c r="AE43" s="126">
        <v>6.3511999999999999E-2</v>
      </c>
      <c r="AF43" s="126">
        <v>6.4572000000000004E-2</v>
      </c>
      <c r="AG43" s="126">
        <v>6.5864000000000006E-2</v>
      </c>
      <c r="AH43" s="126">
        <v>6.6961999999999994E-2</v>
      </c>
      <c r="AI43" s="126">
        <v>6.8256999999999998E-2</v>
      </c>
      <c r="AJ43" s="126">
        <v>6.9611999999999993E-2</v>
      </c>
      <c r="AK43" s="126">
        <v>7.0968000000000003E-2</v>
      </c>
      <c r="AL43" s="115">
        <v>0.02</v>
      </c>
    </row>
    <row r="44" spans="1:38">
      <c r="A44" s="17" t="s">
        <v>113</v>
      </c>
      <c r="B44" s="126" t="s">
        <v>1282</v>
      </c>
      <c r="C44" s="126" t="s">
        <v>2622</v>
      </c>
      <c r="D44" s="126" t="s">
        <v>3096</v>
      </c>
      <c r="E44" s="126" t="s">
        <v>1894</v>
      </c>
      <c r="F44" s="126">
        <v>2.235852</v>
      </c>
      <c r="G44" s="126">
        <v>2.3072599999999999</v>
      </c>
      <c r="H44" s="126">
        <v>2.3521740000000002</v>
      </c>
      <c r="I44" s="126">
        <v>2.370501</v>
      </c>
      <c r="J44" s="126">
        <v>2.369211</v>
      </c>
      <c r="K44" s="126">
        <v>2.3400919999999998</v>
      </c>
      <c r="L44" s="126">
        <v>2.3049620000000002</v>
      </c>
      <c r="M44" s="126">
        <v>2.2675209999999999</v>
      </c>
      <c r="N44" s="126">
        <v>2.236297</v>
      </c>
      <c r="O44" s="126">
        <v>2.2058680000000002</v>
      </c>
      <c r="P44" s="126">
        <v>2.1837369999999998</v>
      </c>
      <c r="Q44" s="126">
        <v>2.1648830000000001</v>
      </c>
      <c r="R44" s="126">
        <v>2.1671659999999999</v>
      </c>
      <c r="S44" s="126">
        <v>2.1769319999999999</v>
      </c>
      <c r="T44" s="126">
        <v>2.2061190000000002</v>
      </c>
      <c r="U44" s="126">
        <v>2.2490019999999999</v>
      </c>
      <c r="V44" s="126">
        <v>2.314432</v>
      </c>
      <c r="W44" s="126">
        <v>2.4044219999999998</v>
      </c>
      <c r="X44" s="126">
        <v>2.515682</v>
      </c>
      <c r="Y44" s="126">
        <v>2.6519810000000001</v>
      </c>
      <c r="Z44" s="126">
        <v>2.8108740000000001</v>
      </c>
      <c r="AA44" s="126">
        <v>2.9949810000000001</v>
      </c>
      <c r="AB44" s="126">
        <v>3.2070069999999999</v>
      </c>
      <c r="AC44" s="126">
        <v>3.4493109999999998</v>
      </c>
      <c r="AD44" s="126">
        <v>3.7169569999999998</v>
      </c>
      <c r="AE44" s="126">
        <v>4.0213150000000004</v>
      </c>
      <c r="AF44" s="126">
        <v>4.3658599999999996</v>
      </c>
      <c r="AG44" s="126">
        <v>4.7620519999999997</v>
      </c>
      <c r="AH44" s="126">
        <v>5.1815509999999998</v>
      </c>
      <c r="AI44" s="126">
        <v>5.6565690000000002</v>
      </c>
      <c r="AJ44" s="126">
        <v>6.1847760000000003</v>
      </c>
      <c r="AK44" s="126">
        <v>6.7661749999999996</v>
      </c>
      <c r="AL44" s="115">
        <v>3.5999999999999997E-2</v>
      </c>
    </row>
    <row r="45" spans="1:38">
      <c r="A45" s="17" t="s">
        <v>114</v>
      </c>
      <c r="B45" s="126" t="s">
        <v>2548</v>
      </c>
      <c r="C45" s="126" t="s">
        <v>2624</v>
      </c>
      <c r="D45" s="126" t="s">
        <v>3097</v>
      </c>
      <c r="E45" s="126" t="s">
        <v>1894</v>
      </c>
      <c r="F45" s="126">
        <v>0</v>
      </c>
      <c r="G45" s="126">
        <v>0</v>
      </c>
      <c r="H45" s="126">
        <v>0</v>
      </c>
      <c r="I45" s="126">
        <v>0</v>
      </c>
      <c r="J45" s="126">
        <v>0</v>
      </c>
      <c r="K45" s="126">
        <v>0</v>
      </c>
      <c r="L45" s="126">
        <v>0</v>
      </c>
      <c r="M45" s="126">
        <v>0</v>
      </c>
      <c r="N45" s="126">
        <v>0</v>
      </c>
      <c r="O45" s="126">
        <v>0</v>
      </c>
      <c r="P45" s="126">
        <v>0</v>
      </c>
      <c r="Q45" s="126">
        <v>0</v>
      </c>
      <c r="R45" s="126">
        <v>0</v>
      </c>
      <c r="S45" s="126">
        <v>0</v>
      </c>
      <c r="T45" s="126">
        <v>0</v>
      </c>
      <c r="U45" s="126">
        <v>0</v>
      </c>
      <c r="V45" s="126">
        <v>0</v>
      </c>
      <c r="W45" s="126">
        <v>0</v>
      </c>
      <c r="X45" s="126">
        <v>0</v>
      </c>
      <c r="Y45" s="126">
        <v>0</v>
      </c>
      <c r="Z45" s="126">
        <v>0</v>
      </c>
      <c r="AA45" s="126">
        <v>0</v>
      </c>
      <c r="AB45" s="126">
        <v>0</v>
      </c>
      <c r="AC45" s="126">
        <v>0</v>
      </c>
      <c r="AD45" s="126">
        <v>0</v>
      </c>
      <c r="AE45" s="126">
        <v>0</v>
      </c>
      <c r="AF45" s="126">
        <v>0</v>
      </c>
      <c r="AG45" s="126">
        <v>0</v>
      </c>
      <c r="AH45" s="126">
        <v>0</v>
      </c>
      <c r="AI45" s="126">
        <v>0</v>
      </c>
      <c r="AJ45" s="126">
        <v>0</v>
      </c>
      <c r="AK45" s="126">
        <v>0</v>
      </c>
      <c r="AL45" s="126" t="s">
        <v>146</v>
      </c>
    </row>
    <row r="46" spans="1:38">
      <c r="A46" s="17" t="s">
        <v>112</v>
      </c>
      <c r="B46" s="126" t="s">
        <v>1577</v>
      </c>
      <c r="C46" s="126" t="s">
        <v>2626</v>
      </c>
      <c r="D46" s="126" t="s">
        <v>3098</v>
      </c>
      <c r="E46" s="126" t="s">
        <v>1894</v>
      </c>
      <c r="F46" s="126">
        <v>0</v>
      </c>
      <c r="G46" s="126">
        <v>1.1329999999999999E-3</v>
      </c>
      <c r="H46" s="126">
        <v>2.1700000000000001E-3</v>
      </c>
      <c r="I46" s="126">
        <v>3.2880000000000001E-3</v>
      </c>
      <c r="J46" s="126">
        <v>4.4120000000000001E-3</v>
      </c>
      <c r="K46" s="126">
        <v>5.4990000000000004E-3</v>
      </c>
      <c r="L46" s="126">
        <v>6.5900000000000004E-3</v>
      </c>
      <c r="M46" s="126">
        <v>7.6899999999999998E-3</v>
      </c>
      <c r="N46" s="126">
        <v>8.8170000000000002E-3</v>
      </c>
      <c r="O46" s="126">
        <v>9.9380000000000007E-3</v>
      </c>
      <c r="P46" s="126">
        <v>1.106E-2</v>
      </c>
      <c r="Q46" s="126">
        <v>1.2128999999999999E-2</v>
      </c>
      <c r="R46" s="126">
        <v>1.3225000000000001E-2</v>
      </c>
      <c r="S46" s="126">
        <v>1.4255E-2</v>
      </c>
      <c r="T46" s="126">
        <v>1.5266999999999999E-2</v>
      </c>
      <c r="U46" s="126">
        <v>1.6209999999999999E-2</v>
      </c>
      <c r="V46" s="126">
        <v>1.7135000000000001E-2</v>
      </c>
      <c r="W46" s="126">
        <v>1.8044000000000001E-2</v>
      </c>
      <c r="X46" s="126">
        <v>1.891E-2</v>
      </c>
      <c r="Y46" s="126">
        <v>1.9789999999999999E-2</v>
      </c>
      <c r="Z46" s="126">
        <v>2.0648E-2</v>
      </c>
      <c r="AA46" s="126">
        <v>2.1499999999999998E-2</v>
      </c>
      <c r="AB46" s="126">
        <v>2.2360999999999999E-2</v>
      </c>
      <c r="AC46" s="126">
        <v>2.3272000000000001E-2</v>
      </c>
      <c r="AD46" s="126">
        <v>2.419E-2</v>
      </c>
      <c r="AE46" s="126">
        <v>2.5174999999999999E-2</v>
      </c>
      <c r="AF46" s="126">
        <v>2.6214999999999999E-2</v>
      </c>
      <c r="AG46" s="126">
        <v>2.7355999999999998E-2</v>
      </c>
      <c r="AH46" s="126">
        <v>2.8424999999999999E-2</v>
      </c>
      <c r="AI46" s="126">
        <v>2.9589000000000001E-2</v>
      </c>
      <c r="AJ46" s="126">
        <v>3.0810000000000001E-2</v>
      </c>
      <c r="AK46" s="126">
        <v>3.2077000000000001E-2</v>
      </c>
      <c r="AL46" s="126" t="s">
        <v>146</v>
      </c>
    </row>
    <row r="47" spans="1:38">
      <c r="A47" s="17" t="s">
        <v>116</v>
      </c>
      <c r="B47" s="126" t="s">
        <v>2549</v>
      </c>
      <c r="C47" s="126" t="s">
        <v>2628</v>
      </c>
      <c r="D47" s="126" t="s">
        <v>3099</v>
      </c>
      <c r="E47" s="126" t="s">
        <v>1894</v>
      </c>
      <c r="F47" s="126">
        <v>1.0020000000000001E-3</v>
      </c>
      <c r="G47" s="126">
        <v>2.5200000000000001E-3</v>
      </c>
      <c r="H47" s="126">
        <v>3.9379999999999997E-3</v>
      </c>
      <c r="I47" s="126">
        <v>5.4669999999999996E-3</v>
      </c>
      <c r="J47" s="126">
        <v>7.0060000000000001E-3</v>
      </c>
      <c r="K47" s="126">
        <v>8.489E-3</v>
      </c>
      <c r="L47" s="126">
        <v>9.9710000000000007E-3</v>
      </c>
      <c r="M47" s="126">
        <v>1.1457999999999999E-2</v>
      </c>
      <c r="N47" s="126">
        <v>1.2973999999999999E-2</v>
      </c>
      <c r="O47" s="126">
        <v>1.447E-2</v>
      </c>
      <c r="P47" s="126">
        <v>1.5956999999999999E-2</v>
      </c>
      <c r="Q47" s="126">
        <v>1.7364000000000001E-2</v>
      </c>
      <c r="R47" s="126">
        <v>1.8807000000000001E-2</v>
      </c>
      <c r="S47" s="126">
        <v>2.0157000000000001E-2</v>
      </c>
      <c r="T47" s="126">
        <v>2.1486000000000002E-2</v>
      </c>
      <c r="U47" s="126">
        <v>2.2728000000000002E-2</v>
      </c>
      <c r="V47" s="126">
        <v>2.3959000000000001E-2</v>
      </c>
      <c r="W47" s="126">
        <v>2.5186E-2</v>
      </c>
      <c r="X47" s="126">
        <v>2.6352E-2</v>
      </c>
      <c r="Y47" s="126">
        <v>2.7521E-2</v>
      </c>
      <c r="Z47" s="126">
        <v>2.8666000000000001E-2</v>
      </c>
      <c r="AA47" s="126">
        <v>2.9833999999999999E-2</v>
      </c>
      <c r="AB47" s="126">
        <v>3.1025E-2</v>
      </c>
      <c r="AC47" s="126">
        <v>3.2273999999999997E-2</v>
      </c>
      <c r="AD47" s="126">
        <v>3.3533E-2</v>
      </c>
      <c r="AE47" s="126">
        <v>3.4883999999999998E-2</v>
      </c>
      <c r="AF47" s="126">
        <v>3.6311999999999997E-2</v>
      </c>
      <c r="AG47" s="126">
        <v>3.7878000000000002E-2</v>
      </c>
      <c r="AH47" s="126">
        <v>3.9345999999999999E-2</v>
      </c>
      <c r="AI47" s="126">
        <v>4.0945000000000002E-2</v>
      </c>
      <c r="AJ47" s="126">
        <v>4.2622E-2</v>
      </c>
      <c r="AK47" s="126">
        <v>4.4364000000000001E-2</v>
      </c>
      <c r="AL47" s="115">
        <v>0.13</v>
      </c>
    </row>
    <row r="48" spans="1:38">
      <c r="A48" s="17" t="s">
        <v>116</v>
      </c>
      <c r="B48" s="126" t="s">
        <v>2550</v>
      </c>
      <c r="C48" s="126" t="s">
        <v>2630</v>
      </c>
      <c r="D48" s="126" t="s">
        <v>3100</v>
      </c>
      <c r="E48" s="126" t="s">
        <v>1894</v>
      </c>
      <c r="F48" s="126">
        <v>1.0790000000000001E-3</v>
      </c>
      <c r="G48" s="126">
        <v>2.666E-3</v>
      </c>
      <c r="H48" s="126">
        <v>4.15E-3</v>
      </c>
      <c r="I48" s="126">
        <v>5.7489999999999998E-3</v>
      </c>
      <c r="J48" s="126">
        <v>7.3590000000000001E-3</v>
      </c>
      <c r="K48" s="126">
        <v>8.9099999999999995E-3</v>
      </c>
      <c r="L48" s="126">
        <v>1.0460000000000001E-2</v>
      </c>
      <c r="M48" s="126">
        <v>1.2014E-2</v>
      </c>
      <c r="N48" s="126">
        <v>1.3599E-2</v>
      </c>
      <c r="O48" s="126">
        <v>1.5162999999999999E-2</v>
      </c>
      <c r="P48" s="126">
        <v>1.6718E-2</v>
      </c>
      <c r="Q48" s="126">
        <v>1.8186999999999998E-2</v>
      </c>
      <c r="R48" s="126">
        <v>1.9695000000000001E-2</v>
      </c>
      <c r="S48" s="126">
        <v>2.1104999999999999E-2</v>
      </c>
      <c r="T48" s="126">
        <v>2.2494E-2</v>
      </c>
      <c r="U48" s="126">
        <v>2.3792000000000001E-2</v>
      </c>
      <c r="V48" s="126">
        <v>2.5078E-2</v>
      </c>
      <c r="W48" s="126">
        <v>2.6360999999999999E-2</v>
      </c>
      <c r="X48" s="126">
        <v>2.7581000000000001E-2</v>
      </c>
      <c r="Y48" s="126">
        <v>2.8802000000000001E-2</v>
      </c>
      <c r="Z48" s="126">
        <v>2.9999000000000001E-2</v>
      </c>
      <c r="AA48" s="126">
        <v>3.1220000000000001E-2</v>
      </c>
      <c r="AB48" s="126">
        <v>3.2467000000000003E-2</v>
      </c>
      <c r="AC48" s="126">
        <v>3.3772999999999997E-2</v>
      </c>
      <c r="AD48" s="126">
        <v>3.5090999999999997E-2</v>
      </c>
      <c r="AE48" s="126">
        <v>3.6504000000000002E-2</v>
      </c>
      <c r="AF48" s="126">
        <v>3.7997000000000003E-2</v>
      </c>
      <c r="AG48" s="126">
        <v>3.9635999999999998E-2</v>
      </c>
      <c r="AH48" s="126">
        <v>4.1170999999999999E-2</v>
      </c>
      <c r="AI48" s="126">
        <v>4.2845000000000001E-2</v>
      </c>
      <c r="AJ48" s="126">
        <v>4.4599E-2</v>
      </c>
      <c r="AK48" s="126">
        <v>4.6420999999999997E-2</v>
      </c>
      <c r="AL48" s="115">
        <v>0.129</v>
      </c>
    </row>
    <row r="49" spans="1:38">
      <c r="A49" s="17" t="s">
        <v>854</v>
      </c>
      <c r="B49" s="126" t="s">
        <v>1581</v>
      </c>
      <c r="C49" s="126" t="s">
        <v>2632</v>
      </c>
      <c r="D49" s="126" t="s">
        <v>3101</v>
      </c>
      <c r="E49" s="126" t="s">
        <v>1894</v>
      </c>
      <c r="F49" s="126">
        <v>1.173E-3</v>
      </c>
      <c r="G49" s="126">
        <v>3.3279999999999998E-3</v>
      </c>
      <c r="H49" s="126">
        <v>5.3369999999999997E-3</v>
      </c>
      <c r="I49" s="126">
        <v>7.502E-3</v>
      </c>
      <c r="J49" s="126">
        <v>9.6810000000000004E-3</v>
      </c>
      <c r="K49" s="126">
        <v>1.1782000000000001E-2</v>
      </c>
      <c r="L49" s="126">
        <v>1.3883E-2</v>
      </c>
      <c r="M49" s="126">
        <v>1.5993E-2</v>
      </c>
      <c r="N49" s="126">
        <v>1.8145999999999999E-2</v>
      </c>
      <c r="O49" s="126">
        <v>2.0274E-2</v>
      </c>
      <c r="P49" s="126">
        <v>2.2391999999999999E-2</v>
      </c>
      <c r="Q49" s="126">
        <v>2.4396999999999999E-2</v>
      </c>
      <c r="R49" s="126">
        <v>2.6453999999999998E-2</v>
      </c>
      <c r="S49" s="126">
        <v>2.8381E-2</v>
      </c>
      <c r="T49" s="126">
        <v>3.0276000000000001E-2</v>
      </c>
      <c r="U49" s="126">
        <v>3.2046999999999999E-2</v>
      </c>
      <c r="V49" s="126">
        <v>3.3798000000000002E-2</v>
      </c>
      <c r="W49" s="126">
        <v>3.5539000000000001E-2</v>
      </c>
      <c r="X49" s="126">
        <v>3.7196E-2</v>
      </c>
      <c r="Y49" s="126">
        <v>3.8859999999999999E-2</v>
      </c>
      <c r="Z49" s="126">
        <v>4.0488000000000003E-2</v>
      </c>
      <c r="AA49" s="126">
        <v>4.2140999999999998E-2</v>
      </c>
      <c r="AB49" s="126">
        <v>4.3824000000000002E-2</v>
      </c>
      <c r="AC49" s="126">
        <v>4.5592000000000001E-2</v>
      </c>
      <c r="AD49" s="126">
        <v>4.7375E-2</v>
      </c>
      <c r="AE49" s="126">
        <v>4.9286999999999997E-2</v>
      </c>
      <c r="AF49" s="126">
        <v>5.1306999999999998E-2</v>
      </c>
      <c r="AG49" s="126">
        <v>5.3524000000000002E-2</v>
      </c>
      <c r="AH49" s="126">
        <v>5.5599999999999997E-2</v>
      </c>
      <c r="AI49" s="126">
        <v>5.7862999999999998E-2</v>
      </c>
      <c r="AJ49" s="126">
        <v>6.0235999999999998E-2</v>
      </c>
      <c r="AK49" s="126">
        <v>6.2700000000000006E-2</v>
      </c>
      <c r="AL49" s="115">
        <v>0.13700000000000001</v>
      </c>
    </row>
    <row r="50" spans="1:38">
      <c r="B50" s="126" t="s">
        <v>2554</v>
      </c>
      <c r="C50" s="126" t="s">
        <v>2634</v>
      </c>
      <c r="D50" s="126" t="s">
        <v>3102</v>
      </c>
      <c r="E50" s="126" t="s">
        <v>1894</v>
      </c>
      <c r="F50" s="126">
        <v>187.57427999999999</v>
      </c>
      <c r="G50" s="126">
        <v>189.93634</v>
      </c>
      <c r="H50" s="126">
        <v>192.67484999999999</v>
      </c>
      <c r="I50" s="126">
        <v>195.238831</v>
      </c>
      <c r="J50" s="126">
        <v>197.73292499999999</v>
      </c>
      <c r="K50" s="126">
        <v>198.88999899999999</v>
      </c>
      <c r="L50" s="126">
        <v>200.11705000000001</v>
      </c>
      <c r="M50" s="126">
        <v>201.199692</v>
      </c>
      <c r="N50" s="126">
        <v>202.49142499999999</v>
      </c>
      <c r="O50" s="126">
        <v>203.39149499999999</v>
      </c>
      <c r="P50" s="126">
        <v>204.320618</v>
      </c>
      <c r="Q50" s="126">
        <v>204.68647799999999</v>
      </c>
      <c r="R50" s="126">
        <v>206.036835</v>
      </c>
      <c r="S50" s="126">
        <v>206.859329</v>
      </c>
      <c r="T50" s="126">
        <v>207.93722500000001</v>
      </c>
      <c r="U50" s="126">
        <v>208.573792</v>
      </c>
      <c r="V50" s="126">
        <v>209.42460600000001</v>
      </c>
      <c r="W50" s="126">
        <v>210.416504</v>
      </c>
      <c r="X50" s="126">
        <v>211.109589</v>
      </c>
      <c r="Y50" s="126">
        <v>211.91996800000001</v>
      </c>
      <c r="Z50" s="126">
        <v>212.676163</v>
      </c>
      <c r="AA50" s="126">
        <v>213.60458399999999</v>
      </c>
      <c r="AB50" s="126">
        <v>214.56098900000001</v>
      </c>
      <c r="AC50" s="126">
        <v>215.668274</v>
      </c>
      <c r="AD50" s="126">
        <v>216.67707799999999</v>
      </c>
      <c r="AE50" s="126">
        <v>218.04837000000001</v>
      </c>
      <c r="AF50" s="126">
        <v>219.66639699999999</v>
      </c>
      <c r="AG50" s="126">
        <v>221.832581</v>
      </c>
      <c r="AH50" s="126">
        <v>223.127869</v>
      </c>
      <c r="AI50" s="126">
        <v>224.901825</v>
      </c>
      <c r="AJ50" s="126">
        <v>226.75671399999999</v>
      </c>
      <c r="AK50" s="126">
        <v>228.51850899999999</v>
      </c>
      <c r="AL50" s="115">
        <v>6.0000000000000001E-3</v>
      </c>
    </row>
    <row r="51" spans="1:38">
      <c r="B51" s="126" t="s">
        <v>2555</v>
      </c>
      <c r="C51" s="126" t="s">
        <v>2636</v>
      </c>
      <c r="D51" s="126" t="s">
        <v>3103</v>
      </c>
      <c r="E51" s="126" t="s">
        <v>1894</v>
      </c>
      <c r="F51" s="126">
        <v>304.29357900000002</v>
      </c>
      <c r="G51" s="126">
        <v>307.66116299999999</v>
      </c>
      <c r="H51" s="126">
        <v>312.93335000000002</v>
      </c>
      <c r="I51" s="126">
        <v>317.70700099999999</v>
      </c>
      <c r="J51" s="126">
        <v>322.66467299999999</v>
      </c>
      <c r="K51" s="126">
        <v>325.79129</v>
      </c>
      <c r="L51" s="126">
        <v>329.25698899999998</v>
      </c>
      <c r="M51" s="126">
        <v>332.694885</v>
      </c>
      <c r="N51" s="126">
        <v>336.70532200000002</v>
      </c>
      <c r="O51" s="126">
        <v>340.27844199999998</v>
      </c>
      <c r="P51" s="126">
        <v>344.02716099999998</v>
      </c>
      <c r="Q51" s="126">
        <v>346.95617700000003</v>
      </c>
      <c r="R51" s="126">
        <v>351.66378800000001</v>
      </c>
      <c r="S51" s="126">
        <v>355.60348499999998</v>
      </c>
      <c r="T51" s="126">
        <v>360.03207400000002</v>
      </c>
      <c r="U51" s="126">
        <v>363.81957999999997</v>
      </c>
      <c r="V51" s="126">
        <v>368.12973</v>
      </c>
      <c r="W51" s="126">
        <v>372.77658100000002</v>
      </c>
      <c r="X51" s="126">
        <v>376.815247</v>
      </c>
      <c r="Y51" s="126">
        <v>380.994415</v>
      </c>
      <c r="Z51" s="126">
        <v>385.11114500000002</v>
      </c>
      <c r="AA51" s="126">
        <v>389.50805700000001</v>
      </c>
      <c r="AB51" s="126">
        <v>394.02108800000002</v>
      </c>
      <c r="AC51" s="126">
        <v>398.79629499999999</v>
      </c>
      <c r="AD51" s="126">
        <v>403.47387700000002</v>
      </c>
      <c r="AE51" s="126">
        <v>408.93469199999998</v>
      </c>
      <c r="AF51" s="126">
        <v>414.93237299999998</v>
      </c>
      <c r="AG51" s="126">
        <v>422.07150300000001</v>
      </c>
      <c r="AH51" s="126">
        <v>427.74401899999998</v>
      </c>
      <c r="AI51" s="126">
        <v>434.53539999999998</v>
      </c>
      <c r="AJ51" s="126">
        <v>441.66012599999999</v>
      </c>
      <c r="AK51" s="126">
        <v>448.94326799999999</v>
      </c>
      <c r="AL51" s="115">
        <v>1.2999999999999999E-2</v>
      </c>
    </row>
    <row r="52" spans="1:38">
      <c r="B52" s="126" t="s">
        <v>2556</v>
      </c>
      <c r="D52" s="126" t="s">
        <v>3104</v>
      </c>
    </row>
    <row r="53" spans="1:38">
      <c r="B53" s="126" t="s">
        <v>1221</v>
      </c>
      <c r="D53" s="126" t="s">
        <v>3105</v>
      </c>
    </row>
    <row r="54" spans="1:38">
      <c r="A54" s="17" t="s">
        <v>115</v>
      </c>
      <c r="B54" s="126" t="s">
        <v>1266</v>
      </c>
      <c r="C54" s="126" t="s">
        <v>2640</v>
      </c>
      <c r="D54" s="126" t="s">
        <v>3106</v>
      </c>
      <c r="E54" s="126" t="s">
        <v>1294</v>
      </c>
      <c r="F54" s="126">
        <v>441.157196</v>
      </c>
      <c r="G54" s="126">
        <v>439.851654</v>
      </c>
      <c r="H54" s="126">
        <v>444.875854</v>
      </c>
      <c r="I54" s="126">
        <v>445.75824</v>
      </c>
      <c r="J54" s="126">
        <v>447.026276</v>
      </c>
      <c r="K54" s="126">
        <v>446.18331899999998</v>
      </c>
      <c r="L54" s="126">
        <v>445.75247200000001</v>
      </c>
      <c r="M54" s="126">
        <v>444.64956699999999</v>
      </c>
      <c r="N54" s="126">
        <v>443.95849600000003</v>
      </c>
      <c r="O54" s="126">
        <v>443.044647</v>
      </c>
      <c r="P54" s="126">
        <v>442.47238199999998</v>
      </c>
      <c r="Q54" s="126">
        <v>441.41467299999999</v>
      </c>
      <c r="R54" s="126">
        <v>443.26297</v>
      </c>
      <c r="S54" s="126">
        <v>444.08538800000002</v>
      </c>
      <c r="T54" s="126">
        <v>445.49386600000003</v>
      </c>
      <c r="U54" s="126">
        <v>446.66549700000002</v>
      </c>
      <c r="V54" s="126">
        <v>448.95410199999998</v>
      </c>
      <c r="W54" s="126">
        <v>451.39312699999999</v>
      </c>
      <c r="X54" s="126">
        <v>452.53585800000002</v>
      </c>
      <c r="Y54" s="126">
        <v>453.64514200000002</v>
      </c>
      <c r="Z54" s="126">
        <v>454.65353399999998</v>
      </c>
      <c r="AA54" s="126">
        <v>455.76773100000003</v>
      </c>
      <c r="AB54" s="126">
        <v>456.98211700000002</v>
      </c>
      <c r="AC54" s="126">
        <v>458.283661</v>
      </c>
      <c r="AD54" s="126">
        <v>459.356964</v>
      </c>
      <c r="AE54" s="126">
        <v>461.23822000000001</v>
      </c>
      <c r="AF54" s="126">
        <v>463.55627399999997</v>
      </c>
      <c r="AG54" s="126">
        <v>467.04431199999999</v>
      </c>
      <c r="AH54" s="126">
        <v>469.11380000000003</v>
      </c>
      <c r="AI54" s="126">
        <v>472.58075000000002</v>
      </c>
      <c r="AJ54" s="126">
        <v>476.39025900000001</v>
      </c>
      <c r="AK54" s="126">
        <v>480.847961</v>
      </c>
      <c r="AL54" s="115">
        <v>3.0000000000000001E-3</v>
      </c>
    </row>
    <row r="55" spans="1:38">
      <c r="A55" s="17" t="s">
        <v>114</v>
      </c>
      <c r="B55" s="126" t="s">
        <v>1352</v>
      </c>
      <c r="C55" s="126" t="s">
        <v>2642</v>
      </c>
      <c r="D55" s="126" t="s">
        <v>3107</v>
      </c>
      <c r="E55" s="126" t="s">
        <v>1294</v>
      </c>
      <c r="F55" s="126">
        <v>165.25325000000001</v>
      </c>
      <c r="G55" s="126">
        <v>164.454971</v>
      </c>
      <c r="H55" s="126">
        <v>166.53810100000001</v>
      </c>
      <c r="I55" s="126">
        <v>167.45056199999999</v>
      </c>
      <c r="J55" s="126">
        <v>168.80522199999999</v>
      </c>
      <c r="K55" s="126">
        <v>169.56707800000001</v>
      </c>
      <c r="L55" s="126">
        <v>170.78431699999999</v>
      </c>
      <c r="M55" s="126">
        <v>172.09639000000001</v>
      </c>
      <c r="N55" s="126">
        <v>173.62622099999999</v>
      </c>
      <c r="O55" s="126">
        <v>174.87560999999999</v>
      </c>
      <c r="P55" s="126">
        <v>176.28919999999999</v>
      </c>
      <c r="Q55" s="126">
        <v>177.55345199999999</v>
      </c>
      <c r="R55" s="126">
        <v>179.84492499999999</v>
      </c>
      <c r="S55" s="126">
        <v>182.160492</v>
      </c>
      <c r="T55" s="126">
        <v>185.23513800000001</v>
      </c>
      <c r="U55" s="126">
        <v>188.33802800000001</v>
      </c>
      <c r="V55" s="126">
        <v>192.02383399999999</v>
      </c>
      <c r="W55" s="126">
        <v>196.10861199999999</v>
      </c>
      <c r="X55" s="126">
        <v>199.81353799999999</v>
      </c>
      <c r="Y55" s="126">
        <v>203.407028</v>
      </c>
      <c r="Z55" s="126">
        <v>206.713821</v>
      </c>
      <c r="AA55" s="126">
        <v>210.07699600000001</v>
      </c>
      <c r="AB55" s="126">
        <v>213.51179500000001</v>
      </c>
      <c r="AC55" s="126">
        <v>216.92773399999999</v>
      </c>
      <c r="AD55" s="126">
        <v>220.113113</v>
      </c>
      <c r="AE55" s="126">
        <v>223.60792499999999</v>
      </c>
      <c r="AF55" s="126">
        <v>227.27912900000001</v>
      </c>
      <c r="AG55" s="126">
        <v>231.45361299999999</v>
      </c>
      <c r="AH55" s="126">
        <v>234.81632999999999</v>
      </c>
      <c r="AI55" s="126">
        <v>238.794479</v>
      </c>
      <c r="AJ55" s="126">
        <v>242.93493699999999</v>
      </c>
      <c r="AK55" s="126">
        <v>247.39920000000001</v>
      </c>
      <c r="AL55" s="115">
        <v>1.2999999999999999E-2</v>
      </c>
    </row>
    <row r="56" spans="1:38">
      <c r="A56" s="17" t="s">
        <v>853</v>
      </c>
      <c r="B56" s="126" t="s">
        <v>1273</v>
      </c>
      <c r="C56" s="126" t="s">
        <v>2644</v>
      </c>
      <c r="D56" s="126" t="s">
        <v>3108</v>
      </c>
      <c r="E56" s="126" t="s">
        <v>1294</v>
      </c>
      <c r="F56" s="126">
        <v>0.118809</v>
      </c>
      <c r="G56" s="126">
        <v>0.165408</v>
      </c>
      <c r="H56" s="126">
        <v>0.21107600000000001</v>
      </c>
      <c r="I56" s="126">
        <v>0.25260300000000002</v>
      </c>
      <c r="J56" s="126">
        <v>0.293383</v>
      </c>
      <c r="K56" s="126">
        <v>0.33160899999999999</v>
      </c>
      <c r="L56" s="126">
        <v>0.36896699999999999</v>
      </c>
      <c r="M56" s="126">
        <v>0.40499800000000002</v>
      </c>
      <c r="N56" s="126">
        <v>0.44082300000000002</v>
      </c>
      <c r="O56" s="126">
        <v>0.47652</v>
      </c>
      <c r="P56" s="126">
        <v>0.51246700000000001</v>
      </c>
      <c r="Q56" s="126">
        <v>0.54691599999999996</v>
      </c>
      <c r="R56" s="126">
        <v>0.58455000000000001</v>
      </c>
      <c r="S56" s="126">
        <v>0.62150399999999995</v>
      </c>
      <c r="T56" s="126">
        <v>0.66028299999999995</v>
      </c>
      <c r="U56" s="126">
        <v>0.69889100000000004</v>
      </c>
      <c r="V56" s="126">
        <v>0.74020699999999995</v>
      </c>
      <c r="W56" s="126">
        <v>0.78395999999999999</v>
      </c>
      <c r="X56" s="126">
        <v>0.82745500000000005</v>
      </c>
      <c r="Y56" s="126">
        <v>0.87267899999999998</v>
      </c>
      <c r="Z56" s="126">
        <v>0.91802300000000003</v>
      </c>
      <c r="AA56" s="126">
        <v>0.96418899999999996</v>
      </c>
      <c r="AB56" s="126">
        <v>1.011474</v>
      </c>
      <c r="AC56" s="126">
        <v>1.0603659999999999</v>
      </c>
      <c r="AD56" s="126">
        <v>1.109532</v>
      </c>
      <c r="AE56" s="126">
        <v>1.162245</v>
      </c>
      <c r="AF56" s="126">
        <v>1.2184900000000001</v>
      </c>
      <c r="AG56" s="126">
        <v>1.281112</v>
      </c>
      <c r="AH56" s="126">
        <v>1.342859</v>
      </c>
      <c r="AI56" s="126">
        <v>1.4122779999999999</v>
      </c>
      <c r="AJ56" s="126">
        <v>1.4866569999999999</v>
      </c>
      <c r="AK56" s="126">
        <v>1.5669919999999999</v>
      </c>
      <c r="AL56" s="115">
        <v>8.6999999999999994E-2</v>
      </c>
    </row>
    <row r="57" spans="1:38">
      <c r="A57" s="17" t="s">
        <v>113</v>
      </c>
      <c r="B57" s="126" t="s">
        <v>1282</v>
      </c>
      <c r="C57" s="126" t="s">
        <v>2646</v>
      </c>
      <c r="D57" s="126" t="s">
        <v>3109</v>
      </c>
      <c r="E57" s="126" t="s">
        <v>1294</v>
      </c>
      <c r="F57" s="126">
        <v>6.5120999999999998E-2</v>
      </c>
      <c r="G57" s="126">
        <v>9.4753000000000004E-2</v>
      </c>
      <c r="H57" s="126">
        <v>0.123069</v>
      </c>
      <c r="I57" s="126">
        <v>0.148065</v>
      </c>
      <c r="J57" s="126">
        <v>0.17125299999999999</v>
      </c>
      <c r="K57" s="126">
        <v>0.19175</v>
      </c>
      <c r="L57" s="126">
        <v>0.21068100000000001</v>
      </c>
      <c r="M57" s="126">
        <v>0.227911</v>
      </c>
      <c r="N57" s="126">
        <v>0.244148</v>
      </c>
      <c r="O57" s="126">
        <v>0.25945400000000002</v>
      </c>
      <c r="P57" s="126">
        <v>0.27416099999999999</v>
      </c>
      <c r="Q57" s="126">
        <v>0.28744799999999998</v>
      </c>
      <c r="R57" s="126">
        <v>0.301732</v>
      </c>
      <c r="S57" s="126">
        <v>0.314938</v>
      </c>
      <c r="T57" s="126">
        <v>0.32844299999999998</v>
      </c>
      <c r="U57" s="126">
        <v>0.34143200000000001</v>
      </c>
      <c r="V57" s="126">
        <v>0.35519499999999998</v>
      </c>
      <c r="W57" s="126">
        <v>0.36943100000000001</v>
      </c>
      <c r="X57" s="126">
        <v>0.382965</v>
      </c>
      <c r="Y57" s="126">
        <v>0.39681</v>
      </c>
      <c r="Z57" s="126">
        <v>0.410437</v>
      </c>
      <c r="AA57" s="126">
        <v>0.42427599999999999</v>
      </c>
      <c r="AB57" s="126">
        <v>0.43861299999999998</v>
      </c>
      <c r="AC57" s="126">
        <v>0.45444000000000001</v>
      </c>
      <c r="AD57" s="126">
        <v>0.471522</v>
      </c>
      <c r="AE57" s="126">
        <v>0.49183500000000002</v>
      </c>
      <c r="AF57" s="126">
        <v>0.51565799999999995</v>
      </c>
      <c r="AG57" s="126">
        <v>0.54457800000000001</v>
      </c>
      <c r="AH57" s="126">
        <v>0.57587299999999997</v>
      </c>
      <c r="AI57" s="126">
        <v>0.61359200000000003</v>
      </c>
      <c r="AJ57" s="126">
        <v>0.65694699999999995</v>
      </c>
      <c r="AK57" s="126">
        <v>0.70685100000000001</v>
      </c>
      <c r="AL57" s="115">
        <v>0.08</v>
      </c>
    </row>
    <row r="58" spans="1:38">
      <c r="A58" s="17" t="s">
        <v>114</v>
      </c>
      <c r="B58" s="126" t="s">
        <v>2548</v>
      </c>
      <c r="C58" s="126" t="s">
        <v>2648</v>
      </c>
      <c r="D58" s="126" t="s">
        <v>3110</v>
      </c>
      <c r="E58" s="126" t="s">
        <v>1294</v>
      </c>
      <c r="F58" s="126">
        <v>46.497841000000001</v>
      </c>
      <c r="G58" s="126">
        <v>49.382297999999999</v>
      </c>
      <c r="H58" s="126">
        <v>52.720523999999997</v>
      </c>
      <c r="I58" s="126">
        <v>55.438412</v>
      </c>
      <c r="J58" s="126">
        <v>58.098877000000002</v>
      </c>
      <c r="K58" s="126">
        <v>60.435454999999997</v>
      </c>
      <c r="L58" s="126">
        <v>62.901671999999998</v>
      </c>
      <c r="M58" s="126">
        <v>65.381752000000006</v>
      </c>
      <c r="N58" s="126">
        <v>67.983559</v>
      </c>
      <c r="O58" s="126">
        <v>70.611564999999999</v>
      </c>
      <c r="P58" s="126">
        <v>73.415970000000002</v>
      </c>
      <c r="Q58" s="126">
        <v>76.181006999999994</v>
      </c>
      <c r="R58" s="126">
        <v>79.430351000000002</v>
      </c>
      <c r="S58" s="126">
        <v>82.622687999999997</v>
      </c>
      <c r="T58" s="126">
        <v>86.056984</v>
      </c>
      <c r="U58" s="126">
        <v>89.336876000000004</v>
      </c>
      <c r="V58" s="126">
        <v>92.878960000000006</v>
      </c>
      <c r="W58" s="126">
        <v>96.613060000000004</v>
      </c>
      <c r="X58" s="126">
        <v>100.280106</v>
      </c>
      <c r="Y58" s="126">
        <v>103.984886</v>
      </c>
      <c r="Z58" s="126">
        <v>108.045677</v>
      </c>
      <c r="AA58" s="126">
        <v>112.491905</v>
      </c>
      <c r="AB58" s="126">
        <v>117.267647</v>
      </c>
      <c r="AC58" s="126">
        <v>122.368492</v>
      </c>
      <c r="AD58" s="126">
        <v>127.61853000000001</v>
      </c>
      <c r="AE58" s="126">
        <v>133.36409</v>
      </c>
      <c r="AF58" s="126">
        <v>139.49873400000001</v>
      </c>
      <c r="AG58" s="126">
        <v>146.25076300000001</v>
      </c>
      <c r="AH58" s="126">
        <v>152.80003400000001</v>
      </c>
      <c r="AI58" s="126">
        <v>160.19517500000001</v>
      </c>
      <c r="AJ58" s="126">
        <v>168.01229900000001</v>
      </c>
      <c r="AK58" s="126">
        <v>176.45491000000001</v>
      </c>
      <c r="AL58" s="115">
        <v>4.3999999999999997E-2</v>
      </c>
    </row>
    <row r="59" spans="1:38">
      <c r="A59" s="17" t="s">
        <v>112</v>
      </c>
      <c r="B59" s="126" t="s">
        <v>1577</v>
      </c>
      <c r="C59" s="126" t="s">
        <v>2650</v>
      </c>
      <c r="D59" s="126" t="s">
        <v>3111</v>
      </c>
      <c r="E59" s="126" t="s">
        <v>1294</v>
      </c>
      <c r="F59" s="126">
        <v>6.8770000000000003E-3</v>
      </c>
      <c r="G59" s="126">
        <v>3.3599999999999998E-2</v>
      </c>
      <c r="H59" s="126">
        <v>6.1106000000000001E-2</v>
      </c>
      <c r="I59" s="126">
        <v>8.9328000000000005E-2</v>
      </c>
      <c r="J59" s="126">
        <v>0.11849</v>
      </c>
      <c r="K59" s="126">
        <v>0.14740200000000001</v>
      </c>
      <c r="L59" s="126">
        <v>0.17644599999999999</v>
      </c>
      <c r="M59" s="126">
        <v>0.20519999999999999</v>
      </c>
      <c r="N59" s="126">
        <v>0.23400699999999999</v>
      </c>
      <c r="O59" s="126">
        <v>0.262262</v>
      </c>
      <c r="P59" s="126">
        <v>0.29012500000000002</v>
      </c>
      <c r="Q59" s="126">
        <v>0.31678299999999998</v>
      </c>
      <c r="R59" s="126">
        <v>0.34505200000000003</v>
      </c>
      <c r="S59" s="126">
        <v>0.37275399999999997</v>
      </c>
      <c r="T59" s="126">
        <v>0.401254</v>
      </c>
      <c r="U59" s="126">
        <v>0.42981200000000003</v>
      </c>
      <c r="V59" s="126">
        <v>0.46034900000000001</v>
      </c>
      <c r="W59" s="126">
        <v>0.49257000000000001</v>
      </c>
      <c r="X59" s="126">
        <v>0.52495199999999997</v>
      </c>
      <c r="Y59" s="126">
        <v>0.55886100000000005</v>
      </c>
      <c r="Z59" s="126">
        <v>0.59360500000000005</v>
      </c>
      <c r="AA59" s="126">
        <v>0.62952699999999995</v>
      </c>
      <c r="AB59" s="126">
        <v>0.66700199999999998</v>
      </c>
      <c r="AC59" s="126">
        <v>0.70572699999999999</v>
      </c>
      <c r="AD59" s="126">
        <v>0.74365800000000004</v>
      </c>
      <c r="AE59" s="126">
        <v>0.78296399999999999</v>
      </c>
      <c r="AF59" s="126">
        <v>0.82369999999999999</v>
      </c>
      <c r="AG59" s="126">
        <v>0.86769499999999999</v>
      </c>
      <c r="AH59" s="126">
        <v>0.91022899999999995</v>
      </c>
      <c r="AI59" s="126">
        <v>0.95715099999999997</v>
      </c>
      <c r="AJ59" s="126">
        <v>1.0069669999999999</v>
      </c>
      <c r="AK59" s="126">
        <v>1.0608439999999999</v>
      </c>
      <c r="AL59" s="115">
        <v>0.17599999999999999</v>
      </c>
    </row>
    <row r="60" spans="1:38">
      <c r="A60" s="17" t="s">
        <v>116</v>
      </c>
      <c r="B60" s="126" t="s">
        <v>2549</v>
      </c>
      <c r="C60" s="126" t="s">
        <v>2652</v>
      </c>
      <c r="D60" s="126" t="s">
        <v>3112</v>
      </c>
      <c r="E60" s="126" t="s">
        <v>1294</v>
      </c>
      <c r="F60" s="126">
        <v>0</v>
      </c>
      <c r="G60" s="126">
        <v>3.6101000000000001E-2</v>
      </c>
      <c r="H60" s="126">
        <v>7.2613999999999998E-2</v>
      </c>
      <c r="I60" s="126">
        <v>0.109613</v>
      </c>
      <c r="J60" s="126">
        <v>0.14730299999999999</v>
      </c>
      <c r="K60" s="126">
        <v>0.184003</v>
      </c>
      <c r="L60" s="126">
        <v>0.219995</v>
      </c>
      <c r="M60" s="126">
        <v>0.25469999999999998</v>
      </c>
      <c r="N60" s="126">
        <v>0.28847899999999999</v>
      </c>
      <c r="O60" s="126">
        <v>0.32112800000000002</v>
      </c>
      <c r="P60" s="126">
        <v>0.35269499999999998</v>
      </c>
      <c r="Q60" s="126">
        <v>0.38236300000000001</v>
      </c>
      <c r="R60" s="126">
        <v>0.41358099999999998</v>
      </c>
      <c r="S60" s="126">
        <v>0.44394</v>
      </c>
      <c r="T60" s="126">
        <v>0.47541699999999998</v>
      </c>
      <c r="U60" s="126">
        <v>0.50700999999999996</v>
      </c>
      <c r="V60" s="126">
        <v>0.54084500000000002</v>
      </c>
      <c r="W60" s="126">
        <v>0.57661799999999996</v>
      </c>
      <c r="X60" s="126">
        <v>0.61259699999999995</v>
      </c>
      <c r="Y60" s="126">
        <v>0.65040900000000001</v>
      </c>
      <c r="Z60" s="126">
        <v>0.68915700000000002</v>
      </c>
      <c r="AA60" s="126">
        <v>0.72917100000000001</v>
      </c>
      <c r="AB60" s="126">
        <v>0.77050099999999999</v>
      </c>
      <c r="AC60" s="126">
        <v>0.81327099999999997</v>
      </c>
      <c r="AD60" s="126">
        <v>0.85494300000000001</v>
      </c>
      <c r="AE60" s="126">
        <v>0.89818200000000004</v>
      </c>
      <c r="AF60" s="126">
        <v>0.94306199999999996</v>
      </c>
      <c r="AG60" s="126">
        <v>0.99169600000000002</v>
      </c>
      <c r="AH60" s="126">
        <v>1.038762</v>
      </c>
      <c r="AI60" s="126">
        <v>1.0910120000000001</v>
      </c>
      <c r="AJ60" s="126">
        <v>1.146795</v>
      </c>
      <c r="AK60" s="126">
        <v>1.207525</v>
      </c>
      <c r="AL60" s="126" t="s">
        <v>146</v>
      </c>
    </row>
    <row r="61" spans="1:38">
      <c r="A61" s="17" t="s">
        <v>116</v>
      </c>
      <c r="B61" s="126" t="s">
        <v>2550</v>
      </c>
      <c r="C61" s="126" t="s">
        <v>2654</v>
      </c>
      <c r="D61" s="126" t="s">
        <v>3113</v>
      </c>
      <c r="E61" s="126" t="s">
        <v>1294</v>
      </c>
      <c r="F61" s="126">
        <v>0</v>
      </c>
      <c r="G61" s="126">
        <v>3.7775000000000003E-2</v>
      </c>
      <c r="H61" s="126">
        <v>7.5880000000000003E-2</v>
      </c>
      <c r="I61" s="126">
        <v>0.11486399999999999</v>
      </c>
      <c r="J61" s="126">
        <v>0.154915</v>
      </c>
      <c r="K61" s="126">
        <v>0.19441</v>
      </c>
      <c r="L61" s="126">
        <v>0.23379800000000001</v>
      </c>
      <c r="M61" s="126">
        <v>0.27249899999999999</v>
      </c>
      <c r="N61" s="126">
        <v>0.31092900000000001</v>
      </c>
      <c r="O61" s="126">
        <v>0.34859499999999999</v>
      </c>
      <c r="P61" s="126">
        <v>0.38585000000000003</v>
      </c>
      <c r="Q61" s="126">
        <v>0.42161500000000002</v>
      </c>
      <c r="R61" s="126">
        <v>0.45966499999999999</v>
      </c>
      <c r="S61" s="126">
        <v>0.49687900000000002</v>
      </c>
      <c r="T61" s="126">
        <v>0.53535900000000003</v>
      </c>
      <c r="U61" s="126">
        <v>0.57391899999999996</v>
      </c>
      <c r="V61" s="126">
        <v>0.61492000000000002</v>
      </c>
      <c r="W61" s="126">
        <v>0.65798699999999999</v>
      </c>
      <c r="X61" s="126">
        <v>0.70110099999999997</v>
      </c>
      <c r="Y61" s="126">
        <v>0.74609800000000004</v>
      </c>
      <c r="Z61" s="126">
        <v>0.79204600000000003</v>
      </c>
      <c r="AA61" s="126">
        <v>0.83935300000000002</v>
      </c>
      <c r="AB61" s="126">
        <v>0.88824199999999998</v>
      </c>
      <c r="AC61" s="126">
        <v>0.93876000000000004</v>
      </c>
      <c r="AD61" s="126">
        <v>0.98813099999999998</v>
      </c>
      <c r="AE61" s="126">
        <v>1.039385</v>
      </c>
      <c r="AF61" s="126">
        <v>1.092538</v>
      </c>
      <c r="AG61" s="126">
        <v>1.149966</v>
      </c>
      <c r="AH61" s="126">
        <v>1.205433</v>
      </c>
      <c r="AI61" s="126">
        <v>1.2667040000000001</v>
      </c>
      <c r="AJ61" s="126">
        <v>1.3318080000000001</v>
      </c>
      <c r="AK61" s="126">
        <v>1.402339</v>
      </c>
      <c r="AL61" s="126" t="s">
        <v>146</v>
      </c>
    </row>
    <row r="62" spans="1:38">
      <c r="A62" s="17" t="s">
        <v>854</v>
      </c>
      <c r="B62" s="126" t="s">
        <v>1581</v>
      </c>
      <c r="C62" s="126" t="s">
        <v>2656</v>
      </c>
      <c r="D62" s="126" t="s">
        <v>3114</v>
      </c>
      <c r="E62" s="126" t="s">
        <v>1294</v>
      </c>
      <c r="F62" s="126">
        <v>0</v>
      </c>
      <c r="G62" s="126">
        <v>2.8E-5</v>
      </c>
      <c r="H62" s="126">
        <v>6.0999999999999999E-5</v>
      </c>
      <c r="I62" s="126">
        <v>9.2999999999999997E-5</v>
      </c>
      <c r="J62" s="126">
        <v>1.25E-4</v>
      </c>
      <c r="K62" s="126">
        <v>1.56E-4</v>
      </c>
      <c r="L62" s="126">
        <v>1.8599999999999999E-4</v>
      </c>
      <c r="M62" s="126">
        <v>2.14E-4</v>
      </c>
      <c r="N62" s="126">
        <v>2.42E-4</v>
      </c>
      <c r="O62" s="126">
        <v>2.6800000000000001E-4</v>
      </c>
      <c r="P62" s="126">
        <v>2.9300000000000002E-4</v>
      </c>
      <c r="Q62" s="126">
        <v>3.1399999999999999E-4</v>
      </c>
      <c r="R62" s="126">
        <v>3.3599999999999998E-4</v>
      </c>
      <c r="S62" s="126">
        <v>3.5599999999999998E-4</v>
      </c>
      <c r="T62" s="126">
        <v>3.7500000000000001E-4</v>
      </c>
      <c r="U62" s="126">
        <v>3.9100000000000002E-4</v>
      </c>
      <c r="V62" s="126">
        <v>4.0700000000000003E-4</v>
      </c>
      <c r="W62" s="126">
        <v>4.2200000000000001E-4</v>
      </c>
      <c r="X62" s="126">
        <v>4.35E-4</v>
      </c>
      <c r="Y62" s="126">
        <v>4.4799999999999999E-4</v>
      </c>
      <c r="Z62" s="126">
        <v>4.5899999999999999E-4</v>
      </c>
      <c r="AA62" s="126">
        <v>4.6799999999999999E-4</v>
      </c>
      <c r="AB62" s="126">
        <v>4.7600000000000002E-4</v>
      </c>
      <c r="AC62" s="126">
        <v>4.84E-4</v>
      </c>
      <c r="AD62" s="126">
        <v>4.8799999999999999E-4</v>
      </c>
      <c r="AE62" s="126">
        <v>4.9100000000000001E-4</v>
      </c>
      <c r="AF62" s="126">
        <v>4.9200000000000003E-4</v>
      </c>
      <c r="AG62" s="126">
        <v>4.9299999999999995E-4</v>
      </c>
      <c r="AH62" s="126">
        <v>4.9200000000000003E-4</v>
      </c>
      <c r="AI62" s="126">
        <v>4.8999999999999998E-4</v>
      </c>
      <c r="AJ62" s="126">
        <v>4.8899999999999996E-4</v>
      </c>
      <c r="AK62" s="126">
        <v>4.8700000000000002E-4</v>
      </c>
      <c r="AL62" s="126" t="s">
        <v>146</v>
      </c>
    </row>
    <row r="63" spans="1:38">
      <c r="B63" s="126" t="s">
        <v>2551</v>
      </c>
      <c r="C63" s="126" t="s">
        <v>2658</v>
      </c>
      <c r="D63" s="126" t="s">
        <v>3115</v>
      </c>
      <c r="E63" s="126" t="s">
        <v>1294</v>
      </c>
      <c r="F63" s="126">
        <v>653.09906000000001</v>
      </c>
      <c r="G63" s="126">
        <v>654.05694600000004</v>
      </c>
      <c r="H63" s="126">
        <v>664.67810099999997</v>
      </c>
      <c r="I63" s="126">
        <v>669.36163299999998</v>
      </c>
      <c r="J63" s="126">
        <v>674.81567399999994</v>
      </c>
      <c r="K63" s="126">
        <v>677.23498500000005</v>
      </c>
      <c r="L63" s="126">
        <v>680.64837599999998</v>
      </c>
      <c r="M63" s="126">
        <v>683.49285899999995</v>
      </c>
      <c r="N63" s="126">
        <v>687.087219</v>
      </c>
      <c r="O63" s="126">
        <v>690.200378</v>
      </c>
      <c r="P63" s="126">
        <v>693.99310300000002</v>
      </c>
      <c r="Q63" s="126">
        <v>697.10479699999996</v>
      </c>
      <c r="R63" s="126">
        <v>704.64343299999996</v>
      </c>
      <c r="S63" s="126">
        <v>711.11901899999998</v>
      </c>
      <c r="T63" s="126">
        <v>719.18737799999997</v>
      </c>
      <c r="U63" s="126">
        <v>726.89202899999998</v>
      </c>
      <c r="V63" s="126">
        <v>736.568848</v>
      </c>
      <c r="W63" s="126">
        <v>746.99585000000002</v>
      </c>
      <c r="X63" s="126">
        <v>755.67889400000001</v>
      </c>
      <c r="Y63" s="126">
        <v>764.26238999999998</v>
      </c>
      <c r="Z63" s="126">
        <v>772.81689500000005</v>
      </c>
      <c r="AA63" s="126">
        <v>781.92358400000001</v>
      </c>
      <c r="AB63" s="126">
        <v>791.53808600000002</v>
      </c>
      <c r="AC63" s="126">
        <v>801.55267300000003</v>
      </c>
      <c r="AD63" s="126">
        <v>811.25689699999998</v>
      </c>
      <c r="AE63" s="126">
        <v>822.58532700000001</v>
      </c>
      <c r="AF63" s="126">
        <v>834.92816200000004</v>
      </c>
      <c r="AG63" s="126">
        <v>849.58459500000004</v>
      </c>
      <c r="AH63" s="126">
        <v>861.80407700000001</v>
      </c>
      <c r="AI63" s="126">
        <v>876.91131600000006</v>
      </c>
      <c r="AJ63" s="126">
        <v>892.96679700000004</v>
      </c>
      <c r="AK63" s="126">
        <v>910.64691200000004</v>
      </c>
      <c r="AL63" s="115">
        <v>1.0999999999999999E-2</v>
      </c>
    </row>
    <row r="64" spans="1:38">
      <c r="B64" s="126" t="s">
        <v>1223</v>
      </c>
      <c r="D64" s="126" t="s">
        <v>3116</v>
      </c>
    </row>
    <row r="65" spans="1:38">
      <c r="A65" s="17" t="s">
        <v>115</v>
      </c>
      <c r="B65" s="126" t="s">
        <v>1266</v>
      </c>
      <c r="C65" s="126" t="s">
        <v>2661</v>
      </c>
      <c r="D65" s="126" t="s">
        <v>3117</v>
      </c>
      <c r="E65" s="126" t="s">
        <v>1294</v>
      </c>
      <c r="F65" s="126">
        <v>583.02459699999997</v>
      </c>
      <c r="G65" s="126">
        <v>581.14209000000005</v>
      </c>
      <c r="H65" s="126">
        <v>583.52539100000001</v>
      </c>
      <c r="I65" s="126">
        <v>587.59240699999998</v>
      </c>
      <c r="J65" s="126">
        <v>591.92028800000003</v>
      </c>
      <c r="K65" s="126">
        <v>592.27313200000003</v>
      </c>
      <c r="L65" s="126">
        <v>592.91033900000002</v>
      </c>
      <c r="M65" s="126">
        <v>593.69622800000002</v>
      </c>
      <c r="N65" s="126">
        <v>595.82226600000001</v>
      </c>
      <c r="O65" s="126">
        <v>597.81622300000004</v>
      </c>
      <c r="P65" s="126">
        <v>599.55847200000005</v>
      </c>
      <c r="Q65" s="126">
        <v>599.48644999999999</v>
      </c>
      <c r="R65" s="126">
        <v>602.17468299999996</v>
      </c>
      <c r="S65" s="126">
        <v>604.21283000000005</v>
      </c>
      <c r="T65" s="126">
        <v>607.89031999999997</v>
      </c>
      <c r="U65" s="126">
        <v>611.25531000000001</v>
      </c>
      <c r="V65" s="126">
        <v>616.68695100000002</v>
      </c>
      <c r="W65" s="126">
        <v>623.76696800000002</v>
      </c>
      <c r="X65" s="126">
        <v>630.86199999999997</v>
      </c>
      <c r="Y65" s="126">
        <v>638.98382600000002</v>
      </c>
      <c r="Z65" s="126">
        <v>647.66485599999999</v>
      </c>
      <c r="AA65" s="126">
        <v>657.49169900000004</v>
      </c>
      <c r="AB65" s="126">
        <v>668.18353300000001</v>
      </c>
      <c r="AC65" s="126">
        <v>680.01757799999996</v>
      </c>
      <c r="AD65" s="126">
        <v>693.08587599999998</v>
      </c>
      <c r="AE65" s="126">
        <v>708.71026600000005</v>
      </c>
      <c r="AF65" s="126">
        <v>726.21118200000001</v>
      </c>
      <c r="AG65" s="126">
        <v>746.43725600000005</v>
      </c>
      <c r="AH65" s="126">
        <v>764.74041699999998</v>
      </c>
      <c r="AI65" s="126">
        <v>785.607483</v>
      </c>
      <c r="AJ65" s="126">
        <v>807.61657700000001</v>
      </c>
      <c r="AK65" s="126">
        <v>830.16796899999997</v>
      </c>
      <c r="AL65" s="115">
        <v>1.0999999999999999E-2</v>
      </c>
    </row>
    <row r="66" spans="1:38">
      <c r="A66" s="17" t="s">
        <v>114</v>
      </c>
      <c r="B66" s="126" t="s">
        <v>1352</v>
      </c>
      <c r="C66" s="126" t="s">
        <v>2663</v>
      </c>
      <c r="D66" s="126" t="s">
        <v>3118</v>
      </c>
      <c r="E66" s="126" t="s">
        <v>1294</v>
      </c>
      <c r="F66" s="126">
        <v>315.82879600000001</v>
      </c>
      <c r="G66" s="126">
        <v>310.56317100000001</v>
      </c>
      <c r="H66" s="126">
        <v>308.88848899999999</v>
      </c>
      <c r="I66" s="126">
        <v>307.66574100000003</v>
      </c>
      <c r="J66" s="126">
        <v>307.47314499999999</v>
      </c>
      <c r="K66" s="126">
        <v>306.65286300000002</v>
      </c>
      <c r="L66" s="126">
        <v>306.09021000000001</v>
      </c>
      <c r="M66" s="126">
        <v>306.23422199999999</v>
      </c>
      <c r="N66" s="126">
        <v>307.23190299999999</v>
      </c>
      <c r="O66" s="126">
        <v>308.74417099999999</v>
      </c>
      <c r="P66" s="126">
        <v>310.61322000000001</v>
      </c>
      <c r="Q66" s="126">
        <v>311.502747</v>
      </c>
      <c r="R66" s="126">
        <v>313.73165899999998</v>
      </c>
      <c r="S66" s="126">
        <v>315.691193</v>
      </c>
      <c r="T66" s="126">
        <v>318.20575000000002</v>
      </c>
      <c r="U66" s="126">
        <v>320.505066</v>
      </c>
      <c r="V66" s="126">
        <v>323.48764</v>
      </c>
      <c r="W66" s="126">
        <v>327.50503500000002</v>
      </c>
      <c r="X66" s="126">
        <v>331.14382899999998</v>
      </c>
      <c r="Y66" s="126">
        <v>334.98123199999998</v>
      </c>
      <c r="Z66" s="126">
        <v>339.189301</v>
      </c>
      <c r="AA66" s="126">
        <v>343.82592799999998</v>
      </c>
      <c r="AB66" s="126">
        <v>348.88836700000002</v>
      </c>
      <c r="AC66" s="126">
        <v>354.42437699999999</v>
      </c>
      <c r="AD66" s="126">
        <v>360.34695399999998</v>
      </c>
      <c r="AE66" s="126">
        <v>367.28848299999999</v>
      </c>
      <c r="AF66" s="126">
        <v>374.715057</v>
      </c>
      <c r="AG66" s="126">
        <v>383.20318600000002</v>
      </c>
      <c r="AH66" s="126">
        <v>390.34759500000001</v>
      </c>
      <c r="AI66" s="126">
        <v>398.53735399999999</v>
      </c>
      <c r="AJ66" s="126">
        <v>407.16967799999998</v>
      </c>
      <c r="AK66" s="126">
        <v>415.88867199999999</v>
      </c>
      <c r="AL66" s="115">
        <v>8.9999999999999993E-3</v>
      </c>
    </row>
    <row r="67" spans="1:38">
      <c r="A67" s="17" t="s">
        <v>853</v>
      </c>
      <c r="B67" s="126" t="s">
        <v>1273</v>
      </c>
      <c r="C67" s="126" t="s">
        <v>2665</v>
      </c>
      <c r="D67" s="126" t="s">
        <v>3119</v>
      </c>
      <c r="E67" s="126" t="s">
        <v>1294</v>
      </c>
      <c r="F67" s="126">
        <v>1.0311980000000001</v>
      </c>
      <c r="G67" s="126">
        <v>1.0696479999999999</v>
      </c>
      <c r="H67" s="126">
        <v>1.110603</v>
      </c>
      <c r="I67" s="126">
        <v>1.1512469999999999</v>
      </c>
      <c r="J67" s="126">
        <v>1.188234</v>
      </c>
      <c r="K67" s="126">
        <v>1.2126889999999999</v>
      </c>
      <c r="L67" s="126">
        <v>1.2326619999999999</v>
      </c>
      <c r="M67" s="126">
        <v>1.2480100000000001</v>
      </c>
      <c r="N67" s="126">
        <v>1.261868</v>
      </c>
      <c r="O67" s="126">
        <v>1.2733220000000001</v>
      </c>
      <c r="P67" s="126">
        <v>1.283337</v>
      </c>
      <c r="Q67" s="126">
        <v>1.290902</v>
      </c>
      <c r="R67" s="126">
        <v>1.3064150000000001</v>
      </c>
      <c r="S67" s="126">
        <v>1.32368</v>
      </c>
      <c r="T67" s="126">
        <v>1.351958</v>
      </c>
      <c r="U67" s="126">
        <v>1.385958</v>
      </c>
      <c r="V67" s="126">
        <v>1.4224220000000001</v>
      </c>
      <c r="W67" s="126">
        <v>1.466655</v>
      </c>
      <c r="X67" s="126">
        <v>1.5165979999999999</v>
      </c>
      <c r="Y67" s="126">
        <v>1.574333</v>
      </c>
      <c r="Z67" s="126">
        <v>1.638801</v>
      </c>
      <c r="AA67" s="126">
        <v>1.7115499999999999</v>
      </c>
      <c r="AB67" s="126">
        <v>1.79193</v>
      </c>
      <c r="AC67" s="126">
        <v>1.8794979999999999</v>
      </c>
      <c r="AD67" s="126">
        <v>1.972728</v>
      </c>
      <c r="AE67" s="126">
        <v>2.075974</v>
      </c>
      <c r="AF67" s="126">
        <v>2.189079</v>
      </c>
      <c r="AG67" s="126">
        <v>2.3162020000000001</v>
      </c>
      <c r="AH67" s="126">
        <v>2.4425219999999999</v>
      </c>
      <c r="AI67" s="126">
        <v>2.5825149999999999</v>
      </c>
      <c r="AJ67" s="126">
        <v>2.7252079999999999</v>
      </c>
      <c r="AK67" s="126">
        <v>2.8784999999999998</v>
      </c>
      <c r="AL67" s="115">
        <v>3.4000000000000002E-2</v>
      </c>
    </row>
    <row r="68" spans="1:38">
      <c r="A68" s="17" t="s">
        <v>113</v>
      </c>
      <c r="B68" s="126" t="s">
        <v>1282</v>
      </c>
      <c r="C68" s="126" t="s">
        <v>2667</v>
      </c>
      <c r="D68" s="126" t="s">
        <v>3120</v>
      </c>
      <c r="E68" s="126" t="s">
        <v>1294</v>
      </c>
      <c r="F68" s="126">
        <v>1.050346</v>
      </c>
      <c r="G68" s="126">
        <v>1.216439</v>
      </c>
      <c r="H68" s="126">
        <v>1.370239</v>
      </c>
      <c r="I68" s="126">
        <v>1.526119</v>
      </c>
      <c r="J68" s="126">
        <v>1.671853</v>
      </c>
      <c r="K68" s="126">
        <v>1.7926010000000001</v>
      </c>
      <c r="L68" s="126">
        <v>1.900882</v>
      </c>
      <c r="M68" s="126">
        <v>1.9971460000000001</v>
      </c>
      <c r="N68" s="126">
        <v>2.086325</v>
      </c>
      <c r="O68" s="126">
        <v>2.1676570000000002</v>
      </c>
      <c r="P68" s="126">
        <v>2.2395529999999999</v>
      </c>
      <c r="Q68" s="126">
        <v>2.2950430000000002</v>
      </c>
      <c r="R68" s="126">
        <v>2.3540169999999998</v>
      </c>
      <c r="S68" s="126">
        <v>2.4033540000000002</v>
      </c>
      <c r="T68" s="126">
        <v>2.4543339999999998</v>
      </c>
      <c r="U68" s="126">
        <v>2.4996909999999999</v>
      </c>
      <c r="V68" s="126">
        <v>2.549337</v>
      </c>
      <c r="W68" s="126">
        <v>2.604311</v>
      </c>
      <c r="X68" s="126">
        <v>2.6618539999999999</v>
      </c>
      <c r="Y68" s="126">
        <v>2.7251310000000002</v>
      </c>
      <c r="Z68" s="126">
        <v>2.7937439999999998</v>
      </c>
      <c r="AA68" s="126">
        <v>2.8706580000000002</v>
      </c>
      <c r="AB68" s="126">
        <v>2.953354</v>
      </c>
      <c r="AC68" s="126">
        <v>3.0427729999999999</v>
      </c>
      <c r="AD68" s="126">
        <v>3.133775</v>
      </c>
      <c r="AE68" s="126">
        <v>3.2346590000000002</v>
      </c>
      <c r="AF68" s="126">
        <v>3.347699</v>
      </c>
      <c r="AG68" s="126">
        <v>3.4784600000000001</v>
      </c>
      <c r="AH68" s="126">
        <v>3.6031620000000002</v>
      </c>
      <c r="AI68" s="126">
        <v>3.7436630000000002</v>
      </c>
      <c r="AJ68" s="126">
        <v>3.8960370000000002</v>
      </c>
      <c r="AK68" s="126">
        <v>4.0592620000000004</v>
      </c>
      <c r="AL68" s="115">
        <v>4.4999999999999998E-2</v>
      </c>
    </row>
    <row r="69" spans="1:38">
      <c r="A69" s="17" t="s">
        <v>114</v>
      </c>
      <c r="B69" s="126" t="s">
        <v>2548</v>
      </c>
      <c r="C69" s="126" t="s">
        <v>2669</v>
      </c>
      <c r="D69" s="126" t="s">
        <v>3121</v>
      </c>
      <c r="E69" s="126" t="s">
        <v>1294</v>
      </c>
      <c r="F69" s="126">
        <v>9.4828349999999997</v>
      </c>
      <c r="G69" s="126">
        <v>10.419926999999999</v>
      </c>
      <c r="H69" s="126">
        <v>11.287534000000001</v>
      </c>
      <c r="I69" s="126">
        <v>12.152426</v>
      </c>
      <c r="J69" s="126">
        <v>12.963708</v>
      </c>
      <c r="K69" s="126">
        <v>13.633286</v>
      </c>
      <c r="L69" s="126">
        <v>14.262791999999999</v>
      </c>
      <c r="M69" s="126">
        <v>14.869062</v>
      </c>
      <c r="N69" s="126">
        <v>15.494346999999999</v>
      </c>
      <c r="O69" s="126">
        <v>16.135024999999999</v>
      </c>
      <c r="P69" s="126">
        <v>16.796637</v>
      </c>
      <c r="Q69" s="126">
        <v>17.441680999999999</v>
      </c>
      <c r="R69" s="126">
        <v>18.186598</v>
      </c>
      <c r="S69" s="126">
        <v>18.932759999999998</v>
      </c>
      <c r="T69" s="126">
        <v>19.730701</v>
      </c>
      <c r="U69" s="126">
        <v>20.589763999999999</v>
      </c>
      <c r="V69" s="126">
        <v>21.544627999999999</v>
      </c>
      <c r="W69" s="126">
        <v>22.577014999999999</v>
      </c>
      <c r="X69" s="126">
        <v>23.637888</v>
      </c>
      <c r="Y69" s="126">
        <v>24.774678999999999</v>
      </c>
      <c r="Z69" s="126">
        <v>25.988871</v>
      </c>
      <c r="AA69" s="126">
        <v>27.312747999999999</v>
      </c>
      <c r="AB69" s="126">
        <v>28.724049000000001</v>
      </c>
      <c r="AC69" s="126">
        <v>30.229347000000001</v>
      </c>
      <c r="AD69" s="126">
        <v>31.806156000000001</v>
      </c>
      <c r="AE69" s="126">
        <v>33.528435000000002</v>
      </c>
      <c r="AF69" s="126">
        <v>35.393272000000003</v>
      </c>
      <c r="AG69" s="126">
        <v>37.463073999999999</v>
      </c>
      <c r="AH69" s="126">
        <v>39.498669</v>
      </c>
      <c r="AI69" s="126">
        <v>41.72813</v>
      </c>
      <c r="AJ69" s="126">
        <v>44.123730000000002</v>
      </c>
      <c r="AK69" s="126">
        <v>46.665295</v>
      </c>
      <c r="AL69" s="115">
        <v>5.2999999999999999E-2</v>
      </c>
    </row>
    <row r="70" spans="1:38">
      <c r="A70" s="17" t="s">
        <v>112</v>
      </c>
      <c r="B70" s="126" t="s">
        <v>1577</v>
      </c>
      <c r="C70" s="126" t="s">
        <v>2671</v>
      </c>
      <c r="D70" s="126" t="s">
        <v>3122</v>
      </c>
      <c r="E70" s="126" t="s">
        <v>1294</v>
      </c>
      <c r="F70" s="126">
        <v>0</v>
      </c>
      <c r="G70" s="126">
        <v>4.2022999999999998E-2</v>
      </c>
      <c r="H70" s="126">
        <v>7.8827999999999995E-2</v>
      </c>
      <c r="I70" s="126">
        <v>0.117428</v>
      </c>
      <c r="J70" s="126">
        <v>0.15464700000000001</v>
      </c>
      <c r="K70" s="126">
        <v>0.18876200000000001</v>
      </c>
      <c r="L70" s="126">
        <v>0.22114200000000001</v>
      </c>
      <c r="M70" s="126">
        <v>0.25221399999999999</v>
      </c>
      <c r="N70" s="126">
        <v>0.28285500000000002</v>
      </c>
      <c r="O70" s="126">
        <v>0.31328099999999998</v>
      </c>
      <c r="P70" s="126">
        <v>0.34373900000000002</v>
      </c>
      <c r="Q70" s="126">
        <v>0.37302000000000002</v>
      </c>
      <c r="R70" s="126">
        <v>0.40406199999999998</v>
      </c>
      <c r="S70" s="126">
        <v>0.43482900000000002</v>
      </c>
      <c r="T70" s="126">
        <v>0.46739599999999998</v>
      </c>
      <c r="U70" s="126">
        <v>0.50030399999999997</v>
      </c>
      <c r="V70" s="126">
        <v>0.53513100000000002</v>
      </c>
      <c r="W70" s="126">
        <v>0.57220499999999996</v>
      </c>
      <c r="X70" s="126">
        <v>0.61060599999999998</v>
      </c>
      <c r="Y70" s="126">
        <v>0.65165099999999998</v>
      </c>
      <c r="Z70" s="126">
        <v>0.69301999999999997</v>
      </c>
      <c r="AA70" s="126">
        <v>0.73751999999999995</v>
      </c>
      <c r="AB70" s="126">
        <v>0.78456999999999999</v>
      </c>
      <c r="AC70" s="126">
        <v>0.834337</v>
      </c>
      <c r="AD70" s="126">
        <v>0.88637299999999997</v>
      </c>
      <c r="AE70" s="126">
        <v>0.94275900000000001</v>
      </c>
      <c r="AF70" s="126">
        <v>1.0035320000000001</v>
      </c>
      <c r="AG70" s="126">
        <v>1.0706599999999999</v>
      </c>
      <c r="AH70" s="126">
        <v>1.1372629999999999</v>
      </c>
      <c r="AI70" s="126">
        <v>1.2101470000000001</v>
      </c>
      <c r="AJ70" s="126">
        <v>1.287914</v>
      </c>
      <c r="AK70" s="126">
        <v>1.36988</v>
      </c>
      <c r="AL70" s="126" t="s">
        <v>146</v>
      </c>
    </row>
    <row r="71" spans="1:38">
      <c r="A71" s="17" t="s">
        <v>116</v>
      </c>
      <c r="B71" s="126" t="s">
        <v>2549</v>
      </c>
      <c r="C71" s="126" t="s">
        <v>2673</v>
      </c>
      <c r="D71" s="126" t="s">
        <v>3123</v>
      </c>
      <c r="E71" s="126" t="s">
        <v>1294</v>
      </c>
      <c r="F71" s="126">
        <v>0</v>
      </c>
      <c r="G71" s="126">
        <v>5.5306000000000001E-2</v>
      </c>
      <c r="H71" s="126">
        <v>0.103892</v>
      </c>
      <c r="I71" s="126">
        <v>0.15448899999999999</v>
      </c>
      <c r="J71" s="126">
        <v>0.20302799999999999</v>
      </c>
      <c r="K71" s="126">
        <v>0.24706</v>
      </c>
      <c r="L71" s="126">
        <v>0.288304</v>
      </c>
      <c r="M71" s="126">
        <v>0.32799699999999998</v>
      </c>
      <c r="N71" s="126">
        <v>0.36751400000000001</v>
      </c>
      <c r="O71" s="126">
        <v>0.40693000000000001</v>
      </c>
      <c r="P71" s="126">
        <v>0.44628699999999999</v>
      </c>
      <c r="Q71" s="126">
        <v>0.48405599999999999</v>
      </c>
      <c r="R71" s="126">
        <v>0.52407599999999999</v>
      </c>
      <c r="S71" s="126">
        <v>0.56353399999999998</v>
      </c>
      <c r="T71" s="126">
        <v>0.60492199999999996</v>
      </c>
      <c r="U71" s="126">
        <v>0.64663499999999996</v>
      </c>
      <c r="V71" s="126">
        <v>0.69105099999999997</v>
      </c>
      <c r="W71" s="126">
        <v>0.73821499999999995</v>
      </c>
      <c r="X71" s="126">
        <v>0.78693999999999997</v>
      </c>
      <c r="Y71" s="126">
        <v>0.83891499999999997</v>
      </c>
      <c r="Z71" s="126">
        <v>0.89107199999999998</v>
      </c>
      <c r="AA71" s="126">
        <v>0.94704600000000005</v>
      </c>
      <c r="AB71" s="126">
        <v>1.006078</v>
      </c>
      <c r="AC71" s="126">
        <v>1.068365</v>
      </c>
      <c r="AD71" s="126">
        <v>1.133327</v>
      </c>
      <c r="AE71" s="126">
        <v>1.2036279999999999</v>
      </c>
      <c r="AF71" s="126">
        <v>1.2792650000000001</v>
      </c>
      <c r="AG71" s="126">
        <v>1.362733</v>
      </c>
      <c r="AH71" s="126">
        <v>1.4453020000000001</v>
      </c>
      <c r="AI71" s="126">
        <v>1.5356529999999999</v>
      </c>
      <c r="AJ71" s="126">
        <v>1.6320079999999999</v>
      </c>
      <c r="AK71" s="126">
        <v>1.733589</v>
      </c>
      <c r="AL71" s="126" t="s">
        <v>146</v>
      </c>
    </row>
    <row r="72" spans="1:38">
      <c r="A72" s="17" t="s">
        <v>116</v>
      </c>
      <c r="B72" s="126" t="s">
        <v>2550</v>
      </c>
      <c r="C72" s="126" t="s">
        <v>2675</v>
      </c>
      <c r="D72" s="126" t="s">
        <v>3124</v>
      </c>
      <c r="E72" s="126" t="s">
        <v>1294</v>
      </c>
      <c r="F72" s="126">
        <v>0</v>
      </c>
      <c r="G72" s="126">
        <v>5.9111999999999998E-2</v>
      </c>
      <c r="H72" s="126">
        <v>0.110777</v>
      </c>
      <c r="I72" s="126">
        <v>0.16477900000000001</v>
      </c>
      <c r="J72" s="126">
        <v>0.21660499999999999</v>
      </c>
      <c r="K72" s="126">
        <v>0.26381100000000002</v>
      </c>
      <c r="L72" s="126">
        <v>0.30832300000000001</v>
      </c>
      <c r="M72" s="126">
        <v>0.35087800000000002</v>
      </c>
      <c r="N72" s="126">
        <v>0.39271299999999998</v>
      </c>
      <c r="O72" s="126">
        <v>0.43441600000000002</v>
      </c>
      <c r="P72" s="126">
        <v>0.47602299999999997</v>
      </c>
      <c r="Q72" s="126">
        <v>0.51595599999999997</v>
      </c>
      <c r="R72" s="126">
        <v>0.55831600000000003</v>
      </c>
      <c r="S72" s="126">
        <v>0.60019</v>
      </c>
      <c r="T72" s="126">
        <v>0.64449999999999996</v>
      </c>
      <c r="U72" s="126">
        <v>0.68922799999999995</v>
      </c>
      <c r="V72" s="126">
        <v>0.73654200000000003</v>
      </c>
      <c r="W72" s="126">
        <v>0.78691</v>
      </c>
      <c r="X72" s="126">
        <v>0.83909800000000001</v>
      </c>
      <c r="Y72" s="126">
        <v>0.89491299999999996</v>
      </c>
      <c r="Z72" s="126">
        <v>0.95108700000000002</v>
      </c>
      <c r="AA72" s="126">
        <v>1.011533</v>
      </c>
      <c r="AB72" s="126">
        <v>1.0754300000000001</v>
      </c>
      <c r="AC72" s="126">
        <v>1.1430039999999999</v>
      </c>
      <c r="AD72" s="126">
        <v>1.2136290000000001</v>
      </c>
      <c r="AE72" s="126">
        <v>1.2901450000000001</v>
      </c>
      <c r="AF72" s="126">
        <v>1.3725750000000001</v>
      </c>
      <c r="AG72" s="126">
        <v>1.4638770000000001</v>
      </c>
      <c r="AH72" s="126">
        <v>1.5540179999999999</v>
      </c>
      <c r="AI72" s="126">
        <v>1.6521459999999999</v>
      </c>
      <c r="AJ72" s="126">
        <v>1.7560199999999999</v>
      </c>
      <c r="AK72" s="126">
        <v>1.8644849999999999</v>
      </c>
      <c r="AL72" s="126" t="s">
        <v>146</v>
      </c>
    </row>
    <row r="73" spans="1:38">
      <c r="A73" s="17" t="s">
        <v>854</v>
      </c>
      <c r="B73" s="126" t="s">
        <v>1581</v>
      </c>
      <c r="C73" s="126" t="s">
        <v>2677</v>
      </c>
      <c r="D73" s="126" t="s">
        <v>3125</v>
      </c>
      <c r="E73" s="126" t="s">
        <v>1294</v>
      </c>
      <c r="F73" s="126">
        <v>0</v>
      </c>
      <c r="G73" s="126">
        <v>0.104361</v>
      </c>
      <c r="H73" s="126">
        <v>0.19897999999999999</v>
      </c>
      <c r="I73" s="126">
        <v>0.29944300000000001</v>
      </c>
      <c r="J73" s="126">
        <v>0.39796700000000002</v>
      </c>
      <c r="K73" s="126">
        <v>0.49045100000000003</v>
      </c>
      <c r="L73" s="126">
        <v>0.58083899999999999</v>
      </c>
      <c r="M73" s="126">
        <v>0.67079999999999995</v>
      </c>
      <c r="N73" s="126">
        <v>0.76322699999999999</v>
      </c>
      <c r="O73" s="126">
        <v>0.85664600000000002</v>
      </c>
      <c r="P73" s="126">
        <v>0.95287299999999997</v>
      </c>
      <c r="Q73" s="126">
        <v>1.0483150000000001</v>
      </c>
      <c r="R73" s="126">
        <v>1.150943</v>
      </c>
      <c r="S73" s="126">
        <v>1.2539830000000001</v>
      </c>
      <c r="T73" s="126">
        <v>1.3620289999999999</v>
      </c>
      <c r="U73" s="126">
        <v>1.4707399999999999</v>
      </c>
      <c r="V73" s="126">
        <v>1.5846119999999999</v>
      </c>
      <c r="W73" s="126">
        <v>1.704755</v>
      </c>
      <c r="X73" s="126">
        <v>1.828409</v>
      </c>
      <c r="Y73" s="126">
        <v>1.959357</v>
      </c>
      <c r="Z73" s="126">
        <v>2.0917759999999999</v>
      </c>
      <c r="AA73" s="126">
        <v>2.2329340000000002</v>
      </c>
      <c r="AB73" s="126">
        <v>2.381421</v>
      </c>
      <c r="AC73" s="126">
        <v>2.5377320000000001</v>
      </c>
      <c r="AD73" s="126">
        <v>2.7005469999999998</v>
      </c>
      <c r="AE73" s="126">
        <v>2.8762699999999999</v>
      </c>
      <c r="AF73" s="126">
        <v>3.065083</v>
      </c>
      <c r="AG73" s="126">
        <v>3.2730049999999999</v>
      </c>
      <c r="AH73" s="126">
        <v>3.4791470000000002</v>
      </c>
      <c r="AI73" s="126">
        <v>3.7042670000000002</v>
      </c>
      <c r="AJ73" s="126">
        <v>3.9440819999999999</v>
      </c>
      <c r="AK73" s="126">
        <v>4.1964740000000003</v>
      </c>
      <c r="AL73" s="126" t="s">
        <v>146</v>
      </c>
    </row>
    <row r="74" spans="1:38">
      <c r="B74" s="126" t="s">
        <v>2552</v>
      </c>
      <c r="C74" s="126" t="s">
        <v>2679</v>
      </c>
      <c r="D74" s="126" t="s">
        <v>3126</v>
      </c>
      <c r="E74" s="126" t="s">
        <v>1294</v>
      </c>
      <c r="F74" s="126">
        <v>910.41778599999998</v>
      </c>
      <c r="G74" s="126">
        <v>904.67193599999996</v>
      </c>
      <c r="H74" s="126">
        <v>906.67492700000003</v>
      </c>
      <c r="I74" s="126">
        <v>910.824341</v>
      </c>
      <c r="J74" s="126">
        <v>916.18945299999996</v>
      </c>
      <c r="K74" s="126">
        <v>916.754456</v>
      </c>
      <c r="L74" s="126">
        <v>917.79534899999999</v>
      </c>
      <c r="M74" s="126">
        <v>919.64654499999995</v>
      </c>
      <c r="N74" s="126">
        <v>923.70263699999998</v>
      </c>
      <c r="O74" s="126">
        <v>928.14770499999997</v>
      </c>
      <c r="P74" s="126">
        <v>932.71014400000001</v>
      </c>
      <c r="Q74" s="126">
        <v>934.43859899999995</v>
      </c>
      <c r="R74" s="126">
        <v>940.39080799999999</v>
      </c>
      <c r="S74" s="126">
        <v>945.41644299999996</v>
      </c>
      <c r="T74" s="126">
        <v>952.71173099999999</v>
      </c>
      <c r="U74" s="126">
        <v>959.542419</v>
      </c>
      <c r="V74" s="126">
        <v>969.23834199999999</v>
      </c>
      <c r="W74" s="126">
        <v>981.72210700000005</v>
      </c>
      <c r="X74" s="126">
        <v>993.88696300000004</v>
      </c>
      <c r="Y74" s="126">
        <v>1007.3838500000001</v>
      </c>
      <c r="Z74" s="126">
        <v>1021.90271</v>
      </c>
      <c r="AA74" s="126">
        <v>1038.1407469999999</v>
      </c>
      <c r="AB74" s="126">
        <v>1055.7886960000001</v>
      </c>
      <c r="AC74" s="126">
        <v>1075.1777340000001</v>
      </c>
      <c r="AD74" s="126">
        <v>1096.279419</v>
      </c>
      <c r="AE74" s="126">
        <v>1121.1507570000001</v>
      </c>
      <c r="AF74" s="126">
        <v>1148.577759</v>
      </c>
      <c r="AG74" s="126">
        <v>1180.0683590000001</v>
      </c>
      <c r="AH74" s="126">
        <v>1208.248047</v>
      </c>
      <c r="AI74" s="126">
        <v>1240.3016359999999</v>
      </c>
      <c r="AJ74" s="126">
        <v>1274.1513669999999</v>
      </c>
      <c r="AK74" s="126">
        <v>1308.824341</v>
      </c>
      <c r="AL74" s="115">
        <v>1.2E-2</v>
      </c>
    </row>
    <row r="75" spans="1:38">
      <c r="B75" s="126" t="s">
        <v>2553</v>
      </c>
      <c r="D75" s="126" t="s">
        <v>3127</v>
      </c>
    </row>
    <row r="76" spans="1:38">
      <c r="A76" s="17" t="s">
        <v>115</v>
      </c>
      <c r="B76" s="126" t="s">
        <v>1266</v>
      </c>
      <c r="C76" s="126" t="s">
        <v>2682</v>
      </c>
      <c r="D76" s="126" t="s">
        <v>3128</v>
      </c>
      <c r="E76" s="126" t="s">
        <v>1294</v>
      </c>
      <c r="F76" s="126">
        <v>4258.8935549999997</v>
      </c>
      <c r="G76" s="126">
        <v>4285.783203</v>
      </c>
      <c r="H76" s="126">
        <v>4320.4902339999999</v>
      </c>
      <c r="I76" s="126">
        <v>4344.2280270000001</v>
      </c>
      <c r="J76" s="126">
        <v>4361.0522460000002</v>
      </c>
      <c r="K76" s="126">
        <v>4342.6108400000003</v>
      </c>
      <c r="L76" s="126">
        <v>4319.611328</v>
      </c>
      <c r="M76" s="126">
        <v>4286.7934569999998</v>
      </c>
      <c r="N76" s="126">
        <v>4251.9614259999998</v>
      </c>
      <c r="O76" s="126">
        <v>4208.0600590000004</v>
      </c>
      <c r="P76" s="126">
        <v>4162.546875</v>
      </c>
      <c r="Q76" s="126">
        <v>4105.7827150000003</v>
      </c>
      <c r="R76" s="126">
        <v>4070.0808109999998</v>
      </c>
      <c r="S76" s="126">
        <v>4026.779297</v>
      </c>
      <c r="T76" s="126">
        <v>3994.0900879999999</v>
      </c>
      <c r="U76" s="126">
        <v>3958.875732</v>
      </c>
      <c r="V76" s="126">
        <v>3933.375732</v>
      </c>
      <c r="W76" s="126">
        <v>3914.6594239999999</v>
      </c>
      <c r="X76" s="126">
        <v>3893.8469239999999</v>
      </c>
      <c r="Y76" s="126">
        <v>3878.2661130000001</v>
      </c>
      <c r="Z76" s="126">
        <v>3864.001221</v>
      </c>
      <c r="AA76" s="126">
        <v>3855.7053219999998</v>
      </c>
      <c r="AB76" s="126">
        <v>3849.7072750000002</v>
      </c>
      <c r="AC76" s="126">
        <v>3848.711914</v>
      </c>
      <c r="AD76" s="126">
        <v>3847.7434079999998</v>
      </c>
      <c r="AE76" s="126">
        <v>3854.5754390000002</v>
      </c>
      <c r="AF76" s="126">
        <v>3866.46875</v>
      </c>
      <c r="AG76" s="126">
        <v>3887.9670409999999</v>
      </c>
      <c r="AH76" s="126">
        <v>3894.1276859999998</v>
      </c>
      <c r="AI76" s="126">
        <v>3908.438721</v>
      </c>
      <c r="AJ76" s="126">
        <v>3923.5161130000001</v>
      </c>
      <c r="AK76" s="126">
        <v>3936.148682</v>
      </c>
      <c r="AL76" s="115">
        <v>-3.0000000000000001E-3</v>
      </c>
    </row>
    <row r="77" spans="1:38">
      <c r="A77" s="17" t="s">
        <v>114</v>
      </c>
      <c r="B77" s="126" t="s">
        <v>1352</v>
      </c>
      <c r="C77" s="126" t="s">
        <v>2684</v>
      </c>
      <c r="D77" s="126" t="s">
        <v>3129</v>
      </c>
      <c r="E77" s="126" t="s">
        <v>1294</v>
      </c>
      <c r="F77" s="126">
        <v>4.3203969999999998</v>
      </c>
      <c r="G77" s="126">
        <v>3.7875899999999998</v>
      </c>
      <c r="H77" s="126">
        <v>3.3770989999999999</v>
      </c>
      <c r="I77" s="126">
        <v>3.0180609999999999</v>
      </c>
      <c r="J77" s="126">
        <v>2.7291829999999999</v>
      </c>
      <c r="K77" s="126">
        <v>2.4808590000000001</v>
      </c>
      <c r="L77" s="126">
        <v>2.2678069999999999</v>
      </c>
      <c r="M77" s="126">
        <v>2.0982630000000002</v>
      </c>
      <c r="N77" s="126">
        <v>1.9670859999999999</v>
      </c>
      <c r="O77" s="126">
        <v>1.8524020000000001</v>
      </c>
      <c r="P77" s="126">
        <v>1.752364</v>
      </c>
      <c r="Q77" s="126">
        <v>1.673133</v>
      </c>
      <c r="R77" s="126">
        <v>1.607944</v>
      </c>
      <c r="S77" s="126">
        <v>1.540219</v>
      </c>
      <c r="T77" s="126">
        <v>1.4848950000000001</v>
      </c>
      <c r="U77" s="126">
        <v>1.436504</v>
      </c>
      <c r="V77" s="126">
        <v>1.4005559999999999</v>
      </c>
      <c r="W77" s="126">
        <v>1.366252</v>
      </c>
      <c r="X77" s="126">
        <v>1.336071</v>
      </c>
      <c r="Y77" s="126">
        <v>1.311409</v>
      </c>
      <c r="Z77" s="126">
        <v>1.291439</v>
      </c>
      <c r="AA77" s="126">
        <v>1.2723869999999999</v>
      </c>
      <c r="AB77" s="126">
        <v>1.2574559999999999</v>
      </c>
      <c r="AC77" s="126">
        <v>1.242483</v>
      </c>
      <c r="AD77" s="126">
        <v>1.228507</v>
      </c>
      <c r="AE77" s="126">
        <v>1.222953</v>
      </c>
      <c r="AF77" s="126">
        <v>1.2228810000000001</v>
      </c>
      <c r="AG77" s="126">
        <v>1.2285379999999999</v>
      </c>
      <c r="AH77" s="126">
        <v>1.2311609999999999</v>
      </c>
      <c r="AI77" s="126">
        <v>1.2380340000000001</v>
      </c>
      <c r="AJ77" s="126">
        <v>1.245771</v>
      </c>
      <c r="AK77" s="126">
        <v>1.2545059999999999</v>
      </c>
      <c r="AL77" s="115">
        <v>-3.9E-2</v>
      </c>
    </row>
    <row r="78" spans="1:38">
      <c r="A78" s="17" t="s">
        <v>853</v>
      </c>
      <c r="B78" s="126" t="s">
        <v>1273</v>
      </c>
      <c r="C78" s="126" t="s">
        <v>2686</v>
      </c>
      <c r="D78" s="126" t="s">
        <v>3130</v>
      </c>
      <c r="E78" s="126" t="s">
        <v>1294</v>
      </c>
      <c r="F78" s="126">
        <v>0.81035999999999997</v>
      </c>
      <c r="G78" s="126">
        <v>0.88644400000000001</v>
      </c>
      <c r="H78" s="126">
        <v>0.94521200000000005</v>
      </c>
      <c r="I78" s="126">
        <v>0.99129800000000001</v>
      </c>
      <c r="J78" s="126">
        <v>1.024351</v>
      </c>
      <c r="K78" s="126">
        <v>1.039668</v>
      </c>
      <c r="L78" s="126">
        <v>1.0469550000000001</v>
      </c>
      <c r="M78" s="126">
        <v>1.0492729999999999</v>
      </c>
      <c r="N78" s="126">
        <v>1.0495110000000001</v>
      </c>
      <c r="O78" s="126">
        <v>1.046117</v>
      </c>
      <c r="P78" s="126">
        <v>1.0390809999999999</v>
      </c>
      <c r="Q78" s="126">
        <v>1.0273319999999999</v>
      </c>
      <c r="R78" s="126">
        <v>1.0181370000000001</v>
      </c>
      <c r="S78" s="126">
        <v>1.0045980000000001</v>
      </c>
      <c r="T78" s="126">
        <v>0.99453999999999998</v>
      </c>
      <c r="U78" s="126">
        <v>0.98602800000000002</v>
      </c>
      <c r="V78" s="126">
        <v>0.98146999999999995</v>
      </c>
      <c r="W78" s="126">
        <v>0.97937399999999997</v>
      </c>
      <c r="X78" s="126">
        <v>0.97847300000000004</v>
      </c>
      <c r="Y78" s="126">
        <v>0.98034900000000003</v>
      </c>
      <c r="Z78" s="126">
        <v>0.98392500000000005</v>
      </c>
      <c r="AA78" s="126">
        <v>0.990093</v>
      </c>
      <c r="AB78" s="126">
        <v>0.99858100000000005</v>
      </c>
      <c r="AC78" s="126">
        <v>1.0088900000000001</v>
      </c>
      <c r="AD78" s="126">
        <v>1.0199659999999999</v>
      </c>
      <c r="AE78" s="126">
        <v>1.0338259999999999</v>
      </c>
      <c r="AF78" s="126">
        <v>1.050095</v>
      </c>
      <c r="AG78" s="126">
        <v>1.070481</v>
      </c>
      <c r="AH78" s="126">
        <v>1.0880030000000001</v>
      </c>
      <c r="AI78" s="126">
        <v>1.108889</v>
      </c>
      <c r="AJ78" s="126">
        <v>1.130644</v>
      </c>
      <c r="AK78" s="126">
        <v>1.1521889999999999</v>
      </c>
      <c r="AL78" s="115">
        <v>1.0999999999999999E-2</v>
      </c>
    </row>
    <row r="79" spans="1:38">
      <c r="A79" s="17" t="s">
        <v>113</v>
      </c>
      <c r="B79" s="126" t="s">
        <v>1282</v>
      </c>
      <c r="C79" s="126" t="s">
        <v>2688</v>
      </c>
      <c r="D79" s="126" t="s">
        <v>3131</v>
      </c>
      <c r="E79" s="126" t="s">
        <v>1294</v>
      </c>
      <c r="F79" s="126">
        <v>54.018718999999997</v>
      </c>
      <c r="G79" s="126">
        <v>55.781914</v>
      </c>
      <c r="H79" s="126">
        <v>56.729793999999998</v>
      </c>
      <c r="I79" s="126">
        <v>56.885624</v>
      </c>
      <c r="J79" s="126">
        <v>56.448985999999998</v>
      </c>
      <c r="K79" s="126">
        <v>55.246741999999998</v>
      </c>
      <c r="L79" s="126">
        <v>53.820228999999998</v>
      </c>
      <c r="M79" s="126">
        <v>52.273933</v>
      </c>
      <c r="N79" s="126">
        <v>50.818474000000002</v>
      </c>
      <c r="O79" s="126">
        <v>49.399054999999997</v>
      </c>
      <c r="P79" s="126">
        <v>48.145229</v>
      </c>
      <c r="Q79" s="126">
        <v>46.961269000000001</v>
      </c>
      <c r="R79" s="126">
        <v>46.237040999999998</v>
      </c>
      <c r="S79" s="126">
        <v>45.686107999999997</v>
      </c>
      <c r="T79" s="126">
        <v>45.579388000000002</v>
      </c>
      <c r="U79" s="126">
        <v>45.790652999999999</v>
      </c>
      <c r="V79" s="126">
        <v>46.503081999999999</v>
      </c>
      <c r="W79" s="126">
        <v>47.745373000000001</v>
      </c>
      <c r="X79" s="126">
        <v>49.441398999999997</v>
      </c>
      <c r="Y79" s="126">
        <v>51.657761000000001</v>
      </c>
      <c r="Z79" s="126">
        <v>54.329909999999998</v>
      </c>
      <c r="AA79" s="126">
        <v>57.498725999999998</v>
      </c>
      <c r="AB79" s="126">
        <v>61.206291</v>
      </c>
      <c r="AC79" s="126">
        <v>65.498626999999999</v>
      </c>
      <c r="AD79" s="126">
        <v>70.278464999999997</v>
      </c>
      <c r="AE79" s="126">
        <v>75.747337000000002</v>
      </c>
      <c r="AF79" s="126">
        <v>81.962646000000007</v>
      </c>
      <c r="AG79" s="126">
        <v>89.130889999999994</v>
      </c>
      <c r="AH79" s="126">
        <v>96.720200000000006</v>
      </c>
      <c r="AI79" s="126">
        <v>105.325768</v>
      </c>
      <c r="AJ79" s="126">
        <v>114.90081000000001</v>
      </c>
      <c r="AK79" s="126">
        <v>125.43792000000001</v>
      </c>
      <c r="AL79" s="115">
        <v>2.8000000000000001E-2</v>
      </c>
    </row>
    <row r="80" spans="1:38">
      <c r="A80" s="17" t="s">
        <v>114</v>
      </c>
      <c r="B80" s="126" t="s">
        <v>2548</v>
      </c>
      <c r="C80" s="126" t="s">
        <v>2690</v>
      </c>
      <c r="D80" s="126" t="s">
        <v>3132</v>
      </c>
      <c r="E80" s="126" t="s">
        <v>1294</v>
      </c>
      <c r="F80" s="126">
        <v>0</v>
      </c>
      <c r="G80" s="126">
        <v>0</v>
      </c>
      <c r="H80" s="126">
        <v>0</v>
      </c>
      <c r="I80" s="126">
        <v>0</v>
      </c>
      <c r="J80" s="126">
        <v>0</v>
      </c>
      <c r="K80" s="126">
        <v>0</v>
      </c>
      <c r="L80" s="126">
        <v>0</v>
      </c>
      <c r="M80" s="126">
        <v>0</v>
      </c>
      <c r="N80" s="126">
        <v>0</v>
      </c>
      <c r="O80" s="126">
        <v>0</v>
      </c>
      <c r="P80" s="126">
        <v>0</v>
      </c>
      <c r="Q80" s="126">
        <v>0</v>
      </c>
      <c r="R80" s="126">
        <v>0</v>
      </c>
      <c r="S80" s="126">
        <v>0</v>
      </c>
      <c r="T80" s="126">
        <v>0</v>
      </c>
      <c r="U80" s="126">
        <v>0</v>
      </c>
      <c r="V80" s="126">
        <v>0</v>
      </c>
      <c r="W80" s="126">
        <v>0</v>
      </c>
      <c r="X80" s="126">
        <v>0</v>
      </c>
      <c r="Y80" s="126">
        <v>0</v>
      </c>
      <c r="Z80" s="126">
        <v>0</v>
      </c>
      <c r="AA80" s="126">
        <v>0</v>
      </c>
      <c r="AB80" s="126">
        <v>0</v>
      </c>
      <c r="AC80" s="126">
        <v>0</v>
      </c>
      <c r="AD80" s="126">
        <v>0</v>
      </c>
      <c r="AE80" s="126">
        <v>0</v>
      </c>
      <c r="AF80" s="126">
        <v>0</v>
      </c>
      <c r="AG80" s="126">
        <v>0</v>
      </c>
      <c r="AH80" s="126">
        <v>0</v>
      </c>
      <c r="AI80" s="126">
        <v>0</v>
      </c>
      <c r="AJ80" s="126">
        <v>0</v>
      </c>
      <c r="AK80" s="126">
        <v>0</v>
      </c>
      <c r="AL80" s="126" t="s">
        <v>146</v>
      </c>
    </row>
    <row r="81" spans="1:38">
      <c r="A81" s="17" t="s">
        <v>112</v>
      </c>
      <c r="B81" s="126" t="s">
        <v>1577</v>
      </c>
      <c r="C81" s="126" t="s">
        <v>2692</v>
      </c>
      <c r="D81" s="126" t="s">
        <v>3133</v>
      </c>
      <c r="E81" s="126" t="s">
        <v>1294</v>
      </c>
      <c r="F81" s="126">
        <v>0</v>
      </c>
      <c r="G81" s="126">
        <v>2.1637E-2</v>
      </c>
      <c r="H81" s="126">
        <v>3.5090000000000003E-2</v>
      </c>
      <c r="I81" s="126">
        <v>4.9528999999999997E-2</v>
      </c>
      <c r="J81" s="126">
        <v>6.3950999999999994E-2</v>
      </c>
      <c r="K81" s="126">
        <v>7.7684000000000003E-2</v>
      </c>
      <c r="L81" s="126">
        <v>9.1188000000000005E-2</v>
      </c>
      <c r="M81" s="126">
        <v>0.10445500000000001</v>
      </c>
      <c r="N81" s="126">
        <v>0.117675</v>
      </c>
      <c r="O81" s="126">
        <v>0.13055700000000001</v>
      </c>
      <c r="P81" s="126">
        <v>0.14303399999999999</v>
      </c>
      <c r="Q81" s="126">
        <v>0.154474</v>
      </c>
      <c r="R81" s="126">
        <v>0.16592999999999999</v>
      </c>
      <c r="S81" s="126">
        <v>0.176312</v>
      </c>
      <c r="T81" s="126">
        <v>0.18635399999999999</v>
      </c>
      <c r="U81" s="126">
        <v>0.195494</v>
      </c>
      <c r="V81" s="126">
        <v>0.204402</v>
      </c>
      <c r="W81" s="126">
        <v>0.213144</v>
      </c>
      <c r="X81" s="126">
        <v>0.221469</v>
      </c>
      <c r="Y81" s="126">
        <v>0.230132</v>
      </c>
      <c r="Z81" s="126">
        <v>0.23839299999999999</v>
      </c>
      <c r="AA81" s="126">
        <v>0.24653900000000001</v>
      </c>
      <c r="AB81" s="126">
        <v>0.25501600000000002</v>
      </c>
      <c r="AC81" s="126">
        <v>0.26447199999999998</v>
      </c>
      <c r="AD81" s="126">
        <v>0.27400099999999999</v>
      </c>
      <c r="AE81" s="126">
        <v>0.28440199999999999</v>
      </c>
      <c r="AF81" s="126">
        <v>0.29552899999999999</v>
      </c>
      <c r="AG81" s="126">
        <v>0.30787599999999998</v>
      </c>
      <c r="AH81" s="126">
        <v>0.31947500000000001</v>
      </c>
      <c r="AI81" s="126">
        <v>0.33218999999999999</v>
      </c>
      <c r="AJ81" s="126">
        <v>0.34556799999999999</v>
      </c>
      <c r="AK81" s="126">
        <v>0.359487</v>
      </c>
      <c r="AL81" s="126" t="s">
        <v>146</v>
      </c>
    </row>
    <row r="82" spans="1:38">
      <c r="A82" s="17" t="s">
        <v>116</v>
      </c>
      <c r="B82" s="126" t="s">
        <v>2549</v>
      </c>
      <c r="C82" s="126" t="s">
        <v>2694</v>
      </c>
      <c r="D82" s="126" t="s">
        <v>3134</v>
      </c>
      <c r="E82" s="126" t="s">
        <v>1294</v>
      </c>
      <c r="F82" s="126">
        <v>5.6251000000000002E-2</v>
      </c>
      <c r="G82" s="126">
        <v>8.1597000000000003E-2</v>
      </c>
      <c r="H82" s="126">
        <v>0.10340299999999999</v>
      </c>
      <c r="I82" s="126">
        <v>0.12631500000000001</v>
      </c>
      <c r="J82" s="126">
        <v>0.148871</v>
      </c>
      <c r="K82" s="126">
        <v>0.169628</v>
      </c>
      <c r="L82" s="126">
        <v>0.18956200000000001</v>
      </c>
      <c r="M82" s="126">
        <v>0.20862600000000001</v>
      </c>
      <c r="N82" s="126">
        <v>0.22717899999999999</v>
      </c>
      <c r="O82" s="126">
        <v>0.244647</v>
      </c>
      <c r="P82" s="126">
        <v>0.26111899999999999</v>
      </c>
      <c r="Q82" s="126">
        <v>0.27562399999999998</v>
      </c>
      <c r="R82" s="126">
        <v>0.29021400000000003</v>
      </c>
      <c r="S82" s="126">
        <v>0.30312800000000001</v>
      </c>
      <c r="T82" s="126">
        <v>0.31587300000000001</v>
      </c>
      <c r="U82" s="126">
        <v>0.32773200000000002</v>
      </c>
      <c r="V82" s="126">
        <v>0.34006500000000001</v>
      </c>
      <c r="W82" s="126">
        <v>0.35317900000000002</v>
      </c>
      <c r="X82" s="126">
        <v>0.36474000000000001</v>
      </c>
      <c r="Y82" s="126">
        <v>0.37606299999999998</v>
      </c>
      <c r="Z82" s="126">
        <v>0.38788600000000001</v>
      </c>
      <c r="AA82" s="126">
        <v>0.401592</v>
      </c>
      <c r="AB82" s="126">
        <v>0.41502800000000001</v>
      </c>
      <c r="AC82" s="126">
        <v>0.42952899999999999</v>
      </c>
      <c r="AD82" s="126">
        <v>0.44428600000000001</v>
      </c>
      <c r="AE82" s="126">
        <v>0.460422</v>
      </c>
      <c r="AF82" s="126">
        <v>0.477686</v>
      </c>
      <c r="AG82" s="126">
        <v>0.49685299999999999</v>
      </c>
      <c r="AH82" s="126">
        <v>0.51475000000000004</v>
      </c>
      <c r="AI82" s="126">
        <v>0.53438600000000003</v>
      </c>
      <c r="AJ82" s="126">
        <v>0.555033</v>
      </c>
      <c r="AK82" s="126">
        <v>0.57649399999999995</v>
      </c>
      <c r="AL82" s="115">
        <v>7.8E-2</v>
      </c>
    </row>
    <row r="83" spans="1:38">
      <c r="A83" s="17" t="s">
        <v>116</v>
      </c>
      <c r="B83" s="126" t="s">
        <v>2550</v>
      </c>
      <c r="C83" s="126" t="s">
        <v>2696</v>
      </c>
      <c r="D83" s="126" t="s">
        <v>3135</v>
      </c>
      <c r="E83" s="126" t="s">
        <v>1294</v>
      </c>
      <c r="F83" s="126">
        <v>5.3886999999999997E-2</v>
      </c>
      <c r="G83" s="126">
        <v>7.5287999999999994E-2</v>
      </c>
      <c r="H83" s="126">
        <v>9.5300999999999997E-2</v>
      </c>
      <c r="I83" s="126">
        <v>0.116435</v>
      </c>
      <c r="J83" s="126">
        <v>0.137355</v>
      </c>
      <c r="K83" s="126">
        <v>0.15673500000000001</v>
      </c>
      <c r="L83" s="126">
        <v>0.175457</v>
      </c>
      <c r="M83" s="126">
        <v>0.19339100000000001</v>
      </c>
      <c r="N83" s="126">
        <v>0.21087800000000001</v>
      </c>
      <c r="O83" s="126">
        <v>0.22747400000000001</v>
      </c>
      <c r="P83" s="126">
        <v>0.24316699999999999</v>
      </c>
      <c r="Q83" s="126">
        <v>0.257048</v>
      </c>
      <c r="R83" s="126">
        <v>0.27104600000000001</v>
      </c>
      <c r="S83" s="126">
        <v>0.283472</v>
      </c>
      <c r="T83" s="126">
        <v>0.295684</v>
      </c>
      <c r="U83" s="126">
        <v>0.30709399999999998</v>
      </c>
      <c r="V83" s="126">
        <v>0.31895499999999999</v>
      </c>
      <c r="W83" s="126">
        <v>0.33154400000000001</v>
      </c>
      <c r="X83" s="126">
        <v>0.34240999999999999</v>
      </c>
      <c r="Y83" s="126">
        <v>0.352989</v>
      </c>
      <c r="Z83" s="126">
        <v>0.36411900000000003</v>
      </c>
      <c r="AA83" s="126">
        <v>0.37709199999999998</v>
      </c>
      <c r="AB83" s="126">
        <v>0.38972299999999999</v>
      </c>
      <c r="AC83" s="126">
        <v>0.40329300000000001</v>
      </c>
      <c r="AD83" s="126">
        <v>0.417161</v>
      </c>
      <c r="AE83" s="126">
        <v>0.432394</v>
      </c>
      <c r="AF83" s="126">
        <v>0.44871800000000001</v>
      </c>
      <c r="AG83" s="126">
        <v>0.46686800000000001</v>
      </c>
      <c r="AH83" s="126">
        <v>0.483852</v>
      </c>
      <c r="AI83" s="126">
        <v>0.50248599999999999</v>
      </c>
      <c r="AJ83" s="126">
        <v>0.52207099999999995</v>
      </c>
      <c r="AK83" s="126">
        <v>0.54240999999999995</v>
      </c>
      <c r="AL83" s="115">
        <v>7.6999999999999999E-2</v>
      </c>
    </row>
    <row r="84" spans="1:38">
      <c r="A84" s="17" t="s">
        <v>854</v>
      </c>
      <c r="B84" s="126" t="s">
        <v>1581</v>
      </c>
      <c r="C84" s="126" t="s">
        <v>2698</v>
      </c>
      <c r="D84" s="126" t="s">
        <v>3136</v>
      </c>
      <c r="E84" s="126" t="s">
        <v>1294</v>
      </c>
      <c r="F84" s="126">
        <v>2.4469000000000001E-2</v>
      </c>
      <c r="G84" s="126">
        <v>7.2345000000000007E-2</v>
      </c>
      <c r="H84" s="126">
        <v>0.11251800000000001</v>
      </c>
      <c r="I84" s="126">
        <v>0.15587699999999999</v>
      </c>
      <c r="J84" s="126">
        <v>0.19958100000000001</v>
      </c>
      <c r="K84" s="126">
        <v>0.24171699999999999</v>
      </c>
      <c r="L84" s="126">
        <v>0.28384100000000001</v>
      </c>
      <c r="M84" s="126">
        <v>0.32609199999999999</v>
      </c>
      <c r="N84" s="126">
        <v>0.36918499999999999</v>
      </c>
      <c r="O84" s="126">
        <v>0.41171200000000002</v>
      </c>
      <c r="P84" s="126">
        <v>0.45395799999999997</v>
      </c>
      <c r="Q84" s="126">
        <v>0.49386999999999998</v>
      </c>
      <c r="R84" s="126">
        <v>0.53480099999999997</v>
      </c>
      <c r="S84" s="126">
        <v>0.57306199999999996</v>
      </c>
      <c r="T84" s="126">
        <v>0.61067199999999999</v>
      </c>
      <c r="U84" s="126">
        <v>0.64574600000000004</v>
      </c>
      <c r="V84" s="126">
        <v>0.68040999999999996</v>
      </c>
      <c r="W84" s="126">
        <v>0.71485399999999999</v>
      </c>
      <c r="X84" s="126">
        <v>0.747583</v>
      </c>
      <c r="Y84" s="126">
        <v>0.78036899999999998</v>
      </c>
      <c r="Z84" s="126">
        <v>0.81215199999999999</v>
      </c>
      <c r="AA84" s="126">
        <v>0.844248</v>
      </c>
      <c r="AB84" s="126">
        <v>0.87707000000000002</v>
      </c>
      <c r="AC84" s="126">
        <v>0.91173899999999997</v>
      </c>
      <c r="AD84" s="126">
        <v>0.94670600000000005</v>
      </c>
      <c r="AE84" s="126">
        <v>0.98437200000000002</v>
      </c>
      <c r="AF84" s="126">
        <v>1.024305</v>
      </c>
      <c r="AG84" s="126">
        <v>1.068252</v>
      </c>
      <c r="AH84" s="126">
        <v>1.10945</v>
      </c>
      <c r="AI84" s="126">
        <v>1.15442</v>
      </c>
      <c r="AJ84" s="126">
        <v>1.2016119999999999</v>
      </c>
      <c r="AK84" s="126">
        <v>1.2505729999999999</v>
      </c>
      <c r="AL84" s="115">
        <v>0.13500000000000001</v>
      </c>
    </row>
    <row r="85" spans="1:38">
      <c r="B85" s="126" t="s">
        <v>2554</v>
      </c>
      <c r="C85" s="126" t="s">
        <v>2700</v>
      </c>
      <c r="D85" s="126" t="s">
        <v>3137</v>
      </c>
      <c r="E85" s="126" t="s">
        <v>1294</v>
      </c>
      <c r="F85" s="126">
        <v>4318.1782229999999</v>
      </c>
      <c r="G85" s="126">
        <v>4346.4902339999999</v>
      </c>
      <c r="H85" s="126">
        <v>4381.8891599999997</v>
      </c>
      <c r="I85" s="126">
        <v>4405.5703119999998</v>
      </c>
      <c r="J85" s="126">
        <v>4421.8076170000004</v>
      </c>
      <c r="K85" s="126">
        <v>4402.0224609999996</v>
      </c>
      <c r="L85" s="126">
        <v>4377.4858400000003</v>
      </c>
      <c r="M85" s="126">
        <v>4343.0454099999997</v>
      </c>
      <c r="N85" s="126">
        <v>4306.720703</v>
      </c>
      <c r="O85" s="126">
        <v>4261.3710940000001</v>
      </c>
      <c r="P85" s="126">
        <v>4214.5834960000002</v>
      </c>
      <c r="Q85" s="126">
        <v>4156.6259769999997</v>
      </c>
      <c r="R85" s="126">
        <v>4120.2041019999997</v>
      </c>
      <c r="S85" s="126">
        <v>4076.3469239999999</v>
      </c>
      <c r="T85" s="126">
        <v>4043.5583499999998</v>
      </c>
      <c r="U85" s="126">
        <v>4008.5649410000001</v>
      </c>
      <c r="V85" s="126">
        <v>3983.804932</v>
      </c>
      <c r="W85" s="126">
        <v>3966.3630370000001</v>
      </c>
      <c r="X85" s="126">
        <v>3947.279297</v>
      </c>
      <c r="Y85" s="126">
        <v>3933.9553219999998</v>
      </c>
      <c r="Z85" s="126">
        <v>3922.4091800000001</v>
      </c>
      <c r="AA85" s="126">
        <v>3917.3376459999999</v>
      </c>
      <c r="AB85" s="126">
        <v>3915.1076659999999</v>
      </c>
      <c r="AC85" s="126">
        <v>3918.4704590000001</v>
      </c>
      <c r="AD85" s="126">
        <v>3922.3532709999999</v>
      </c>
      <c r="AE85" s="126">
        <v>3934.7416990000002</v>
      </c>
      <c r="AF85" s="126">
        <v>3952.9509280000002</v>
      </c>
      <c r="AG85" s="126">
        <v>3981.7370609999998</v>
      </c>
      <c r="AH85" s="126">
        <v>3995.5954590000001</v>
      </c>
      <c r="AI85" s="126">
        <v>4018.63501</v>
      </c>
      <c r="AJ85" s="126">
        <v>4043.4184570000002</v>
      </c>
      <c r="AK85" s="126">
        <v>4066.7226559999999</v>
      </c>
      <c r="AL85" s="115">
        <v>-2E-3</v>
      </c>
    </row>
    <row r="86" spans="1:38">
      <c r="B86" s="126" t="s">
        <v>1221</v>
      </c>
      <c r="C86" s="126" t="s">
        <v>2702</v>
      </c>
      <c r="D86" s="126" t="s">
        <v>2703</v>
      </c>
      <c r="F86" s="126" t="s">
        <v>3138</v>
      </c>
    </row>
    <row r="87" spans="1:38">
      <c r="A87" s="17" t="s">
        <v>115</v>
      </c>
      <c r="B87" s="126" t="s">
        <v>1266</v>
      </c>
      <c r="C87" s="126" t="s">
        <v>2705</v>
      </c>
      <c r="D87" s="126" t="s">
        <v>3139</v>
      </c>
      <c r="E87" s="126" t="s">
        <v>1294</v>
      </c>
      <c r="F87" s="126">
        <v>5283.0751950000003</v>
      </c>
      <c r="G87" s="126">
        <v>5306.7768550000001</v>
      </c>
      <c r="H87" s="126">
        <v>5348.8916019999997</v>
      </c>
      <c r="I87" s="126">
        <v>5377.5786129999997</v>
      </c>
      <c r="J87" s="126">
        <v>5399.9990230000003</v>
      </c>
      <c r="K87" s="126">
        <v>5381.0673829999996</v>
      </c>
      <c r="L87" s="126">
        <v>5358.2744140000004</v>
      </c>
      <c r="M87" s="126">
        <v>5325.1391599999997</v>
      </c>
      <c r="N87" s="126">
        <v>5291.7421880000002</v>
      </c>
      <c r="O87" s="126">
        <v>5248.9208980000003</v>
      </c>
      <c r="P87" s="126">
        <v>5204.5776370000003</v>
      </c>
      <c r="Q87" s="126">
        <v>5146.6835940000001</v>
      </c>
      <c r="R87" s="126">
        <v>5115.5185549999997</v>
      </c>
      <c r="S87" s="126">
        <v>5075.0776370000003</v>
      </c>
      <c r="T87" s="126">
        <v>5047.4741210000002</v>
      </c>
      <c r="U87" s="126">
        <v>5016.7963870000003</v>
      </c>
      <c r="V87" s="126">
        <v>4999.0166019999997</v>
      </c>
      <c r="W87" s="126">
        <v>4989.8193359999996</v>
      </c>
      <c r="X87" s="126">
        <v>4977.2446289999998</v>
      </c>
      <c r="Y87" s="126">
        <v>4970.8950199999999</v>
      </c>
      <c r="Z87" s="126">
        <v>4966.3193359999996</v>
      </c>
      <c r="AA87" s="126">
        <v>4968.9648440000001</v>
      </c>
      <c r="AB87" s="126">
        <v>4974.873047</v>
      </c>
      <c r="AC87" s="126">
        <v>4987.0131840000004</v>
      </c>
      <c r="AD87" s="126">
        <v>5000.1865230000003</v>
      </c>
      <c r="AE87" s="126">
        <v>5024.5239259999998</v>
      </c>
      <c r="AF87" s="126">
        <v>5056.236328</v>
      </c>
      <c r="AG87" s="126">
        <v>5101.4487300000001</v>
      </c>
      <c r="AH87" s="126">
        <v>5127.9819340000004</v>
      </c>
      <c r="AI87" s="126">
        <v>5166.626953</v>
      </c>
      <c r="AJ87" s="126">
        <v>5207.5229490000002</v>
      </c>
      <c r="AK87" s="126">
        <v>5247.1645509999998</v>
      </c>
      <c r="AL87" s="115">
        <v>0</v>
      </c>
    </row>
    <row r="88" spans="1:38">
      <c r="A88" s="17" t="s">
        <v>114</v>
      </c>
      <c r="B88" s="126" t="s">
        <v>1352</v>
      </c>
      <c r="C88" s="126" t="s">
        <v>2707</v>
      </c>
      <c r="D88" s="126" t="s">
        <v>3140</v>
      </c>
      <c r="E88" s="126" t="s">
        <v>1294</v>
      </c>
      <c r="F88" s="126">
        <v>485.40243500000003</v>
      </c>
      <c r="G88" s="126">
        <v>478.805725</v>
      </c>
      <c r="H88" s="126">
        <v>478.80367999999999</v>
      </c>
      <c r="I88" s="126">
        <v>478.13436899999999</v>
      </c>
      <c r="J88" s="126">
        <v>479.00756799999999</v>
      </c>
      <c r="K88" s="126">
        <v>478.700806</v>
      </c>
      <c r="L88" s="126">
        <v>479.14230300000003</v>
      </c>
      <c r="M88" s="126">
        <v>480.42889400000001</v>
      </c>
      <c r="N88" s="126">
        <v>482.82519500000001</v>
      </c>
      <c r="O88" s="126">
        <v>485.47219799999999</v>
      </c>
      <c r="P88" s="126">
        <v>488.65475500000002</v>
      </c>
      <c r="Q88" s="126">
        <v>490.72933999999998</v>
      </c>
      <c r="R88" s="126">
        <v>495.18454000000003</v>
      </c>
      <c r="S88" s="126">
        <v>499.391907</v>
      </c>
      <c r="T88" s="126">
        <v>504.92578099999997</v>
      </c>
      <c r="U88" s="126">
        <v>510.27957199999997</v>
      </c>
      <c r="V88" s="126">
        <v>516.91204800000003</v>
      </c>
      <c r="W88" s="126">
        <v>524.979919</v>
      </c>
      <c r="X88" s="126">
        <v>532.29345699999999</v>
      </c>
      <c r="Y88" s="126">
        <v>539.69964600000003</v>
      </c>
      <c r="Z88" s="126">
        <v>547.19457999999997</v>
      </c>
      <c r="AA88" s="126">
        <v>555.17535399999997</v>
      </c>
      <c r="AB88" s="126">
        <v>563.65759300000002</v>
      </c>
      <c r="AC88" s="126">
        <v>572.594604</v>
      </c>
      <c r="AD88" s="126">
        <v>581.68859899999995</v>
      </c>
      <c r="AE88" s="126">
        <v>592.11938499999997</v>
      </c>
      <c r="AF88" s="126">
        <v>603.21710199999995</v>
      </c>
      <c r="AG88" s="126">
        <v>615.88531499999999</v>
      </c>
      <c r="AH88" s="126">
        <v>626.395081</v>
      </c>
      <c r="AI88" s="126">
        <v>638.569885</v>
      </c>
      <c r="AJ88" s="126">
        <v>651.35040300000003</v>
      </c>
      <c r="AK88" s="126">
        <v>664.54235800000004</v>
      </c>
      <c r="AL88" s="115">
        <v>0.01</v>
      </c>
    </row>
    <row r="89" spans="1:38">
      <c r="A89" s="17" t="s">
        <v>853</v>
      </c>
      <c r="B89" s="126" t="s">
        <v>1273</v>
      </c>
      <c r="C89" s="126" t="s">
        <v>2709</v>
      </c>
      <c r="D89" s="126" t="s">
        <v>3141</v>
      </c>
      <c r="E89" s="126" t="s">
        <v>1294</v>
      </c>
      <c r="F89" s="126">
        <v>1.960367</v>
      </c>
      <c r="G89" s="126">
        <v>2.1215000000000002</v>
      </c>
      <c r="H89" s="126">
        <v>2.2668919999999999</v>
      </c>
      <c r="I89" s="126">
        <v>2.3951479999999998</v>
      </c>
      <c r="J89" s="126">
        <v>2.5059680000000002</v>
      </c>
      <c r="K89" s="126">
        <v>2.5839660000000002</v>
      </c>
      <c r="L89" s="126">
        <v>2.6485829999999999</v>
      </c>
      <c r="M89" s="126">
        <v>2.7022810000000002</v>
      </c>
      <c r="N89" s="126">
        <v>2.752202</v>
      </c>
      <c r="O89" s="126">
        <v>2.7959589999999999</v>
      </c>
      <c r="P89" s="126">
        <v>2.8348849999999999</v>
      </c>
      <c r="Q89" s="126">
        <v>2.8651499999999999</v>
      </c>
      <c r="R89" s="126">
        <v>2.9091010000000002</v>
      </c>
      <c r="S89" s="126">
        <v>2.9497819999999999</v>
      </c>
      <c r="T89" s="126">
        <v>3.0067810000000001</v>
      </c>
      <c r="U89" s="126">
        <v>3.0708769999999999</v>
      </c>
      <c r="V89" s="126">
        <v>3.1440980000000001</v>
      </c>
      <c r="W89" s="126">
        <v>3.2299890000000002</v>
      </c>
      <c r="X89" s="126">
        <v>3.322527</v>
      </c>
      <c r="Y89" s="126">
        <v>3.4273609999999999</v>
      </c>
      <c r="Z89" s="126">
        <v>3.5407489999999999</v>
      </c>
      <c r="AA89" s="126">
        <v>3.665832</v>
      </c>
      <c r="AB89" s="126">
        <v>3.8019850000000002</v>
      </c>
      <c r="AC89" s="126">
        <v>3.9487540000000001</v>
      </c>
      <c r="AD89" s="126">
        <v>4.1022249999999998</v>
      </c>
      <c r="AE89" s="126">
        <v>4.2720440000000002</v>
      </c>
      <c r="AF89" s="126">
        <v>4.4576640000000003</v>
      </c>
      <c r="AG89" s="126">
        <v>4.6677960000000001</v>
      </c>
      <c r="AH89" s="126">
        <v>4.8733839999999997</v>
      </c>
      <c r="AI89" s="126">
        <v>5.1036830000000002</v>
      </c>
      <c r="AJ89" s="126">
        <v>5.3425099999999999</v>
      </c>
      <c r="AK89" s="126">
        <v>5.5976819999999998</v>
      </c>
      <c r="AL89" s="115">
        <v>3.4000000000000002E-2</v>
      </c>
    </row>
    <row r="90" spans="1:38">
      <c r="A90" s="17" t="s">
        <v>113</v>
      </c>
      <c r="B90" s="126" t="s">
        <v>1282</v>
      </c>
      <c r="C90" s="126" t="s">
        <v>2711</v>
      </c>
      <c r="D90" s="126" t="s">
        <v>3142</v>
      </c>
      <c r="E90" s="126" t="s">
        <v>1294</v>
      </c>
      <c r="F90" s="126">
        <v>55.134186</v>
      </c>
      <c r="G90" s="126">
        <v>57.093105000000001</v>
      </c>
      <c r="H90" s="126">
        <v>58.223103000000002</v>
      </c>
      <c r="I90" s="126">
        <v>58.559806999999999</v>
      </c>
      <c r="J90" s="126">
        <v>58.292090999999999</v>
      </c>
      <c r="K90" s="126">
        <v>57.231093999999999</v>
      </c>
      <c r="L90" s="126">
        <v>55.931792999999999</v>
      </c>
      <c r="M90" s="126">
        <v>54.498989000000002</v>
      </c>
      <c r="N90" s="126">
        <v>53.148944999999998</v>
      </c>
      <c r="O90" s="126">
        <v>51.826168000000003</v>
      </c>
      <c r="P90" s="126">
        <v>50.658943000000001</v>
      </c>
      <c r="Q90" s="126">
        <v>49.543762000000001</v>
      </c>
      <c r="R90" s="126">
        <v>48.892792</v>
      </c>
      <c r="S90" s="126">
        <v>48.404400000000003</v>
      </c>
      <c r="T90" s="126">
        <v>48.362166999999999</v>
      </c>
      <c r="U90" s="126">
        <v>48.631774999999998</v>
      </c>
      <c r="V90" s="126">
        <v>49.407615999999997</v>
      </c>
      <c r="W90" s="126">
        <v>50.719116</v>
      </c>
      <c r="X90" s="126">
        <v>52.486217000000003</v>
      </c>
      <c r="Y90" s="126">
        <v>54.779701000000003</v>
      </c>
      <c r="Z90" s="126">
        <v>57.534092000000001</v>
      </c>
      <c r="AA90" s="126">
        <v>60.793658999999998</v>
      </c>
      <c r="AB90" s="126">
        <v>64.598258999999999</v>
      </c>
      <c r="AC90" s="126">
        <v>68.995841999999996</v>
      </c>
      <c r="AD90" s="126">
        <v>73.883758999999998</v>
      </c>
      <c r="AE90" s="126">
        <v>79.473831000000004</v>
      </c>
      <c r="AF90" s="126">
        <v>85.826003999999998</v>
      </c>
      <c r="AG90" s="126">
        <v>93.153931</v>
      </c>
      <c r="AH90" s="126">
        <v>100.899231</v>
      </c>
      <c r="AI90" s="126">
        <v>109.68302199999999</v>
      </c>
      <c r="AJ90" s="126">
        <v>119.453796</v>
      </c>
      <c r="AK90" s="126">
        <v>130.204025</v>
      </c>
      <c r="AL90" s="115">
        <v>2.8000000000000001E-2</v>
      </c>
    </row>
    <row r="91" spans="1:38">
      <c r="A91" s="17" t="s">
        <v>114</v>
      </c>
      <c r="B91" s="126" t="s">
        <v>2548</v>
      </c>
      <c r="C91" s="126" t="s">
        <v>2713</v>
      </c>
      <c r="D91" s="126" t="s">
        <v>3143</v>
      </c>
      <c r="E91" s="126" t="s">
        <v>1294</v>
      </c>
      <c r="F91" s="126">
        <v>55.980674999999998</v>
      </c>
      <c r="G91" s="126">
        <v>59.802222999999998</v>
      </c>
      <c r="H91" s="126">
        <v>64.008056999999994</v>
      </c>
      <c r="I91" s="126">
        <v>67.590835999999996</v>
      </c>
      <c r="J91" s="126">
        <v>71.062584000000001</v>
      </c>
      <c r="K91" s="126">
        <v>74.068741000000003</v>
      </c>
      <c r="L91" s="126">
        <v>77.164467000000002</v>
      </c>
      <c r="M91" s="126">
        <v>80.250816</v>
      </c>
      <c r="N91" s="126">
        <v>83.477905000000007</v>
      </c>
      <c r="O91" s="126">
        <v>86.746589999999998</v>
      </c>
      <c r="P91" s="126">
        <v>90.212608000000003</v>
      </c>
      <c r="Q91" s="126">
        <v>93.622687999999997</v>
      </c>
      <c r="R91" s="126">
        <v>97.616951</v>
      </c>
      <c r="S91" s="126">
        <v>101.55544999999999</v>
      </c>
      <c r="T91" s="126">
        <v>105.787689</v>
      </c>
      <c r="U91" s="126">
        <v>109.926636</v>
      </c>
      <c r="V91" s="126">
        <v>114.42358400000001</v>
      </c>
      <c r="W91" s="126">
        <v>119.190079</v>
      </c>
      <c r="X91" s="126">
        <v>123.917992</v>
      </c>
      <c r="Y91" s="126">
        <v>128.759567</v>
      </c>
      <c r="Z91" s="126">
        <v>134.03454600000001</v>
      </c>
      <c r="AA91" s="126">
        <v>139.80465699999999</v>
      </c>
      <c r="AB91" s="126">
        <v>145.99169900000001</v>
      </c>
      <c r="AC91" s="126">
        <v>152.59783899999999</v>
      </c>
      <c r="AD91" s="126">
        <v>159.42468299999999</v>
      </c>
      <c r="AE91" s="126">
        <v>166.892517</v>
      </c>
      <c r="AF91" s="126">
        <v>174.891998</v>
      </c>
      <c r="AG91" s="126">
        <v>183.71383700000001</v>
      </c>
      <c r="AH91" s="126">
        <v>192.29870600000001</v>
      </c>
      <c r="AI91" s="126">
        <v>201.92330899999999</v>
      </c>
      <c r="AJ91" s="126">
        <v>212.136032</v>
      </c>
      <c r="AK91" s="126">
        <v>223.12020899999999</v>
      </c>
      <c r="AL91" s="115">
        <v>4.5999999999999999E-2</v>
      </c>
    </row>
    <row r="92" spans="1:38">
      <c r="A92" s="17" t="s">
        <v>112</v>
      </c>
      <c r="B92" s="126" t="s">
        <v>1577</v>
      </c>
      <c r="C92" s="126" t="s">
        <v>2715</v>
      </c>
      <c r="D92" s="126" t="s">
        <v>3144</v>
      </c>
      <c r="E92" s="126" t="s">
        <v>1294</v>
      </c>
      <c r="F92" s="126">
        <v>6.8770000000000003E-3</v>
      </c>
      <c r="G92" s="126">
        <v>9.7259999999999999E-2</v>
      </c>
      <c r="H92" s="126">
        <v>0.17502300000000001</v>
      </c>
      <c r="I92" s="126">
        <v>0.25628400000000001</v>
      </c>
      <c r="J92" s="126">
        <v>0.337088</v>
      </c>
      <c r="K92" s="126">
        <v>0.41384799999999999</v>
      </c>
      <c r="L92" s="126">
        <v>0.48877700000000002</v>
      </c>
      <c r="M92" s="126">
        <v>0.56186899999999995</v>
      </c>
      <c r="N92" s="126">
        <v>0.63453700000000002</v>
      </c>
      <c r="O92" s="126">
        <v>0.70609999999999995</v>
      </c>
      <c r="P92" s="126">
        <v>0.77689799999999998</v>
      </c>
      <c r="Q92" s="126">
        <v>0.84427700000000006</v>
      </c>
      <c r="R92" s="126">
        <v>0.91504300000000005</v>
      </c>
      <c r="S92" s="126">
        <v>0.98389599999999999</v>
      </c>
      <c r="T92" s="126">
        <v>1.0550040000000001</v>
      </c>
      <c r="U92" s="126">
        <v>1.12561</v>
      </c>
      <c r="V92" s="126">
        <v>1.1998819999999999</v>
      </c>
      <c r="W92" s="126">
        <v>1.2779180000000001</v>
      </c>
      <c r="X92" s="126">
        <v>1.3570279999999999</v>
      </c>
      <c r="Y92" s="126">
        <v>1.440644</v>
      </c>
      <c r="Z92" s="126">
        <v>1.525018</v>
      </c>
      <c r="AA92" s="126">
        <v>1.613586</v>
      </c>
      <c r="AB92" s="126">
        <v>1.7065889999999999</v>
      </c>
      <c r="AC92" s="126">
        <v>1.8045359999999999</v>
      </c>
      <c r="AD92" s="126">
        <v>1.904031</v>
      </c>
      <c r="AE92" s="126">
        <v>2.0101239999999998</v>
      </c>
      <c r="AF92" s="126">
        <v>2.1227610000000001</v>
      </c>
      <c r="AG92" s="126">
        <v>2.2462300000000002</v>
      </c>
      <c r="AH92" s="126">
        <v>2.3669660000000001</v>
      </c>
      <c r="AI92" s="126">
        <v>2.4994879999999999</v>
      </c>
      <c r="AJ92" s="126">
        <v>2.64045</v>
      </c>
      <c r="AK92" s="126">
        <v>2.7902110000000002</v>
      </c>
      <c r="AL92" s="115">
        <v>0.214</v>
      </c>
    </row>
    <row r="93" spans="1:38">
      <c r="A93" s="17" t="s">
        <v>116</v>
      </c>
      <c r="B93" s="126" t="s">
        <v>2549</v>
      </c>
      <c r="C93" s="126" t="s">
        <v>2717</v>
      </c>
      <c r="D93" s="126" t="s">
        <v>3145</v>
      </c>
      <c r="E93" s="126" t="s">
        <v>1294</v>
      </c>
      <c r="F93" s="126">
        <v>5.6251000000000002E-2</v>
      </c>
      <c r="G93" s="126">
        <v>0.17300299999999999</v>
      </c>
      <c r="H93" s="126">
        <v>0.27990900000000002</v>
      </c>
      <c r="I93" s="126">
        <v>0.39041700000000001</v>
      </c>
      <c r="J93" s="126">
        <v>0.49920300000000001</v>
      </c>
      <c r="K93" s="126">
        <v>0.60069099999999997</v>
      </c>
      <c r="L93" s="126">
        <v>0.69786099999999995</v>
      </c>
      <c r="M93" s="126">
        <v>0.791323</v>
      </c>
      <c r="N93" s="126">
        <v>0.88317199999999996</v>
      </c>
      <c r="O93" s="126">
        <v>0.97270500000000004</v>
      </c>
      <c r="P93" s="126">
        <v>1.060101</v>
      </c>
      <c r="Q93" s="126">
        <v>1.1420429999999999</v>
      </c>
      <c r="R93" s="126">
        <v>1.2278709999999999</v>
      </c>
      <c r="S93" s="126">
        <v>1.310603</v>
      </c>
      <c r="T93" s="126">
        <v>1.3962110000000001</v>
      </c>
      <c r="U93" s="126">
        <v>1.4813769999999999</v>
      </c>
      <c r="V93" s="126">
        <v>1.5719609999999999</v>
      </c>
      <c r="W93" s="126">
        <v>1.6680120000000001</v>
      </c>
      <c r="X93" s="126">
        <v>1.7642770000000001</v>
      </c>
      <c r="Y93" s="126">
        <v>1.8653869999999999</v>
      </c>
      <c r="Z93" s="126">
        <v>1.968116</v>
      </c>
      <c r="AA93" s="126">
        <v>2.0778089999999998</v>
      </c>
      <c r="AB93" s="126">
        <v>2.1916069999999999</v>
      </c>
      <c r="AC93" s="126">
        <v>2.3111649999999999</v>
      </c>
      <c r="AD93" s="126">
        <v>2.4325570000000001</v>
      </c>
      <c r="AE93" s="126">
        <v>2.5622319999999998</v>
      </c>
      <c r="AF93" s="126">
        <v>2.7000130000000002</v>
      </c>
      <c r="AG93" s="126">
        <v>2.8512819999999999</v>
      </c>
      <c r="AH93" s="126">
        <v>2.9988130000000002</v>
      </c>
      <c r="AI93" s="126">
        <v>3.1610520000000002</v>
      </c>
      <c r="AJ93" s="126">
        <v>3.3338359999999998</v>
      </c>
      <c r="AK93" s="126">
        <v>3.5176080000000001</v>
      </c>
      <c r="AL93" s="115">
        <v>0.14299999999999999</v>
      </c>
    </row>
    <row r="94" spans="1:38">
      <c r="A94" s="17" t="s">
        <v>116</v>
      </c>
      <c r="B94" s="126" t="s">
        <v>2550</v>
      </c>
      <c r="C94" s="126" t="s">
        <v>2719</v>
      </c>
      <c r="D94" s="126" t="s">
        <v>3146</v>
      </c>
      <c r="E94" s="126" t="s">
        <v>1294</v>
      </c>
      <c r="F94" s="126">
        <v>5.3886999999999997E-2</v>
      </c>
      <c r="G94" s="126">
        <v>0.17217499999999999</v>
      </c>
      <c r="H94" s="126">
        <v>0.28195799999999999</v>
      </c>
      <c r="I94" s="126">
        <v>0.39607900000000001</v>
      </c>
      <c r="J94" s="126">
        <v>0.50887499999999997</v>
      </c>
      <c r="K94" s="126">
        <v>0.61495599999999995</v>
      </c>
      <c r="L94" s="126">
        <v>0.71757899999999997</v>
      </c>
      <c r="M94" s="126">
        <v>0.81676700000000002</v>
      </c>
      <c r="N94" s="126">
        <v>0.91452100000000003</v>
      </c>
      <c r="O94" s="126">
        <v>1.0104850000000001</v>
      </c>
      <c r="P94" s="126">
        <v>1.1050390000000001</v>
      </c>
      <c r="Q94" s="126">
        <v>1.19462</v>
      </c>
      <c r="R94" s="126">
        <v>1.289026</v>
      </c>
      <c r="S94" s="126">
        <v>1.3805400000000001</v>
      </c>
      <c r="T94" s="126">
        <v>1.475543</v>
      </c>
      <c r="U94" s="126">
        <v>1.570241</v>
      </c>
      <c r="V94" s="126">
        <v>1.670417</v>
      </c>
      <c r="W94" s="126">
        <v>1.7764420000000001</v>
      </c>
      <c r="X94" s="126">
        <v>1.8826099999999999</v>
      </c>
      <c r="Y94" s="126">
        <v>1.9940009999999999</v>
      </c>
      <c r="Z94" s="126">
        <v>2.1072519999999999</v>
      </c>
      <c r="AA94" s="126">
        <v>2.2279779999999998</v>
      </c>
      <c r="AB94" s="126">
        <v>2.3533949999999999</v>
      </c>
      <c r="AC94" s="126">
        <v>2.4850569999999998</v>
      </c>
      <c r="AD94" s="126">
        <v>2.6189209999999998</v>
      </c>
      <c r="AE94" s="126">
        <v>2.7619250000000002</v>
      </c>
      <c r="AF94" s="126">
        <v>2.9138299999999999</v>
      </c>
      <c r="AG94" s="126">
        <v>3.080711</v>
      </c>
      <c r="AH94" s="126">
        <v>3.243303</v>
      </c>
      <c r="AI94" s="126">
        <v>3.421335</v>
      </c>
      <c r="AJ94" s="126">
        <v>3.609899</v>
      </c>
      <c r="AK94" s="126">
        <v>3.809234</v>
      </c>
      <c r="AL94" s="115">
        <v>0.14699999999999999</v>
      </c>
    </row>
    <row r="95" spans="1:38">
      <c r="A95" s="17" t="s">
        <v>854</v>
      </c>
      <c r="B95" s="126" t="s">
        <v>1581</v>
      </c>
      <c r="C95" s="126" t="s">
        <v>2721</v>
      </c>
      <c r="D95" s="126" t="s">
        <v>3147</v>
      </c>
      <c r="E95" s="126" t="s">
        <v>1294</v>
      </c>
      <c r="F95" s="126">
        <v>2.4469000000000001E-2</v>
      </c>
      <c r="G95" s="126">
        <v>0.176735</v>
      </c>
      <c r="H95" s="126">
        <v>0.311558</v>
      </c>
      <c r="I95" s="126">
        <v>0.45541199999999998</v>
      </c>
      <c r="J95" s="126">
        <v>0.59767300000000001</v>
      </c>
      <c r="K95" s="126">
        <v>0.73232399999999997</v>
      </c>
      <c r="L95" s="126">
        <v>0.86486600000000002</v>
      </c>
      <c r="M95" s="126">
        <v>0.99710699999999997</v>
      </c>
      <c r="N95" s="126">
        <v>1.132654</v>
      </c>
      <c r="O95" s="126">
        <v>1.268626</v>
      </c>
      <c r="P95" s="126">
        <v>1.4071229999999999</v>
      </c>
      <c r="Q95" s="126">
        <v>1.5425</v>
      </c>
      <c r="R95" s="126">
        <v>1.68608</v>
      </c>
      <c r="S95" s="126">
        <v>1.8274010000000001</v>
      </c>
      <c r="T95" s="126">
        <v>1.9730749999999999</v>
      </c>
      <c r="U95" s="126">
        <v>2.1168770000000001</v>
      </c>
      <c r="V95" s="126">
        <v>2.2654290000000001</v>
      </c>
      <c r="W95" s="126">
        <v>2.420032</v>
      </c>
      <c r="X95" s="126">
        <v>2.5764279999999999</v>
      </c>
      <c r="Y95" s="126">
        <v>2.7401740000000001</v>
      </c>
      <c r="Z95" s="126">
        <v>2.9043869999999998</v>
      </c>
      <c r="AA95" s="126">
        <v>3.0776509999999999</v>
      </c>
      <c r="AB95" s="126">
        <v>3.2589670000000002</v>
      </c>
      <c r="AC95" s="126">
        <v>3.449954</v>
      </c>
      <c r="AD95" s="126">
        <v>3.6477400000000002</v>
      </c>
      <c r="AE95" s="126">
        <v>3.8611330000000001</v>
      </c>
      <c r="AF95" s="126">
        <v>4.08988</v>
      </c>
      <c r="AG95" s="126">
        <v>4.3417500000000002</v>
      </c>
      <c r="AH95" s="126">
        <v>4.5890880000000003</v>
      </c>
      <c r="AI95" s="126">
        <v>4.8591769999999999</v>
      </c>
      <c r="AJ95" s="126">
        <v>5.1461829999999997</v>
      </c>
      <c r="AK95" s="126">
        <v>5.4475350000000002</v>
      </c>
      <c r="AL95" s="115">
        <v>0.19</v>
      </c>
    </row>
    <row r="96" spans="1:38">
      <c r="B96" s="126" t="s">
        <v>594</v>
      </c>
      <c r="C96" s="126" t="s">
        <v>2723</v>
      </c>
      <c r="D96" s="126" t="s">
        <v>3148</v>
      </c>
      <c r="E96" s="126" t="s">
        <v>1294</v>
      </c>
      <c r="F96" s="126">
        <v>5881.6953119999998</v>
      </c>
      <c r="G96" s="126">
        <v>5905.2197269999997</v>
      </c>
      <c r="H96" s="126">
        <v>5953.2416990000002</v>
      </c>
      <c r="I96" s="126">
        <v>5985.7568359999996</v>
      </c>
      <c r="J96" s="126">
        <v>6012.8134769999997</v>
      </c>
      <c r="K96" s="126">
        <v>5996.0131840000004</v>
      </c>
      <c r="L96" s="126">
        <v>5975.9301759999998</v>
      </c>
      <c r="M96" s="126">
        <v>5946.185547</v>
      </c>
      <c r="N96" s="126">
        <v>5917.5112300000001</v>
      </c>
      <c r="O96" s="126">
        <v>5879.71875</v>
      </c>
      <c r="P96" s="126">
        <v>5841.2875979999999</v>
      </c>
      <c r="Q96" s="126">
        <v>5788.169922</v>
      </c>
      <c r="R96" s="126">
        <v>5765.2392579999996</v>
      </c>
      <c r="S96" s="126">
        <v>5732.8842770000001</v>
      </c>
      <c r="T96" s="126">
        <v>5715.4565430000002</v>
      </c>
      <c r="U96" s="126">
        <v>5694.9985349999997</v>
      </c>
      <c r="V96" s="126">
        <v>5689.607422</v>
      </c>
      <c r="W96" s="126">
        <v>5695.080078</v>
      </c>
      <c r="X96" s="126">
        <v>5696.8491210000002</v>
      </c>
      <c r="Y96" s="126">
        <v>5705.6015619999998</v>
      </c>
      <c r="Z96" s="126">
        <v>5717.1308589999999</v>
      </c>
      <c r="AA96" s="126">
        <v>5737.3984380000002</v>
      </c>
      <c r="AB96" s="126">
        <v>5762.4316410000001</v>
      </c>
      <c r="AC96" s="126">
        <v>5795.2006840000004</v>
      </c>
      <c r="AD96" s="126">
        <v>5829.888672</v>
      </c>
      <c r="AE96" s="126">
        <v>5878.4785160000001</v>
      </c>
      <c r="AF96" s="126">
        <v>5936.4575199999999</v>
      </c>
      <c r="AG96" s="126">
        <v>6011.3896480000003</v>
      </c>
      <c r="AH96" s="126">
        <v>6065.6474609999996</v>
      </c>
      <c r="AI96" s="126">
        <v>6135.845703</v>
      </c>
      <c r="AJ96" s="126">
        <v>6210.5346680000002</v>
      </c>
      <c r="AK96" s="126">
        <v>6286.1933589999999</v>
      </c>
      <c r="AL96" s="115">
        <v>2E-3</v>
      </c>
    </row>
    <row r="97" spans="1:38">
      <c r="B97" s="126" t="s">
        <v>2557</v>
      </c>
      <c r="D97" s="126" t="s">
        <v>3149</v>
      </c>
    </row>
    <row r="98" spans="1:38">
      <c r="B98" s="126" t="s">
        <v>1221</v>
      </c>
      <c r="D98" s="126" t="s">
        <v>3150</v>
      </c>
    </row>
    <row r="99" spans="1:38">
      <c r="A99" s="17" t="s">
        <v>115</v>
      </c>
      <c r="B99" s="126" t="s">
        <v>1266</v>
      </c>
      <c r="C99" s="126" t="s">
        <v>2727</v>
      </c>
      <c r="D99" s="126" t="s">
        <v>3151</v>
      </c>
      <c r="E99" s="126" t="s">
        <v>2729</v>
      </c>
      <c r="F99" s="126">
        <v>14.254448999999999</v>
      </c>
      <c r="G99" s="126">
        <v>14.438589</v>
      </c>
      <c r="H99" s="126">
        <v>14.626008000000001</v>
      </c>
      <c r="I99" s="126">
        <v>14.813542999999999</v>
      </c>
      <c r="J99" s="126">
        <v>15.008523</v>
      </c>
      <c r="K99" s="126">
        <v>15.215211</v>
      </c>
      <c r="L99" s="126">
        <v>15.436627</v>
      </c>
      <c r="M99" s="126">
        <v>15.671289</v>
      </c>
      <c r="N99" s="126">
        <v>15.912822</v>
      </c>
      <c r="O99" s="126">
        <v>16.143941999999999</v>
      </c>
      <c r="P99" s="126">
        <v>16.365739999999999</v>
      </c>
      <c r="Q99" s="126">
        <v>16.571321000000001</v>
      </c>
      <c r="R99" s="126">
        <v>16.759809000000001</v>
      </c>
      <c r="S99" s="126">
        <v>16.933496000000002</v>
      </c>
      <c r="T99" s="126">
        <v>17.092483999999999</v>
      </c>
      <c r="U99" s="126">
        <v>17.234449000000001</v>
      </c>
      <c r="V99" s="126">
        <v>17.362646000000002</v>
      </c>
      <c r="W99" s="126">
        <v>17.480941999999999</v>
      </c>
      <c r="X99" s="126">
        <v>17.588930000000001</v>
      </c>
      <c r="Y99" s="126">
        <v>17.686827000000001</v>
      </c>
      <c r="Z99" s="126">
        <v>17.772673000000001</v>
      </c>
      <c r="AA99" s="126">
        <v>17.847857999999999</v>
      </c>
      <c r="AB99" s="126">
        <v>17.913498000000001</v>
      </c>
      <c r="AC99" s="126">
        <v>17.970737</v>
      </c>
      <c r="AD99" s="126">
        <v>18.017588</v>
      </c>
      <c r="AE99" s="126">
        <v>18.056153999999999</v>
      </c>
      <c r="AF99" s="126">
        <v>18.088818</v>
      </c>
      <c r="AG99" s="126">
        <v>18.116893999999998</v>
      </c>
      <c r="AH99" s="126">
        <v>18.139354999999998</v>
      </c>
      <c r="AI99" s="126">
        <v>18.156986</v>
      </c>
      <c r="AJ99" s="126">
        <v>18.172001000000002</v>
      </c>
      <c r="AK99" s="126">
        <v>18.184125999999999</v>
      </c>
      <c r="AL99" s="115">
        <v>8.0000000000000002E-3</v>
      </c>
    </row>
    <row r="100" spans="1:38">
      <c r="A100" s="17" t="s">
        <v>114</v>
      </c>
      <c r="B100" s="126" t="s">
        <v>1352</v>
      </c>
      <c r="C100" s="126" t="s">
        <v>2730</v>
      </c>
      <c r="D100" s="126" t="s">
        <v>3152</v>
      </c>
      <c r="E100" s="126" t="s">
        <v>1718</v>
      </c>
      <c r="F100" s="126">
        <v>9.8339770000000009</v>
      </c>
      <c r="G100" s="126">
        <v>9.9518070000000005</v>
      </c>
      <c r="H100" s="126">
        <v>10.083003</v>
      </c>
      <c r="I100" s="126">
        <v>10.219744</v>
      </c>
      <c r="J100" s="126">
        <v>10.362951000000001</v>
      </c>
      <c r="K100" s="126">
        <v>10.514846</v>
      </c>
      <c r="L100" s="126">
        <v>10.674951</v>
      </c>
      <c r="M100" s="126">
        <v>10.842549999999999</v>
      </c>
      <c r="N100" s="126">
        <v>11.020427</v>
      </c>
      <c r="O100" s="126">
        <v>11.196666</v>
      </c>
      <c r="P100" s="126">
        <v>11.377112</v>
      </c>
      <c r="Q100" s="126">
        <v>11.554973</v>
      </c>
      <c r="R100" s="126">
        <v>11.731517</v>
      </c>
      <c r="S100" s="126">
        <v>11.900315000000001</v>
      </c>
      <c r="T100" s="126">
        <v>12.058745999999999</v>
      </c>
      <c r="U100" s="126">
        <v>12.206666</v>
      </c>
      <c r="V100" s="126">
        <v>12.346016000000001</v>
      </c>
      <c r="W100" s="126">
        <v>12.476191999999999</v>
      </c>
      <c r="X100" s="126">
        <v>12.598689</v>
      </c>
      <c r="Y100" s="126">
        <v>12.715914</v>
      </c>
      <c r="Z100" s="126">
        <v>12.827961</v>
      </c>
      <c r="AA100" s="126">
        <v>12.929403000000001</v>
      </c>
      <c r="AB100" s="126">
        <v>13.024150000000001</v>
      </c>
      <c r="AC100" s="126">
        <v>13.115254</v>
      </c>
      <c r="AD100" s="126">
        <v>13.202365</v>
      </c>
      <c r="AE100" s="126">
        <v>13.285523</v>
      </c>
      <c r="AF100" s="126">
        <v>13.366266</v>
      </c>
      <c r="AG100" s="126">
        <v>13.446593999999999</v>
      </c>
      <c r="AH100" s="126">
        <v>13.527132999999999</v>
      </c>
      <c r="AI100" s="126">
        <v>13.608715999999999</v>
      </c>
      <c r="AJ100" s="126">
        <v>13.690431</v>
      </c>
      <c r="AK100" s="126">
        <v>13.771096</v>
      </c>
      <c r="AL100" s="115">
        <v>1.0999999999999999E-2</v>
      </c>
    </row>
    <row r="101" spans="1:38">
      <c r="A101" s="17" t="s">
        <v>853</v>
      </c>
      <c r="B101" s="126" t="s">
        <v>1273</v>
      </c>
      <c r="C101" s="126" t="s">
        <v>2732</v>
      </c>
      <c r="D101" s="126" t="s">
        <v>3153</v>
      </c>
      <c r="E101" s="126" t="s">
        <v>1718</v>
      </c>
      <c r="F101" s="126">
        <v>11.552764</v>
      </c>
      <c r="G101" s="126">
        <v>11.785193</v>
      </c>
      <c r="H101" s="126">
        <v>11.962104</v>
      </c>
      <c r="I101" s="126">
        <v>12.100891000000001</v>
      </c>
      <c r="J101" s="126">
        <v>12.216201</v>
      </c>
      <c r="K101" s="126">
        <v>12.32755</v>
      </c>
      <c r="L101" s="126">
        <v>12.445465</v>
      </c>
      <c r="M101" s="126">
        <v>12.575333000000001</v>
      </c>
      <c r="N101" s="126">
        <v>12.718111</v>
      </c>
      <c r="O101" s="126">
        <v>12.843434999999999</v>
      </c>
      <c r="P101" s="126">
        <v>12.968636</v>
      </c>
      <c r="Q101" s="126">
        <v>13.092503000000001</v>
      </c>
      <c r="R101" s="126">
        <v>13.210978000000001</v>
      </c>
      <c r="S101" s="126">
        <v>13.320079</v>
      </c>
      <c r="T101" s="126">
        <v>13.416966</v>
      </c>
      <c r="U101" s="126">
        <v>13.504436999999999</v>
      </c>
      <c r="V101" s="126">
        <v>13.582335</v>
      </c>
      <c r="W101" s="126">
        <v>13.649789999999999</v>
      </c>
      <c r="X101" s="126">
        <v>13.708178</v>
      </c>
      <c r="Y101" s="126">
        <v>13.758990000000001</v>
      </c>
      <c r="Z101" s="126">
        <v>13.806258</v>
      </c>
      <c r="AA101" s="126">
        <v>13.849311</v>
      </c>
      <c r="AB101" s="126">
        <v>13.888332999999999</v>
      </c>
      <c r="AC101" s="126">
        <v>13.922689999999999</v>
      </c>
      <c r="AD101" s="126">
        <v>13.953237</v>
      </c>
      <c r="AE101" s="126">
        <v>13.980354999999999</v>
      </c>
      <c r="AF101" s="126">
        <v>14.004208</v>
      </c>
      <c r="AG101" s="126">
        <v>14.024210999999999</v>
      </c>
      <c r="AH101" s="126">
        <v>14.040791</v>
      </c>
      <c r="AI101" s="126">
        <v>14.054357</v>
      </c>
      <c r="AJ101" s="126">
        <v>14.065571</v>
      </c>
      <c r="AK101" s="126">
        <v>14.074804</v>
      </c>
      <c r="AL101" s="115">
        <v>6.0000000000000001E-3</v>
      </c>
    </row>
    <row r="102" spans="1:38">
      <c r="A102" s="17" t="s">
        <v>113</v>
      </c>
      <c r="B102" s="126" t="s">
        <v>1282</v>
      </c>
      <c r="C102" s="126" t="s">
        <v>2734</v>
      </c>
      <c r="D102" s="126" t="s">
        <v>3154</v>
      </c>
      <c r="E102" s="126" t="s">
        <v>1718</v>
      </c>
      <c r="F102" s="126">
        <v>12.425288</v>
      </c>
      <c r="G102" s="126">
        <v>12.292719999999999</v>
      </c>
      <c r="H102" s="126">
        <v>12.27699</v>
      </c>
      <c r="I102" s="126">
        <v>12.296009</v>
      </c>
      <c r="J102" s="126">
        <v>12.340166999999999</v>
      </c>
      <c r="K102" s="126">
        <v>12.407560999999999</v>
      </c>
      <c r="L102" s="126">
        <v>12.497643</v>
      </c>
      <c r="M102" s="126">
        <v>12.607900000000001</v>
      </c>
      <c r="N102" s="126">
        <v>12.735402000000001</v>
      </c>
      <c r="O102" s="126">
        <v>12.843946000000001</v>
      </c>
      <c r="P102" s="126">
        <v>12.947953999999999</v>
      </c>
      <c r="Q102" s="126">
        <v>13.04759</v>
      </c>
      <c r="R102" s="126">
        <v>13.140478</v>
      </c>
      <c r="S102" s="126">
        <v>13.224192</v>
      </c>
      <c r="T102" s="126">
        <v>13.297665</v>
      </c>
      <c r="U102" s="126">
        <v>13.360011999999999</v>
      </c>
      <c r="V102" s="126">
        <v>13.412469</v>
      </c>
      <c r="W102" s="126">
        <v>13.456720000000001</v>
      </c>
      <c r="X102" s="126">
        <v>13.493446</v>
      </c>
      <c r="Y102" s="126">
        <v>13.523037</v>
      </c>
      <c r="Z102" s="126">
        <v>13.546885</v>
      </c>
      <c r="AA102" s="126">
        <v>13.56798</v>
      </c>
      <c r="AB102" s="126">
        <v>13.585504999999999</v>
      </c>
      <c r="AC102" s="126">
        <v>13.598613</v>
      </c>
      <c r="AD102" s="126">
        <v>13.607699999999999</v>
      </c>
      <c r="AE102" s="126">
        <v>13.611948999999999</v>
      </c>
      <c r="AF102" s="126">
        <v>13.611313000000001</v>
      </c>
      <c r="AG102" s="126">
        <v>13.605575999999999</v>
      </c>
      <c r="AH102" s="126">
        <v>13.59455</v>
      </c>
      <c r="AI102" s="126">
        <v>13.578898000000001</v>
      </c>
      <c r="AJ102" s="126">
        <v>13.560112</v>
      </c>
      <c r="AK102" s="126">
        <v>13.539144</v>
      </c>
      <c r="AL102" s="115">
        <v>3.0000000000000001E-3</v>
      </c>
    </row>
    <row r="103" spans="1:38">
      <c r="A103" s="17" t="s">
        <v>114</v>
      </c>
      <c r="B103" s="126" t="s">
        <v>2548</v>
      </c>
      <c r="C103" s="126" t="s">
        <v>2736</v>
      </c>
      <c r="D103" s="126" t="s">
        <v>3155</v>
      </c>
      <c r="E103" s="126" t="s">
        <v>1718</v>
      </c>
      <c r="F103" s="126">
        <v>10.129466000000001</v>
      </c>
      <c r="G103" s="126">
        <v>10.199115000000001</v>
      </c>
      <c r="H103" s="126">
        <v>10.291774</v>
      </c>
      <c r="I103" s="126">
        <v>10.390860999999999</v>
      </c>
      <c r="J103" s="126">
        <v>10.498786000000001</v>
      </c>
      <c r="K103" s="126">
        <v>10.616315999999999</v>
      </c>
      <c r="L103" s="126">
        <v>10.745512</v>
      </c>
      <c r="M103" s="126">
        <v>10.886696000000001</v>
      </c>
      <c r="N103" s="126">
        <v>11.038767</v>
      </c>
      <c r="O103" s="126">
        <v>11.185343</v>
      </c>
      <c r="P103" s="126">
        <v>11.334746000000001</v>
      </c>
      <c r="Q103" s="126">
        <v>11.485495999999999</v>
      </c>
      <c r="R103" s="126">
        <v>11.634819999999999</v>
      </c>
      <c r="S103" s="126">
        <v>11.777664</v>
      </c>
      <c r="T103" s="126">
        <v>11.912178000000001</v>
      </c>
      <c r="U103" s="126">
        <v>12.040684000000001</v>
      </c>
      <c r="V103" s="126">
        <v>12.162108</v>
      </c>
      <c r="W103" s="126">
        <v>12.276476000000001</v>
      </c>
      <c r="X103" s="126">
        <v>12.382178</v>
      </c>
      <c r="Y103" s="126">
        <v>12.482953999999999</v>
      </c>
      <c r="Z103" s="126">
        <v>12.576003999999999</v>
      </c>
      <c r="AA103" s="126">
        <v>12.655279999999999</v>
      </c>
      <c r="AB103" s="126">
        <v>12.72607</v>
      </c>
      <c r="AC103" s="126">
        <v>12.789567999999999</v>
      </c>
      <c r="AD103" s="126">
        <v>12.847165</v>
      </c>
      <c r="AE103" s="126">
        <v>12.901023</v>
      </c>
      <c r="AF103" s="126">
        <v>12.952681999999999</v>
      </c>
      <c r="AG103" s="126">
        <v>13.003704000000001</v>
      </c>
      <c r="AH103" s="126">
        <v>13.054859</v>
      </c>
      <c r="AI103" s="126">
        <v>13.106387</v>
      </c>
      <c r="AJ103" s="126">
        <v>13.160216</v>
      </c>
      <c r="AK103" s="126">
        <v>13.213760000000001</v>
      </c>
      <c r="AL103" s="115">
        <v>8.9999999999999993E-3</v>
      </c>
    </row>
    <row r="104" spans="1:38">
      <c r="A104" s="17" t="s">
        <v>112</v>
      </c>
      <c r="B104" s="126" t="s">
        <v>1577</v>
      </c>
      <c r="C104" s="126" t="s">
        <v>2738</v>
      </c>
      <c r="D104" s="126" t="s">
        <v>3156</v>
      </c>
      <c r="E104" s="126" t="s">
        <v>2729</v>
      </c>
      <c r="F104" s="126">
        <v>24.122505</v>
      </c>
      <c r="G104" s="126">
        <v>26.295652</v>
      </c>
      <c r="H104" s="126">
        <v>26.615469000000001</v>
      </c>
      <c r="I104" s="126">
        <v>26.774061</v>
      </c>
      <c r="J104" s="126">
        <v>26.886745000000001</v>
      </c>
      <c r="K104" s="126">
        <v>26.988796000000001</v>
      </c>
      <c r="L104" s="126">
        <v>27.095486000000001</v>
      </c>
      <c r="M104" s="126">
        <v>27.215643</v>
      </c>
      <c r="N104" s="126">
        <v>27.354343</v>
      </c>
      <c r="O104" s="126">
        <v>27.493027000000001</v>
      </c>
      <c r="P104" s="126">
        <v>27.649526999999999</v>
      </c>
      <c r="Q104" s="126">
        <v>27.811772999999999</v>
      </c>
      <c r="R104" s="126">
        <v>27.969427</v>
      </c>
      <c r="S104" s="126">
        <v>28.114606999999999</v>
      </c>
      <c r="T104" s="126">
        <v>28.246203999999999</v>
      </c>
      <c r="U104" s="126">
        <v>28.362829000000001</v>
      </c>
      <c r="V104" s="126">
        <v>28.463480000000001</v>
      </c>
      <c r="W104" s="126">
        <v>28.549918999999999</v>
      </c>
      <c r="X104" s="126">
        <v>28.623183999999998</v>
      </c>
      <c r="Y104" s="126">
        <v>28.684868000000002</v>
      </c>
      <c r="Z104" s="126">
        <v>28.738619</v>
      </c>
      <c r="AA104" s="126">
        <v>28.785264999999999</v>
      </c>
      <c r="AB104" s="126">
        <v>28.810282000000001</v>
      </c>
      <c r="AC104" s="126">
        <v>28.833027000000001</v>
      </c>
      <c r="AD104" s="126">
        <v>28.856997</v>
      </c>
      <c r="AE104" s="126">
        <v>28.882490000000001</v>
      </c>
      <c r="AF104" s="126">
        <v>28.909106999999999</v>
      </c>
      <c r="AG104" s="126">
        <v>28.936482999999999</v>
      </c>
      <c r="AH104" s="126">
        <v>28.964632000000002</v>
      </c>
      <c r="AI104" s="126">
        <v>28.993254</v>
      </c>
      <c r="AJ104" s="126">
        <v>29.021837000000001</v>
      </c>
      <c r="AK104" s="126">
        <v>29.049230999999999</v>
      </c>
      <c r="AL104" s="115">
        <v>6.0000000000000001E-3</v>
      </c>
    </row>
    <row r="105" spans="1:38">
      <c r="A105" s="17" t="s">
        <v>116</v>
      </c>
      <c r="B105" s="126" t="s">
        <v>2549</v>
      </c>
      <c r="C105" s="126" t="s">
        <v>2740</v>
      </c>
      <c r="D105" s="126" t="s">
        <v>3157</v>
      </c>
      <c r="E105" s="126" t="s">
        <v>2729</v>
      </c>
      <c r="F105" s="126">
        <v>0</v>
      </c>
      <c r="G105" s="126">
        <v>22.487862</v>
      </c>
      <c r="H105" s="126">
        <v>22.714748</v>
      </c>
      <c r="I105" s="126">
        <v>22.911411000000001</v>
      </c>
      <c r="J105" s="126">
        <v>23.103811</v>
      </c>
      <c r="K105" s="126">
        <v>23.323799000000001</v>
      </c>
      <c r="L105" s="126">
        <v>23.588034</v>
      </c>
      <c r="M105" s="126">
        <v>23.895589999999999</v>
      </c>
      <c r="N105" s="126">
        <v>24.249628000000001</v>
      </c>
      <c r="O105" s="126">
        <v>24.587547000000001</v>
      </c>
      <c r="P105" s="126">
        <v>24.952684000000001</v>
      </c>
      <c r="Q105" s="126">
        <v>25.321719999999999</v>
      </c>
      <c r="R105" s="126">
        <v>25.679667999999999</v>
      </c>
      <c r="S105" s="126">
        <v>26.007802999999999</v>
      </c>
      <c r="T105" s="126">
        <v>26.301242999999999</v>
      </c>
      <c r="U105" s="126">
        <v>26.560661</v>
      </c>
      <c r="V105" s="126">
        <v>26.787628000000002</v>
      </c>
      <c r="W105" s="126">
        <v>26.984449000000001</v>
      </c>
      <c r="X105" s="126">
        <v>27.152532999999998</v>
      </c>
      <c r="Y105" s="126">
        <v>27.294734999999999</v>
      </c>
      <c r="Z105" s="126">
        <v>27.420338000000001</v>
      </c>
      <c r="AA105" s="126">
        <v>27.531883000000001</v>
      </c>
      <c r="AB105" s="126">
        <v>27.631630000000001</v>
      </c>
      <c r="AC105" s="126">
        <v>27.721567</v>
      </c>
      <c r="AD105" s="126">
        <v>27.812066999999999</v>
      </c>
      <c r="AE105" s="126">
        <v>27.900459000000001</v>
      </c>
      <c r="AF105" s="126">
        <v>27.984553999999999</v>
      </c>
      <c r="AG105" s="126">
        <v>28.062531</v>
      </c>
      <c r="AH105" s="126">
        <v>28.133261000000001</v>
      </c>
      <c r="AI105" s="126">
        <v>28.195665000000002</v>
      </c>
      <c r="AJ105" s="126">
        <v>28.248837999999999</v>
      </c>
      <c r="AK105" s="126">
        <v>28.290665000000001</v>
      </c>
      <c r="AL105" s="126" t="s">
        <v>146</v>
      </c>
    </row>
    <row r="106" spans="1:38">
      <c r="A106" s="17" t="s">
        <v>116</v>
      </c>
      <c r="B106" s="126" t="s">
        <v>2550</v>
      </c>
      <c r="C106" s="126" t="s">
        <v>2742</v>
      </c>
      <c r="D106" s="126" t="s">
        <v>3158</v>
      </c>
      <c r="E106" s="126" t="s">
        <v>1718</v>
      </c>
      <c r="F106" s="126">
        <v>0</v>
      </c>
      <c r="G106" s="126">
        <v>17.977802000000001</v>
      </c>
      <c r="H106" s="126">
        <v>18.183330999999999</v>
      </c>
      <c r="I106" s="126">
        <v>18.289605999999999</v>
      </c>
      <c r="J106" s="126">
        <v>18.377087</v>
      </c>
      <c r="K106" s="126">
        <v>18.466314000000001</v>
      </c>
      <c r="L106" s="126">
        <v>18.566859999999998</v>
      </c>
      <c r="M106" s="126">
        <v>18.683487</v>
      </c>
      <c r="N106" s="126">
        <v>18.820602000000001</v>
      </c>
      <c r="O106" s="126">
        <v>18.947331999999999</v>
      </c>
      <c r="P106" s="126">
        <v>19.079763</v>
      </c>
      <c r="Q106" s="126">
        <v>19.210024000000001</v>
      </c>
      <c r="R106" s="126">
        <v>19.327883</v>
      </c>
      <c r="S106" s="126">
        <v>19.438051000000002</v>
      </c>
      <c r="T106" s="126">
        <v>19.538025000000001</v>
      </c>
      <c r="U106" s="126">
        <v>19.628166</v>
      </c>
      <c r="V106" s="126">
        <v>19.708940999999999</v>
      </c>
      <c r="W106" s="126">
        <v>19.781513</v>
      </c>
      <c r="X106" s="126">
        <v>19.846308000000001</v>
      </c>
      <c r="Y106" s="126">
        <v>19.904177000000001</v>
      </c>
      <c r="Z106" s="126">
        <v>19.957937000000001</v>
      </c>
      <c r="AA106" s="126">
        <v>20.007631</v>
      </c>
      <c r="AB106" s="126">
        <v>20.050412999999999</v>
      </c>
      <c r="AC106" s="126">
        <v>20.089711999999999</v>
      </c>
      <c r="AD106" s="126">
        <v>20.129418999999999</v>
      </c>
      <c r="AE106" s="126">
        <v>20.168520000000001</v>
      </c>
      <c r="AF106" s="126">
        <v>20.206797000000002</v>
      </c>
      <c r="AG106" s="126">
        <v>20.243959</v>
      </c>
      <c r="AH106" s="126">
        <v>20.280006</v>
      </c>
      <c r="AI106" s="126">
        <v>20.314769999999999</v>
      </c>
      <c r="AJ106" s="126">
        <v>20.347891000000001</v>
      </c>
      <c r="AK106" s="126">
        <v>20.377993</v>
      </c>
      <c r="AL106" s="126" t="s">
        <v>146</v>
      </c>
    </row>
    <row r="107" spans="1:38">
      <c r="A107" s="17" t="s">
        <v>854</v>
      </c>
      <c r="B107" s="126" t="s">
        <v>1581</v>
      </c>
      <c r="C107" s="126" t="s">
        <v>2744</v>
      </c>
      <c r="D107" s="126" t="s">
        <v>3159</v>
      </c>
      <c r="E107" s="126" t="s">
        <v>2729</v>
      </c>
      <c r="F107" s="126">
        <v>0</v>
      </c>
      <c r="G107" s="126">
        <v>18.347479</v>
      </c>
      <c r="H107" s="126">
        <v>17.223381</v>
      </c>
      <c r="I107" s="126">
        <v>16.894062000000002</v>
      </c>
      <c r="J107" s="126">
        <v>16.723579000000001</v>
      </c>
      <c r="K107" s="126">
        <v>16.618320000000001</v>
      </c>
      <c r="L107" s="126">
        <v>16.546053000000001</v>
      </c>
      <c r="M107" s="126">
        <v>16.492981</v>
      </c>
      <c r="N107" s="126">
        <v>16.452217000000001</v>
      </c>
      <c r="O107" s="126">
        <v>16.419975000000001</v>
      </c>
      <c r="P107" s="126">
        <v>16.394054000000001</v>
      </c>
      <c r="Q107" s="126">
        <v>16.373117000000001</v>
      </c>
      <c r="R107" s="126">
        <v>16.356124999999999</v>
      </c>
      <c r="S107" s="126">
        <v>16.342371</v>
      </c>
      <c r="T107" s="126">
        <v>16.331364000000001</v>
      </c>
      <c r="U107" s="126">
        <v>16.322672000000001</v>
      </c>
      <c r="V107" s="126">
        <v>16.315871999999999</v>
      </c>
      <c r="W107" s="126">
        <v>16.310600000000001</v>
      </c>
      <c r="X107" s="126">
        <v>16.306588999999999</v>
      </c>
      <c r="Y107" s="126">
        <v>16.303529999999999</v>
      </c>
      <c r="Z107" s="126">
        <v>16.298079000000001</v>
      </c>
      <c r="AA107" s="126">
        <v>16.292845</v>
      </c>
      <c r="AB107" s="126">
        <v>16.288212000000001</v>
      </c>
      <c r="AC107" s="126">
        <v>16.284098</v>
      </c>
      <c r="AD107" s="126">
        <v>16.275476000000001</v>
      </c>
      <c r="AE107" s="126">
        <v>16.268813999999999</v>
      </c>
      <c r="AF107" s="126">
        <v>16.263642999999998</v>
      </c>
      <c r="AG107" s="126">
        <v>16.259598</v>
      </c>
      <c r="AH107" s="126">
        <v>16.256447000000001</v>
      </c>
      <c r="AI107" s="126">
        <v>16.253965000000001</v>
      </c>
      <c r="AJ107" s="126">
        <v>16.252013999999999</v>
      </c>
      <c r="AK107" s="126">
        <v>16.251882999999999</v>
      </c>
      <c r="AL107" s="126" t="s">
        <v>146</v>
      </c>
    </row>
    <row r="108" spans="1:38">
      <c r="B108" s="126" t="s">
        <v>2558</v>
      </c>
      <c r="C108" s="126" t="s">
        <v>2746</v>
      </c>
      <c r="D108" s="126" t="s">
        <v>3160</v>
      </c>
      <c r="F108" s="126">
        <v>12.956725</v>
      </c>
      <c r="G108" s="126">
        <v>13.122971</v>
      </c>
      <c r="H108" s="126">
        <v>13.292574</v>
      </c>
      <c r="I108" s="126">
        <v>13.461696999999999</v>
      </c>
      <c r="J108" s="126">
        <v>13.636207000000001</v>
      </c>
      <c r="K108" s="126">
        <v>13.820244000000001</v>
      </c>
      <c r="L108" s="126">
        <v>14.015169</v>
      </c>
      <c r="M108" s="126">
        <v>14.219343</v>
      </c>
      <c r="N108" s="126">
        <v>14.430806</v>
      </c>
      <c r="O108" s="126">
        <v>14.635415999999999</v>
      </c>
      <c r="P108" s="126">
        <v>14.834467999999999</v>
      </c>
      <c r="Q108" s="126">
        <v>15.02111</v>
      </c>
      <c r="R108" s="126">
        <v>15.19637</v>
      </c>
      <c r="S108" s="126">
        <v>15.356481</v>
      </c>
      <c r="T108" s="126">
        <v>15.500325999999999</v>
      </c>
      <c r="U108" s="126">
        <v>15.628691</v>
      </c>
      <c r="V108" s="126">
        <v>15.744616000000001</v>
      </c>
      <c r="W108" s="126">
        <v>15.849364</v>
      </c>
      <c r="X108" s="126">
        <v>15.944029</v>
      </c>
      <c r="Y108" s="126">
        <v>16.031094</v>
      </c>
      <c r="Z108" s="126">
        <v>16.110081000000001</v>
      </c>
      <c r="AA108" s="126">
        <v>16.178764000000001</v>
      </c>
      <c r="AB108" s="126">
        <v>16.239118999999999</v>
      </c>
      <c r="AC108" s="126">
        <v>16.293392000000001</v>
      </c>
      <c r="AD108" s="126">
        <v>16.340499999999999</v>
      </c>
      <c r="AE108" s="126">
        <v>16.381620000000002</v>
      </c>
      <c r="AF108" s="126">
        <v>16.418665000000001</v>
      </c>
      <c r="AG108" s="126">
        <v>16.453379000000002</v>
      </c>
      <c r="AH108" s="126">
        <v>16.485481</v>
      </c>
      <c r="AI108" s="126">
        <v>16.515658999999999</v>
      </c>
      <c r="AJ108" s="126">
        <v>16.544709999999998</v>
      </c>
      <c r="AK108" s="126">
        <v>16.572025</v>
      </c>
      <c r="AL108" s="115">
        <v>8.0000000000000002E-3</v>
      </c>
    </row>
    <row r="109" spans="1:38">
      <c r="B109" s="126" t="s">
        <v>1223</v>
      </c>
      <c r="D109" s="126" t="s">
        <v>3161</v>
      </c>
    </row>
    <row r="110" spans="1:38">
      <c r="A110" s="17" t="s">
        <v>115</v>
      </c>
      <c r="B110" s="126" t="s">
        <v>1266</v>
      </c>
      <c r="C110" s="126" t="s">
        <v>2749</v>
      </c>
      <c r="D110" s="126" t="s">
        <v>3162</v>
      </c>
      <c r="E110" s="126" t="s">
        <v>2729</v>
      </c>
      <c r="F110" s="126">
        <v>8.8952179999999998</v>
      </c>
      <c r="G110" s="126">
        <v>8.9861000000000004</v>
      </c>
      <c r="H110" s="126">
        <v>9.0930389999999992</v>
      </c>
      <c r="I110" s="126">
        <v>9.215954</v>
      </c>
      <c r="J110" s="126">
        <v>9.3486720000000005</v>
      </c>
      <c r="K110" s="126">
        <v>9.4912790000000005</v>
      </c>
      <c r="L110" s="126">
        <v>9.6460329999999992</v>
      </c>
      <c r="M110" s="126">
        <v>9.8123590000000007</v>
      </c>
      <c r="N110" s="126">
        <v>9.9931000000000001</v>
      </c>
      <c r="O110" s="126">
        <v>10.175103999999999</v>
      </c>
      <c r="P110" s="126">
        <v>10.370098</v>
      </c>
      <c r="Q110" s="126">
        <v>10.573532</v>
      </c>
      <c r="R110" s="126">
        <v>10.783234</v>
      </c>
      <c r="S110" s="126">
        <v>10.98935</v>
      </c>
      <c r="T110" s="126">
        <v>11.181704999999999</v>
      </c>
      <c r="U110" s="126">
        <v>11.359438000000001</v>
      </c>
      <c r="V110" s="126">
        <v>11.517385000000001</v>
      </c>
      <c r="W110" s="126">
        <v>11.661761</v>
      </c>
      <c r="X110" s="126">
        <v>11.79448</v>
      </c>
      <c r="Y110" s="126">
        <v>11.916245999999999</v>
      </c>
      <c r="Z110" s="126">
        <v>12.028854000000001</v>
      </c>
      <c r="AA110" s="126">
        <v>12.132110000000001</v>
      </c>
      <c r="AB110" s="126">
        <v>12.226001999999999</v>
      </c>
      <c r="AC110" s="126">
        <v>12.309817000000001</v>
      </c>
      <c r="AD110" s="126">
        <v>12.380509999999999</v>
      </c>
      <c r="AE110" s="126">
        <v>12.439981</v>
      </c>
      <c r="AF110" s="126">
        <v>12.491792</v>
      </c>
      <c r="AG110" s="126">
        <v>12.538423999999999</v>
      </c>
      <c r="AH110" s="126">
        <v>12.579040000000001</v>
      </c>
      <c r="AI110" s="126">
        <v>12.614521999999999</v>
      </c>
      <c r="AJ110" s="126">
        <v>12.646559</v>
      </c>
      <c r="AK110" s="126">
        <v>12.675599</v>
      </c>
      <c r="AL110" s="115">
        <v>1.0999999999999999E-2</v>
      </c>
    </row>
    <row r="111" spans="1:38">
      <c r="A111" s="17" t="s">
        <v>114</v>
      </c>
      <c r="B111" s="126" t="s">
        <v>1352</v>
      </c>
      <c r="C111" s="126" t="s">
        <v>2751</v>
      </c>
      <c r="D111" s="126" t="s">
        <v>3163</v>
      </c>
      <c r="E111" s="126" t="s">
        <v>1718</v>
      </c>
      <c r="F111" s="126">
        <v>6.5605250000000002</v>
      </c>
      <c r="G111" s="126">
        <v>6.6031550000000001</v>
      </c>
      <c r="H111" s="126">
        <v>6.6566179999999999</v>
      </c>
      <c r="I111" s="126">
        <v>6.7195850000000004</v>
      </c>
      <c r="J111" s="126">
        <v>6.7885099999999996</v>
      </c>
      <c r="K111" s="126">
        <v>6.8631630000000001</v>
      </c>
      <c r="L111" s="126">
        <v>6.9467639999999999</v>
      </c>
      <c r="M111" s="126">
        <v>7.0377599999999996</v>
      </c>
      <c r="N111" s="126">
        <v>7.1384280000000002</v>
      </c>
      <c r="O111" s="126">
        <v>7.2388029999999999</v>
      </c>
      <c r="P111" s="126">
        <v>7.3474139999999997</v>
      </c>
      <c r="Q111" s="126">
        <v>7.463095</v>
      </c>
      <c r="R111" s="126">
        <v>7.5844719999999999</v>
      </c>
      <c r="S111" s="126">
        <v>7.7068849999999998</v>
      </c>
      <c r="T111" s="126">
        <v>7.827191</v>
      </c>
      <c r="U111" s="126">
        <v>7.9410480000000003</v>
      </c>
      <c r="V111" s="126">
        <v>8.0478629999999995</v>
      </c>
      <c r="W111" s="126">
        <v>8.1467489999999998</v>
      </c>
      <c r="X111" s="126">
        <v>8.2403139999999997</v>
      </c>
      <c r="Y111" s="126">
        <v>8.3288689999999992</v>
      </c>
      <c r="Z111" s="126">
        <v>8.4110069999999997</v>
      </c>
      <c r="AA111" s="126">
        <v>8.4879119999999997</v>
      </c>
      <c r="AB111" s="126">
        <v>8.5587759999999999</v>
      </c>
      <c r="AC111" s="126">
        <v>8.6231410000000004</v>
      </c>
      <c r="AD111" s="126">
        <v>8.6801460000000006</v>
      </c>
      <c r="AE111" s="126">
        <v>8.7309789999999996</v>
      </c>
      <c r="AF111" s="126">
        <v>8.7784429999999993</v>
      </c>
      <c r="AG111" s="126">
        <v>8.8229199999999999</v>
      </c>
      <c r="AH111" s="126">
        <v>8.8645230000000002</v>
      </c>
      <c r="AI111" s="126">
        <v>8.9020919999999997</v>
      </c>
      <c r="AJ111" s="126">
        <v>8.9361029999999992</v>
      </c>
      <c r="AK111" s="126">
        <v>8.9678939999999994</v>
      </c>
      <c r="AL111" s="115">
        <v>0.01</v>
      </c>
    </row>
    <row r="112" spans="1:38">
      <c r="A112" s="17" t="s">
        <v>853</v>
      </c>
      <c r="B112" s="126" t="s">
        <v>1273</v>
      </c>
      <c r="C112" s="126" t="s">
        <v>2753</v>
      </c>
      <c r="D112" s="126" t="s">
        <v>3164</v>
      </c>
      <c r="E112" s="126" t="s">
        <v>1718</v>
      </c>
      <c r="F112" s="126">
        <v>6.7825660000000001</v>
      </c>
      <c r="G112" s="126">
        <v>6.8310919999999999</v>
      </c>
      <c r="H112" s="126">
        <v>6.8955830000000002</v>
      </c>
      <c r="I112" s="126">
        <v>6.9707869999999996</v>
      </c>
      <c r="J112" s="126">
        <v>7.054856</v>
      </c>
      <c r="K112" s="126">
        <v>7.1491110000000004</v>
      </c>
      <c r="L112" s="126">
        <v>7.2560710000000004</v>
      </c>
      <c r="M112" s="126">
        <v>7.3756560000000002</v>
      </c>
      <c r="N112" s="126">
        <v>7.5086760000000004</v>
      </c>
      <c r="O112" s="126">
        <v>7.6432650000000004</v>
      </c>
      <c r="P112" s="126">
        <v>7.7900939999999999</v>
      </c>
      <c r="Q112" s="126">
        <v>7.9439599999999997</v>
      </c>
      <c r="R112" s="126">
        <v>8.1023440000000004</v>
      </c>
      <c r="S112" s="126">
        <v>8.2580609999999997</v>
      </c>
      <c r="T112" s="126">
        <v>8.4011370000000003</v>
      </c>
      <c r="U112" s="126">
        <v>8.52881</v>
      </c>
      <c r="V112" s="126">
        <v>8.6493169999999999</v>
      </c>
      <c r="W112" s="126">
        <v>8.7561280000000004</v>
      </c>
      <c r="X112" s="126">
        <v>8.8493239999999993</v>
      </c>
      <c r="Y112" s="126">
        <v>8.9296430000000004</v>
      </c>
      <c r="Z112" s="126">
        <v>8.9985549999999996</v>
      </c>
      <c r="AA112" s="126">
        <v>9.0573809999999995</v>
      </c>
      <c r="AB112" s="126">
        <v>9.1072240000000004</v>
      </c>
      <c r="AC112" s="126">
        <v>9.1496429999999993</v>
      </c>
      <c r="AD112" s="126">
        <v>9.1861189999999997</v>
      </c>
      <c r="AE112" s="126">
        <v>9.2178570000000004</v>
      </c>
      <c r="AF112" s="126">
        <v>9.2458609999999997</v>
      </c>
      <c r="AG112" s="126">
        <v>9.2707289999999993</v>
      </c>
      <c r="AH112" s="126">
        <v>9.2927940000000007</v>
      </c>
      <c r="AI112" s="126">
        <v>9.3126280000000001</v>
      </c>
      <c r="AJ112" s="126">
        <v>9.3382860000000001</v>
      </c>
      <c r="AK112" s="126">
        <v>9.3593799999999998</v>
      </c>
      <c r="AL112" s="115">
        <v>0.01</v>
      </c>
    </row>
    <row r="113" spans="1:38">
      <c r="A113" s="17" t="s">
        <v>113</v>
      </c>
      <c r="B113" s="126" t="s">
        <v>1282</v>
      </c>
      <c r="C113" s="126" t="s">
        <v>2755</v>
      </c>
      <c r="D113" s="126" t="s">
        <v>3165</v>
      </c>
      <c r="E113" s="126" t="s">
        <v>1718</v>
      </c>
      <c r="F113" s="126">
        <v>6.6220160000000003</v>
      </c>
      <c r="G113" s="126">
        <v>6.712618</v>
      </c>
      <c r="H113" s="126">
        <v>6.8142690000000004</v>
      </c>
      <c r="I113" s="126">
        <v>6.9192669999999996</v>
      </c>
      <c r="J113" s="126">
        <v>7.0262419999999999</v>
      </c>
      <c r="K113" s="126">
        <v>7.1390770000000003</v>
      </c>
      <c r="L113" s="126">
        <v>7.2611239999999997</v>
      </c>
      <c r="M113" s="126">
        <v>7.3941619999999997</v>
      </c>
      <c r="N113" s="126">
        <v>7.5371160000000001</v>
      </c>
      <c r="O113" s="126">
        <v>7.6749890000000001</v>
      </c>
      <c r="P113" s="126">
        <v>7.8209689999999998</v>
      </c>
      <c r="Q113" s="126">
        <v>7.9727499999999996</v>
      </c>
      <c r="R113" s="126">
        <v>8.1276550000000007</v>
      </c>
      <c r="S113" s="126">
        <v>8.2806320000000007</v>
      </c>
      <c r="T113" s="126">
        <v>8.4247099999999993</v>
      </c>
      <c r="U113" s="126">
        <v>8.5588409999999993</v>
      </c>
      <c r="V113" s="126">
        <v>8.6800700000000006</v>
      </c>
      <c r="W113" s="126">
        <v>8.7885679999999997</v>
      </c>
      <c r="X113" s="126">
        <v>8.8826260000000001</v>
      </c>
      <c r="Y113" s="126">
        <v>8.9638159999999996</v>
      </c>
      <c r="Z113" s="126">
        <v>9.0326269999999997</v>
      </c>
      <c r="AA113" s="126">
        <v>9.0907610000000005</v>
      </c>
      <c r="AB113" s="126">
        <v>9.1408050000000003</v>
      </c>
      <c r="AC113" s="126">
        <v>9.1828389999999995</v>
      </c>
      <c r="AD113" s="126">
        <v>9.221546</v>
      </c>
      <c r="AE113" s="126">
        <v>9.2566459999999999</v>
      </c>
      <c r="AF113" s="126">
        <v>9.2866619999999998</v>
      </c>
      <c r="AG113" s="126">
        <v>9.3129570000000008</v>
      </c>
      <c r="AH113" s="126">
        <v>9.3374930000000003</v>
      </c>
      <c r="AI113" s="126">
        <v>9.3606490000000004</v>
      </c>
      <c r="AJ113" s="126">
        <v>9.382123</v>
      </c>
      <c r="AK113" s="126">
        <v>9.4014480000000002</v>
      </c>
      <c r="AL113" s="115">
        <v>1.0999999999999999E-2</v>
      </c>
    </row>
    <row r="114" spans="1:38">
      <c r="A114" s="17" t="s">
        <v>114</v>
      </c>
      <c r="B114" s="126" t="s">
        <v>2548</v>
      </c>
      <c r="C114" s="126" t="s">
        <v>2757</v>
      </c>
      <c r="D114" s="126" t="s">
        <v>3166</v>
      </c>
      <c r="E114" s="126" t="s">
        <v>2759</v>
      </c>
      <c r="F114" s="126">
        <v>7.0461770000000001</v>
      </c>
      <c r="G114" s="126">
        <v>7.0401160000000003</v>
      </c>
      <c r="H114" s="126">
        <v>7.0685960000000003</v>
      </c>
      <c r="I114" s="126">
        <v>7.1112339999999996</v>
      </c>
      <c r="J114" s="126">
        <v>7.1652430000000003</v>
      </c>
      <c r="K114" s="126">
        <v>7.230836</v>
      </c>
      <c r="L114" s="126">
        <v>7.3093589999999997</v>
      </c>
      <c r="M114" s="126">
        <v>7.3757770000000002</v>
      </c>
      <c r="N114" s="126">
        <v>7.475136</v>
      </c>
      <c r="O114" s="126">
        <v>7.5719620000000001</v>
      </c>
      <c r="P114" s="126">
        <v>7.6795330000000002</v>
      </c>
      <c r="Q114" s="126">
        <v>7.7930219999999997</v>
      </c>
      <c r="R114" s="126">
        <v>7.9123520000000003</v>
      </c>
      <c r="S114" s="126">
        <v>8.0320769999999992</v>
      </c>
      <c r="T114" s="126">
        <v>8.1493559999999992</v>
      </c>
      <c r="U114" s="126">
        <v>8.2529900000000005</v>
      </c>
      <c r="V114" s="126">
        <v>8.3460750000000008</v>
      </c>
      <c r="W114" s="126">
        <v>8.4303840000000001</v>
      </c>
      <c r="X114" s="126">
        <v>8.5082389999999997</v>
      </c>
      <c r="Y114" s="126">
        <v>8.5789960000000001</v>
      </c>
      <c r="Z114" s="126">
        <v>8.6425289999999997</v>
      </c>
      <c r="AA114" s="126">
        <v>8.698582</v>
      </c>
      <c r="AB114" s="126">
        <v>8.7432619999999996</v>
      </c>
      <c r="AC114" s="126">
        <v>8.7850439999999992</v>
      </c>
      <c r="AD114" s="126">
        <v>8.8250360000000008</v>
      </c>
      <c r="AE114" s="126">
        <v>8.8615890000000004</v>
      </c>
      <c r="AF114" s="126">
        <v>8.8955079999999995</v>
      </c>
      <c r="AG114" s="126">
        <v>8.9269590000000001</v>
      </c>
      <c r="AH114" s="126">
        <v>8.9564330000000005</v>
      </c>
      <c r="AI114" s="126">
        <v>8.9838179999999994</v>
      </c>
      <c r="AJ114" s="126">
        <v>9.0080969999999994</v>
      </c>
      <c r="AK114" s="126">
        <v>9.029166</v>
      </c>
      <c r="AL114" s="115">
        <v>8.0000000000000002E-3</v>
      </c>
    </row>
    <row r="115" spans="1:38">
      <c r="A115" s="17" t="s">
        <v>112</v>
      </c>
      <c r="B115" s="126" t="s">
        <v>1577</v>
      </c>
      <c r="C115" s="126" t="s">
        <v>2760</v>
      </c>
      <c r="D115" s="126" t="s">
        <v>3167</v>
      </c>
      <c r="E115" s="126" t="s">
        <v>1718</v>
      </c>
      <c r="F115" s="126">
        <v>0</v>
      </c>
      <c r="G115" s="126">
        <v>17.034026999999998</v>
      </c>
      <c r="H115" s="126">
        <v>17.183762000000002</v>
      </c>
      <c r="I115" s="126">
        <v>17.310836999999999</v>
      </c>
      <c r="J115" s="126">
        <v>17.445830999999998</v>
      </c>
      <c r="K115" s="126">
        <v>17.600584000000001</v>
      </c>
      <c r="L115" s="126">
        <v>17.783059999999999</v>
      </c>
      <c r="M115" s="126">
        <v>18.000681</v>
      </c>
      <c r="N115" s="126">
        <v>18.257317</v>
      </c>
      <c r="O115" s="126">
        <v>18.497983999999999</v>
      </c>
      <c r="P115" s="126">
        <v>18.749651</v>
      </c>
      <c r="Q115" s="126">
        <v>19.006083</v>
      </c>
      <c r="R115" s="126">
        <v>19.261868</v>
      </c>
      <c r="S115" s="126">
        <v>19.499970999999999</v>
      </c>
      <c r="T115" s="126">
        <v>19.703320000000001</v>
      </c>
      <c r="U115" s="126">
        <v>19.874495</v>
      </c>
      <c r="V115" s="126">
        <v>20.018868999999999</v>
      </c>
      <c r="W115" s="126">
        <v>20.140620999999999</v>
      </c>
      <c r="X115" s="126">
        <v>20.242384000000001</v>
      </c>
      <c r="Y115" s="126">
        <v>20.325275000000001</v>
      </c>
      <c r="Z115" s="126">
        <v>20.403036</v>
      </c>
      <c r="AA115" s="126">
        <v>20.465311</v>
      </c>
      <c r="AB115" s="126">
        <v>20.516905000000001</v>
      </c>
      <c r="AC115" s="126">
        <v>20.559097000000001</v>
      </c>
      <c r="AD115" s="126">
        <v>20.593427999999999</v>
      </c>
      <c r="AE115" s="126">
        <v>20.621320999999998</v>
      </c>
      <c r="AF115" s="126">
        <v>20.643941999999999</v>
      </c>
      <c r="AG115" s="126">
        <v>20.661961000000002</v>
      </c>
      <c r="AH115" s="126">
        <v>20.676842000000001</v>
      </c>
      <c r="AI115" s="126">
        <v>20.688666999999999</v>
      </c>
      <c r="AJ115" s="126">
        <v>20.697575000000001</v>
      </c>
      <c r="AK115" s="126">
        <v>20.704113</v>
      </c>
      <c r="AL115" s="126" t="s">
        <v>146</v>
      </c>
    </row>
    <row r="116" spans="1:38">
      <c r="A116" s="17" t="s">
        <v>116</v>
      </c>
      <c r="B116" s="126" t="s">
        <v>2549</v>
      </c>
      <c r="C116" s="126" t="s">
        <v>2762</v>
      </c>
      <c r="D116" s="126" t="s">
        <v>3168</v>
      </c>
      <c r="E116" s="126" t="s">
        <v>1718</v>
      </c>
      <c r="F116" s="126">
        <v>0</v>
      </c>
      <c r="G116" s="126">
        <v>14.139643</v>
      </c>
      <c r="H116" s="126">
        <v>14.351468000000001</v>
      </c>
      <c r="I116" s="126">
        <v>14.523941000000001</v>
      </c>
      <c r="J116" s="126">
        <v>14.687884</v>
      </c>
      <c r="K116" s="126">
        <v>14.8752</v>
      </c>
      <c r="L116" s="126">
        <v>15.096412000000001</v>
      </c>
      <c r="M116" s="126">
        <v>15.324721</v>
      </c>
      <c r="N116" s="126">
        <v>15.561413</v>
      </c>
      <c r="O116" s="126">
        <v>15.774309000000001</v>
      </c>
      <c r="P116" s="126">
        <v>15.998886000000001</v>
      </c>
      <c r="Q116" s="126">
        <v>16.228006000000001</v>
      </c>
      <c r="R116" s="126">
        <v>16.456168999999999</v>
      </c>
      <c r="S116" s="126">
        <v>16.674019000000001</v>
      </c>
      <c r="T116" s="126">
        <v>16.871586000000001</v>
      </c>
      <c r="U116" s="126">
        <v>17.042981999999999</v>
      </c>
      <c r="V116" s="126">
        <v>17.182306000000001</v>
      </c>
      <c r="W116" s="126">
        <v>17.304061999999998</v>
      </c>
      <c r="X116" s="126">
        <v>17.410087999999998</v>
      </c>
      <c r="Y116" s="126">
        <v>17.501066000000002</v>
      </c>
      <c r="Z116" s="126">
        <v>17.590221</v>
      </c>
      <c r="AA116" s="126">
        <v>17.667449999999999</v>
      </c>
      <c r="AB116" s="126">
        <v>17.736725</v>
      </c>
      <c r="AC116" s="126">
        <v>17.798985999999999</v>
      </c>
      <c r="AD116" s="126">
        <v>17.855221</v>
      </c>
      <c r="AE116" s="126">
        <v>17.906334000000001</v>
      </c>
      <c r="AF116" s="126">
        <v>17.953569000000002</v>
      </c>
      <c r="AG116" s="126">
        <v>17.997194</v>
      </c>
      <c r="AH116" s="126">
        <v>18.037787999999999</v>
      </c>
      <c r="AI116" s="126">
        <v>18.075001</v>
      </c>
      <c r="AJ116" s="126">
        <v>18.108927000000001</v>
      </c>
      <c r="AK116" s="126">
        <v>18.138741</v>
      </c>
      <c r="AL116" s="126" t="s">
        <v>146</v>
      </c>
    </row>
    <row r="117" spans="1:38">
      <c r="A117" s="17" t="s">
        <v>116</v>
      </c>
      <c r="B117" s="126" t="s">
        <v>2550</v>
      </c>
      <c r="C117" s="126" t="s">
        <v>2764</v>
      </c>
      <c r="D117" s="126" t="s">
        <v>3169</v>
      </c>
      <c r="E117" s="126" t="s">
        <v>1718</v>
      </c>
      <c r="F117" s="126">
        <v>0</v>
      </c>
      <c r="G117" s="126">
        <v>10.285843</v>
      </c>
      <c r="H117" s="126">
        <v>10.464843999999999</v>
      </c>
      <c r="I117" s="126">
        <v>10.587273</v>
      </c>
      <c r="J117" s="126">
        <v>10.70417</v>
      </c>
      <c r="K117" s="126">
        <v>10.83121</v>
      </c>
      <c r="L117" s="126">
        <v>10.975466000000001</v>
      </c>
      <c r="M117" s="126">
        <v>11.138088</v>
      </c>
      <c r="N117" s="126">
        <v>11.322737</v>
      </c>
      <c r="O117" s="126">
        <v>11.488657999999999</v>
      </c>
      <c r="P117" s="126">
        <v>11.662198999999999</v>
      </c>
      <c r="Q117" s="126">
        <v>11.837294999999999</v>
      </c>
      <c r="R117" s="126">
        <v>12.010121</v>
      </c>
      <c r="S117" s="126">
        <v>12.172402</v>
      </c>
      <c r="T117" s="126">
        <v>12.312234</v>
      </c>
      <c r="U117" s="126">
        <v>12.432149000000001</v>
      </c>
      <c r="V117" s="126">
        <v>12.534273000000001</v>
      </c>
      <c r="W117" s="126">
        <v>12.621475999999999</v>
      </c>
      <c r="X117" s="126">
        <v>12.695039</v>
      </c>
      <c r="Y117" s="126">
        <v>12.755751</v>
      </c>
      <c r="Z117" s="126">
        <v>12.813516999999999</v>
      </c>
      <c r="AA117" s="126">
        <v>12.860846</v>
      </c>
      <c r="AB117" s="126">
        <v>12.901122000000001</v>
      </c>
      <c r="AC117" s="126">
        <v>12.935147000000001</v>
      </c>
      <c r="AD117" s="126">
        <v>12.964</v>
      </c>
      <c r="AE117" s="126">
        <v>12.988670000000001</v>
      </c>
      <c r="AF117" s="126">
        <v>13.010071999999999</v>
      </c>
      <c r="AG117" s="126">
        <v>13.026134000000001</v>
      </c>
      <c r="AH117" s="126">
        <v>13.043381999999999</v>
      </c>
      <c r="AI117" s="126">
        <v>13.062531</v>
      </c>
      <c r="AJ117" s="126">
        <v>13.085490999999999</v>
      </c>
      <c r="AK117" s="126">
        <v>13.112906000000001</v>
      </c>
      <c r="AL117" s="126" t="s">
        <v>146</v>
      </c>
    </row>
    <row r="118" spans="1:38">
      <c r="A118" s="17" t="s">
        <v>854</v>
      </c>
      <c r="B118" s="126" t="s">
        <v>1581</v>
      </c>
      <c r="C118" s="126" t="s">
        <v>2766</v>
      </c>
      <c r="D118" s="126" t="s">
        <v>3170</v>
      </c>
      <c r="E118" s="126" t="s">
        <v>1718</v>
      </c>
      <c r="F118" s="126">
        <v>0</v>
      </c>
      <c r="G118" s="126">
        <v>11.520413</v>
      </c>
      <c r="H118" s="126">
        <v>11.520413</v>
      </c>
      <c r="I118" s="126">
        <v>11.520413</v>
      </c>
      <c r="J118" s="126">
        <v>11.520414000000001</v>
      </c>
      <c r="K118" s="126">
        <v>11.520414000000001</v>
      </c>
      <c r="L118" s="126">
        <v>11.520415</v>
      </c>
      <c r="M118" s="126">
        <v>11.520415</v>
      </c>
      <c r="N118" s="126">
        <v>11.520415</v>
      </c>
      <c r="O118" s="126">
        <v>11.520414000000001</v>
      </c>
      <c r="P118" s="126">
        <v>11.520414000000001</v>
      </c>
      <c r="Q118" s="126">
        <v>11.520415</v>
      </c>
      <c r="R118" s="126">
        <v>11.520415</v>
      </c>
      <c r="S118" s="126">
        <v>11.520414000000001</v>
      </c>
      <c r="T118" s="126">
        <v>11.520414000000001</v>
      </c>
      <c r="U118" s="126">
        <v>11.520414000000001</v>
      </c>
      <c r="V118" s="126">
        <v>11.520413</v>
      </c>
      <c r="W118" s="126">
        <v>11.520413</v>
      </c>
      <c r="X118" s="126">
        <v>11.520414000000001</v>
      </c>
      <c r="Y118" s="126">
        <v>11.520415</v>
      </c>
      <c r="Z118" s="126">
        <v>11.520412</v>
      </c>
      <c r="AA118" s="126">
        <v>11.520415</v>
      </c>
      <c r="AB118" s="126">
        <v>11.520416000000001</v>
      </c>
      <c r="AC118" s="126">
        <v>11.520414000000001</v>
      </c>
      <c r="AD118" s="126">
        <v>11.520413</v>
      </c>
      <c r="AE118" s="126">
        <v>11.520416000000001</v>
      </c>
      <c r="AF118" s="126">
        <v>11.520417999999999</v>
      </c>
      <c r="AG118" s="126">
        <v>11.520415</v>
      </c>
      <c r="AH118" s="126">
        <v>11.520417999999999</v>
      </c>
      <c r="AI118" s="126">
        <v>11.520414000000001</v>
      </c>
      <c r="AJ118" s="126">
        <v>11.52041</v>
      </c>
      <c r="AK118" s="126">
        <v>11.520416000000001</v>
      </c>
      <c r="AL118" s="126" t="s">
        <v>146</v>
      </c>
    </row>
    <row r="119" spans="1:38">
      <c r="B119" s="126" t="s">
        <v>2559</v>
      </c>
      <c r="C119" s="126" t="s">
        <v>2768</v>
      </c>
      <c r="D119" s="126" t="s">
        <v>3171</v>
      </c>
      <c r="F119" s="126">
        <v>8.0157849999999993</v>
      </c>
      <c r="G119" s="126">
        <v>8.0957460000000001</v>
      </c>
      <c r="H119" s="126">
        <v>8.1878499999999992</v>
      </c>
      <c r="I119" s="126">
        <v>8.2945790000000006</v>
      </c>
      <c r="J119" s="126">
        <v>8.4082640000000008</v>
      </c>
      <c r="K119" s="126">
        <v>8.5277320000000003</v>
      </c>
      <c r="L119" s="126">
        <v>8.6580910000000006</v>
      </c>
      <c r="M119" s="126">
        <v>8.7973140000000001</v>
      </c>
      <c r="N119" s="126">
        <v>8.9489280000000004</v>
      </c>
      <c r="O119" s="126">
        <v>9.0999789999999994</v>
      </c>
      <c r="P119" s="126">
        <v>9.2611500000000007</v>
      </c>
      <c r="Q119" s="126">
        <v>9.4302469999999996</v>
      </c>
      <c r="R119" s="126">
        <v>9.6055130000000002</v>
      </c>
      <c r="S119" s="126">
        <v>9.7786369999999998</v>
      </c>
      <c r="T119" s="126">
        <v>9.9429200000000009</v>
      </c>
      <c r="U119" s="126">
        <v>10.095668999999999</v>
      </c>
      <c r="V119" s="126">
        <v>10.234308</v>
      </c>
      <c r="W119" s="126">
        <v>10.361017</v>
      </c>
      <c r="X119" s="126">
        <v>10.479322</v>
      </c>
      <c r="Y119" s="126">
        <v>10.589668</v>
      </c>
      <c r="Z119" s="126">
        <v>10.691628</v>
      </c>
      <c r="AA119" s="126">
        <v>10.786129000000001</v>
      </c>
      <c r="AB119" s="126">
        <v>10.872512</v>
      </c>
      <c r="AC119" s="126">
        <v>10.950390000000001</v>
      </c>
      <c r="AD119" s="126">
        <v>11.017860000000001</v>
      </c>
      <c r="AE119" s="126">
        <v>11.076631000000001</v>
      </c>
      <c r="AF119" s="126">
        <v>11.130300999999999</v>
      </c>
      <c r="AG119" s="126">
        <v>11.180173999999999</v>
      </c>
      <c r="AH119" s="126">
        <v>11.225749</v>
      </c>
      <c r="AI119" s="126">
        <v>11.266921</v>
      </c>
      <c r="AJ119" s="126">
        <v>11.304655</v>
      </c>
      <c r="AK119" s="126">
        <v>11.33976</v>
      </c>
      <c r="AL119" s="115">
        <v>1.0999999999999999E-2</v>
      </c>
    </row>
    <row r="120" spans="1:38">
      <c r="B120" s="126" t="s">
        <v>2553</v>
      </c>
      <c r="D120" s="126" t="s">
        <v>3172</v>
      </c>
    </row>
    <row r="121" spans="1:38">
      <c r="A121" s="17" t="s">
        <v>115</v>
      </c>
      <c r="B121" s="126" t="s">
        <v>1266</v>
      </c>
      <c r="C121" s="126" t="s">
        <v>2771</v>
      </c>
      <c r="D121" s="126" t="s">
        <v>3173</v>
      </c>
      <c r="E121" s="126" t="s">
        <v>2729</v>
      </c>
      <c r="F121" s="126">
        <v>6.0285409999999997</v>
      </c>
      <c r="G121" s="126">
        <v>6.065226</v>
      </c>
      <c r="H121" s="126">
        <v>6.1032039999999999</v>
      </c>
      <c r="I121" s="126">
        <v>6.1512859999999998</v>
      </c>
      <c r="J121" s="126">
        <v>6.2070210000000001</v>
      </c>
      <c r="K121" s="126">
        <v>6.2713320000000001</v>
      </c>
      <c r="L121" s="126">
        <v>6.3451469999999999</v>
      </c>
      <c r="M121" s="126">
        <v>6.4298209999999996</v>
      </c>
      <c r="N121" s="126">
        <v>6.5254399999999997</v>
      </c>
      <c r="O121" s="126">
        <v>6.6239660000000002</v>
      </c>
      <c r="P121" s="126">
        <v>6.7278570000000002</v>
      </c>
      <c r="Q121" s="126">
        <v>6.8336290000000002</v>
      </c>
      <c r="R121" s="126">
        <v>6.9391949999999998</v>
      </c>
      <c r="S121" s="126">
        <v>7.0414760000000003</v>
      </c>
      <c r="T121" s="126">
        <v>7.1350689999999997</v>
      </c>
      <c r="U121" s="126">
        <v>7.2187299999999999</v>
      </c>
      <c r="V121" s="126">
        <v>7.2923419999999997</v>
      </c>
      <c r="W121" s="126">
        <v>7.3578679999999999</v>
      </c>
      <c r="X121" s="126">
        <v>7.4160779999999997</v>
      </c>
      <c r="Y121" s="126">
        <v>7.4674740000000002</v>
      </c>
      <c r="Z121" s="126">
        <v>7.5133020000000004</v>
      </c>
      <c r="AA121" s="126">
        <v>7.5526179999999998</v>
      </c>
      <c r="AB121" s="126">
        <v>7.5874990000000002</v>
      </c>
      <c r="AC121" s="126">
        <v>7.617254</v>
      </c>
      <c r="AD121" s="126">
        <v>7.6431129999999996</v>
      </c>
      <c r="AE121" s="126">
        <v>7.6657349999999997</v>
      </c>
      <c r="AF121" s="126">
        <v>7.686134</v>
      </c>
      <c r="AG121" s="126">
        <v>7.7053649999999996</v>
      </c>
      <c r="AH121" s="126">
        <v>7.7234090000000002</v>
      </c>
      <c r="AI121" s="126">
        <v>7.740367</v>
      </c>
      <c r="AJ121" s="126">
        <v>7.7567709999999996</v>
      </c>
      <c r="AK121" s="126">
        <v>7.77264</v>
      </c>
      <c r="AL121" s="115">
        <v>8.0000000000000002E-3</v>
      </c>
    </row>
    <row r="122" spans="1:38">
      <c r="A122" s="17" t="s">
        <v>114</v>
      </c>
      <c r="B122" s="126" t="s">
        <v>1352</v>
      </c>
      <c r="C122" s="126" t="s">
        <v>2773</v>
      </c>
      <c r="D122" s="126" t="s">
        <v>3174</v>
      </c>
      <c r="E122" s="126" t="s">
        <v>1718</v>
      </c>
      <c r="F122" s="126">
        <v>5.385866</v>
      </c>
      <c r="G122" s="126">
        <v>5.416194</v>
      </c>
      <c r="H122" s="126">
        <v>5.453551</v>
      </c>
      <c r="I122" s="126">
        <v>5.4994990000000001</v>
      </c>
      <c r="J122" s="126">
        <v>5.5527379999999997</v>
      </c>
      <c r="K122" s="126">
        <v>5.6135219999999997</v>
      </c>
      <c r="L122" s="126">
        <v>5.6842610000000002</v>
      </c>
      <c r="M122" s="126">
        <v>5.7612110000000003</v>
      </c>
      <c r="N122" s="126">
        <v>5.8420139999999998</v>
      </c>
      <c r="O122" s="126">
        <v>5.9267459999999996</v>
      </c>
      <c r="P122" s="126">
        <v>6.0183580000000001</v>
      </c>
      <c r="Q122" s="126">
        <v>6.1091740000000003</v>
      </c>
      <c r="R122" s="126">
        <v>6.2048829999999997</v>
      </c>
      <c r="S122" s="126">
        <v>6.306</v>
      </c>
      <c r="T122" s="126">
        <v>6.4063040000000004</v>
      </c>
      <c r="U122" s="126">
        <v>6.5035410000000002</v>
      </c>
      <c r="V122" s="126">
        <v>6.5954629999999996</v>
      </c>
      <c r="W122" s="126">
        <v>6.6846389999999998</v>
      </c>
      <c r="X122" s="126">
        <v>6.7653920000000003</v>
      </c>
      <c r="Y122" s="126">
        <v>6.8403340000000004</v>
      </c>
      <c r="Z122" s="126">
        <v>6.9105790000000002</v>
      </c>
      <c r="AA122" s="126">
        <v>6.9769290000000002</v>
      </c>
      <c r="AB122" s="126">
        <v>7.0357859999999999</v>
      </c>
      <c r="AC122" s="126">
        <v>7.0911819999999999</v>
      </c>
      <c r="AD122" s="126">
        <v>7.1423540000000001</v>
      </c>
      <c r="AE122" s="126">
        <v>7.1825369999999999</v>
      </c>
      <c r="AF122" s="126">
        <v>7.2143829999999998</v>
      </c>
      <c r="AG122" s="126">
        <v>7.24038</v>
      </c>
      <c r="AH122" s="126">
        <v>7.2625970000000004</v>
      </c>
      <c r="AI122" s="126">
        <v>7.2814490000000003</v>
      </c>
      <c r="AJ122" s="126">
        <v>7.2995109999999999</v>
      </c>
      <c r="AK122" s="126">
        <v>7.3151419999999998</v>
      </c>
      <c r="AL122" s="115">
        <v>0.01</v>
      </c>
    </row>
    <row r="123" spans="1:38">
      <c r="A123" s="17" t="s">
        <v>853</v>
      </c>
      <c r="B123" s="126" t="s">
        <v>1273</v>
      </c>
      <c r="C123" s="126" t="s">
        <v>2775</v>
      </c>
      <c r="D123" s="126" t="s">
        <v>3175</v>
      </c>
      <c r="E123" s="126" t="s">
        <v>1718</v>
      </c>
      <c r="F123" s="126">
        <v>5.8711399999999996</v>
      </c>
      <c r="G123" s="126">
        <v>5.9611999999999998</v>
      </c>
      <c r="H123" s="126">
        <v>6.0495999999999999</v>
      </c>
      <c r="I123" s="126">
        <v>6.1389899999999997</v>
      </c>
      <c r="J123" s="126">
        <v>6.2276179999999997</v>
      </c>
      <c r="K123" s="126">
        <v>6.3176930000000002</v>
      </c>
      <c r="L123" s="126">
        <v>6.411651</v>
      </c>
      <c r="M123" s="126">
        <v>6.5087609999999998</v>
      </c>
      <c r="N123" s="126">
        <v>6.6109540000000004</v>
      </c>
      <c r="O123" s="126">
        <v>6.7099679999999999</v>
      </c>
      <c r="P123" s="126">
        <v>6.8146190000000004</v>
      </c>
      <c r="Q123" s="126">
        <v>6.9217969999999998</v>
      </c>
      <c r="R123" s="126">
        <v>7.0314709999999998</v>
      </c>
      <c r="S123" s="126">
        <v>7.1401890000000003</v>
      </c>
      <c r="T123" s="126">
        <v>7.2383230000000003</v>
      </c>
      <c r="U123" s="126">
        <v>7.3213080000000001</v>
      </c>
      <c r="V123" s="126">
        <v>7.3886589999999996</v>
      </c>
      <c r="W123" s="126">
        <v>7.4440660000000003</v>
      </c>
      <c r="X123" s="126">
        <v>7.4897830000000001</v>
      </c>
      <c r="Y123" s="126">
        <v>7.5252509999999999</v>
      </c>
      <c r="Z123" s="126">
        <v>7.5524959999999997</v>
      </c>
      <c r="AA123" s="126">
        <v>7.5731039999999998</v>
      </c>
      <c r="AB123" s="126">
        <v>7.5877629999999998</v>
      </c>
      <c r="AC123" s="126">
        <v>7.5978320000000004</v>
      </c>
      <c r="AD123" s="126">
        <v>7.60433</v>
      </c>
      <c r="AE123" s="126">
        <v>7.6080800000000002</v>
      </c>
      <c r="AF123" s="126">
        <v>7.6097010000000003</v>
      </c>
      <c r="AG123" s="126">
        <v>7.6096760000000003</v>
      </c>
      <c r="AH123" s="126">
        <v>7.608276</v>
      </c>
      <c r="AI123" s="126">
        <v>7.6062529999999997</v>
      </c>
      <c r="AJ123" s="126">
        <v>7.6051500000000001</v>
      </c>
      <c r="AK123" s="126">
        <v>7.6051029999999997</v>
      </c>
      <c r="AL123" s="115">
        <v>8.0000000000000002E-3</v>
      </c>
    </row>
    <row r="124" spans="1:38">
      <c r="A124" s="17" t="s">
        <v>113</v>
      </c>
      <c r="B124" s="126" t="s">
        <v>1282</v>
      </c>
      <c r="C124" s="126" t="s">
        <v>2777</v>
      </c>
      <c r="D124" s="126" t="s">
        <v>3176</v>
      </c>
      <c r="E124" s="126" t="s">
        <v>2729</v>
      </c>
      <c r="F124" s="126">
        <v>5.7408359999999998</v>
      </c>
      <c r="G124" s="126">
        <v>5.7369289999999999</v>
      </c>
      <c r="H124" s="126">
        <v>5.7508900000000001</v>
      </c>
      <c r="I124" s="126">
        <v>5.7798160000000003</v>
      </c>
      <c r="J124" s="126">
        <v>5.8213540000000004</v>
      </c>
      <c r="K124" s="126">
        <v>5.8749279999999997</v>
      </c>
      <c r="L124" s="126">
        <v>5.9399930000000003</v>
      </c>
      <c r="M124" s="126">
        <v>6.0162319999999996</v>
      </c>
      <c r="N124" s="126">
        <v>6.1031870000000001</v>
      </c>
      <c r="O124" s="126">
        <v>6.1929740000000004</v>
      </c>
      <c r="P124" s="126">
        <v>6.2903370000000001</v>
      </c>
      <c r="Q124" s="126">
        <v>6.393046</v>
      </c>
      <c r="R124" s="126">
        <v>6.4997829999999999</v>
      </c>
      <c r="S124" s="126">
        <v>6.60745</v>
      </c>
      <c r="T124" s="126">
        <v>6.7111919999999996</v>
      </c>
      <c r="U124" s="126">
        <v>6.8092509999999997</v>
      </c>
      <c r="V124" s="126">
        <v>6.8986660000000004</v>
      </c>
      <c r="W124" s="126">
        <v>6.9783280000000003</v>
      </c>
      <c r="X124" s="126">
        <v>7.0475719999999997</v>
      </c>
      <c r="Y124" s="126">
        <v>7.1060429999999997</v>
      </c>
      <c r="Z124" s="126">
        <v>7.1552619999999996</v>
      </c>
      <c r="AA124" s="126">
        <v>7.196536</v>
      </c>
      <c r="AB124" s="126">
        <v>7.2316560000000001</v>
      </c>
      <c r="AC124" s="126">
        <v>7.2612810000000003</v>
      </c>
      <c r="AD124" s="126">
        <v>7.2865700000000002</v>
      </c>
      <c r="AE124" s="126">
        <v>7.3093570000000003</v>
      </c>
      <c r="AF124" s="126">
        <v>7.3302779999999998</v>
      </c>
      <c r="AG124" s="126">
        <v>7.3497919999999999</v>
      </c>
      <c r="AH124" s="126">
        <v>7.3677349999999997</v>
      </c>
      <c r="AI124" s="126">
        <v>7.3844969999999996</v>
      </c>
      <c r="AJ124" s="126">
        <v>7.4000360000000001</v>
      </c>
      <c r="AK124" s="126">
        <v>7.4142929999999998</v>
      </c>
      <c r="AL124" s="115">
        <v>8.0000000000000002E-3</v>
      </c>
    </row>
    <row r="125" spans="1:38">
      <c r="A125" s="17" t="s">
        <v>114</v>
      </c>
      <c r="B125" s="126" t="s">
        <v>2548</v>
      </c>
      <c r="C125" s="126" t="s">
        <v>2779</v>
      </c>
      <c r="D125" s="126" t="s">
        <v>3177</v>
      </c>
      <c r="E125" s="126" t="s">
        <v>1718</v>
      </c>
      <c r="F125" s="126">
        <v>0</v>
      </c>
      <c r="G125" s="126">
        <v>0</v>
      </c>
      <c r="H125" s="126">
        <v>0</v>
      </c>
      <c r="I125" s="126">
        <v>0</v>
      </c>
      <c r="J125" s="126">
        <v>0</v>
      </c>
      <c r="K125" s="126">
        <v>0</v>
      </c>
      <c r="L125" s="126">
        <v>0</v>
      </c>
      <c r="M125" s="126">
        <v>0</v>
      </c>
      <c r="N125" s="126">
        <v>0</v>
      </c>
      <c r="O125" s="126">
        <v>0</v>
      </c>
      <c r="P125" s="126">
        <v>0</v>
      </c>
      <c r="Q125" s="126">
        <v>0</v>
      </c>
      <c r="R125" s="126">
        <v>0</v>
      </c>
      <c r="S125" s="126">
        <v>0</v>
      </c>
      <c r="T125" s="126">
        <v>0</v>
      </c>
      <c r="U125" s="126">
        <v>0</v>
      </c>
      <c r="V125" s="126">
        <v>0</v>
      </c>
      <c r="W125" s="126">
        <v>0</v>
      </c>
      <c r="X125" s="126">
        <v>0</v>
      </c>
      <c r="Y125" s="126">
        <v>0</v>
      </c>
      <c r="Z125" s="126">
        <v>0</v>
      </c>
      <c r="AA125" s="126">
        <v>0</v>
      </c>
      <c r="AB125" s="126">
        <v>0</v>
      </c>
      <c r="AC125" s="126">
        <v>0</v>
      </c>
      <c r="AD125" s="126">
        <v>0</v>
      </c>
      <c r="AE125" s="126">
        <v>0</v>
      </c>
      <c r="AF125" s="126">
        <v>0</v>
      </c>
      <c r="AG125" s="126">
        <v>0</v>
      </c>
      <c r="AH125" s="126">
        <v>0</v>
      </c>
      <c r="AI125" s="126">
        <v>0</v>
      </c>
      <c r="AJ125" s="126">
        <v>0</v>
      </c>
      <c r="AK125" s="126">
        <v>0</v>
      </c>
      <c r="AL125" s="126" t="s">
        <v>146</v>
      </c>
    </row>
    <row r="126" spans="1:38">
      <c r="A126" s="17" t="s">
        <v>112</v>
      </c>
      <c r="B126" s="126" t="s">
        <v>1577</v>
      </c>
      <c r="C126" s="126" t="s">
        <v>2781</v>
      </c>
      <c r="D126" s="126" t="s">
        <v>3178</v>
      </c>
      <c r="E126" s="126" t="s">
        <v>2729</v>
      </c>
      <c r="F126" s="126">
        <v>0</v>
      </c>
      <c r="G126" s="126">
        <v>7.2611169999999996</v>
      </c>
      <c r="H126" s="126">
        <v>8.5784210000000005</v>
      </c>
      <c r="I126" s="126">
        <v>9.2072500000000002</v>
      </c>
      <c r="J126" s="126">
        <v>9.5680809999999994</v>
      </c>
      <c r="K126" s="126">
        <v>9.8189469999999996</v>
      </c>
      <c r="L126" s="126">
        <v>10.023063</v>
      </c>
      <c r="M126" s="126">
        <v>10.209932</v>
      </c>
      <c r="N126" s="126">
        <v>10.391372</v>
      </c>
      <c r="O126" s="126">
        <v>10.557368</v>
      </c>
      <c r="P126" s="126">
        <v>10.723613</v>
      </c>
      <c r="Q126" s="126">
        <v>10.888683</v>
      </c>
      <c r="R126" s="126">
        <v>11.052766</v>
      </c>
      <c r="S126" s="126">
        <v>11.212062</v>
      </c>
      <c r="T126" s="126">
        <v>11.360222</v>
      </c>
      <c r="U126" s="126">
        <v>11.497107</v>
      </c>
      <c r="V126" s="126">
        <v>11.621843</v>
      </c>
      <c r="W126" s="126">
        <v>11.734119</v>
      </c>
      <c r="X126" s="126">
        <v>11.831756</v>
      </c>
      <c r="Y126" s="126">
        <v>11.911407000000001</v>
      </c>
      <c r="Z126" s="126">
        <v>11.991080999999999</v>
      </c>
      <c r="AA126" s="126">
        <v>12.066190000000001</v>
      </c>
      <c r="AB126" s="126">
        <v>12.125313999999999</v>
      </c>
      <c r="AC126" s="126">
        <v>12.16145</v>
      </c>
      <c r="AD126" s="126">
        <v>12.196547000000001</v>
      </c>
      <c r="AE126" s="126">
        <v>12.224933</v>
      </c>
      <c r="AF126" s="126">
        <v>12.247922000000001</v>
      </c>
      <c r="AG126" s="126">
        <v>12.266495000000001</v>
      </c>
      <c r="AH126" s="126">
        <v>12.281746999999999</v>
      </c>
      <c r="AI126" s="126">
        <v>12.294608</v>
      </c>
      <c r="AJ126" s="126">
        <v>12.305555999999999</v>
      </c>
      <c r="AK126" s="126">
        <v>12.314667999999999</v>
      </c>
      <c r="AL126" s="126" t="s">
        <v>146</v>
      </c>
    </row>
    <row r="127" spans="1:38">
      <c r="A127" s="17" t="s">
        <v>116</v>
      </c>
      <c r="B127" s="126" t="s">
        <v>2549</v>
      </c>
      <c r="C127" s="126" t="s">
        <v>2783</v>
      </c>
      <c r="D127" s="126" t="s">
        <v>3179</v>
      </c>
      <c r="E127" s="126" t="s">
        <v>2729</v>
      </c>
      <c r="F127" s="126">
        <v>2.4713270000000001</v>
      </c>
      <c r="G127" s="126">
        <v>4.2829459999999999</v>
      </c>
      <c r="H127" s="126">
        <v>5.2826230000000001</v>
      </c>
      <c r="I127" s="126">
        <v>6.0031439999999998</v>
      </c>
      <c r="J127" s="126">
        <v>6.5275030000000003</v>
      </c>
      <c r="K127" s="126">
        <v>6.9412419999999999</v>
      </c>
      <c r="L127" s="126">
        <v>7.2955449999999997</v>
      </c>
      <c r="M127" s="126">
        <v>7.6167439999999997</v>
      </c>
      <c r="N127" s="126">
        <v>7.9200020000000002</v>
      </c>
      <c r="O127" s="126">
        <v>8.2026289999999999</v>
      </c>
      <c r="P127" s="126">
        <v>8.4748359999999998</v>
      </c>
      <c r="Q127" s="126">
        <v>8.7360319999999998</v>
      </c>
      <c r="R127" s="126">
        <v>8.9859430000000007</v>
      </c>
      <c r="S127" s="126">
        <v>9.2203269999999993</v>
      </c>
      <c r="T127" s="126">
        <v>9.4309980000000007</v>
      </c>
      <c r="U127" s="126">
        <v>9.613918</v>
      </c>
      <c r="V127" s="126">
        <v>9.7648910000000004</v>
      </c>
      <c r="W127" s="126">
        <v>9.8805790000000009</v>
      </c>
      <c r="X127" s="126">
        <v>10.005813</v>
      </c>
      <c r="Y127" s="126">
        <v>10.128228</v>
      </c>
      <c r="Z127" s="126">
        <v>10.219379</v>
      </c>
      <c r="AA127" s="126">
        <v>10.262606999999999</v>
      </c>
      <c r="AB127" s="126">
        <v>10.316682999999999</v>
      </c>
      <c r="AC127" s="126">
        <v>10.360257000000001</v>
      </c>
      <c r="AD127" s="126">
        <v>10.399392000000001</v>
      </c>
      <c r="AE127" s="126">
        <v>10.433503999999999</v>
      </c>
      <c r="AF127" s="126">
        <v>10.463955</v>
      </c>
      <c r="AG127" s="126">
        <v>10.49159</v>
      </c>
      <c r="AH127" s="126">
        <v>10.517144</v>
      </c>
      <c r="AI127" s="126">
        <v>10.541143999999999</v>
      </c>
      <c r="AJ127" s="126">
        <v>10.563787</v>
      </c>
      <c r="AK127" s="126">
        <v>10.584797999999999</v>
      </c>
      <c r="AL127" s="115">
        <v>4.8000000000000001E-2</v>
      </c>
    </row>
    <row r="128" spans="1:38">
      <c r="A128" s="17" t="s">
        <v>116</v>
      </c>
      <c r="B128" s="126" t="s">
        <v>2550</v>
      </c>
      <c r="C128" s="126" t="s">
        <v>2785</v>
      </c>
      <c r="D128" s="126" t="s">
        <v>3180</v>
      </c>
      <c r="E128" s="126" t="s">
        <v>1718</v>
      </c>
      <c r="F128" s="126">
        <v>2.505185</v>
      </c>
      <c r="G128" s="126">
        <v>4.4283270000000003</v>
      </c>
      <c r="H128" s="126">
        <v>5.4458700000000002</v>
      </c>
      <c r="I128" s="126">
        <v>6.1752010000000004</v>
      </c>
      <c r="J128" s="126">
        <v>6.7006759999999996</v>
      </c>
      <c r="K128" s="126">
        <v>7.1098119999999998</v>
      </c>
      <c r="L128" s="126">
        <v>7.4558160000000004</v>
      </c>
      <c r="M128" s="126">
        <v>7.7692829999999997</v>
      </c>
      <c r="N128" s="126">
        <v>8.0647559999999991</v>
      </c>
      <c r="O128" s="126">
        <v>8.336093</v>
      </c>
      <c r="P128" s="126">
        <v>8.5972200000000001</v>
      </c>
      <c r="Q128" s="126">
        <v>8.8473419999999994</v>
      </c>
      <c r="R128" s="126">
        <v>9.0855969999999999</v>
      </c>
      <c r="S128" s="126">
        <v>9.3090799999999998</v>
      </c>
      <c r="T128" s="126">
        <v>9.5109809999999992</v>
      </c>
      <c r="U128" s="126">
        <v>9.6846859999999992</v>
      </c>
      <c r="V128" s="126">
        <v>9.8265550000000008</v>
      </c>
      <c r="W128" s="126">
        <v>9.9337389999999992</v>
      </c>
      <c r="X128" s="126">
        <v>10.058749000000001</v>
      </c>
      <c r="Y128" s="126">
        <v>10.182598</v>
      </c>
      <c r="Z128" s="126">
        <v>10.272772</v>
      </c>
      <c r="AA128" s="126">
        <v>10.313036</v>
      </c>
      <c r="AB128" s="126">
        <v>10.366865000000001</v>
      </c>
      <c r="AC128" s="126">
        <v>10.411647</v>
      </c>
      <c r="AD128" s="126">
        <v>10.450488</v>
      </c>
      <c r="AE128" s="126">
        <v>10.482599</v>
      </c>
      <c r="AF128" s="126">
        <v>10.510425</v>
      </c>
      <c r="AG128" s="126">
        <v>10.534791999999999</v>
      </c>
      <c r="AH128" s="126">
        <v>10.556673</v>
      </c>
      <c r="AI128" s="126">
        <v>10.576968000000001</v>
      </c>
      <c r="AJ128" s="126">
        <v>10.596133999999999</v>
      </c>
      <c r="AK128" s="126">
        <v>10.614129</v>
      </c>
      <c r="AL128" s="115">
        <v>4.8000000000000001E-2</v>
      </c>
    </row>
    <row r="129" spans="1:38">
      <c r="A129" s="17" t="s">
        <v>854</v>
      </c>
      <c r="B129" s="126" t="s">
        <v>1581</v>
      </c>
      <c r="C129" s="126" t="s">
        <v>2787</v>
      </c>
      <c r="D129" s="126" t="s">
        <v>3181</v>
      </c>
      <c r="E129" s="126" t="s">
        <v>2729</v>
      </c>
      <c r="F129" s="126">
        <v>6.6463850000000004</v>
      </c>
      <c r="G129" s="126">
        <v>6.3811869999999997</v>
      </c>
      <c r="H129" s="126">
        <v>6.5793819999999998</v>
      </c>
      <c r="I129" s="126">
        <v>6.6755449999999996</v>
      </c>
      <c r="J129" s="126">
        <v>6.7279770000000001</v>
      </c>
      <c r="K129" s="126">
        <v>6.7607689999999998</v>
      </c>
      <c r="L129" s="126">
        <v>6.7838320000000003</v>
      </c>
      <c r="M129" s="126">
        <v>6.801685</v>
      </c>
      <c r="N129" s="126">
        <v>6.8164150000000001</v>
      </c>
      <c r="O129" s="126">
        <v>6.8291019999999998</v>
      </c>
      <c r="P129" s="126">
        <v>6.8402909999999997</v>
      </c>
      <c r="Q129" s="126">
        <v>6.8502320000000001</v>
      </c>
      <c r="R129" s="126">
        <v>6.8591170000000004</v>
      </c>
      <c r="S129" s="126">
        <v>6.8670609999999996</v>
      </c>
      <c r="T129" s="126">
        <v>6.8740569999999996</v>
      </c>
      <c r="U129" s="126">
        <v>6.880064</v>
      </c>
      <c r="V129" s="126">
        <v>6.885033</v>
      </c>
      <c r="W129" s="126">
        <v>6.8889180000000003</v>
      </c>
      <c r="X129" s="126">
        <v>6.8914479999999996</v>
      </c>
      <c r="Y129" s="126">
        <v>6.893154</v>
      </c>
      <c r="Z129" s="126">
        <v>6.8958139999999997</v>
      </c>
      <c r="AA129" s="126">
        <v>6.8984750000000004</v>
      </c>
      <c r="AB129" s="126">
        <v>6.8996440000000003</v>
      </c>
      <c r="AC129" s="126">
        <v>6.8995470000000001</v>
      </c>
      <c r="AD129" s="126">
        <v>6.9001510000000001</v>
      </c>
      <c r="AE129" s="126">
        <v>6.9007189999999996</v>
      </c>
      <c r="AF129" s="126">
        <v>6.9012570000000002</v>
      </c>
      <c r="AG129" s="126">
        <v>6.9017609999999996</v>
      </c>
      <c r="AH129" s="126">
        <v>6.9022309999999996</v>
      </c>
      <c r="AI129" s="126">
        <v>6.9026649999999998</v>
      </c>
      <c r="AJ129" s="126">
        <v>6.9030659999999999</v>
      </c>
      <c r="AK129" s="126">
        <v>6.9034300000000002</v>
      </c>
      <c r="AL129" s="115">
        <v>1E-3</v>
      </c>
    </row>
    <row r="130" spans="1:38">
      <c r="B130" s="126" t="s">
        <v>2560</v>
      </c>
      <c r="C130" s="126" t="s">
        <v>2789</v>
      </c>
      <c r="D130" s="126" t="s">
        <v>3182</v>
      </c>
      <c r="F130" s="126">
        <v>6.0241959999999999</v>
      </c>
      <c r="G130" s="126">
        <v>6.0603629999999997</v>
      </c>
      <c r="H130" s="126">
        <v>6.0980749999999997</v>
      </c>
      <c r="I130" s="126">
        <v>6.1459919999999997</v>
      </c>
      <c r="J130" s="126">
        <v>6.2016549999999997</v>
      </c>
      <c r="K130" s="126">
        <v>6.2659580000000004</v>
      </c>
      <c r="L130" s="126">
        <v>6.3398029999999999</v>
      </c>
      <c r="M130" s="126">
        <v>6.4245039999999998</v>
      </c>
      <c r="N130" s="126">
        <v>6.5201339999999997</v>
      </c>
      <c r="O130" s="126">
        <v>6.6186569999999998</v>
      </c>
      <c r="P130" s="126">
        <v>6.7225539999999997</v>
      </c>
      <c r="Q130" s="126">
        <v>6.8283509999999996</v>
      </c>
      <c r="R130" s="126">
        <v>6.9339690000000003</v>
      </c>
      <c r="S130" s="126">
        <v>7.0363290000000003</v>
      </c>
      <c r="T130" s="126">
        <v>7.13002</v>
      </c>
      <c r="U130" s="126">
        <v>7.2137950000000002</v>
      </c>
      <c r="V130" s="126">
        <v>7.2874990000000004</v>
      </c>
      <c r="W130" s="126">
        <v>7.3530629999999997</v>
      </c>
      <c r="X130" s="126">
        <v>7.4112349999999996</v>
      </c>
      <c r="Y130" s="126">
        <v>7.4625050000000002</v>
      </c>
      <c r="Z130" s="126">
        <v>7.5081249999999997</v>
      </c>
      <c r="AA130" s="126">
        <v>7.5471769999999996</v>
      </c>
      <c r="AB130" s="126">
        <v>7.5817220000000001</v>
      </c>
      <c r="AC130" s="126">
        <v>7.6110920000000002</v>
      </c>
      <c r="AD130" s="126">
        <v>7.636514</v>
      </c>
      <c r="AE130" s="126">
        <v>7.6586600000000002</v>
      </c>
      <c r="AF130" s="126">
        <v>7.6785350000000001</v>
      </c>
      <c r="AG130" s="126">
        <v>7.6971759999999998</v>
      </c>
      <c r="AH130" s="126">
        <v>7.7145619999999999</v>
      </c>
      <c r="AI130" s="126">
        <v>7.730791</v>
      </c>
      <c r="AJ130" s="126">
        <v>7.7463740000000003</v>
      </c>
      <c r="AK130" s="126">
        <v>7.7613149999999997</v>
      </c>
      <c r="AL130" s="115">
        <v>8.0000000000000002E-3</v>
      </c>
    </row>
    <row r="131" spans="1:38">
      <c r="B131" s="126" t="s">
        <v>2561</v>
      </c>
      <c r="C131" s="126" t="s">
        <v>2791</v>
      </c>
      <c r="D131" s="126" t="s">
        <v>3183</v>
      </c>
      <c r="F131" s="126">
        <v>7.1191649999999997</v>
      </c>
      <c r="G131" s="126">
        <v>7.1709420000000001</v>
      </c>
      <c r="H131" s="126">
        <v>7.2359850000000003</v>
      </c>
      <c r="I131" s="126">
        <v>7.3072990000000004</v>
      </c>
      <c r="J131" s="126">
        <v>7.3885180000000004</v>
      </c>
      <c r="K131" s="126">
        <v>7.4812799999999999</v>
      </c>
      <c r="L131" s="126">
        <v>7.5863630000000004</v>
      </c>
      <c r="M131" s="126">
        <v>7.7038349999999998</v>
      </c>
      <c r="N131" s="126">
        <v>7.834219</v>
      </c>
      <c r="O131" s="126">
        <v>7.967886</v>
      </c>
      <c r="P131" s="126">
        <v>8.1082110000000007</v>
      </c>
      <c r="Q131" s="126">
        <v>8.2517890000000005</v>
      </c>
      <c r="R131" s="126">
        <v>8.3964649999999992</v>
      </c>
      <c r="S131" s="126">
        <v>8.5377449999999993</v>
      </c>
      <c r="T131" s="126">
        <v>8.6695849999999997</v>
      </c>
      <c r="U131" s="126">
        <v>8.7911859999999997</v>
      </c>
      <c r="V131" s="126">
        <v>8.9024400000000004</v>
      </c>
      <c r="W131" s="126">
        <v>9.0043740000000003</v>
      </c>
      <c r="X131" s="126">
        <v>9.0969149999999992</v>
      </c>
      <c r="Y131" s="126">
        <v>9.1809989999999999</v>
      </c>
      <c r="Z131" s="126">
        <v>9.2583699999999993</v>
      </c>
      <c r="AA131" s="126">
        <v>9.3276869999999992</v>
      </c>
      <c r="AB131" s="126">
        <v>9.3914989999999996</v>
      </c>
      <c r="AC131" s="126">
        <v>9.4486709999999992</v>
      </c>
      <c r="AD131" s="126">
        <v>9.5002809999999993</v>
      </c>
      <c r="AE131" s="126">
        <v>9.5474920000000001</v>
      </c>
      <c r="AF131" s="126">
        <v>9.591628</v>
      </c>
      <c r="AG131" s="126">
        <v>9.6341249999999992</v>
      </c>
      <c r="AH131" s="126">
        <v>9.6755990000000001</v>
      </c>
      <c r="AI131" s="126">
        <v>9.7162950000000006</v>
      </c>
      <c r="AJ131" s="126">
        <v>9.7564360000000008</v>
      </c>
      <c r="AK131" s="126">
        <v>9.7974859999999993</v>
      </c>
      <c r="AL131" s="115">
        <v>0.01</v>
      </c>
    </row>
    <row r="132" spans="1:38">
      <c r="B132" s="126" t="s">
        <v>2562</v>
      </c>
      <c r="D132" s="126" t="s">
        <v>3184</v>
      </c>
    </row>
    <row r="133" spans="1:38">
      <c r="B133" s="126" t="s">
        <v>1221</v>
      </c>
      <c r="D133" s="126" t="s">
        <v>3185</v>
      </c>
    </row>
    <row r="134" spans="1:38">
      <c r="A134" s="17" t="s">
        <v>115</v>
      </c>
      <c r="B134" s="126" t="s">
        <v>1266</v>
      </c>
      <c r="C134" s="126" t="s">
        <v>2795</v>
      </c>
      <c r="D134" s="126" t="s">
        <v>3186</v>
      </c>
      <c r="E134" s="126" t="s">
        <v>1864</v>
      </c>
      <c r="F134" s="126">
        <v>2.5165860000000002</v>
      </c>
      <c r="G134" s="126">
        <v>2.6383700000000001</v>
      </c>
      <c r="H134" s="126">
        <v>2.758845</v>
      </c>
      <c r="I134" s="126">
        <v>2.8758300000000001</v>
      </c>
      <c r="J134" s="126">
        <v>2.989862</v>
      </c>
      <c r="K134" s="126">
        <v>3.0990959999999999</v>
      </c>
      <c r="L134" s="126">
        <v>3.2037429999999998</v>
      </c>
      <c r="M134" s="126">
        <v>3.3041839999999998</v>
      </c>
      <c r="N134" s="126">
        <v>3.4007499999999999</v>
      </c>
      <c r="O134" s="126">
        <v>3.4943110000000002</v>
      </c>
      <c r="P134" s="126">
        <v>3.5841560000000001</v>
      </c>
      <c r="Q134" s="126">
        <v>3.6697229999999998</v>
      </c>
      <c r="R134" s="126">
        <v>3.7507139999999999</v>
      </c>
      <c r="S134" s="126">
        <v>3.8293409999999999</v>
      </c>
      <c r="T134" s="126">
        <v>3.8955579999999999</v>
      </c>
      <c r="U134" s="126">
        <v>3.955349</v>
      </c>
      <c r="V134" s="126">
        <v>4.0078839999999998</v>
      </c>
      <c r="W134" s="126">
        <v>4.058414</v>
      </c>
      <c r="X134" s="126">
        <v>4.1059809999999999</v>
      </c>
      <c r="Y134" s="126">
        <v>4.1524380000000001</v>
      </c>
      <c r="Z134" s="126">
        <v>4.1918259999999998</v>
      </c>
      <c r="AA134" s="126">
        <v>4.2204680000000003</v>
      </c>
      <c r="AB134" s="126">
        <v>4.2482689999999996</v>
      </c>
      <c r="AC134" s="126">
        <v>4.2724320000000002</v>
      </c>
      <c r="AD134" s="126">
        <v>4.3058699999999996</v>
      </c>
      <c r="AE134" s="126">
        <v>4.3466189999999996</v>
      </c>
      <c r="AF134" s="126">
        <v>4.3837270000000004</v>
      </c>
      <c r="AG134" s="126">
        <v>4.4153130000000003</v>
      </c>
      <c r="AH134" s="126">
        <v>4.4502329999999999</v>
      </c>
      <c r="AI134" s="126">
        <v>4.4867980000000003</v>
      </c>
      <c r="AJ134" s="126">
        <v>4.5147360000000001</v>
      </c>
      <c r="AK134" s="126">
        <v>4.5405160000000002</v>
      </c>
      <c r="AL134" s="115">
        <v>1.9E-2</v>
      </c>
    </row>
    <row r="135" spans="1:38">
      <c r="A135" s="17" t="s">
        <v>114</v>
      </c>
      <c r="B135" s="126" t="s">
        <v>1352</v>
      </c>
      <c r="C135" s="126" t="s">
        <v>2797</v>
      </c>
      <c r="D135" s="126" t="s">
        <v>3187</v>
      </c>
      <c r="E135" s="126" t="s">
        <v>1864</v>
      </c>
      <c r="F135" s="126">
        <v>1.108212</v>
      </c>
      <c r="G135" s="126">
        <v>1.1407700000000001</v>
      </c>
      <c r="H135" s="126">
        <v>1.1766730000000001</v>
      </c>
      <c r="I135" s="126">
        <v>1.21468</v>
      </c>
      <c r="J135" s="126">
        <v>1.254375</v>
      </c>
      <c r="K135" s="126">
        <v>1.294999</v>
      </c>
      <c r="L135" s="126">
        <v>1.336557</v>
      </c>
      <c r="M135" s="126">
        <v>1.3789169999999999</v>
      </c>
      <c r="N135" s="126">
        <v>1.421681</v>
      </c>
      <c r="O135" s="126">
        <v>1.463093</v>
      </c>
      <c r="P135" s="126">
        <v>1.5028459999999999</v>
      </c>
      <c r="Q135" s="126">
        <v>1.5424</v>
      </c>
      <c r="R135" s="126">
        <v>1.580576</v>
      </c>
      <c r="S135" s="126">
        <v>1.6198870000000001</v>
      </c>
      <c r="T135" s="126">
        <v>1.6562399999999999</v>
      </c>
      <c r="U135" s="126">
        <v>1.6910909999999999</v>
      </c>
      <c r="V135" s="126">
        <v>1.7241470000000001</v>
      </c>
      <c r="W135" s="126">
        <v>1.759029</v>
      </c>
      <c r="X135" s="126">
        <v>1.795385</v>
      </c>
      <c r="Y135" s="126">
        <v>1.831647</v>
      </c>
      <c r="Z135" s="126">
        <v>1.866927</v>
      </c>
      <c r="AA135" s="126">
        <v>1.9016249999999999</v>
      </c>
      <c r="AB135" s="126">
        <v>1.9397450000000001</v>
      </c>
      <c r="AC135" s="126">
        <v>1.9766539999999999</v>
      </c>
      <c r="AD135" s="126">
        <v>2.0171049999999999</v>
      </c>
      <c r="AE135" s="126">
        <v>2.0631970000000002</v>
      </c>
      <c r="AF135" s="126">
        <v>2.1120329999999998</v>
      </c>
      <c r="AG135" s="126">
        <v>2.162039</v>
      </c>
      <c r="AH135" s="126">
        <v>2.2145039999999998</v>
      </c>
      <c r="AI135" s="126">
        <v>2.2683689999999999</v>
      </c>
      <c r="AJ135" s="126">
        <v>2.319442</v>
      </c>
      <c r="AK135" s="126">
        <v>2.3692700000000002</v>
      </c>
      <c r="AL135" s="115">
        <v>2.5000000000000001E-2</v>
      </c>
    </row>
    <row r="136" spans="1:38">
      <c r="A136" s="17" t="s">
        <v>853</v>
      </c>
      <c r="B136" s="126" t="s">
        <v>1273</v>
      </c>
      <c r="C136" s="126" t="s">
        <v>2799</v>
      </c>
      <c r="D136" s="126" t="s">
        <v>3188</v>
      </c>
      <c r="E136" s="126" t="s">
        <v>1864</v>
      </c>
      <c r="F136" s="126">
        <v>5.0699999999999996E-4</v>
      </c>
      <c r="G136" s="126">
        <v>7.0899999999999999E-4</v>
      </c>
      <c r="H136" s="126">
        <v>9.2199999999999997E-4</v>
      </c>
      <c r="I136" s="126">
        <v>1.142E-3</v>
      </c>
      <c r="J136" s="126">
        <v>1.372E-3</v>
      </c>
      <c r="K136" s="126">
        <v>1.609E-3</v>
      </c>
      <c r="L136" s="126">
        <v>1.853E-3</v>
      </c>
      <c r="M136" s="126">
        <v>2.1029999999999998E-3</v>
      </c>
      <c r="N136" s="126">
        <v>2.362E-3</v>
      </c>
      <c r="O136" s="126">
        <v>2.63E-3</v>
      </c>
      <c r="P136" s="126">
        <v>2.9099999999999998E-3</v>
      </c>
      <c r="Q136" s="126">
        <v>3.1979999999999999E-3</v>
      </c>
      <c r="R136" s="126">
        <v>3.496E-3</v>
      </c>
      <c r="S136" s="126">
        <v>3.8059999999999999E-3</v>
      </c>
      <c r="T136" s="126">
        <v>4.1240000000000001E-3</v>
      </c>
      <c r="U136" s="126">
        <v>4.4380000000000001E-3</v>
      </c>
      <c r="V136" s="126">
        <v>4.7559999999999998E-3</v>
      </c>
      <c r="W136" s="126">
        <v>5.097E-3</v>
      </c>
      <c r="X136" s="126">
        <v>5.4559999999999999E-3</v>
      </c>
      <c r="Y136" s="126">
        <v>5.836E-3</v>
      </c>
      <c r="Z136" s="126">
        <v>6.234E-3</v>
      </c>
      <c r="AA136" s="126">
        <v>6.6490000000000004E-3</v>
      </c>
      <c r="AB136" s="126">
        <v>7.0800000000000004E-3</v>
      </c>
      <c r="AC136" s="126">
        <v>7.528E-3</v>
      </c>
      <c r="AD136" s="126">
        <v>7.9909999999999998E-3</v>
      </c>
      <c r="AE136" s="126">
        <v>8.4740000000000006E-3</v>
      </c>
      <c r="AF136" s="126">
        <v>8.9809999999999994E-3</v>
      </c>
      <c r="AG136" s="126">
        <v>9.5119999999999996E-3</v>
      </c>
      <c r="AH136" s="126">
        <v>1.0068000000000001E-2</v>
      </c>
      <c r="AI136" s="126">
        <v>1.0652999999999999E-2</v>
      </c>
      <c r="AJ136" s="126">
        <v>1.1264E-2</v>
      </c>
      <c r="AK136" s="126">
        <v>1.1901E-2</v>
      </c>
      <c r="AL136" s="115">
        <v>0.107</v>
      </c>
    </row>
    <row r="137" spans="1:38">
      <c r="A137" s="17" t="s">
        <v>113</v>
      </c>
      <c r="B137" s="126" t="s">
        <v>1282</v>
      </c>
      <c r="C137" s="126" t="s">
        <v>2801</v>
      </c>
      <c r="D137" s="126" t="s">
        <v>3189</v>
      </c>
      <c r="E137" s="126" t="s">
        <v>1864</v>
      </c>
      <c r="F137" s="126">
        <v>2.4399999999999999E-4</v>
      </c>
      <c r="G137" s="126">
        <v>3.68E-4</v>
      </c>
      <c r="H137" s="126">
        <v>4.9600000000000002E-4</v>
      </c>
      <c r="I137" s="126">
        <v>6.2399999999999999E-4</v>
      </c>
      <c r="J137" s="126">
        <v>7.5299999999999998E-4</v>
      </c>
      <c r="K137" s="126">
        <v>8.83E-4</v>
      </c>
      <c r="L137" s="126">
        <v>1.013E-3</v>
      </c>
      <c r="M137" s="126">
        <v>1.1429999999999999E-3</v>
      </c>
      <c r="N137" s="126">
        <v>1.273E-3</v>
      </c>
      <c r="O137" s="126">
        <v>1.4040000000000001E-3</v>
      </c>
      <c r="P137" s="126">
        <v>1.536E-3</v>
      </c>
      <c r="Q137" s="126">
        <v>1.668E-3</v>
      </c>
      <c r="R137" s="126">
        <v>1.8010000000000001E-3</v>
      </c>
      <c r="S137" s="126">
        <v>1.9350000000000001E-3</v>
      </c>
      <c r="T137" s="126">
        <v>2.0690000000000001E-3</v>
      </c>
      <c r="U137" s="126">
        <v>2.2039999999999998E-3</v>
      </c>
      <c r="V137" s="126">
        <v>2.3389999999999999E-3</v>
      </c>
      <c r="W137" s="126">
        <v>2.477E-3</v>
      </c>
      <c r="X137" s="126">
        <v>2.6180000000000001E-3</v>
      </c>
      <c r="Y137" s="126">
        <v>2.7620000000000001E-3</v>
      </c>
      <c r="Z137" s="126">
        <v>2.911E-3</v>
      </c>
      <c r="AA137" s="126">
        <v>3.065E-3</v>
      </c>
      <c r="AB137" s="126">
        <v>3.2230000000000002E-3</v>
      </c>
      <c r="AC137" s="126">
        <v>3.3899999999999998E-3</v>
      </c>
      <c r="AD137" s="126">
        <v>3.565E-3</v>
      </c>
      <c r="AE137" s="126">
        <v>3.754E-3</v>
      </c>
      <c r="AF137" s="126">
        <v>3.9579999999999997E-3</v>
      </c>
      <c r="AG137" s="126">
        <v>4.1809999999999998E-3</v>
      </c>
      <c r="AH137" s="126">
        <v>4.4229999999999998E-3</v>
      </c>
      <c r="AI137" s="126">
        <v>4.6889999999999996E-3</v>
      </c>
      <c r="AJ137" s="126">
        <v>4.9789999999999999E-3</v>
      </c>
      <c r="AK137" s="126">
        <v>5.2960000000000004E-3</v>
      </c>
      <c r="AL137" s="115">
        <v>0.104</v>
      </c>
    </row>
    <row r="138" spans="1:38">
      <c r="A138" s="17" t="s">
        <v>114</v>
      </c>
      <c r="B138" s="126" t="s">
        <v>2548</v>
      </c>
      <c r="C138" s="126" t="s">
        <v>2803</v>
      </c>
      <c r="D138" s="126" t="s">
        <v>3190</v>
      </c>
      <c r="E138" s="126" t="s">
        <v>1864</v>
      </c>
      <c r="F138" s="126">
        <v>0.20819499999999999</v>
      </c>
      <c r="G138" s="126">
        <v>0.233039</v>
      </c>
      <c r="H138" s="126">
        <v>0.25848300000000002</v>
      </c>
      <c r="I138" s="126">
        <v>0.28420899999999999</v>
      </c>
      <c r="J138" s="126">
        <v>0.31044699999999997</v>
      </c>
      <c r="K138" s="126">
        <v>0.33700000000000002</v>
      </c>
      <c r="L138" s="126">
        <v>0.36419400000000002</v>
      </c>
      <c r="M138" s="126">
        <v>0.39203700000000002</v>
      </c>
      <c r="N138" s="126">
        <v>0.42042400000000002</v>
      </c>
      <c r="O138" s="126">
        <v>0.44958399999999998</v>
      </c>
      <c r="P138" s="126">
        <v>0.48002099999999998</v>
      </c>
      <c r="Q138" s="126">
        <v>0.51187499999999997</v>
      </c>
      <c r="R138" s="126">
        <v>0.54480099999999998</v>
      </c>
      <c r="S138" s="126">
        <v>0.57884800000000003</v>
      </c>
      <c r="T138" s="126">
        <v>0.61386099999999999</v>
      </c>
      <c r="U138" s="126">
        <v>0.64983500000000005</v>
      </c>
      <c r="V138" s="126">
        <v>0.68701900000000005</v>
      </c>
      <c r="W138" s="126">
        <v>0.72583200000000003</v>
      </c>
      <c r="X138" s="126">
        <v>0.76619300000000001</v>
      </c>
      <c r="Y138" s="126">
        <v>0.808342</v>
      </c>
      <c r="Z138" s="126">
        <v>0.85329600000000005</v>
      </c>
      <c r="AA138" s="126">
        <v>0.90010199999999996</v>
      </c>
      <c r="AB138" s="126">
        <v>0.94864700000000002</v>
      </c>
      <c r="AC138" s="126">
        <v>0.99903600000000004</v>
      </c>
      <c r="AD138" s="126">
        <v>1.051104</v>
      </c>
      <c r="AE138" s="126">
        <v>1.1045510000000001</v>
      </c>
      <c r="AF138" s="126">
        <v>1.157807</v>
      </c>
      <c r="AG138" s="126">
        <v>1.211795</v>
      </c>
      <c r="AH138" s="126">
        <v>1.2673239999999999</v>
      </c>
      <c r="AI138" s="126">
        <v>1.3264210000000001</v>
      </c>
      <c r="AJ138" s="126">
        <v>1.3854139999999999</v>
      </c>
      <c r="AK138" s="126">
        <v>1.447927</v>
      </c>
      <c r="AL138" s="115">
        <v>6.5000000000000002E-2</v>
      </c>
    </row>
    <row r="139" spans="1:38">
      <c r="A139" s="17" t="s">
        <v>112</v>
      </c>
      <c r="B139" s="126" t="s">
        <v>1577</v>
      </c>
      <c r="C139" s="126" t="s">
        <v>2805</v>
      </c>
      <c r="D139" s="126" t="s">
        <v>3191</v>
      </c>
      <c r="E139" s="126" t="s">
        <v>1864</v>
      </c>
      <c r="F139" s="126">
        <v>8.0000000000000007E-5</v>
      </c>
      <c r="G139" s="126">
        <v>3.6999999999999999E-4</v>
      </c>
      <c r="H139" s="126">
        <v>6.7400000000000001E-4</v>
      </c>
      <c r="I139" s="126">
        <v>9.8900000000000008E-4</v>
      </c>
      <c r="J139" s="126">
        <v>1.3179999999999999E-3</v>
      </c>
      <c r="K139" s="126">
        <v>1.6570000000000001E-3</v>
      </c>
      <c r="L139" s="126">
        <v>2.006E-3</v>
      </c>
      <c r="M139" s="126">
        <v>2.366E-3</v>
      </c>
      <c r="N139" s="126">
        <v>2.738E-3</v>
      </c>
      <c r="O139" s="126">
        <v>3.124E-3</v>
      </c>
      <c r="P139" s="126">
        <v>3.5260000000000001E-3</v>
      </c>
      <c r="Q139" s="126">
        <v>3.9410000000000001E-3</v>
      </c>
      <c r="R139" s="126">
        <v>4.372E-3</v>
      </c>
      <c r="S139" s="126">
        <v>4.8180000000000002E-3</v>
      </c>
      <c r="T139" s="126">
        <v>5.2769999999999996E-3</v>
      </c>
      <c r="U139" s="126">
        <v>5.751E-3</v>
      </c>
      <c r="V139" s="126">
        <v>6.241E-3</v>
      </c>
      <c r="W139" s="126">
        <v>6.7520000000000002E-3</v>
      </c>
      <c r="X139" s="126">
        <v>7.2839999999999997E-3</v>
      </c>
      <c r="Y139" s="126">
        <v>7.8390000000000005E-3</v>
      </c>
      <c r="Z139" s="126">
        <v>8.4180000000000001E-3</v>
      </c>
      <c r="AA139" s="126">
        <v>9.018E-3</v>
      </c>
      <c r="AB139" s="126">
        <v>9.6399999999999993E-3</v>
      </c>
      <c r="AC139" s="126">
        <v>1.0285000000000001E-2</v>
      </c>
      <c r="AD139" s="126">
        <v>1.0951000000000001E-2</v>
      </c>
      <c r="AE139" s="126">
        <v>1.1635E-2</v>
      </c>
      <c r="AF139" s="126">
        <v>1.2351000000000001E-2</v>
      </c>
      <c r="AG139" s="126">
        <v>1.3105E-2</v>
      </c>
      <c r="AH139" s="126">
        <v>1.3897E-2</v>
      </c>
      <c r="AI139" s="126">
        <v>1.4732E-2</v>
      </c>
      <c r="AJ139" s="126">
        <v>1.5605000000000001E-2</v>
      </c>
      <c r="AK139" s="126">
        <v>1.6515999999999999E-2</v>
      </c>
      <c r="AL139" s="115">
        <v>0.188</v>
      </c>
    </row>
    <row r="140" spans="1:38">
      <c r="A140" s="17" t="s">
        <v>116</v>
      </c>
      <c r="B140" s="126" t="s">
        <v>2549</v>
      </c>
      <c r="C140" s="126" t="s">
        <v>2807</v>
      </c>
      <c r="D140" s="126" t="s">
        <v>3192</v>
      </c>
      <c r="E140" s="126" t="s">
        <v>1864</v>
      </c>
      <c r="F140" s="126">
        <v>0</v>
      </c>
      <c r="G140" s="126">
        <v>3.21E-4</v>
      </c>
      <c r="H140" s="126">
        <v>6.5899999999999997E-4</v>
      </c>
      <c r="I140" s="126">
        <v>1.0089999999999999E-3</v>
      </c>
      <c r="J140" s="126">
        <v>1.374E-3</v>
      </c>
      <c r="K140" s="126">
        <v>1.751E-3</v>
      </c>
      <c r="L140" s="126">
        <v>2.1389999999999998E-3</v>
      </c>
      <c r="M140" s="126">
        <v>2.539E-3</v>
      </c>
      <c r="N140" s="126">
        <v>2.9520000000000002E-3</v>
      </c>
      <c r="O140" s="126">
        <v>3.3809999999999999E-3</v>
      </c>
      <c r="P140" s="126">
        <v>3.8279999999999998E-3</v>
      </c>
      <c r="Q140" s="126">
        <v>4.2900000000000004E-3</v>
      </c>
      <c r="R140" s="126">
        <v>4.7679999999999997E-3</v>
      </c>
      <c r="S140" s="126">
        <v>5.2639999999999996E-3</v>
      </c>
      <c r="T140" s="126">
        <v>5.7749999999999998E-3</v>
      </c>
      <c r="U140" s="126">
        <v>6.3010000000000002E-3</v>
      </c>
      <c r="V140" s="126">
        <v>6.8459999999999997E-3</v>
      </c>
      <c r="W140" s="126">
        <v>7.4139999999999996E-3</v>
      </c>
      <c r="X140" s="126">
        <v>8.005E-3</v>
      </c>
      <c r="Y140" s="126">
        <v>8.6219999999999995E-3</v>
      </c>
      <c r="Z140" s="126">
        <v>9.2659999999999999E-3</v>
      </c>
      <c r="AA140" s="126">
        <v>9.9330000000000009E-3</v>
      </c>
      <c r="AB140" s="126">
        <v>1.0624E-2</v>
      </c>
      <c r="AC140" s="126">
        <v>1.1341E-2</v>
      </c>
      <c r="AD140" s="126">
        <v>1.2081E-2</v>
      </c>
      <c r="AE140" s="126">
        <v>1.2851E-2</v>
      </c>
      <c r="AF140" s="126">
        <v>1.3658E-2</v>
      </c>
      <c r="AG140" s="126">
        <v>1.4504E-2</v>
      </c>
      <c r="AH140" s="126">
        <v>1.5389E-2</v>
      </c>
      <c r="AI140" s="126">
        <v>1.6320000000000001E-2</v>
      </c>
      <c r="AJ140" s="126">
        <v>1.7291000000000001E-2</v>
      </c>
      <c r="AK140" s="126">
        <v>1.8303E-2</v>
      </c>
      <c r="AL140" s="126" t="s">
        <v>146</v>
      </c>
    </row>
    <row r="141" spans="1:38">
      <c r="A141" s="17" t="s">
        <v>116</v>
      </c>
      <c r="B141" s="126" t="s">
        <v>2550</v>
      </c>
      <c r="C141" s="126" t="s">
        <v>2809</v>
      </c>
      <c r="D141" s="126" t="s">
        <v>3193</v>
      </c>
      <c r="E141" s="126" t="s">
        <v>1864</v>
      </c>
      <c r="F141" s="126">
        <v>0</v>
      </c>
      <c r="G141" s="126">
        <v>2.9799999999999998E-4</v>
      </c>
      <c r="H141" s="126">
        <v>6.11E-4</v>
      </c>
      <c r="I141" s="126">
        <v>9.3599999999999998E-4</v>
      </c>
      <c r="J141" s="126">
        <v>1.274E-3</v>
      </c>
      <c r="K141" s="126">
        <v>1.624E-3</v>
      </c>
      <c r="L141" s="126">
        <v>1.9840000000000001E-3</v>
      </c>
      <c r="M141" s="126">
        <v>2.3549999999999999E-3</v>
      </c>
      <c r="N141" s="126">
        <v>2.738E-3</v>
      </c>
      <c r="O141" s="126">
        <v>3.137E-3</v>
      </c>
      <c r="P141" s="126">
        <v>3.5509999999999999E-3</v>
      </c>
      <c r="Q141" s="126">
        <v>3.9789999999999999E-3</v>
      </c>
      <c r="R141" s="126">
        <v>4.4229999999999998E-3</v>
      </c>
      <c r="S141" s="126">
        <v>4.8830000000000002E-3</v>
      </c>
      <c r="T141" s="126">
        <v>5.3569999999999998E-3</v>
      </c>
      <c r="U141" s="126">
        <v>5.8450000000000004E-3</v>
      </c>
      <c r="V141" s="126">
        <v>6.3499999999999997E-3</v>
      </c>
      <c r="W141" s="126">
        <v>6.8780000000000004E-3</v>
      </c>
      <c r="X141" s="126">
        <v>7.4260000000000003E-3</v>
      </c>
      <c r="Y141" s="126">
        <v>7.9979999999999999E-3</v>
      </c>
      <c r="Z141" s="126">
        <v>8.5959999999999995E-3</v>
      </c>
      <c r="AA141" s="126">
        <v>9.2149999999999992E-3</v>
      </c>
      <c r="AB141" s="126">
        <v>9.8560000000000002E-3</v>
      </c>
      <c r="AC141" s="126">
        <v>1.0521000000000001E-2</v>
      </c>
      <c r="AD141" s="126">
        <v>1.1207E-2</v>
      </c>
      <c r="AE141" s="126">
        <v>1.1920999999999999E-2</v>
      </c>
      <c r="AF141" s="126">
        <v>1.2670000000000001E-2</v>
      </c>
      <c r="AG141" s="126">
        <v>1.3455E-2</v>
      </c>
      <c r="AH141" s="126">
        <v>1.4276E-2</v>
      </c>
      <c r="AI141" s="126">
        <v>1.5140000000000001E-2</v>
      </c>
      <c r="AJ141" s="126">
        <v>1.6039999999999999E-2</v>
      </c>
      <c r="AK141" s="126">
        <v>1.6979000000000001E-2</v>
      </c>
      <c r="AL141" s="126" t="s">
        <v>146</v>
      </c>
    </row>
    <row r="142" spans="1:38">
      <c r="A142" s="17" t="s">
        <v>854</v>
      </c>
      <c r="B142" s="126" t="s">
        <v>1581</v>
      </c>
      <c r="C142" s="126" t="s">
        <v>2811</v>
      </c>
      <c r="D142" s="126" t="s">
        <v>3194</v>
      </c>
      <c r="E142" s="126" t="s">
        <v>1864</v>
      </c>
      <c r="F142" s="126">
        <v>0</v>
      </c>
      <c r="G142" s="126">
        <v>0</v>
      </c>
      <c r="H142" s="126">
        <v>0</v>
      </c>
      <c r="I142" s="126">
        <v>9.9999999999999995E-7</v>
      </c>
      <c r="J142" s="126">
        <v>9.9999999999999995E-7</v>
      </c>
      <c r="K142" s="126">
        <v>9.9999999999999995E-7</v>
      </c>
      <c r="L142" s="126">
        <v>9.9999999999999995E-7</v>
      </c>
      <c r="M142" s="126">
        <v>9.9999999999999995E-7</v>
      </c>
      <c r="N142" s="126">
        <v>1.9999999999999999E-6</v>
      </c>
      <c r="O142" s="126">
        <v>1.9999999999999999E-6</v>
      </c>
      <c r="P142" s="126">
        <v>1.9999999999999999E-6</v>
      </c>
      <c r="Q142" s="126">
        <v>1.9999999999999999E-6</v>
      </c>
      <c r="R142" s="126">
        <v>3.0000000000000001E-6</v>
      </c>
      <c r="S142" s="126">
        <v>3.0000000000000001E-6</v>
      </c>
      <c r="T142" s="126">
        <v>3.0000000000000001E-6</v>
      </c>
      <c r="U142" s="126">
        <v>3.0000000000000001E-6</v>
      </c>
      <c r="V142" s="126">
        <v>3.0000000000000001E-6</v>
      </c>
      <c r="W142" s="126">
        <v>3.0000000000000001E-6</v>
      </c>
      <c r="X142" s="126">
        <v>3.9999999999999998E-6</v>
      </c>
      <c r="Y142" s="126">
        <v>3.9999999999999998E-6</v>
      </c>
      <c r="Z142" s="126">
        <v>3.9999999999999998E-6</v>
      </c>
      <c r="AA142" s="126">
        <v>3.9999999999999998E-6</v>
      </c>
      <c r="AB142" s="126">
        <v>3.9999999999999998E-6</v>
      </c>
      <c r="AC142" s="126">
        <v>3.9999999999999998E-6</v>
      </c>
      <c r="AD142" s="126">
        <v>3.9999999999999998E-6</v>
      </c>
      <c r="AE142" s="126">
        <v>5.0000000000000004E-6</v>
      </c>
      <c r="AF142" s="126">
        <v>5.0000000000000004E-6</v>
      </c>
      <c r="AG142" s="126">
        <v>5.0000000000000004E-6</v>
      </c>
      <c r="AH142" s="126">
        <v>5.0000000000000004E-6</v>
      </c>
      <c r="AI142" s="126">
        <v>5.0000000000000004E-6</v>
      </c>
      <c r="AJ142" s="126">
        <v>5.0000000000000004E-6</v>
      </c>
      <c r="AK142" s="126">
        <v>5.0000000000000004E-6</v>
      </c>
      <c r="AL142" s="126" t="s">
        <v>146</v>
      </c>
    </row>
    <row r="143" spans="1:38">
      <c r="B143" s="126" t="s">
        <v>2551</v>
      </c>
      <c r="C143" s="126" t="s">
        <v>2813</v>
      </c>
      <c r="D143" s="126" t="s">
        <v>3195</v>
      </c>
      <c r="E143" s="126" t="s">
        <v>1864</v>
      </c>
      <c r="F143" s="126">
        <v>3.8338220000000001</v>
      </c>
      <c r="G143" s="126">
        <v>4.0142449999999998</v>
      </c>
      <c r="H143" s="126">
        <v>4.197362</v>
      </c>
      <c r="I143" s="126">
        <v>4.3794230000000001</v>
      </c>
      <c r="J143" s="126">
        <v>4.560778</v>
      </c>
      <c r="K143" s="126">
        <v>4.7386210000000002</v>
      </c>
      <c r="L143" s="126">
        <v>4.9134929999999999</v>
      </c>
      <c r="M143" s="126">
        <v>5.0856440000000003</v>
      </c>
      <c r="N143" s="126">
        <v>5.2549190000000001</v>
      </c>
      <c r="O143" s="126">
        <v>5.4206630000000002</v>
      </c>
      <c r="P143" s="126">
        <v>5.5823749999999999</v>
      </c>
      <c r="Q143" s="126">
        <v>5.7410769999999998</v>
      </c>
      <c r="R143" s="126">
        <v>5.894952</v>
      </c>
      <c r="S143" s="126">
        <v>6.0487789999999997</v>
      </c>
      <c r="T143" s="126">
        <v>6.1882640000000002</v>
      </c>
      <c r="U143" s="126">
        <v>6.3208140000000004</v>
      </c>
      <c r="V143" s="126">
        <v>6.4455809999999998</v>
      </c>
      <c r="W143" s="126">
        <v>6.5718889999999996</v>
      </c>
      <c r="X143" s="126">
        <v>6.6983470000000001</v>
      </c>
      <c r="Y143" s="126">
        <v>6.8254840000000003</v>
      </c>
      <c r="Z143" s="126">
        <v>6.9474710000000002</v>
      </c>
      <c r="AA143" s="126">
        <v>7.060079</v>
      </c>
      <c r="AB143" s="126">
        <v>7.1770839999999998</v>
      </c>
      <c r="AC143" s="126">
        <v>7.2911849999999996</v>
      </c>
      <c r="AD143" s="126">
        <v>7.4198719999999998</v>
      </c>
      <c r="AE143" s="126">
        <v>7.5629970000000002</v>
      </c>
      <c r="AF143" s="126">
        <v>7.7051829999999999</v>
      </c>
      <c r="AG143" s="126">
        <v>7.8439019999999999</v>
      </c>
      <c r="AH143" s="126">
        <v>7.9901200000000001</v>
      </c>
      <c r="AI143" s="126">
        <v>8.1431229999999992</v>
      </c>
      <c r="AJ143" s="126">
        <v>8.2847720000000002</v>
      </c>
      <c r="AK143" s="126">
        <v>8.4267009999999996</v>
      </c>
      <c r="AL143" s="115">
        <v>2.5999999999999999E-2</v>
      </c>
    </row>
    <row r="144" spans="1:38">
      <c r="B144" s="126" t="s">
        <v>1223</v>
      </c>
      <c r="D144" s="126" t="s">
        <v>3196</v>
      </c>
    </row>
    <row r="145" spans="1:38">
      <c r="A145" s="17" t="s">
        <v>115</v>
      </c>
      <c r="B145" s="126" t="s">
        <v>1266</v>
      </c>
      <c r="C145" s="126" t="s">
        <v>2816</v>
      </c>
      <c r="D145" s="126" t="s">
        <v>3197</v>
      </c>
      <c r="E145" s="126" t="s">
        <v>1864</v>
      </c>
      <c r="F145" s="126">
        <v>2.0808499999999999</v>
      </c>
      <c r="G145" s="126">
        <v>2.1313939999999998</v>
      </c>
      <c r="H145" s="126">
        <v>2.1756180000000001</v>
      </c>
      <c r="I145" s="126">
        <v>2.2317019999999999</v>
      </c>
      <c r="J145" s="126">
        <v>2.287128</v>
      </c>
      <c r="K145" s="126">
        <v>2.3389329999999999</v>
      </c>
      <c r="L145" s="126">
        <v>2.3887330000000002</v>
      </c>
      <c r="M145" s="126">
        <v>2.438987</v>
      </c>
      <c r="N145" s="126">
        <v>2.4900630000000001</v>
      </c>
      <c r="O145" s="126">
        <v>2.5427110000000002</v>
      </c>
      <c r="P145" s="126">
        <v>2.594878</v>
      </c>
      <c r="Q145" s="126">
        <v>2.64805</v>
      </c>
      <c r="R145" s="126">
        <v>2.7004229999999998</v>
      </c>
      <c r="S145" s="126">
        <v>2.7545570000000001</v>
      </c>
      <c r="T145" s="126">
        <v>2.8054579999999998</v>
      </c>
      <c r="U145" s="126">
        <v>2.8531949999999999</v>
      </c>
      <c r="V145" s="126">
        <v>2.9005730000000001</v>
      </c>
      <c r="W145" s="126">
        <v>2.951457</v>
      </c>
      <c r="X145" s="126">
        <v>3.0059770000000001</v>
      </c>
      <c r="Y145" s="126">
        <v>3.0621649999999998</v>
      </c>
      <c r="Z145" s="126">
        <v>3.1188090000000002</v>
      </c>
      <c r="AA145" s="126">
        <v>3.1754009999999999</v>
      </c>
      <c r="AB145" s="126">
        <v>3.2322320000000002</v>
      </c>
      <c r="AC145" s="126">
        <v>3.2918539999999998</v>
      </c>
      <c r="AD145" s="126">
        <v>3.359664</v>
      </c>
      <c r="AE145" s="126">
        <v>3.4354070000000001</v>
      </c>
      <c r="AF145" s="126">
        <v>3.5171649999999999</v>
      </c>
      <c r="AG145" s="126">
        <v>3.6024729999999998</v>
      </c>
      <c r="AH145" s="126">
        <v>3.6919390000000001</v>
      </c>
      <c r="AI145" s="126">
        <v>3.7852589999999999</v>
      </c>
      <c r="AJ145" s="126">
        <v>3.8801760000000001</v>
      </c>
      <c r="AK145" s="126">
        <v>3.974008</v>
      </c>
      <c r="AL145" s="115">
        <v>2.1000000000000001E-2</v>
      </c>
    </row>
    <row r="146" spans="1:38">
      <c r="A146" s="17" t="s">
        <v>114</v>
      </c>
      <c r="B146" s="126" t="s">
        <v>1352</v>
      </c>
      <c r="C146" s="126" t="s">
        <v>2818</v>
      </c>
      <c r="D146" s="126" t="s">
        <v>3198</v>
      </c>
      <c r="E146" s="126" t="s">
        <v>1864</v>
      </c>
      <c r="F146" s="126">
        <v>1.328433</v>
      </c>
      <c r="G146" s="126">
        <v>1.3344339999999999</v>
      </c>
      <c r="H146" s="126">
        <v>1.3399049999999999</v>
      </c>
      <c r="I146" s="126">
        <v>1.353003</v>
      </c>
      <c r="J146" s="126">
        <v>1.3687590000000001</v>
      </c>
      <c r="K146" s="126">
        <v>1.385718</v>
      </c>
      <c r="L146" s="126">
        <v>1.404353</v>
      </c>
      <c r="M146" s="126">
        <v>1.4245140000000001</v>
      </c>
      <c r="N146" s="126">
        <v>1.446447</v>
      </c>
      <c r="O146" s="126">
        <v>1.4697180000000001</v>
      </c>
      <c r="P146" s="126">
        <v>1.494122</v>
      </c>
      <c r="Q146" s="126">
        <v>1.5202329999999999</v>
      </c>
      <c r="R146" s="126">
        <v>1.5455190000000001</v>
      </c>
      <c r="S146" s="126">
        <v>1.5731949999999999</v>
      </c>
      <c r="T146" s="126">
        <v>1.5991280000000001</v>
      </c>
      <c r="U146" s="126">
        <v>1.624355</v>
      </c>
      <c r="V146" s="126">
        <v>1.651095</v>
      </c>
      <c r="W146" s="126">
        <v>1.679473</v>
      </c>
      <c r="X146" s="126">
        <v>1.7099850000000001</v>
      </c>
      <c r="Y146" s="126">
        <v>1.741733</v>
      </c>
      <c r="Z146" s="126">
        <v>1.7756529999999999</v>
      </c>
      <c r="AA146" s="126">
        <v>1.8092140000000001</v>
      </c>
      <c r="AB146" s="126">
        <v>1.844381</v>
      </c>
      <c r="AC146" s="126">
        <v>1.8811800000000001</v>
      </c>
      <c r="AD146" s="126">
        <v>1.9210160000000001</v>
      </c>
      <c r="AE146" s="126">
        <v>1.9634450000000001</v>
      </c>
      <c r="AF146" s="126">
        <v>2.0069089999999998</v>
      </c>
      <c r="AG146" s="126">
        <v>2.051072</v>
      </c>
      <c r="AH146" s="126">
        <v>2.0955620000000001</v>
      </c>
      <c r="AI146" s="126">
        <v>2.140571</v>
      </c>
      <c r="AJ146" s="126">
        <v>2.1857000000000002</v>
      </c>
      <c r="AK146" s="126">
        <v>2.228456</v>
      </c>
      <c r="AL146" s="115">
        <v>1.7000000000000001E-2</v>
      </c>
    </row>
    <row r="147" spans="1:38">
      <c r="A147" s="17" t="s">
        <v>853</v>
      </c>
      <c r="B147" s="126" t="s">
        <v>1273</v>
      </c>
      <c r="C147" s="126" t="s">
        <v>2820</v>
      </c>
      <c r="D147" s="126" t="s">
        <v>3199</v>
      </c>
      <c r="E147" s="126" t="s">
        <v>1864</v>
      </c>
      <c r="F147" s="126">
        <v>3.4510000000000001E-3</v>
      </c>
      <c r="G147" s="126">
        <v>3.4840000000000001E-3</v>
      </c>
      <c r="H147" s="126">
        <v>3.5460000000000001E-3</v>
      </c>
      <c r="I147" s="126">
        <v>3.6709999999999998E-3</v>
      </c>
      <c r="J147" s="126">
        <v>3.8210000000000002E-3</v>
      </c>
      <c r="K147" s="126">
        <v>3.9830000000000004E-3</v>
      </c>
      <c r="L147" s="126">
        <v>4.1549999999999998E-3</v>
      </c>
      <c r="M147" s="126">
        <v>4.3400000000000001E-3</v>
      </c>
      <c r="N147" s="126">
        <v>4.5319999999999996E-3</v>
      </c>
      <c r="O147" s="126">
        <v>4.7320000000000001E-3</v>
      </c>
      <c r="P147" s="126">
        <v>4.9290000000000002E-3</v>
      </c>
      <c r="Q147" s="126">
        <v>5.1349999999999998E-3</v>
      </c>
      <c r="R147" s="126">
        <v>5.3429999999999997E-3</v>
      </c>
      <c r="S147" s="126">
        <v>5.561E-3</v>
      </c>
      <c r="T147" s="126">
        <v>5.7970000000000001E-3</v>
      </c>
      <c r="U147" s="126">
        <v>6.0280000000000004E-3</v>
      </c>
      <c r="V147" s="126">
        <v>6.2589999999999998E-3</v>
      </c>
      <c r="W147" s="126">
        <v>6.5160000000000001E-3</v>
      </c>
      <c r="X147" s="126">
        <v>6.7999999999999996E-3</v>
      </c>
      <c r="Y147" s="126">
        <v>7.1089999999999999E-3</v>
      </c>
      <c r="Z147" s="126">
        <v>7.4409999999999997E-3</v>
      </c>
      <c r="AA147" s="126">
        <v>7.7939999999999997E-3</v>
      </c>
      <c r="AB147" s="126">
        <v>8.1679999999999999E-3</v>
      </c>
      <c r="AC147" s="126">
        <v>8.5620000000000002E-3</v>
      </c>
      <c r="AD147" s="126">
        <v>8.9789999999999991E-3</v>
      </c>
      <c r="AE147" s="126">
        <v>9.4210000000000006E-3</v>
      </c>
      <c r="AF147" s="126">
        <v>9.894E-3</v>
      </c>
      <c r="AG147" s="126">
        <v>1.04E-2</v>
      </c>
      <c r="AH147" s="126">
        <v>1.0936E-2</v>
      </c>
      <c r="AI147" s="126">
        <v>1.1504E-2</v>
      </c>
      <c r="AJ147" s="126">
        <v>1.2041E-2</v>
      </c>
      <c r="AK147" s="126">
        <v>1.2617E-2</v>
      </c>
      <c r="AL147" s="115">
        <v>4.2999999999999997E-2</v>
      </c>
    </row>
    <row r="148" spans="1:38">
      <c r="A148" s="17" t="s">
        <v>113</v>
      </c>
      <c r="B148" s="126" t="s">
        <v>1282</v>
      </c>
      <c r="C148" s="126" t="s">
        <v>2822</v>
      </c>
      <c r="D148" s="126" t="s">
        <v>3200</v>
      </c>
      <c r="E148" s="126" t="s">
        <v>1864</v>
      </c>
      <c r="F148" s="126">
        <v>2.813E-3</v>
      </c>
      <c r="G148" s="126">
        <v>3.3149999999999998E-3</v>
      </c>
      <c r="H148" s="126">
        <v>3.787E-3</v>
      </c>
      <c r="I148" s="126">
        <v>4.3119999999999999E-3</v>
      </c>
      <c r="J148" s="126">
        <v>4.8390000000000004E-3</v>
      </c>
      <c r="K148" s="126">
        <v>5.352E-3</v>
      </c>
      <c r="L148" s="126">
        <v>5.8520000000000004E-3</v>
      </c>
      <c r="M148" s="126">
        <v>6.3470000000000002E-3</v>
      </c>
      <c r="N148" s="126">
        <v>6.8430000000000001E-3</v>
      </c>
      <c r="O148" s="126">
        <v>7.3419999999999996E-3</v>
      </c>
      <c r="P148" s="126">
        <v>7.8460000000000005E-3</v>
      </c>
      <c r="Q148" s="126">
        <v>8.3499999999999998E-3</v>
      </c>
      <c r="R148" s="126">
        <v>8.8500000000000002E-3</v>
      </c>
      <c r="S148" s="126">
        <v>9.3500000000000007E-3</v>
      </c>
      <c r="T148" s="126">
        <v>9.8460000000000006E-3</v>
      </c>
      <c r="U148" s="126">
        <v>1.0331999999999999E-2</v>
      </c>
      <c r="V148" s="126">
        <v>1.0806E-2</v>
      </c>
      <c r="W148" s="126">
        <v>1.1277000000000001E-2</v>
      </c>
      <c r="X148" s="126">
        <v>1.1753E-2</v>
      </c>
      <c r="Y148" s="126">
        <v>1.2234999999999999E-2</v>
      </c>
      <c r="Z148" s="126">
        <v>1.273E-2</v>
      </c>
      <c r="AA148" s="126">
        <v>1.3237000000000001E-2</v>
      </c>
      <c r="AB148" s="126">
        <v>1.3742000000000001E-2</v>
      </c>
      <c r="AC148" s="126">
        <v>1.4259000000000001E-2</v>
      </c>
      <c r="AD148" s="126">
        <v>1.4768E-2</v>
      </c>
      <c r="AE148" s="126">
        <v>1.5285999999999999E-2</v>
      </c>
      <c r="AF148" s="126">
        <v>1.5844E-2</v>
      </c>
      <c r="AG148" s="126">
        <v>1.6437E-2</v>
      </c>
      <c r="AH148" s="126">
        <v>1.7048000000000001E-2</v>
      </c>
      <c r="AI148" s="126">
        <v>1.7680000000000001E-2</v>
      </c>
      <c r="AJ148" s="126">
        <v>1.8341E-2</v>
      </c>
      <c r="AK148" s="126">
        <v>1.9026999999999999E-2</v>
      </c>
      <c r="AL148" s="115">
        <v>6.4000000000000001E-2</v>
      </c>
    </row>
    <row r="149" spans="1:38">
      <c r="A149" s="17" t="s">
        <v>114</v>
      </c>
      <c r="B149" s="126" t="s">
        <v>2548</v>
      </c>
      <c r="C149" s="126" t="s">
        <v>2824</v>
      </c>
      <c r="D149" s="126" t="s">
        <v>3201</v>
      </c>
      <c r="E149" s="126" t="s">
        <v>1864</v>
      </c>
      <c r="F149" s="126">
        <v>2.9399000000000002E-2</v>
      </c>
      <c r="G149" s="126">
        <v>3.3716999999999997E-2</v>
      </c>
      <c r="H149" s="126">
        <v>3.7755999999999998E-2</v>
      </c>
      <c r="I149" s="126">
        <v>4.2195999999999997E-2</v>
      </c>
      <c r="J149" s="126">
        <v>4.6629999999999998E-2</v>
      </c>
      <c r="K149" s="126">
        <v>5.0946999999999999E-2</v>
      </c>
      <c r="L149" s="126">
        <v>5.5174000000000001E-2</v>
      </c>
      <c r="M149" s="126">
        <v>5.9426E-2</v>
      </c>
      <c r="N149" s="126">
        <v>6.3751000000000002E-2</v>
      </c>
      <c r="O149" s="126">
        <v>6.8215999999999999E-2</v>
      </c>
      <c r="P149" s="126">
        <v>7.2868000000000002E-2</v>
      </c>
      <c r="Q149" s="126">
        <v>7.7671000000000004E-2</v>
      </c>
      <c r="R149" s="126">
        <v>8.2619999999999999E-2</v>
      </c>
      <c r="S149" s="126">
        <v>8.7762000000000007E-2</v>
      </c>
      <c r="T149" s="126">
        <v>9.3068999999999999E-2</v>
      </c>
      <c r="U149" s="126">
        <v>9.8503999999999994E-2</v>
      </c>
      <c r="V149" s="126">
        <v>0.104047</v>
      </c>
      <c r="W149" s="126">
        <v>0.109831</v>
      </c>
      <c r="X149" s="126">
        <v>0.115942</v>
      </c>
      <c r="Y149" s="126">
        <v>0.122377</v>
      </c>
      <c r="Z149" s="126">
        <v>0.12915399999999999</v>
      </c>
      <c r="AA149" s="126">
        <v>0.13627400000000001</v>
      </c>
      <c r="AB149" s="126">
        <v>0.14357200000000001</v>
      </c>
      <c r="AC149" s="126">
        <v>0.151284</v>
      </c>
      <c r="AD149" s="126">
        <v>0.159443</v>
      </c>
      <c r="AE149" s="126">
        <v>0.16805</v>
      </c>
      <c r="AF149" s="126">
        <v>0.17722099999999999</v>
      </c>
      <c r="AG149" s="126">
        <v>0.18692900000000001</v>
      </c>
      <c r="AH149" s="126">
        <v>0.19712399999999999</v>
      </c>
      <c r="AI149" s="126">
        <v>0.20777599999999999</v>
      </c>
      <c r="AJ149" s="126">
        <v>0.219026</v>
      </c>
      <c r="AK149" s="126">
        <v>0.23071900000000001</v>
      </c>
      <c r="AL149" s="115">
        <v>6.9000000000000006E-2</v>
      </c>
    </row>
    <row r="150" spans="1:38">
      <c r="A150" s="17" t="s">
        <v>112</v>
      </c>
      <c r="B150" s="126" t="s">
        <v>1577</v>
      </c>
      <c r="C150" s="126" t="s">
        <v>2826</v>
      </c>
      <c r="D150" s="126" t="s">
        <v>3202</v>
      </c>
      <c r="E150" s="126" t="s">
        <v>1864</v>
      </c>
      <c r="F150" s="126">
        <v>3.9999999999999998E-6</v>
      </c>
      <c r="G150" s="126">
        <v>2.3900000000000001E-4</v>
      </c>
      <c r="H150" s="126">
        <v>4.6799999999999999E-4</v>
      </c>
      <c r="I150" s="126">
        <v>7.3099999999999999E-4</v>
      </c>
      <c r="J150" s="126">
        <v>1.005E-3</v>
      </c>
      <c r="K150" s="126">
        <v>1.2830000000000001E-3</v>
      </c>
      <c r="L150" s="126">
        <v>1.5659999999999999E-3</v>
      </c>
      <c r="M150" s="126">
        <v>1.8569999999999999E-3</v>
      </c>
      <c r="N150" s="126">
        <v>2.16E-3</v>
      </c>
      <c r="O150" s="126">
        <v>2.477E-3</v>
      </c>
      <c r="P150" s="126">
        <v>2.8089999999999999E-3</v>
      </c>
      <c r="Q150" s="126">
        <v>3.153E-3</v>
      </c>
      <c r="R150" s="126">
        <v>3.509E-3</v>
      </c>
      <c r="S150" s="126">
        <v>3.8790000000000001E-3</v>
      </c>
      <c r="T150" s="126">
        <v>4.2620000000000002E-3</v>
      </c>
      <c r="U150" s="126">
        <v>4.6540000000000002E-3</v>
      </c>
      <c r="V150" s="126">
        <v>5.0540000000000003E-3</v>
      </c>
      <c r="W150" s="126">
        <v>5.47E-3</v>
      </c>
      <c r="X150" s="126">
        <v>5.9069999999999999E-3</v>
      </c>
      <c r="Y150" s="126">
        <v>6.3639999999999999E-3</v>
      </c>
      <c r="Z150" s="126">
        <v>6.842E-3</v>
      </c>
      <c r="AA150" s="126">
        <v>7.3410000000000003E-3</v>
      </c>
      <c r="AB150" s="126">
        <v>7.8609999999999999E-3</v>
      </c>
      <c r="AC150" s="126">
        <v>8.4019999999999997E-3</v>
      </c>
      <c r="AD150" s="126">
        <v>8.966E-3</v>
      </c>
      <c r="AE150" s="126">
        <v>9.5580000000000005E-3</v>
      </c>
      <c r="AF150" s="126">
        <v>1.0184E-2</v>
      </c>
      <c r="AG150" s="126">
        <v>1.0845E-2</v>
      </c>
      <c r="AH150" s="126">
        <v>1.1539000000000001E-2</v>
      </c>
      <c r="AI150" s="126">
        <v>1.2267999999999999E-2</v>
      </c>
      <c r="AJ150" s="126">
        <v>1.3030999999999999E-2</v>
      </c>
      <c r="AK150" s="126">
        <v>1.3820000000000001E-2</v>
      </c>
      <c r="AL150" s="115">
        <v>0.30099999999999999</v>
      </c>
    </row>
    <row r="151" spans="1:38">
      <c r="A151" s="17" t="s">
        <v>116</v>
      </c>
      <c r="B151" s="126" t="s">
        <v>2549</v>
      </c>
      <c r="C151" s="126" t="s">
        <v>2828</v>
      </c>
      <c r="D151" s="126" t="s">
        <v>3203</v>
      </c>
      <c r="E151" s="126" t="s">
        <v>1864</v>
      </c>
      <c r="F151" s="126">
        <v>0</v>
      </c>
      <c r="G151" s="126">
        <v>2.5900000000000001E-4</v>
      </c>
      <c r="H151" s="126">
        <v>5.1400000000000003E-4</v>
      </c>
      <c r="I151" s="126">
        <v>8.0599999999999997E-4</v>
      </c>
      <c r="J151" s="126">
        <v>1.109E-3</v>
      </c>
      <c r="K151" s="126">
        <v>1.418E-3</v>
      </c>
      <c r="L151" s="126">
        <v>1.7309999999999999E-3</v>
      </c>
      <c r="M151" s="126">
        <v>2.0539999999999998E-3</v>
      </c>
      <c r="N151" s="126">
        <v>2.3900000000000002E-3</v>
      </c>
      <c r="O151" s="126">
        <v>2.7420000000000001E-3</v>
      </c>
      <c r="P151" s="126">
        <v>3.1099999999999999E-3</v>
      </c>
      <c r="Q151" s="126">
        <v>3.4919999999999999E-3</v>
      </c>
      <c r="R151" s="126">
        <v>3.8860000000000001E-3</v>
      </c>
      <c r="S151" s="126">
        <v>4.2969999999999996E-3</v>
      </c>
      <c r="T151" s="126">
        <v>4.7210000000000004E-3</v>
      </c>
      <c r="U151" s="126">
        <v>5.156E-3</v>
      </c>
      <c r="V151" s="126">
        <v>5.5999999999999999E-3</v>
      </c>
      <c r="W151" s="126">
        <v>6.0610000000000004E-3</v>
      </c>
      <c r="X151" s="126">
        <v>6.5459999999999997E-3</v>
      </c>
      <c r="Y151" s="126">
        <v>7.0530000000000002E-3</v>
      </c>
      <c r="Z151" s="126">
        <v>7.5830000000000003E-3</v>
      </c>
      <c r="AA151" s="126">
        <v>8.1370000000000001E-3</v>
      </c>
      <c r="AB151" s="126">
        <v>8.7130000000000003E-3</v>
      </c>
      <c r="AC151" s="126">
        <v>9.3130000000000001E-3</v>
      </c>
      <c r="AD151" s="126">
        <v>9.9389999999999999E-3</v>
      </c>
      <c r="AE151" s="126">
        <v>1.0595E-2</v>
      </c>
      <c r="AF151" s="126">
        <v>1.1289E-2</v>
      </c>
      <c r="AG151" s="126">
        <v>1.2023000000000001E-2</v>
      </c>
      <c r="AH151" s="126">
        <v>1.2792E-2</v>
      </c>
      <c r="AI151" s="126">
        <v>1.3599999999999999E-2</v>
      </c>
      <c r="AJ151" s="126">
        <v>1.4447E-2</v>
      </c>
      <c r="AK151" s="126">
        <v>1.5321E-2</v>
      </c>
      <c r="AL151" s="126" t="s">
        <v>146</v>
      </c>
    </row>
    <row r="152" spans="1:38">
      <c r="A152" s="17" t="s">
        <v>116</v>
      </c>
      <c r="B152" s="126" t="s">
        <v>2550</v>
      </c>
      <c r="C152" s="126" t="s">
        <v>2830</v>
      </c>
      <c r="D152" s="126" t="s">
        <v>3204</v>
      </c>
      <c r="E152" s="126" t="s">
        <v>1864</v>
      </c>
      <c r="F152" s="126">
        <v>0</v>
      </c>
      <c r="G152" s="126">
        <v>2.24E-4</v>
      </c>
      <c r="H152" s="126">
        <v>4.4299999999999998E-4</v>
      </c>
      <c r="I152" s="126">
        <v>6.9499999999999998E-4</v>
      </c>
      <c r="J152" s="126">
        <v>9.5699999999999995E-4</v>
      </c>
      <c r="K152" s="126">
        <v>1.222E-3</v>
      </c>
      <c r="L152" s="126">
        <v>1.493E-3</v>
      </c>
      <c r="M152" s="126">
        <v>1.771E-3</v>
      </c>
      <c r="N152" s="126">
        <v>2.0609999999999999E-3</v>
      </c>
      <c r="O152" s="126">
        <v>2.3640000000000002E-3</v>
      </c>
      <c r="P152" s="126">
        <v>2.6809999999999998E-3</v>
      </c>
      <c r="Q152" s="126">
        <v>3.0109999999999998E-3</v>
      </c>
      <c r="R152" s="126">
        <v>3.3509999999999998E-3</v>
      </c>
      <c r="S152" s="126">
        <v>3.705E-3</v>
      </c>
      <c r="T152" s="126">
        <v>4.071E-3</v>
      </c>
      <c r="U152" s="126">
        <v>4.4460000000000003E-3</v>
      </c>
      <c r="V152" s="126">
        <v>4.8279999999999998E-3</v>
      </c>
      <c r="W152" s="126">
        <v>5.2259999999999997E-3</v>
      </c>
      <c r="X152" s="126">
        <v>5.6439999999999997E-3</v>
      </c>
      <c r="Y152" s="126">
        <v>6.0809999999999996E-3</v>
      </c>
      <c r="Z152" s="126">
        <v>6.5380000000000004E-3</v>
      </c>
      <c r="AA152" s="126">
        <v>7.0159999999999997E-3</v>
      </c>
      <c r="AB152" s="126">
        <v>7.5129999999999997E-3</v>
      </c>
      <c r="AC152" s="126">
        <v>8.0300000000000007E-3</v>
      </c>
      <c r="AD152" s="126">
        <v>8.5699999999999995E-3</v>
      </c>
      <c r="AE152" s="126">
        <v>9.1350000000000008E-3</v>
      </c>
      <c r="AF152" s="126">
        <v>9.7339999999999996E-3</v>
      </c>
      <c r="AG152" s="126">
        <v>1.0366999999999999E-2</v>
      </c>
      <c r="AH152" s="126">
        <v>1.103E-2</v>
      </c>
      <c r="AI152" s="126">
        <v>1.1727E-2</v>
      </c>
      <c r="AJ152" s="126">
        <v>1.2456999999999999E-2</v>
      </c>
      <c r="AK152" s="126">
        <v>1.3211000000000001E-2</v>
      </c>
      <c r="AL152" s="126" t="s">
        <v>146</v>
      </c>
    </row>
    <row r="153" spans="1:38">
      <c r="A153" s="17" t="s">
        <v>854</v>
      </c>
      <c r="B153" s="126" t="s">
        <v>1581</v>
      </c>
      <c r="C153" s="126" t="s">
        <v>2832</v>
      </c>
      <c r="D153" s="126" t="s">
        <v>3205</v>
      </c>
      <c r="E153" s="126" t="s">
        <v>1864</v>
      </c>
      <c r="F153" s="126">
        <v>0</v>
      </c>
      <c r="G153" s="126">
        <v>3.9899999999999999E-4</v>
      </c>
      <c r="H153" s="126">
        <v>7.9100000000000004E-4</v>
      </c>
      <c r="I153" s="126">
        <v>1.238E-3</v>
      </c>
      <c r="J153" s="126">
        <v>1.7060000000000001E-3</v>
      </c>
      <c r="K153" s="126">
        <v>2.1800000000000001E-3</v>
      </c>
      <c r="L153" s="126">
        <v>2.6619999999999999E-3</v>
      </c>
      <c r="M153" s="126">
        <v>3.1580000000000002E-3</v>
      </c>
      <c r="N153" s="126">
        <v>3.6749999999999999E-3</v>
      </c>
      <c r="O153" s="126">
        <v>4.215E-3</v>
      </c>
      <c r="P153" s="126">
        <v>4.7809999999999997E-3</v>
      </c>
      <c r="Q153" s="126">
        <v>5.3680000000000004E-3</v>
      </c>
      <c r="R153" s="126">
        <v>5.9750000000000003E-3</v>
      </c>
      <c r="S153" s="126">
        <v>6.6059999999999999E-3</v>
      </c>
      <c r="T153" s="126">
        <v>7.2589999999999998E-3</v>
      </c>
      <c r="U153" s="126">
        <v>7.927E-3</v>
      </c>
      <c r="V153" s="126">
        <v>8.6090000000000003E-3</v>
      </c>
      <c r="W153" s="126">
        <v>9.3189999999999992E-3</v>
      </c>
      <c r="X153" s="126">
        <v>1.0064E-2</v>
      </c>
      <c r="Y153" s="126">
        <v>1.0843E-2</v>
      </c>
      <c r="Z153" s="126">
        <v>1.1658999999999999E-2</v>
      </c>
      <c r="AA153" s="126">
        <v>1.251E-2</v>
      </c>
      <c r="AB153" s="126">
        <v>1.3396E-2</v>
      </c>
      <c r="AC153" s="126">
        <v>1.4318000000000001E-2</v>
      </c>
      <c r="AD153" s="126">
        <v>1.5280999999999999E-2</v>
      </c>
      <c r="AE153" s="126">
        <v>1.6289000000000001E-2</v>
      </c>
      <c r="AF153" s="126">
        <v>1.7357000000000001E-2</v>
      </c>
      <c r="AG153" s="126">
        <v>1.8485000000000001E-2</v>
      </c>
      <c r="AH153" s="126">
        <v>1.9667E-2</v>
      </c>
      <c r="AI153" s="126">
        <v>2.0910000000000002E-2</v>
      </c>
      <c r="AJ153" s="126">
        <v>2.2211999999999999E-2</v>
      </c>
      <c r="AK153" s="126">
        <v>2.3556000000000001E-2</v>
      </c>
      <c r="AL153" s="126" t="s">
        <v>146</v>
      </c>
    </row>
    <row r="154" spans="1:38">
      <c r="B154" s="126" t="s">
        <v>2552</v>
      </c>
      <c r="C154" s="126" t="s">
        <v>2834</v>
      </c>
      <c r="D154" s="126" t="s">
        <v>3206</v>
      </c>
      <c r="E154" s="126" t="s">
        <v>1864</v>
      </c>
      <c r="F154" s="126">
        <v>3.4449489999999998</v>
      </c>
      <c r="G154" s="126">
        <v>3.5074649999999998</v>
      </c>
      <c r="H154" s="126">
        <v>3.5628299999999999</v>
      </c>
      <c r="I154" s="126">
        <v>3.6383549999999998</v>
      </c>
      <c r="J154" s="126">
        <v>3.7159550000000001</v>
      </c>
      <c r="K154" s="126">
        <v>3.7910370000000002</v>
      </c>
      <c r="L154" s="126">
        <v>3.8657189999999999</v>
      </c>
      <c r="M154" s="126">
        <v>3.942456</v>
      </c>
      <c r="N154" s="126">
        <v>4.0219189999999996</v>
      </c>
      <c r="O154" s="126">
        <v>4.1045170000000004</v>
      </c>
      <c r="P154" s="126">
        <v>4.1880269999999999</v>
      </c>
      <c r="Q154" s="126">
        <v>4.274464</v>
      </c>
      <c r="R154" s="126">
        <v>4.3594720000000002</v>
      </c>
      <c r="S154" s="126">
        <v>4.4489109999999998</v>
      </c>
      <c r="T154" s="126">
        <v>4.5336109999999996</v>
      </c>
      <c r="U154" s="126">
        <v>4.614592</v>
      </c>
      <c r="V154" s="126">
        <v>4.6968690000000004</v>
      </c>
      <c r="W154" s="126">
        <v>4.7846260000000003</v>
      </c>
      <c r="X154" s="126">
        <v>4.8786139999999998</v>
      </c>
      <c r="Y154" s="126">
        <v>4.9759549999999999</v>
      </c>
      <c r="Z154" s="126">
        <v>5.0764079999999998</v>
      </c>
      <c r="AA154" s="126">
        <v>5.1769230000000004</v>
      </c>
      <c r="AB154" s="126">
        <v>5.2795759999999996</v>
      </c>
      <c r="AC154" s="126">
        <v>5.3872</v>
      </c>
      <c r="AD154" s="126">
        <v>5.5066240000000004</v>
      </c>
      <c r="AE154" s="126">
        <v>5.6371880000000001</v>
      </c>
      <c r="AF154" s="126">
        <v>5.775595</v>
      </c>
      <c r="AG154" s="126">
        <v>5.9190319999999996</v>
      </c>
      <c r="AH154" s="126">
        <v>6.0676350000000001</v>
      </c>
      <c r="AI154" s="126">
        <v>6.221298</v>
      </c>
      <c r="AJ154" s="126">
        <v>6.3774319999999998</v>
      </c>
      <c r="AK154" s="126">
        <v>6.5307339999999998</v>
      </c>
      <c r="AL154" s="115">
        <v>2.1000000000000001E-2</v>
      </c>
    </row>
    <row r="155" spans="1:38">
      <c r="B155" s="126" t="s">
        <v>2553</v>
      </c>
      <c r="D155" s="126" t="s">
        <v>3207</v>
      </c>
    </row>
    <row r="156" spans="1:38">
      <c r="A156" s="17" t="s">
        <v>115</v>
      </c>
      <c r="B156" s="126" t="s">
        <v>1266</v>
      </c>
      <c r="C156" s="126" t="s">
        <v>2837</v>
      </c>
      <c r="D156" s="126" t="s">
        <v>3208</v>
      </c>
      <c r="E156" s="126" t="s">
        <v>1864</v>
      </c>
      <c r="F156" s="126">
        <v>4.9681369999999996</v>
      </c>
      <c r="G156" s="126">
        <v>5.0879810000000001</v>
      </c>
      <c r="H156" s="126">
        <v>5.1834740000000004</v>
      </c>
      <c r="I156" s="126">
        <v>5.2982829999999996</v>
      </c>
      <c r="J156" s="126">
        <v>5.4065789999999998</v>
      </c>
      <c r="K156" s="126">
        <v>5.5015489999999998</v>
      </c>
      <c r="L156" s="126">
        <v>5.587504</v>
      </c>
      <c r="M156" s="126">
        <v>5.6691000000000003</v>
      </c>
      <c r="N156" s="126">
        <v>5.7466419999999996</v>
      </c>
      <c r="O156" s="126">
        <v>5.8201330000000002</v>
      </c>
      <c r="P156" s="126">
        <v>5.8870940000000003</v>
      </c>
      <c r="Q156" s="126">
        <v>5.9499040000000001</v>
      </c>
      <c r="R156" s="126">
        <v>6.0089810000000003</v>
      </c>
      <c r="S156" s="126">
        <v>6.0634969999999999</v>
      </c>
      <c r="T156" s="126">
        <v>6.1093500000000001</v>
      </c>
      <c r="U156" s="126">
        <v>6.1428570000000002</v>
      </c>
      <c r="V156" s="126">
        <v>6.1714580000000003</v>
      </c>
      <c r="W156" s="126">
        <v>6.2026909999999997</v>
      </c>
      <c r="X156" s="126">
        <v>6.234299</v>
      </c>
      <c r="Y156" s="126">
        <v>6.2645949999999999</v>
      </c>
      <c r="Z156" s="126">
        <v>6.2876289999999999</v>
      </c>
      <c r="AA156" s="126">
        <v>6.3044789999999997</v>
      </c>
      <c r="AB156" s="126">
        <v>6.3104500000000003</v>
      </c>
      <c r="AC156" s="126">
        <v>6.3241050000000003</v>
      </c>
      <c r="AD156" s="126">
        <v>6.3418570000000001</v>
      </c>
      <c r="AE156" s="126">
        <v>6.3652499999999996</v>
      </c>
      <c r="AF156" s="126">
        <v>6.3924909999999997</v>
      </c>
      <c r="AG156" s="126">
        <v>6.4170889999999998</v>
      </c>
      <c r="AH156" s="126">
        <v>6.4381880000000002</v>
      </c>
      <c r="AI156" s="126">
        <v>6.4574540000000002</v>
      </c>
      <c r="AJ156" s="126">
        <v>6.4708920000000001</v>
      </c>
      <c r="AK156" s="126">
        <v>6.4737739999999997</v>
      </c>
      <c r="AL156" s="115">
        <v>8.9999999999999993E-3</v>
      </c>
    </row>
    <row r="157" spans="1:38">
      <c r="A157" s="17" t="s">
        <v>114</v>
      </c>
      <c r="B157" s="126" t="s">
        <v>1352</v>
      </c>
      <c r="C157" s="126" t="s">
        <v>2839</v>
      </c>
      <c r="D157" s="126" t="s">
        <v>3209</v>
      </c>
      <c r="E157" s="126" t="s">
        <v>1864</v>
      </c>
      <c r="F157" s="126">
        <v>4.9465000000000002E-2</v>
      </c>
      <c r="G157" s="126">
        <v>4.3998000000000002E-2</v>
      </c>
      <c r="H157" s="126">
        <v>3.909E-2</v>
      </c>
      <c r="I157" s="126">
        <v>3.4824000000000001E-2</v>
      </c>
      <c r="J157" s="126">
        <v>3.1115E-2</v>
      </c>
      <c r="K157" s="126">
        <v>2.7786000000000002E-2</v>
      </c>
      <c r="L157" s="126">
        <v>2.4844000000000001E-2</v>
      </c>
      <c r="M157" s="126">
        <v>2.2407E-2</v>
      </c>
      <c r="N157" s="126">
        <v>2.0417999999999999E-2</v>
      </c>
      <c r="O157" s="126">
        <v>1.8762000000000001E-2</v>
      </c>
      <c r="P157" s="126">
        <v>1.7311E-2</v>
      </c>
      <c r="Q157" s="126">
        <v>1.6095000000000002E-2</v>
      </c>
      <c r="R157" s="126">
        <v>1.5003000000000001E-2</v>
      </c>
      <c r="S157" s="126">
        <v>1.4076999999999999E-2</v>
      </c>
      <c r="T157" s="126">
        <v>1.3325E-2</v>
      </c>
      <c r="U157" s="126">
        <v>1.2716999999999999E-2</v>
      </c>
      <c r="V157" s="126">
        <v>1.226E-2</v>
      </c>
      <c r="W157" s="126">
        <v>1.1872000000000001E-2</v>
      </c>
      <c r="X157" s="126">
        <v>1.1606999999999999E-2</v>
      </c>
      <c r="Y157" s="126">
        <v>1.1422E-2</v>
      </c>
      <c r="Z157" s="126">
        <v>1.1259E-2</v>
      </c>
      <c r="AA157" s="126">
        <v>1.1089E-2</v>
      </c>
      <c r="AB157" s="126">
        <v>1.095E-2</v>
      </c>
      <c r="AC157" s="126">
        <v>1.0791E-2</v>
      </c>
      <c r="AD157" s="126">
        <v>1.0647999999999999E-2</v>
      </c>
      <c r="AE157" s="126">
        <v>1.059E-2</v>
      </c>
      <c r="AF157" s="126">
        <v>1.0592000000000001E-2</v>
      </c>
      <c r="AG157" s="126">
        <v>1.0630000000000001E-2</v>
      </c>
      <c r="AH157" s="126">
        <v>1.0685999999999999E-2</v>
      </c>
      <c r="AI157" s="126">
        <v>1.076E-2</v>
      </c>
      <c r="AJ157" s="126">
        <v>1.0829E-2</v>
      </c>
      <c r="AK157" s="126">
        <v>1.089E-2</v>
      </c>
      <c r="AL157" s="115">
        <v>-4.8000000000000001E-2</v>
      </c>
    </row>
    <row r="158" spans="1:38">
      <c r="A158" s="17" t="s">
        <v>853</v>
      </c>
      <c r="B158" s="126" t="s">
        <v>1273</v>
      </c>
      <c r="C158" s="126" t="s">
        <v>2841</v>
      </c>
      <c r="D158" s="126" t="s">
        <v>3210</v>
      </c>
      <c r="E158" s="126" t="s">
        <v>1864</v>
      </c>
      <c r="F158" s="126">
        <v>4.0080000000000003E-3</v>
      </c>
      <c r="G158" s="126">
        <v>4.1139999999999996E-3</v>
      </c>
      <c r="H158" s="126">
        <v>4.1989999999999996E-3</v>
      </c>
      <c r="I158" s="126">
        <v>4.3010000000000001E-3</v>
      </c>
      <c r="J158" s="126">
        <v>4.3940000000000003E-3</v>
      </c>
      <c r="K158" s="126">
        <v>4.4790000000000003E-3</v>
      </c>
      <c r="L158" s="126">
        <v>4.561E-3</v>
      </c>
      <c r="M158" s="126">
        <v>4.6639999999999997E-3</v>
      </c>
      <c r="N158" s="126">
        <v>4.7679999999999997E-3</v>
      </c>
      <c r="O158" s="126">
        <v>4.862E-3</v>
      </c>
      <c r="P158" s="126">
        <v>4.9249999999999997E-3</v>
      </c>
      <c r="Q158" s="126">
        <v>4.9909999999999998E-3</v>
      </c>
      <c r="R158" s="126">
        <v>5.0549999999999996E-3</v>
      </c>
      <c r="S158" s="126">
        <v>5.1089999999999998E-3</v>
      </c>
      <c r="T158" s="126">
        <v>5.1859999999999996E-3</v>
      </c>
      <c r="U158" s="126">
        <v>5.2750000000000002E-3</v>
      </c>
      <c r="V158" s="126">
        <v>5.3680000000000004E-3</v>
      </c>
      <c r="W158" s="126">
        <v>5.463E-3</v>
      </c>
      <c r="X158" s="126">
        <v>5.5599999999999998E-3</v>
      </c>
      <c r="Y158" s="126">
        <v>5.6550000000000003E-3</v>
      </c>
      <c r="Z158" s="126">
        <v>5.7479999999999996E-3</v>
      </c>
      <c r="AA158" s="126">
        <v>5.8370000000000002E-3</v>
      </c>
      <c r="AB158" s="126">
        <v>5.921E-3</v>
      </c>
      <c r="AC158" s="126">
        <v>5.999E-3</v>
      </c>
      <c r="AD158" s="126">
        <v>6.0740000000000004E-3</v>
      </c>
      <c r="AE158" s="126">
        <v>6.1440000000000002E-3</v>
      </c>
      <c r="AF158" s="126">
        <v>6.2139999999999999E-3</v>
      </c>
      <c r="AG158" s="126">
        <v>6.2820000000000003E-3</v>
      </c>
      <c r="AH158" s="126">
        <v>6.3470000000000002E-3</v>
      </c>
      <c r="AI158" s="126">
        <v>6.4099999999999999E-3</v>
      </c>
      <c r="AJ158" s="126">
        <v>6.4580000000000002E-3</v>
      </c>
      <c r="AK158" s="126">
        <v>6.4869999999999997E-3</v>
      </c>
      <c r="AL158" s="115">
        <v>1.6E-2</v>
      </c>
    </row>
    <row r="159" spans="1:38">
      <c r="A159" s="17" t="s">
        <v>113</v>
      </c>
      <c r="B159" s="126" t="s">
        <v>1282</v>
      </c>
      <c r="C159" s="126" t="s">
        <v>2843</v>
      </c>
      <c r="D159" s="126" t="s">
        <v>3211</v>
      </c>
      <c r="E159" s="126" t="s">
        <v>1864</v>
      </c>
      <c r="F159" s="126">
        <v>4.317E-2</v>
      </c>
      <c r="G159" s="126">
        <v>4.7641999999999997E-2</v>
      </c>
      <c r="H159" s="126">
        <v>5.1379000000000001E-2</v>
      </c>
      <c r="I159" s="126">
        <v>5.5049000000000001E-2</v>
      </c>
      <c r="J159" s="126">
        <v>5.8296000000000001E-2</v>
      </c>
      <c r="K159" s="126">
        <v>6.1093000000000001E-2</v>
      </c>
      <c r="L159" s="126">
        <v>6.3506999999999994E-2</v>
      </c>
      <c r="M159" s="126">
        <v>6.5673999999999996E-2</v>
      </c>
      <c r="N159" s="126">
        <v>6.7658999999999997E-2</v>
      </c>
      <c r="O159" s="126">
        <v>6.9489999999999996E-2</v>
      </c>
      <c r="P159" s="126">
        <v>7.1240999999999999E-2</v>
      </c>
      <c r="Q159" s="126">
        <v>7.2923000000000002E-2</v>
      </c>
      <c r="R159" s="126">
        <v>7.4556999999999998E-2</v>
      </c>
      <c r="S159" s="126">
        <v>7.6177999999999996E-2</v>
      </c>
      <c r="T159" s="126">
        <v>7.7814999999999995E-2</v>
      </c>
      <c r="U159" s="126">
        <v>7.9501000000000002E-2</v>
      </c>
      <c r="V159" s="126">
        <v>8.1286999999999998E-2</v>
      </c>
      <c r="W159" s="126">
        <v>8.3280000000000007E-2</v>
      </c>
      <c r="X159" s="126">
        <v>8.5556999999999994E-2</v>
      </c>
      <c r="Y159" s="126">
        <v>8.8113999999999998E-2</v>
      </c>
      <c r="Z159" s="126">
        <v>9.0984999999999996E-2</v>
      </c>
      <c r="AA159" s="126">
        <v>9.4186000000000006E-2</v>
      </c>
      <c r="AB159" s="126">
        <v>9.7800999999999999E-2</v>
      </c>
      <c r="AC159" s="126">
        <v>0.101882</v>
      </c>
      <c r="AD159" s="126">
        <v>0.106373</v>
      </c>
      <c r="AE159" s="126">
        <v>0.11140600000000001</v>
      </c>
      <c r="AF159" s="126">
        <v>0.11706800000000001</v>
      </c>
      <c r="AG159" s="126">
        <v>0.123364</v>
      </c>
      <c r="AH159" s="126">
        <v>0.13034799999999999</v>
      </c>
      <c r="AI159" s="126">
        <v>0.13800499999999999</v>
      </c>
      <c r="AJ159" s="126">
        <v>0.146457</v>
      </c>
      <c r="AK159" s="126">
        <v>0.155746</v>
      </c>
      <c r="AL159" s="115">
        <v>4.2000000000000003E-2</v>
      </c>
    </row>
    <row r="160" spans="1:38">
      <c r="A160" s="17" t="s">
        <v>114</v>
      </c>
      <c r="B160" s="126" t="s">
        <v>2548</v>
      </c>
      <c r="C160" s="126" t="s">
        <v>2845</v>
      </c>
      <c r="D160" s="126" t="s">
        <v>3212</v>
      </c>
      <c r="E160" s="126" t="s">
        <v>1864</v>
      </c>
      <c r="F160" s="126">
        <v>0</v>
      </c>
      <c r="G160" s="126">
        <v>0</v>
      </c>
      <c r="H160" s="126">
        <v>0</v>
      </c>
      <c r="I160" s="126">
        <v>0</v>
      </c>
      <c r="J160" s="126">
        <v>0</v>
      </c>
      <c r="K160" s="126">
        <v>0</v>
      </c>
      <c r="L160" s="126">
        <v>0</v>
      </c>
      <c r="M160" s="126">
        <v>0</v>
      </c>
      <c r="N160" s="126">
        <v>0</v>
      </c>
      <c r="O160" s="126">
        <v>0</v>
      </c>
      <c r="P160" s="126">
        <v>0</v>
      </c>
      <c r="Q160" s="126">
        <v>0</v>
      </c>
      <c r="R160" s="126">
        <v>0</v>
      </c>
      <c r="S160" s="126">
        <v>0</v>
      </c>
      <c r="T160" s="126">
        <v>0</v>
      </c>
      <c r="U160" s="126">
        <v>0</v>
      </c>
      <c r="V160" s="126">
        <v>0</v>
      </c>
      <c r="W160" s="126">
        <v>0</v>
      </c>
      <c r="X160" s="126">
        <v>0</v>
      </c>
      <c r="Y160" s="126">
        <v>0</v>
      </c>
      <c r="Z160" s="126">
        <v>0</v>
      </c>
      <c r="AA160" s="126">
        <v>0</v>
      </c>
      <c r="AB160" s="126">
        <v>0</v>
      </c>
      <c r="AC160" s="126">
        <v>0</v>
      </c>
      <c r="AD160" s="126">
        <v>0</v>
      </c>
      <c r="AE160" s="126">
        <v>0</v>
      </c>
      <c r="AF160" s="126">
        <v>0</v>
      </c>
      <c r="AG160" s="126">
        <v>0</v>
      </c>
      <c r="AH160" s="126">
        <v>0</v>
      </c>
      <c r="AI160" s="126">
        <v>0</v>
      </c>
      <c r="AJ160" s="126">
        <v>0</v>
      </c>
      <c r="AK160" s="126">
        <v>0</v>
      </c>
      <c r="AL160" s="126" t="s">
        <v>146</v>
      </c>
    </row>
    <row r="161" spans="1:38">
      <c r="A161" s="17" t="s">
        <v>112</v>
      </c>
      <c r="B161" s="126" t="s">
        <v>1577</v>
      </c>
      <c r="C161" s="126" t="s">
        <v>2847</v>
      </c>
      <c r="D161" s="126" t="s">
        <v>3213</v>
      </c>
      <c r="E161" s="126" t="s">
        <v>1864</v>
      </c>
      <c r="F161" s="126">
        <v>0</v>
      </c>
      <c r="G161" s="126">
        <v>1.11E-4</v>
      </c>
      <c r="H161" s="126">
        <v>2.1800000000000001E-4</v>
      </c>
      <c r="I161" s="126">
        <v>3.3700000000000001E-4</v>
      </c>
      <c r="J161" s="126">
        <v>4.5899999999999999E-4</v>
      </c>
      <c r="K161" s="126">
        <v>5.7899999999999998E-4</v>
      </c>
      <c r="L161" s="126">
        <v>6.9899999999999997E-4</v>
      </c>
      <c r="M161" s="126">
        <v>8.1899999999999996E-4</v>
      </c>
      <c r="N161" s="126">
        <v>9.41E-4</v>
      </c>
      <c r="O161" s="126">
        <v>1.0660000000000001E-3</v>
      </c>
      <c r="P161" s="126">
        <v>1.194E-3</v>
      </c>
      <c r="Q161" s="126">
        <v>1.322E-3</v>
      </c>
      <c r="R161" s="126">
        <v>1.4519999999999999E-3</v>
      </c>
      <c r="S161" s="126">
        <v>1.5839999999999999E-3</v>
      </c>
      <c r="T161" s="126">
        <v>1.7160000000000001E-3</v>
      </c>
      <c r="U161" s="126">
        <v>1.8469999999999999E-3</v>
      </c>
      <c r="V161" s="126">
        <v>1.9780000000000002E-3</v>
      </c>
      <c r="W161" s="126">
        <v>2.1099999999999999E-3</v>
      </c>
      <c r="X161" s="126">
        <v>2.2439999999999999E-3</v>
      </c>
      <c r="Y161" s="126">
        <v>2.3800000000000002E-3</v>
      </c>
      <c r="Z161" s="126">
        <v>2.519E-3</v>
      </c>
      <c r="AA161" s="126">
        <v>2.6589999999999999E-3</v>
      </c>
      <c r="AB161" s="126">
        <v>2.8E-3</v>
      </c>
      <c r="AC161" s="126">
        <v>2.9420000000000002E-3</v>
      </c>
      <c r="AD161" s="126">
        <v>3.0860000000000002E-3</v>
      </c>
      <c r="AE161" s="126">
        <v>3.2320000000000001E-3</v>
      </c>
      <c r="AF161" s="126">
        <v>3.382E-3</v>
      </c>
      <c r="AG161" s="126">
        <v>3.5349999999999999E-3</v>
      </c>
      <c r="AH161" s="126">
        <v>3.6909999999999998E-3</v>
      </c>
      <c r="AI161" s="126">
        <v>3.8500000000000001E-3</v>
      </c>
      <c r="AJ161" s="126">
        <v>4.0109999999999998E-3</v>
      </c>
      <c r="AK161" s="126">
        <v>4.1710000000000002E-3</v>
      </c>
      <c r="AL161" s="126" t="s">
        <v>146</v>
      </c>
    </row>
    <row r="162" spans="1:38">
      <c r="A162" s="17" t="s">
        <v>116</v>
      </c>
      <c r="B162" s="126" t="s">
        <v>2549</v>
      </c>
      <c r="C162" s="126" t="s">
        <v>2849</v>
      </c>
      <c r="D162" s="126" t="s">
        <v>3214</v>
      </c>
      <c r="E162" s="126" t="s">
        <v>1864</v>
      </c>
      <c r="F162" s="126">
        <v>9.7E-5</v>
      </c>
      <c r="G162" s="126">
        <v>2.5099999999999998E-4</v>
      </c>
      <c r="H162" s="126">
        <v>3.9800000000000002E-4</v>
      </c>
      <c r="I162" s="126">
        <v>5.62E-4</v>
      </c>
      <c r="J162" s="126">
        <v>7.2900000000000005E-4</v>
      </c>
      <c r="K162" s="126">
        <v>8.9499999999999996E-4</v>
      </c>
      <c r="L162" s="126">
        <v>1.059E-3</v>
      </c>
      <c r="M162" s="126">
        <v>1.224E-3</v>
      </c>
      <c r="N162" s="126">
        <v>1.392E-3</v>
      </c>
      <c r="O162" s="126">
        <v>1.562E-3</v>
      </c>
      <c r="P162" s="126">
        <v>1.7359999999999999E-3</v>
      </c>
      <c r="Q162" s="126">
        <v>1.9120000000000001E-3</v>
      </c>
      <c r="R162" s="126">
        <v>2.0890000000000001E-3</v>
      </c>
      <c r="S162" s="126">
        <v>2.2680000000000001E-3</v>
      </c>
      <c r="T162" s="126">
        <v>2.4480000000000001E-3</v>
      </c>
      <c r="U162" s="126">
        <v>2.627E-3</v>
      </c>
      <c r="V162" s="126">
        <v>2.8050000000000002E-3</v>
      </c>
      <c r="W162" s="126">
        <v>2.9840000000000001E-3</v>
      </c>
      <c r="X162" s="126">
        <v>3.166E-3</v>
      </c>
      <c r="Y162" s="126">
        <v>3.3509999999999998E-3</v>
      </c>
      <c r="Z162" s="126">
        <v>3.539E-3</v>
      </c>
      <c r="AA162" s="126">
        <v>3.7290000000000001E-3</v>
      </c>
      <c r="AB162" s="126">
        <v>3.921E-3</v>
      </c>
      <c r="AC162" s="126">
        <v>4.1149999999999997E-3</v>
      </c>
      <c r="AD162" s="126">
        <v>4.3099999999999996E-3</v>
      </c>
      <c r="AE162" s="126">
        <v>4.509E-3</v>
      </c>
      <c r="AF162" s="126">
        <v>4.712E-3</v>
      </c>
      <c r="AG162" s="126">
        <v>4.921E-3</v>
      </c>
      <c r="AH162" s="126">
        <v>5.1339999999999997E-3</v>
      </c>
      <c r="AI162" s="126">
        <v>5.3499999999999997E-3</v>
      </c>
      <c r="AJ162" s="126">
        <v>5.5700000000000003E-3</v>
      </c>
      <c r="AK162" s="126">
        <v>5.7889999999999999E-3</v>
      </c>
      <c r="AL162" s="115">
        <v>0.14099999999999999</v>
      </c>
    </row>
    <row r="163" spans="1:38">
      <c r="A163" s="17" t="s">
        <v>116</v>
      </c>
      <c r="B163" s="126" t="s">
        <v>2550</v>
      </c>
      <c r="C163" s="126" t="s">
        <v>2851</v>
      </c>
      <c r="D163" s="126" t="s">
        <v>3215</v>
      </c>
      <c r="E163" s="126" t="s">
        <v>1864</v>
      </c>
      <c r="F163" s="126">
        <v>1.05E-4</v>
      </c>
      <c r="G163" s="126">
        <v>2.6499999999999999E-4</v>
      </c>
      <c r="H163" s="126">
        <v>4.1899999999999999E-4</v>
      </c>
      <c r="I163" s="126">
        <v>5.9100000000000005E-4</v>
      </c>
      <c r="J163" s="126">
        <v>7.6599999999999997E-4</v>
      </c>
      <c r="K163" s="126">
        <v>9.3899999999999995E-4</v>
      </c>
      <c r="L163" s="126">
        <v>1.111E-3</v>
      </c>
      <c r="M163" s="126">
        <v>1.284E-3</v>
      </c>
      <c r="N163" s="126">
        <v>1.459E-3</v>
      </c>
      <c r="O163" s="126">
        <v>1.637E-3</v>
      </c>
      <c r="P163" s="126">
        <v>1.82E-3</v>
      </c>
      <c r="Q163" s="126">
        <v>2.0040000000000001E-3</v>
      </c>
      <c r="R163" s="126">
        <v>2.189E-3</v>
      </c>
      <c r="S163" s="126">
        <v>2.3760000000000001E-3</v>
      </c>
      <c r="T163" s="126">
        <v>2.5639999999999999E-3</v>
      </c>
      <c r="U163" s="126">
        <v>2.751E-3</v>
      </c>
      <c r="V163" s="126">
        <v>2.9369999999999999E-3</v>
      </c>
      <c r="W163" s="126">
        <v>3.124E-3</v>
      </c>
      <c r="X163" s="126">
        <v>3.3149999999999998E-3</v>
      </c>
      <c r="Y163" s="126">
        <v>3.509E-3</v>
      </c>
      <c r="Z163" s="126">
        <v>3.705E-3</v>
      </c>
      <c r="AA163" s="126">
        <v>3.9039999999999999E-3</v>
      </c>
      <c r="AB163" s="126">
        <v>4.1050000000000001E-3</v>
      </c>
      <c r="AC163" s="126">
        <v>4.3070000000000001E-3</v>
      </c>
      <c r="AD163" s="126">
        <v>4.5110000000000003E-3</v>
      </c>
      <c r="AE163" s="126">
        <v>4.7190000000000001E-3</v>
      </c>
      <c r="AF163" s="126">
        <v>4.9319999999999998E-3</v>
      </c>
      <c r="AG163" s="126">
        <v>5.1510000000000002E-3</v>
      </c>
      <c r="AH163" s="126">
        <v>5.3730000000000002E-3</v>
      </c>
      <c r="AI163" s="126">
        <v>5.5989999999999998E-3</v>
      </c>
      <c r="AJ163" s="126">
        <v>5.8279999999999998E-3</v>
      </c>
      <c r="AK163" s="126">
        <v>6.058E-3</v>
      </c>
      <c r="AL163" s="115">
        <v>0.14000000000000001</v>
      </c>
    </row>
    <row r="164" spans="1:38">
      <c r="A164" s="17" t="s">
        <v>854</v>
      </c>
      <c r="B164" s="126" t="s">
        <v>1581</v>
      </c>
      <c r="C164" s="126" t="s">
        <v>2853</v>
      </c>
      <c r="D164" s="126" t="s">
        <v>3216</v>
      </c>
      <c r="E164" s="126" t="s">
        <v>1864</v>
      </c>
      <c r="F164" s="126">
        <v>1.1400000000000001E-4</v>
      </c>
      <c r="G164" s="126">
        <v>3.3100000000000002E-4</v>
      </c>
      <c r="H164" s="126">
        <v>5.3899999999999998E-4</v>
      </c>
      <c r="I164" s="126">
        <v>7.7099999999999998E-4</v>
      </c>
      <c r="J164" s="126">
        <v>1.008E-3</v>
      </c>
      <c r="K164" s="126">
        <v>1.242E-3</v>
      </c>
      <c r="L164" s="126">
        <v>1.474E-3</v>
      </c>
      <c r="M164" s="126">
        <v>1.7080000000000001E-3</v>
      </c>
      <c r="N164" s="126">
        <v>1.9449999999999999E-3</v>
      </c>
      <c r="O164" s="126">
        <v>2.1870000000000001E-3</v>
      </c>
      <c r="P164" s="126">
        <v>2.4329999999999998E-3</v>
      </c>
      <c r="Q164" s="126">
        <v>2.6819999999999999E-3</v>
      </c>
      <c r="R164" s="126">
        <v>2.9329999999999998E-3</v>
      </c>
      <c r="S164" s="126">
        <v>3.1870000000000002E-3</v>
      </c>
      <c r="T164" s="126">
        <v>3.4420000000000002E-3</v>
      </c>
      <c r="U164" s="126">
        <v>3.6960000000000001E-3</v>
      </c>
      <c r="V164" s="126">
        <v>3.947E-3</v>
      </c>
      <c r="W164" s="126">
        <v>4.2009999999999999E-3</v>
      </c>
      <c r="X164" s="126">
        <v>4.4590000000000003E-3</v>
      </c>
      <c r="Y164" s="126">
        <v>4.7219999999999996E-3</v>
      </c>
      <c r="Z164" s="126">
        <v>4.9880000000000002E-3</v>
      </c>
      <c r="AA164" s="126">
        <v>5.2579999999999997E-3</v>
      </c>
      <c r="AB164" s="126">
        <v>5.5300000000000002E-3</v>
      </c>
      <c r="AC164" s="126">
        <v>5.8040000000000001E-3</v>
      </c>
      <c r="AD164" s="126">
        <v>6.0809999999999996E-3</v>
      </c>
      <c r="AE164" s="126">
        <v>6.3629999999999997E-3</v>
      </c>
      <c r="AF164" s="126">
        <v>6.6509999999999998E-3</v>
      </c>
      <c r="AG164" s="126">
        <v>6.9480000000000002E-3</v>
      </c>
      <c r="AH164" s="126">
        <v>7.2480000000000001E-3</v>
      </c>
      <c r="AI164" s="126">
        <v>7.5550000000000001E-3</v>
      </c>
      <c r="AJ164" s="126">
        <v>7.8659999999999997E-3</v>
      </c>
      <c r="AK164" s="126">
        <v>8.1759999999999992E-3</v>
      </c>
      <c r="AL164" s="115">
        <v>0.14799999999999999</v>
      </c>
    </row>
    <row r="165" spans="1:38">
      <c r="B165" s="126" t="s">
        <v>2554</v>
      </c>
      <c r="C165" s="126" t="s">
        <v>2855</v>
      </c>
      <c r="D165" s="126" t="s">
        <v>3217</v>
      </c>
      <c r="E165" s="126" t="s">
        <v>1864</v>
      </c>
      <c r="F165" s="126">
        <v>5.0650940000000002</v>
      </c>
      <c r="G165" s="126">
        <v>5.1846930000000002</v>
      </c>
      <c r="H165" s="126">
        <v>5.2797179999999999</v>
      </c>
      <c r="I165" s="126">
        <v>5.3947219999999998</v>
      </c>
      <c r="J165" s="126">
        <v>5.5033510000000003</v>
      </c>
      <c r="K165" s="126">
        <v>5.5985639999999997</v>
      </c>
      <c r="L165" s="126">
        <v>5.6847599999999998</v>
      </c>
      <c r="M165" s="126">
        <v>5.7668809999999997</v>
      </c>
      <c r="N165" s="126">
        <v>5.845224</v>
      </c>
      <c r="O165" s="126">
        <v>5.9196980000000003</v>
      </c>
      <c r="P165" s="126">
        <v>5.9877500000000001</v>
      </c>
      <c r="Q165" s="126">
        <v>6.0518349999999996</v>
      </c>
      <c r="R165" s="126">
        <v>6.1122589999999999</v>
      </c>
      <c r="S165" s="126">
        <v>6.168272</v>
      </c>
      <c r="T165" s="126">
        <v>6.2158449999999998</v>
      </c>
      <c r="U165" s="126">
        <v>6.2512730000000003</v>
      </c>
      <c r="V165" s="126">
        <v>6.2820419999999997</v>
      </c>
      <c r="W165" s="126">
        <v>6.3157259999999997</v>
      </c>
      <c r="X165" s="126">
        <v>6.3502070000000002</v>
      </c>
      <c r="Y165" s="126">
        <v>6.3837489999999999</v>
      </c>
      <c r="Z165" s="126">
        <v>6.4103700000000003</v>
      </c>
      <c r="AA165" s="126">
        <v>6.4311429999999996</v>
      </c>
      <c r="AB165" s="126">
        <v>6.4414769999999999</v>
      </c>
      <c r="AC165" s="126">
        <v>6.4599460000000004</v>
      </c>
      <c r="AD165" s="126">
        <v>6.4829379999999999</v>
      </c>
      <c r="AE165" s="126">
        <v>6.5122140000000002</v>
      </c>
      <c r="AF165" s="126">
        <v>6.5460459999999996</v>
      </c>
      <c r="AG165" s="126">
        <v>6.5779199999999998</v>
      </c>
      <c r="AH165" s="126">
        <v>6.6070130000000002</v>
      </c>
      <c r="AI165" s="126">
        <v>6.6349799999999997</v>
      </c>
      <c r="AJ165" s="126">
        <v>6.6579090000000001</v>
      </c>
      <c r="AK165" s="126">
        <v>6.6710900000000004</v>
      </c>
      <c r="AL165" s="115">
        <v>8.9999999999999993E-3</v>
      </c>
    </row>
    <row r="166" spans="1:38">
      <c r="B166" s="126" t="s">
        <v>2563</v>
      </c>
      <c r="C166" s="126" t="s">
        <v>2857</v>
      </c>
      <c r="D166" s="126" t="s">
        <v>3218</v>
      </c>
      <c r="E166" s="126" t="s">
        <v>1864</v>
      </c>
      <c r="F166" s="126">
        <v>12.343863000000001</v>
      </c>
      <c r="G166" s="126">
        <v>12.706403999999999</v>
      </c>
      <c r="H166" s="126">
        <v>13.039901</v>
      </c>
      <c r="I166" s="126">
        <v>13.4125</v>
      </c>
      <c r="J166" s="126">
        <v>13.780085</v>
      </c>
      <c r="K166" s="126">
        <v>14.128215000000001</v>
      </c>
      <c r="L166" s="126">
        <v>14.463972999999999</v>
      </c>
      <c r="M166" s="126">
        <v>14.794974</v>
      </c>
      <c r="N166" s="126">
        <v>15.122064</v>
      </c>
      <c r="O166" s="126">
        <v>15.444889</v>
      </c>
      <c r="P166" s="126">
        <v>15.758153999999999</v>
      </c>
      <c r="Q166" s="126">
        <v>16.067368999999999</v>
      </c>
      <c r="R166" s="126">
        <v>16.366707000000002</v>
      </c>
      <c r="S166" s="126">
        <v>16.665952999999998</v>
      </c>
      <c r="T166" s="126">
        <v>16.937740000000002</v>
      </c>
      <c r="U166" s="126">
        <v>17.186699000000001</v>
      </c>
      <c r="V166" s="126">
        <v>17.424496000000001</v>
      </c>
      <c r="W166" s="126">
        <v>17.672276</v>
      </c>
      <c r="X166" s="126">
        <v>17.927175999999999</v>
      </c>
      <c r="Y166" s="126">
        <v>18.185205</v>
      </c>
      <c r="Z166" s="126">
        <v>18.434246000000002</v>
      </c>
      <c r="AA166" s="126">
        <v>18.668146</v>
      </c>
      <c r="AB166" s="126">
        <v>18.898140000000001</v>
      </c>
      <c r="AC166" s="126">
        <v>19.138328999999999</v>
      </c>
      <c r="AD166" s="126">
        <v>19.409433</v>
      </c>
      <c r="AE166" s="126">
        <v>19.712399000000001</v>
      </c>
      <c r="AF166" s="126">
        <v>20.026800000000001</v>
      </c>
      <c r="AG166" s="126">
        <v>20.340873999999999</v>
      </c>
      <c r="AH166" s="126">
        <v>20.664781999999999</v>
      </c>
      <c r="AI166" s="126">
        <v>20.999396999999998</v>
      </c>
      <c r="AJ166" s="126">
        <v>21.320126999999999</v>
      </c>
      <c r="AK166" s="126">
        <v>21.628544000000002</v>
      </c>
      <c r="AL166" s="115">
        <v>1.7999999999999999E-2</v>
      </c>
    </row>
    <row r="167" spans="1:38">
      <c r="B167" s="126" t="s">
        <v>697</v>
      </c>
      <c r="D167" s="126" t="s">
        <v>3219</v>
      </c>
    </row>
    <row r="168" spans="1:38">
      <c r="B168" s="126" t="s">
        <v>2557</v>
      </c>
      <c r="D168" s="126" t="s">
        <v>3220</v>
      </c>
    </row>
    <row r="169" spans="1:38">
      <c r="B169" s="126" t="s">
        <v>1221</v>
      </c>
      <c r="D169" s="126" t="s">
        <v>3221</v>
      </c>
    </row>
    <row r="170" spans="1:38">
      <c r="B170" s="126" t="s">
        <v>1266</v>
      </c>
      <c r="C170" s="126" t="s">
        <v>2862</v>
      </c>
      <c r="D170" s="126" t="s">
        <v>3222</v>
      </c>
      <c r="E170" s="126" t="s">
        <v>2729</v>
      </c>
      <c r="F170" s="126">
        <v>15.833444</v>
      </c>
      <c r="G170" s="126">
        <v>15.916945</v>
      </c>
      <c r="H170" s="126">
        <v>16.152964000000001</v>
      </c>
      <c r="I170" s="126">
        <v>16.361098999999999</v>
      </c>
      <c r="J170" s="126">
        <v>16.638044000000001</v>
      </c>
      <c r="K170" s="126">
        <v>16.986425000000001</v>
      </c>
      <c r="L170" s="126">
        <v>17.394625000000001</v>
      </c>
      <c r="M170" s="126">
        <v>17.785074000000002</v>
      </c>
      <c r="N170" s="126">
        <v>18.065439000000001</v>
      </c>
      <c r="O170" s="126">
        <v>18.129999000000002</v>
      </c>
      <c r="P170" s="126">
        <v>18.227664999999998</v>
      </c>
      <c r="Q170" s="126">
        <v>18.281694000000002</v>
      </c>
      <c r="R170" s="126">
        <v>18.310755</v>
      </c>
      <c r="S170" s="126">
        <v>18.309539999999998</v>
      </c>
      <c r="T170" s="126">
        <v>18.294101999999999</v>
      </c>
      <c r="U170" s="126">
        <v>18.284233</v>
      </c>
      <c r="V170" s="126">
        <v>18.276506000000001</v>
      </c>
      <c r="W170" s="126">
        <v>18.270009999999999</v>
      </c>
      <c r="X170" s="126">
        <v>18.264565000000001</v>
      </c>
      <c r="Y170" s="126">
        <v>18.260010000000001</v>
      </c>
      <c r="Z170" s="126">
        <v>18.256142000000001</v>
      </c>
      <c r="AA170" s="126">
        <v>18.252814999999998</v>
      </c>
      <c r="AB170" s="126">
        <v>18.250017</v>
      </c>
      <c r="AC170" s="126">
        <v>18.247638999999999</v>
      </c>
      <c r="AD170" s="126">
        <v>18.2456</v>
      </c>
      <c r="AE170" s="126">
        <v>18.243874000000002</v>
      </c>
      <c r="AF170" s="126">
        <v>18.242349999999998</v>
      </c>
      <c r="AG170" s="126">
        <v>18.241008999999998</v>
      </c>
      <c r="AH170" s="126">
        <v>18.239861999999999</v>
      </c>
      <c r="AI170" s="126">
        <v>18.238852999999999</v>
      </c>
      <c r="AJ170" s="126">
        <v>18.238061999999999</v>
      </c>
      <c r="AK170" s="126">
        <v>18.237273999999999</v>
      </c>
      <c r="AL170" s="115">
        <v>5.0000000000000001E-3</v>
      </c>
    </row>
    <row r="171" spans="1:38">
      <c r="B171" s="126" t="s">
        <v>1352</v>
      </c>
      <c r="C171" s="126" t="s">
        <v>2864</v>
      </c>
      <c r="D171" s="126" t="s">
        <v>3223</v>
      </c>
      <c r="E171" s="126" t="s">
        <v>1718</v>
      </c>
      <c r="F171" s="126">
        <v>10.982303</v>
      </c>
      <c r="G171" s="126">
        <v>11.049652999999999</v>
      </c>
      <c r="H171" s="126">
        <v>11.341513000000001</v>
      </c>
      <c r="I171" s="126">
        <v>11.514438</v>
      </c>
      <c r="J171" s="126">
        <v>11.71176</v>
      </c>
      <c r="K171" s="126">
        <v>11.948588000000001</v>
      </c>
      <c r="L171" s="126">
        <v>12.228875</v>
      </c>
      <c r="M171" s="126">
        <v>12.510766</v>
      </c>
      <c r="N171" s="126">
        <v>12.815541</v>
      </c>
      <c r="O171" s="126">
        <v>12.908493999999999</v>
      </c>
      <c r="P171" s="126">
        <v>13.129896</v>
      </c>
      <c r="Q171" s="126">
        <v>13.309161</v>
      </c>
      <c r="R171" s="126">
        <v>13.454573</v>
      </c>
      <c r="S171" s="126">
        <v>13.540959000000001</v>
      </c>
      <c r="T171" s="126">
        <v>13.589112</v>
      </c>
      <c r="U171" s="126">
        <v>13.606033999999999</v>
      </c>
      <c r="V171" s="126">
        <v>13.629832</v>
      </c>
      <c r="W171" s="126">
        <v>13.655479</v>
      </c>
      <c r="X171" s="126">
        <v>13.682715</v>
      </c>
      <c r="Y171" s="126">
        <v>13.713426</v>
      </c>
      <c r="Z171" s="126">
        <v>13.742716</v>
      </c>
      <c r="AA171" s="126">
        <v>13.678789999999999</v>
      </c>
      <c r="AB171" s="126">
        <v>13.718861</v>
      </c>
      <c r="AC171" s="126">
        <v>13.767915</v>
      </c>
      <c r="AD171" s="126">
        <v>13.823441000000001</v>
      </c>
      <c r="AE171" s="126">
        <v>13.891249999999999</v>
      </c>
      <c r="AF171" s="126">
        <v>13.968991000000001</v>
      </c>
      <c r="AG171" s="126">
        <v>14.065358</v>
      </c>
      <c r="AH171" s="126">
        <v>14.176416</v>
      </c>
      <c r="AI171" s="126">
        <v>14.291848999999999</v>
      </c>
      <c r="AJ171" s="126">
        <v>14.388506</v>
      </c>
      <c r="AK171" s="126">
        <v>14.475106</v>
      </c>
      <c r="AL171" s="115">
        <v>8.9999999999999993E-3</v>
      </c>
    </row>
    <row r="172" spans="1:38">
      <c r="B172" s="126" t="s">
        <v>1273</v>
      </c>
      <c r="C172" s="126" t="s">
        <v>2866</v>
      </c>
      <c r="D172" s="126" t="s">
        <v>3224</v>
      </c>
      <c r="E172" s="126" t="s">
        <v>1718</v>
      </c>
      <c r="F172" s="126">
        <v>12.17399</v>
      </c>
      <c r="G172" s="126">
        <v>12.207234</v>
      </c>
      <c r="H172" s="126">
        <v>12.354547</v>
      </c>
      <c r="I172" s="126">
        <v>12.447348</v>
      </c>
      <c r="J172" s="126">
        <v>12.576535</v>
      </c>
      <c r="K172" s="126">
        <v>12.756093999999999</v>
      </c>
      <c r="L172" s="126">
        <v>12.984404</v>
      </c>
      <c r="M172" s="126">
        <v>13.252844</v>
      </c>
      <c r="N172" s="126">
        <v>13.539478000000001</v>
      </c>
      <c r="O172" s="126">
        <v>13.607677000000001</v>
      </c>
      <c r="P172" s="126">
        <v>13.791698</v>
      </c>
      <c r="Q172" s="126">
        <v>13.938329</v>
      </c>
      <c r="R172" s="126">
        <v>14.040836000000001</v>
      </c>
      <c r="S172" s="126">
        <v>14.097208</v>
      </c>
      <c r="T172" s="126">
        <v>14.117717000000001</v>
      </c>
      <c r="U172" s="126">
        <v>14.127219999999999</v>
      </c>
      <c r="V172" s="126">
        <v>14.128342999999999</v>
      </c>
      <c r="W172" s="126">
        <v>14.123682000000001</v>
      </c>
      <c r="X172" s="126">
        <v>14.119745</v>
      </c>
      <c r="Y172" s="126">
        <v>14.116498</v>
      </c>
      <c r="Z172" s="126">
        <v>14.113765000000001</v>
      </c>
      <c r="AA172" s="126">
        <v>14.111502</v>
      </c>
      <c r="AB172" s="126">
        <v>14.109691</v>
      </c>
      <c r="AC172" s="126">
        <v>14.101913</v>
      </c>
      <c r="AD172" s="126">
        <v>14.101361000000001</v>
      </c>
      <c r="AE172" s="126">
        <v>14.101431</v>
      </c>
      <c r="AF172" s="126">
        <v>14.102192000000001</v>
      </c>
      <c r="AG172" s="126">
        <v>14.103839000000001</v>
      </c>
      <c r="AH172" s="126">
        <v>14.106538</v>
      </c>
      <c r="AI172" s="126">
        <v>14.110227999999999</v>
      </c>
      <c r="AJ172" s="126">
        <v>14.114551000000001</v>
      </c>
      <c r="AK172" s="126">
        <v>14.119119</v>
      </c>
      <c r="AL172" s="115">
        <v>5.0000000000000001E-3</v>
      </c>
    </row>
    <row r="173" spans="1:38">
      <c r="B173" s="126" t="s">
        <v>1282</v>
      </c>
      <c r="C173" s="126" t="s">
        <v>2868</v>
      </c>
      <c r="D173" s="126" t="s">
        <v>3225</v>
      </c>
      <c r="E173" s="126" t="s">
        <v>1718</v>
      </c>
      <c r="F173" s="126">
        <v>12.041197</v>
      </c>
      <c r="G173" s="126">
        <v>12.075243</v>
      </c>
      <c r="H173" s="126">
        <v>12.249264</v>
      </c>
      <c r="I173" s="126">
        <v>12.364709</v>
      </c>
      <c r="J173" s="126">
        <v>12.524457</v>
      </c>
      <c r="K173" s="126">
        <v>12.734984000000001</v>
      </c>
      <c r="L173" s="126">
        <v>12.998265999999999</v>
      </c>
      <c r="M173" s="126">
        <v>13.292603</v>
      </c>
      <c r="N173" s="126">
        <v>13.601611999999999</v>
      </c>
      <c r="O173" s="126">
        <v>13.603702999999999</v>
      </c>
      <c r="P173" s="126">
        <v>13.72095</v>
      </c>
      <c r="Q173" s="126">
        <v>13.823051</v>
      </c>
      <c r="R173" s="126">
        <v>13.88674</v>
      </c>
      <c r="S173" s="126">
        <v>13.911946</v>
      </c>
      <c r="T173" s="126">
        <v>13.912062000000001</v>
      </c>
      <c r="U173" s="126">
        <v>13.886786000000001</v>
      </c>
      <c r="V173" s="126">
        <v>13.856545000000001</v>
      </c>
      <c r="W173" s="126">
        <v>13.827242999999999</v>
      </c>
      <c r="X173" s="126">
        <v>13.793615000000001</v>
      </c>
      <c r="Y173" s="126">
        <v>13.756524000000001</v>
      </c>
      <c r="Z173" s="126">
        <v>13.717677999999999</v>
      </c>
      <c r="AA173" s="126">
        <v>13.683342</v>
      </c>
      <c r="AB173" s="126">
        <v>13.647736</v>
      </c>
      <c r="AC173" s="126">
        <v>13.611599</v>
      </c>
      <c r="AD173" s="126">
        <v>13.584353</v>
      </c>
      <c r="AE173" s="126">
        <v>13.553896</v>
      </c>
      <c r="AF173" s="126">
        <v>13.526783</v>
      </c>
      <c r="AG173" s="126">
        <v>13.500651</v>
      </c>
      <c r="AH173" s="126">
        <v>13.475502000000001</v>
      </c>
      <c r="AI173" s="126">
        <v>13.451409999999999</v>
      </c>
      <c r="AJ173" s="126">
        <v>13.428345999999999</v>
      </c>
      <c r="AK173" s="126">
        <v>13.406385</v>
      </c>
      <c r="AL173" s="115">
        <v>3.0000000000000001E-3</v>
      </c>
    </row>
    <row r="174" spans="1:38">
      <c r="B174" s="126" t="s">
        <v>2548</v>
      </c>
      <c r="C174" s="126" t="s">
        <v>2870</v>
      </c>
      <c r="D174" s="126" t="s">
        <v>3226</v>
      </c>
      <c r="E174" s="126" t="s">
        <v>1718</v>
      </c>
      <c r="F174" s="126">
        <v>10.610325</v>
      </c>
      <c r="G174" s="126">
        <v>10.707651</v>
      </c>
      <c r="H174" s="126">
        <v>11.030215</v>
      </c>
      <c r="I174" s="126">
        <v>11.221423</v>
      </c>
      <c r="J174" s="126">
        <v>11.435703999999999</v>
      </c>
      <c r="K174" s="126">
        <v>11.684262</v>
      </c>
      <c r="L174" s="126">
        <v>11.964089</v>
      </c>
      <c r="M174" s="126">
        <v>12.2705</v>
      </c>
      <c r="N174" s="126">
        <v>12.590438000000001</v>
      </c>
      <c r="O174" s="126">
        <v>12.670097</v>
      </c>
      <c r="P174" s="126">
        <v>12.847771</v>
      </c>
      <c r="Q174" s="126">
        <v>12.994916</v>
      </c>
      <c r="R174" s="126">
        <v>13.122529</v>
      </c>
      <c r="S174" s="126">
        <v>13.175064000000001</v>
      </c>
      <c r="T174" s="126">
        <v>13.191049</v>
      </c>
      <c r="U174" s="126">
        <v>13.179138999999999</v>
      </c>
      <c r="V174" s="126">
        <v>13.174061</v>
      </c>
      <c r="W174" s="126">
        <v>13.170579999999999</v>
      </c>
      <c r="X174" s="126">
        <v>13.168615000000001</v>
      </c>
      <c r="Y174" s="126">
        <v>13.168682</v>
      </c>
      <c r="Z174" s="126">
        <v>13.170483000000001</v>
      </c>
      <c r="AA174" s="126">
        <v>13.112534999999999</v>
      </c>
      <c r="AB174" s="126">
        <v>13.128779</v>
      </c>
      <c r="AC174" s="126">
        <v>13.146091999999999</v>
      </c>
      <c r="AD174" s="126">
        <v>13.170275999999999</v>
      </c>
      <c r="AE174" s="126">
        <v>13.203789</v>
      </c>
      <c r="AF174" s="126">
        <v>13.252024</v>
      </c>
      <c r="AG174" s="126">
        <v>13.308242999999999</v>
      </c>
      <c r="AH174" s="126">
        <v>13.374212999999999</v>
      </c>
      <c r="AI174" s="126">
        <v>13.442157</v>
      </c>
      <c r="AJ174" s="126">
        <v>13.526508</v>
      </c>
      <c r="AK174" s="126">
        <v>13.595105</v>
      </c>
      <c r="AL174" s="115">
        <v>8.0000000000000002E-3</v>
      </c>
    </row>
    <row r="175" spans="1:38">
      <c r="B175" s="126" t="s">
        <v>1577</v>
      </c>
      <c r="C175" s="126" t="s">
        <v>2872</v>
      </c>
      <c r="D175" s="126" t="s">
        <v>3227</v>
      </c>
      <c r="E175" s="126" t="s">
        <v>2729</v>
      </c>
      <c r="F175" s="126">
        <v>26.787324999999999</v>
      </c>
      <c r="G175" s="126">
        <v>26.787324999999999</v>
      </c>
      <c r="H175" s="126">
        <v>26.950589999999998</v>
      </c>
      <c r="I175" s="126">
        <v>27.066389000000001</v>
      </c>
      <c r="J175" s="126">
        <v>27.186810000000001</v>
      </c>
      <c r="K175" s="126">
        <v>27.351122</v>
      </c>
      <c r="L175" s="126">
        <v>27.568787</v>
      </c>
      <c r="M175" s="126">
        <v>27.845044999999999</v>
      </c>
      <c r="N175" s="126">
        <v>28.174744</v>
      </c>
      <c r="O175" s="126">
        <v>28.371984000000001</v>
      </c>
      <c r="P175" s="126">
        <v>28.695305000000001</v>
      </c>
      <c r="Q175" s="126">
        <v>28.939254999999999</v>
      </c>
      <c r="R175" s="126">
        <v>29.084841000000001</v>
      </c>
      <c r="S175" s="126">
        <v>29.142503999999999</v>
      </c>
      <c r="T175" s="126">
        <v>29.159268999999998</v>
      </c>
      <c r="U175" s="126">
        <v>29.166868000000001</v>
      </c>
      <c r="V175" s="126">
        <v>29.164541</v>
      </c>
      <c r="W175" s="126">
        <v>29.162163</v>
      </c>
      <c r="X175" s="126">
        <v>29.160435</v>
      </c>
      <c r="Y175" s="126">
        <v>29.159469999999999</v>
      </c>
      <c r="Z175" s="126">
        <v>29.159003999999999</v>
      </c>
      <c r="AA175" s="126">
        <v>29.158884</v>
      </c>
      <c r="AB175" s="126">
        <v>28.976557</v>
      </c>
      <c r="AC175" s="126">
        <v>28.989283</v>
      </c>
      <c r="AD175" s="126">
        <v>29.005552000000002</v>
      </c>
      <c r="AE175" s="126">
        <v>29.026018000000001</v>
      </c>
      <c r="AF175" s="126">
        <v>29.050884</v>
      </c>
      <c r="AG175" s="126">
        <v>29.079992000000001</v>
      </c>
      <c r="AH175" s="126">
        <v>29.112601999999999</v>
      </c>
      <c r="AI175" s="126">
        <v>29.146656</v>
      </c>
      <c r="AJ175" s="126">
        <v>29.180755999999999</v>
      </c>
      <c r="AK175" s="126">
        <v>29.213203</v>
      </c>
      <c r="AL175" s="115">
        <v>3.0000000000000001E-3</v>
      </c>
    </row>
    <row r="176" spans="1:38">
      <c r="B176" s="126" t="s">
        <v>2549</v>
      </c>
      <c r="C176" s="126" t="s">
        <v>2874</v>
      </c>
      <c r="D176" s="126" t="s">
        <v>3228</v>
      </c>
      <c r="E176" s="126" t="s">
        <v>2729</v>
      </c>
      <c r="F176" s="126">
        <v>0</v>
      </c>
      <c r="G176" s="126">
        <v>22.487862</v>
      </c>
      <c r="H176" s="126">
        <v>22.935108</v>
      </c>
      <c r="I176" s="126">
        <v>23.302744000000001</v>
      </c>
      <c r="J176" s="126">
        <v>23.663938999999999</v>
      </c>
      <c r="K176" s="126">
        <v>24.162012000000001</v>
      </c>
      <c r="L176" s="126">
        <v>24.829474999999999</v>
      </c>
      <c r="M176" s="126">
        <v>25.589469999999999</v>
      </c>
      <c r="N176" s="126">
        <v>26.448948000000001</v>
      </c>
      <c r="O176" s="126">
        <v>26.798634</v>
      </c>
      <c r="P176" s="126">
        <v>27.493675</v>
      </c>
      <c r="Q176" s="126">
        <v>28.006046000000001</v>
      </c>
      <c r="R176" s="126">
        <v>28.329343999999999</v>
      </c>
      <c r="S176" s="126">
        <v>28.423334000000001</v>
      </c>
      <c r="T176" s="126">
        <v>28.450196999999999</v>
      </c>
      <c r="U176" s="126">
        <v>28.466118000000002</v>
      </c>
      <c r="V176" s="126">
        <v>28.470490999999999</v>
      </c>
      <c r="W176" s="126">
        <v>28.468004000000001</v>
      </c>
      <c r="X176" s="126">
        <v>28.465357000000001</v>
      </c>
      <c r="Y176" s="126">
        <v>28.461123000000001</v>
      </c>
      <c r="Z176" s="126">
        <v>28.457477999999998</v>
      </c>
      <c r="AA176" s="126">
        <v>28.454339999999998</v>
      </c>
      <c r="AB176" s="126">
        <v>28.451682999999999</v>
      </c>
      <c r="AC176" s="126">
        <v>28.449404000000001</v>
      </c>
      <c r="AD176" s="126">
        <v>28.447431999999999</v>
      </c>
      <c r="AE176" s="126">
        <v>28.445744000000001</v>
      </c>
      <c r="AF176" s="126">
        <v>28.444224999999999</v>
      </c>
      <c r="AG176" s="126">
        <v>28.442875000000001</v>
      </c>
      <c r="AH176" s="126">
        <v>28.441690000000001</v>
      </c>
      <c r="AI176" s="126">
        <v>28.440626000000002</v>
      </c>
      <c r="AJ176" s="126">
        <v>28.439675999999999</v>
      </c>
      <c r="AK176" s="126">
        <v>28.438853999999999</v>
      </c>
      <c r="AL176" s="126" t="s">
        <v>146</v>
      </c>
    </row>
    <row r="177" spans="2:38">
      <c r="B177" s="126" t="s">
        <v>2550</v>
      </c>
      <c r="C177" s="126" t="s">
        <v>2876</v>
      </c>
      <c r="D177" s="126" t="s">
        <v>3229</v>
      </c>
      <c r="E177" s="126" t="s">
        <v>1718</v>
      </c>
      <c r="F177" s="126">
        <v>0</v>
      </c>
      <c r="G177" s="126">
        <v>17.977802000000001</v>
      </c>
      <c r="H177" s="126">
        <v>18.383469000000002</v>
      </c>
      <c r="I177" s="126">
        <v>18.501543000000002</v>
      </c>
      <c r="J177" s="126">
        <v>18.626356000000001</v>
      </c>
      <c r="K177" s="126">
        <v>18.795218999999999</v>
      </c>
      <c r="L177" s="126">
        <v>19.019141999999999</v>
      </c>
      <c r="M177" s="126">
        <v>19.294815</v>
      </c>
      <c r="N177" s="126">
        <v>19.628515</v>
      </c>
      <c r="O177" s="126">
        <v>19.733391000000001</v>
      </c>
      <c r="P177" s="126">
        <v>19.944051999999999</v>
      </c>
      <c r="Q177" s="126">
        <v>20.094597</v>
      </c>
      <c r="R177" s="126">
        <v>20.132363999999999</v>
      </c>
      <c r="S177" s="126">
        <v>20.200182000000002</v>
      </c>
      <c r="T177" s="126">
        <v>20.240563999999999</v>
      </c>
      <c r="U177" s="126">
        <v>20.274977</v>
      </c>
      <c r="V177" s="126">
        <v>20.302526</v>
      </c>
      <c r="W177" s="126">
        <v>20.329796000000002</v>
      </c>
      <c r="X177" s="126">
        <v>20.356361</v>
      </c>
      <c r="Y177" s="126">
        <v>20.38166</v>
      </c>
      <c r="Z177" s="126">
        <v>20.402687</v>
      </c>
      <c r="AA177" s="126">
        <v>20.420019</v>
      </c>
      <c r="AB177" s="126">
        <v>20.39677</v>
      </c>
      <c r="AC177" s="126">
        <v>20.404440000000001</v>
      </c>
      <c r="AD177" s="126">
        <v>20.415175999999999</v>
      </c>
      <c r="AE177" s="126">
        <v>20.429324999999999</v>
      </c>
      <c r="AF177" s="126">
        <v>20.447084</v>
      </c>
      <c r="AG177" s="126">
        <v>20.468346</v>
      </c>
      <c r="AH177" s="126">
        <v>20.492998</v>
      </c>
      <c r="AI177" s="126">
        <v>20.518720999999999</v>
      </c>
      <c r="AJ177" s="126">
        <v>20.545033</v>
      </c>
      <c r="AK177" s="126">
        <v>20.565187000000002</v>
      </c>
      <c r="AL177" s="126" t="s">
        <v>146</v>
      </c>
    </row>
    <row r="178" spans="2:38">
      <c r="B178" s="126" t="s">
        <v>1581</v>
      </c>
      <c r="C178" s="126" t="s">
        <v>2878</v>
      </c>
      <c r="D178" s="126" t="s">
        <v>3230</v>
      </c>
      <c r="E178" s="126" t="s">
        <v>2729</v>
      </c>
      <c r="F178" s="126">
        <v>0</v>
      </c>
      <c r="G178" s="126">
        <v>18.347479</v>
      </c>
      <c r="H178" s="126">
        <v>16.244858000000001</v>
      </c>
      <c r="I178" s="126">
        <v>16.244858000000001</v>
      </c>
      <c r="J178" s="126">
        <v>16.244858000000001</v>
      </c>
      <c r="K178" s="126">
        <v>16.244858000000001</v>
      </c>
      <c r="L178" s="126">
        <v>16.244858000000001</v>
      </c>
      <c r="M178" s="126">
        <v>16.244858000000001</v>
      </c>
      <c r="N178" s="126">
        <v>16.244858000000001</v>
      </c>
      <c r="O178" s="126">
        <v>16.244858000000001</v>
      </c>
      <c r="P178" s="126">
        <v>16.244858000000001</v>
      </c>
      <c r="Q178" s="126">
        <v>16.244858000000001</v>
      </c>
      <c r="R178" s="126">
        <v>16.244858000000001</v>
      </c>
      <c r="S178" s="126">
        <v>16.244858000000001</v>
      </c>
      <c r="T178" s="126">
        <v>16.244858000000001</v>
      </c>
      <c r="U178" s="126">
        <v>16.244858000000001</v>
      </c>
      <c r="V178" s="126">
        <v>16.244858000000001</v>
      </c>
      <c r="W178" s="126">
        <v>16.244858000000001</v>
      </c>
      <c r="X178" s="126">
        <v>16.244858000000001</v>
      </c>
      <c r="Y178" s="126">
        <v>16.244858000000001</v>
      </c>
      <c r="Z178" s="126">
        <v>16.244858000000001</v>
      </c>
      <c r="AA178" s="126">
        <v>16.244858000000001</v>
      </c>
      <c r="AB178" s="126">
        <v>16.244858000000001</v>
      </c>
      <c r="AC178" s="126">
        <v>16.244858000000001</v>
      </c>
      <c r="AD178" s="126">
        <v>16.244858000000001</v>
      </c>
      <c r="AE178" s="126">
        <v>16.244858000000001</v>
      </c>
      <c r="AF178" s="126">
        <v>16.244858000000001</v>
      </c>
      <c r="AG178" s="126">
        <v>16.244858000000001</v>
      </c>
      <c r="AH178" s="126">
        <v>16.244858000000001</v>
      </c>
      <c r="AI178" s="126">
        <v>16.244858000000001</v>
      </c>
      <c r="AJ178" s="126">
        <v>16.244858000000001</v>
      </c>
      <c r="AK178" s="126">
        <v>16.244858000000001</v>
      </c>
      <c r="AL178" s="126" t="s">
        <v>146</v>
      </c>
    </row>
    <row r="179" spans="2:38">
      <c r="B179" s="126" t="s">
        <v>2558</v>
      </c>
      <c r="C179" s="126" t="s">
        <v>2880</v>
      </c>
      <c r="D179" s="126" t="s">
        <v>3231</v>
      </c>
      <c r="F179" s="126">
        <v>14.746924</v>
      </c>
      <c r="G179" s="126">
        <v>14.809729000000001</v>
      </c>
      <c r="H179" s="126">
        <v>15.050865</v>
      </c>
      <c r="I179" s="126">
        <v>15.234272000000001</v>
      </c>
      <c r="J179" s="126">
        <v>15.473347</v>
      </c>
      <c r="K179" s="126">
        <v>15.775150999999999</v>
      </c>
      <c r="L179" s="126">
        <v>16.134912</v>
      </c>
      <c r="M179" s="126">
        <v>16.483378999999999</v>
      </c>
      <c r="N179" s="126">
        <v>16.758548999999999</v>
      </c>
      <c r="O179" s="126">
        <v>16.824480000000001</v>
      </c>
      <c r="P179" s="126">
        <v>16.947185999999999</v>
      </c>
      <c r="Q179" s="126">
        <v>17.027269</v>
      </c>
      <c r="R179" s="126">
        <v>17.075586000000001</v>
      </c>
      <c r="S179" s="126">
        <v>17.082187999999999</v>
      </c>
      <c r="T179" s="126">
        <v>17.069658</v>
      </c>
      <c r="U179" s="126">
        <v>17.051978999999999</v>
      </c>
      <c r="V179" s="126">
        <v>17.03791</v>
      </c>
      <c r="W179" s="126">
        <v>17.025679</v>
      </c>
      <c r="X179" s="126">
        <v>17.013607</v>
      </c>
      <c r="Y179" s="126">
        <v>17.007957000000001</v>
      </c>
      <c r="Z179" s="126">
        <v>17.008704999999999</v>
      </c>
      <c r="AA179" s="126">
        <v>16.972549000000001</v>
      </c>
      <c r="AB179" s="126">
        <v>16.971419999999998</v>
      </c>
      <c r="AC179" s="126">
        <v>16.972387000000001</v>
      </c>
      <c r="AD179" s="126">
        <v>16.976496000000001</v>
      </c>
      <c r="AE179" s="126">
        <v>16.987123</v>
      </c>
      <c r="AF179" s="126">
        <v>17.000826</v>
      </c>
      <c r="AG179" s="126">
        <v>17.021622000000001</v>
      </c>
      <c r="AH179" s="126">
        <v>17.047722</v>
      </c>
      <c r="AI179" s="126">
        <v>17.074342999999999</v>
      </c>
      <c r="AJ179" s="126">
        <v>17.096679999999999</v>
      </c>
      <c r="AK179" s="126">
        <v>17.116541000000002</v>
      </c>
      <c r="AL179" s="115">
        <v>5.0000000000000001E-3</v>
      </c>
    </row>
    <row r="180" spans="2:38">
      <c r="B180" s="126" t="s">
        <v>1223</v>
      </c>
      <c r="D180" s="126" t="s">
        <v>3232</v>
      </c>
    </row>
    <row r="181" spans="2:38">
      <c r="B181" s="126" t="s">
        <v>1266</v>
      </c>
      <c r="C181" s="126" t="s">
        <v>2883</v>
      </c>
      <c r="D181" s="126" t="s">
        <v>3233</v>
      </c>
      <c r="E181" s="126" t="s">
        <v>2729</v>
      </c>
      <c r="F181" s="126">
        <v>9.6279889999999995</v>
      </c>
      <c r="G181" s="126">
        <v>9.6664589999999997</v>
      </c>
      <c r="H181" s="126">
        <v>9.9801870000000008</v>
      </c>
      <c r="I181" s="126">
        <v>10.161771</v>
      </c>
      <c r="J181" s="126">
        <v>10.402438</v>
      </c>
      <c r="K181" s="126">
        <v>10.695452</v>
      </c>
      <c r="L181" s="126">
        <v>11.029489999999999</v>
      </c>
      <c r="M181" s="126">
        <v>11.358034999999999</v>
      </c>
      <c r="N181" s="126">
        <v>11.711732</v>
      </c>
      <c r="O181" s="126">
        <v>11.894513999999999</v>
      </c>
      <c r="P181" s="126">
        <v>12.208372000000001</v>
      </c>
      <c r="Q181" s="126">
        <v>12.491807</v>
      </c>
      <c r="R181" s="126">
        <v>12.755981999999999</v>
      </c>
      <c r="S181" s="126">
        <v>12.893155</v>
      </c>
      <c r="T181" s="126">
        <v>12.888268</v>
      </c>
      <c r="U181" s="126">
        <v>12.884753</v>
      </c>
      <c r="V181" s="126">
        <v>12.838404000000001</v>
      </c>
      <c r="W181" s="126">
        <v>12.843457000000001</v>
      </c>
      <c r="X181" s="126">
        <v>12.850349</v>
      </c>
      <c r="Y181" s="126">
        <v>12.858241</v>
      </c>
      <c r="Z181" s="126">
        <v>12.865976</v>
      </c>
      <c r="AA181" s="126">
        <v>12.872776999999999</v>
      </c>
      <c r="AB181" s="126">
        <v>12.878271</v>
      </c>
      <c r="AC181" s="126">
        <v>12.882441</v>
      </c>
      <c r="AD181" s="126">
        <v>12.88162</v>
      </c>
      <c r="AE181" s="126">
        <v>12.880934</v>
      </c>
      <c r="AF181" s="126">
        <v>12.880345999999999</v>
      </c>
      <c r="AG181" s="126">
        <v>12.879842</v>
      </c>
      <c r="AH181" s="126">
        <v>12.879422999999999</v>
      </c>
      <c r="AI181" s="126">
        <v>12.879049</v>
      </c>
      <c r="AJ181" s="126">
        <v>12.878738</v>
      </c>
      <c r="AK181" s="126">
        <v>12.878475</v>
      </c>
      <c r="AL181" s="115">
        <v>8.9999999999999993E-3</v>
      </c>
    </row>
    <row r="182" spans="2:38">
      <c r="B182" s="126" t="s">
        <v>1352</v>
      </c>
      <c r="C182" s="126" t="s">
        <v>2885</v>
      </c>
      <c r="D182" s="126" t="s">
        <v>3234</v>
      </c>
      <c r="E182" s="126" t="s">
        <v>1718</v>
      </c>
      <c r="F182" s="126">
        <v>7.0474810000000003</v>
      </c>
      <c r="G182" s="126">
        <v>7.0732039999999996</v>
      </c>
      <c r="H182" s="126">
        <v>7.2956570000000003</v>
      </c>
      <c r="I182" s="126">
        <v>7.4102370000000004</v>
      </c>
      <c r="J182" s="126">
        <v>7.5453900000000003</v>
      </c>
      <c r="K182" s="126">
        <v>7.7151610000000002</v>
      </c>
      <c r="L182" s="126">
        <v>7.9157479999999998</v>
      </c>
      <c r="M182" s="126">
        <v>8.1261480000000006</v>
      </c>
      <c r="N182" s="126">
        <v>8.3583099999999995</v>
      </c>
      <c r="O182" s="126">
        <v>8.4422680000000003</v>
      </c>
      <c r="P182" s="126">
        <v>8.6481429999999992</v>
      </c>
      <c r="Q182" s="126">
        <v>8.8324020000000001</v>
      </c>
      <c r="R182" s="126">
        <v>9.0036450000000006</v>
      </c>
      <c r="S182" s="126">
        <v>9.1209609999999994</v>
      </c>
      <c r="T182" s="126">
        <v>9.1663910000000008</v>
      </c>
      <c r="U182" s="126">
        <v>9.2054310000000008</v>
      </c>
      <c r="V182" s="126">
        <v>9.2044530000000009</v>
      </c>
      <c r="W182" s="126">
        <v>9.2035280000000004</v>
      </c>
      <c r="X182" s="126">
        <v>9.202572</v>
      </c>
      <c r="Y182" s="126">
        <v>9.2015670000000007</v>
      </c>
      <c r="Z182" s="126">
        <v>9.2005250000000007</v>
      </c>
      <c r="AA182" s="126">
        <v>9.1994419999999995</v>
      </c>
      <c r="AB182" s="126">
        <v>9.1983250000000005</v>
      </c>
      <c r="AC182" s="126">
        <v>9.1971819999999997</v>
      </c>
      <c r="AD182" s="126">
        <v>9.1964439999999996</v>
      </c>
      <c r="AE182" s="126">
        <v>9.1956740000000003</v>
      </c>
      <c r="AF182" s="126">
        <v>9.1948749999999997</v>
      </c>
      <c r="AG182" s="126">
        <v>9.1940369999999998</v>
      </c>
      <c r="AH182" s="126">
        <v>9.1931650000000005</v>
      </c>
      <c r="AI182" s="126">
        <v>9.1922569999999997</v>
      </c>
      <c r="AJ182" s="126">
        <v>9.1913070000000001</v>
      </c>
      <c r="AK182" s="126">
        <v>9.190315</v>
      </c>
      <c r="AL182" s="115">
        <v>8.9999999999999993E-3</v>
      </c>
    </row>
    <row r="183" spans="2:38">
      <c r="B183" s="126" t="s">
        <v>1273</v>
      </c>
      <c r="C183" s="126" t="s">
        <v>2887</v>
      </c>
      <c r="D183" s="126" t="s">
        <v>3235</v>
      </c>
      <c r="E183" s="126" t="s">
        <v>1718</v>
      </c>
      <c r="F183" s="126">
        <v>7.1174860000000004</v>
      </c>
      <c r="G183" s="126">
        <v>7.1466979999999998</v>
      </c>
      <c r="H183" s="126">
        <v>7.3825180000000001</v>
      </c>
      <c r="I183" s="126">
        <v>7.5122929999999997</v>
      </c>
      <c r="J183" s="126">
        <v>7.6864369999999997</v>
      </c>
      <c r="K183" s="126">
        <v>7.9025819999999998</v>
      </c>
      <c r="L183" s="126">
        <v>8.1564060000000005</v>
      </c>
      <c r="M183" s="126">
        <v>8.4035229999999999</v>
      </c>
      <c r="N183" s="126">
        <v>8.6499299999999995</v>
      </c>
      <c r="O183" s="126">
        <v>8.7334549999999993</v>
      </c>
      <c r="P183" s="126">
        <v>8.9437850000000001</v>
      </c>
      <c r="Q183" s="126">
        <v>9.1305890000000005</v>
      </c>
      <c r="R183" s="126">
        <v>9.3022749999999998</v>
      </c>
      <c r="S183" s="126">
        <v>9.4170879999999997</v>
      </c>
      <c r="T183" s="126">
        <v>9.4591580000000004</v>
      </c>
      <c r="U183" s="126">
        <v>9.4781490000000002</v>
      </c>
      <c r="V183" s="126">
        <v>9.4757560000000005</v>
      </c>
      <c r="W183" s="126">
        <v>9.4732800000000008</v>
      </c>
      <c r="X183" s="126">
        <v>9.4709350000000008</v>
      </c>
      <c r="Y183" s="126">
        <v>9.4709020000000006</v>
      </c>
      <c r="Z183" s="126">
        <v>9.4708769999999998</v>
      </c>
      <c r="AA183" s="126">
        <v>9.4708570000000005</v>
      </c>
      <c r="AB183" s="126">
        <v>9.4708410000000001</v>
      </c>
      <c r="AC183" s="126">
        <v>9.4708260000000006</v>
      </c>
      <c r="AD183" s="126">
        <v>9.4708159999999992</v>
      </c>
      <c r="AE183" s="126">
        <v>9.4708079999999999</v>
      </c>
      <c r="AF183" s="126">
        <v>9.4708000000000006</v>
      </c>
      <c r="AG183" s="126">
        <v>9.4707950000000007</v>
      </c>
      <c r="AH183" s="126">
        <v>9.4707919999999994</v>
      </c>
      <c r="AI183" s="126">
        <v>9.4707849999999993</v>
      </c>
      <c r="AJ183" s="126">
        <v>9.4707819999999998</v>
      </c>
      <c r="AK183" s="126">
        <v>9.4707790000000003</v>
      </c>
      <c r="AL183" s="115">
        <v>8.9999999999999993E-3</v>
      </c>
    </row>
    <row r="184" spans="2:38">
      <c r="B184" s="126" t="s">
        <v>1282</v>
      </c>
      <c r="C184" s="126" t="s">
        <v>2889</v>
      </c>
      <c r="D184" s="126" t="s">
        <v>3236</v>
      </c>
      <c r="E184" s="126" t="s">
        <v>1718</v>
      </c>
      <c r="F184" s="126">
        <v>6.9478549999999997</v>
      </c>
      <c r="G184" s="126">
        <v>6.9985309999999998</v>
      </c>
      <c r="H184" s="126">
        <v>7.2382489999999997</v>
      </c>
      <c r="I184" s="126">
        <v>7.3772080000000004</v>
      </c>
      <c r="J184" s="126">
        <v>7.5609469999999996</v>
      </c>
      <c r="K184" s="126">
        <v>7.794054</v>
      </c>
      <c r="L184" s="126">
        <v>8.0694979999999994</v>
      </c>
      <c r="M184" s="126">
        <v>8.3676130000000004</v>
      </c>
      <c r="N184" s="126">
        <v>8.649756</v>
      </c>
      <c r="O184" s="126">
        <v>8.7632680000000001</v>
      </c>
      <c r="P184" s="126">
        <v>8.9898070000000008</v>
      </c>
      <c r="Q184" s="126">
        <v>9.1897099999999998</v>
      </c>
      <c r="R184" s="126">
        <v>9.3693430000000006</v>
      </c>
      <c r="S184" s="126">
        <v>9.484864</v>
      </c>
      <c r="T184" s="126">
        <v>9.5156530000000004</v>
      </c>
      <c r="U184" s="126">
        <v>9.5301369999999999</v>
      </c>
      <c r="V184" s="126">
        <v>9.5297319999999992</v>
      </c>
      <c r="W184" s="126">
        <v>9.5296690000000002</v>
      </c>
      <c r="X184" s="126">
        <v>9.5299200000000006</v>
      </c>
      <c r="Y184" s="126">
        <v>9.5304579999999994</v>
      </c>
      <c r="Z184" s="126">
        <v>9.5312669999999997</v>
      </c>
      <c r="AA184" s="126">
        <v>9.5330080000000006</v>
      </c>
      <c r="AB184" s="126">
        <v>9.5342169999999999</v>
      </c>
      <c r="AC184" s="126">
        <v>9.5357909999999997</v>
      </c>
      <c r="AD184" s="126">
        <v>9.5376049999999992</v>
      </c>
      <c r="AE184" s="126">
        <v>9.5394389999999998</v>
      </c>
      <c r="AF184" s="126">
        <v>9.5414919999999999</v>
      </c>
      <c r="AG184" s="126">
        <v>9.5442389999999993</v>
      </c>
      <c r="AH184" s="126">
        <v>9.5472380000000001</v>
      </c>
      <c r="AI184" s="126">
        <v>9.5502880000000001</v>
      </c>
      <c r="AJ184" s="126">
        <v>9.5537770000000002</v>
      </c>
      <c r="AK184" s="126">
        <v>9.5575220000000005</v>
      </c>
      <c r="AL184" s="115">
        <v>0.01</v>
      </c>
    </row>
    <row r="185" spans="2:38">
      <c r="B185" s="126" t="s">
        <v>2548</v>
      </c>
      <c r="C185" s="126" t="s">
        <v>2891</v>
      </c>
      <c r="D185" s="126" t="s">
        <v>3237</v>
      </c>
      <c r="E185" s="126" t="s">
        <v>2759</v>
      </c>
      <c r="F185" s="126">
        <v>7.011361</v>
      </c>
      <c r="G185" s="126">
        <v>7.0356009999999998</v>
      </c>
      <c r="H185" s="126">
        <v>7.2574319999999997</v>
      </c>
      <c r="I185" s="126">
        <v>7.3692260000000003</v>
      </c>
      <c r="J185" s="126">
        <v>7.5038590000000003</v>
      </c>
      <c r="K185" s="126">
        <v>7.6688330000000002</v>
      </c>
      <c r="L185" s="126">
        <v>7.8648199999999999</v>
      </c>
      <c r="M185" s="126">
        <v>8.0723839999999996</v>
      </c>
      <c r="N185" s="126">
        <v>8.3035549999999994</v>
      </c>
      <c r="O185" s="126">
        <v>8.3870310000000003</v>
      </c>
      <c r="P185" s="126">
        <v>8.5929029999999997</v>
      </c>
      <c r="Q185" s="126">
        <v>8.7792209999999997</v>
      </c>
      <c r="R185" s="126">
        <v>8.9525780000000008</v>
      </c>
      <c r="S185" s="126">
        <v>9.0719580000000004</v>
      </c>
      <c r="T185" s="126">
        <v>9.1197920000000003</v>
      </c>
      <c r="U185" s="126">
        <v>9.1619659999999996</v>
      </c>
      <c r="V185" s="126">
        <v>9.1619659999999996</v>
      </c>
      <c r="W185" s="126">
        <v>9.1619659999999996</v>
      </c>
      <c r="X185" s="126">
        <v>9.1619659999999996</v>
      </c>
      <c r="Y185" s="126">
        <v>9.1619670000000006</v>
      </c>
      <c r="Z185" s="126">
        <v>9.1619659999999996</v>
      </c>
      <c r="AA185" s="126">
        <v>9.1619659999999996</v>
      </c>
      <c r="AB185" s="126">
        <v>9.1619659999999996</v>
      </c>
      <c r="AC185" s="126">
        <v>9.1619670000000006</v>
      </c>
      <c r="AD185" s="126">
        <v>9.1619650000000004</v>
      </c>
      <c r="AE185" s="126">
        <v>9.1619659999999996</v>
      </c>
      <c r="AF185" s="126">
        <v>9.1619659999999996</v>
      </c>
      <c r="AG185" s="126">
        <v>9.1619659999999996</v>
      </c>
      <c r="AH185" s="126">
        <v>9.1619659999999996</v>
      </c>
      <c r="AI185" s="126">
        <v>9.1619670000000006</v>
      </c>
      <c r="AJ185" s="126">
        <v>9.1619659999999996</v>
      </c>
      <c r="AK185" s="126">
        <v>9.1619670000000006</v>
      </c>
      <c r="AL185" s="115">
        <v>8.9999999999999993E-3</v>
      </c>
    </row>
    <row r="186" spans="2:38">
      <c r="B186" s="126" t="s">
        <v>1577</v>
      </c>
      <c r="C186" s="126" t="s">
        <v>2893</v>
      </c>
      <c r="D186" s="126" t="s">
        <v>3238</v>
      </c>
      <c r="E186" s="126" t="s">
        <v>1718</v>
      </c>
      <c r="F186" s="126">
        <v>16.819813</v>
      </c>
      <c r="G186" s="126">
        <v>16.819811000000001</v>
      </c>
      <c r="H186" s="126">
        <v>17.332964</v>
      </c>
      <c r="I186" s="126">
        <v>17.523845999999999</v>
      </c>
      <c r="J186" s="126">
        <v>17.778500000000001</v>
      </c>
      <c r="K186" s="126">
        <v>18.107296000000002</v>
      </c>
      <c r="L186" s="126">
        <v>18.519144000000001</v>
      </c>
      <c r="M186" s="126">
        <v>19.020229</v>
      </c>
      <c r="N186" s="126">
        <v>19.603190999999999</v>
      </c>
      <c r="O186" s="126">
        <v>19.843729</v>
      </c>
      <c r="P186" s="126">
        <v>20.240113999999998</v>
      </c>
      <c r="Q186" s="126">
        <v>20.605962999999999</v>
      </c>
      <c r="R186" s="126">
        <v>20.924910000000001</v>
      </c>
      <c r="S186" s="126">
        <v>21.073983999999999</v>
      </c>
      <c r="T186" s="126">
        <v>21.054535000000001</v>
      </c>
      <c r="U186" s="126">
        <v>21.032782000000001</v>
      </c>
      <c r="V186" s="126">
        <v>21.003737999999998</v>
      </c>
      <c r="W186" s="126">
        <v>20.977208999999998</v>
      </c>
      <c r="X186" s="126">
        <v>20.953341000000002</v>
      </c>
      <c r="Y186" s="126">
        <v>20.931951999999999</v>
      </c>
      <c r="Z186" s="126">
        <v>20.912388</v>
      </c>
      <c r="AA186" s="126">
        <v>20.894171</v>
      </c>
      <c r="AB186" s="126">
        <v>20.877295</v>
      </c>
      <c r="AC186" s="126">
        <v>20.862269999999999</v>
      </c>
      <c r="AD186" s="126">
        <v>20.847926999999999</v>
      </c>
      <c r="AE186" s="126">
        <v>20.834236000000001</v>
      </c>
      <c r="AF186" s="126">
        <v>20.821149999999999</v>
      </c>
      <c r="AG186" s="126">
        <v>20.808759999999999</v>
      </c>
      <c r="AH186" s="126">
        <v>20.797305999999999</v>
      </c>
      <c r="AI186" s="126">
        <v>20.785789000000001</v>
      </c>
      <c r="AJ186" s="126">
        <v>20.774338</v>
      </c>
      <c r="AK186" s="126">
        <v>20.763107000000002</v>
      </c>
      <c r="AL186" s="115">
        <v>7.0000000000000001E-3</v>
      </c>
    </row>
    <row r="187" spans="2:38">
      <c r="B187" s="126" t="s">
        <v>2549</v>
      </c>
      <c r="C187" s="126" t="s">
        <v>2895</v>
      </c>
      <c r="D187" s="126" t="s">
        <v>3239</v>
      </c>
      <c r="E187" s="126" t="s">
        <v>1718</v>
      </c>
      <c r="F187" s="126">
        <v>0</v>
      </c>
      <c r="G187" s="126">
        <v>14.139643</v>
      </c>
      <c r="H187" s="126">
        <v>14.560736</v>
      </c>
      <c r="I187" s="126">
        <v>14.812073</v>
      </c>
      <c r="J187" s="126">
        <v>15.091984999999999</v>
      </c>
      <c r="K187" s="126">
        <v>15.493425999999999</v>
      </c>
      <c r="L187" s="126">
        <v>16.003422</v>
      </c>
      <c r="M187" s="126">
        <v>16.406618000000002</v>
      </c>
      <c r="N187" s="126">
        <v>16.805558999999999</v>
      </c>
      <c r="O187" s="126">
        <v>16.961532999999999</v>
      </c>
      <c r="P187" s="126">
        <v>17.327591000000002</v>
      </c>
      <c r="Q187" s="126">
        <v>17.657979999999998</v>
      </c>
      <c r="R187" s="126">
        <v>17.941500000000001</v>
      </c>
      <c r="S187" s="126">
        <v>18.122885</v>
      </c>
      <c r="T187" s="126">
        <v>18.205462000000001</v>
      </c>
      <c r="U187" s="126">
        <v>18.216125000000002</v>
      </c>
      <c r="V187" s="126">
        <v>18.144575</v>
      </c>
      <c r="W187" s="126">
        <v>18.154316000000001</v>
      </c>
      <c r="X187" s="126">
        <v>18.16431</v>
      </c>
      <c r="Y187" s="126">
        <v>18.177004</v>
      </c>
      <c r="Z187" s="126">
        <v>18.192522</v>
      </c>
      <c r="AA187" s="126">
        <v>18.210830999999999</v>
      </c>
      <c r="AB187" s="126">
        <v>18.231477999999999</v>
      </c>
      <c r="AC187" s="126">
        <v>18.25367</v>
      </c>
      <c r="AD187" s="126">
        <v>18.276084999999998</v>
      </c>
      <c r="AE187" s="126">
        <v>18.297663</v>
      </c>
      <c r="AF187" s="126">
        <v>18.317194000000001</v>
      </c>
      <c r="AG187" s="126">
        <v>18.33419</v>
      </c>
      <c r="AH187" s="126">
        <v>18.348655999999998</v>
      </c>
      <c r="AI187" s="126">
        <v>18.359971999999999</v>
      </c>
      <c r="AJ187" s="126">
        <v>18.369185999999999</v>
      </c>
      <c r="AK187" s="126">
        <v>18.37031</v>
      </c>
      <c r="AL187" s="126" t="s">
        <v>146</v>
      </c>
    </row>
    <row r="188" spans="2:38">
      <c r="B188" s="126" t="s">
        <v>2550</v>
      </c>
      <c r="C188" s="126" t="s">
        <v>2897</v>
      </c>
      <c r="D188" s="126" t="s">
        <v>3240</v>
      </c>
      <c r="E188" s="126" t="s">
        <v>1718</v>
      </c>
      <c r="F188" s="126">
        <v>0</v>
      </c>
      <c r="G188" s="126">
        <v>10.285843</v>
      </c>
      <c r="H188" s="126">
        <v>10.642523000000001</v>
      </c>
      <c r="I188" s="126">
        <v>10.791689999999999</v>
      </c>
      <c r="J188" s="126">
        <v>10.992084999999999</v>
      </c>
      <c r="K188" s="126">
        <v>11.248923</v>
      </c>
      <c r="L188" s="126">
        <v>11.562239</v>
      </c>
      <c r="M188" s="126">
        <v>11.907316</v>
      </c>
      <c r="N188" s="126">
        <v>12.301043999999999</v>
      </c>
      <c r="O188" s="126">
        <v>12.421396</v>
      </c>
      <c r="P188" s="126">
        <v>12.696766999999999</v>
      </c>
      <c r="Q188" s="126">
        <v>12.936673000000001</v>
      </c>
      <c r="R188" s="126">
        <v>13.140245</v>
      </c>
      <c r="S188" s="126">
        <v>13.253111000000001</v>
      </c>
      <c r="T188" s="126">
        <v>13.249378</v>
      </c>
      <c r="U188" s="126">
        <v>13.245314</v>
      </c>
      <c r="V188" s="126">
        <v>13.238481</v>
      </c>
      <c r="W188" s="126">
        <v>13.22791</v>
      </c>
      <c r="X188" s="126">
        <v>13.215125</v>
      </c>
      <c r="Y188" s="126">
        <v>13.204836</v>
      </c>
      <c r="Z188" s="126">
        <v>13.196527</v>
      </c>
      <c r="AA188" s="126">
        <v>13.189848</v>
      </c>
      <c r="AB188" s="126">
        <v>13.184763999999999</v>
      </c>
      <c r="AC188" s="126">
        <v>13.181134999999999</v>
      </c>
      <c r="AD188" s="126">
        <v>13.178622000000001</v>
      </c>
      <c r="AE188" s="126">
        <v>13.176952999999999</v>
      </c>
      <c r="AF188" s="126">
        <v>13.176123</v>
      </c>
      <c r="AG188" s="126">
        <v>13.154303000000001</v>
      </c>
      <c r="AH188" s="126">
        <v>13.178609</v>
      </c>
      <c r="AI188" s="126">
        <v>13.212623000000001</v>
      </c>
      <c r="AJ188" s="126">
        <v>13.265437</v>
      </c>
      <c r="AK188" s="126">
        <v>13.330511</v>
      </c>
      <c r="AL188" s="126" t="s">
        <v>146</v>
      </c>
    </row>
    <row r="189" spans="2:38">
      <c r="B189" s="126" t="s">
        <v>1581</v>
      </c>
      <c r="C189" s="126" t="s">
        <v>2899</v>
      </c>
      <c r="D189" s="126" t="s">
        <v>3241</v>
      </c>
      <c r="E189" s="126" t="s">
        <v>1718</v>
      </c>
      <c r="F189" s="126">
        <v>0</v>
      </c>
      <c r="G189" s="126">
        <v>11.520413</v>
      </c>
      <c r="H189" s="126">
        <v>11.520413</v>
      </c>
      <c r="I189" s="126">
        <v>11.520414000000001</v>
      </c>
      <c r="J189" s="126">
        <v>11.520415</v>
      </c>
      <c r="K189" s="126">
        <v>11.520415</v>
      </c>
      <c r="L189" s="126">
        <v>11.520414000000001</v>
      </c>
      <c r="M189" s="126">
        <v>11.520415</v>
      </c>
      <c r="N189" s="126">
        <v>11.520415</v>
      </c>
      <c r="O189" s="126">
        <v>11.520414000000001</v>
      </c>
      <c r="P189" s="126">
        <v>11.520415</v>
      </c>
      <c r="Q189" s="126">
        <v>11.520415</v>
      </c>
      <c r="R189" s="126">
        <v>11.520415</v>
      </c>
      <c r="S189" s="126">
        <v>11.520414000000001</v>
      </c>
      <c r="T189" s="126">
        <v>11.520414000000001</v>
      </c>
      <c r="U189" s="126">
        <v>11.520415</v>
      </c>
      <c r="V189" s="126">
        <v>11.520414000000001</v>
      </c>
      <c r="W189" s="126">
        <v>11.520414000000001</v>
      </c>
      <c r="X189" s="126">
        <v>11.520414000000001</v>
      </c>
      <c r="Y189" s="126">
        <v>11.520415</v>
      </c>
      <c r="Z189" s="126">
        <v>11.520414000000001</v>
      </c>
      <c r="AA189" s="126">
        <v>11.520415</v>
      </c>
      <c r="AB189" s="126">
        <v>11.520414000000001</v>
      </c>
      <c r="AC189" s="126">
        <v>11.520414000000001</v>
      </c>
      <c r="AD189" s="126">
        <v>11.520414000000001</v>
      </c>
      <c r="AE189" s="126">
        <v>11.520415</v>
      </c>
      <c r="AF189" s="126">
        <v>11.520414000000001</v>
      </c>
      <c r="AG189" s="126">
        <v>11.520413</v>
      </c>
      <c r="AH189" s="126">
        <v>11.520414000000001</v>
      </c>
      <c r="AI189" s="126">
        <v>11.520415</v>
      </c>
      <c r="AJ189" s="126">
        <v>11.520415</v>
      </c>
      <c r="AK189" s="126">
        <v>11.520413</v>
      </c>
      <c r="AL189" s="126" t="s">
        <v>146</v>
      </c>
    </row>
    <row r="190" spans="2:38">
      <c r="B190" s="126" t="s">
        <v>2559</v>
      </c>
      <c r="C190" s="126" t="s">
        <v>2901</v>
      </c>
      <c r="D190" s="126" t="s">
        <v>3242</v>
      </c>
      <c r="F190" s="126">
        <v>8.8458699999999997</v>
      </c>
      <c r="G190" s="126">
        <v>8.8800129999999999</v>
      </c>
      <c r="H190" s="126">
        <v>9.1656969999999998</v>
      </c>
      <c r="I190" s="126">
        <v>9.3301110000000005</v>
      </c>
      <c r="J190" s="126">
        <v>9.5294550000000005</v>
      </c>
      <c r="K190" s="126">
        <v>9.7733670000000004</v>
      </c>
      <c r="L190" s="126">
        <v>10.056069000000001</v>
      </c>
      <c r="M190" s="126">
        <v>10.343097999999999</v>
      </c>
      <c r="N190" s="126">
        <v>10.656442</v>
      </c>
      <c r="O190" s="126">
        <v>10.799242</v>
      </c>
      <c r="P190" s="126">
        <v>11.073076</v>
      </c>
      <c r="Q190" s="126">
        <v>11.320938</v>
      </c>
      <c r="R190" s="126">
        <v>11.553153</v>
      </c>
      <c r="S190" s="126">
        <v>11.685980000000001</v>
      </c>
      <c r="T190" s="126">
        <v>11.702640000000001</v>
      </c>
      <c r="U190" s="126">
        <v>11.718913000000001</v>
      </c>
      <c r="V190" s="126">
        <v>11.692606</v>
      </c>
      <c r="W190" s="126">
        <v>11.698216</v>
      </c>
      <c r="X190" s="126">
        <v>11.704905999999999</v>
      </c>
      <c r="Y190" s="126">
        <v>11.712166</v>
      </c>
      <c r="Z190" s="126">
        <v>11.719282</v>
      </c>
      <c r="AA190" s="126">
        <v>11.72578</v>
      </c>
      <c r="AB190" s="126">
        <v>11.731474</v>
      </c>
      <c r="AC190" s="126">
        <v>11.737812</v>
      </c>
      <c r="AD190" s="126">
        <v>11.741222</v>
      </c>
      <c r="AE190" s="126">
        <v>11.744752999999999</v>
      </c>
      <c r="AF190" s="126">
        <v>11.748391</v>
      </c>
      <c r="AG190" s="126">
        <v>11.752133000000001</v>
      </c>
      <c r="AH190" s="126">
        <v>11.755996</v>
      </c>
      <c r="AI190" s="126">
        <v>11.759956000000001</v>
      </c>
      <c r="AJ190" s="126">
        <v>11.764036000000001</v>
      </c>
      <c r="AK190" s="126">
        <v>11.768231</v>
      </c>
      <c r="AL190" s="115">
        <v>8.9999999999999993E-3</v>
      </c>
    </row>
    <row r="191" spans="2:38">
      <c r="B191" s="126" t="s">
        <v>2553</v>
      </c>
      <c r="D191" s="126" t="s">
        <v>3243</v>
      </c>
    </row>
    <row r="192" spans="2:38">
      <c r="B192" s="126" t="s">
        <v>1266</v>
      </c>
      <c r="C192" s="126" t="s">
        <v>2904</v>
      </c>
      <c r="D192" s="126" t="s">
        <v>3244</v>
      </c>
      <c r="E192" s="126" t="s">
        <v>2729</v>
      </c>
      <c r="F192" s="126">
        <v>6.2325189999999999</v>
      </c>
      <c r="G192" s="126">
        <v>6.2807219999999999</v>
      </c>
      <c r="H192" s="126">
        <v>6.3487799999999996</v>
      </c>
      <c r="I192" s="126">
        <v>6.4592390000000002</v>
      </c>
      <c r="J192" s="126">
        <v>6.5814890000000004</v>
      </c>
      <c r="K192" s="126">
        <v>6.7364750000000004</v>
      </c>
      <c r="L192" s="126">
        <v>6.9128429999999996</v>
      </c>
      <c r="M192" s="126">
        <v>7.1062729999999998</v>
      </c>
      <c r="N192" s="126">
        <v>7.3048200000000003</v>
      </c>
      <c r="O192" s="126">
        <v>7.4072100000000001</v>
      </c>
      <c r="P192" s="126">
        <v>7.5498659999999997</v>
      </c>
      <c r="Q192" s="126">
        <v>7.6694149999999999</v>
      </c>
      <c r="R192" s="126">
        <v>7.7749240000000004</v>
      </c>
      <c r="S192" s="126">
        <v>7.8383240000000001</v>
      </c>
      <c r="T192" s="126">
        <v>7.8471390000000003</v>
      </c>
      <c r="U192" s="126">
        <v>7.8518119999999998</v>
      </c>
      <c r="V192" s="126">
        <v>7.8540320000000001</v>
      </c>
      <c r="W192" s="126">
        <v>7.8594980000000003</v>
      </c>
      <c r="X192" s="126">
        <v>7.8607889999999996</v>
      </c>
      <c r="Y192" s="126">
        <v>7.8628609999999997</v>
      </c>
      <c r="Z192" s="126">
        <v>7.8650349999999998</v>
      </c>
      <c r="AA192" s="126">
        <v>7.8570500000000001</v>
      </c>
      <c r="AB192" s="126">
        <v>7.8601799999999997</v>
      </c>
      <c r="AC192" s="126">
        <v>7.8641920000000001</v>
      </c>
      <c r="AD192" s="126">
        <v>7.8690360000000004</v>
      </c>
      <c r="AE192" s="126">
        <v>7.8742210000000004</v>
      </c>
      <c r="AF192" s="126">
        <v>7.8798190000000004</v>
      </c>
      <c r="AG192" s="126">
        <v>7.8855050000000002</v>
      </c>
      <c r="AH192" s="126">
        <v>7.8908719999999999</v>
      </c>
      <c r="AI192" s="126">
        <v>7.8953519999999999</v>
      </c>
      <c r="AJ192" s="126">
        <v>7.8990919999999996</v>
      </c>
      <c r="AK192" s="126">
        <v>7.9021860000000004</v>
      </c>
      <c r="AL192" s="115">
        <v>8.0000000000000002E-3</v>
      </c>
    </row>
    <row r="193" spans="2:38">
      <c r="B193" s="126" t="s">
        <v>1352</v>
      </c>
      <c r="C193" s="126" t="s">
        <v>2906</v>
      </c>
      <c r="D193" s="126" t="s">
        <v>3245</v>
      </c>
      <c r="E193" s="126" t="s">
        <v>1718</v>
      </c>
      <c r="F193" s="126">
        <v>6.020702</v>
      </c>
      <c r="G193" s="126">
        <v>6.054856</v>
      </c>
      <c r="H193" s="126">
        <v>6.2114760000000002</v>
      </c>
      <c r="I193" s="126">
        <v>6.3087010000000001</v>
      </c>
      <c r="J193" s="126">
        <v>6.4235530000000001</v>
      </c>
      <c r="K193" s="126">
        <v>6.5529989999999998</v>
      </c>
      <c r="L193" s="126">
        <v>6.6987959999999998</v>
      </c>
      <c r="M193" s="126">
        <v>6.8489579999999997</v>
      </c>
      <c r="N193" s="126">
        <v>6.9989400000000002</v>
      </c>
      <c r="O193" s="126">
        <v>7.0536630000000002</v>
      </c>
      <c r="P193" s="126">
        <v>7.1696350000000004</v>
      </c>
      <c r="Q193" s="126">
        <v>7.2810740000000003</v>
      </c>
      <c r="R193" s="126">
        <v>7.3830869999999997</v>
      </c>
      <c r="S193" s="126">
        <v>7.4435370000000001</v>
      </c>
      <c r="T193" s="126">
        <v>7.4508479999999997</v>
      </c>
      <c r="U193" s="126">
        <v>7.4517550000000004</v>
      </c>
      <c r="V193" s="126">
        <v>7.4497450000000001</v>
      </c>
      <c r="W193" s="126">
        <v>7.4475150000000001</v>
      </c>
      <c r="X193" s="126">
        <v>7.4457719999999998</v>
      </c>
      <c r="Y193" s="126">
        <v>7.4444710000000001</v>
      </c>
      <c r="Z193" s="126">
        <v>7.4435580000000003</v>
      </c>
      <c r="AA193" s="126">
        <v>7.4429829999999999</v>
      </c>
      <c r="AB193" s="126">
        <v>7.4427659999999998</v>
      </c>
      <c r="AC193" s="126">
        <v>7.416048</v>
      </c>
      <c r="AD193" s="126">
        <v>7.4204160000000003</v>
      </c>
      <c r="AE193" s="126">
        <v>7.4259050000000002</v>
      </c>
      <c r="AF193" s="126">
        <v>7.4326689999999997</v>
      </c>
      <c r="AG193" s="126">
        <v>7.4406359999999996</v>
      </c>
      <c r="AH193" s="126">
        <v>7.4496909999999996</v>
      </c>
      <c r="AI193" s="126">
        <v>7.4591969999999996</v>
      </c>
      <c r="AJ193" s="126">
        <v>7.4689189999999996</v>
      </c>
      <c r="AK193" s="126">
        <v>7.4781190000000004</v>
      </c>
      <c r="AL193" s="115">
        <v>7.0000000000000001E-3</v>
      </c>
    </row>
    <row r="194" spans="2:38">
      <c r="B194" s="126" t="s">
        <v>1273</v>
      </c>
      <c r="C194" s="126" t="s">
        <v>2908</v>
      </c>
      <c r="D194" s="126" t="s">
        <v>3246</v>
      </c>
      <c r="E194" s="126" t="s">
        <v>1718</v>
      </c>
      <c r="F194" s="126">
        <v>6.2882499999999997</v>
      </c>
      <c r="G194" s="126">
        <v>6.3179600000000002</v>
      </c>
      <c r="H194" s="126">
        <v>6.4891230000000002</v>
      </c>
      <c r="I194" s="126">
        <v>6.5908939999999996</v>
      </c>
      <c r="J194" s="126">
        <v>6.7208959999999998</v>
      </c>
      <c r="K194" s="126">
        <v>6.8815150000000003</v>
      </c>
      <c r="L194" s="126">
        <v>7.0626939999999996</v>
      </c>
      <c r="M194" s="126">
        <v>7.2303360000000003</v>
      </c>
      <c r="N194" s="126">
        <v>7.4034659999999999</v>
      </c>
      <c r="O194" s="126">
        <v>7.4640149999999998</v>
      </c>
      <c r="P194" s="126">
        <v>7.6072559999999996</v>
      </c>
      <c r="Q194" s="126">
        <v>7.7269930000000002</v>
      </c>
      <c r="R194" s="126">
        <v>7.8288859999999998</v>
      </c>
      <c r="S194" s="126">
        <v>7.8878360000000001</v>
      </c>
      <c r="T194" s="126">
        <v>7.8984120000000004</v>
      </c>
      <c r="U194" s="126">
        <v>7.8995879999999996</v>
      </c>
      <c r="V194" s="126">
        <v>7.8817399999999997</v>
      </c>
      <c r="W194" s="126">
        <v>7.8580610000000002</v>
      </c>
      <c r="X194" s="126">
        <v>7.8372330000000003</v>
      </c>
      <c r="Y194" s="126">
        <v>7.8157629999999996</v>
      </c>
      <c r="Z194" s="126">
        <v>7.7952839999999997</v>
      </c>
      <c r="AA194" s="126">
        <v>7.7758260000000003</v>
      </c>
      <c r="AB194" s="126">
        <v>7.758254</v>
      </c>
      <c r="AC194" s="126">
        <v>7.7411940000000001</v>
      </c>
      <c r="AD194" s="126">
        <v>7.7234090000000002</v>
      </c>
      <c r="AE194" s="126">
        <v>7.7059189999999997</v>
      </c>
      <c r="AF194" s="126">
        <v>7.6889700000000003</v>
      </c>
      <c r="AG194" s="126">
        <v>7.6732680000000002</v>
      </c>
      <c r="AH194" s="126">
        <v>7.6585270000000003</v>
      </c>
      <c r="AI194" s="126">
        <v>7.6449100000000003</v>
      </c>
      <c r="AJ194" s="126">
        <v>7.6302320000000003</v>
      </c>
      <c r="AK194" s="126">
        <v>7.6149399999999998</v>
      </c>
      <c r="AL194" s="115">
        <v>6.0000000000000001E-3</v>
      </c>
    </row>
    <row r="195" spans="2:38">
      <c r="B195" s="126" t="s">
        <v>1282</v>
      </c>
      <c r="C195" s="126" t="s">
        <v>2910</v>
      </c>
      <c r="D195" s="126" t="s">
        <v>3247</v>
      </c>
      <c r="E195" s="126" t="s">
        <v>2729</v>
      </c>
      <c r="F195" s="126">
        <v>5.6803710000000001</v>
      </c>
      <c r="G195" s="126">
        <v>5.7381320000000002</v>
      </c>
      <c r="H195" s="126">
        <v>5.8827509999999998</v>
      </c>
      <c r="I195" s="126">
        <v>6.0110659999999996</v>
      </c>
      <c r="J195" s="126">
        <v>6.1596970000000004</v>
      </c>
      <c r="K195" s="126">
        <v>6.3395739999999998</v>
      </c>
      <c r="L195" s="126">
        <v>6.5388570000000001</v>
      </c>
      <c r="M195" s="126">
        <v>6.7383490000000004</v>
      </c>
      <c r="N195" s="126">
        <v>6.9346909999999999</v>
      </c>
      <c r="O195" s="126">
        <v>7.0159859999999998</v>
      </c>
      <c r="P195" s="126">
        <v>7.1624080000000001</v>
      </c>
      <c r="Q195" s="126">
        <v>7.2814370000000004</v>
      </c>
      <c r="R195" s="126">
        <v>7.3848060000000002</v>
      </c>
      <c r="S195" s="126">
        <v>7.4487290000000002</v>
      </c>
      <c r="T195" s="126">
        <v>7.4649109999999999</v>
      </c>
      <c r="U195" s="126">
        <v>7.4715850000000001</v>
      </c>
      <c r="V195" s="126">
        <v>7.4658680000000004</v>
      </c>
      <c r="W195" s="126">
        <v>7.4614669999999998</v>
      </c>
      <c r="X195" s="126">
        <v>7.456175</v>
      </c>
      <c r="Y195" s="126">
        <v>7.4479220000000002</v>
      </c>
      <c r="Z195" s="126">
        <v>7.4452819999999997</v>
      </c>
      <c r="AA195" s="126">
        <v>7.4441800000000002</v>
      </c>
      <c r="AB195" s="126">
        <v>7.4464170000000003</v>
      </c>
      <c r="AC195" s="126">
        <v>7.4441379999999997</v>
      </c>
      <c r="AD195" s="126">
        <v>7.4425520000000001</v>
      </c>
      <c r="AE195" s="126">
        <v>7.4490809999999996</v>
      </c>
      <c r="AF195" s="126">
        <v>7.454599</v>
      </c>
      <c r="AG195" s="126">
        <v>7.4599010000000003</v>
      </c>
      <c r="AH195" s="126">
        <v>7.4650449999999999</v>
      </c>
      <c r="AI195" s="126">
        <v>7.4698560000000001</v>
      </c>
      <c r="AJ195" s="126">
        <v>7.4745990000000004</v>
      </c>
      <c r="AK195" s="126">
        <v>7.4782359999999999</v>
      </c>
      <c r="AL195" s="115">
        <v>8.9999999999999993E-3</v>
      </c>
    </row>
    <row r="196" spans="2:38">
      <c r="B196" s="126" t="s">
        <v>2548</v>
      </c>
      <c r="C196" s="126" t="s">
        <v>2912</v>
      </c>
      <c r="D196" s="126" t="s">
        <v>3248</v>
      </c>
      <c r="E196" s="126" t="s">
        <v>1718</v>
      </c>
      <c r="F196" s="126">
        <v>0</v>
      </c>
      <c r="G196" s="126">
        <v>0</v>
      </c>
      <c r="H196" s="126">
        <v>0</v>
      </c>
      <c r="I196" s="126">
        <v>0</v>
      </c>
      <c r="J196" s="126">
        <v>0</v>
      </c>
      <c r="K196" s="126">
        <v>0</v>
      </c>
      <c r="L196" s="126">
        <v>0</v>
      </c>
      <c r="M196" s="126">
        <v>0</v>
      </c>
      <c r="N196" s="126">
        <v>0</v>
      </c>
      <c r="O196" s="126">
        <v>0</v>
      </c>
      <c r="P196" s="126">
        <v>0</v>
      </c>
      <c r="Q196" s="126">
        <v>0</v>
      </c>
      <c r="R196" s="126">
        <v>0</v>
      </c>
      <c r="S196" s="126">
        <v>0</v>
      </c>
      <c r="T196" s="126">
        <v>0</v>
      </c>
      <c r="U196" s="126">
        <v>0</v>
      </c>
      <c r="V196" s="126">
        <v>0</v>
      </c>
      <c r="W196" s="126">
        <v>0</v>
      </c>
      <c r="X196" s="126">
        <v>0</v>
      </c>
      <c r="Y196" s="126">
        <v>0</v>
      </c>
      <c r="Z196" s="126">
        <v>0</v>
      </c>
      <c r="AA196" s="126">
        <v>0</v>
      </c>
      <c r="AB196" s="126">
        <v>0</v>
      </c>
      <c r="AC196" s="126">
        <v>0</v>
      </c>
      <c r="AD196" s="126">
        <v>0</v>
      </c>
      <c r="AE196" s="126">
        <v>0</v>
      </c>
      <c r="AF196" s="126">
        <v>0</v>
      </c>
      <c r="AG196" s="126">
        <v>0</v>
      </c>
      <c r="AH196" s="126">
        <v>0</v>
      </c>
      <c r="AI196" s="126">
        <v>0</v>
      </c>
      <c r="AJ196" s="126">
        <v>0</v>
      </c>
      <c r="AK196" s="126">
        <v>0</v>
      </c>
      <c r="AL196" s="126" t="s">
        <v>146</v>
      </c>
    </row>
    <row r="197" spans="2:38">
      <c r="B197" s="126" t="s">
        <v>1577</v>
      </c>
      <c r="C197" s="126" t="s">
        <v>2914</v>
      </c>
      <c r="D197" s="126" t="s">
        <v>3249</v>
      </c>
      <c r="E197" s="126" t="s">
        <v>2729</v>
      </c>
      <c r="F197" s="126">
        <v>0</v>
      </c>
      <c r="G197" s="126">
        <v>7.2611169999999996</v>
      </c>
      <c r="H197" s="126">
        <v>10.523218</v>
      </c>
      <c r="I197" s="126">
        <v>10.619534</v>
      </c>
      <c r="J197" s="126">
        <v>10.746943</v>
      </c>
      <c r="K197" s="126">
        <v>10.911422999999999</v>
      </c>
      <c r="L197" s="126">
        <v>11.116792</v>
      </c>
      <c r="M197" s="126">
        <v>11.364324</v>
      </c>
      <c r="N197" s="126">
        <v>11.630466</v>
      </c>
      <c r="O197" s="126">
        <v>11.746672</v>
      </c>
      <c r="P197" s="126">
        <v>11.963158</v>
      </c>
      <c r="Q197" s="126">
        <v>12.154007999999999</v>
      </c>
      <c r="R197" s="126">
        <v>12.326368</v>
      </c>
      <c r="S197" s="126">
        <v>12.424613000000001</v>
      </c>
      <c r="T197" s="126">
        <v>12.435261000000001</v>
      </c>
      <c r="U197" s="126">
        <v>12.440867000000001</v>
      </c>
      <c r="V197" s="126">
        <v>12.440848000000001</v>
      </c>
      <c r="W197" s="126">
        <v>12.440165</v>
      </c>
      <c r="X197" s="126">
        <v>12.438947000000001</v>
      </c>
      <c r="Y197" s="126">
        <v>12.436631999999999</v>
      </c>
      <c r="Z197" s="126">
        <v>12.432601999999999</v>
      </c>
      <c r="AA197" s="126">
        <v>12.42887</v>
      </c>
      <c r="AB197" s="126">
        <v>12.425395</v>
      </c>
      <c r="AC197" s="126">
        <v>12.422158</v>
      </c>
      <c r="AD197" s="126">
        <v>12.419093999999999</v>
      </c>
      <c r="AE197" s="126">
        <v>12.416136</v>
      </c>
      <c r="AF197" s="126">
        <v>12.413334000000001</v>
      </c>
      <c r="AG197" s="126">
        <v>12.410707</v>
      </c>
      <c r="AH197" s="126">
        <v>12.408324</v>
      </c>
      <c r="AI197" s="126">
        <v>12.405937</v>
      </c>
      <c r="AJ197" s="126">
        <v>12.403605000000001</v>
      </c>
      <c r="AK197" s="126">
        <v>12.401318</v>
      </c>
      <c r="AL197" s="126" t="s">
        <v>146</v>
      </c>
    </row>
    <row r="198" spans="2:38">
      <c r="B198" s="126" t="s">
        <v>2549</v>
      </c>
      <c r="C198" s="126" t="s">
        <v>2916</v>
      </c>
      <c r="D198" s="126" t="s">
        <v>3250</v>
      </c>
      <c r="E198" s="126" t="s">
        <v>2729</v>
      </c>
      <c r="F198" s="126">
        <v>7.8188630000000003</v>
      </c>
      <c r="G198" s="126">
        <v>7.8802349999999999</v>
      </c>
      <c r="H198" s="126">
        <v>8.8315160000000006</v>
      </c>
      <c r="I198" s="126">
        <v>8.9982430000000004</v>
      </c>
      <c r="J198" s="126">
        <v>9.1948709999999991</v>
      </c>
      <c r="K198" s="126">
        <v>9.4335989999999992</v>
      </c>
      <c r="L198" s="126">
        <v>9.6872030000000002</v>
      </c>
      <c r="M198" s="126">
        <v>9.9148779999999999</v>
      </c>
      <c r="N198" s="126">
        <v>10.147164999999999</v>
      </c>
      <c r="O198" s="126">
        <v>10.236751</v>
      </c>
      <c r="P198" s="126">
        <v>10.398289999999999</v>
      </c>
      <c r="Q198" s="126">
        <v>10.54576</v>
      </c>
      <c r="R198" s="126">
        <v>10.682461999999999</v>
      </c>
      <c r="S198" s="126">
        <v>10.756902999999999</v>
      </c>
      <c r="T198" s="126">
        <v>10.755962</v>
      </c>
      <c r="U198" s="126">
        <v>10.750731999999999</v>
      </c>
      <c r="V198" s="126">
        <v>10.745374</v>
      </c>
      <c r="W198" s="126">
        <v>10.740919</v>
      </c>
      <c r="X198" s="126">
        <v>10.674236000000001</v>
      </c>
      <c r="Y198" s="126">
        <v>10.675926</v>
      </c>
      <c r="Z198" s="126">
        <v>10.679314</v>
      </c>
      <c r="AA198" s="126">
        <v>10.684611</v>
      </c>
      <c r="AB198" s="126">
        <v>10.691858999999999</v>
      </c>
      <c r="AC198" s="126">
        <v>10.701027</v>
      </c>
      <c r="AD198" s="126">
        <v>10.711698999999999</v>
      </c>
      <c r="AE198" s="126">
        <v>10.723304000000001</v>
      </c>
      <c r="AF198" s="126">
        <v>10.735106999999999</v>
      </c>
      <c r="AG198" s="126">
        <v>10.746388</v>
      </c>
      <c r="AH198" s="126">
        <v>10.756710999999999</v>
      </c>
      <c r="AI198" s="126">
        <v>10.765407</v>
      </c>
      <c r="AJ198" s="126">
        <v>10.772729</v>
      </c>
      <c r="AK198" s="126">
        <v>10.778655000000001</v>
      </c>
      <c r="AL198" s="115">
        <v>0.01</v>
      </c>
    </row>
    <row r="199" spans="2:38">
      <c r="B199" s="126" t="s">
        <v>2550</v>
      </c>
      <c r="C199" s="126" t="s">
        <v>2918</v>
      </c>
      <c r="D199" s="126" t="s">
        <v>3251</v>
      </c>
      <c r="E199" s="126" t="s">
        <v>1718</v>
      </c>
      <c r="F199" s="126">
        <v>8.6858280000000008</v>
      </c>
      <c r="G199" s="126">
        <v>8.7192220000000002</v>
      </c>
      <c r="H199" s="126">
        <v>9.0971220000000006</v>
      </c>
      <c r="I199" s="126">
        <v>9.2121829999999996</v>
      </c>
      <c r="J199" s="126">
        <v>9.3550059999999995</v>
      </c>
      <c r="K199" s="126">
        <v>9.5341489999999993</v>
      </c>
      <c r="L199" s="126">
        <v>9.7310269999999992</v>
      </c>
      <c r="M199" s="126">
        <v>9.9460569999999997</v>
      </c>
      <c r="N199" s="126">
        <v>10.166195</v>
      </c>
      <c r="O199" s="126">
        <v>10.210354000000001</v>
      </c>
      <c r="P199" s="126">
        <v>10.371880000000001</v>
      </c>
      <c r="Q199" s="126">
        <v>10.521144</v>
      </c>
      <c r="R199" s="126">
        <v>10.654833</v>
      </c>
      <c r="S199" s="126">
        <v>10.747532</v>
      </c>
      <c r="T199" s="126">
        <v>10.783327999999999</v>
      </c>
      <c r="U199" s="126">
        <v>10.775862999999999</v>
      </c>
      <c r="V199" s="126">
        <v>10.769538000000001</v>
      </c>
      <c r="W199" s="126">
        <v>10.764298</v>
      </c>
      <c r="X199" s="126">
        <v>10.759959</v>
      </c>
      <c r="Y199" s="126">
        <v>10.756387999999999</v>
      </c>
      <c r="Z199" s="126">
        <v>10.753463</v>
      </c>
      <c r="AA199" s="126">
        <v>10.751068999999999</v>
      </c>
      <c r="AB199" s="126">
        <v>10.749188999999999</v>
      </c>
      <c r="AC199" s="126">
        <v>10.747778</v>
      </c>
      <c r="AD199" s="126">
        <v>10.746753999999999</v>
      </c>
      <c r="AE199" s="126">
        <v>10.734166</v>
      </c>
      <c r="AF199" s="126">
        <v>10.738203</v>
      </c>
      <c r="AG199" s="126">
        <v>10.743752000000001</v>
      </c>
      <c r="AH199" s="126">
        <v>10.751115</v>
      </c>
      <c r="AI199" s="126">
        <v>10.76018</v>
      </c>
      <c r="AJ199" s="126">
        <v>10.77107</v>
      </c>
      <c r="AK199" s="126">
        <v>10.783237</v>
      </c>
      <c r="AL199" s="115">
        <v>7.0000000000000001E-3</v>
      </c>
    </row>
    <row r="200" spans="2:38">
      <c r="B200" s="126" t="s">
        <v>1581</v>
      </c>
      <c r="C200" s="126" t="s">
        <v>2920</v>
      </c>
      <c r="D200" s="126" t="s">
        <v>3252</v>
      </c>
      <c r="E200" s="126" t="s">
        <v>2729</v>
      </c>
      <c r="F200" s="126">
        <v>6.2527379999999999</v>
      </c>
      <c r="G200" s="126">
        <v>6.2527379999999999</v>
      </c>
      <c r="H200" s="126">
        <v>6.9066599999999996</v>
      </c>
      <c r="I200" s="126">
        <v>6.9066590000000003</v>
      </c>
      <c r="J200" s="126">
        <v>6.9066599999999996</v>
      </c>
      <c r="K200" s="126">
        <v>6.9066599999999996</v>
      </c>
      <c r="L200" s="126">
        <v>6.9066599999999996</v>
      </c>
      <c r="M200" s="126">
        <v>6.9066599999999996</v>
      </c>
      <c r="N200" s="126">
        <v>6.9066599999999996</v>
      </c>
      <c r="O200" s="126">
        <v>6.9066599999999996</v>
      </c>
      <c r="P200" s="126">
        <v>6.9066599999999996</v>
      </c>
      <c r="Q200" s="126">
        <v>6.9066599999999996</v>
      </c>
      <c r="R200" s="126">
        <v>6.9066599999999996</v>
      </c>
      <c r="S200" s="126">
        <v>6.9066599999999996</v>
      </c>
      <c r="T200" s="126">
        <v>6.9066599999999996</v>
      </c>
      <c r="U200" s="126">
        <v>6.9066599999999996</v>
      </c>
      <c r="V200" s="126">
        <v>6.9066599999999996</v>
      </c>
      <c r="W200" s="126">
        <v>6.9066599999999996</v>
      </c>
      <c r="X200" s="126">
        <v>6.9066590000000003</v>
      </c>
      <c r="Y200" s="126">
        <v>6.9066599999999996</v>
      </c>
      <c r="Z200" s="126">
        <v>6.9066599999999996</v>
      </c>
      <c r="AA200" s="126">
        <v>6.9066599999999996</v>
      </c>
      <c r="AB200" s="126">
        <v>6.9066599999999996</v>
      </c>
      <c r="AC200" s="126">
        <v>6.9066599999999996</v>
      </c>
      <c r="AD200" s="126">
        <v>6.9066599999999996</v>
      </c>
      <c r="AE200" s="126">
        <v>6.9066599999999996</v>
      </c>
      <c r="AF200" s="126">
        <v>6.9066599999999996</v>
      </c>
      <c r="AG200" s="126">
        <v>6.9066599999999996</v>
      </c>
      <c r="AH200" s="126">
        <v>6.9066599999999996</v>
      </c>
      <c r="AI200" s="126">
        <v>6.9066599999999996</v>
      </c>
      <c r="AJ200" s="126">
        <v>6.9066599999999996</v>
      </c>
      <c r="AK200" s="126">
        <v>6.9066599999999996</v>
      </c>
      <c r="AL200" s="115">
        <v>3.0000000000000001E-3</v>
      </c>
    </row>
    <row r="201" spans="2:38">
      <c r="B201" s="126" t="s">
        <v>2560</v>
      </c>
      <c r="C201" s="126" t="s">
        <v>2922</v>
      </c>
      <c r="D201" s="126" t="s">
        <v>3253</v>
      </c>
      <c r="F201" s="126">
        <v>6.2240250000000001</v>
      </c>
      <c r="G201" s="126">
        <v>6.2729429999999997</v>
      </c>
      <c r="H201" s="126">
        <v>6.3426729999999996</v>
      </c>
      <c r="I201" s="126">
        <v>6.4537620000000002</v>
      </c>
      <c r="J201" s="126">
        <v>6.57667</v>
      </c>
      <c r="K201" s="126">
        <v>6.7321730000000004</v>
      </c>
      <c r="L201" s="126">
        <v>6.9089549999999997</v>
      </c>
      <c r="M201" s="126">
        <v>7.1025140000000002</v>
      </c>
      <c r="N201" s="126">
        <v>7.3010580000000003</v>
      </c>
      <c r="O201" s="126">
        <v>7.4032</v>
      </c>
      <c r="P201" s="126">
        <v>7.5458230000000004</v>
      </c>
      <c r="Q201" s="126">
        <v>7.6652560000000003</v>
      </c>
      <c r="R201" s="126">
        <v>7.7705950000000001</v>
      </c>
      <c r="S201" s="126">
        <v>7.8338299999999998</v>
      </c>
      <c r="T201" s="126">
        <v>7.842511</v>
      </c>
      <c r="U201" s="126">
        <v>7.8469199999999999</v>
      </c>
      <c r="V201" s="126">
        <v>7.8486380000000002</v>
      </c>
      <c r="W201" s="126">
        <v>7.8534790000000001</v>
      </c>
      <c r="X201" s="126">
        <v>7.8541410000000003</v>
      </c>
      <c r="Y201" s="126">
        <v>7.855467</v>
      </c>
      <c r="Z201" s="126">
        <v>7.8569500000000003</v>
      </c>
      <c r="AA201" s="126">
        <v>7.8484680000000004</v>
      </c>
      <c r="AB201" s="126">
        <v>7.8508069999999996</v>
      </c>
      <c r="AC201" s="126">
        <v>7.8537710000000001</v>
      </c>
      <c r="AD201" s="126">
        <v>7.857532</v>
      </c>
      <c r="AE201" s="126">
        <v>7.8617439999999998</v>
      </c>
      <c r="AF201" s="126">
        <v>7.8662289999999997</v>
      </c>
      <c r="AG201" s="126">
        <v>7.8706800000000001</v>
      </c>
      <c r="AH201" s="126">
        <v>7.8746999999999998</v>
      </c>
      <c r="AI201" s="126">
        <v>7.8777239999999997</v>
      </c>
      <c r="AJ201" s="126">
        <v>7.8798839999999997</v>
      </c>
      <c r="AK201" s="126">
        <v>7.8811739999999997</v>
      </c>
      <c r="AL201" s="115">
        <v>8.0000000000000002E-3</v>
      </c>
    </row>
    <row r="202" spans="2:38">
      <c r="B202" s="126" t="s">
        <v>2561</v>
      </c>
      <c r="C202" s="126" t="s">
        <v>2924</v>
      </c>
      <c r="D202" s="126" t="s">
        <v>3254</v>
      </c>
      <c r="F202" s="126">
        <v>7.3111649999999999</v>
      </c>
      <c r="G202" s="126">
        <v>7.4135179999999998</v>
      </c>
      <c r="H202" s="126">
        <v>7.588508</v>
      </c>
      <c r="I202" s="126">
        <v>7.667783</v>
      </c>
      <c r="J202" s="126">
        <v>7.8341089999999998</v>
      </c>
      <c r="K202" s="126">
        <v>8.0512139999999999</v>
      </c>
      <c r="L202" s="126">
        <v>8.2905730000000002</v>
      </c>
      <c r="M202" s="126">
        <v>8.5358889999999992</v>
      </c>
      <c r="N202" s="126">
        <v>8.7817159999999994</v>
      </c>
      <c r="O202" s="126">
        <v>8.9073770000000003</v>
      </c>
      <c r="P202" s="126">
        <v>9.0877739999999996</v>
      </c>
      <c r="Q202" s="126">
        <v>9.2443469999999994</v>
      </c>
      <c r="R202" s="126">
        <v>9.3895499999999998</v>
      </c>
      <c r="S202" s="126">
        <v>9.4775989999999997</v>
      </c>
      <c r="T202" s="126">
        <v>9.5020480000000003</v>
      </c>
      <c r="U202" s="126">
        <v>9.5276499999999995</v>
      </c>
      <c r="V202" s="126">
        <v>9.5525559999999992</v>
      </c>
      <c r="W202" s="126">
        <v>9.5777789999999996</v>
      </c>
      <c r="X202" s="126">
        <v>9.5893309999999996</v>
      </c>
      <c r="Y202" s="126">
        <v>9.6080400000000008</v>
      </c>
      <c r="Z202" s="126">
        <v>9.6282460000000007</v>
      </c>
      <c r="AA202" s="126">
        <v>9.6326490000000007</v>
      </c>
      <c r="AB202" s="126">
        <v>9.6516249999999992</v>
      </c>
      <c r="AC202" s="126">
        <v>9.6729869999999991</v>
      </c>
      <c r="AD202" s="126">
        <v>9.6892410000000009</v>
      </c>
      <c r="AE202" s="126">
        <v>9.7107320000000001</v>
      </c>
      <c r="AF202" s="126">
        <v>9.7322590000000009</v>
      </c>
      <c r="AG202" s="126">
        <v>9.7545389999999994</v>
      </c>
      <c r="AH202" s="126">
        <v>9.7824010000000001</v>
      </c>
      <c r="AI202" s="126">
        <v>9.8120720000000006</v>
      </c>
      <c r="AJ202" s="126">
        <v>9.8365489999999998</v>
      </c>
      <c r="AK202" s="126">
        <v>9.8703299999999992</v>
      </c>
      <c r="AL202" s="115">
        <v>0.01</v>
      </c>
    </row>
    <row r="203" spans="2:38">
      <c r="B203" s="126" t="s">
        <v>2564</v>
      </c>
      <c r="D203" s="126" t="s">
        <v>3255</v>
      </c>
    </row>
    <row r="204" spans="2:38">
      <c r="B204" s="126" t="s">
        <v>1221</v>
      </c>
      <c r="D204" s="126" t="s">
        <v>3256</v>
      </c>
    </row>
    <row r="205" spans="2:38">
      <c r="B205" s="126" t="s">
        <v>1266</v>
      </c>
      <c r="C205" s="126" t="s">
        <v>2928</v>
      </c>
      <c r="D205" s="126" t="s">
        <v>3257</v>
      </c>
      <c r="E205" s="126" t="s">
        <v>1588</v>
      </c>
      <c r="F205" s="126">
        <v>164.36260999999999</v>
      </c>
      <c r="G205" s="126">
        <v>164.48271199999999</v>
      </c>
      <c r="H205" s="126">
        <v>166.613586</v>
      </c>
      <c r="I205" s="126">
        <v>166.43048099999999</v>
      </c>
      <c r="J205" s="126">
        <v>167.387405</v>
      </c>
      <c r="K205" s="126">
        <v>166.63561999999999</v>
      </c>
      <c r="L205" s="126">
        <v>164.995667</v>
      </c>
      <c r="M205" s="126">
        <v>163.87233000000001</v>
      </c>
      <c r="N205" s="126">
        <v>163.580658</v>
      </c>
      <c r="O205" s="126">
        <v>164.54193100000001</v>
      </c>
      <c r="P205" s="126">
        <v>164.94601399999999</v>
      </c>
      <c r="Q205" s="126">
        <v>164.31268299999999</v>
      </c>
      <c r="R205" s="126">
        <v>164.357437</v>
      </c>
      <c r="S205" s="126">
        <v>164.30628999999999</v>
      </c>
      <c r="T205" s="126">
        <v>163.545883</v>
      </c>
      <c r="U205" s="126">
        <v>162.66987599999999</v>
      </c>
      <c r="V205" s="126">
        <v>162.61914100000001</v>
      </c>
      <c r="W205" s="126">
        <v>163.931015</v>
      </c>
      <c r="X205" s="126">
        <v>164.566956</v>
      </c>
      <c r="Y205" s="126">
        <v>166.01011700000001</v>
      </c>
      <c r="Z205" s="126">
        <v>167.29548600000001</v>
      </c>
      <c r="AA205" s="126">
        <v>167.276703</v>
      </c>
      <c r="AB205" s="126">
        <v>167.45813000000001</v>
      </c>
      <c r="AC205" s="126">
        <v>167.59085099999999</v>
      </c>
      <c r="AD205" s="126">
        <v>167.025757</v>
      </c>
      <c r="AE205" s="126">
        <v>167.691742</v>
      </c>
      <c r="AF205" s="126">
        <v>169.40329</v>
      </c>
      <c r="AG205" s="126">
        <v>170.94072</v>
      </c>
      <c r="AH205" s="126">
        <v>172.28222700000001</v>
      </c>
      <c r="AI205" s="126">
        <v>174.01123000000001</v>
      </c>
      <c r="AJ205" s="126">
        <v>174.67155500000001</v>
      </c>
      <c r="AK205" s="126">
        <v>175.24169900000001</v>
      </c>
      <c r="AL205" s="115">
        <v>2E-3</v>
      </c>
    </row>
    <row r="206" spans="2:38">
      <c r="B206" s="126" t="s">
        <v>1352</v>
      </c>
      <c r="C206" s="126" t="s">
        <v>2930</v>
      </c>
      <c r="D206" s="126" t="s">
        <v>3258</v>
      </c>
      <c r="E206" s="126" t="s">
        <v>1588</v>
      </c>
      <c r="F206" s="126">
        <v>56.661766</v>
      </c>
      <c r="G206" s="126">
        <v>57.895541999999999</v>
      </c>
      <c r="H206" s="126">
        <v>59.828170999999998</v>
      </c>
      <c r="I206" s="126">
        <v>61.060192000000001</v>
      </c>
      <c r="J206" s="126">
        <v>62.771357999999999</v>
      </c>
      <c r="K206" s="126">
        <v>63.828045000000003</v>
      </c>
      <c r="L206" s="126">
        <v>64.340514999999996</v>
      </c>
      <c r="M206" s="126">
        <v>64.956008999999995</v>
      </c>
      <c r="N206" s="126">
        <v>66.137848000000005</v>
      </c>
      <c r="O206" s="126">
        <v>67.145638000000005</v>
      </c>
      <c r="P206" s="126">
        <v>68.504195999999993</v>
      </c>
      <c r="Q206" s="126">
        <v>69.353058000000004</v>
      </c>
      <c r="R206" s="126">
        <v>70.777664000000001</v>
      </c>
      <c r="S206" s="126">
        <v>72.346587999999997</v>
      </c>
      <c r="T206" s="126">
        <v>73.401329000000004</v>
      </c>
      <c r="U206" s="126">
        <v>74.332176000000004</v>
      </c>
      <c r="V206" s="126">
        <v>75.669242999999994</v>
      </c>
      <c r="W206" s="126">
        <v>77.648041000000006</v>
      </c>
      <c r="X206" s="126">
        <v>79.449776</v>
      </c>
      <c r="Y206" s="126">
        <v>81.277145000000004</v>
      </c>
      <c r="Z206" s="126">
        <v>82.473906999999997</v>
      </c>
      <c r="AA206" s="126">
        <v>83.541306000000006</v>
      </c>
      <c r="AB206" s="126">
        <v>84.803787</v>
      </c>
      <c r="AC206" s="126">
        <v>86.188484000000003</v>
      </c>
      <c r="AD206" s="126">
        <v>87.183937</v>
      </c>
      <c r="AE206" s="126">
        <v>88.651687999999993</v>
      </c>
      <c r="AF206" s="126">
        <v>90.772330999999994</v>
      </c>
      <c r="AG206" s="126">
        <v>92.805655999999999</v>
      </c>
      <c r="AH206" s="126">
        <v>94.777244999999994</v>
      </c>
      <c r="AI206" s="126">
        <v>97.141670000000005</v>
      </c>
      <c r="AJ206" s="126">
        <v>98.716071999999997</v>
      </c>
      <c r="AK206" s="126">
        <v>100.14624000000001</v>
      </c>
      <c r="AL206" s="115">
        <v>1.9E-2</v>
      </c>
    </row>
    <row r="207" spans="2:38">
      <c r="B207" s="126" t="s">
        <v>1273</v>
      </c>
      <c r="C207" s="126" t="s">
        <v>2932</v>
      </c>
      <c r="D207" s="126" t="s">
        <v>3259</v>
      </c>
      <c r="E207" s="126" t="s">
        <v>1588</v>
      </c>
      <c r="F207" s="126">
        <v>0.19626199999999999</v>
      </c>
      <c r="G207" s="126">
        <v>0.20455799999999999</v>
      </c>
      <c r="H207" s="126">
        <v>0.214809</v>
      </c>
      <c r="I207" s="126">
        <v>0.22259000000000001</v>
      </c>
      <c r="J207" s="126">
        <v>0.23233400000000001</v>
      </c>
      <c r="K207" s="126">
        <v>0.24010400000000001</v>
      </c>
      <c r="L207" s="126">
        <v>0.24709300000000001</v>
      </c>
      <c r="M207" s="126">
        <v>0.25492799999999999</v>
      </c>
      <c r="N207" s="126">
        <v>0.26434999999999997</v>
      </c>
      <c r="O207" s="126">
        <v>0.27550400000000003</v>
      </c>
      <c r="P207" s="126">
        <v>0.28743600000000002</v>
      </c>
      <c r="Q207" s="126">
        <v>0.29829899999999998</v>
      </c>
      <c r="R207" s="126">
        <v>0.31062299999999998</v>
      </c>
      <c r="S207" s="126">
        <v>0.32356299999999999</v>
      </c>
      <c r="T207" s="126">
        <v>0.33535399999999999</v>
      </c>
      <c r="U207" s="126">
        <v>0.34728399999999998</v>
      </c>
      <c r="V207" s="126">
        <v>0.36157299999999998</v>
      </c>
      <c r="W207" s="126">
        <v>0.37966100000000003</v>
      </c>
      <c r="X207" s="126">
        <v>0.39727200000000001</v>
      </c>
      <c r="Y207" s="126">
        <v>0.41714899999999999</v>
      </c>
      <c r="Z207" s="126">
        <v>0.43823699999999999</v>
      </c>
      <c r="AA207" s="126">
        <v>0.45668500000000001</v>
      </c>
      <c r="AB207" s="126">
        <v>0.476325</v>
      </c>
      <c r="AC207" s="126">
        <v>0.49706899999999998</v>
      </c>
      <c r="AD207" s="126">
        <v>0.51662799999999998</v>
      </c>
      <c r="AE207" s="126">
        <v>0.54138299999999995</v>
      </c>
      <c r="AF207" s="126">
        <v>0.57048900000000002</v>
      </c>
      <c r="AG207" s="126">
        <v>0.60062000000000004</v>
      </c>
      <c r="AH207" s="126">
        <v>0.63182199999999999</v>
      </c>
      <c r="AI207" s="126">
        <v>0.66776899999999995</v>
      </c>
      <c r="AJ207" s="126">
        <v>0.69987999999999995</v>
      </c>
      <c r="AK207" s="126">
        <v>0.73312600000000006</v>
      </c>
      <c r="AL207" s="115">
        <v>4.2999999999999997E-2</v>
      </c>
    </row>
    <row r="208" spans="2:38">
      <c r="B208" s="126" t="s">
        <v>1282</v>
      </c>
      <c r="C208" s="126" t="s">
        <v>2934</v>
      </c>
      <c r="D208" s="126" t="s">
        <v>3260</v>
      </c>
      <c r="E208" s="126" t="s">
        <v>1588</v>
      </c>
      <c r="F208" s="126">
        <v>0.12302200000000001</v>
      </c>
      <c r="G208" s="126">
        <v>0.12457799999999999</v>
      </c>
      <c r="H208" s="126">
        <v>0.127112</v>
      </c>
      <c r="I208" s="126">
        <v>0.12799099999999999</v>
      </c>
      <c r="J208" s="126">
        <v>0.129828</v>
      </c>
      <c r="K208" s="126">
        <v>0.13039899999999999</v>
      </c>
      <c r="L208" s="126">
        <v>0.130438</v>
      </c>
      <c r="M208" s="126">
        <v>0.13082099999999999</v>
      </c>
      <c r="N208" s="126">
        <v>0.13189000000000001</v>
      </c>
      <c r="O208" s="126">
        <v>0.133656</v>
      </c>
      <c r="P208" s="126">
        <v>0.13561200000000001</v>
      </c>
      <c r="Q208" s="126">
        <v>0.13689200000000001</v>
      </c>
      <c r="R208" s="126">
        <v>0.138678</v>
      </c>
      <c r="S208" s="126">
        <v>0.14056199999999999</v>
      </c>
      <c r="T208" s="126">
        <v>0.142286</v>
      </c>
      <c r="U208" s="126">
        <v>0.14399100000000001</v>
      </c>
      <c r="V208" s="126">
        <v>0.146588</v>
      </c>
      <c r="W208" s="126">
        <v>0.150921</v>
      </c>
      <c r="X208" s="126">
        <v>0.15522900000000001</v>
      </c>
      <c r="Y208" s="126">
        <v>0.16048299999999999</v>
      </c>
      <c r="Z208" s="126">
        <v>0.16753399999999999</v>
      </c>
      <c r="AA208" s="126">
        <v>0.17388400000000001</v>
      </c>
      <c r="AB208" s="126">
        <v>0.18096300000000001</v>
      </c>
      <c r="AC208" s="126">
        <v>0.19151299999999999</v>
      </c>
      <c r="AD208" s="126">
        <v>0.202685</v>
      </c>
      <c r="AE208" s="126">
        <v>0.21824399999999999</v>
      </c>
      <c r="AF208" s="126">
        <v>0.23682</v>
      </c>
      <c r="AG208" s="126">
        <v>0.25729200000000002</v>
      </c>
      <c r="AH208" s="126">
        <v>0.27988000000000002</v>
      </c>
      <c r="AI208" s="126">
        <v>0.30649500000000002</v>
      </c>
      <c r="AJ208" s="126">
        <v>0.33348800000000001</v>
      </c>
      <c r="AK208" s="126">
        <v>0.36333100000000002</v>
      </c>
      <c r="AL208" s="115">
        <v>3.5999999999999997E-2</v>
      </c>
    </row>
    <row r="209" spans="2:38">
      <c r="B209" s="126" t="s">
        <v>2548</v>
      </c>
      <c r="C209" s="126" t="s">
        <v>2936</v>
      </c>
      <c r="D209" s="126" t="s">
        <v>3261</v>
      </c>
      <c r="E209" s="126" t="s">
        <v>1588</v>
      </c>
      <c r="F209" s="126">
        <v>24.537821000000001</v>
      </c>
      <c r="G209" s="126">
        <v>25.193387999999999</v>
      </c>
      <c r="H209" s="126">
        <v>25.930754</v>
      </c>
      <c r="I209" s="126">
        <v>26.370493</v>
      </c>
      <c r="J209" s="126">
        <v>27.060908999999999</v>
      </c>
      <c r="K209" s="126">
        <v>27.577432999999999</v>
      </c>
      <c r="L209" s="126">
        <v>28.442475999999999</v>
      </c>
      <c r="M209" s="126">
        <v>29.336760000000002</v>
      </c>
      <c r="N209" s="126">
        <v>30.149570000000001</v>
      </c>
      <c r="O209" s="126">
        <v>31.21246</v>
      </c>
      <c r="P209" s="126">
        <v>32.801315000000002</v>
      </c>
      <c r="Q209" s="126">
        <v>34.553019999999997</v>
      </c>
      <c r="R209" s="126">
        <v>35.980578999999999</v>
      </c>
      <c r="S209" s="126">
        <v>37.479401000000003</v>
      </c>
      <c r="T209" s="126">
        <v>38.845173000000003</v>
      </c>
      <c r="U209" s="126">
        <v>40.227093000000004</v>
      </c>
      <c r="V209" s="126">
        <v>41.882258999999998</v>
      </c>
      <c r="W209" s="126">
        <v>43.977508999999998</v>
      </c>
      <c r="X209" s="126">
        <v>46.017386999999999</v>
      </c>
      <c r="Y209" s="126">
        <v>48.319839000000002</v>
      </c>
      <c r="Z209" s="126">
        <v>51.662945000000001</v>
      </c>
      <c r="AA209" s="126">
        <v>54.077044999999998</v>
      </c>
      <c r="AB209" s="126">
        <v>56.402690999999997</v>
      </c>
      <c r="AC209" s="126">
        <v>58.859065999999999</v>
      </c>
      <c r="AD209" s="126">
        <v>61.175120999999997</v>
      </c>
      <c r="AE209" s="126">
        <v>64.429503999999994</v>
      </c>
      <c r="AF209" s="126">
        <v>67.893326000000002</v>
      </c>
      <c r="AG209" s="126">
        <v>71.479163999999997</v>
      </c>
      <c r="AH209" s="126">
        <v>75.192466999999994</v>
      </c>
      <c r="AI209" s="126">
        <v>79.910583000000003</v>
      </c>
      <c r="AJ209" s="126">
        <v>83.708022999999997</v>
      </c>
      <c r="AK209" s="126">
        <v>87.635323</v>
      </c>
      <c r="AL209" s="115">
        <v>4.2000000000000003E-2</v>
      </c>
    </row>
    <row r="210" spans="2:38">
      <c r="B210" s="126" t="s">
        <v>1577</v>
      </c>
      <c r="C210" s="126" t="s">
        <v>2938</v>
      </c>
      <c r="D210" s="126" t="s">
        <v>3262</v>
      </c>
      <c r="E210" s="126" t="s">
        <v>1588</v>
      </c>
      <c r="F210" s="126">
        <v>0</v>
      </c>
      <c r="G210" s="126">
        <v>0.29060399999999997</v>
      </c>
      <c r="H210" s="126">
        <v>0.30446699999999999</v>
      </c>
      <c r="I210" s="126">
        <v>0.31549500000000003</v>
      </c>
      <c r="J210" s="126">
        <v>0.32930599999999999</v>
      </c>
      <c r="K210" s="126">
        <v>0.34031899999999998</v>
      </c>
      <c r="L210" s="126">
        <v>0.35022599999999998</v>
      </c>
      <c r="M210" s="126">
        <v>0.36132999999999998</v>
      </c>
      <c r="N210" s="126">
        <v>0.37468600000000002</v>
      </c>
      <c r="O210" s="126">
        <v>0.39049400000000001</v>
      </c>
      <c r="P210" s="126">
        <v>0.40740700000000002</v>
      </c>
      <c r="Q210" s="126">
        <v>0.42280400000000001</v>
      </c>
      <c r="R210" s="126">
        <v>0.440272</v>
      </c>
      <c r="S210" s="126">
        <v>0.45861299999999999</v>
      </c>
      <c r="T210" s="126">
        <v>0.475325</v>
      </c>
      <c r="U210" s="126">
        <v>0.492234</v>
      </c>
      <c r="V210" s="126">
        <v>0.51248800000000005</v>
      </c>
      <c r="W210" s="126">
        <v>0.53812599999999999</v>
      </c>
      <c r="X210" s="126">
        <v>0.563087</v>
      </c>
      <c r="Y210" s="126">
        <v>0.59126000000000001</v>
      </c>
      <c r="Z210" s="126">
        <v>0.62114999999999998</v>
      </c>
      <c r="AA210" s="126">
        <v>0.64729700000000001</v>
      </c>
      <c r="AB210" s="126">
        <v>0.67513500000000004</v>
      </c>
      <c r="AC210" s="126">
        <v>0.704538</v>
      </c>
      <c r="AD210" s="126">
        <v>0.73226100000000005</v>
      </c>
      <c r="AE210" s="126">
        <v>0.76734800000000003</v>
      </c>
      <c r="AF210" s="126">
        <v>0.80860200000000004</v>
      </c>
      <c r="AG210" s="126">
        <v>0.85130799999999995</v>
      </c>
      <c r="AH210" s="126">
        <v>0.89553400000000005</v>
      </c>
      <c r="AI210" s="126">
        <v>0.94648500000000002</v>
      </c>
      <c r="AJ210" s="126">
        <v>0.99199899999999996</v>
      </c>
      <c r="AK210" s="126">
        <v>1.039121</v>
      </c>
      <c r="AL210" s="126" t="s">
        <v>146</v>
      </c>
    </row>
    <row r="211" spans="2:38">
      <c r="B211" s="126" t="s">
        <v>2549</v>
      </c>
      <c r="C211" s="126" t="s">
        <v>2940</v>
      </c>
      <c r="D211" s="126" t="s">
        <v>3263</v>
      </c>
      <c r="E211" s="126" t="s">
        <v>1588</v>
      </c>
      <c r="F211" s="126">
        <v>0</v>
      </c>
      <c r="G211" s="126">
        <v>0.32142100000000001</v>
      </c>
      <c r="H211" s="126">
        <v>0.33752799999999999</v>
      </c>
      <c r="I211" s="126">
        <v>0.34975299999999998</v>
      </c>
      <c r="J211" s="126">
        <v>0.365064</v>
      </c>
      <c r="K211" s="126">
        <v>0.37727300000000003</v>
      </c>
      <c r="L211" s="126">
        <v>0.38825500000000002</v>
      </c>
      <c r="M211" s="126">
        <v>0.400565</v>
      </c>
      <c r="N211" s="126">
        <v>0.41537099999999999</v>
      </c>
      <c r="O211" s="126">
        <v>0.432896</v>
      </c>
      <c r="P211" s="126">
        <v>0.45164500000000002</v>
      </c>
      <c r="Q211" s="126">
        <v>0.46871400000000002</v>
      </c>
      <c r="R211" s="126">
        <v>0.48807899999999999</v>
      </c>
      <c r="S211" s="126">
        <v>0.50841099999999995</v>
      </c>
      <c r="T211" s="126">
        <v>0.52693800000000002</v>
      </c>
      <c r="U211" s="126">
        <v>0.54568399999999995</v>
      </c>
      <c r="V211" s="126">
        <v>0.56813599999999997</v>
      </c>
      <c r="W211" s="126">
        <v>0.59655800000000003</v>
      </c>
      <c r="X211" s="126">
        <v>0.62422900000000003</v>
      </c>
      <c r="Y211" s="126">
        <v>0.65546199999999999</v>
      </c>
      <c r="Z211" s="126">
        <v>0.68859800000000004</v>
      </c>
      <c r="AA211" s="126">
        <v>0.717584</v>
      </c>
      <c r="AB211" s="126">
        <v>0.74844500000000003</v>
      </c>
      <c r="AC211" s="126">
        <v>0.78103999999999996</v>
      </c>
      <c r="AD211" s="126">
        <v>0.81177299999999997</v>
      </c>
      <c r="AE211" s="126">
        <v>0.85067000000000004</v>
      </c>
      <c r="AF211" s="126">
        <v>0.89640399999999998</v>
      </c>
      <c r="AG211" s="126">
        <v>0.94374800000000003</v>
      </c>
      <c r="AH211" s="126">
        <v>0.99277499999999996</v>
      </c>
      <c r="AI211" s="126">
        <v>1.0492589999999999</v>
      </c>
      <c r="AJ211" s="126">
        <v>1.099715</v>
      </c>
      <c r="AK211" s="126">
        <v>1.1519539999999999</v>
      </c>
      <c r="AL211" s="126" t="s">
        <v>146</v>
      </c>
    </row>
    <row r="212" spans="2:38">
      <c r="B212" s="126" t="s">
        <v>2550</v>
      </c>
      <c r="C212" s="126" t="s">
        <v>2942</v>
      </c>
      <c r="D212" s="126" t="s">
        <v>3264</v>
      </c>
      <c r="E212" s="126" t="s">
        <v>1588</v>
      </c>
      <c r="F212" s="126">
        <v>0</v>
      </c>
      <c r="G212" s="126">
        <v>0.29817300000000002</v>
      </c>
      <c r="H212" s="126">
        <v>0.31311499999999998</v>
      </c>
      <c r="I212" s="126">
        <v>0.324457</v>
      </c>
      <c r="J212" s="126">
        <v>0.33866000000000002</v>
      </c>
      <c r="K212" s="126">
        <v>0.34998600000000002</v>
      </c>
      <c r="L212" s="126">
        <v>0.36017399999999999</v>
      </c>
      <c r="M212" s="126">
        <v>0.37159300000000001</v>
      </c>
      <c r="N212" s="126">
        <v>0.385328</v>
      </c>
      <c r="O212" s="126">
        <v>0.401586</v>
      </c>
      <c r="P212" s="126">
        <v>0.41897899999999999</v>
      </c>
      <c r="Q212" s="126">
        <v>0.43481399999999998</v>
      </c>
      <c r="R212" s="126">
        <v>0.45277800000000001</v>
      </c>
      <c r="S212" s="126">
        <v>0.47163899999999997</v>
      </c>
      <c r="T212" s="126">
        <v>0.48882599999999998</v>
      </c>
      <c r="U212" s="126">
        <v>0.506216</v>
      </c>
      <c r="V212" s="126">
        <v>0.52704399999999996</v>
      </c>
      <c r="W212" s="126">
        <v>0.55341099999999999</v>
      </c>
      <c r="X212" s="126">
        <v>0.57908099999999996</v>
      </c>
      <c r="Y212" s="126">
        <v>0.60805500000000001</v>
      </c>
      <c r="Z212" s="126">
        <v>0.63879300000000006</v>
      </c>
      <c r="AA212" s="126">
        <v>0.66568300000000002</v>
      </c>
      <c r="AB212" s="126">
        <v>0.69431200000000004</v>
      </c>
      <c r="AC212" s="126">
        <v>0.724549</v>
      </c>
      <c r="AD212" s="126">
        <v>0.75305999999999995</v>
      </c>
      <c r="AE212" s="126">
        <v>0.78914399999999996</v>
      </c>
      <c r="AF212" s="126">
        <v>0.831569</v>
      </c>
      <c r="AG212" s="126">
        <v>0.87548899999999996</v>
      </c>
      <c r="AH212" s="126">
        <v>0.92096999999999996</v>
      </c>
      <c r="AI212" s="126">
        <v>0.97336900000000004</v>
      </c>
      <c r="AJ212" s="126">
        <v>1.020176</v>
      </c>
      <c r="AK212" s="126">
        <v>1.0686370000000001</v>
      </c>
      <c r="AL212" s="126" t="s">
        <v>146</v>
      </c>
    </row>
    <row r="213" spans="2:38">
      <c r="B213" s="126" t="s">
        <v>1581</v>
      </c>
      <c r="C213" s="126" t="s">
        <v>2944</v>
      </c>
      <c r="D213" s="126" t="s">
        <v>3265</v>
      </c>
      <c r="E213" s="126" t="s">
        <v>1588</v>
      </c>
      <c r="F213" s="126">
        <v>0</v>
      </c>
      <c r="G213" s="126">
        <v>2.0699999999999999E-4</v>
      </c>
      <c r="H213" s="126">
        <v>2.1100000000000001E-4</v>
      </c>
      <c r="I213" s="126">
        <v>2.1100000000000001E-4</v>
      </c>
      <c r="J213" s="126">
        <v>2.13E-4</v>
      </c>
      <c r="K213" s="126">
        <v>2.13E-4</v>
      </c>
      <c r="L213" s="126">
        <v>2.12E-4</v>
      </c>
      <c r="M213" s="126">
        <v>2.1100000000000001E-4</v>
      </c>
      <c r="N213" s="126">
        <v>2.1000000000000001E-4</v>
      </c>
      <c r="O213" s="126">
        <v>2.1100000000000001E-4</v>
      </c>
      <c r="P213" s="126">
        <v>2.1100000000000001E-4</v>
      </c>
      <c r="Q213" s="126">
        <v>2.0900000000000001E-4</v>
      </c>
      <c r="R213" s="126">
        <v>2.0699999999999999E-4</v>
      </c>
      <c r="S213" s="126">
        <v>2.05E-4</v>
      </c>
      <c r="T213" s="126">
        <v>2.0100000000000001E-4</v>
      </c>
      <c r="U213" s="126">
        <v>1.9599999999999999E-4</v>
      </c>
      <c r="V213" s="126">
        <v>1.92E-4</v>
      </c>
      <c r="W213" s="126">
        <v>1.9000000000000001E-4</v>
      </c>
      <c r="X213" s="126">
        <v>1.8699999999999999E-4</v>
      </c>
      <c r="Y213" s="126">
        <v>1.85E-4</v>
      </c>
      <c r="Z213" s="126">
        <v>1.83E-4</v>
      </c>
      <c r="AA213" s="126">
        <v>1.8000000000000001E-4</v>
      </c>
      <c r="AB213" s="126">
        <v>1.76E-4</v>
      </c>
      <c r="AC213" s="126">
        <v>1.73E-4</v>
      </c>
      <c r="AD213" s="126">
        <v>1.7000000000000001E-4</v>
      </c>
      <c r="AE213" s="126">
        <v>1.6799999999999999E-4</v>
      </c>
      <c r="AF213" s="126">
        <v>1.66E-4</v>
      </c>
      <c r="AG213" s="126">
        <v>1.65E-4</v>
      </c>
      <c r="AH213" s="126">
        <v>1.63E-4</v>
      </c>
      <c r="AI213" s="126">
        <v>1.63E-4</v>
      </c>
      <c r="AJ213" s="126">
        <v>1.6000000000000001E-4</v>
      </c>
      <c r="AK213" s="126">
        <v>1.5799999999999999E-4</v>
      </c>
      <c r="AL213" s="126" t="s">
        <v>146</v>
      </c>
    </row>
    <row r="214" spans="2:38">
      <c r="B214" s="126" t="s">
        <v>2551</v>
      </c>
      <c r="C214" s="126" t="s">
        <v>2946</v>
      </c>
      <c r="D214" s="126" t="s">
        <v>3266</v>
      </c>
      <c r="E214" s="126" t="s">
        <v>1588</v>
      </c>
      <c r="F214" s="126">
        <v>245.88149999999999</v>
      </c>
      <c r="G214" s="126">
        <v>248.811172</v>
      </c>
      <c r="H214" s="126">
        <v>253.66973899999999</v>
      </c>
      <c r="I214" s="126">
        <v>255.20166</v>
      </c>
      <c r="J214" s="126">
        <v>258.61508199999997</v>
      </c>
      <c r="K214" s="126">
        <v>259.479401</v>
      </c>
      <c r="L214" s="126">
        <v>259.25509599999998</v>
      </c>
      <c r="M214" s="126">
        <v>259.68460099999999</v>
      </c>
      <c r="N214" s="126">
        <v>261.439911</v>
      </c>
      <c r="O214" s="126">
        <v>264.53439300000002</v>
      </c>
      <c r="P214" s="126">
        <v>267.95281999999997</v>
      </c>
      <c r="Q214" s="126">
        <v>269.98056000000003</v>
      </c>
      <c r="R214" s="126">
        <v>272.94635</v>
      </c>
      <c r="S214" s="126">
        <v>276.03530899999998</v>
      </c>
      <c r="T214" s="126">
        <v>277.76132200000001</v>
      </c>
      <c r="U214" s="126">
        <v>279.264771</v>
      </c>
      <c r="V214" s="126">
        <v>282.28671300000002</v>
      </c>
      <c r="W214" s="126">
        <v>287.77539100000001</v>
      </c>
      <c r="X214" s="126">
        <v>292.35311899999999</v>
      </c>
      <c r="Y214" s="126">
        <v>298.03967299999999</v>
      </c>
      <c r="Z214" s="126">
        <v>303.98681599999998</v>
      </c>
      <c r="AA214" s="126">
        <v>307.55639600000001</v>
      </c>
      <c r="AB214" s="126">
        <v>311.43994099999998</v>
      </c>
      <c r="AC214" s="126">
        <v>315.537262</v>
      </c>
      <c r="AD214" s="126">
        <v>318.40139799999997</v>
      </c>
      <c r="AE214" s="126">
        <v>323.93984999999998</v>
      </c>
      <c r="AF214" s="126">
        <v>331.41296399999999</v>
      </c>
      <c r="AG214" s="126">
        <v>338.75418100000002</v>
      </c>
      <c r="AH214" s="126">
        <v>345.97302200000001</v>
      </c>
      <c r="AI214" s="126">
        <v>355.00701900000001</v>
      </c>
      <c r="AJ214" s="126">
        <v>361.24108899999999</v>
      </c>
      <c r="AK214" s="126">
        <v>367.379547</v>
      </c>
      <c r="AL214" s="115">
        <v>1.2999999999999999E-2</v>
      </c>
    </row>
    <row r="215" spans="2:38">
      <c r="B215" s="126" t="s">
        <v>1223</v>
      </c>
      <c r="D215" s="126" t="s">
        <v>3267</v>
      </c>
    </row>
    <row r="216" spans="2:38">
      <c r="B216" s="126" t="s">
        <v>1266</v>
      </c>
      <c r="C216" s="126" t="s">
        <v>2949</v>
      </c>
      <c r="D216" s="126" t="s">
        <v>3268</v>
      </c>
      <c r="E216" s="126" t="s">
        <v>1588</v>
      </c>
      <c r="F216" s="126">
        <v>133.18077099999999</v>
      </c>
      <c r="G216" s="126">
        <v>127.40007</v>
      </c>
      <c r="H216" s="126">
        <v>121.45291899999999</v>
      </c>
      <c r="I216" s="126">
        <v>135.117447</v>
      </c>
      <c r="J216" s="126">
        <v>136.36932400000001</v>
      </c>
      <c r="K216" s="126">
        <v>133.94450399999999</v>
      </c>
      <c r="L216" s="126">
        <v>132.18963600000001</v>
      </c>
      <c r="M216" s="126">
        <v>132.869156</v>
      </c>
      <c r="N216" s="126">
        <v>135.085159</v>
      </c>
      <c r="O216" s="126">
        <v>138.05931100000001</v>
      </c>
      <c r="P216" s="126">
        <v>141.325897</v>
      </c>
      <c r="Q216" s="126">
        <v>143.61750799999999</v>
      </c>
      <c r="R216" s="126">
        <v>145.783997</v>
      </c>
      <c r="S216" s="126">
        <v>148.92184399999999</v>
      </c>
      <c r="T216" s="126">
        <v>151.340439</v>
      </c>
      <c r="U216" s="126">
        <v>152.85205099999999</v>
      </c>
      <c r="V216" s="126">
        <v>153.89946</v>
      </c>
      <c r="W216" s="126">
        <v>157.55909700000001</v>
      </c>
      <c r="X216" s="126">
        <v>162.652466</v>
      </c>
      <c r="Y216" s="126">
        <v>167.38519299999999</v>
      </c>
      <c r="Z216" s="126">
        <v>172.09110999999999</v>
      </c>
      <c r="AA216" s="126">
        <v>176.51109299999999</v>
      </c>
      <c r="AB216" s="126">
        <v>180.59219400000001</v>
      </c>
      <c r="AC216" s="126">
        <v>184.63372799999999</v>
      </c>
      <c r="AD216" s="126">
        <v>189.243652</v>
      </c>
      <c r="AE216" s="126">
        <v>194.55069</v>
      </c>
      <c r="AF216" s="126">
        <v>201.28697199999999</v>
      </c>
      <c r="AG216" s="126">
        <v>208.02406300000001</v>
      </c>
      <c r="AH216" s="126">
        <v>213.44937100000001</v>
      </c>
      <c r="AI216" s="126">
        <v>219.30723599999999</v>
      </c>
      <c r="AJ216" s="126">
        <v>224.717422</v>
      </c>
      <c r="AK216" s="126">
        <v>227.56764200000001</v>
      </c>
      <c r="AL216" s="115">
        <v>1.7000000000000001E-2</v>
      </c>
    </row>
    <row r="217" spans="2:38">
      <c r="B217" s="126" t="s">
        <v>1352</v>
      </c>
      <c r="C217" s="126" t="s">
        <v>2951</v>
      </c>
      <c r="D217" s="126" t="s">
        <v>3269</v>
      </c>
      <c r="E217" s="126" t="s">
        <v>1588</v>
      </c>
      <c r="F217" s="126">
        <v>68.587029000000001</v>
      </c>
      <c r="G217" s="126">
        <v>65.651176000000007</v>
      </c>
      <c r="H217" s="126">
        <v>62.576858999999999</v>
      </c>
      <c r="I217" s="126">
        <v>69.080337999999998</v>
      </c>
      <c r="J217" s="126">
        <v>70.477599999999995</v>
      </c>
      <c r="K217" s="126">
        <v>70.138947000000002</v>
      </c>
      <c r="L217" s="126">
        <v>69.956992999999997</v>
      </c>
      <c r="M217" s="126">
        <v>70.59845</v>
      </c>
      <c r="N217" s="126">
        <v>71.828277999999997</v>
      </c>
      <c r="O217" s="126">
        <v>73.889908000000005</v>
      </c>
      <c r="P217" s="126">
        <v>76.058341999999996</v>
      </c>
      <c r="Q217" s="126">
        <v>77.528403999999995</v>
      </c>
      <c r="R217" s="126">
        <v>78.769264000000007</v>
      </c>
      <c r="S217" s="126">
        <v>80.437561000000002</v>
      </c>
      <c r="T217" s="126">
        <v>81.614761000000001</v>
      </c>
      <c r="U217" s="126">
        <v>82.132118000000006</v>
      </c>
      <c r="V217" s="126">
        <v>82.374397000000002</v>
      </c>
      <c r="W217" s="126">
        <v>84.013335999999995</v>
      </c>
      <c r="X217" s="126">
        <v>86.404021999999998</v>
      </c>
      <c r="Y217" s="126">
        <v>88.589561000000003</v>
      </c>
      <c r="Z217" s="126">
        <v>90.746612999999996</v>
      </c>
      <c r="AA217" s="126">
        <v>92.737831</v>
      </c>
      <c r="AB217" s="126">
        <v>94.531386999999995</v>
      </c>
      <c r="AC217" s="126">
        <v>96.106505999999996</v>
      </c>
      <c r="AD217" s="126">
        <v>97.946044999999998</v>
      </c>
      <c r="AE217" s="126">
        <v>100.111183</v>
      </c>
      <c r="AF217" s="126">
        <v>102.967682</v>
      </c>
      <c r="AG217" s="126">
        <v>105.774834</v>
      </c>
      <c r="AH217" s="126">
        <v>107.867592</v>
      </c>
      <c r="AI217" s="126">
        <v>110.131409</v>
      </c>
      <c r="AJ217" s="126">
        <v>112.121117</v>
      </c>
      <c r="AK217" s="126">
        <v>112.791809</v>
      </c>
      <c r="AL217" s="115">
        <v>1.6E-2</v>
      </c>
    </row>
    <row r="218" spans="2:38">
      <c r="B218" s="126" t="s">
        <v>1273</v>
      </c>
      <c r="C218" s="126" t="s">
        <v>2953</v>
      </c>
      <c r="D218" s="126" t="s">
        <v>3270</v>
      </c>
      <c r="E218" s="126" t="s">
        <v>1588</v>
      </c>
      <c r="F218" s="126">
        <v>0.287275</v>
      </c>
      <c r="G218" s="126">
        <v>0.27556599999999998</v>
      </c>
      <c r="H218" s="126">
        <v>0.26212999999999997</v>
      </c>
      <c r="I218" s="126">
        <v>0.29052099999999997</v>
      </c>
      <c r="J218" s="126">
        <v>0.29431000000000002</v>
      </c>
      <c r="K218" s="126">
        <v>0.29097099999999998</v>
      </c>
      <c r="L218" s="126">
        <v>0.28908299999999998</v>
      </c>
      <c r="M218" s="126">
        <v>0.29217900000000002</v>
      </c>
      <c r="N218" s="126">
        <v>0.29882999999999998</v>
      </c>
      <c r="O218" s="126">
        <v>0.30888199999999999</v>
      </c>
      <c r="P218" s="126">
        <v>0.32090299999999999</v>
      </c>
      <c r="Q218" s="126">
        <v>0.33093800000000001</v>
      </c>
      <c r="R218" s="126">
        <v>0.34090599999999999</v>
      </c>
      <c r="S218" s="126">
        <v>0.35386800000000002</v>
      </c>
      <c r="T218" s="126">
        <v>0.36836999999999998</v>
      </c>
      <c r="U218" s="126">
        <v>0.38097199999999998</v>
      </c>
      <c r="V218" s="126">
        <v>0.39288200000000001</v>
      </c>
      <c r="W218" s="126">
        <v>0.41212500000000002</v>
      </c>
      <c r="X218" s="126">
        <v>0.43820799999999999</v>
      </c>
      <c r="Y218" s="126">
        <v>0.46451399999999998</v>
      </c>
      <c r="Z218" s="126">
        <v>0.49195800000000001</v>
      </c>
      <c r="AA218" s="126">
        <v>0.51982200000000001</v>
      </c>
      <c r="AB218" s="126">
        <v>0.54791000000000001</v>
      </c>
      <c r="AC218" s="126">
        <v>0.57674999999999998</v>
      </c>
      <c r="AD218" s="126">
        <v>0.60866399999999998</v>
      </c>
      <c r="AE218" s="126">
        <v>0.644289</v>
      </c>
      <c r="AF218" s="126">
        <v>0.68638500000000002</v>
      </c>
      <c r="AG218" s="126">
        <v>0.73043199999999997</v>
      </c>
      <c r="AH218" s="126">
        <v>0.77176500000000003</v>
      </c>
      <c r="AI218" s="126">
        <v>0.81653699999999996</v>
      </c>
      <c r="AJ218" s="126">
        <v>0.86158999999999997</v>
      </c>
      <c r="AK218" s="126">
        <v>0.89851000000000003</v>
      </c>
      <c r="AL218" s="115">
        <v>3.6999999999999998E-2</v>
      </c>
    </row>
    <row r="219" spans="2:38">
      <c r="B219" s="126" t="s">
        <v>1282</v>
      </c>
      <c r="C219" s="126" t="s">
        <v>2955</v>
      </c>
      <c r="D219" s="126" t="s">
        <v>3271</v>
      </c>
      <c r="E219" s="126" t="s">
        <v>1588</v>
      </c>
      <c r="F219" s="126">
        <v>0.55974599999999997</v>
      </c>
      <c r="G219" s="126">
        <v>0.53859100000000004</v>
      </c>
      <c r="H219" s="126">
        <v>0.51345300000000005</v>
      </c>
      <c r="I219" s="126">
        <v>0.56980200000000003</v>
      </c>
      <c r="J219" s="126">
        <v>0.57730199999999998</v>
      </c>
      <c r="K219" s="126">
        <v>0.56976300000000002</v>
      </c>
      <c r="L219" s="126">
        <v>0.56458200000000003</v>
      </c>
      <c r="M219" s="126">
        <v>0.56862599999999996</v>
      </c>
      <c r="N219" s="126">
        <v>0.57863399999999998</v>
      </c>
      <c r="O219" s="126">
        <v>0.59319500000000003</v>
      </c>
      <c r="P219" s="126">
        <v>0.60900799999999999</v>
      </c>
      <c r="Q219" s="126">
        <v>0.62102400000000002</v>
      </c>
      <c r="R219" s="126">
        <v>0.63220299999999996</v>
      </c>
      <c r="S219" s="126">
        <v>0.64728300000000005</v>
      </c>
      <c r="T219" s="126">
        <v>0.65858399999999995</v>
      </c>
      <c r="U219" s="126">
        <v>0.66631799999999997</v>
      </c>
      <c r="V219" s="126">
        <v>0.67213599999999996</v>
      </c>
      <c r="W219" s="126">
        <v>0.68958699999999995</v>
      </c>
      <c r="X219" s="126">
        <v>0.71359899999999998</v>
      </c>
      <c r="Y219" s="126">
        <v>0.73635700000000004</v>
      </c>
      <c r="Z219" s="126">
        <v>0.76022999999999996</v>
      </c>
      <c r="AA219" s="126">
        <v>0.78459500000000004</v>
      </c>
      <c r="AB219" s="126">
        <v>0.80837999999999999</v>
      </c>
      <c r="AC219" s="126">
        <v>0.83230300000000002</v>
      </c>
      <c r="AD219" s="126">
        <v>0.86151699999999998</v>
      </c>
      <c r="AE219" s="126">
        <v>0.89526499999999998</v>
      </c>
      <c r="AF219" s="126">
        <v>0.93800300000000003</v>
      </c>
      <c r="AG219" s="126">
        <v>0.98278900000000002</v>
      </c>
      <c r="AH219" s="126">
        <v>1.023217</v>
      </c>
      <c r="AI219" s="126">
        <v>1.068432</v>
      </c>
      <c r="AJ219" s="126">
        <v>1.114139</v>
      </c>
      <c r="AK219" s="126">
        <v>1.149861</v>
      </c>
      <c r="AL219" s="115">
        <v>2.3E-2</v>
      </c>
    </row>
    <row r="220" spans="2:38">
      <c r="B220" s="126" t="s">
        <v>2548</v>
      </c>
      <c r="C220" s="126" t="s">
        <v>2957</v>
      </c>
      <c r="D220" s="126" t="s">
        <v>3272</v>
      </c>
      <c r="E220" s="126" t="s">
        <v>1588</v>
      </c>
      <c r="F220" s="126">
        <v>4.698429</v>
      </c>
      <c r="G220" s="126">
        <v>4.4960979999999999</v>
      </c>
      <c r="H220" s="126">
        <v>4.266521</v>
      </c>
      <c r="I220" s="126">
        <v>4.7269350000000001</v>
      </c>
      <c r="J220" s="126">
        <v>4.7894350000000001</v>
      </c>
      <c r="K220" s="126">
        <v>4.7502550000000001</v>
      </c>
      <c r="L220" s="126">
        <v>4.7475589999999999</v>
      </c>
      <c r="M220" s="126">
        <v>4.8665320000000003</v>
      </c>
      <c r="N220" s="126">
        <v>5.0430279999999996</v>
      </c>
      <c r="O220" s="126">
        <v>5.2932610000000002</v>
      </c>
      <c r="P220" s="126">
        <v>5.597391</v>
      </c>
      <c r="Q220" s="126">
        <v>5.8710789999999999</v>
      </c>
      <c r="R220" s="126">
        <v>6.1468699999999998</v>
      </c>
      <c r="S220" s="126">
        <v>6.4738389999999999</v>
      </c>
      <c r="T220" s="126">
        <v>6.7802829999999998</v>
      </c>
      <c r="U220" s="126">
        <v>7.0527930000000003</v>
      </c>
      <c r="V220" s="126">
        <v>7.3131000000000004</v>
      </c>
      <c r="W220" s="126">
        <v>7.7110440000000002</v>
      </c>
      <c r="X220" s="126">
        <v>8.1990730000000003</v>
      </c>
      <c r="Y220" s="126">
        <v>8.6912640000000003</v>
      </c>
      <c r="Z220" s="126">
        <v>9.2047600000000003</v>
      </c>
      <c r="AA220" s="126">
        <v>9.7261030000000002</v>
      </c>
      <c r="AB220" s="126">
        <v>10.251638</v>
      </c>
      <c r="AC220" s="126">
        <v>10.791247</v>
      </c>
      <c r="AD220" s="126">
        <v>11.388374000000001</v>
      </c>
      <c r="AE220" s="126">
        <v>12.05495</v>
      </c>
      <c r="AF220" s="126">
        <v>12.842571</v>
      </c>
      <c r="AG220" s="126">
        <v>13.666714000000001</v>
      </c>
      <c r="AH220" s="126">
        <v>14.440068999999999</v>
      </c>
      <c r="AI220" s="126">
        <v>15.277773</v>
      </c>
      <c r="AJ220" s="126">
        <v>16.120735</v>
      </c>
      <c r="AK220" s="126">
        <v>16.811523000000001</v>
      </c>
      <c r="AL220" s="115">
        <v>4.2000000000000003E-2</v>
      </c>
    </row>
    <row r="221" spans="2:38">
      <c r="B221" s="126" t="s">
        <v>1577</v>
      </c>
      <c r="C221" s="126" t="s">
        <v>2959</v>
      </c>
      <c r="D221" s="126" t="s">
        <v>3273</v>
      </c>
      <c r="E221" s="126" t="s">
        <v>1588</v>
      </c>
      <c r="F221" s="126">
        <v>0</v>
      </c>
      <c r="G221" s="126">
        <v>0.234546</v>
      </c>
      <c r="H221" s="126">
        <v>0.22981499999999999</v>
      </c>
      <c r="I221" s="126">
        <v>0.262687</v>
      </c>
      <c r="J221" s="126">
        <v>0.27412900000000001</v>
      </c>
      <c r="K221" s="126">
        <v>0.27866600000000002</v>
      </c>
      <c r="L221" s="126">
        <v>0.28441499999999997</v>
      </c>
      <c r="M221" s="126">
        <v>0.29504599999999997</v>
      </c>
      <c r="N221" s="126">
        <v>0.30924600000000002</v>
      </c>
      <c r="O221" s="126">
        <v>0.32653900000000002</v>
      </c>
      <c r="P221" s="126">
        <v>0.34530100000000002</v>
      </c>
      <c r="Q221" s="126">
        <v>0.36218499999999998</v>
      </c>
      <c r="R221" s="126">
        <v>0.37919799999999998</v>
      </c>
      <c r="S221" s="126">
        <v>0.39936899999999997</v>
      </c>
      <c r="T221" s="126">
        <v>0.41827300000000001</v>
      </c>
      <c r="U221" s="126">
        <v>0.43508400000000003</v>
      </c>
      <c r="V221" s="126">
        <v>0.45114199999999999</v>
      </c>
      <c r="W221" s="126">
        <v>0.47569099999999997</v>
      </c>
      <c r="X221" s="126">
        <v>0.50579700000000005</v>
      </c>
      <c r="Y221" s="126">
        <v>0.536161</v>
      </c>
      <c r="Z221" s="126">
        <v>0.56783799999999995</v>
      </c>
      <c r="AA221" s="126">
        <v>0.59999899999999995</v>
      </c>
      <c r="AB221" s="126">
        <v>0.63241899999999995</v>
      </c>
      <c r="AC221" s="126">
        <v>0.66570799999999997</v>
      </c>
      <c r="AD221" s="126">
        <v>0.70254399999999995</v>
      </c>
      <c r="AE221" s="126">
        <v>0.74366500000000002</v>
      </c>
      <c r="AF221" s="126">
        <v>0.79225299999999999</v>
      </c>
      <c r="AG221" s="126">
        <v>0.84309400000000001</v>
      </c>
      <c r="AH221" s="126">
        <v>0.89080199999999998</v>
      </c>
      <c r="AI221" s="126">
        <v>0.94247999999999998</v>
      </c>
      <c r="AJ221" s="126">
        <v>0.99448199999999998</v>
      </c>
      <c r="AK221" s="126">
        <v>1.037096</v>
      </c>
      <c r="AL221" s="126" t="s">
        <v>146</v>
      </c>
    </row>
    <row r="222" spans="2:38">
      <c r="B222" s="126" t="s">
        <v>2549</v>
      </c>
      <c r="C222" s="126" t="s">
        <v>2961</v>
      </c>
      <c r="D222" s="126" t="s">
        <v>3274</v>
      </c>
      <c r="E222" s="126" t="s">
        <v>1588</v>
      </c>
      <c r="F222" s="126">
        <v>0</v>
      </c>
      <c r="G222" s="126">
        <v>0.25949299999999997</v>
      </c>
      <c r="H222" s="126">
        <v>0.25480399999999997</v>
      </c>
      <c r="I222" s="126">
        <v>0.29125000000000001</v>
      </c>
      <c r="J222" s="126">
        <v>0.30393599999999998</v>
      </c>
      <c r="K222" s="126">
        <v>0.30896600000000002</v>
      </c>
      <c r="L222" s="126">
        <v>0.31534099999999998</v>
      </c>
      <c r="M222" s="126">
        <v>0.327127</v>
      </c>
      <c r="N222" s="126">
        <v>0.34287200000000001</v>
      </c>
      <c r="O222" s="126">
        <v>0.36204500000000001</v>
      </c>
      <c r="P222" s="126">
        <v>0.38284699999999999</v>
      </c>
      <c r="Q222" s="126">
        <v>0.40156599999999998</v>
      </c>
      <c r="R222" s="126">
        <v>0.420429</v>
      </c>
      <c r="S222" s="126">
        <v>0.44279299999999999</v>
      </c>
      <c r="T222" s="126">
        <v>0.46375300000000003</v>
      </c>
      <c r="U222" s="126">
        <v>0.48239199999999999</v>
      </c>
      <c r="V222" s="126">
        <v>0.500197</v>
      </c>
      <c r="W222" s="126">
        <v>0.52741499999999997</v>
      </c>
      <c r="X222" s="126">
        <v>0.56079500000000004</v>
      </c>
      <c r="Y222" s="126">
        <v>0.59445899999999996</v>
      </c>
      <c r="Z222" s="126">
        <v>0.62958099999999995</v>
      </c>
      <c r="AA222" s="126">
        <v>0.66523900000000002</v>
      </c>
      <c r="AB222" s="126">
        <v>0.70118499999999995</v>
      </c>
      <c r="AC222" s="126">
        <v>0.738093</v>
      </c>
      <c r="AD222" s="126">
        <v>0.77893400000000002</v>
      </c>
      <c r="AE222" s="126">
        <v>0.82452599999999998</v>
      </c>
      <c r="AF222" s="126">
        <v>0.87839699999999998</v>
      </c>
      <c r="AG222" s="126">
        <v>0.93476700000000001</v>
      </c>
      <c r="AH222" s="126">
        <v>0.98766200000000004</v>
      </c>
      <c r="AI222" s="126">
        <v>1.044959</v>
      </c>
      <c r="AJ222" s="126">
        <v>1.1026149999999999</v>
      </c>
      <c r="AK222" s="126">
        <v>1.1498630000000001</v>
      </c>
      <c r="AL222" s="126" t="s">
        <v>146</v>
      </c>
    </row>
    <row r="223" spans="2:38">
      <c r="B223" s="126" t="s">
        <v>2550</v>
      </c>
      <c r="C223" s="126" t="s">
        <v>2963</v>
      </c>
      <c r="D223" s="126" t="s">
        <v>3275</v>
      </c>
      <c r="E223" s="126" t="s">
        <v>1588</v>
      </c>
      <c r="F223" s="126">
        <v>0</v>
      </c>
      <c r="G223" s="126">
        <v>0.223744</v>
      </c>
      <c r="H223" s="126">
        <v>0.21970000000000001</v>
      </c>
      <c r="I223" s="126">
        <v>0.25112499999999999</v>
      </c>
      <c r="J223" s="126">
        <v>0.26206299999999999</v>
      </c>
      <c r="K223" s="126">
        <v>0.26640000000000003</v>
      </c>
      <c r="L223" s="126">
        <v>0.271897</v>
      </c>
      <c r="M223" s="126">
        <v>0.28205999999999998</v>
      </c>
      <c r="N223" s="126">
        <v>0.29563499999999998</v>
      </c>
      <c r="O223" s="126">
        <v>0.31216699999999997</v>
      </c>
      <c r="P223" s="126">
        <v>0.33010299999999998</v>
      </c>
      <c r="Q223" s="126">
        <v>0.34624300000000002</v>
      </c>
      <c r="R223" s="126">
        <v>0.362508</v>
      </c>
      <c r="S223" s="126">
        <v>0.38179099999999999</v>
      </c>
      <c r="T223" s="126">
        <v>0.39986300000000002</v>
      </c>
      <c r="U223" s="126">
        <v>0.41593400000000003</v>
      </c>
      <c r="V223" s="126">
        <v>0.431286</v>
      </c>
      <c r="W223" s="126">
        <v>0.45475399999999999</v>
      </c>
      <c r="X223" s="126">
        <v>0.48353499999999999</v>
      </c>
      <c r="Y223" s="126">
        <v>0.51256199999999996</v>
      </c>
      <c r="Z223" s="126">
        <v>0.54284500000000002</v>
      </c>
      <c r="AA223" s="126">
        <v>0.57359099999999996</v>
      </c>
      <c r="AB223" s="126">
        <v>0.60458400000000001</v>
      </c>
      <c r="AC223" s="126">
        <v>0.63640699999999994</v>
      </c>
      <c r="AD223" s="126">
        <v>0.67162299999999997</v>
      </c>
      <c r="AE223" s="126">
        <v>0.71093300000000004</v>
      </c>
      <c r="AF223" s="126">
        <v>0.75738300000000003</v>
      </c>
      <c r="AG223" s="126">
        <v>0.80598599999999998</v>
      </c>
      <c r="AH223" s="126">
        <v>0.85159399999999996</v>
      </c>
      <c r="AI223" s="126">
        <v>0.90099700000000005</v>
      </c>
      <c r="AJ223" s="126">
        <v>0.95071099999999997</v>
      </c>
      <c r="AK223" s="126">
        <v>0.99144900000000002</v>
      </c>
      <c r="AL223" s="126" t="s">
        <v>146</v>
      </c>
    </row>
    <row r="224" spans="2:38">
      <c r="B224" s="126" t="s">
        <v>1581</v>
      </c>
      <c r="C224" s="126" t="s">
        <v>2965</v>
      </c>
      <c r="D224" s="126" t="s">
        <v>3276</v>
      </c>
      <c r="E224" s="126" t="s">
        <v>1588</v>
      </c>
      <c r="F224" s="126">
        <v>0</v>
      </c>
      <c r="G224" s="126">
        <v>0.39895599999999998</v>
      </c>
      <c r="H224" s="126">
        <v>0.39174599999999998</v>
      </c>
      <c r="I224" s="126">
        <v>0.44778000000000001</v>
      </c>
      <c r="J224" s="126">
        <v>0.46728399999999998</v>
      </c>
      <c r="K224" s="126">
        <v>0.475018</v>
      </c>
      <c r="L224" s="126">
        <v>0.48481800000000003</v>
      </c>
      <c r="M224" s="126">
        <v>0.50294000000000005</v>
      </c>
      <c r="N224" s="126">
        <v>0.527146</v>
      </c>
      <c r="O224" s="126">
        <v>0.55662400000000001</v>
      </c>
      <c r="P224" s="126">
        <v>0.58860500000000004</v>
      </c>
      <c r="Q224" s="126">
        <v>0.61738499999999996</v>
      </c>
      <c r="R224" s="126">
        <v>0.64638700000000004</v>
      </c>
      <c r="S224" s="126">
        <v>0.68076999999999999</v>
      </c>
      <c r="T224" s="126">
        <v>0.71299400000000002</v>
      </c>
      <c r="U224" s="126">
        <v>0.74165099999999995</v>
      </c>
      <c r="V224" s="126">
        <v>0.76902400000000004</v>
      </c>
      <c r="W224" s="126">
        <v>0.81086999999999998</v>
      </c>
      <c r="X224" s="126">
        <v>0.86219000000000001</v>
      </c>
      <c r="Y224" s="126">
        <v>0.91394699999999995</v>
      </c>
      <c r="Z224" s="126">
        <v>0.96794500000000006</v>
      </c>
      <c r="AA224" s="126">
        <v>1.0227679999999999</v>
      </c>
      <c r="AB224" s="126">
        <v>1.0780320000000001</v>
      </c>
      <c r="AC224" s="126">
        <v>1.1347750000000001</v>
      </c>
      <c r="AD224" s="126">
        <v>1.197567</v>
      </c>
      <c r="AE224" s="126">
        <v>1.267663</v>
      </c>
      <c r="AF224" s="126">
        <v>1.3504860000000001</v>
      </c>
      <c r="AG224" s="126">
        <v>1.4371510000000001</v>
      </c>
      <c r="AH224" s="126">
        <v>1.518475</v>
      </c>
      <c r="AI224" s="126">
        <v>1.606565</v>
      </c>
      <c r="AJ224" s="126">
        <v>1.695208</v>
      </c>
      <c r="AK224" s="126">
        <v>1.7678499999999999</v>
      </c>
      <c r="AL224" s="126" t="s">
        <v>146</v>
      </c>
    </row>
    <row r="225" spans="2:38">
      <c r="B225" s="126" t="s">
        <v>2552</v>
      </c>
      <c r="C225" s="126" t="s">
        <v>2967</v>
      </c>
      <c r="D225" s="126" t="s">
        <v>3277</v>
      </c>
      <c r="E225" s="126" t="s">
        <v>1588</v>
      </c>
      <c r="F225" s="126">
        <v>207.31321700000001</v>
      </c>
      <c r="G225" s="126">
        <v>199.478241</v>
      </c>
      <c r="H225" s="126">
        <v>190.167923</v>
      </c>
      <c r="I225" s="126">
        <v>211.03787199999999</v>
      </c>
      <c r="J225" s="126">
        <v>213.815369</v>
      </c>
      <c r="K225" s="126">
        <v>211.023483</v>
      </c>
      <c r="L225" s="126">
        <v>209.10434000000001</v>
      </c>
      <c r="M225" s="126">
        <v>210.60211200000001</v>
      </c>
      <c r="N225" s="126">
        <v>214.308853</v>
      </c>
      <c r="O225" s="126">
        <v>219.70192</v>
      </c>
      <c r="P225" s="126">
        <v>225.55839499999999</v>
      </c>
      <c r="Q225" s="126">
        <v>229.69635</v>
      </c>
      <c r="R225" s="126">
        <v>233.48173499999999</v>
      </c>
      <c r="S225" s="126">
        <v>238.73915099999999</v>
      </c>
      <c r="T225" s="126">
        <v>242.75732400000001</v>
      </c>
      <c r="U225" s="126">
        <v>245.159302</v>
      </c>
      <c r="V225" s="126">
        <v>246.80360400000001</v>
      </c>
      <c r="W225" s="126">
        <v>252.65389999999999</v>
      </c>
      <c r="X225" s="126">
        <v>260.81973299999999</v>
      </c>
      <c r="Y225" s="126">
        <v>268.42404199999999</v>
      </c>
      <c r="Z225" s="126">
        <v>276.002838</v>
      </c>
      <c r="AA225" s="126">
        <v>283.14102200000002</v>
      </c>
      <c r="AB225" s="126">
        <v>289.747681</v>
      </c>
      <c r="AC225" s="126">
        <v>296.11554000000001</v>
      </c>
      <c r="AD225" s="126">
        <v>303.398956</v>
      </c>
      <c r="AE225" s="126">
        <v>311.80319200000002</v>
      </c>
      <c r="AF225" s="126">
        <v>322.50018299999999</v>
      </c>
      <c r="AG225" s="126">
        <v>333.19979899999998</v>
      </c>
      <c r="AH225" s="126">
        <v>341.80050699999998</v>
      </c>
      <c r="AI225" s="126">
        <v>351.09643599999998</v>
      </c>
      <c r="AJ225" s="126">
        <v>359.67804000000001</v>
      </c>
      <c r="AK225" s="126">
        <v>364.16558800000001</v>
      </c>
      <c r="AL225" s="115">
        <v>1.7999999999999999E-2</v>
      </c>
    </row>
    <row r="226" spans="2:38">
      <c r="B226" s="126" t="s">
        <v>2553</v>
      </c>
      <c r="D226" s="126" t="s">
        <v>3278</v>
      </c>
    </row>
    <row r="227" spans="2:38">
      <c r="B227" s="126" t="s">
        <v>1266</v>
      </c>
      <c r="C227" s="126" t="s">
        <v>2970</v>
      </c>
      <c r="D227" s="126" t="s">
        <v>3279</v>
      </c>
      <c r="E227" s="126" t="s">
        <v>1588</v>
      </c>
      <c r="F227" s="126">
        <v>313.00292999999999</v>
      </c>
      <c r="G227" s="126">
        <v>294.13482699999997</v>
      </c>
      <c r="H227" s="126">
        <v>274.28537</v>
      </c>
      <c r="I227" s="126">
        <v>297.734467</v>
      </c>
      <c r="J227" s="126">
        <v>295.04791299999999</v>
      </c>
      <c r="K227" s="126">
        <v>284.78118899999998</v>
      </c>
      <c r="L227" s="126">
        <v>275.95517000000001</v>
      </c>
      <c r="M227" s="126">
        <v>271.72909499999997</v>
      </c>
      <c r="N227" s="126">
        <v>270.32437099999999</v>
      </c>
      <c r="O227" s="126">
        <v>270.93441799999999</v>
      </c>
      <c r="P227" s="126">
        <v>271.88659699999999</v>
      </c>
      <c r="Q227" s="126">
        <v>270.61029100000002</v>
      </c>
      <c r="R227" s="126">
        <v>268.83331299999998</v>
      </c>
      <c r="S227" s="126">
        <v>268.64913899999999</v>
      </c>
      <c r="T227" s="126">
        <v>266.93511999999998</v>
      </c>
      <c r="U227" s="126">
        <v>263.37426799999997</v>
      </c>
      <c r="V227" s="126">
        <v>258.97555499999999</v>
      </c>
      <c r="W227" s="126">
        <v>258.90319799999997</v>
      </c>
      <c r="X227" s="126">
        <v>260.98092700000001</v>
      </c>
      <c r="Y227" s="126">
        <v>262.26492300000001</v>
      </c>
      <c r="Z227" s="126">
        <v>263.30053700000002</v>
      </c>
      <c r="AA227" s="126">
        <v>263.70959499999998</v>
      </c>
      <c r="AB227" s="126">
        <v>263.35900900000001</v>
      </c>
      <c r="AC227" s="126">
        <v>262.58175699999998</v>
      </c>
      <c r="AD227" s="126">
        <v>262.50427200000001</v>
      </c>
      <c r="AE227" s="126">
        <v>263.14703400000002</v>
      </c>
      <c r="AF227" s="126">
        <v>265.41558800000001</v>
      </c>
      <c r="AG227" s="126">
        <v>267.33084100000002</v>
      </c>
      <c r="AH227" s="126">
        <v>267.252319</v>
      </c>
      <c r="AI227" s="126">
        <v>267.43359400000003</v>
      </c>
      <c r="AJ227" s="126">
        <v>266.77179000000001</v>
      </c>
      <c r="AK227" s="126">
        <v>262.83627300000001</v>
      </c>
      <c r="AL227" s="115">
        <v>-6.0000000000000001E-3</v>
      </c>
    </row>
    <row r="228" spans="2:38">
      <c r="B228" s="126" t="s">
        <v>1352</v>
      </c>
      <c r="C228" s="126" t="s">
        <v>2972</v>
      </c>
      <c r="D228" s="126" t="s">
        <v>3280</v>
      </c>
      <c r="E228" s="126" t="s">
        <v>1588</v>
      </c>
      <c r="F228" s="126">
        <v>0.50072899999999998</v>
      </c>
      <c r="G228" s="126">
        <v>0.47068700000000002</v>
      </c>
      <c r="H228" s="126">
        <v>0.438413</v>
      </c>
      <c r="I228" s="126">
        <v>0.47540100000000002</v>
      </c>
      <c r="J228" s="126">
        <v>0.470688</v>
      </c>
      <c r="K228" s="126">
        <v>0.45400299999999999</v>
      </c>
      <c r="L228" s="126">
        <v>0.43970399999999998</v>
      </c>
      <c r="M228" s="126">
        <v>0.43287500000000001</v>
      </c>
      <c r="N228" s="126">
        <v>0.43059900000000001</v>
      </c>
      <c r="O228" s="126">
        <v>0.43154599999999999</v>
      </c>
      <c r="P228" s="126">
        <v>0.43314900000000001</v>
      </c>
      <c r="Q228" s="126">
        <v>0.43126100000000001</v>
      </c>
      <c r="R228" s="126">
        <v>0.42861399999999999</v>
      </c>
      <c r="S228" s="126">
        <v>0.428531</v>
      </c>
      <c r="T228" s="126">
        <v>0.42608000000000001</v>
      </c>
      <c r="U228" s="126">
        <v>0.42076400000000003</v>
      </c>
      <c r="V228" s="126">
        <v>0.414213</v>
      </c>
      <c r="W228" s="126">
        <v>0.41465600000000002</v>
      </c>
      <c r="X228" s="126">
        <v>0.418597</v>
      </c>
      <c r="Y228" s="126">
        <v>0.42128300000000002</v>
      </c>
      <c r="Z228" s="126">
        <v>0.42360700000000001</v>
      </c>
      <c r="AA228" s="126">
        <v>0.42495899999999998</v>
      </c>
      <c r="AB228" s="126">
        <v>0.42526000000000003</v>
      </c>
      <c r="AC228" s="126">
        <v>0.42498999999999998</v>
      </c>
      <c r="AD228" s="126">
        <v>0.42579899999999998</v>
      </c>
      <c r="AE228" s="126">
        <v>0.42789100000000002</v>
      </c>
      <c r="AF228" s="126">
        <v>0.43274200000000002</v>
      </c>
      <c r="AG228" s="126">
        <v>0.43715300000000001</v>
      </c>
      <c r="AH228" s="126">
        <v>0.438442</v>
      </c>
      <c r="AI228" s="126">
        <v>0.440305</v>
      </c>
      <c r="AJ228" s="126">
        <v>0.44096600000000002</v>
      </c>
      <c r="AK228" s="126">
        <v>0.436442</v>
      </c>
      <c r="AL228" s="115">
        <v>-4.0000000000000001E-3</v>
      </c>
    </row>
    <row r="229" spans="2:38">
      <c r="B229" s="126" t="s">
        <v>1273</v>
      </c>
      <c r="C229" s="126" t="s">
        <v>2974</v>
      </c>
      <c r="D229" s="126" t="s">
        <v>3281</v>
      </c>
      <c r="E229" s="126" t="s">
        <v>1588</v>
      </c>
      <c r="F229" s="126">
        <v>0.36423699999999998</v>
      </c>
      <c r="G229" s="126">
        <v>0.33555099999999999</v>
      </c>
      <c r="H229" s="126">
        <v>0.30646600000000002</v>
      </c>
      <c r="I229" s="126">
        <v>0.32603700000000002</v>
      </c>
      <c r="J229" s="126">
        <v>0.31687799999999999</v>
      </c>
      <c r="K229" s="126">
        <v>0.300209</v>
      </c>
      <c r="L229" s="126">
        <v>0.28575499999999998</v>
      </c>
      <c r="M229" s="126">
        <v>0.27665400000000001</v>
      </c>
      <c r="N229" s="126">
        <v>0.270812</v>
      </c>
      <c r="O229" s="126">
        <v>0.26725900000000002</v>
      </c>
      <c r="P229" s="126">
        <v>0.26433400000000001</v>
      </c>
      <c r="Q229" s="126">
        <v>0.25951999999999997</v>
      </c>
      <c r="R229" s="126">
        <v>0.25452399999999997</v>
      </c>
      <c r="S229" s="126">
        <v>0.25136799999999998</v>
      </c>
      <c r="T229" s="126">
        <v>0.24706900000000001</v>
      </c>
      <c r="U229" s="126">
        <v>0.24138299999999999</v>
      </c>
      <c r="V229" s="126">
        <v>0.235398</v>
      </c>
      <c r="W229" s="126">
        <v>0.23368900000000001</v>
      </c>
      <c r="X229" s="126">
        <v>0.23472100000000001</v>
      </c>
      <c r="Y229" s="126">
        <v>0.235707</v>
      </c>
      <c r="Z229" s="126">
        <v>0.23687</v>
      </c>
      <c r="AA229" s="126">
        <v>0.23810500000000001</v>
      </c>
      <c r="AB229" s="126">
        <v>0.238981</v>
      </c>
      <c r="AC229" s="126">
        <v>0.23984800000000001</v>
      </c>
      <c r="AD229" s="126">
        <v>0.24154100000000001</v>
      </c>
      <c r="AE229" s="126">
        <v>0.24418699999999999</v>
      </c>
      <c r="AF229" s="126">
        <v>0.248805</v>
      </c>
      <c r="AG229" s="126">
        <v>0.25343300000000002</v>
      </c>
      <c r="AH229" s="126">
        <v>0.25650600000000001</v>
      </c>
      <c r="AI229" s="126">
        <v>0.26005600000000001</v>
      </c>
      <c r="AJ229" s="126">
        <v>0.26324399999999998</v>
      </c>
      <c r="AK229" s="126">
        <v>0.263353</v>
      </c>
      <c r="AL229" s="115">
        <v>-0.01</v>
      </c>
    </row>
    <row r="230" spans="2:38">
      <c r="B230" s="126" t="s">
        <v>1282</v>
      </c>
      <c r="C230" s="126" t="s">
        <v>2976</v>
      </c>
      <c r="D230" s="126" t="s">
        <v>3282</v>
      </c>
      <c r="E230" s="126" t="s">
        <v>1588</v>
      </c>
      <c r="F230" s="126">
        <v>5.4496529999999996</v>
      </c>
      <c r="G230" s="126">
        <v>4.7318379999999998</v>
      </c>
      <c r="H230" s="126">
        <v>4.076689</v>
      </c>
      <c r="I230" s="126">
        <v>4.0984530000000001</v>
      </c>
      <c r="J230" s="126">
        <v>3.7785489999999999</v>
      </c>
      <c r="K230" s="126">
        <v>3.4375640000000001</v>
      </c>
      <c r="L230" s="126">
        <v>3.170703</v>
      </c>
      <c r="M230" s="126">
        <v>3.0458090000000002</v>
      </c>
      <c r="N230" s="126">
        <v>2.988934</v>
      </c>
      <c r="O230" s="126">
        <v>2.962358</v>
      </c>
      <c r="P230" s="126">
        <v>3.009125</v>
      </c>
      <c r="Q230" s="126">
        <v>3.06778</v>
      </c>
      <c r="R230" s="126">
        <v>3.1451129999999998</v>
      </c>
      <c r="S230" s="126">
        <v>3.2552279999999998</v>
      </c>
      <c r="T230" s="126">
        <v>3.3918379999999999</v>
      </c>
      <c r="U230" s="126">
        <v>3.5575939999999999</v>
      </c>
      <c r="V230" s="126">
        <v>3.7768890000000002</v>
      </c>
      <c r="W230" s="126">
        <v>4.1056169999999996</v>
      </c>
      <c r="X230" s="126">
        <v>4.5015470000000004</v>
      </c>
      <c r="Y230" s="126">
        <v>4.8931820000000004</v>
      </c>
      <c r="Z230" s="126">
        <v>5.3019949999999998</v>
      </c>
      <c r="AA230" s="126">
        <v>5.7192460000000001</v>
      </c>
      <c r="AB230" s="126">
        <v>6.2284280000000001</v>
      </c>
      <c r="AC230" s="126">
        <v>6.8011290000000004</v>
      </c>
      <c r="AD230" s="126">
        <v>7.3569750000000003</v>
      </c>
      <c r="AE230" s="126">
        <v>8.0037070000000003</v>
      </c>
      <c r="AF230" s="126">
        <v>8.7715270000000007</v>
      </c>
      <c r="AG230" s="126">
        <v>9.611599</v>
      </c>
      <c r="AH230" s="126">
        <v>10.465555</v>
      </c>
      <c r="AI230" s="126">
        <v>11.422077</v>
      </c>
      <c r="AJ230" s="126">
        <v>12.458174</v>
      </c>
      <c r="AK230" s="126">
        <v>13.484024</v>
      </c>
      <c r="AL230" s="115">
        <v>0.03</v>
      </c>
    </row>
    <row r="231" spans="2:38">
      <c r="B231" s="126" t="s">
        <v>2548</v>
      </c>
      <c r="C231" s="126" t="s">
        <v>2978</v>
      </c>
      <c r="D231" s="126" t="s">
        <v>3283</v>
      </c>
      <c r="E231" s="126" t="s">
        <v>1588</v>
      </c>
      <c r="F231" s="126">
        <v>0</v>
      </c>
      <c r="G231" s="126">
        <v>0</v>
      </c>
      <c r="H231" s="126">
        <v>0</v>
      </c>
      <c r="I231" s="126">
        <v>0</v>
      </c>
      <c r="J231" s="126">
        <v>0</v>
      </c>
      <c r="K231" s="126">
        <v>0</v>
      </c>
      <c r="L231" s="126">
        <v>0</v>
      </c>
      <c r="M231" s="126">
        <v>0</v>
      </c>
      <c r="N231" s="126">
        <v>0</v>
      </c>
      <c r="O231" s="126">
        <v>0</v>
      </c>
      <c r="P231" s="126">
        <v>0</v>
      </c>
      <c r="Q231" s="126">
        <v>0</v>
      </c>
      <c r="R231" s="126">
        <v>0</v>
      </c>
      <c r="S231" s="126">
        <v>0</v>
      </c>
      <c r="T231" s="126">
        <v>0</v>
      </c>
      <c r="U231" s="126">
        <v>0</v>
      </c>
      <c r="V231" s="126">
        <v>0</v>
      </c>
      <c r="W231" s="126">
        <v>0</v>
      </c>
      <c r="X231" s="126">
        <v>0</v>
      </c>
      <c r="Y231" s="126">
        <v>0</v>
      </c>
      <c r="Z231" s="126">
        <v>0</v>
      </c>
      <c r="AA231" s="126">
        <v>0</v>
      </c>
      <c r="AB231" s="126">
        <v>0</v>
      </c>
      <c r="AC231" s="126">
        <v>0</v>
      </c>
      <c r="AD231" s="126">
        <v>0</v>
      </c>
      <c r="AE231" s="126">
        <v>0</v>
      </c>
      <c r="AF231" s="126">
        <v>0</v>
      </c>
      <c r="AG231" s="126">
        <v>0</v>
      </c>
      <c r="AH231" s="126">
        <v>0</v>
      </c>
      <c r="AI231" s="126">
        <v>0</v>
      </c>
      <c r="AJ231" s="126">
        <v>0</v>
      </c>
      <c r="AK231" s="126">
        <v>0</v>
      </c>
      <c r="AL231" s="126" t="s">
        <v>146</v>
      </c>
    </row>
    <row r="232" spans="2:38">
      <c r="B232" s="126" t="s">
        <v>1577</v>
      </c>
      <c r="C232" s="126" t="s">
        <v>2980</v>
      </c>
      <c r="D232" s="126" t="s">
        <v>3284</v>
      </c>
      <c r="E232" s="126" t="s">
        <v>1588</v>
      </c>
      <c r="F232" s="126">
        <v>0</v>
      </c>
      <c r="G232" s="126">
        <v>0.111386</v>
      </c>
      <c r="H232" s="126">
        <v>0.106679</v>
      </c>
      <c r="I232" s="126">
        <v>0.11915000000000001</v>
      </c>
      <c r="J232" s="126">
        <v>0.121508</v>
      </c>
      <c r="K232" s="126">
        <v>0.120716</v>
      </c>
      <c r="L232" s="126">
        <v>0.120422</v>
      </c>
      <c r="M232" s="126">
        <v>0.12210799999999999</v>
      </c>
      <c r="N232" s="126">
        <v>0.12511</v>
      </c>
      <c r="O232" s="126">
        <v>0.12914700000000001</v>
      </c>
      <c r="P232" s="126">
        <v>0.13351499999999999</v>
      </c>
      <c r="Q232" s="126">
        <v>0.13692099999999999</v>
      </c>
      <c r="R232" s="126">
        <v>0.14016300000000001</v>
      </c>
      <c r="S232" s="126">
        <v>0.14434</v>
      </c>
      <c r="T232" s="126">
        <v>0.14782000000000001</v>
      </c>
      <c r="U232" s="126">
        <v>0.15035499999999999</v>
      </c>
      <c r="V232" s="126">
        <v>0.15245500000000001</v>
      </c>
      <c r="W232" s="126">
        <v>0.157196</v>
      </c>
      <c r="X232" s="126">
        <v>0.16345100000000001</v>
      </c>
      <c r="Y232" s="126">
        <v>0.169435</v>
      </c>
      <c r="Z232" s="126">
        <v>0.175481</v>
      </c>
      <c r="AA232" s="126">
        <v>0.18132200000000001</v>
      </c>
      <c r="AB232" s="126">
        <v>0.186894</v>
      </c>
      <c r="AC232" s="126">
        <v>0.19237799999999999</v>
      </c>
      <c r="AD232" s="126">
        <v>0.19852700000000001</v>
      </c>
      <c r="AE232" s="126">
        <v>0.205487</v>
      </c>
      <c r="AF232" s="126">
        <v>0.21405099999999999</v>
      </c>
      <c r="AG232" s="126">
        <v>0.22272</v>
      </c>
      <c r="AH232" s="126">
        <v>0.230078</v>
      </c>
      <c r="AI232" s="126">
        <v>0.23798800000000001</v>
      </c>
      <c r="AJ232" s="126">
        <v>0.24549499999999999</v>
      </c>
      <c r="AK232" s="126">
        <v>0.25026599999999999</v>
      </c>
      <c r="AL232" s="126" t="s">
        <v>146</v>
      </c>
    </row>
    <row r="233" spans="2:38">
      <c r="B233" s="126" t="s">
        <v>2549</v>
      </c>
      <c r="C233" s="126" t="s">
        <v>2982</v>
      </c>
      <c r="D233" s="126" t="s">
        <v>3285</v>
      </c>
      <c r="E233" s="126" t="s">
        <v>1588</v>
      </c>
      <c r="F233" s="126">
        <v>5.0930000000000003E-2</v>
      </c>
      <c r="G233" s="126">
        <v>0.15346299999999999</v>
      </c>
      <c r="H233" s="126">
        <v>0.147229</v>
      </c>
      <c r="I233" s="126">
        <v>0.16444</v>
      </c>
      <c r="J233" s="126">
        <v>0.16769400000000001</v>
      </c>
      <c r="K233" s="126">
        <v>0.166602</v>
      </c>
      <c r="L233" s="126">
        <v>0.16619500000000001</v>
      </c>
      <c r="M233" s="126">
        <v>0.16852300000000001</v>
      </c>
      <c r="N233" s="126">
        <v>0.17266500000000001</v>
      </c>
      <c r="O233" s="126">
        <v>0.17823600000000001</v>
      </c>
      <c r="P233" s="126">
        <v>0.18426600000000001</v>
      </c>
      <c r="Q233" s="126">
        <v>0.188966</v>
      </c>
      <c r="R233" s="126">
        <v>0.193441</v>
      </c>
      <c r="S233" s="126">
        <v>0.19920499999999999</v>
      </c>
      <c r="T233" s="126">
        <v>0.20400799999999999</v>
      </c>
      <c r="U233" s="126">
        <v>0.207507</v>
      </c>
      <c r="V233" s="126">
        <v>0.21040400000000001</v>
      </c>
      <c r="W233" s="126">
        <v>0.216948</v>
      </c>
      <c r="X233" s="126">
        <v>0.22558</v>
      </c>
      <c r="Y233" s="126">
        <v>0.23383899999999999</v>
      </c>
      <c r="Z233" s="126">
        <v>0.24218200000000001</v>
      </c>
      <c r="AA233" s="126">
        <v>0.25024400000000002</v>
      </c>
      <c r="AB233" s="126">
        <v>0.257934</v>
      </c>
      <c r="AC233" s="126">
        <v>0.26550299999999999</v>
      </c>
      <c r="AD233" s="126">
        <v>0.27398899999999998</v>
      </c>
      <c r="AE233" s="126">
        <v>0.28359499999999999</v>
      </c>
      <c r="AF233" s="126">
        <v>0.29541400000000001</v>
      </c>
      <c r="AG233" s="126">
        <v>0.30737900000000001</v>
      </c>
      <c r="AH233" s="126">
        <v>0.31753300000000001</v>
      </c>
      <c r="AI233" s="126">
        <v>0.32844899999999999</v>
      </c>
      <c r="AJ233" s="126">
        <v>0.33881</v>
      </c>
      <c r="AK233" s="126">
        <v>0.34539399999999998</v>
      </c>
      <c r="AL233" s="115">
        <v>6.4000000000000001E-2</v>
      </c>
    </row>
    <row r="234" spans="2:38">
      <c r="B234" s="126" t="s">
        <v>2550</v>
      </c>
      <c r="C234" s="126" t="s">
        <v>2984</v>
      </c>
      <c r="D234" s="126" t="s">
        <v>3286</v>
      </c>
      <c r="E234" s="126" t="s">
        <v>1588</v>
      </c>
      <c r="F234" s="126">
        <v>5.4847E-2</v>
      </c>
      <c r="G234" s="126">
        <v>0.16056999999999999</v>
      </c>
      <c r="H234" s="126">
        <v>0.15404699999999999</v>
      </c>
      <c r="I234" s="126">
        <v>0.17205500000000001</v>
      </c>
      <c r="J234" s="126">
        <v>0.17546</v>
      </c>
      <c r="K234" s="126">
        <v>0.174317</v>
      </c>
      <c r="L234" s="126">
        <v>0.17389199999999999</v>
      </c>
      <c r="M234" s="126">
        <v>0.17632700000000001</v>
      </c>
      <c r="N234" s="126">
        <v>0.18066099999999999</v>
      </c>
      <c r="O234" s="126">
        <v>0.18648999999999999</v>
      </c>
      <c r="P234" s="126">
        <v>0.192799</v>
      </c>
      <c r="Q234" s="126">
        <v>0.197717</v>
      </c>
      <c r="R234" s="126">
        <v>0.202399</v>
      </c>
      <c r="S234" s="126">
        <v>0.20843</v>
      </c>
      <c r="T234" s="126">
        <v>0.21345500000000001</v>
      </c>
      <c r="U234" s="126">
        <v>0.217116</v>
      </c>
      <c r="V234" s="126">
        <v>0.22014800000000001</v>
      </c>
      <c r="W234" s="126">
        <v>0.226994</v>
      </c>
      <c r="X234" s="126">
        <v>0.23602699999999999</v>
      </c>
      <c r="Y234" s="126">
        <v>0.244667</v>
      </c>
      <c r="Z234" s="126">
        <v>0.25339800000000001</v>
      </c>
      <c r="AA234" s="126">
        <v>0.26183299999999998</v>
      </c>
      <c r="AB234" s="126">
        <v>0.26987800000000001</v>
      </c>
      <c r="AC234" s="126">
        <v>0.27779799999999999</v>
      </c>
      <c r="AD234" s="126">
        <v>0.28667700000000002</v>
      </c>
      <c r="AE234" s="126">
        <v>0.29672799999999999</v>
      </c>
      <c r="AF234" s="126">
        <v>0.30909500000000001</v>
      </c>
      <c r="AG234" s="126">
        <v>0.32161299999999998</v>
      </c>
      <c r="AH234" s="126">
        <v>0.33223799999999998</v>
      </c>
      <c r="AI234" s="126">
        <v>0.34365899999999999</v>
      </c>
      <c r="AJ234" s="126">
        <v>0.35449999999999998</v>
      </c>
      <c r="AK234" s="126">
        <v>0.36138900000000002</v>
      </c>
      <c r="AL234" s="115">
        <v>6.3E-2</v>
      </c>
    </row>
    <row r="235" spans="2:38">
      <c r="B235" s="126" t="s">
        <v>1581</v>
      </c>
      <c r="C235" s="126" t="s">
        <v>2986</v>
      </c>
      <c r="D235" s="126" t="s">
        <v>3287</v>
      </c>
      <c r="E235" s="126" t="s">
        <v>1588</v>
      </c>
      <c r="F235" s="126">
        <v>5.9582000000000003E-2</v>
      </c>
      <c r="G235" s="126">
        <v>0.216973</v>
      </c>
      <c r="H235" s="126">
        <v>0.20815800000000001</v>
      </c>
      <c r="I235" s="126">
        <v>0.232492</v>
      </c>
      <c r="J235" s="126">
        <v>0.237093</v>
      </c>
      <c r="K235" s="126">
        <v>0.23554900000000001</v>
      </c>
      <c r="L235" s="126">
        <v>0.23497399999999999</v>
      </c>
      <c r="M235" s="126">
        <v>0.238264</v>
      </c>
      <c r="N235" s="126">
        <v>0.24412200000000001</v>
      </c>
      <c r="O235" s="126">
        <v>0.251998</v>
      </c>
      <c r="P235" s="126">
        <v>0.260523</v>
      </c>
      <c r="Q235" s="126">
        <v>0.26716899999999999</v>
      </c>
      <c r="R235" s="126">
        <v>0.27349499999999999</v>
      </c>
      <c r="S235" s="126">
        <v>0.28164499999999998</v>
      </c>
      <c r="T235" s="126">
        <v>0.288435</v>
      </c>
      <c r="U235" s="126">
        <v>0.29338199999999998</v>
      </c>
      <c r="V235" s="126">
        <v>0.29747800000000002</v>
      </c>
      <c r="W235" s="126">
        <v>0.30673</v>
      </c>
      <c r="X235" s="126">
        <v>0.31893500000000002</v>
      </c>
      <c r="Y235" s="126">
        <v>0.33061099999999999</v>
      </c>
      <c r="Z235" s="126">
        <v>0.34240799999999999</v>
      </c>
      <c r="AA235" s="126">
        <v>0.35380600000000001</v>
      </c>
      <c r="AB235" s="126">
        <v>0.364678</v>
      </c>
      <c r="AC235" s="126">
        <v>0.37537999999999999</v>
      </c>
      <c r="AD235" s="126">
        <v>0.387378</v>
      </c>
      <c r="AE235" s="126">
        <v>0.40095900000000001</v>
      </c>
      <c r="AF235" s="126">
        <v>0.41766999999999999</v>
      </c>
      <c r="AG235" s="126">
        <v>0.434585</v>
      </c>
      <c r="AH235" s="126">
        <v>0.44894200000000001</v>
      </c>
      <c r="AI235" s="126">
        <v>0.46437600000000001</v>
      </c>
      <c r="AJ235" s="126">
        <v>0.47902499999999998</v>
      </c>
      <c r="AK235" s="126">
        <v>0.48833300000000002</v>
      </c>
      <c r="AL235" s="115">
        <v>7.0000000000000007E-2</v>
      </c>
    </row>
    <row r="236" spans="2:38">
      <c r="B236" s="126" t="s">
        <v>2554</v>
      </c>
      <c r="C236" s="126" t="s">
        <v>2988</v>
      </c>
      <c r="D236" s="126" t="s">
        <v>3288</v>
      </c>
      <c r="E236" s="126" t="s">
        <v>1588</v>
      </c>
      <c r="F236" s="126">
        <v>319.48291</v>
      </c>
      <c r="G236" s="126">
        <v>300.315338</v>
      </c>
      <c r="H236" s="126">
        <v>279.72305299999999</v>
      </c>
      <c r="I236" s="126">
        <v>303.32247899999999</v>
      </c>
      <c r="J236" s="126">
        <v>300.315765</v>
      </c>
      <c r="K236" s="126">
        <v>289.67013500000002</v>
      </c>
      <c r="L236" s="126">
        <v>280.54684400000002</v>
      </c>
      <c r="M236" s="126">
        <v>276.18966699999999</v>
      </c>
      <c r="N236" s="126">
        <v>274.73730499999999</v>
      </c>
      <c r="O236" s="126">
        <v>275.34136999999998</v>
      </c>
      <c r="P236" s="126">
        <v>276.36431900000002</v>
      </c>
      <c r="Q236" s="126">
        <v>275.15960699999999</v>
      </c>
      <c r="R236" s="126">
        <v>273.47109999999998</v>
      </c>
      <c r="S236" s="126">
        <v>273.41781600000002</v>
      </c>
      <c r="T236" s="126">
        <v>271.85376000000002</v>
      </c>
      <c r="U236" s="126">
        <v>268.46237200000002</v>
      </c>
      <c r="V236" s="126">
        <v>264.28259300000002</v>
      </c>
      <c r="W236" s="126">
        <v>264.56500199999999</v>
      </c>
      <c r="X236" s="126">
        <v>267.07977299999999</v>
      </c>
      <c r="Y236" s="126">
        <v>268.79363999999998</v>
      </c>
      <c r="Z236" s="126">
        <v>270.27652</v>
      </c>
      <c r="AA236" s="126">
        <v>271.13906900000001</v>
      </c>
      <c r="AB236" s="126">
        <v>271.33105499999999</v>
      </c>
      <c r="AC236" s="126">
        <v>271.15881300000001</v>
      </c>
      <c r="AD236" s="126">
        <v>271.67514</v>
      </c>
      <c r="AE236" s="126">
        <v>273.00958300000002</v>
      </c>
      <c r="AF236" s="126">
        <v>276.10485799999998</v>
      </c>
      <c r="AG236" s="126">
        <v>278.91937300000001</v>
      </c>
      <c r="AH236" s="126">
        <v>279.74160799999999</v>
      </c>
      <c r="AI236" s="126">
        <v>280.93048099999999</v>
      </c>
      <c r="AJ236" s="126">
        <v>281.35201999999998</v>
      </c>
      <c r="AK236" s="126">
        <v>278.465485</v>
      </c>
      <c r="AL236" s="115">
        <v>-4.0000000000000001E-3</v>
      </c>
    </row>
    <row r="237" spans="2:38">
      <c r="B237" s="126" t="s">
        <v>1573</v>
      </c>
      <c r="C237" s="126" t="s">
        <v>2990</v>
      </c>
      <c r="D237" s="126" t="s">
        <v>3289</v>
      </c>
      <c r="E237" s="126" t="s">
        <v>1588</v>
      </c>
      <c r="F237" s="126">
        <v>772.67767300000003</v>
      </c>
      <c r="G237" s="126">
        <v>748.604736</v>
      </c>
      <c r="H237" s="126">
        <v>723.56079099999999</v>
      </c>
      <c r="I237" s="126">
        <v>769.56201199999998</v>
      </c>
      <c r="J237" s="126">
        <v>772.74633800000004</v>
      </c>
      <c r="K237" s="126">
        <v>760.17297399999995</v>
      </c>
      <c r="L237" s="126">
        <v>748.90618900000004</v>
      </c>
      <c r="M237" s="126">
        <v>746.47631799999999</v>
      </c>
      <c r="N237" s="126">
        <v>750.48614499999996</v>
      </c>
      <c r="O237" s="126">
        <v>759.57775900000001</v>
      </c>
      <c r="P237" s="126">
        <v>769.87554899999998</v>
      </c>
      <c r="Q237" s="126">
        <v>774.83660899999995</v>
      </c>
      <c r="R237" s="126">
        <v>779.89929199999995</v>
      </c>
      <c r="S237" s="126">
        <v>788.19232199999999</v>
      </c>
      <c r="T237" s="126">
        <v>792.37243699999999</v>
      </c>
      <c r="U237" s="126">
        <v>792.88647500000002</v>
      </c>
      <c r="V237" s="126">
        <v>793.37292500000001</v>
      </c>
      <c r="W237" s="126">
        <v>804.99432400000001</v>
      </c>
      <c r="X237" s="126">
        <v>820.25256300000001</v>
      </c>
      <c r="Y237" s="126">
        <v>835.25726299999997</v>
      </c>
      <c r="Z237" s="126">
        <v>850.26629600000001</v>
      </c>
      <c r="AA237" s="126">
        <v>861.83660899999995</v>
      </c>
      <c r="AB237" s="126">
        <v>872.51879899999994</v>
      </c>
      <c r="AC237" s="126">
        <v>882.81140100000005</v>
      </c>
      <c r="AD237" s="126">
        <v>893.47564699999998</v>
      </c>
      <c r="AE237" s="126">
        <v>908.75268600000004</v>
      </c>
      <c r="AF237" s="126">
        <v>930.01788299999998</v>
      </c>
      <c r="AG237" s="126">
        <v>950.87329099999999</v>
      </c>
      <c r="AH237" s="126">
        <v>967.51525900000001</v>
      </c>
      <c r="AI237" s="126">
        <v>987.03381300000001</v>
      </c>
      <c r="AJ237" s="126">
        <v>1002.271057</v>
      </c>
      <c r="AK237" s="126">
        <v>1010.010864</v>
      </c>
      <c r="AL237" s="115">
        <v>8.9999999999999993E-3</v>
      </c>
    </row>
    <row r="238" spans="2:38">
      <c r="B238" s="126" t="s">
        <v>634</v>
      </c>
      <c r="D238" s="126" t="s">
        <v>3290</v>
      </c>
    </row>
    <row r="239" spans="2:38">
      <c r="B239" s="126" t="s">
        <v>2565</v>
      </c>
      <c r="C239" s="126" t="s">
        <v>2993</v>
      </c>
      <c r="D239" s="126" t="s">
        <v>3291</v>
      </c>
      <c r="E239" s="126" t="s">
        <v>2995</v>
      </c>
      <c r="F239" s="126">
        <v>1807.96228</v>
      </c>
      <c r="G239" s="126">
        <v>1730.8404539999999</v>
      </c>
      <c r="H239" s="126">
        <v>1660.033447</v>
      </c>
      <c r="I239" s="126">
        <v>1651.259399</v>
      </c>
      <c r="J239" s="126">
        <v>1652.7242429999999</v>
      </c>
      <c r="K239" s="126">
        <v>1638.4692379999999</v>
      </c>
      <c r="L239" s="126">
        <v>1604.7768550000001</v>
      </c>
      <c r="M239" s="126">
        <v>1643.9995120000001</v>
      </c>
      <c r="N239" s="126">
        <v>1652.7871090000001</v>
      </c>
      <c r="O239" s="126">
        <v>1662.7436520000001</v>
      </c>
      <c r="P239" s="126">
        <v>1655.604004</v>
      </c>
      <c r="Q239" s="126">
        <v>1648.302124</v>
      </c>
      <c r="R239" s="126">
        <v>1654.8007809999999</v>
      </c>
      <c r="S239" s="126">
        <v>1663.8508300000001</v>
      </c>
      <c r="T239" s="126">
        <v>1673.9210210000001</v>
      </c>
      <c r="U239" s="126">
        <v>1684.4979249999999</v>
      </c>
      <c r="V239" s="126">
        <v>1686.8079829999999</v>
      </c>
      <c r="W239" s="126">
        <v>1698.2738039999999</v>
      </c>
      <c r="X239" s="126">
        <v>1704.6904300000001</v>
      </c>
      <c r="Y239" s="126">
        <v>1701.2554929999999</v>
      </c>
      <c r="Z239" s="126">
        <v>1711.9681399999999</v>
      </c>
      <c r="AA239" s="126">
        <v>1715.1282960000001</v>
      </c>
      <c r="AB239" s="126">
        <v>1722.2583010000001</v>
      </c>
      <c r="AC239" s="126">
        <v>1735.240356</v>
      </c>
      <c r="AD239" s="126">
        <v>1747.2885739999999</v>
      </c>
      <c r="AE239" s="126">
        <v>1760.9610600000001</v>
      </c>
      <c r="AF239" s="126">
        <v>1777.279663</v>
      </c>
      <c r="AG239" s="126">
        <v>1802.0692140000001</v>
      </c>
      <c r="AH239" s="126">
        <v>1818.081543</v>
      </c>
      <c r="AI239" s="126">
        <v>1839.2490230000001</v>
      </c>
      <c r="AJ239" s="126">
        <v>1861.996948</v>
      </c>
      <c r="AK239" s="126">
        <v>1888.5421140000001</v>
      </c>
      <c r="AL239" s="115">
        <v>1E-3</v>
      </c>
    </row>
    <row r="240" spans="2:38">
      <c r="B240" s="126" t="s">
        <v>2566</v>
      </c>
      <c r="C240" s="126" t="s">
        <v>2996</v>
      </c>
      <c r="D240" s="126" t="s">
        <v>3292</v>
      </c>
      <c r="E240" s="126" t="s">
        <v>2998</v>
      </c>
      <c r="F240" s="126">
        <v>3.4668839999999999</v>
      </c>
      <c r="G240" s="126">
        <v>3.4893709999999998</v>
      </c>
      <c r="H240" s="126">
        <v>3.512003</v>
      </c>
      <c r="I240" s="126">
        <v>3.5347819999999999</v>
      </c>
      <c r="J240" s="126">
        <v>3.5577100000000002</v>
      </c>
      <c r="K240" s="126">
        <v>3.5807850000000001</v>
      </c>
      <c r="L240" s="126">
        <v>3.6040100000000002</v>
      </c>
      <c r="M240" s="126">
        <v>3.627386</v>
      </c>
      <c r="N240" s="126">
        <v>3.6509140000000002</v>
      </c>
      <c r="O240" s="126">
        <v>3.6745939999999999</v>
      </c>
      <c r="P240" s="126">
        <v>3.6984279999999998</v>
      </c>
      <c r="Q240" s="126">
        <v>3.7224159999999999</v>
      </c>
      <c r="R240" s="126">
        <v>3.7465600000000001</v>
      </c>
      <c r="S240" s="126">
        <v>3.7708599999999999</v>
      </c>
      <c r="T240" s="126">
        <v>3.795318</v>
      </c>
      <c r="U240" s="126">
        <v>3.8199350000000001</v>
      </c>
      <c r="V240" s="126">
        <v>3.8447119999999999</v>
      </c>
      <c r="W240" s="126">
        <v>3.8696489999999999</v>
      </c>
      <c r="X240" s="126">
        <v>3.8947479999999999</v>
      </c>
      <c r="Y240" s="126">
        <v>3.9200089999999999</v>
      </c>
      <c r="Z240" s="126">
        <v>3.9454349999999998</v>
      </c>
      <c r="AA240" s="126">
        <v>3.971025</v>
      </c>
      <c r="AB240" s="126">
        <v>3.9967820000000001</v>
      </c>
      <c r="AC240" s="126">
        <v>4.0227050000000002</v>
      </c>
      <c r="AD240" s="126">
        <v>4.0487970000000004</v>
      </c>
      <c r="AE240" s="126">
        <v>4.0750580000000003</v>
      </c>
      <c r="AF240" s="126">
        <v>4.1014889999999999</v>
      </c>
      <c r="AG240" s="126">
        <v>4.1280910000000004</v>
      </c>
      <c r="AH240" s="126">
        <v>4.1548660000000002</v>
      </c>
      <c r="AI240" s="126">
        <v>4.1818150000000003</v>
      </c>
      <c r="AJ240" s="126">
        <v>4.208939</v>
      </c>
      <c r="AK240" s="126">
        <v>4.2362380000000002</v>
      </c>
      <c r="AL240" s="115">
        <v>6.0000000000000001E-3</v>
      </c>
    </row>
    <row r="241" spans="2:38">
      <c r="B241" s="126" t="s">
        <v>133</v>
      </c>
      <c r="D241" s="126" t="s">
        <v>3293</v>
      </c>
    </row>
    <row r="242" spans="2:38">
      <c r="B242" s="126" t="s">
        <v>1351</v>
      </c>
      <c r="C242" s="126" t="s">
        <v>3000</v>
      </c>
      <c r="D242" s="126" t="s">
        <v>3294</v>
      </c>
      <c r="E242" s="126" t="s">
        <v>1294</v>
      </c>
      <c r="F242" s="126">
        <v>521.49481200000002</v>
      </c>
      <c r="G242" s="126">
        <v>495.50134300000002</v>
      </c>
      <c r="H242" s="126">
        <v>471.15774499999998</v>
      </c>
      <c r="I242" s="126">
        <v>464.15228300000001</v>
      </c>
      <c r="J242" s="126">
        <v>459.59439099999997</v>
      </c>
      <c r="K242" s="126">
        <v>450.27181999999999</v>
      </c>
      <c r="L242" s="126">
        <v>434.29849200000001</v>
      </c>
      <c r="M242" s="126">
        <v>436.59869400000002</v>
      </c>
      <c r="N242" s="126">
        <v>429.209137</v>
      </c>
      <c r="O242" s="126">
        <v>420.73406999999997</v>
      </c>
      <c r="P242" s="126">
        <v>406.74523900000003</v>
      </c>
      <c r="Q242" s="126">
        <v>393.16223100000002</v>
      </c>
      <c r="R242" s="126">
        <v>383.20843500000001</v>
      </c>
      <c r="S242" s="126">
        <v>374.06173699999999</v>
      </c>
      <c r="T242" s="126">
        <v>365.33306900000002</v>
      </c>
      <c r="U242" s="126">
        <v>356.89035000000001</v>
      </c>
      <c r="V242" s="126">
        <v>346.92865</v>
      </c>
      <c r="W242" s="126">
        <v>339.07257099999998</v>
      </c>
      <c r="X242" s="126">
        <v>330.40054300000003</v>
      </c>
      <c r="Y242" s="126">
        <v>320.09222399999999</v>
      </c>
      <c r="Z242" s="126">
        <v>312.68826300000001</v>
      </c>
      <c r="AA242" s="126">
        <v>304.10449199999999</v>
      </c>
      <c r="AB242" s="126">
        <v>296.43866000000003</v>
      </c>
      <c r="AC242" s="126">
        <v>289.93890399999998</v>
      </c>
      <c r="AD242" s="126">
        <v>283.41436800000002</v>
      </c>
      <c r="AE242" s="126">
        <v>277.27917500000001</v>
      </c>
      <c r="AF242" s="126">
        <v>271.66494799999998</v>
      </c>
      <c r="AG242" s="126">
        <v>267.39889499999998</v>
      </c>
      <c r="AH242" s="126">
        <v>261.88574199999999</v>
      </c>
      <c r="AI242" s="126">
        <v>257.18719499999997</v>
      </c>
      <c r="AJ242" s="126">
        <v>252.75401299999999</v>
      </c>
      <c r="AK242" s="126">
        <v>248.86059599999999</v>
      </c>
      <c r="AL242" s="115">
        <v>-2.4E-2</v>
      </c>
    </row>
    <row r="243" spans="2:38">
      <c r="B243" s="126" t="s">
        <v>1257</v>
      </c>
      <c r="C243" s="126" t="s">
        <v>3002</v>
      </c>
      <c r="D243" s="126" t="s">
        <v>3295</v>
      </c>
      <c r="E243" s="126" t="s">
        <v>1294</v>
      </c>
      <c r="F243" s="126">
        <v>0</v>
      </c>
      <c r="G243" s="126">
        <v>0</v>
      </c>
      <c r="H243" s="126">
        <v>0</v>
      </c>
      <c r="I243" s="126">
        <v>0</v>
      </c>
      <c r="J243" s="126">
        <v>0</v>
      </c>
      <c r="K243" s="126">
        <v>0</v>
      </c>
      <c r="L243" s="126">
        <v>0</v>
      </c>
      <c r="M243" s="126">
        <v>0</v>
      </c>
      <c r="N243" s="126">
        <v>0</v>
      </c>
      <c r="O243" s="126">
        <v>0</v>
      </c>
      <c r="P243" s="126">
        <v>0</v>
      </c>
      <c r="Q243" s="126">
        <v>0</v>
      </c>
      <c r="R243" s="126">
        <v>0</v>
      </c>
      <c r="S243" s="126">
        <v>0</v>
      </c>
      <c r="T243" s="126">
        <v>0</v>
      </c>
      <c r="U243" s="126">
        <v>0</v>
      </c>
      <c r="V243" s="126">
        <v>0</v>
      </c>
      <c r="W243" s="126">
        <v>0</v>
      </c>
      <c r="X243" s="126">
        <v>0</v>
      </c>
      <c r="Y243" s="126">
        <v>0</v>
      </c>
      <c r="Z243" s="126">
        <v>0</v>
      </c>
      <c r="AA243" s="126">
        <v>0</v>
      </c>
      <c r="AB243" s="126">
        <v>0</v>
      </c>
      <c r="AC243" s="126">
        <v>0</v>
      </c>
      <c r="AD243" s="126">
        <v>0</v>
      </c>
      <c r="AE243" s="126">
        <v>0</v>
      </c>
      <c r="AF243" s="126">
        <v>0</v>
      </c>
      <c r="AG243" s="126">
        <v>0</v>
      </c>
      <c r="AH243" s="126">
        <v>0</v>
      </c>
      <c r="AI243" s="126">
        <v>0</v>
      </c>
      <c r="AJ243" s="126">
        <v>0</v>
      </c>
      <c r="AK243" s="126">
        <v>0</v>
      </c>
      <c r="AL243" s="126" t="s">
        <v>146</v>
      </c>
    </row>
    <row r="244" spans="2:38">
      <c r="B244" s="126" t="s">
        <v>1354</v>
      </c>
      <c r="C244" s="126" t="s">
        <v>3004</v>
      </c>
      <c r="D244" s="126" t="s">
        <v>3296</v>
      </c>
      <c r="E244" s="126" t="s">
        <v>1294</v>
      </c>
      <c r="F244" s="126">
        <v>0</v>
      </c>
      <c r="G244" s="126">
        <v>0</v>
      </c>
      <c r="H244" s="126">
        <v>0</v>
      </c>
      <c r="I244" s="126">
        <v>0</v>
      </c>
      <c r="J244" s="126">
        <v>0</v>
      </c>
      <c r="K244" s="126">
        <v>0</v>
      </c>
      <c r="L244" s="126">
        <v>0</v>
      </c>
      <c r="M244" s="126">
        <v>0</v>
      </c>
      <c r="N244" s="126">
        <v>0</v>
      </c>
      <c r="O244" s="126">
        <v>0</v>
      </c>
      <c r="P244" s="126">
        <v>0</v>
      </c>
      <c r="Q244" s="126">
        <v>0</v>
      </c>
      <c r="R244" s="126">
        <v>0</v>
      </c>
      <c r="S244" s="126">
        <v>0</v>
      </c>
      <c r="T244" s="126">
        <v>0</v>
      </c>
      <c r="U244" s="126">
        <v>0</v>
      </c>
      <c r="V244" s="126">
        <v>0</v>
      </c>
      <c r="W244" s="126">
        <v>0</v>
      </c>
      <c r="X244" s="126">
        <v>0</v>
      </c>
      <c r="Y244" s="126">
        <v>0</v>
      </c>
      <c r="Z244" s="126">
        <v>0</v>
      </c>
      <c r="AA244" s="126">
        <v>0</v>
      </c>
      <c r="AB244" s="126">
        <v>0</v>
      </c>
      <c r="AC244" s="126">
        <v>0</v>
      </c>
      <c r="AD244" s="126">
        <v>0</v>
      </c>
      <c r="AE244" s="126">
        <v>0</v>
      </c>
      <c r="AF244" s="126">
        <v>0</v>
      </c>
      <c r="AG244" s="126">
        <v>0</v>
      </c>
      <c r="AH244" s="126">
        <v>0</v>
      </c>
      <c r="AI244" s="126">
        <v>0</v>
      </c>
      <c r="AJ244" s="126">
        <v>0</v>
      </c>
      <c r="AK244" s="126">
        <v>0</v>
      </c>
      <c r="AL244" s="126" t="s">
        <v>146</v>
      </c>
    </row>
    <row r="245" spans="2:38">
      <c r="B245" s="126" t="s">
        <v>1355</v>
      </c>
      <c r="C245" s="126" t="s">
        <v>3006</v>
      </c>
      <c r="D245" s="126" t="s">
        <v>3297</v>
      </c>
      <c r="E245" s="126" t="s">
        <v>1294</v>
      </c>
      <c r="F245" s="126">
        <v>0</v>
      </c>
      <c r="G245" s="126">
        <v>0.53084200000000004</v>
      </c>
      <c r="H245" s="126">
        <v>1.5164519999999999</v>
      </c>
      <c r="I245" s="126">
        <v>2.99369</v>
      </c>
      <c r="J245" s="126">
        <v>4.9528829999999999</v>
      </c>
      <c r="K245" s="126">
        <v>7.3008350000000002</v>
      </c>
      <c r="L245" s="126">
        <v>10.976789</v>
      </c>
      <c r="M245" s="126">
        <v>16.620100000000001</v>
      </c>
      <c r="N245" s="126">
        <v>23.49588</v>
      </c>
      <c r="O245" s="126">
        <v>31.763241000000001</v>
      </c>
      <c r="P245" s="126">
        <v>40.905560000000001</v>
      </c>
      <c r="Q245" s="126">
        <v>49.642147000000001</v>
      </c>
      <c r="R245" s="126">
        <v>58.476996999999997</v>
      </c>
      <c r="S245" s="126">
        <v>67.177245999999997</v>
      </c>
      <c r="T245" s="126">
        <v>75.715880999999996</v>
      </c>
      <c r="U245" s="126">
        <v>84.085205000000002</v>
      </c>
      <c r="V245" s="126">
        <v>91.805854999999994</v>
      </c>
      <c r="W245" s="126">
        <v>99.797721999999993</v>
      </c>
      <c r="X245" s="126">
        <v>107.289001</v>
      </c>
      <c r="Y245" s="126">
        <v>113.900513</v>
      </c>
      <c r="Z245" s="126">
        <v>121.22287799999999</v>
      </c>
      <c r="AA245" s="126">
        <v>127.806213</v>
      </c>
      <c r="AB245" s="126">
        <v>134.47262599999999</v>
      </c>
      <c r="AC245" s="126">
        <v>141.422653</v>
      </c>
      <c r="AD245" s="126">
        <v>148.14317299999999</v>
      </c>
      <c r="AE245" s="126">
        <v>154.852417</v>
      </c>
      <c r="AF245" s="126">
        <v>161.660583</v>
      </c>
      <c r="AG245" s="126">
        <v>169.13922099999999</v>
      </c>
      <c r="AH245" s="126">
        <v>175.69311500000001</v>
      </c>
      <c r="AI245" s="126">
        <v>182.633545</v>
      </c>
      <c r="AJ245" s="126">
        <v>189.63705400000001</v>
      </c>
      <c r="AK245" s="126">
        <v>196.945831</v>
      </c>
      <c r="AL245" s="126" t="s">
        <v>146</v>
      </c>
    </row>
    <row r="246" spans="2:38">
      <c r="B246" s="126" t="s">
        <v>627</v>
      </c>
      <c r="D246" s="126" t="s">
        <v>3298</v>
      </c>
    </row>
    <row r="247" spans="2:38">
      <c r="B247" s="126" t="s">
        <v>2567</v>
      </c>
      <c r="C247" s="126" t="s">
        <v>3009</v>
      </c>
      <c r="D247" s="126" t="s">
        <v>3299</v>
      </c>
      <c r="E247" s="126" t="s">
        <v>2995</v>
      </c>
      <c r="F247" s="126">
        <v>416.68075599999997</v>
      </c>
      <c r="G247" s="126">
        <v>409.15490699999998</v>
      </c>
      <c r="H247" s="126">
        <v>404.529877</v>
      </c>
      <c r="I247" s="126">
        <v>396.47796599999998</v>
      </c>
      <c r="J247" s="126">
        <v>388.98980699999998</v>
      </c>
      <c r="K247" s="126">
        <v>379.45697000000001</v>
      </c>
      <c r="L247" s="126">
        <v>370.07324199999999</v>
      </c>
      <c r="M247" s="126">
        <v>361.44610599999999</v>
      </c>
      <c r="N247" s="126">
        <v>352.76406900000001</v>
      </c>
      <c r="O247" s="126">
        <v>343.56066900000002</v>
      </c>
      <c r="P247" s="126">
        <v>333.81878699999999</v>
      </c>
      <c r="Q247" s="126">
        <v>323.794983</v>
      </c>
      <c r="R247" s="126">
        <v>320.25204500000001</v>
      </c>
      <c r="S247" s="126">
        <v>316.14532500000001</v>
      </c>
      <c r="T247" s="126">
        <v>312.65210000000002</v>
      </c>
      <c r="U247" s="126">
        <v>308.385468</v>
      </c>
      <c r="V247" s="126">
        <v>304.23715199999998</v>
      </c>
      <c r="W247" s="126">
        <v>300.63772599999999</v>
      </c>
      <c r="X247" s="126">
        <v>296.55325299999998</v>
      </c>
      <c r="Y247" s="126">
        <v>292.41882299999997</v>
      </c>
      <c r="Z247" s="126">
        <v>288.76394699999997</v>
      </c>
      <c r="AA247" s="126">
        <v>284.95684799999998</v>
      </c>
      <c r="AB247" s="126">
        <v>283.66168199999998</v>
      </c>
      <c r="AC247" s="126">
        <v>282.64859000000001</v>
      </c>
      <c r="AD247" s="126">
        <v>281.33288599999997</v>
      </c>
      <c r="AE247" s="126">
        <v>280.511841</v>
      </c>
      <c r="AF247" s="126">
        <v>279.87280299999998</v>
      </c>
      <c r="AG247" s="126">
        <v>280.18786599999999</v>
      </c>
      <c r="AH247" s="126">
        <v>279.40164199999998</v>
      </c>
      <c r="AI247" s="126">
        <v>279.350281</v>
      </c>
      <c r="AJ247" s="126">
        <v>279.69216899999998</v>
      </c>
      <c r="AK247" s="126">
        <v>280.25091600000002</v>
      </c>
      <c r="AL247" s="115">
        <v>-1.2999999999999999E-2</v>
      </c>
    </row>
    <row r="248" spans="2:38">
      <c r="B248" s="126" t="s">
        <v>2566</v>
      </c>
      <c r="C248" s="126" t="s">
        <v>3011</v>
      </c>
      <c r="D248" s="126" t="s">
        <v>3300</v>
      </c>
      <c r="E248" s="126" t="s">
        <v>2998</v>
      </c>
      <c r="F248" s="126">
        <v>4.8133650000000001</v>
      </c>
      <c r="G248" s="126">
        <v>4.8419600000000003</v>
      </c>
      <c r="H248" s="126">
        <v>4.8707260000000003</v>
      </c>
      <c r="I248" s="126">
        <v>4.8996630000000003</v>
      </c>
      <c r="J248" s="126">
        <v>4.9287720000000004</v>
      </c>
      <c r="K248" s="126">
        <v>4.9580539999999997</v>
      </c>
      <c r="L248" s="126">
        <v>4.9875090000000002</v>
      </c>
      <c r="M248" s="126">
        <v>5.0171400000000004</v>
      </c>
      <c r="N248" s="126">
        <v>5.0469470000000003</v>
      </c>
      <c r="O248" s="126">
        <v>5.0769310000000001</v>
      </c>
      <c r="P248" s="126">
        <v>5.1070919999999997</v>
      </c>
      <c r="Q248" s="126">
        <v>5.1374339999999998</v>
      </c>
      <c r="R248" s="126">
        <v>5.1679550000000001</v>
      </c>
      <c r="S248" s="126">
        <v>5.198658</v>
      </c>
      <c r="T248" s="126">
        <v>5.2295429999999996</v>
      </c>
      <c r="U248" s="126">
        <v>5.2606109999999999</v>
      </c>
      <c r="V248" s="126">
        <v>5.2918640000000003</v>
      </c>
      <c r="W248" s="126">
        <v>5.3233030000000001</v>
      </c>
      <c r="X248" s="126">
        <v>5.3549290000000003</v>
      </c>
      <c r="Y248" s="126">
        <v>5.3867419999999999</v>
      </c>
      <c r="Z248" s="126">
        <v>5.4187450000000004</v>
      </c>
      <c r="AA248" s="126">
        <v>5.4509379999999998</v>
      </c>
      <c r="AB248" s="126">
        <v>5.4833220000000003</v>
      </c>
      <c r="AC248" s="126">
        <v>5.515898</v>
      </c>
      <c r="AD248" s="126">
        <v>5.548667</v>
      </c>
      <c r="AE248" s="126">
        <v>5.5816319999999999</v>
      </c>
      <c r="AF248" s="126">
        <v>5.6147919999999996</v>
      </c>
      <c r="AG248" s="126">
        <v>5.6481500000000002</v>
      </c>
      <c r="AH248" s="126">
        <v>5.681705</v>
      </c>
      <c r="AI248" s="126">
        <v>5.7154600000000002</v>
      </c>
      <c r="AJ248" s="126">
        <v>5.7494160000000001</v>
      </c>
      <c r="AK248" s="126">
        <v>5.7835729999999996</v>
      </c>
      <c r="AL248" s="115">
        <v>6.0000000000000001E-3</v>
      </c>
    </row>
    <row r="249" spans="2:38">
      <c r="B249" s="126" t="s">
        <v>133</v>
      </c>
      <c r="D249" s="126" t="s">
        <v>3301</v>
      </c>
    </row>
    <row r="250" spans="2:38">
      <c r="B250" s="126" t="s">
        <v>1351</v>
      </c>
      <c r="C250" s="126" t="s">
        <v>3014</v>
      </c>
      <c r="D250" s="126" t="s">
        <v>3302</v>
      </c>
      <c r="E250" s="126" t="s">
        <v>1294</v>
      </c>
      <c r="F250" s="126">
        <v>86.762908999999993</v>
      </c>
      <c r="G250" s="126">
        <v>84.306113999999994</v>
      </c>
      <c r="H250" s="126">
        <v>83.001830999999996</v>
      </c>
      <c r="I250" s="126">
        <v>81.066428999999999</v>
      </c>
      <c r="J250" s="126">
        <v>79.037163000000007</v>
      </c>
      <c r="K250" s="126">
        <v>76.613297000000003</v>
      </c>
      <c r="L250" s="126">
        <v>74.252257999999998</v>
      </c>
      <c r="M250" s="126">
        <v>72.069480999999996</v>
      </c>
      <c r="N250" s="126">
        <v>69.893257000000006</v>
      </c>
      <c r="O250" s="126">
        <v>67.634338</v>
      </c>
      <c r="P250" s="126">
        <v>65.292312999999993</v>
      </c>
      <c r="Q250" s="126">
        <v>62.918449000000003</v>
      </c>
      <c r="R250" s="126">
        <v>61.819186999999999</v>
      </c>
      <c r="S250" s="126">
        <v>60.623375000000003</v>
      </c>
      <c r="T250" s="126">
        <v>59.551369000000001</v>
      </c>
      <c r="U250" s="126">
        <v>58.340328</v>
      </c>
      <c r="V250" s="126">
        <v>57.169089999999997</v>
      </c>
      <c r="W250" s="126">
        <v>56.117263999999999</v>
      </c>
      <c r="X250" s="126">
        <v>54.977631000000002</v>
      </c>
      <c r="Y250" s="126">
        <v>53.831322</v>
      </c>
      <c r="Z250" s="126">
        <v>52.775950999999999</v>
      </c>
      <c r="AA250" s="126">
        <v>51.681522000000001</v>
      </c>
      <c r="AB250" s="126">
        <v>51.084251000000002</v>
      </c>
      <c r="AC250" s="126">
        <v>50.539864000000001</v>
      </c>
      <c r="AD250" s="126">
        <v>49.941414000000002</v>
      </c>
      <c r="AE250" s="126">
        <v>49.431511</v>
      </c>
      <c r="AF250" s="126">
        <v>48.953727999999998</v>
      </c>
      <c r="AG250" s="126">
        <v>48.641235000000002</v>
      </c>
      <c r="AH250" s="126">
        <v>48.134163000000001</v>
      </c>
      <c r="AI250" s="126">
        <v>47.751972000000002</v>
      </c>
      <c r="AJ250" s="126">
        <v>47.434081999999997</v>
      </c>
      <c r="AK250" s="126">
        <v>47.147132999999997</v>
      </c>
      <c r="AL250" s="115">
        <v>-1.9E-2</v>
      </c>
    </row>
    <row r="251" spans="2:38">
      <c r="B251" s="126" t="s">
        <v>1257</v>
      </c>
      <c r="C251" s="126" t="s">
        <v>3016</v>
      </c>
      <c r="D251" s="126" t="s">
        <v>3303</v>
      </c>
      <c r="E251" s="126" t="s">
        <v>1294</v>
      </c>
      <c r="F251" s="126">
        <v>2.235385</v>
      </c>
      <c r="G251" s="126">
        <v>3.1859519999999999</v>
      </c>
      <c r="H251" s="126">
        <v>2.322066</v>
      </c>
      <c r="I251" s="126">
        <v>1.5368459999999999</v>
      </c>
      <c r="J251" s="126">
        <v>1.430444</v>
      </c>
      <c r="K251" s="126">
        <v>1.323928</v>
      </c>
      <c r="L251" s="126">
        <v>1.2232050000000001</v>
      </c>
      <c r="M251" s="126">
        <v>1.1355170000000001</v>
      </c>
      <c r="N251" s="126">
        <v>1.0484849999999999</v>
      </c>
      <c r="O251" s="126">
        <v>0.96447400000000005</v>
      </c>
      <c r="P251" s="126">
        <v>0.88311600000000001</v>
      </c>
      <c r="Q251" s="126">
        <v>0.80201199999999995</v>
      </c>
      <c r="R251" s="126">
        <v>0.73750899999999997</v>
      </c>
      <c r="S251" s="126">
        <v>0.67493400000000003</v>
      </c>
      <c r="T251" s="126">
        <v>0.61419000000000001</v>
      </c>
      <c r="U251" s="126">
        <v>0.55547800000000003</v>
      </c>
      <c r="V251" s="126">
        <v>0.500224</v>
      </c>
      <c r="W251" s="126">
        <v>0.45387899999999998</v>
      </c>
      <c r="X251" s="126">
        <v>0.404642</v>
      </c>
      <c r="Y251" s="126">
        <v>0.35112399999999999</v>
      </c>
      <c r="Z251" s="126">
        <v>0.296574</v>
      </c>
      <c r="AA251" s="126">
        <v>0.248728</v>
      </c>
      <c r="AB251" s="126">
        <v>0.24607599999999999</v>
      </c>
      <c r="AC251" s="126">
        <v>0.24366399999999999</v>
      </c>
      <c r="AD251" s="126">
        <v>0.24105099999999999</v>
      </c>
      <c r="AE251" s="126">
        <v>0.23888200000000001</v>
      </c>
      <c r="AF251" s="126">
        <v>0.236868</v>
      </c>
      <c r="AG251" s="126">
        <v>0.235655</v>
      </c>
      <c r="AH251" s="126">
        <v>0.233567</v>
      </c>
      <c r="AI251" s="126">
        <v>0.232095</v>
      </c>
      <c r="AJ251" s="126">
        <v>0.23092799999999999</v>
      </c>
      <c r="AK251" s="126">
        <v>0.22997100000000001</v>
      </c>
      <c r="AL251" s="115">
        <v>-7.0999999999999994E-2</v>
      </c>
    </row>
    <row r="252" spans="2:38">
      <c r="B252" s="126" t="s">
        <v>1354</v>
      </c>
      <c r="C252" s="126" t="s">
        <v>3018</v>
      </c>
      <c r="D252" s="126" t="s">
        <v>3304</v>
      </c>
      <c r="E252" s="126" t="s">
        <v>1294</v>
      </c>
      <c r="F252" s="126">
        <v>0</v>
      </c>
      <c r="G252" s="126">
        <v>0</v>
      </c>
      <c r="H252" s="126">
        <v>0</v>
      </c>
      <c r="I252" s="126">
        <v>0</v>
      </c>
      <c r="J252" s="126">
        <v>0</v>
      </c>
      <c r="K252" s="126">
        <v>0</v>
      </c>
      <c r="L252" s="126">
        <v>0</v>
      </c>
      <c r="M252" s="126">
        <v>0</v>
      </c>
      <c r="N252" s="126">
        <v>0</v>
      </c>
      <c r="O252" s="126">
        <v>0</v>
      </c>
      <c r="P252" s="126">
        <v>0</v>
      </c>
      <c r="Q252" s="126">
        <v>0</v>
      </c>
      <c r="R252" s="126">
        <v>0</v>
      </c>
      <c r="S252" s="126">
        <v>0</v>
      </c>
      <c r="T252" s="126">
        <v>0</v>
      </c>
      <c r="U252" s="126">
        <v>0</v>
      </c>
      <c r="V252" s="126">
        <v>0</v>
      </c>
      <c r="W252" s="126">
        <v>0</v>
      </c>
      <c r="X252" s="126">
        <v>0</v>
      </c>
      <c r="Y252" s="126">
        <v>0</v>
      </c>
      <c r="Z252" s="126">
        <v>0</v>
      </c>
      <c r="AA252" s="126">
        <v>0</v>
      </c>
      <c r="AB252" s="126">
        <v>0</v>
      </c>
      <c r="AC252" s="126">
        <v>0</v>
      </c>
      <c r="AD252" s="126">
        <v>0</v>
      </c>
      <c r="AE252" s="126">
        <v>0</v>
      </c>
      <c r="AF252" s="126">
        <v>0</v>
      </c>
      <c r="AG252" s="126">
        <v>0</v>
      </c>
      <c r="AH252" s="126">
        <v>0</v>
      </c>
      <c r="AI252" s="126">
        <v>0</v>
      </c>
      <c r="AJ252" s="126">
        <v>0</v>
      </c>
      <c r="AK252" s="126">
        <v>0</v>
      </c>
      <c r="AL252" s="126" t="s">
        <v>146</v>
      </c>
    </row>
    <row r="253" spans="2:38">
      <c r="B253" s="126" t="s">
        <v>1355</v>
      </c>
      <c r="C253" s="126" t="s">
        <v>3020</v>
      </c>
      <c r="D253" s="126" t="s">
        <v>3305</v>
      </c>
      <c r="E253" s="126" t="s">
        <v>1294</v>
      </c>
      <c r="F253" s="126">
        <v>0.41039300000000001</v>
      </c>
      <c r="G253" s="126">
        <v>0.45460099999999998</v>
      </c>
      <c r="H253" s="126">
        <v>0.50124199999999997</v>
      </c>
      <c r="I253" s="126">
        <v>0.540412</v>
      </c>
      <c r="J253" s="126">
        <v>0.57549600000000001</v>
      </c>
      <c r="K253" s="126">
        <v>0.60282999999999998</v>
      </c>
      <c r="L253" s="126">
        <v>0.62714300000000001</v>
      </c>
      <c r="M253" s="126">
        <v>0.64570799999999995</v>
      </c>
      <c r="N253" s="126">
        <v>0.66405700000000001</v>
      </c>
      <c r="O253" s="126">
        <v>0.67871499999999996</v>
      </c>
      <c r="P253" s="126">
        <v>0.68984699999999999</v>
      </c>
      <c r="Q253" s="126">
        <v>0.70019699999999996</v>
      </c>
      <c r="R253" s="126">
        <v>0.72452499999999997</v>
      </c>
      <c r="S253" s="126">
        <v>0.74545099999999997</v>
      </c>
      <c r="T253" s="126">
        <v>0.76766599999999996</v>
      </c>
      <c r="U253" s="126">
        <v>0.78569100000000003</v>
      </c>
      <c r="V253" s="126">
        <v>0.80185499999999998</v>
      </c>
      <c r="W253" s="126">
        <v>0.81404500000000002</v>
      </c>
      <c r="X253" s="126">
        <v>0.82663299999999995</v>
      </c>
      <c r="Y253" s="126">
        <v>0.84219699999999997</v>
      </c>
      <c r="Z253" s="126">
        <v>0.86042200000000002</v>
      </c>
      <c r="AA253" s="126">
        <v>0.90076100000000003</v>
      </c>
      <c r="AB253" s="126">
        <v>0.95246699999999995</v>
      </c>
      <c r="AC253" s="126">
        <v>1.0081420000000001</v>
      </c>
      <c r="AD253" s="126">
        <v>1.0658890000000001</v>
      </c>
      <c r="AE253" s="126">
        <v>1.1289119999999999</v>
      </c>
      <c r="AF253" s="126">
        <v>1.196442</v>
      </c>
      <c r="AG253" s="126">
        <v>1.272354</v>
      </c>
      <c r="AH253" s="126">
        <v>1.3477380000000001</v>
      </c>
      <c r="AI253" s="126">
        <v>1.4313530000000001</v>
      </c>
      <c r="AJ253" s="126">
        <v>1.5223279999999999</v>
      </c>
      <c r="AK253" s="126">
        <v>1.620312</v>
      </c>
      <c r="AL253" s="115">
        <v>4.4999999999999998E-2</v>
      </c>
    </row>
    <row r="254" spans="2:38">
      <c r="B254" s="126" t="s">
        <v>620</v>
      </c>
      <c r="D254" s="126" t="s">
        <v>3306</v>
      </c>
    </row>
    <row r="255" spans="2:38">
      <c r="B255" s="126" t="s">
        <v>2568</v>
      </c>
      <c r="C255" s="126" t="s">
        <v>3023</v>
      </c>
      <c r="D255" s="126" t="s">
        <v>3307</v>
      </c>
      <c r="E255" s="126" t="s">
        <v>3025</v>
      </c>
      <c r="F255" s="126">
        <v>4889.7353519999997</v>
      </c>
      <c r="G255" s="126">
        <v>5156.6806640000004</v>
      </c>
      <c r="H255" s="126">
        <v>5372.2089839999999</v>
      </c>
      <c r="I255" s="126">
        <v>5628.09375</v>
      </c>
      <c r="J255" s="126">
        <v>5880.2001950000003</v>
      </c>
      <c r="K255" s="126">
        <v>6094.5864259999998</v>
      </c>
      <c r="L255" s="126">
        <v>6268.7861329999996</v>
      </c>
      <c r="M255" s="126">
        <v>6451.1318359999996</v>
      </c>
      <c r="N255" s="126">
        <v>6650.6171880000002</v>
      </c>
      <c r="O255" s="126">
        <v>6853.71875</v>
      </c>
      <c r="P255" s="126">
        <v>7078.9506840000004</v>
      </c>
      <c r="Q255" s="126">
        <v>7266.751953</v>
      </c>
      <c r="R255" s="126">
        <v>7493.6474609999996</v>
      </c>
      <c r="S255" s="126">
        <v>7711.1591799999997</v>
      </c>
      <c r="T255" s="126">
        <v>7924.2485349999997</v>
      </c>
      <c r="U255" s="126">
        <v>8145.9790039999998</v>
      </c>
      <c r="V255" s="126">
        <v>8359.0400389999995</v>
      </c>
      <c r="W255" s="126">
        <v>8575.9599610000005</v>
      </c>
      <c r="X255" s="126">
        <v>8826.15625</v>
      </c>
      <c r="Y255" s="126">
        <v>9046.71875</v>
      </c>
      <c r="Z255" s="126">
        <v>9279.6396480000003</v>
      </c>
      <c r="AA255" s="126">
        <v>9527.5566409999992</v>
      </c>
      <c r="AB255" s="126">
        <v>9797.0556639999995</v>
      </c>
      <c r="AC255" s="126">
        <v>10049.824219</v>
      </c>
      <c r="AD255" s="126">
        <v>10315.028319999999</v>
      </c>
      <c r="AE255" s="126">
        <v>10582.304688</v>
      </c>
      <c r="AF255" s="126">
        <v>10860.224609000001</v>
      </c>
      <c r="AG255" s="126">
        <v>11162.009765999999</v>
      </c>
      <c r="AH255" s="126">
        <v>11475.46875</v>
      </c>
      <c r="AI255" s="126">
        <v>11835.691406</v>
      </c>
      <c r="AJ255" s="126">
        <v>12209.767578000001</v>
      </c>
      <c r="AK255" s="126">
        <v>12516.130859000001</v>
      </c>
      <c r="AL255" s="115">
        <v>3.1E-2</v>
      </c>
    </row>
    <row r="256" spans="2:38">
      <c r="B256" s="126" t="s">
        <v>2569</v>
      </c>
      <c r="C256" s="126" t="s">
        <v>3026</v>
      </c>
      <c r="D256" s="126" t="s">
        <v>3308</v>
      </c>
      <c r="E256" s="126" t="s">
        <v>3025</v>
      </c>
      <c r="F256" s="126">
        <v>1823.1679690000001</v>
      </c>
      <c r="G256" s="126">
        <v>1908.395996</v>
      </c>
      <c r="H256" s="126">
        <v>1944.5722659999999</v>
      </c>
      <c r="I256" s="126">
        <v>2002.815552</v>
      </c>
      <c r="J256" s="126">
        <v>2079.298096</v>
      </c>
      <c r="K256" s="126">
        <v>2163.3439939999998</v>
      </c>
      <c r="L256" s="126">
        <v>2248.3400879999999</v>
      </c>
      <c r="M256" s="126">
        <v>2353.4111330000001</v>
      </c>
      <c r="N256" s="126">
        <v>2468.5520019999999</v>
      </c>
      <c r="O256" s="126">
        <v>2575.9233399999998</v>
      </c>
      <c r="P256" s="126">
        <v>2676.4560550000001</v>
      </c>
      <c r="Q256" s="126">
        <v>2754.3237300000001</v>
      </c>
      <c r="R256" s="126">
        <v>2847.4958499999998</v>
      </c>
      <c r="S256" s="126">
        <v>2935.1171880000002</v>
      </c>
      <c r="T256" s="126">
        <v>3025.2998050000001</v>
      </c>
      <c r="U256" s="126">
        <v>3112.4057619999999</v>
      </c>
      <c r="V256" s="126">
        <v>3205.0026859999998</v>
      </c>
      <c r="W256" s="126">
        <v>3298.0275879999999</v>
      </c>
      <c r="X256" s="126">
        <v>3405.5017090000001</v>
      </c>
      <c r="Y256" s="126">
        <v>3496.6762699999999</v>
      </c>
      <c r="Z256" s="126">
        <v>3594.181885</v>
      </c>
      <c r="AA256" s="126">
        <v>3700.5283199999999</v>
      </c>
      <c r="AB256" s="126">
        <v>3820.5083009999998</v>
      </c>
      <c r="AC256" s="126">
        <v>3934.8896479999999</v>
      </c>
      <c r="AD256" s="126">
        <v>4052.5656739999999</v>
      </c>
      <c r="AE256" s="126">
        <v>4173.1708980000003</v>
      </c>
      <c r="AF256" s="126">
        <v>4291.4741210000002</v>
      </c>
      <c r="AG256" s="126">
        <v>4414.966797</v>
      </c>
      <c r="AH256" s="126">
        <v>4544.2700199999999</v>
      </c>
      <c r="AI256" s="126">
        <v>4690.1435549999997</v>
      </c>
      <c r="AJ256" s="126">
        <v>4842.4624020000001</v>
      </c>
      <c r="AK256" s="126">
        <v>4970.7250979999999</v>
      </c>
      <c r="AL256" s="115">
        <v>3.3000000000000002E-2</v>
      </c>
    </row>
    <row r="257" spans="2:38">
      <c r="B257" s="126" t="s">
        <v>2570</v>
      </c>
      <c r="C257" s="126" t="s">
        <v>3028</v>
      </c>
      <c r="D257" s="126" t="s">
        <v>3309</v>
      </c>
      <c r="E257" s="126" t="s">
        <v>3025</v>
      </c>
      <c r="F257" s="126">
        <v>3066.5673830000001</v>
      </c>
      <c r="G257" s="126">
        <v>3248.2849120000001</v>
      </c>
      <c r="H257" s="126">
        <v>3427.6369629999999</v>
      </c>
      <c r="I257" s="126">
        <v>3625.2783199999999</v>
      </c>
      <c r="J257" s="126">
        <v>3800.9020999999998</v>
      </c>
      <c r="K257" s="126">
        <v>3931.242432</v>
      </c>
      <c r="L257" s="126">
        <v>4020.446289</v>
      </c>
      <c r="M257" s="126">
        <v>4097.720703</v>
      </c>
      <c r="N257" s="126">
        <v>4182.0649409999996</v>
      </c>
      <c r="O257" s="126">
        <v>4277.7954099999997</v>
      </c>
      <c r="P257" s="126">
        <v>4402.4946289999998</v>
      </c>
      <c r="Q257" s="126">
        <v>4512.4282229999999</v>
      </c>
      <c r="R257" s="126">
        <v>4646.1513670000004</v>
      </c>
      <c r="S257" s="126">
        <v>4776.0419920000004</v>
      </c>
      <c r="T257" s="126">
        <v>4898.9487300000001</v>
      </c>
      <c r="U257" s="126">
        <v>5033.5732420000004</v>
      </c>
      <c r="V257" s="126">
        <v>5154.0375979999999</v>
      </c>
      <c r="W257" s="126">
        <v>5277.9326170000004</v>
      </c>
      <c r="X257" s="126">
        <v>5420.6547849999997</v>
      </c>
      <c r="Y257" s="126">
        <v>5550.0429690000001</v>
      </c>
      <c r="Z257" s="126">
        <v>5685.4580079999996</v>
      </c>
      <c r="AA257" s="126">
        <v>5827.0288090000004</v>
      </c>
      <c r="AB257" s="126">
        <v>5976.5473629999997</v>
      </c>
      <c r="AC257" s="126">
        <v>6114.9340819999998</v>
      </c>
      <c r="AD257" s="126">
        <v>6262.4624020000001</v>
      </c>
      <c r="AE257" s="126">
        <v>6409.1337890000004</v>
      </c>
      <c r="AF257" s="126">
        <v>6568.7504879999997</v>
      </c>
      <c r="AG257" s="126">
        <v>6747.0434569999998</v>
      </c>
      <c r="AH257" s="126">
        <v>6931.1992190000001</v>
      </c>
      <c r="AI257" s="126">
        <v>7145.5478519999997</v>
      </c>
      <c r="AJ257" s="126">
        <v>7367.3051759999998</v>
      </c>
      <c r="AK257" s="126">
        <v>7545.4052730000003</v>
      </c>
      <c r="AL257" s="115">
        <v>2.9000000000000001E-2</v>
      </c>
    </row>
    <row r="258" spans="2:38">
      <c r="B258" s="126" t="s">
        <v>133</v>
      </c>
      <c r="D258" s="126" t="s">
        <v>3310</v>
      </c>
    </row>
    <row r="259" spans="2:38">
      <c r="B259" s="126" t="s">
        <v>1351</v>
      </c>
      <c r="C259" s="126" t="s">
        <v>3031</v>
      </c>
      <c r="D259" s="126" t="s">
        <v>3311</v>
      </c>
      <c r="E259" s="126" t="s">
        <v>1294</v>
      </c>
      <c r="F259" s="126">
        <v>373.04852299999999</v>
      </c>
      <c r="G259" s="126">
        <v>492.63659699999999</v>
      </c>
      <c r="H259" s="126">
        <v>398.97430400000002</v>
      </c>
      <c r="I259" s="126">
        <v>270.68814099999997</v>
      </c>
      <c r="J259" s="126">
        <v>260.35339399999998</v>
      </c>
      <c r="K259" s="126">
        <v>284.41613799999999</v>
      </c>
      <c r="L259" s="126">
        <v>260.11810300000002</v>
      </c>
      <c r="M259" s="126">
        <v>305.99264499999998</v>
      </c>
      <c r="N259" s="126">
        <v>287.353027</v>
      </c>
      <c r="O259" s="126">
        <v>286.02362099999999</v>
      </c>
      <c r="P259" s="126">
        <v>309.098389</v>
      </c>
      <c r="Q259" s="126">
        <v>290.22256499999997</v>
      </c>
      <c r="R259" s="126">
        <v>287.38903800000003</v>
      </c>
      <c r="S259" s="126">
        <v>304.67053199999998</v>
      </c>
      <c r="T259" s="126">
        <v>287.642517</v>
      </c>
      <c r="U259" s="126">
        <v>286.05914300000001</v>
      </c>
      <c r="V259" s="126">
        <v>289.48724399999998</v>
      </c>
      <c r="W259" s="126">
        <v>303.53295900000001</v>
      </c>
      <c r="X259" s="126">
        <v>290.359711</v>
      </c>
      <c r="Y259" s="126">
        <v>303.77838100000002</v>
      </c>
      <c r="Z259" s="126">
        <v>302.08587599999998</v>
      </c>
      <c r="AA259" s="126">
        <v>289.51818800000001</v>
      </c>
      <c r="AB259" s="126">
        <v>302.03198200000003</v>
      </c>
      <c r="AC259" s="126">
        <v>299.421448</v>
      </c>
      <c r="AD259" s="126">
        <v>299.355164</v>
      </c>
      <c r="AE259" s="126">
        <v>301.17114299999997</v>
      </c>
      <c r="AF259" s="126">
        <v>301.36944599999998</v>
      </c>
      <c r="AG259" s="126">
        <v>300.46417200000002</v>
      </c>
      <c r="AH259" s="126">
        <v>301.91915899999998</v>
      </c>
      <c r="AI259" s="126">
        <v>302.29302999999999</v>
      </c>
      <c r="AJ259" s="126">
        <v>301.71484400000003</v>
      </c>
      <c r="AK259" s="126">
        <v>301.03601099999997</v>
      </c>
      <c r="AL259" s="115">
        <v>-7.0000000000000001E-3</v>
      </c>
    </row>
    <row r="260" spans="2:38">
      <c r="B260" s="126" t="s">
        <v>1257</v>
      </c>
      <c r="C260" s="126" t="s">
        <v>3033</v>
      </c>
      <c r="D260" s="126" t="s">
        <v>3312</v>
      </c>
      <c r="E260" s="126" t="s">
        <v>1294</v>
      </c>
      <c r="F260" s="126">
        <v>540.36908000000005</v>
      </c>
      <c r="G260" s="126">
        <v>498.79110700000001</v>
      </c>
      <c r="H260" s="126">
        <v>528.29766800000004</v>
      </c>
      <c r="I260" s="126">
        <v>585.81372099999999</v>
      </c>
      <c r="J260" s="126">
        <v>598.65875200000005</v>
      </c>
      <c r="K260" s="126">
        <v>547.18670699999996</v>
      </c>
      <c r="L260" s="126">
        <v>586.83374000000003</v>
      </c>
      <c r="M260" s="126">
        <v>508.31253099999998</v>
      </c>
      <c r="N260" s="126">
        <v>541.50268600000004</v>
      </c>
      <c r="O260" s="126">
        <v>543.14996299999996</v>
      </c>
      <c r="P260" s="126">
        <v>498.26242100000002</v>
      </c>
      <c r="Q260" s="126">
        <v>539.54382299999997</v>
      </c>
      <c r="R260" s="126">
        <v>540.50958300000002</v>
      </c>
      <c r="S260" s="126">
        <v>503.43539399999997</v>
      </c>
      <c r="T260" s="126">
        <v>533.15039100000001</v>
      </c>
      <c r="U260" s="126">
        <v>531.77252199999998</v>
      </c>
      <c r="V260" s="126">
        <v>520.51074200000005</v>
      </c>
      <c r="W260" s="126">
        <v>487.70532200000002</v>
      </c>
      <c r="X260" s="126">
        <v>506.624664</v>
      </c>
      <c r="Y260" s="126">
        <v>473.15625</v>
      </c>
      <c r="Z260" s="126">
        <v>470.15078699999998</v>
      </c>
      <c r="AA260" s="126">
        <v>487.993042</v>
      </c>
      <c r="AB260" s="126">
        <v>452.730774</v>
      </c>
      <c r="AC260" s="126">
        <v>446.88406400000002</v>
      </c>
      <c r="AD260" s="126">
        <v>437.73727400000001</v>
      </c>
      <c r="AE260" s="126">
        <v>426.45843500000001</v>
      </c>
      <c r="AF260" s="126">
        <v>418.569885</v>
      </c>
      <c r="AG260" s="126">
        <v>414.66601600000001</v>
      </c>
      <c r="AH260" s="126">
        <v>406.38665800000001</v>
      </c>
      <c r="AI260" s="126">
        <v>401.58767699999999</v>
      </c>
      <c r="AJ260" s="126">
        <v>398.158569</v>
      </c>
      <c r="AK260" s="126">
        <v>397.07925399999999</v>
      </c>
      <c r="AL260" s="115">
        <v>-0.01</v>
      </c>
    </row>
    <row r="261" spans="2:38">
      <c r="B261" s="126" t="s">
        <v>1354</v>
      </c>
      <c r="C261" s="126" t="s">
        <v>3035</v>
      </c>
      <c r="D261" s="126" t="s">
        <v>3313</v>
      </c>
      <c r="E261" s="126" t="s">
        <v>1294</v>
      </c>
      <c r="F261" s="126">
        <v>0</v>
      </c>
      <c r="G261" s="126">
        <v>0</v>
      </c>
      <c r="H261" s="126">
        <v>0</v>
      </c>
      <c r="I261" s="126">
        <v>0</v>
      </c>
      <c r="J261" s="126">
        <v>0</v>
      </c>
      <c r="K261" s="126">
        <v>0</v>
      </c>
      <c r="L261" s="126">
        <v>0</v>
      </c>
      <c r="M261" s="126">
        <v>0</v>
      </c>
      <c r="N261" s="126">
        <v>0</v>
      </c>
      <c r="O261" s="126">
        <v>0</v>
      </c>
      <c r="P261" s="126">
        <v>0</v>
      </c>
      <c r="Q261" s="126">
        <v>0</v>
      </c>
      <c r="R261" s="126">
        <v>0</v>
      </c>
      <c r="S261" s="126">
        <v>0</v>
      </c>
      <c r="T261" s="126">
        <v>0</v>
      </c>
      <c r="U261" s="126">
        <v>0</v>
      </c>
      <c r="V261" s="126">
        <v>0</v>
      </c>
      <c r="W261" s="126">
        <v>0</v>
      </c>
      <c r="X261" s="126">
        <v>0</v>
      </c>
      <c r="Y261" s="126">
        <v>0</v>
      </c>
      <c r="Z261" s="126">
        <v>0</v>
      </c>
      <c r="AA261" s="126">
        <v>0</v>
      </c>
      <c r="AB261" s="126">
        <v>0</v>
      </c>
      <c r="AC261" s="126">
        <v>0</v>
      </c>
      <c r="AD261" s="126">
        <v>0</v>
      </c>
      <c r="AE261" s="126">
        <v>0</v>
      </c>
      <c r="AF261" s="126">
        <v>0</v>
      </c>
      <c r="AG261" s="126">
        <v>0</v>
      </c>
      <c r="AH261" s="126">
        <v>0</v>
      </c>
      <c r="AI261" s="126">
        <v>0</v>
      </c>
      <c r="AJ261" s="126">
        <v>0</v>
      </c>
      <c r="AK261" s="126">
        <v>0</v>
      </c>
      <c r="AL261" s="126" t="s">
        <v>146</v>
      </c>
    </row>
    <row r="262" spans="2:38">
      <c r="B262" s="126" t="s">
        <v>1355</v>
      </c>
      <c r="C262" s="126" t="s">
        <v>3037</v>
      </c>
      <c r="D262" s="126" t="s">
        <v>3314</v>
      </c>
      <c r="E262" s="126" t="s">
        <v>1294</v>
      </c>
      <c r="F262" s="126">
        <v>13.90934</v>
      </c>
      <c r="G262" s="126">
        <v>17.410114</v>
      </c>
      <c r="H262" s="126">
        <v>43.843933</v>
      </c>
      <c r="I262" s="126">
        <v>30.469657999999999</v>
      </c>
      <c r="J262" s="126">
        <v>32.936737000000001</v>
      </c>
      <c r="K262" s="126">
        <v>44.320019000000002</v>
      </c>
      <c r="L262" s="126">
        <v>42.345123000000001</v>
      </c>
      <c r="M262" s="126">
        <v>50.059466999999998</v>
      </c>
      <c r="N262" s="126">
        <v>46.811691000000003</v>
      </c>
      <c r="O262" s="126">
        <v>47.560921</v>
      </c>
      <c r="P262" s="126">
        <v>55.391410999999998</v>
      </c>
      <c r="Q262" s="126">
        <v>46.84478</v>
      </c>
      <c r="R262" s="126">
        <v>49.562832</v>
      </c>
      <c r="S262" s="126">
        <v>57.838287000000001</v>
      </c>
      <c r="T262" s="126">
        <v>55.271194000000001</v>
      </c>
      <c r="U262" s="126">
        <v>58.276950999999997</v>
      </c>
      <c r="V262" s="126">
        <v>62.914200000000001</v>
      </c>
      <c r="W262" s="126">
        <v>71.488654999999994</v>
      </c>
      <c r="X262" s="126">
        <v>72.386870999999999</v>
      </c>
      <c r="Y262" s="126">
        <v>82.020920000000004</v>
      </c>
      <c r="Z262" s="126">
        <v>86.199387000000002</v>
      </c>
      <c r="AA262" s="126">
        <v>87.187720999999996</v>
      </c>
      <c r="AB262" s="126">
        <v>98.987724</v>
      </c>
      <c r="AC262" s="126">
        <v>106.003815</v>
      </c>
      <c r="AD262" s="126">
        <v>112.71416499999999</v>
      </c>
      <c r="AE262" s="126">
        <v>118.97422</v>
      </c>
      <c r="AF262" s="126">
        <v>124.575676</v>
      </c>
      <c r="AG262" s="126">
        <v>128.616287</v>
      </c>
      <c r="AH262" s="126">
        <v>133.25088500000001</v>
      </c>
      <c r="AI262" s="126">
        <v>136.66824299999999</v>
      </c>
      <c r="AJ262" s="126">
        <v>140.11526499999999</v>
      </c>
      <c r="AK262" s="126">
        <v>141.97546399999999</v>
      </c>
      <c r="AL262" s="115">
        <v>7.8E-2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N198"/>
  <sheetViews>
    <sheetView zoomScaleNormal="100" workbookViewId="0">
      <selection activeCell="A2" sqref="A2:B32"/>
    </sheetView>
  </sheetViews>
  <sheetFormatPr defaultColWidth="9.08984375" defaultRowHeight="14.5"/>
  <cols>
    <col min="1" max="1" width="14.6328125" style="125" customWidth="1"/>
    <col min="2" max="2" width="18.1796875" style="125" customWidth="1"/>
    <col min="3" max="3" width="19.54296875" style="8" customWidth="1"/>
    <col min="4" max="4" width="19.36328125" style="46" customWidth="1"/>
    <col min="5" max="5" width="16.6328125" style="125" customWidth="1"/>
    <col min="6" max="6" width="11.90625" style="125" customWidth="1"/>
    <col min="7" max="10" width="9.08984375" style="125"/>
    <col min="11" max="11" width="15.26953125" style="125" customWidth="1"/>
    <col min="12" max="12" width="14.81640625" style="125" customWidth="1"/>
    <col min="13" max="13" width="13.08984375" style="125" customWidth="1"/>
    <col min="14" max="17" width="9.08984375" style="125"/>
    <col min="18" max="25" width="9.08984375" style="8"/>
    <col min="26" max="16384" width="9.08984375" style="125"/>
  </cols>
  <sheetData>
    <row r="1" spans="1:33" s="1" customFormat="1">
      <c r="A1" s="1" t="s">
        <v>3039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row>
    <row r="2" spans="1:33">
      <c r="A2" s="132" t="s">
        <v>114</v>
      </c>
      <c r="B2" s="117" t="s">
        <v>874</v>
      </c>
      <c r="C2" s="125">
        <f>INDEX('AEO 40'!G:G,MATCH('psgr LDVs'!$B2,'AEO 40'!$B:$B,0))</f>
        <v>41.799618000000002</v>
      </c>
      <c r="D2" s="126">
        <f>INDEX('AEO 40'!H:H,MATCH('psgr LDVs'!$B2,'AEO 40'!$B:$B,0))</f>
        <v>43.725628</v>
      </c>
      <c r="E2" s="126">
        <f>INDEX('AEO 40'!I:I,MATCH('psgr LDVs'!$B2,'AEO 40'!$B:$B,0))</f>
        <v>44.206856000000002</v>
      </c>
      <c r="F2" s="126">
        <f>INDEX('AEO 40'!J:J,MATCH('psgr LDVs'!$B2,'AEO 40'!$B:$B,0))</f>
        <v>44.834556999999997</v>
      </c>
      <c r="G2" s="126">
        <f>INDEX('AEO 40'!K:K,MATCH('psgr LDVs'!$B2,'AEO 40'!$B:$B,0))</f>
        <v>45.396872999999999</v>
      </c>
      <c r="H2" s="126">
        <f>INDEX('AEO 40'!L:L,MATCH('psgr LDVs'!$B2,'AEO 40'!$B:$B,0))</f>
        <v>45.904418999999997</v>
      </c>
      <c r="I2" s="126">
        <f>INDEX('AEO 40'!M:M,MATCH('psgr LDVs'!$B2,'AEO 40'!$B:$B,0))</f>
        <v>46.549140999999999</v>
      </c>
      <c r="J2" s="126">
        <f>INDEX('AEO 40'!N:N,MATCH('psgr LDVs'!$B2,'AEO 40'!$B:$B,0))</f>
        <v>46.557521999999999</v>
      </c>
      <c r="K2" s="126">
        <f>INDEX('AEO 40'!O:O,MATCH('psgr LDVs'!$B2,'AEO 40'!$B:$B,0))</f>
        <v>46.492728999999997</v>
      </c>
      <c r="L2" s="126">
        <f>INDEX('AEO 40'!P:P,MATCH('psgr LDVs'!$B2,'AEO 40'!$B:$B,0))</f>
        <v>46.427345000000003</v>
      </c>
      <c r="M2" s="126">
        <f>INDEX('AEO 40'!Q:Q,MATCH('psgr LDVs'!$B2,'AEO 40'!$B:$B,0))</f>
        <v>46.381999999999998</v>
      </c>
      <c r="N2" s="126">
        <f>INDEX('AEO 40'!R:R,MATCH('psgr LDVs'!$B2,'AEO 40'!$B:$B,0))</f>
        <v>46.339816999999996</v>
      </c>
      <c r="O2" s="126">
        <f>INDEX('AEO 40'!S:S,MATCH('psgr LDVs'!$B2,'AEO 40'!$B:$B,0))</f>
        <v>46.277225000000001</v>
      </c>
      <c r="P2" s="126">
        <f>INDEX('AEO 40'!T:T,MATCH('psgr LDVs'!$B2,'AEO 40'!$B:$B,0))</f>
        <v>46.229134000000002</v>
      </c>
      <c r="Q2" s="126">
        <f>INDEX('AEO 40'!U:U,MATCH('psgr LDVs'!$B2,'AEO 40'!$B:$B,0))</f>
        <v>46.176754000000003</v>
      </c>
      <c r="R2" s="126">
        <f>INDEX('AEO 40'!V:V,MATCH('psgr LDVs'!$B2,'AEO 40'!$B:$B,0))</f>
        <v>46.111888999999998</v>
      </c>
      <c r="S2" s="126">
        <f>INDEX('AEO 40'!W:W,MATCH('psgr LDVs'!$B2,'AEO 40'!$B:$B,0))</f>
        <v>46.038218999999998</v>
      </c>
      <c r="T2" s="126">
        <f>INDEX('AEO 40'!X:X,MATCH('psgr LDVs'!$B2,'AEO 40'!$B:$B,0))</f>
        <v>45.977187999999998</v>
      </c>
      <c r="U2" s="126">
        <f>INDEX('AEO 40'!Y:Y,MATCH('psgr LDVs'!$B2,'AEO 40'!$B:$B,0))</f>
        <v>45.919724000000002</v>
      </c>
      <c r="V2" s="126">
        <f>INDEX('AEO 40'!Z:Z,MATCH('psgr LDVs'!$B2,'AEO 40'!$B:$B,0))</f>
        <v>45.853873999999998</v>
      </c>
      <c r="W2" s="126">
        <f>INDEX('AEO 40'!AA:AA,MATCH('psgr LDVs'!$B2,'AEO 40'!$B:$B,0))</f>
        <v>45.786766</v>
      </c>
      <c r="X2" s="126">
        <f>INDEX('AEO 40'!AB:AB,MATCH('psgr LDVs'!$B2,'AEO 40'!$B:$B,0))</f>
        <v>45.726635000000002</v>
      </c>
      <c r="Y2" s="126">
        <f>INDEX('AEO 40'!AC:AC,MATCH('psgr LDVs'!$B2,'AEO 40'!$B:$B,0))</f>
        <v>45.664349000000001</v>
      </c>
      <c r="Z2" s="126">
        <f>INDEX('AEO 40'!AD:AD,MATCH('psgr LDVs'!$B2,'AEO 40'!$B:$B,0))</f>
        <v>45.600501999999999</v>
      </c>
      <c r="AA2" s="126">
        <f>INDEX('AEO 40'!AE:AE,MATCH('psgr LDVs'!$B2,'AEO 40'!$B:$B,0))</f>
        <v>45.544719999999998</v>
      </c>
      <c r="AB2" s="126">
        <f>INDEX('AEO 40'!AF:AF,MATCH('psgr LDVs'!$B2,'AEO 40'!$B:$B,0))</f>
        <v>45.488106000000002</v>
      </c>
      <c r="AC2" s="126">
        <f>INDEX('AEO 40'!AG:AG,MATCH('psgr LDVs'!$B2,'AEO 40'!$B:$B,0))</f>
        <v>45.432502999999997</v>
      </c>
      <c r="AD2" s="126">
        <f>INDEX('AEO 40'!AH:AH,MATCH('psgr LDVs'!$B2,'AEO 40'!$B:$B,0))</f>
        <v>45.378571000000001</v>
      </c>
      <c r="AE2" s="126">
        <f>INDEX('AEO 40'!AI:AI,MATCH('psgr LDVs'!$B2,'AEO 40'!$B:$B,0))</f>
        <v>45.317413000000002</v>
      </c>
      <c r="AF2" s="126">
        <f>INDEX('AEO 40'!AJ:AJ,MATCH('psgr LDVs'!$B2,'AEO 40'!$B:$B,0))</f>
        <v>45.261752999999999</v>
      </c>
      <c r="AG2" s="126">
        <f>INDEX('AEO 40'!AK:AK,MATCH('psgr LDVs'!$B2,'AEO 40'!$B:$B,0))</f>
        <v>45.207706000000002</v>
      </c>
    </row>
    <row r="3" spans="1:33">
      <c r="A3" s="132" t="s">
        <v>115</v>
      </c>
      <c r="B3" s="117" t="s">
        <v>875</v>
      </c>
      <c r="C3" s="126">
        <f>INDEX('AEO 40'!G:G,MATCH('psgr LDVs'!$B3,'AEO 40'!$B:$B,0))</f>
        <v>50.328570999999997</v>
      </c>
      <c r="D3" s="126">
        <f>INDEX('AEO 40'!H:H,MATCH('psgr LDVs'!$B3,'AEO 40'!$B:$B,0))</f>
        <v>51.880276000000002</v>
      </c>
      <c r="E3" s="126">
        <f>INDEX('AEO 40'!I:I,MATCH('psgr LDVs'!$B3,'AEO 40'!$B:$B,0))</f>
        <v>51.761265000000002</v>
      </c>
      <c r="F3" s="126">
        <f>INDEX('AEO 40'!J:J,MATCH('psgr LDVs'!$B3,'AEO 40'!$B:$B,0))</f>
        <v>52.092174999999997</v>
      </c>
      <c r="G3" s="126">
        <f>INDEX('AEO 40'!K:K,MATCH('psgr LDVs'!$B3,'AEO 40'!$B:$B,0))</f>
        <v>52.547035000000001</v>
      </c>
      <c r="H3" s="126">
        <f>INDEX('AEO 40'!L:L,MATCH('psgr LDVs'!$B3,'AEO 40'!$B:$B,0))</f>
        <v>52.965958000000001</v>
      </c>
      <c r="I3" s="126">
        <f>INDEX('AEO 40'!M:M,MATCH('psgr LDVs'!$B3,'AEO 40'!$B:$B,0))</f>
        <v>53.386623</v>
      </c>
      <c r="J3" s="126">
        <f>INDEX('AEO 40'!N:N,MATCH('psgr LDVs'!$B3,'AEO 40'!$B:$B,0))</f>
        <v>53.329661999999999</v>
      </c>
      <c r="K3" s="126">
        <f>INDEX('AEO 40'!O:O,MATCH('psgr LDVs'!$B3,'AEO 40'!$B:$B,0))</f>
        <v>53.245403000000003</v>
      </c>
      <c r="L3" s="126">
        <f>INDEX('AEO 40'!P:P,MATCH('psgr LDVs'!$B3,'AEO 40'!$B:$B,0))</f>
        <v>53.169589999999999</v>
      </c>
      <c r="M3" s="126">
        <f>INDEX('AEO 40'!Q:Q,MATCH('psgr LDVs'!$B3,'AEO 40'!$B:$B,0))</f>
        <v>53.148659000000002</v>
      </c>
      <c r="N3" s="126">
        <f>INDEX('AEO 40'!R:R,MATCH('psgr LDVs'!$B3,'AEO 40'!$B:$B,0))</f>
        <v>53.052418000000003</v>
      </c>
      <c r="O3" s="126">
        <f>INDEX('AEO 40'!S:S,MATCH('psgr LDVs'!$B3,'AEO 40'!$B:$B,0))</f>
        <v>52.988117000000003</v>
      </c>
      <c r="P3" s="126">
        <f>INDEX('AEO 40'!T:T,MATCH('psgr LDVs'!$B3,'AEO 40'!$B:$B,0))</f>
        <v>52.917167999999997</v>
      </c>
      <c r="Q3" s="126">
        <f>INDEX('AEO 40'!U:U,MATCH('psgr LDVs'!$B3,'AEO 40'!$B:$B,0))</f>
        <v>52.845768</v>
      </c>
      <c r="R3" s="126">
        <f>INDEX('AEO 40'!V:V,MATCH('psgr LDVs'!$B3,'AEO 40'!$B:$B,0))</f>
        <v>52.736977000000003</v>
      </c>
      <c r="S3" s="126">
        <f>INDEX('AEO 40'!W:W,MATCH('psgr LDVs'!$B3,'AEO 40'!$B:$B,0))</f>
        <v>52.646847000000001</v>
      </c>
      <c r="T3" s="126">
        <f>INDEX('AEO 40'!X:X,MATCH('psgr LDVs'!$B3,'AEO 40'!$B:$B,0))</f>
        <v>52.577888000000002</v>
      </c>
      <c r="U3" s="126">
        <f>INDEX('AEO 40'!Y:Y,MATCH('psgr LDVs'!$B3,'AEO 40'!$B:$B,0))</f>
        <v>52.507483999999998</v>
      </c>
      <c r="V3" s="126">
        <f>INDEX('AEO 40'!Z:Z,MATCH('psgr LDVs'!$B3,'AEO 40'!$B:$B,0))</f>
        <v>52.415011999999997</v>
      </c>
      <c r="W3" s="126">
        <f>INDEX('AEO 40'!AA:AA,MATCH('psgr LDVs'!$B3,'AEO 40'!$B:$B,0))</f>
        <v>52.346587999999997</v>
      </c>
      <c r="X3" s="126">
        <f>INDEX('AEO 40'!AB:AB,MATCH('psgr LDVs'!$B3,'AEO 40'!$B:$B,0))</f>
        <v>52.274582000000002</v>
      </c>
      <c r="Y3" s="126">
        <f>INDEX('AEO 40'!AC:AC,MATCH('psgr LDVs'!$B3,'AEO 40'!$B:$B,0))</f>
        <v>52.196967999999998</v>
      </c>
      <c r="Z3" s="126">
        <f>INDEX('AEO 40'!AD:AD,MATCH('psgr LDVs'!$B3,'AEO 40'!$B:$B,0))</f>
        <v>52.127688999999997</v>
      </c>
      <c r="AA3" s="126">
        <f>INDEX('AEO 40'!AE:AE,MATCH('psgr LDVs'!$B3,'AEO 40'!$B:$B,0))</f>
        <v>52.063048999999999</v>
      </c>
      <c r="AB3" s="126">
        <f>INDEX('AEO 40'!AF:AF,MATCH('psgr LDVs'!$B3,'AEO 40'!$B:$B,0))</f>
        <v>51.996208000000003</v>
      </c>
      <c r="AC3" s="126">
        <f>INDEX('AEO 40'!AG:AG,MATCH('psgr LDVs'!$B3,'AEO 40'!$B:$B,0))</f>
        <v>51.923782000000003</v>
      </c>
      <c r="AD3" s="126">
        <f>INDEX('AEO 40'!AH:AH,MATCH('psgr LDVs'!$B3,'AEO 40'!$B:$B,0))</f>
        <v>51.858612000000001</v>
      </c>
      <c r="AE3" s="126">
        <f>INDEX('AEO 40'!AI:AI,MATCH('psgr LDVs'!$B3,'AEO 40'!$B:$B,0))</f>
        <v>51.782623000000001</v>
      </c>
      <c r="AF3" s="126">
        <f>INDEX('AEO 40'!AJ:AJ,MATCH('psgr LDVs'!$B3,'AEO 40'!$B:$B,0))</f>
        <v>51.720424999999999</v>
      </c>
      <c r="AG3" s="126">
        <f>INDEX('AEO 40'!AK:AK,MATCH('psgr LDVs'!$B3,'AEO 40'!$B:$B,0))</f>
        <v>51.652042000000002</v>
      </c>
    </row>
    <row r="4" spans="1:33">
      <c r="A4" s="132"/>
      <c r="B4" s="117"/>
      <c r="C4" s="126" t="e">
        <f>INDEX('AEO 40'!G:G,MATCH('psgr LDVs'!$B4,'AEO 40'!$B:$B,0))</f>
        <v>#N/A</v>
      </c>
      <c r="D4" s="126" t="e">
        <f>INDEX('AEO 40'!H:H,MATCH('psgr LDVs'!$B4,'AEO 40'!$B:$B,0))</f>
        <v>#N/A</v>
      </c>
      <c r="E4" s="126" t="e">
        <f>INDEX('AEO 40'!I:I,MATCH('psgr LDVs'!$B4,'AEO 40'!$B:$B,0))</f>
        <v>#N/A</v>
      </c>
      <c r="F4" s="126" t="e">
        <f>INDEX('AEO 40'!J:J,MATCH('psgr LDVs'!$B4,'AEO 40'!$B:$B,0))</f>
        <v>#N/A</v>
      </c>
      <c r="G4" s="126" t="e">
        <f>INDEX('AEO 40'!K:K,MATCH('psgr LDVs'!$B4,'AEO 40'!$B:$B,0))</f>
        <v>#N/A</v>
      </c>
      <c r="H4" s="126" t="e">
        <f>INDEX('AEO 40'!L:L,MATCH('psgr LDVs'!$B4,'AEO 40'!$B:$B,0))</f>
        <v>#N/A</v>
      </c>
      <c r="I4" s="126" t="e">
        <f>INDEX('AEO 40'!M:M,MATCH('psgr LDVs'!$B4,'AEO 40'!$B:$B,0))</f>
        <v>#N/A</v>
      </c>
      <c r="J4" s="126" t="e">
        <f>INDEX('AEO 40'!N:N,MATCH('psgr LDVs'!$B4,'AEO 40'!$B:$B,0))</f>
        <v>#N/A</v>
      </c>
      <c r="K4" s="126" t="e">
        <f>INDEX('AEO 40'!O:O,MATCH('psgr LDVs'!$B4,'AEO 40'!$B:$B,0))</f>
        <v>#N/A</v>
      </c>
      <c r="L4" s="126" t="e">
        <f>INDEX('AEO 40'!P:P,MATCH('psgr LDVs'!$B4,'AEO 40'!$B:$B,0))</f>
        <v>#N/A</v>
      </c>
      <c r="M4" s="126" t="e">
        <f>INDEX('AEO 40'!Q:Q,MATCH('psgr LDVs'!$B4,'AEO 40'!$B:$B,0))</f>
        <v>#N/A</v>
      </c>
      <c r="N4" s="126" t="e">
        <f>INDEX('AEO 40'!R:R,MATCH('psgr LDVs'!$B4,'AEO 40'!$B:$B,0))</f>
        <v>#N/A</v>
      </c>
      <c r="O4" s="126" t="e">
        <f>INDEX('AEO 40'!S:S,MATCH('psgr LDVs'!$B4,'AEO 40'!$B:$B,0))</f>
        <v>#N/A</v>
      </c>
      <c r="P4" s="126" t="e">
        <f>INDEX('AEO 40'!T:T,MATCH('psgr LDVs'!$B4,'AEO 40'!$B:$B,0))</f>
        <v>#N/A</v>
      </c>
      <c r="Q4" s="126" t="e">
        <f>INDEX('AEO 40'!U:U,MATCH('psgr LDVs'!$B4,'AEO 40'!$B:$B,0))</f>
        <v>#N/A</v>
      </c>
      <c r="R4" s="126" t="e">
        <f>INDEX('AEO 40'!V:V,MATCH('psgr LDVs'!$B4,'AEO 40'!$B:$B,0))</f>
        <v>#N/A</v>
      </c>
      <c r="S4" s="126" t="e">
        <f>INDEX('AEO 40'!W:W,MATCH('psgr LDVs'!$B4,'AEO 40'!$B:$B,0))</f>
        <v>#N/A</v>
      </c>
      <c r="T4" s="126" t="e">
        <f>INDEX('AEO 40'!X:X,MATCH('psgr LDVs'!$B4,'AEO 40'!$B:$B,0))</f>
        <v>#N/A</v>
      </c>
      <c r="U4" s="126" t="e">
        <f>INDEX('AEO 40'!Y:Y,MATCH('psgr LDVs'!$B4,'AEO 40'!$B:$B,0))</f>
        <v>#N/A</v>
      </c>
      <c r="V4" s="126" t="e">
        <f>INDEX('AEO 40'!Z:Z,MATCH('psgr LDVs'!$B4,'AEO 40'!$B:$B,0))</f>
        <v>#N/A</v>
      </c>
      <c r="W4" s="126" t="e">
        <f>INDEX('AEO 40'!AA:AA,MATCH('psgr LDVs'!$B4,'AEO 40'!$B:$B,0))</f>
        <v>#N/A</v>
      </c>
      <c r="X4" s="126" t="e">
        <f>INDEX('AEO 40'!AB:AB,MATCH('psgr LDVs'!$B4,'AEO 40'!$B:$B,0))</f>
        <v>#N/A</v>
      </c>
      <c r="Y4" s="126" t="e">
        <f>INDEX('AEO 40'!AC:AC,MATCH('psgr LDVs'!$B4,'AEO 40'!$B:$B,0))</f>
        <v>#N/A</v>
      </c>
      <c r="Z4" s="126" t="e">
        <f>INDEX('AEO 40'!AD:AD,MATCH('psgr LDVs'!$B4,'AEO 40'!$B:$B,0))</f>
        <v>#N/A</v>
      </c>
      <c r="AA4" s="126" t="e">
        <f>INDEX('AEO 40'!AE:AE,MATCH('psgr LDVs'!$B4,'AEO 40'!$B:$B,0))</f>
        <v>#N/A</v>
      </c>
      <c r="AB4" s="126" t="e">
        <f>INDEX('AEO 40'!AF:AF,MATCH('psgr LDVs'!$B4,'AEO 40'!$B:$B,0))</f>
        <v>#N/A</v>
      </c>
      <c r="AC4" s="126" t="e">
        <f>INDEX('AEO 40'!AG:AG,MATCH('psgr LDVs'!$B4,'AEO 40'!$B:$B,0))</f>
        <v>#N/A</v>
      </c>
      <c r="AD4" s="126" t="e">
        <f>INDEX('AEO 40'!AH:AH,MATCH('psgr LDVs'!$B4,'AEO 40'!$B:$B,0))</f>
        <v>#N/A</v>
      </c>
      <c r="AE4" s="126" t="e">
        <f>INDEX('AEO 40'!AI:AI,MATCH('psgr LDVs'!$B4,'AEO 40'!$B:$B,0))</f>
        <v>#N/A</v>
      </c>
      <c r="AF4" s="126" t="e">
        <f>INDEX('AEO 40'!AJ:AJ,MATCH('psgr LDVs'!$B4,'AEO 40'!$B:$B,0))</f>
        <v>#N/A</v>
      </c>
      <c r="AG4" s="126" t="e">
        <f>INDEX('AEO 40'!AK:AK,MATCH('psgr LDVs'!$B4,'AEO 40'!$B:$B,0))</f>
        <v>#N/A</v>
      </c>
    </row>
    <row r="5" spans="1:33">
      <c r="A5" s="132" t="s">
        <v>114</v>
      </c>
      <c r="B5" s="117" t="s">
        <v>876</v>
      </c>
      <c r="C5" s="126">
        <f>INDEX('AEO 40'!G:G,MATCH('psgr LDVs'!$B5,'AEO 40'!$B:$B,0))</f>
        <v>42.419071000000002</v>
      </c>
      <c r="D5" s="126">
        <f>INDEX('AEO 40'!H:H,MATCH('psgr LDVs'!$B5,'AEO 40'!$B:$B,0))</f>
        <v>44.545555</v>
      </c>
      <c r="E5" s="126">
        <f>INDEX('AEO 40'!I:I,MATCH('psgr LDVs'!$B5,'AEO 40'!$B:$B,0))</f>
        <v>45.043514000000002</v>
      </c>
      <c r="F5" s="126">
        <f>INDEX('AEO 40'!J:J,MATCH('psgr LDVs'!$B5,'AEO 40'!$B:$B,0))</f>
        <v>45.670467000000002</v>
      </c>
      <c r="G5" s="126">
        <f>INDEX('AEO 40'!K:K,MATCH('psgr LDVs'!$B5,'AEO 40'!$B:$B,0))</f>
        <v>46.221184000000001</v>
      </c>
      <c r="H5" s="126">
        <f>INDEX('AEO 40'!L:L,MATCH('psgr LDVs'!$B5,'AEO 40'!$B:$B,0))</f>
        <v>46.746352999999999</v>
      </c>
      <c r="I5" s="126">
        <f>INDEX('AEO 40'!M:M,MATCH('psgr LDVs'!$B5,'AEO 40'!$B:$B,0))</f>
        <v>47.385727000000003</v>
      </c>
      <c r="J5" s="126">
        <f>INDEX('AEO 40'!N:N,MATCH('psgr LDVs'!$B5,'AEO 40'!$B:$B,0))</f>
        <v>47.398552000000002</v>
      </c>
      <c r="K5" s="126">
        <f>INDEX('AEO 40'!O:O,MATCH('psgr LDVs'!$B5,'AEO 40'!$B:$B,0))</f>
        <v>47.328609</v>
      </c>
      <c r="L5" s="126">
        <f>INDEX('AEO 40'!P:P,MATCH('psgr LDVs'!$B5,'AEO 40'!$B:$B,0))</f>
        <v>47.267868</v>
      </c>
      <c r="M5" s="126">
        <f>INDEX('AEO 40'!Q:Q,MATCH('psgr LDVs'!$B5,'AEO 40'!$B:$B,0))</f>
        <v>47.235832000000002</v>
      </c>
      <c r="N5" s="126">
        <f>INDEX('AEO 40'!R:R,MATCH('psgr LDVs'!$B5,'AEO 40'!$B:$B,0))</f>
        <v>47.186988999999997</v>
      </c>
      <c r="O5" s="126">
        <f>INDEX('AEO 40'!S:S,MATCH('psgr LDVs'!$B5,'AEO 40'!$B:$B,0))</f>
        <v>47.133087000000003</v>
      </c>
      <c r="P5" s="126">
        <f>INDEX('AEO 40'!T:T,MATCH('psgr LDVs'!$B5,'AEO 40'!$B:$B,0))</f>
        <v>47.088272000000003</v>
      </c>
      <c r="Q5" s="126">
        <f>INDEX('AEO 40'!U:U,MATCH('psgr LDVs'!$B5,'AEO 40'!$B:$B,0))</f>
        <v>47.044421999999997</v>
      </c>
      <c r="R5" s="126">
        <f>INDEX('AEO 40'!V:V,MATCH('psgr LDVs'!$B5,'AEO 40'!$B:$B,0))</f>
        <v>46.978115000000003</v>
      </c>
      <c r="S5" s="126">
        <f>INDEX('AEO 40'!W:W,MATCH('psgr LDVs'!$B5,'AEO 40'!$B:$B,0))</f>
        <v>46.912036999999998</v>
      </c>
      <c r="T5" s="126">
        <f>INDEX('AEO 40'!X:X,MATCH('psgr LDVs'!$B5,'AEO 40'!$B:$B,0))</f>
        <v>46.857734999999998</v>
      </c>
      <c r="U5" s="126">
        <f>INDEX('AEO 40'!Y:Y,MATCH('psgr LDVs'!$B5,'AEO 40'!$B:$B,0))</f>
        <v>46.805317000000002</v>
      </c>
      <c r="V5" s="126">
        <f>INDEX('AEO 40'!Z:Z,MATCH('psgr LDVs'!$B5,'AEO 40'!$B:$B,0))</f>
        <v>46.743378</v>
      </c>
      <c r="W5" s="126">
        <f>INDEX('AEO 40'!AA:AA,MATCH('psgr LDVs'!$B5,'AEO 40'!$B:$B,0))</f>
        <v>46.682586999999998</v>
      </c>
      <c r="X5" s="126">
        <f>INDEX('AEO 40'!AB:AB,MATCH('psgr LDVs'!$B5,'AEO 40'!$B:$B,0))</f>
        <v>46.625461999999999</v>
      </c>
      <c r="Y5" s="126">
        <f>INDEX('AEO 40'!AC:AC,MATCH('psgr LDVs'!$B5,'AEO 40'!$B:$B,0))</f>
        <v>46.565105000000003</v>
      </c>
      <c r="Z5" s="126">
        <f>INDEX('AEO 40'!AD:AD,MATCH('psgr LDVs'!$B5,'AEO 40'!$B:$B,0))</f>
        <v>46.505737000000003</v>
      </c>
      <c r="AA5" s="126">
        <f>INDEX('AEO 40'!AE:AE,MATCH('psgr LDVs'!$B5,'AEO 40'!$B:$B,0))</f>
        <v>46.451934999999999</v>
      </c>
      <c r="AB5" s="126">
        <f>INDEX('AEO 40'!AF:AF,MATCH('psgr LDVs'!$B5,'AEO 40'!$B:$B,0))</f>
        <v>46.399368000000003</v>
      </c>
      <c r="AC5" s="126">
        <f>INDEX('AEO 40'!AG:AG,MATCH('psgr LDVs'!$B5,'AEO 40'!$B:$B,0))</f>
        <v>46.345348000000001</v>
      </c>
      <c r="AD5" s="126">
        <f>INDEX('AEO 40'!AH:AH,MATCH('psgr LDVs'!$B5,'AEO 40'!$B:$B,0))</f>
        <v>46.295414000000001</v>
      </c>
      <c r="AE5" s="126">
        <f>INDEX('AEO 40'!AI:AI,MATCH('psgr LDVs'!$B5,'AEO 40'!$B:$B,0))</f>
        <v>46.237533999999997</v>
      </c>
      <c r="AF5" s="126">
        <f>INDEX('AEO 40'!AJ:AJ,MATCH('psgr LDVs'!$B5,'AEO 40'!$B:$B,0))</f>
        <v>46.187077000000002</v>
      </c>
      <c r="AG5" s="126">
        <f>INDEX('AEO 40'!AK:AK,MATCH('psgr LDVs'!$B5,'AEO 40'!$B:$B,0))</f>
        <v>46.136322</v>
      </c>
    </row>
    <row r="6" spans="1:33">
      <c r="A6" s="132" t="s">
        <v>112</v>
      </c>
      <c r="B6" s="117" t="s">
        <v>877</v>
      </c>
      <c r="C6" s="126">
        <f>INDEX('AEO 40'!G:G,MATCH('psgr LDVs'!$B6,'AEO 40'!$B:$B,0))</f>
        <v>109.580116</v>
      </c>
      <c r="D6" s="126">
        <f>INDEX('AEO 40'!H:H,MATCH('psgr LDVs'!$B6,'AEO 40'!$B:$B,0))</f>
        <v>109.936798</v>
      </c>
      <c r="E6" s="126">
        <f>INDEX('AEO 40'!I:I,MATCH('psgr LDVs'!$B6,'AEO 40'!$B:$B,0))</f>
        <v>109.774055</v>
      </c>
      <c r="F6" s="126">
        <f>INDEX('AEO 40'!J:J,MATCH('psgr LDVs'!$B6,'AEO 40'!$B:$B,0))</f>
        <v>109.872978</v>
      </c>
      <c r="G6" s="126">
        <f>INDEX('AEO 40'!K:K,MATCH('psgr LDVs'!$B6,'AEO 40'!$B:$B,0))</f>
        <v>110.022903</v>
      </c>
      <c r="H6" s="126">
        <f>INDEX('AEO 40'!L:L,MATCH('psgr LDVs'!$B6,'AEO 40'!$B:$B,0))</f>
        <v>110.26052900000001</v>
      </c>
      <c r="I6" s="126">
        <f>INDEX('AEO 40'!M:M,MATCH('psgr LDVs'!$B6,'AEO 40'!$B:$B,0))</f>
        <v>110.539978</v>
      </c>
      <c r="J6" s="126">
        <f>INDEX('AEO 40'!N:N,MATCH('psgr LDVs'!$B6,'AEO 40'!$B:$B,0))</f>
        <v>110.398529</v>
      </c>
      <c r="K6" s="126">
        <f>INDEX('AEO 40'!O:O,MATCH('psgr LDVs'!$B6,'AEO 40'!$B:$B,0))</f>
        <v>110.30410000000001</v>
      </c>
      <c r="L6" s="126">
        <f>INDEX('AEO 40'!P:P,MATCH('psgr LDVs'!$B6,'AEO 40'!$B:$B,0))</f>
        <v>110.258957</v>
      </c>
      <c r="M6" s="126">
        <f>INDEX('AEO 40'!Q:Q,MATCH('psgr LDVs'!$B6,'AEO 40'!$B:$B,0))</f>
        <v>110.23505400000001</v>
      </c>
      <c r="N6" s="126">
        <f>INDEX('AEO 40'!R:R,MATCH('psgr LDVs'!$B6,'AEO 40'!$B:$B,0))</f>
        <v>110.194389</v>
      </c>
      <c r="O6" s="126">
        <f>INDEX('AEO 40'!S:S,MATCH('psgr LDVs'!$B6,'AEO 40'!$B:$B,0))</f>
        <v>110.1772</v>
      </c>
      <c r="P6" s="126">
        <f>INDEX('AEO 40'!T:T,MATCH('psgr LDVs'!$B6,'AEO 40'!$B:$B,0))</f>
        <v>110.16377300000001</v>
      </c>
      <c r="Q6" s="126">
        <f>INDEX('AEO 40'!U:U,MATCH('psgr LDVs'!$B6,'AEO 40'!$B:$B,0))</f>
        <v>110.161148</v>
      </c>
      <c r="R6" s="126">
        <f>INDEX('AEO 40'!V:V,MATCH('psgr LDVs'!$B6,'AEO 40'!$B:$B,0))</f>
        <v>110.154381</v>
      </c>
      <c r="S6" s="126">
        <f>INDEX('AEO 40'!W:W,MATCH('psgr LDVs'!$B6,'AEO 40'!$B:$B,0))</f>
        <v>110.15295399999999</v>
      </c>
      <c r="T6" s="126">
        <f>INDEX('AEO 40'!X:X,MATCH('psgr LDVs'!$B6,'AEO 40'!$B:$B,0))</f>
        <v>110.150955</v>
      </c>
      <c r="U6" s="126">
        <f>INDEX('AEO 40'!Y:Y,MATCH('psgr LDVs'!$B6,'AEO 40'!$B:$B,0))</f>
        <v>110.155235</v>
      </c>
      <c r="V6" s="126">
        <f>INDEX('AEO 40'!Z:Z,MATCH('psgr LDVs'!$B6,'AEO 40'!$B:$B,0))</f>
        <v>110.15574599999999</v>
      </c>
      <c r="W6" s="126">
        <f>INDEX('AEO 40'!AA:AA,MATCH('psgr LDVs'!$B6,'AEO 40'!$B:$B,0))</f>
        <v>110.16171300000001</v>
      </c>
      <c r="X6" s="126">
        <f>INDEX('AEO 40'!AB:AB,MATCH('psgr LDVs'!$B6,'AEO 40'!$B:$B,0))</f>
        <v>110.151611</v>
      </c>
      <c r="Y6" s="126">
        <f>INDEX('AEO 40'!AC:AC,MATCH('psgr LDVs'!$B6,'AEO 40'!$B:$B,0))</f>
        <v>110.14954400000001</v>
      </c>
      <c r="Z6" s="126">
        <f>INDEX('AEO 40'!AD:AD,MATCH('psgr LDVs'!$B6,'AEO 40'!$B:$B,0))</f>
        <v>110.15521200000001</v>
      </c>
      <c r="AA6" s="126">
        <f>INDEX('AEO 40'!AE:AE,MATCH('psgr LDVs'!$B6,'AEO 40'!$B:$B,0))</f>
        <v>110.160606</v>
      </c>
      <c r="AB6" s="126">
        <f>INDEX('AEO 40'!AF:AF,MATCH('psgr LDVs'!$B6,'AEO 40'!$B:$B,0))</f>
        <v>110.16355900000001</v>
      </c>
      <c r="AC6" s="126">
        <f>INDEX('AEO 40'!AG:AG,MATCH('psgr LDVs'!$B6,'AEO 40'!$B:$B,0))</f>
        <v>110.163521</v>
      </c>
      <c r="AD6" s="126">
        <f>INDEX('AEO 40'!AH:AH,MATCH('psgr LDVs'!$B6,'AEO 40'!$B:$B,0))</f>
        <v>110.16733600000001</v>
      </c>
      <c r="AE6" s="126">
        <f>INDEX('AEO 40'!AI:AI,MATCH('psgr LDVs'!$B6,'AEO 40'!$B:$B,0))</f>
        <v>110.160225</v>
      </c>
      <c r="AF6" s="126">
        <f>INDEX('AEO 40'!AJ:AJ,MATCH('psgr LDVs'!$B6,'AEO 40'!$B:$B,0))</f>
        <v>110.160065</v>
      </c>
      <c r="AG6" s="126">
        <f>INDEX('AEO 40'!AK:AK,MATCH('psgr LDVs'!$B6,'AEO 40'!$B:$B,0))</f>
        <v>110.152924</v>
      </c>
    </row>
    <row r="7" spans="1:33">
      <c r="A7" s="132" t="s">
        <v>112</v>
      </c>
      <c r="B7" s="117" t="s">
        <v>878</v>
      </c>
      <c r="C7" s="126">
        <f>INDEX('AEO 40'!G:G,MATCH('psgr LDVs'!$B7,'AEO 40'!$B:$B,0))</f>
        <v>120.13919799999999</v>
      </c>
      <c r="D7" s="126">
        <f>INDEX('AEO 40'!H:H,MATCH('psgr LDVs'!$B7,'AEO 40'!$B:$B,0))</f>
        <v>120.751869</v>
      </c>
      <c r="E7" s="126">
        <f>INDEX('AEO 40'!I:I,MATCH('psgr LDVs'!$B7,'AEO 40'!$B:$B,0))</f>
        <v>120.242271</v>
      </c>
      <c r="F7" s="126">
        <f>INDEX('AEO 40'!J:J,MATCH('psgr LDVs'!$B7,'AEO 40'!$B:$B,0))</f>
        <v>119.91529800000001</v>
      </c>
      <c r="G7" s="126">
        <f>INDEX('AEO 40'!K:K,MATCH('psgr LDVs'!$B7,'AEO 40'!$B:$B,0))</f>
        <v>119.973167</v>
      </c>
      <c r="H7" s="126">
        <f>INDEX('AEO 40'!L:L,MATCH('psgr LDVs'!$B7,'AEO 40'!$B:$B,0))</f>
        <v>120.16449</v>
      </c>
      <c r="I7" s="126">
        <f>INDEX('AEO 40'!M:M,MATCH('psgr LDVs'!$B7,'AEO 40'!$B:$B,0))</f>
        <v>120.657539</v>
      </c>
      <c r="J7" s="126">
        <f>INDEX('AEO 40'!N:N,MATCH('psgr LDVs'!$B7,'AEO 40'!$B:$B,0))</f>
        <v>120.58828</v>
      </c>
      <c r="K7" s="126">
        <f>INDEX('AEO 40'!O:O,MATCH('psgr LDVs'!$B7,'AEO 40'!$B:$B,0))</f>
        <v>120.567459</v>
      </c>
      <c r="L7" s="126">
        <f>INDEX('AEO 40'!P:P,MATCH('psgr LDVs'!$B7,'AEO 40'!$B:$B,0))</f>
        <v>120.558105</v>
      </c>
      <c r="M7" s="126">
        <f>INDEX('AEO 40'!Q:Q,MATCH('psgr LDVs'!$B7,'AEO 40'!$B:$B,0))</f>
        <v>120.57305100000001</v>
      </c>
      <c r="N7" s="126">
        <f>INDEX('AEO 40'!R:R,MATCH('psgr LDVs'!$B7,'AEO 40'!$B:$B,0))</f>
        <v>120.533592</v>
      </c>
      <c r="O7" s="126">
        <f>INDEX('AEO 40'!S:S,MATCH('psgr LDVs'!$B7,'AEO 40'!$B:$B,0))</f>
        <v>120.54599</v>
      </c>
      <c r="P7" s="126">
        <f>INDEX('AEO 40'!T:T,MATCH('psgr LDVs'!$B7,'AEO 40'!$B:$B,0))</f>
        <v>120.53976400000001</v>
      </c>
      <c r="Q7" s="126">
        <f>INDEX('AEO 40'!U:U,MATCH('psgr LDVs'!$B7,'AEO 40'!$B:$B,0))</f>
        <v>120.557152</v>
      </c>
      <c r="R7" s="126">
        <f>INDEX('AEO 40'!V:V,MATCH('psgr LDVs'!$B7,'AEO 40'!$B:$B,0))</f>
        <v>120.55928</v>
      </c>
      <c r="S7" s="126">
        <f>INDEX('AEO 40'!W:W,MATCH('psgr LDVs'!$B7,'AEO 40'!$B:$B,0))</f>
        <v>120.586426</v>
      </c>
      <c r="T7" s="126">
        <f>INDEX('AEO 40'!X:X,MATCH('psgr LDVs'!$B7,'AEO 40'!$B:$B,0))</f>
        <v>120.6091</v>
      </c>
      <c r="U7" s="126">
        <f>INDEX('AEO 40'!Y:Y,MATCH('psgr LDVs'!$B7,'AEO 40'!$B:$B,0))</f>
        <v>120.629227</v>
      </c>
      <c r="V7" s="126">
        <f>INDEX('AEO 40'!Z:Z,MATCH('psgr LDVs'!$B7,'AEO 40'!$B:$B,0))</f>
        <v>120.640366</v>
      </c>
      <c r="W7" s="126">
        <f>INDEX('AEO 40'!AA:AA,MATCH('psgr LDVs'!$B7,'AEO 40'!$B:$B,0))</f>
        <v>120.657768</v>
      </c>
      <c r="X7" s="126">
        <f>INDEX('AEO 40'!AB:AB,MATCH('psgr LDVs'!$B7,'AEO 40'!$B:$B,0))</f>
        <v>120.670937</v>
      </c>
      <c r="Y7" s="126">
        <f>INDEX('AEO 40'!AC:AC,MATCH('psgr LDVs'!$B7,'AEO 40'!$B:$B,0))</f>
        <v>120.68103000000001</v>
      </c>
      <c r="Z7" s="126">
        <f>INDEX('AEO 40'!AD:AD,MATCH('psgr LDVs'!$B7,'AEO 40'!$B:$B,0))</f>
        <v>120.69167299999999</v>
      </c>
      <c r="AA7" s="126">
        <f>INDEX('AEO 40'!AE:AE,MATCH('psgr LDVs'!$B7,'AEO 40'!$B:$B,0))</f>
        <v>120.70362900000001</v>
      </c>
      <c r="AB7" s="126">
        <f>INDEX('AEO 40'!AF:AF,MATCH('psgr LDVs'!$B7,'AEO 40'!$B:$B,0))</f>
        <v>120.715271</v>
      </c>
      <c r="AC7" s="126">
        <f>INDEX('AEO 40'!AG:AG,MATCH('psgr LDVs'!$B7,'AEO 40'!$B:$B,0))</f>
        <v>120.72045900000001</v>
      </c>
      <c r="AD7" s="126">
        <f>INDEX('AEO 40'!AH:AH,MATCH('psgr LDVs'!$B7,'AEO 40'!$B:$B,0))</f>
        <v>120.73260500000001</v>
      </c>
      <c r="AE7" s="126">
        <f>INDEX('AEO 40'!AI:AI,MATCH('psgr LDVs'!$B7,'AEO 40'!$B:$B,0))</f>
        <v>120.739746</v>
      </c>
      <c r="AF7" s="126">
        <f>INDEX('AEO 40'!AJ:AJ,MATCH('psgr LDVs'!$B7,'AEO 40'!$B:$B,0))</f>
        <v>120.75382999999999</v>
      </c>
      <c r="AG7" s="126">
        <f>INDEX('AEO 40'!AK:AK,MATCH('psgr LDVs'!$B7,'AEO 40'!$B:$B,0))</f>
        <v>120.76078</v>
      </c>
    </row>
    <row r="8" spans="1:33">
      <c r="A8" s="132" t="s">
        <v>112</v>
      </c>
      <c r="B8" s="117" t="s">
        <v>879</v>
      </c>
      <c r="C8" s="126">
        <f>INDEX('AEO 40'!G:G,MATCH('psgr LDVs'!$B8,'AEO 40'!$B:$B,0))</f>
        <v>119.537842</v>
      </c>
      <c r="D8" s="126">
        <f>INDEX('AEO 40'!H:H,MATCH('psgr LDVs'!$B8,'AEO 40'!$B:$B,0))</f>
        <v>119.87303199999999</v>
      </c>
      <c r="E8" s="126">
        <f>INDEX('AEO 40'!I:I,MATCH('psgr LDVs'!$B8,'AEO 40'!$B:$B,0))</f>
        <v>119.537041</v>
      </c>
      <c r="F8" s="126">
        <f>INDEX('AEO 40'!J:J,MATCH('psgr LDVs'!$B8,'AEO 40'!$B:$B,0))</f>
        <v>119.261551</v>
      </c>
      <c r="G8" s="126">
        <f>INDEX('AEO 40'!K:K,MATCH('psgr LDVs'!$B8,'AEO 40'!$B:$B,0))</f>
        <v>119.28363</v>
      </c>
      <c r="H8" s="126">
        <f>INDEX('AEO 40'!L:L,MATCH('psgr LDVs'!$B8,'AEO 40'!$B:$B,0))</f>
        <v>119.37634300000001</v>
      </c>
      <c r="I8" s="126">
        <f>INDEX('AEO 40'!M:M,MATCH('psgr LDVs'!$B8,'AEO 40'!$B:$B,0))</f>
        <v>119.623695</v>
      </c>
      <c r="J8" s="126">
        <f>INDEX('AEO 40'!N:N,MATCH('psgr LDVs'!$B8,'AEO 40'!$B:$B,0))</f>
        <v>119.454308</v>
      </c>
      <c r="K8" s="126">
        <f>INDEX('AEO 40'!O:O,MATCH('psgr LDVs'!$B8,'AEO 40'!$B:$B,0))</f>
        <v>119.334152</v>
      </c>
      <c r="L8" s="126">
        <f>INDEX('AEO 40'!P:P,MATCH('psgr LDVs'!$B8,'AEO 40'!$B:$B,0))</f>
        <v>119.217209</v>
      </c>
      <c r="M8" s="126">
        <f>INDEX('AEO 40'!Q:Q,MATCH('psgr LDVs'!$B8,'AEO 40'!$B:$B,0))</f>
        <v>119.111435</v>
      </c>
      <c r="N8" s="126">
        <f>INDEX('AEO 40'!R:R,MATCH('psgr LDVs'!$B8,'AEO 40'!$B:$B,0))</f>
        <v>119.006653</v>
      </c>
      <c r="O8" s="126">
        <f>INDEX('AEO 40'!S:S,MATCH('psgr LDVs'!$B8,'AEO 40'!$B:$B,0))</f>
        <v>118.926857</v>
      </c>
      <c r="P8" s="126">
        <f>INDEX('AEO 40'!T:T,MATCH('psgr LDVs'!$B8,'AEO 40'!$B:$B,0))</f>
        <v>118.843666</v>
      </c>
      <c r="Q8" s="126">
        <f>INDEX('AEO 40'!U:U,MATCH('psgr LDVs'!$B8,'AEO 40'!$B:$B,0))</f>
        <v>118.780693</v>
      </c>
      <c r="R8" s="126">
        <f>INDEX('AEO 40'!V:V,MATCH('psgr LDVs'!$B8,'AEO 40'!$B:$B,0))</f>
        <v>118.724228</v>
      </c>
      <c r="S8" s="126">
        <f>INDEX('AEO 40'!W:W,MATCH('psgr LDVs'!$B8,'AEO 40'!$B:$B,0))</f>
        <v>118.683212</v>
      </c>
      <c r="T8" s="126">
        <f>INDEX('AEO 40'!X:X,MATCH('psgr LDVs'!$B8,'AEO 40'!$B:$B,0))</f>
        <v>118.640862</v>
      </c>
      <c r="U8" s="126">
        <f>INDEX('AEO 40'!Y:Y,MATCH('psgr LDVs'!$B8,'AEO 40'!$B:$B,0))</f>
        <v>118.599236</v>
      </c>
      <c r="V8" s="126">
        <f>INDEX('AEO 40'!Z:Z,MATCH('psgr LDVs'!$B8,'AEO 40'!$B:$B,0))</f>
        <v>118.55613700000001</v>
      </c>
      <c r="W8" s="126">
        <f>INDEX('AEO 40'!AA:AA,MATCH('psgr LDVs'!$B8,'AEO 40'!$B:$B,0))</f>
        <v>118.519249</v>
      </c>
      <c r="X8" s="126">
        <f>INDEX('AEO 40'!AB:AB,MATCH('psgr LDVs'!$B8,'AEO 40'!$B:$B,0))</f>
        <v>118.49395</v>
      </c>
      <c r="Y8" s="126">
        <f>INDEX('AEO 40'!AC:AC,MATCH('psgr LDVs'!$B8,'AEO 40'!$B:$B,0))</f>
        <v>118.473778</v>
      </c>
      <c r="Z8" s="126">
        <f>INDEX('AEO 40'!AD:AD,MATCH('psgr LDVs'!$B8,'AEO 40'!$B:$B,0))</f>
        <v>118.452843</v>
      </c>
      <c r="AA8" s="126">
        <f>INDEX('AEO 40'!AE:AE,MATCH('psgr LDVs'!$B8,'AEO 40'!$B:$B,0))</f>
        <v>118.43328099999999</v>
      </c>
      <c r="AB8" s="126">
        <f>INDEX('AEO 40'!AF:AF,MATCH('psgr LDVs'!$B8,'AEO 40'!$B:$B,0))</f>
        <v>118.410149</v>
      </c>
      <c r="AC8" s="126">
        <f>INDEX('AEO 40'!AG:AG,MATCH('psgr LDVs'!$B8,'AEO 40'!$B:$B,0))</f>
        <v>118.38556699999999</v>
      </c>
      <c r="AD8" s="126">
        <f>INDEX('AEO 40'!AH:AH,MATCH('psgr LDVs'!$B8,'AEO 40'!$B:$B,0))</f>
        <v>118.363579</v>
      </c>
      <c r="AE8" s="126">
        <f>INDEX('AEO 40'!AI:AI,MATCH('psgr LDVs'!$B8,'AEO 40'!$B:$B,0))</f>
        <v>118.338753</v>
      </c>
      <c r="AF8" s="126">
        <f>INDEX('AEO 40'!AJ:AJ,MATCH('psgr LDVs'!$B8,'AEO 40'!$B:$B,0))</f>
        <v>118.31626900000001</v>
      </c>
      <c r="AG8" s="126">
        <f>INDEX('AEO 40'!AK:AK,MATCH('psgr LDVs'!$B8,'AEO 40'!$B:$B,0))</f>
        <v>118.286789</v>
      </c>
    </row>
    <row r="9" spans="1:33">
      <c r="A9" s="132" t="s">
        <v>116</v>
      </c>
      <c r="B9" s="117" t="s">
        <v>880</v>
      </c>
      <c r="C9" s="126">
        <f>INDEX('AEO 40'!G:G,MATCH('psgr LDVs'!$B9,'AEO 40'!$B:$B,0))</f>
        <v>60.151657</v>
      </c>
      <c r="D9" s="126">
        <f>INDEX('AEO 40'!H:H,MATCH('psgr LDVs'!$B9,'AEO 40'!$B:$B,0))</f>
        <v>62.861052999999998</v>
      </c>
      <c r="E9" s="126">
        <f>INDEX('AEO 40'!I:I,MATCH('psgr LDVs'!$B9,'AEO 40'!$B:$B,0))</f>
        <v>63.60445</v>
      </c>
      <c r="F9" s="126">
        <f>INDEX('AEO 40'!J:J,MATCH('psgr LDVs'!$B9,'AEO 40'!$B:$B,0))</f>
        <v>63.836418000000002</v>
      </c>
      <c r="G9" s="126">
        <f>INDEX('AEO 40'!K:K,MATCH('psgr LDVs'!$B9,'AEO 40'!$B:$B,0))</f>
        <v>65.258881000000002</v>
      </c>
      <c r="H9" s="126">
        <f>INDEX('AEO 40'!L:L,MATCH('psgr LDVs'!$B9,'AEO 40'!$B:$B,0))</f>
        <v>65.900154000000001</v>
      </c>
      <c r="I9" s="126">
        <f>INDEX('AEO 40'!M:M,MATCH('psgr LDVs'!$B9,'AEO 40'!$B:$B,0))</f>
        <v>66.706917000000004</v>
      </c>
      <c r="J9" s="126">
        <f>INDEX('AEO 40'!N:N,MATCH('psgr LDVs'!$B9,'AEO 40'!$B:$B,0))</f>
        <v>66.780631999999997</v>
      </c>
      <c r="K9" s="126">
        <f>INDEX('AEO 40'!O:O,MATCH('psgr LDVs'!$B9,'AEO 40'!$B:$B,0))</f>
        <v>66.770759999999996</v>
      </c>
      <c r="L9" s="126">
        <f>INDEX('AEO 40'!P:P,MATCH('psgr LDVs'!$B9,'AEO 40'!$B:$B,0))</f>
        <v>66.739525</v>
      </c>
      <c r="M9" s="126">
        <f>INDEX('AEO 40'!Q:Q,MATCH('psgr LDVs'!$B9,'AEO 40'!$B:$B,0))</f>
        <v>66.727103999999997</v>
      </c>
      <c r="N9" s="126">
        <f>INDEX('AEO 40'!R:R,MATCH('psgr LDVs'!$B9,'AEO 40'!$B:$B,0))</f>
        <v>66.650054999999995</v>
      </c>
      <c r="O9" s="126">
        <f>INDEX('AEO 40'!S:S,MATCH('psgr LDVs'!$B9,'AEO 40'!$B:$B,0))</f>
        <v>66.607123999999999</v>
      </c>
      <c r="P9" s="126">
        <f>INDEX('AEO 40'!T:T,MATCH('psgr LDVs'!$B9,'AEO 40'!$B:$B,0))</f>
        <v>66.542831000000007</v>
      </c>
      <c r="Q9" s="126">
        <f>INDEX('AEO 40'!U:U,MATCH('psgr LDVs'!$B9,'AEO 40'!$B:$B,0))</f>
        <v>66.482742000000002</v>
      </c>
      <c r="R9" s="126">
        <f>INDEX('AEO 40'!V:V,MATCH('psgr LDVs'!$B9,'AEO 40'!$B:$B,0))</f>
        <v>66.37912</v>
      </c>
      <c r="S9" s="126">
        <f>INDEX('AEO 40'!W:W,MATCH('psgr LDVs'!$B9,'AEO 40'!$B:$B,0))</f>
        <v>66.319327999999999</v>
      </c>
      <c r="T9" s="126">
        <f>INDEX('AEO 40'!X:X,MATCH('psgr LDVs'!$B9,'AEO 40'!$B:$B,0))</f>
        <v>66.257285999999993</v>
      </c>
      <c r="U9" s="126">
        <f>INDEX('AEO 40'!Y:Y,MATCH('psgr LDVs'!$B9,'AEO 40'!$B:$B,0))</f>
        <v>66.187652999999997</v>
      </c>
      <c r="V9" s="126">
        <f>INDEX('AEO 40'!Z:Z,MATCH('psgr LDVs'!$B9,'AEO 40'!$B:$B,0))</f>
        <v>66.098557</v>
      </c>
      <c r="W9" s="126">
        <f>INDEX('AEO 40'!AA:AA,MATCH('psgr LDVs'!$B9,'AEO 40'!$B:$B,0))</f>
        <v>66.024139000000005</v>
      </c>
      <c r="X9" s="126">
        <f>INDEX('AEO 40'!AB:AB,MATCH('psgr LDVs'!$B9,'AEO 40'!$B:$B,0))</f>
        <v>65.952399999999997</v>
      </c>
      <c r="Y9" s="126">
        <f>INDEX('AEO 40'!AC:AC,MATCH('psgr LDVs'!$B9,'AEO 40'!$B:$B,0))</f>
        <v>65.872742000000002</v>
      </c>
      <c r="Z9" s="126">
        <f>INDEX('AEO 40'!AD:AD,MATCH('psgr LDVs'!$B9,'AEO 40'!$B:$B,0))</f>
        <v>65.804687999999999</v>
      </c>
      <c r="AA9" s="126">
        <f>INDEX('AEO 40'!AE:AE,MATCH('psgr LDVs'!$B9,'AEO 40'!$B:$B,0))</f>
        <v>65.736389000000003</v>
      </c>
      <c r="AB9" s="126">
        <f>INDEX('AEO 40'!AF:AF,MATCH('psgr LDVs'!$B9,'AEO 40'!$B:$B,0))</f>
        <v>65.669150999999999</v>
      </c>
      <c r="AC9" s="126">
        <f>INDEX('AEO 40'!AG:AG,MATCH('psgr LDVs'!$B9,'AEO 40'!$B:$B,0))</f>
        <v>65.593879999999999</v>
      </c>
      <c r="AD9" s="126">
        <f>INDEX('AEO 40'!AH:AH,MATCH('psgr LDVs'!$B9,'AEO 40'!$B:$B,0))</f>
        <v>65.534453999999997</v>
      </c>
      <c r="AE9" s="126">
        <f>INDEX('AEO 40'!AI:AI,MATCH('psgr LDVs'!$B9,'AEO 40'!$B:$B,0))</f>
        <v>65.453331000000006</v>
      </c>
      <c r="AF9" s="126">
        <f>INDEX('AEO 40'!AJ:AJ,MATCH('psgr LDVs'!$B9,'AEO 40'!$B:$B,0))</f>
        <v>65.400588999999997</v>
      </c>
      <c r="AG9" s="126">
        <f>INDEX('AEO 40'!AK:AK,MATCH('psgr LDVs'!$B9,'AEO 40'!$B:$B,0))</f>
        <v>65.336258000000001</v>
      </c>
    </row>
    <row r="10" spans="1:33">
      <c r="A10" s="132" t="s">
        <v>116</v>
      </c>
      <c r="B10" s="117" t="s">
        <v>881</v>
      </c>
      <c r="C10" s="126">
        <f>INDEX('AEO 40'!G:G,MATCH('psgr LDVs'!$B10,'AEO 40'!$B:$B,0))</f>
        <v>73.406424999999999</v>
      </c>
      <c r="D10" s="126">
        <f>INDEX('AEO 40'!H:H,MATCH('psgr LDVs'!$B10,'AEO 40'!$B:$B,0))</f>
        <v>76.394942999999998</v>
      </c>
      <c r="E10" s="126">
        <f>INDEX('AEO 40'!I:I,MATCH('psgr LDVs'!$B10,'AEO 40'!$B:$B,0))</f>
        <v>76.722694000000004</v>
      </c>
      <c r="F10" s="126">
        <f>INDEX('AEO 40'!J:J,MATCH('psgr LDVs'!$B10,'AEO 40'!$B:$B,0))</f>
        <v>76.857201000000003</v>
      </c>
      <c r="G10" s="126">
        <f>INDEX('AEO 40'!K:K,MATCH('psgr LDVs'!$B10,'AEO 40'!$B:$B,0))</f>
        <v>78.018790999999993</v>
      </c>
      <c r="H10" s="126">
        <f>INDEX('AEO 40'!L:L,MATCH('psgr LDVs'!$B10,'AEO 40'!$B:$B,0))</f>
        <v>78.743499999999997</v>
      </c>
      <c r="I10" s="126">
        <f>INDEX('AEO 40'!M:M,MATCH('psgr LDVs'!$B10,'AEO 40'!$B:$B,0))</f>
        <v>79.558464000000001</v>
      </c>
      <c r="J10" s="126">
        <f>INDEX('AEO 40'!N:N,MATCH('psgr LDVs'!$B10,'AEO 40'!$B:$B,0))</f>
        <v>79.667168000000004</v>
      </c>
      <c r="K10" s="126">
        <f>INDEX('AEO 40'!O:O,MATCH('psgr LDVs'!$B10,'AEO 40'!$B:$B,0))</f>
        <v>79.671974000000006</v>
      </c>
      <c r="L10" s="126">
        <f>INDEX('AEO 40'!P:P,MATCH('psgr LDVs'!$B10,'AEO 40'!$B:$B,0))</f>
        <v>79.642707999999999</v>
      </c>
      <c r="M10" s="126">
        <f>INDEX('AEO 40'!Q:Q,MATCH('psgr LDVs'!$B10,'AEO 40'!$B:$B,0))</f>
        <v>79.660538000000003</v>
      </c>
      <c r="N10" s="126">
        <f>INDEX('AEO 40'!R:R,MATCH('psgr LDVs'!$B10,'AEO 40'!$B:$B,0))</f>
        <v>79.558411000000007</v>
      </c>
      <c r="O10" s="126">
        <f>INDEX('AEO 40'!S:S,MATCH('psgr LDVs'!$B10,'AEO 40'!$B:$B,0))</f>
        <v>79.547279000000003</v>
      </c>
      <c r="P10" s="126">
        <f>INDEX('AEO 40'!T:T,MATCH('psgr LDVs'!$B10,'AEO 40'!$B:$B,0))</f>
        <v>79.498230000000007</v>
      </c>
      <c r="Q10" s="126">
        <f>INDEX('AEO 40'!U:U,MATCH('psgr LDVs'!$B10,'AEO 40'!$B:$B,0))</f>
        <v>79.469559000000004</v>
      </c>
      <c r="R10" s="126">
        <f>INDEX('AEO 40'!V:V,MATCH('psgr LDVs'!$B10,'AEO 40'!$B:$B,0))</f>
        <v>79.368904000000001</v>
      </c>
      <c r="S10" s="126">
        <f>INDEX('AEO 40'!W:W,MATCH('psgr LDVs'!$B10,'AEO 40'!$B:$B,0))</f>
        <v>79.345375000000004</v>
      </c>
      <c r="T10" s="126">
        <f>INDEX('AEO 40'!X:X,MATCH('psgr LDVs'!$B10,'AEO 40'!$B:$B,0))</f>
        <v>79.316460000000006</v>
      </c>
      <c r="U10" s="126">
        <f>INDEX('AEO 40'!Y:Y,MATCH('psgr LDVs'!$B10,'AEO 40'!$B:$B,0))</f>
        <v>79.275146000000007</v>
      </c>
      <c r="V10" s="126">
        <f>INDEX('AEO 40'!Z:Z,MATCH('psgr LDVs'!$B10,'AEO 40'!$B:$B,0))</f>
        <v>79.206337000000005</v>
      </c>
      <c r="W10" s="126">
        <f>INDEX('AEO 40'!AA:AA,MATCH('psgr LDVs'!$B10,'AEO 40'!$B:$B,0))</f>
        <v>79.163498000000004</v>
      </c>
      <c r="X10" s="126">
        <f>INDEX('AEO 40'!AB:AB,MATCH('psgr LDVs'!$B10,'AEO 40'!$B:$B,0))</f>
        <v>79.122710999999995</v>
      </c>
      <c r="Y10" s="126">
        <f>INDEX('AEO 40'!AC:AC,MATCH('psgr LDVs'!$B10,'AEO 40'!$B:$B,0))</f>
        <v>79.067215000000004</v>
      </c>
      <c r="Z10" s="126">
        <f>INDEX('AEO 40'!AD:AD,MATCH('psgr LDVs'!$B10,'AEO 40'!$B:$B,0))</f>
        <v>79.026702999999998</v>
      </c>
      <c r="AA10" s="126">
        <f>INDEX('AEO 40'!AE:AE,MATCH('psgr LDVs'!$B10,'AEO 40'!$B:$B,0))</f>
        <v>78.984855999999994</v>
      </c>
      <c r="AB10" s="126">
        <f>INDEX('AEO 40'!AF:AF,MATCH('psgr LDVs'!$B10,'AEO 40'!$B:$B,0))</f>
        <v>78.942100999999994</v>
      </c>
      <c r="AC10" s="126">
        <f>INDEX('AEO 40'!AG:AG,MATCH('psgr LDVs'!$B10,'AEO 40'!$B:$B,0))</f>
        <v>78.886086000000006</v>
      </c>
      <c r="AD10" s="126">
        <f>INDEX('AEO 40'!AH:AH,MATCH('psgr LDVs'!$B10,'AEO 40'!$B:$B,0))</f>
        <v>78.851348999999999</v>
      </c>
      <c r="AE10" s="126">
        <f>INDEX('AEO 40'!AI:AI,MATCH('psgr LDVs'!$B10,'AEO 40'!$B:$B,0))</f>
        <v>78.787757999999997</v>
      </c>
      <c r="AF10" s="126">
        <f>INDEX('AEO 40'!AJ:AJ,MATCH('psgr LDVs'!$B10,'AEO 40'!$B:$B,0))</f>
        <v>78.761482000000001</v>
      </c>
      <c r="AG10" s="126">
        <f>INDEX('AEO 40'!AK:AK,MATCH('psgr LDVs'!$B10,'AEO 40'!$B:$B,0))</f>
        <v>78.715941999999998</v>
      </c>
    </row>
    <row r="11" spans="1:33">
      <c r="A11" s="132" t="s">
        <v>115</v>
      </c>
      <c r="B11" s="117" t="s">
        <v>882</v>
      </c>
      <c r="C11" s="126">
        <f>INDEX('AEO 40'!G:G,MATCH('psgr LDVs'!$B11,'AEO 40'!$B:$B,0))</f>
        <v>0</v>
      </c>
      <c r="D11" s="126">
        <f>INDEX('AEO 40'!H:H,MATCH('psgr LDVs'!$B11,'AEO 40'!$B:$B,0))</f>
        <v>0</v>
      </c>
      <c r="E11" s="126">
        <f>INDEX('AEO 40'!I:I,MATCH('psgr LDVs'!$B11,'AEO 40'!$B:$B,0))</f>
        <v>0</v>
      </c>
      <c r="F11" s="126">
        <f>INDEX('AEO 40'!J:J,MATCH('psgr LDVs'!$B11,'AEO 40'!$B:$B,0))</f>
        <v>0</v>
      </c>
      <c r="G11" s="126">
        <f>INDEX('AEO 40'!K:K,MATCH('psgr LDVs'!$B11,'AEO 40'!$B:$B,0))</f>
        <v>0</v>
      </c>
      <c r="H11" s="126">
        <f>INDEX('AEO 40'!L:L,MATCH('psgr LDVs'!$B11,'AEO 40'!$B:$B,0))</f>
        <v>0</v>
      </c>
      <c r="I11" s="126">
        <f>INDEX('AEO 40'!M:M,MATCH('psgr LDVs'!$B11,'AEO 40'!$B:$B,0))</f>
        <v>0</v>
      </c>
      <c r="J11" s="126">
        <f>INDEX('AEO 40'!N:N,MATCH('psgr LDVs'!$B11,'AEO 40'!$B:$B,0))</f>
        <v>0</v>
      </c>
      <c r="K11" s="126">
        <f>INDEX('AEO 40'!O:O,MATCH('psgr LDVs'!$B11,'AEO 40'!$B:$B,0))</f>
        <v>0</v>
      </c>
      <c r="L11" s="126">
        <f>INDEX('AEO 40'!P:P,MATCH('psgr LDVs'!$B11,'AEO 40'!$B:$B,0))</f>
        <v>0</v>
      </c>
      <c r="M11" s="126">
        <f>INDEX('AEO 40'!Q:Q,MATCH('psgr LDVs'!$B11,'AEO 40'!$B:$B,0))</f>
        <v>0</v>
      </c>
      <c r="N11" s="126">
        <f>INDEX('AEO 40'!R:R,MATCH('psgr LDVs'!$B11,'AEO 40'!$B:$B,0))</f>
        <v>0</v>
      </c>
      <c r="O11" s="126">
        <f>INDEX('AEO 40'!S:S,MATCH('psgr LDVs'!$B11,'AEO 40'!$B:$B,0))</f>
        <v>0</v>
      </c>
      <c r="P11" s="126">
        <f>INDEX('AEO 40'!T:T,MATCH('psgr LDVs'!$B11,'AEO 40'!$B:$B,0))</f>
        <v>0</v>
      </c>
      <c r="Q11" s="126">
        <f>INDEX('AEO 40'!U:U,MATCH('psgr LDVs'!$B11,'AEO 40'!$B:$B,0))</f>
        <v>0</v>
      </c>
      <c r="R11" s="126">
        <f>INDEX('AEO 40'!V:V,MATCH('psgr LDVs'!$B11,'AEO 40'!$B:$B,0))</f>
        <v>0</v>
      </c>
      <c r="S11" s="126">
        <f>INDEX('AEO 40'!W:W,MATCH('psgr LDVs'!$B11,'AEO 40'!$B:$B,0))</f>
        <v>0</v>
      </c>
      <c r="T11" s="126">
        <f>INDEX('AEO 40'!X:X,MATCH('psgr LDVs'!$B11,'AEO 40'!$B:$B,0))</f>
        <v>0</v>
      </c>
      <c r="U11" s="126">
        <f>INDEX('AEO 40'!Y:Y,MATCH('psgr LDVs'!$B11,'AEO 40'!$B:$B,0))</f>
        <v>0</v>
      </c>
      <c r="V11" s="126">
        <f>INDEX('AEO 40'!Z:Z,MATCH('psgr LDVs'!$B11,'AEO 40'!$B:$B,0))</f>
        <v>0</v>
      </c>
      <c r="W11" s="126">
        <f>INDEX('AEO 40'!AA:AA,MATCH('psgr LDVs'!$B11,'AEO 40'!$B:$B,0))</f>
        <v>0</v>
      </c>
      <c r="X11" s="126">
        <f>INDEX('AEO 40'!AB:AB,MATCH('psgr LDVs'!$B11,'AEO 40'!$B:$B,0))</f>
        <v>0</v>
      </c>
      <c r="Y11" s="126">
        <f>INDEX('AEO 40'!AC:AC,MATCH('psgr LDVs'!$B11,'AEO 40'!$B:$B,0))</f>
        <v>0</v>
      </c>
      <c r="Z11" s="126">
        <f>INDEX('AEO 40'!AD:AD,MATCH('psgr LDVs'!$B11,'AEO 40'!$B:$B,0))</f>
        <v>0</v>
      </c>
      <c r="AA11" s="126">
        <f>INDEX('AEO 40'!AE:AE,MATCH('psgr LDVs'!$B11,'AEO 40'!$B:$B,0))</f>
        <v>0</v>
      </c>
      <c r="AB11" s="126">
        <f>INDEX('AEO 40'!AF:AF,MATCH('psgr LDVs'!$B11,'AEO 40'!$B:$B,0))</f>
        <v>0</v>
      </c>
      <c r="AC11" s="126">
        <f>INDEX('AEO 40'!AG:AG,MATCH('psgr LDVs'!$B11,'AEO 40'!$B:$B,0))</f>
        <v>0</v>
      </c>
      <c r="AD11" s="126">
        <f>INDEX('AEO 40'!AH:AH,MATCH('psgr LDVs'!$B11,'AEO 40'!$B:$B,0))</f>
        <v>0</v>
      </c>
      <c r="AE11" s="126">
        <f>INDEX('AEO 40'!AI:AI,MATCH('psgr LDVs'!$B11,'AEO 40'!$B:$B,0))</f>
        <v>0</v>
      </c>
      <c r="AF11" s="126">
        <f>INDEX('AEO 40'!AJ:AJ,MATCH('psgr LDVs'!$B11,'AEO 40'!$B:$B,0))</f>
        <v>0</v>
      </c>
      <c r="AG11" s="126">
        <f>INDEX('AEO 40'!AK:AK,MATCH('psgr LDVs'!$B11,'AEO 40'!$B:$B,0))</f>
        <v>0</v>
      </c>
    </row>
    <row r="12" spans="1:33">
      <c r="A12" s="132" t="s">
        <v>114</v>
      </c>
      <c r="B12" s="117" t="s">
        <v>883</v>
      </c>
      <c r="C12" s="126">
        <f>INDEX('AEO 40'!G:G,MATCH('psgr LDVs'!$B12,'AEO 40'!$B:$B,0))</f>
        <v>59.290179999999999</v>
      </c>
      <c r="D12" s="126">
        <f>INDEX('AEO 40'!H:H,MATCH('psgr LDVs'!$B12,'AEO 40'!$B:$B,0))</f>
        <v>62.071899000000002</v>
      </c>
      <c r="E12" s="126">
        <f>INDEX('AEO 40'!I:I,MATCH('psgr LDVs'!$B12,'AEO 40'!$B:$B,0))</f>
        <v>62.589328999999999</v>
      </c>
      <c r="F12" s="126">
        <f>INDEX('AEO 40'!J:J,MATCH('psgr LDVs'!$B12,'AEO 40'!$B:$B,0))</f>
        <v>63.589759999999998</v>
      </c>
      <c r="G12" s="126">
        <f>INDEX('AEO 40'!K:K,MATCH('psgr LDVs'!$B12,'AEO 40'!$B:$B,0))</f>
        <v>64.562302000000003</v>
      </c>
      <c r="H12" s="126">
        <f>INDEX('AEO 40'!L:L,MATCH('psgr LDVs'!$B12,'AEO 40'!$B:$B,0))</f>
        <v>65.483376000000007</v>
      </c>
      <c r="I12" s="126">
        <f>INDEX('AEO 40'!M:M,MATCH('psgr LDVs'!$B12,'AEO 40'!$B:$B,0))</f>
        <v>66.175285000000002</v>
      </c>
      <c r="J12" s="126">
        <f>INDEX('AEO 40'!N:N,MATCH('psgr LDVs'!$B12,'AEO 40'!$B:$B,0))</f>
        <v>66.129035999999999</v>
      </c>
      <c r="K12" s="126">
        <f>INDEX('AEO 40'!O:O,MATCH('psgr LDVs'!$B12,'AEO 40'!$B:$B,0))</f>
        <v>66.042563999999999</v>
      </c>
      <c r="L12" s="126">
        <f>INDEX('AEO 40'!P:P,MATCH('psgr LDVs'!$B12,'AEO 40'!$B:$B,0))</f>
        <v>65.958022999999997</v>
      </c>
      <c r="M12" s="126">
        <f>INDEX('AEO 40'!Q:Q,MATCH('psgr LDVs'!$B12,'AEO 40'!$B:$B,0))</f>
        <v>65.901161000000002</v>
      </c>
      <c r="N12" s="126">
        <f>INDEX('AEO 40'!R:R,MATCH('psgr LDVs'!$B12,'AEO 40'!$B:$B,0))</f>
        <v>65.874831999999998</v>
      </c>
      <c r="O12" s="126">
        <f>INDEX('AEO 40'!S:S,MATCH('psgr LDVs'!$B12,'AEO 40'!$B:$B,0))</f>
        <v>65.808395000000004</v>
      </c>
      <c r="P12" s="126">
        <f>INDEX('AEO 40'!T:T,MATCH('psgr LDVs'!$B12,'AEO 40'!$B:$B,0))</f>
        <v>65.754692000000006</v>
      </c>
      <c r="Q12" s="126">
        <f>INDEX('AEO 40'!U:U,MATCH('psgr LDVs'!$B12,'AEO 40'!$B:$B,0))</f>
        <v>65.687363000000005</v>
      </c>
      <c r="R12" s="126">
        <f>INDEX('AEO 40'!V:V,MATCH('psgr LDVs'!$B12,'AEO 40'!$B:$B,0))</f>
        <v>65.613418999999993</v>
      </c>
      <c r="S12" s="126">
        <f>INDEX('AEO 40'!W:W,MATCH('psgr LDVs'!$B12,'AEO 40'!$B:$B,0))</f>
        <v>65.531311000000002</v>
      </c>
      <c r="T12" s="126">
        <f>INDEX('AEO 40'!X:X,MATCH('psgr LDVs'!$B12,'AEO 40'!$B:$B,0))</f>
        <v>65.463913000000005</v>
      </c>
      <c r="U12" s="126">
        <f>INDEX('AEO 40'!Y:Y,MATCH('psgr LDVs'!$B12,'AEO 40'!$B:$B,0))</f>
        <v>65.389824000000004</v>
      </c>
      <c r="V12" s="126">
        <f>INDEX('AEO 40'!Z:Z,MATCH('psgr LDVs'!$B12,'AEO 40'!$B:$B,0))</f>
        <v>65.309830000000005</v>
      </c>
      <c r="W12" s="126">
        <f>INDEX('AEO 40'!AA:AA,MATCH('psgr LDVs'!$B12,'AEO 40'!$B:$B,0))</f>
        <v>65.220589000000004</v>
      </c>
      <c r="X12" s="126">
        <f>INDEX('AEO 40'!AB:AB,MATCH('psgr LDVs'!$B12,'AEO 40'!$B:$B,0))</f>
        <v>65.126761999999999</v>
      </c>
      <c r="Y12" s="126">
        <f>INDEX('AEO 40'!AC:AC,MATCH('psgr LDVs'!$B12,'AEO 40'!$B:$B,0))</f>
        <v>65.040336999999994</v>
      </c>
      <c r="Z12" s="126">
        <f>INDEX('AEO 40'!AD:AD,MATCH('psgr LDVs'!$B12,'AEO 40'!$B:$B,0))</f>
        <v>64.954230999999993</v>
      </c>
      <c r="AA12" s="126">
        <f>INDEX('AEO 40'!AE:AE,MATCH('psgr LDVs'!$B12,'AEO 40'!$B:$B,0))</f>
        <v>64.87294</v>
      </c>
      <c r="AB12" s="126">
        <f>INDEX('AEO 40'!AF:AF,MATCH('psgr LDVs'!$B12,'AEO 40'!$B:$B,0))</f>
        <v>64.785278000000005</v>
      </c>
      <c r="AC12" s="126">
        <f>INDEX('AEO 40'!AG:AG,MATCH('psgr LDVs'!$B12,'AEO 40'!$B:$B,0))</f>
        <v>64.701674999999994</v>
      </c>
      <c r="AD12" s="126">
        <f>INDEX('AEO 40'!AH:AH,MATCH('psgr LDVs'!$B12,'AEO 40'!$B:$B,0))</f>
        <v>64.617935000000003</v>
      </c>
      <c r="AE12" s="126">
        <f>INDEX('AEO 40'!AI:AI,MATCH('psgr LDVs'!$B12,'AEO 40'!$B:$B,0))</f>
        <v>64.525856000000005</v>
      </c>
      <c r="AF12" s="126">
        <f>INDEX('AEO 40'!AJ:AJ,MATCH('psgr LDVs'!$B12,'AEO 40'!$B:$B,0))</f>
        <v>64.435905000000005</v>
      </c>
      <c r="AG12" s="126">
        <f>INDEX('AEO 40'!AK:AK,MATCH('psgr LDVs'!$B12,'AEO 40'!$B:$B,0))</f>
        <v>64.349982999999995</v>
      </c>
    </row>
    <row r="13" spans="1:33">
      <c r="A13" s="132" t="s">
        <v>113</v>
      </c>
      <c r="B13" s="117" t="s">
        <v>884</v>
      </c>
      <c r="C13" s="126">
        <f>INDEX('AEO 40'!G:G,MATCH('psgr LDVs'!$B13,'AEO 40'!$B:$B,0))</f>
        <v>43.681716999999999</v>
      </c>
      <c r="D13" s="126">
        <f>INDEX('AEO 40'!H:H,MATCH('psgr LDVs'!$B13,'AEO 40'!$B:$B,0))</f>
        <v>46.401386000000002</v>
      </c>
      <c r="E13" s="126">
        <f>INDEX('AEO 40'!I:I,MATCH('psgr LDVs'!$B13,'AEO 40'!$B:$B,0))</f>
        <v>46.785164000000002</v>
      </c>
      <c r="F13" s="126">
        <f>INDEX('AEO 40'!J:J,MATCH('psgr LDVs'!$B13,'AEO 40'!$B:$B,0))</f>
        <v>47.415855000000001</v>
      </c>
      <c r="G13" s="126">
        <f>INDEX('AEO 40'!K:K,MATCH('psgr LDVs'!$B13,'AEO 40'!$B:$B,0))</f>
        <v>48.090491999999998</v>
      </c>
      <c r="H13" s="126">
        <f>INDEX('AEO 40'!L:L,MATCH('psgr LDVs'!$B13,'AEO 40'!$B:$B,0))</f>
        <v>48.687514999999998</v>
      </c>
      <c r="I13" s="126">
        <f>INDEX('AEO 40'!M:M,MATCH('psgr LDVs'!$B13,'AEO 40'!$B:$B,0))</f>
        <v>49.330573999999999</v>
      </c>
      <c r="J13" s="126">
        <f>INDEX('AEO 40'!N:N,MATCH('psgr LDVs'!$B13,'AEO 40'!$B:$B,0))</f>
        <v>49.368178999999998</v>
      </c>
      <c r="K13" s="126">
        <f>INDEX('AEO 40'!O:O,MATCH('psgr LDVs'!$B13,'AEO 40'!$B:$B,0))</f>
        <v>49.283656999999998</v>
      </c>
      <c r="L13" s="126">
        <f>INDEX('AEO 40'!P:P,MATCH('psgr LDVs'!$B13,'AEO 40'!$B:$B,0))</f>
        <v>49.246184999999997</v>
      </c>
      <c r="M13" s="126">
        <f>INDEX('AEO 40'!Q:Q,MATCH('psgr LDVs'!$B13,'AEO 40'!$B:$B,0))</f>
        <v>49.253051999999997</v>
      </c>
      <c r="N13" s="126">
        <f>INDEX('AEO 40'!R:R,MATCH('psgr LDVs'!$B13,'AEO 40'!$B:$B,0))</f>
        <v>49.153641</v>
      </c>
      <c r="O13" s="126">
        <f>INDEX('AEO 40'!S:S,MATCH('psgr LDVs'!$B13,'AEO 40'!$B:$B,0))</f>
        <v>49.118232999999996</v>
      </c>
      <c r="P13" s="126">
        <f>INDEX('AEO 40'!T:T,MATCH('psgr LDVs'!$B13,'AEO 40'!$B:$B,0))</f>
        <v>49.066924999999998</v>
      </c>
      <c r="Q13" s="126">
        <f>INDEX('AEO 40'!U:U,MATCH('psgr LDVs'!$B13,'AEO 40'!$B:$B,0))</f>
        <v>49.039794999999998</v>
      </c>
      <c r="R13" s="126">
        <f>INDEX('AEO 40'!V:V,MATCH('psgr LDVs'!$B13,'AEO 40'!$B:$B,0))</f>
        <v>48.957588000000001</v>
      </c>
      <c r="S13" s="126">
        <f>INDEX('AEO 40'!W:W,MATCH('psgr LDVs'!$B13,'AEO 40'!$B:$B,0))</f>
        <v>48.913455999999996</v>
      </c>
      <c r="T13" s="126">
        <f>INDEX('AEO 40'!X:X,MATCH('psgr LDVs'!$B13,'AEO 40'!$B:$B,0))</f>
        <v>48.865710999999997</v>
      </c>
      <c r="U13" s="126">
        <f>INDEX('AEO 40'!Y:Y,MATCH('psgr LDVs'!$B13,'AEO 40'!$B:$B,0))</f>
        <v>48.821747000000002</v>
      </c>
      <c r="V13" s="126">
        <f>INDEX('AEO 40'!Z:Z,MATCH('psgr LDVs'!$B13,'AEO 40'!$B:$B,0))</f>
        <v>48.754303</v>
      </c>
      <c r="W13" s="126">
        <f>INDEX('AEO 40'!AA:AA,MATCH('psgr LDVs'!$B13,'AEO 40'!$B:$B,0))</f>
        <v>48.706524000000002</v>
      </c>
      <c r="X13" s="126">
        <f>INDEX('AEO 40'!AB:AB,MATCH('psgr LDVs'!$B13,'AEO 40'!$B:$B,0))</f>
        <v>48.651935999999999</v>
      </c>
      <c r="Y13" s="126">
        <f>INDEX('AEO 40'!AC:AC,MATCH('psgr LDVs'!$B13,'AEO 40'!$B:$B,0))</f>
        <v>48.591487999999998</v>
      </c>
      <c r="Z13" s="126">
        <f>INDEX('AEO 40'!AD:AD,MATCH('psgr LDVs'!$B13,'AEO 40'!$B:$B,0))</f>
        <v>48.540230000000001</v>
      </c>
      <c r="AA13" s="126">
        <f>INDEX('AEO 40'!AE:AE,MATCH('psgr LDVs'!$B13,'AEO 40'!$B:$B,0))</f>
        <v>48.490653999999999</v>
      </c>
      <c r="AB13" s="126">
        <f>INDEX('AEO 40'!AF:AF,MATCH('psgr LDVs'!$B13,'AEO 40'!$B:$B,0))</f>
        <v>48.445137000000003</v>
      </c>
      <c r="AC13" s="126">
        <f>INDEX('AEO 40'!AG:AG,MATCH('psgr LDVs'!$B13,'AEO 40'!$B:$B,0))</f>
        <v>48.386150000000001</v>
      </c>
      <c r="AD13" s="126">
        <f>INDEX('AEO 40'!AH:AH,MATCH('psgr LDVs'!$B13,'AEO 40'!$B:$B,0))</f>
        <v>48.340117999999997</v>
      </c>
      <c r="AE13" s="126">
        <f>INDEX('AEO 40'!AI:AI,MATCH('psgr LDVs'!$B13,'AEO 40'!$B:$B,0))</f>
        <v>48.281329999999997</v>
      </c>
      <c r="AF13" s="126">
        <f>INDEX('AEO 40'!AJ:AJ,MATCH('psgr LDVs'!$B13,'AEO 40'!$B:$B,0))</f>
        <v>48.242370999999999</v>
      </c>
      <c r="AG13" s="126">
        <f>INDEX('AEO 40'!AK:AK,MATCH('psgr LDVs'!$B13,'AEO 40'!$B:$B,0))</f>
        <v>48.194865999999998</v>
      </c>
    </row>
    <row r="14" spans="1:33">
      <c r="A14" s="132" t="s">
        <v>113</v>
      </c>
      <c r="B14" s="117" t="s">
        <v>885</v>
      </c>
      <c r="C14" s="126">
        <f>INDEX('AEO 40'!G:G,MATCH('psgr LDVs'!$B14,'AEO 40'!$B:$B,0))</f>
        <v>41.084128999999997</v>
      </c>
      <c r="D14" s="126">
        <f>INDEX('AEO 40'!H:H,MATCH('psgr LDVs'!$B14,'AEO 40'!$B:$B,0))</f>
        <v>43.492274999999999</v>
      </c>
      <c r="E14" s="126">
        <f>INDEX('AEO 40'!I:I,MATCH('psgr LDVs'!$B14,'AEO 40'!$B:$B,0))</f>
        <v>43.989040000000003</v>
      </c>
      <c r="F14" s="126">
        <f>INDEX('AEO 40'!J:J,MATCH('psgr LDVs'!$B14,'AEO 40'!$B:$B,0))</f>
        <v>44.692486000000002</v>
      </c>
      <c r="G14" s="126">
        <f>INDEX('AEO 40'!K:K,MATCH('psgr LDVs'!$B14,'AEO 40'!$B:$B,0))</f>
        <v>45.242503999999997</v>
      </c>
      <c r="H14" s="126">
        <f>INDEX('AEO 40'!L:L,MATCH('psgr LDVs'!$B14,'AEO 40'!$B:$B,0))</f>
        <v>45.714989000000003</v>
      </c>
      <c r="I14" s="126">
        <f>INDEX('AEO 40'!M:M,MATCH('psgr LDVs'!$B14,'AEO 40'!$B:$B,0))</f>
        <v>46.277256000000001</v>
      </c>
      <c r="J14" s="126">
        <f>INDEX('AEO 40'!N:N,MATCH('psgr LDVs'!$B14,'AEO 40'!$B:$B,0))</f>
        <v>46.302428999999997</v>
      </c>
      <c r="K14" s="126">
        <f>INDEX('AEO 40'!O:O,MATCH('psgr LDVs'!$B14,'AEO 40'!$B:$B,0))</f>
        <v>46.213982000000001</v>
      </c>
      <c r="L14" s="126">
        <f>INDEX('AEO 40'!P:P,MATCH('psgr LDVs'!$B14,'AEO 40'!$B:$B,0))</f>
        <v>46.159278999999998</v>
      </c>
      <c r="M14" s="126">
        <f>INDEX('AEO 40'!Q:Q,MATCH('psgr LDVs'!$B14,'AEO 40'!$B:$B,0))</f>
        <v>46.146366</v>
      </c>
      <c r="N14" s="126">
        <f>INDEX('AEO 40'!R:R,MATCH('psgr LDVs'!$B14,'AEO 40'!$B:$B,0))</f>
        <v>46.078460999999997</v>
      </c>
      <c r="O14" s="126">
        <f>INDEX('AEO 40'!S:S,MATCH('psgr LDVs'!$B14,'AEO 40'!$B:$B,0))</f>
        <v>46.034953999999999</v>
      </c>
      <c r="P14" s="126">
        <f>INDEX('AEO 40'!T:T,MATCH('psgr LDVs'!$B14,'AEO 40'!$B:$B,0))</f>
        <v>45.990093000000002</v>
      </c>
      <c r="Q14" s="126">
        <f>INDEX('AEO 40'!U:U,MATCH('psgr LDVs'!$B14,'AEO 40'!$B:$B,0))</f>
        <v>45.95232</v>
      </c>
      <c r="R14" s="126">
        <f>INDEX('AEO 40'!V:V,MATCH('psgr LDVs'!$B14,'AEO 40'!$B:$B,0))</f>
        <v>45.874695000000003</v>
      </c>
      <c r="S14" s="126">
        <f>INDEX('AEO 40'!W:W,MATCH('psgr LDVs'!$B14,'AEO 40'!$B:$B,0))</f>
        <v>45.810901999999999</v>
      </c>
      <c r="T14" s="126">
        <f>INDEX('AEO 40'!X:X,MATCH('psgr LDVs'!$B14,'AEO 40'!$B:$B,0))</f>
        <v>45.759312000000001</v>
      </c>
      <c r="U14" s="126">
        <f>INDEX('AEO 40'!Y:Y,MATCH('psgr LDVs'!$B14,'AEO 40'!$B:$B,0))</f>
        <v>45.712795</v>
      </c>
      <c r="V14" s="126">
        <f>INDEX('AEO 40'!Z:Z,MATCH('psgr LDVs'!$B14,'AEO 40'!$B:$B,0))</f>
        <v>45.650092999999998</v>
      </c>
      <c r="W14" s="126">
        <f>INDEX('AEO 40'!AA:AA,MATCH('psgr LDVs'!$B14,'AEO 40'!$B:$B,0))</f>
        <v>45.595630999999997</v>
      </c>
      <c r="X14" s="126">
        <f>INDEX('AEO 40'!AB:AB,MATCH('psgr LDVs'!$B14,'AEO 40'!$B:$B,0))</f>
        <v>45.540092000000001</v>
      </c>
      <c r="Y14" s="126">
        <f>INDEX('AEO 40'!AC:AC,MATCH('psgr LDVs'!$B14,'AEO 40'!$B:$B,0))</f>
        <v>45.481884000000001</v>
      </c>
      <c r="Z14" s="126">
        <f>INDEX('AEO 40'!AD:AD,MATCH('psgr LDVs'!$B14,'AEO 40'!$B:$B,0))</f>
        <v>45.425831000000002</v>
      </c>
      <c r="AA14" s="126">
        <f>INDEX('AEO 40'!AE:AE,MATCH('psgr LDVs'!$B14,'AEO 40'!$B:$B,0))</f>
        <v>45.376533999999999</v>
      </c>
      <c r="AB14" s="126">
        <f>INDEX('AEO 40'!AF:AF,MATCH('psgr LDVs'!$B14,'AEO 40'!$B:$B,0))</f>
        <v>45.328536999999997</v>
      </c>
      <c r="AC14" s="126">
        <f>INDEX('AEO 40'!AG:AG,MATCH('psgr LDVs'!$B14,'AEO 40'!$B:$B,0))</f>
        <v>45.274653999999998</v>
      </c>
      <c r="AD14" s="126">
        <f>INDEX('AEO 40'!AH:AH,MATCH('psgr LDVs'!$B14,'AEO 40'!$B:$B,0))</f>
        <v>45.227088999999999</v>
      </c>
      <c r="AE14" s="126">
        <f>INDEX('AEO 40'!AI:AI,MATCH('psgr LDVs'!$B14,'AEO 40'!$B:$B,0))</f>
        <v>45.165667999999997</v>
      </c>
      <c r="AF14" s="126">
        <f>INDEX('AEO 40'!AJ:AJ,MATCH('psgr LDVs'!$B14,'AEO 40'!$B:$B,0))</f>
        <v>45.118164</v>
      </c>
      <c r="AG14" s="126">
        <f>INDEX('AEO 40'!AK:AK,MATCH('psgr LDVs'!$B14,'AEO 40'!$B:$B,0))</f>
        <v>45.064678000000001</v>
      </c>
    </row>
    <row r="15" spans="1:33">
      <c r="A15" s="132" t="s">
        <v>853</v>
      </c>
      <c r="B15" s="117" t="s">
        <v>886</v>
      </c>
      <c r="C15" s="126">
        <f>INDEX('AEO 40'!G:G,MATCH('psgr LDVs'!$B15,'AEO 40'!$B:$B,0))</f>
        <v>42.180911999999999</v>
      </c>
      <c r="D15" s="126">
        <f>INDEX('AEO 40'!H:H,MATCH('psgr LDVs'!$B15,'AEO 40'!$B:$B,0))</f>
        <v>44.919338000000003</v>
      </c>
      <c r="E15" s="126">
        <f>INDEX('AEO 40'!I:I,MATCH('psgr LDVs'!$B15,'AEO 40'!$B:$B,0))</f>
        <v>45.354712999999997</v>
      </c>
      <c r="F15" s="126">
        <f>INDEX('AEO 40'!J:J,MATCH('psgr LDVs'!$B15,'AEO 40'!$B:$B,0))</f>
        <v>46.012107999999998</v>
      </c>
      <c r="G15" s="126">
        <f>INDEX('AEO 40'!K:K,MATCH('psgr LDVs'!$B15,'AEO 40'!$B:$B,0))</f>
        <v>46.680264000000001</v>
      </c>
      <c r="H15" s="126">
        <f>INDEX('AEO 40'!L:L,MATCH('psgr LDVs'!$B15,'AEO 40'!$B:$B,0))</f>
        <v>47.185074</v>
      </c>
      <c r="I15" s="126">
        <f>INDEX('AEO 40'!M:M,MATCH('psgr LDVs'!$B15,'AEO 40'!$B:$B,0))</f>
        <v>47.796740999999997</v>
      </c>
      <c r="J15" s="126">
        <f>INDEX('AEO 40'!N:N,MATCH('psgr LDVs'!$B15,'AEO 40'!$B:$B,0))</f>
        <v>47.821854000000002</v>
      </c>
      <c r="K15" s="126">
        <f>INDEX('AEO 40'!O:O,MATCH('psgr LDVs'!$B15,'AEO 40'!$B:$B,0))</f>
        <v>47.724083</v>
      </c>
      <c r="L15" s="126">
        <f>INDEX('AEO 40'!P:P,MATCH('psgr LDVs'!$B15,'AEO 40'!$B:$B,0))</f>
        <v>47.664473999999998</v>
      </c>
      <c r="M15" s="126">
        <f>INDEX('AEO 40'!Q:Q,MATCH('psgr LDVs'!$B15,'AEO 40'!$B:$B,0))</f>
        <v>47.650908999999999</v>
      </c>
      <c r="N15" s="126">
        <f>INDEX('AEO 40'!R:R,MATCH('psgr LDVs'!$B15,'AEO 40'!$B:$B,0))</f>
        <v>47.539561999999997</v>
      </c>
      <c r="O15" s="126">
        <f>INDEX('AEO 40'!S:S,MATCH('psgr LDVs'!$B15,'AEO 40'!$B:$B,0))</f>
        <v>47.488632000000003</v>
      </c>
      <c r="P15" s="126">
        <f>INDEX('AEO 40'!T:T,MATCH('psgr LDVs'!$B15,'AEO 40'!$B:$B,0))</f>
        <v>47.426285</v>
      </c>
      <c r="Q15" s="126">
        <f>INDEX('AEO 40'!U:U,MATCH('psgr LDVs'!$B15,'AEO 40'!$B:$B,0))</f>
        <v>47.384692999999999</v>
      </c>
      <c r="R15" s="126">
        <f>INDEX('AEO 40'!V:V,MATCH('psgr LDVs'!$B15,'AEO 40'!$B:$B,0))</f>
        <v>47.291466</v>
      </c>
      <c r="S15" s="126">
        <f>INDEX('AEO 40'!W:W,MATCH('psgr LDVs'!$B15,'AEO 40'!$B:$B,0))</f>
        <v>47.233871000000001</v>
      </c>
      <c r="T15" s="126">
        <f>INDEX('AEO 40'!X:X,MATCH('psgr LDVs'!$B15,'AEO 40'!$B:$B,0))</f>
        <v>47.174019000000001</v>
      </c>
      <c r="U15" s="126">
        <f>INDEX('AEO 40'!Y:Y,MATCH('psgr LDVs'!$B15,'AEO 40'!$B:$B,0))</f>
        <v>47.117657000000001</v>
      </c>
      <c r="V15" s="126">
        <f>INDEX('AEO 40'!Z:Z,MATCH('psgr LDVs'!$B15,'AEO 40'!$B:$B,0))</f>
        <v>47.043140000000001</v>
      </c>
      <c r="W15" s="126">
        <f>INDEX('AEO 40'!AA:AA,MATCH('psgr LDVs'!$B15,'AEO 40'!$B:$B,0))</f>
        <v>46.985377999999997</v>
      </c>
      <c r="X15" s="126">
        <f>INDEX('AEO 40'!AB:AB,MATCH('psgr LDVs'!$B15,'AEO 40'!$B:$B,0))</f>
        <v>46.916564999999999</v>
      </c>
      <c r="Y15" s="126">
        <f>INDEX('AEO 40'!AC:AC,MATCH('psgr LDVs'!$B15,'AEO 40'!$B:$B,0))</f>
        <v>46.845756999999999</v>
      </c>
      <c r="Z15" s="126">
        <f>INDEX('AEO 40'!AD:AD,MATCH('psgr LDVs'!$B15,'AEO 40'!$B:$B,0))</f>
        <v>46.777000000000001</v>
      </c>
      <c r="AA15" s="126">
        <f>INDEX('AEO 40'!AE:AE,MATCH('psgr LDVs'!$B15,'AEO 40'!$B:$B,0))</f>
        <v>46.714320999999998</v>
      </c>
      <c r="AB15" s="126">
        <f>INDEX('AEO 40'!AF:AF,MATCH('psgr LDVs'!$B15,'AEO 40'!$B:$B,0))</f>
        <v>46.653229000000003</v>
      </c>
      <c r="AC15" s="126">
        <f>INDEX('AEO 40'!AG:AG,MATCH('psgr LDVs'!$B15,'AEO 40'!$B:$B,0))</f>
        <v>46.583976999999997</v>
      </c>
      <c r="AD15" s="126">
        <f>INDEX('AEO 40'!AH:AH,MATCH('psgr LDVs'!$B15,'AEO 40'!$B:$B,0))</f>
        <v>46.527424000000003</v>
      </c>
      <c r="AE15" s="126">
        <f>INDEX('AEO 40'!AI:AI,MATCH('psgr LDVs'!$B15,'AEO 40'!$B:$B,0))</f>
        <v>46.464230000000001</v>
      </c>
      <c r="AF15" s="126">
        <f>INDEX('AEO 40'!AJ:AJ,MATCH('psgr LDVs'!$B15,'AEO 40'!$B:$B,0))</f>
        <v>46.417346999999999</v>
      </c>
      <c r="AG15" s="126">
        <f>INDEX('AEO 40'!AK:AK,MATCH('psgr LDVs'!$B15,'AEO 40'!$B:$B,0))</f>
        <v>46.364136000000002</v>
      </c>
    </row>
    <row r="16" spans="1:33">
      <c r="A16" s="132" t="s">
        <v>853</v>
      </c>
      <c r="B16" s="117" t="s">
        <v>887</v>
      </c>
      <c r="C16" s="126">
        <f>INDEX('AEO 40'!G:G,MATCH('psgr LDVs'!$B16,'AEO 40'!$B:$B,0))</f>
        <v>42.023262000000003</v>
      </c>
      <c r="D16" s="126">
        <f>INDEX('AEO 40'!H:H,MATCH('psgr LDVs'!$B16,'AEO 40'!$B:$B,0))</f>
        <v>44.358325999999998</v>
      </c>
      <c r="E16" s="126">
        <f>INDEX('AEO 40'!I:I,MATCH('psgr LDVs'!$B16,'AEO 40'!$B:$B,0))</f>
        <v>44.903205999999997</v>
      </c>
      <c r="F16" s="126">
        <f>INDEX('AEO 40'!J:J,MATCH('psgr LDVs'!$B16,'AEO 40'!$B:$B,0))</f>
        <v>45.501362</v>
      </c>
      <c r="G16" s="126">
        <f>INDEX('AEO 40'!K:K,MATCH('psgr LDVs'!$B16,'AEO 40'!$B:$B,0))</f>
        <v>46.023895000000003</v>
      </c>
      <c r="H16" s="126">
        <f>INDEX('AEO 40'!L:L,MATCH('psgr LDVs'!$B16,'AEO 40'!$B:$B,0))</f>
        <v>46.510002</v>
      </c>
      <c r="I16" s="126">
        <f>INDEX('AEO 40'!M:M,MATCH('psgr LDVs'!$B16,'AEO 40'!$B:$B,0))</f>
        <v>47.123362999999998</v>
      </c>
      <c r="J16" s="126">
        <f>INDEX('AEO 40'!N:N,MATCH('psgr LDVs'!$B16,'AEO 40'!$B:$B,0))</f>
        <v>47.149250000000002</v>
      </c>
      <c r="K16" s="126">
        <f>INDEX('AEO 40'!O:O,MATCH('psgr LDVs'!$B16,'AEO 40'!$B:$B,0))</f>
        <v>47.074233999999997</v>
      </c>
      <c r="L16" s="126">
        <f>INDEX('AEO 40'!P:P,MATCH('psgr LDVs'!$B16,'AEO 40'!$B:$B,0))</f>
        <v>47.020443</v>
      </c>
      <c r="M16" s="126">
        <f>INDEX('AEO 40'!Q:Q,MATCH('psgr LDVs'!$B16,'AEO 40'!$B:$B,0))</f>
        <v>47.004593</v>
      </c>
      <c r="N16" s="126">
        <f>INDEX('AEO 40'!R:R,MATCH('psgr LDVs'!$B16,'AEO 40'!$B:$B,0))</f>
        <v>46.943367000000002</v>
      </c>
      <c r="O16" s="126">
        <f>INDEX('AEO 40'!S:S,MATCH('psgr LDVs'!$B16,'AEO 40'!$B:$B,0))</f>
        <v>46.897697000000001</v>
      </c>
      <c r="P16" s="126">
        <f>INDEX('AEO 40'!T:T,MATCH('psgr LDVs'!$B16,'AEO 40'!$B:$B,0))</f>
        <v>46.853625999999998</v>
      </c>
      <c r="Q16" s="126">
        <f>INDEX('AEO 40'!U:U,MATCH('psgr LDVs'!$B16,'AEO 40'!$B:$B,0))</f>
        <v>46.817013000000003</v>
      </c>
      <c r="R16" s="126">
        <f>INDEX('AEO 40'!V:V,MATCH('psgr LDVs'!$B16,'AEO 40'!$B:$B,0))</f>
        <v>46.744019000000002</v>
      </c>
      <c r="S16" s="126">
        <f>INDEX('AEO 40'!W:W,MATCH('psgr LDVs'!$B16,'AEO 40'!$B:$B,0))</f>
        <v>46.681877</v>
      </c>
      <c r="T16" s="126">
        <f>INDEX('AEO 40'!X:X,MATCH('psgr LDVs'!$B16,'AEO 40'!$B:$B,0))</f>
        <v>46.629703999999997</v>
      </c>
      <c r="U16" s="126">
        <f>INDEX('AEO 40'!Y:Y,MATCH('psgr LDVs'!$B16,'AEO 40'!$B:$B,0))</f>
        <v>46.580607999999998</v>
      </c>
      <c r="V16" s="126">
        <f>INDEX('AEO 40'!Z:Z,MATCH('psgr LDVs'!$B16,'AEO 40'!$B:$B,0))</f>
        <v>46.517651000000001</v>
      </c>
      <c r="W16" s="126">
        <f>INDEX('AEO 40'!AA:AA,MATCH('psgr LDVs'!$B16,'AEO 40'!$B:$B,0))</f>
        <v>46.460814999999997</v>
      </c>
      <c r="X16" s="126">
        <f>INDEX('AEO 40'!AB:AB,MATCH('psgr LDVs'!$B16,'AEO 40'!$B:$B,0))</f>
        <v>46.404407999999997</v>
      </c>
      <c r="Y16" s="126">
        <f>INDEX('AEO 40'!AC:AC,MATCH('psgr LDVs'!$B16,'AEO 40'!$B:$B,0))</f>
        <v>46.344634999999997</v>
      </c>
      <c r="Z16" s="126">
        <f>INDEX('AEO 40'!AD:AD,MATCH('psgr LDVs'!$B16,'AEO 40'!$B:$B,0))</f>
        <v>46.28754</v>
      </c>
      <c r="AA16" s="126">
        <f>INDEX('AEO 40'!AE:AE,MATCH('psgr LDVs'!$B16,'AEO 40'!$B:$B,0))</f>
        <v>46.236732000000003</v>
      </c>
      <c r="AB16" s="126">
        <f>INDEX('AEO 40'!AF:AF,MATCH('psgr LDVs'!$B16,'AEO 40'!$B:$B,0))</f>
        <v>46.187519000000002</v>
      </c>
      <c r="AC16" s="126">
        <f>INDEX('AEO 40'!AG:AG,MATCH('psgr LDVs'!$B16,'AEO 40'!$B:$B,0))</f>
        <v>46.132404000000001</v>
      </c>
      <c r="AD16" s="126">
        <f>INDEX('AEO 40'!AH:AH,MATCH('psgr LDVs'!$B16,'AEO 40'!$B:$B,0))</f>
        <v>46.083378000000003</v>
      </c>
      <c r="AE16" s="126">
        <f>INDEX('AEO 40'!AI:AI,MATCH('psgr LDVs'!$B16,'AEO 40'!$B:$B,0))</f>
        <v>46.023482999999999</v>
      </c>
      <c r="AF16" s="126">
        <f>INDEX('AEO 40'!AJ:AJ,MATCH('psgr LDVs'!$B16,'AEO 40'!$B:$B,0))</f>
        <v>45.975223999999997</v>
      </c>
      <c r="AG16" s="126">
        <f>INDEX('AEO 40'!AK:AK,MATCH('psgr LDVs'!$B16,'AEO 40'!$B:$B,0))</f>
        <v>45.924174999999998</v>
      </c>
    </row>
    <row r="17" spans="1:33">
      <c r="A17" s="132" t="s">
        <v>854</v>
      </c>
      <c r="B17" s="117" t="s">
        <v>888</v>
      </c>
      <c r="C17" s="126">
        <f>INDEX('AEO 40'!G:G,MATCH('psgr LDVs'!$B17,'AEO 40'!$B:$B,0))</f>
        <v>0</v>
      </c>
      <c r="D17" s="126">
        <f>INDEX('AEO 40'!H:H,MATCH('psgr LDVs'!$B17,'AEO 40'!$B:$B,0))</f>
        <v>0</v>
      </c>
      <c r="E17" s="126">
        <f>INDEX('AEO 40'!I:I,MATCH('psgr LDVs'!$B17,'AEO 40'!$B:$B,0))</f>
        <v>0</v>
      </c>
      <c r="F17" s="126">
        <f>INDEX('AEO 40'!J:J,MATCH('psgr LDVs'!$B17,'AEO 40'!$B:$B,0))</f>
        <v>0</v>
      </c>
      <c r="G17" s="126">
        <f>INDEX('AEO 40'!K:K,MATCH('psgr LDVs'!$B17,'AEO 40'!$B:$B,0))</f>
        <v>0</v>
      </c>
      <c r="H17" s="126">
        <f>INDEX('AEO 40'!L:L,MATCH('psgr LDVs'!$B17,'AEO 40'!$B:$B,0))</f>
        <v>0</v>
      </c>
      <c r="I17" s="126">
        <f>INDEX('AEO 40'!M:M,MATCH('psgr LDVs'!$B17,'AEO 40'!$B:$B,0))</f>
        <v>0</v>
      </c>
      <c r="J17" s="126">
        <f>INDEX('AEO 40'!N:N,MATCH('psgr LDVs'!$B17,'AEO 40'!$B:$B,0))</f>
        <v>0</v>
      </c>
      <c r="K17" s="126">
        <f>INDEX('AEO 40'!O:O,MATCH('psgr LDVs'!$B17,'AEO 40'!$B:$B,0))</f>
        <v>0</v>
      </c>
      <c r="L17" s="126">
        <f>INDEX('AEO 40'!P:P,MATCH('psgr LDVs'!$B17,'AEO 40'!$B:$B,0))</f>
        <v>0</v>
      </c>
      <c r="M17" s="126">
        <f>INDEX('AEO 40'!Q:Q,MATCH('psgr LDVs'!$B17,'AEO 40'!$B:$B,0))</f>
        <v>0</v>
      </c>
      <c r="N17" s="126">
        <f>INDEX('AEO 40'!R:R,MATCH('psgr LDVs'!$B17,'AEO 40'!$B:$B,0))</f>
        <v>0</v>
      </c>
      <c r="O17" s="126">
        <f>INDEX('AEO 40'!S:S,MATCH('psgr LDVs'!$B17,'AEO 40'!$B:$B,0))</f>
        <v>0</v>
      </c>
      <c r="P17" s="126">
        <f>INDEX('AEO 40'!T:T,MATCH('psgr LDVs'!$B17,'AEO 40'!$B:$B,0))</f>
        <v>0</v>
      </c>
      <c r="Q17" s="126">
        <f>INDEX('AEO 40'!U:U,MATCH('psgr LDVs'!$B17,'AEO 40'!$B:$B,0))</f>
        <v>0</v>
      </c>
      <c r="R17" s="126">
        <f>INDEX('AEO 40'!V:V,MATCH('psgr LDVs'!$B17,'AEO 40'!$B:$B,0))</f>
        <v>0</v>
      </c>
      <c r="S17" s="126">
        <f>INDEX('AEO 40'!W:W,MATCH('psgr LDVs'!$B17,'AEO 40'!$B:$B,0))</f>
        <v>0</v>
      </c>
      <c r="T17" s="126">
        <f>INDEX('AEO 40'!X:X,MATCH('psgr LDVs'!$B17,'AEO 40'!$B:$B,0))</f>
        <v>0</v>
      </c>
      <c r="U17" s="126">
        <f>INDEX('AEO 40'!Y:Y,MATCH('psgr LDVs'!$B17,'AEO 40'!$B:$B,0))</f>
        <v>0</v>
      </c>
      <c r="V17" s="126">
        <f>INDEX('AEO 40'!Z:Z,MATCH('psgr LDVs'!$B17,'AEO 40'!$B:$B,0))</f>
        <v>0</v>
      </c>
      <c r="W17" s="126">
        <f>INDEX('AEO 40'!AA:AA,MATCH('psgr LDVs'!$B17,'AEO 40'!$B:$B,0))</f>
        <v>0</v>
      </c>
      <c r="X17" s="126">
        <f>INDEX('AEO 40'!AB:AB,MATCH('psgr LDVs'!$B17,'AEO 40'!$B:$B,0))</f>
        <v>0</v>
      </c>
      <c r="Y17" s="126">
        <f>INDEX('AEO 40'!AC:AC,MATCH('psgr LDVs'!$B17,'AEO 40'!$B:$B,0))</f>
        <v>0</v>
      </c>
      <c r="Z17" s="126">
        <f>INDEX('AEO 40'!AD:AD,MATCH('psgr LDVs'!$B17,'AEO 40'!$B:$B,0))</f>
        <v>0</v>
      </c>
      <c r="AA17" s="126">
        <f>INDEX('AEO 40'!AE:AE,MATCH('psgr LDVs'!$B17,'AEO 40'!$B:$B,0))</f>
        <v>0</v>
      </c>
      <c r="AB17" s="126">
        <f>INDEX('AEO 40'!AF:AF,MATCH('psgr LDVs'!$B17,'AEO 40'!$B:$B,0))</f>
        <v>0</v>
      </c>
      <c r="AC17" s="126">
        <f>INDEX('AEO 40'!AG:AG,MATCH('psgr LDVs'!$B17,'AEO 40'!$B:$B,0))</f>
        <v>0</v>
      </c>
      <c r="AD17" s="126">
        <f>INDEX('AEO 40'!AH:AH,MATCH('psgr LDVs'!$B17,'AEO 40'!$B:$B,0))</f>
        <v>0</v>
      </c>
      <c r="AE17" s="126">
        <f>INDEX('AEO 40'!AI:AI,MATCH('psgr LDVs'!$B17,'AEO 40'!$B:$B,0))</f>
        <v>0</v>
      </c>
      <c r="AF17" s="126">
        <f>INDEX('AEO 40'!AJ:AJ,MATCH('psgr LDVs'!$B17,'AEO 40'!$B:$B,0))</f>
        <v>0</v>
      </c>
      <c r="AG17" s="126">
        <f>INDEX('AEO 40'!AK:AK,MATCH('psgr LDVs'!$B17,'AEO 40'!$B:$B,0))</f>
        <v>0</v>
      </c>
    </row>
    <row r="18" spans="1:33">
      <c r="A18" s="132" t="s">
        <v>854</v>
      </c>
      <c r="B18" s="117" t="s">
        <v>889</v>
      </c>
      <c r="C18" s="126">
        <f>INDEX('AEO 40'!G:G,MATCH('psgr LDVs'!$B18,'AEO 40'!$B:$B,0))</f>
        <v>52.413367999999998</v>
      </c>
      <c r="D18" s="126">
        <f>INDEX('AEO 40'!H:H,MATCH('psgr LDVs'!$B18,'AEO 40'!$B:$B,0))</f>
        <v>52.369132999999998</v>
      </c>
      <c r="E18" s="126">
        <f>INDEX('AEO 40'!I:I,MATCH('psgr LDVs'!$B18,'AEO 40'!$B:$B,0))</f>
        <v>52.347267000000002</v>
      </c>
      <c r="F18" s="126">
        <f>INDEX('AEO 40'!J:J,MATCH('psgr LDVs'!$B18,'AEO 40'!$B:$B,0))</f>
        <v>52.431266999999998</v>
      </c>
      <c r="G18" s="126">
        <f>INDEX('AEO 40'!K:K,MATCH('psgr LDVs'!$B18,'AEO 40'!$B:$B,0))</f>
        <v>52.610073</v>
      </c>
      <c r="H18" s="126">
        <f>INDEX('AEO 40'!L:L,MATCH('psgr LDVs'!$B18,'AEO 40'!$B:$B,0))</f>
        <v>52.796734000000001</v>
      </c>
      <c r="I18" s="126">
        <f>INDEX('AEO 40'!M:M,MATCH('psgr LDVs'!$B18,'AEO 40'!$B:$B,0))</f>
        <v>53.046658000000001</v>
      </c>
      <c r="J18" s="126">
        <f>INDEX('AEO 40'!N:N,MATCH('psgr LDVs'!$B18,'AEO 40'!$B:$B,0))</f>
        <v>53.047482000000002</v>
      </c>
      <c r="K18" s="126">
        <f>INDEX('AEO 40'!O:O,MATCH('psgr LDVs'!$B18,'AEO 40'!$B:$B,0))</f>
        <v>53.096645000000002</v>
      </c>
      <c r="L18" s="126">
        <f>INDEX('AEO 40'!P:P,MATCH('psgr LDVs'!$B18,'AEO 40'!$B:$B,0))</f>
        <v>53.121341999999999</v>
      </c>
      <c r="M18" s="126">
        <f>INDEX('AEO 40'!Q:Q,MATCH('psgr LDVs'!$B18,'AEO 40'!$B:$B,0))</f>
        <v>53.140663000000004</v>
      </c>
      <c r="N18" s="126">
        <f>INDEX('AEO 40'!R:R,MATCH('psgr LDVs'!$B18,'AEO 40'!$B:$B,0))</f>
        <v>53.163288000000001</v>
      </c>
      <c r="O18" s="126">
        <f>INDEX('AEO 40'!S:S,MATCH('psgr LDVs'!$B18,'AEO 40'!$B:$B,0))</f>
        <v>53.183394999999997</v>
      </c>
      <c r="P18" s="126">
        <f>INDEX('AEO 40'!T:T,MATCH('psgr LDVs'!$B18,'AEO 40'!$B:$B,0))</f>
        <v>53.199001000000003</v>
      </c>
      <c r="Q18" s="126">
        <f>INDEX('AEO 40'!U:U,MATCH('psgr LDVs'!$B18,'AEO 40'!$B:$B,0))</f>
        <v>53.218516999999999</v>
      </c>
      <c r="R18" s="126">
        <f>INDEX('AEO 40'!V:V,MATCH('psgr LDVs'!$B18,'AEO 40'!$B:$B,0))</f>
        <v>53.241382999999999</v>
      </c>
      <c r="S18" s="126">
        <f>INDEX('AEO 40'!W:W,MATCH('psgr LDVs'!$B18,'AEO 40'!$B:$B,0))</f>
        <v>53.263615000000001</v>
      </c>
      <c r="T18" s="126">
        <f>INDEX('AEO 40'!X:X,MATCH('psgr LDVs'!$B18,'AEO 40'!$B:$B,0))</f>
        <v>53.283104000000002</v>
      </c>
      <c r="U18" s="126">
        <f>INDEX('AEO 40'!Y:Y,MATCH('psgr LDVs'!$B18,'AEO 40'!$B:$B,0))</f>
        <v>53.301116999999998</v>
      </c>
      <c r="V18" s="126">
        <f>INDEX('AEO 40'!Z:Z,MATCH('psgr LDVs'!$B18,'AEO 40'!$B:$B,0))</f>
        <v>53.320701999999997</v>
      </c>
      <c r="W18" s="126">
        <f>INDEX('AEO 40'!AA:AA,MATCH('psgr LDVs'!$B18,'AEO 40'!$B:$B,0))</f>
        <v>53.339179999999999</v>
      </c>
      <c r="X18" s="126">
        <f>INDEX('AEO 40'!AB:AB,MATCH('psgr LDVs'!$B18,'AEO 40'!$B:$B,0))</f>
        <v>53.357886999999998</v>
      </c>
      <c r="Y18" s="126">
        <f>INDEX('AEO 40'!AC:AC,MATCH('psgr LDVs'!$B18,'AEO 40'!$B:$B,0))</f>
        <v>53.376598000000001</v>
      </c>
      <c r="Z18" s="126">
        <f>INDEX('AEO 40'!AD:AD,MATCH('psgr LDVs'!$B18,'AEO 40'!$B:$B,0))</f>
        <v>53.394801999999999</v>
      </c>
      <c r="AA18" s="126">
        <f>INDEX('AEO 40'!AE:AE,MATCH('psgr LDVs'!$B18,'AEO 40'!$B:$B,0))</f>
        <v>53.413342</v>
      </c>
      <c r="AB18" s="126">
        <f>INDEX('AEO 40'!AF:AF,MATCH('psgr LDVs'!$B18,'AEO 40'!$B:$B,0))</f>
        <v>53.430774999999997</v>
      </c>
      <c r="AC18" s="126">
        <f>INDEX('AEO 40'!AG:AG,MATCH('psgr LDVs'!$B18,'AEO 40'!$B:$B,0))</f>
        <v>53.448017</v>
      </c>
      <c r="AD18" s="126">
        <f>INDEX('AEO 40'!AH:AH,MATCH('psgr LDVs'!$B18,'AEO 40'!$B:$B,0))</f>
        <v>53.464576999999998</v>
      </c>
      <c r="AE18" s="126">
        <f>INDEX('AEO 40'!AI:AI,MATCH('psgr LDVs'!$B18,'AEO 40'!$B:$B,0))</f>
        <v>53.480899999999998</v>
      </c>
      <c r="AF18" s="126">
        <f>INDEX('AEO 40'!AJ:AJ,MATCH('psgr LDVs'!$B18,'AEO 40'!$B:$B,0))</f>
        <v>53.495609000000002</v>
      </c>
      <c r="AG18" s="126">
        <f>INDEX('AEO 40'!AK:AK,MATCH('psgr LDVs'!$B18,'AEO 40'!$B:$B,0))</f>
        <v>53.50967</v>
      </c>
    </row>
    <row r="19" spans="1:33">
      <c r="A19" s="132"/>
      <c r="B19" s="117" t="s">
        <v>890</v>
      </c>
      <c r="C19" s="126">
        <f>INDEX('AEO 40'!G:G,MATCH('psgr LDVs'!$B19,'AEO 40'!$B:$B,0))</f>
        <v>43.264011000000004</v>
      </c>
      <c r="D19" s="126">
        <f>INDEX('AEO 40'!H:H,MATCH('psgr LDVs'!$B19,'AEO 40'!$B:$B,0))</f>
        <v>45.133468999999998</v>
      </c>
      <c r="E19" s="126">
        <f>INDEX('AEO 40'!I:I,MATCH('psgr LDVs'!$B19,'AEO 40'!$B:$B,0))</f>
        <v>45.638382</v>
      </c>
      <c r="F19" s="126">
        <f>INDEX('AEO 40'!J:J,MATCH('psgr LDVs'!$B19,'AEO 40'!$B:$B,0))</f>
        <v>46.329559000000003</v>
      </c>
      <c r="G19" s="126">
        <f>INDEX('AEO 40'!K:K,MATCH('psgr LDVs'!$B19,'AEO 40'!$B:$B,0))</f>
        <v>46.974044999999997</v>
      </c>
      <c r="H19" s="126">
        <f>INDEX('AEO 40'!L:L,MATCH('psgr LDVs'!$B19,'AEO 40'!$B:$B,0))</f>
        <v>47.544497999999997</v>
      </c>
      <c r="I19" s="126">
        <f>INDEX('AEO 40'!M:M,MATCH('psgr LDVs'!$B19,'AEO 40'!$B:$B,0))</f>
        <v>48.288283999999997</v>
      </c>
      <c r="J19" s="126">
        <f>INDEX('AEO 40'!N:N,MATCH('psgr LDVs'!$B19,'AEO 40'!$B:$B,0))</f>
        <v>48.419249999999998</v>
      </c>
      <c r="K19" s="126">
        <f>INDEX('AEO 40'!O:O,MATCH('psgr LDVs'!$B19,'AEO 40'!$B:$B,0))</f>
        <v>48.519196000000001</v>
      </c>
      <c r="L19" s="126">
        <f>INDEX('AEO 40'!P:P,MATCH('psgr LDVs'!$B19,'AEO 40'!$B:$B,0))</f>
        <v>48.602192000000002</v>
      </c>
      <c r="M19" s="126">
        <f>INDEX('AEO 40'!Q:Q,MATCH('psgr LDVs'!$B19,'AEO 40'!$B:$B,0))</f>
        <v>48.758029999999998</v>
      </c>
      <c r="N19" s="126">
        <f>INDEX('AEO 40'!R:R,MATCH('psgr LDVs'!$B19,'AEO 40'!$B:$B,0))</f>
        <v>48.944358999999999</v>
      </c>
      <c r="O19" s="126">
        <f>INDEX('AEO 40'!S:S,MATCH('psgr LDVs'!$B19,'AEO 40'!$B:$B,0))</f>
        <v>49.116050999999999</v>
      </c>
      <c r="P19" s="126">
        <f>INDEX('AEO 40'!T:T,MATCH('psgr LDVs'!$B19,'AEO 40'!$B:$B,0))</f>
        <v>49.343533000000001</v>
      </c>
      <c r="Q19" s="126">
        <f>INDEX('AEO 40'!U:U,MATCH('psgr LDVs'!$B19,'AEO 40'!$B:$B,0))</f>
        <v>49.588878999999999</v>
      </c>
      <c r="R19" s="126">
        <f>INDEX('AEO 40'!V:V,MATCH('psgr LDVs'!$B19,'AEO 40'!$B:$B,0))</f>
        <v>49.838386999999997</v>
      </c>
      <c r="S19" s="126">
        <f>INDEX('AEO 40'!W:W,MATCH('psgr LDVs'!$B19,'AEO 40'!$B:$B,0))</f>
        <v>50.062164000000003</v>
      </c>
      <c r="T19" s="126">
        <f>INDEX('AEO 40'!X:X,MATCH('psgr LDVs'!$B19,'AEO 40'!$B:$B,0))</f>
        <v>50.324268000000004</v>
      </c>
      <c r="U19" s="126">
        <f>INDEX('AEO 40'!Y:Y,MATCH('psgr LDVs'!$B19,'AEO 40'!$B:$B,0))</f>
        <v>50.609341000000001</v>
      </c>
      <c r="V19" s="126">
        <f>INDEX('AEO 40'!Z:Z,MATCH('psgr LDVs'!$B19,'AEO 40'!$B:$B,0))</f>
        <v>50.887779000000002</v>
      </c>
      <c r="W19" s="126">
        <f>INDEX('AEO 40'!AA:AA,MATCH('psgr LDVs'!$B19,'AEO 40'!$B:$B,0))</f>
        <v>51.161552</v>
      </c>
      <c r="X19" s="126">
        <f>INDEX('AEO 40'!AB:AB,MATCH('psgr LDVs'!$B19,'AEO 40'!$B:$B,0))</f>
        <v>51.375084000000001</v>
      </c>
      <c r="Y19" s="126">
        <f>INDEX('AEO 40'!AC:AC,MATCH('psgr LDVs'!$B19,'AEO 40'!$B:$B,0))</f>
        <v>51.577618000000001</v>
      </c>
      <c r="Z19" s="126">
        <f>INDEX('AEO 40'!AD:AD,MATCH('psgr LDVs'!$B19,'AEO 40'!$B:$B,0))</f>
        <v>51.784939000000001</v>
      </c>
      <c r="AA19" s="126">
        <f>INDEX('AEO 40'!AE:AE,MATCH('psgr LDVs'!$B19,'AEO 40'!$B:$B,0))</f>
        <v>52.021469000000003</v>
      </c>
      <c r="AB19" s="126">
        <f>INDEX('AEO 40'!AF:AF,MATCH('psgr LDVs'!$B19,'AEO 40'!$B:$B,0))</f>
        <v>52.278286000000001</v>
      </c>
      <c r="AC19" s="126">
        <f>INDEX('AEO 40'!AG:AG,MATCH('psgr LDVs'!$B19,'AEO 40'!$B:$B,0))</f>
        <v>52.554256000000002</v>
      </c>
      <c r="AD19" s="126">
        <f>INDEX('AEO 40'!AH:AH,MATCH('psgr LDVs'!$B19,'AEO 40'!$B:$B,0))</f>
        <v>52.823684999999998</v>
      </c>
      <c r="AE19" s="126">
        <f>INDEX('AEO 40'!AI:AI,MATCH('psgr LDVs'!$B19,'AEO 40'!$B:$B,0))</f>
        <v>53.105880999999997</v>
      </c>
      <c r="AF19" s="126">
        <f>INDEX('AEO 40'!AJ:AJ,MATCH('psgr LDVs'!$B19,'AEO 40'!$B:$B,0))</f>
        <v>53.415283000000002</v>
      </c>
      <c r="AG19" s="126">
        <f>INDEX('AEO 40'!AK:AK,MATCH('psgr LDVs'!$B19,'AEO 40'!$B:$B,0))</f>
        <v>53.766708000000001</v>
      </c>
    </row>
    <row r="20" spans="1:33">
      <c r="A20" s="132"/>
      <c r="B20" s="117"/>
      <c r="C20" s="126" t="e">
        <f>INDEX('AEO 40'!G:G,MATCH('psgr LDVs'!$B20,'AEO 40'!$B:$B,0))</f>
        <v>#N/A</v>
      </c>
      <c r="D20" s="126" t="e">
        <f>INDEX('AEO 40'!H:H,MATCH('psgr LDVs'!$B20,'AEO 40'!$B:$B,0))</f>
        <v>#N/A</v>
      </c>
      <c r="E20" s="126" t="e">
        <f>INDEX('AEO 40'!I:I,MATCH('psgr LDVs'!$B20,'AEO 40'!$B:$B,0))</f>
        <v>#N/A</v>
      </c>
      <c r="F20" s="126" t="e">
        <f>INDEX('AEO 40'!J:J,MATCH('psgr LDVs'!$B20,'AEO 40'!$B:$B,0))</f>
        <v>#N/A</v>
      </c>
      <c r="G20" s="126" t="e">
        <f>INDEX('AEO 40'!K:K,MATCH('psgr LDVs'!$B20,'AEO 40'!$B:$B,0))</f>
        <v>#N/A</v>
      </c>
      <c r="H20" s="126" t="e">
        <f>INDEX('AEO 40'!L:L,MATCH('psgr LDVs'!$B20,'AEO 40'!$B:$B,0))</f>
        <v>#N/A</v>
      </c>
      <c r="I20" s="126" t="e">
        <f>INDEX('AEO 40'!M:M,MATCH('psgr LDVs'!$B20,'AEO 40'!$B:$B,0))</f>
        <v>#N/A</v>
      </c>
      <c r="J20" s="126" t="e">
        <f>INDEX('AEO 40'!N:N,MATCH('psgr LDVs'!$B20,'AEO 40'!$B:$B,0))</f>
        <v>#N/A</v>
      </c>
      <c r="K20" s="126" t="e">
        <f>INDEX('AEO 40'!O:O,MATCH('psgr LDVs'!$B20,'AEO 40'!$B:$B,0))</f>
        <v>#N/A</v>
      </c>
      <c r="L20" s="126" t="e">
        <f>INDEX('AEO 40'!P:P,MATCH('psgr LDVs'!$B20,'AEO 40'!$B:$B,0))</f>
        <v>#N/A</v>
      </c>
      <c r="M20" s="126" t="e">
        <f>INDEX('AEO 40'!Q:Q,MATCH('psgr LDVs'!$B20,'AEO 40'!$B:$B,0))</f>
        <v>#N/A</v>
      </c>
      <c r="N20" s="126" t="e">
        <f>INDEX('AEO 40'!R:R,MATCH('psgr LDVs'!$B20,'AEO 40'!$B:$B,0))</f>
        <v>#N/A</v>
      </c>
      <c r="O20" s="126" t="e">
        <f>INDEX('AEO 40'!S:S,MATCH('psgr LDVs'!$B20,'AEO 40'!$B:$B,0))</f>
        <v>#N/A</v>
      </c>
      <c r="P20" s="126" t="e">
        <f>INDEX('AEO 40'!T:T,MATCH('psgr LDVs'!$B20,'AEO 40'!$B:$B,0))</f>
        <v>#N/A</v>
      </c>
      <c r="Q20" s="126" t="e">
        <f>INDEX('AEO 40'!U:U,MATCH('psgr LDVs'!$B20,'AEO 40'!$B:$B,0))</f>
        <v>#N/A</v>
      </c>
      <c r="R20" s="126" t="e">
        <f>INDEX('AEO 40'!V:V,MATCH('psgr LDVs'!$B20,'AEO 40'!$B:$B,0))</f>
        <v>#N/A</v>
      </c>
      <c r="S20" s="126" t="e">
        <f>INDEX('AEO 40'!W:W,MATCH('psgr LDVs'!$B20,'AEO 40'!$B:$B,0))</f>
        <v>#N/A</v>
      </c>
      <c r="T20" s="126" t="e">
        <f>INDEX('AEO 40'!X:X,MATCH('psgr LDVs'!$B20,'AEO 40'!$B:$B,0))</f>
        <v>#N/A</v>
      </c>
      <c r="U20" s="126" t="e">
        <f>INDEX('AEO 40'!Y:Y,MATCH('psgr LDVs'!$B20,'AEO 40'!$B:$B,0))</f>
        <v>#N/A</v>
      </c>
      <c r="V20" s="126" t="e">
        <f>INDEX('AEO 40'!Z:Z,MATCH('psgr LDVs'!$B20,'AEO 40'!$B:$B,0))</f>
        <v>#N/A</v>
      </c>
      <c r="W20" s="126" t="e">
        <f>INDEX('AEO 40'!AA:AA,MATCH('psgr LDVs'!$B20,'AEO 40'!$B:$B,0))</f>
        <v>#N/A</v>
      </c>
      <c r="X20" s="126" t="e">
        <f>INDEX('AEO 40'!AB:AB,MATCH('psgr LDVs'!$B20,'AEO 40'!$B:$B,0))</f>
        <v>#N/A</v>
      </c>
      <c r="Y20" s="126" t="e">
        <f>INDEX('AEO 40'!AC:AC,MATCH('psgr LDVs'!$B20,'AEO 40'!$B:$B,0))</f>
        <v>#N/A</v>
      </c>
      <c r="Z20" s="126" t="e">
        <f>INDEX('AEO 40'!AD:AD,MATCH('psgr LDVs'!$B20,'AEO 40'!$B:$B,0))</f>
        <v>#N/A</v>
      </c>
      <c r="AA20" s="126" t="e">
        <f>INDEX('AEO 40'!AE:AE,MATCH('psgr LDVs'!$B20,'AEO 40'!$B:$B,0))</f>
        <v>#N/A</v>
      </c>
      <c r="AB20" s="126" t="e">
        <f>INDEX('AEO 40'!AF:AF,MATCH('psgr LDVs'!$B20,'AEO 40'!$B:$B,0))</f>
        <v>#N/A</v>
      </c>
      <c r="AC20" s="126" t="e">
        <f>INDEX('AEO 40'!AG:AG,MATCH('psgr LDVs'!$B20,'AEO 40'!$B:$B,0))</f>
        <v>#N/A</v>
      </c>
      <c r="AD20" s="126" t="e">
        <f>INDEX('AEO 40'!AH:AH,MATCH('psgr LDVs'!$B20,'AEO 40'!$B:$B,0))</f>
        <v>#N/A</v>
      </c>
      <c r="AE20" s="126" t="e">
        <f>INDEX('AEO 40'!AI:AI,MATCH('psgr LDVs'!$B20,'AEO 40'!$B:$B,0))</f>
        <v>#N/A</v>
      </c>
      <c r="AF20" s="126" t="e">
        <f>INDEX('AEO 40'!AJ:AJ,MATCH('psgr LDVs'!$B20,'AEO 40'!$B:$B,0))</f>
        <v>#N/A</v>
      </c>
      <c r="AG20" s="126" t="e">
        <f>INDEX('AEO 40'!AK:AK,MATCH('psgr LDVs'!$B20,'AEO 40'!$B:$B,0))</f>
        <v>#N/A</v>
      </c>
    </row>
    <row r="21" spans="1:33">
      <c r="A21" s="132"/>
      <c r="B21" s="117"/>
      <c r="C21" s="126" t="e">
        <f>INDEX('AEO 40'!G:G,MATCH('psgr LDVs'!$B21,'AEO 40'!$B:$B,0))</f>
        <v>#N/A</v>
      </c>
      <c r="D21" s="126" t="e">
        <f>INDEX('AEO 40'!H:H,MATCH('psgr LDVs'!$B21,'AEO 40'!$B:$B,0))</f>
        <v>#N/A</v>
      </c>
      <c r="E21" s="126" t="e">
        <f>INDEX('AEO 40'!I:I,MATCH('psgr LDVs'!$B21,'AEO 40'!$B:$B,0))</f>
        <v>#N/A</v>
      </c>
      <c r="F21" s="126" t="e">
        <f>INDEX('AEO 40'!J:J,MATCH('psgr LDVs'!$B21,'AEO 40'!$B:$B,0))</f>
        <v>#N/A</v>
      </c>
      <c r="G21" s="126" t="e">
        <f>INDEX('AEO 40'!K:K,MATCH('psgr LDVs'!$B21,'AEO 40'!$B:$B,0))</f>
        <v>#N/A</v>
      </c>
      <c r="H21" s="126" t="e">
        <f>INDEX('AEO 40'!L:L,MATCH('psgr LDVs'!$B21,'AEO 40'!$B:$B,0))</f>
        <v>#N/A</v>
      </c>
      <c r="I21" s="126" t="e">
        <f>INDEX('AEO 40'!M:M,MATCH('psgr LDVs'!$B21,'AEO 40'!$B:$B,0))</f>
        <v>#N/A</v>
      </c>
      <c r="J21" s="126" t="e">
        <f>INDEX('AEO 40'!N:N,MATCH('psgr LDVs'!$B21,'AEO 40'!$B:$B,0))</f>
        <v>#N/A</v>
      </c>
      <c r="K21" s="126" t="e">
        <f>INDEX('AEO 40'!O:O,MATCH('psgr LDVs'!$B21,'AEO 40'!$B:$B,0))</f>
        <v>#N/A</v>
      </c>
      <c r="L21" s="126" t="e">
        <f>INDEX('AEO 40'!P:P,MATCH('psgr LDVs'!$B21,'AEO 40'!$B:$B,0))</f>
        <v>#N/A</v>
      </c>
      <c r="M21" s="126" t="e">
        <f>INDEX('AEO 40'!Q:Q,MATCH('psgr LDVs'!$B21,'AEO 40'!$B:$B,0))</f>
        <v>#N/A</v>
      </c>
      <c r="N21" s="126" t="e">
        <f>INDEX('AEO 40'!R:R,MATCH('psgr LDVs'!$B21,'AEO 40'!$B:$B,0))</f>
        <v>#N/A</v>
      </c>
      <c r="O21" s="126" t="e">
        <f>INDEX('AEO 40'!S:S,MATCH('psgr LDVs'!$B21,'AEO 40'!$B:$B,0))</f>
        <v>#N/A</v>
      </c>
      <c r="P21" s="126" t="e">
        <f>INDEX('AEO 40'!T:T,MATCH('psgr LDVs'!$B21,'AEO 40'!$B:$B,0))</f>
        <v>#N/A</v>
      </c>
      <c r="Q21" s="126" t="e">
        <f>INDEX('AEO 40'!U:U,MATCH('psgr LDVs'!$B21,'AEO 40'!$B:$B,0))</f>
        <v>#N/A</v>
      </c>
      <c r="R21" s="126" t="e">
        <f>INDEX('AEO 40'!V:V,MATCH('psgr LDVs'!$B21,'AEO 40'!$B:$B,0))</f>
        <v>#N/A</v>
      </c>
      <c r="S21" s="126" t="e">
        <f>INDEX('AEO 40'!W:W,MATCH('psgr LDVs'!$B21,'AEO 40'!$B:$B,0))</f>
        <v>#N/A</v>
      </c>
      <c r="T21" s="126" t="e">
        <f>INDEX('AEO 40'!X:X,MATCH('psgr LDVs'!$B21,'AEO 40'!$B:$B,0))</f>
        <v>#N/A</v>
      </c>
      <c r="U21" s="126" t="e">
        <f>INDEX('AEO 40'!Y:Y,MATCH('psgr LDVs'!$B21,'AEO 40'!$B:$B,0))</f>
        <v>#N/A</v>
      </c>
      <c r="V21" s="126" t="e">
        <f>INDEX('AEO 40'!Z:Z,MATCH('psgr LDVs'!$B21,'AEO 40'!$B:$B,0))</f>
        <v>#N/A</v>
      </c>
      <c r="W21" s="126" t="e">
        <f>INDEX('AEO 40'!AA:AA,MATCH('psgr LDVs'!$B21,'AEO 40'!$B:$B,0))</f>
        <v>#N/A</v>
      </c>
      <c r="X21" s="126" t="e">
        <f>INDEX('AEO 40'!AB:AB,MATCH('psgr LDVs'!$B21,'AEO 40'!$B:$B,0))</f>
        <v>#N/A</v>
      </c>
      <c r="Y21" s="126" t="e">
        <f>INDEX('AEO 40'!AC:AC,MATCH('psgr LDVs'!$B21,'AEO 40'!$B:$B,0))</f>
        <v>#N/A</v>
      </c>
      <c r="Z21" s="126" t="e">
        <f>INDEX('AEO 40'!AD:AD,MATCH('psgr LDVs'!$B21,'AEO 40'!$B:$B,0))</f>
        <v>#N/A</v>
      </c>
      <c r="AA21" s="126" t="e">
        <f>INDEX('AEO 40'!AE:AE,MATCH('psgr LDVs'!$B21,'AEO 40'!$B:$B,0))</f>
        <v>#N/A</v>
      </c>
      <c r="AB21" s="126" t="e">
        <f>INDEX('AEO 40'!AF:AF,MATCH('psgr LDVs'!$B21,'AEO 40'!$B:$B,0))</f>
        <v>#N/A</v>
      </c>
      <c r="AC21" s="126" t="e">
        <f>INDEX('AEO 40'!AG:AG,MATCH('psgr LDVs'!$B21,'AEO 40'!$B:$B,0))</f>
        <v>#N/A</v>
      </c>
      <c r="AD21" s="126" t="e">
        <f>INDEX('AEO 40'!AH:AH,MATCH('psgr LDVs'!$B21,'AEO 40'!$B:$B,0))</f>
        <v>#N/A</v>
      </c>
      <c r="AE21" s="126" t="e">
        <f>INDEX('AEO 40'!AI:AI,MATCH('psgr LDVs'!$B21,'AEO 40'!$B:$B,0))</f>
        <v>#N/A</v>
      </c>
      <c r="AF21" s="126" t="e">
        <f>INDEX('AEO 40'!AJ:AJ,MATCH('psgr LDVs'!$B21,'AEO 40'!$B:$B,0))</f>
        <v>#N/A</v>
      </c>
      <c r="AG21" s="126" t="e">
        <f>INDEX('AEO 40'!AK:AK,MATCH('psgr LDVs'!$B21,'AEO 40'!$B:$B,0))</f>
        <v>#N/A</v>
      </c>
    </row>
    <row r="22" spans="1:33">
      <c r="A22" s="132" t="s">
        <v>114</v>
      </c>
      <c r="B22" s="117" t="s">
        <v>891</v>
      </c>
      <c r="C22" s="126">
        <f>INDEX('AEO 40'!G:G,MATCH('psgr LDVs'!$B22,'AEO 40'!$B:$B,0))</f>
        <v>30.781351000000001</v>
      </c>
      <c r="D22" s="126">
        <f>INDEX('AEO 40'!H:H,MATCH('psgr LDVs'!$B22,'AEO 40'!$B:$B,0))</f>
        <v>31.734869</v>
      </c>
      <c r="E22" s="126">
        <f>INDEX('AEO 40'!I:I,MATCH('psgr LDVs'!$B22,'AEO 40'!$B:$B,0))</f>
        <v>32.215733</v>
      </c>
      <c r="F22" s="126">
        <f>INDEX('AEO 40'!J:J,MATCH('psgr LDVs'!$B22,'AEO 40'!$B:$B,0))</f>
        <v>32.607708000000002</v>
      </c>
      <c r="G22" s="126">
        <f>INDEX('AEO 40'!K:K,MATCH('psgr LDVs'!$B22,'AEO 40'!$B:$B,0))</f>
        <v>32.887383</v>
      </c>
      <c r="H22" s="126">
        <f>INDEX('AEO 40'!L:L,MATCH('psgr LDVs'!$B22,'AEO 40'!$B:$B,0))</f>
        <v>33.219242000000001</v>
      </c>
      <c r="I22" s="126">
        <f>INDEX('AEO 40'!M:M,MATCH('psgr LDVs'!$B22,'AEO 40'!$B:$B,0))</f>
        <v>33.306679000000003</v>
      </c>
      <c r="J22" s="126">
        <f>INDEX('AEO 40'!N:N,MATCH('psgr LDVs'!$B22,'AEO 40'!$B:$B,0))</f>
        <v>33.296996999999998</v>
      </c>
      <c r="K22" s="126">
        <f>INDEX('AEO 40'!O:O,MATCH('psgr LDVs'!$B22,'AEO 40'!$B:$B,0))</f>
        <v>33.293453</v>
      </c>
      <c r="L22" s="126">
        <f>INDEX('AEO 40'!P:P,MATCH('psgr LDVs'!$B22,'AEO 40'!$B:$B,0))</f>
        <v>33.279564000000001</v>
      </c>
      <c r="M22" s="126">
        <f>INDEX('AEO 40'!Q:Q,MATCH('psgr LDVs'!$B22,'AEO 40'!$B:$B,0))</f>
        <v>33.274303000000003</v>
      </c>
      <c r="N22" s="126">
        <f>INDEX('AEO 40'!R:R,MATCH('psgr LDVs'!$B22,'AEO 40'!$B:$B,0))</f>
        <v>33.249251999999998</v>
      </c>
      <c r="O22" s="126">
        <f>INDEX('AEO 40'!S:S,MATCH('psgr LDVs'!$B22,'AEO 40'!$B:$B,0))</f>
        <v>33.221687000000003</v>
      </c>
      <c r="P22" s="126">
        <f>INDEX('AEO 40'!T:T,MATCH('psgr LDVs'!$B22,'AEO 40'!$B:$B,0))</f>
        <v>33.185428999999999</v>
      </c>
      <c r="Q22" s="126">
        <f>INDEX('AEO 40'!U:U,MATCH('psgr LDVs'!$B22,'AEO 40'!$B:$B,0))</f>
        <v>33.157100999999997</v>
      </c>
      <c r="R22" s="126">
        <f>INDEX('AEO 40'!V:V,MATCH('psgr LDVs'!$B22,'AEO 40'!$B:$B,0))</f>
        <v>33.122115999999998</v>
      </c>
      <c r="S22" s="126">
        <f>INDEX('AEO 40'!W:W,MATCH('psgr LDVs'!$B22,'AEO 40'!$B:$B,0))</f>
        <v>33.086300000000001</v>
      </c>
      <c r="T22" s="126">
        <f>INDEX('AEO 40'!X:X,MATCH('psgr LDVs'!$B22,'AEO 40'!$B:$B,0))</f>
        <v>33.052925000000002</v>
      </c>
      <c r="U22" s="126">
        <f>INDEX('AEO 40'!Y:Y,MATCH('psgr LDVs'!$B22,'AEO 40'!$B:$B,0))</f>
        <v>33.036205000000002</v>
      </c>
      <c r="V22" s="126">
        <f>INDEX('AEO 40'!Z:Z,MATCH('psgr LDVs'!$B22,'AEO 40'!$B:$B,0))</f>
        <v>33.002163000000003</v>
      </c>
      <c r="W22" s="126">
        <f>INDEX('AEO 40'!AA:AA,MATCH('psgr LDVs'!$B22,'AEO 40'!$B:$B,0))</f>
        <v>32.977539</v>
      </c>
      <c r="X22" s="126">
        <f>INDEX('AEO 40'!AB:AB,MATCH('psgr LDVs'!$B22,'AEO 40'!$B:$B,0))</f>
        <v>32.955719000000002</v>
      </c>
      <c r="Y22" s="126">
        <f>INDEX('AEO 40'!AC:AC,MATCH('psgr LDVs'!$B22,'AEO 40'!$B:$B,0))</f>
        <v>32.935600000000001</v>
      </c>
      <c r="Z22" s="126">
        <f>INDEX('AEO 40'!AD:AD,MATCH('psgr LDVs'!$B22,'AEO 40'!$B:$B,0))</f>
        <v>32.913573999999997</v>
      </c>
      <c r="AA22" s="126">
        <f>INDEX('AEO 40'!AE:AE,MATCH('psgr LDVs'!$B22,'AEO 40'!$B:$B,0))</f>
        <v>32.894779</v>
      </c>
      <c r="AB22" s="126">
        <f>INDEX('AEO 40'!AF:AF,MATCH('psgr LDVs'!$B22,'AEO 40'!$B:$B,0))</f>
        <v>32.875202000000002</v>
      </c>
      <c r="AC22" s="126">
        <f>INDEX('AEO 40'!AG:AG,MATCH('psgr LDVs'!$B22,'AEO 40'!$B:$B,0))</f>
        <v>32.853752</v>
      </c>
      <c r="AD22" s="126">
        <f>INDEX('AEO 40'!AH:AH,MATCH('psgr LDVs'!$B22,'AEO 40'!$B:$B,0))</f>
        <v>32.834758999999998</v>
      </c>
      <c r="AE22" s="126">
        <f>INDEX('AEO 40'!AI:AI,MATCH('psgr LDVs'!$B22,'AEO 40'!$B:$B,0))</f>
        <v>32.812449999999998</v>
      </c>
      <c r="AF22" s="126">
        <f>INDEX('AEO 40'!AJ:AJ,MATCH('psgr LDVs'!$B22,'AEO 40'!$B:$B,0))</f>
        <v>32.792171000000003</v>
      </c>
      <c r="AG22" s="126">
        <f>INDEX('AEO 40'!AK:AK,MATCH('psgr LDVs'!$B22,'AEO 40'!$B:$B,0))</f>
        <v>32.77158</v>
      </c>
    </row>
    <row r="23" spans="1:33">
      <c r="A23" s="132" t="s">
        <v>115</v>
      </c>
      <c r="B23" s="117" t="s">
        <v>892</v>
      </c>
      <c r="C23" s="126">
        <f>INDEX('AEO 40'!G:G,MATCH('psgr LDVs'!$B23,'AEO 40'!$B:$B,0))</f>
        <v>37.262664999999998</v>
      </c>
      <c r="D23" s="126">
        <f>INDEX('AEO 40'!H:H,MATCH('psgr LDVs'!$B23,'AEO 40'!$B:$B,0))</f>
        <v>38.0471</v>
      </c>
      <c r="E23" s="126">
        <f>INDEX('AEO 40'!I:I,MATCH('psgr LDVs'!$B23,'AEO 40'!$B:$B,0))</f>
        <v>38.387920000000001</v>
      </c>
      <c r="F23" s="126">
        <f>INDEX('AEO 40'!J:J,MATCH('psgr LDVs'!$B23,'AEO 40'!$B:$B,0))</f>
        <v>38.684437000000003</v>
      </c>
      <c r="G23" s="126">
        <f>INDEX('AEO 40'!K:K,MATCH('psgr LDVs'!$B23,'AEO 40'!$B:$B,0))</f>
        <v>38.872695999999998</v>
      </c>
      <c r="H23" s="126">
        <f>INDEX('AEO 40'!L:L,MATCH('psgr LDVs'!$B23,'AEO 40'!$B:$B,0))</f>
        <v>39.309044</v>
      </c>
      <c r="I23" s="126">
        <f>INDEX('AEO 40'!M:M,MATCH('psgr LDVs'!$B23,'AEO 40'!$B:$B,0))</f>
        <v>39.340187</v>
      </c>
      <c r="J23" s="126">
        <f>INDEX('AEO 40'!N:N,MATCH('psgr LDVs'!$B23,'AEO 40'!$B:$B,0))</f>
        <v>39.243614000000001</v>
      </c>
      <c r="K23" s="126">
        <f>INDEX('AEO 40'!O:O,MATCH('psgr LDVs'!$B23,'AEO 40'!$B:$B,0))</f>
        <v>39.200294</v>
      </c>
      <c r="L23" s="126">
        <f>INDEX('AEO 40'!P:P,MATCH('psgr LDVs'!$B23,'AEO 40'!$B:$B,0))</f>
        <v>39.141646999999999</v>
      </c>
      <c r="M23" s="126">
        <f>INDEX('AEO 40'!Q:Q,MATCH('psgr LDVs'!$B23,'AEO 40'!$B:$B,0))</f>
        <v>39.082649000000004</v>
      </c>
      <c r="N23" s="126">
        <f>INDEX('AEO 40'!R:R,MATCH('psgr LDVs'!$B23,'AEO 40'!$B:$B,0))</f>
        <v>39.020496000000001</v>
      </c>
      <c r="O23" s="126">
        <f>INDEX('AEO 40'!S:S,MATCH('psgr LDVs'!$B23,'AEO 40'!$B:$B,0))</f>
        <v>38.967106000000001</v>
      </c>
      <c r="P23" s="126">
        <f>INDEX('AEO 40'!T:T,MATCH('psgr LDVs'!$B23,'AEO 40'!$B:$B,0))</f>
        <v>38.90596</v>
      </c>
      <c r="Q23" s="126">
        <f>INDEX('AEO 40'!U:U,MATCH('psgr LDVs'!$B23,'AEO 40'!$B:$B,0))</f>
        <v>38.866112000000001</v>
      </c>
      <c r="R23" s="126">
        <f>INDEX('AEO 40'!V:V,MATCH('psgr LDVs'!$B23,'AEO 40'!$B:$B,0))</f>
        <v>38.810543000000003</v>
      </c>
      <c r="S23" s="126">
        <f>INDEX('AEO 40'!W:W,MATCH('psgr LDVs'!$B23,'AEO 40'!$B:$B,0))</f>
        <v>38.772945</v>
      </c>
      <c r="T23" s="126">
        <f>INDEX('AEO 40'!X:X,MATCH('psgr LDVs'!$B23,'AEO 40'!$B:$B,0))</f>
        <v>38.731529000000002</v>
      </c>
      <c r="U23" s="126">
        <f>INDEX('AEO 40'!Y:Y,MATCH('psgr LDVs'!$B23,'AEO 40'!$B:$B,0))</f>
        <v>38.691527999999998</v>
      </c>
      <c r="V23" s="126">
        <f>INDEX('AEO 40'!Z:Z,MATCH('psgr LDVs'!$B23,'AEO 40'!$B:$B,0))</f>
        <v>38.662681999999997</v>
      </c>
      <c r="W23" s="126">
        <f>INDEX('AEO 40'!AA:AA,MATCH('psgr LDVs'!$B23,'AEO 40'!$B:$B,0))</f>
        <v>38.616664999999998</v>
      </c>
      <c r="X23" s="126">
        <f>INDEX('AEO 40'!AB:AB,MATCH('psgr LDVs'!$B23,'AEO 40'!$B:$B,0))</f>
        <v>38.585757999999998</v>
      </c>
      <c r="Y23" s="126">
        <f>INDEX('AEO 40'!AC:AC,MATCH('psgr LDVs'!$B23,'AEO 40'!$B:$B,0))</f>
        <v>38.551231000000001</v>
      </c>
      <c r="Z23" s="126">
        <f>INDEX('AEO 40'!AD:AD,MATCH('psgr LDVs'!$B23,'AEO 40'!$B:$B,0))</f>
        <v>38.521808999999998</v>
      </c>
      <c r="AA23" s="126">
        <f>INDEX('AEO 40'!AE:AE,MATCH('psgr LDVs'!$B23,'AEO 40'!$B:$B,0))</f>
        <v>38.493309000000004</v>
      </c>
      <c r="AB23" s="126">
        <f>INDEX('AEO 40'!AF:AF,MATCH('psgr LDVs'!$B23,'AEO 40'!$B:$B,0))</f>
        <v>38.470374999999997</v>
      </c>
      <c r="AC23" s="126">
        <f>INDEX('AEO 40'!AG:AG,MATCH('psgr LDVs'!$B23,'AEO 40'!$B:$B,0))</f>
        <v>38.435431999999999</v>
      </c>
      <c r="AD23" s="126">
        <f>INDEX('AEO 40'!AH:AH,MATCH('psgr LDVs'!$B23,'AEO 40'!$B:$B,0))</f>
        <v>38.407165999999997</v>
      </c>
      <c r="AE23" s="126">
        <f>INDEX('AEO 40'!AI:AI,MATCH('psgr LDVs'!$B23,'AEO 40'!$B:$B,0))</f>
        <v>38.377673999999999</v>
      </c>
      <c r="AF23" s="126">
        <f>INDEX('AEO 40'!AJ:AJ,MATCH('psgr LDVs'!$B23,'AEO 40'!$B:$B,0))</f>
        <v>38.347389</v>
      </c>
      <c r="AG23" s="126">
        <f>INDEX('AEO 40'!AK:AK,MATCH('psgr LDVs'!$B23,'AEO 40'!$B:$B,0))</f>
        <v>38.316231000000002</v>
      </c>
    </row>
    <row r="24" spans="1:33">
      <c r="A24" s="132"/>
      <c r="B24" s="117"/>
      <c r="C24" s="126" t="e">
        <f>INDEX('AEO 40'!G:G,MATCH('psgr LDVs'!$B24,'AEO 40'!$B:$B,0))</f>
        <v>#N/A</v>
      </c>
      <c r="D24" s="126" t="e">
        <f>INDEX('AEO 40'!H:H,MATCH('psgr LDVs'!$B24,'AEO 40'!$B:$B,0))</f>
        <v>#N/A</v>
      </c>
      <c r="E24" s="126" t="e">
        <f>INDEX('AEO 40'!I:I,MATCH('psgr LDVs'!$B24,'AEO 40'!$B:$B,0))</f>
        <v>#N/A</v>
      </c>
      <c r="F24" s="126" t="e">
        <f>INDEX('AEO 40'!J:J,MATCH('psgr LDVs'!$B24,'AEO 40'!$B:$B,0))</f>
        <v>#N/A</v>
      </c>
      <c r="G24" s="126" t="e">
        <f>INDEX('AEO 40'!K:K,MATCH('psgr LDVs'!$B24,'AEO 40'!$B:$B,0))</f>
        <v>#N/A</v>
      </c>
      <c r="H24" s="126" t="e">
        <f>INDEX('AEO 40'!L:L,MATCH('psgr LDVs'!$B24,'AEO 40'!$B:$B,0))</f>
        <v>#N/A</v>
      </c>
      <c r="I24" s="126" t="e">
        <f>INDEX('AEO 40'!M:M,MATCH('psgr LDVs'!$B24,'AEO 40'!$B:$B,0))</f>
        <v>#N/A</v>
      </c>
      <c r="J24" s="126" t="e">
        <f>INDEX('AEO 40'!N:N,MATCH('psgr LDVs'!$B24,'AEO 40'!$B:$B,0))</f>
        <v>#N/A</v>
      </c>
      <c r="K24" s="126" t="e">
        <f>INDEX('AEO 40'!O:O,MATCH('psgr LDVs'!$B24,'AEO 40'!$B:$B,0))</f>
        <v>#N/A</v>
      </c>
      <c r="L24" s="126" t="e">
        <f>INDEX('AEO 40'!P:P,MATCH('psgr LDVs'!$B24,'AEO 40'!$B:$B,0))</f>
        <v>#N/A</v>
      </c>
      <c r="M24" s="126" t="e">
        <f>INDEX('AEO 40'!Q:Q,MATCH('psgr LDVs'!$B24,'AEO 40'!$B:$B,0))</f>
        <v>#N/A</v>
      </c>
      <c r="N24" s="126" t="e">
        <f>INDEX('AEO 40'!R:R,MATCH('psgr LDVs'!$B24,'AEO 40'!$B:$B,0))</f>
        <v>#N/A</v>
      </c>
      <c r="O24" s="126" t="e">
        <f>INDEX('AEO 40'!S:S,MATCH('psgr LDVs'!$B24,'AEO 40'!$B:$B,0))</f>
        <v>#N/A</v>
      </c>
      <c r="P24" s="126" t="e">
        <f>INDEX('AEO 40'!T:T,MATCH('psgr LDVs'!$B24,'AEO 40'!$B:$B,0))</f>
        <v>#N/A</v>
      </c>
      <c r="Q24" s="126" t="e">
        <f>INDEX('AEO 40'!U:U,MATCH('psgr LDVs'!$B24,'AEO 40'!$B:$B,0))</f>
        <v>#N/A</v>
      </c>
      <c r="R24" s="126" t="e">
        <f>INDEX('AEO 40'!V:V,MATCH('psgr LDVs'!$B24,'AEO 40'!$B:$B,0))</f>
        <v>#N/A</v>
      </c>
      <c r="S24" s="126" t="e">
        <f>INDEX('AEO 40'!W:W,MATCH('psgr LDVs'!$B24,'AEO 40'!$B:$B,0))</f>
        <v>#N/A</v>
      </c>
      <c r="T24" s="126" t="e">
        <f>INDEX('AEO 40'!X:X,MATCH('psgr LDVs'!$B24,'AEO 40'!$B:$B,0))</f>
        <v>#N/A</v>
      </c>
      <c r="U24" s="126" t="e">
        <f>INDEX('AEO 40'!Y:Y,MATCH('psgr LDVs'!$B24,'AEO 40'!$B:$B,0))</f>
        <v>#N/A</v>
      </c>
      <c r="V24" s="126" t="e">
        <f>INDEX('AEO 40'!Z:Z,MATCH('psgr LDVs'!$B24,'AEO 40'!$B:$B,0))</f>
        <v>#N/A</v>
      </c>
      <c r="W24" s="126" t="e">
        <f>INDEX('AEO 40'!AA:AA,MATCH('psgr LDVs'!$B24,'AEO 40'!$B:$B,0))</f>
        <v>#N/A</v>
      </c>
      <c r="X24" s="126" t="e">
        <f>INDEX('AEO 40'!AB:AB,MATCH('psgr LDVs'!$B24,'AEO 40'!$B:$B,0))</f>
        <v>#N/A</v>
      </c>
      <c r="Y24" s="126" t="e">
        <f>INDEX('AEO 40'!AC:AC,MATCH('psgr LDVs'!$B24,'AEO 40'!$B:$B,0))</f>
        <v>#N/A</v>
      </c>
      <c r="Z24" s="126" t="e">
        <f>INDEX('AEO 40'!AD:AD,MATCH('psgr LDVs'!$B24,'AEO 40'!$B:$B,0))</f>
        <v>#N/A</v>
      </c>
      <c r="AA24" s="126" t="e">
        <f>INDEX('AEO 40'!AE:AE,MATCH('psgr LDVs'!$B24,'AEO 40'!$B:$B,0))</f>
        <v>#N/A</v>
      </c>
      <c r="AB24" s="126" t="e">
        <f>INDEX('AEO 40'!AF:AF,MATCH('psgr LDVs'!$B24,'AEO 40'!$B:$B,0))</f>
        <v>#N/A</v>
      </c>
      <c r="AC24" s="126" t="e">
        <f>INDEX('AEO 40'!AG:AG,MATCH('psgr LDVs'!$B24,'AEO 40'!$B:$B,0))</f>
        <v>#N/A</v>
      </c>
      <c r="AD24" s="126" t="e">
        <f>INDEX('AEO 40'!AH:AH,MATCH('psgr LDVs'!$B24,'AEO 40'!$B:$B,0))</f>
        <v>#N/A</v>
      </c>
      <c r="AE24" s="126" t="e">
        <f>INDEX('AEO 40'!AI:AI,MATCH('psgr LDVs'!$B24,'AEO 40'!$B:$B,0))</f>
        <v>#N/A</v>
      </c>
      <c r="AF24" s="126" t="e">
        <f>INDEX('AEO 40'!AJ:AJ,MATCH('psgr LDVs'!$B24,'AEO 40'!$B:$B,0))</f>
        <v>#N/A</v>
      </c>
      <c r="AG24" s="126" t="e">
        <f>INDEX('AEO 40'!AK:AK,MATCH('psgr LDVs'!$B24,'AEO 40'!$B:$B,0))</f>
        <v>#N/A</v>
      </c>
    </row>
    <row r="25" spans="1:33">
      <c r="A25" s="132" t="s">
        <v>114</v>
      </c>
      <c r="B25" s="117" t="s">
        <v>893</v>
      </c>
      <c r="C25" s="126">
        <f>INDEX('AEO 40'!G:G,MATCH('psgr LDVs'!$B25,'AEO 40'!$B:$B,0))</f>
        <v>30.990406</v>
      </c>
      <c r="D25" s="126">
        <f>INDEX('AEO 40'!H:H,MATCH('psgr LDVs'!$B25,'AEO 40'!$B:$B,0))</f>
        <v>31.943642000000001</v>
      </c>
      <c r="E25" s="126">
        <f>INDEX('AEO 40'!I:I,MATCH('psgr LDVs'!$B25,'AEO 40'!$B:$B,0))</f>
        <v>32.440624</v>
      </c>
      <c r="F25" s="126">
        <f>INDEX('AEO 40'!J:J,MATCH('psgr LDVs'!$B25,'AEO 40'!$B:$B,0))</f>
        <v>32.825465999999999</v>
      </c>
      <c r="G25" s="126">
        <f>INDEX('AEO 40'!K:K,MATCH('psgr LDVs'!$B25,'AEO 40'!$B:$B,0))</f>
        <v>33.102694999999997</v>
      </c>
      <c r="H25" s="126">
        <f>INDEX('AEO 40'!L:L,MATCH('psgr LDVs'!$B25,'AEO 40'!$B:$B,0))</f>
        <v>33.476562000000001</v>
      </c>
      <c r="I25" s="126">
        <f>INDEX('AEO 40'!M:M,MATCH('psgr LDVs'!$B25,'AEO 40'!$B:$B,0))</f>
        <v>33.571907000000003</v>
      </c>
      <c r="J25" s="126">
        <f>INDEX('AEO 40'!N:N,MATCH('psgr LDVs'!$B25,'AEO 40'!$B:$B,0))</f>
        <v>33.565994000000003</v>
      </c>
      <c r="K25" s="126">
        <f>INDEX('AEO 40'!O:O,MATCH('psgr LDVs'!$B25,'AEO 40'!$B:$B,0))</f>
        <v>33.562564999999999</v>
      </c>
      <c r="L25" s="126">
        <f>INDEX('AEO 40'!P:P,MATCH('psgr LDVs'!$B25,'AEO 40'!$B:$B,0))</f>
        <v>33.548819999999999</v>
      </c>
      <c r="M25" s="126">
        <f>INDEX('AEO 40'!Q:Q,MATCH('psgr LDVs'!$B25,'AEO 40'!$B:$B,0))</f>
        <v>33.544189000000003</v>
      </c>
      <c r="N25" s="126">
        <f>INDEX('AEO 40'!R:R,MATCH('psgr LDVs'!$B25,'AEO 40'!$B:$B,0))</f>
        <v>33.522174999999997</v>
      </c>
      <c r="O25" s="126">
        <f>INDEX('AEO 40'!S:S,MATCH('psgr LDVs'!$B25,'AEO 40'!$B:$B,0))</f>
        <v>33.498440000000002</v>
      </c>
      <c r="P25" s="126">
        <f>INDEX('AEO 40'!T:T,MATCH('psgr LDVs'!$B25,'AEO 40'!$B:$B,0))</f>
        <v>33.465426999999998</v>
      </c>
      <c r="Q25" s="126">
        <f>INDEX('AEO 40'!U:U,MATCH('psgr LDVs'!$B25,'AEO 40'!$B:$B,0))</f>
        <v>33.440703999999997</v>
      </c>
      <c r="R25" s="126">
        <f>INDEX('AEO 40'!V:V,MATCH('psgr LDVs'!$B25,'AEO 40'!$B:$B,0))</f>
        <v>33.408821000000003</v>
      </c>
      <c r="S25" s="126">
        <f>INDEX('AEO 40'!W:W,MATCH('psgr LDVs'!$B25,'AEO 40'!$B:$B,0))</f>
        <v>33.381706000000001</v>
      </c>
      <c r="T25" s="126">
        <f>INDEX('AEO 40'!X:X,MATCH('psgr LDVs'!$B25,'AEO 40'!$B:$B,0))</f>
        <v>33.347293999999998</v>
      </c>
      <c r="U25" s="126">
        <f>INDEX('AEO 40'!Y:Y,MATCH('psgr LDVs'!$B25,'AEO 40'!$B:$B,0))</f>
        <v>33.332577000000001</v>
      </c>
      <c r="V25" s="126">
        <f>INDEX('AEO 40'!Z:Z,MATCH('psgr LDVs'!$B25,'AEO 40'!$B:$B,0))</f>
        <v>33.302700000000002</v>
      </c>
      <c r="W25" s="126">
        <f>INDEX('AEO 40'!AA:AA,MATCH('psgr LDVs'!$B25,'AEO 40'!$B:$B,0))</f>
        <v>33.280067000000003</v>
      </c>
      <c r="X25" s="126">
        <f>INDEX('AEO 40'!AB:AB,MATCH('psgr LDVs'!$B25,'AEO 40'!$B:$B,0))</f>
        <v>33.257980000000003</v>
      </c>
      <c r="Y25" s="126">
        <f>INDEX('AEO 40'!AC:AC,MATCH('psgr LDVs'!$B25,'AEO 40'!$B:$B,0))</f>
        <v>33.240932000000001</v>
      </c>
      <c r="Z25" s="126">
        <f>INDEX('AEO 40'!AD:AD,MATCH('psgr LDVs'!$B25,'AEO 40'!$B:$B,0))</f>
        <v>33.219738</v>
      </c>
      <c r="AA25" s="126">
        <f>INDEX('AEO 40'!AE:AE,MATCH('psgr LDVs'!$B25,'AEO 40'!$B:$B,0))</f>
        <v>33.203418999999997</v>
      </c>
      <c r="AB25" s="126">
        <f>INDEX('AEO 40'!AF:AF,MATCH('psgr LDVs'!$B25,'AEO 40'!$B:$B,0))</f>
        <v>33.186416999999999</v>
      </c>
      <c r="AC25" s="126">
        <f>INDEX('AEO 40'!AG:AG,MATCH('psgr LDVs'!$B25,'AEO 40'!$B:$B,0))</f>
        <v>33.167811999999998</v>
      </c>
      <c r="AD25" s="126">
        <f>INDEX('AEO 40'!AH:AH,MATCH('psgr LDVs'!$B25,'AEO 40'!$B:$B,0))</f>
        <v>33.151446999999997</v>
      </c>
      <c r="AE25" s="126">
        <f>INDEX('AEO 40'!AI:AI,MATCH('psgr LDVs'!$B25,'AEO 40'!$B:$B,0))</f>
        <v>33.132545</v>
      </c>
      <c r="AF25" s="126">
        <f>INDEX('AEO 40'!AJ:AJ,MATCH('psgr LDVs'!$B25,'AEO 40'!$B:$B,0))</f>
        <v>33.115498000000002</v>
      </c>
      <c r="AG25" s="126">
        <f>INDEX('AEO 40'!AK:AK,MATCH('psgr LDVs'!$B25,'AEO 40'!$B:$B,0))</f>
        <v>33.098548999999998</v>
      </c>
    </row>
    <row r="26" spans="1:33">
      <c r="A26" s="132" t="s">
        <v>112</v>
      </c>
      <c r="B26" s="117" t="s">
        <v>894</v>
      </c>
      <c r="C26" s="126">
        <f>INDEX('AEO 40'!G:G,MATCH('psgr LDVs'!$B26,'AEO 40'!$B:$B,0))</f>
        <v>0</v>
      </c>
      <c r="D26" s="126">
        <f>INDEX('AEO 40'!H:H,MATCH('psgr LDVs'!$B26,'AEO 40'!$B:$B,0))</f>
        <v>0</v>
      </c>
      <c r="E26" s="126">
        <f>INDEX('AEO 40'!I:I,MATCH('psgr LDVs'!$B26,'AEO 40'!$B:$B,0))</f>
        <v>0</v>
      </c>
      <c r="F26" s="126">
        <f>INDEX('AEO 40'!J:J,MATCH('psgr LDVs'!$B26,'AEO 40'!$B:$B,0))</f>
        <v>0</v>
      </c>
      <c r="G26" s="126">
        <f>INDEX('AEO 40'!K:K,MATCH('psgr LDVs'!$B26,'AEO 40'!$B:$B,0))</f>
        <v>0</v>
      </c>
      <c r="H26" s="126">
        <f>INDEX('AEO 40'!L:L,MATCH('psgr LDVs'!$B26,'AEO 40'!$B:$B,0))</f>
        <v>0</v>
      </c>
      <c r="I26" s="126">
        <f>INDEX('AEO 40'!M:M,MATCH('psgr LDVs'!$B26,'AEO 40'!$B:$B,0))</f>
        <v>0</v>
      </c>
      <c r="J26" s="126">
        <f>INDEX('AEO 40'!N:N,MATCH('psgr LDVs'!$B26,'AEO 40'!$B:$B,0))</f>
        <v>0</v>
      </c>
      <c r="K26" s="126">
        <f>INDEX('AEO 40'!O:O,MATCH('psgr LDVs'!$B26,'AEO 40'!$B:$B,0))</f>
        <v>0</v>
      </c>
      <c r="L26" s="126">
        <f>INDEX('AEO 40'!P:P,MATCH('psgr LDVs'!$B26,'AEO 40'!$B:$B,0))</f>
        <v>0</v>
      </c>
      <c r="M26" s="126">
        <f>INDEX('AEO 40'!Q:Q,MATCH('psgr LDVs'!$B26,'AEO 40'!$B:$B,0))</f>
        <v>0</v>
      </c>
      <c r="N26" s="126">
        <f>INDEX('AEO 40'!R:R,MATCH('psgr LDVs'!$B26,'AEO 40'!$B:$B,0))</f>
        <v>0</v>
      </c>
      <c r="O26" s="126">
        <f>INDEX('AEO 40'!S:S,MATCH('psgr LDVs'!$B26,'AEO 40'!$B:$B,0))</f>
        <v>0</v>
      </c>
      <c r="P26" s="126">
        <f>INDEX('AEO 40'!T:T,MATCH('psgr LDVs'!$B26,'AEO 40'!$B:$B,0))</f>
        <v>0</v>
      </c>
      <c r="Q26" s="126">
        <f>INDEX('AEO 40'!U:U,MATCH('psgr LDVs'!$B26,'AEO 40'!$B:$B,0))</f>
        <v>0</v>
      </c>
      <c r="R26" s="126">
        <f>INDEX('AEO 40'!V:V,MATCH('psgr LDVs'!$B26,'AEO 40'!$B:$B,0))</f>
        <v>0</v>
      </c>
      <c r="S26" s="126">
        <f>INDEX('AEO 40'!W:W,MATCH('psgr LDVs'!$B26,'AEO 40'!$B:$B,0))</f>
        <v>0</v>
      </c>
      <c r="T26" s="126">
        <f>INDEX('AEO 40'!X:X,MATCH('psgr LDVs'!$B26,'AEO 40'!$B:$B,0))</f>
        <v>0</v>
      </c>
      <c r="U26" s="126">
        <f>INDEX('AEO 40'!Y:Y,MATCH('psgr LDVs'!$B26,'AEO 40'!$B:$B,0))</f>
        <v>0</v>
      </c>
      <c r="V26" s="126">
        <f>INDEX('AEO 40'!Z:Z,MATCH('psgr LDVs'!$B26,'AEO 40'!$B:$B,0))</f>
        <v>0</v>
      </c>
      <c r="W26" s="126">
        <f>INDEX('AEO 40'!AA:AA,MATCH('psgr LDVs'!$B26,'AEO 40'!$B:$B,0))</f>
        <v>0</v>
      </c>
      <c r="X26" s="126">
        <f>INDEX('AEO 40'!AB:AB,MATCH('psgr LDVs'!$B26,'AEO 40'!$B:$B,0))</f>
        <v>0</v>
      </c>
      <c r="Y26" s="126">
        <f>INDEX('AEO 40'!AC:AC,MATCH('psgr LDVs'!$B26,'AEO 40'!$B:$B,0))</f>
        <v>0</v>
      </c>
      <c r="Z26" s="126">
        <f>INDEX('AEO 40'!AD:AD,MATCH('psgr LDVs'!$B26,'AEO 40'!$B:$B,0))</f>
        <v>0</v>
      </c>
      <c r="AA26" s="126">
        <f>INDEX('AEO 40'!AE:AE,MATCH('psgr LDVs'!$B26,'AEO 40'!$B:$B,0))</f>
        <v>0</v>
      </c>
      <c r="AB26" s="126">
        <f>INDEX('AEO 40'!AF:AF,MATCH('psgr LDVs'!$B26,'AEO 40'!$B:$B,0))</f>
        <v>0</v>
      </c>
      <c r="AC26" s="126">
        <f>INDEX('AEO 40'!AG:AG,MATCH('psgr LDVs'!$B26,'AEO 40'!$B:$B,0))</f>
        <v>0</v>
      </c>
      <c r="AD26" s="126">
        <f>INDEX('AEO 40'!AH:AH,MATCH('psgr LDVs'!$B26,'AEO 40'!$B:$B,0))</f>
        <v>0</v>
      </c>
      <c r="AE26" s="126">
        <f>INDEX('AEO 40'!AI:AI,MATCH('psgr LDVs'!$B26,'AEO 40'!$B:$B,0))</f>
        <v>0</v>
      </c>
      <c r="AF26" s="126">
        <f>INDEX('AEO 40'!AJ:AJ,MATCH('psgr LDVs'!$B26,'AEO 40'!$B:$B,0))</f>
        <v>0</v>
      </c>
      <c r="AG26" s="126">
        <f>INDEX('AEO 40'!AK:AK,MATCH('psgr LDVs'!$B26,'AEO 40'!$B:$B,0))</f>
        <v>0</v>
      </c>
    </row>
    <row r="27" spans="1:33">
      <c r="A27" s="132" t="s">
        <v>112</v>
      </c>
      <c r="B27" s="117" t="s">
        <v>895</v>
      </c>
      <c r="C27" s="126">
        <f>INDEX('AEO 40'!G:G,MATCH('psgr LDVs'!$B27,'AEO 40'!$B:$B,0))</f>
        <v>99.170578000000006</v>
      </c>
      <c r="D27" s="126">
        <f>INDEX('AEO 40'!H:H,MATCH('psgr LDVs'!$B27,'AEO 40'!$B:$B,0))</f>
        <v>98.425858000000005</v>
      </c>
      <c r="E27" s="126">
        <f>INDEX('AEO 40'!I:I,MATCH('psgr LDVs'!$B27,'AEO 40'!$B:$B,0))</f>
        <v>97.966483999999994</v>
      </c>
      <c r="F27" s="126">
        <f>INDEX('AEO 40'!J:J,MATCH('psgr LDVs'!$B27,'AEO 40'!$B:$B,0))</f>
        <v>97.268912999999998</v>
      </c>
      <c r="G27" s="126">
        <f>INDEX('AEO 40'!K:K,MATCH('psgr LDVs'!$B27,'AEO 40'!$B:$B,0))</f>
        <v>96.143173000000004</v>
      </c>
      <c r="H27" s="126">
        <f>INDEX('AEO 40'!L:L,MATCH('psgr LDVs'!$B27,'AEO 40'!$B:$B,0))</f>
        <v>95.668143999999998</v>
      </c>
      <c r="I27" s="126">
        <f>INDEX('AEO 40'!M:M,MATCH('psgr LDVs'!$B27,'AEO 40'!$B:$B,0))</f>
        <v>94.834434999999999</v>
      </c>
      <c r="J27" s="126">
        <f>INDEX('AEO 40'!N:N,MATCH('psgr LDVs'!$B27,'AEO 40'!$B:$B,0))</f>
        <v>94.355391999999995</v>
      </c>
      <c r="K27" s="126">
        <f>INDEX('AEO 40'!O:O,MATCH('psgr LDVs'!$B27,'AEO 40'!$B:$B,0))</f>
        <v>94.001389000000003</v>
      </c>
      <c r="L27" s="126">
        <f>INDEX('AEO 40'!P:P,MATCH('psgr LDVs'!$B27,'AEO 40'!$B:$B,0))</f>
        <v>93.716849999999994</v>
      </c>
      <c r="M27" s="126">
        <f>INDEX('AEO 40'!Q:Q,MATCH('psgr LDVs'!$B27,'AEO 40'!$B:$B,0))</f>
        <v>93.490691999999996</v>
      </c>
      <c r="N27" s="126">
        <f>INDEX('AEO 40'!R:R,MATCH('psgr LDVs'!$B27,'AEO 40'!$B:$B,0))</f>
        <v>93.308113000000006</v>
      </c>
      <c r="O27" s="126">
        <f>INDEX('AEO 40'!S:S,MATCH('psgr LDVs'!$B27,'AEO 40'!$B:$B,0))</f>
        <v>93.187011999999996</v>
      </c>
      <c r="P27" s="126">
        <f>INDEX('AEO 40'!T:T,MATCH('psgr LDVs'!$B27,'AEO 40'!$B:$B,0))</f>
        <v>93.132262999999995</v>
      </c>
      <c r="Q27" s="126">
        <f>INDEX('AEO 40'!U:U,MATCH('psgr LDVs'!$B27,'AEO 40'!$B:$B,0))</f>
        <v>93.097610000000003</v>
      </c>
      <c r="R27" s="126">
        <f>INDEX('AEO 40'!V:V,MATCH('psgr LDVs'!$B27,'AEO 40'!$B:$B,0))</f>
        <v>93.076767000000004</v>
      </c>
      <c r="S27" s="126">
        <f>INDEX('AEO 40'!W:W,MATCH('psgr LDVs'!$B27,'AEO 40'!$B:$B,0))</f>
        <v>93.061546000000007</v>
      </c>
      <c r="T27" s="126">
        <f>INDEX('AEO 40'!X:X,MATCH('psgr LDVs'!$B27,'AEO 40'!$B:$B,0))</f>
        <v>93.061256</v>
      </c>
      <c r="U27" s="126">
        <f>INDEX('AEO 40'!Y:Y,MATCH('psgr LDVs'!$B27,'AEO 40'!$B:$B,0))</f>
        <v>93.044792000000001</v>
      </c>
      <c r="V27" s="126">
        <f>INDEX('AEO 40'!Z:Z,MATCH('psgr LDVs'!$B27,'AEO 40'!$B:$B,0))</f>
        <v>93.038985999999994</v>
      </c>
      <c r="W27" s="126">
        <f>INDEX('AEO 40'!AA:AA,MATCH('psgr LDVs'!$B27,'AEO 40'!$B:$B,0))</f>
        <v>93.038894999999997</v>
      </c>
      <c r="X27" s="126">
        <f>INDEX('AEO 40'!AB:AB,MATCH('psgr LDVs'!$B27,'AEO 40'!$B:$B,0))</f>
        <v>93.032844999999995</v>
      </c>
      <c r="Y27" s="126">
        <f>INDEX('AEO 40'!AC:AC,MATCH('psgr LDVs'!$B27,'AEO 40'!$B:$B,0))</f>
        <v>93.025749000000005</v>
      </c>
      <c r="Z27" s="126">
        <f>INDEX('AEO 40'!AD:AD,MATCH('psgr LDVs'!$B27,'AEO 40'!$B:$B,0))</f>
        <v>93.028473000000005</v>
      </c>
      <c r="AA27" s="126">
        <f>INDEX('AEO 40'!AE:AE,MATCH('psgr LDVs'!$B27,'AEO 40'!$B:$B,0))</f>
        <v>93.029976000000005</v>
      </c>
      <c r="AB27" s="126">
        <f>INDEX('AEO 40'!AF:AF,MATCH('psgr LDVs'!$B27,'AEO 40'!$B:$B,0))</f>
        <v>93.030547999999996</v>
      </c>
      <c r="AC27" s="126">
        <f>INDEX('AEO 40'!AG:AG,MATCH('psgr LDVs'!$B27,'AEO 40'!$B:$B,0))</f>
        <v>93.030151000000004</v>
      </c>
      <c r="AD27" s="126">
        <f>INDEX('AEO 40'!AH:AH,MATCH('psgr LDVs'!$B27,'AEO 40'!$B:$B,0))</f>
        <v>93.034119000000004</v>
      </c>
      <c r="AE27" s="126">
        <f>INDEX('AEO 40'!AI:AI,MATCH('psgr LDVs'!$B27,'AEO 40'!$B:$B,0))</f>
        <v>93.038291999999998</v>
      </c>
      <c r="AF27" s="126">
        <f>INDEX('AEO 40'!AJ:AJ,MATCH('psgr LDVs'!$B27,'AEO 40'!$B:$B,0))</f>
        <v>93.043633</v>
      </c>
      <c r="AG27" s="126">
        <f>INDEX('AEO 40'!AK:AK,MATCH('psgr LDVs'!$B27,'AEO 40'!$B:$B,0))</f>
        <v>93.050651999999999</v>
      </c>
    </row>
    <row r="28" spans="1:33">
      <c r="A28" s="132" t="s">
        <v>112</v>
      </c>
      <c r="B28" s="117" t="s">
        <v>896</v>
      </c>
      <c r="C28" s="126">
        <f>INDEX('AEO 40'!G:G,MATCH('psgr LDVs'!$B28,'AEO 40'!$B:$B,0))</f>
        <v>102.266846</v>
      </c>
      <c r="D28" s="126">
        <f>INDEX('AEO 40'!H:H,MATCH('psgr LDVs'!$B28,'AEO 40'!$B:$B,0))</f>
        <v>101.903458</v>
      </c>
      <c r="E28" s="126">
        <f>INDEX('AEO 40'!I:I,MATCH('psgr LDVs'!$B28,'AEO 40'!$B:$B,0))</f>
        <v>101.578209</v>
      </c>
      <c r="F28" s="126">
        <f>INDEX('AEO 40'!J:J,MATCH('psgr LDVs'!$B28,'AEO 40'!$B:$B,0))</f>
        <v>101.308868</v>
      </c>
      <c r="G28" s="126">
        <f>INDEX('AEO 40'!K:K,MATCH('psgr LDVs'!$B28,'AEO 40'!$B:$B,0))</f>
        <v>101.025757</v>
      </c>
      <c r="H28" s="126">
        <f>INDEX('AEO 40'!L:L,MATCH('psgr LDVs'!$B28,'AEO 40'!$B:$B,0))</f>
        <v>101.13318599999999</v>
      </c>
      <c r="I28" s="126">
        <f>INDEX('AEO 40'!M:M,MATCH('psgr LDVs'!$B28,'AEO 40'!$B:$B,0))</f>
        <v>100.486519</v>
      </c>
      <c r="J28" s="126">
        <f>INDEX('AEO 40'!N:N,MATCH('psgr LDVs'!$B28,'AEO 40'!$B:$B,0))</f>
        <v>100.032928</v>
      </c>
      <c r="K28" s="126">
        <f>INDEX('AEO 40'!O:O,MATCH('psgr LDVs'!$B28,'AEO 40'!$B:$B,0))</f>
        <v>99.763084000000006</v>
      </c>
      <c r="L28" s="126">
        <f>INDEX('AEO 40'!P:P,MATCH('psgr LDVs'!$B28,'AEO 40'!$B:$B,0))</f>
        <v>99.556579999999997</v>
      </c>
      <c r="M28" s="126">
        <f>INDEX('AEO 40'!Q:Q,MATCH('psgr LDVs'!$B28,'AEO 40'!$B:$B,0))</f>
        <v>99.235022999999998</v>
      </c>
      <c r="N28" s="126">
        <f>INDEX('AEO 40'!R:R,MATCH('psgr LDVs'!$B28,'AEO 40'!$B:$B,0))</f>
        <v>99.055297999999993</v>
      </c>
      <c r="O28" s="126">
        <f>INDEX('AEO 40'!S:S,MATCH('psgr LDVs'!$B28,'AEO 40'!$B:$B,0))</f>
        <v>98.916320999999996</v>
      </c>
      <c r="P28" s="126">
        <f>INDEX('AEO 40'!T:T,MATCH('psgr LDVs'!$B28,'AEO 40'!$B:$B,0))</f>
        <v>98.822158999999999</v>
      </c>
      <c r="Q28" s="126">
        <f>INDEX('AEO 40'!U:U,MATCH('psgr LDVs'!$B28,'AEO 40'!$B:$B,0))</f>
        <v>98.744956999999999</v>
      </c>
      <c r="R28" s="126">
        <f>INDEX('AEO 40'!V:V,MATCH('psgr LDVs'!$B28,'AEO 40'!$B:$B,0))</f>
        <v>98.715148999999997</v>
      </c>
      <c r="S28" s="126">
        <f>INDEX('AEO 40'!W:W,MATCH('psgr LDVs'!$B28,'AEO 40'!$B:$B,0))</f>
        <v>98.680153000000004</v>
      </c>
      <c r="T28" s="126">
        <f>INDEX('AEO 40'!X:X,MATCH('psgr LDVs'!$B28,'AEO 40'!$B:$B,0))</f>
        <v>98.658019999999993</v>
      </c>
      <c r="U28" s="126">
        <f>INDEX('AEO 40'!Y:Y,MATCH('psgr LDVs'!$B28,'AEO 40'!$B:$B,0))</f>
        <v>98.630225999999993</v>
      </c>
      <c r="V28" s="126">
        <f>INDEX('AEO 40'!Z:Z,MATCH('psgr LDVs'!$B28,'AEO 40'!$B:$B,0))</f>
        <v>98.622421000000003</v>
      </c>
      <c r="W28" s="126">
        <f>INDEX('AEO 40'!AA:AA,MATCH('psgr LDVs'!$B28,'AEO 40'!$B:$B,0))</f>
        <v>98.606689000000003</v>
      </c>
      <c r="X28" s="126">
        <f>INDEX('AEO 40'!AB:AB,MATCH('psgr LDVs'!$B28,'AEO 40'!$B:$B,0))</f>
        <v>98.614448999999993</v>
      </c>
      <c r="Y28" s="126">
        <f>INDEX('AEO 40'!AC:AC,MATCH('psgr LDVs'!$B28,'AEO 40'!$B:$B,0))</f>
        <v>98.629638999999997</v>
      </c>
      <c r="Z28" s="126">
        <f>INDEX('AEO 40'!AD:AD,MATCH('psgr LDVs'!$B28,'AEO 40'!$B:$B,0))</f>
        <v>98.642951999999994</v>
      </c>
      <c r="AA28" s="126">
        <f>INDEX('AEO 40'!AE:AE,MATCH('psgr LDVs'!$B28,'AEO 40'!$B:$B,0))</f>
        <v>98.655411000000001</v>
      </c>
      <c r="AB28" s="126">
        <f>INDEX('AEO 40'!AF:AF,MATCH('psgr LDVs'!$B28,'AEO 40'!$B:$B,0))</f>
        <v>98.662529000000006</v>
      </c>
      <c r="AC28" s="126">
        <f>INDEX('AEO 40'!AG:AG,MATCH('psgr LDVs'!$B28,'AEO 40'!$B:$B,0))</f>
        <v>98.681045999999995</v>
      </c>
      <c r="AD28" s="126">
        <f>INDEX('AEO 40'!AH:AH,MATCH('psgr LDVs'!$B28,'AEO 40'!$B:$B,0))</f>
        <v>98.693382</v>
      </c>
      <c r="AE28" s="126">
        <f>INDEX('AEO 40'!AI:AI,MATCH('psgr LDVs'!$B28,'AEO 40'!$B:$B,0))</f>
        <v>98.710662999999997</v>
      </c>
      <c r="AF28" s="126">
        <f>INDEX('AEO 40'!AJ:AJ,MATCH('psgr LDVs'!$B28,'AEO 40'!$B:$B,0))</f>
        <v>98.711699999999993</v>
      </c>
      <c r="AG28" s="126">
        <f>INDEX('AEO 40'!AK:AK,MATCH('psgr LDVs'!$B28,'AEO 40'!$B:$B,0))</f>
        <v>98.717856999999995</v>
      </c>
    </row>
    <row r="29" spans="1:33">
      <c r="A29" s="132" t="s">
        <v>116</v>
      </c>
      <c r="B29" s="117" t="s">
        <v>897</v>
      </c>
      <c r="C29" s="126">
        <f>INDEX('AEO 40'!G:G,MATCH('psgr LDVs'!$B29,'AEO 40'!$B:$B,0))</f>
        <v>47.010894999999998</v>
      </c>
      <c r="D29" s="126">
        <f>INDEX('AEO 40'!H:H,MATCH('psgr LDVs'!$B29,'AEO 40'!$B:$B,0))</f>
        <v>48.666736999999998</v>
      </c>
      <c r="E29" s="126">
        <f>INDEX('AEO 40'!I:I,MATCH('psgr LDVs'!$B29,'AEO 40'!$B:$B,0))</f>
        <v>48.673076999999999</v>
      </c>
      <c r="F29" s="126">
        <f>INDEX('AEO 40'!J:J,MATCH('psgr LDVs'!$B29,'AEO 40'!$B:$B,0))</f>
        <v>48.637653</v>
      </c>
      <c r="G29" s="126">
        <f>INDEX('AEO 40'!K:K,MATCH('psgr LDVs'!$B29,'AEO 40'!$B:$B,0))</f>
        <v>48.747093</v>
      </c>
      <c r="H29" s="126">
        <f>INDEX('AEO 40'!L:L,MATCH('psgr LDVs'!$B29,'AEO 40'!$B:$B,0))</f>
        <v>49.038077999999999</v>
      </c>
      <c r="I29" s="126">
        <f>INDEX('AEO 40'!M:M,MATCH('psgr LDVs'!$B29,'AEO 40'!$B:$B,0))</f>
        <v>48.779297</v>
      </c>
      <c r="J29" s="126">
        <f>INDEX('AEO 40'!N:N,MATCH('psgr LDVs'!$B29,'AEO 40'!$B:$B,0))</f>
        <v>48.589343999999997</v>
      </c>
      <c r="K29" s="126">
        <f>INDEX('AEO 40'!O:O,MATCH('psgr LDVs'!$B29,'AEO 40'!$B:$B,0))</f>
        <v>48.586292</v>
      </c>
      <c r="L29" s="126">
        <f>INDEX('AEO 40'!P:P,MATCH('psgr LDVs'!$B29,'AEO 40'!$B:$B,0))</f>
        <v>48.598315999999997</v>
      </c>
      <c r="M29" s="126">
        <f>INDEX('AEO 40'!Q:Q,MATCH('psgr LDVs'!$B29,'AEO 40'!$B:$B,0))</f>
        <v>48.652186999999998</v>
      </c>
      <c r="N29" s="126">
        <f>INDEX('AEO 40'!R:R,MATCH('psgr LDVs'!$B29,'AEO 40'!$B:$B,0))</f>
        <v>48.651966000000002</v>
      </c>
      <c r="O29" s="126">
        <f>INDEX('AEO 40'!S:S,MATCH('psgr LDVs'!$B29,'AEO 40'!$B:$B,0))</f>
        <v>48.711070999999997</v>
      </c>
      <c r="P29" s="126">
        <f>INDEX('AEO 40'!T:T,MATCH('psgr LDVs'!$B29,'AEO 40'!$B:$B,0))</f>
        <v>48.775672999999998</v>
      </c>
      <c r="Q29" s="126">
        <f>INDEX('AEO 40'!U:U,MATCH('psgr LDVs'!$B29,'AEO 40'!$B:$B,0))</f>
        <v>48.856216000000003</v>
      </c>
      <c r="R29" s="126">
        <f>INDEX('AEO 40'!V:V,MATCH('psgr LDVs'!$B29,'AEO 40'!$B:$B,0))</f>
        <v>48.910851000000001</v>
      </c>
      <c r="S29" s="126">
        <f>INDEX('AEO 40'!W:W,MATCH('psgr LDVs'!$B29,'AEO 40'!$B:$B,0))</f>
        <v>48.999389999999998</v>
      </c>
      <c r="T29" s="126">
        <f>INDEX('AEO 40'!X:X,MATCH('psgr LDVs'!$B29,'AEO 40'!$B:$B,0))</f>
        <v>49.103886000000003</v>
      </c>
      <c r="U29" s="126">
        <f>INDEX('AEO 40'!Y:Y,MATCH('psgr LDVs'!$B29,'AEO 40'!$B:$B,0))</f>
        <v>49.215206000000002</v>
      </c>
      <c r="V29" s="126">
        <f>INDEX('AEO 40'!Z:Z,MATCH('psgr LDVs'!$B29,'AEO 40'!$B:$B,0))</f>
        <v>49.318787</v>
      </c>
      <c r="W29" s="126">
        <f>INDEX('AEO 40'!AA:AA,MATCH('psgr LDVs'!$B29,'AEO 40'!$B:$B,0))</f>
        <v>49.432774000000002</v>
      </c>
      <c r="X29" s="126">
        <f>INDEX('AEO 40'!AB:AB,MATCH('psgr LDVs'!$B29,'AEO 40'!$B:$B,0))</f>
        <v>49.535141000000003</v>
      </c>
      <c r="Y29" s="126">
        <f>INDEX('AEO 40'!AC:AC,MATCH('psgr LDVs'!$B29,'AEO 40'!$B:$B,0))</f>
        <v>49.630180000000003</v>
      </c>
      <c r="Z29" s="126">
        <f>INDEX('AEO 40'!AD:AD,MATCH('psgr LDVs'!$B29,'AEO 40'!$B:$B,0))</f>
        <v>49.724373</v>
      </c>
      <c r="AA29" s="126">
        <f>INDEX('AEO 40'!AE:AE,MATCH('psgr LDVs'!$B29,'AEO 40'!$B:$B,0))</f>
        <v>49.812339999999999</v>
      </c>
      <c r="AB29" s="126">
        <f>INDEX('AEO 40'!AF:AF,MATCH('psgr LDVs'!$B29,'AEO 40'!$B:$B,0))</f>
        <v>49.911625000000001</v>
      </c>
      <c r="AC29" s="126">
        <f>INDEX('AEO 40'!AG:AG,MATCH('psgr LDVs'!$B29,'AEO 40'!$B:$B,0))</f>
        <v>50.010784000000001</v>
      </c>
      <c r="AD29" s="126">
        <f>INDEX('AEO 40'!AH:AH,MATCH('psgr LDVs'!$B29,'AEO 40'!$B:$B,0))</f>
        <v>50.118468999999997</v>
      </c>
      <c r="AE29" s="126">
        <f>INDEX('AEO 40'!AI:AI,MATCH('psgr LDVs'!$B29,'AEO 40'!$B:$B,0))</f>
        <v>50.208205999999997</v>
      </c>
      <c r="AF29" s="126">
        <f>INDEX('AEO 40'!AJ:AJ,MATCH('psgr LDVs'!$B29,'AEO 40'!$B:$B,0))</f>
        <v>50.309421999999998</v>
      </c>
      <c r="AG29" s="126">
        <f>INDEX('AEO 40'!AK:AK,MATCH('psgr LDVs'!$B29,'AEO 40'!$B:$B,0))</f>
        <v>50.396254999999996</v>
      </c>
    </row>
    <row r="30" spans="1:33">
      <c r="A30" s="132" t="s">
        <v>116</v>
      </c>
      <c r="B30" s="117" t="s">
        <v>898</v>
      </c>
      <c r="C30" s="126">
        <f>INDEX('AEO 40'!G:G,MATCH('psgr LDVs'!$B30,'AEO 40'!$B:$B,0))</f>
        <v>54.178719000000001</v>
      </c>
      <c r="D30" s="126">
        <f>INDEX('AEO 40'!H:H,MATCH('psgr LDVs'!$B30,'AEO 40'!$B:$B,0))</f>
        <v>54.943477999999999</v>
      </c>
      <c r="E30" s="126">
        <f>INDEX('AEO 40'!I:I,MATCH('psgr LDVs'!$B30,'AEO 40'!$B:$B,0))</f>
        <v>55.361336000000001</v>
      </c>
      <c r="F30" s="126">
        <f>INDEX('AEO 40'!J:J,MATCH('psgr LDVs'!$B30,'AEO 40'!$B:$B,0))</f>
        <v>55.719273000000001</v>
      </c>
      <c r="G30" s="126">
        <f>INDEX('AEO 40'!K:K,MATCH('psgr LDVs'!$B30,'AEO 40'!$B:$B,0))</f>
        <v>55.809593</v>
      </c>
      <c r="H30" s="126">
        <f>INDEX('AEO 40'!L:L,MATCH('psgr LDVs'!$B30,'AEO 40'!$B:$B,0))</f>
        <v>63.485649000000002</v>
      </c>
      <c r="I30" s="126">
        <f>INDEX('AEO 40'!M:M,MATCH('psgr LDVs'!$B30,'AEO 40'!$B:$B,0))</f>
        <v>68.484520000000003</v>
      </c>
      <c r="J30" s="126">
        <f>INDEX('AEO 40'!N:N,MATCH('psgr LDVs'!$B30,'AEO 40'!$B:$B,0))</f>
        <v>68.751510999999994</v>
      </c>
      <c r="K30" s="126">
        <f>INDEX('AEO 40'!O:O,MATCH('psgr LDVs'!$B30,'AEO 40'!$B:$B,0))</f>
        <v>68.741553999999994</v>
      </c>
      <c r="L30" s="126">
        <f>INDEX('AEO 40'!P:P,MATCH('psgr LDVs'!$B30,'AEO 40'!$B:$B,0))</f>
        <v>68.681708999999998</v>
      </c>
      <c r="M30" s="126">
        <f>INDEX('AEO 40'!Q:Q,MATCH('psgr LDVs'!$B30,'AEO 40'!$B:$B,0))</f>
        <v>68.649299999999997</v>
      </c>
      <c r="N30" s="126">
        <f>INDEX('AEO 40'!R:R,MATCH('psgr LDVs'!$B30,'AEO 40'!$B:$B,0))</f>
        <v>68.550644000000005</v>
      </c>
      <c r="O30" s="126">
        <f>INDEX('AEO 40'!S:S,MATCH('psgr LDVs'!$B30,'AEO 40'!$B:$B,0))</f>
        <v>68.517280999999997</v>
      </c>
      <c r="P30" s="126">
        <f>INDEX('AEO 40'!T:T,MATCH('psgr LDVs'!$B30,'AEO 40'!$B:$B,0))</f>
        <v>68.479759000000001</v>
      </c>
      <c r="Q30" s="126">
        <f>INDEX('AEO 40'!U:U,MATCH('psgr LDVs'!$B30,'AEO 40'!$B:$B,0))</f>
        <v>68.449592999999993</v>
      </c>
      <c r="R30" s="126">
        <f>INDEX('AEO 40'!V:V,MATCH('psgr LDVs'!$B30,'AEO 40'!$B:$B,0))</f>
        <v>68.394249000000002</v>
      </c>
      <c r="S30" s="126">
        <f>INDEX('AEO 40'!W:W,MATCH('psgr LDVs'!$B30,'AEO 40'!$B:$B,0))</f>
        <v>68.384406999999996</v>
      </c>
      <c r="T30" s="126">
        <f>INDEX('AEO 40'!X:X,MATCH('psgr LDVs'!$B30,'AEO 40'!$B:$B,0))</f>
        <v>68.371727000000007</v>
      </c>
      <c r="U30" s="126">
        <f>INDEX('AEO 40'!Y:Y,MATCH('psgr LDVs'!$B30,'AEO 40'!$B:$B,0))</f>
        <v>68.351546999999997</v>
      </c>
      <c r="V30" s="126">
        <f>INDEX('AEO 40'!Z:Z,MATCH('psgr LDVs'!$B30,'AEO 40'!$B:$B,0))</f>
        <v>68.321335000000005</v>
      </c>
      <c r="W30" s="126">
        <f>INDEX('AEO 40'!AA:AA,MATCH('psgr LDVs'!$B30,'AEO 40'!$B:$B,0))</f>
        <v>68.303077999999999</v>
      </c>
      <c r="X30" s="126">
        <f>INDEX('AEO 40'!AB:AB,MATCH('psgr LDVs'!$B30,'AEO 40'!$B:$B,0))</f>
        <v>68.287857000000002</v>
      </c>
      <c r="Y30" s="126">
        <f>INDEX('AEO 40'!AC:AC,MATCH('psgr LDVs'!$B30,'AEO 40'!$B:$B,0))</f>
        <v>68.261382999999995</v>
      </c>
      <c r="Z30" s="126">
        <f>INDEX('AEO 40'!AD:AD,MATCH('psgr LDVs'!$B30,'AEO 40'!$B:$B,0))</f>
        <v>68.245688999999999</v>
      </c>
      <c r="AA30" s="126">
        <f>INDEX('AEO 40'!AE:AE,MATCH('psgr LDVs'!$B30,'AEO 40'!$B:$B,0))</f>
        <v>68.226166000000006</v>
      </c>
      <c r="AB30" s="126">
        <f>INDEX('AEO 40'!AF:AF,MATCH('psgr LDVs'!$B30,'AEO 40'!$B:$B,0))</f>
        <v>68.203636000000003</v>
      </c>
      <c r="AC30" s="126">
        <f>INDEX('AEO 40'!AG:AG,MATCH('psgr LDVs'!$B30,'AEO 40'!$B:$B,0))</f>
        <v>68.171843999999993</v>
      </c>
      <c r="AD30" s="126">
        <f>INDEX('AEO 40'!AH:AH,MATCH('psgr LDVs'!$B30,'AEO 40'!$B:$B,0))</f>
        <v>68.151306000000005</v>
      </c>
      <c r="AE30" s="126">
        <f>INDEX('AEO 40'!AI:AI,MATCH('psgr LDVs'!$B30,'AEO 40'!$B:$B,0))</f>
        <v>68.114295999999996</v>
      </c>
      <c r="AF30" s="126">
        <f>INDEX('AEO 40'!AJ:AJ,MATCH('psgr LDVs'!$B30,'AEO 40'!$B:$B,0))</f>
        <v>68.093361000000002</v>
      </c>
      <c r="AG30" s="126">
        <f>INDEX('AEO 40'!AK:AK,MATCH('psgr LDVs'!$B30,'AEO 40'!$B:$B,0))</f>
        <v>68.061813000000001</v>
      </c>
    </row>
    <row r="31" spans="1:33">
      <c r="A31" s="132" t="s">
        <v>115</v>
      </c>
      <c r="B31" s="117" t="s">
        <v>899</v>
      </c>
      <c r="C31" s="126">
        <f>INDEX('AEO 40'!G:G,MATCH('psgr LDVs'!$B31,'AEO 40'!$B:$B,0))</f>
        <v>0</v>
      </c>
      <c r="D31" s="126">
        <f>INDEX('AEO 40'!H:H,MATCH('psgr LDVs'!$B31,'AEO 40'!$B:$B,0))</f>
        <v>0</v>
      </c>
      <c r="E31" s="126">
        <f>INDEX('AEO 40'!I:I,MATCH('psgr LDVs'!$B31,'AEO 40'!$B:$B,0))</f>
        <v>0</v>
      </c>
      <c r="F31" s="126">
        <f>INDEX('AEO 40'!J:J,MATCH('psgr LDVs'!$B31,'AEO 40'!$B:$B,0))</f>
        <v>0</v>
      </c>
      <c r="G31" s="126">
        <f>INDEX('AEO 40'!K:K,MATCH('psgr LDVs'!$B31,'AEO 40'!$B:$B,0))</f>
        <v>0</v>
      </c>
      <c r="H31" s="126">
        <f>INDEX('AEO 40'!L:L,MATCH('psgr LDVs'!$B31,'AEO 40'!$B:$B,0))</f>
        <v>0</v>
      </c>
      <c r="I31" s="126">
        <f>INDEX('AEO 40'!M:M,MATCH('psgr LDVs'!$B31,'AEO 40'!$B:$B,0))</f>
        <v>0</v>
      </c>
      <c r="J31" s="126">
        <f>INDEX('AEO 40'!N:N,MATCH('psgr LDVs'!$B31,'AEO 40'!$B:$B,0))</f>
        <v>0</v>
      </c>
      <c r="K31" s="126">
        <f>INDEX('AEO 40'!O:O,MATCH('psgr LDVs'!$B31,'AEO 40'!$B:$B,0))</f>
        <v>0</v>
      </c>
      <c r="L31" s="126">
        <f>INDEX('AEO 40'!P:P,MATCH('psgr LDVs'!$B31,'AEO 40'!$B:$B,0))</f>
        <v>0</v>
      </c>
      <c r="M31" s="126">
        <f>INDEX('AEO 40'!Q:Q,MATCH('psgr LDVs'!$B31,'AEO 40'!$B:$B,0))</f>
        <v>0</v>
      </c>
      <c r="N31" s="126">
        <f>INDEX('AEO 40'!R:R,MATCH('psgr LDVs'!$B31,'AEO 40'!$B:$B,0))</f>
        <v>0</v>
      </c>
      <c r="O31" s="126">
        <f>INDEX('AEO 40'!S:S,MATCH('psgr LDVs'!$B31,'AEO 40'!$B:$B,0))</f>
        <v>0</v>
      </c>
      <c r="P31" s="126">
        <f>INDEX('AEO 40'!T:T,MATCH('psgr LDVs'!$B31,'AEO 40'!$B:$B,0))</f>
        <v>0</v>
      </c>
      <c r="Q31" s="126">
        <f>INDEX('AEO 40'!U:U,MATCH('psgr LDVs'!$B31,'AEO 40'!$B:$B,0))</f>
        <v>0</v>
      </c>
      <c r="R31" s="126">
        <f>INDEX('AEO 40'!V:V,MATCH('psgr LDVs'!$B31,'AEO 40'!$B:$B,0))</f>
        <v>0</v>
      </c>
      <c r="S31" s="126">
        <f>INDEX('AEO 40'!W:W,MATCH('psgr LDVs'!$B31,'AEO 40'!$B:$B,0))</f>
        <v>0</v>
      </c>
      <c r="T31" s="126">
        <f>INDEX('AEO 40'!X:X,MATCH('psgr LDVs'!$B31,'AEO 40'!$B:$B,0))</f>
        <v>0</v>
      </c>
      <c r="U31" s="126">
        <f>INDEX('AEO 40'!Y:Y,MATCH('psgr LDVs'!$B31,'AEO 40'!$B:$B,0))</f>
        <v>0</v>
      </c>
      <c r="V31" s="126">
        <f>INDEX('AEO 40'!Z:Z,MATCH('psgr LDVs'!$B31,'AEO 40'!$B:$B,0))</f>
        <v>0</v>
      </c>
      <c r="W31" s="126">
        <f>INDEX('AEO 40'!AA:AA,MATCH('psgr LDVs'!$B31,'AEO 40'!$B:$B,0))</f>
        <v>0</v>
      </c>
      <c r="X31" s="126">
        <f>INDEX('AEO 40'!AB:AB,MATCH('psgr LDVs'!$B31,'AEO 40'!$B:$B,0))</f>
        <v>0</v>
      </c>
      <c r="Y31" s="126">
        <f>INDEX('AEO 40'!AC:AC,MATCH('psgr LDVs'!$B31,'AEO 40'!$B:$B,0))</f>
        <v>0</v>
      </c>
      <c r="Z31" s="126">
        <f>INDEX('AEO 40'!AD:AD,MATCH('psgr LDVs'!$B31,'AEO 40'!$B:$B,0))</f>
        <v>0</v>
      </c>
      <c r="AA31" s="126">
        <f>INDEX('AEO 40'!AE:AE,MATCH('psgr LDVs'!$B31,'AEO 40'!$B:$B,0))</f>
        <v>0</v>
      </c>
      <c r="AB31" s="126">
        <f>INDEX('AEO 40'!AF:AF,MATCH('psgr LDVs'!$B31,'AEO 40'!$B:$B,0))</f>
        <v>0</v>
      </c>
      <c r="AC31" s="126">
        <f>INDEX('AEO 40'!AG:AG,MATCH('psgr LDVs'!$B31,'AEO 40'!$B:$B,0))</f>
        <v>0</v>
      </c>
      <c r="AD31" s="126">
        <f>INDEX('AEO 40'!AH:AH,MATCH('psgr LDVs'!$B31,'AEO 40'!$B:$B,0))</f>
        <v>0</v>
      </c>
      <c r="AE31" s="126">
        <f>INDEX('AEO 40'!AI:AI,MATCH('psgr LDVs'!$B31,'AEO 40'!$B:$B,0))</f>
        <v>0</v>
      </c>
      <c r="AF31" s="126">
        <f>INDEX('AEO 40'!AJ:AJ,MATCH('psgr LDVs'!$B31,'AEO 40'!$B:$B,0))</f>
        <v>0</v>
      </c>
      <c r="AG31" s="126">
        <f>INDEX('AEO 40'!AK:AK,MATCH('psgr LDVs'!$B31,'AEO 40'!$B:$B,0))</f>
        <v>0</v>
      </c>
    </row>
    <row r="32" spans="1:33">
      <c r="A32" s="132" t="s">
        <v>114</v>
      </c>
      <c r="B32" s="117" t="s">
        <v>900</v>
      </c>
      <c r="C32" s="126">
        <f>INDEX('AEO 40'!G:G,MATCH('psgr LDVs'!$B32,'AEO 40'!$B:$B,0))</f>
        <v>44.357875999999997</v>
      </c>
      <c r="D32" s="126">
        <f>INDEX('AEO 40'!H:H,MATCH('psgr LDVs'!$B32,'AEO 40'!$B:$B,0))</f>
        <v>45.452750999999999</v>
      </c>
      <c r="E32" s="126">
        <f>INDEX('AEO 40'!I:I,MATCH('psgr LDVs'!$B32,'AEO 40'!$B:$B,0))</f>
        <v>45.995403000000003</v>
      </c>
      <c r="F32" s="126">
        <f>INDEX('AEO 40'!J:J,MATCH('psgr LDVs'!$B32,'AEO 40'!$B:$B,0))</f>
        <v>46.538032999999999</v>
      </c>
      <c r="G32" s="126">
        <f>INDEX('AEO 40'!K:K,MATCH('psgr LDVs'!$B32,'AEO 40'!$B:$B,0))</f>
        <v>46.906703999999998</v>
      </c>
      <c r="H32" s="126">
        <f>INDEX('AEO 40'!L:L,MATCH('psgr LDVs'!$B32,'AEO 40'!$B:$B,0))</f>
        <v>47.992401000000001</v>
      </c>
      <c r="I32" s="126">
        <f>INDEX('AEO 40'!M:M,MATCH('psgr LDVs'!$B32,'AEO 40'!$B:$B,0))</f>
        <v>48.900967000000001</v>
      </c>
      <c r="J32" s="126">
        <f>INDEX('AEO 40'!N:N,MATCH('psgr LDVs'!$B32,'AEO 40'!$B:$B,0))</f>
        <v>49.071804</v>
      </c>
      <c r="K32" s="126">
        <f>INDEX('AEO 40'!O:O,MATCH('psgr LDVs'!$B32,'AEO 40'!$B:$B,0))</f>
        <v>49.005198999999998</v>
      </c>
      <c r="L32" s="126">
        <f>INDEX('AEO 40'!P:P,MATCH('psgr LDVs'!$B32,'AEO 40'!$B:$B,0))</f>
        <v>48.905636000000001</v>
      </c>
      <c r="M32" s="126">
        <f>INDEX('AEO 40'!Q:Q,MATCH('psgr LDVs'!$B32,'AEO 40'!$B:$B,0))</f>
        <v>48.841782000000002</v>
      </c>
      <c r="N32" s="126">
        <f>INDEX('AEO 40'!R:R,MATCH('psgr LDVs'!$B32,'AEO 40'!$B:$B,0))</f>
        <v>48.765984000000003</v>
      </c>
      <c r="O32" s="126">
        <f>INDEX('AEO 40'!S:S,MATCH('psgr LDVs'!$B32,'AEO 40'!$B:$B,0))</f>
        <v>48.728816999999999</v>
      </c>
      <c r="P32" s="126">
        <f>INDEX('AEO 40'!T:T,MATCH('psgr LDVs'!$B32,'AEO 40'!$B:$B,0))</f>
        <v>48.689647999999998</v>
      </c>
      <c r="Q32" s="126">
        <f>INDEX('AEO 40'!U:U,MATCH('psgr LDVs'!$B32,'AEO 40'!$B:$B,0))</f>
        <v>48.653519000000003</v>
      </c>
      <c r="R32" s="126">
        <f>INDEX('AEO 40'!V:V,MATCH('psgr LDVs'!$B32,'AEO 40'!$B:$B,0))</f>
        <v>48.602058</v>
      </c>
      <c r="S32" s="126">
        <f>INDEX('AEO 40'!W:W,MATCH('psgr LDVs'!$B32,'AEO 40'!$B:$B,0))</f>
        <v>48.562153000000002</v>
      </c>
      <c r="T32" s="126">
        <f>INDEX('AEO 40'!X:X,MATCH('psgr LDVs'!$B32,'AEO 40'!$B:$B,0))</f>
        <v>48.523819000000003</v>
      </c>
      <c r="U32" s="126">
        <f>INDEX('AEO 40'!Y:Y,MATCH('psgr LDVs'!$B32,'AEO 40'!$B:$B,0))</f>
        <v>48.476131000000002</v>
      </c>
      <c r="V32" s="126">
        <f>INDEX('AEO 40'!Z:Z,MATCH('psgr LDVs'!$B32,'AEO 40'!$B:$B,0))</f>
        <v>48.422843999999998</v>
      </c>
      <c r="W32" s="126">
        <f>INDEX('AEO 40'!AA:AA,MATCH('psgr LDVs'!$B32,'AEO 40'!$B:$B,0))</f>
        <v>48.371502</v>
      </c>
      <c r="X32" s="126">
        <f>INDEX('AEO 40'!AB:AB,MATCH('psgr LDVs'!$B32,'AEO 40'!$B:$B,0))</f>
        <v>48.314053000000001</v>
      </c>
      <c r="Y32" s="126">
        <f>INDEX('AEO 40'!AC:AC,MATCH('psgr LDVs'!$B32,'AEO 40'!$B:$B,0))</f>
        <v>48.253825999999997</v>
      </c>
      <c r="Z32" s="126">
        <f>INDEX('AEO 40'!AD:AD,MATCH('psgr LDVs'!$B32,'AEO 40'!$B:$B,0))</f>
        <v>48.197032999999998</v>
      </c>
      <c r="AA32" s="126">
        <f>INDEX('AEO 40'!AE:AE,MATCH('psgr LDVs'!$B32,'AEO 40'!$B:$B,0))</f>
        <v>48.142715000000003</v>
      </c>
      <c r="AB32" s="126">
        <f>INDEX('AEO 40'!AF:AF,MATCH('psgr LDVs'!$B32,'AEO 40'!$B:$B,0))</f>
        <v>48.087707999999999</v>
      </c>
      <c r="AC32" s="126">
        <f>INDEX('AEO 40'!AG:AG,MATCH('psgr LDVs'!$B32,'AEO 40'!$B:$B,0))</f>
        <v>48.031067</v>
      </c>
      <c r="AD32" s="126">
        <f>INDEX('AEO 40'!AH:AH,MATCH('psgr LDVs'!$B32,'AEO 40'!$B:$B,0))</f>
        <v>47.979263000000003</v>
      </c>
      <c r="AE32" s="126">
        <f>INDEX('AEO 40'!AI:AI,MATCH('psgr LDVs'!$B32,'AEO 40'!$B:$B,0))</f>
        <v>47.924652000000002</v>
      </c>
      <c r="AF32" s="126">
        <f>INDEX('AEO 40'!AJ:AJ,MATCH('psgr LDVs'!$B32,'AEO 40'!$B:$B,0))</f>
        <v>47.875210000000003</v>
      </c>
      <c r="AG32" s="126">
        <f>INDEX('AEO 40'!AK:AK,MATCH('psgr LDVs'!$B32,'AEO 40'!$B:$B,0))</f>
        <v>47.825684000000003</v>
      </c>
    </row>
    <row r="33" spans="1:33">
      <c r="A33" s="132" t="s">
        <v>113</v>
      </c>
      <c r="B33" s="117" t="s">
        <v>901</v>
      </c>
      <c r="C33" s="126">
        <f>INDEX('AEO 40'!G:G,MATCH('psgr LDVs'!$B33,'AEO 40'!$B:$B,0))</f>
        <v>31.861865999999999</v>
      </c>
      <c r="D33" s="126">
        <f>INDEX('AEO 40'!H:H,MATCH('psgr LDVs'!$B33,'AEO 40'!$B:$B,0))</f>
        <v>32.843581999999998</v>
      </c>
      <c r="E33" s="126">
        <f>INDEX('AEO 40'!I:I,MATCH('psgr LDVs'!$B33,'AEO 40'!$B:$B,0))</f>
        <v>33.386707000000001</v>
      </c>
      <c r="F33" s="126">
        <f>INDEX('AEO 40'!J:J,MATCH('psgr LDVs'!$B33,'AEO 40'!$B:$B,0))</f>
        <v>33.716830999999999</v>
      </c>
      <c r="G33" s="126">
        <f>INDEX('AEO 40'!K:K,MATCH('psgr LDVs'!$B33,'AEO 40'!$B:$B,0))</f>
        <v>33.918095000000001</v>
      </c>
      <c r="H33" s="126">
        <f>INDEX('AEO 40'!L:L,MATCH('psgr LDVs'!$B33,'AEO 40'!$B:$B,0))</f>
        <v>34.391376000000001</v>
      </c>
      <c r="I33" s="126">
        <f>INDEX('AEO 40'!M:M,MATCH('psgr LDVs'!$B33,'AEO 40'!$B:$B,0))</f>
        <v>34.498711</v>
      </c>
      <c r="J33" s="126">
        <f>INDEX('AEO 40'!N:N,MATCH('psgr LDVs'!$B33,'AEO 40'!$B:$B,0))</f>
        <v>34.498961999999999</v>
      </c>
      <c r="K33" s="126">
        <f>INDEX('AEO 40'!O:O,MATCH('psgr LDVs'!$B33,'AEO 40'!$B:$B,0))</f>
        <v>34.490237999999998</v>
      </c>
      <c r="L33" s="126">
        <f>INDEX('AEO 40'!P:P,MATCH('psgr LDVs'!$B33,'AEO 40'!$B:$B,0))</f>
        <v>34.477215000000001</v>
      </c>
      <c r="M33" s="126">
        <f>INDEX('AEO 40'!Q:Q,MATCH('psgr LDVs'!$B33,'AEO 40'!$B:$B,0))</f>
        <v>34.467044999999999</v>
      </c>
      <c r="N33" s="126">
        <f>INDEX('AEO 40'!R:R,MATCH('psgr LDVs'!$B33,'AEO 40'!$B:$B,0))</f>
        <v>34.451011999999999</v>
      </c>
      <c r="O33" s="126">
        <f>INDEX('AEO 40'!S:S,MATCH('psgr LDVs'!$B33,'AEO 40'!$B:$B,0))</f>
        <v>34.429020000000001</v>
      </c>
      <c r="P33" s="126">
        <f>INDEX('AEO 40'!T:T,MATCH('psgr LDVs'!$B33,'AEO 40'!$B:$B,0))</f>
        <v>34.387855999999999</v>
      </c>
      <c r="Q33" s="126">
        <f>INDEX('AEO 40'!U:U,MATCH('psgr LDVs'!$B33,'AEO 40'!$B:$B,0))</f>
        <v>34.36533</v>
      </c>
      <c r="R33" s="126">
        <f>INDEX('AEO 40'!V:V,MATCH('psgr LDVs'!$B33,'AEO 40'!$B:$B,0))</f>
        <v>34.336357</v>
      </c>
      <c r="S33" s="126">
        <f>INDEX('AEO 40'!W:W,MATCH('psgr LDVs'!$B33,'AEO 40'!$B:$B,0))</f>
        <v>34.319068999999999</v>
      </c>
      <c r="T33" s="126">
        <f>INDEX('AEO 40'!X:X,MATCH('psgr LDVs'!$B33,'AEO 40'!$B:$B,0))</f>
        <v>34.303936</v>
      </c>
      <c r="U33" s="126">
        <f>INDEX('AEO 40'!Y:Y,MATCH('psgr LDVs'!$B33,'AEO 40'!$B:$B,0))</f>
        <v>34.285034000000003</v>
      </c>
      <c r="V33" s="126">
        <f>INDEX('AEO 40'!Z:Z,MATCH('psgr LDVs'!$B33,'AEO 40'!$B:$B,0))</f>
        <v>34.259048</v>
      </c>
      <c r="W33" s="126">
        <f>INDEX('AEO 40'!AA:AA,MATCH('psgr LDVs'!$B33,'AEO 40'!$B:$B,0))</f>
        <v>34.230620999999999</v>
      </c>
      <c r="X33" s="126">
        <f>INDEX('AEO 40'!AB:AB,MATCH('psgr LDVs'!$B33,'AEO 40'!$B:$B,0))</f>
        <v>34.206336999999998</v>
      </c>
      <c r="Y33" s="126">
        <f>INDEX('AEO 40'!AC:AC,MATCH('psgr LDVs'!$B33,'AEO 40'!$B:$B,0))</f>
        <v>34.186405000000001</v>
      </c>
      <c r="Z33" s="126">
        <f>INDEX('AEO 40'!AD:AD,MATCH('psgr LDVs'!$B33,'AEO 40'!$B:$B,0))</f>
        <v>34.159382000000001</v>
      </c>
      <c r="AA33" s="126">
        <f>INDEX('AEO 40'!AE:AE,MATCH('psgr LDVs'!$B33,'AEO 40'!$B:$B,0))</f>
        <v>34.135489999999997</v>
      </c>
      <c r="AB33" s="126">
        <f>INDEX('AEO 40'!AF:AF,MATCH('psgr LDVs'!$B33,'AEO 40'!$B:$B,0))</f>
        <v>34.113357999999998</v>
      </c>
      <c r="AC33" s="126">
        <f>INDEX('AEO 40'!AG:AG,MATCH('psgr LDVs'!$B33,'AEO 40'!$B:$B,0))</f>
        <v>34.092205</v>
      </c>
      <c r="AD33" s="126">
        <f>INDEX('AEO 40'!AH:AH,MATCH('psgr LDVs'!$B33,'AEO 40'!$B:$B,0))</f>
        <v>34.066825999999999</v>
      </c>
      <c r="AE33" s="126">
        <f>INDEX('AEO 40'!AI:AI,MATCH('psgr LDVs'!$B33,'AEO 40'!$B:$B,0))</f>
        <v>34.039417</v>
      </c>
      <c r="AF33" s="126">
        <f>INDEX('AEO 40'!AJ:AJ,MATCH('psgr LDVs'!$B33,'AEO 40'!$B:$B,0))</f>
        <v>34.015148000000003</v>
      </c>
      <c r="AG33" s="126">
        <f>INDEX('AEO 40'!AK:AK,MATCH('psgr LDVs'!$B33,'AEO 40'!$B:$B,0))</f>
        <v>33.990993000000003</v>
      </c>
    </row>
    <row r="34" spans="1:33">
      <c r="A34" s="132" t="s">
        <v>113</v>
      </c>
      <c r="B34" s="117" t="s">
        <v>902</v>
      </c>
      <c r="C34" s="126">
        <f>INDEX('AEO 40'!G:G,MATCH('psgr LDVs'!$B34,'AEO 40'!$B:$B,0))</f>
        <v>29.55686</v>
      </c>
      <c r="D34" s="126">
        <f>INDEX('AEO 40'!H:H,MATCH('psgr LDVs'!$B34,'AEO 40'!$B:$B,0))</f>
        <v>30.560005</v>
      </c>
      <c r="E34" s="126">
        <f>INDEX('AEO 40'!I:I,MATCH('psgr LDVs'!$B34,'AEO 40'!$B:$B,0))</f>
        <v>31.066334000000001</v>
      </c>
      <c r="F34" s="126">
        <f>INDEX('AEO 40'!J:J,MATCH('psgr LDVs'!$B34,'AEO 40'!$B:$B,0))</f>
        <v>31.427596999999999</v>
      </c>
      <c r="G34" s="126">
        <f>INDEX('AEO 40'!K:K,MATCH('psgr LDVs'!$B34,'AEO 40'!$B:$B,0))</f>
        <v>31.681533999999999</v>
      </c>
      <c r="H34" s="126">
        <f>INDEX('AEO 40'!L:L,MATCH('psgr LDVs'!$B34,'AEO 40'!$B:$B,0))</f>
        <v>31.997173</v>
      </c>
      <c r="I34" s="126">
        <f>INDEX('AEO 40'!M:M,MATCH('psgr LDVs'!$B34,'AEO 40'!$B:$B,0))</f>
        <v>32.123885999999999</v>
      </c>
      <c r="J34" s="126">
        <f>INDEX('AEO 40'!N:N,MATCH('psgr LDVs'!$B34,'AEO 40'!$B:$B,0))</f>
        <v>32.132770999999998</v>
      </c>
      <c r="K34" s="126">
        <f>INDEX('AEO 40'!O:O,MATCH('psgr LDVs'!$B34,'AEO 40'!$B:$B,0))</f>
        <v>32.130611000000002</v>
      </c>
      <c r="L34" s="126">
        <f>INDEX('AEO 40'!P:P,MATCH('psgr LDVs'!$B34,'AEO 40'!$B:$B,0))</f>
        <v>32.118251999999998</v>
      </c>
      <c r="M34" s="126">
        <f>INDEX('AEO 40'!Q:Q,MATCH('psgr LDVs'!$B34,'AEO 40'!$B:$B,0))</f>
        <v>32.116740999999998</v>
      </c>
      <c r="N34" s="126">
        <f>INDEX('AEO 40'!R:R,MATCH('psgr LDVs'!$B34,'AEO 40'!$B:$B,0))</f>
        <v>32.099792000000001</v>
      </c>
      <c r="O34" s="126">
        <f>INDEX('AEO 40'!S:S,MATCH('psgr LDVs'!$B34,'AEO 40'!$B:$B,0))</f>
        <v>32.078986999999998</v>
      </c>
      <c r="P34" s="126">
        <f>INDEX('AEO 40'!T:T,MATCH('psgr LDVs'!$B34,'AEO 40'!$B:$B,0))</f>
        <v>32.053646000000001</v>
      </c>
      <c r="Q34" s="126">
        <f>INDEX('AEO 40'!U:U,MATCH('psgr LDVs'!$B34,'AEO 40'!$B:$B,0))</f>
        <v>32.035358000000002</v>
      </c>
      <c r="R34" s="126">
        <f>INDEX('AEO 40'!V:V,MATCH('psgr LDVs'!$B34,'AEO 40'!$B:$B,0))</f>
        <v>32.011780000000002</v>
      </c>
      <c r="S34" s="126">
        <f>INDEX('AEO 40'!W:W,MATCH('psgr LDVs'!$B34,'AEO 40'!$B:$B,0))</f>
        <v>31.985199000000001</v>
      </c>
      <c r="T34" s="126">
        <f>INDEX('AEO 40'!X:X,MATCH('psgr LDVs'!$B34,'AEO 40'!$B:$B,0))</f>
        <v>31.960155</v>
      </c>
      <c r="U34" s="126">
        <f>INDEX('AEO 40'!Y:Y,MATCH('psgr LDVs'!$B34,'AEO 40'!$B:$B,0))</f>
        <v>31.950474</v>
      </c>
      <c r="V34" s="126">
        <f>INDEX('AEO 40'!Z:Z,MATCH('psgr LDVs'!$B34,'AEO 40'!$B:$B,0))</f>
        <v>31.926682</v>
      </c>
      <c r="W34" s="126">
        <f>INDEX('AEO 40'!AA:AA,MATCH('psgr LDVs'!$B34,'AEO 40'!$B:$B,0))</f>
        <v>31.909835999999999</v>
      </c>
      <c r="X34" s="126">
        <f>INDEX('AEO 40'!AB:AB,MATCH('psgr LDVs'!$B34,'AEO 40'!$B:$B,0))</f>
        <v>31.894207000000002</v>
      </c>
      <c r="Y34" s="126">
        <f>INDEX('AEO 40'!AC:AC,MATCH('psgr LDVs'!$B34,'AEO 40'!$B:$B,0))</f>
        <v>31.879822000000001</v>
      </c>
      <c r="Z34" s="126">
        <f>INDEX('AEO 40'!AD:AD,MATCH('psgr LDVs'!$B34,'AEO 40'!$B:$B,0))</f>
        <v>31.863997999999999</v>
      </c>
      <c r="AA34" s="126">
        <f>INDEX('AEO 40'!AE:AE,MATCH('psgr LDVs'!$B34,'AEO 40'!$B:$B,0))</f>
        <v>31.851064999999998</v>
      </c>
      <c r="AB34" s="126">
        <f>INDEX('AEO 40'!AF:AF,MATCH('psgr LDVs'!$B34,'AEO 40'!$B:$B,0))</f>
        <v>31.837519</v>
      </c>
      <c r="AC34" s="126">
        <f>INDEX('AEO 40'!AG:AG,MATCH('psgr LDVs'!$B34,'AEO 40'!$B:$B,0))</f>
        <v>31.822821000000001</v>
      </c>
      <c r="AD34" s="126">
        <f>INDEX('AEO 40'!AH:AH,MATCH('psgr LDVs'!$B34,'AEO 40'!$B:$B,0))</f>
        <v>31.810343</v>
      </c>
      <c r="AE34" s="126">
        <f>INDEX('AEO 40'!AI:AI,MATCH('psgr LDVs'!$B34,'AEO 40'!$B:$B,0))</f>
        <v>31.794965999999999</v>
      </c>
      <c r="AF34" s="126">
        <f>INDEX('AEO 40'!AJ:AJ,MATCH('psgr LDVs'!$B34,'AEO 40'!$B:$B,0))</f>
        <v>31.781870000000001</v>
      </c>
      <c r="AG34" s="126">
        <f>INDEX('AEO 40'!AK:AK,MATCH('psgr LDVs'!$B34,'AEO 40'!$B:$B,0))</f>
        <v>31.769265999999998</v>
      </c>
    </row>
    <row r="35" spans="1:33">
      <c r="A35" s="132" t="s">
        <v>853</v>
      </c>
      <c r="B35" s="117" t="s">
        <v>903</v>
      </c>
      <c r="C35" s="126">
        <f>INDEX('AEO 40'!G:G,MATCH('psgr LDVs'!$B35,'AEO 40'!$B:$B,0))</f>
        <v>30.622246000000001</v>
      </c>
      <c r="D35" s="126">
        <f>INDEX('AEO 40'!H:H,MATCH('psgr LDVs'!$B35,'AEO 40'!$B:$B,0))</f>
        <v>31.605253000000001</v>
      </c>
      <c r="E35" s="126">
        <f>INDEX('AEO 40'!I:I,MATCH('psgr LDVs'!$B35,'AEO 40'!$B:$B,0))</f>
        <v>32.179554000000003</v>
      </c>
      <c r="F35" s="126">
        <f>INDEX('AEO 40'!J:J,MATCH('psgr LDVs'!$B35,'AEO 40'!$B:$B,0))</f>
        <v>32.467956999999998</v>
      </c>
      <c r="G35" s="126">
        <f>INDEX('AEO 40'!K:K,MATCH('psgr LDVs'!$B35,'AEO 40'!$B:$B,0))</f>
        <v>32.679893</v>
      </c>
      <c r="H35" s="126">
        <f>INDEX('AEO 40'!L:L,MATCH('psgr LDVs'!$B35,'AEO 40'!$B:$B,0))</f>
        <v>33.143794999999997</v>
      </c>
      <c r="I35" s="126">
        <f>INDEX('AEO 40'!M:M,MATCH('psgr LDVs'!$B35,'AEO 40'!$B:$B,0))</f>
        <v>33.203918000000002</v>
      </c>
      <c r="J35" s="126">
        <f>INDEX('AEO 40'!N:N,MATCH('psgr LDVs'!$B35,'AEO 40'!$B:$B,0))</f>
        <v>33.179671999999997</v>
      </c>
      <c r="K35" s="126">
        <f>INDEX('AEO 40'!O:O,MATCH('psgr LDVs'!$B35,'AEO 40'!$B:$B,0))</f>
        <v>33.157229999999998</v>
      </c>
      <c r="L35" s="126">
        <f>INDEX('AEO 40'!P:P,MATCH('psgr LDVs'!$B35,'AEO 40'!$B:$B,0))</f>
        <v>33.124744</v>
      </c>
      <c r="M35" s="126">
        <f>INDEX('AEO 40'!Q:Q,MATCH('psgr LDVs'!$B35,'AEO 40'!$B:$B,0))</f>
        <v>33.096722</v>
      </c>
      <c r="N35" s="126">
        <f>INDEX('AEO 40'!R:R,MATCH('psgr LDVs'!$B35,'AEO 40'!$B:$B,0))</f>
        <v>33.071339000000002</v>
      </c>
      <c r="O35" s="126">
        <f>INDEX('AEO 40'!S:S,MATCH('psgr LDVs'!$B35,'AEO 40'!$B:$B,0))</f>
        <v>33.032288000000001</v>
      </c>
      <c r="P35" s="126">
        <f>INDEX('AEO 40'!T:T,MATCH('psgr LDVs'!$B35,'AEO 40'!$B:$B,0))</f>
        <v>32.987822999999999</v>
      </c>
      <c r="Q35" s="126">
        <f>INDEX('AEO 40'!U:U,MATCH('psgr LDVs'!$B35,'AEO 40'!$B:$B,0))</f>
        <v>32.946789000000003</v>
      </c>
      <c r="R35" s="126">
        <f>INDEX('AEO 40'!V:V,MATCH('psgr LDVs'!$B35,'AEO 40'!$B:$B,0))</f>
        <v>32.911011000000002</v>
      </c>
      <c r="S35" s="126">
        <f>INDEX('AEO 40'!W:W,MATCH('psgr LDVs'!$B35,'AEO 40'!$B:$B,0))</f>
        <v>32.895007999999997</v>
      </c>
      <c r="T35" s="126">
        <f>INDEX('AEO 40'!X:X,MATCH('psgr LDVs'!$B35,'AEO 40'!$B:$B,0))</f>
        <v>32.851913000000003</v>
      </c>
      <c r="U35" s="126">
        <f>INDEX('AEO 40'!Y:Y,MATCH('psgr LDVs'!$B35,'AEO 40'!$B:$B,0))</f>
        <v>32.818314000000001</v>
      </c>
      <c r="V35" s="126">
        <f>INDEX('AEO 40'!Z:Z,MATCH('psgr LDVs'!$B35,'AEO 40'!$B:$B,0))</f>
        <v>32.777790000000003</v>
      </c>
      <c r="W35" s="126">
        <f>INDEX('AEO 40'!AA:AA,MATCH('psgr LDVs'!$B35,'AEO 40'!$B:$B,0))</f>
        <v>32.736030999999997</v>
      </c>
      <c r="X35" s="126">
        <f>INDEX('AEO 40'!AB:AB,MATCH('psgr LDVs'!$B35,'AEO 40'!$B:$B,0))</f>
        <v>32.696677999999999</v>
      </c>
      <c r="Y35" s="126">
        <f>INDEX('AEO 40'!AC:AC,MATCH('psgr LDVs'!$B35,'AEO 40'!$B:$B,0))</f>
        <v>32.661732000000001</v>
      </c>
      <c r="Z35" s="126">
        <f>INDEX('AEO 40'!AD:AD,MATCH('psgr LDVs'!$B35,'AEO 40'!$B:$B,0))</f>
        <v>32.618389000000001</v>
      </c>
      <c r="AA35" s="126">
        <f>INDEX('AEO 40'!AE:AE,MATCH('psgr LDVs'!$B35,'AEO 40'!$B:$B,0))</f>
        <v>32.578406999999999</v>
      </c>
      <c r="AB35" s="126">
        <f>INDEX('AEO 40'!AF:AF,MATCH('psgr LDVs'!$B35,'AEO 40'!$B:$B,0))</f>
        <v>32.533005000000003</v>
      </c>
      <c r="AC35" s="126">
        <f>INDEX('AEO 40'!AG:AG,MATCH('psgr LDVs'!$B35,'AEO 40'!$B:$B,0))</f>
        <v>32.495533000000002</v>
      </c>
      <c r="AD35" s="126">
        <f>INDEX('AEO 40'!AH:AH,MATCH('psgr LDVs'!$B35,'AEO 40'!$B:$B,0))</f>
        <v>32.456966000000001</v>
      </c>
      <c r="AE35" s="126">
        <f>INDEX('AEO 40'!AI:AI,MATCH('psgr LDVs'!$B35,'AEO 40'!$B:$B,0))</f>
        <v>32.419879999999999</v>
      </c>
      <c r="AF35" s="126">
        <f>INDEX('AEO 40'!AJ:AJ,MATCH('psgr LDVs'!$B35,'AEO 40'!$B:$B,0))</f>
        <v>32.378104999999998</v>
      </c>
      <c r="AG35" s="126">
        <f>INDEX('AEO 40'!AK:AK,MATCH('psgr LDVs'!$B35,'AEO 40'!$B:$B,0))</f>
        <v>32.336609000000003</v>
      </c>
    </row>
    <row r="36" spans="1:33">
      <c r="A36" s="132" t="s">
        <v>853</v>
      </c>
      <c r="B36" s="117" t="s">
        <v>904</v>
      </c>
      <c r="C36" s="126">
        <f>INDEX('AEO 40'!G:G,MATCH('psgr LDVs'!$B36,'AEO 40'!$B:$B,0))</f>
        <v>29.502110999999999</v>
      </c>
      <c r="D36" s="126">
        <f>INDEX('AEO 40'!H:H,MATCH('psgr LDVs'!$B36,'AEO 40'!$B:$B,0))</f>
        <v>30.504111999999999</v>
      </c>
      <c r="E36" s="126">
        <f>INDEX('AEO 40'!I:I,MATCH('psgr LDVs'!$B36,'AEO 40'!$B:$B,0))</f>
        <v>31.009266</v>
      </c>
      <c r="F36" s="126">
        <f>INDEX('AEO 40'!J:J,MATCH('psgr LDVs'!$B36,'AEO 40'!$B:$B,0))</f>
        <v>31.374596</v>
      </c>
      <c r="G36" s="126">
        <f>INDEX('AEO 40'!K:K,MATCH('psgr LDVs'!$B36,'AEO 40'!$B:$B,0))</f>
        <v>31.631080999999998</v>
      </c>
      <c r="H36" s="126">
        <f>INDEX('AEO 40'!L:L,MATCH('psgr LDVs'!$B36,'AEO 40'!$B:$B,0))</f>
        <v>31.944258000000001</v>
      </c>
      <c r="I36" s="126">
        <f>INDEX('AEO 40'!M:M,MATCH('psgr LDVs'!$B36,'AEO 40'!$B:$B,0))</f>
        <v>32.076157000000002</v>
      </c>
      <c r="J36" s="126">
        <f>INDEX('AEO 40'!N:N,MATCH('psgr LDVs'!$B36,'AEO 40'!$B:$B,0))</f>
        <v>32.08567</v>
      </c>
      <c r="K36" s="126">
        <f>INDEX('AEO 40'!O:O,MATCH('psgr LDVs'!$B36,'AEO 40'!$B:$B,0))</f>
        <v>32.083663999999999</v>
      </c>
      <c r="L36" s="126">
        <f>INDEX('AEO 40'!P:P,MATCH('psgr LDVs'!$B36,'AEO 40'!$B:$B,0))</f>
        <v>32.071297000000001</v>
      </c>
      <c r="M36" s="126">
        <f>INDEX('AEO 40'!Q:Q,MATCH('psgr LDVs'!$B36,'AEO 40'!$B:$B,0))</f>
        <v>32.069775</v>
      </c>
      <c r="N36" s="126">
        <f>INDEX('AEO 40'!R:R,MATCH('psgr LDVs'!$B36,'AEO 40'!$B:$B,0))</f>
        <v>32.052813999999998</v>
      </c>
      <c r="O36" s="126">
        <f>INDEX('AEO 40'!S:S,MATCH('psgr LDVs'!$B36,'AEO 40'!$B:$B,0))</f>
        <v>32.032027999999997</v>
      </c>
      <c r="P36" s="126">
        <f>INDEX('AEO 40'!T:T,MATCH('psgr LDVs'!$B36,'AEO 40'!$B:$B,0))</f>
        <v>32.006858999999999</v>
      </c>
      <c r="Q36" s="126">
        <f>INDEX('AEO 40'!U:U,MATCH('psgr LDVs'!$B36,'AEO 40'!$B:$B,0))</f>
        <v>31.988849999999999</v>
      </c>
      <c r="R36" s="126">
        <f>INDEX('AEO 40'!V:V,MATCH('psgr LDVs'!$B36,'AEO 40'!$B:$B,0))</f>
        <v>31.965149</v>
      </c>
      <c r="S36" s="126">
        <f>INDEX('AEO 40'!W:W,MATCH('psgr LDVs'!$B36,'AEO 40'!$B:$B,0))</f>
        <v>31.938510999999998</v>
      </c>
      <c r="T36" s="126">
        <f>INDEX('AEO 40'!X:X,MATCH('psgr LDVs'!$B36,'AEO 40'!$B:$B,0))</f>
        <v>31.913309000000002</v>
      </c>
      <c r="U36" s="126">
        <f>INDEX('AEO 40'!Y:Y,MATCH('psgr LDVs'!$B36,'AEO 40'!$B:$B,0))</f>
        <v>31.903884999999999</v>
      </c>
      <c r="V36" s="126">
        <f>INDEX('AEO 40'!Z:Z,MATCH('psgr LDVs'!$B36,'AEO 40'!$B:$B,0))</f>
        <v>31.879961000000002</v>
      </c>
      <c r="W36" s="126">
        <f>INDEX('AEO 40'!AA:AA,MATCH('psgr LDVs'!$B36,'AEO 40'!$B:$B,0))</f>
        <v>31.863143999999998</v>
      </c>
      <c r="X36" s="126">
        <f>INDEX('AEO 40'!AB:AB,MATCH('psgr LDVs'!$B36,'AEO 40'!$B:$B,0))</f>
        <v>31.847632999999998</v>
      </c>
      <c r="Y36" s="126">
        <f>INDEX('AEO 40'!AC:AC,MATCH('psgr LDVs'!$B36,'AEO 40'!$B:$B,0))</f>
        <v>31.833341999999998</v>
      </c>
      <c r="Z36" s="126">
        <f>INDEX('AEO 40'!AD:AD,MATCH('psgr LDVs'!$B36,'AEO 40'!$B:$B,0))</f>
        <v>31.817549</v>
      </c>
      <c r="AA36" s="126">
        <f>INDEX('AEO 40'!AE:AE,MATCH('psgr LDVs'!$B36,'AEO 40'!$B:$B,0))</f>
        <v>31.804779</v>
      </c>
      <c r="AB36" s="126">
        <f>INDEX('AEO 40'!AF:AF,MATCH('psgr LDVs'!$B36,'AEO 40'!$B:$B,0))</f>
        <v>31.791487</v>
      </c>
      <c r="AC36" s="126">
        <f>INDEX('AEO 40'!AG:AG,MATCH('psgr LDVs'!$B36,'AEO 40'!$B:$B,0))</f>
        <v>31.776972000000001</v>
      </c>
      <c r="AD36" s="126">
        <f>INDEX('AEO 40'!AH:AH,MATCH('psgr LDVs'!$B36,'AEO 40'!$B:$B,0))</f>
        <v>31.764709</v>
      </c>
      <c r="AE36" s="126">
        <f>INDEX('AEO 40'!AI:AI,MATCH('psgr LDVs'!$B36,'AEO 40'!$B:$B,0))</f>
        <v>31.749523</v>
      </c>
      <c r="AF36" s="126">
        <f>INDEX('AEO 40'!AJ:AJ,MATCH('psgr LDVs'!$B36,'AEO 40'!$B:$B,0))</f>
        <v>31.736805</v>
      </c>
      <c r="AG36" s="126">
        <f>INDEX('AEO 40'!AK:AK,MATCH('psgr LDVs'!$B36,'AEO 40'!$B:$B,0))</f>
        <v>31.724529</v>
      </c>
    </row>
    <row r="37" spans="1:33">
      <c r="A37" s="132" t="s">
        <v>854</v>
      </c>
      <c r="B37" s="117" t="s">
        <v>905</v>
      </c>
      <c r="C37" s="126">
        <f>INDEX('AEO 40'!G:G,MATCH('psgr LDVs'!$B37,'AEO 40'!$B:$B,0))</f>
        <v>0</v>
      </c>
      <c r="D37" s="126">
        <f>INDEX('AEO 40'!H:H,MATCH('psgr LDVs'!$B37,'AEO 40'!$B:$B,0))</f>
        <v>0</v>
      </c>
      <c r="E37" s="126">
        <f>INDEX('AEO 40'!I:I,MATCH('psgr LDVs'!$B37,'AEO 40'!$B:$B,0))</f>
        <v>0</v>
      </c>
      <c r="F37" s="126">
        <f>INDEX('AEO 40'!J:J,MATCH('psgr LDVs'!$B37,'AEO 40'!$B:$B,0))</f>
        <v>0</v>
      </c>
      <c r="G37" s="126">
        <f>INDEX('AEO 40'!K:K,MATCH('psgr LDVs'!$B37,'AEO 40'!$B:$B,0))</f>
        <v>0</v>
      </c>
      <c r="H37" s="126">
        <f>INDEX('AEO 40'!L:L,MATCH('psgr LDVs'!$B37,'AEO 40'!$B:$B,0))</f>
        <v>0</v>
      </c>
      <c r="I37" s="126">
        <f>INDEX('AEO 40'!M:M,MATCH('psgr LDVs'!$B37,'AEO 40'!$B:$B,0))</f>
        <v>0</v>
      </c>
      <c r="J37" s="126">
        <f>INDEX('AEO 40'!N:N,MATCH('psgr LDVs'!$B37,'AEO 40'!$B:$B,0))</f>
        <v>0</v>
      </c>
      <c r="K37" s="126">
        <f>INDEX('AEO 40'!O:O,MATCH('psgr LDVs'!$B37,'AEO 40'!$B:$B,0))</f>
        <v>0</v>
      </c>
      <c r="L37" s="126">
        <f>INDEX('AEO 40'!P:P,MATCH('psgr LDVs'!$B37,'AEO 40'!$B:$B,0))</f>
        <v>0</v>
      </c>
      <c r="M37" s="126">
        <f>INDEX('AEO 40'!Q:Q,MATCH('psgr LDVs'!$B37,'AEO 40'!$B:$B,0))</f>
        <v>0</v>
      </c>
      <c r="N37" s="126">
        <f>INDEX('AEO 40'!R:R,MATCH('psgr LDVs'!$B37,'AEO 40'!$B:$B,0))</f>
        <v>0</v>
      </c>
      <c r="O37" s="126">
        <f>INDEX('AEO 40'!S:S,MATCH('psgr LDVs'!$B37,'AEO 40'!$B:$B,0))</f>
        <v>0</v>
      </c>
      <c r="P37" s="126">
        <f>INDEX('AEO 40'!T:T,MATCH('psgr LDVs'!$B37,'AEO 40'!$B:$B,0))</f>
        <v>0</v>
      </c>
      <c r="Q37" s="126">
        <f>INDEX('AEO 40'!U:U,MATCH('psgr LDVs'!$B37,'AEO 40'!$B:$B,0))</f>
        <v>0</v>
      </c>
      <c r="R37" s="126">
        <f>INDEX('AEO 40'!V:V,MATCH('psgr LDVs'!$B37,'AEO 40'!$B:$B,0))</f>
        <v>0</v>
      </c>
      <c r="S37" s="126">
        <f>INDEX('AEO 40'!W:W,MATCH('psgr LDVs'!$B37,'AEO 40'!$B:$B,0))</f>
        <v>0</v>
      </c>
      <c r="T37" s="126">
        <f>INDEX('AEO 40'!X:X,MATCH('psgr LDVs'!$B37,'AEO 40'!$B:$B,0))</f>
        <v>0</v>
      </c>
      <c r="U37" s="126">
        <f>INDEX('AEO 40'!Y:Y,MATCH('psgr LDVs'!$B37,'AEO 40'!$B:$B,0))</f>
        <v>0</v>
      </c>
      <c r="V37" s="126">
        <f>INDEX('AEO 40'!Z:Z,MATCH('psgr LDVs'!$B37,'AEO 40'!$B:$B,0))</f>
        <v>0</v>
      </c>
      <c r="W37" s="126">
        <f>INDEX('AEO 40'!AA:AA,MATCH('psgr LDVs'!$B37,'AEO 40'!$B:$B,0))</f>
        <v>0</v>
      </c>
      <c r="X37" s="126">
        <f>INDEX('AEO 40'!AB:AB,MATCH('psgr LDVs'!$B37,'AEO 40'!$B:$B,0))</f>
        <v>0</v>
      </c>
      <c r="Y37" s="126">
        <f>INDEX('AEO 40'!AC:AC,MATCH('psgr LDVs'!$B37,'AEO 40'!$B:$B,0))</f>
        <v>0</v>
      </c>
      <c r="Z37" s="126">
        <f>INDEX('AEO 40'!AD:AD,MATCH('psgr LDVs'!$B37,'AEO 40'!$B:$B,0))</f>
        <v>0</v>
      </c>
      <c r="AA37" s="126">
        <f>INDEX('AEO 40'!AE:AE,MATCH('psgr LDVs'!$B37,'AEO 40'!$B:$B,0))</f>
        <v>0</v>
      </c>
      <c r="AB37" s="126">
        <f>INDEX('AEO 40'!AF:AF,MATCH('psgr LDVs'!$B37,'AEO 40'!$B:$B,0))</f>
        <v>0</v>
      </c>
      <c r="AC37" s="126">
        <f>INDEX('AEO 40'!AG:AG,MATCH('psgr LDVs'!$B37,'AEO 40'!$B:$B,0))</f>
        <v>0</v>
      </c>
      <c r="AD37" s="126">
        <f>INDEX('AEO 40'!AH:AH,MATCH('psgr LDVs'!$B37,'AEO 40'!$B:$B,0))</f>
        <v>0</v>
      </c>
      <c r="AE37" s="126">
        <f>INDEX('AEO 40'!AI:AI,MATCH('psgr LDVs'!$B37,'AEO 40'!$B:$B,0))</f>
        <v>0</v>
      </c>
      <c r="AF37" s="126">
        <f>INDEX('AEO 40'!AJ:AJ,MATCH('psgr LDVs'!$B37,'AEO 40'!$B:$B,0))</f>
        <v>0</v>
      </c>
      <c r="AG37" s="126">
        <f>INDEX('AEO 40'!AK:AK,MATCH('psgr LDVs'!$B37,'AEO 40'!$B:$B,0))</f>
        <v>0</v>
      </c>
    </row>
    <row r="38" spans="1:33">
      <c r="A38" s="132" t="s">
        <v>854</v>
      </c>
      <c r="B38" s="117" t="s">
        <v>906</v>
      </c>
      <c r="C38" s="126">
        <f>INDEX('AEO 40'!G:G,MATCH('psgr LDVs'!$B38,'AEO 40'!$B:$B,0))</f>
        <v>37.807884000000001</v>
      </c>
      <c r="D38" s="126">
        <f>INDEX('AEO 40'!H:H,MATCH('psgr LDVs'!$B38,'AEO 40'!$B:$B,0))</f>
        <v>38.799689999999998</v>
      </c>
      <c r="E38" s="126">
        <f>INDEX('AEO 40'!I:I,MATCH('psgr LDVs'!$B38,'AEO 40'!$B:$B,0))</f>
        <v>38.842461</v>
      </c>
      <c r="F38" s="126">
        <f>INDEX('AEO 40'!J:J,MATCH('psgr LDVs'!$B38,'AEO 40'!$B:$B,0))</f>
        <v>38.809654000000002</v>
      </c>
      <c r="G38" s="126">
        <f>INDEX('AEO 40'!K:K,MATCH('psgr LDVs'!$B38,'AEO 40'!$B:$B,0))</f>
        <v>38.952423000000003</v>
      </c>
      <c r="H38" s="126">
        <f>INDEX('AEO 40'!L:L,MATCH('psgr LDVs'!$B38,'AEO 40'!$B:$B,0))</f>
        <v>38.998772000000002</v>
      </c>
      <c r="I38" s="126">
        <f>INDEX('AEO 40'!M:M,MATCH('psgr LDVs'!$B38,'AEO 40'!$B:$B,0))</f>
        <v>38.980716999999999</v>
      </c>
      <c r="J38" s="126">
        <f>INDEX('AEO 40'!N:N,MATCH('psgr LDVs'!$B38,'AEO 40'!$B:$B,0))</f>
        <v>38.968319000000001</v>
      </c>
      <c r="K38" s="126">
        <f>INDEX('AEO 40'!O:O,MATCH('psgr LDVs'!$B38,'AEO 40'!$B:$B,0))</f>
        <v>38.987118000000002</v>
      </c>
      <c r="L38" s="126">
        <f>INDEX('AEO 40'!P:P,MATCH('psgr LDVs'!$B38,'AEO 40'!$B:$B,0))</f>
        <v>39.008662999999999</v>
      </c>
      <c r="M38" s="126">
        <f>INDEX('AEO 40'!Q:Q,MATCH('psgr LDVs'!$B38,'AEO 40'!$B:$B,0))</f>
        <v>39.052441000000002</v>
      </c>
      <c r="N38" s="126">
        <f>INDEX('AEO 40'!R:R,MATCH('psgr LDVs'!$B38,'AEO 40'!$B:$B,0))</f>
        <v>39.070346999999998</v>
      </c>
      <c r="O38" s="126">
        <f>INDEX('AEO 40'!S:S,MATCH('psgr LDVs'!$B38,'AEO 40'!$B:$B,0))</f>
        <v>39.100074999999997</v>
      </c>
      <c r="P38" s="126">
        <f>INDEX('AEO 40'!T:T,MATCH('psgr LDVs'!$B38,'AEO 40'!$B:$B,0))</f>
        <v>39.154696999999999</v>
      </c>
      <c r="Q38" s="126">
        <f>INDEX('AEO 40'!U:U,MATCH('psgr LDVs'!$B38,'AEO 40'!$B:$B,0))</f>
        <v>39.224575000000002</v>
      </c>
      <c r="R38" s="126">
        <f>INDEX('AEO 40'!V:V,MATCH('psgr LDVs'!$B38,'AEO 40'!$B:$B,0))</f>
        <v>39.296847999999997</v>
      </c>
      <c r="S38" s="126">
        <f>INDEX('AEO 40'!W:W,MATCH('psgr LDVs'!$B38,'AEO 40'!$B:$B,0))</f>
        <v>39.371372000000001</v>
      </c>
      <c r="T38" s="126">
        <f>INDEX('AEO 40'!X:X,MATCH('psgr LDVs'!$B38,'AEO 40'!$B:$B,0))</f>
        <v>39.457985000000001</v>
      </c>
      <c r="U38" s="126">
        <f>INDEX('AEO 40'!Y:Y,MATCH('psgr LDVs'!$B38,'AEO 40'!$B:$B,0))</f>
        <v>39.552101</v>
      </c>
      <c r="V38" s="126">
        <f>INDEX('AEO 40'!Z:Z,MATCH('psgr LDVs'!$B38,'AEO 40'!$B:$B,0))</f>
        <v>39.651665000000001</v>
      </c>
      <c r="W38" s="126">
        <f>INDEX('AEO 40'!AA:AA,MATCH('psgr LDVs'!$B38,'AEO 40'!$B:$B,0))</f>
        <v>39.760478999999997</v>
      </c>
      <c r="X38" s="126">
        <f>INDEX('AEO 40'!AB:AB,MATCH('psgr LDVs'!$B38,'AEO 40'!$B:$B,0))</f>
        <v>39.875320000000002</v>
      </c>
      <c r="Y38" s="126">
        <f>INDEX('AEO 40'!AC:AC,MATCH('psgr LDVs'!$B38,'AEO 40'!$B:$B,0))</f>
        <v>39.989348999999997</v>
      </c>
      <c r="Z38" s="126">
        <f>INDEX('AEO 40'!AD:AD,MATCH('psgr LDVs'!$B38,'AEO 40'!$B:$B,0))</f>
        <v>40.106861000000002</v>
      </c>
      <c r="AA38" s="126">
        <f>INDEX('AEO 40'!AE:AE,MATCH('psgr LDVs'!$B38,'AEO 40'!$B:$B,0))</f>
        <v>40.228512000000002</v>
      </c>
      <c r="AB38" s="126">
        <f>INDEX('AEO 40'!AF:AF,MATCH('psgr LDVs'!$B38,'AEO 40'!$B:$B,0))</f>
        <v>40.351573999999999</v>
      </c>
      <c r="AC38" s="126">
        <f>INDEX('AEO 40'!AG:AG,MATCH('psgr LDVs'!$B38,'AEO 40'!$B:$B,0))</f>
        <v>40.465255999999997</v>
      </c>
      <c r="AD38" s="126">
        <f>INDEX('AEO 40'!AH:AH,MATCH('psgr LDVs'!$B38,'AEO 40'!$B:$B,0))</f>
        <v>40.573878999999998</v>
      </c>
      <c r="AE38" s="126">
        <f>INDEX('AEO 40'!AI:AI,MATCH('psgr LDVs'!$B38,'AEO 40'!$B:$B,0))</f>
        <v>40.674187000000003</v>
      </c>
      <c r="AF38" s="126">
        <f>INDEX('AEO 40'!AJ:AJ,MATCH('psgr LDVs'!$B38,'AEO 40'!$B:$B,0))</f>
        <v>40.771259000000001</v>
      </c>
      <c r="AG38" s="126">
        <f>INDEX('AEO 40'!AK:AK,MATCH('psgr LDVs'!$B38,'AEO 40'!$B:$B,0))</f>
        <v>40.860550000000003</v>
      </c>
    </row>
    <row r="39" spans="1:33">
      <c r="A39" s="132"/>
      <c r="B39" s="117" t="s">
        <v>907</v>
      </c>
      <c r="C39" s="126">
        <f>INDEX('AEO 40'!G:G,MATCH('psgr LDVs'!$B39,'AEO 40'!$B:$B,0))</f>
        <v>31.765070000000001</v>
      </c>
      <c r="D39" s="126">
        <f>INDEX('AEO 40'!H:H,MATCH('psgr LDVs'!$B39,'AEO 40'!$B:$B,0))</f>
        <v>32.790131000000002</v>
      </c>
      <c r="E39" s="126">
        <f>INDEX('AEO 40'!I:I,MATCH('psgr LDVs'!$B39,'AEO 40'!$B:$B,0))</f>
        <v>33.304336999999997</v>
      </c>
      <c r="F39" s="126">
        <f>INDEX('AEO 40'!J:J,MATCH('psgr LDVs'!$B39,'AEO 40'!$B:$B,0))</f>
        <v>33.675227999999997</v>
      </c>
      <c r="G39" s="126">
        <f>INDEX('AEO 40'!K:K,MATCH('psgr LDVs'!$B39,'AEO 40'!$B:$B,0))</f>
        <v>33.948895</v>
      </c>
      <c r="H39" s="126">
        <f>INDEX('AEO 40'!L:L,MATCH('psgr LDVs'!$B39,'AEO 40'!$B:$B,0))</f>
        <v>34.370635999999998</v>
      </c>
      <c r="I39" s="126">
        <f>INDEX('AEO 40'!M:M,MATCH('psgr LDVs'!$B39,'AEO 40'!$B:$B,0))</f>
        <v>34.850887</v>
      </c>
      <c r="J39" s="126">
        <f>INDEX('AEO 40'!N:N,MATCH('psgr LDVs'!$B39,'AEO 40'!$B:$B,0))</f>
        <v>34.987330999999998</v>
      </c>
      <c r="K39" s="126">
        <f>INDEX('AEO 40'!O:O,MATCH('psgr LDVs'!$B39,'AEO 40'!$B:$B,0))</f>
        <v>35.027724999999997</v>
      </c>
      <c r="L39" s="126">
        <f>INDEX('AEO 40'!P:P,MATCH('psgr LDVs'!$B39,'AEO 40'!$B:$B,0))</f>
        <v>35.055889000000001</v>
      </c>
      <c r="M39" s="126">
        <f>INDEX('AEO 40'!Q:Q,MATCH('psgr LDVs'!$B39,'AEO 40'!$B:$B,0))</f>
        <v>35.139995999999996</v>
      </c>
      <c r="N39" s="126">
        <f>INDEX('AEO 40'!R:R,MATCH('psgr LDVs'!$B39,'AEO 40'!$B:$B,0))</f>
        <v>35.184066999999999</v>
      </c>
      <c r="O39" s="126">
        <f>INDEX('AEO 40'!S:S,MATCH('psgr LDVs'!$B39,'AEO 40'!$B:$B,0))</f>
        <v>35.253815000000003</v>
      </c>
      <c r="P39" s="126">
        <f>INDEX('AEO 40'!T:T,MATCH('psgr LDVs'!$B39,'AEO 40'!$B:$B,0))</f>
        <v>35.313755</v>
      </c>
      <c r="Q39" s="126">
        <f>INDEX('AEO 40'!U:U,MATCH('psgr LDVs'!$B39,'AEO 40'!$B:$B,0))</f>
        <v>35.395432</v>
      </c>
      <c r="R39" s="126">
        <f>INDEX('AEO 40'!V:V,MATCH('psgr LDVs'!$B39,'AEO 40'!$B:$B,0))</f>
        <v>35.447819000000003</v>
      </c>
      <c r="S39" s="126">
        <f>INDEX('AEO 40'!W:W,MATCH('psgr LDVs'!$B39,'AEO 40'!$B:$B,0))</f>
        <v>35.509632000000003</v>
      </c>
      <c r="T39" s="126">
        <f>INDEX('AEO 40'!X:X,MATCH('psgr LDVs'!$B39,'AEO 40'!$B:$B,0))</f>
        <v>35.580489999999998</v>
      </c>
      <c r="U39" s="126">
        <f>INDEX('AEO 40'!Y:Y,MATCH('psgr LDVs'!$B39,'AEO 40'!$B:$B,0))</f>
        <v>35.672145999999998</v>
      </c>
      <c r="V39" s="126">
        <f>INDEX('AEO 40'!Z:Z,MATCH('psgr LDVs'!$B39,'AEO 40'!$B:$B,0))</f>
        <v>35.736598999999998</v>
      </c>
      <c r="W39" s="126">
        <f>INDEX('AEO 40'!AA:AA,MATCH('psgr LDVs'!$B39,'AEO 40'!$B:$B,0))</f>
        <v>35.815669999999997</v>
      </c>
      <c r="X39" s="126">
        <f>INDEX('AEO 40'!AB:AB,MATCH('psgr LDVs'!$B39,'AEO 40'!$B:$B,0))</f>
        <v>35.866309999999999</v>
      </c>
      <c r="Y39" s="126">
        <f>INDEX('AEO 40'!AC:AC,MATCH('psgr LDVs'!$B39,'AEO 40'!$B:$B,0))</f>
        <v>35.911537000000003</v>
      </c>
      <c r="Z39" s="126">
        <f>INDEX('AEO 40'!AD:AD,MATCH('psgr LDVs'!$B39,'AEO 40'!$B:$B,0))</f>
        <v>35.962077999999998</v>
      </c>
      <c r="AA39" s="126">
        <f>INDEX('AEO 40'!AE:AE,MATCH('psgr LDVs'!$B39,'AEO 40'!$B:$B,0))</f>
        <v>36.021683000000003</v>
      </c>
      <c r="AB39" s="126">
        <f>INDEX('AEO 40'!AF:AF,MATCH('psgr LDVs'!$B39,'AEO 40'!$B:$B,0))</f>
        <v>36.090629999999997</v>
      </c>
      <c r="AC39" s="126">
        <f>INDEX('AEO 40'!AG:AG,MATCH('psgr LDVs'!$B39,'AEO 40'!$B:$B,0))</f>
        <v>36.147751</v>
      </c>
      <c r="AD39" s="126">
        <f>INDEX('AEO 40'!AH:AH,MATCH('psgr LDVs'!$B39,'AEO 40'!$B:$B,0))</f>
        <v>36.213341</v>
      </c>
      <c r="AE39" s="126">
        <f>INDEX('AEO 40'!AI:AI,MATCH('psgr LDVs'!$B39,'AEO 40'!$B:$B,0))</f>
        <v>36.274783999999997</v>
      </c>
      <c r="AF39" s="126">
        <f>INDEX('AEO 40'!AJ:AJ,MATCH('psgr LDVs'!$B39,'AEO 40'!$B:$B,0))</f>
        <v>36.358317999999997</v>
      </c>
      <c r="AG39" s="126">
        <f>INDEX('AEO 40'!AK:AK,MATCH('psgr LDVs'!$B39,'AEO 40'!$B:$B,0))</f>
        <v>36.442936000000003</v>
      </c>
    </row>
    <row r="40" spans="1:33">
      <c r="D40" s="133"/>
    </row>
    <row r="41" spans="1:33" s="1" customFormat="1">
      <c r="A41" s="1" t="s">
        <v>3040</v>
      </c>
      <c r="C41" s="21">
        <v>2020</v>
      </c>
      <c r="D41" s="21">
        <v>2021</v>
      </c>
      <c r="E41" s="21">
        <v>2022</v>
      </c>
      <c r="F41" s="21">
        <v>2023</v>
      </c>
      <c r="G41" s="21">
        <v>2024</v>
      </c>
      <c r="H41" s="21">
        <v>2025</v>
      </c>
      <c r="I41" s="21">
        <v>2026</v>
      </c>
      <c r="J41" s="21">
        <v>2027</v>
      </c>
      <c r="K41" s="21">
        <v>2028</v>
      </c>
      <c r="L41" s="21">
        <v>2029</v>
      </c>
      <c r="M41" s="21">
        <v>2030</v>
      </c>
      <c r="N41" s="21">
        <v>2031</v>
      </c>
      <c r="O41" s="21">
        <v>2032</v>
      </c>
      <c r="P41" s="21">
        <v>2033</v>
      </c>
      <c r="Q41" s="21">
        <v>2034</v>
      </c>
      <c r="R41" s="21">
        <v>2035</v>
      </c>
      <c r="S41" s="21">
        <v>2036</v>
      </c>
      <c r="T41" s="21">
        <v>2037</v>
      </c>
      <c r="U41" s="21">
        <v>2038</v>
      </c>
      <c r="V41" s="21">
        <v>2039</v>
      </c>
      <c r="W41" s="21">
        <v>2040</v>
      </c>
      <c r="X41" s="21">
        <v>2041</v>
      </c>
      <c r="Y41" s="21">
        <v>2042</v>
      </c>
      <c r="Z41" s="21">
        <v>2043</v>
      </c>
      <c r="AA41" s="21">
        <v>2044</v>
      </c>
      <c r="AB41" s="21">
        <v>2045</v>
      </c>
      <c r="AC41" s="21">
        <v>2046</v>
      </c>
      <c r="AD41" s="21">
        <v>2047</v>
      </c>
      <c r="AE41" s="21">
        <v>2048</v>
      </c>
      <c r="AF41" s="21">
        <v>2049</v>
      </c>
      <c r="AG41" s="21">
        <v>2050</v>
      </c>
    </row>
    <row r="42" spans="1:33">
      <c r="A42" s="132" t="s">
        <v>114</v>
      </c>
      <c r="B42" s="117" t="s">
        <v>916</v>
      </c>
      <c r="C42" s="125">
        <f>INDEX('AEO 38'!G:G,MATCH('psgr LDVs'!$B42,'AEO 38'!$B:$B,0))</f>
        <v>4430.5400390000004</v>
      </c>
      <c r="D42" s="126">
        <f>INDEX('AEO 38'!H:H,MATCH('psgr LDVs'!$B42,'AEO 38'!$B:$B,0))</f>
        <v>4768.9262699999999</v>
      </c>
      <c r="E42" s="126">
        <f>INDEX('AEO 38'!I:I,MATCH('psgr LDVs'!$B42,'AEO 38'!$B:$B,0))</f>
        <v>5242.6860349999997</v>
      </c>
      <c r="F42" s="126">
        <f>INDEX('AEO 38'!J:J,MATCH('psgr LDVs'!$B42,'AEO 38'!$B:$B,0))</f>
        <v>5277.4257809999999</v>
      </c>
      <c r="G42" s="126">
        <f>INDEX('AEO 38'!K:K,MATCH('psgr LDVs'!$B42,'AEO 38'!$B:$B,0))</f>
        <v>5332.482422</v>
      </c>
      <c r="H42" s="126">
        <f>INDEX('AEO 38'!L:L,MATCH('psgr LDVs'!$B42,'AEO 38'!$B:$B,0))</f>
        <v>5366.3647460000002</v>
      </c>
      <c r="I42" s="126">
        <f>INDEX('AEO 38'!M:M,MATCH('psgr LDVs'!$B42,'AEO 38'!$B:$B,0))</f>
        <v>5276.0283200000003</v>
      </c>
      <c r="J42" s="126">
        <f>INDEX('AEO 38'!N:N,MATCH('psgr LDVs'!$B42,'AEO 38'!$B:$B,0))</f>
        <v>5157.7226559999999</v>
      </c>
      <c r="K42" s="126">
        <f>INDEX('AEO 38'!O:O,MATCH('psgr LDVs'!$B42,'AEO 38'!$B:$B,0))</f>
        <v>5160.4291990000002</v>
      </c>
      <c r="L42" s="126">
        <f>INDEX('AEO 38'!P:P,MATCH('psgr LDVs'!$B42,'AEO 38'!$B:$B,0))</f>
        <v>5150.4785160000001</v>
      </c>
      <c r="M42" s="126">
        <f>INDEX('AEO 38'!Q:Q,MATCH('psgr LDVs'!$B42,'AEO 38'!$B:$B,0))</f>
        <v>5149.1210940000001</v>
      </c>
      <c r="N42" s="126">
        <f>INDEX('AEO 38'!R:R,MATCH('psgr LDVs'!$B42,'AEO 38'!$B:$B,0))</f>
        <v>5129.0278319999998</v>
      </c>
      <c r="O42" s="126">
        <f>INDEX('AEO 38'!S:S,MATCH('psgr LDVs'!$B42,'AEO 38'!$B:$B,0))</f>
        <v>5123.6499020000001</v>
      </c>
      <c r="P42" s="126">
        <f>INDEX('AEO 38'!T:T,MATCH('psgr LDVs'!$B42,'AEO 38'!$B:$B,0))</f>
        <v>5107.1650390000004</v>
      </c>
      <c r="Q42" s="126">
        <f>INDEX('AEO 38'!U:U,MATCH('psgr LDVs'!$B42,'AEO 38'!$B:$B,0))</f>
        <v>5106.6157229999999</v>
      </c>
      <c r="R42" s="126">
        <f>INDEX('AEO 38'!V:V,MATCH('psgr LDVs'!$B42,'AEO 38'!$B:$B,0))</f>
        <v>5067.029297</v>
      </c>
      <c r="S42" s="126">
        <f>INDEX('AEO 38'!W:W,MATCH('psgr LDVs'!$B42,'AEO 38'!$B:$B,0))</f>
        <v>4988.6606449999999</v>
      </c>
      <c r="T42" s="126">
        <f>INDEX('AEO 38'!X:X,MATCH('psgr LDVs'!$B42,'AEO 38'!$B:$B,0))</f>
        <v>4915.4423829999996</v>
      </c>
      <c r="U42" s="126">
        <f>INDEX('AEO 38'!Y:Y,MATCH('psgr LDVs'!$B42,'AEO 38'!$B:$B,0))</f>
        <v>4879.7421880000002</v>
      </c>
      <c r="V42" s="126">
        <f>INDEX('AEO 38'!Z:Z,MATCH('psgr LDVs'!$B42,'AEO 38'!$B:$B,0))</f>
        <v>4824.8183589999999</v>
      </c>
      <c r="W42" s="126">
        <f>INDEX('AEO 38'!AA:AA,MATCH('psgr LDVs'!$B42,'AEO 38'!$B:$B,0))</f>
        <v>4767.015625</v>
      </c>
      <c r="X42" s="126">
        <f>INDEX('AEO 38'!AB:AB,MATCH('psgr LDVs'!$B42,'AEO 38'!$B:$B,0))</f>
        <v>4718.7866210000002</v>
      </c>
      <c r="Y42" s="126">
        <f>INDEX('AEO 38'!AC:AC,MATCH('psgr LDVs'!$B42,'AEO 38'!$B:$B,0))</f>
        <v>4672.1494140000004</v>
      </c>
      <c r="Z42" s="126">
        <f>INDEX('AEO 38'!AD:AD,MATCH('psgr LDVs'!$B42,'AEO 38'!$B:$B,0))</f>
        <v>4616.1040039999998</v>
      </c>
      <c r="AA42" s="126">
        <f>INDEX('AEO 38'!AE:AE,MATCH('psgr LDVs'!$B42,'AEO 38'!$B:$B,0))</f>
        <v>4570.1870120000003</v>
      </c>
      <c r="AB42" s="126">
        <f>INDEX('AEO 38'!AF:AF,MATCH('psgr LDVs'!$B42,'AEO 38'!$B:$B,0))</f>
        <v>4571.701172</v>
      </c>
      <c r="AC42" s="126">
        <f>INDEX('AEO 38'!AG:AG,MATCH('psgr LDVs'!$B42,'AEO 38'!$B:$B,0))</f>
        <v>4505.4287109999996</v>
      </c>
      <c r="AD42" s="126">
        <f>INDEX('AEO 38'!AH:AH,MATCH('psgr LDVs'!$B42,'AEO 38'!$B:$B,0))</f>
        <v>4434.6743159999996</v>
      </c>
      <c r="AE42" s="126">
        <f>INDEX('AEO 38'!AI:AI,MATCH('psgr LDVs'!$B42,'AEO 38'!$B:$B,0))</f>
        <v>4405.3608400000003</v>
      </c>
      <c r="AF42" s="126">
        <f>INDEX('AEO 38'!AJ:AJ,MATCH('psgr LDVs'!$B42,'AEO 38'!$B:$B,0))</f>
        <v>4332.6879879999997</v>
      </c>
      <c r="AG42" s="126">
        <f>INDEX('AEO 38'!AK:AK,MATCH('psgr LDVs'!$B42,'AEO 38'!$B:$B,0))</f>
        <v>4252.9243159999996</v>
      </c>
    </row>
    <row r="43" spans="1:33">
      <c r="A43" s="132" t="s">
        <v>115</v>
      </c>
      <c r="B43" s="117" t="s">
        <v>917</v>
      </c>
      <c r="C43" s="126">
        <f>INDEX('AEO 38'!G:G,MATCH('psgr LDVs'!$B43,'AEO 38'!$B:$B,0))</f>
        <v>9.1703000000000007E-2</v>
      </c>
      <c r="D43" s="126">
        <f>INDEX('AEO 38'!H:H,MATCH('psgr LDVs'!$B43,'AEO 38'!$B:$B,0))</f>
        <v>9.0031E-2</v>
      </c>
      <c r="E43" s="126">
        <f>INDEX('AEO 38'!I:I,MATCH('psgr LDVs'!$B43,'AEO 38'!$B:$B,0))</f>
        <v>9.4423999999999994E-2</v>
      </c>
      <c r="F43" s="126">
        <f>INDEX('AEO 38'!J:J,MATCH('psgr LDVs'!$B43,'AEO 38'!$B:$B,0))</f>
        <v>8.9815000000000006E-2</v>
      </c>
      <c r="G43" s="126">
        <f>INDEX('AEO 38'!K:K,MATCH('psgr LDVs'!$B43,'AEO 38'!$B:$B,0))</f>
        <v>8.7709999999999996E-2</v>
      </c>
      <c r="H43" s="126">
        <f>INDEX('AEO 38'!L:L,MATCH('psgr LDVs'!$B43,'AEO 38'!$B:$B,0))</f>
        <v>8.9249999999999996E-2</v>
      </c>
      <c r="I43" s="126">
        <f>INDEX('AEO 38'!M:M,MATCH('psgr LDVs'!$B43,'AEO 38'!$B:$B,0))</f>
        <v>8.6430999999999994E-2</v>
      </c>
      <c r="J43" s="126">
        <f>INDEX('AEO 38'!N:N,MATCH('psgr LDVs'!$B43,'AEO 38'!$B:$B,0))</f>
        <v>8.3304000000000003E-2</v>
      </c>
      <c r="K43" s="126">
        <f>INDEX('AEO 38'!O:O,MATCH('psgr LDVs'!$B43,'AEO 38'!$B:$B,0))</f>
        <v>8.455E-2</v>
      </c>
      <c r="L43" s="126">
        <f>INDEX('AEO 38'!P:P,MATCH('psgr LDVs'!$B43,'AEO 38'!$B:$B,0))</f>
        <v>8.4074999999999997E-2</v>
      </c>
      <c r="M43" s="126">
        <f>INDEX('AEO 38'!Q:Q,MATCH('psgr LDVs'!$B43,'AEO 38'!$B:$B,0))</f>
        <v>8.3117999999999997E-2</v>
      </c>
      <c r="N43" s="126">
        <f>INDEX('AEO 38'!R:R,MATCH('psgr LDVs'!$B43,'AEO 38'!$B:$B,0))</f>
        <v>8.4137000000000003E-2</v>
      </c>
      <c r="O43" s="126">
        <f>INDEX('AEO 38'!S:S,MATCH('psgr LDVs'!$B43,'AEO 38'!$B:$B,0))</f>
        <v>8.3977999999999997E-2</v>
      </c>
      <c r="P43" s="126">
        <f>INDEX('AEO 38'!T:T,MATCH('psgr LDVs'!$B43,'AEO 38'!$B:$B,0))</f>
        <v>8.3596000000000004E-2</v>
      </c>
      <c r="Q43" s="126">
        <f>INDEX('AEO 38'!U:U,MATCH('psgr LDVs'!$B43,'AEO 38'!$B:$B,0))</f>
        <v>8.4751999999999994E-2</v>
      </c>
      <c r="R43" s="126">
        <f>INDEX('AEO 38'!V:V,MATCH('psgr LDVs'!$B43,'AEO 38'!$B:$B,0))</f>
        <v>8.4325999999999998E-2</v>
      </c>
      <c r="S43" s="126">
        <f>INDEX('AEO 38'!W:W,MATCH('psgr LDVs'!$B43,'AEO 38'!$B:$B,0))</f>
        <v>8.3612000000000006E-2</v>
      </c>
      <c r="T43" s="126">
        <f>INDEX('AEO 38'!X:X,MATCH('psgr LDVs'!$B43,'AEO 38'!$B:$B,0))</f>
        <v>8.1952999999999998E-2</v>
      </c>
      <c r="U43" s="126">
        <f>INDEX('AEO 38'!Y:Y,MATCH('psgr LDVs'!$B43,'AEO 38'!$B:$B,0))</f>
        <v>8.1092999999999998E-2</v>
      </c>
      <c r="V43" s="126">
        <f>INDEX('AEO 38'!Z:Z,MATCH('psgr LDVs'!$B43,'AEO 38'!$B:$B,0))</f>
        <v>8.1319000000000002E-2</v>
      </c>
      <c r="W43" s="126">
        <f>INDEX('AEO 38'!AA:AA,MATCH('psgr LDVs'!$B43,'AEO 38'!$B:$B,0))</f>
        <v>7.8959000000000001E-2</v>
      </c>
      <c r="X43" s="126">
        <f>INDEX('AEO 38'!AB:AB,MATCH('psgr LDVs'!$B43,'AEO 38'!$B:$B,0))</f>
        <v>7.8243999999999994E-2</v>
      </c>
      <c r="Y43" s="126">
        <f>INDEX('AEO 38'!AC:AC,MATCH('psgr LDVs'!$B43,'AEO 38'!$B:$B,0))</f>
        <v>7.7311000000000005E-2</v>
      </c>
      <c r="Z43" s="126">
        <f>INDEX('AEO 38'!AD:AD,MATCH('psgr LDVs'!$B43,'AEO 38'!$B:$B,0))</f>
        <v>7.6275999999999997E-2</v>
      </c>
      <c r="AA43" s="126">
        <f>INDEX('AEO 38'!AE:AE,MATCH('psgr LDVs'!$B43,'AEO 38'!$B:$B,0))</f>
        <v>7.5326000000000004E-2</v>
      </c>
      <c r="AB43" s="126">
        <f>INDEX('AEO 38'!AF:AF,MATCH('psgr LDVs'!$B43,'AEO 38'!$B:$B,0))</f>
        <v>7.5412999999999994E-2</v>
      </c>
      <c r="AC43" s="126">
        <f>INDEX('AEO 38'!AG:AG,MATCH('psgr LDVs'!$B43,'AEO 38'!$B:$B,0))</f>
        <v>7.4001999999999998E-2</v>
      </c>
      <c r="AD43" s="126">
        <f>INDEX('AEO 38'!AH:AH,MATCH('psgr LDVs'!$B43,'AEO 38'!$B:$B,0))</f>
        <v>7.2724999999999998E-2</v>
      </c>
      <c r="AE43" s="126">
        <f>INDEX('AEO 38'!AI:AI,MATCH('psgr LDVs'!$B43,'AEO 38'!$B:$B,0))</f>
        <v>7.1912000000000004E-2</v>
      </c>
      <c r="AF43" s="126">
        <f>INDEX('AEO 38'!AJ:AJ,MATCH('psgr LDVs'!$B43,'AEO 38'!$B:$B,0))</f>
        <v>7.0516999999999996E-2</v>
      </c>
      <c r="AG43" s="126">
        <f>INDEX('AEO 38'!AK:AK,MATCH('psgr LDVs'!$B43,'AEO 38'!$B:$B,0))</f>
        <v>6.9125000000000006E-2</v>
      </c>
    </row>
    <row r="44" spans="1:33">
      <c r="A44" s="132"/>
      <c r="B44" s="117" t="s">
        <v>918</v>
      </c>
      <c r="C44" s="126">
        <f>INDEX('AEO 38'!G:G,MATCH('psgr LDVs'!$B44,'AEO 38'!$B:$B,0))</f>
        <v>4430.6318359999996</v>
      </c>
      <c r="D44" s="126">
        <f>INDEX('AEO 38'!H:H,MATCH('psgr LDVs'!$B44,'AEO 38'!$B:$B,0))</f>
        <v>4769.0161129999997</v>
      </c>
      <c r="E44" s="126">
        <f>INDEX('AEO 38'!I:I,MATCH('psgr LDVs'!$B44,'AEO 38'!$B:$B,0))</f>
        <v>5242.7802730000003</v>
      </c>
      <c r="F44" s="126">
        <f>INDEX('AEO 38'!J:J,MATCH('psgr LDVs'!$B44,'AEO 38'!$B:$B,0))</f>
        <v>5277.515625</v>
      </c>
      <c r="G44" s="126">
        <f>INDEX('AEO 38'!K:K,MATCH('psgr LDVs'!$B44,'AEO 38'!$B:$B,0))</f>
        <v>5332.5703119999998</v>
      </c>
      <c r="H44" s="126">
        <f>INDEX('AEO 38'!L:L,MATCH('psgr LDVs'!$B44,'AEO 38'!$B:$B,0))</f>
        <v>5366.4541019999997</v>
      </c>
      <c r="I44" s="126">
        <f>INDEX('AEO 38'!M:M,MATCH('psgr LDVs'!$B44,'AEO 38'!$B:$B,0))</f>
        <v>5276.1147460000002</v>
      </c>
      <c r="J44" s="126">
        <f>INDEX('AEO 38'!N:N,MATCH('psgr LDVs'!$B44,'AEO 38'!$B:$B,0))</f>
        <v>5157.8061520000001</v>
      </c>
      <c r="K44" s="126">
        <f>INDEX('AEO 38'!O:O,MATCH('psgr LDVs'!$B44,'AEO 38'!$B:$B,0))</f>
        <v>5160.513672</v>
      </c>
      <c r="L44" s="126">
        <f>INDEX('AEO 38'!P:P,MATCH('psgr LDVs'!$B44,'AEO 38'!$B:$B,0))</f>
        <v>5150.5625</v>
      </c>
      <c r="M44" s="126">
        <f>INDEX('AEO 38'!Q:Q,MATCH('psgr LDVs'!$B44,'AEO 38'!$B:$B,0))</f>
        <v>5149.2041019999997</v>
      </c>
      <c r="N44" s="126">
        <f>INDEX('AEO 38'!R:R,MATCH('psgr LDVs'!$B44,'AEO 38'!$B:$B,0))</f>
        <v>5129.1118159999996</v>
      </c>
      <c r="O44" s="126">
        <f>INDEX('AEO 38'!S:S,MATCH('psgr LDVs'!$B44,'AEO 38'!$B:$B,0))</f>
        <v>5123.7338870000003</v>
      </c>
      <c r="P44" s="126">
        <f>INDEX('AEO 38'!T:T,MATCH('psgr LDVs'!$B44,'AEO 38'!$B:$B,0))</f>
        <v>5107.2485349999997</v>
      </c>
      <c r="Q44" s="126">
        <f>INDEX('AEO 38'!U:U,MATCH('psgr LDVs'!$B44,'AEO 38'!$B:$B,0))</f>
        <v>5106.7006840000004</v>
      </c>
      <c r="R44" s="126">
        <f>INDEX('AEO 38'!V:V,MATCH('psgr LDVs'!$B44,'AEO 38'!$B:$B,0))</f>
        <v>5067.1137699999999</v>
      </c>
      <c r="S44" s="126">
        <f>INDEX('AEO 38'!W:W,MATCH('psgr LDVs'!$B44,'AEO 38'!$B:$B,0))</f>
        <v>4988.7441410000001</v>
      </c>
      <c r="T44" s="126">
        <f>INDEX('AEO 38'!X:X,MATCH('psgr LDVs'!$B44,'AEO 38'!$B:$B,0))</f>
        <v>4915.5244140000004</v>
      </c>
      <c r="U44" s="126">
        <f>INDEX('AEO 38'!Y:Y,MATCH('psgr LDVs'!$B44,'AEO 38'!$B:$B,0))</f>
        <v>4879.8232420000004</v>
      </c>
      <c r="V44" s="126">
        <f>INDEX('AEO 38'!Z:Z,MATCH('psgr LDVs'!$B44,'AEO 38'!$B:$B,0))</f>
        <v>4824.8999020000001</v>
      </c>
      <c r="W44" s="126">
        <f>INDEX('AEO 38'!AA:AA,MATCH('psgr LDVs'!$B44,'AEO 38'!$B:$B,0))</f>
        <v>4767.0947269999997</v>
      </c>
      <c r="X44" s="126">
        <f>INDEX('AEO 38'!AB:AB,MATCH('psgr LDVs'!$B44,'AEO 38'!$B:$B,0))</f>
        <v>4718.8647460000002</v>
      </c>
      <c r="Y44" s="126">
        <f>INDEX('AEO 38'!AC:AC,MATCH('psgr LDVs'!$B44,'AEO 38'!$B:$B,0))</f>
        <v>4672.2265619999998</v>
      </c>
      <c r="Z44" s="126">
        <f>INDEX('AEO 38'!AD:AD,MATCH('psgr LDVs'!$B44,'AEO 38'!$B:$B,0))</f>
        <v>4616.1801759999998</v>
      </c>
      <c r="AA44" s="126">
        <f>INDEX('AEO 38'!AE:AE,MATCH('psgr LDVs'!$B44,'AEO 38'!$B:$B,0))</f>
        <v>4570.2622069999998</v>
      </c>
      <c r="AB44" s="126">
        <f>INDEX('AEO 38'!AF:AF,MATCH('psgr LDVs'!$B44,'AEO 38'!$B:$B,0))</f>
        <v>4571.7763670000004</v>
      </c>
      <c r="AC44" s="126">
        <f>INDEX('AEO 38'!AG:AG,MATCH('psgr LDVs'!$B44,'AEO 38'!$B:$B,0))</f>
        <v>4505.5029299999997</v>
      </c>
      <c r="AD44" s="126">
        <f>INDEX('AEO 38'!AH:AH,MATCH('psgr LDVs'!$B44,'AEO 38'!$B:$B,0))</f>
        <v>4434.7470700000003</v>
      </c>
      <c r="AE44" s="126">
        <f>INDEX('AEO 38'!AI:AI,MATCH('psgr LDVs'!$B44,'AEO 38'!$B:$B,0))</f>
        <v>4405.4326170000004</v>
      </c>
      <c r="AF44" s="126">
        <f>INDEX('AEO 38'!AJ:AJ,MATCH('psgr LDVs'!$B44,'AEO 38'!$B:$B,0))</f>
        <v>4332.7583009999998</v>
      </c>
      <c r="AG44" s="126">
        <f>INDEX('AEO 38'!AK:AK,MATCH('psgr LDVs'!$B44,'AEO 38'!$B:$B,0))</f>
        <v>4252.9936520000001</v>
      </c>
    </row>
    <row r="45" spans="1:33">
      <c r="A45" s="132" t="s">
        <v>114</v>
      </c>
      <c r="B45" s="117" t="s">
        <v>919</v>
      </c>
      <c r="C45" s="126">
        <f>INDEX('AEO 38'!G:G,MATCH('psgr LDVs'!$B45,'AEO 38'!$B:$B,0))</f>
        <v>82.865729999999999</v>
      </c>
      <c r="D45" s="126">
        <f>INDEX('AEO 38'!H:H,MATCH('psgr LDVs'!$B45,'AEO 38'!$B:$B,0))</f>
        <v>88.778244000000001</v>
      </c>
      <c r="E45" s="126">
        <f>INDEX('AEO 38'!I:I,MATCH('psgr LDVs'!$B45,'AEO 38'!$B:$B,0))</f>
        <v>97.887755999999996</v>
      </c>
      <c r="F45" s="126">
        <f>INDEX('AEO 38'!J:J,MATCH('psgr LDVs'!$B45,'AEO 38'!$B:$B,0))</f>
        <v>98.749519000000006</v>
      </c>
      <c r="G45" s="126">
        <f>INDEX('AEO 38'!K:K,MATCH('psgr LDVs'!$B45,'AEO 38'!$B:$B,0))</f>
        <v>99.876137</v>
      </c>
      <c r="H45" s="126">
        <f>INDEX('AEO 38'!L:L,MATCH('psgr LDVs'!$B45,'AEO 38'!$B:$B,0))</f>
        <v>100.600273</v>
      </c>
      <c r="I45" s="126">
        <f>INDEX('AEO 38'!M:M,MATCH('psgr LDVs'!$B45,'AEO 38'!$B:$B,0))</f>
        <v>99.069312999999994</v>
      </c>
      <c r="J45" s="126">
        <f>INDEX('AEO 38'!N:N,MATCH('psgr LDVs'!$B45,'AEO 38'!$B:$B,0))</f>
        <v>97.080337999999998</v>
      </c>
      <c r="K45" s="126">
        <f>INDEX('AEO 38'!O:O,MATCH('psgr LDVs'!$B45,'AEO 38'!$B:$B,0))</f>
        <v>97.452324000000004</v>
      </c>
      <c r="L45" s="126">
        <f>INDEX('AEO 38'!P:P,MATCH('psgr LDVs'!$B45,'AEO 38'!$B:$B,0))</f>
        <v>97.519157000000007</v>
      </c>
      <c r="M45" s="126">
        <f>INDEX('AEO 38'!Q:Q,MATCH('psgr LDVs'!$B45,'AEO 38'!$B:$B,0))</f>
        <v>97.800719999999998</v>
      </c>
      <c r="N45" s="126">
        <f>INDEX('AEO 38'!R:R,MATCH('psgr LDVs'!$B45,'AEO 38'!$B:$B,0))</f>
        <v>97.808364999999995</v>
      </c>
      <c r="O45" s="126">
        <f>INDEX('AEO 38'!S:S,MATCH('psgr LDVs'!$B45,'AEO 38'!$B:$B,0))</f>
        <v>98.015251000000006</v>
      </c>
      <c r="P45" s="126">
        <f>INDEX('AEO 38'!T:T,MATCH('psgr LDVs'!$B45,'AEO 38'!$B:$B,0))</f>
        <v>98.066704000000001</v>
      </c>
      <c r="Q45" s="126">
        <f>INDEX('AEO 38'!U:U,MATCH('psgr LDVs'!$B45,'AEO 38'!$B:$B,0))</f>
        <v>98.425704999999994</v>
      </c>
      <c r="R45" s="126">
        <f>INDEX('AEO 38'!V:V,MATCH('psgr LDVs'!$B45,'AEO 38'!$B:$B,0))</f>
        <v>98.079757999999998</v>
      </c>
      <c r="S45" s="126">
        <f>INDEX('AEO 38'!W:W,MATCH('psgr LDVs'!$B45,'AEO 38'!$B:$B,0))</f>
        <v>96.899742000000003</v>
      </c>
      <c r="T45" s="126">
        <f>INDEX('AEO 38'!X:X,MATCH('psgr LDVs'!$B45,'AEO 38'!$B:$B,0))</f>
        <v>95.840691000000007</v>
      </c>
      <c r="U45" s="126">
        <f>INDEX('AEO 38'!Y:Y,MATCH('psgr LDVs'!$B45,'AEO 38'!$B:$B,0))</f>
        <v>95.533233999999993</v>
      </c>
      <c r="V45" s="126">
        <f>INDEX('AEO 38'!Z:Z,MATCH('psgr LDVs'!$B45,'AEO 38'!$B:$B,0))</f>
        <v>94.846573000000006</v>
      </c>
      <c r="W45" s="126">
        <f>INDEX('AEO 38'!AA:AA,MATCH('psgr LDVs'!$B45,'AEO 38'!$B:$B,0))</f>
        <v>94.080093000000005</v>
      </c>
      <c r="X45" s="126">
        <f>INDEX('AEO 38'!AB:AB,MATCH('psgr LDVs'!$B45,'AEO 38'!$B:$B,0))</f>
        <v>93.468681000000004</v>
      </c>
      <c r="Y45" s="126">
        <f>INDEX('AEO 38'!AC:AC,MATCH('psgr LDVs'!$B45,'AEO 38'!$B:$B,0))</f>
        <v>92.857795999999993</v>
      </c>
      <c r="Z45" s="126">
        <f>INDEX('AEO 38'!AD:AD,MATCH('psgr LDVs'!$B45,'AEO 38'!$B:$B,0))</f>
        <v>92.050880000000006</v>
      </c>
      <c r="AA45" s="126">
        <f>INDEX('AEO 38'!AE:AE,MATCH('psgr LDVs'!$B45,'AEO 38'!$B:$B,0))</f>
        <v>91.469420999999997</v>
      </c>
      <c r="AB45" s="126">
        <f>INDEX('AEO 38'!AF:AF,MATCH('psgr LDVs'!$B45,'AEO 38'!$B:$B,0))</f>
        <v>91.848557</v>
      </c>
      <c r="AC45" s="126">
        <f>INDEX('AEO 38'!AG:AG,MATCH('psgr LDVs'!$B45,'AEO 38'!$B:$B,0))</f>
        <v>90.884299999999996</v>
      </c>
      <c r="AD45" s="126">
        <f>INDEX('AEO 38'!AH:AH,MATCH('psgr LDVs'!$B45,'AEO 38'!$B:$B,0))</f>
        <v>89.801238999999995</v>
      </c>
      <c r="AE45" s="126">
        <f>INDEX('AEO 38'!AI:AI,MATCH('psgr LDVs'!$B45,'AEO 38'!$B:$B,0))</f>
        <v>89.570892000000001</v>
      </c>
      <c r="AF45" s="126">
        <f>INDEX('AEO 38'!AJ:AJ,MATCH('psgr LDVs'!$B45,'AEO 38'!$B:$B,0))</f>
        <v>88.466881000000001</v>
      </c>
      <c r="AG45" s="126">
        <f>INDEX('AEO 38'!AK:AK,MATCH('psgr LDVs'!$B45,'AEO 38'!$B:$B,0))</f>
        <v>87.250068999999996</v>
      </c>
    </row>
    <row r="46" spans="1:33">
      <c r="A46" s="132" t="s">
        <v>112</v>
      </c>
      <c r="B46" s="117" t="s">
        <v>920</v>
      </c>
      <c r="C46" s="126">
        <f>INDEX('AEO 38'!G:G,MATCH('psgr LDVs'!$B46,'AEO 38'!$B:$B,0))</f>
        <v>2.0141610000000001</v>
      </c>
      <c r="D46" s="126">
        <f>INDEX('AEO 38'!H:H,MATCH('psgr LDVs'!$B46,'AEO 38'!$B:$B,0))</f>
        <v>2.1167549999999999</v>
      </c>
      <c r="E46" s="126">
        <f>INDEX('AEO 38'!I:I,MATCH('psgr LDVs'!$B46,'AEO 38'!$B:$B,0))</f>
        <v>2.187926</v>
      </c>
      <c r="F46" s="126">
        <f>INDEX('AEO 38'!J:J,MATCH('psgr LDVs'!$B46,'AEO 38'!$B:$B,0))</f>
        <v>2.1156649999999999</v>
      </c>
      <c r="G46" s="126">
        <f>INDEX('AEO 38'!K:K,MATCH('psgr LDVs'!$B46,'AEO 38'!$B:$B,0))</f>
        <v>2.1331000000000002</v>
      </c>
      <c r="H46" s="126">
        <f>INDEX('AEO 38'!L:L,MATCH('psgr LDVs'!$B46,'AEO 38'!$B:$B,0))</f>
        <v>2.1878470000000001</v>
      </c>
      <c r="I46" s="126">
        <f>INDEX('AEO 38'!M:M,MATCH('psgr LDVs'!$B46,'AEO 38'!$B:$B,0))</f>
        <v>2.2507450000000002</v>
      </c>
      <c r="J46" s="126">
        <f>INDEX('AEO 38'!N:N,MATCH('psgr LDVs'!$B46,'AEO 38'!$B:$B,0))</f>
        <v>2.3191920000000001</v>
      </c>
      <c r="K46" s="126">
        <f>INDEX('AEO 38'!O:O,MATCH('psgr LDVs'!$B46,'AEO 38'!$B:$B,0))</f>
        <v>2.4630990000000001</v>
      </c>
      <c r="L46" s="126">
        <f>INDEX('AEO 38'!P:P,MATCH('psgr LDVs'!$B46,'AEO 38'!$B:$B,0))</f>
        <v>2.6162890000000001</v>
      </c>
      <c r="M46" s="126">
        <f>INDEX('AEO 38'!Q:Q,MATCH('psgr LDVs'!$B46,'AEO 38'!$B:$B,0))</f>
        <v>2.8022209999999999</v>
      </c>
      <c r="N46" s="126">
        <f>INDEX('AEO 38'!R:R,MATCH('psgr LDVs'!$B46,'AEO 38'!$B:$B,0))</f>
        <v>2.953589</v>
      </c>
      <c r="O46" s="126">
        <f>INDEX('AEO 38'!S:S,MATCH('psgr LDVs'!$B46,'AEO 38'!$B:$B,0))</f>
        <v>3.1204510000000001</v>
      </c>
      <c r="P46" s="126">
        <f>INDEX('AEO 38'!T:T,MATCH('psgr LDVs'!$B46,'AEO 38'!$B:$B,0))</f>
        <v>3.262651</v>
      </c>
      <c r="Q46" s="126">
        <f>INDEX('AEO 38'!U:U,MATCH('psgr LDVs'!$B46,'AEO 38'!$B:$B,0))</f>
        <v>3.4054700000000002</v>
      </c>
      <c r="R46" s="126">
        <f>INDEX('AEO 38'!V:V,MATCH('psgr LDVs'!$B46,'AEO 38'!$B:$B,0))</f>
        <v>3.4967199999999998</v>
      </c>
      <c r="S46" s="126">
        <f>INDEX('AEO 38'!W:W,MATCH('psgr LDVs'!$B46,'AEO 38'!$B:$B,0))</f>
        <v>3.5487950000000001</v>
      </c>
      <c r="T46" s="126">
        <f>INDEX('AEO 38'!X:X,MATCH('psgr LDVs'!$B46,'AEO 38'!$B:$B,0))</f>
        <v>3.5898059999999998</v>
      </c>
      <c r="U46" s="126">
        <f>INDEX('AEO 38'!Y:Y,MATCH('psgr LDVs'!$B46,'AEO 38'!$B:$B,0))</f>
        <v>3.6460110000000001</v>
      </c>
      <c r="V46" s="126">
        <f>INDEX('AEO 38'!Z:Z,MATCH('psgr LDVs'!$B46,'AEO 38'!$B:$B,0))</f>
        <v>3.6739130000000002</v>
      </c>
      <c r="W46" s="126">
        <f>INDEX('AEO 38'!AA:AA,MATCH('psgr LDVs'!$B46,'AEO 38'!$B:$B,0))</f>
        <v>3.6936909999999998</v>
      </c>
      <c r="X46" s="126">
        <f>INDEX('AEO 38'!AB:AB,MATCH('psgr LDVs'!$B46,'AEO 38'!$B:$B,0))</f>
        <v>3.701219</v>
      </c>
      <c r="Y46" s="126">
        <f>INDEX('AEO 38'!AC:AC,MATCH('psgr LDVs'!$B46,'AEO 38'!$B:$B,0))</f>
        <v>3.7075459999999998</v>
      </c>
      <c r="Z46" s="126">
        <f>INDEX('AEO 38'!AD:AD,MATCH('psgr LDVs'!$B46,'AEO 38'!$B:$B,0))</f>
        <v>3.7041620000000002</v>
      </c>
      <c r="AA46" s="126">
        <f>INDEX('AEO 38'!AE:AE,MATCH('psgr LDVs'!$B46,'AEO 38'!$B:$B,0))</f>
        <v>3.7067700000000001</v>
      </c>
      <c r="AB46" s="126">
        <f>INDEX('AEO 38'!AF:AF,MATCH('psgr LDVs'!$B46,'AEO 38'!$B:$B,0))</f>
        <v>3.748243</v>
      </c>
      <c r="AC46" s="126">
        <f>INDEX('AEO 38'!AG:AG,MATCH('psgr LDVs'!$B46,'AEO 38'!$B:$B,0))</f>
        <v>3.7305229999999998</v>
      </c>
      <c r="AD46" s="126">
        <f>INDEX('AEO 38'!AH:AH,MATCH('psgr LDVs'!$B46,'AEO 38'!$B:$B,0))</f>
        <v>3.7078289999999998</v>
      </c>
      <c r="AE46" s="126">
        <f>INDEX('AEO 38'!AI:AI,MATCH('psgr LDVs'!$B46,'AEO 38'!$B:$B,0))</f>
        <v>3.7189480000000001</v>
      </c>
      <c r="AF46" s="126">
        <f>INDEX('AEO 38'!AJ:AJ,MATCH('psgr LDVs'!$B46,'AEO 38'!$B:$B,0))</f>
        <v>3.697174</v>
      </c>
      <c r="AG46" s="126">
        <f>INDEX('AEO 38'!AK:AK,MATCH('psgr LDVs'!$B46,'AEO 38'!$B:$B,0))</f>
        <v>3.6692339999999999</v>
      </c>
    </row>
    <row r="47" spans="1:33">
      <c r="A47" s="132" t="s">
        <v>112</v>
      </c>
      <c r="B47" s="117" t="s">
        <v>921</v>
      </c>
      <c r="C47" s="126">
        <f>INDEX('AEO 38'!G:G,MATCH('psgr LDVs'!$B47,'AEO 38'!$B:$B,0))</f>
        <v>45.098399999999998</v>
      </c>
      <c r="D47" s="126">
        <f>INDEX('AEO 38'!H:H,MATCH('psgr LDVs'!$B47,'AEO 38'!$B:$B,0))</f>
        <v>43.183132000000001</v>
      </c>
      <c r="E47" s="126">
        <f>INDEX('AEO 38'!I:I,MATCH('psgr LDVs'!$B47,'AEO 38'!$B:$B,0))</f>
        <v>44.878860000000003</v>
      </c>
      <c r="F47" s="126">
        <f>INDEX('AEO 38'!J:J,MATCH('psgr LDVs'!$B47,'AEO 38'!$B:$B,0))</f>
        <v>42.311188000000001</v>
      </c>
      <c r="G47" s="126">
        <f>INDEX('AEO 38'!K:K,MATCH('psgr LDVs'!$B47,'AEO 38'!$B:$B,0))</f>
        <v>41.219119999999997</v>
      </c>
      <c r="H47" s="126">
        <f>INDEX('AEO 38'!L:L,MATCH('psgr LDVs'!$B47,'AEO 38'!$B:$B,0))</f>
        <v>41.567672999999999</v>
      </c>
      <c r="I47" s="126">
        <f>INDEX('AEO 38'!M:M,MATCH('psgr LDVs'!$B47,'AEO 38'!$B:$B,0))</f>
        <v>41.456791000000003</v>
      </c>
      <c r="J47" s="126">
        <f>INDEX('AEO 38'!N:N,MATCH('psgr LDVs'!$B47,'AEO 38'!$B:$B,0))</f>
        <v>43.140450000000001</v>
      </c>
      <c r="K47" s="126">
        <f>INDEX('AEO 38'!O:O,MATCH('psgr LDVs'!$B47,'AEO 38'!$B:$B,0))</f>
        <v>46.895927</v>
      </c>
      <c r="L47" s="126">
        <f>INDEX('AEO 38'!P:P,MATCH('psgr LDVs'!$B47,'AEO 38'!$B:$B,0))</f>
        <v>51.488796000000001</v>
      </c>
      <c r="M47" s="126">
        <f>INDEX('AEO 38'!Q:Q,MATCH('psgr LDVs'!$B47,'AEO 38'!$B:$B,0))</f>
        <v>58.315021999999999</v>
      </c>
      <c r="N47" s="126">
        <f>INDEX('AEO 38'!R:R,MATCH('psgr LDVs'!$B47,'AEO 38'!$B:$B,0))</f>
        <v>64.530876000000006</v>
      </c>
      <c r="O47" s="126">
        <f>INDEX('AEO 38'!S:S,MATCH('psgr LDVs'!$B47,'AEO 38'!$B:$B,0))</f>
        <v>72.045967000000005</v>
      </c>
      <c r="P47" s="126">
        <f>INDEX('AEO 38'!T:T,MATCH('psgr LDVs'!$B47,'AEO 38'!$B:$B,0))</f>
        <v>79.581985000000003</v>
      </c>
      <c r="Q47" s="126">
        <f>INDEX('AEO 38'!U:U,MATCH('psgr LDVs'!$B47,'AEO 38'!$B:$B,0))</f>
        <v>87.853249000000005</v>
      </c>
      <c r="R47" s="126">
        <f>INDEX('AEO 38'!V:V,MATCH('psgr LDVs'!$B47,'AEO 38'!$B:$B,0))</f>
        <v>94.674225000000007</v>
      </c>
      <c r="S47" s="126">
        <f>INDEX('AEO 38'!W:W,MATCH('psgr LDVs'!$B47,'AEO 38'!$B:$B,0))</f>
        <v>100.86777499999999</v>
      </c>
      <c r="T47" s="126">
        <f>INDEX('AEO 38'!X:X,MATCH('psgr LDVs'!$B47,'AEO 38'!$B:$B,0))</f>
        <v>107.29220599999999</v>
      </c>
      <c r="U47" s="126">
        <f>INDEX('AEO 38'!Y:Y,MATCH('psgr LDVs'!$B47,'AEO 38'!$B:$B,0))</f>
        <v>114.558159</v>
      </c>
      <c r="V47" s="126">
        <f>INDEX('AEO 38'!Z:Z,MATCH('psgr LDVs'!$B47,'AEO 38'!$B:$B,0))</f>
        <v>120.887489</v>
      </c>
      <c r="W47" s="126">
        <f>INDEX('AEO 38'!AA:AA,MATCH('psgr LDVs'!$B47,'AEO 38'!$B:$B,0))</f>
        <v>127.426682</v>
      </c>
      <c r="X47" s="126">
        <f>INDEX('AEO 38'!AB:AB,MATCH('psgr LDVs'!$B47,'AEO 38'!$B:$B,0))</f>
        <v>133.08253500000001</v>
      </c>
      <c r="Y47" s="126">
        <f>INDEX('AEO 38'!AC:AC,MATCH('psgr LDVs'!$B47,'AEO 38'!$B:$B,0))</f>
        <v>138.54510500000001</v>
      </c>
      <c r="Z47" s="126">
        <f>INDEX('AEO 38'!AD:AD,MATCH('psgr LDVs'!$B47,'AEO 38'!$B:$B,0))</f>
        <v>144.04106100000001</v>
      </c>
      <c r="AA47" s="126">
        <f>INDEX('AEO 38'!AE:AE,MATCH('psgr LDVs'!$B47,'AEO 38'!$B:$B,0))</f>
        <v>150.035324</v>
      </c>
      <c r="AB47" s="126">
        <f>INDEX('AEO 38'!AF:AF,MATCH('psgr LDVs'!$B47,'AEO 38'!$B:$B,0))</f>
        <v>158.088089</v>
      </c>
      <c r="AC47" s="126">
        <f>INDEX('AEO 38'!AG:AG,MATCH('psgr LDVs'!$B47,'AEO 38'!$B:$B,0))</f>
        <v>163.426514</v>
      </c>
      <c r="AD47" s="126">
        <f>INDEX('AEO 38'!AH:AH,MATCH('psgr LDVs'!$B47,'AEO 38'!$B:$B,0))</f>
        <v>168.74787900000001</v>
      </c>
      <c r="AE47" s="126">
        <f>INDEX('AEO 38'!AI:AI,MATCH('psgr LDVs'!$B47,'AEO 38'!$B:$B,0))</f>
        <v>175.613022</v>
      </c>
      <c r="AF47" s="126">
        <f>INDEX('AEO 38'!AJ:AJ,MATCH('psgr LDVs'!$B47,'AEO 38'!$B:$B,0))</f>
        <v>181.703384</v>
      </c>
      <c r="AG47" s="126">
        <f>INDEX('AEO 38'!AK:AK,MATCH('psgr LDVs'!$B47,'AEO 38'!$B:$B,0))</f>
        <v>187.48808299999999</v>
      </c>
    </row>
    <row r="48" spans="1:33">
      <c r="A48" s="132" t="s">
        <v>112</v>
      </c>
      <c r="B48" s="117" t="s">
        <v>922</v>
      </c>
      <c r="C48" s="126">
        <f>INDEX('AEO 38'!G:G,MATCH('psgr LDVs'!$B48,'AEO 38'!$B:$B,0))</f>
        <v>65.759253999999999</v>
      </c>
      <c r="D48" s="126">
        <f>INDEX('AEO 38'!H:H,MATCH('psgr LDVs'!$B48,'AEO 38'!$B:$B,0))</f>
        <v>57.491382999999999</v>
      </c>
      <c r="E48" s="126">
        <f>INDEX('AEO 38'!I:I,MATCH('psgr LDVs'!$B48,'AEO 38'!$B:$B,0))</f>
        <v>66.992439000000005</v>
      </c>
      <c r="F48" s="126">
        <f>INDEX('AEO 38'!J:J,MATCH('psgr LDVs'!$B48,'AEO 38'!$B:$B,0))</f>
        <v>73.780128000000005</v>
      </c>
      <c r="G48" s="126">
        <f>INDEX('AEO 38'!K:K,MATCH('psgr LDVs'!$B48,'AEO 38'!$B:$B,0))</f>
        <v>80.019737000000006</v>
      </c>
      <c r="H48" s="126">
        <f>INDEX('AEO 38'!L:L,MATCH('psgr LDVs'!$B48,'AEO 38'!$B:$B,0))</f>
        <v>83.488006999999996</v>
      </c>
      <c r="I48" s="126">
        <f>INDEX('AEO 38'!M:M,MATCH('psgr LDVs'!$B48,'AEO 38'!$B:$B,0))</f>
        <v>88.954521</v>
      </c>
      <c r="J48" s="126">
        <f>INDEX('AEO 38'!N:N,MATCH('psgr LDVs'!$B48,'AEO 38'!$B:$B,0))</f>
        <v>94.401580999999993</v>
      </c>
      <c r="K48" s="126">
        <f>INDEX('AEO 38'!O:O,MATCH('psgr LDVs'!$B48,'AEO 38'!$B:$B,0))</f>
        <v>105.246628</v>
      </c>
      <c r="L48" s="126">
        <f>INDEX('AEO 38'!P:P,MATCH('psgr LDVs'!$B48,'AEO 38'!$B:$B,0))</f>
        <v>117.28207399999999</v>
      </c>
      <c r="M48" s="126">
        <f>INDEX('AEO 38'!Q:Q,MATCH('psgr LDVs'!$B48,'AEO 38'!$B:$B,0))</f>
        <v>132.60144</v>
      </c>
      <c r="N48" s="126">
        <f>INDEX('AEO 38'!R:R,MATCH('psgr LDVs'!$B48,'AEO 38'!$B:$B,0))</f>
        <v>153.49262999999999</v>
      </c>
      <c r="O48" s="126">
        <f>INDEX('AEO 38'!S:S,MATCH('psgr LDVs'!$B48,'AEO 38'!$B:$B,0))</f>
        <v>173.61665300000001</v>
      </c>
      <c r="P48" s="126">
        <f>INDEX('AEO 38'!T:T,MATCH('psgr LDVs'!$B48,'AEO 38'!$B:$B,0))</f>
        <v>198.33242799999999</v>
      </c>
      <c r="Q48" s="126">
        <f>INDEX('AEO 38'!U:U,MATCH('psgr LDVs'!$B48,'AEO 38'!$B:$B,0))</f>
        <v>225.30926500000001</v>
      </c>
      <c r="R48" s="126">
        <f>INDEX('AEO 38'!V:V,MATCH('psgr LDVs'!$B48,'AEO 38'!$B:$B,0))</f>
        <v>254.45285000000001</v>
      </c>
      <c r="S48" s="126">
        <f>INDEX('AEO 38'!W:W,MATCH('psgr LDVs'!$B48,'AEO 38'!$B:$B,0))</f>
        <v>278.038544</v>
      </c>
      <c r="T48" s="126">
        <f>INDEX('AEO 38'!X:X,MATCH('psgr LDVs'!$B48,'AEO 38'!$B:$B,0))</f>
        <v>303.48288000000002</v>
      </c>
      <c r="U48" s="126">
        <f>INDEX('AEO 38'!Y:Y,MATCH('psgr LDVs'!$B48,'AEO 38'!$B:$B,0))</f>
        <v>332.549622</v>
      </c>
      <c r="V48" s="126">
        <f>INDEX('AEO 38'!Z:Z,MATCH('psgr LDVs'!$B48,'AEO 38'!$B:$B,0))</f>
        <v>360.707672</v>
      </c>
      <c r="W48" s="126">
        <f>INDEX('AEO 38'!AA:AA,MATCH('psgr LDVs'!$B48,'AEO 38'!$B:$B,0))</f>
        <v>386.63501000000002</v>
      </c>
      <c r="X48" s="126">
        <f>INDEX('AEO 38'!AB:AB,MATCH('psgr LDVs'!$B48,'AEO 38'!$B:$B,0))</f>
        <v>406.61685199999999</v>
      </c>
      <c r="Y48" s="126">
        <f>INDEX('AEO 38'!AC:AC,MATCH('psgr LDVs'!$B48,'AEO 38'!$B:$B,0))</f>
        <v>425.57904100000002</v>
      </c>
      <c r="Z48" s="126">
        <f>INDEX('AEO 38'!AD:AD,MATCH('psgr LDVs'!$B48,'AEO 38'!$B:$B,0))</f>
        <v>443.11395299999998</v>
      </c>
      <c r="AA48" s="126">
        <f>INDEX('AEO 38'!AE:AE,MATCH('psgr LDVs'!$B48,'AEO 38'!$B:$B,0))</f>
        <v>462.96020499999997</v>
      </c>
      <c r="AB48" s="126">
        <f>INDEX('AEO 38'!AF:AF,MATCH('psgr LDVs'!$B48,'AEO 38'!$B:$B,0))</f>
        <v>488.96313500000002</v>
      </c>
      <c r="AC48" s="126">
        <f>INDEX('AEO 38'!AG:AG,MATCH('psgr LDVs'!$B48,'AEO 38'!$B:$B,0))</f>
        <v>510.02221700000001</v>
      </c>
      <c r="AD48" s="126">
        <f>INDEX('AEO 38'!AH:AH,MATCH('psgr LDVs'!$B48,'AEO 38'!$B:$B,0))</f>
        <v>528.28735400000005</v>
      </c>
      <c r="AE48" s="126">
        <f>INDEX('AEO 38'!AI:AI,MATCH('psgr LDVs'!$B48,'AEO 38'!$B:$B,0))</f>
        <v>553.26159700000005</v>
      </c>
      <c r="AF48" s="126">
        <f>INDEX('AEO 38'!AJ:AJ,MATCH('psgr LDVs'!$B48,'AEO 38'!$B:$B,0))</f>
        <v>572.91253700000004</v>
      </c>
      <c r="AG48" s="126">
        <f>INDEX('AEO 38'!AK:AK,MATCH('psgr LDVs'!$B48,'AEO 38'!$B:$B,0))</f>
        <v>594.61016800000004</v>
      </c>
    </row>
    <row r="49" spans="1:33">
      <c r="A49" s="132" t="s">
        <v>116</v>
      </c>
      <c r="B49" s="117" t="s">
        <v>923</v>
      </c>
      <c r="C49" s="126">
        <f>INDEX('AEO 38'!G:G,MATCH('psgr LDVs'!$B49,'AEO 38'!$B:$B,0))</f>
        <v>20.674416000000001</v>
      </c>
      <c r="D49" s="126">
        <f>INDEX('AEO 38'!H:H,MATCH('psgr LDVs'!$B49,'AEO 38'!$B:$B,0))</f>
        <v>28.176988999999999</v>
      </c>
      <c r="E49" s="126">
        <f>INDEX('AEO 38'!I:I,MATCH('psgr LDVs'!$B49,'AEO 38'!$B:$B,0))</f>
        <v>33.950932000000002</v>
      </c>
      <c r="F49" s="126">
        <f>INDEX('AEO 38'!J:J,MATCH('psgr LDVs'!$B49,'AEO 38'!$B:$B,0))</f>
        <v>36.931286</v>
      </c>
      <c r="G49" s="126">
        <f>INDEX('AEO 38'!K:K,MATCH('psgr LDVs'!$B49,'AEO 38'!$B:$B,0))</f>
        <v>41.969532000000001</v>
      </c>
      <c r="H49" s="126">
        <f>INDEX('AEO 38'!L:L,MATCH('psgr LDVs'!$B49,'AEO 38'!$B:$B,0))</f>
        <v>48.640994999999997</v>
      </c>
      <c r="I49" s="126">
        <f>INDEX('AEO 38'!M:M,MATCH('psgr LDVs'!$B49,'AEO 38'!$B:$B,0))</f>
        <v>55.013874000000001</v>
      </c>
      <c r="J49" s="126">
        <f>INDEX('AEO 38'!N:N,MATCH('psgr LDVs'!$B49,'AEO 38'!$B:$B,0))</f>
        <v>62.905365000000003</v>
      </c>
      <c r="K49" s="126">
        <f>INDEX('AEO 38'!O:O,MATCH('psgr LDVs'!$B49,'AEO 38'!$B:$B,0))</f>
        <v>73.882957000000005</v>
      </c>
      <c r="L49" s="126">
        <f>INDEX('AEO 38'!P:P,MATCH('psgr LDVs'!$B49,'AEO 38'!$B:$B,0))</f>
        <v>77.068755999999993</v>
      </c>
      <c r="M49" s="126">
        <f>INDEX('AEO 38'!Q:Q,MATCH('psgr LDVs'!$B49,'AEO 38'!$B:$B,0))</f>
        <v>80.696731999999997</v>
      </c>
      <c r="N49" s="126">
        <f>INDEX('AEO 38'!R:R,MATCH('psgr LDVs'!$B49,'AEO 38'!$B:$B,0))</f>
        <v>81.135765000000006</v>
      </c>
      <c r="O49" s="126">
        <f>INDEX('AEO 38'!S:S,MATCH('psgr LDVs'!$B49,'AEO 38'!$B:$B,0))</f>
        <v>83.302795000000003</v>
      </c>
      <c r="P49" s="126">
        <f>INDEX('AEO 38'!T:T,MATCH('psgr LDVs'!$B49,'AEO 38'!$B:$B,0))</f>
        <v>84.292327999999998</v>
      </c>
      <c r="Q49" s="126">
        <f>INDEX('AEO 38'!U:U,MATCH('psgr LDVs'!$B49,'AEO 38'!$B:$B,0))</f>
        <v>85.728806000000006</v>
      </c>
      <c r="R49" s="126">
        <f>INDEX('AEO 38'!V:V,MATCH('psgr LDVs'!$B49,'AEO 38'!$B:$B,0))</f>
        <v>84.681640999999999</v>
      </c>
      <c r="S49" s="126">
        <f>INDEX('AEO 38'!W:W,MATCH('psgr LDVs'!$B49,'AEO 38'!$B:$B,0))</f>
        <v>83.560676999999998</v>
      </c>
      <c r="T49" s="126">
        <f>INDEX('AEO 38'!X:X,MATCH('psgr LDVs'!$B49,'AEO 38'!$B:$B,0))</f>
        <v>82.382141000000004</v>
      </c>
      <c r="U49" s="126">
        <f>INDEX('AEO 38'!Y:Y,MATCH('psgr LDVs'!$B49,'AEO 38'!$B:$B,0))</f>
        <v>81.626305000000002</v>
      </c>
      <c r="V49" s="126">
        <f>INDEX('AEO 38'!Z:Z,MATCH('psgr LDVs'!$B49,'AEO 38'!$B:$B,0))</f>
        <v>79.956458999999995</v>
      </c>
      <c r="W49" s="126">
        <f>INDEX('AEO 38'!AA:AA,MATCH('psgr LDVs'!$B49,'AEO 38'!$B:$B,0))</f>
        <v>78.624977000000001</v>
      </c>
      <c r="X49" s="126">
        <f>INDEX('AEO 38'!AB:AB,MATCH('psgr LDVs'!$B49,'AEO 38'!$B:$B,0))</f>
        <v>76.511696000000001</v>
      </c>
      <c r="Y49" s="126">
        <f>INDEX('AEO 38'!AC:AC,MATCH('psgr LDVs'!$B49,'AEO 38'!$B:$B,0))</f>
        <v>74.205223000000004</v>
      </c>
      <c r="Z49" s="126">
        <f>INDEX('AEO 38'!AD:AD,MATCH('psgr LDVs'!$B49,'AEO 38'!$B:$B,0))</f>
        <v>72.000122000000005</v>
      </c>
      <c r="AA49" s="126">
        <f>INDEX('AEO 38'!AE:AE,MATCH('psgr LDVs'!$B49,'AEO 38'!$B:$B,0))</f>
        <v>69.958206000000004</v>
      </c>
      <c r="AB49" s="126">
        <f>INDEX('AEO 38'!AF:AF,MATCH('psgr LDVs'!$B49,'AEO 38'!$B:$B,0))</f>
        <v>68.774047999999993</v>
      </c>
      <c r="AC49" s="126">
        <f>INDEX('AEO 38'!AG:AG,MATCH('psgr LDVs'!$B49,'AEO 38'!$B:$B,0))</f>
        <v>66.152739999999994</v>
      </c>
      <c r="AD49" s="126">
        <f>INDEX('AEO 38'!AH:AH,MATCH('psgr LDVs'!$B49,'AEO 38'!$B:$B,0))</f>
        <v>63.704295999999999</v>
      </c>
      <c r="AE49" s="126">
        <f>INDEX('AEO 38'!AI:AI,MATCH('psgr LDVs'!$B49,'AEO 38'!$B:$B,0))</f>
        <v>61.705100999999999</v>
      </c>
      <c r="AF49" s="126">
        <f>INDEX('AEO 38'!AJ:AJ,MATCH('psgr LDVs'!$B49,'AEO 38'!$B:$B,0))</f>
        <v>59.545723000000002</v>
      </c>
      <c r="AG49" s="126">
        <f>INDEX('AEO 38'!AK:AK,MATCH('psgr LDVs'!$B49,'AEO 38'!$B:$B,0))</f>
        <v>57.139907999999998</v>
      </c>
    </row>
    <row r="50" spans="1:33">
      <c r="A50" s="132" t="s">
        <v>116</v>
      </c>
      <c r="B50" s="117" t="s">
        <v>924</v>
      </c>
      <c r="C50" s="126">
        <f>INDEX('AEO 38'!G:G,MATCH('psgr LDVs'!$B50,'AEO 38'!$B:$B,0))</f>
        <v>5.3106419999999996</v>
      </c>
      <c r="D50" s="126">
        <f>INDEX('AEO 38'!H:H,MATCH('psgr LDVs'!$B50,'AEO 38'!$B:$B,0))</f>
        <v>5.6303320000000001</v>
      </c>
      <c r="E50" s="126">
        <f>INDEX('AEO 38'!I:I,MATCH('psgr LDVs'!$B50,'AEO 38'!$B:$B,0))</f>
        <v>5.2414160000000001</v>
      </c>
      <c r="F50" s="126">
        <f>INDEX('AEO 38'!J:J,MATCH('psgr LDVs'!$B50,'AEO 38'!$B:$B,0))</f>
        <v>4.6340560000000002</v>
      </c>
      <c r="G50" s="126">
        <f>INDEX('AEO 38'!K:K,MATCH('psgr LDVs'!$B50,'AEO 38'!$B:$B,0))</f>
        <v>4.4100590000000004</v>
      </c>
      <c r="H50" s="126">
        <f>INDEX('AEO 38'!L:L,MATCH('psgr LDVs'!$B50,'AEO 38'!$B:$B,0))</f>
        <v>4.3392419999999996</v>
      </c>
      <c r="I50" s="126">
        <f>INDEX('AEO 38'!M:M,MATCH('psgr LDVs'!$B50,'AEO 38'!$B:$B,0))</f>
        <v>4.3922869999999996</v>
      </c>
      <c r="J50" s="126">
        <f>INDEX('AEO 38'!N:N,MATCH('psgr LDVs'!$B50,'AEO 38'!$B:$B,0))</f>
        <v>4.544848</v>
      </c>
      <c r="K50" s="126">
        <f>INDEX('AEO 38'!O:O,MATCH('psgr LDVs'!$B50,'AEO 38'!$B:$B,0))</f>
        <v>4.8866290000000001</v>
      </c>
      <c r="L50" s="126">
        <f>INDEX('AEO 38'!P:P,MATCH('psgr LDVs'!$B50,'AEO 38'!$B:$B,0))</f>
        <v>5.3271199999999999</v>
      </c>
      <c r="M50" s="126">
        <f>INDEX('AEO 38'!Q:Q,MATCH('psgr LDVs'!$B50,'AEO 38'!$B:$B,0))</f>
        <v>5.9793890000000003</v>
      </c>
      <c r="N50" s="126">
        <f>INDEX('AEO 38'!R:R,MATCH('psgr LDVs'!$B50,'AEO 38'!$B:$B,0))</f>
        <v>6.4114420000000001</v>
      </c>
      <c r="O50" s="126">
        <f>INDEX('AEO 38'!S:S,MATCH('psgr LDVs'!$B50,'AEO 38'!$B:$B,0))</f>
        <v>6.8253269999999997</v>
      </c>
      <c r="P50" s="126">
        <f>INDEX('AEO 38'!T:T,MATCH('psgr LDVs'!$B50,'AEO 38'!$B:$B,0))</f>
        <v>7.1649520000000004</v>
      </c>
      <c r="Q50" s="126">
        <f>INDEX('AEO 38'!U:U,MATCH('psgr LDVs'!$B50,'AEO 38'!$B:$B,0))</f>
        <v>7.5200129999999996</v>
      </c>
      <c r="R50" s="126">
        <f>INDEX('AEO 38'!V:V,MATCH('psgr LDVs'!$B50,'AEO 38'!$B:$B,0))</f>
        <v>7.7050919999999996</v>
      </c>
      <c r="S50" s="126">
        <f>INDEX('AEO 38'!W:W,MATCH('psgr LDVs'!$B50,'AEO 38'!$B:$B,0))</f>
        <v>7.8150329999999997</v>
      </c>
      <c r="T50" s="126">
        <f>INDEX('AEO 38'!X:X,MATCH('psgr LDVs'!$B50,'AEO 38'!$B:$B,0))</f>
        <v>7.9051960000000001</v>
      </c>
      <c r="U50" s="126">
        <f>INDEX('AEO 38'!Y:Y,MATCH('psgr LDVs'!$B50,'AEO 38'!$B:$B,0))</f>
        <v>8.0241579999999999</v>
      </c>
      <c r="V50" s="126">
        <f>INDEX('AEO 38'!Z:Z,MATCH('psgr LDVs'!$B50,'AEO 38'!$B:$B,0))</f>
        <v>8.0557169999999996</v>
      </c>
      <c r="W50" s="126">
        <f>INDEX('AEO 38'!AA:AA,MATCH('psgr LDVs'!$B50,'AEO 38'!$B:$B,0))</f>
        <v>8.0790989999999994</v>
      </c>
      <c r="X50" s="126">
        <f>INDEX('AEO 38'!AB:AB,MATCH('psgr LDVs'!$B50,'AEO 38'!$B:$B,0))</f>
        <v>8.0360820000000004</v>
      </c>
      <c r="Y50" s="126">
        <f>INDEX('AEO 38'!AC:AC,MATCH('psgr LDVs'!$B50,'AEO 38'!$B:$B,0))</f>
        <v>7.9697839999999998</v>
      </c>
      <c r="Z50" s="126">
        <f>INDEX('AEO 38'!AD:AD,MATCH('psgr LDVs'!$B50,'AEO 38'!$B:$B,0))</f>
        <v>7.8934300000000004</v>
      </c>
      <c r="AA50" s="126">
        <f>INDEX('AEO 38'!AE:AE,MATCH('psgr LDVs'!$B50,'AEO 38'!$B:$B,0))</f>
        <v>7.8318729999999999</v>
      </c>
      <c r="AB50" s="126">
        <f>INDEX('AEO 38'!AF:AF,MATCH('psgr LDVs'!$B50,'AEO 38'!$B:$B,0))</f>
        <v>7.8577079999999997</v>
      </c>
      <c r="AC50" s="126">
        <f>INDEX('AEO 38'!AG:AG,MATCH('psgr LDVs'!$B50,'AEO 38'!$B:$B,0))</f>
        <v>7.7429709999999998</v>
      </c>
      <c r="AD50" s="126">
        <f>INDEX('AEO 38'!AH:AH,MATCH('psgr LDVs'!$B50,'AEO 38'!$B:$B,0))</f>
        <v>7.623875</v>
      </c>
      <c r="AE50" s="126">
        <f>INDEX('AEO 38'!AI:AI,MATCH('psgr LDVs'!$B50,'AEO 38'!$B:$B,0))</f>
        <v>7.568454</v>
      </c>
      <c r="AF50" s="126">
        <f>INDEX('AEO 38'!AJ:AJ,MATCH('psgr LDVs'!$B50,'AEO 38'!$B:$B,0))</f>
        <v>7.464639</v>
      </c>
      <c r="AG50" s="126">
        <f>INDEX('AEO 38'!AK:AK,MATCH('psgr LDVs'!$B50,'AEO 38'!$B:$B,0))</f>
        <v>7.3430020000000003</v>
      </c>
    </row>
    <row r="51" spans="1:33">
      <c r="A51" s="132" t="s">
        <v>115</v>
      </c>
      <c r="B51" s="117" t="s">
        <v>925</v>
      </c>
      <c r="C51" s="126">
        <f>INDEX('AEO 38'!G:G,MATCH('psgr LDVs'!$B51,'AEO 38'!$B:$B,0))</f>
        <v>0</v>
      </c>
      <c r="D51" s="126">
        <f>INDEX('AEO 38'!H:H,MATCH('psgr LDVs'!$B51,'AEO 38'!$B:$B,0))</f>
        <v>0</v>
      </c>
      <c r="E51" s="126">
        <f>INDEX('AEO 38'!I:I,MATCH('psgr LDVs'!$B51,'AEO 38'!$B:$B,0))</f>
        <v>0</v>
      </c>
      <c r="F51" s="126">
        <f>INDEX('AEO 38'!J:J,MATCH('psgr LDVs'!$B51,'AEO 38'!$B:$B,0))</f>
        <v>0</v>
      </c>
      <c r="G51" s="126">
        <f>INDEX('AEO 38'!K:K,MATCH('psgr LDVs'!$B51,'AEO 38'!$B:$B,0))</f>
        <v>0</v>
      </c>
      <c r="H51" s="126">
        <f>INDEX('AEO 38'!L:L,MATCH('psgr LDVs'!$B51,'AEO 38'!$B:$B,0))</f>
        <v>0</v>
      </c>
      <c r="I51" s="126">
        <f>INDEX('AEO 38'!M:M,MATCH('psgr LDVs'!$B51,'AEO 38'!$B:$B,0))</f>
        <v>0</v>
      </c>
      <c r="J51" s="126">
        <f>INDEX('AEO 38'!N:N,MATCH('psgr LDVs'!$B51,'AEO 38'!$B:$B,0))</f>
        <v>0</v>
      </c>
      <c r="K51" s="126">
        <f>INDEX('AEO 38'!O:O,MATCH('psgr LDVs'!$B51,'AEO 38'!$B:$B,0))</f>
        <v>0</v>
      </c>
      <c r="L51" s="126">
        <f>INDEX('AEO 38'!P:P,MATCH('psgr LDVs'!$B51,'AEO 38'!$B:$B,0))</f>
        <v>0</v>
      </c>
      <c r="M51" s="126">
        <f>INDEX('AEO 38'!Q:Q,MATCH('psgr LDVs'!$B51,'AEO 38'!$B:$B,0))</f>
        <v>0</v>
      </c>
      <c r="N51" s="126">
        <f>INDEX('AEO 38'!R:R,MATCH('psgr LDVs'!$B51,'AEO 38'!$B:$B,0))</f>
        <v>0</v>
      </c>
      <c r="O51" s="126">
        <f>INDEX('AEO 38'!S:S,MATCH('psgr LDVs'!$B51,'AEO 38'!$B:$B,0))</f>
        <v>0</v>
      </c>
      <c r="P51" s="126">
        <f>INDEX('AEO 38'!T:T,MATCH('psgr LDVs'!$B51,'AEO 38'!$B:$B,0))</f>
        <v>0</v>
      </c>
      <c r="Q51" s="126">
        <f>INDEX('AEO 38'!U:U,MATCH('psgr LDVs'!$B51,'AEO 38'!$B:$B,0))</f>
        <v>0</v>
      </c>
      <c r="R51" s="126">
        <f>INDEX('AEO 38'!V:V,MATCH('psgr LDVs'!$B51,'AEO 38'!$B:$B,0))</f>
        <v>0</v>
      </c>
      <c r="S51" s="126">
        <f>INDEX('AEO 38'!W:W,MATCH('psgr LDVs'!$B51,'AEO 38'!$B:$B,0))</f>
        <v>0</v>
      </c>
      <c r="T51" s="126">
        <f>INDEX('AEO 38'!X:X,MATCH('psgr LDVs'!$B51,'AEO 38'!$B:$B,0))</f>
        <v>0</v>
      </c>
      <c r="U51" s="126">
        <f>INDEX('AEO 38'!Y:Y,MATCH('psgr LDVs'!$B51,'AEO 38'!$B:$B,0))</f>
        <v>0</v>
      </c>
      <c r="V51" s="126">
        <f>INDEX('AEO 38'!Z:Z,MATCH('psgr LDVs'!$B51,'AEO 38'!$B:$B,0))</f>
        <v>0</v>
      </c>
      <c r="W51" s="126">
        <f>INDEX('AEO 38'!AA:AA,MATCH('psgr LDVs'!$B51,'AEO 38'!$B:$B,0))</f>
        <v>0</v>
      </c>
      <c r="X51" s="126">
        <f>INDEX('AEO 38'!AB:AB,MATCH('psgr LDVs'!$B51,'AEO 38'!$B:$B,0))</f>
        <v>0</v>
      </c>
      <c r="Y51" s="126">
        <f>INDEX('AEO 38'!AC:AC,MATCH('psgr LDVs'!$B51,'AEO 38'!$B:$B,0))</f>
        <v>0</v>
      </c>
      <c r="Z51" s="126">
        <f>INDEX('AEO 38'!AD:AD,MATCH('psgr LDVs'!$B51,'AEO 38'!$B:$B,0))</f>
        <v>0</v>
      </c>
      <c r="AA51" s="126">
        <f>INDEX('AEO 38'!AE:AE,MATCH('psgr LDVs'!$B51,'AEO 38'!$B:$B,0))</f>
        <v>0</v>
      </c>
      <c r="AB51" s="126">
        <f>INDEX('AEO 38'!AF:AF,MATCH('psgr LDVs'!$B51,'AEO 38'!$B:$B,0))</f>
        <v>0</v>
      </c>
      <c r="AC51" s="126">
        <f>INDEX('AEO 38'!AG:AG,MATCH('psgr LDVs'!$B51,'AEO 38'!$B:$B,0))</f>
        <v>0</v>
      </c>
      <c r="AD51" s="126">
        <f>INDEX('AEO 38'!AH:AH,MATCH('psgr LDVs'!$B51,'AEO 38'!$B:$B,0))</f>
        <v>0</v>
      </c>
      <c r="AE51" s="126">
        <f>INDEX('AEO 38'!AI:AI,MATCH('psgr LDVs'!$B51,'AEO 38'!$B:$B,0))</f>
        <v>0</v>
      </c>
      <c r="AF51" s="126">
        <f>INDEX('AEO 38'!AJ:AJ,MATCH('psgr LDVs'!$B51,'AEO 38'!$B:$B,0))</f>
        <v>0</v>
      </c>
      <c r="AG51" s="126">
        <f>INDEX('AEO 38'!AK:AK,MATCH('psgr LDVs'!$B51,'AEO 38'!$B:$B,0))</f>
        <v>0</v>
      </c>
    </row>
    <row r="52" spans="1:33">
      <c r="A52" s="132" t="s">
        <v>114</v>
      </c>
      <c r="B52" s="117" t="s">
        <v>926</v>
      </c>
      <c r="C52" s="126">
        <f>INDEX('AEO 38'!G:G,MATCH('psgr LDVs'!$B52,'AEO 38'!$B:$B,0))</f>
        <v>121.397232</v>
      </c>
      <c r="D52" s="126">
        <f>INDEX('AEO 38'!H:H,MATCH('psgr LDVs'!$B52,'AEO 38'!$B:$B,0))</f>
        <v>136.909775</v>
      </c>
      <c r="E52" s="126">
        <f>INDEX('AEO 38'!I:I,MATCH('psgr LDVs'!$B52,'AEO 38'!$B:$B,0))</f>
        <v>161.620529</v>
      </c>
      <c r="F52" s="126">
        <f>INDEX('AEO 38'!J:J,MATCH('psgr LDVs'!$B52,'AEO 38'!$B:$B,0))</f>
        <v>172.90016199999999</v>
      </c>
      <c r="G52" s="126">
        <f>INDEX('AEO 38'!K:K,MATCH('psgr LDVs'!$B52,'AEO 38'!$B:$B,0))</f>
        <v>185.48762500000001</v>
      </c>
      <c r="H52" s="126">
        <f>INDEX('AEO 38'!L:L,MATCH('psgr LDVs'!$B52,'AEO 38'!$B:$B,0))</f>
        <v>197.378525</v>
      </c>
      <c r="I52" s="126">
        <f>INDEX('AEO 38'!M:M,MATCH('psgr LDVs'!$B52,'AEO 38'!$B:$B,0))</f>
        <v>206.532532</v>
      </c>
      <c r="J52" s="126">
        <f>INDEX('AEO 38'!N:N,MATCH('psgr LDVs'!$B52,'AEO 38'!$B:$B,0))</f>
        <v>216.445618</v>
      </c>
      <c r="K52" s="126">
        <f>INDEX('AEO 38'!O:O,MATCH('psgr LDVs'!$B52,'AEO 38'!$B:$B,0))</f>
        <v>232.97335799999999</v>
      </c>
      <c r="L52" s="126">
        <f>INDEX('AEO 38'!P:P,MATCH('psgr LDVs'!$B52,'AEO 38'!$B:$B,0))</f>
        <v>246.07936100000001</v>
      </c>
      <c r="M52" s="126">
        <f>INDEX('AEO 38'!Q:Q,MATCH('psgr LDVs'!$B52,'AEO 38'!$B:$B,0))</f>
        <v>261.67312600000002</v>
      </c>
      <c r="N52" s="126">
        <f>INDEX('AEO 38'!R:R,MATCH('psgr LDVs'!$B52,'AEO 38'!$B:$B,0))</f>
        <v>274.52325400000001</v>
      </c>
      <c r="O52" s="126">
        <f>INDEX('AEO 38'!S:S,MATCH('psgr LDVs'!$B52,'AEO 38'!$B:$B,0))</f>
        <v>287.88394199999999</v>
      </c>
      <c r="P52" s="126">
        <f>INDEX('AEO 38'!T:T,MATCH('psgr LDVs'!$B52,'AEO 38'!$B:$B,0))</f>
        <v>300.89297499999998</v>
      </c>
      <c r="Q52" s="126">
        <f>INDEX('AEO 38'!U:U,MATCH('psgr LDVs'!$B52,'AEO 38'!$B:$B,0))</f>
        <v>315.429779</v>
      </c>
      <c r="R52" s="126">
        <f>INDEX('AEO 38'!V:V,MATCH('psgr LDVs'!$B52,'AEO 38'!$B:$B,0))</f>
        <v>326.46142600000002</v>
      </c>
      <c r="S52" s="126">
        <f>INDEX('AEO 38'!W:W,MATCH('psgr LDVs'!$B52,'AEO 38'!$B:$B,0))</f>
        <v>334.92172199999999</v>
      </c>
      <c r="T52" s="126">
        <f>INDEX('AEO 38'!X:X,MATCH('psgr LDVs'!$B52,'AEO 38'!$B:$B,0))</f>
        <v>344.05874599999999</v>
      </c>
      <c r="U52" s="126">
        <f>INDEX('AEO 38'!Y:Y,MATCH('psgr LDVs'!$B52,'AEO 38'!$B:$B,0))</f>
        <v>356.154785</v>
      </c>
      <c r="V52" s="126">
        <f>INDEX('AEO 38'!Z:Z,MATCH('psgr LDVs'!$B52,'AEO 38'!$B:$B,0))</f>
        <v>366.537689</v>
      </c>
      <c r="W52" s="126">
        <f>INDEX('AEO 38'!AA:AA,MATCH('psgr LDVs'!$B52,'AEO 38'!$B:$B,0))</f>
        <v>377.08914199999998</v>
      </c>
      <c r="X52" s="126">
        <f>INDEX('AEO 38'!AB:AB,MATCH('psgr LDVs'!$B52,'AEO 38'!$B:$B,0))</f>
        <v>390.3526</v>
      </c>
      <c r="Y52" s="126">
        <f>INDEX('AEO 38'!AC:AC,MATCH('psgr LDVs'!$B52,'AEO 38'!$B:$B,0))</f>
        <v>401.862122</v>
      </c>
      <c r="Z52" s="126">
        <f>INDEX('AEO 38'!AD:AD,MATCH('psgr LDVs'!$B52,'AEO 38'!$B:$B,0))</f>
        <v>413.02459700000003</v>
      </c>
      <c r="AA52" s="126">
        <f>INDEX('AEO 38'!AE:AE,MATCH('psgr LDVs'!$B52,'AEO 38'!$B:$B,0))</f>
        <v>425.68554699999999</v>
      </c>
      <c r="AB52" s="126">
        <f>INDEX('AEO 38'!AF:AF,MATCH('psgr LDVs'!$B52,'AEO 38'!$B:$B,0))</f>
        <v>443.74679600000002</v>
      </c>
      <c r="AC52" s="126">
        <f>INDEX('AEO 38'!AG:AG,MATCH('psgr LDVs'!$B52,'AEO 38'!$B:$B,0))</f>
        <v>455.27056900000002</v>
      </c>
      <c r="AD52" s="126">
        <f>INDEX('AEO 38'!AH:AH,MATCH('psgr LDVs'!$B52,'AEO 38'!$B:$B,0))</f>
        <v>466.52200299999998</v>
      </c>
      <c r="AE52" s="126">
        <f>INDEX('AEO 38'!AI:AI,MATCH('psgr LDVs'!$B52,'AEO 38'!$B:$B,0))</f>
        <v>482.34301799999997</v>
      </c>
      <c r="AF52" s="126">
        <f>INDEX('AEO 38'!AJ:AJ,MATCH('psgr LDVs'!$B52,'AEO 38'!$B:$B,0))</f>
        <v>494.321167</v>
      </c>
      <c r="AG52" s="126">
        <f>INDEX('AEO 38'!AK:AK,MATCH('psgr LDVs'!$B52,'AEO 38'!$B:$B,0))</f>
        <v>505.77969400000001</v>
      </c>
    </row>
    <row r="53" spans="1:33">
      <c r="A53" s="132" t="s">
        <v>113</v>
      </c>
      <c r="B53" s="117" t="s">
        <v>927</v>
      </c>
      <c r="C53" s="126">
        <f>INDEX('AEO 38'!G:G,MATCH('psgr LDVs'!$B53,'AEO 38'!$B:$B,0))</f>
        <v>0.43629899999999999</v>
      </c>
      <c r="D53" s="126">
        <f>INDEX('AEO 38'!H:H,MATCH('psgr LDVs'!$B53,'AEO 38'!$B:$B,0))</f>
        <v>0.44688600000000001</v>
      </c>
      <c r="E53" s="126">
        <f>INDEX('AEO 38'!I:I,MATCH('psgr LDVs'!$B53,'AEO 38'!$B:$B,0))</f>
        <v>0.54858899999999999</v>
      </c>
      <c r="F53" s="126">
        <f>INDEX('AEO 38'!J:J,MATCH('psgr LDVs'!$B53,'AEO 38'!$B:$B,0))</f>
        <v>0.60780699999999999</v>
      </c>
      <c r="G53" s="126">
        <f>INDEX('AEO 38'!K:K,MATCH('psgr LDVs'!$B53,'AEO 38'!$B:$B,0))</f>
        <v>0.65428600000000003</v>
      </c>
      <c r="H53" s="126">
        <f>INDEX('AEO 38'!L:L,MATCH('psgr LDVs'!$B53,'AEO 38'!$B:$B,0))</f>
        <v>0.68139700000000003</v>
      </c>
      <c r="I53" s="126">
        <f>INDEX('AEO 38'!M:M,MATCH('psgr LDVs'!$B53,'AEO 38'!$B:$B,0))</f>
        <v>0.67553300000000005</v>
      </c>
      <c r="J53" s="126">
        <f>INDEX('AEO 38'!N:N,MATCH('psgr LDVs'!$B53,'AEO 38'!$B:$B,0))</f>
        <v>0.66068800000000005</v>
      </c>
      <c r="K53" s="126">
        <f>INDEX('AEO 38'!O:O,MATCH('psgr LDVs'!$B53,'AEO 38'!$B:$B,0))</f>
        <v>0.66388499999999995</v>
      </c>
      <c r="L53" s="126">
        <f>INDEX('AEO 38'!P:P,MATCH('psgr LDVs'!$B53,'AEO 38'!$B:$B,0))</f>
        <v>0.65932400000000002</v>
      </c>
      <c r="M53" s="126">
        <f>INDEX('AEO 38'!Q:Q,MATCH('psgr LDVs'!$B53,'AEO 38'!$B:$B,0))</f>
        <v>0.65431600000000001</v>
      </c>
      <c r="N53" s="126">
        <f>INDEX('AEO 38'!R:R,MATCH('psgr LDVs'!$B53,'AEO 38'!$B:$B,0))</f>
        <v>0.66020900000000005</v>
      </c>
      <c r="O53" s="126">
        <f>INDEX('AEO 38'!S:S,MATCH('psgr LDVs'!$B53,'AEO 38'!$B:$B,0))</f>
        <v>0.65928699999999996</v>
      </c>
      <c r="P53" s="126">
        <f>INDEX('AEO 38'!T:T,MATCH('psgr LDVs'!$B53,'AEO 38'!$B:$B,0))</f>
        <v>0.66081100000000004</v>
      </c>
      <c r="Q53" s="126">
        <f>INDEX('AEO 38'!U:U,MATCH('psgr LDVs'!$B53,'AEO 38'!$B:$B,0))</f>
        <v>0.66457699999999997</v>
      </c>
      <c r="R53" s="126">
        <f>INDEX('AEO 38'!V:V,MATCH('psgr LDVs'!$B53,'AEO 38'!$B:$B,0))</f>
        <v>0.66665700000000006</v>
      </c>
      <c r="S53" s="126">
        <f>INDEX('AEO 38'!W:W,MATCH('psgr LDVs'!$B53,'AEO 38'!$B:$B,0))</f>
        <v>0.65699399999999997</v>
      </c>
      <c r="T53" s="126">
        <f>INDEX('AEO 38'!X:X,MATCH('psgr LDVs'!$B53,'AEO 38'!$B:$B,0))</f>
        <v>0.65082700000000004</v>
      </c>
      <c r="U53" s="126">
        <f>INDEX('AEO 38'!Y:Y,MATCH('psgr LDVs'!$B53,'AEO 38'!$B:$B,0))</f>
        <v>0.65140600000000004</v>
      </c>
      <c r="V53" s="126">
        <f>INDEX('AEO 38'!Z:Z,MATCH('psgr LDVs'!$B53,'AEO 38'!$B:$B,0))</f>
        <v>0.64930500000000002</v>
      </c>
      <c r="W53" s="126">
        <f>INDEX('AEO 38'!AA:AA,MATCH('psgr LDVs'!$B53,'AEO 38'!$B:$B,0))</f>
        <v>0.64486699999999997</v>
      </c>
      <c r="X53" s="126">
        <f>INDEX('AEO 38'!AB:AB,MATCH('psgr LDVs'!$B53,'AEO 38'!$B:$B,0))</f>
        <v>0.64294700000000005</v>
      </c>
      <c r="Y53" s="126">
        <f>INDEX('AEO 38'!AC:AC,MATCH('psgr LDVs'!$B53,'AEO 38'!$B:$B,0))</f>
        <v>0.64115999999999995</v>
      </c>
      <c r="Z53" s="126">
        <f>INDEX('AEO 38'!AD:AD,MATCH('psgr LDVs'!$B53,'AEO 38'!$B:$B,0))</f>
        <v>0.63736599999999999</v>
      </c>
      <c r="AA53" s="126">
        <f>INDEX('AEO 38'!AE:AE,MATCH('psgr LDVs'!$B53,'AEO 38'!$B:$B,0))</f>
        <v>0.635911</v>
      </c>
      <c r="AB53" s="126">
        <f>INDEX('AEO 38'!AF:AF,MATCH('psgr LDVs'!$B53,'AEO 38'!$B:$B,0))</f>
        <v>0.64154299999999997</v>
      </c>
      <c r="AC53" s="126">
        <f>INDEX('AEO 38'!AG:AG,MATCH('psgr LDVs'!$B53,'AEO 38'!$B:$B,0))</f>
        <v>0.63843099999999997</v>
      </c>
      <c r="AD53" s="126">
        <f>INDEX('AEO 38'!AH:AH,MATCH('psgr LDVs'!$B53,'AEO 38'!$B:$B,0))</f>
        <v>0.63314400000000004</v>
      </c>
      <c r="AE53" s="126">
        <f>INDEX('AEO 38'!AI:AI,MATCH('psgr LDVs'!$B53,'AEO 38'!$B:$B,0))</f>
        <v>0.63452600000000003</v>
      </c>
      <c r="AF53" s="126">
        <f>INDEX('AEO 38'!AJ:AJ,MATCH('psgr LDVs'!$B53,'AEO 38'!$B:$B,0))</f>
        <v>0.62921300000000002</v>
      </c>
      <c r="AG53" s="126">
        <f>INDEX('AEO 38'!AK:AK,MATCH('psgr LDVs'!$B53,'AEO 38'!$B:$B,0))</f>
        <v>0.62481299999999995</v>
      </c>
    </row>
    <row r="54" spans="1:33">
      <c r="A54" s="132" t="s">
        <v>113</v>
      </c>
      <c r="B54" s="117" t="s">
        <v>928</v>
      </c>
      <c r="C54" s="126">
        <f>INDEX('AEO 38'!G:G,MATCH('psgr LDVs'!$B54,'AEO 38'!$B:$B,0))</f>
        <v>2.233771</v>
      </c>
      <c r="D54" s="126">
        <f>INDEX('AEO 38'!H:H,MATCH('psgr LDVs'!$B54,'AEO 38'!$B:$B,0))</f>
        <v>2.3549190000000002</v>
      </c>
      <c r="E54" s="126">
        <f>INDEX('AEO 38'!I:I,MATCH('psgr LDVs'!$B54,'AEO 38'!$B:$B,0))</f>
        <v>2.6102080000000001</v>
      </c>
      <c r="F54" s="126">
        <f>INDEX('AEO 38'!J:J,MATCH('psgr LDVs'!$B54,'AEO 38'!$B:$B,0))</f>
        <v>2.6420149999999998</v>
      </c>
      <c r="G54" s="126">
        <f>INDEX('AEO 38'!K:K,MATCH('psgr LDVs'!$B54,'AEO 38'!$B:$B,0))</f>
        <v>2.6773419999999999</v>
      </c>
      <c r="H54" s="126">
        <f>INDEX('AEO 38'!L:L,MATCH('psgr LDVs'!$B54,'AEO 38'!$B:$B,0))</f>
        <v>2.7028590000000001</v>
      </c>
      <c r="I54" s="126">
        <f>INDEX('AEO 38'!M:M,MATCH('psgr LDVs'!$B54,'AEO 38'!$B:$B,0))</f>
        <v>2.6681970000000002</v>
      </c>
      <c r="J54" s="126">
        <f>INDEX('AEO 38'!N:N,MATCH('psgr LDVs'!$B54,'AEO 38'!$B:$B,0))</f>
        <v>2.6230820000000001</v>
      </c>
      <c r="K54" s="126">
        <f>INDEX('AEO 38'!O:O,MATCH('psgr LDVs'!$B54,'AEO 38'!$B:$B,0))</f>
        <v>2.6450670000000001</v>
      </c>
      <c r="L54" s="126">
        <f>INDEX('AEO 38'!P:P,MATCH('psgr LDVs'!$B54,'AEO 38'!$B:$B,0))</f>
        <v>2.6557900000000001</v>
      </c>
      <c r="M54" s="126">
        <f>INDEX('AEO 38'!Q:Q,MATCH('psgr LDVs'!$B54,'AEO 38'!$B:$B,0))</f>
        <v>2.6701060000000001</v>
      </c>
      <c r="N54" s="126">
        <f>INDEX('AEO 38'!R:R,MATCH('psgr LDVs'!$B54,'AEO 38'!$B:$B,0))</f>
        <v>2.6834129999999998</v>
      </c>
      <c r="O54" s="126">
        <f>INDEX('AEO 38'!S:S,MATCH('psgr LDVs'!$B54,'AEO 38'!$B:$B,0))</f>
        <v>2.6993930000000002</v>
      </c>
      <c r="P54" s="126">
        <f>INDEX('AEO 38'!T:T,MATCH('psgr LDVs'!$B54,'AEO 38'!$B:$B,0))</f>
        <v>2.7136650000000002</v>
      </c>
      <c r="Q54" s="126">
        <f>INDEX('AEO 38'!U:U,MATCH('psgr LDVs'!$B54,'AEO 38'!$B:$B,0))</f>
        <v>2.737803</v>
      </c>
      <c r="R54" s="126">
        <f>INDEX('AEO 38'!V:V,MATCH('psgr LDVs'!$B54,'AEO 38'!$B:$B,0))</f>
        <v>2.7418469999999999</v>
      </c>
      <c r="S54" s="126">
        <f>INDEX('AEO 38'!W:W,MATCH('psgr LDVs'!$B54,'AEO 38'!$B:$B,0))</f>
        <v>2.7204739999999998</v>
      </c>
      <c r="T54" s="126">
        <f>INDEX('AEO 38'!X:X,MATCH('psgr LDVs'!$B54,'AEO 38'!$B:$B,0))</f>
        <v>2.7040519999999999</v>
      </c>
      <c r="U54" s="126">
        <f>INDEX('AEO 38'!Y:Y,MATCH('psgr LDVs'!$B54,'AEO 38'!$B:$B,0))</f>
        <v>2.7096710000000002</v>
      </c>
      <c r="V54" s="126">
        <f>INDEX('AEO 38'!Z:Z,MATCH('psgr LDVs'!$B54,'AEO 38'!$B:$B,0))</f>
        <v>2.7040820000000001</v>
      </c>
      <c r="W54" s="126">
        <f>INDEX('AEO 38'!AA:AA,MATCH('psgr LDVs'!$B54,'AEO 38'!$B:$B,0))</f>
        <v>2.6957080000000002</v>
      </c>
      <c r="X54" s="126">
        <f>INDEX('AEO 38'!AB:AB,MATCH('psgr LDVs'!$B54,'AEO 38'!$B:$B,0))</f>
        <v>2.6903959999999998</v>
      </c>
      <c r="Y54" s="126">
        <f>INDEX('AEO 38'!AC:AC,MATCH('psgr LDVs'!$B54,'AEO 38'!$B:$B,0))</f>
        <v>2.6841889999999999</v>
      </c>
      <c r="Z54" s="126">
        <f>INDEX('AEO 38'!AD:AD,MATCH('psgr LDVs'!$B54,'AEO 38'!$B:$B,0))</f>
        <v>2.672501</v>
      </c>
      <c r="AA54" s="126">
        <f>INDEX('AEO 38'!AE:AE,MATCH('psgr LDVs'!$B54,'AEO 38'!$B:$B,0))</f>
        <v>2.6680100000000002</v>
      </c>
      <c r="AB54" s="126">
        <f>INDEX('AEO 38'!AF:AF,MATCH('psgr LDVs'!$B54,'AEO 38'!$B:$B,0))</f>
        <v>2.6929240000000001</v>
      </c>
      <c r="AC54" s="126">
        <f>INDEX('AEO 38'!AG:AG,MATCH('psgr LDVs'!$B54,'AEO 38'!$B:$B,0))</f>
        <v>2.6788340000000002</v>
      </c>
      <c r="AD54" s="126">
        <f>INDEX('AEO 38'!AH:AH,MATCH('psgr LDVs'!$B54,'AEO 38'!$B:$B,0))</f>
        <v>2.6605189999999999</v>
      </c>
      <c r="AE54" s="126">
        <f>INDEX('AEO 38'!AI:AI,MATCH('psgr LDVs'!$B54,'AEO 38'!$B:$B,0))</f>
        <v>2.6682290000000002</v>
      </c>
      <c r="AF54" s="126">
        <f>INDEX('AEO 38'!AJ:AJ,MATCH('psgr LDVs'!$B54,'AEO 38'!$B:$B,0))</f>
        <v>2.6504690000000002</v>
      </c>
      <c r="AG54" s="126">
        <f>INDEX('AEO 38'!AK:AK,MATCH('psgr LDVs'!$B54,'AEO 38'!$B:$B,0))</f>
        <v>2.630525</v>
      </c>
    </row>
    <row r="55" spans="1:33">
      <c r="A55" s="132" t="s">
        <v>853</v>
      </c>
      <c r="B55" s="117" t="s">
        <v>929</v>
      </c>
      <c r="C55" s="126">
        <f>INDEX('AEO 38'!G:G,MATCH('psgr LDVs'!$B55,'AEO 38'!$B:$B,0))</f>
        <v>0.41389199999999998</v>
      </c>
      <c r="D55" s="126">
        <f>INDEX('AEO 38'!H:H,MATCH('psgr LDVs'!$B55,'AEO 38'!$B:$B,0))</f>
        <v>0.373083</v>
      </c>
      <c r="E55" s="126">
        <f>INDEX('AEO 38'!I:I,MATCH('psgr LDVs'!$B55,'AEO 38'!$B:$B,0))</f>
        <v>0.43224200000000002</v>
      </c>
      <c r="F55" s="126">
        <f>INDEX('AEO 38'!J:J,MATCH('psgr LDVs'!$B55,'AEO 38'!$B:$B,0))</f>
        <v>0.45028600000000002</v>
      </c>
      <c r="G55" s="126">
        <f>INDEX('AEO 38'!K:K,MATCH('psgr LDVs'!$B55,'AEO 38'!$B:$B,0))</f>
        <v>0.45489200000000002</v>
      </c>
      <c r="H55" s="126">
        <f>INDEX('AEO 38'!L:L,MATCH('psgr LDVs'!$B55,'AEO 38'!$B:$B,0))</f>
        <v>0.45953699999999997</v>
      </c>
      <c r="I55" s="126">
        <f>INDEX('AEO 38'!M:M,MATCH('psgr LDVs'!$B55,'AEO 38'!$B:$B,0))</f>
        <v>0.45393699999999998</v>
      </c>
      <c r="J55" s="126">
        <f>INDEX('AEO 38'!N:N,MATCH('psgr LDVs'!$B55,'AEO 38'!$B:$B,0))</f>
        <v>0.44735999999999998</v>
      </c>
      <c r="K55" s="126">
        <f>INDEX('AEO 38'!O:O,MATCH('psgr LDVs'!$B55,'AEO 38'!$B:$B,0))</f>
        <v>0.45521699999999998</v>
      </c>
      <c r="L55" s="126">
        <f>INDEX('AEO 38'!P:P,MATCH('psgr LDVs'!$B55,'AEO 38'!$B:$B,0))</f>
        <v>0.45961400000000002</v>
      </c>
      <c r="M55" s="126">
        <f>INDEX('AEO 38'!Q:Q,MATCH('psgr LDVs'!$B55,'AEO 38'!$B:$B,0))</f>
        <v>0.46068799999999999</v>
      </c>
      <c r="N55" s="126">
        <f>INDEX('AEO 38'!R:R,MATCH('psgr LDVs'!$B55,'AEO 38'!$B:$B,0))</f>
        <v>0.47550500000000001</v>
      </c>
      <c r="O55" s="126">
        <f>INDEX('AEO 38'!S:S,MATCH('psgr LDVs'!$B55,'AEO 38'!$B:$B,0))</f>
        <v>0.47844599999999998</v>
      </c>
      <c r="P55" s="126">
        <f>INDEX('AEO 38'!T:T,MATCH('psgr LDVs'!$B55,'AEO 38'!$B:$B,0))</f>
        <v>0.485149</v>
      </c>
      <c r="Q55" s="126">
        <f>INDEX('AEO 38'!U:U,MATCH('psgr LDVs'!$B55,'AEO 38'!$B:$B,0))</f>
        <v>0.49132700000000001</v>
      </c>
      <c r="R55" s="126">
        <f>INDEX('AEO 38'!V:V,MATCH('psgr LDVs'!$B55,'AEO 38'!$B:$B,0))</f>
        <v>0.499504</v>
      </c>
      <c r="S55" s="126">
        <f>INDEX('AEO 38'!W:W,MATCH('psgr LDVs'!$B55,'AEO 38'!$B:$B,0))</f>
        <v>0.49548599999999998</v>
      </c>
      <c r="T55" s="126">
        <f>INDEX('AEO 38'!X:X,MATCH('psgr LDVs'!$B55,'AEO 38'!$B:$B,0))</f>
        <v>0.49308000000000002</v>
      </c>
      <c r="U55" s="126">
        <f>INDEX('AEO 38'!Y:Y,MATCH('psgr LDVs'!$B55,'AEO 38'!$B:$B,0))</f>
        <v>0.496612</v>
      </c>
      <c r="V55" s="126">
        <f>INDEX('AEO 38'!Z:Z,MATCH('psgr LDVs'!$B55,'AEO 38'!$B:$B,0))</f>
        <v>0.499809</v>
      </c>
      <c r="W55" s="126">
        <f>INDEX('AEO 38'!AA:AA,MATCH('psgr LDVs'!$B55,'AEO 38'!$B:$B,0))</f>
        <v>0.499778</v>
      </c>
      <c r="X55" s="126">
        <f>INDEX('AEO 38'!AB:AB,MATCH('psgr LDVs'!$B55,'AEO 38'!$B:$B,0))</f>
        <v>0.50252600000000003</v>
      </c>
      <c r="Y55" s="126">
        <f>INDEX('AEO 38'!AC:AC,MATCH('psgr LDVs'!$B55,'AEO 38'!$B:$B,0))</f>
        <v>0.50540099999999999</v>
      </c>
      <c r="Z55" s="126">
        <f>INDEX('AEO 38'!AD:AD,MATCH('psgr LDVs'!$B55,'AEO 38'!$B:$B,0))</f>
        <v>0.50678500000000004</v>
      </c>
      <c r="AA55" s="126">
        <f>INDEX('AEO 38'!AE:AE,MATCH('psgr LDVs'!$B55,'AEO 38'!$B:$B,0))</f>
        <v>0.50928600000000002</v>
      </c>
      <c r="AB55" s="126">
        <f>INDEX('AEO 38'!AF:AF,MATCH('psgr LDVs'!$B55,'AEO 38'!$B:$B,0))</f>
        <v>0.517814</v>
      </c>
      <c r="AC55" s="126">
        <f>INDEX('AEO 38'!AG:AG,MATCH('psgr LDVs'!$B55,'AEO 38'!$B:$B,0))</f>
        <v>0.52007300000000001</v>
      </c>
      <c r="AD55" s="126">
        <f>INDEX('AEO 38'!AH:AH,MATCH('psgr LDVs'!$B55,'AEO 38'!$B:$B,0))</f>
        <v>0.51906799999999997</v>
      </c>
      <c r="AE55" s="126">
        <f>INDEX('AEO 38'!AI:AI,MATCH('psgr LDVs'!$B55,'AEO 38'!$B:$B,0))</f>
        <v>0.52413200000000004</v>
      </c>
      <c r="AF55" s="126">
        <f>INDEX('AEO 38'!AJ:AJ,MATCH('psgr LDVs'!$B55,'AEO 38'!$B:$B,0))</f>
        <v>0.52189600000000003</v>
      </c>
      <c r="AG55" s="126">
        <f>INDEX('AEO 38'!AK:AK,MATCH('psgr LDVs'!$B55,'AEO 38'!$B:$B,0))</f>
        <v>0.521648</v>
      </c>
    </row>
    <row r="56" spans="1:33">
      <c r="A56" s="132" t="s">
        <v>853</v>
      </c>
      <c r="B56" s="117" t="s">
        <v>930</v>
      </c>
      <c r="C56" s="126">
        <f>INDEX('AEO 38'!G:G,MATCH('psgr LDVs'!$B56,'AEO 38'!$B:$B,0))</f>
        <v>0.55315300000000001</v>
      </c>
      <c r="D56" s="126">
        <f>INDEX('AEO 38'!H:H,MATCH('psgr LDVs'!$B56,'AEO 38'!$B:$B,0))</f>
        <v>0.58484800000000003</v>
      </c>
      <c r="E56" s="126">
        <f>INDEX('AEO 38'!I:I,MATCH('psgr LDVs'!$B56,'AEO 38'!$B:$B,0))</f>
        <v>0.64725900000000003</v>
      </c>
      <c r="F56" s="126">
        <f>INDEX('AEO 38'!J:J,MATCH('psgr LDVs'!$B56,'AEO 38'!$B:$B,0))</f>
        <v>0.65540200000000004</v>
      </c>
      <c r="G56" s="126">
        <f>INDEX('AEO 38'!K:K,MATCH('psgr LDVs'!$B56,'AEO 38'!$B:$B,0))</f>
        <v>0.66368400000000005</v>
      </c>
      <c r="H56" s="126">
        <f>INDEX('AEO 38'!L:L,MATCH('psgr LDVs'!$B56,'AEO 38'!$B:$B,0))</f>
        <v>0.66954100000000005</v>
      </c>
      <c r="I56" s="126">
        <f>INDEX('AEO 38'!M:M,MATCH('psgr LDVs'!$B56,'AEO 38'!$B:$B,0))</f>
        <v>0.66135900000000003</v>
      </c>
      <c r="J56" s="126">
        <f>INDEX('AEO 38'!N:N,MATCH('psgr LDVs'!$B56,'AEO 38'!$B:$B,0))</f>
        <v>0.65037699999999998</v>
      </c>
      <c r="K56" s="126">
        <f>INDEX('AEO 38'!O:O,MATCH('psgr LDVs'!$B56,'AEO 38'!$B:$B,0))</f>
        <v>0.655528</v>
      </c>
      <c r="L56" s="126">
        <f>INDEX('AEO 38'!P:P,MATCH('psgr LDVs'!$B56,'AEO 38'!$B:$B,0))</f>
        <v>0.658057</v>
      </c>
      <c r="M56" s="126">
        <f>INDEX('AEO 38'!Q:Q,MATCH('psgr LDVs'!$B56,'AEO 38'!$B:$B,0))</f>
        <v>0.66197300000000003</v>
      </c>
      <c r="N56" s="126">
        <f>INDEX('AEO 38'!R:R,MATCH('psgr LDVs'!$B56,'AEO 38'!$B:$B,0))</f>
        <v>0.66510400000000003</v>
      </c>
      <c r="O56" s="126">
        <f>INDEX('AEO 38'!S:S,MATCH('psgr LDVs'!$B56,'AEO 38'!$B:$B,0))</f>
        <v>0.66882799999999998</v>
      </c>
      <c r="P56" s="126">
        <f>INDEX('AEO 38'!T:T,MATCH('psgr LDVs'!$B56,'AEO 38'!$B:$B,0))</f>
        <v>0.67204200000000003</v>
      </c>
      <c r="Q56" s="126">
        <f>INDEX('AEO 38'!U:U,MATCH('psgr LDVs'!$B56,'AEO 38'!$B:$B,0))</f>
        <v>0.67763099999999998</v>
      </c>
      <c r="R56" s="126">
        <f>INDEX('AEO 38'!V:V,MATCH('psgr LDVs'!$B56,'AEO 38'!$B:$B,0))</f>
        <v>0.67803500000000005</v>
      </c>
      <c r="S56" s="126">
        <f>INDEX('AEO 38'!W:W,MATCH('psgr LDVs'!$B56,'AEO 38'!$B:$B,0))</f>
        <v>0.67215499999999995</v>
      </c>
      <c r="T56" s="126">
        <f>INDEX('AEO 38'!X:X,MATCH('psgr LDVs'!$B56,'AEO 38'!$B:$B,0))</f>
        <v>0.66730699999999998</v>
      </c>
      <c r="U56" s="126">
        <f>INDEX('AEO 38'!Y:Y,MATCH('psgr LDVs'!$B56,'AEO 38'!$B:$B,0))</f>
        <v>0.66812700000000003</v>
      </c>
      <c r="V56" s="126">
        <f>INDEX('AEO 38'!Z:Z,MATCH('psgr LDVs'!$B56,'AEO 38'!$B:$B,0))</f>
        <v>0.66622700000000001</v>
      </c>
      <c r="W56" s="126">
        <f>INDEX('AEO 38'!AA:AA,MATCH('psgr LDVs'!$B56,'AEO 38'!$B:$B,0))</f>
        <v>0.66366099999999995</v>
      </c>
      <c r="X56" s="126">
        <f>INDEX('AEO 38'!AB:AB,MATCH('psgr LDVs'!$B56,'AEO 38'!$B:$B,0))</f>
        <v>0.66194799999999998</v>
      </c>
      <c r="Y56" s="126">
        <f>INDEX('AEO 38'!AC:AC,MATCH('psgr LDVs'!$B56,'AEO 38'!$B:$B,0))</f>
        <v>0.66001600000000005</v>
      </c>
      <c r="Z56" s="126">
        <f>INDEX('AEO 38'!AD:AD,MATCH('psgr LDVs'!$B56,'AEO 38'!$B:$B,0))</f>
        <v>0.65696100000000002</v>
      </c>
      <c r="AA56" s="126">
        <f>INDEX('AEO 38'!AE:AE,MATCH('psgr LDVs'!$B56,'AEO 38'!$B:$B,0))</f>
        <v>0.65544199999999997</v>
      </c>
      <c r="AB56" s="126">
        <f>INDEX('AEO 38'!AF:AF,MATCH('psgr LDVs'!$B56,'AEO 38'!$B:$B,0))</f>
        <v>0.66126600000000002</v>
      </c>
      <c r="AC56" s="126">
        <f>INDEX('AEO 38'!AG:AG,MATCH('psgr LDVs'!$B56,'AEO 38'!$B:$B,0))</f>
        <v>0.65729000000000004</v>
      </c>
      <c r="AD56" s="126">
        <f>INDEX('AEO 38'!AH:AH,MATCH('psgr LDVs'!$B56,'AEO 38'!$B:$B,0))</f>
        <v>0.65231099999999997</v>
      </c>
      <c r="AE56" s="126">
        <f>INDEX('AEO 38'!AI:AI,MATCH('psgr LDVs'!$B56,'AEO 38'!$B:$B,0))</f>
        <v>0.65364599999999995</v>
      </c>
      <c r="AF56" s="126">
        <f>INDEX('AEO 38'!AJ:AJ,MATCH('psgr LDVs'!$B56,'AEO 38'!$B:$B,0))</f>
        <v>0.64876599999999995</v>
      </c>
      <c r="AG56" s="126">
        <f>INDEX('AEO 38'!AK:AK,MATCH('psgr LDVs'!$B56,'AEO 38'!$B:$B,0))</f>
        <v>0.64339400000000002</v>
      </c>
    </row>
    <row r="57" spans="1:33">
      <c r="A57" s="132" t="s">
        <v>854</v>
      </c>
      <c r="B57" s="117" t="s">
        <v>931</v>
      </c>
      <c r="C57" s="126">
        <f>INDEX('AEO 38'!G:G,MATCH('psgr LDVs'!$B57,'AEO 38'!$B:$B,0))</f>
        <v>0</v>
      </c>
      <c r="D57" s="126">
        <f>INDEX('AEO 38'!H:H,MATCH('psgr LDVs'!$B57,'AEO 38'!$B:$B,0))</f>
        <v>0</v>
      </c>
      <c r="E57" s="126">
        <f>INDEX('AEO 38'!I:I,MATCH('psgr LDVs'!$B57,'AEO 38'!$B:$B,0))</f>
        <v>0</v>
      </c>
      <c r="F57" s="126">
        <f>INDEX('AEO 38'!J:J,MATCH('psgr LDVs'!$B57,'AEO 38'!$B:$B,0))</f>
        <v>0</v>
      </c>
      <c r="G57" s="126">
        <f>INDEX('AEO 38'!K:K,MATCH('psgr LDVs'!$B57,'AEO 38'!$B:$B,0))</f>
        <v>0</v>
      </c>
      <c r="H57" s="126">
        <f>INDEX('AEO 38'!L:L,MATCH('psgr LDVs'!$B57,'AEO 38'!$B:$B,0))</f>
        <v>0</v>
      </c>
      <c r="I57" s="126">
        <f>INDEX('AEO 38'!M:M,MATCH('psgr LDVs'!$B57,'AEO 38'!$B:$B,0))</f>
        <v>0</v>
      </c>
      <c r="J57" s="126">
        <f>INDEX('AEO 38'!N:N,MATCH('psgr LDVs'!$B57,'AEO 38'!$B:$B,0))</f>
        <v>0</v>
      </c>
      <c r="K57" s="126">
        <f>INDEX('AEO 38'!O:O,MATCH('psgr LDVs'!$B57,'AEO 38'!$B:$B,0))</f>
        <v>0</v>
      </c>
      <c r="L57" s="126">
        <f>INDEX('AEO 38'!P:P,MATCH('psgr LDVs'!$B57,'AEO 38'!$B:$B,0))</f>
        <v>0</v>
      </c>
      <c r="M57" s="126">
        <f>INDEX('AEO 38'!Q:Q,MATCH('psgr LDVs'!$B57,'AEO 38'!$B:$B,0))</f>
        <v>0</v>
      </c>
      <c r="N57" s="126">
        <f>INDEX('AEO 38'!R:R,MATCH('psgr LDVs'!$B57,'AEO 38'!$B:$B,0))</f>
        <v>0</v>
      </c>
      <c r="O57" s="126">
        <f>INDEX('AEO 38'!S:S,MATCH('psgr LDVs'!$B57,'AEO 38'!$B:$B,0))</f>
        <v>0</v>
      </c>
      <c r="P57" s="126">
        <f>INDEX('AEO 38'!T:T,MATCH('psgr LDVs'!$B57,'AEO 38'!$B:$B,0))</f>
        <v>0</v>
      </c>
      <c r="Q57" s="126">
        <f>INDEX('AEO 38'!U:U,MATCH('psgr LDVs'!$B57,'AEO 38'!$B:$B,0))</f>
        <v>0</v>
      </c>
      <c r="R57" s="126">
        <f>INDEX('AEO 38'!V:V,MATCH('psgr LDVs'!$B57,'AEO 38'!$B:$B,0))</f>
        <v>0</v>
      </c>
      <c r="S57" s="126">
        <f>INDEX('AEO 38'!W:W,MATCH('psgr LDVs'!$B57,'AEO 38'!$B:$B,0))</f>
        <v>0</v>
      </c>
      <c r="T57" s="126">
        <f>INDEX('AEO 38'!X:X,MATCH('psgr LDVs'!$B57,'AEO 38'!$B:$B,0))</f>
        <v>0</v>
      </c>
      <c r="U57" s="126">
        <f>INDEX('AEO 38'!Y:Y,MATCH('psgr LDVs'!$B57,'AEO 38'!$B:$B,0))</f>
        <v>0</v>
      </c>
      <c r="V57" s="126">
        <f>INDEX('AEO 38'!Z:Z,MATCH('psgr LDVs'!$B57,'AEO 38'!$B:$B,0))</f>
        <v>0</v>
      </c>
      <c r="W57" s="126">
        <f>INDEX('AEO 38'!AA:AA,MATCH('psgr LDVs'!$B57,'AEO 38'!$B:$B,0))</f>
        <v>0</v>
      </c>
      <c r="X57" s="126">
        <f>INDEX('AEO 38'!AB:AB,MATCH('psgr LDVs'!$B57,'AEO 38'!$B:$B,0))</f>
        <v>0</v>
      </c>
      <c r="Y57" s="126">
        <f>INDEX('AEO 38'!AC:AC,MATCH('psgr LDVs'!$B57,'AEO 38'!$B:$B,0))</f>
        <v>0</v>
      </c>
      <c r="Z57" s="126">
        <f>INDEX('AEO 38'!AD:AD,MATCH('psgr LDVs'!$B57,'AEO 38'!$B:$B,0))</f>
        <v>0</v>
      </c>
      <c r="AA57" s="126">
        <f>INDEX('AEO 38'!AE:AE,MATCH('psgr LDVs'!$B57,'AEO 38'!$B:$B,0))</f>
        <v>0</v>
      </c>
      <c r="AB57" s="126">
        <f>INDEX('AEO 38'!AF:AF,MATCH('psgr LDVs'!$B57,'AEO 38'!$B:$B,0))</f>
        <v>0</v>
      </c>
      <c r="AC57" s="126">
        <f>INDEX('AEO 38'!AG:AG,MATCH('psgr LDVs'!$B57,'AEO 38'!$B:$B,0))</f>
        <v>0</v>
      </c>
      <c r="AD57" s="126">
        <f>INDEX('AEO 38'!AH:AH,MATCH('psgr LDVs'!$B57,'AEO 38'!$B:$B,0))</f>
        <v>0</v>
      </c>
      <c r="AE57" s="126">
        <f>INDEX('AEO 38'!AI:AI,MATCH('psgr LDVs'!$B57,'AEO 38'!$B:$B,0))</f>
        <v>0</v>
      </c>
      <c r="AF57" s="126">
        <f>INDEX('AEO 38'!AJ:AJ,MATCH('psgr LDVs'!$B57,'AEO 38'!$B:$B,0))</f>
        <v>0</v>
      </c>
      <c r="AG57" s="126">
        <f>INDEX('AEO 38'!AK:AK,MATCH('psgr LDVs'!$B57,'AEO 38'!$B:$B,0))</f>
        <v>0</v>
      </c>
    </row>
    <row r="58" spans="1:33">
      <c r="A58" s="132" t="s">
        <v>854</v>
      </c>
      <c r="B58" s="117" t="s">
        <v>932</v>
      </c>
      <c r="C58" s="126">
        <f>INDEX('AEO 38'!G:G,MATCH('psgr LDVs'!$B58,'AEO 38'!$B:$B,0))</f>
        <v>0.17832799999999999</v>
      </c>
      <c r="D58" s="126">
        <f>INDEX('AEO 38'!H:H,MATCH('psgr LDVs'!$B58,'AEO 38'!$B:$B,0))</f>
        <v>0.18437400000000001</v>
      </c>
      <c r="E58" s="126">
        <f>INDEX('AEO 38'!I:I,MATCH('psgr LDVs'!$B58,'AEO 38'!$B:$B,0))</f>
        <v>0.21912999999999999</v>
      </c>
      <c r="F58" s="126">
        <f>INDEX('AEO 38'!J:J,MATCH('psgr LDVs'!$B58,'AEO 38'!$B:$B,0))</f>
        <v>0.24729699999999999</v>
      </c>
      <c r="G58" s="126">
        <f>INDEX('AEO 38'!K:K,MATCH('psgr LDVs'!$B58,'AEO 38'!$B:$B,0))</f>
        <v>0.283277</v>
      </c>
      <c r="H58" s="126">
        <f>INDEX('AEO 38'!L:L,MATCH('psgr LDVs'!$B58,'AEO 38'!$B:$B,0))</f>
        <v>0.33186599999999999</v>
      </c>
      <c r="I58" s="126">
        <f>INDEX('AEO 38'!M:M,MATCH('psgr LDVs'!$B58,'AEO 38'!$B:$B,0))</f>
        <v>0.37571900000000003</v>
      </c>
      <c r="J58" s="126">
        <f>INDEX('AEO 38'!N:N,MATCH('psgr LDVs'!$B58,'AEO 38'!$B:$B,0))</f>
        <v>0.42196699999999998</v>
      </c>
      <c r="K58" s="126">
        <f>INDEX('AEO 38'!O:O,MATCH('psgr LDVs'!$B58,'AEO 38'!$B:$B,0))</f>
        <v>0.48280099999999998</v>
      </c>
      <c r="L58" s="126">
        <f>INDEX('AEO 38'!P:P,MATCH('psgr LDVs'!$B58,'AEO 38'!$B:$B,0))</f>
        <v>0.54520800000000003</v>
      </c>
      <c r="M58" s="126">
        <f>INDEX('AEO 38'!Q:Q,MATCH('psgr LDVs'!$B58,'AEO 38'!$B:$B,0))</f>
        <v>0.61085900000000004</v>
      </c>
      <c r="N58" s="126">
        <f>INDEX('AEO 38'!R:R,MATCH('psgr LDVs'!$B58,'AEO 38'!$B:$B,0))</f>
        <v>0.67425599999999997</v>
      </c>
      <c r="O58" s="126">
        <f>INDEX('AEO 38'!S:S,MATCH('psgr LDVs'!$B58,'AEO 38'!$B:$B,0))</f>
        <v>0.73638300000000001</v>
      </c>
      <c r="P58" s="126">
        <f>INDEX('AEO 38'!T:T,MATCH('psgr LDVs'!$B58,'AEO 38'!$B:$B,0))</f>
        <v>0.79417099999999996</v>
      </c>
      <c r="Q58" s="126">
        <f>INDEX('AEO 38'!U:U,MATCH('psgr LDVs'!$B58,'AEO 38'!$B:$B,0))</f>
        <v>0.85042899999999999</v>
      </c>
      <c r="R58" s="126">
        <f>INDEX('AEO 38'!V:V,MATCH('psgr LDVs'!$B58,'AEO 38'!$B:$B,0))</f>
        <v>0.89630500000000002</v>
      </c>
      <c r="S58" s="126">
        <f>INDEX('AEO 38'!W:W,MATCH('psgr LDVs'!$B58,'AEO 38'!$B:$B,0))</f>
        <v>0.92880200000000002</v>
      </c>
      <c r="T58" s="126">
        <f>INDEX('AEO 38'!X:X,MATCH('psgr LDVs'!$B58,'AEO 38'!$B:$B,0))</f>
        <v>0.95828199999999997</v>
      </c>
      <c r="U58" s="126">
        <f>INDEX('AEO 38'!Y:Y,MATCH('psgr LDVs'!$B58,'AEO 38'!$B:$B,0))</f>
        <v>0.99207900000000004</v>
      </c>
      <c r="V58" s="126">
        <f>INDEX('AEO 38'!Z:Z,MATCH('psgr LDVs'!$B58,'AEO 38'!$B:$B,0))</f>
        <v>1.0194589999999999</v>
      </c>
      <c r="W58" s="126">
        <f>INDEX('AEO 38'!AA:AA,MATCH('psgr LDVs'!$B58,'AEO 38'!$B:$B,0))</f>
        <v>1.0433060000000001</v>
      </c>
      <c r="X58" s="126">
        <f>INDEX('AEO 38'!AB:AB,MATCH('psgr LDVs'!$B58,'AEO 38'!$B:$B,0))</f>
        <v>1.0675779999999999</v>
      </c>
      <c r="Y58" s="126">
        <f>INDEX('AEO 38'!AC:AC,MATCH('psgr LDVs'!$B58,'AEO 38'!$B:$B,0))</f>
        <v>1.0908180000000001</v>
      </c>
      <c r="Z58" s="126">
        <f>INDEX('AEO 38'!AD:AD,MATCH('psgr LDVs'!$B58,'AEO 38'!$B:$B,0))</f>
        <v>1.110843</v>
      </c>
      <c r="AA58" s="126">
        <f>INDEX('AEO 38'!AE:AE,MATCH('psgr LDVs'!$B58,'AEO 38'!$B:$B,0))</f>
        <v>1.133713</v>
      </c>
      <c r="AB58" s="126">
        <f>INDEX('AEO 38'!AF:AF,MATCH('psgr LDVs'!$B58,'AEO 38'!$B:$B,0))</f>
        <v>1.169284</v>
      </c>
      <c r="AC58" s="126">
        <f>INDEX('AEO 38'!AG:AG,MATCH('psgr LDVs'!$B58,'AEO 38'!$B:$B,0))</f>
        <v>1.1889510000000001</v>
      </c>
      <c r="AD58" s="126">
        <f>INDEX('AEO 38'!AH:AH,MATCH('psgr LDVs'!$B58,'AEO 38'!$B:$B,0))</f>
        <v>1.2056260000000001</v>
      </c>
      <c r="AE58" s="126">
        <f>INDEX('AEO 38'!AI:AI,MATCH('psgr LDVs'!$B58,'AEO 38'!$B:$B,0))</f>
        <v>1.2346550000000001</v>
      </c>
      <c r="AF58" s="126">
        <f>INDEX('AEO 38'!AJ:AJ,MATCH('psgr LDVs'!$B58,'AEO 38'!$B:$B,0))</f>
        <v>1.250848</v>
      </c>
      <c r="AG58" s="126">
        <f>INDEX('AEO 38'!AK:AK,MATCH('psgr LDVs'!$B58,'AEO 38'!$B:$B,0))</f>
        <v>1.266985</v>
      </c>
    </row>
    <row r="59" spans="1:33">
      <c r="A59" s="132"/>
      <c r="B59" s="117" t="s">
        <v>933</v>
      </c>
      <c r="C59" s="126">
        <f>INDEX('AEO 38'!G:G,MATCH('psgr LDVs'!$B59,'AEO 38'!$B:$B,0))</f>
        <v>346.935272</v>
      </c>
      <c r="D59" s="126">
        <f>INDEX('AEO 38'!H:H,MATCH('psgr LDVs'!$B59,'AEO 38'!$B:$B,0))</f>
        <v>366.23074300000002</v>
      </c>
      <c r="E59" s="126">
        <f>INDEX('AEO 38'!I:I,MATCH('psgr LDVs'!$B59,'AEO 38'!$B:$B,0))</f>
        <v>417.21722399999999</v>
      </c>
      <c r="F59" s="126">
        <f>INDEX('AEO 38'!J:J,MATCH('psgr LDVs'!$B59,'AEO 38'!$B:$B,0))</f>
        <v>436.024811</v>
      </c>
      <c r="G59" s="126">
        <f>INDEX('AEO 38'!K:K,MATCH('psgr LDVs'!$B59,'AEO 38'!$B:$B,0))</f>
        <v>459.848816</v>
      </c>
      <c r="H59" s="126">
        <f>INDEX('AEO 38'!L:L,MATCH('psgr LDVs'!$B59,'AEO 38'!$B:$B,0))</f>
        <v>483.04775999999998</v>
      </c>
      <c r="I59" s="126">
        <f>INDEX('AEO 38'!M:M,MATCH('psgr LDVs'!$B59,'AEO 38'!$B:$B,0))</f>
        <v>502.50482199999999</v>
      </c>
      <c r="J59" s="126">
        <f>INDEX('AEO 38'!N:N,MATCH('psgr LDVs'!$B59,'AEO 38'!$B:$B,0))</f>
        <v>525.64086899999995</v>
      </c>
      <c r="K59" s="126">
        <f>INDEX('AEO 38'!O:O,MATCH('psgr LDVs'!$B59,'AEO 38'!$B:$B,0))</f>
        <v>568.70343000000003</v>
      </c>
      <c r="L59" s="126">
        <f>INDEX('AEO 38'!P:P,MATCH('psgr LDVs'!$B59,'AEO 38'!$B:$B,0))</f>
        <v>602.35955799999999</v>
      </c>
      <c r="M59" s="126">
        <f>INDEX('AEO 38'!Q:Q,MATCH('psgr LDVs'!$B59,'AEO 38'!$B:$B,0))</f>
        <v>644.92663600000003</v>
      </c>
      <c r="N59" s="126">
        <f>INDEX('AEO 38'!R:R,MATCH('psgr LDVs'!$B59,'AEO 38'!$B:$B,0))</f>
        <v>686.01440400000001</v>
      </c>
      <c r="O59" s="126">
        <f>INDEX('AEO 38'!S:S,MATCH('psgr LDVs'!$B59,'AEO 38'!$B:$B,0))</f>
        <v>730.05273399999999</v>
      </c>
      <c r="P59" s="126">
        <f>INDEX('AEO 38'!T:T,MATCH('psgr LDVs'!$B59,'AEO 38'!$B:$B,0))</f>
        <v>776.91992200000004</v>
      </c>
      <c r="Q59" s="126">
        <f>INDEX('AEO 38'!U:U,MATCH('psgr LDVs'!$B59,'AEO 38'!$B:$B,0))</f>
        <v>829.09399399999995</v>
      </c>
      <c r="R59" s="126">
        <f>INDEX('AEO 38'!V:V,MATCH('psgr LDVs'!$B59,'AEO 38'!$B:$B,0))</f>
        <v>875.03411900000003</v>
      </c>
      <c r="S59" s="126">
        <f>INDEX('AEO 38'!W:W,MATCH('psgr LDVs'!$B59,'AEO 38'!$B:$B,0))</f>
        <v>911.12616000000003</v>
      </c>
      <c r="T59" s="126">
        <f>INDEX('AEO 38'!X:X,MATCH('psgr LDVs'!$B59,'AEO 38'!$B:$B,0))</f>
        <v>950.02514599999995</v>
      </c>
      <c r="U59" s="126">
        <f>INDEX('AEO 38'!Y:Y,MATCH('psgr LDVs'!$B59,'AEO 38'!$B:$B,0))</f>
        <v>997.61016800000004</v>
      </c>
      <c r="V59" s="126">
        <f>INDEX('AEO 38'!Z:Z,MATCH('psgr LDVs'!$B59,'AEO 38'!$B:$B,0))</f>
        <v>1040.204346</v>
      </c>
      <c r="W59" s="126">
        <f>INDEX('AEO 38'!AA:AA,MATCH('psgr LDVs'!$B59,'AEO 38'!$B:$B,0))</f>
        <v>1081.1759030000001</v>
      </c>
      <c r="X59" s="126">
        <f>INDEX('AEO 38'!AB:AB,MATCH('psgr LDVs'!$B59,'AEO 38'!$B:$B,0))</f>
        <v>1117.3350829999999</v>
      </c>
      <c r="Y59" s="126">
        <f>INDEX('AEO 38'!AC:AC,MATCH('psgr LDVs'!$B59,'AEO 38'!$B:$B,0))</f>
        <v>1150.3082280000001</v>
      </c>
      <c r="Z59" s="126">
        <f>INDEX('AEO 38'!AD:AD,MATCH('psgr LDVs'!$B59,'AEO 38'!$B:$B,0))</f>
        <v>1181.4125979999999</v>
      </c>
      <c r="AA59" s="126">
        <f>INDEX('AEO 38'!AE:AE,MATCH('psgr LDVs'!$B59,'AEO 38'!$B:$B,0))</f>
        <v>1217.249634</v>
      </c>
      <c r="AB59" s="126">
        <f>INDEX('AEO 38'!AF:AF,MATCH('psgr LDVs'!$B59,'AEO 38'!$B:$B,0))</f>
        <v>1268.7094729999999</v>
      </c>
      <c r="AC59" s="126">
        <f>INDEX('AEO 38'!AG:AG,MATCH('psgr LDVs'!$B59,'AEO 38'!$B:$B,0))</f>
        <v>1302.913452</v>
      </c>
      <c r="AD59" s="126">
        <f>INDEX('AEO 38'!AH:AH,MATCH('psgr LDVs'!$B59,'AEO 38'!$B:$B,0))</f>
        <v>1334.0649410000001</v>
      </c>
      <c r="AE59" s="126">
        <f>INDEX('AEO 38'!AI:AI,MATCH('psgr LDVs'!$B59,'AEO 38'!$B:$B,0))</f>
        <v>1379.4960940000001</v>
      </c>
      <c r="AF59" s="126">
        <f>INDEX('AEO 38'!AJ:AJ,MATCH('psgr LDVs'!$B59,'AEO 38'!$B:$B,0))</f>
        <v>1413.8126219999999</v>
      </c>
      <c r="AG59" s="126">
        <f>INDEX('AEO 38'!AK:AK,MATCH('psgr LDVs'!$B59,'AEO 38'!$B:$B,0))</f>
        <v>1448.9676509999999</v>
      </c>
    </row>
    <row r="60" spans="1:33">
      <c r="A60" s="132"/>
      <c r="B60" s="117" t="s">
        <v>934</v>
      </c>
      <c r="C60" s="126">
        <f>INDEX('AEO 38'!G:G,MATCH('psgr LDVs'!$B60,'AEO 38'!$B:$B,0))</f>
        <v>7.2617570000000002</v>
      </c>
      <c r="D60" s="126">
        <f>INDEX('AEO 38'!H:H,MATCH('psgr LDVs'!$B60,'AEO 38'!$B:$B,0))</f>
        <v>7.1317060000000003</v>
      </c>
      <c r="E60" s="126">
        <f>INDEX('AEO 38'!I:I,MATCH('psgr LDVs'!$B60,'AEO 38'!$B:$B,0))</f>
        <v>7.3713329999999999</v>
      </c>
      <c r="F60" s="126">
        <f>INDEX('AEO 38'!J:J,MATCH('psgr LDVs'!$B60,'AEO 38'!$B:$B,0))</f>
        <v>7.6314289999999998</v>
      </c>
      <c r="G60" s="126">
        <f>INDEX('AEO 38'!K:K,MATCH('psgr LDVs'!$B60,'AEO 38'!$B:$B,0))</f>
        <v>7.9388050000000003</v>
      </c>
      <c r="H60" s="126">
        <f>INDEX('AEO 38'!L:L,MATCH('psgr LDVs'!$B60,'AEO 38'!$B:$B,0))</f>
        <v>8.25793</v>
      </c>
      <c r="I60" s="126">
        <f>INDEX('AEO 38'!M:M,MATCH('psgr LDVs'!$B60,'AEO 38'!$B:$B,0))</f>
        <v>8.6959309999999999</v>
      </c>
      <c r="J60" s="126">
        <f>INDEX('AEO 38'!N:N,MATCH('psgr LDVs'!$B60,'AEO 38'!$B:$B,0))</f>
        <v>9.2486280000000001</v>
      </c>
      <c r="K60" s="126">
        <f>INDEX('AEO 38'!O:O,MATCH('psgr LDVs'!$B60,'AEO 38'!$B:$B,0))</f>
        <v>9.9263720000000006</v>
      </c>
      <c r="L60" s="126">
        <f>INDEX('AEO 38'!P:P,MATCH('psgr LDVs'!$B60,'AEO 38'!$B:$B,0))</f>
        <v>10.470497</v>
      </c>
      <c r="M60" s="126">
        <f>INDEX('AEO 38'!Q:Q,MATCH('psgr LDVs'!$B60,'AEO 38'!$B:$B,0))</f>
        <v>11.130689</v>
      </c>
      <c r="N60" s="126">
        <f>INDEX('AEO 38'!R:R,MATCH('psgr LDVs'!$B60,'AEO 38'!$B:$B,0))</f>
        <v>11.797069</v>
      </c>
      <c r="O60" s="126">
        <f>INDEX('AEO 38'!S:S,MATCH('psgr LDVs'!$B60,'AEO 38'!$B:$B,0))</f>
        <v>12.471461</v>
      </c>
      <c r="P60" s="126">
        <f>INDEX('AEO 38'!T:T,MATCH('psgr LDVs'!$B60,'AEO 38'!$B:$B,0))</f>
        <v>13.203564999999999</v>
      </c>
      <c r="Q60" s="126">
        <f>INDEX('AEO 38'!U:U,MATCH('psgr LDVs'!$B60,'AEO 38'!$B:$B,0))</f>
        <v>13.967699</v>
      </c>
      <c r="R60" s="126">
        <f>INDEX('AEO 38'!V:V,MATCH('psgr LDVs'!$B60,'AEO 38'!$B:$B,0))</f>
        <v>14.725889</v>
      </c>
      <c r="S60" s="126">
        <f>INDEX('AEO 38'!W:W,MATCH('psgr LDVs'!$B60,'AEO 38'!$B:$B,0))</f>
        <v>15.443156</v>
      </c>
      <c r="T60" s="126">
        <f>INDEX('AEO 38'!X:X,MATCH('psgr LDVs'!$B60,'AEO 38'!$B:$B,0))</f>
        <v>16.196693</v>
      </c>
      <c r="U60" s="126">
        <f>INDEX('AEO 38'!Y:Y,MATCH('psgr LDVs'!$B60,'AEO 38'!$B:$B,0))</f>
        <v>16.973568</v>
      </c>
      <c r="V60" s="126">
        <f>INDEX('AEO 38'!Z:Z,MATCH('psgr LDVs'!$B60,'AEO 38'!$B:$B,0))</f>
        <v>17.735476999999999</v>
      </c>
      <c r="W60" s="126">
        <f>INDEX('AEO 38'!AA:AA,MATCH('psgr LDVs'!$B60,'AEO 38'!$B:$B,0))</f>
        <v>18.487103999999999</v>
      </c>
      <c r="X60" s="126">
        <f>INDEX('AEO 38'!AB:AB,MATCH('psgr LDVs'!$B60,'AEO 38'!$B:$B,0))</f>
        <v>19.144907</v>
      </c>
      <c r="Y60" s="126">
        <f>INDEX('AEO 38'!AC:AC,MATCH('psgr LDVs'!$B60,'AEO 38'!$B:$B,0))</f>
        <v>19.756143999999999</v>
      </c>
      <c r="Z60" s="126">
        <f>INDEX('AEO 38'!AD:AD,MATCH('psgr LDVs'!$B60,'AEO 38'!$B:$B,0))</f>
        <v>20.37764</v>
      </c>
      <c r="AA60" s="126">
        <f>INDEX('AEO 38'!AE:AE,MATCH('psgr LDVs'!$B60,'AEO 38'!$B:$B,0))</f>
        <v>21.032349</v>
      </c>
      <c r="AB60" s="126">
        <f>INDEX('AEO 38'!AF:AF,MATCH('psgr LDVs'!$B60,'AEO 38'!$B:$B,0))</f>
        <v>21.722670000000001</v>
      </c>
      <c r="AC60" s="126">
        <f>INDEX('AEO 38'!AG:AG,MATCH('psgr LDVs'!$B60,'AEO 38'!$B:$B,0))</f>
        <v>22.431474999999999</v>
      </c>
      <c r="AD60" s="126">
        <f>INDEX('AEO 38'!AH:AH,MATCH('psgr LDVs'!$B60,'AEO 38'!$B:$B,0))</f>
        <v>23.125471000000001</v>
      </c>
      <c r="AE60" s="126">
        <f>INDEX('AEO 38'!AI:AI,MATCH('psgr LDVs'!$B60,'AEO 38'!$B:$B,0))</f>
        <v>23.84638</v>
      </c>
      <c r="AF60" s="126">
        <f>INDEX('AEO 38'!AJ:AJ,MATCH('psgr LDVs'!$B60,'AEO 38'!$B:$B,0))</f>
        <v>24.602717999999999</v>
      </c>
      <c r="AG60" s="126">
        <f>INDEX('AEO 38'!AK:AK,MATCH('psgr LDVs'!$B60,'AEO 38'!$B:$B,0))</f>
        <v>25.411739000000001</v>
      </c>
    </row>
    <row r="61" spans="1:33">
      <c r="A61" s="132"/>
      <c r="B61" s="117" t="s">
        <v>936</v>
      </c>
      <c r="C61" s="126">
        <f>INDEX('AEO 38'!G:G,MATCH('psgr LDVs'!$B61,'AEO 38'!$B:$B,0))</f>
        <v>4777.5668949999999</v>
      </c>
      <c r="D61" s="126">
        <f>INDEX('AEO 38'!H:H,MATCH('psgr LDVs'!$B61,'AEO 38'!$B:$B,0))</f>
        <v>5135.2470700000003</v>
      </c>
      <c r="E61" s="126">
        <f>INDEX('AEO 38'!I:I,MATCH('psgr LDVs'!$B61,'AEO 38'!$B:$B,0))</f>
        <v>5659.9975590000004</v>
      </c>
      <c r="F61" s="126">
        <f>INDEX('AEO 38'!J:J,MATCH('psgr LDVs'!$B61,'AEO 38'!$B:$B,0))</f>
        <v>5713.5405270000001</v>
      </c>
      <c r="G61" s="126">
        <f>INDEX('AEO 38'!K:K,MATCH('psgr LDVs'!$B61,'AEO 38'!$B:$B,0))</f>
        <v>5792.4189450000003</v>
      </c>
      <c r="H61" s="126">
        <f>INDEX('AEO 38'!L:L,MATCH('psgr LDVs'!$B61,'AEO 38'!$B:$B,0))</f>
        <v>5849.501953</v>
      </c>
      <c r="I61" s="126">
        <f>INDEX('AEO 38'!M:M,MATCH('psgr LDVs'!$B61,'AEO 38'!$B:$B,0))</f>
        <v>5778.6196289999998</v>
      </c>
      <c r="J61" s="126">
        <f>INDEX('AEO 38'!N:N,MATCH('psgr LDVs'!$B61,'AEO 38'!$B:$B,0))</f>
        <v>5683.4472660000001</v>
      </c>
      <c r="K61" s="126">
        <f>INDEX('AEO 38'!O:O,MATCH('psgr LDVs'!$B61,'AEO 38'!$B:$B,0))</f>
        <v>5729.2172849999997</v>
      </c>
      <c r="L61" s="126">
        <f>INDEX('AEO 38'!P:P,MATCH('psgr LDVs'!$B61,'AEO 38'!$B:$B,0))</f>
        <v>5752.921875</v>
      </c>
      <c r="M61" s="126">
        <f>INDEX('AEO 38'!Q:Q,MATCH('psgr LDVs'!$B61,'AEO 38'!$B:$B,0))</f>
        <v>5794.1308589999999</v>
      </c>
      <c r="N61" s="126">
        <f>INDEX('AEO 38'!R:R,MATCH('psgr LDVs'!$B61,'AEO 38'!$B:$B,0))</f>
        <v>5815.1259769999997</v>
      </c>
      <c r="O61" s="126">
        <f>INDEX('AEO 38'!S:S,MATCH('psgr LDVs'!$B61,'AEO 38'!$B:$B,0))</f>
        <v>5853.7866210000002</v>
      </c>
      <c r="P61" s="126">
        <f>INDEX('AEO 38'!T:T,MATCH('psgr LDVs'!$B61,'AEO 38'!$B:$B,0))</f>
        <v>5884.1684569999998</v>
      </c>
      <c r="Q61" s="126">
        <f>INDEX('AEO 38'!U:U,MATCH('psgr LDVs'!$B61,'AEO 38'!$B:$B,0))</f>
        <v>5935.794922</v>
      </c>
      <c r="R61" s="126">
        <f>INDEX('AEO 38'!V:V,MATCH('psgr LDVs'!$B61,'AEO 38'!$B:$B,0))</f>
        <v>5942.1479490000002</v>
      </c>
      <c r="S61" s="126">
        <f>INDEX('AEO 38'!W:W,MATCH('psgr LDVs'!$B61,'AEO 38'!$B:$B,0))</f>
        <v>5899.8701170000004</v>
      </c>
      <c r="T61" s="126">
        <f>INDEX('AEO 38'!X:X,MATCH('psgr LDVs'!$B61,'AEO 38'!$B:$B,0))</f>
        <v>5865.5498049999997</v>
      </c>
      <c r="U61" s="126">
        <f>INDEX('AEO 38'!Y:Y,MATCH('psgr LDVs'!$B61,'AEO 38'!$B:$B,0))</f>
        <v>5877.4335940000001</v>
      </c>
      <c r="V61" s="126">
        <f>INDEX('AEO 38'!Z:Z,MATCH('psgr LDVs'!$B61,'AEO 38'!$B:$B,0))</f>
        <v>5865.1044920000004</v>
      </c>
      <c r="W61" s="126">
        <f>INDEX('AEO 38'!AA:AA,MATCH('psgr LDVs'!$B61,'AEO 38'!$B:$B,0))</f>
        <v>5848.2705079999996</v>
      </c>
      <c r="X61" s="126">
        <f>INDEX('AEO 38'!AB:AB,MATCH('psgr LDVs'!$B61,'AEO 38'!$B:$B,0))</f>
        <v>5836.1997069999998</v>
      </c>
      <c r="Y61" s="126">
        <f>INDEX('AEO 38'!AC:AC,MATCH('psgr LDVs'!$B61,'AEO 38'!$B:$B,0))</f>
        <v>5822.5346680000002</v>
      </c>
      <c r="Z61" s="126">
        <f>INDEX('AEO 38'!AD:AD,MATCH('psgr LDVs'!$B61,'AEO 38'!$B:$B,0))</f>
        <v>5797.5927730000003</v>
      </c>
      <c r="AA61" s="126">
        <f>INDEX('AEO 38'!AE:AE,MATCH('psgr LDVs'!$B61,'AEO 38'!$B:$B,0))</f>
        <v>5787.5117190000001</v>
      </c>
      <c r="AB61" s="126">
        <f>INDEX('AEO 38'!AF:AF,MATCH('psgr LDVs'!$B61,'AEO 38'!$B:$B,0))</f>
        <v>5840.4858400000003</v>
      </c>
      <c r="AC61" s="126">
        <f>INDEX('AEO 38'!AG:AG,MATCH('psgr LDVs'!$B61,'AEO 38'!$B:$B,0))</f>
        <v>5808.4165039999998</v>
      </c>
      <c r="AD61" s="126">
        <f>INDEX('AEO 38'!AH:AH,MATCH('psgr LDVs'!$B61,'AEO 38'!$B:$B,0))</f>
        <v>5768.8120120000003</v>
      </c>
      <c r="AE61" s="126">
        <f>INDEX('AEO 38'!AI:AI,MATCH('psgr LDVs'!$B61,'AEO 38'!$B:$B,0))</f>
        <v>5784.9287109999996</v>
      </c>
      <c r="AF61" s="126">
        <f>INDEX('AEO 38'!AJ:AJ,MATCH('psgr LDVs'!$B61,'AEO 38'!$B:$B,0))</f>
        <v>5746.5708009999998</v>
      </c>
      <c r="AG61" s="126">
        <f>INDEX('AEO 38'!AK:AK,MATCH('psgr LDVs'!$B61,'AEO 38'!$B:$B,0))</f>
        <v>5701.9614259999998</v>
      </c>
    </row>
    <row r="62" spans="1:33">
      <c r="A62" s="132" t="s">
        <v>114</v>
      </c>
      <c r="B62" s="117" t="s">
        <v>938</v>
      </c>
      <c r="C62" s="126">
        <f>INDEX('AEO 38'!G:G,MATCH('psgr LDVs'!$B62,'AEO 38'!$B:$B,0))</f>
        <v>6511.5112300000001</v>
      </c>
      <c r="D62" s="126">
        <f>INDEX('AEO 38'!H:H,MATCH('psgr LDVs'!$B62,'AEO 38'!$B:$B,0))</f>
        <v>7292.9345700000003</v>
      </c>
      <c r="E62" s="126">
        <f>INDEX('AEO 38'!I:I,MATCH('psgr LDVs'!$B62,'AEO 38'!$B:$B,0))</f>
        <v>7525.9262699999999</v>
      </c>
      <c r="F62" s="126">
        <f>INDEX('AEO 38'!J:J,MATCH('psgr LDVs'!$B62,'AEO 38'!$B:$B,0))</f>
        <v>7716.5991210000002</v>
      </c>
      <c r="G62" s="126">
        <f>INDEX('AEO 38'!K:K,MATCH('psgr LDVs'!$B62,'AEO 38'!$B:$B,0))</f>
        <v>8010.6342770000001</v>
      </c>
      <c r="H62" s="126">
        <f>INDEX('AEO 38'!L:L,MATCH('psgr LDVs'!$B62,'AEO 38'!$B:$B,0))</f>
        <v>8217.6806639999995</v>
      </c>
      <c r="I62" s="126">
        <f>INDEX('AEO 38'!M:M,MATCH('psgr LDVs'!$B62,'AEO 38'!$B:$B,0))</f>
        <v>8112.4086909999996</v>
      </c>
      <c r="J62" s="126">
        <f>INDEX('AEO 38'!N:N,MATCH('psgr LDVs'!$B62,'AEO 38'!$B:$B,0))</f>
        <v>7927.6225590000004</v>
      </c>
      <c r="K62" s="126">
        <f>INDEX('AEO 38'!O:O,MATCH('psgr LDVs'!$B62,'AEO 38'!$B:$B,0))</f>
        <v>7939.861328</v>
      </c>
      <c r="L62" s="126">
        <f>INDEX('AEO 38'!P:P,MATCH('psgr LDVs'!$B62,'AEO 38'!$B:$B,0))</f>
        <v>7908.939453</v>
      </c>
      <c r="M62" s="126">
        <f>INDEX('AEO 38'!Q:Q,MATCH('psgr LDVs'!$B62,'AEO 38'!$B:$B,0))</f>
        <v>7718.6572269999997</v>
      </c>
      <c r="N62" s="126">
        <f>INDEX('AEO 38'!R:R,MATCH('psgr LDVs'!$B62,'AEO 38'!$B:$B,0))</f>
        <v>7683.6752930000002</v>
      </c>
      <c r="O62" s="126">
        <f>INDEX('AEO 38'!S:S,MATCH('psgr LDVs'!$B62,'AEO 38'!$B:$B,0))</f>
        <v>7655.0903319999998</v>
      </c>
      <c r="P62" s="126">
        <f>INDEX('AEO 38'!T:T,MATCH('psgr LDVs'!$B62,'AEO 38'!$B:$B,0))</f>
        <v>7618.3012699999999</v>
      </c>
      <c r="Q62" s="126">
        <f>INDEX('AEO 38'!U:U,MATCH('psgr LDVs'!$B62,'AEO 38'!$B:$B,0))</f>
        <v>7564.6049800000001</v>
      </c>
      <c r="R62" s="126">
        <f>INDEX('AEO 38'!V:V,MATCH('psgr LDVs'!$B62,'AEO 38'!$B:$B,0))</f>
        <v>7588.0214839999999</v>
      </c>
      <c r="S62" s="126">
        <f>INDEX('AEO 38'!W:W,MATCH('psgr LDVs'!$B62,'AEO 38'!$B:$B,0))</f>
        <v>7548.6801759999998</v>
      </c>
      <c r="T62" s="126">
        <f>INDEX('AEO 38'!X:X,MATCH('psgr LDVs'!$B62,'AEO 38'!$B:$B,0))</f>
        <v>7479.4257809999999</v>
      </c>
      <c r="U62" s="126">
        <f>INDEX('AEO 38'!Y:Y,MATCH('psgr LDVs'!$B62,'AEO 38'!$B:$B,0))</f>
        <v>7456.2070309999999</v>
      </c>
      <c r="V62" s="126">
        <f>INDEX('AEO 38'!Z:Z,MATCH('psgr LDVs'!$B62,'AEO 38'!$B:$B,0))</f>
        <v>7444.9130859999996</v>
      </c>
      <c r="W62" s="126">
        <f>INDEX('AEO 38'!AA:AA,MATCH('psgr LDVs'!$B62,'AEO 38'!$B:$B,0))</f>
        <v>7408.1596680000002</v>
      </c>
      <c r="X62" s="126">
        <f>INDEX('AEO 38'!AB:AB,MATCH('psgr LDVs'!$B62,'AEO 38'!$B:$B,0))</f>
        <v>7379.0336909999996</v>
      </c>
      <c r="Y62" s="126">
        <f>INDEX('AEO 38'!AC:AC,MATCH('psgr LDVs'!$B62,'AEO 38'!$B:$B,0))</f>
        <v>7367.5815430000002</v>
      </c>
      <c r="Z62" s="126">
        <f>INDEX('AEO 38'!AD:AD,MATCH('psgr LDVs'!$B62,'AEO 38'!$B:$B,0))</f>
        <v>7330.8530270000001</v>
      </c>
      <c r="AA62" s="126">
        <f>INDEX('AEO 38'!AE:AE,MATCH('psgr LDVs'!$B62,'AEO 38'!$B:$B,0))</f>
        <v>7297.3505859999996</v>
      </c>
      <c r="AB62" s="126">
        <f>INDEX('AEO 38'!AF:AF,MATCH('psgr LDVs'!$B62,'AEO 38'!$B:$B,0))</f>
        <v>7318.8364259999998</v>
      </c>
      <c r="AC62" s="126">
        <f>INDEX('AEO 38'!AG:AG,MATCH('psgr LDVs'!$B62,'AEO 38'!$B:$B,0))</f>
        <v>7272.265625</v>
      </c>
      <c r="AD62" s="126">
        <f>INDEX('AEO 38'!AH:AH,MATCH('psgr LDVs'!$B62,'AEO 38'!$B:$B,0))</f>
        <v>7213.9648440000001</v>
      </c>
      <c r="AE62" s="126">
        <f>INDEX('AEO 38'!AI:AI,MATCH('psgr LDVs'!$B62,'AEO 38'!$B:$B,0))</f>
        <v>7236.2163090000004</v>
      </c>
      <c r="AF62" s="126">
        <f>INDEX('AEO 38'!AJ:AJ,MATCH('psgr LDVs'!$B62,'AEO 38'!$B:$B,0))</f>
        <v>7160.7158200000003</v>
      </c>
      <c r="AG62" s="126">
        <f>INDEX('AEO 38'!AK:AK,MATCH('psgr LDVs'!$B62,'AEO 38'!$B:$B,0))</f>
        <v>7073.6337890000004</v>
      </c>
    </row>
    <row r="63" spans="1:33">
      <c r="A63" s="132" t="s">
        <v>115</v>
      </c>
      <c r="B63" s="117" t="s">
        <v>939</v>
      </c>
      <c r="C63" s="126">
        <f>INDEX('AEO 38'!G:G,MATCH('psgr LDVs'!$B63,'AEO 38'!$B:$B,0))</f>
        <v>46.653286000000001</v>
      </c>
      <c r="D63" s="126">
        <f>INDEX('AEO 38'!H:H,MATCH('psgr LDVs'!$B63,'AEO 38'!$B:$B,0))</f>
        <v>86.627808000000002</v>
      </c>
      <c r="E63" s="126">
        <f>INDEX('AEO 38'!I:I,MATCH('psgr LDVs'!$B63,'AEO 38'!$B:$B,0))</f>
        <v>118.902939</v>
      </c>
      <c r="F63" s="126">
        <f>INDEX('AEO 38'!J:J,MATCH('psgr LDVs'!$B63,'AEO 38'!$B:$B,0))</f>
        <v>111.870407</v>
      </c>
      <c r="G63" s="126">
        <f>INDEX('AEO 38'!K:K,MATCH('psgr LDVs'!$B63,'AEO 38'!$B:$B,0))</f>
        <v>112.74366000000001</v>
      </c>
      <c r="H63" s="126">
        <f>INDEX('AEO 38'!L:L,MATCH('psgr LDVs'!$B63,'AEO 38'!$B:$B,0))</f>
        <v>118.86602000000001</v>
      </c>
      <c r="I63" s="126">
        <f>INDEX('AEO 38'!M:M,MATCH('psgr LDVs'!$B63,'AEO 38'!$B:$B,0))</f>
        <v>113.95781700000001</v>
      </c>
      <c r="J63" s="126">
        <f>INDEX('AEO 38'!N:N,MATCH('psgr LDVs'!$B63,'AEO 38'!$B:$B,0))</f>
        <v>110.3395</v>
      </c>
      <c r="K63" s="126">
        <f>INDEX('AEO 38'!O:O,MATCH('psgr LDVs'!$B63,'AEO 38'!$B:$B,0))</f>
        <v>114.477501</v>
      </c>
      <c r="L63" s="126">
        <f>INDEX('AEO 38'!P:P,MATCH('psgr LDVs'!$B63,'AEO 38'!$B:$B,0))</f>
        <v>115.45842</v>
      </c>
      <c r="M63" s="126">
        <f>INDEX('AEO 38'!Q:Q,MATCH('psgr LDVs'!$B63,'AEO 38'!$B:$B,0))</f>
        <v>113.54399100000001</v>
      </c>
      <c r="N63" s="126">
        <f>INDEX('AEO 38'!R:R,MATCH('psgr LDVs'!$B63,'AEO 38'!$B:$B,0))</f>
        <v>113.89194500000001</v>
      </c>
      <c r="O63" s="126">
        <f>INDEX('AEO 38'!S:S,MATCH('psgr LDVs'!$B63,'AEO 38'!$B:$B,0))</f>
        <v>115.929947</v>
      </c>
      <c r="P63" s="126">
        <f>INDEX('AEO 38'!T:T,MATCH('psgr LDVs'!$B63,'AEO 38'!$B:$B,0))</f>
        <v>115.80641199999999</v>
      </c>
      <c r="Q63" s="126">
        <f>INDEX('AEO 38'!U:U,MATCH('psgr LDVs'!$B63,'AEO 38'!$B:$B,0))</f>
        <v>118.985512</v>
      </c>
      <c r="R63" s="126">
        <f>INDEX('AEO 38'!V:V,MATCH('psgr LDVs'!$B63,'AEO 38'!$B:$B,0))</f>
        <v>119.196495</v>
      </c>
      <c r="S63" s="126">
        <f>INDEX('AEO 38'!W:W,MATCH('psgr LDVs'!$B63,'AEO 38'!$B:$B,0))</f>
        <v>121.283905</v>
      </c>
      <c r="T63" s="126">
        <f>INDEX('AEO 38'!X:X,MATCH('psgr LDVs'!$B63,'AEO 38'!$B:$B,0))</f>
        <v>120.205467</v>
      </c>
      <c r="U63" s="126">
        <f>INDEX('AEO 38'!Y:Y,MATCH('psgr LDVs'!$B63,'AEO 38'!$B:$B,0))</f>
        <v>120.307976</v>
      </c>
      <c r="V63" s="126">
        <f>INDEX('AEO 38'!Z:Z,MATCH('psgr LDVs'!$B63,'AEO 38'!$B:$B,0))</f>
        <v>122.686348</v>
      </c>
      <c r="W63" s="126">
        <f>INDEX('AEO 38'!AA:AA,MATCH('psgr LDVs'!$B63,'AEO 38'!$B:$B,0))</f>
        <v>120.37797500000001</v>
      </c>
      <c r="X63" s="126">
        <f>INDEX('AEO 38'!AB:AB,MATCH('psgr LDVs'!$B63,'AEO 38'!$B:$B,0))</f>
        <v>120.40473900000001</v>
      </c>
      <c r="Y63" s="126">
        <f>INDEX('AEO 38'!AC:AC,MATCH('psgr LDVs'!$B63,'AEO 38'!$B:$B,0))</f>
        <v>120.17377500000001</v>
      </c>
      <c r="Z63" s="126">
        <f>INDEX('AEO 38'!AD:AD,MATCH('psgr LDVs'!$B63,'AEO 38'!$B:$B,0))</f>
        <v>119.908913</v>
      </c>
      <c r="AA63" s="126">
        <f>INDEX('AEO 38'!AE:AE,MATCH('psgr LDVs'!$B63,'AEO 38'!$B:$B,0))</f>
        <v>119.431061</v>
      </c>
      <c r="AB63" s="126">
        <f>INDEX('AEO 38'!AF:AF,MATCH('psgr LDVs'!$B63,'AEO 38'!$B:$B,0))</f>
        <v>120.896111</v>
      </c>
      <c r="AC63" s="126">
        <f>INDEX('AEO 38'!AG:AG,MATCH('psgr LDVs'!$B63,'AEO 38'!$B:$B,0))</f>
        <v>119.21642300000001</v>
      </c>
      <c r="AD63" s="126">
        <f>INDEX('AEO 38'!AH:AH,MATCH('psgr LDVs'!$B63,'AEO 38'!$B:$B,0))</f>
        <v>118.31201900000001</v>
      </c>
      <c r="AE63" s="126">
        <f>INDEX('AEO 38'!AI:AI,MATCH('psgr LDVs'!$B63,'AEO 38'!$B:$B,0))</f>
        <v>118.43898</v>
      </c>
      <c r="AF63" s="126">
        <f>INDEX('AEO 38'!AJ:AJ,MATCH('psgr LDVs'!$B63,'AEO 38'!$B:$B,0))</f>
        <v>117.401825</v>
      </c>
      <c r="AG63" s="126">
        <f>INDEX('AEO 38'!AK:AK,MATCH('psgr LDVs'!$B63,'AEO 38'!$B:$B,0))</f>
        <v>115.73097199999999</v>
      </c>
    </row>
    <row r="64" spans="1:33">
      <c r="A64" s="132"/>
      <c r="B64" s="117" t="s">
        <v>940</v>
      </c>
      <c r="C64" s="126">
        <f>INDEX('AEO 38'!G:G,MATCH('psgr LDVs'!$B64,'AEO 38'!$B:$B,0))</f>
        <v>6558.1645509999998</v>
      </c>
      <c r="D64" s="126">
        <f>INDEX('AEO 38'!H:H,MATCH('psgr LDVs'!$B64,'AEO 38'!$B:$B,0))</f>
        <v>7379.5625</v>
      </c>
      <c r="E64" s="126">
        <f>INDEX('AEO 38'!I:I,MATCH('psgr LDVs'!$B64,'AEO 38'!$B:$B,0))</f>
        <v>7644.8291019999997</v>
      </c>
      <c r="F64" s="126">
        <f>INDEX('AEO 38'!J:J,MATCH('psgr LDVs'!$B64,'AEO 38'!$B:$B,0))</f>
        <v>7828.4697269999997</v>
      </c>
      <c r="G64" s="126">
        <f>INDEX('AEO 38'!K:K,MATCH('psgr LDVs'!$B64,'AEO 38'!$B:$B,0))</f>
        <v>8123.3779299999997</v>
      </c>
      <c r="H64" s="126">
        <f>INDEX('AEO 38'!L:L,MATCH('psgr LDVs'!$B64,'AEO 38'!$B:$B,0))</f>
        <v>8336.546875</v>
      </c>
      <c r="I64" s="126">
        <f>INDEX('AEO 38'!M:M,MATCH('psgr LDVs'!$B64,'AEO 38'!$B:$B,0))</f>
        <v>8226.3662110000005</v>
      </c>
      <c r="J64" s="126">
        <f>INDEX('AEO 38'!N:N,MATCH('psgr LDVs'!$B64,'AEO 38'!$B:$B,0))</f>
        <v>8037.9619140000004</v>
      </c>
      <c r="K64" s="126">
        <f>INDEX('AEO 38'!O:O,MATCH('psgr LDVs'!$B64,'AEO 38'!$B:$B,0))</f>
        <v>8054.3388670000004</v>
      </c>
      <c r="L64" s="126">
        <f>INDEX('AEO 38'!P:P,MATCH('psgr LDVs'!$B64,'AEO 38'!$B:$B,0))</f>
        <v>8024.3979490000002</v>
      </c>
      <c r="M64" s="126">
        <f>INDEX('AEO 38'!Q:Q,MATCH('psgr LDVs'!$B64,'AEO 38'!$B:$B,0))</f>
        <v>7832.201172</v>
      </c>
      <c r="N64" s="126">
        <f>INDEX('AEO 38'!R:R,MATCH('psgr LDVs'!$B64,'AEO 38'!$B:$B,0))</f>
        <v>7797.5673829999996</v>
      </c>
      <c r="O64" s="126">
        <f>INDEX('AEO 38'!S:S,MATCH('psgr LDVs'!$B64,'AEO 38'!$B:$B,0))</f>
        <v>7771.0205079999996</v>
      </c>
      <c r="P64" s="126">
        <f>INDEX('AEO 38'!T:T,MATCH('psgr LDVs'!$B64,'AEO 38'!$B:$B,0))</f>
        <v>7734.1079099999997</v>
      </c>
      <c r="Q64" s="126">
        <f>INDEX('AEO 38'!U:U,MATCH('psgr LDVs'!$B64,'AEO 38'!$B:$B,0))</f>
        <v>7683.5903319999998</v>
      </c>
      <c r="R64" s="126">
        <f>INDEX('AEO 38'!V:V,MATCH('psgr LDVs'!$B64,'AEO 38'!$B:$B,0))</f>
        <v>7707.2177730000003</v>
      </c>
      <c r="S64" s="126">
        <f>INDEX('AEO 38'!W:W,MATCH('psgr LDVs'!$B64,'AEO 38'!$B:$B,0))</f>
        <v>7669.9638670000004</v>
      </c>
      <c r="T64" s="126">
        <f>INDEX('AEO 38'!X:X,MATCH('psgr LDVs'!$B64,'AEO 38'!$B:$B,0))</f>
        <v>7599.6313479999999</v>
      </c>
      <c r="U64" s="126">
        <f>INDEX('AEO 38'!Y:Y,MATCH('psgr LDVs'!$B64,'AEO 38'!$B:$B,0))</f>
        <v>7576.5151370000003</v>
      </c>
      <c r="V64" s="126">
        <f>INDEX('AEO 38'!Z:Z,MATCH('psgr LDVs'!$B64,'AEO 38'!$B:$B,0))</f>
        <v>7567.5996089999999</v>
      </c>
      <c r="W64" s="126">
        <f>INDEX('AEO 38'!AA:AA,MATCH('psgr LDVs'!$B64,'AEO 38'!$B:$B,0))</f>
        <v>7528.5375979999999</v>
      </c>
      <c r="X64" s="126">
        <f>INDEX('AEO 38'!AB:AB,MATCH('psgr LDVs'!$B64,'AEO 38'!$B:$B,0))</f>
        <v>7499.4384769999997</v>
      </c>
      <c r="Y64" s="126">
        <f>INDEX('AEO 38'!AC:AC,MATCH('psgr LDVs'!$B64,'AEO 38'!$B:$B,0))</f>
        <v>7487.7553710000002</v>
      </c>
      <c r="Z64" s="126">
        <f>INDEX('AEO 38'!AD:AD,MATCH('psgr LDVs'!$B64,'AEO 38'!$B:$B,0))</f>
        <v>7450.7617190000001</v>
      </c>
      <c r="AA64" s="126">
        <f>INDEX('AEO 38'!AE:AE,MATCH('psgr LDVs'!$B64,'AEO 38'!$B:$B,0))</f>
        <v>7416.7817379999997</v>
      </c>
      <c r="AB64" s="126">
        <f>INDEX('AEO 38'!AF:AF,MATCH('psgr LDVs'!$B64,'AEO 38'!$B:$B,0))</f>
        <v>7439.732422</v>
      </c>
      <c r="AC64" s="126">
        <f>INDEX('AEO 38'!AG:AG,MATCH('psgr LDVs'!$B64,'AEO 38'!$B:$B,0))</f>
        <v>7391.4819340000004</v>
      </c>
      <c r="AD64" s="126">
        <f>INDEX('AEO 38'!AH:AH,MATCH('psgr LDVs'!$B64,'AEO 38'!$B:$B,0))</f>
        <v>7332.2768550000001</v>
      </c>
      <c r="AE64" s="126">
        <f>INDEX('AEO 38'!AI:AI,MATCH('psgr LDVs'!$B64,'AEO 38'!$B:$B,0))</f>
        <v>7354.6552730000003</v>
      </c>
      <c r="AF64" s="126">
        <f>INDEX('AEO 38'!AJ:AJ,MATCH('psgr LDVs'!$B64,'AEO 38'!$B:$B,0))</f>
        <v>7278.1176759999998</v>
      </c>
      <c r="AG64" s="126">
        <f>INDEX('AEO 38'!AK:AK,MATCH('psgr LDVs'!$B64,'AEO 38'!$B:$B,0))</f>
        <v>7189.3647460000002</v>
      </c>
    </row>
    <row r="65" spans="1:33">
      <c r="A65" s="132" t="s">
        <v>114</v>
      </c>
      <c r="B65" s="117" t="s">
        <v>941</v>
      </c>
      <c r="C65" s="126">
        <f>INDEX('AEO 38'!G:G,MATCH('psgr LDVs'!$B65,'AEO 38'!$B:$B,0))</f>
        <v>658.66039999999998</v>
      </c>
      <c r="D65" s="126">
        <f>INDEX('AEO 38'!H:H,MATCH('psgr LDVs'!$B65,'AEO 38'!$B:$B,0))</f>
        <v>672.66931199999999</v>
      </c>
      <c r="E65" s="126">
        <f>INDEX('AEO 38'!I:I,MATCH('psgr LDVs'!$B65,'AEO 38'!$B:$B,0))</f>
        <v>696.22937000000002</v>
      </c>
      <c r="F65" s="126">
        <f>INDEX('AEO 38'!J:J,MATCH('psgr LDVs'!$B65,'AEO 38'!$B:$B,0))</f>
        <v>714.13098100000002</v>
      </c>
      <c r="G65" s="126">
        <f>INDEX('AEO 38'!K:K,MATCH('psgr LDVs'!$B65,'AEO 38'!$B:$B,0))</f>
        <v>741.75299099999995</v>
      </c>
      <c r="H65" s="126">
        <f>INDEX('AEO 38'!L:L,MATCH('psgr LDVs'!$B65,'AEO 38'!$B:$B,0))</f>
        <v>761.37091099999998</v>
      </c>
      <c r="I65" s="126">
        <f>INDEX('AEO 38'!M:M,MATCH('psgr LDVs'!$B65,'AEO 38'!$B:$B,0))</f>
        <v>754.853027</v>
      </c>
      <c r="J65" s="126">
        <f>INDEX('AEO 38'!N:N,MATCH('psgr LDVs'!$B65,'AEO 38'!$B:$B,0))</f>
        <v>739.60461399999997</v>
      </c>
      <c r="K65" s="126">
        <f>INDEX('AEO 38'!O:O,MATCH('psgr LDVs'!$B65,'AEO 38'!$B:$B,0))</f>
        <v>742.00176999999996</v>
      </c>
      <c r="L65" s="126">
        <f>INDEX('AEO 38'!P:P,MATCH('psgr LDVs'!$B65,'AEO 38'!$B:$B,0))</f>
        <v>740.44988999999998</v>
      </c>
      <c r="M65" s="126">
        <f>INDEX('AEO 38'!Q:Q,MATCH('psgr LDVs'!$B65,'AEO 38'!$B:$B,0))</f>
        <v>724.608521</v>
      </c>
      <c r="N65" s="126">
        <f>INDEX('AEO 38'!R:R,MATCH('psgr LDVs'!$B65,'AEO 38'!$B:$B,0))</f>
        <v>722.612122</v>
      </c>
      <c r="O65" s="126">
        <f>INDEX('AEO 38'!S:S,MATCH('psgr LDVs'!$B65,'AEO 38'!$B:$B,0))</f>
        <v>721.50848399999995</v>
      </c>
      <c r="P65" s="126">
        <f>INDEX('AEO 38'!T:T,MATCH('psgr LDVs'!$B65,'AEO 38'!$B:$B,0))</f>
        <v>719.58471699999996</v>
      </c>
      <c r="Q65" s="126">
        <f>INDEX('AEO 38'!U:U,MATCH('psgr LDVs'!$B65,'AEO 38'!$B:$B,0))</f>
        <v>716.46832300000005</v>
      </c>
      <c r="R65" s="126">
        <f>INDEX('AEO 38'!V:V,MATCH('psgr LDVs'!$B65,'AEO 38'!$B:$B,0))</f>
        <v>719.96905500000003</v>
      </c>
      <c r="S65" s="126">
        <f>INDEX('AEO 38'!W:W,MATCH('psgr LDVs'!$B65,'AEO 38'!$B:$B,0))</f>
        <v>717.42846699999996</v>
      </c>
      <c r="T65" s="126">
        <f>INDEX('AEO 38'!X:X,MATCH('psgr LDVs'!$B65,'AEO 38'!$B:$B,0))</f>
        <v>712.79492200000004</v>
      </c>
      <c r="U65" s="126">
        <f>INDEX('AEO 38'!Y:Y,MATCH('psgr LDVs'!$B65,'AEO 38'!$B:$B,0))</f>
        <v>712.05938700000002</v>
      </c>
      <c r="V65" s="126">
        <f>INDEX('AEO 38'!Z:Z,MATCH('psgr LDVs'!$B65,'AEO 38'!$B:$B,0))</f>
        <v>712.29937700000005</v>
      </c>
      <c r="W65" s="126">
        <f>INDEX('AEO 38'!AA:AA,MATCH('psgr LDVs'!$B65,'AEO 38'!$B:$B,0))</f>
        <v>710.03509499999996</v>
      </c>
      <c r="X65" s="126">
        <f>INDEX('AEO 38'!AB:AB,MATCH('psgr LDVs'!$B65,'AEO 38'!$B:$B,0))</f>
        <v>708.38903800000003</v>
      </c>
      <c r="Y65" s="126">
        <f>INDEX('AEO 38'!AC:AC,MATCH('psgr LDVs'!$B65,'AEO 38'!$B:$B,0))</f>
        <v>708.26019299999996</v>
      </c>
      <c r="Z65" s="126">
        <f>INDEX('AEO 38'!AD:AD,MATCH('psgr LDVs'!$B65,'AEO 38'!$B:$B,0))</f>
        <v>705.70605499999999</v>
      </c>
      <c r="AA65" s="126">
        <f>INDEX('AEO 38'!AE:AE,MATCH('psgr LDVs'!$B65,'AEO 38'!$B:$B,0))</f>
        <v>703.53607199999999</v>
      </c>
      <c r="AB65" s="126">
        <f>INDEX('AEO 38'!AF:AF,MATCH('psgr LDVs'!$B65,'AEO 38'!$B:$B,0))</f>
        <v>706.82189900000003</v>
      </c>
      <c r="AC65" s="126">
        <f>INDEX('AEO 38'!AG:AG,MATCH('psgr LDVs'!$B65,'AEO 38'!$B:$B,0))</f>
        <v>703.31671100000005</v>
      </c>
      <c r="AD65" s="126">
        <f>INDEX('AEO 38'!AH:AH,MATCH('psgr LDVs'!$B65,'AEO 38'!$B:$B,0))</f>
        <v>698.72473100000002</v>
      </c>
      <c r="AE65" s="126">
        <f>INDEX('AEO 38'!AI:AI,MATCH('psgr LDVs'!$B65,'AEO 38'!$B:$B,0))</f>
        <v>701.90130599999998</v>
      </c>
      <c r="AF65" s="126">
        <f>INDEX('AEO 38'!AJ:AJ,MATCH('psgr LDVs'!$B65,'AEO 38'!$B:$B,0))</f>
        <v>695.80841099999998</v>
      </c>
      <c r="AG65" s="126">
        <f>INDEX('AEO 38'!AK:AK,MATCH('psgr LDVs'!$B65,'AEO 38'!$B:$B,0))</f>
        <v>688.55413799999997</v>
      </c>
    </row>
    <row r="66" spans="1:33">
      <c r="A66" s="132" t="s">
        <v>112</v>
      </c>
      <c r="B66" s="117" t="s">
        <v>942</v>
      </c>
      <c r="C66" s="126">
        <f>INDEX('AEO 38'!G:G,MATCH('psgr LDVs'!$B66,'AEO 38'!$B:$B,0))</f>
        <v>0</v>
      </c>
      <c r="D66" s="126">
        <f>INDEX('AEO 38'!H:H,MATCH('psgr LDVs'!$B66,'AEO 38'!$B:$B,0))</f>
        <v>0</v>
      </c>
      <c r="E66" s="126">
        <f>INDEX('AEO 38'!I:I,MATCH('psgr LDVs'!$B66,'AEO 38'!$B:$B,0))</f>
        <v>0</v>
      </c>
      <c r="F66" s="126">
        <f>INDEX('AEO 38'!J:J,MATCH('psgr LDVs'!$B66,'AEO 38'!$B:$B,0))</f>
        <v>0</v>
      </c>
      <c r="G66" s="126">
        <f>INDEX('AEO 38'!K:K,MATCH('psgr LDVs'!$B66,'AEO 38'!$B:$B,0))</f>
        <v>0</v>
      </c>
      <c r="H66" s="126">
        <f>INDEX('AEO 38'!L:L,MATCH('psgr LDVs'!$B66,'AEO 38'!$B:$B,0))</f>
        <v>0</v>
      </c>
      <c r="I66" s="126">
        <f>INDEX('AEO 38'!M:M,MATCH('psgr LDVs'!$B66,'AEO 38'!$B:$B,0))</f>
        <v>0</v>
      </c>
      <c r="J66" s="126">
        <f>INDEX('AEO 38'!N:N,MATCH('psgr LDVs'!$B66,'AEO 38'!$B:$B,0))</f>
        <v>0</v>
      </c>
      <c r="K66" s="126">
        <f>INDEX('AEO 38'!O:O,MATCH('psgr LDVs'!$B66,'AEO 38'!$B:$B,0))</f>
        <v>0</v>
      </c>
      <c r="L66" s="126">
        <f>INDEX('AEO 38'!P:P,MATCH('psgr LDVs'!$B66,'AEO 38'!$B:$B,0))</f>
        <v>0</v>
      </c>
      <c r="M66" s="126">
        <f>INDEX('AEO 38'!Q:Q,MATCH('psgr LDVs'!$B66,'AEO 38'!$B:$B,0))</f>
        <v>0</v>
      </c>
      <c r="N66" s="126">
        <f>INDEX('AEO 38'!R:R,MATCH('psgr LDVs'!$B66,'AEO 38'!$B:$B,0))</f>
        <v>0</v>
      </c>
      <c r="O66" s="126">
        <f>INDEX('AEO 38'!S:S,MATCH('psgr LDVs'!$B66,'AEO 38'!$B:$B,0))</f>
        <v>0</v>
      </c>
      <c r="P66" s="126">
        <f>INDEX('AEO 38'!T:T,MATCH('psgr LDVs'!$B66,'AEO 38'!$B:$B,0))</f>
        <v>0</v>
      </c>
      <c r="Q66" s="126">
        <f>INDEX('AEO 38'!U:U,MATCH('psgr LDVs'!$B66,'AEO 38'!$B:$B,0))</f>
        <v>0</v>
      </c>
      <c r="R66" s="126">
        <f>INDEX('AEO 38'!V:V,MATCH('psgr LDVs'!$B66,'AEO 38'!$B:$B,0))</f>
        <v>0</v>
      </c>
      <c r="S66" s="126">
        <f>INDEX('AEO 38'!W:W,MATCH('psgr LDVs'!$B66,'AEO 38'!$B:$B,0))</f>
        <v>0</v>
      </c>
      <c r="T66" s="126">
        <f>INDEX('AEO 38'!X:X,MATCH('psgr LDVs'!$B66,'AEO 38'!$B:$B,0))</f>
        <v>0</v>
      </c>
      <c r="U66" s="126">
        <f>INDEX('AEO 38'!Y:Y,MATCH('psgr LDVs'!$B66,'AEO 38'!$B:$B,0))</f>
        <v>0</v>
      </c>
      <c r="V66" s="126">
        <f>INDEX('AEO 38'!Z:Z,MATCH('psgr LDVs'!$B66,'AEO 38'!$B:$B,0))</f>
        <v>0</v>
      </c>
      <c r="W66" s="126">
        <f>INDEX('AEO 38'!AA:AA,MATCH('psgr LDVs'!$B66,'AEO 38'!$B:$B,0))</f>
        <v>0</v>
      </c>
      <c r="X66" s="126">
        <f>INDEX('AEO 38'!AB:AB,MATCH('psgr LDVs'!$B66,'AEO 38'!$B:$B,0))</f>
        <v>0</v>
      </c>
      <c r="Y66" s="126">
        <f>INDEX('AEO 38'!AC:AC,MATCH('psgr LDVs'!$B66,'AEO 38'!$B:$B,0))</f>
        <v>0</v>
      </c>
      <c r="Z66" s="126">
        <f>INDEX('AEO 38'!AD:AD,MATCH('psgr LDVs'!$B66,'AEO 38'!$B:$B,0))</f>
        <v>0</v>
      </c>
      <c r="AA66" s="126">
        <f>INDEX('AEO 38'!AE:AE,MATCH('psgr LDVs'!$B66,'AEO 38'!$B:$B,0))</f>
        <v>0</v>
      </c>
      <c r="AB66" s="126">
        <f>INDEX('AEO 38'!AF:AF,MATCH('psgr LDVs'!$B66,'AEO 38'!$B:$B,0))</f>
        <v>0</v>
      </c>
      <c r="AC66" s="126">
        <f>INDEX('AEO 38'!AG:AG,MATCH('psgr LDVs'!$B66,'AEO 38'!$B:$B,0))</f>
        <v>0</v>
      </c>
      <c r="AD66" s="126">
        <f>INDEX('AEO 38'!AH:AH,MATCH('psgr LDVs'!$B66,'AEO 38'!$B:$B,0))</f>
        <v>0</v>
      </c>
      <c r="AE66" s="126">
        <f>INDEX('AEO 38'!AI:AI,MATCH('psgr LDVs'!$B66,'AEO 38'!$B:$B,0))</f>
        <v>0</v>
      </c>
      <c r="AF66" s="126">
        <f>INDEX('AEO 38'!AJ:AJ,MATCH('psgr LDVs'!$B66,'AEO 38'!$B:$B,0))</f>
        <v>0</v>
      </c>
      <c r="AG66" s="126">
        <f>INDEX('AEO 38'!AK:AK,MATCH('psgr LDVs'!$B66,'AEO 38'!$B:$B,0))</f>
        <v>0</v>
      </c>
    </row>
    <row r="67" spans="1:33">
      <c r="A67" s="132" t="s">
        <v>112</v>
      </c>
      <c r="B67" s="117" t="s">
        <v>943</v>
      </c>
      <c r="C67" s="126">
        <f>INDEX('AEO 38'!G:G,MATCH('psgr LDVs'!$B67,'AEO 38'!$B:$B,0))</f>
        <v>11.011377</v>
      </c>
      <c r="D67" s="126">
        <f>INDEX('AEO 38'!H:H,MATCH('psgr LDVs'!$B67,'AEO 38'!$B:$B,0))</f>
        <v>12.580558</v>
      </c>
      <c r="E67" s="126">
        <f>INDEX('AEO 38'!I:I,MATCH('psgr LDVs'!$B67,'AEO 38'!$B:$B,0))</f>
        <v>13.856382</v>
      </c>
      <c r="F67" s="126">
        <f>INDEX('AEO 38'!J:J,MATCH('psgr LDVs'!$B67,'AEO 38'!$B:$B,0))</f>
        <v>14.729568</v>
      </c>
      <c r="G67" s="126">
        <f>INDEX('AEO 38'!K:K,MATCH('psgr LDVs'!$B67,'AEO 38'!$B:$B,0))</f>
        <v>17.766370999999999</v>
      </c>
      <c r="H67" s="126">
        <f>INDEX('AEO 38'!L:L,MATCH('psgr LDVs'!$B67,'AEO 38'!$B:$B,0))</f>
        <v>20.602139999999999</v>
      </c>
      <c r="I67" s="126">
        <f>INDEX('AEO 38'!M:M,MATCH('psgr LDVs'!$B67,'AEO 38'!$B:$B,0))</f>
        <v>23.901951</v>
      </c>
      <c r="J67" s="126">
        <f>INDEX('AEO 38'!N:N,MATCH('psgr LDVs'!$B67,'AEO 38'!$B:$B,0))</f>
        <v>26.800146000000002</v>
      </c>
      <c r="K67" s="126">
        <f>INDEX('AEO 38'!O:O,MATCH('psgr LDVs'!$B67,'AEO 38'!$B:$B,0))</f>
        <v>30.963303</v>
      </c>
      <c r="L67" s="126">
        <f>INDEX('AEO 38'!P:P,MATCH('psgr LDVs'!$B67,'AEO 38'!$B:$B,0))</f>
        <v>35.670749999999998</v>
      </c>
      <c r="M67" s="126">
        <f>INDEX('AEO 38'!Q:Q,MATCH('psgr LDVs'!$B67,'AEO 38'!$B:$B,0))</f>
        <v>39.973483999999999</v>
      </c>
      <c r="N67" s="126">
        <f>INDEX('AEO 38'!R:R,MATCH('psgr LDVs'!$B67,'AEO 38'!$B:$B,0))</f>
        <v>45.244709</v>
      </c>
      <c r="O67" s="126">
        <f>INDEX('AEO 38'!S:S,MATCH('psgr LDVs'!$B67,'AEO 38'!$B:$B,0))</f>
        <v>51.161358</v>
      </c>
      <c r="P67" s="126">
        <f>INDEX('AEO 38'!T:T,MATCH('psgr LDVs'!$B67,'AEO 38'!$B:$B,0))</f>
        <v>57.174720999999998</v>
      </c>
      <c r="Q67" s="126">
        <f>INDEX('AEO 38'!U:U,MATCH('psgr LDVs'!$B67,'AEO 38'!$B:$B,0))</f>
        <v>63.200184</v>
      </c>
      <c r="R67" s="126">
        <f>INDEX('AEO 38'!V:V,MATCH('psgr LDVs'!$B67,'AEO 38'!$B:$B,0))</f>
        <v>69.404929999999993</v>
      </c>
      <c r="S67" s="126">
        <f>INDEX('AEO 38'!W:W,MATCH('psgr LDVs'!$B67,'AEO 38'!$B:$B,0))</f>
        <v>75.094666000000004</v>
      </c>
      <c r="T67" s="126">
        <f>INDEX('AEO 38'!X:X,MATCH('psgr LDVs'!$B67,'AEO 38'!$B:$B,0))</f>
        <v>80.330344999999994</v>
      </c>
      <c r="U67" s="126">
        <f>INDEX('AEO 38'!Y:Y,MATCH('psgr LDVs'!$B67,'AEO 38'!$B:$B,0))</f>
        <v>85.896759000000003</v>
      </c>
      <c r="V67" s="126">
        <f>INDEX('AEO 38'!Z:Z,MATCH('psgr LDVs'!$B67,'AEO 38'!$B:$B,0))</f>
        <v>91.319007999999997</v>
      </c>
      <c r="W67" s="126">
        <f>INDEX('AEO 38'!AA:AA,MATCH('psgr LDVs'!$B67,'AEO 38'!$B:$B,0))</f>
        <v>96.360229000000004</v>
      </c>
      <c r="X67" s="126">
        <f>INDEX('AEO 38'!AB:AB,MATCH('psgr LDVs'!$B67,'AEO 38'!$B:$B,0))</f>
        <v>101.13458300000001</v>
      </c>
      <c r="Y67" s="126">
        <f>INDEX('AEO 38'!AC:AC,MATCH('psgr LDVs'!$B67,'AEO 38'!$B:$B,0))</f>
        <v>106.007904</v>
      </c>
      <c r="Z67" s="126">
        <f>INDEX('AEO 38'!AD:AD,MATCH('psgr LDVs'!$B67,'AEO 38'!$B:$B,0))</f>
        <v>110.533821</v>
      </c>
      <c r="AA67" s="126">
        <f>INDEX('AEO 38'!AE:AE,MATCH('psgr LDVs'!$B67,'AEO 38'!$B:$B,0))</f>
        <v>115.07858299999999</v>
      </c>
      <c r="AB67" s="126">
        <f>INDEX('AEO 38'!AF:AF,MATCH('psgr LDVs'!$B67,'AEO 38'!$B:$B,0))</f>
        <v>120.596695</v>
      </c>
      <c r="AC67" s="126">
        <f>INDEX('AEO 38'!AG:AG,MATCH('psgr LDVs'!$B67,'AEO 38'!$B:$B,0))</f>
        <v>124.79433400000001</v>
      </c>
      <c r="AD67" s="126">
        <f>INDEX('AEO 38'!AH:AH,MATCH('psgr LDVs'!$B67,'AEO 38'!$B:$B,0))</f>
        <v>128.80905200000001</v>
      </c>
      <c r="AE67" s="126">
        <f>INDEX('AEO 38'!AI:AI,MATCH('psgr LDVs'!$B67,'AEO 38'!$B:$B,0))</f>
        <v>134.22468599999999</v>
      </c>
      <c r="AF67" s="126">
        <f>INDEX('AEO 38'!AJ:AJ,MATCH('psgr LDVs'!$B67,'AEO 38'!$B:$B,0))</f>
        <v>138.10290499999999</v>
      </c>
      <c r="AG67" s="126">
        <f>INDEX('AEO 38'!AK:AK,MATCH('psgr LDVs'!$B67,'AEO 38'!$B:$B,0))</f>
        <v>141.68150299999999</v>
      </c>
    </row>
    <row r="68" spans="1:33">
      <c r="A68" s="132" t="s">
        <v>112</v>
      </c>
      <c r="B68" s="117" t="s">
        <v>944</v>
      </c>
      <c r="C68" s="126">
        <f>INDEX('AEO 38'!G:G,MATCH('psgr LDVs'!$B68,'AEO 38'!$B:$B,0))</f>
        <v>25.837799</v>
      </c>
      <c r="D68" s="126">
        <f>INDEX('AEO 38'!H:H,MATCH('psgr LDVs'!$B68,'AEO 38'!$B:$B,0))</f>
        <v>31.257812000000001</v>
      </c>
      <c r="E68" s="126">
        <f>INDEX('AEO 38'!I:I,MATCH('psgr LDVs'!$B68,'AEO 38'!$B:$B,0))</f>
        <v>36.313628999999999</v>
      </c>
      <c r="F68" s="126">
        <f>INDEX('AEO 38'!J:J,MATCH('psgr LDVs'!$B68,'AEO 38'!$B:$B,0))</f>
        <v>41.621760999999999</v>
      </c>
      <c r="G68" s="126">
        <f>INDEX('AEO 38'!K:K,MATCH('psgr LDVs'!$B68,'AEO 38'!$B:$B,0))</f>
        <v>48.076756000000003</v>
      </c>
      <c r="H68" s="126">
        <f>INDEX('AEO 38'!L:L,MATCH('psgr LDVs'!$B68,'AEO 38'!$B:$B,0))</f>
        <v>52.635860000000001</v>
      </c>
      <c r="I68" s="126">
        <f>INDEX('AEO 38'!M:M,MATCH('psgr LDVs'!$B68,'AEO 38'!$B:$B,0))</f>
        <v>55.501873000000003</v>
      </c>
      <c r="J68" s="126">
        <f>INDEX('AEO 38'!N:N,MATCH('psgr LDVs'!$B68,'AEO 38'!$B:$B,0))</f>
        <v>60.360518999999996</v>
      </c>
      <c r="K68" s="126">
        <f>INDEX('AEO 38'!O:O,MATCH('psgr LDVs'!$B68,'AEO 38'!$B:$B,0))</f>
        <v>68.817986000000005</v>
      </c>
      <c r="L68" s="126">
        <f>INDEX('AEO 38'!P:P,MATCH('psgr LDVs'!$B68,'AEO 38'!$B:$B,0))</f>
        <v>78.638526999999996</v>
      </c>
      <c r="M68" s="126">
        <f>INDEX('AEO 38'!Q:Q,MATCH('psgr LDVs'!$B68,'AEO 38'!$B:$B,0))</f>
        <v>91.469397999999998</v>
      </c>
      <c r="N68" s="126">
        <f>INDEX('AEO 38'!R:R,MATCH('psgr LDVs'!$B68,'AEO 38'!$B:$B,0))</f>
        <v>104.873695</v>
      </c>
      <c r="O68" s="126">
        <f>INDEX('AEO 38'!S:S,MATCH('psgr LDVs'!$B68,'AEO 38'!$B:$B,0))</f>
        <v>121.007698</v>
      </c>
      <c r="P68" s="126">
        <f>INDEX('AEO 38'!T:T,MATCH('psgr LDVs'!$B68,'AEO 38'!$B:$B,0))</f>
        <v>137.83313000000001</v>
      </c>
      <c r="Q68" s="126">
        <f>INDEX('AEO 38'!U:U,MATCH('psgr LDVs'!$B68,'AEO 38'!$B:$B,0))</f>
        <v>156.39167800000001</v>
      </c>
      <c r="R68" s="126">
        <f>INDEX('AEO 38'!V:V,MATCH('psgr LDVs'!$B68,'AEO 38'!$B:$B,0))</f>
        <v>175.18623400000001</v>
      </c>
      <c r="S68" s="126">
        <f>INDEX('AEO 38'!W:W,MATCH('psgr LDVs'!$B68,'AEO 38'!$B:$B,0))</f>
        <v>193.61909499999999</v>
      </c>
      <c r="T68" s="126">
        <f>INDEX('AEO 38'!X:X,MATCH('psgr LDVs'!$B68,'AEO 38'!$B:$B,0))</f>
        <v>212.34343000000001</v>
      </c>
      <c r="U68" s="126">
        <f>INDEX('AEO 38'!Y:Y,MATCH('psgr LDVs'!$B68,'AEO 38'!$B:$B,0))</f>
        <v>232.899643</v>
      </c>
      <c r="V68" s="126">
        <f>INDEX('AEO 38'!Z:Z,MATCH('psgr LDVs'!$B68,'AEO 38'!$B:$B,0))</f>
        <v>252.66897599999999</v>
      </c>
      <c r="W68" s="126">
        <f>INDEX('AEO 38'!AA:AA,MATCH('psgr LDVs'!$B68,'AEO 38'!$B:$B,0))</f>
        <v>272.35217299999999</v>
      </c>
      <c r="X68" s="126">
        <f>INDEX('AEO 38'!AB:AB,MATCH('psgr LDVs'!$B68,'AEO 38'!$B:$B,0))</f>
        <v>286.00414999999998</v>
      </c>
      <c r="Y68" s="126">
        <f>INDEX('AEO 38'!AC:AC,MATCH('psgr LDVs'!$B68,'AEO 38'!$B:$B,0))</f>
        <v>298.94357300000001</v>
      </c>
      <c r="Z68" s="126">
        <f>INDEX('AEO 38'!AD:AD,MATCH('psgr LDVs'!$B68,'AEO 38'!$B:$B,0))</f>
        <v>311.789062</v>
      </c>
      <c r="AA68" s="126">
        <f>INDEX('AEO 38'!AE:AE,MATCH('psgr LDVs'!$B68,'AEO 38'!$B:$B,0))</f>
        <v>325.64083900000003</v>
      </c>
      <c r="AB68" s="126">
        <f>INDEX('AEO 38'!AF:AF,MATCH('psgr LDVs'!$B68,'AEO 38'!$B:$B,0))</f>
        <v>343.58065800000003</v>
      </c>
      <c r="AC68" s="126">
        <f>INDEX('AEO 38'!AG:AG,MATCH('psgr LDVs'!$B68,'AEO 38'!$B:$B,0))</f>
        <v>357.28460699999999</v>
      </c>
      <c r="AD68" s="126">
        <f>INDEX('AEO 38'!AH:AH,MATCH('psgr LDVs'!$B68,'AEO 38'!$B:$B,0))</f>
        <v>370.97598299999999</v>
      </c>
      <c r="AE68" s="126">
        <f>INDEX('AEO 38'!AI:AI,MATCH('psgr LDVs'!$B68,'AEO 38'!$B:$B,0))</f>
        <v>388.95461999999998</v>
      </c>
      <c r="AF68" s="126">
        <f>INDEX('AEO 38'!AJ:AJ,MATCH('psgr LDVs'!$B68,'AEO 38'!$B:$B,0))</f>
        <v>404.656677</v>
      </c>
      <c r="AG68" s="126">
        <f>INDEX('AEO 38'!AK:AK,MATCH('psgr LDVs'!$B68,'AEO 38'!$B:$B,0))</f>
        <v>419.97311400000001</v>
      </c>
    </row>
    <row r="69" spans="1:33">
      <c r="A69" s="132" t="s">
        <v>116</v>
      </c>
      <c r="B69" s="117" t="s">
        <v>945</v>
      </c>
      <c r="C69" s="126">
        <f>INDEX('AEO 38'!G:G,MATCH('psgr LDVs'!$B69,'AEO 38'!$B:$B,0))</f>
        <v>3.735878</v>
      </c>
      <c r="D69" s="126">
        <f>INDEX('AEO 38'!H:H,MATCH('psgr LDVs'!$B69,'AEO 38'!$B:$B,0))</f>
        <v>4.1541399999999999</v>
      </c>
      <c r="E69" s="126">
        <f>INDEX('AEO 38'!I:I,MATCH('psgr LDVs'!$B69,'AEO 38'!$B:$B,0))</f>
        <v>4.3199930000000002</v>
      </c>
      <c r="F69" s="126">
        <f>INDEX('AEO 38'!J:J,MATCH('psgr LDVs'!$B69,'AEO 38'!$B:$B,0))</f>
        <v>4.4896120000000002</v>
      </c>
      <c r="G69" s="126">
        <f>INDEX('AEO 38'!K:K,MATCH('psgr LDVs'!$B69,'AEO 38'!$B:$B,0))</f>
        <v>4.8460700000000001</v>
      </c>
      <c r="H69" s="126">
        <f>INDEX('AEO 38'!L:L,MATCH('psgr LDVs'!$B69,'AEO 38'!$B:$B,0))</f>
        <v>5.0184350000000002</v>
      </c>
      <c r="I69" s="126">
        <f>INDEX('AEO 38'!M:M,MATCH('psgr LDVs'!$B69,'AEO 38'!$B:$B,0))</f>
        <v>5.0880770000000002</v>
      </c>
      <c r="J69" s="126">
        <f>INDEX('AEO 38'!N:N,MATCH('psgr LDVs'!$B69,'AEO 38'!$B:$B,0))</f>
        <v>5.6110899999999999</v>
      </c>
      <c r="K69" s="126">
        <f>INDEX('AEO 38'!O:O,MATCH('psgr LDVs'!$B69,'AEO 38'!$B:$B,0))</f>
        <v>6.3576269999999999</v>
      </c>
      <c r="L69" s="126">
        <f>INDEX('AEO 38'!P:P,MATCH('psgr LDVs'!$B69,'AEO 38'!$B:$B,0))</f>
        <v>7.1380610000000004</v>
      </c>
      <c r="M69" s="126">
        <f>INDEX('AEO 38'!Q:Q,MATCH('psgr LDVs'!$B69,'AEO 38'!$B:$B,0))</f>
        <v>7.8375640000000004</v>
      </c>
      <c r="N69" s="126">
        <f>INDEX('AEO 38'!R:R,MATCH('psgr LDVs'!$B69,'AEO 38'!$B:$B,0))</f>
        <v>8.6499839999999999</v>
      </c>
      <c r="O69" s="126">
        <f>INDEX('AEO 38'!S:S,MATCH('psgr LDVs'!$B69,'AEO 38'!$B:$B,0))</f>
        <v>9.5275210000000001</v>
      </c>
      <c r="P69" s="126">
        <f>INDEX('AEO 38'!T:T,MATCH('psgr LDVs'!$B69,'AEO 38'!$B:$B,0))</f>
        <v>10.36993</v>
      </c>
      <c r="Q69" s="126">
        <f>INDEX('AEO 38'!U:U,MATCH('psgr LDVs'!$B69,'AEO 38'!$B:$B,0))</f>
        <v>11.207824</v>
      </c>
      <c r="R69" s="126">
        <f>INDEX('AEO 38'!V:V,MATCH('psgr LDVs'!$B69,'AEO 38'!$B:$B,0))</f>
        <v>12.104683</v>
      </c>
      <c r="S69" s="126">
        <f>INDEX('AEO 38'!W:W,MATCH('psgr LDVs'!$B69,'AEO 38'!$B:$B,0))</f>
        <v>12.992331</v>
      </c>
      <c r="T69" s="126">
        <f>INDEX('AEO 38'!X:X,MATCH('psgr LDVs'!$B69,'AEO 38'!$B:$B,0))</f>
        <v>13.974368999999999</v>
      </c>
      <c r="U69" s="126">
        <f>INDEX('AEO 38'!Y:Y,MATCH('psgr LDVs'!$B69,'AEO 38'!$B:$B,0))</f>
        <v>15.18399</v>
      </c>
      <c r="V69" s="126">
        <f>INDEX('AEO 38'!Z:Z,MATCH('psgr LDVs'!$B69,'AEO 38'!$B:$B,0))</f>
        <v>16.544401000000001</v>
      </c>
      <c r="W69" s="126">
        <f>INDEX('AEO 38'!AA:AA,MATCH('psgr LDVs'!$B69,'AEO 38'!$B:$B,0))</f>
        <v>18.060143</v>
      </c>
      <c r="X69" s="126">
        <f>INDEX('AEO 38'!AB:AB,MATCH('psgr LDVs'!$B69,'AEO 38'!$B:$B,0))</f>
        <v>19.723482000000001</v>
      </c>
      <c r="Y69" s="126">
        <f>INDEX('AEO 38'!AC:AC,MATCH('psgr LDVs'!$B69,'AEO 38'!$B:$B,0))</f>
        <v>21.642765000000001</v>
      </c>
      <c r="Z69" s="126">
        <f>INDEX('AEO 38'!AD:AD,MATCH('psgr LDVs'!$B69,'AEO 38'!$B:$B,0))</f>
        <v>23.778744</v>
      </c>
      <c r="AA69" s="126">
        <f>INDEX('AEO 38'!AE:AE,MATCH('psgr LDVs'!$B69,'AEO 38'!$B:$B,0))</f>
        <v>26.269089000000001</v>
      </c>
      <c r="AB69" s="126">
        <f>INDEX('AEO 38'!AF:AF,MATCH('psgr LDVs'!$B69,'AEO 38'!$B:$B,0))</f>
        <v>29.479752999999999</v>
      </c>
      <c r="AC69" s="126">
        <f>INDEX('AEO 38'!AG:AG,MATCH('psgr LDVs'!$B69,'AEO 38'!$B:$B,0))</f>
        <v>32.905864999999999</v>
      </c>
      <c r="AD69" s="126">
        <f>INDEX('AEO 38'!AH:AH,MATCH('psgr LDVs'!$B69,'AEO 38'!$B:$B,0))</f>
        <v>36.874755999999998</v>
      </c>
      <c r="AE69" s="126">
        <f>INDEX('AEO 38'!AI:AI,MATCH('psgr LDVs'!$B69,'AEO 38'!$B:$B,0))</f>
        <v>41.898772999999998</v>
      </c>
      <c r="AF69" s="126">
        <f>INDEX('AEO 38'!AJ:AJ,MATCH('psgr LDVs'!$B69,'AEO 38'!$B:$B,0))</f>
        <v>47.256931000000002</v>
      </c>
      <c r="AG69" s="126">
        <f>INDEX('AEO 38'!AK:AK,MATCH('psgr LDVs'!$B69,'AEO 38'!$B:$B,0))</f>
        <v>53.308647000000001</v>
      </c>
    </row>
    <row r="70" spans="1:33">
      <c r="A70" s="132" t="s">
        <v>116</v>
      </c>
      <c r="B70" s="117" t="s">
        <v>946</v>
      </c>
      <c r="C70" s="126">
        <f>INDEX('AEO 38'!G:G,MATCH('psgr LDVs'!$B70,'AEO 38'!$B:$B,0))</f>
        <v>20.528244000000001</v>
      </c>
      <c r="D70" s="126">
        <f>INDEX('AEO 38'!H:H,MATCH('psgr LDVs'!$B70,'AEO 38'!$B:$B,0))</f>
        <v>24.639990000000001</v>
      </c>
      <c r="E70" s="126">
        <f>INDEX('AEO 38'!I:I,MATCH('psgr LDVs'!$B70,'AEO 38'!$B:$B,0))</f>
        <v>24.848987999999999</v>
      </c>
      <c r="F70" s="126">
        <f>INDEX('AEO 38'!J:J,MATCH('psgr LDVs'!$B70,'AEO 38'!$B:$B,0))</f>
        <v>23.036037</v>
      </c>
      <c r="G70" s="126">
        <f>INDEX('AEO 38'!K:K,MATCH('psgr LDVs'!$B70,'AEO 38'!$B:$B,0))</f>
        <v>21.596160999999999</v>
      </c>
      <c r="H70" s="126">
        <f>INDEX('AEO 38'!L:L,MATCH('psgr LDVs'!$B70,'AEO 38'!$B:$B,0))</f>
        <v>39.537579000000001</v>
      </c>
      <c r="I70" s="126">
        <f>INDEX('AEO 38'!M:M,MATCH('psgr LDVs'!$B70,'AEO 38'!$B:$B,0))</f>
        <v>117.66728999999999</v>
      </c>
      <c r="J70" s="126">
        <f>INDEX('AEO 38'!N:N,MATCH('psgr LDVs'!$B70,'AEO 38'!$B:$B,0))</f>
        <v>136.57620199999999</v>
      </c>
      <c r="K70" s="126">
        <f>INDEX('AEO 38'!O:O,MATCH('psgr LDVs'!$B70,'AEO 38'!$B:$B,0))</f>
        <v>138.54098500000001</v>
      </c>
      <c r="L70" s="126">
        <f>INDEX('AEO 38'!P:P,MATCH('psgr LDVs'!$B70,'AEO 38'!$B:$B,0))</f>
        <v>138.300262</v>
      </c>
      <c r="M70" s="126">
        <f>INDEX('AEO 38'!Q:Q,MATCH('psgr LDVs'!$B70,'AEO 38'!$B:$B,0))</f>
        <v>138.926895</v>
      </c>
      <c r="N70" s="126">
        <f>INDEX('AEO 38'!R:R,MATCH('psgr LDVs'!$B70,'AEO 38'!$B:$B,0))</f>
        <v>141.40266399999999</v>
      </c>
      <c r="O70" s="126">
        <f>INDEX('AEO 38'!S:S,MATCH('psgr LDVs'!$B70,'AEO 38'!$B:$B,0))</f>
        <v>145.65278599999999</v>
      </c>
      <c r="P70" s="126">
        <f>INDEX('AEO 38'!T:T,MATCH('psgr LDVs'!$B70,'AEO 38'!$B:$B,0))</f>
        <v>149.34205600000001</v>
      </c>
      <c r="Q70" s="126">
        <f>INDEX('AEO 38'!U:U,MATCH('psgr LDVs'!$B70,'AEO 38'!$B:$B,0))</f>
        <v>152.88682600000001</v>
      </c>
      <c r="R70" s="126">
        <f>INDEX('AEO 38'!V:V,MATCH('psgr LDVs'!$B70,'AEO 38'!$B:$B,0))</f>
        <v>156.194107</v>
      </c>
      <c r="S70" s="126">
        <f>INDEX('AEO 38'!W:W,MATCH('psgr LDVs'!$B70,'AEO 38'!$B:$B,0))</f>
        <v>157.88142400000001</v>
      </c>
      <c r="T70" s="126">
        <f>INDEX('AEO 38'!X:X,MATCH('psgr LDVs'!$B70,'AEO 38'!$B:$B,0))</f>
        <v>159.08706699999999</v>
      </c>
      <c r="U70" s="126">
        <f>INDEX('AEO 38'!Y:Y,MATCH('psgr LDVs'!$B70,'AEO 38'!$B:$B,0))</f>
        <v>161.10990899999999</v>
      </c>
      <c r="V70" s="126">
        <f>INDEX('AEO 38'!Z:Z,MATCH('psgr LDVs'!$B70,'AEO 38'!$B:$B,0))</f>
        <v>162.462738</v>
      </c>
      <c r="W70" s="126">
        <f>INDEX('AEO 38'!AA:AA,MATCH('psgr LDVs'!$B70,'AEO 38'!$B:$B,0))</f>
        <v>163.21618699999999</v>
      </c>
      <c r="X70" s="126">
        <f>INDEX('AEO 38'!AB:AB,MATCH('psgr LDVs'!$B70,'AEO 38'!$B:$B,0))</f>
        <v>162.86558500000001</v>
      </c>
      <c r="Y70" s="126">
        <f>INDEX('AEO 38'!AC:AC,MATCH('psgr LDVs'!$B70,'AEO 38'!$B:$B,0))</f>
        <v>162.495621</v>
      </c>
      <c r="Z70" s="126">
        <f>INDEX('AEO 38'!AD:AD,MATCH('psgr LDVs'!$B70,'AEO 38'!$B:$B,0))</f>
        <v>161.73109400000001</v>
      </c>
      <c r="AA70" s="126">
        <f>INDEX('AEO 38'!AE:AE,MATCH('psgr LDVs'!$B70,'AEO 38'!$B:$B,0))</f>
        <v>161.126251</v>
      </c>
      <c r="AB70" s="126">
        <f>INDEX('AEO 38'!AF:AF,MATCH('psgr LDVs'!$B70,'AEO 38'!$B:$B,0))</f>
        <v>161.926086</v>
      </c>
      <c r="AC70" s="126">
        <f>INDEX('AEO 38'!AG:AG,MATCH('psgr LDVs'!$B70,'AEO 38'!$B:$B,0))</f>
        <v>160.603455</v>
      </c>
      <c r="AD70" s="126">
        <f>INDEX('AEO 38'!AH:AH,MATCH('psgr LDVs'!$B70,'AEO 38'!$B:$B,0))</f>
        <v>158.96165500000001</v>
      </c>
      <c r="AE70" s="126">
        <f>INDEX('AEO 38'!AI:AI,MATCH('psgr LDVs'!$B70,'AEO 38'!$B:$B,0))</f>
        <v>158.86811800000001</v>
      </c>
      <c r="AF70" s="126">
        <f>INDEX('AEO 38'!AJ:AJ,MATCH('psgr LDVs'!$B70,'AEO 38'!$B:$B,0))</f>
        <v>157.11866800000001</v>
      </c>
      <c r="AG70" s="126">
        <f>INDEX('AEO 38'!AK:AK,MATCH('psgr LDVs'!$B70,'AEO 38'!$B:$B,0))</f>
        <v>154.92442299999999</v>
      </c>
    </row>
    <row r="71" spans="1:33">
      <c r="A71" s="132" t="s">
        <v>115</v>
      </c>
      <c r="B71" s="117" t="s">
        <v>947</v>
      </c>
      <c r="C71" s="126">
        <f>INDEX('AEO 38'!G:G,MATCH('psgr LDVs'!$B71,'AEO 38'!$B:$B,0))</f>
        <v>0</v>
      </c>
      <c r="D71" s="126">
        <f>INDEX('AEO 38'!H:H,MATCH('psgr LDVs'!$B71,'AEO 38'!$B:$B,0))</f>
        <v>0</v>
      </c>
      <c r="E71" s="126">
        <f>INDEX('AEO 38'!I:I,MATCH('psgr LDVs'!$B71,'AEO 38'!$B:$B,0))</f>
        <v>0</v>
      </c>
      <c r="F71" s="126">
        <f>INDEX('AEO 38'!J:J,MATCH('psgr LDVs'!$B71,'AEO 38'!$B:$B,0))</f>
        <v>0</v>
      </c>
      <c r="G71" s="126">
        <f>INDEX('AEO 38'!K:K,MATCH('psgr LDVs'!$B71,'AEO 38'!$B:$B,0))</f>
        <v>0</v>
      </c>
      <c r="H71" s="126">
        <f>INDEX('AEO 38'!L:L,MATCH('psgr LDVs'!$B71,'AEO 38'!$B:$B,0))</f>
        <v>0</v>
      </c>
      <c r="I71" s="126">
        <f>INDEX('AEO 38'!M:M,MATCH('psgr LDVs'!$B71,'AEO 38'!$B:$B,0))</f>
        <v>0</v>
      </c>
      <c r="J71" s="126">
        <f>INDEX('AEO 38'!N:N,MATCH('psgr LDVs'!$B71,'AEO 38'!$B:$B,0))</f>
        <v>0</v>
      </c>
      <c r="K71" s="126">
        <f>INDEX('AEO 38'!O:O,MATCH('psgr LDVs'!$B71,'AEO 38'!$B:$B,0))</f>
        <v>0</v>
      </c>
      <c r="L71" s="126">
        <f>INDEX('AEO 38'!P:P,MATCH('psgr LDVs'!$B71,'AEO 38'!$B:$B,0))</f>
        <v>0</v>
      </c>
      <c r="M71" s="126">
        <f>INDEX('AEO 38'!Q:Q,MATCH('psgr LDVs'!$B71,'AEO 38'!$B:$B,0))</f>
        <v>0</v>
      </c>
      <c r="N71" s="126">
        <f>INDEX('AEO 38'!R:R,MATCH('psgr LDVs'!$B71,'AEO 38'!$B:$B,0))</f>
        <v>0</v>
      </c>
      <c r="O71" s="126">
        <f>INDEX('AEO 38'!S:S,MATCH('psgr LDVs'!$B71,'AEO 38'!$B:$B,0))</f>
        <v>0</v>
      </c>
      <c r="P71" s="126">
        <f>INDEX('AEO 38'!T:T,MATCH('psgr LDVs'!$B71,'AEO 38'!$B:$B,0))</f>
        <v>0</v>
      </c>
      <c r="Q71" s="126">
        <f>INDEX('AEO 38'!U:U,MATCH('psgr LDVs'!$B71,'AEO 38'!$B:$B,0))</f>
        <v>0</v>
      </c>
      <c r="R71" s="126">
        <f>INDEX('AEO 38'!V:V,MATCH('psgr LDVs'!$B71,'AEO 38'!$B:$B,0))</f>
        <v>0</v>
      </c>
      <c r="S71" s="126">
        <f>INDEX('AEO 38'!W:W,MATCH('psgr LDVs'!$B71,'AEO 38'!$B:$B,0))</f>
        <v>0</v>
      </c>
      <c r="T71" s="126">
        <f>INDEX('AEO 38'!X:X,MATCH('psgr LDVs'!$B71,'AEO 38'!$B:$B,0))</f>
        <v>0</v>
      </c>
      <c r="U71" s="126">
        <f>INDEX('AEO 38'!Y:Y,MATCH('psgr LDVs'!$B71,'AEO 38'!$B:$B,0))</f>
        <v>0</v>
      </c>
      <c r="V71" s="126">
        <f>INDEX('AEO 38'!Z:Z,MATCH('psgr LDVs'!$B71,'AEO 38'!$B:$B,0))</f>
        <v>0</v>
      </c>
      <c r="W71" s="126">
        <f>INDEX('AEO 38'!AA:AA,MATCH('psgr LDVs'!$B71,'AEO 38'!$B:$B,0))</f>
        <v>0</v>
      </c>
      <c r="X71" s="126">
        <f>INDEX('AEO 38'!AB:AB,MATCH('psgr LDVs'!$B71,'AEO 38'!$B:$B,0))</f>
        <v>0</v>
      </c>
      <c r="Y71" s="126">
        <f>INDEX('AEO 38'!AC:AC,MATCH('psgr LDVs'!$B71,'AEO 38'!$B:$B,0))</f>
        <v>0</v>
      </c>
      <c r="Z71" s="126">
        <f>INDEX('AEO 38'!AD:AD,MATCH('psgr LDVs'!$B71,'AEO 38'!$B:$B,0))</f>
        <v>0</v>
      </c>
      <c r="AA71" s="126">
        <f>INDEX('AEO 38'!AE:AE,MATCH('psgr LDVs'!$B71,'AEO 38'!$B:$B,0))</f>
        <v>0</v>
      </c>
      <c r="AB71" s="126">
        <f>INDEX('AEO 38'!AF:AF,MATCH('psgr LDVs'!$B71,'AEO 38'!$B:$B,0))</f>
        <v>0</v>
      </c>
      <c r="AC71" s="126">
        <f>INDEX('AEO 38'!AG:AG,MATCH('psgr LDVs'!$B71,'AEO 38'!$B:$B,0))</f>
        <v>0</v>
      </c>
      <c r="AD71" s="126">
        <f>INDEX('AEO 38'!AH:AH,MATCH('psgr LDVs'!$B71,'AEO 38'!$B:$B,0))</f>
        <v>0</v>
      </c>
      <c r="AE71" s="126">
        <f>INDEX('AEO 38'!AI:AI,MATCH('psgr LDVs'!$B71,'AEO 38'!$B:$B,0))</f>
        <v>0</v>
      </c>
      <c r="AF71" s="126">
        <f>INDEX('AEO 38'!AJ:AJ,MATCH('psgr LDVs'!$B71,'AEO 38'!$B:$B,0))</f>
        <v>0</v>
      </c>
      <c r="AG71" s="126">
        <f>INDEX('AEO 38'!AK:AK,MATCH('psgr LDVs'!$B71,'AEO 38'!$B:$B,0))</f>
        <v>0</v>
      </c>
    </row>
    <row r="72" spans="1:33">
      <c r="A72" s="132" t="s">
        <v>114</v>
      </c>
      <c r="B72" s="117" t="s">
        <v>948</v>
      </c>
      <c r="C72" s="126">
        <f>INDEX('AEO 38'!G:G,MATCH('psgr LDVs'!$B72,'AEO 38'!$B:$B,0))</f>
        <v>216.35252399999999</v>
      </c>
      <c r="D72" s="126">
        <f>INDEX('AEO 38'!H:H,MATCH('psgr LDVs'!$B72,'AEO 38'!$B:$B,0))</f>
        <v>258.38601699999998</v>
      </c>
      <c r="E72" s="126">
        <f>INDEX('AEO 38'!I:I,MATCH('psgr LDVs'!$B72,'AEO 38'!$B:$B,0))</f>
        <v>276.328217</v>
      </c>
      <c r="F72" s="126">
        <f>INDEX('AEO 38'!J:J,MATCH('psgr LDVs'!$B72,'AEO 38'!$B:$B,0))</f>
        <v>286.79894999999999</v>
      </c>
      <c r="G72" s="126">
        <f>INDEX('AEO 38'!K:K,MATCH('psgr LDVs'!$B72,'AEO 38'!$B:$B,0))</f>
        <v>303.40158100000002</v>
      </c>
      <c r="H72" s="126">
        <f>INDEX('AEO 38'!L:L,MATCH('psgr LDVs'!$B72,'AEO 38'!$B:$B,0))</f>
        <v>318.14312699999999</v>
      </c>
      <c r="I72" s="126">
        <f>INDEX('AEO 38'!M:M,MATCH('psgr LDVs'!$B72,'AEO 38'!$B:$B,0))</f>
        <v>371.40853900000002</v>
      </c>
      <c r="J72" s="126">
        <f>INDEX('AEO 38'!N:N,MATCH('psgr LDVs'!$B72,'AEO 38'!$B:$B,0))</f>
        <v>393.50906400000002</v>
      </c>
      <c r="K72" s="126">
        <f>INDEX('AEO 38'!O:O,MATCH('psgr LDVs'!$B72,'AEO 38'!$B:$B,0))</f>
        <v>407.98376500000001</v>
      </c>
      <c r="L72" s="126">
        <f>INDEX('AEO 38'!P:P,MATCH('psgr LDVs'!$B72,'AEO 38'!$B:$B,0))</f>
        <v>419.665527</v>
      </c>
      <c r="M72" s="126">
        <f>INDEX('AEO 38'!Q:Q,MATCH('psgr LDVs'!$B72,'AEO 38'!$B:$B,0))</f>
        <v>430.00949100000003</v>
      </c>
      <c r="N72" s="126">
        <f>INDEX('AEO 38'!R:R,MATCH('psgr LDVs'!$B72,'AEO 38'!$B:$B,0))</f>
        <v>443.32437099999999</v>
      </c>
      <c r="O72" s="126">
        <f>INDEX('AEO 38'!S:S,MATCH('psgr LDVs'!$B72,'AEO 38'!$B:$B,0))</f>
        <v>459.16482500000001</v>
      </c>
      <c r="P72" s="126">
        <f>INDEX('AEO 38'!T:T,MATCH('psgr LDVs'!$B72,'AEO 38'!$B:$B,0))</f>
        <v>473.461975</v>
      </c>
      <c r="Q72" s="126">
        <f>INDEX('AEO 38'!U:U,MATCH('psgr LDVs'!$B72,'AEO 38'!$B:$B,0))</f>
        <v>488.19302399999998</v>
      </c>
      <c r="R72" s="126">
        <f>INDEX('AEO 38'!V:V,MATCH('psgr LDVs'!$B72,'AEO 38'!$B:$B,0))</f>
        <v>503.16168199999998</v>
      </c>
      <c r="S72" s="126">
        <f>INDEX('AEO 38'!W:W,MATCH('psgr LDVs'!$B72,'AEO 38'!$B:$B,0))</f>
        <v>514.92602499999998</v>
      </c>
      <c r="T72" s="126">
        <f>INDEX('AEO 38'!X:X,MATCH('psgr LDVs'!$B72,'AEO 38'!$B:$B,0))</f>
        <v>525.28985599999999</v>
      </c>
      <c r="U72" s="126">
        <f>INDEX('AEO 38'!Y:Y,MATCH('psgr LDVs'!$B72,'AEO 38'!$B:$B,0))</f>
        <v>539.41119400000002</v>
      </c>
      <c r="V72" s="126">
        <f>INDEX('AEO 38'!Z:Z,MATCH('psgr LDVs'!$B72,'AEO 38'!$B:$B,0))</f>
        <v>552.56994599999996</v>
      </c>
      <c r="W72" s="126">
        <f>INDEX('AEO 38'!AA:AA,MATCH('psgr LDVs'!$B72,'AEO 38'!$B:$B,0))</f>
        <v>564.76415999999995</v>
      </c>
      <c r="X72" s="126">
        <f>INDEX('AEO 38'!AB:AB,MATCH('psgr LDVs'!$B72,'AEO 38'!$B:$B,0))</f>
        <v>576.14086899999995</v>
      </c>
      <c r="Y72" s="126">
        <f>INDEX('AEO 38'!AC:AC,MATCH('psgr LDVs'!$B72,'AEO 38'!$B:$B,0))</f>
        <v>588.35790999999995</v>
      </c>
      <c r="Z72" s="126">
        <f>INDEX('AEO 38'!AD:AD,MATCH('psgr LDVs'!$B72,'AEO 38'!$B:$B,0))</f>
        <v>599.37817399999994</v>
      </c>
      <c r="AA72" s="126">
        <f>INDEX('AEO 38'!AE:AE,MATCH('psgr LDVs'!$B72,'AEO 38'!$B:$B,0))</f>
        <v>611.18029799999999</v>
      </c>
      <c r="AB72" s="126">
        <f>INDEX('AEO 38'!AF:AF,MATCH('psgr LDVs'!$B72,'AEO 38'!$B:$B,0))</f>
        <v>628.86724900000002</v>
      </c>
      <c r="AC72" s="126">
        <f>INDEX('AEO 38'!AG:AG,MATCH('psgr LDVs'!$B72,'AEO 38'!$B:$B,0))</f>
        <v>639.23828100000003</v>
      </c>
      <c r="AD72" s="126">
        <f>INDEX('AEO 38'!AH:AH,MATCH('psgr LDVs'!$B72,'AEO 38'!$B:$B,0))</f>
        <v>649.35613999999998</v>
      </c>
      <c r="AE72" s="126">
        <f>INDEX('AEO 38'!AI:AI,MATCH('psgr LDVs'!$B72,'AEO 38'!$B:$B,0))</f>
        <v>666.44372599999997</v>
      </c>
      <c r="AF72" s="126">
        <f>INDEX('AEO 38'!AJ:AJ,MATCH('psgr LDVs'!$B72,'AEO 38'!$B:$B,0))</f>
        <v>676.73120100000006</v>
      </c>
      <c r="AG72" s="126">
        <f>INDEX('AEO 38'!AK:AK,MATCH('psgr LDVs'!$B72,'AEO 38'!$B:$B,0))</f>
        <v>685.68151899999998</v>
      </c>
    </row>
    <row r="73" spans="1:33">
      <c r="A73" s="132" t="s">
        <v>113</v>
      </c>
      <c r="B73" s="117" t="s">
        <v>949</v>
      </c>
      <c r="C73" s="126">
        <f>INDEX('AEO 38'!G:G,MATCH('psgr LDVs'!$B73,'AEO 38'!$B:$B,0))</f>
        <v>0.87621000000000004</v>
      </c>
      <c r="D73" s="126">
        <f>INDEX('AEO 38'!H:H,MATCH('psgr LDVs'!$B73,'AEO 38'!$B:$B,0))</f>
        <v>0.99395999999999995</v>
      </c>
      <c r="E73" s="126">
        <f>INDEX('AEO 38'!I:I,MATCH('psgr LDVs'!$B73,'AEO 38'!$B:$B,0))</f>
        <v>1.051358</v>
      </c>
      <c r="F73" s="126">
        <f>INDEX('AEO 38'!J:J,MATCH('psgr LDVs'!$B73,'AEO 38'!$B:$B,0))</f>
        <v>1.1040430000000001</v>
      </c>
      <c r="G73" s="126">
        <f>INDEX('AEO 38'!K:K,MATCH('psgr LDVs'!$B73,'AEO 38'!$B:$B,0))</f>
        <v>1.17157</v>
      </c>
      <c r="H73" s="126">
        <f>INDEX('AEO 38'!L:L,MATCH('psgr LDVs'!$B73,'AEO 38'!$B:$B,0))</f>
        <v>1.2196130000000001</v>
      </c>
      <c r="I73" s="126">
        <f>INDEX('AEO 38'!M:M,MATCH('psgr LDVs'!$B73,'AEO 38'!$B:$B,0))</f>
        <v>1.2294160000000001</v>
      </c>
      <c r="J73" s="126">
        <f>INDEX('AEO 38'!N:N,MATCH('psgr LDVs'!$B73,'AEO 38'!$B:$B,0))</f>
        <v>1.212275</v>
      </c>
      <c r="K73" s="126">
        <f>INDEX('AEO 38'!O:O,MATCH('psgr LDVs'!$B73,'AEO 38'!$B:$B,0))</f>
        <v>1.219368</v>
      </c>
      <c r="L73" s="126">
        <f>INDEX('AEO 38'!P:P,MATCH('psgr LDVs'!$B73,'AEO 38'!$B:$B,0))</f>
        <v>1.2173890000000001</v>
      </c>
      <c r="M73" s="126">
        <f>INDEX('AEO 38'!Q:Q,MATCH('psgr LDVs'!$B73,'AEO 38'!$B:$B,0))</f>
        <v>1.1982729999999999</v>
      </c>
      <c r="N73" s="126">
        <f>INDEX('AEO 38'!R:R,MATCH('psgr LDVs'!$B73,'AEO 38'!$B:$B,0))</f>
        <v>1.1974880000000001</v>
      </c>
      <c r="O73" s="126">
        <f>INDEX('AEO 38'!S:S,MATCH('psgr LDVs'!$B73,'AEO 38'!$B:$B,0))</f>
        <v>1.201549</v>
      </c>
      <c r="P73" s="126">
        <f>INDEX('AEO 38'!T:T,MATCH('psgr LDVs'!$B73,'AEO 38'!$B:$B,0))</f>
        <v>1.2030479999999999</v>
      </c>
      <c r="Q73" s="126">
        <f>INDEX('AEO 38'!U:U,MATCH('psgr LDVs'!$B73,'AEO 38'!$B:$B,0))</f>
        <v>1.2060599999999999</v>
      </c>
      <c r="R73" s="126">
        <f>INDEX('AEO 38'!V:V,MATCH('psgr LDVs'!$B73,'AEO 38'!$B:$B,0))</f>
        <v>1.2143790000000001</v>
      </c>
      <c r="S73" s="126">
        <f>INDEX('AEO 38'!W:W,MATCH('psgr LDVs'!$B73,'AEO 38'!$B:$B,0))</f>
        <v>1.2150339999999999</v>
      </c>
      <c r="T73" s="126">
        <f>INDEX('AEO 38'!X:X,MATCH('psgr LDVs'!$B73,'AEO 38'!$B:$B,0))</f>
        <v>1.2121649999999999</v>
      </c>
      <c r="U73" s="126">
        <f>INDEX('AEO 38'!Y:Y,MATCH('psgr LDVs'!$B73,'AEO 38'!$B:$B,0))</f>
        <v>1.217994</v>
      </c>
      <c r="V73" s="126">
        <f>INDEX('AEO 38'!Z:Z,MATCH('psgr LDVs'!$B73,'AEO 38'!$B:$B,0))</f>
        <v>1.2236469999999999</v>
      </c>
      <c r="W73" s="126">
        <f>INDEX('AEO 38'!AA:AA,MATCH('psgr LDVs'!$B73,'AEO 38'!$B:$B,0))</f>
        <v>1.226083</v>
      </c>
      <c r="X73" s="126">
        <f>INDEX('AEO 38'!AB:AB,MATCH('psgr LDVs'!$B73,'AEO 38'!$B:$B,0))</f>
        <v>1.2284310000000001</v>
      </c>
      <c r="Y73" s="126">
        <f>INDEX('AEO 38'!AC:AC,MATCH('psgr LDVs'!$B73,'AEO 38'!$B:$B,0))</f>
        <v>1.2325710000000001</v>
      </c>
      <c r="Z73" s="126">
        <f>INDEX('AEO 38'!AD:AD,MATCH('psgr LDVs'!$B73,'AEO 38'!$B:$B,0))</f>
        <v>1.233757</v>
      </c>
      <c r="AA73" s="126">
        <f>INDEX('AEO 38'!AE:AE,MATCH('psgr LDVs'!$B73,'AEO 38'!$B:$B,0))</f>
        <v>1.236186</v>
      </c>
      <c r="AB73" s="126">
        <f>INDEX('AEO 38'!AF:AF,MATCH('psgr LDVs'!$B73,'AEO 38'!$B:$B,0))</f>
        <v>1.249331</v>
      </c>
      <c r="AC73" s="126">
        <f>INDEX('AEO 38'!AG:AG,MATCH('psgr LDVs'!$B73,'AEO 38'!$B:$B,0))</f>
        <v>1.248434</v>
      </c>
      <c r="AD73" s="126">
        <f>INDEX('AEO 38'!AH:AH,MATCH('psgr LDVs'!$B73,'AEO 38'!$B:$B,0))</f>
        <v>1.2473430000000001</v>
      </c>
      <c r="AE73" s="126">
        <f>INDEX('AEO 38'!AI:AI,MATCH('psgr LDVs'!$B73,'AEO 38'!$B:$B,0))</f>
        <v>1.25969</v>
      </c>
      <c r="AF73" s="126">
        <f>INDEX('AEO 38'!AJ:AJ,MATCH('psgr LDVs'!$B73,'AEO 38'!$B:$B,0))</f>
        <v>1.2579670000000001</v>
      </c>
      <c r="AG73" s="126">
        <f>INDEX('AEO 38'!AK:AK,MATCH('psgr LDVs'!$B73,'AEO 38'!$B:$B,0))</f>
        <v>1.2542310000000001</v>
      </c>
    </row>
    <row r="74" spans="1:33">
      <c r="A74" s="132" t="s">
        <v>113</v>
      </c>
      <c r="B74" s="117" t="s">
        <v>950</v>
      </c>
      <c r="C74" s="126">
        <f>INDEX('AEO 38'!G:G,MATCH('psgr LDVs'!$B74,'AEO 38'!$B:$B,0))</f>
        <v>4.7817299999999996</v>
      </c>
      <c r="D74" s="126">
        <f>INDEX('AEO 38'!H:H,MATCH('psgr LDVs'!$B74,'AEO 38'!$B:$B,0))</f>
        <v>5.3511170000000003</v>
      </c>
      <c r="E74" s="126">
        <f>INDEX('AEO 38'!I:I,MATCH('psgr LDVs'!$B74,'AEO 38'!$B:$B,0))</f>
        <v>5.5524279999999999</v>
      </c>
      <c r="F74" s="126">
        <f>INDEX('AEO 38'!J:J,MATCH('psgr LDVs'!$B74,'AEO 38'!$B:$B,0))</f>
        <v>5.6912250000000002</v>
      </c>
      <c r="G74" s="126">
        <f>INDEX('AEO 38'!K:K,MATCH('psgr LDVs'!$B74,'AEO 38'!$B:$B,0))</f>
        <v>5.9136699999999998</v>
      </c>
      <c r="H74" s="126">
        <f>INDEX('AEO 38'!L:L,MATCH('psgr LDVs'!$B74,'AEO 38'!$B:$B,0))</f>
        <v>6.088209</v>
      </c>
      <c r="I74" s="126">
        <f>INDEX('AEO 38'!M:M,MATCH('psgr LDVs'!$B74,'AEO 38'!$B:$B,0))</f>
        <v>6.1020089999999998</v>
      </c>
      <c r="J74" s="126">
        <f>INDEX('AEO 38'!N:N,MATCH('psgr LDVs'!$B74,'AEO 38'!$B:$B,0))</f>
        <v>6.0040950000000004</v>
      </c>
      <c r="K74" s="126">
        <f>INDEX('AEO 38'!O:O,MATCH('psgr LDVs'!$B74,'AEO 38'!$B:$B,0))</f>
        <v>6.0356569999999996</v>
      </c>
      <c r="L74" s="126">
        <f>INDEX('AEO 38'!P:P,MATCH('psgr LDVs'!$B74,'AEO 38'!$B:$B,0))</f>
        <v>6.0331970000000004</v>
      </c>
      <c r="M74" s="126">
        <f>INDEX('AEO 38'!Q:Q,MATCH('psgr LDVs'!$B74,'AEO 38'!$B:$B,0))</f>
        <v>5.9192840000000002</v>
      </c>
      <c r="N74" s="126">
        <f>INDEX('AEO 38'!R:R,MATCH('psgr LDVs'!$B74,'AEO 38'!$B:$B,0))</f>
        <v>5.9185179999999997</v>
      </c>
      <c r="O74" s="126">
        <f>INDEX('AEO 38'!S:S,MATCH('psgr LDVs'!$B74,'AEO 38'!$B:$B,0))</f>
        <v>5.9289249999999996</v>
      </c>
      <c r="P74" s="126">
        <f>INDEX('AEO 38'!T:T,MATCH('psgr LDVs'!$B74,'AEO 38'!$B:$B,0))</f>
        <v>5.9312319999999996</v>
      </c>
      <c r="Q74" s="126">
        <f>INDEX('AEO 38'!U:U,MATCH('psgr LDVs'!$B74,'AEO 38'!$B:$B,0))</f>
        <v>5.9259380000000004</v>
      </c>
      <c r="R74" s="126">
        <f>INDEX('AEO 38'!V:V,MATCH('psgr LDVs'!$B74,'AEO 38'!$B:$B,0))</f>
        <v>5.9714159999999996</v>
      </c>
      <c r="S74" s="126">
        <f>INDEX('AEO 38'!W:W,MATCH('psgr LDVs'!$B74,'AEO 38'!$B:$B,0))</f>
        <v>5.9710169999999998</v>
      </c>
      <c r="T74" s="126">
        <f>INDEX('AEO 38'!X:X,MATCH('psgr LDVs'!$B74,'AEO 38'!$B:$B,0))</f>
        <v>5.9470619999999998</v>
      </c>
      <c r="U74" s="126">
        <f>INDEX('AEO 38'!Y:Y,MATCH('psgr LDVs'!$B74,'AEO 38'!$B:$B,0))</f>
        <v>5.960375</v>
      </c>
      <c r="V74" s="126">
        <f>INDEX('AEO 38'!Z:Z,MATCH('psgr LDVs'!$B74,'AEO 38'!$B:$B,0))</f>
        <v>5.9814780000000001</v>
      </c>
      <c r="W74" s="126">
        <f>INDEX('AEO 38'!AA:AA,MATCH('psgr LDVs'!$B74,'AEO 38'!$B:$B,0))</f>
        <v>5.9808849999999998</v>
      </c>
      <c r="X74" s="126">
        <f>INDEX('AEO 38'!AB:AB,MATCH('psgr LDVs'!$B74,'AEO 38'!$B:$B,0))</f>
        <v>5.9818049999999996</v>
      </c>
      <c r="Y74" s="126">
        <f>INDEX('AEO 38'!AC:AC,MATCH('psgr LDVs'!$B74,'AEO 38'!$B:$B,0))</f>
        <v>5.9949300000000001</v>
      </c>
      <c r="Z74" s="126">
        <f>INDEX('AEO 38'!AD:AD,MATCH('psgr LDVs'!$B74,'AEO 38'!$B:$B,0))</f>
        <v>5.989414</v>
      </c>
      <c r="AA74" s="126">
        <f>INDEX('AEO 38'!AE:AE,MATCH('psgr LDVs'!$B74,'AEO 38'!$B:$B,0))</f>
        <v>5.98766</v>
      </c>
      <c r="AB74" s="126">
        <f>INDEX('AEO 38'!AF:AF,MATCH('psgr LDVs'!$B74,'AEO 38'!$B:$B,0))</f>
        <v>6.0344800000000003</v>
      </c>
      <c r="AC74" s="126">
        <f>INDEX('AEO 38'!AG:AG,MATCH('psgr LDVs'!$B74,'AEO 38'!$B:$B,0))</f>
        <v>6.021496</v>
      </c>
      <c r="AD74" s="126">
        <f>INDEX('AEO 38'!AH:AH,MATCH('psgr LDVs'!$B74,'AEO 38'!$B:$B,0))</f>
        <v>6.0008499999999998</v>
      </c>
      <c r="AE74" s="126">
        <f>INDEX('AEO 38'!AI:AI,MATCH('psgr LDVs'!$B74,'AEO 38'!$B:$B,0))</f>
        <v>6.0470119999999996</v>
      </c>
      <c r="AF74" s="126">
        <f>INDEX('AEO 38'!AJ:AJ,MATCH('psgr LDVs'!$B74,'AEO 38'!$B:$B,0))</f>
        <v>6.0168489999999997</v>
      </c>
      <c r="AG74" s="126">
        <f>INDEX('AEO 38'!AK:AK,MATCH('psgr LDVs'!$B74,'AEO 38'!$B:$B,0))</f>
        <v>5.9768429999999997</v>
      </c>
    </row>
    <row r="75" spans="1:33">
      <c r="A75" s="132" t="s">
        <v>853</v>
      </c>
      <c r="B75" s="117" t="s">
        <v>951</v>
      </c>
      <c r="C75" s="126">
        <f>INDEX('AEO 38'!G:G,MATCH('psgr LDVs'!$B75,'AEO 38'!$B:$B,0))</f>
        <v>0.89677600000000002</v>
      </c>
      <c r="D75" s="126">
        <f>INDEX('AEO 38'!H:H,MATCH('psgr LDVs'!$B75,'AEO 38'!$B:$B,0))</f>
        <v>1.05261</v>
      </c>
      <c r="E75" s="126">
        <f>INDEX('AEO 38'!I:I,MATCH('psgr LDVs'!$B75,'AEO 38'!$B:$B,0))</f>
        <v>1.111326</v>
      </c>
      <c r="F75" s="126">
        <f>INDEX('AEO 38'!J:J,MATCH('psgr LDVs'!$B75,'AEO 38'!$B:$B,0))</f>
        <v>1.1517440000000001</v>
      </c>
      <c r="G75" s="126">
        <f>INDEX('AEO 38'!K:K,MATCH('psgr LDVs'!$B75,'AEO 38'!$B:$B,0))</f>
        <v>1.2034370000000001</v>
      </c>
      <c r="H75" s="126">
        <f>INDEX('AEO 38'!L:L,MATCH('psgr LDVs'!$B75,'AEO 38'!$B:$B,0))</f>
        <v>1.2427410000000001</v>
      </c>
      <c r="I75" s="126">
        <f>INDEX('AEO 38'!M:M,MATCH('psgr LDVs'!$B75,'AEO 38'!$B:$B,0))</f>
        <v>1.266402</v>
      </c>
      <c r="J75" s="126">
        <f>INDEX('AEO 38'!N:N,MATCH('psgr LDVs'!$B75,'AEO 38'!$B:$B,0))</f>
        <v>1.268268</v>
      </c>
      <c r="K75" s="126">
        <f>INDEX('AEO 38'!O:O,MATCH('psgr LDVs'!$B75,'AEO 38'!$B:$B,0))</f>
        <v>1.2902039999999999</v>
      </c>
      <c r="L75" s="126">
        <f>INDEX('AEO 38'!P:P,MATCH('psgr LDVs'!$B75,'AEO 38'!$B:$B,0))</f>
        <v>1.3070280000000001</v>
      </c>
      <c r="M75" s="126">
        <f>INDEX('AEO 38'!Q:Q,MATCH('psgr LDVs'!$B75,'AEO 38'!$B:$B,0))</f>
        <v>1.3013950000000001</v>
      </c>
      <c r="N75" s="126">
        <f>INDEX('AEO 38'!R:R,MATCH('psgr LDVs'!$B75,'AEO 38'!$B:$B,0))</f>
        <v>1.309787</v>
      </c>
      <c r="O75" s="126">
        <f>INDEX('AEO 38'!S:S,MATCH('psgr LDVs'!$B75,'AEO 38'!$B:$B,0))</f>
        <v>1.32857</v>
      </c>
      <c r="P75" s="126">
        <f>INDEX('AEO 38'!T:T,MATCH('psgr LDVs'!$B75,'AEO 38'!$B:$B,0))</f>
        <v>1.3452820000000001</v>
      </c>
      <c r="Q75" s="126">
        <f>INDEX('AEO 38'!U:U,MATCH('psgr LDVs'!$B75,'AEO 38'!$B:$B,0))</f>
        <v>1.3697189999999999</v>
      </c>
      <c r="R75" s="126">
        <f>INDEX('AEO 38'!V:V,MATCH('psgr LDVs'!$B75,'AEO 38'!$B:$B,0))</f>
        <v>1.390582</v>
      </c>
      <c r="S75" s="126">
        <f>INDEX('AEO 38'!W:W,MATCH('psgr LDVs'!$B75,'AEO 38'!$B:$B,0))</f>
        <v>1.4033450000000001</v>
      </c>
      <c r="T75" s="126">
        <f>INDEX('AEO 38'!X:X,MATCH('psgr LDVs'!$B75,'AEO 38'!$B:$B,0))</f>
        <v>1.4135169999999999</v>
      </c>
      <c r="U75" s="126">
        <f>INDEX('AEO 38'!Y:Y,MATCH('psgr LDVs'!$B75,'AEO 38'!$B:$B,0))</f>
        <v>1.4373009999999999</v>
      </c>
      <c r="V75" s="126">
        <f>INDEX('AEO 38'!Z:Z,MATCH('psgr LDVs'!$B75,'AEO 38'!$B:$B,0))</f>
        <v>1.4608140000000001</v>
      </c>
      <c r="W75" s="126">
        <f>INDEX('AEO 38'!AA:AA,MATCH('psgr LDVs'!$B75,'AEO 38'!$B:$B,0))</f>
        <v>1.48447</v>
      </c>
      <c r="X75" s="126">
        <f>INDEX('AEO 38'!AB:AB,MATCH('psgr LDVs'!$B75,'AEO 38'!$B:$B,0))</f>
        <v>1.5096099999999999</v>
      </c>
      <c r="Y75" s="126">
        <f>INDEX('AEO 38'!AC:AC,MATCH('psgr LDVs'!$B75,'AEO 38'!$B:$B,0))</f>
        <v>1.535431</v>
      </c>
      <c r="Z75" s="126">
        <f>INDEX('AEO 38'!AD:AD,MATCH('psgr LDVs'!$B75,'AEO 38'!$B:$B,0))</f>
        <v>1.5651459999999999</v>
      </c>
      <c r="AA75" s="126">
        <f>INDEX('AEO 38'!AE:AE,MATCH('psgr LDVs'!$B75,'AEO 38'!$B:$B,0))</f>
        <v>1.59473</v>
      </c>
      <c r="AB75" s="126">
        <f>INDEX('AEO 38'!AF:AF,MATCH('psgr LDVs'!$B75,'AEO 38'!$B:$B,0))</f>
        <v>1.645246</v>
      </c>
      <c r="AC75" s="126">
        <f>INDEX('AEO 38'!AG:AG,MATCH('psgr LDVs'!$B75,'AEO 38'!$B:$B,0))</f>
        <v>1.670202</v>
      </c>
      <c r="AD75" s="126">
        <f>INDEX('AEO 38'!AH:AH,MATCH('psgr LDVs'!$B75,'AEO 38'!$B:$B,0))</f>
        <v>1.6961090000000001</v>
      </c>
      <c r="AE75" s="126">
        <f>INDEX('AEO 38'!AI:AI,MATCH('psgr LDVs'!$B75,'AEO 38'!$B:$B,0))</f>
        <v>1.738963</v>
      </c>
      <c r="AF75" s="126">
        <f>INDEX('AEO 38'!AJ:AJ,MATCH('psgr LDVs'!$B75,'AEO 38'!$B:$B,0))</f>
        <v>1.7687390000000001</v>
      </c>
      <c r="AG75" s="126">
        <f>INDEX('AEO 38'!AK:AK,MATCH('psgr LDVs'!$B75,'AEO 38'!$B:$B,0))</f>
        <v>1.797183</v>
      </c>
    </row>
    <row r="76" spans="1:33">
      <c r="A76" s="132" t="s">
        <v>853</v>
      </c>
      <c r="B76" s="117" t="s">
        <v>952</v>
      </c>
      <c r="C76" s="126">
        <f>INDEX('AEO 38'!G:G,MATCH('psgr LDVs'!$B76,'AEO 38'!$B:$B,0))</f>
        <v>3.090303</v>
      </c>
      <c r="D76" s="126">
        <f>INDEX('AEO 38'!H:H,MATCH('psgr LDVs'!$B76,'AEO 38'!$B:$B,0))</f>
        <v>3.458326</v>
      </c>
      <c r="E76" s="126">
        <f>INDEX('AEO 38'!I:I,MATCH('psgr LDVs'!$B76,'AEO 38'!$B:$B,0))</f>
        <v>3.588009</v>
      </c>
      <c r="F76" s="126">
        <f>INDEX('AEO 38'!J:J,MATCH('psgr LDVs'!$B76,'AEO 38'!$B:$B,0))</f>
        <v>3.677521</v>
      </c>
      <c r="G76" s="126">
        <f>INDEX('AEO 38'!K:K,MATCH('psgr LDVs'!$B76,'AEO 38'!$B:$B,0))</f>
        <v>3.8209369999999998</v>
      </c>
      <c r="H76" s="126">
        <f>INDEX('AEO 38'!L:L,MATCH('psgr LDVs'!$B76,'AEO 38'!$B:$B,0))</f>
        <v>3.9335550000000001</v>
      </c>
      <c r="I76" s="126">
        <f>INDEX('AEO 38'!M:M,MATCH('psgr LDVs'!$B76,'AEO 38'!$B:$B,0))</f>
        <v>3.942421</v>
      </c>
      <c r="J76" s="126">
        <f>INDEX('AEO 38'!N:N,MATCH('psgr LDVs'!$B76,'AEO 38'!$B:$B,0))</f>
        <v>3.8790100000000001</v>
      </c>
      <c r="K76" s="126">
        <f>INDEX('AEO 38'!O:O,MATCH('psgr LDVs'!$B76,'AEO 38'!$B:$B,0))</f>
        <v>3.8991449999999999</v>
      </c>
      <c r="L76" s="126">
        <f>INDEX('AEO 38'!P:P,MATCH('psgr LDVs'!$B76,'AEO 38'!$B:$B,0))</f>
        <v>3.8973360000000001</v>
      </c>
      <c r="M76" s="126">
        <f>INDEX('AEO 38'!Q:Q,MATCH('psgr LDVs'!$B76,'AEO 38'!$B:$B,0))</f>
        <v>3.82362</v>
      </c>
      <c r="N76" s="126">
        <f>INDEX('AEO 38'!R:R,MATCH('psgr LDVs'!$B76,'AEO 38'!$B:$B,0))</f>
        <v>3.8229820000000001</v>
      </c>
      <c r="O76" s="126">
        <f>INDEX('AEO 38'!S:S,MATCH('psgr LDVs'!$B76,'AEO 38'!$B:$B,0))</f>
        <v>3.8294739999999998</v>
      </c>
      <c r="P76" s="126">
        <f>INDEX('AEO 38'!T:T,MATCH('psgr LDVs'!$B76,'AEO 38'!$B:$B,0))</f>
        <v>3.8307389999999999</v>
      </c>
      <c r="Q76" s="126">
        <f>INDEX('AEO 38'!U:U,MATCH('psgr LDVs'!$B76,'AEO 38'!$B:$B,0))</f>
        <v>3.8269099999999998</v>
      </c>
      <c r="R76" s="126">
        <f>INDEX('AEO 38'!V:V,MATCH('psgr LDVs'!$B76,'AEO 38'!$B:$B,0))</f>
        <v>3.85623</v>
      </c>
      <c r="S76" s="126">
        <f>INDEX('AEO 38'!W:W,MATCH('psgr LDVs'!$B76,'AEO 38'!$B:$B,0))</f>
        <v>3.855715</v>
      </c>
      <c r="T76" s="126">
        <f>INDEX('AEO 38'!X:X,MATCH('psgr LDVs'!$B76,'AEO 38'!$B:$B,0))</f>
        <v>3.8398620000000001</v>
      </c>
      <c r="U76" s="126">
        <f>INDEX('AEO 38'!Y:Y,MATCH('psgr LDVs'!$B76,'AEO 38'!$B:$B,0))</f>
        <v>3.8480690000000002</v>
      </c>
      <c r="V76" s="126">
        <f>INDEX('AEO 38'!Z:Z,MATCH('psgr LDVs'!$B76,'AEO 38'!$B:$B,0))</f>
        <v>3.8614670000000002</v>
      </c>
      <c r="W76" s="126">
        <f>INDEX('AEO 38'!AA:AA,MATCH('psgr LDVs'!$B76,'AEO 38'!$B:$B,0))</f>
        <v>3.8607119999999999</v>
      </c>
      <c r="X76" s="126">
        <f>INDEX('AEO 38'!AB:AB,MATCH('psgr LDVs'!$B76,'AEO 38'!$B:$B,0))</f>
        <v>3.860967</v>
      </c>
      <c r="Y76" s="126">
        <f>INDEX('AEO 38'!AC:AC,MATCH('psgr LDVs'!$B76,'AEO 38'!$B:$B,0))</f>
        <v>3.8691749999999998</v>
      </c>
      <c r="Z76" s="126">
        <f>INDEX('AEO 38'!AD:AD,MATCH('psgr LDVs'!$B76,'AEO 38'!$B:$B,0))</f>
        <v>3.865335</v>
      </c>
      <c r="AA76" s="126">
        <f>INDEX('AEO 38'!AE:AE,MATCH('psgr LDVs'!$B76,'AEO 38'!$B:$B,0))</f>
        <v>3.8637869999999999</v>
      </c>
      <c r="AB76" s="126">
        <f>INDEX('AEO 38'!AF:AF,MATCH('psgr LDVs'!$B76,'AEO 38'!$B:$B,0))</f>
        <v>3.8935170000000001</v>
      </c>
      <c r="AC76" s="126">
        <f>INDEX('AEO 38'!AG:AG,MATCH('psgr LDVs'!$B76,'AEO 38'!$B:$B,0))</f>
        <v>3.884741</v>
      </c>
      <c r="AD76" s="126">
        <f>INDEX('AEO 38'!AH:AH,MATCH('psgr LDVs'!$B76,'AEO 38'!$B:$B,0))</f>
        <v>3.8709609999999999</v>
      </c>
      <c r="AE76" s="126">
        <f>INDEX('AEO 38'!AI:AI,MATCH('psgr LDVs'!$B76,'AEO 38'!$B:$B,0))</f>
        <v>3.900309</v>
      </c>
      <c r="AF76" s="126">
        <f>INDEX('AEO 38'!AJ:AJ,MATCH('psgr LDVs'!$B76,'AEO 38'!$B:$B,0))</f>
        <v>3.8801960000000002</v>
      </c>
      <c r="AG76" s="126">
        <f>INDEX('AEO 38'!AK:AK,MATCH('psgr LDVs'!$B76,'AEO 38'!$B:$B,0))</f>
        <v>3.8538230000000002</v>
      </c>
    </row>
    <row r="77" spans="1:33">
      <c r="A77" s="132" t="s">
        <v>854</v>
      </c>
      <c r="B77" s="117" t="s">
        <v>953</v>
      </c>
      <c r="C77" s="126">
        <f>INDEX('AEO 38'!G:G,MATCH('psgr LDVs'!$B77,'AEO 38'!$B:$B,0))</f>
        <v>0</v>
      </c>
      <c r="D77" s="126">
        <f>INDEX('AEO 38'!H:H,MATCH('psgr LDVs'!$B77,'AEO 38'!$B:$B,0))</f>
        <v>0</v>
      </c>
      <c r="E77" s="126">
        <f>INDEX('AEO 38'!I:I,MATCH('psgr LDVs'!$B77,'AEO 38'!$B:$B,0))</f>
        <v>0</v>
      </c>
      <c r="F77" s="126">
        <f>INDEX('AEO 38'!J:J,MATCH('psgr LDVs'!$B77,'AEO 38'!$B:$B,0))</f>
        <v>0</v>
      </c>
      <c r="G77" s="126">
        <f>INDEX('AEO 38'!K:K,MATCH('psgr LDVs'!$B77,'AEO 38'!$B:$B,0))</f>
        <v>0</v>
      </c>
      <c r="H77" s="126">
        <f>INDEX('AEO 38'!L:L,MATCH('psgr LDVs'!$B77,'AEO 38'!$B:$B,0))</f>
        <v>0</v>
      </c>
      <c r="I77" s="126">
        <f>INDEX('AEO 38'!M:M,MATCH('psgr LDVs'!$B77,'AEO 38'!$B:$B,0))</f>
        <v>0</v>
      </c>
      <c r="J77" s="126">
        <f>INDEX('AEO 38'!N:N,MATCH('psgr LDVs'!$B77,'AEO 38'!$B:$B,0))</f>
        <v>0</v>
      </c>
      <c r="K77" s="126">
        <f>INDEX('AEO 38'!O:O,MATCH('psgr LDVs'!$B77,'AEO 38'!$B:$B,0))</f>
        <v>0</v>
      </c>
      <c r="L77" s="126">
        <f>INDEX('AEO 38'!P:P,MATCH('psgr LDVs'!$B77,'AEO 38'!$B:$B,0))</f>
        <v>0</v>
      </c>
      <c r="M77" s="126">
        <f>INDEX('AEO 38'!Q:Q,MATCH('psgr LDVs'!$B77,'AEO 38'!$B:$B,0))</f>
        <v>0</v>
      </c>
      <c r="N77" s="126">
        <f>INDEX('AEO 38'!R:R,MATCH('psgr LDVs'!$B77,'AEO 38'!$B:$B,0))</f>
        <v>0</v>
      </c>
      <c r="O77" s="126">
        <f>INDEX('AEO 38'!S:S,MATCH('psgr LDVs'!$B77,'AEO 38'!$B:$B,0))</f>
        <v>0</v>
      </c>
      <c r="P77" s="126">
        <f>INDEX('AEO 38'!T:T,MATCH('psgr LDVs'!$B77,'AEO 38'!$B:$B,0))</f>
        <v>0</v>
      </c>
      <c r="Q77" s="126">
        <f>INDEX('AEO 38'!U:U,MATCH('psgr LDVs'!$B77,'AEO 38'!$B:$B,0))</f>
        <v>0</v>
      </c>
      <c r="R77" s="126">
        <f>INDEX('AEO 38'!V:V,MATCH('psgr LDVs'!$B77,'AEO 38'!$B:$B,0))</f>
        <v>0</v>
      </c>
      <c r="S77" s="126">
        <f>INDEX('AEO 38'!W:W,MATCH('psgr LDVs'!$B77,'AEO 38'!$B:$B,0))</f>
        <v>0</v>
      </c>
      <c r="T77" s="126">
        <f>INDEX('AEO 38'!X:X,MATCH('psgr LDVs'!$B77,'AEO 38'!$B:$B,0))</f>
        <v>0</v>
      </c>
      <c r="U77" s="126">
        <f>INDEX('AEO 38'!Y:Y,MATCH('psgr LDVs'!$B77,'AEO 38'!$B:$B,0))</f>
        <v>0</v>
      </c>
      <c r="V77" s="126">
        <f>INDEX('AEO 38'!Z:Z,MATCH('psgr LDVs'!$B77,'AEO 38'!$B:$B,0))</f>
        <v>0</v>
      </c>
      <c r="W77" s="126">
        <f>INDEX('AEO 38'!AA:AA,MATCH('psgr LDVs'!$B77,'AEO 38'!$B:$B,0))</f>
        <v>0</v>
      </c>
      <c r="X77" s="126">
        <f>INDEX('AEO 38'!AB:AB,MATCH('psgr LDVs'!$B77,'AEO 38'!$B:$B,0))</f>
        <v>0</v>
      </c>
      <c r="Y77" s="126">
        <f>INDEX('AEO 38'!AC:AC,MATCH('psgr LDVs'!$B77,'AEO 38'!$B:$B,0))</f>
        <v>0</v>
      </c>
      <c r="Z77" s="126">
        <f>INDEX('AEO 38'!AD:AD,MATCH('psgr LDVs'!$B77,'AEO 38'!$B:$B,0))</f>
        <v>0</v>
      </c>
      <c r="AA77" s="126">
        <f>INDEX('AEO 38'!AE:AE,MATCH('psgr LDVs'!$B77,'AEO 38'!$B:$B,0))</f>
        <v>0</v>
      </c>
      <c r="AB77" s="126">
        <f>INDEX('AEO 38'!AF:AF,MATCH('psgr LDVs'!$B77,'AEO 38'!$B:$B,0))</f>
        <v>0</v>
      </c>
      <c r="AC77" s="126">
        <f>INDEX('AEO 38'!AG:AG,MATCH('psgr LDVs'!$B77,'AEO 38'!$B:$B,0))</f>
        <v>0</v>
      </c>
      <c r="AD77" s="126">
        <f>INDEX('AEO 38'!AH:AH,MATCH('psgr LDVs'!$B77,'AEO 38'!$B:$B,0))</f>
        <v>0</v>
      </c>
      <c r="AE77" s="126">
        <f>INDEX('AEO 38'!AI:AI,MATCH('psgr LDVs'!$B77,'AEO 38'!$B:$B,0))</f>
        <v>0</v>
      </c>
      <c r="AF77" s="126">
        <f>INDEX('AEO 38'!AJ:AJ,MATCH('psgr LDVs'!$B77,'AEO 38'!$B:$B,0))</f>
        <v>0</v>
      </c>
      <c r="AG77" s="126">
        <f>INDEX('AEO 38'!AK:AK,MATCH('psgr LDVs'!$B77,'AEO 38'!$B:$B,0))</f>
        <v>0</v>
      </c>
    </row>
    <row r="78" spans="1:33">
      <c r="A78" s="132" t="s">
        <v>854</v>
      </c>
      <c r="B78" s="117" t="s">
        <v>954</v>
      </c>
      <c r="C78" s="126">
        <f>INDEX('AEO 38'!G:G,MATCH('psgr LDVs'!$B78,'AEO 38'!$B:$B,0))</f>
        <v>5.2639999999999996E-3</v>
      </c>
      <c r="D78" s="126">
        <f>INDEX('AEO 38'!H:H,MATCH('psgr LDVs'!$B78,'AEO 38'!$B:$B,0))</f>
        <v>7.7629999999999999E-3</v>
      </c>
      <c r="E78" s="126">
        <f>INDEX('AEO 38'!I:I,MATCH('psgr LDVs'!$B78,'AEO 38'!$B:$B,0))</f>
        <v>1.0618000000000001E-2</v>
      </c>
      <c r="F78" s="126">
        <f>INDEX('AEO 38'!J:J,MATCH('psgr LDVs'!$B78,'AEO 38'!$B:$B,0))</f>
        <v>1.4217E-2</v>
      </c>
      <c r="G78" s="126">
        <f>INDEX('AEO 38'!K:K,MATCH('psgr LDVs'!$B78,'AEO 38'!$B:$B,0))</f>
        <v>1.9189999999999999E-2</v>
      </c>
      <c r="H78" s="126">
        <f>INDEX('AEO 38'!L:L,MATCH('psgr LDVs'!$B78,'AEO 38'!$B:$B,0))</f>
        <v>2.647E-2</v>
      </c>
      <c r="I78" s="126">
        <f>INDEX('AEO 38'!M:M,MATCH('psgr LDVs'!$B78,'AEO 38'!$B:$B,0))</f>
        <v>3.3589000000000001E-2</v>
      </c>
      <c r="J78" s="126">
        <f>INDEX('AEO 38'!N:N,MATCH('psgr LDVs'!$B78,'AEO 38'!$B:$B,0))</f>
        <v>4.1590000000000002E-2</v>
      </c>
      <c r="K78" s="126">
        <f>INDEX('AEO 38'!O:O,MATCH('psgr LDVs'!$B78,'AEO 38'!$B:$B,0))</f>
        <v>5.2060000000000002E-2</v>
      </c>
      <c r="L78" s="126">
        <f>INDEX('AEO 38'!P:P,MATCH('psgr LDVs'!$B78,'AEO 38'!$B:$B,0))</f>
        <v>6.3929E-2</v>
      </c>
      <c r="M78" s="126">
        <f>INDEX('AEO 38'!Q:Q,MATCH('psgr LDVs'!$B78,'AEO 38'!$B:$B,0))</f>
        <v>7.6158000000000003E-2</v>
      </c>
      <c r="N78" s="126">
        <f>INDEX('AEO 38'!R:R,MATCH('psgr LDVs'!$B78,'AEO 38'!$B:$B,0))</f>
        <v>9.0309E-2</v>
      </c>
      <c r="O78" s="126">
        <f>INDEX('AEO 38'!S:S,MATCH('psgr LDVs'!$B78,'AEO 38'!$B:$B,0))</f>
        <v>0.105613</v>
      </c>
      <c r="P78" s="126">
        <f>INDEX('AEO 38'!T:T,MATCH('psgr LDVs'!$B78,'AEO 38'!$B:$B,0))</f>
        <v>0.121169</v>
      </c>
      <c r="Q78" s="126">
        <f>INDEX('AEO 38'!U:U,MATCH('psgr LDVs'!$B78,'AEO 38'!$B:$B,0))</f>
        <v>0.13674</v>
      </c>
      <c r="R78" s="126">
        <f>INDEX('AEO 38'!V:V,MATCH('psgr LDVs'!$B78,'AEO 38'!$B:$B,0))</f>
        <v>0.15282100000000001</v>
      </c>
      <c r="S78" s="126">
        <f>INDEX('AEO 38'!W:W,MATCH('psgr LDVs'!$B78,'AEO 38'!$B:$B,0))</f>
        <v>0.16733899999999999</v>
      </c>
      <c r="T78" s="126">
        <f>INDEX('AEO 38'!X:X,MATCH('psgr LDVs'!$B78,'AEO 38'!$B:$B,0))</f>
        <v>0.18047299999999999</v>
      </c>
      <c r="U78" s="126">
        <f>INDEX('AEO 38'!Y:Y,MATCH('psgr LDVs'!$B78,'AEO 38'!$B:$B,0))</f>
        <v>0.19391900000000001</v>
      </c>
      <c r="V78" s="126">
        <f>INDEX('AEO 38'!Z:Z,MATCH('psgr LDVs'!$B78,'AEO 38'!$B:$B,0))</f>
        <v>0.20663999999999999</v>
      </c>
      <c r="W78" s="126">
        <f>INDEX('AEO 38'!AA:AA,MATCH('psgr LDVs'!$B78,'AEO 38'!$B:$B,0))</f>
        <v>0.218224</v>
      </c>
      <c r="X78" s="126">
        <f>INDEX('AEO 38'!AB:AB,MATCH('psgr LDVs'!$B78,'AEO 38'!$B:$B,0))</f>
        <v>0.229347</v>
      </c>
      <c r="Y78" s="126">
        <f>INDEX('AEO 38'!AC:AC,MATCH('psgr LDVs'!$B78,'AEO 38'!$B:$B,0))</f>
        <v>0.24035000000000001</v>
      </c>
      <c r="Z78" s="126">
        <f>INDEX('AEO 38'!AD:AD,MATCH('psgr LDVs'!$B78,'AEO 38'!$B:$B,0))</f>
        <v>0.25042500000000001</v>
      </c>
      <c r="AA78" s="126">
        <f>INDEX('AEO 38'!AE:AE,MATCH('psgr LDVs'!$B78,'AEO 38'!$B:$B,0))</f>
        <v>0.26060299999999997</v>
      </c>
      <c r="AB78" s="126">
        <f>INDEX('AEO 38'!AF:AF,MATCH('psgr LDVs'!$B78,'AEO 38'!$B:$B,0))</f>
        <v>0.27308700000000002</v>
      </c>
      <c r="AC78" s="126">
        <f>INDEX('AEO 38'!AG:AG,MATCH('psgr LDVs'!$B78,'AEO 38'!$B:$B,0))</f>
        <v>0.28232000000000002</v>
      </c>
      <c r="AD78" s="126">
        <f>INDEX('AEO 38'!AH:AH,MATCH('psgr LDVs'!$B78,'AEO 38'!$B:$B,0))</f>
        <v>0.29107899999999998</v>
      </c>
      <c r="AE78" s="126">
        <f>INDEX('AEO 38'!AI:AI,MATCH('psgr LDVs'!$B78,'AEO 38'!$B:$B,0))</f>
        <v>0.302643</v>
      </c>
      <c r="AF78" s="126">
        <f>INDEX('AEO 38'!AJ:AJ,MATCH('psgr LDVs'!$B78,'AEO 38'!$B:$B,0))</f>
        <v>0.310832</v>
      </c>
      <c r="AG78" s="126">
        <f>INDEX('AEO 38'!AK:AK,MATCH('psgr LDVs'!$B78,'AEO 38'!$B:$B,0))</f>
        <v>0.31805</v>
      </c>
    </row>
    <row r="79" spans="1:33">
      <c r="A79" s="132"/>
      <c r="B79" s="117" t="s">
        <v>955</v>
      </c>
      <c r="C79" s="126">
        <f>INDEX('AEO 38'!G:G,MATCH('psgr LDVs'!$B79,'AEO 38'!$B:$B,0))</f>
        <v>945.776611</v>
      </c>
      <c r="D79" s="126">
        <f>INDEX('AEO 38'!H:H,MATCH('psgr LDVs'!$B79,'AEO 38'!$B:$B,0))</f>
        <v>1014.551636</v>
      </c>
      <c r="E79" s="126">
        <f>INDEX('AEO 38'!I:I,MATCH('psgr LDVs'!$B79,'AEO 38'!$B:$B,0))</f>
        <v>1063.210327</v>
      </c>
      <c r="F79" s="126">
        <f>INDEX('AEO 38'!J:J,MATCH('psgr LDVs'!$B79,'AEO 38'!$B:$B,0))</f>
        <v>1096.4454350000001</v>
      </c>
      <c r="G79" s="126">
        <f>INDEX('AEO 38'!K:K,MATCH('psgr LDVs'!$B79,'AEO 38'!$B:$B,0))</f>
        <v>1149.5688479999999</v>
      </c>
      <c r="H79" s="126">
        <f>INDEX('AEO 38'!L:L,MATCH('psgr LDVs'!$B79,'AEO 38'!$B:$B,0))</f>
        <v>1209.818726</v>
      </c>
      <c r="I79" s="126">
        <f>INDEX('AEO 38'!M:M,MATCH('psgr LDVs'!$B79,'AEO 38'!$B:$B,0))</f>
        <v>1340.9945070000001</v>
      </c>
      <c r="J79" s="126">
        <f>INDEX('AEO 38'!N:N,MATCH('psgr LDVs'!$B79,'AEO 38'!$B:$B,0))</f>
        <v>1374.866943</v>
      </c>
      <c r="K79" s="126">
        <f>INDEX('AEO 38'!O:O,MATCH('psgr LDVs'!$B79,'AEO 38'!$B:$B,0))</f>
        <v>1407.1617429999999</v>
      </c>
      <c r="L79" s="126">
        <f>INDEX('AEO 38'!P:P,MATCH('psgr LDVs'!$B79,'AEO 38'!$B:$B,0))</f>
        <v>1432.3819579999999</v>
      </c>
      <c r="M79" s="126">
        <f>INDEX('AEO 38'!Q:Q,MATCH('psgr LDVs'!$B79,'AEO 38'!$B:$B,0))</f>
        <v>1445.144043</v>
      </c>
      <c r="N79" s="126">
        <f>INDEX('AEO 38'!R:R,MATCH('psgr LDVs'!$B79,'AEO 38'!$B:$B,0))</f>
        <v>1478.446655</v>
      </c>
      <c r="O79" s="126">
        <f>INDEX('AEO 38'!S:S,MATCH('psgr LDVs'!$B79,'AEO 38'!$B:$B,0))</f>
        <v>1520.41687</v>
      </c>
      <c r="P79" s="126">
        <f>INDEX('AEO 38'!T:T,MATCH('psgr LDVs'!$B79,'AEO 38'!$B:$B,0))</f>
        <v>1560.1979980000001</v>
      </c>
      <c r="Q79" s="126">
        <f>INDEX('AEO 38'!U:U,MATCH('psgr LDVs'!$B79,'AEO 38'!$B:$B,0))</f>
        <v>1600.813232</v>
      </c>
      <c r="R79" s="126">
        <f>INDEX('AEO 38'!V:V,MATCH('psgr LDVs'!$B79,'AEO 38'!$B:$B,0))</f>
        <v>1648.6062010000001</v>
      </c>
      <c r="S79" s="126">
        <f>INDEX('AEO 38'!W:W,MATCH('psgr LDVs'!$B79,'AEO 38'!$B:$B,0))</f>
        <v>1684.5545649999999</v>
      </c>
      <c r="T79" s="126">
        <f>INDEX('AEO 38'!X:X,MATCH('psgr LDVs'!$B79,'AEO 38'!$B:$B,0))</f>
        <v>1716.4129640000001</v>
      </c>
      <c r="U79" s="126">
        <f>INDEX('AEO 38'!Y:Y,MATCH('psgr LDVs'!$B79,'AEO 38'!$B:$B,0))</f>
        <v>1759.218384</v>
      </c>
      <c r="V79" s="126">
        <f>INDEX('AEO 38'!Z:Z,MATCH('psgr LDVs'!$B79,'AEO 38'!$B:$B,0))</f>
        <v>1800.598389</v>
      </c>
      <c r="W79" s="126">
        <f>INDEX('AEO 38'!AA:AA,MATCH('psgr LDVs'!$B79,'AEO 38'!$B:$B,0))</f>
        <v>1837.55835</v>
      </c>
      <c r="X79" s="126">
        <f>INDEX('AEO 38'!AB:AB,MATCH('psgr LDVs'!$B79,'AEO 38'!$B:$B,0))</f>
        <v>1867.0679929999999</v>
      </c>
      <c r="Y79" s="126">
        <f>INDEX('AEO 38'!AC:AC,MATCH('psgr LDVs'!$B79,'AEO 38'!$B:$B,0))</f>
        <v>1898.580322</v>
      </c>
      <c r="Z79" s="126">
        <f>INDEX('AEO 38'!AD:AD,MATCH('psgr LDVs'!$B79,'AEO 38'!$B:$B,0))</f>
        <v>1925.8210449999999</v>
      </c>
      <c r="AA79" s="126">
        <f>INDEX('AEO 38'!AE:AE,MATCH('psgr LDVs'!$B79,'AEO 38'!$B:$B,0))</f>
        <v>1955.7742920000001</v>
      </c>
      <c r="AB79" s="126">
        <f>INDEX('AEO 38'!AF:AF,MATCH('psgr LDVs'!$B79,'AEO 38'!$B:$B,0))</f>
        <v>2004.3680420000001</v>
      </c>
      <c r="AC79" s="126">
        <f>INDEX('AEO 38'!AG:AG,MATCH('psgr LDVs'!$B79,'AEO 38'!$B:$B,0))</f>
        <v>2031.250366</v>
      </c>
      <c r="AD79" s="126">
        <f>INDEX('AEO 38'!AH:AH,MATCH('psgr LDVs'!$B79,'AEO 38'!$B:$B,0))</f>
        <v>2056.8085940000001</v>
      </c>
      <c r="AE79" s="126">
        <f>INDEX('AEO 38'!AI:AI,MATCH('psgr LDVs'!$B79,'AEO 38'!$B:$B,0))</f>
        <v>2105.5397950000001</v>
      </c>
      <c r="AF79" s="126">
        <f>INDEX('AEO 38'!AJ:AJ,MATCH('psgr LDVs'!$B79,'AEO 38'!$B:$B,0))</f>
        <v>2132.9094239999999</v>
      </c>
      <c r="AG79" s="126">
        <f>INDEX('AEO 38'!AK:AK,MATCH('psgr LDVs'!$B79,'AEO 38'!$B:$B,0))</f>
        <v>2157.3237300000001</v>
      </c>
    </row>
    <row r="80" spans="1:33">
      <c r="D80" s="133"/>
      <c r="F80" s="126"/>
    </row>
    <row r="81" spans="1:40" s="1" customFormat="1" ht="43.5">
      <c r="A81" s="6" t="s">
        <v>3041</v>
      </c>
      <c r="B81" s="21">
        <v>2020</v>
      </c>
      <c r="C81" s="21">
        <v>2021</v>
      </c>
      <c r="D81" s="21">
        <v>2022</v>
      </c>
      <c r="E81" s="21">
        <v>2023</v>
      </c>
      <c r="F81" s="21">
        <v>2024</v>
      </c>
      <c r="G81" s="21">
        <v>2025</v>
      </c>
      <c r="H81" s="21">
        <v>2026</v>
      </c>
      <c r="I81" s="21">
        <v>2027</v>
      </c>
      <c r="J81" s="21">
        <v>2028</v>
      </c>
      <c r="K81" s="21">
        <v>2029</v>
      </c>
      <c r="L81" s="21">
        <v>2030</v>
      </c>
      <c r="M81" s="21">
        <v>2031</v>
      </c>
      <c r="N81" s="21">
        <v>2032</v>
      </c>
      <c r="O81" s="21">
        <v>2033</v>
      </c>
      <c r="P81" s="21">
        <v>2034</v>
      </c>
      <c r="Q81" s="21">
        <v>2035</v>
      </c>
      <c r="R81" s="21">
        <v>2036</v>
      </c>
      <c r="S81" s="21">
        <v>2037</v>
      </c>
      <c r="T81" s="21">
        <v>2038</v>
      </c>
      <c r="U81" s="21">
        <v>2039</v>
      </c>
      <c r="V81" s="21">
        <v>2040</v>
      </c>
      <c r="W81" s="21">
        <v>2041</v>
      </c>
      <c r="X81" s="21">
        <v>2042</v>
      </c>
      <c r="Y81" s="21">
        <v>2043</v>
      </c>
      <c r="Z81" s="21">
        <v>2044</v>
      </c>
      <c r="AA81" s="21">
        <v>2045</v>
      </c>
      <c r="AB81" s="21">
        <v>2046</v>
      </c>
      <c r="AC81" s="21">
        <v>2047</v>
      </c>
      <c r="AD81" s="21">
        <v>2048</v>
      </c>
      <c r="AE81" s="21">
        <v>2049</v>
      </c>
      <c r="AF81" s="21">
        <v>2050</v>
      </c>
    </row>
    <row r="82" spans="1:40">
      <c r="A82" s="132" t="s">
        <v>114</v>
      </c>
      <c r="B82" s="125">
        <f t="shared" ref="B82:AF82" si="0">C2*(C42/SUMIF($A$42:$A$79,$A82,C$42:C$79))</f>
        <v>15.405527091647073</v>
      </c>
      <c r="C82" s="126">
        <f t="shared" si="0"/>
        <v>15.775061653691719</v>
      </c>
      <c r="D82" s="126">
        <f t="shared" si="0"/>
        <v>16.553674305805448</v>
      </c>
      <c r="E82" s="126">
        <f t="shared" si="0"/>
        <v>16.584958723662982</v>
      </c>
      <c r="F82" s="126">
        <f t="shared" si="0"/>
        <v>16.497481826544654</v>
      </c>
      <c r="G82" s="126">
        <f t="shared" si="0"/>
        <v>16.464874918397651</v>
      </c>
      <c r="H82" s="126">
        <f t="shared" si="0"/>
        <v>16.571498498309804</v>
      </c>
      <c r="I82" s="126">
        <f t="shared" si="0"/>
        <v>16.524293723244746</v>
      </c>
      <c r="J82" s="126">
        <f t="shared" si="0"/>
        <v>16.454793499326794</v>
      </c>
      <c r="K82" s="126">
        <f t="shared" si="0"/>
        <v>16.419753975567648</v>
      </c>
      <c r="L82" s="126">
        <f t="shared" si="0"/>
        <v>16.606083326397687</v>
      </c>
      <c r="M82" s="126">
        <f t="shared" si="0"/>
        <v>16.561820604169238</v>
      </c>
      <c r="N82" s="126">
        <f t="shared" si="0"/>
        <v>16.528625321708844</v>
      </c>
      <c r="O82" s="126">
        <f t="shared" si="0"/>
        <v>16.490327743237312</v>
      </c>
      <c r="P82" s="126">
        <f t="shared" si="0"/>
        <v>16.501838291462011</v>
      </c>
      <c r="Q82" s="126">
        <f t="shared" si="0"/>
        <v>16.336070926575392</v>
      </c>
      <c r="R82" s="126">
        <f t="shared" si="0"/>
        <v>16.172149418796639</v>
      </c>
      <c r="S82" s="126">
        <f t="shared" si="0"/>
        <v>16.059162169824319</v>
      </c>
      <c r="T82" s="126">
        <f t="shared" si="0"/>
        <v>15.960872824187556</v>
      </c>
      <c r="U82" s="126">
        <f t="shared" si="0"/>
        <v>15.807148452378186</v>
      </c>
      <c r="V82" s="126">
        <f t="shared" si="0"/>
        <v>15.678756885390237</v>
      </c>
      <c r="W82" s="126">
        <f t="shared" si="0"/>
        <v>15.561197513051845</v>
      </c>
      <c r="X82" s="126">
        <f t="shared" si="0"/>
        <v>15.425464348446365</v>
      </c>
      <c r="Y82" s="126">
        <f t="shared" si="0"/>
        <v>15.300928522360767</v>
      </c>
      <c r="Z82" s="126">
        <f t="shared" si="0"/>
        <v>15.19393199966424</v>
      </c>
      <c r="AA82" s="126">
        <f t="shared" si="0"/>
        <v>15.111227715069173</v>
      </c>
      <c r="AB82" s="126">
        <f t="shared" si="0"/>
        <v>14.977817169620016</v>
      </c>
      <c r="AC82" s="126">
        <f t="shared" si="0"/>
        <v>14.848265386371603</v>
      </c>
      <c r="AD82" s="126">
        <f t="shared" si="0"/>
        <v>14.699010889448008</v>
      </c>
      <c r="AE82" s="126">
        <f t="shared" si="0"/>
        <v>14.5816766440416</v>
      </c>
      <c r="AF82" s="126">
        <f t="shared" si="0"/>
        <v>14.46272787933516</v>
      </c>
      <c r="AG82" s="126"/>
      <c r="AH82" s="126"/>
      <c r="AI82" s="126"/>
      <c r="AJ82" s="126"/>
      <c r="AK82" s="126"/>
      <c r="AL82" s="126"/>
      <c r="AM82" s="126"/>
      <c r="AN82" s="126"/>
    </row>
    <row r="83" spans="1:40">
      <c r="A83" s="132" t="s">
        <v>115</v>
      </c>
      <c r="B83" s="126">
        <f t="shared" ref="B83:AF83" si="1">C3*(C43/SUMIF($A$42:$A$79,$A83,C$42:C$79))</f>
        <v>9.8733170017710328E-2</v>
      </c>
      <c r="C83" s="126">
        <f t="shared" si="1"/>
        <v>5.3862425337374932E-2</v>
      </c>
      <c r="D83" s="126">
        <f t="shared" si="1"/>
        <v>4.1072386506245513E-2</v>
      </c>
      <c r="E83" s="126">
        <f t="shared" si="1"/>
        <v>4.1788580033585501E-2</v>
      </c>
      <c r="F83" s="126">
        <f t="shared" si="1"/>
        <v>4.0847686595048879E-2</v>
      </c>
      <c r="G83" s="126">
        <f t="shared" si="1"/>
        <v>3.9739405841372137E-2</v>
      </c>
      <c r="H83" s="126">
        <f t="shared" si="1"/>
        <v>4.0460253747413889E-2</v>
      </c>
      <c r="I83" s="126">
        <f t="shared" si="1"/>
        <v>4.0232397678001366E-2</v>
      </c>
      <c r="J83" s="126">
        <f t="shared" si="1"/>
        <v>3.9296597646021551E-2</v>
      </c>
      <c r="K83" s="126">
        <f t="shared" si="1"/>
        <v>3.868908386693571E-2</v>
      </c>
      <c r="L83" s="126">
        <f t="shared" si="1"/>
        <v>3.8878136367633889E-2</v>
      </c>
      <c r="M83" s="126">
        <f t="shared" si="1"/>
        <v>3.9163228064516206E-2</v>
      </c>
      <c r="N83" s="126">
        <f t="shared" si="1"/>
        <v>3.8356051563861834E-2</v>
      </c>
      <c r="O83" s="126">
        <f t="shared" si="1"/>
        <v>3.8171225047529553E-2</v>
      </c>
      <c r="P83" s="126">
        <f t="shared" si="1"/>
        <v>3.7614635082492132E-2</v>
      </c>
      <c r="Q83" s="126">
        <f t="shared" si="1"/>
        <v>3.7282593171470542E-2</v>
      </c>
      <c r="R83" s="126">
        <f t="shared" si="1"/>
        <v>3.626924468895578E-2</v>
      </c>
      <c r="S83" s="126">
        <f t="shared" si="1"/>
        <v>3.5821831204493372E-2</v>
      </c>
      <c r="T83" s="126">
        <f t="shared" si="1"/>
        <v>3.5368571543750373E-2</v>
      </c>
      <c r="U83" s="126">
        <f t="shared" si="1"/>
        <v>3.4718720856917483E-2</v>
      </c>
      <c r="V83" s="126">
        <f t="shared" si="1"/>
        <v>3.4312962356255888E-2</v>
      </c>
      <c r="W83" s="126">
        <f t="shared" si="1"/>
        <v>3.3948133521959696E-2</v>
      </c>
      <c r="X83" s="126">
        <f t="shared" si="1"/>
        <v>3.3558115167858026E-2</v>
      </c>
      <c r="Y83" s="126">
        <f t="shared" si="1"/>
        <v>3.3138186798738964E-2</v>
      </c>
      <c r="Z83" s="126">
        <f t="shared" si="1"/>
        <v>3.2815829575485365E-2</v>
      </c>
      <c r="AA83" s="126">
        <f t="shared" si="1"/>
        <v>3.2414157516144043E-2</v>
      </c>
      <c r="AB83" s="126">
        <f t="shared" si="1"/>
        <v>3.2210998624273492E-2</v>
      </c>
      <c r="AC83" s="126">
        <f t="shared" si="1"/>
        <v>3.1857293687267668E-2</v>
      </c>
      <c r="AD83" s="126">
        <f t="shared" si="1"/>
        <v>3.1421516810252348E-2</v>
      </c>
      <c r="AE83" s="126">
        <f t="shared" si="1"/>
        <v>3.1047046033397373E-2</v>
      </c>
      <c r="AF83" s="126">
        <f t="shared" si="1"/>
        <v>3.0832853302791282E-2</v>
      </c>
      <c r="AG83" s="126"/>
      <c r="AH83" s="126"/>
      <c r="AI83" s="126"/>
      <c r="AJ83" s="126"/>
      <c r="AK83" s="126"/>
      <c r="AL83" s="126"/>
      <c r="AM83" s="126"/>
      <c r="AN83" s="126"/>
    </row>
    <row r="84" spans="1:40">
      <c r="A84" s="132"/>
      <c r="B84" s="126" t="e">
        <f t="shared" ref="B84:AF84" si="2">C4*(C44/SUMIF($A$42:$A$79,$A84,C$42:C$79))</f>
        <v>#N/A</v>
      </c>
      <c r="C84" s="126" t="e">
        <f t="shared" si="2"/>
        <v>#N/A</v>
      </c>
      <c r="D84" s="126" t="e">
        <f t="shared" si="2"/>
        <v>#N/A</v>
      </c>
      <c r="E84" s="126" t="e">
        <f t="shared" si="2"/>
        <v>#N/A</v>
      </c>
      <c r="F84" s="126" t="e">
        <f t="shared" si="2"/>
        <v>#N/A</v>
      </c>
      <c r="G84" s="126" t="e">
        <f t="shared" si="2"/>
        <v>#N/A</v>
      </c>
      <c r="H84" s="126" t="e">
        <f t="shared" si="2"/>
        <v>#N/A</v>
      </c>
      <c r="I84" s="126" t="e">
        <f t="shared" si="2"/>
        <v>#N/A</v>
      </c>
      <c r="J84" s="126" t="e">
        <f t="shared" si="2"/>
        <v>#N/A</v>
      </c>
      <c r="K84" s="126" t="e">
        <f t="shared" si="2"/>
        <v>#N/A</v>
      </c>
      <c r="L84" s="126" t="e">
        <f t="shared" si="2"/>
        <v>#N/A</v>
      </c>
      <c r="M84" s="126" t="e">
        <f t="shared" si="2"/>
        <v>#N/A</v>
      </c>
      <c r="N84" s="126" t="e">
        <f t="shared" si="2"/>
        <v>#N/A</v>
      </c>
      <c r="O84" s="126" t="e">
        <f t="shared" si="2"/>
        <v>#N/A</v>
      </c>
      <c r="P84" s="126" t="e">
        <f t="shared" si="2"/>
        <v>#N/A</v>
      </c>
      <c r="Q84" s="126" t="e">
        <f t="shared" si="2"/>
        <v>#N/A</v>
      </c>
      <c r="R84" s="126" t="e">
        <f t="shared" si="2"/>
        <v>#N/A</v>
      </c>
      <c r="S84" s="126" t="e">
        <f t="shared" si="2"/>
        <v>#N/A</v>
      </c>
      <c r="T84" s="126" t="e">
        <f t="shared" si="2"/>
        <v>#N/A</v>
      </c>
      <c r="U84" s="126" t="e">
        <f t="shared" si="2"/>
        <v>#N/A</v>
      </c>
      <c r="V84" s="126" t="e">
        <f t="shared" si="2"/>
        <v>#N/A</v>
      </c>
      <c r="W84" s="126" t="e">
        <f t="shared" si="2"/>
        <v>#N/A</v>
      </c>
      <c r="X84" s="126" t="e">
        <f t="shared" si="2"/>
        <v>#N/A</v>
      </c>
      <c r="Y84" s="126" t="e">
        <f t="shared" si="2"/>
        <v>#N/A</v>
      </c>
      <c r="Z84" s="126" t="e">
        <f t="shared" si="2"/>
        <v>#N/A</v>
      </c>
      <c r="AA84" s="126" t="e">
        <f t="shared" si="2"/>
        <v>#N/A</v>
      </c>
      <c r="AB84" s="126" t="e">
        <f t="shared" si="2"/>
        <v>#N/A</v>
      </c>
      <c r="AC84" s="126" t="e">
        <f t="shared" si="2"/>
        <v>#N/A</v>
      </c>
      <c r="AD84" s="126" t="e">
        <f t="shared" si="2"/>
        <v>#N/A</v>
      </c>
      <c r="AE84" s="126" t="e">
        <f t="shared" si="2"/>
        <v>#N/A</v>
      </c>
      <c r="AF84" s="126" t="e">
        <f t="shared" si="2"/>
        <v>#N/A</v>
      </c>
      <c r="AG84" s="126"/>
      <c r="AH84" s="126"/>
      <c r="AI84" s="126"/>
      <c r="AJ84" s="126"/>
      <c r="AK84" s="126"/>
      <c r="AL84" s="126"/>
      <c r="AM84" s="126"/>
      <c r="AN84" s="126"/>
    </row>
    <row r="85" spans="1:40">
      <c r="A85" s="132" t="s">
        <v>114</v>
      </c>
      <c r="B85" s="126">
        <f t="shared" ref="B85:AF85" si="3">C5*(C45/SUMIF($A$42:$A$79,$A85,C$42:C$79))</f>
        <v>0.29240426111145379</v>
      </c>
      <c r="C85" s="126">
        <f t="shared" si="3"/>
        <v>0.29917501838019478</v>
      </c>
      <c r="D85" s="126">
        <f t="shared" si="3"/>
        <v>0.31492820933902566</v>
      </c>
      <c r="E85" s="126">
        <f t="shared" si="3"/>
        <v>0.31611843198777362</v>
      </c>
      <c r="F85" s="126">
        <f t="shared" si="3"/>
        <v>0.31460461535974255</v>
      </c>
      <c r="G85" s="126">
        <f t="shared" si="3"/>
        <v>0.31431900893022452</v>
      </c>
      <c r="H85" s="126">
        <f t="shared" si="3"/>
        <v>0.31675953160347825</v>
      </c>
      <c r="I85" s="126">
        <f t="shared" si="3"/>
        <v>0.31664411274054011</v>
      </c>
      <c r="J85" s="126">
        <f t="shared" si="3"/>
        <v>0.31632791203861527</v>
      </c>
      <c r="K85" s="126">
        <f t="shared" si="3"/>
        <v>0.31652000894678406</v>
      </c>
      <c r="L85" s="126">
        <f t="shared" si="3"/>
        <v>0.32121680434472238</v>
      </c>
      <c r="M85" s="126">
        <f t="shared" si="3"/>
        <v>0.32160068939889991</v>
      </c>
      <c r="N85" s="126">
        <f t="shared" si="3"/>
        <v>0.32203977966380654</v>
      </c>
      <c r="O85" s="126">
        <f t="shared" si="3"/>
        <v>0.32252840534810706</v>
      </c>
      <c r="P85" s="126">
        <f t="shared" si="3"/>
        <v>0.32403537088419621</v>
      </c>
      <c r="Q85" s="126">
        <f t="shared" si="3"/>
        <v>0.32214860390545597</v>
      </c>
      <c r="R85" s="126">
        <f t="shared" si="3"/>
        <v>0.32009005470151791</v>
      </c>
      <c r="S85" s="126">
        <f t="shared" si="3"/>
        <v>0.31911637954764088</v>
      </c>
      <c r="T85" s="126">
        <f t="shared" si="3"/>
        <v>0.31850053144785084</v>
      </c>
      <c r="U85" s="126">
        <f t="shared" si="3"/>
        <v>0.31676578706254838</v>
      </c>
      <c r="V85" s="126">
        <f t="shared" si="3"/>
        <v>0.31548428741924378</v>
      </c>
      <c r="W85" s="126">
        <f t="shared" si="3"/>
        <v>0.31429154284985023</v>
      </c>
      <c r="X85" s="126">
        <f t="shared" si="3"/>
        <v>0.31262464439200771</v>
      </c>
      <c r="Y85" s="126">
        <f t="shared" si="3"/>
        <v>0.31117668750931093</v>
      </c>
      <c r="Z85" s="126">
        <f t="shared" si="3"/>
        <v>0.31015437371272842</v>
      </c>
      <c r="AA85" s="126">
        <f t="shared" si="3"/>
        <v>0.30967665225244068</v>
      </c>
      <c r="AB85" s="126">
        <f t="shared" si="3"/>
        <v>0.30820576140730699</v>
      </c>
      <c r="AC85" s="126">
        <f t="shared" si="3"/>
        <v>0.30674922624206286</v>
      </c>
      <c r="AD85" s="126">
        <f t="shared" si="3"/>
        <v>0.30493205311207638</v>
      </c>
      <c r="AE85" s="126">
        <f t="shared" si="3"/>
        <v>0.3038224574874705</v>
      </c>
      <c r="AF85" s="126">
        <f t="shared" si="3"/>
        <v>0.30280206972329415</v>
      </c>
      <c r="AG85" s="126"/>
      <c r="AH85" s="126"/>
      <c r="AI85" s="126"/>
      <c r="AJ85" s="126"/>
      <c r="AK85" s="126"/>
      <c r="AL85" s="126"/>
      <c r="AM85" s="126"/>
      <c r="AN85" s="126"/>
    </row>
    <row r="86" spans="1:40">
      <c r="A86" s="132" t="s">
        <v>112</v>
      </c>
      <c r="B86" s="126">
        <f t="shared" ref="B86:AF86" si="4">C6*(C46/SUMIF($A$42:$A$79,$A86,C$42:C$79))</f>
        <v>1.474155324170116</v>
      </c>
      <c r="C86" s="126">
        <f t="shared" si="4"/>
        <v>1.5870547513482949</v>
      </c>
      <c r="D86" s="126">
        <f t="shared" si="4"/>
        <v>1.4624528184490246</v>
      </c>
      <c r="E86" s="126">
        <f t="shared" si="4"/>
        <v>1.3316720011804077</v>
      </c>
      <c r="F86" s="126">
        <f t="shared" si="4"/>
        <v>1.2403337483881574</v>
      </c>
      <c r="G86" s="126">
        <f t="shared" si="4"/>
        <v>1.2032688058639089</v>
      </c>
      <c r="H86" s="126">
        <f t="shared" si="4"/>
        <v>1.1732075976126024</v>
      </c>
      <c r="I86" s="126">
        <f t="shared" si="4"/>
        <v>1.1278004404076138</v>
      </c>
      <c r="J86" s="126">
        <f t="shared" si="4"/>
        <v>1.0680183314514691</v>
      </c>
      <c r="K86" s="126">
        <f t="shared" si="4"/>
        <v>1.0097056175757579</v>
      </c>
      <c r="L86" s="126">
        <f t="shared" si="4"/>
        <v>0.94999845155418039</v>
      </c>
      <c r="M86" s="126">
        <f t="shared" si="4"/>
        <v>0.87704899706186146</v>
      </c>
      <c r="N86" s="126">
        <f t="shared" si="4"/>
        <v>0.8167260167263628</v>
      </c>
      <c r="O86" s="126">
        <f t="shared" si="4"/>
        <v>0.75480329766898024</v>
      </c>
      <c r="P86" s="126">
        <f t="shared" si="4"/>
        <v>0.69969895634362744</v>
      </c>
      <c r="Q86" s="126">
        <f t="shared" si="4"/>
        <v>0.6449587729270525</v>
      </c>
      <c r="R86" s="126">
        <f t="shared" si="4"/>
        <v>0.60032084978022027</v>
      </c>
      <c r="S86" s="126">
        <f t="shared" si="4"/>
        <v>0.55926299030082605</v>
      </c>
      <c r="T86" s="126">
        <f t="shared" si="4"/>
        <v>0.52189863851504026</v>
      </c>
      <c r="U86" s="126">
        <f t="shared" si="4"/>
        <v>0.48803036808653616</v>
      </c>
      <c r="V86" s="126">
        <f t="shared" si="4"/>
        <v>0.45901648625920793</v>
      </c>
      <c r="W86" s="126">
        <f t="shared" si="4"/>
        <v>0.4381278882330078</v>
      </c>
      <c r="X86" s="126">
        <f t="shared" si="4"/>
        <v>0.41981041024675048</v>
      </c>
      <c r="Y86" s="126">
        <f t="shared" si="4"/>
        <v>0.40272401861820184</v>
      </c>
      <c r="Z86" s="126">
        <f t="shared" si="4"/>
        <v>0.38616572876567568</v>
      </c>
      <c r="AA86" s="126">
        <f t="shared" si="4"/>
        <v>0.37033934828962362</v>
      </c>
      <c r="AB86" s="126">
        <f t="shared" si="4"/>
        <v>0.35450907366799589</v>
      </c>
      <c r="AC86" s="126">
        <f t="shared" si="4"/>
        <v>0.34025163117323026</v>
      </c>
      <c r="AD86" s="126">
        <f t="shared" si="4"/>
        <v>0.32623745682974309</v>
      </c>
      <c r="AE86" s="126">
        <f t="shared" si="4"/>
        <v>0.31303472538937194</v>
      </c>
      <c r="AF86" s="126">
        <f t="shared" si="4"/>
        <v>0.29996305785714061</v>
      </c>
      <c r="AG86" s="126"/>
      <c r="AH86" s="126"/>
      <c r="AI86" s="126"/>
      <c r="AJ86" s="126"/>
      <c r="AK86" s="126"/>
      <c r="AL86" s="126"/>
      <c r="AM86" s="126"/>
      <c r="AN86" s="126"/>
    </row>
    <row r="87" spans="1:40">
      <c r="A87" s="132" t="s">
        <v>112</v>
      </c>
      <c r="B87" s="126">
        <f t="shared" ref="B87:AF87" si="5">C7*(C47/SUMIF($A$42:$A$79,$A87,C$42:C$79))</f>
        <v>36.187882346325097</v>
      </c>
      <c r="C87" s="126">
        <f t="shared" si="5"/>
        <v>35.562004368787292</v>
      </c>
      <c r="D87" s="126">
        <f t="shared" si="5"/>
        <v>32.858559034464861</v>
      </c>
      <c r="E87" s="126">
        <f t="shared" si="5"/>
        <v>29.066268559508995</v>
      </c>
      <c r="F87" s="126">
        <f t="shared" si="5"/>
        <v>26.135275596490182</v>
      </c>
      <c r="G87" s="126">
        <f t="shared" si="5"/>
        <v>24.914805375219284</v>
      </c>
      <c r="H87" s="126">
        <f t="shared" si="5"/>
        <v>23.587360462277051</v>
      </c>
      <c r="I87" s="126">
        <f t="shared" si="5"/>
        <v>22.915114968676502</v>
      </c>
      <c r="J87" s="126">
        <f t="shared" si="5"/>
        <v>22.22646606449252</v>
      </c>
      <c r="K87" s="126">
        <f t="shared" si="5"/>
        <v>21.727228247578068</v>
      </c>
      <c r="L87" s="126">
        <f t="shared" si="5"/>
        <v>21.623773774345445</v>
      </c>
      <c r="M87" s="126">
        <f t="shared" si="5"/>
        <v>20.959936997744595</v>
      </c>
      <c r="N87" s="126">
        <f t="shared" si="5"/>
        <v>20.631449185009892</v>
      </c>
      <c r="O87" s="126">
        <f t="shared" si="5"/>
        <v>20.145102014732117</v>
      </c>
      <c r="P87" s="126">
        <f t="shared" si="5"/>
        <v>19.754066949256114</v>
      </c>
      <c r="Q87" s="126">
        <f t="shared" si="5"/>
        <v>19.111805939472458</v>
      </c>
      <c r="R87" s="126">
        <f t="shared" si="5"/>
        <v>18.679155212727498</v>
      </c>
      <c r="S87" s="126">
        <f t="shared" si="5"/>
        <v>18.302275401119751</v>
      </c>
      <c r="T87" s="126">
        <f t="shared" si="5"/>
        <v>17.957323998430564</v>
      </c>
      <c r="U87" s="126">
        <f t="shared" si="5"/>
        <v>17.586719072315663</v>
      </c>
      <c r="V87" s="126">
        <f t="shared" si="5"/>
        <v>17.344137366216614</v>
      </c>
      <c r="W87" s="126">
        <f t="shared" si="5"/>
        <v>17.257942274684741</v>
      </c>
      <c r="X87" s="126">
        <f t="shared" si="5"/>
        <v>17.187556801631043</v>
      </c>
      <c r="Y87" s="126">
        <f t="shared" si="5"/>
        <v>17.158373935226834</v>
      </c>
      <c r="Z87" s="126">
        <f t="shared" si="5"/>
        <v>17.126381769294859</v>
      </c>
      <c r="AA87" s="126">
        <f t="shared" si="5"/>
        <v>17.115733854903922</v>
      </c>
      <c r="AB87" s="126">
        <f t="shared" si="5"/>
        <v>17.018576075582477</v>
      </c>
      <c r="AC87" s="126">
        <f t="shared" si="5"/>
        <v>16.970340861497384</v>
      </c>
      <c r="AD87" s="126">
        <f t="shared" si="5"/>
        <v>16.884798299487084</v>
      </c>
      <c r="AE87" s="126">
        <f t="shared" si="5"/>
        <v>16.86406910992315</v>
      </c>
      <c r="AF87" s="126">
        <f t="shared" si="5"/>
        <v>16.803351459188651</v>
      </c>
      <c r="AG87" s="126"/>
      <c r="AH87" s="126"/>
      <c r="AI87" s="126"/>
      <c r="AJ87" s="126"/>
      <c r="AK87" s="126"/>
      <c r="AL87" s="126"/>
      <c r="AM87" s="126"/>
      <c r="AN87" s="126"/>
    </row>
    <row r="88" spans="1:40">
      <c r="A88" s="132" t="s">
        <v>112</v>
      </c>
      <c r="B88" s="126">
        <f t="shared" ref="B88:AF88" si="6">C8*(C48/SUMIF($A$42:$A$79,$A88,C$42:C$79))</f>
        <v>52.502453144261295</v>
      </c>
      <c r="C88" s="126">
        <f t="shared" si="6"/>
        <v>47.000499994975478</v>
      </c>
      <c r="D88" s="126">
        <f t="shared" si="6"/>
        <v>48.761585467236785</v>
      </c>
      <c r="E88" s="126">
        <f t="shared" si="6"/>
        <v>50.407984004075935</v>
      </c>
      <c r="F88" s="126">
        <f t="shared" si="6"/>
        <v>50.445474532069078</v>
      </c>
      <c r="G88" s="126">
        <f t="shared" si="6"/>
        <v>49.712774584056319</v>
      </c>
      <c r="H88" s="126">
        <f t="shared" si="6"/>
        <v>50.17812596159726</v>
      </c>
      <c r="I88" s="126">
        <f t="shared" si="6"/>
        <v>49.672195187016278</v>
      </c>
      <c r="J88" s="126">
        <f t="shared" si="6"/>
        <v>49.371704990532685</v>
      </c>
      <c r="K88" s="126">
        <f t="shared" si="6"/>
        <v>48.940202838272242</v>
      </c>
      <c r="L88" s="126">
        <f t="shared" si="6"/>
        <v>48.573846055472146</v>
      </c>
      <c r="M88" s="126">
        <f t="shared" si="6"/>
        <v>49.223566994724955</v>
      </c>
      <c r="N88" s="126">
        <f t="shared" si="6"/>
        <v>49.049954946894992</v>
      </c>
      <c r="O88" s="126">
        <f t="shared" si="6"/>
        <v>49.498739014445782</v>
      </c>
      <c r="P88" s="126">
        <f t="shared" si="6"/>
        <v>49.914947633024809</v>
      </c>
      <c r="Q88" s="126">
        <f t="shared" si="6"/>
        <v>50.584329349743896</v>
      </c>
      <c r="R88" s="126">
        <f t="shared" si="6"/>
        <v>50.6758058141574</v>
      </c>
      <c r="S88" s="126">
        <f t="shared" si="6"/>
        <v>50.924330119334982</v>
      </c>
      <c r="T88" s="126">
        <f t="shared" si="6"/>
        <v>51.250888387520561</v>
      </c>
      <c r="U88" s="126">
        <f t="shared" si="6"/>
        <v>51.569182035931576</v>
      </c>
      <c r="V88" s="126">
        <f t="shared" si="6"/>
        <v>51.692449288845268</v>
      </c>
      <c r="W88" s="126">
        <f t="shared" si="6"/>
        <v>51.778183802335086</v>
      </c>
      <c r="X88" s="126">
        <f t="shared" si="6"/>
        <v>51.830622107409113</v>
      </c>
      <c r="Y88" s="126">
        <f t="shared" si="6"/>
        <v>51.805208194886106</v>
      </c>
      <c r="Z88" s="126">
        <f t="shared" si="6"/>
        <v>51.852439723604455</v>
      </c>
      <c r="AA88" s="126">
        <f t="shared" si="6"/>
        <v>51.927714219975549</v>
      </c>
      <c r="AB88" s="126">
        <f t="shared" si="6"/>
        <v>52.084401561760821</v>
      </c>
      <c r="AC88" s="126">
        <f t="shared" si="6"/>
        <v>52.085396515197068</v>
      </c>
      <c r="AD88" s="126">
        <f t="shared" si="6"/>
        <v>52.137045543401015</v>
      </c>
      <c r="AE88" s="126">
        <f t="shared" si="6"/>
        <v>52.099221695641269</v>
      </c>
      <c r="AF88" s="126">
        <f t="shared" si="6"/>
        <v>52.199327423137788</v>
      </c>
      <c r="AG88" s="126"/>
      <c r="AH88" s="126"/>
      <c r="AI88" s="126"/>
      <c r="AJ88" s="126"/>
      <c r="AK88" s="126"/>
      <c r="AL88" s="126"/>
      <c r="AM88" s="126"/>
      <c r="AN88" s="126"/>
    </row>
    <row r="89" spans="1:40">
      <c r="A89" s="132" t="s">
        <v>116</v>
      </c>
      <c r="B89" s="126">
        <f t="shared" ref="B89:AF89" si="7">C9*(C49/SUMIF($A$42:$A$79,$A89,C$42:C$79))</f>
        <v>24.748670125707765</v>
      </c>
      <c r="C89" s="126">
        <f t="shared" si="7"/>
        <v>28.293836174970082</v>
      </c>
      <c r="D89" s="126">
        <f t="shared" si="7"/>
        <v>31.588478287884069</v>
      </c>
      <c r="E89" s="126">
        <f t="shared" si="7"/>
        <v>34.122553118011403</v>
      </c>
      <c r="F89" s="126">
        <f t="shared" si="7"/>
        <v>37.610768574476097</v>
      </c>
      <c r="G89" s="126">
        <f t="shared" si="7"/>
        <v>32.864181556590999</v>
      </c>
      <c r="H89" s="126">
        <f t="shared" si="7"/>
        <v>20.145889019806965</v>
      </c>
      <c r="I89" s="126">
        <f t="shared" si="7"/>
        <v>20.038685496140971</v>
      </c>
      <c r="J89" s="126">
        <f t="shared" si="7"/>
        <v>22.055979500211823</v>
      </c>
      <c r="K89" s="126">
        <f t="shared" si="7"/>
        <v>22.575768652628398</v>
      </c>
      <c r="L89" s="126">
        <f t="shared" si="7"/>
        <v>23.066508953259657</v>
      </c>
      <c r="M89" s="126">
        <f t="shared" si="7"/>
        <v>22.759707491054971</v>
      </c>
      <c r="N89" s="126">
        <f t="shared" si="7"/>
        <v>22.618707472589868</v>
      </c>
      <c r="O89" s="126">
        <f t="shared" si="7"/>
        <v>22.331753506420519</v>
      </c>
      <c r="P89" s="126">
        <f t="shared" si="7"/>
        <v>22.147389686683876</v>
      </c>
      <c r="Q89" s="126">
        <f t="shared" si="7"/>
        <v>21.562734842532549</v>
      </c>
      <c r="R89" s="126">
        <f t="shared" si="7"/>
        <v>21.131360347541818</v>
      </c>
      <c r="S89" s="126">
        <f t="shared" si="7"/>
        <v>20.726950861963292</v>
      </c>
      <c r="T89" s="126">
        <f t="shared" si="7"/>
        <v>20.314976825912805</v>
      </c>
      <c r="U89" s="126">
        <f t="shared" si="7"/>
        <v>19.792600257137437</v>
      </c>
      <c r="V89" s="126">
        <f t="shared" si="7"/>
        <v>19.371365570361153</v>
      </c>
      <c r="W89" s="126">
        <f t="shared" si="7"/>
        <v>18.889681725747717</v>
      </c>
      <c r="X89" s="126">
        <f t="shared" si="7"/>
        <v>18.354696527528624</v>
      </c>
      <c r="Y89" s="126">
        <f t="shared" si="7"/>
        <v>17.851865283905891</v>
      </c>
      <c r="Z89" s="126">
        <f t="shared" si="7"/>
        <v>17.341827694373102</v>
      </c>
      <c r="AA89" s="126">
        <f t="shared" si="7"/>
        <v>16.849626422715993</v>
      </c>
      <c r="AB89" s="126">
        <f t="shared" si="7"/>
        <v>16.227125095605249</v>
      </c>
      <c r="AC89" s="126">
        <f t="shared" si="7"/>
        <v>15.62642107932699</v>
      </c>
      <c r="AD89" s="126">
        <f t="shared" si="7"/>
        <v>14.956294362443142</v>
      </c>
      <c r="AE89" s="126">
        <f t="shared" si="7"/>
        <v>14.34976718132758</v>
      </c>
      <c r="AF89" s="126">
        <f t="shared" si="7"/>
        <v>13.689361991857844</v>
      </c>
      <c r="AG89" s="126"/>
      <c r="AH89" s="126"/>
      <c r="AI89" s="126"/>
      <c r="AJ89" s="126"/>
      <c r="AK89" s="126"/>
      <c r="AL89" s="126"/>
      <c r="AM89" s="126"/>
      <c r="AN89" s="126"/>
    </row>
    <row r="90" spans="1:40">
      <c r="A90" s="132" t="s">
        <v>116</v>
      </c>
      <c r="B90" s="126">
        <f t="shared" ref="B90:AF90" si="8">C10*(C50/SUMIF($A$42:$A$79,$A90,C$42:C$79))</f>
        <v>7.7580418959045687</v>
      </c>
      <c r="C90" s="126">
        <f t="shared" si="8"/>
        <v>6.8709093054580483</v>
      </c>
      <c r="D90" s="126">
        <f t="shared" si="8"/>
        <v>5.882500556633472</v>
      </c>
      <c r="E90" s="126">
        <f t="shared" si="8"/>
        <v>5.1549495568424542</v>
      </c>
      <c r="F90" s="126">
        <f t="shared" si="8"/>
        <v>4.7247852631134251</v>
      </c>
      <c r="G90" s="126">
        <f t="shared" si="8"/>
        <v>3.5031806013027915</v>
      </c>
      <c r="H90" s="126">
        <f t="shared" si="8"/>
        <v>1.9183172813919744</v>
      </c>
      <c r="I90" s="126">
        <f t="shared" si="8"/>
        <v>1.7271488188645636</v>
      </c>
      <c r="J90" s="126">
        <f t="shared" si="8"/>
        <v>1.7406470035389028</v>
      </c>
      <c r="K90" s="126">
        <f t="shared" si="8"/>
        <v>1.8621711073365244</v>
      </c>
      <c r="L90" s="126">
        <f t="shared" si="8"/>
        <v>2.0404393471404245</v>
      </c>
      <c r="M90" s="126">
        <f t="shared" si="8"/>
        <v>2.1468200716648673</v>
      </c>
      <c r="N90" s="126">
        <f t="shared" si="8"/>
        <v>2.21327980187437</v>
      </c>
      <c r="O90" s="126">
        <f t="shared" si="8"/>
        <v>2.2677973746794327</v>
      </c>
      <c r="P90" s="126">
        <f t="shared" si="8"/>
        <v>2.3222354120992552</v>
      </c>
      <c r="Q90" s="126">
        <f t="shared" si="8"/>
        <v>2.3459097391425452</v>
      </c>
      <c r="R90" s="126">
        <f t="shared" si="8"/>
        <v>2.3644918551973979</v>
      </c>
      <c r="S90" s="126">
        <f t="shared" si="8"/>
        <v>2.3809192470631335</v>
      </c>
      <c r="T90" s="126">
        <f t="shared" si="8"/>
        <v>2.391914956170675</v>
      </c>
      <c r="U90" s="126">
        <f t="shared" si="8"/>
        <v>2.3895793286662768</v>
      </c>
      <c r="V90" s="126">
        <f t="shared" si="8"/>
        <v>2.3866287355662186</v>
      </c>
      <c r="W90" s="126">
        <f t="shared" si="8"/>
        <v>2.3801905486242529</v>
      </c>
      <c r="X90" s="126">
        <f t="shared" si="8"/>
        <v>2.3661920188578724</v>
      </c>
      <c r="Y90" s="126">
        <f t="shared" si="8"/>
        <v>2.3503533555516753</v>
      </c>
      <c r="Z90" s="126">
        <f t="shared" si="8"/>
        <v>2.3327050312494291</v>
      </c>
      <c r="AA90" s="126">
        <f t="shared" si="8"/>
        <v>2.3142424426114849</v>
      </c>
      <c r="AB90" s="126">
        <f t="shared" si="8"/>
        <v>2.2842228282590016</v>
      </c>
      <c r="AC90" s="126">
        <f t="shared" si="8"/>
        <v>2.2501217184446065</v>
      </c>
      <c r="AD90" s="126">
        <f t="shared" si="8"/>
        <v>2.2081933688782756</v>
      </c>
      <c r="AE90" s="126">
        <f t="shared" si="8"/>
        <v>2.1663833606890153</v>
      </c>
      <c r="AF90" s="126">
        <f t="shared" si="8"/>
        <v>2.1194625981868902</v>
      </c>
      <c r="AG90" s="126"/>
      <c r="AH90" s="126"/>
      <c r="AI90" s="126"/>
      <c r="AJ90" s="126"/>
      <c r="AK90" s="126"/>
      <c r="AL90" s="126"/>
      <c r="AM90" s="126"/>
      <c r="AN90" s="126"/>
    </row>
    <row r="91" spans="1:40">
      <c r="A91" s="132" t="s">
        <v>115</v>
      </c>
      <c r="B91" s="126">
        <f t="shared" ref="B91:AF91" si="9">C11*(C51/SUMIF($A$42:$A$79,$A91,C$42:C$79))</f>
        <v>0</v>
      </c>
      <c r="C91" s="126">
        <f t="shared" si="9"/>
        <v>0</v>
      </c>
      <c r="D91" s="126">
        <f t="shared" si="9"/>
        <v>0</v>
      </c>
      <c r="E91" s="126">
        <f t="shared" si="9"/>
        <v>0</v>
      </c>
      <c r="F91" s="126">
        <f t="shared" si="9"/>
        <v>0</v>
      </c>
      <c r="G91" s="126">
        <f t="shared" si="9"/>
        <v>0</v>
      </c>
      <c r="H91" s="126">
        <f t="shared" si="9"/>
        <v>0</v>
      </c>
      <c r="I91" s="126">
        <f t="shared" si="9"/>
        <v>0</v>
      </c>
      <c r="J91" s="126">
        <f t="shared" si="9"/>
        <v>0</v>
      </c>
      <c r="K91" s="126">
        <f t="shared" si="9"/>
        <v>0</v>
      </c>
      <c r="L91" s="126">
        <f t="shared" si="9"/>
        <v>0</v>
      </c>
      <c r="M91" s="126">
        <f t="shared" si="9"/>
        <v>0</v>
      </c>
      <c r="N91" s="126">
        <f t="shared" si="9"/>
        <v>0</v>
      </c>
      <c r="O91" s="126">
        <f t="shared" si="9"/>
        <v>0</v>
      </c>
      <c r="P91" s="126">
        <f t="shared" si="9"/>
        <v>0</v>
      </c>
      <c r="Q91" s="126">
        <f t="shared" si="9"/>
        <v>0</v>
      </c>
      <c r="R91" s="126">
        <f t="shared" si="9"/>
        <v>0</v>
      </c>
      <c r="S91" s="126">
        <f t="shared" si="9"/>
        <v>0</v>
      </c>
      <c r="T91" s="126">
        <f t="shared" si="9"/>
        <v>0</v>
      </c>
      <c r="U91" s="126">
        <f t="shared" si="9"/>
        <v>0</v>
      </c>
      <c r="V91" s="126">
        <f t="shared" si="9"/>
        <v>0</v>
      </c>
      <c r="W91" s="126">
        <f t="shared" si="9"/>
        <v>0</v>
      </c>
      <c r="X91" s="126">
        <f t="shared" si="9"/>
        <v>0</v>
      </c>
      <c r="Y91" s="126">
        <f t="shared" si="9"/>
        <v>0</v>
      </c>
      <c r="Z91" s="126">
        <f t="shared" si="9"/>
        <v>0</v>
      </c>
      <c r="AA91" s="126">
        <f t="shared" si="9"/>
        <v>0</v>
      </c>
      <c r="AB91" s="126">
        <f t="shared" si="9"/>
        <v>0</v>
      </c>
      <c r="AC91" s="126">
        <f t="shared" si="9"/>
        <v>0</v>
      </c>
      <c r="AD91" s="126">
        <f t="shared" si="9"/>
        <v>0</v>
      </c>
      <c r="AE91" s="126">
        <f t="shared" si="9"/>
        <v>0</v>
      </c>
      <c r="AF91" s="126">
        <f t="shared" si="9"/>
        <v>0</v>
      </c>
      <c r="AG91" s="126"/>
      <c r="AH91" s="126"/>
      <c r="AI91" s="126"/>
      <c r="AJ91" s="126"/>
      <c r="AK91" s="126"/>
      <c r="AL91" s="126"/>
      <c r="AM91" s="126"/>
      <c r="AN91" s="126"/>
    </row>
    <row r="92" spans="1:40">
      <c r="A92" s="132" t="s">
        <v>114</v>
      </c>
      <c r="B92" s="126">
        <f t="shared" ref="B92:AF92" si="10">C12*(C52/SUMIF($A$42:$A$79,$A92,C$42:C$79))</f>
        <v>0.59874119088324229</v>
      </c>
      <c r="C92" s="126">
        <f t="shared" si="10"/>
        <v>0.64290068792796851</v>
      </c>
      <c r="D92" s="126">
        <f t="shared" si="10"/>
        <v>0.72251646204916842</v>
      </c>
      <c r="E92" s="126">
        <f t="shared" si="10"/>
        <v>0.77065848392670455</v>
      </c>
      <c r="F92" s="126">
        <f t="shared" si="10"/>
        <v>0.8161241597995762</v>
      </c>
      <c r="G92" s="126">
        <f t="shared" si="10"/>
        <v>0.86388257372907051</v>
      </c>
      <c r="H92" s="126">
        <f t="shared" si="10"/>
        <v>0.9222045962430776</v>
      </c>
      <c r="I92" s="126">
        <f t="shared" si="10"/>
        <v>0.98495423808188209</v>
      </c>
      <c r="J92" s="126">
        <f t="shared" si="10"/>
        <v>1.0552412480655369</v>
      </c>
      <c r="K92" s="126">
        <f t="shared" si="10"/>
        <v>1.1145204382997604</v>
      </c>
      <c r="L92" s="126">
        <f t="shared" si="10"/>
        <v>1.199048704463993</v>
      </c>
      <c r="M92" s="126">
        <f t="shared" si="10"/>
        <v>1.260135842981714</v>
      </c>
      <c r="N92" s="126">
        <f t="shared" si="10"/>
        <v>1.32065299083718</v>
      </c>
      <c r="O92" s="126">
        <f t="shared" si="10"/>
        <v>1.381886687566475</v>
      </c>
      <c r="P92" s="126">
        <f t="shared" si="10"/>
        <v>1.4499741751647752</v>
      </c>
      <c r="Q92" s="126">
        <f t="shared" si="10"/>
        <v>1.4976344558844188</v>
      </c>
      <c r="R92" s="126">
        <f t="shared" si="10"/>
        <v>1.5454588315934743</v>
      </c>
      <c r="S92" s="126">
        <f t="shared" si="10"/>
        <v>1.6004880324505746</v>
      </c>
      <c r="T92" s="126">
        <f t="shared" si="10"/>
        <v>1.6588588824988952</v>
      </c>
      <c r="U92" s="126">
        <f t="shared" si="10"/>
        <v>1.7103843785107904</v>
      </c>
      <c r="V92" s="126">
        <f t="shared" si="10"/>
        <v>1.7666634530977203</v>
      </c>
      <c r="W92" s="126">
        <f t="shared" si="10"/>
        <v>1.8334116865842311</v>
      </c>
      <c r="X92" s="126">
        <f t="shared" si="10"/>
        <v>1.8897489329269912</v>
      </c>
      <c r="Y92" s="126">
        <f t="shared" si="10"/>
        <v>1.950095764620966</v>
      </c>
      <c r="Z92" s="126">
        <f t="shared" si="10"/>
        <v>2.0158149215349606</v>
      </c>
      <c r="AA92" s="126">
        <f t="shared" si="10"/>
        <v>2.0889864244472593</v>
      </c>
      <c r="AB92" s="126">
        <f t="shared" si="10"/>
        <v>2.1554146919618637</v>
      </c>
      <c r="AC92" s="126">
        <f t="shared" si="10"/>
        <v>2.2242744938311541</v>
      </c>
      <c r="AD92" s="126">
        <f t="shared" si="10"/>
        <v>2.2915602804761761</v>
      </c>
      <c r="AE92" s="126">
        <f t="shared" si="10"/>
        <v>2.3684041749283242</v>
      </c>
      <c r="AF92" s="126">
        <f t="shared" si="10"/>
        <v>2.4482734142993827</v>
      </c>
      <c r="AG92" s="126"/>
      <c r="AH92" s="126"/>
      <c r="AI92" s="126"/>
      <c r="AJ92" s="126"/>
      <c r="AK92" s="126"/>
      <c r="AL92" s="126"/>
      <c r="AM92" s="126"/>
      <c r="AN92" s="126"/>
    </row>
    <row r="93" spans="1:40">
      <c r="A93" s="132" t="s">
        <v>113</v>
      </c>
      <c r="B93" s="126">
        <f t="shared" ref="B93:AF93" si="11">C13*(C53/SUMIF($A$42:$A$79,$A93,C$42:C$79))</f>
        <v>2.288456599521735</v>
      </c>
      <c r="C93" s="126">
        <f t="shared" si="11"/>
        <v>2.2670162120814501</v>
      </c>
      <c r="D93" s="126">
        <f t="shared" si="11"/>
        <v>2.628999552023886</v>
      </c>
      <c r="E93" s="126">
        <f t="shared" si="11"/>
        <v>2.8690323909477167</v>
      </c>
      <c r="F93" s="126">
        <f t="shared" si="11"/>
        <v>3.0205754405942362</v>
      </c>
      <c r="G93" s="126">
        <f t="shared" si="11"/>
        <v>3.1028137522430157</v>
      </c>
      <c r="H93" s="126">
        <f t="shared" si="11"/>
        <v>3.1216811976914625</v>
      </c>
      <c r="I93" s="126">
        <f t="shared" si="11"/>
        <v>3.1063360533432882</v>
      </c>
      <c r="J93" s="126">
        <f t="shared" si="11"/>
        <v>3.0971934743368905</v>
      </c>
      <c r="K93" s="126">
        <f t="shared" si="11"/>
        <v>3.0730752982708198</v>
      </c>
      <c r="L93" s="126">
        <f t="shared" si="11"/>
        <v>3.086298102345542</v>
      </c>
      <c r="M93" s="126">
        <f t="shared" si="11"/>
        <v>3.1025650406466663</v>
      </c>
      <c r="N93" s="126">
        <f t="shared" si="11"/>
        <v>3.0872854455059957</v>
      </c>
      <c r="O93" s="126">
        <f t="shared" si="11"/>
        <v>3.0854236006788054</v>
      </c>
      <c r="P93" s="126">
        <f t="shared" si="11"/>
        <v>3.0937488517798575</v>
      </c>
      <c r="Q93" s="126">
        <f t="shared" si="11"/>
        <v>3.0807058346489944</v>
      </c>
      <c r="R93" s="126">
        <f t="shared" si="11"/>
        <v>3.0421535769722188</v>
      </c>
      <c r="S93" s="126">
        <f t="shared" si="11"/>
        <v>3.0248053513058553</v>
      </c>
      <c r="T93" s="126">
        <f t="shared" si="11"/>
        <v>3.0175000589482597</v>
      </c>
      <c r="U93" s="126">
        <f t="shared" si="11"/>
        <v>2.9981888271202419</v>
      </c>
      <c r="V93" s="126">
        <f t="shared" si="11"/>
        <v>2.9778717197273332</v>
      </c>
      <c r="W93" s="126">
        <f t="shared" si="11"/>
        <v>2.9667929927202139</v>
      </c>
      <c r="X93" s="126">
        <f t="shared" si="11"/>
        <v>2.9522753044040235</v>
      </c>
      <c r="Y93" s="126">
        <f t="shared" si="11"/>
        <v>2.9372240216146563</v>
      </c>
      <c r="Z93" s="126">
        <f t="shared" si="11"/>
        <v>2.9289915207844168</v>
      </c>
      <c r="AA93" s="126">
        <f t="shared" si="11"/>
        <v>2.9269942382739464</v>
      </c>
      <c r="AB93" s="126">
        <f t="shared" si="11"/>
        <v>2.9177906074885742</v>
      </c>
      <c r="AC93" s="126">
        <f t="shared" si="11"/>
        <v>2.9033080769640565</v>
      </c>
      <c r="AD93" s="126">
        <f t="shared" si="11"/>
        <v>2.8875897418293892</v>
      </c>
      <c r="AE93" s="126">
        <f t="shared" si="11"/>
        <v>2.8759991222721348</v>
      </c>
      <c r="AF93" s="126">
        <f t="shared" si="11"/>
        <v>2.8715998198485808</v>
      </c>
      <c r="AG93" s="126"/>
      <c r="AH93" s="126"/>
      <c r="AI93" s="126"/>
      <c r="AJ93" s="126"/>
      <c r="AK93" s="126"/>
      <c r="AL93" s="126"/>
      <c r="AM93" s="126"/>
      <c r="AN93" s="126"/>
    </row>
    <row r="94" spans="1:40">
      <c r="A94" s="132" t="s">
        <v>113</v>
      </c>
      <c r="B94" s="126">
        <f t="shared" ref="B94:AF94" si="12">C14*(C54/SUMIF($A$42:$A$79,$A94,C$42:C$79))</f>
        <v>11.019743722745169</v>
      </c>
      <c r="C94" s="126">
        <f t="shared" si="12"/>
        <v>11.19734405130896</v>
      </c>
      <c r="D94" s="126">
        <f t="shared" si="12"/>
        <v>11.761287368345037</v>
      </c>
      <c r="E94" s="126">
        <f t="shared" si="12"/>
        <v>11.754819359437295</v>
      </c>
      <c r="F94" s="126">
        <f t="shared" si="12"/>
        <v>11.62822223957988</v>
      </c>
      <c r="G94" s="126">
        <f t="shared" si="12"/>
        <v>11.556328849597898</v>
      </c>
      <c r="H94" s="126">
        <f t="shared" si="12"/>
        <v>11.566748738302348</v>
      </c>
      <c r="I94" s="126">
        <f t="shared" si="12"/>
        <v>11.566995113034491</v>
      </c>
      <c r="J94" s="126">
        <f t="shared" si="12"/>
        <v>11.571312463742963</v>
      </c>
      <c r="K94" s="126">
        <f t="shared" si="12"/>
        <v>11.602577356484664</v>
      </c>
      <c r="L94" s="126">
        <f t="shared" si="12"/>
        <v>11.800032229024403</v>
      </c>
      <c r="M94" s="126">
        <f t="shared" si="12"/>
        <v>11.821409066115258</v>
      </c>
      <c r="N94" s="126">
        <f t="shared" si="12"/>
        <v>11.847135868433432</v>
      </c>
      <c r="O94" s="126">
        <f t="shared" si="12"/>
        <v>11.875973304627591</v>
      </c>
      <c r="P94" s="126">
        <f t="shared" si="12"/>
        <v>11.942650961733099</v>
      </c>
      <c r="Q94" s="126">
        <f t="shared" si="12"/>
        <v>11.872554744930742</v>
      </c>
      <c r="R94" s="126">
        <f t="shared" si="12"/>
        <v>11.797902555724848</v>
      </c>
      <c r="S94" s="126">
        <f t="shared" si="12"/>
        <v>11.768528787157368</v>
      </c>
      <c r="T94" s="126">
        <f t="shared" si="12"/>
        <v>11.752670390876807</v>
      </c>
      <c r="U94" s="126">
        <f t="shared" si="12"/>
        <v>11.691192355478309</v>
      </c>
      <c r="V94" s="126">
        <f t="shared" si="12"/>
        <v>11.65318854369667</v>
      </c>
      <c r="W94" s="126">
        <f t="shared" si="12"/>
        <v>11.620426171837096</v>
      </c>
      <c r="X94" s="126">
        <f t="shared" si="12"/>
        <v>11.568625796071771</v>
      </c>
      <c r="Y94" s="126">
        <f t="shared" si="12"/>
        <v>11.525694559663696</v>
      </c>
      <c r="Z94" s="126">
        <f t="shared" si="12"/>
        <v>11.499594023817208</v>
      </c>
      <c r="AA94" s="126">
        <f t="shared" si="12"/>
        <v>11.495866389275927</v>
      </c>
      <c r="AB94" s="126">
        <f t="shared" si="12"/>
        <v>11.455657751976418</v>
      </c>
      <c r="AC94" s="126">
        <f t="shared" si="12"/>
        <v>11.414264205391442</v>
      </c>
      <c r="AD94" s="126">
        <f t="shared" si="12"/>
        <v>11.358955049440514</v>
      </c>
      <c r="AE94" s="126">
        <f t="shared" si="12"/>
        <v>11.330173639609958</v>
      </c>
      <c r="AF94" s="126">
        <f t="shared" si="12"/>
        <v>11.304511218513062</v>
      </c>
      <c r="AG94" s="126"/>
      <c r="AH94" s="126"/>
      <c r="AI94" s="126"/>
      <c r="AJ94" s="126"/>
      <c r="AK94" s="126"/>
      <c r="AL94" s="126"/>
      <c r="AM94" s="126"/>
      <c r="AN94" s="126"/>
    </row>
    <row r="95" spans="1:40">
      <c r="A95" s="132" t="s">
        <v>853</v>
      </c>
      <c r="B95" s="126">
        <f t="shared" ref="B95:AF95" si="13">C15*(C55/SUMIF($A$42:$A$79,$A95,C$42:C$79))</f>
        <v>3.5240018274681857</v>
      </c>
      <c r="C95" s="126">
        <f t="shared" si="13"/>
        <v>3.0643717206971757</v>
      </c>
      <c r="D95" s="126">
        <f t="shared" si="13"/>
        <v>3.3924153335630223</v>
      </c>
      <c r="E95" s="126">
        <f t="shared" si="13"/>
        <v>3.4909472851576075</v>
      </c>
      <c r="F95" s="126">
        <f t="shared" si="13"/>
        <v>3.4567233416335803</v>
      </c>
      <c r="G95" s="126">
        <f t="shared" si="13"/>
        <v>3.438858242308545</v>
      </c>
      <c r="H95" s="126">
        <f t="shared" si="13"/>
        <v>3.4307876273860436</v>
      </c>
      <c r="I95" s="126">
        <f t="shared" si="13"/>
        <v>3.425705879880192</v>
      </c>
      <c r="J95" s="126">
        <f t="shared" si="13"/>
        <v>3.4483317060048631</v>
      </c>
      <c r="K95" s="126">
        <f t="shared" si="13"/>
        <v>3.4652227570767953</v>
      </c>
      <c r="L95" s="126">
        <f t="shared" si="13"/>
        <v>3.5136588333633179</v>
      </c>
      <c r="M95" s="126">
        <f t="shared" si="13"/>
        <v>3.6033695767750644</v>
      </c>
      <c r="N95" s="126">
        <f t="shared" si="13"/>
        <v>3.6034258741386243</v>
      </c>
      <c r="O95" s="126">
        <f t="shared" si="13"/>
        <v>3.6330403500569695</v>
      </c>
      <c r="P95" s="126">
        <f t="shared" si="13"/>
        <v>3.6573813314641686</v>
      </c>
      <c r="Q95" s="126">
        <f t="shared" si="13"/>
        <v>3.6769903190009385</v>
      </c>
      <c r="R95" s="126">
        <f t="shared" si="13"/>
        <v>3.641638502601257</v>
      </c>
      <c r="S95" s="126">
        <f t="shared" si="13"/>
        <v>3.6266626017413177</v>
      </c>
      <c r="T95" s="126">
        <f t="shared" si="13"/>
        <v>3.6277206909346806</v>
      </c>
      <c r="U95" s="126">
        <f t="shared" si="13"/>
        <v>3.6238341561085874</v>
      </c>
      <c r="V95" s="126">
        <f t="shared" si="13"/>
        <v>3.6078699690893048</v>
      </c>
      <c r="W95" s="126">
        <f t="shared" si="13"/>
        <v>3.6077444144184958</v>
      </c>
      <c r="X95" s="126">
        <f t="shared" si="13"/>
        <v>3.6036239802443615</v>
      </c>
      <c r="Y95" s="126">
        <f t="shared" si="13"/>
        <v>3.594944782004017</v>
      </c>
      <c r="Z95" s="126">
        <f t="shared" si="13"/>
        <v>3.592038296153321</v>
      </c>
      <c r="AA95" s="126">
        <f t="shared" si="13"/>
        <v>3.5960493749862863</v>
      </c>
      <c r="AB95" s="126">
        <f t="shared" si="13"/>
        <v>3.598628563574056</v>
      </c>
      <c r="AC95" s="126">
        <f t="shared" si="13"/>
        <v>3.5840438832188242</v>
      </c>
      <c r="AD95" s="126">
        <f t="shared" si="13"/>
        <v>3.5724235260647936</v>
      </c>
      <c r="AE95" s="126">
        <f t="shared" si="13"/>
        <v>3.5522667585653527</v>
      </c>
      <c r="AF95" s="126">
        <f t="shared" si="13"/>
        <v>3.5483551195836647</v>
      </c>
      <c r="AG95" s="126"/>
      <c r="AH95" s="126"/>
      <c r="AI95" s="126"/>
      <c r="AJ95" s="126"/>
      <c r="AK95" s="126"/>
      <c r="AL95" s="126"/>
      <c r="AM95" s="126"/>
      <c r="AN95" s="126"/>
    </row>
    <row r="96" spans="1:40">
      <c r="A96" s="132" t="s">
        <v>853</v>
      </c>
      <c r="B96" s="126">
        <f t="shared" ref="B96:AF96" si="14">C16*(C56/SUMIF($A$42:$A$79,$A96,C$42:C$79))</f>
        <v>4.6921097342508986</v>
      </c>
      <c r="C96" s="126">
        <f t="shared" si="14"/>
        <v>4.7437391043607393</v>
      </c>
      <c r="D96" s="126">
        <f t="shared" si="14"/>
        <v>5.0293872697467101</v>
      </c>
      <c r="E96" s="126">
        <f t="shared" si="14"/>
        <v>5.0247548139848792</v>
      </c>
      <c r="F96" s="126">
        <f t="shared" si="14"/>
        <v>4.9724192332967068</v>
      </c>
      <c r="G96" s="126">
        <f t="shared" si="14"/>
        <v>4.9387004242860142</v>
      </c>
      <c r="H96" s="126">
        <f t="shared" si="14"/>
        <v>4.9280319093168554</v>
      </c>
      <c r="I96" s="126">
        <f t="shared" si="14"/>
        <v>4.9102824840692936</v>
      </c>
      <c r="J96" s="126">
        <f t="shared" si="14"/>
        <v>4.8980981022746644</v>
      </c>
      <c r="K96" s="126">
        <f t="shared" si="14"/>
        <v>4.8943309645155395</v>
      </c>
      <c r="L96" s="126">
        <f t="shared" si="14"/>
        <v>4.9803753334822423</v>
      </c>
      <c r="M96" s="126">
        <f t="shared" si="14"/>
        <v>4.9769392447207874</v>
      </c>
      <c r="N96" s="126">
        <f t="shared" si="14"/>
        <v>4.9746091932422756</v>
      </c>
      <c r="O96" s="126">
        <f t="shared" si="14"/>
        <v>4.9718222797992553</v>
      </c>
      <c r="P96" s="126">
        <f t="shared" si="14"/>
        <v>4.9837759402554713</v>
      </c>
      <c r="Q96" s="126">
        <f t="shared" si="14"/>
        <v>4.9334292168446288</v>
      </c>
      <c r="R96" s="126">
        <f t="shared" si="14"/>
        <v>4.8823583102644728</v>
      </c>
      <c r="S96" s="126">
        <f t="shared" si="14"/>
        <v>4.8514909784872104</v>
      </c>
      <c r="T96" s="126">
        <f t="shared" si="14"/>
        <v>4.8249978227059422</v>
      </c>
      <c r="U96" s="126">
        <f t="shared" si="14"/>
        <v>4.776479797885492</v>
      </c>
      <c r="V96" s="126">
        <f t="shared" si="14"/>
        <v>4.7374445283747502</v>
      </c>
      <c r="W96" s="126">
        <f t="shared" si="14"/>
        <v>4.7003925549753172</v>
      </c>
      <c r="X96" s="126">
        <f t="shared" si="14"/>
        <v>4.6557219988666709</v>
      </c>
      <c r="Y96" s="126">
        <f t="shared" si="14"/>
        <v>4.6114743344352576</v>
      </c>
      <c r="Z96" s="126">
        <f t="shared" si="14"/>
        <v>4.575626614377696</v>
      </c>
      <c r="AA96" s="126">
        <f t="shared" si="14"/>
        <v>4.5464349105887107</v>
      </c>
      <c r="AB96" s="126">
        <f t="shared" si="14"/>
        <v>4.5040091500831956</v>
      </c>
      <c r="AC96" s="126">
        <f t="shared" si="14"/>
        <v>4.4610702531929824</v>
      </c>
      <c r="AD96" s="126">
        <f t="shared" si="14"/>
        <v>4.4129154940946593</v>
      </c>
      <c r="AE96" s="126">
        <f t="shared" si="14"/>
        <v>4.3737426381036881</v>
      </c>
      <c r="AF96" s="126">
        <f t="shared" si="14"/>
        <v>4.334966339725014</v>
      </c>
      <c r="AG96" s="126"/>
      <c r="AH96" s="126"/>
      <c r="AI96" s="126"/>
      <c r="AJ96" s="126"/>
      <c r="AK96" s="126"/>
      <c r="AL96" s="126"/>
      <c r="AM96" s="126"/>
      <c r="AN96" s="126"/>
    </row>
    <row r="97" spans="1:40">
      <c r="A97" s="132" t="s">
        <v>854</v>
      </c>
      <c r="B97" s="126">
        <f t="shared" ref="B97:AF97" si="15">C17*(C57/SUMIF($A$42:$A$79,$A97,C$42:C$79))</f>
        <v>0</v>
      </c>
      <c r="C97" s="126">
        <f t="shared" si="15"/>
        <v>0</v>
      </c>
      <c r="D97" s="126">
        <f t="shared" si="15"/>
        <v>0</v>
      </c>
      <c r="E97" s="126">
        <f t="shared" si="15"/>
        <v>0</v>
      </c>
      <c r="F97" s="126">
        <f t="shared" si="15"/>
        <v>0</v>
      </c>
      <c r="G97" s="126">
        <f t="shared" si="15"/>
        <v>0</v>
      </c>
      <c r="H97" s="126">
        <f t="shared" si="15"/>
        <v>0</v>
      </c>
      <c r="I97" s="126">
        <f t="shared" si="15"/>
        <v>0</v>
      </c>
      <c r="J97" s="126">
        <f t="shared" si="15"/>
        <v>0</v>
      </c>
      <c r="K97" s="126">
        <f t="shared" si="15"/>
        <v>0</v>
      </c>
      <c r="L97" s="126">
        <f t="shared" si="15"/>
        <v>0</v>
      </c>
      <c r="M97" s="126">
        <f t="shared" si="15"/>
        <v>0</v>
      </c>
      <c r="N97" s="126">
        <f t="shared" si="15"/>
        <v>0</v>
      </c>
      <c r="O97" s="126">
        <f t="shared" si="15"/>
        <v>0</v>
      </c>
      <c r="P97" s="126">
        <f t="shared" si="15"/>
        <v>0</v>
      </c>
      <c r="Q97" s="126">
        <f t="shared" si="15"/>
        <v>0</v>
      </c>
      <c r="R97" s="126">
        <f t="shared" si="15"/>
        <v>0</v>
      </c>
      <c r="S97" s="126">
        <f t="shared" si="15"/>
        <v>0</v>
      </c>
      <c r="T97" s="126">
        <f t="shared" si="15"/>
        <v>0</v>
      </c>
      <c r="U97" s="126">
        <f t="shared" si="15"/>
        <v>0</v>
      </c>
      <c r="V97" s="126">
        <f t="shared" si="15"/>
        <v>0</v>
      </c>
      <c r="W97" s="126">
        <f t="shared" si="15"/>
        <v>0</v>
      </c>
      <c r="X97" s="126">
        <f t="shared" si="15"/>
        <v>0</v>
      </c>
      <c r="Y97" s="126">
        <f t="shared" si="15"/>
        <v>0</v>
      </c>
      <c r="Z97" s="126">
        <f t="shared" si="15"/>
        <v>0</v>
      </c>
      <c r="AA97" s="126">
        <f t="shared" si="15"/>
        <v>0</v>
      </c>
      <c r="AB97" s="126">
        <f t="shared" si="15"/>
        <v>0</v>
      </c>
      <c r="AC97" s="126">
        <f t="shared" si="15"/>
        <v>0</v>
      </c>
      <c r="AD97" s="126">
        <f t="shared" si="15"/>
        <v>0</v>
      </c>
      <c r="AE97" s="126">
        <f t="shared" si="15"/>
        <v>0</v>
      </c>
      <c r="AF97" s="126">
        <f t="shared" si="15"/>
        <v>0</v>
      </c>
      <c r="AG97" s="126"/>
      <c r="AH97" s="126"/>
      <c r="AI97" s="126"/>
      <c r="AJ97" s="126"/>
      <c r="AK97" s="126"/>
      <c r="AL97" s="126"/>
      <c r="AM97" s="126"/>
      <c r="AN97" s="126"/>
    </row>
    <row r="98" spans="1:40">
      <c r="A98" s="132" t="s">
        <v>854</v>
      </c>
      <c r="B98" s="126">
        <f t="shared" ref="B98:AF98" si="16">C18*(C58/SUMIF($A$42:$A$79,$A98,C$42:C$79))</f>
        <v>50.910557588043055</v>
      </c>
      <c r="C98" s="126">
        <f t="shared" si="16"/>
        <v>50.25323871894534</v>
      </c>
      <c r="D98" s="126">
        <f t="shared" si="16"/>
        <v>49.92799335667776</v>
      </c>
      <c r="E98" s="126">
        <f t="shared" si="16"/>
        <v>49.58088299402327</v>
      </c>
      <c r="F98" s="126">
        <f t="shared" si="16"/>
        <v>49.272230191131598</v>
      </c>
      <c r="G98" s="126">
        <f t="shared" si="16"/>
        <v>48.896680561383732</v>
      </c>
      <c r="H98" s="126">
        <f t="shared" si="16"/>
        <v>48.693495600139755</v>
      </c>
      <c r="I98" s="126">
        <f t="shared" si="16"/>
        <v>48.288100141070032</v>
      </c>
      <c r="J98" s="126">
        <f t="shared" si="16"/>
        <v>47.928552096049252</v>
      </c>
      <c r="K98" s="126">
        <f t="shared" si="16"/>
        <v>47.546250891237925</v>
      </c>
      <c r="L98" s="126">
        <f t="shared" si="16"/>
        <v>47.249853001478861</v>
      </c>
      <c r="M98" s="126">
        <f t="shared" si="16"/>
        <v>46.883739006792105</v>
      </c>
      <c r="N98" s="126">
        <f t="shared" si="16"/>
        <v>46.512510701101903</v>
      </c>
      <c r="O98" s="126">
        <f t="shared" si="16"/>
        <v>46.156732824055545</v>
      </c>
      <c r="P98" s="126">
        <f t="shared" si="16"/>
        <v>45.846830880824868</v>
      </c>
      <c r="Q98" s="126">
        <f t="shared" si="16"/>
        <v>45.485973839000273</v>
      </c>
      <c r="R98" s="126">
        <f t="shared" si="16"/>
        <v>45.132288765067635</v>
      </c>
      <c r="S98" s="126">
        <f t="shared" si="16"/>
        <v>44.838652271408691</v>
      </c>
      <c r="T98" s="126">
        <f t="shared" si="16"/>
        <v>44.586010138501912</v>
      </c>
      <c r="U98" s="126">
        <f t="shared" si="16"/>
        <v>44.33432336232066</v>
      </c>
      <c r="V98" s="126">
        <f t="shared" si="16"/>
        <v>44.112376660943454</v>
      </c>
      <c r="W98" s="126">
        <f t="shared" si="16"/>
        <v>43.922128332545057</v>
      </c>
      <c r="X98" s="126">
        <f t="shared" si="16"/>
        <v>43.73914778387401</v>
      </c>
      <c r="Y98" s="126">
        <f t="shared" si="16"/>
        <v>43.572053437005799</v>
      </c>
      <c r="Z98" s="126">
        <f t="shared" si="16"/>
        <v>43.430183831244854</v>
      </c>
      <c r="AA98" s="126">
        <f t="shared" si="16"/>
        <v>43.314618995459554</v>
      </c>
      <c r="AB98" s="126">
        <f t="shared" si="16"/>
        <v>43.19195665527765</v>
      </c>
      <c r="AC98" s="126">
        <f t="shared" si="16"/>
        <v>43.066792794974297</v>
      </c>
      <c r="AD98" s="126">
        <f t="shared" si="16"/>
        <v>42.952284195712217</v>
      </c>
      <c r="AE98" s="126">
        <f t="shared" si="16"/>
        <v>42.848006970974851</v>
      </c>
      <c r="AF98" s="126">
        <f t="shared" si="16"/>
        <v>42.772525051465742</v>
      </c>
      <c r="AG98" s="126"/>
      <c r="AH98" s="126"/>
      <c r="AI98" s="126"/>
      <c r="AJ98" s="126"/>
      <c r="AK98" s="126"/>
      <c r="AL98" s="126"/>
      <c r="AM98" s="126"/>
      <c r="AN98" s="126"/>
    </row>
    <row r="99" spans="1:40">
      <c r="A99" s="132"/>
      <c r="B99" s="126" t="e">
        <f t="shared" ref="B99:AF99" si="17">C19*(C59/SUMIF($A$42:$A$79,$A99,C$42:C$79))</f>
        <v>#DIV/0!</v>
      </c>
      <c r="C99" s="126" t="e">
        <f t="shared" si="17"/>
        <v>#DIV/0!</v>
      </c>
      <c r="D99" s="126" t="e">
        <f t="shared" si="17"/>
        <v>#DIV/0!</v>
      </c>
      <c r="E99" s="126" t="e">
        <f t="shared" si="17"/>
        <v>#DIV/0!</v>
      </c>
      <c r="F99" s="126" t="e">
        <f t="shared" si="17"/>
        <v>#DIV/0!</v>
      </c>
      <c r="G99" s="126" t="e">
        <f t="shared" si="17"/>
        <v>#DIV/0!</v>
      </c>
      <c r="H99" s="126" t="e">
        <f t="shared" si="17"/>
        <v>#DIV/0!</v>
      </c>
      <c r="I99" s="126" t="e">
        <f t="shared" si="17"/>
        <v>#DIV/0!</v>
      </c>
      <c r="J99" s="126" t="e">
        <f t="shared" si="17"/>
        <v>#DIV/0!</v>
      </c>
      <c r="K99" s="126" t="e">
        <f t="shared" si="17"/>
        <v>#DIV/0!</v>
      </c>
      <c r="L99" s="126" t="e">
        <f t="shared" si="17"/>
        <v>#DIV/0!</v>
      </c>
      <c r="M99" s="126" t="e">
        <f t="shared" si="17"/>
        <v>#DIV/0!</v>
      </c>
      <c r="N99" s="126" t="e">
        <f t="shared" si="17"/>
        <v>#DIV/0!</v>
      </c>
      <c r="O99" s="126" t="e">
        <f t="shared" si="17"/>
        <v>#DIV/0!</v>
      </c>
      <c r="P99" s="126" t="e">
        <f t="shared" si="17"/>
        <v>#DIV/0!</v>
      </c>
      <c r="Q99" s="126" t="e">
        <f t="shared" si="17"/>
        <v>#DIV/0!</v>
      </c>
      <c r="R99" s="126" t="e">
        <f t="shared" si="17"/>
        <v>#DIV/0!</v>
      </c>
      <c r="S99" s="126" t="e">
        <f t="shared" si="17"/>
        <v>#DIV/0!</v>
      </c>
      <c r="T99" s="126" t="e">
        <f t="shared" si="17"/>
        <v>#DIV/0!</v>
      </c>
      <c r="U99" s="126" t="e">
        <f t="shared" si="17"/>
        <v>#DIV/0!</v>
      </c>
      <c r="V99" s="126" t="e">
        <f t="shared" si="17"/>
        <v>#DIV/0!</v>
      </c>
      <c r="W99" s="126" t="e">
        <f t="shared" si="17"/>
        <v>#DIV/0!</v>
      </c>
      <c r="X99" s="126" t="e">
        <f t="shared" si="17"/>
        <v>#DIV/0!</v>
      </c>
      <c r="Y99" s="126" t="e">
        <f t="shared" si="17"/>
        <v>#DIV/0!</v>
      </c>
      <c r="Z99" s="126" t="e">
        <f t="shared" si="17"/>
        <v>#DIV/0!</v>
      </c>
      <c r="AA99" s="126" t="e">
        <f t="shared" si="17"/>
        <v>#DIV/0!</v>
      </c>
      <c r="AB99" s="126" t="e">
        <f t="shared" si="17"/>
        <v>#DIV/0!</v>
      </c>
      <c r="AC99" s="126" t="e">
        <f t="shared" si="17"/>
        <v>#DIV/0!</v>
      </c>
      <c r="AD99" s="126" t="e">
        <f t="shared" si="17"/>
        <v>#DIV/0!</v>
      </c>
      <c r="AE99" s="126" t="e">
        <f t="shared" si="17"/>
        <v>#DIV/0!</v>
      </c>
      <c r="AF99" s="126" t="e">
        <f t="shared" si="17"/>
        <v>#DIV/0!</v>
      </c>
      <c r="AG99" s="126"/>
      <c r="AH99" s="126"/>
      <c r="AI99" s="126"/>
      <c r="AJ99" s="126"/>
      <c r="AK99" s="126"/>
      <c r="AL99" s="126"/>
      <c r="AM99" s="126"/>
      <c r="AN99" s="126"/>
    </row>
    <row r="100" spans="1:40">
      <c r="A100" s="132"/>
      <c r="B100" s="126" t="e">
        <f t="shared" ref="B100:AF100" si="18">C20*(C60/SUMIF($A$42:$A$79,$A100,C$42:C$79))</f>
        <v>#N/A</v>
      </c>
      <c r="C100" s="126" t="e">
        <f t="shared" si="18"/>
        <v>#N/A</v>
      </c>
      <c r="D100" s="126" t="e">
        <f t="shared" si="18"/>
        <v>#N/A</v>
      </c>
      <c r="E100" s="126" t="e">
        <f t="shared" si="18"/>
        <v>#N/A</v>
      </c>
      <c r="F100" s="126" t="e">
        <f t="shared" si="18"/>
        <v>#N/A</v>
      </c>
      <c r="G100" s="126" t="e">
        <f t="shared" si="18"/>
        <v>#N/A</v>
      </c>
      <c r="H100" s="126" t="e">
        <f t="shared" si="18"/>
        <v>#N/A</v>
      </c>
      <c r="I100" s="126" t="e">
        <f t="shared" si="18"/>
        <v>#N/A</v>
      </c>
      <c r="J100" s="126" t="e">
        <f t="shared" si="18"/>
        <v>#N/A</v>
      </c>
      <c r="K100" s="126" t="e">
        <f t="shared" si="18"/>
        <v>#N/A</v>
      </c>
      <c r="L100" s="126" t="e">
        <f t="shared" si="18"/>
        <v>#N/A</v>
      </c>
      <c r="M100" s="126" t="e">
        <f t="shared" si="18"/>
        <v>#N/A</v>
      </c>
      <c r="N100" s="126" t="e">
        <f t="shared" si="18"/>
        <v>#N/A</v>
      </c>
      <c r="O100" s="126" t="e">
        <f t="shared" si="18"/>
        <v>#N/A</v>
      </c>
      <c r="P100" s="126" t="e">
        <f t="shared" si="18"/>
        <v>#N/A</v>
      </c>
      <c r="Q100" s="126" t="e">
        <f t="shared" si="18"/>
        <v>#N/A</v>
      </c>
      <c r="R100" s="126" t="e">
        <f t="shared" si="18"/>
        <v>#N/A</v>
      </c>
      <c r="S100" s="126" t="e">
        <f t="shared" si="18"/>
        <v>#N/A</v>
      </c>
      <c r="T100" s="126" t="e">
        <f t="shared" si="18"/>
        <v>#N/A</v>
      </c>
      <c r="U100" s="126" t="e">
        <f t="shared" si="18"/>
        <v>#N/A</v>
      </c>
      <c r="V100" s="126" t="e">
        <f t="shared" si="18"/>
        <v>#N/A</v>
      </c>
      <c r="W100" s="126" t="e">
        <f t="shared" si="18"/>
        <v>#N/A</v>
      </c>
      <c r="X100" s="126" t="e">
        <f t="shared" si="18"/>
        <v>#N/A</v>
      </c>
      <c r="Y100" s="126" t="e">
        <f t="shared" si="18"/>
        <v>#N/A</v>
      </c>
      <c r="Z100" s="126" t="e">
        <f t="shared" si="18"/>
        <v>#N/A</v>
      </c>
      <c r="AA100" s="126" t="e">
        <f t="shared" si="18"/>
        <v>#N/A</v>
      </c>
      <c r="AB100" s="126" t="e">
        <f t="shared" si="18"/>
        <v>#N/A</v>
      </c>
      <c r="AC100" s="126" t="e">
        <f t="shared" si="18"/>
        <v>#N/A</v>
      </c>
      <c r="AD100" s="126" t="e">
        <f t="shared" si="18"/>
        <v>#N/A</v>
      </c>
      <c r="AE100" s="126" t="e">
        <f t="shared" si="18"/>
        <v>#N/A</v>
      </c>
      <c r="AF100" s="126" t="e">
        <f t="shared" si="18"/>
        <v>#N/A</v>
      </c>
      <c r="AG100" s="126"/>
      <c r="AH100" s="126"/>
      <c r="AI100" s="126"/>
      <c r="AJ100" s="126"/>
      <c r="AK100" s="126"/>
      <c r="AL100" s="126"/>
      <c r="AM100" s="126"/>
      <c r="AN100" s="126"/>
    </row>
    <row r="101" spans="1:40">
      <c r="A101" s="132"/>
      <c r="B101" s="126" t="e">
        <f t="shared" ref="B101:AF101" si="19">C21*(C61/SUMIF($A$42:$A$79,$A101,C$42:C$79))</f>
        <v>#N/A</v>
      </c>
      <c r="C101" s="126" t="e">
        <f t="shared" si="19"/>
        <v>#N/A</v>
      </c>
      <c r="D101" s="126" t="e">
        <f t="shared" si="19"/>
        <v>#N/A</v>
      </c>
      <c r="E101" s="126" t="e">
        <f t="shared" si="19"/>
        <v>#N/A</v>
      </c>
      <c r="F101" s="126" t="e">
        <f t="shared" si="19"/>
        <v>#N/A</v>
      </c>
      <c r="G101" s="126" t="e">
        <f t="shared" si="19"/>
        <v>#N/A</v>
      </c>
      <c r="H101" s="126" t="e">
        <f t="shared" si="19"/>
        <v>#N/A</v>
      </c>
      <c r="I101" s="126" t="e">
        <f t="shared" si="19"/>
        <v>#N/A</v>
      </c>
      <c r="J101" s="126" t="e">
        <f t="shared" si="19"/>
        <v>#N/A</v>
      </c>
      <c r="K101" s="126" t="e">
        <f t="shared" si="19"/>
        <v>#N/A</v>
      </c>
      <c r="L101" s="126" t="e">
        <f t="shared" si="19"/>
        <v>#N/A</v>
      </c>
      <c r="M101" s="126" t="e">
        <f t="shared" si="19"/>
        <v>#N/A</v>
      </c>
      <c r="N101" s="126" t="e">
        <f t="shared" si="19"/>
        <v>#N/A</v>
      </c>
      <c r="O101" s="126" t="e">
        <f t="shared" si="19"/>
        <v>#N/A</v>
      </c>
      <c r="P101" s="126" t="e">
        <f t="shared" si="19"/>
        <v>#N/A</v>
      </c>
      <c r="Q101" s="126" t="e">
        <f t="shared" si="19"/>
        <v>#N/A</v>
      </c>
      <c r="R101" s="126" t="e">
        <f t="shared" si="19"/>
        <v>#N/A</v>
      </c>
      <c r="S101" s="126" t="e">
        <f t="shared" si="19"/>
        <v>#N/A</v>
      </c>
      <c r="T101" s="126" t="e">
        <f t="shared" si="19"/>
        <v>#N/A</v>
      </c>
      <c r="U101" s="126" t="e">
        <f t="shared" si="19"/>
        <v>#N/A</v>
      </c>
      <c r="V101" s="126" t="e">
        <f t="shared" si="19"/>
        <v>#N/A</v>
      </c>
      <c r="W101" s="126" t="e">
        <f t="shared" si="19"/>
        <v>#N/A</v>
      </c>
      <c r="X101" s="126" t="e">
        <f t="shared" si="19"/>
        <v>#N/A</v>
      </c>
      <c r="Y101" s="126" t="e">
        <f t="shared" si="19"/>
        <v>#N/A</v>
      </c>
      <c r="Z101" s="126" t="e">
        <f t="shared" si="19"/>
        <v>#N/A</v>
      </c>
      <c r="AA101" s="126" t="e">
        <f t="shared" si="19"/>
        <v>#N/A</v>
      </c>
      <c r="AB101" s="126" t="e">
        <f t="shared" si="19"/>
        <v>#N/A</v>
      </c>
      <c r="AC101" s="126" t="e">
        <f t="shared" si="19"/>
        <v>#N/A</v>
      </c>
      <c r="AD101" s="126" t="e">
        <f t="shared" si="19"/>
        <v>#N/A</v>
      </c>
      <c r="AE101" s="126" t="e">
        <f t="shared" si="19"/>
        <v>#N/A</v>
      </c>
      <c r="AF101" s="126" t="e">
        <f t="shared" si="19"/>
        <v>#N/A</v>
      </c>
      <c r="AG101" s="126"/>
      <c r="AH101" s="126"/>
      <c r="AI101" s="126"/>
      <c r="AJ101" s="126"/>
      <c r="AK101" s="126"/>
      <c r="AL101" s="126"/>
      <c r="AM101" s="126"/>
      <c r="AN101" s="126"/>
    </row>
    <row r="102" spans="1:40">
      <c r="A102" s="132" t="s">
        <v>114</v>
      </c>
      <c r="B102" s="126">
        <f t="shared" ref="B102:AF102" si="20">C22*(C62/SUMIF($A$42:$A$79,$A102,C$42:C$79))</f>
        <v>16.67312686251169</v>
      </c>
      <c r="C102" s="126">
        <f t="shared" si="20"/>
        <v>17.508680940354164</v>
      </c>
      <c r="D102" s="126">
        <f t="shared" si="20"/>
        <v>17.317249080855429</v>
      </c>
      <c r="E102" s="126">
        <f t="shared" si="20"/>
        <v>17.637035542949704</v>
      </c>
      <c r="F102" s="126">
        <f t="shared" si="20"/>
        <v>17.953887836800416</v>
      </c>
      <c r="G102" s="126">
        <f t="shared" si="20"/>
        <v>18.245792522645182</v>
      </c>
      <c r="H102" s="126">
        <f t="shared" si="20"/>
        <v>18.231573213377821</v>
      </c>
      <c r="I102" s="126">
        <f t="shared" si="20"/>
        <v>18.164485258345135</v>
      </c>
      <c r="J102" s="126">
        <f t="shared" si="20"/>
        <v>18.129813269039978</v>
      </c>
      <c r="K102" s="126">
        <f t="shared" si="20"/>
        <v>18.073451399966011</v>
      </c>
      <c r="L102" s="126">
        <f t="shared" si="20"/>
        <v>17.858104413941799</v>
      </c>
      <c r="M102" s="126">
        <f t="shared" si="20"/>
        <v>17.802032481568606</v>
      </c>
      <c r="N102" s="126">
        <f t="shared" si="20"/>
        <v>17.72809137358287</v>
      </c>
      <c r="O102" s="126">
        <f t="shared" si="20"/>
        <v>17.657906639441538</v>
      </c>
      <c r="P102" s="126">
        <f t="shared" si="20"/>
        <v>17.552482734562375</v>
      </c>
      <c r="Q102" s="126">
        <f t="shared" si="20"/>
        <v>17.572271590526995</v>
      </c>
      <c r="R102" s="126">
        <f t="shared" si="20"/>
        <v>17.58670576030886</v>
      </c>
      <c r="S102" s="126">
        <f t="shared" si="20"/>
        <v>17.566936163656852</v>
      </c>
      <c r="T102" s="126">
        <f t="shared" si="20"/>
        <v>17.545615232414605</v>
      </c>
      <c r="U102" s="126">
        <f t="shared" si="20"/>
        <v>17.554908401113448</v>
      </c>
      <c r="V102" s="126">
        <f t="shared" si="20"/>
        <v>17.549051872305991</v>
      </c>
      <c r="W102" s="126">
        <f t="shared" si="20"/>
        <v>17.537743623907208</v>
      </c>
      <c r="X102" s="126">
        <f t="shared" si="20"/>
        <v>17.544249042037478</v>
      </c>
      <c r="Y102" s="126">
        <f t="shared" si="20"/>
        <v>17.538891193555806</v>
      </c>
      <c r="Z102" s="126">
        <f t="shared" si="20"/>
        <v>17.522269459464692</v>
      </c>
      <c r="AA102" s="126">
        <f t="shared" si="20"/>
        <v>17.483747731864067</v>
      </c>
      <c r="AB102" s="126">
        <f t="shared" si="20"/>
        <v>17.482375603549187</v>
      </c>
      <c r="AC102" s="126">
        <f t="shared" si="20"/>
        <v>17.477166737827517</v>
      </c>
      <c r="AD102" s="126">
        <f t="shared" si="20"/>
        <v>17.482024097285734</v>
      </c>
      <c r="AE102" s="126">
        <f t="shared" si="20"/>
        <v>17.460042102154137</v>
      </c>
      <c r="AF102" s="126">
        <f t="shared" si="20"/>
        <v>17.437733784488213</v>
      </c>
      <c r="AG102" s="126"/>
      <c r="AH102" s="126"/>
      <c r="AI102" s="126"/>
      <c r="AJ102" s="126"/>
      <c r="AK102" s="126"/>
      <c r="AL102" s="126"/>
      <c r="AM102" s="126"/>
      <c r="AN102" s="126"/>
    </row>
    <row r="103" spans="1:40">
      <c r="A103" s="132" t="s">
        <v>115</v>
      </c>
      <c r="B103" s="126">
        <f t="shared" ref="B103:AF103" si="21">C23*(C63/SUMIF($A$42:$A$79,$A103,C$42:C$79))</f>
        <v>37.189564155575901</v>
      </c>
      <c r="C103" s="126">
        <f t="shared" si="21"/>
        <v>38.007599264054541</v>
      </c>
      <c r="D103" s="126">
        <f t="shared" si="21"/>
        <v>38.357459316950411</v>
      </c>
      <c r="E103" s="126">
        <f t="shared" si="21"/>
        <v>38.653404168454216</v>
      </c>
      <c r="F103" s="126">
        <f t="shared" si="21"/>
        <v>38.842478125607798</v>
      </c>
      <c r="G103" s="126">
        <f t="shared" si="21"/>
        <v>39.279551131151059</v>
      </c>
      <c r="H103" s="126">
        <f t="shared" si="21"/>
        <v>39.310372153900992</v>
      </c>
      <c r="I103" s="126">
        <f t="shared" si="21"/>
        <v>39.21400824917469</v>
      </c>
      <c r="J103" s="126">
        <f t="shared" si="21"/>
        <v>39.171363085890405</v>
      </c>
      <c r="K103" s="126">
        <f t="shared" si="21"/>
        <v>39.113165409988248</v>
      </c>
      <c r="L103" s="126">
        <f t="shared" si="21"/>
        <v>39.05406012144654</v>
      </c>
      <c r="M103" s="126">
        <f t="shared" si="21"/>
        <v>38.991691119060576</v>
      </c>
      <c r="N103" s="126">
        <f t="shared" si="21"/>
        <v>38.938899216825753</v>
      </c>
      <c r="O103" s="126">
        <f t="shared" si="21"/>
        <v>38.877895607838084</v>
      </c>
      <c r="P103" s="126">
        <f t="shared" si="21"/>
        <v>38.838447824129659</v>
      </c>
      <c r="Q103" s="126">
        <f t="shared" si="21"/>
        <v>38.78310574880085</v>
      </c>
      <c r="R103" s="126">
        <f t="shared" si="21"/>
        <v>38.746233705598712</v>
      </c>
      <c r="S103" s="126">
        <f t="shared" si="21"/>
        <v>38.705140829099527</v>
      </c>
      <c r="T103" s="126">
        <f t="shared" si="21"/>
        <v>38.665465732834335</v>
      </c>
      <c r="U103" s="126">
        <f t="shared" si="21"/>
        <v>38.637072564597453</v>
      </c>
      <c r="V103" s="126">
        <f t="shared" si="21"/>
        <v>38.591351942872585</v>
      </c>
      <c r="W103" s="126">
        <f t="shared" si="21"/>
        <v>38.560699655877229</v>
      </c>
      <c r="X103" s="126">
        <f t="shared" si="21"/>
        <v>38.526445908081236</v>
      </c>
      <c r="Y103" s="126">
        <f t="shared" si="21"/>
        <v>38.49732023161306</v>
      </c>
      <c r="Z103" s="126">
        <f t="shared" si="21"/>
        <v>38.469046305205843</v>
      </c>
      <c r="AA103" s="126">
        <f t="shared" si="21"/>
        <v>38.446392774316251</v>
      </c>
      <c r="AB103" s="126">
        <f t="shared" si="21"/>
        <v>38.411588520199636</v>
      </c>
      <c r="AC103" s="126">
        <f t="shared" si="21"/>
        <v>38.383572071821632</v>
      </c>
      <c r="AD103" s="126">
        <f t="shared" si="21"/>
        <v>38.354386559950285</v>
      </c>
      <c r="AE103" s="126">
        <f t="shared" si="21"/>
        <v>38.324369599994228</v>
      </c>
      <c r="AF103" s="126">
        <f t="shared" si="21"/>
        <v>38.293358743961434</v>
      </c>
      <c r="AG103" s="126"/>
      <c r="AH103" s="126"/>
      <c r="AI103" s="126"/>
      <c r="AJ103" s="126"/>
      <c r="AK103" s="126"/>
      <c r="AL103" s="126"/>
      <c r="AM103" s="126"/>
      <c r="AN103" s="126"/>
    </row>
    <row r="104" spans="1:40">
      <c r="A104" s="132"/>
      <c r="B104" s="126" t="e">
        <f t="shared" ref="B104:AF104" si="22">C24*(C64/SUMIF($A$42:$A$79,$A104,C$42:C$79))</f>
        <v>#N/A</v>
      </c>
      <c r="C104" s="126" t="e">
        <f t="shared" si="22"/>
        <v>#N/A</v>
      </c>
      <c r="D104" s="126" t="e">
        <f t="shared" si="22"/>
        <v>#N/A</v>
      </c>
      <c r="E104" s="126" t="e">
        <f t="shared" si="22"/>
        <v>#N/A</v>
      </c>
      <c r="F104" s="126" t="e">
        <f t="shared" si="22"/>
        <v>#N/A</v>
      </c>
      <c r="G104" s="126" t="e">
        <f t="shared" si="22"/>
        <v>#N/A</v>
      </c>
      <c r="H104" s="126" t="e">
        <f t="shared" si="22"/>
        <v>#N/A</v>
      </c>
      <c r="I104" s="126" t="e">
        <f t="shared" si="22"/>
        <v>#N/A</v>
      </c>
      <c r="J104" s="126" t="e">
        <f t="shared" si="22"/>
        <v>#N/A</v>
      </c>
      <c r="K104" s="126" t="e">
        <f t="shared" si="22"/>
        <v>#N/A</v>
      </c>
      <c r="L104" s="126" t="e">
        <f t="shared" si="22"/>
        <v>#N/A</v>
      </c>
      <c r="M104" s="126" t="e">
        <f t="shared" si="22"/>
        <v>#N/A</v>
      </c>
      <c r="N104" s="126" t="e">
        <f t="shared" si="22"/>
        <v>#N/A</v>
      </c>
      <c r="O104" s="126" t="e">
        <f t="shared" si="22"/>
        <v>#N/A</v>
      </c>
      <c r="P104" s="126" t="e">
        <f t="shared" si="22"/>
        <v>#N/A</v>
      </c>
      <c r="Q104" s="126" t="e">
        <f t="shared" si="22"/>
        <v>#N/A</v>
      </c>
      <c r="R104" s="126" t="e">
        <f t="shared" si="22"/>
        <v>#N/A</v>
      </c>
      <c r="S104" s="126" t="e">
        <f t="shared" si="22"/>
        <v>#N/A</v>
      </c>
      <c r="T104" s="126" t="e">
        <f t="shared" si="22"/>
        <v>#N/A</v>
      </c>
      <c r="U104" s="126" t="e">
        <f t="shared" si="22"/>
        <v>#N/A</v>
      </c>
      <c r="V104" s="126" t="e">
        <f t="shared" si="22"/>
        <v>#N/A</v>
      </c>
      <c r="W104" s="126" t="e">
        <f t="shared" si="22"/>
        <v>#N/A</v>
      </c>
      <c r="X104" s="126" t="e">
        <f t="shared" si="22"/>
        <v>#N/A</v>
      </c>
      <c r="Y104" s="126" t="e">
        <f t="shared" si="22"/>
        <v>#N/A</v>
      </c>
      <c r="Z104" s="126" t="e">
        <f t="shared" si="22"/>
        <v>#N/A</v>
      </c>
      <c r="AA104" s="126" t="e">
        <f t="shared" si="22"/>
        <v>#N/A</v>
      </c>
      <c r="AB104" s="126" t="e">
        <f t="shared" si="22"/>
        <v>#N/A</v>
      </c>
      <c r="AC104" s="126" t="e">
        <f t="shared" si="22"/>
        <v>#N/A</v>
      </c>
      <c r="AD104" s="126" t="e">
        <f t="shared" si="22"/>
        <v>#N/A</v>
      </c>
      <c r="AE104" s="126" t="e">
        <f t="shared" si="22"/>
        <v>#N/A</v>
      </c>
      <c r="AF104" s="126" t="e">
        <f t="shared" si="22"/>
        <v>#N/A</v>
      </c>
      <c r="AG104" s="126"/>
      <c r="AH104" s="126"/>
      <c r="AI104" s="126"/>
      <c r="AJ104" s="126"/>
      <c r="AK104" s="126"/>
      <c r="AL104" s="126"/>
      <c r="AM104" s="126"/>
      <c r="AN104" s="126"/>
    </row>
    <row r="105" spans="1:40">
      <c r="A105" s="132" t="s">
        <v>114</v>
      </c>
      <c r="B105" s="126">
        <f t="shared" ref="B105:AF105" si="23">C25*(C65/SUMIF($A$42:$A$79,$A105,C$42:C$79))</f>
        <v>1.6979949841588349</v>
      </c>
      <c r="C105" s="126">
        <f t="shared" si="23"/>
        <v>1.6255504273606214</v>
      </c>
      <c r="D105" s="126">
        <f t="shared" si="23"/>
        <v>1.6132157974340731</v>
      </c>
      <c r="E105" s="126">
        <f t="shared" si="23"/>
        <v>1.6431157261952922</v>
      </c>
      <c r="F105" s="126">
        <f t="shared" si="23"/>
        <v>1.6733429018229244</v>
      </c>
      <c r="G105" s="126">
        <f t="shared" si="23"/>
        <v>1.7035735288717575</v>
      </c>
      <c r="H105" s="126">
        <f t="shared" si="23"/>
        <v>1.7099420996549954</v>
      </c>
      <c r="I105" s="126">
        <f t="shared" si="23"/>
        <v>1.7083395209846133</v>
      </c>
      <c r="J105" s="126">
        <f t="shared" si="23"/>
        <v>1.7079755880740033</v>
      </c>
      <c r="K105" s="126">
        <f t="shared" si="23"/>
        <v>1.7057608378735316</v>
      </c>
      <c r="L105" s="126">
        <f t="shared" si="23"/>
        <v>1.6900726315083832</v>
      </c>
      <c r="M105" s="126">
        <f t="shared" si="23"/>
        <v>1.6879366288709219</v>
      </c>
      <c r="N105" s="126">
        <f t="shared" si="23"/>
        <v>1.6848296796005773</v>
      </c>
      <c r="O105" s="126">
        <f t="shared" si="23"/>
        <v>1.68194557484423</v>
      </c>
      <c r="P105" s="126">
        <f t="shared" si="23"/>
        <v>1.6766721612494659</v>
      </c>
      <c r="Q105" s="126">
        <f t="shared" si="23"/>
        <v>1.6817299604550606</v>
      </c>
      <c r="R105" s="126">
        <f t="shared" si="23"/>
        <v>1.686368191333701</v>
      </c>
      <c r="S105" s="126">
        <f t="shared" si="23"/>
        <v>1.6890521683515392</v>
      </c>
      <c r="T105" s="126">
        <f t="shared" si="23"/>
        <v>1.6906184247426714</v>
      </c>
      <c r="U105" s="126">
        <f t="shared" si="23"/>
        <v>1.6948783820196687</v>
      </c>
      <c r="V105" s="126">
        <f t="shared" si="23"/>
        <v>1.6974191131340437</v>
      </c>
      <c r="W105" s="126">
        <f t="shared" si="23"/>
        <v>1.6990694553304235</v>
      </c>
      <c r="X105" s="126">
        <f t="shared" si="23"/>
        <v>1.7021987925349982</v>
      </c>
      <c r="Y105" s="126">
        <f t="shared" si="23"/>
        <v>1.7040903773871632</v>
      </c>
      <c r="Z105" s="126">
        <f t="shared" si="23"/>
        <v>1.7051686747480099</v>
      </c>
      <c r="AA105" s="126">
        <f t="shared" si="23"/>
        <v>1.7044898645107738</v>
      </c>
      <c r="AB105" s="126">
        <f t="shared" si="23"/>
        <v>1.7069213020954772</v>
      </c>
      <c r="AC105" s="126">
        <f t="shared" si="23"/>
        <v>1.7091169430176552</v>
      </c>
      <c r="AD105" s="126">
        <f t="shared" si="23"/>
        <v>1.7122704508276465</v>
      </c>
      <c r="AE105" s="126">
        <f t="shared" si="23"/>
        <v>1.7133245687654677</v>
      </c>
      <c r="AF105" s="126">
        <f t="shared" si="23"/>
        <v>1.7143407111495985</v>
      </c>
      <c r="AG105" s="126"/>
      <c r="AH105" s="126"/>
      <c r="AI105" s="126"/>
      <c r="AJ105" s="126"/>
      <c r="AK105" s="126"/>
      <c r="AL105" s="126"/>
      <c r="AM105" s="126"/>
      <c r="AN105" s="126"/>
    </row>
    <row r="106" spans="1:40">
      <c r="A106" s="132" t="s">
        <v>112</v>
      </c>
      <c r="B106" s="126">
        <f t="shared" ref="B106:AF106" si="24">C26*(C66/SUMIF($A$42:$A$79,$A106,C$42:C$79))</f>
        <v>0</v>
      </c>
      <c r="C106" s="126">
        <f t="shared" si="24"/>
        <v>0</v>
      </c>
      <c r="D106" s="126">
        <f t="shared" si="24"/>
        <v>0</v>
      </c>
      <c r="E106" s="126">
        <f t="shared" si="24"/>
        <v>0</v>
      </c>
      <c r="F106" s="126">
        <f t="shared" si="24"/>
        <v>0</v>
      </c>
      <c r="G106" s="126">
        <f t="shared" si="24"/>
        <v>0</v>
      </c>
      <c r="H106" s="126">
        <f t="shared" si="24"/>
        <v>0</v>
      </c>
      <c r="I106" s="126">
        <f t="shared" si="24"/>
        <v>0</v>
      </c>
      <c r="J106" s="126">
        <f t="shared" si="24"/>
        <v>0</v>
      </c>
      <c r="K106" s="126">
        <f t="shared" si="24"/>
        <v>0</v>
      </c>
      <c r="L106" s="126">
        <f t="shared" si="24"/>
        <v>0</v>
      </c>
      <c r="M106" s="126">
        <f t="shared" si="24"/>
        <v>0</v>
      </c>
      <c r="N106" s="126">
        <f t="shared" si="24"/>
        <v>0</v>
      </c>
      <c r="O106" s="126">
        <f t="shared" si="24"/>
        <v>0</v>
      </c>
      <c r="P106" s="126">
        <f t="shared" si="24"/>
        <v>0</v>
      </c>
      <c r="Q106" s="126">
        <f t="shared" si="24"/>
        <v>0</v>
      </c>
      <c r="R106" s="126">
        <f t="shared" si="24"/>
        <v>0</v>
      </c>
      <c r="S106" s="126">
        <f t="shared" si="24"/>
        <v>0</v>
      </c>
      <c r="T106" s="126">
        <f t="shared" si="24"/>
        <v>0</v>
      </c>
      <c r="U106" s="126">
        <f t="shared" si="24"/>
        <v>0</v>
      </c>
      <c r="V106" s="126">
        <f t="shared" si="24"/>
        <v>0</v>
      </c>
      <c r="W106" s="126">
        <f t="shared" si="24"/>
        <v>0</v>
      </c>
      <c r="X106" s="126">
        <f t="shared" si="24"/>
        <v>0</v>
      </c>
      <c r="Y106" s="126">
        <f t="shared" si="24"/>
        <v>0</v>
      </c>
      <c r="Z106" s="126">
        <f t="shared" si="24"/>
        <v>0</v>
      </c>
      <c r="AA106" s="126">
        <f t="shared" si="24"/>
        <v>0</v>
      </c>
      <c r="AB106" s="126">
        <f t="shared" si="24"/>
        <v>0</v>
      </c>
      <c r="AC106" s="126">
        <f t="shared" si="24"/>
        <v>0</v>
      </c>
      <c r="AD106" s="126">
        <f t="shared" si="24"/>
        <v>0</v>
      </c>
      <c r="AE106" s="126">
        <f t="shared" si="24"/>
        <v>0</v>
      </c>
      <c r="AF106" s="126">
        <f t="shared" si="24"/>
        <v>0</v>
      </c>
      <c r="AG106" s="126"/>
      <c r="AH106" s="126"/>
      <c r="AI106" s="126"/>
      <c r="AJ106" s="126"/>
      <c r="AK106" s="126"/>
      <c r="AL106" s="126"/>
      <c r="AM106" s="126"/>
      <c r="AN106" s="126"/>
    </row>
    <row r="107" spans="1:40">
      <c r="A107" s="132" t="s">
        <v>112</v>
      </c>
      <c r="B107" s="126">
        <f t="shared" ref="B107:AF107" si="25">C27*(C67/SUMIF($A$42:$A$79,$A107,C$42:C$79))</f>
        <v>7.2935973397738598</v>
      </c>
      <c r="C107" s="126">
        <f t="shared" si="25"/>
        <v>8.4447606586824069</v>
      </c>
      <c r="D107" s="126">
        <f t="shared" si="25"/>
        <v>8.2656478137722562</v>
      </c>
      <c r="E107" s="126">
        <f t="shared" si="25"/>
        <v>8.2077391120456191</v>
      </c>
      <c r="F107" s="126">
        <f t="shared" si="25"/>
        <v>9.0273737406431245</v>
      </c>
      <c r="G107" s="126">
        <f t="shared" si="25"/>
        <v>9.8311726058838325</v>
      </c>
      <c r="H107" s="126">
        <f t="shared" si="25"/>
        <v>10.688791651886167</v>
      </c>
      <c r="I107" s="126">
        <f t="shared" si="25"/>
        <v>11.138742188097881</v>
      </c>
      <c r="J107" s="126">
        <f t="shared" si="25"/>
        <v>11.44159938282629</v>
      </c>
      <c r="K107" s="126">
        <f t="shared" si="25"/>
        <v>11.701057156826064</v>
      </c>
      <c r="L107" s="126">
        <f t="shared" si="25"/>
        <v>11.493205480207747</v>
      </c>
      <c r="M107" s="126">
        <f t="shared" si="25"/>
        <v>11.376312651057289</v>
      </c>
      <c r="N107" s="126">
        <f t="shared" si="25"/>
        <v>11.325691868715266</v>
      </c>
      <c r="O107" s="126">
        <f t="shared" si="25"/>
        <v>11.182234013279533</v>
      </c>
      <c r="P107" s="126">
        <f t="shared" si="25"/>
        <v>10.973940189396876</v>
      </c>
      <c r="Q107" s="126">
        <f t="shared" si="25"/>
        <v>10.816853129530049</v>
      </c>
      <c r="R107" s="126">
        <f t="shared" si="25"/>
        <v>10.732124925832238</v>
      </c>
      <c r="S107" s="126">
        <f t="shared" si="25"/>
        <v>10.573173928850089</v>
      </c>
      <c r="T107" s="126">
        <f t="shared" si="25"/>
        <v>10.385607250758655</v>
      </c>
      <c r="U107" s="126">
        <f t="shared" si="25"/>
        <v>10.245590103673122</v>
      </c>
      <c r="V107" s="126">
        <f t="shared" si="25"/>
        <v>10.113451813826437</v>
      </c>
      <c r="W107" s="126">
        <f t="shared" si="25"/>
        <v>10.111166277494299</v>
      </c>
      <c r="X107" s="126">
        <f t="shared" si="25"/>
        <v>10.137371804713139</v>
      </c>
      <c r="Y107" s="126">
        <f t="shared" si="25"/>
        <v>10.1490077633573</v>
      </c>
      <c r="Z107" s="126">
        <f t="shared" si="25"/>
        <v>10.124397486822579</v>
      </c>
      <c r="AA107" s="126">
        <f t="shared" si="25"/>
        <v>10.062251000732786</v>
      </c>
      <c r="AB107" s="126">
        <f t="shared" si="25"/>
        <v>10.014710947084945</v>
      </c>
      <c r="AC107" s="126">
        <f t="shared" si="25"/>
        <v>9.9819710192465312</v>
      </c>
      <c r="AD107" s="126">
        <f t="shared" si="25"/>
        <v>9.9445017472330051</v>
      </c>
      <c r="AE107" s="126">
        <f t="shared" si="25"/>
        <v>9.8761554494268005</v>
      </c>
      <c r="AF107" s="126">
        <f t="shared" si="25"/>
        <v>9.7842808210741037</v>
      </c>
      <c r="AG107" s="126"/>
      <c r="AH107" s="126"/>
      <c r="AI107" s="126"/>
      <c r="AJ107" s="126"/>
      <c r="AK107" s="126"/>
      <c r="AL107" s="126"/>
      <c r="AM107" s="126"/>
      <c r="AN107" s="126"/>
    </row>
    <row r="108" spans="1:40">
      <c r="A108" s="132" t="s">
        <v>112</v>
      </c>
      <c r="B108" s="126">
        <f t="shared" ref="B108:AF108" si="26">C28*(C68/SUMIF($A$42:$A$79,$A108,C$42:C$79))</f>
        <v>17.648495335647048</v>
      </c>
      <c r="C108" s="126">
        <f t="shared" si="26"/>
        <v>21.723296410697703</v>
      </c>
      <c r="D108" s="126">
        <f t="shared" si="26"/>
        <v>22.460516080769327</v>
      </c>
      <c r="E108" s="126">
        <f t="shared" si="26"/>
        <v>24.156131501711652</v>
      </c>
      <c r="F108" s="126">
        <f t="shared" si="26"/>
        <v>25.669151561956301</v>
      </c>
      <c r="G108" s="126">
        <f t="shared" si="26"/>
        <v>26.552233012720219</v>
      </c>
      <c r="H108" s="126">
        <f t="shared" si="26"/>
        <v>26.299327310224353</v>
      </c>
      <c r="I108" s="126">
        <f t="shared" si="26"/>
        <v>26.59672820256711</v>
      </c>
      <c r="J108" s="126">
        <f t="shared" si="26"/>
        <v>26.988391923986541</v>
      </c>
      <c r="K108" s="126">
        <f t="shared" si="26"/>
        <v>27.403151799757346</v>
      </c>
      <c r="L108" s="126">
        <f t="shared" si="26"/>
        <v>27.915254419218194</v>
      </c>
      <c r="M108" s="126">
        <f t="shared" si="26"/>
        <v>27.993589624718432</v>
      </c>
      <c r="N108" s="126">
        <f t="shared" si="26"/>
        <v>28.434673520105665</v>
      </c>
      <c r="O108" s="126">
        <f t="shared" si="26"/>
        <v>28.60436578157389</v>
      </c>
      <c r="P108" s="126">
        <f t="shared" si="26"/>
        <v>28.802771476601489</v>
      </c>
      <c r="Q108" s="126">
        <f t="shared" si="26"/>
        <v>28.956969231004919</v>
      </c>
      <c r="R108" s="126">
        <f t="shared" si="26"/>
        <v>29.341638785056389</v>
      </c>
      <c r="S108" s="126">
        <f t="shared" si="26"/>
        <v>29.629754837451625</v>
      </c>
      <c r="T108" s="126">
        <f t="shared" si="26"/>
        <v>29.849832543098962</v>
      </c>
      <c r="U108" s="126">
        <f t="shared" si="26"/>
        <v>30.04957978266722</v>
      </c>
      <c r="V108" s="126">
        <f t="shared" si="26"/>
        <v>30.295230662539186</v>
      </c>
      <c r="W108" s="126">
        <f t="shared" si="26"/>
        <v>30.309456550512738</v>
      </c>
      <c r="X108" s="126">
        <f t="shared" si="26"/>
        <v>30.309628729154284</v>
      </c>
      <c r="Y108" s="126">
        <f t="shared" si="26"/>
        <v>30.355643592175984</v>
      </c>
      <c r="Z108" s="126">
        <f t="shared" si="26"/>
        <v>30.381663410080289</v>
      </c>
      <c r="AA108" s="126">
        <f t="shared" si="26"/>
        <v>30.402907061120864</v>
      </c>
      <c r="AB108" s="126">
        <f t="shared" si="26"/>
        <v>30.413603190839567</v>
      </c>
      <c r="AC108" s="126">
        <f t="shared" si="26"/>
        <v>30.497307388753686</v>
      </c>
      <c r="AD108" s="126">
        <f t="shared" si="26"/>
        <v>30.573974993894499</v>
      </c>
      <c r="AE108" s="126">
        <f t="shared" si="26"/>
        <v>30.701089346618335</v>
      </c>
      <c r="AF108" s="126">
        <f t="shared" si="26"/>
        <v>30.769011247595447</v>
      </c>
      <c r="AG108" s="126"/>
      <c r="AH108" s="126"/>
      <c r="AI108" s="126"/>
      <c r="AJ108" s="126"/>
      <c r="AK108" s="126"/>
      <c r="AL108" s="126"/>
      <c r="AM108" s="126"/>
      <c r="AN108" s="126"/>
    </row>
    <row r="109" spans="1:40">
      <c r="A109" s="132" t="s">
        <v>116</v>
      </c>
      <c r="B109" s="126">
        <f t="shared" ref="B109:AF109" si="27">C29*(C69/SUMIF($A$42:$A$79,$A109,C$42:C$79))</f>
        <v>3.4951210823900012</v>
      </c>
      <c r="C109" s="126">
        <f t="shared" si="27"/>
        <v>3.2294529218049592</v>
      </c>
      <c r="D109" s="126">
        <f t="shared" si="27"/>
        <v>3.0758230567527582</v>
      </c>
      <c r="E109" s="126">
        <f t="shared" si="27"/>
        <v>3.1605305901696501</v>
      </c>
      <c r="F109" s="126">
        <f t="shared" si="27"/>
        <v>3.2439702617507975</v>
      </c>
      <c r="G109" s="126">
        <f t="shared" si="27"/>
        <v>2.5231070955139545</v>
      </c>
      <c r="H109" s="126">
        <f t="shared" si="27"/>
        <v>1.3624875782874912</v>
      </c>
      <c r="I109" s="126">
        <f t="shared" si="27"/>
        <v>1.3005267460369745</v>
      </c>
      <c r="J109" s="126">
        <f t="shared" si="27"/>
        <v>1.381034606668061</v>
      </c>
      <c r="K109" s="126">
        <f t="shared" si="27"/>
        <v>1.5225885561863168</v>
      </c>
      <c r="L109" s="126">
        <f t="shared" si="27"/>
        <v>1.6334547718844257</v>
      </c>
      <c r="M109" s="126">
        <f t="shared" si="27"/>
        <v>1.7712078463538794</v>
      </c>
      <c r="N109" s="126">
        <f t="shared" si="27"/>
        <v>1.8918866904691278</v>
      </c>
      <c r="O109" s="126">
        <f t="shared" si="27"/>
        <v>2.0137826684292257</v>
      </c>
      <c r="P109" s="126">
        <f t="shared" si="27"/>
        <v>2.1277861542854386</v>
      </c>
      <c r="Q109" s="126">
        <f t="shared" si="27"/>
        <v>2.271128598941158</v>
      </c>
      <c r="R109" s="126">
        <f t="shared" si="27"/>
        <v>2.4275218013431981</v>
      </c>
      <c r="S109" s="126">
        <f t="shared" si="27"/>
        <v>2.605654146328352</v>
      </c>
      <c r="T109" s="126">
        <f t="shared" si="27"/>
        <v>2.809923061094787</v>
      </c>
      <c r="U109" s="126">
        <f t="shared" si="27"/>
        <v>3.0557706619897029</v>
      </c>
      <c r="V109" s="126">
        <f t="shared" si="27"/>
        <v>3.3314486706415467</v>
      </c>
      <c r="W109" s="126">
        <f t="shared" si="27"/>
        <v>3.6573220061836178</v>
      </c>
      <c r="X109" s="126">
        <f t="shared" si="27"/>
        <v>4.0333469922321932</v>
      </c>
      <c r="Y109" s="126">
        <f t="shared" si="27"/>
        <v>4.4550415732350368</v>
      </c>
      <c r="Z109" s="126">
        <f t="shared" si="27"/>
        <v>4.9343768510826758</v>
      </c>
      <c r="AA109" s="126">
        <f t="shared" si="27"/>
        <v>5.4894626883539415</v>
      </c>
      <c r="AB109" s="126">
        <f t="shared" si="27"/>
        <v>6.1541404090043468</v>
      </c>
      <c r="AC109" s="126">
        <f t="shared" si="27"/>
        <v>6.9174824807749555</v>
      </c>
      <c r="AD109" s="126">
        <f t="shared" si="27"/>
        <v>7.7901746093666215</v>
      </c>
      <c r="AE109" s="126">
        <f t="shared" si="27"/>
        <v>8.7604711582847195</v>
      </c>
      <c r="AF109" s="126">
        <f t="shared" si="27"/>
        <v>9.8511138508164606</v>
      </c>
      <c r="AG109" s="126"/>
      <c r="AH109" s="126"/>
      <c r="AI109" s="126"/>
      <c r="AJ109" s="126"/>
      <c r="AK109" s="126"/>
      <c r="AL109" s="126"/>
      <c r="AM109" s="126"/>
      <c r="AN109" s="126"/>
    </row>
    <row r="110" spans="1:40">
      <c r="A110" s="132" t="s">
        <v>116</v>
      </c>
      <c r="B110" s="126">
        <f t="shared" ref="B110:AF110" si="28">C30*(C70/SUMIF($A$42:$A$79,$A110,C$42:C$79))</f>
        <v>22.133574383491155</v>
      </c>
      <c r="C110" s="126">
        <f t="shared" si="28"/>
        <v>21.625804623685479</v>
      </c>
      <c r="D110" s="126">
        <f t="shared" si="28"/>
        <v>20.123558070791276</v>
      </c>
      <c r="E110" s="126">
        <f t="shared" si="28"/>
        <v>18.577693210987537</v>
      </c>
      <c r="F110" s="126">
        <f t="shared" si="28"/>
        <v>16.550985991156235</v>
      </c>
      <c r="G110" s="126">
        <f t="shared" si="28"/>
        <v>25.734727723990243</v>
      </c>
      <c r="H110" s="126">
        <f t="shared" si="28"/>
        <v>44.237594863339091</v>
      </c>
      <c r="I110" s="126">
        <f t="shared" si="28"/>
        <v>44.790746074473745</v>
      </c>
      <c r="J110" s="126">
        <f t="shared" si="28"/>
        <v>42.578796121881794</v>
      </c>
      <c r="K110" s="126">
        <f t="shared" si="28"/>
        <v>41.691275458201773</v>
      </c>
      <c r="L110" s="126">
        <f t="shared" si="28"/>
        <v>40.855082235160225</v>
      </c>
      <c r="M110" s="126">
        <f t="shared" si="28"/>
        <v>40.796505033707263</v>
      </c>
      <c r="N110" s="126">
        <f t="shared" si="28"/>
        <v>40.682388727844589</v>
      </c>
      <c r="O110" s="126">
        <f t="shared" si="28"/>
        <v>40.717195086458169</v>
      </c>
      <c r="P110" s="126">
        <f t="shared" si="28"/>
        <v>40.665656118756282</v>
      </c>
      <c r="Q110" s="126">
        <f t="shared" si="28"/>
        <v>40.979562361392219</v>
      </c>
      <c r="R110" s="126">
        <f t="shared" si="28"/>
        <v>41.169302505747986</v>
      </c>
      <c r="S110" s="126">
        <f t="shared" si="28"/>
        <v>41.302860044670531</v>
      </c>
      <c r="T110" s="126">
        <f t="shared" si="28"/>
        <v>41.407576510981734</v>
      </c>
      <c r="U110" s="126">
        <f t="shared" si="28"/>
        <v>41.568794931240205</v>
      </c>
      <c r="V110" s="126">
        <f t="shared" si="28"/>
        <v>41.600683116823042</v>
      </c>
      <c r="W110" s="126">
        <f t="shared" si="28"/>
        <v>41.633125444381683</v>
      </c>
      <c r="X110" s="126">
        <f t="shared" si="28"/>
        <v>41.650837368527846</v>
      </c>
      <c r="Y110" s="126">
        <f t="shared" si="28"/>
        <v>41.587448987572337</v>
      </c>
      <c r="Z110" s="126">
        <f t="shared" si="28"/>
        <v>41.45411308486635</v>
      </c>
      <c r="AA110" s="126">
        <f t="shared" si="28"/>
        <v>41.202980605943338</v>
      </c>
      <c r="AB110" s="126">
        <f t="shared" si="28"/>
        <v>40.94400781906387</v>
      </c>
      <c r="AC110" s="126">
        <f t="shared" si="28"/>
        <v>40.549702775240739</v>
      </c>
      <c r="AD110" s="126">
        <f t="shared" si="28"/>
        <v>40.072478677564206</v>
      </c>
      <c r="AE110" s="126">
        <f t="shared" si="28"/>
        <v>39.422592607740491</v>
      </c>
      <c r="AF110" s="126">
        <f t="shared" si="28"/>
        <v>38.66453702991258</v>
      </c>
      <c r="AG110" s="126"/>
      <c r="AH110" s="126"/>
      <c r="AI110" s="126"/>
      <c r="AJ110" s="126"/>
      <c r="AK110" s="126"/>
      <c r="AL110" s="126"/>
      <c r="AM110" s="126"/>
      <c r="AN110" s="126"/>
    </row>
    <row r="111" spans="1:40">
      <c r="A111" s="132" t="s">
        <v>115</v>
      </c>
      <c r="B111" s="126">
        <f t="shared" ref="B111:AF111" si="29">C31*(C71/SUMIF($A$42:$A$79,$A111,C$42:C$79))</f>
        <v>0</v>
      </c>
      <c r="C111" s="126">
        <f t="shared" si="29"/>
        <v>0</v>
      </c>
      <c r="D111" s="126">
        <f t="shared" si="29"/>
        <v>0</v>
      </c>
      <c r="E111" s="126">
        <f t="shared" si="29"/>
        <v>0</v>
      </c>
      <c r="F111" s="126">
        <f t="shared" si="29"/>
        <v>0</v>
      </c>
      <c r="G111" s="126">
        <f t="shared" si="29"/>
        <v>0</v>
      </c>
      <c r="H111" s="126">
        <f t="shared" si="29"/>
        <v>0</v>
      </c>
      <c r="I111" s="126">
        <f t="shared" si="29"/>
        <v>0</v>
      </c>
      <c r="J111" s="126">
        <f t="shared" si="29"/>
        <v>0</v>
      </c>
      <c r="K111" s="126">
        <f t="shared" si="29"/>
        <v>0</v>
      </c>
      <c r="L111" s="126">
        <f t="shared" si="29"/>
        <v>0</v>
      </c>
      <c r="M111" s="126">
        <f t="shared" si="29"/>
        <v>0</v>
      </c>
      <c r="N111" s="126">
        <f t="shared" si="29"/>
        <v>0</v>
      </c>
      <c r="O111" s="126">
        <f t="shared" si="29"/>
        <v>0</v>
      </c>
      <c r="P111" s="126">
        <f t="shared" si="29"/>
        <v>0</v>
      </c>
      <c r="Q111" s="126">
        <f t="shared" si="29"/>
        <v>0</v>
      </c>
      <c r="R111" s="126">
        <f t="shared" si="29"/>
        <v>0</v>
      </c>
      <c r="S111" s="126">
        <f t="shared" si="29"/>
        <v>0</v>
      </c>
      <c r="T111" s="126">
        <f t="shared" si="29"/>
        <v>0</v>
      </c>
      <c r="U111" s="126">
        <f t="shared" si="29"/>
        <v>0</v>
      </c>
      <c r="V111" s="126">
        <f t="shared" si="29"/>
        <v>0</v>
      </c>
      <c r="W111" s="126">
        <f t="shared" si="29"/>
        <v>0</v>
      </c>
      <c r="X111" s="126">
        <f t="shared" si="29"/>
        <v>0</v>
      </c>
      <c r="Y111" s="126">
        <f t="shared" si="29"/>
        <v>0</v>
      </c>
      <c r="Z111" s="126">
        <f t="shared" si="29"/>
        <v>0</v>
      </c>
      <c r="AA111" s="126">
        <f t="shared" si="29"/>
        <v>0</v>
      </c>
      <c r="AB111" s="126">
        <f t="shared" si="29"/>
        <v>0</v>
      </c>
      <c r="AC111" s="126">
        <f t="shared" si="29"/>
        <v>0</v>
      </c>
      <c r="AD111" s="126">
        <f t="shared" si="29"/>
        <v>0</v>
      </c>
      <c r="AE111" s="126">
        <f t="shared" si="29"/>
        <v>0</v>
      </c>
      <c r="AF111" s="126">
        <f t="shared" si="29"/>
        <v>0</v>
      </c>
      <c r="AG111" s="126"/>
      <c r="AH111" s="126"/>
      <c r="AI111" s="126"/>
      <c r="AJ111" s="126"/>
      <c r="AK111" s="126"/>
      <c r="AL111" s="126"/>
      <c r="AM111" s="126"/>
      <c r="AN111" s="126"/>
    </row>
    <row r="112" spans="1:40">
      <c r="A112" s="132" t="s">
        <v>114</v>
      </c>
      <c r="B112" s="126">
        <f t="shared" ref="B112:AF112" si="30">C32*(C72/SUMIF($A$42:$A$79,$A112,C$42:C$79))</f>
        <v>0.79832603406749414</v>
      </c>
      <c r="C112" s="126">
        <f t="shared" si="30"/>
        <v>0.88847166656555343</v>
      </c>
      <c r="D112" s="126">
        <f t="shared" si="30"/>
        <v>0.90780086082300437</v>
      </c>
      <c r="E112" s="126">
        <f t="shared" si="30"/>
        <v>0.93554559435412332</v>
      </c>
      <c r="F112" s="126">
        <f t="shared" si="30"/>
        <v>0.96987339000140083</v>
      </c>
      <c r="G112" s="126">
        <f t="shared" si="30"/>
        <v>1.0205135511691108</v>
      </c>
      <c r="H112" s="126">
        <f t="shared" si="30"/>
        <v>1.2254972026205539</v>
      </c>
      <c r="I112" s="126">
        <f t="shared" si="30"/>
        <v>1.328806757059086</v>
      </c>
      <c r="J112" s="126">
        <f t="shared" si="30"/>
        <v>1.3712183366497803</v>
      </c>
      <c r="K112" s="126">
        <f t="shared" si="30"/>
        <v>1.4093128895971148</v>
      </c>
      <c r="L112" s="126">
        <f t="shared" si="30"/>
        <v>1.4603406619550854</v>
      </c>
      <c r="M112" s="126">
        <f t="shared" si="30"/>
        <v>1.5064589584889614</v>
      </c>
      <c r="N112" s="126">
        <f t="shared" si="30"/>
        <v>1.5597121611794762</v>
      </c>
      <c r="O112" s="126">
        <f t="shared" si="30"/>
        <v>1.61010936911631</v>
      </c>
      <c r="P112" s="126">
        <f t="shared" si="30"/>
        <v>1.6621934806246006</v>
      </c>
      <c r="Q112" s="126">
        <f t="shared" si="30"/>
        <v>1.7097928668170272</v>
      </c>
      <c r="R112" s="126">
        <f t="shared" si="30"/>
        <v>1.7607919493662847</v>
      </c>
      <c r="S112" s="126">
        <f t="shared" si="30"/>
        <v>1.8112227150990188</v>
      </c>
      <c r="T112" s="126">
        <f t="shared" si="30"/>
        <v>1.8625519541791631</v>
      </c>
      <c r="U112" s="126">
        <f t="shared" si="30"/>
        <v>1.9117631404215945</v>
      </c>
      <c r="V112" s="126">
        <f t="shared" si="30"/>
        <v>1.9623740061020472</v>
      </c>
      <c r="W112" s="126">
        <f t="shared" si="30"/>
        <v>2.0074539306204353</v>
      </c>
      <c r="X112" s="126">
        <f t="shared" si="30"/>
        <v>2.0526627594745017</v>
      </c>
      <c r="Y112" s="126">
        <f t="shared" si="30"/>
        <v>2.0998767535396641</v>
      </c>
      <c r="Z112" s="126">
        <f t="shared" si="30"/>
        <v>2.1478210510898403</v>
      </c>
      <c r="AA112" s="126">
        <f t="shared" si="30"/>
        <v>2.1974404568761816</v>
      </c>
      <c r="AB112" s="126">
        <f t="shared" si="30"/>
        <v>2.2466258323031094</v>
      </c>
      <c r="AC112" s="126">
        <f t="shared" si="30"/>
        <v>2.2987921158484164</v>
      </c>
      <c r="AD112" s="126">
        <f t="shared" si="30"/>
        <v>2.351602790089462</v>
      </c>
      <c r="AE112" s="126">
        <f t="shared" si="30"/>
        <v>2.4090486480837816</v>
      </c>
      <c r="AF112" s="126">
        <f t="shared" si="30"/>
        <v>2.466798779949503</v>
      </c>
      <c r="AG112" s="126"/>
      <c r="AH112" s="126"/>
      <c r="AI112" s="126"/>
      <c r="AJ112" s="126"/>
      <c r="AK112" s="126"/>
      <c r="AL112" s="126"/>
      <c r="AM112" s="126"/>
      <c r="AN112" s="126"/>
    </row>
    <row r="113" spans="1:40">
      <c r="A113" s="132" t="s">
        <v>113</v>
      </c>
      <c r="B113" s="126">
        <f t="shared" ref="B113:AF113" si="31">C33*(C73/SUMIF($A$42:$A$79,$A113,C$42:C$79))</f>
        <v>3.3522636989941179</v>
      </c>
      <c r="C113" s="126">
        <f t="shared" si="31"/>
        <v>3.5689983498989046</v>
      </c>
      <c r="D113" s="126">
        <f t="shared" si="31"/>
        <v>3.5955014669894232</v>
      </c>
      <c r="E113" s="126">
        <f t="shared" si="31"/>
        <v>3.7057737907508046</v>
      </c>
      <c r="F113" s="126">
        <f t="shared" si="31"/>
        <v>3.8147188347927616</v>
      </c>
      <c r="G113" s="126">
        <f t="shared" si="31"/>
        <v>3.9229202459510675</v>
      </c>
      <c r="H113" s="126">
        <f t="shared" si="31"/>
        <v>3.9730821035175605</v>
      </c>
      <c r="I113" s="126">
        <f t="shared" si="31"/>
        <v>3.9830163367869371</v>
      </c>
      <c r="J113" s="126">
        <f t="shared" si="31"/>
        <v>3.9811041362153667</v>
      </c>
      <c r="K113" s="126">
        <f t="shared" si="31"/>
        <v>3.9724942305417534</v>
      </c>
      <c r="L113" s="126">
        <f t="shared" si="31"/>
        <v>3.95527796151333</v>
      </c>
      <c r="M113" s="126">
        <f t="shared" si="31"/>
        <v>3.9441817106551027</v>
      </c>
      <c r="N113" s="126">
        <f t="shared" si="31"/>
        <v>3.9438981019803889</v>
      </c>
      <c r="O113" s="126">
        <f t="shared" si="31"/>
        <v>3.9367401227212806</v>
      </c>
      <c r="P113" s="126">
        <f t="shared" si="31"/>
        <v>3.9344183301377638</v>
      </c>
      <c r="Q113" s="126">
        <f t="shared" si="31"/>
        <v>3.9358291546522337</v>
      </c>
      <c r="R113" s="126">
        <f t="shared" si="31"/>
        <v>3.9474379402683897</v>
      </c>
      <c r="S113" s="126">
        <f t="shared" si="31"/>
        <v>3.9548802895310358</v>
      </c>
      <c r="T113" s="126">
        <f t="shared" si="31"/>
        <v>3.96215946282148</v>
      </c>
      <c r="U113" s="126">
        <f t="shared" si="31"/>
        <v>3.9703493549144042</v>
      </c>
      <c r="V113" s="126">
        <f t="shared" si="31"/>
        <v>3.9790861708307799</v>
      </c>
      <c r="W113" s="126">
        <f t="shared" si="31"/>
        <v>3.9853758166223257</v>
      </c>
      <c r="X113" s="126">
        <f t="shared" si="31"/>
        <v>3.9929660136602916</v>
      </c>
      <c r="Y113" s="126">
        <f t="shared" si="31"/>
        <v>4.0011606013548979</v>
      </c>
      <c r="Z113" s="126">
        <f t="shared" si="31"/>
        <v>4.0082398139263526</v>
      </c>
      <c r="AA113" s="126">
        <f t="shared" si="31"/>
        <v>4.0137276179337178</v>
      </c>
      <c r="AB113" s="126">
        <f t="shared" si="31"/>
        <v>4.0201269417414149</v>
      </c>
      <c r="AC113" s="126">
        <f t="shared" si="31"/>
        <v>4.0308857323907672</v>
      </c>
      <c r="AD113" s="126">
        <f t="shared" si="31"/>
        <v>4.0415935707859507</v>
      </c>
      <c r="AE113" s="126">
        <f t="shared" si="31"/>
        <v>4.054189378226801</v>
      </c>
      <c r="AF113" s="126">
        <f t="shared" si="31"/>
        <v>4.0655046875311607</v>
      </c>
      <c r="AG113" s="126"/>
      <c r="AH113" s="126"/>
      <c r="AI113" s="126"/>
      <c r="AJ113" s="126"/>
      <c r="AK113" s="126"/>
      <c r="AL113" s="126"/>
      <c r="AM113" s="126"/>
      <c r="AN113" s="126"/>
    </row>
    <row r="114" spans="1:40">
      <c r="A114" s="132" t="s">
        <v>113</v>
      </c>
      <c r="B114" s="126">
        <f t="shared" ref="B114:AF114" si="32">C34*(C74/SUMIF($A$42:$A$79,$A114,C$42:C$79))</f>
        <v>16.970791841964648</v>
      </c>
      <c r="C114" s="126">
        <f t="shared" si="32"/>
        <v>17.878241161915611</v>
      </c>
      <c r="D114" s="126">
        <f t="shared" si="32"/>
        <v>17.668846734409531</v>
      </c>
      <c r="E114" s="126">
        <f t="shared" si="32"/>
        <v>17.80586592418037</v>
      </c>
      <c r="F114" s="126">
        <f t="shared" si="32"/>
        <v>17.985649541664539</v>
      </c>
      <c r="G114" s="126">
        <f t="shared" si="32"/>
        <v>18.219608632967041</v>
      </c>
      <c r="H114" s="126">
        <f t="shared" si="32"/>
        <v>18.362285277073166</v>
      </c>
      <c r="I114" s="126">
        <f t="shared" si="32"/>
        <v>18.373870224325103</v>
      </c>
      <c r="J114" s="126">
        <f t="shared" si="32"/>
        <v>18.357607858898881</v>
      </c>
      <c r="K114" s="126">
        <f t="shared" si="32"/>
        <v>18.340076058533178</v>
      </c>
      <c r="L114" s="126">
        <f t="shared" si="32"/>
        <v>18.20613804466031</v>
      </c>
      <c r="M114" s="126">
        <f t="shared" si="32"/>
        <v>18.163475483856214</v>
      </c>
      <c r="N114" s="126">
        <f t="shared" si="32"/>
        <v>18.132435466099075</v>
      </c>
      <c r="O114" s="126">
        <f t="shared" si="32"/>
        <v>18.091352665517402</v>
      </c>
      <c r="P114" s="126">
        <f t="shared" si="32"/>
        <v>18.020954375835387</v>
      </c>
      <c r="Q114" s="126">
        <f t="shared" si="32"/>
        <v>18.043256593048774</v>
      </c>
      <c r="R114" s="126">
        <f t="shared" si="32"/>
        <v>18.079597052590429</v>
      </c>
      <c r="S114" s="126">
        <f t="shared" si="32"/>
        <v>18.077525879481335</v>
      </c>
      <c r="T114" s="126">
        <f t="shared" si="32"/>
        <v>18.068957938372659</v>
      </c>
      <c r="U114" s="126">
        <f t="shared" si="32"/>
        <v>18.086710134533732</v>
      </c>
      <c r="V114" s="126">
        <f t="shared" si="32"/>
        <v>18.094172214785942</v>
      </c>
      <c r="W114" s="126">
        <f t="shared" si="32"/>
        <v>18.094892341930102</v>
      </c>
      <c r="X114" s="126">
        <f t="shared" si="32"/>
        <v>18.110491602027889</v>
      </c>
      <c r="Y114" s="126">
        <f t="shared" si="32"/>
        <v>18.118863305835596</v>
      </c>
      <c r="Z114" s="126">
        <f t="shared" si="32"/>
        <v>18.115270584721333</v>
      </c>
      <c r="AA114" s="126">
        <f t="shared" si="32"/>
        <v>18.093599701865031</v>
      </c>
      <c r="AB114" s="126">
        <f t="shared" si="32"/>
        <v>18.099316141831334</v>
      </c>
      <c r="AC114" s="126">
        <f t="shared" si="32"/>
        <v>18.107731389192757</v>
      </c>
      <c r="AD114" s="126">
        <f t="shared" si="32"/>
        <v>18.121996341715885</v>
      </c>
      <c r="AE114" s="126">
        <f t="shared" si="32"/>
        <v>18.118030125888509</v>
      </c>
      <c r="AF114" s="126">
        <f t="shared" si="32"/>
        <v>18.107233923980669</v>
      </c>
      <c r="AG114" s="126"/>
      <c r="AH114" s="126"/>
      <c r="AI114" s="126"/>
      <c r="AJ114" s="126"/>
      <c r="AK114" s="126"/>
      <c r="AL114" s="126"/>
      <c r="AM114" s="126"/>
      <c r="AN114" s="126"/>
    </row>
    <row r="115" spans="1:40">
      <c r="A115" s="132" t="s">
        <v>853</v>
      </c>
      <c r="B115" s="126">
        <f t="shared" ref="B115:AF115" si="33">C35*(C75/SUMIF($A$42:$A$79,$A115,C$42:C$79))</f>
        <v>5.5431182745720537</v>
      </c>
      <c r="C115" s="126">
        <f t="shared" si="33"/>
        <v>6.0831622638345388</v>
      </c>
      <c r="D115" s="126">
        <f t="shared" si="33"/>
        <v>6.1884391646698411</v>
      </c>
      <c r="E115" s="126">
        <f t="shared" si="33"/>
        <v>6.3007701437581733</v>
      </c>
      <c r="F115" s="126">
        <f t="shared" si="33"/>
        <v>6.402167100862127</v>
      </c>
      <c r="G115" s="126">
        <f t="shared" si="33"/>
        <v>6.5323885533348216</v>
      </c>
      <c r="H115" s="126">
        <f t="shared" si="33"/>
        <v>6.6490697222863773</v>
      </c>
      <c r="I115" s="126">
        <f t="shared" si="33"/>
        <v>6.7382890590488564</v>
      </c>
      <c r="J115" s="126">
        <f t="shared" si="33"/>
        <v>6.7903099183789957</v>
      </c>
      <c r="K115" s="126">
        <f t="shared" si="33"/>
        <v>6.8482645067343029</v>
      </c>
      <c r="L115" s="126">
        <f t="shared" si="33"/>
        <v>6.894068854913411</v>
      </c>
      <c r="M115" s="126">
        <f t="shared" si="33"/>
        <v>6.90479832313516</v>
      </c>
      <c r="N115" s="126">
        <f t="shared" si="33"/>
        <v>6.9601100005043364</v>
      </c>
      <c r="O115" s="126">
        <f t="shared" si="33"/>
        <v>7.0071749534179499</v>
      </c>
      <c r="P115" s="126">
        <f t="shared" si="33"/>
        <v>7.0893450803972993</v>
      </c>
      <c r="Q115" s="126">
        <f t="shared" si="33"/>
        <v>7.1237482974392279</v>
      </c>
      <c r="R115" s="126">
        <f t="shared" si="33"/>
        <v>7.1830080474819047</v>
      </c>
      <c r="S115" s="126">
        <f t="shared" si="33"/>
        <v>7.2401670887308649</v>
      </c>
      <c r="T115" s="126">
        <f t="shared" si="33"/>
        <v>7.3130230094582904</v>
      </c>
      <c r="U115" s="126">
        <f t="shared" si="33"/>
        <v>7.3797649715727518</v>
      </c>
      <c r="V115" s="126">
        <f t="shared" si="33"/>
        <v>7.4663520795833707</v>
      </c>
      <c r="W115" s="126">
        <f t="shared" si="33"/>
        <v>7.5529987563341132</v>
      </c>
      <c r="X115" s="126">
        <f t="shared" si="33"/>
        <v>7.6331294162123937</v>
      </c>
      <c r="Y115" s="126">
        <f t="shared" si="33"/>
        <v>7.7420054040896673</v>
      </c>
      <c r="Z115" s="126">
        <f t="shared" si="33"/>
        <v>7.8441553943890039</v>
      </c>
      <c r="AA115" s="126">
        <f t="shared" si="33"/>
        <v>7.9675568994735366</v>
      </c>
      <c r="AB115" s="126">
        <f t="shared" si="33"/>
        <v>8.0617405399674347</v>
      </c>
      <c r="AC115" s="126">
        <f t="shared" si="33"/>
        <v>8.1696176887728917</v>
      </c>
      <c r="AD115" s="126">
        <f t="shared" si="33"/>
        <v>8.2699953476122356</v>
      </c>
      <c r="AE115" s="126">
        <f t="shared" si="33"/>
        <v>8.397624824398715</v>
      </c>
      <c r="AF115" s="126">
        <f t="shared" si="33"/>
        <v>8.5261729337068939</v>
      </c>
      <c r="AG115" s="126"/>
      <c r="AH115" s="126"/>
      <c r="AI115" s="126"/>
      <c r="AJ115" s="126"/>
      <c r="AK115" s="126"/>
      <c r="AL115" s="126"/>
      <c r="AM115" s="126"/>
      <c r="AN115" s="126"/>
    </row>
    <row r="116" spans="1:40">
      <c r="A116" s="132" t="s">
        <v>853</v>
      </c>
      <c r="B116" s="126">
        <f t="shared" ref="B116:AF116" si="34">C36*(C76/SUMIF($A$42:$A$79,$A116,C$42:C$79))</f>
        <v>18.402943109545298</v>
      </c>
      <c r="C116" s="126">
        <f t="shared" si="34"/>
        <v>19.289765802772678</v>
      </c>
      <c r="D116" s="126">
        <f t="shared" si="34"/>
        <v>19.253276177312177</v>
      </c>
      <c r="E116" s="126">
        <f t="shared" si="34"/>
        <v>19.440884478194857</v>
      </c>
      <c r="F116" s="126">
        <f t="shared" si="34"/>
        <v>19.674646178610764</v>
      </c>
      <c r="G116" s="126">
        <f t="shared" si="34"/>
        <v>19.928159023904051</v>
      </c>
      <c r="H116" s="126">
        <f t="shared" si="34"/>
        <v>19.996099845068859</v>
      </c>
      <c r="I116" s="126">
        <f t="shared" si="34"/>
        <v>19.929597412768423</v>
      </c>
      <c r="J116" s="126">
        <f t="shared" si="34"/>
        <v>19.856665323926915</v>
      </c>
      <c r="K116" s="126">
        <f t="shared" si="34"/>
        <v>19.770947228984337</v>
      </c>
      <c r="L116" s="126">
        <f t="shared" si="34"/>
        <v>19.626919367377564</v>
      </c>
      <c r="M116" s="126">
        <f t="shared" si="34"/>
        <v>19.532910494369698</v>
      </c>
      <c r="N116" s="126">
        <f t="shared" si="34"/>
        <v>19.454342888538214</v>
      </c>
      <c r="O116" s="126">
        <f t="shared" si="34"/>
        <v>19.359832426074004</v>
      </c>
      <c r="P116" s="126">
        <f t="shared" si="34"/>
        <v>19.231290052826235</v>
      </c>
      <c r="Q116" s="126">
        <f t="shared" si="34"/>
        <v>19.18714692398812</v>
      </c>
      <c r="R116" s="126">
        <f t="shared" si="34"/>
        <v>19.161587872279263</v>
      </c>
      <c r="S116" s="126">
        <f t="shared" si="34"/>
        <v>19.106201025007461</v>
      </c>
      <c r="T116" s="126">
        <f t="shared" si="34"/>
        <v>19.03353119273876</v>
      </c>
      <c r="U116" s="126">
        <f t="shared" si="34"/>
        <v>18.97308922526242</v>
      </c>
      <c r="V116" s="126">
        <f t="shared" si="34"/>
        <v>18.900228235524544</v>
      </c>
      <c r="W116" s="126">
        <f t="shared" si="34"/>
        <v>18.815868466996051</v>
      </c>
      <c r="X116" s="126">
        <f t="shared" si="34"/>
        <v>18.747083691008385</v>
      </c>
      <c r="Y116" s="126">
        <f t="shared" si="34"/>
        <v>18.65047802629709</v>
      </c>
      <c r="Z116" s="126">
        <f t="shared" si="34"/>
        <v>18.553879803340056</v>
      </c>
      <c r="AA116" s="126">
        <f t="shared" si="34"/>
        <v>18.425660601145189</v>
      </c>
      <c r="AB116" s="126">
        <f t="shared" si="34"/>
        <v>18.336258925879484</v>
      </c>
      <c r="AC116" s="126">
        <f t="shared" si="34"/>
        <v>18.247515075850394</v>
      </c>
      <c r="AD116" s="126">
        <f t="shared" si="34"/>
        <v>18.165181464505469</v>
      </c>
      <c r="AE116" s="126">
        <f t="shared" si="34"/>
        <v>18.05752214005901</v>
      </c>
      <c r="AF116" s="126">
        <f t="shared" si="34"/>
        <v>17.937185818580947</v>
      </c>
      <c r="AG116" s="126"/>
      <c r="AH116" s="126"/>
      <c r="AI116" s="126"/>
      <c r="AJ116" s="126"/>
      <c r="AK116" s="126"/>
      <c r="AL116" s="126"/>
      <c r="AM116" s="126"/>
      <c r="AN116" s="126"/>
    </row>
    <row r="117" spans="1:40">
      <c r="A117" s="132" t="s">
        <v>854</v>
      </c>
      <c r="B117" s="126">
        <f t="shared" ref="B117:AF117" si="35">C37*(C77/SUMIF($A$42:$A$79,$A117,C$42:C$79))</f>
        <v>0</v>
      </c>
      <c r="C117" s="126">
        <f t="shared" si="35"/>
        <v>0</v>
      </c>
      <c r="D117" s="126">
        <f t="shared" si="35"/>
        <v>0</v>
      </c>
      <c r="E117" s="126">
        <f t="shared" si="35"/>
        <v>0</v>
      </c>
      <c r="F117" s="126">
        <f t="shared" si="35"/>
        <v>0</v>
      </c>
      <c r="G117" s="126">
        <f t="shared" si="35"/>
        <v>0</v>
      </c>
      <c r="H117" s="126">
        <f t="shared" si="35"/>
        <v>0</v>
      </c>
      <c r="I117" s="126">
        <f t="shared" si="35"/>
        <v>0</v>
      </c>
      <c r="J117" s="126">
        <f t="shared" si="35"/>
        <v>0</v>
      </c>
      <c r="K117" s="126">
        <f t="shared" si="35"/>
        <v>0</v>
      </c>
      <c r="L117" s="126">
        <f t="shared" si="35"/>
        <v>0</v>
      </c>
      <c r="M117" s="126">
        <f t="shared" si="35"/>
        <v>0</v>
      </c>
      <c r="N117" s="126">
        <f t="shared" si="35"/>
        <v>0</v>
      </c>
      <c r="O117" s="126">
        <f t="shared" si="35"/>
        <v>0</v>
      </c>
      <c r="P117" s="126">
        <f t="shared" si="35"/>
        <v>0</v>
      </c>
      <c r="Q117" s="126">
        <f t="shared" si="35"/>
        <v>0</v>
      </c>
      <c r="R117" s="126">
        <f t="shared" si="35"/>
        <v>0</v>
      </c>
      <c r="S117" s="126">
        <f t="shared" si="35"/>
        <v>0</v>
      </c>
      <c r="T117" s="126">
        <f t="shared" si="35"/>
        <v>0</v>
      </c>
      <c r="U117" s="126">
        <f t="shared" si="35"/>
        <v>0</v>
      </c>
      <c r="V117" s="126">
        <f t="shared" si="35"/>
        <v>0</v>
      </c>
      <c r="W117" s="126">
        <f t="shared" si="35"/>
        <v>0</v>
      </c>
      <c r="X117" s="126">
        <f t="shared" si="35"/>
        <v>0</v>
      </c>
      <c r="Y117" s="126">
        <f t="shared" si="35"/>
        <v>0</v>
      </c>
      <c r="Z117" s="126">
        <f t="shared" si="35"/>
        <v>0</v>
      </c>
      <c r="AA117" s="126">
        <f t="shared" si="35"/>
        <v>0</v>
      </c>
      <c r="AB117" s="126">
        <f t="shared" si="35"/>
        <v>0</v>
      </c>
      <c r="AC117" s="126">
        <f t="shared" si="35"/>
        <v>0</v>
      </c>
      <c r="AD117" s="126">
        <f t="shared" si="35"/>
        <v>0</v>
      </c>
      <c r="AE117" s="126">
        <f t="shared" si="35"/>
        <v>0</v>
      </c>
      <c r="AF117" s="126">
        <f t="shared" si="35"/>
        <v>0</v>
      </c>
      <c r="AG117" s="126"/>
      <c r="AH117" s="126"/>
      <c r="AI117" s="126"/>
      <c r="AJ117" s="126"/>
      <c r="AK117" s="126"/>
      <c r="AL117" s="126"/>
      <c r="AM117" s="126"/>
      <c r="AN117" s="126"/>
    </row>
    <row r="118" spans="1:40">
      <c r="A118" s="132" t="s">
        <v>854</v>
      </c>
      <c r="B118" s="126">
        <f t="shared" ref="B118:AF118" si="36">C38*(C78/SUMIF($A$42:$A$79,$A118,C$42:C$79))</f>
        <v>1.0840379830057956</v>
      </c>
      <c r="C118" s="126">
        <f t="shared" si="36"/>
        <v>1.567641804910038</v>
      </c>
      <c r="D118" s="126">
        <f t="shared" si="36"/>
        <v>1.7951375023852223</v>
      </c>
      <c r="E118" s="126">
        <f t="shared" si="36"/>
        <v>2.1098558812071251</v>
      </c>
      <c r="F118" s="126">
        <f t="shared" si="36"/>
        <v>2.471334054194342</v>
      </c>
      <c r="G118" s="126">
        <f t="shared" si="36"/>
        <v>2.8808087795811752</v>
      </c>
      <c r="H118" s="126">
        <f t="shared" si="36"/>
        <v>3.1988705407981275</v>
      </c>
      <c r="I118" s="126">
        <f t="shared" si="36"/>
        <v>3.4962095000399094</v>
      </c>
      <c r="J118" s="126">
        <f t="shared" si="36"/>
        <v>3.7947604388429892</v>
      </c>
      <c r="K118" s="126">
        <f t="shared" si="36"/>
        <v>4.0939637830685047</v>
      </c>
      <c r="L118" s="126">
        <f t="shared" si="36"/>
        <v>4.3290861822604105</v>
      </c>
      <c r="M118" s="126">
        <f t="shared" si="36"/>
        <v>4.6149169360656064</v>
      </c>
      <c r="N118" s="126">
        <f t="shared" si="36"/>
        <v>4.9043893569268739</v>
      </c>
      <c r="O118" s="126">
        <f t="shared" si="36"/>
        <v>5.1831401236622465</v>
      </c>
      <c r="P118" s="126">
        <f t="shared" si="36"/>
        <v>5.4332828375891058</v>
      </c>
      <c r="Q118" s="126">
        <f t="shared" si="36"/>
        <v>5.7241776566475338</v>
      </c>
      <c r="R118" s="126">
        <f t="shared" si="36"/>
        <v>6.0105096142813732</v>
      </c>
      <c r="S118" s="126">
        <f t="shared" si="36"/>
        <v>6.2534091414790716</v>
      </c>
      <c r="T118" s="126">
        <f t="shared" si="36"/>
        <v>6.4670462124042372</v>
      </c>
      <c r="U118" s="126">
        <f t="shared" si="36"/>
        <v>6.6826741197896755</v>
      </c>
      <c r="V118" s="126">
        <f t="shared" si="36"/>
        <v>6.8779107665263597</v>
      </c>
      <c r="W118" s="126">
        <f t="shared" si="36"/>
        <v>7.0515141708579918</v>
      </c>
      <c r="X118" s="126">
        <f t="shared" si="36"/>
        <v>7.2203058007328895</v>
      </c>
      <c r="Y118" s="126">
        <f t="shared" si="36"/>
        <v>7.378239013864281</v>
      </c>
      <c r="Z118" s="126">
        <f t="shared" si="36"/>
        <v>7.5188629498162536</v>
      </c>
      <c r="AA118" s="126">
        <f t="shared" si="36"/>
        <v>7.6398445954182383</v>
      </c>
      <c r="AB118" s="126">
        <f t="shared" si="36"/>
        <v>7.7648176807127971</v>
      </c>
      <c r="AC118" s="126">
        <f t="shared" si="36"/>
        <v>7.8908028806217656</v>
      </c>
      <c r="AD118" s="126">
        <f t="shared" si="36"/>
        <v>8.0073986801784685</v>
      </c>
      <c r="AE118" s="126">
        <f t="shared" si="36"/>
        <v>8.1149864104605296</v>
      </c>
      <c r="AF118" s="126">
        <f t="shared" si="36"/>
        <v>8.1989974527376379</v>
      </c>
      <c r="AG118" s="126"/>
      <c r="AH118" s="126"/>
      <c r="AI118" s="126"/>
      <c r="AJ118" s="126"/>
      <c r="AK118" s="126"/>
      <c r="AL118" s="126"/>
      <c r="AM118" s="126"/>
      <c r="AN118" s="126"/>
    </row>
    <row r="119" spans="1:40">
      <c r="A119" s="132"/>
      <c r="B119" s="126" t="e">
        <f t="shared" ref="B119:AF119" si="37">C39*(C79/SUMIF($A$42:$A$79,$A119,C$42:C$79))</f>
        <v>#DIV/0!</v>
      </c>
      <c r="C119" s="126" t="e">
        <f t="shared" si="37"/>
        <v>#DIV/0!</v>
      </c>
      <c r="D119" s="126" t="e">
        <f t="shared" si="37"/>
        <v>#DIV/0!</v>
      </c>
      <c r="E119" s="126" t="e">
        <f t="shared" si="37"/>
        <v>#DIV/0!</v>
      </c>
      <c r="F119" s="126" t="e">
        <f t="shared" si="37"/>
        <v>#DIV/0!</v>
      </c>
      <c r="G119" s="126" t="e">
        <f t="shared" si="37"/>
        <v>#DIV/0!</v>
      </c>
      <c r="H119" s="126" t="e">
        <f t="shared" si="37"/>
        <v>#DIV/0!</v>
      </c>
      <c r="I119" s="126" t="e">
        <f t="shared" si="37"/>
        <v>#DIV/0!</v>
      </c>
      <c r="J119" s="126" t="e">
        <f t="shared" si="37"/>
        <v>#DIV/0!</v>
      </c>
      <c r="K119" s="126" t="e">
        <f t="shared" si="37"/>
        <v>#DIV/0!</v>
      </c>
      <c r="L119" s="126" t="e">
        <f t="shared" si="37"/>
        <v>#DIV/0!</v>
      </c>
      <c r="M119" s="126" t="e">
        <f t="shared" si="37"/>
        <v>#DIV/0!</v>
      </c>
      <c r="N119" s="126" t="e">
        <f t="shared" si="37"/>
        <v>#DIV/0!</v>
      </c>
      <c r="O119" s="126" t="e">
        <f t="shared" si="37"/>
        <v>#DIV/0!</v>
      </c>
      <c r="P119" s="126" t="e">
        <f t="shared" si="37"/>
        <v>#DIV/0!</v>
      </c>
      <c r="Q119" s="126" t="e">
        <f t="shared" si="37"/>
        <v>#DIV/0!</v>
      </c>
      <c r="R119" s="126" t="e">
        <f t="shared" si="37"/>
        <v>#DIV/0!</v>
      </c>
      <c r="S119" s="126" t="e">
        <f t="shared" si="37"/>
        <v>#DIV/0!</v>
      </c>
      <c r="T119" s="126" t="e">
        <f t="shared" si="37"/>
        <v>#DIV/0!</v>
      </c>
      <c r="U119" s="126" t="e">
        <f t="shared" si="37"/>
        <v>#DIV/0!</v>
      </c>
      <c r="V119" s="126" t="e">
        <f t="shared" si="37"/>
        <v>#DIV/0!</v>
      </c>
      <c r="W119" s="126" t="e">
        <f t="shared" si="37"/>
        <v>#DIV/0!</v>
      </c>
      <c r="X119" s="126" t="e">
        <f t="shared" si="37"/>
        <v>#DIV/0!</v>
      </c>
      <c r="Y119" s="126" t="e">
        <f t="shared" si="37"/>
        <v>#DIV/0!</v>
      </c>
      <c r="Z119" s="126" t="e">
        <f t="shared" si="37"/>
        <v>#DIV/0!</v>
      </c>
      <c r="AA119" s="126" t="e">
        <f t="shared" si="37"/>
        <v>#DIV/0!</v>
      </c>
      <c r="AB119" s="126" t="e">
        <f t="shared" si="37"/>
        <v>#DIV/0!</v>
      </c>
      <c r="AC119" s="126" t="e">
        <f t="shared" si="37"/>
        <v>#DIV/0!</v>
      </c>
      <c r="AD119" s="126" t="e">
        <f t="shared" si="37"/>
        <v>#DIV/0!</v>
      </c>
      <c r="AE119" s="126" t="e">
        <f t="shared" si="37"/>
        <v>#DIV/0!</v>
      </c>
      <c r="AF119" s="126" t="e">
        <f t="shared" si="37"/>
        <v>#DIV/0!</v>
      </c>
      <c r="AG119" s="126"/>
      <c r="AH119" s="126"/>
      <c r="AI119" s="126"/>
      <c r="AJ119" s="126"/>
      <c r="AK119" s="126"/>
      <c r="AL119" s="126"/>
      <c r="AM119" s="126"/>
      <c r="AN119" s="126"/>
    </row>
    <row r="120" spans="1:40" s="8" customFormat="1"/>
    <row r="121" spans="1:40" s="8" customFormat="1"/>
    <row r="122" spans="1:40" s="8" customFormat="1"/>
    <row r="123" spans="1:40" s="8" customFormat="1"/>
    <row r="124" spans="1:40" s="8" customFormat="1"/>
    <row r="125" spans="1:40" s="8" customFormat="1"/>
    <row r="126" spans="1:40" s="8" customFormat="1"/>
    <row r="127" spans="1:40" s="8" customFormat="1"/>
    <row r="128" spans="1:40" s="8" customFormat="1"/>
    <row r="129" s="8" customFormat="1"/>
    <row r="130" s="8" customFormat="1"/>
    <row r="131" s="8" customFormat="1"/>
    <row r="132" s="8" customFormat="1"/>
    <row r="133" s="8" customFormat="1"/>
    <row r="134" s="8" customFormat="1"/>
    <row r="135" s="8" customFormat="1"/>
    <row r="136" s="8" customFormat="1"/>
    <row r="137" s="8" customFormat="1"/>
    <row r="138" s="8" customFormat="1"/>
    <row r="139" s="8" customFormat="1"/>
    <row r="140" s="8" customFormat="1"/>
    <row r="141" s="8" customFormat="1"/>
    <row r="142" s="8" customFormat="1"/>
    <row r="143" s="8" customFormat="1"/>
    <row r="144" s="8" customFormat="1"/>
    <row r="145" s="8" customFormat="1"/>
    <row r="146" s="8" customFormat="1"/>
    <row r="147" s="8" customFormat="1"/>
    <row r="148" s="8" customFormat="1"/>
    <row r="149" s="8" customFormat="1"/>
    <row r="150" s="8" customFormat="1"/>
    <row r="151" s="8" customFormat="1"/>
    <row r="152" s="8" customFormat="1"/>
    <row r="153" s="8" customFormat="1"/>
    <row r="154" s="8" customFormat="1"/>
    <row r="155" s="8" customFormat="1"/>
    <row r="156" s="8" customFormat="1"/>
    <row r="157" s="8" customFormat="1"/>
    <row r="158" s="8" customFormat="1"/>
    <row r="159" s="8" customFormat="1"/>
    <row r="160" s="8" customFormat="1"/>
    <row r="161" s="8" customFormat="1"/>
    <row r="162" s="8" customFormat="1"/>
    <row r="163" s="8" customFormat="1"/>
    <row r="164" s="8" customFormat="1"/>
    <row r="165" s="8" customFormat="1"/>
    <row r="166" s="8" customFormat="1"/>
    <row r="167" s="8" customFormat="1"/>
    <row r="168" s="8" customFormat="1"/>
    <row r="169" s="8" customFormat="1"/>
    <row r="170" s="8" customFormat="1"/>
    <row r="171" s="8" customFormat="1"/>
    <row r="172" s="8" customFormat="1"/>
    <row r="173" s="8" customFormat="1"/>
    <row r="174" s="8" customFormat="1"/>
    <row r="175" s="8" customFormat="1"/>
    <row r="176" s="8" customFormat="1"/>
    <row r="177" s="8" customFormat="1"/>
    <row r="178" s="8" customFormat="1"/>
    <row r="179" s="8" customFormat="1"/>
    <row r="180" s="8" customFormat="1"/>
    <row r="181" s="8" customFormat="1"/>
    <row r="182" s="8" customFormat="1"/>
    <row r="183" s="8" customFormat="1"/>
    <row r="184" s="8" customFormat="1"/>
    <row r="185" s="8" customFormat="1"/>
    <row r="186" s="8" customFormat="1"/>
    <row r="187" s="8" customFormat="1"/>
    <row r="188" s="8" customFormat="1"/>
    <row r="189" s="8" customFormat="1"/>
    <row r="190" s="8" customFormat="1"/>
    <row r="191" s="8" customFormat="1"/>
    <row r="192" s="8" customFormat="1"/>
    <row r="193" s="8" customFormat="1"/>
    <row r="194" s="8" customFormat="1"/>
    <row r="195" s="8" customFormat="1"/>
    <row r="196" s="8" customFormat="1"/>
    <row r="197" s="8" customFormat="1"/>
    <row r="198" s="8" customFormat="1"/>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L83"/>
  <sheetViews>
    <sheetView workbookViewId="0"/>
  </sheetViews>
  <sheetFormatPr defaultRowHeight="12.5"/>
  <cols>
    <col min="1" max="1" width="41.7265625" style="91" customWidth="1"/>
    <col min="2" max="32" width="8.81640625" style="91" hidden="1" customWidth="1"/>
    <col min="33" max="35" width="8.81640625" style="91" bestFit="1" customWidth="1"/>
    <col min="36" max="37" width="8.81640625" style="91" customWidth="1"/>
    <col min="38" max="245" width="9.08984375" style="91"/>
    <col min="246" max="246" width="37.7265625" style="91" customWidth="1"/>
    <col min="247" max="273" width="12.08984375" style="91" customWidth="1"/>
    <col min="274" max="274" width="12.7265625" style="91" customWidth="1"/>
    <col min="275" max="276" width="9.08984375" style="91"/>
    <col min="277" max="278" width="13.36328125" style="91" customWidth="1"/>
    <col min="279" max="279" width="13.81640625" style="91" customWidth="1"/>
    <col min="280" max="501" width="9.08984375" style="91"/>
    <col min="502" max="502" width="37.7265625" style="91" customWidth="1"/>
    <col min="503" max="529" width="12.08984375" style="91" customWidth="1"/>
    <col min="530" max="530" width="12.7265625" style="91" customWidth="1"/>
    <col min="531" max="532" width="9.08984375" style="91"/>
    <col min="533" max="534" width="13.36328125" style="91" customWidth="1"/>
    <col min="535" max="535" width="13.81640625" style="91" customWidth="1"/>
    <col min="536" max="757" width="9.08984375" style="91"/>
    <col min="758" max="758" width="37.7265625" style="91" customWidth="1"/>
    <col min="759" max="785" width="12.08984375" style="91" customWidth="1"/>
    <col min="786" max="786" width="12.7265625" style="91" customWidth="1"/>
    <col min="787" max="788" width="9.08984375" style="91"/>
    <col min="789" max="790" width="13.36328125" style="91" customWidth="1"/>
    <col min="791" max="791" width="13.81640625" style="91" customWidth="1"/>
    <col min="792" max="1013" width="9.08984375" style="91"/>
    <col min="1014" max="1014" width="37.7265625" style="91" customWidth="1"/>
    <col min="1015" max="1041" width="12.08984375" style="91" customWidth="1"/>
    <col min="1042" max="1042" width="12.7265625" style="91" customWidth="1"/>
    <col min="1043" max="1044" width="9.08984375" style="91"/>
    <col min="1045" max="1046" width="13.36328125" style="91" customWidth="1"/>
    <col min="1047" max="1047" width="13.81640625" style="91" customWidth="1"/>
    <col min="1048" max="1269" width="9.08984375" style="91"/>
    <col min="1270" max="1270" width="37.7265625" style="91" customWidth="1"/>
    <col min="1271" max="1297" width="12.08984375" style="91" customWidth="1"/>
    <col min="1298" max="1298" width="12.7265625" style="91" customWidth="1"/>
    <col min="1299" max="1300" width="9.08984375" style="91"/>
    <col min="1301" max="1302" width="13.36328125" style="91" customWidth="1"/>
    <col min="1303" max="1303" width="13.81640625" style="91" customWidth="1"/>
    <col min="1304" max="1525" width="9.08984375" style="91"/>
    <col min="1526" max="1526" width="37.7265625" style="91" customWidth="1"/>
    <col min="1527" max="1553" width="12.08984375" style="91" customWidth="1"/>
    <col min="1554" max="1554" width="12.7265625" style="91" customWidth="1"/>
    <col min="1555" max="1556" width="9.08984375" style="91"/>
    <col min="1557" max="1558" width="13.36328125" style="91" customWidth="1"/>
    <col min="1559" max="1559" width="13.81640625" style="91" customWidth="1"/>
    <col min="1560" max="1781" width="9.08984375" style="91"/>
    <col min="1782" max="1782" width="37.7265625" style="91" customWidth="1"/>
    <col min="1783" max="1809" width="12.08984375" style="91" customWidth="1"/>
    <col min="1810" max="1810" width="12.7265625" style="91" customWidth="1"/>
    <col min="1811" max="1812" width="9.08984375" style="91"/>
    <col min="1813" max="1814" width="13.36328125" style="91" customWidth="1"/>
    <col min="1815" max="1815" width="13.81640625" style="91" customWidth="1"/>
    <col min="1816" max="2037" width="9.08984375" style="91"/>
    <col min="2038" max="2038" width="37.7265625" style="91" customWidth="1"/>
    <col min="2039" max="2065" width="12.08984375" style="91" customWidth="1"/>
    <col min="2066" max="2066" width="12.7265625" style="91" customWidth="1"/>
    <col min="2067" max="2068" width="9.08984375" style="91"/>
    <col min="2069" max="2070" width="13.36328125" style="91" customWidth="1"/>
    <col min="2071" max="2071" width="13.81640625" style="91" customWidth="1"/>
    <col min="2072" max="2293" width="9.08984375" style="91"/>
    <col min="2294" max="2294" width="37.7265625" style="91" customWidth="1"/>
    <col min="2295" max="2321" width="12.08984375" style="91" customWidth="1"/>
    <col min="2322" max="2322" width="12.7265625" style="91" customWidth="1"/>
    <col min="2323" max="2324" width="9.08984375" style="91"/>
    <col min="2325" max="2326" width="13.36328125" style="91" customWidth="1"/>
    <col min="2327" max="2327" width="13.81640625" style="91" customWidth="1"/>
    <col min="2328" max="2549" width="9.08984375" style="91"/>
    <col min="2550" max="2550" width="37.7265625" style="91" customWidth="1"/>
    <col min="2551" max="2577" width="12.08984375" style="91" customWidth="1"/>
    <col min="2578" max="2578" width="12.7265625" style="91" customWidth="1"/>
    <col min="2579" max="2580" width="9.08984375" style="91"/>
    <col min="2581" max="2582" width="13.36328125" style="91" customWidth="1"/>
    <col min="2583" max="2583" width="13.81640625" style="91" customWidth="1"/>
    <col min="2584" max="2805" width="9.08984375" style="91"/>
    <col min="2806" max="2806" width="37.7265625" style="91" customWidth="1"/>
    <col min="2807" max="2833" width="12.08984375" style="91" customWidth="1"/>
    <col min="2834" max="2834" width="12.7265625" style="91" customWidth="1"/>
    <col min="2835" max="2836" width="9.08984375" style="91"/>
    <col min="2837" max="2838" width="13.36328125" style="91" customWidth="1"/>
    <col min="2839" max="2839" width="13.81640625" style="91" customWidth="1"/>
    <col min="2840" max="3061" width="9.08984375" style="91"/>
    <col min="3062" max="3062" width="37.7265625" style="91" customWidth="1"/>
    <col min="3063" max="3089" width="12.08984375" style="91" customWidth="1"/>
    <col min="3090" max="3090" width="12.7265625" style="91" customWidth="1"/>
    <col min="3091" max="3092" width="9.08984375" style="91"/>
    <col min="3093" max="3094" width="13.36328125" style="91" customWidth="1"/>
    <col min="3095" max="3095" width="13.81640625" style="91" customWidth="1"/>
    <col min="3096" max="3317" width="9.08984375" style="91"/>
    <col min="3318" max="3318" width="37.7265625" style="91" customWidth="1"/>
    <col min="3319" max="3345" width="12.08984375" style="91" customWidth="1"/>
    <col min="3346" max="3346" width="12.7265625" style="91" customWidth="1"/>
    <col min="3347" max="3348" width="9.08984375" style="91"/>
    <col min="3349" max="3350" width="13.36328125" style="91" customWidth="1"/>
    <col min="3351" max="3351" width="13.81640625" style="91" customWidth="1"/>
    <col min="3352" max="3573" width="9.08984375" style="91"/>
    <col min="3574" max="3574" width="37.7265625" style="91" customWidth="1"/>
    <col min="3575" max="3601" width="12.08984375" style="91" customWidth="1"/>
    <col min="3602" max="3602" width="12.7265625" style="91" customWidth="1"/>
    <col min="3603" max="3604" width="9.08984375" style="91"/>
    <col min="3605" max="3606" width="13.36328125" style="91" customWidth="1"/>
    <col min="3607" max="3607" width="13.81640625" style="91" customWidth="1"/>
    <col min="3608" max="3829" width="9.08984375" style="91"/>
    <col min="3830" max="3830" width="37.7265625" style="91" customWidth="1"/>
    <col min="3831" max="3857" width="12.08984375" style="91" customWidth="1"/>
    <col min="3858" max="3858" width="12.7265625" style="91" customWidth="1"/>
    <col min="3859" max="3860" width="9.08984375" style="91"/>
    <col min="3861" max="3862" width="13.36328125" style="91" customWidth="1"/>
    <col min="3863" max="3863" width="13.81640625" style="91" customWidth="1"/>
    <col min="3864" max="4085" width="9.08984375" style="91"/>
    <col min="4086" max="4086" width="37.7265625" style="91" customWidth="1"/>
    <col min="4087" max="4113" width="12.08984375" style="91" customWidth="1"/>
    <col min="4114" max="4114" width="12.7265625" style="91" customWidth="1"/>
    <col min="4115" max="4116" width="9.08984375" style="91"/>
    <col min="4117" max="4118" width="13.36328125" style="91" customWidth="1"/>
    <col min="4119" max="4119" width="13.81640625" style="91" customWidth="1"/>
    <col min="4120" max="4341" width="9.08984375" style="91"/>
    <col min="4342" max="4342" width="37.7265625" style="91" customWidth="1"/>
    <col min="4343" max="4369" width="12.08984375" style="91" customWidth="1"/>
    <col min="4370" max="4370" width="12.7265625" style="91" customWidth="1"/>
    <col min="4371" max="4372" width="9.08984375" style="91"/>
    <col min="4373" max="4374" width="13.36328125" style="91" customWidth="1"/>
    <col min="4375" max="4375" width="13.81640625" style="91" customWidth="1"/>
    <col min="4376" max="4597" width="9.08984375" style="91"/>
    <col min="4598" max="4598" width="37.7265625" style="91" customWidth="1"/>
    <col min="4599" max="4625" width="12.08984375" style="91" customWidth="1"/>
    <col min="4626" max="4626" width="12.7265625" style="91" customWidth="1"/>
    <col min="4627" max="4628" width="9.08984375" style="91"/>
    <col min="4629" max="4630" width="13.36328125" style="91" customWidth="1"/>
    <col min="4631" max="4631" width="13.81640625" style="91" customWidth="1"/>
    <col min="4632" max="4853" width="9.08984375" style="91"/>
    <col min="4854" max="4854" width="37.7265625" style="91" customWidth="1"/>
    <col min="4855" max="4881" width="12.08984375" style="91" customWidth="1"/>
    <col min="4882" max="4882" width="12.7265625" style="91" customWidth="1"/>
    <col min="4883" max="4884" width="9.08984375" style="91"/>
    <col min="4885" max="4886" width="13.36328125" style="91" customWidth="1"/>
    <col min="4887" max="4887" width="13.81640625" style="91" customWidth="1"/>
    <col min="4888" max="5109" width="9.08984375" style="91"/>
    <col min="5110" max="5110" width="37.7265625" style="91" customWidth="1"/>
    <col min="5111" max="5137" width="12.08984375" style="91" customWidth="1"/>
    <col min="5138" max="5138" width="12.7265625" style="91" customWidth="1"/>
    <col min="5139" max="5140" width="9.08984375" style="91"/>
    <col min="5141" max="5142" width="13.36328125" style="91" customWidth="1"/>
    <col min="5143" max="5143" width="13.81640625" style="91" customWidth="1"/>
    <col min="5144" max="5365" width="9.08984375" style="91"/>
    <col min="5366" max="5366" width="37.7265625" style="91" customWidth="1"/>
    <col min="5367" max="5393" width="12.08984375" style="91" customWidth="1"/>
    <col min="5394" max="5394" width="12.7265625" style="91" customWidth="1"/>
    <col min="5395" max="5396" width="9.08984375" style="91"/>
    <col min="5397" max="5398" width="13.36328125" style="91" customWidth="1"/>
    <col min="5399" max="5399" width="13.81640625" style="91" customWidth="1"/>
    <col min="5400" max="5621" width="9.08984375" style="91"/>
    <col min="5622" max="5622" width="37.7265625" style="91" customWidth="1"/>
    <col min="5623" max="5649" width="12.08984375" style="91" customWidth="1"/>
    <col min="5650" max="5650" width="12.7265625" style="91" customWidth="1"/>
    <col min="5651" max="5652" width="9.08984375" style="91"/>
    <col min="5653" max="5654" width="13.36328125" style="91" customWidth="1"/>
    <col min="5655" max="5655" width="13.81640625" style="91" customWidth="1"/>
    <col min="5656" max="5877" width="9.08984375" style="91"/>
    <col min="5878" max="5878" width="37.7265625" style="91" customWidth="1"/>
    <col min="5879" max="5905" width="12.08984375" style="91" customWidth="1"/>
    <col min="5906" max="5906" width="12.7265625" style="91" customWidth="1"/>
    <col min="5907" max="5908" width="9.08984375" style="91"/>
    <col min="5909" max="5910" width="13.36328125" style="91" customWidth="1"/>
    <col min="5911" max="5911" width="13.81640625" style="91" customWidth="1"/>
    <col min="5912" max="6133" width="9.08984375" style="91"/>
    <col min="6134" max="6134" width="37.7265625" style="91" customWidth="1"/>
    <col min="6135" max="6161" width="12.08984375" style="91" customWidth="1"/>
    <col min="6162" max="6162" width="12.7265625" style="91" customWidth="1"/>
    <col min="6163" max="6164" width="9.08984375" style="91"/>
    <col min="6165" max="6166" width="13.36328125" style="91" customWidth="1"/>
    <col min="6167" max="6167" width="13.81640625" style="91" customWidth="1"/>
    <col min="6168" max="6389" width="9.08984375" style="91"/>
    <col min="6390" max="6390" width="37.7265625" style="91" customWidth="1"/>
    <col min="6391" max="6417" width="12.08984375" style="91" customWidth="1"/>
    <col min="6418" max="6418" width="12.7265625" style="91" customWidth="1"/>
    <col min="6419" max="6420" width="9.08984375" style="91"/>
    <col min="6421" max="6422" width="13.36328125" style="91" customWidth="1"/>
    <col min="6423" max="6423" width="13.81640625" style="91" customWidth="1"/>
    <col min="6424" max="6645" width="9.08984375" style="91"/>
    <col min="6646" max="6646" width="37.7265625" style="91" customWidth="1"/>
    <col min="6647" max="6673" width="12.08984375" style="91" customWidth="1"/>
    <col min="6674" max="6674" width="12.7265625" style="91" customWidth="1"/>
    <col min="6675" max="6676" width="9.08984375" style="91"/>
    <col min="6677" max="6678" width="13.36328125" style="91" customWidth="1"/>
    <col min="6679" max="6679" width="13.81640625" style="91" customWidth="1"/>
    <col min="6680" max="6901" width="9.08984375" style="91"/>
    <col min="6902" max="6902" width="37.7265625" style="91" customWidth="1"/>
    <col min="6903" max="6929" width="12.08984375" style="91" customWidth="1"/>
    <col min="6930" max="6930" width="12.7265625" style="91" customWidth="1"/>
    <col min="6931" max="6932" width="9.08984375" style="91"/>
    <col min="6933" max="6934" width="13.36328125" style="91" customWidth="1"/>
    <col min="6935" max="6935" width="13.81640625" style="91" customWidth="1"/>
    <col min="6936" max="7157" width="9.08984375" style="91"/>
    <col min="7158" max="7158" width="37.7265625" style="91" customWidth="1"/>
    <col min="7159" max="7185" width="12.08984375" style="91" customWidth="1"/>
    <col min="7186" max="7186" width="12.7265625" style="91" customWidth="1"/>
    <col min="7187" max="7188" width="9.08984375" style="91"/>
    <col min="7189" max="7190" width="13.36328125" style="91" customWidth="1"/>
    <col min="7191" max="7191" width="13.81640625" style="91" customWidth="1"/>
    <col min="7192" max="7413" width="9.08984375" style="91"/>
    <col min="7414" max="7414" width="37.7265625" style="91" customWidth="1"/>
    <col min="7415" max="7441" width="12.08984375" style="91" customWidth="1"/>
    <col min="7442" max="7442" width="12.7265625" style="91" customWidth="1"/>
    <col min="7443" max="7444" width="9.08984375" style="91"/>
    <col min="7445" max="7446" width="13.36328125" style="91" customWidth="1"/>
    <col min="7447" max="7447" width="13.81640625" style="91" customWidth="1"/>
    <col min="7448" max="7669" width="9.08984375" style="91"/>
    <col min="7670" max="7670" width="37.7265625" style="91" customWidth="1"/>
    <col min="7671" max="7697" width="12.08984375" style="91" customWidth="1"/>
    <col min="7698" max="7698" width="12.7265625" style="91" customWidth="1"/>
    <col min="7699" max="7700" width="9.08984375" style="91"/>
    <col min="7701" max="7702" width="13.36328125" style="91" customWidth="1"/>
    <col min="7703" max="7703" width="13.81640625" style="91" customWidth="1"/>
    <col min="7704" max="7925" width="9.08984375" style="91"/>
    <col min="7926" max="7926" width="37.7265625" style="91" customWidth="1"/>
    <col min="7927" max="7953" width="12.08984375" style="91" customWidth="1"/>
    <col min="7954" max="7954" width="12.7265625" style="91" customWidth="1"/>
    <col min="7955" max="7956" width="9.08984375" style="91"/>
    <col min="7957" max="7958" width="13.36328125" style="91" customWidth="1"/>
    <col min="7959" max="7959" width="13.81640625" style="91" customWidth="1"/>
    <col min="7960" max="8181" width="9.08984375" style="91"/>
    <col min="8182" max="8182" width="37.7265625" style="91" customWidth="1"/>
    <col min="8183" max="8209" width="12.08984375" style="91" customWidth="1"/>
    <col min="8210" max="8210" width="12.7265625" style="91" customWidth="1"/>
    <col min="8211" max="8212" width="9.08984375" style="91"/>
    <col min="8213" max="8214" width="13.36328125" style="91" customWidth="1"/>
    <col min="8215" max="8215" width="13.81640625" style="91" customWidth="1"/>
    <col min="8216" max="8437" width="9.08984375" style="91"/>
    <col min="8438" max="8438" width="37.7265625" style="91" customWidth="1"/>
    <col min="8439" max="8465" width="12.08984375" style="91" customWidth="1"/>
    <col min="8466" max="8466" width="12.7265625" style="91" customWidth="1"/>
    <col min="8467" max="8468" width="9.08984375" style="91"/>
    <col min="8469" max="8470" width="13.36328125" style="91" customWidth="1"/>
    <col min="8471" max="8471" width="13.81640625" style="91" customWidth="1"/>
    <col min="8472" max="8693" width="9.08984375" style="91"/>
    <col min="8694" max="8694" width="37.7265625" style="91" customWidth="1"/>
    <col min="8695" max="8721" width="12.08984375" style="91" customWidth="1"/>
    <col min="8722" max="8722" width="12.7265625" style="91" customWidth="1"/>
    <col min="8723" max="8724" width="9.08984375" style="91"/>
    <col min="8725" max="8726" width="13.36328125" style="91" customWidth="1"/>
    <col min="8727" max="8727" width="13.81640625" style="91" customWidth="1"/>
    <col min="8728" max="8949" width="9.08984375" style="91"/>
    <col min="8950" max="8950" width="37.7265625" style="91" customWidth="1"/>
    <col min="8951" max="8977" width="12.08984375" style="91" customWidth="1"/>
    <col min="8978" max="8978" width="12.7265625" style="91" customWidth="1"/>
    <col min="8979" max="8980" width="9.08984375" style="91"/>
    <col min="8981" max="8982" width="13.36328125" style="91" customWidth="1"/>
    <col min="8983" max="8983" width="13.81640625" style="91" customWidth="1"/>
    <col min="8984" max="9205" width="9.08984375" style="91"/>
    <col min="9206" max="9206" width="37.7265625" style="91" customWidth="1"/>
    <col min="9207" max="9233" width="12.08984375" style="91" customWidth="1"/>
    <col min="9234" max="9234" width="12.7265625" style="91" customWidth="1"/>
    <col min="9235" max="9236" width="9.08984375" style="91"/>
    <col min="9237" max="9238" width="13.36328125" style="91" customWidth="1"/>
    <col min="9239" max="9239" width="13.81640625" style="91" customWidth="1"/>
    <col min="9240" max="9461" width="9.08984375" style="91"/>
    <col min="9462" max="9462" width="37.7265625" style="91" customWidth="1"/>
    <col min="9463" max="9489" width="12.08984375" style="91" customWidth="1"/>
    <col min="9490" max="9490" width="12.7265625" style="91" customWidth="1"/>
    <col min="9491" max="9492" width="9.08984375" style="91"/>
    <col min="9493" max="9494" width="13.36328125" style="91" customWidth="1"/>
    <col min="9495" max="9495" width="13.81640625" style="91" customWidth="1"/>
    <col min="9496" max="9717" width="9.08984375" style="91"/>
    <col min="9718" max="9718" width="37.7265625" style="91" customWidth="1"/>
    <col min="9719" max="9745" width="12.08984375" style="91" customWidth="1"/>
    <col min="9746" max="9746" width="12.7265625" style="91" customWidth="1"/>
    <col min="9747" max="9748" width="9.08984375" style="91"/>
    <col min="9749" max="9750" width="13.36328125" style="91" customWidth="1"/>
    <col min="9751" max="9751" width="13.81640625" style="91" customWidth="1"/>
    <col min="9752" max="9973" width="9.08984375" style="91"/>
    <col min="9974" max="9974" width="37.7265625" style="91" customWidth="1"/>
    <col min="9975" max="10001" width="12.08984375" style="91" customWidth="1"/>
    <col min="10002" max="10002" width="12.7265625" style="91" customWidth="1"/>
    <col min="10003" max="10004" width="9.08984375" style="91"/>
    <col min="10005" max="10006" width="13.36328125" style="91" customWidth="1"/>
    <col min="10007" max="10007" width="13.81640625" style="91" customWidth="1"/>
    <col min="10008" max="10229" width="9.08984375" style="91"/>
    <col min="10230" max="10230" width="37.7265625" style="91" customWidth="1"/>
    <col min="10231" max="10257" width="12.08984375" style="91" customWidth="1"/>
    <col min="10258" max="10258" width="12.7265625" style="91" customWidth="1"/>
    <col min="10259" max="10260" width="9.08984375" style="91"/>
    <col min="10261" max="10262" width="13.36328125" style="91" customWidth="1"/>
    <col min="10263" max="10263" width="13.81640625" style="91" customWidth="1"/>
    <col min="10264" max="10485" width="9.08984375" style="91"/>
    <col min="10486" max="10486" width="37.7265625" style="91" customWidth="1"/>
    <col min="10487" max="10513" width="12.08984375" style="91" customWidth="1"/>
    <col min="10514" max="10514" width="12.7265625" style="91" customWidth="1"/>
    <col min="10515" max="10516" width="9.08984375" style="91"/>
    <col min="10517" max="10518" width="13.36328125" style="91" customWidth="1"/>
    <col min="10519" max="10519" width="13.81640625" style="91" customWidth="1"/>
    <col min="10520" max="10741" width="9.08984375" style="91"/>
    <col min="10742" max="10742" width="37.7265625" style="91" customWidth="1"/>
    <col min="10743" max="10769" width="12.08984375" style="91" customWidth="1"/>
    <col min="10770" max="10770" width="12.7265625" style="91" customWidth="1"/>
    <col min="10771" max="10772" width="9.08984375" style="91"/>
    <col min="10773" max="10774" width="13.36328125" style="91" customWidth="1"/>
    <col min="10775" max="10775" width="13.81640625" style="91" customWidth="1"/>
    <col min="10776" max="10997" width="9.08984375" style="91"/>
    <col min="10998" max="10998" width="37.7265625" style="91" customWidth="1"/>
    <col min="10999" max="11025" width="12.08984375" style="91" customWidth="1"/>
    <col min="11026" max="11026" width="12.7265625" style="91" customWidth="1"/>
    <col min="11027" max="11028" width="9.08984375" style="91"/>
    <col min="11029" max="11030" width="13.36328125" style="91" customWidth="1"/>
    <col min="11031" max="11031" width="13.81640625" style="91" customWidth="1"/>
    <col min="11032" max="11253" width="9.08984375" style="91"/>
    <col min="11254" max="11254" width="37.7265625" style="91" customWidth="1"/>
    <col min="11255" max="11281" width="12.08984375" style="91" customWidth="1"/>
    <col min="11282" max="11282" width="12.7265625" style="91" customWidth="1"/>
    <col min="11283" max="11284" width="9.08984375" style="91"/>
    <col min="11285" max="11286" width="13.36328125" style="91" customWidth="1"/>
    <col min="11287" max="11287" width="13.81640625" style="91" customWidth="1"/>
    <col min="11288" max="11509" width="9.08984375" style="91"/>
    <col min="11510" max="11510" width="37.7265625" style="91" customWidth="1"/>
    <col min="11511" max="11537" width="12.08984375" style="91" customWidth="1"/>
    <col min="11538" max="11538" width="12.7265625" style="91" customWidth="1"/>
    <col min="11539" max="11540" width="9.08984375" style="91"/>
    <col min="11541" max="11542" width="13.36328125" style="91" customWidth="1"/>
    <col min="11543" max="11543" width="13.81640625" style="91" customWidth="1"/>
    <col min="11544" max="11765" width="9.08984375" style="91"/>
    <col min="11766" max="11766" width="37.7265625" style="91" customWidth="1"/>
    <col min="11767" max="11793" width="12.08984375" style="91" customWidth="1"/>
    <col min="11794" max="11794" width="12.7265625" style="91" customWidth="1"/>
    <col min="11795" max="11796" width="9.08984375" style="91"/>
    <col min="11797" max="11798" width="13.36328125" style="91" customWidth="1"/>
    <col min="11799" max="11799" width="13.81640625" style="91" customWidth="1"/>
    <col min="11800" max="12021" width="9.08984375" style="91"/>
    <col min="12022" max="12022" width="37.7265625" style="91" customWidth="1"/>
    <col min="12023" max="12049" width="12.08984375" style="91" customWidth="1"/>
    <col min="12050" max="12050" width="12.7265625" style="91" customWidth="1"/>
    <col min="12051" max="12052" width="9.08984375" style="91"/>
    <col min="12053" max="12054" width="13.36328125" style="91" customWidth="1"/>
    <col min="12055" max="12055" width="13.81640625" style="91" customWidth="1"/>
    <col min="12056" max="12277" width="9.08984375" style="91"/>
    <col min="12278" max="12278" width="37.7265625" style="91" customWidth="1"/>
    <col min="12279" max="12305" width="12.08984375" style="91" customWidth="1"/>
    <col min="12306" max="12306" width="12.7265625" style="91" customWidth="1"/>
    <col min="12307" max="12308" width="9.08984375" style="91"/>
    <col min="12309" max="12310" width="13.36328125" style="91" customWidth="1"/>
    <col min="12311" max="12311" width="13.81640625" style="91" customWidth="1"/>
    <col min="12312" max="12533" width="9.08984375" style="91"/>
    <col min="12534" max="12534" width="37.7265625" style="91" customWidth="1"/>
    <col min="12535" max="12561" width="12.08984375" style="91" customWidth="1"/>
    <col min="12562" max="12562" width="12.7265625" style="91" customWidth="1"/>
    <col min="12563" max="12564" width="9.08984375" style="91"/>
    <col min="12565" max="12566" width="13.36328125" style="91" customWidth="1"/>
    <col min="12567" max="12567" width="13.81640625" style="91" customWidth="1"/>
    <col min="12568" max="12789" width="9.08984375" style="91"/>
    <col min="12790" max="12790" width="37.7265625" style="91" customWidth="1"/>
    <col min="12791" max="12817" width="12.08984375" style="91" customWidth="1"/>
    <col min="12818" max="12818" width="12.7265625" style="91" customWidth="1"/>
    <col min="12819" max="12820" width="9.08984375" style="91"/>
    <col min="12821" max="12822" width="13.36328125" style="91" customWidth="1"/>
    <col min="12823" max="12823" width="13.81640625" style="91" customWidth="1"/>
    <col min="12824" max="13045" width="9.08984375" style="91"/>
    <col min="13046" max="13046" width="37.7265625" style="91" customWidth="1"/>
    <col min="13047" max="13073" width="12.08984375" style="91" customWidth="1"/>
    <col min="13074" max="13074" width="12.7265625" style="91" customWidth="1"/>
    <col min="13075" max="13076" width="9.08984375" style="91"/>
    <col min="13077" max="13078" width="13.36328125" style="91" customWidth="1"/>
    <col min="13079" max="13079" width="13.81640625" style="91" customWidth="1"/>
    <col min="13080" max="13301" width="9.08984375" style="91"/>
    <col min="13302" max="13302" width="37.7265625" style="91" customWidth="1"/>
    <col min="13303" max="13329" width="12.08984375" style="91" customWidth="1"/>
    <col min="13330" max="13330" width="12.7265625" style="91" customWidth="1"/>
    <col min="13331" max="13332" width="9.08984375" style="91"/>
    <col min="13333" max="13334" width="13.36328125" style="91" customWidth="1"/>
    <col min="13335" max="13335" width="13.81640625" style="91" customWidth="1"/>
    <col min="13336" max="13557" width="9.08984375" style="91"/>
    <col min="13558" max="13558" width="37.7265625" style="91" customWidth="1"/>
    <col min="13559" max="13585" width="12.08984375" style="91" customWidth="1"/>
    <col min="13586" max="13586" width="12.7265625" style="91" customWidth="1"/>
    <col min="13587" max="13588" width="9.08984375" style="91"/>
    <col min="13589" max="13590" width="13.36328125" style="91" customWidth="1"/>
    <col min="13591" max="13591" width="13.81640625" style="91" customWidth="1"/>
    <col min="13592" max="13813" width="9.08984375" style="91"/>
    <col min="13814" max="13814" width="37.7265625" style="91" customWidth="1"/>
    <col min="13815" max="13841" width="12.08984375" style="91" customWidth="1"/>
    <col min="13842" max="13842" width="12.7265625" style="91" customWidth="1"/>
    <col min="13843" max="13844" width="9.08984375" style="91"/>
    <col min="13845" max="13846" width="13.36328125" style="91" customWidth="1"/>
    <col min="13847" max="13847" width="13.81640625" style="91" customWidth="1"/>
    <col min="13848" max="14069" width="9.08984375" style="91"/>
    <col min="14070" max="14070" width="37.7265625" style="91" customWidth="1"/>
    <col min="14071" max="14097" width="12.08984375" style="91" customWidth="1"/>
    <col min="14098" max="14098" width="12.7265625" style="91" customWidth="1"/>
    <col min="14099" max="14100" width="9.08984375" style="91"/>
    <col min="14101" max="14102" width="13.36328125" style="91" customWidth="1"/>
    <col min="14103" max="14103" width="13.81640625" style="91" customWidth="1"/>
    <col min="14104" max="14325" width="9.08984375" style="91"/>
    <col min="14326" max="14326" width="37.7265625" style="91" customWidth="1"/>
    <col min="14327" max="14353" width="12.08984375" style="91" customWidth="1"/>
    <col min="14354" max="14354" width="12.7265625" style="91" customWidth="1"/>
    <col min="14355" max="14356" width="9.08984375" style="91"/>
    <col min="14357" max="14358" width="13.36328125" style="91" customWidth="1"/>
    <col min="14359" max="14359" width="13.81640625" style="91" customWidth="1"/>
    <col min="14360" max="14581" width="9.08984375" style="91"/>
    <col min="14582" max="14582" width="37.7265625" style="91" customWidth="1"/>
    <col min="14583" max="14609" width="12.08984375" style="91" customWidth="1"/>
    <col min="14610" max="14610" width="12.7265625" style="91" customWidth="1"/>
    <col min="14611" max="14612" width="9.08984375" style="91"/>
    <col min="14613" max="14614" width="13.36328125" style="91" customWidth="1"/>
    <col min="14615" max="14615" width="13.81640625" style="91" customWidth="1"/>
    <col min="14616" max="14837" width="9.08984375" style="91"/>
    <col min="14838" max="14838" width="37.7265625" style="91" customWidth="1"/>
    <col min="14839" max="14865" width="12.08984375" style="91" customWidth="1"/>
    <col min="14866" max="14866" width="12.7265625" style="91" customWidth="1"/>
    <col min="14867" max="14868" width="9.08984375" style="91"/>
    <col min="14869" max="14870" width="13.36328125" style="91" customWidth="1"/>
    <col min="14871" max="14871" width="13.81640625" style="91" customWidth="1"/>
    <col min="14872" max="15093" width="9.08984375" style="91"/>
    <col min="15094" max="15094" width="37.7265625" style="91" customWidth="1"/>
    <col min="15095" max="15121" width="12.08984375" style="91" customWidth="1"/>
    <col min="15122" max="15122" width="12.7265625" style="91" customWidth="1"/>
    <col min="15123" max="15124" width="9.08984375" style="91"/>
    <col min="15125" max="15126" width="13.36328125" style="91" customWidth="1"/>
    <col min="15127" max="15127" width="13.81640625" style="91" customWidth="1"/>
    <col min="15128" max="15349" width="9.08984375" style="91"/>
    <col min="15350" max="15350" width="37.7265625" style="91" customWidth="1"/>
    <col min="15351" max="15377" width="12.08984375" style="91" customWidth="1"/>
    <col min="15378" max="15378" width="12.7265625" style="91" customWidth="1"/>
    <col min="15379" max="15380" width="9.08984375" style="91"/>
    <col min="15381" max="15382" width="13.36328125" style="91" customWidth="1"/>
    <col min="15383" max="15383" width="13.81640625" style="91" customWidth="1"/>
    <col min="15384" max="15605" width="9.08984375" style="91"/>
    <col min="15606" max="15606" width="37.7265625" style="91" customWidth="1"/>
    <col min="15607" max="15633" width="12.08984375" style="91" customWidth="1"/>
    <col min="15634" max="15634" width="12.7265625" style="91" customWidth="1"/>
    <col min="15635" max="15636" width="9.08984375" style="91"/>
    <col min="15637" max="15638" width="13.36328125" style="91" customWidth="1"/>
    <col min="15639" max="15639" width="13.81640625" style="91" customWidth="1"/>
    <col min="15640" max="15861" width="9.08984375" style="91"/>
    <col min="15862" max="15862" width="37.7265625" style="91" customWidth="1"/>
    <col min="15863" max="15889" width="12.08984375" style="91" customWidth="1"/>
    <col min="15890" max="15890" width="12.7265625" style="91" customWidth="1"/>
    <col min="15891" max="15892" width="9.08984375" style="91"/>
    <col min="15893" max="15894" width="13.36328125" style="91" customWidth="1"/>
    <col min="15895" max="15895" width="13.81640625" style="91" customWidth="1"/>
    <col min="15896" max="16117" width="9.08984375" style="91"/>
    <col min="16118" max="16118" width="37.7265625" style="91" customWidth="1"/>
    <col min="16119" max="16145" width="12.08984375" style="91" customWidth="1"/>
    <col min="16146" max="16146" width="12.7265625" style="91" customWidth="1"/>
    <col min="16147" max="16148" width="9.08984375" style="91"/>
    <col min="16149" max="16150" width="13.36328125" style="91" customWidth="1"/>
    <col min="16151" max="16151" width="13.81640625" style="91" customWidth="1"/>
    <col min="16152" max="16384" width="9.08984375" style="91"/>
  </cols>
  <sheetData>
    <row r="1" spans="1:38" s="73" customFormat="1" ht="16.5" customHeight="1" thickBot="1">
      <c r="A1" s="72" t="s">
        <v>535</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row>
    <row r="2" spans="1:38" s="77" customFormat="1" ht="16.5" customHeight="1">
      <c r="A2" s="74"/>
      <c r="B2" s="75">
        <v>1960</v>
      </c>
      <c r="C2" s="75">
        <v>1965</v>
      </c>
      <c r="D2" s="75">
        <v>1970</v>
      </c>
      <c r="E2" s="75">
        <v>1975</v>
      </c>
      <c r="F2" s="75">
        <v>1980</v>
      </c>
      <c r="G2" s="75">
        <v>1985</v>
      </c>
      <c r="H2" s="75">
        <v>1990</v>
      </c>
      <c r="I2" s="75">
        <v>1991</v>
      </c>
      <c r="J2" s="75">
        <v>1992</v>
      </c>
      <c r="K2" s="75">
        <v>1993</v>
      </c>
      <c r="L2" s="75">
        <v>1994</v>
      </c>
      <c r="M2" s="75">
        <v>1995</v>
      </c>
      <c r="N2" s="75">
        <v>1996</v>
      </c>
      <c r="O2" s="75">
        <v>1997</v>
      </c>
      <c r="P2" s="75">
        <v>1998</v>
      </c>
      <c r="Q2" s="75">
        <v>1999</v>
      </c>
      <c r="R2" s="75">
        <v>2000</v>
      </c>
      <c r="S2" s="75">
        <v>2001</v>
      </c>
      <c r="T2" s="74">
        <v>2002</v>
      </c>
      <c r="U2" s="74">
        <v>2003</v>
      </c>
      <c r="V2" s="76">
        <v>2004</v>
      </c>
      <c r="W2" s="74">
        <v>2005</v>
      </c>
      <c r="X2" s="74">
        <v>2006</v>
      </c>
      <c r="Y2" s="74">
        <v>2007</v>
      </c>
      <c r="Z2" s="74">
        <v>2008</v>
      </c>
      <c r="AA2" s="74">
        <v>2009</v>
      </c>
      <c r="AB2" s="74">
        <v>2010</v>
      </c>
      <c r="AC2" s="75">
        <v>2011</v>
      </c>
      <c r="AD2" s="75">
        <v>2012</v>
      </c>
      <c r="AE2" s="74">
        <v>2013</v>
      </c>
      <c r="AF2" s="75">
        <v>2014</v>
      </c>
      <c r="AG2" s="75">
        <v>2015</v>
      </c>
      <c r="AH2" s="75">
        <v>2016</v>
      </c>
      <c r="AI2" s="75">
        <v>2017</v>
      </c>
      <c r="AJ2" s="75">
        <v>2018</v>
      </c>
      <c r="AK2" s="75">
        <v>2019</v>
      </c>
    </row>
    <row r="3" spans="1:38" s="82" customFormat="1" ht="16.5" customHeight="1">
      <c r="A3" s="12" t="s">
        <v>534</v>
      </c>
      <c r="B3" s="78"/>
      <c r="C3" s="78"/>
      <c r="D3" s="78"/>
      <c r="E3" s="79"/>
      <c r="F3" s="79"/>
      <c r="G3" s="80"/>
      <c r="H3" s="80"/>
      <c r="I3" s="80"/>
      <c r="J3" s="80"/>
      <c r="K3" s="80"/>
      <c r="L3" s="80"/>
      <c r="M3" s="80"/>
      <c r="N3" s="80"/>
      <c r="O3" s="80"/>
      <c r="P3" s="80"/>
      <c r="Q3" s="80"/>
      <c r="R3" s="80"/>
      <c r="S3" s="78"/>
      <c r="T3" s="80"/>
      <c r="U3" s="80"/>
      <c r="V3" s="80"/>
      <c r="W3" s="80"/>
      <c r="X3" s="80"/>
      <c r="Y3" s="80"/>
      <c r="Z3" s="80"/>
      <c r="AA3" s="78"/>
      <c r="AB3" s="78"/>
      <c r="AC3" s="78"/>
      <c r="AD3" s="78"/>
      <c r="AE3" s="81"/>
      <c r="AF3" s="81"/>
      <c r="AG3" s="81"/>
      <c r="AH3" s="81"/>
      <c r="AI3" s="81"/>
      <c r="AJ3" s="81"/>
      <c r="AK3" s="81"/>
    </row>
    <row r="4" spans="1:38" s="82" customFormat="1" ht="16.5" customHeight="1">
      <c r="A4" s="10" t="s">
        <v>1120</v>
      </c>
      <c r="B4" s="83">
        <v>31099</v>
      </c>
      <c r="C4" s="83">
        <v>53226</v>
      </c>
      <c r="D4" s="83">
        <v>108442</v>
      </c>
      <c r="E4" s="84">
        <v>119591.474</v>
      </c>
      <c r="F4" s="84">
        <v>190765.929</v>
      </c>
      <c r="G4" s="84">
        <v>275863.54700000002</v>
      </c>
      <c r="H4" s="84">
        <v>337215.22553599998</v>
      </c>
      <c r="I4" s="84">
        <v>329787.96750099998</v>
      </c>
      <c r="J4" s="84">
        <v>345019.61278099997</v>
      </c>
      <c r="K4" s="84">
        <v>351096.458323</v>
      </c>
      <c r="L4" s="84">
        <v>376873.402328</v>
      </c>
      <c r="M4" s="84">
        <v>391593.82941200002</v>
      </c>
      <c r="N4" s="84">
        <v>419281.55251800001</v>
      </c>
      <c r="O4" s="84">
        <v>439262.67014</v>
      </c>
      <c r="P4" s="84">
        <v>449103.79910300003</v>
      </c>
      <c r="Q4" s="84">
        <v>473081.98319599999</v>
      </c>
      <c r="R4" s="84">
        <v>500431.77514500002</v>
      </c>
      <c r="S4" s="84">
        <v>473591.64681000001</v>
      </c>
      <c r="T4" s="84">
        <v>472190.76637199998</v>
      </c>
      <c r="U4" s="84">
        <v>497648.14399399998</v>
      </c>
      <c r="V4" s="84">
        <v>547931.15319800004</v>
      </c>
      <c r="W4" s="84">
        <v>572868.82004599995</v>
      </c>
      <c r="X4" s="84">
        <v>576823.04937200004</v>
      </c>
      <c r="Y4" s="84">
        <v>594614.09036200005</v>
      </c>
      <c r="Z4" s="84">
        <v>570089.94696500001</v>
      </c>
      <c r="AA4" s="84">
        <v>540693.68270899996</v>
      </c>
      <c r="AB4" s="84">
        <v>554710.522322</v>
      </c>
      <c r="AC4" s="84">
        <v>565613.64535799995</v>
      </c>
      <c r="AD4" s="84">
        <v>570438.230553</v>
      </c>
      <c r="AE4" s="84">
        <v>579461.44977599999</v>
      </c>
      <c r="AF4" s="84">
        <v>597005.00355200004</v>
      </c>
      <c r="AG4" s="84">
        <v>632154.82412700006</v>
      </c>
      <c r="AH4" s="84">
        <v>661477.92748199997</v>
      </c>
      <c r="AI4" s="84">
        <v>685472.464806</v>
      </c>
      <c r="AJ4" s="84">
        <v>722415.33364099998</v>
      </c>
      <c r="AK4" s="84">
        <v>754303.24246600003</v>
      </c>
    </row>
    <row r="5" spans="1:38" s="82" customFormat="1" ht="16.5" customHeight="1">
      <c r="A5" s="10" t="s">
        <v>1121</v>
      </c>
      <c r="B5" s="85">
        <v>2300</v>
      </c>
      <c r="C5" s="83" t="s">
        <v>527</v>
      </c>
      <c r="D5" s="85">
        <v>9100</v>
      </c>
      <c r="E5" s="83" t="s">
        <v>527</v>
      </c>
      <c r="F5" s="85">
        <v>14700</v>
      </c>
      <c r="G5" s="83" t="s">
        <v>527</v>
      </c>
      <c r="H5" s="85">
        <v>13000</v>
      </c>
      <c r="I5" s="83" t="s">
        <v>527</v>
      </c>
      <c r="J5" s="83" t="s">
        <v>527</v>
      </c>
      <c r="K5" s="83" t="s">
        <v>527</v>
      </c>
      <c r="L5" s="83" t="s">
        <v>527</v>
      </c>
      <c r="M5" s="85">
        <v>10800</v>
      </c>
      <c r="N5" s="85">
        <v>12000</v>
      </c>
      <c r="O5" s="85">
        <v>12500</v>
      </c>
      <c r="P5" s="85">
        <v>13100</v>
      </c>
      <c r="Q5" s="85">
        <v>14100</v>
      </c>
      <c r="R5" s="85">
        <v>15200</v>
      </c>
      <c r="S5" s="85">
        <v>15900</v>
      </c>
      <c r="T5" s="84" t="s">
        <v>532</v>
      </c>
      <c r="U5" s="84" t="s">
        <v>532</v>
      </c>
      <c r="V5" s="84" t="s">
        <v>532</v>
      </c>
      <c r="W5" s="84" t="s">
        <v>532</v>
      </c>
      <c r="X5" s="84" t="s">
        <v>532</v>
      </c>
      <c r="Y5" s="84" t="s">
        <v>532</v>
      </c>
      <c r="Z5" s="84" t="s">
        <v>532</v>
      </c>
      <c r="AA5" s="84" t="s">
        <v>532</v>
      </c>
      <c r="AB5" s="84" t="s">
        <v>532</v>
      </c>
      <c r="AC5" s="84" t="s">
        <v>532</v>
      </c>
      <c r="AD5" s="84" t="s">
        <v>532</v>
      </c>
      <c r="AE5" s="84" t="s">
        <v>532</v>
      </c>
      <c r="AF5" s="84" t="s">
        <v>532</v>
      </c>
      <c r="AG5" s="84" t="s">
        <v>532</v>
      </c>
      <c r="AH5" s="84" t="s">
        <v>532</v>
      </c>
      <c r="AI5" s="84" t="s">
        <v>532</v>
      </c>
      <c r="AJ5" s="84" t="s">
        <v>532</v>
      </c>
      <c r="AK5" s="84" t="s">
        <v>532</v>
      </c>
    </row>
    <row r="6" spans="1:38" s="82" customFormat="1" ht="16.5" customHeight="1">
      <c r="A6" s="86" t="s">
        <v>533</v>
      </c>
      <c r="B6" s="87">
        <v>1272078.3999999999</v>
      </c>
      <c r="C6" s="87">
        <v>1555237.28</v>
      </c>
      <c r="D6" s="87">
        <v>2042002.2799999998</v>
      </c>
      <c r="E6" s="87">
        <v>2404954.4</v>
      </c>
      <c r="F6" s="87">
        <v>2653510.21</v>
      </c>
      <c r="G6" s="87">
        <v>2991120.8</v>
      </c>
      <c r="H6" s="87">
        <v>3539602.56</v>
      </c>
      <c r="I6" s="87">
        <v>3578582.4400000004</v>
      </c>
      <c r="J6" s="87">
        <v>3676688.44</v>
      </c>
      <c r="K6" s="87">
        <v>3747067.87</v>
      </c>
      <c r="L6" s="87">
        <v>3939875</v>
      </c>
      <c r="M6" s="87">
        <v>3848458</v>
      </c>
      <c r="N6" s="87">
        <v>3951008.7272999999</v>
      </c>
      <c r="O6" s="87">
        <v>4071136.5328719998</v>
      </c>
      <c r="P6" s="87">
        <v>4182066.2400156059</v>
      </c>
      <c r="Q6" s="87">
        <v>4285299.4390774053</v>
      </c>
      <c r="R6" s="87">
        <v>4370488.7148582162</v>
      </c>
      <c r="S6" s="87">
        <v>4623397.8260386921</v>
      </c>
      <c r="T6" s="87">
        <v>4646520.9849062953</v>
      </c>
      <c r="U6" s="87">
        <v>4701825.0032426612</v>
      </c>
      <c r="V6" s="87">
        <v>4824654.4447763506</v>
      </c>
      <c r="W6" s="80">
        <v>4867608.4897589097</v>
      </c>
      <c r="X6" s="80">
        <v>4908058.8374757655</v>
      </c>
      <c r="Y6" s="80">
        <v>4959766.7012</v>
      </c>
      <c r="Z6" s="80">
        <v>4900171</v>
      </c>
      <c r="AA6" s="80">
        <v>5000591.8959189998</v>
      </c>
      <c r="AB6" s="80">
        <v>5009805.5620214241</v>
      </c>
      <c r="AC6" s="80">
        <v>4997049.3066988336</v>
      </c>
      <c r="AD6" s="80">
        <v>5046332.4132198002</v>
      </c>
      <c r="AE6" s="80">
        <v>5083123.4649372874</v>
      </c>
      <c r="AF6" s="80">
        <v>5158160.8548277542</v>
      </c>
      <c r="AG6" s="80">
        <v>5282710.2500658771</v>
      </c>
      <c r="AH6" s="80">
        <v>5411827.6229987517</v>
      </c>
      <c r="AI6" s="80">
        <v>5482189.7570441701</v>
      </c>
      <c r="AJ6" s="80">
        <v>5545845.3035232006</v>
      </c>
      <c r="AK6" s="80">
        <v>5579125.9722718718</v>
      </c>
    </row>
    <row r="7" spans="1:38" s="82" customFormat="1" ht="16.5" customHeight="1">
      <c r="A7" s="11" t="s">
        <v>1122</v>
      </c>
      <c r="B7" s="84">
        <v>1144673.3999999999</v>
      </c>
      <c r="C7" s="84">
        <v>1394803.28</v>
      </c>
      <c r="D7" s="84">
        <v>1750897</v>
      </c>
      <c r="E7" s="84">
        <v>1954165.5</v>
      </c>
      <c r="F7" s="84">
        <v>2011988.76</v>
      </c>
      <c r="G7" s="84">
        <v>2094620.64</v>
      </c>
      <c r="H7" s="84">
        <v>2281390.92</v>
      </c>
      <c r="I7" s="84">
        <v>2200259.7000000002</v>
      </c>
      <c r="J7" s="84">
        <v>2208226.09</v>
      </c>
      <c r="K7" s="84">
        <v>2213281.4900000002</v>
      </c>
      <c r="L7" s="84">
        <v>2756223</v>
      </c>
      <c r="M7" s="84">
        <v>2286887</v>
      </c>
      <c r="N7" s="84">
        <v>2337068</v>
      </c>
      <c r="O7" s="84">
        <v>2389065</v>
      </c>
      <c r="P7" s="84">
        <v>2463828.420042248</v>
      </c>
      <c r="Q7" s="84">
        <v>2495140.3026243281</v>
      </c>
      <c r="R7" s="84">
        <v>2544457.3524414399</v>
      </c>
      <c r="S7" s="84">
        <v>2556481.2400000002</v>
      </c>
      <c r="T7" s="84">
        <v>2620388.92</v>
      </c>
      <c r="U7" s="84">
        <v>2641885.0920744999</v>
      </c>
      <c r="V7" s="84">
        <v>2685826.6531088967</v>
      </c>
      <c r="W7" s="84">
        <v>2699304.6428176584</v>
      </c>
      <c r="X7" s="84">
        <v>2671044.2305259043</v>
      </c>
      <c r="Y7" s="84">
        <v>3324977</v>
      </c>
      <c r="Z7" s="84">
        <v>3199116</v>
      </c>
      <c r="AA7" s="84">
        <v>3413875</v>
      </c>
      <c r="AB7" s="84">
        <v>3429995.6410861243</v>
      </c>
      <c r="AC7" s="84">
        <v>3464405.2296386864</v>
      </c>
      <c r="AD7" s="84">
        <v>3490438.2857423411</v>
      </c>
      <c r="AE7" s="84">
        <v>3507723.0973114655</v>
      </c>
      <c r="AF7" s="84">
        <v>3502000.6903627221</v>
      </c>
      <c r="AG7" s="84">
        <v>3628378.8815517384</v>
      </c>
      <c r="AH7" s="84">
        <v>3699794.4380078609</v>
      </c>
      <c r="AI7" s="84">
        <v>3709919.1961312541</v>
      </c>
      <c r="AJ7" s="84">
        <v>3729610.234329388</v>
      </c>
      <c r="AK7" s="84">
        <v>3765896.0121443863</v>
      </c>
    </row>
    <row r="8" spans="1:38" s="82" customFormat="1" ht="16.5" customHeight="1">
      <c r="A8" s="11" t="s">
        <v>1123</v>
      </c>
      <c r="B8" s="83" t="s">
        <v>527</v>
      </c>
      <c r="C8" s="88" t="s">
        <v>527</v>
      </c>
      <c r="D8" s="83">
        <v>3276.9</v>
      </c>
      <c r="E8" s="83">
        <v>6191.9</v>
      </c>
      <c r="F8" s="83">
        <v>12256.8</v>
      </c>
      <c r="G8" s="83">
        <v>11811.8</v>
      </c>
      <c r="H8" s="83">
        <v>12424.1</v>
      </c>
      <c r="I8" s="83">
        <v>11656.06</v>
      </c>
      <c r="J8" s="83">
        <v>11946.25</v>
      </c>
      <c r="K8" s="83">
        <v>12184.38</v>
      </c>
      <c r="L8" s="84">
        <v>11264</v>
      </c>
      <c r="M8" s="84">
        <v>10777</v>
      </c>
      <c r="N8" s="84">
        <v>10912</v>
      </c>
      <c r="O8" s="84">
        <v>11089</v>
      </c>
      <c r="P8" s="84">
        <v>11311.197996230532</v>
      </c>
      <c r="Q8" s="84">
        <v>11642.295010415633</v>
      </c>
      <c r="R8" s="84">
        <v>11515.796151175477</v>
      </c>
      <c r="S8" s="84">
        <v>11759.58</v>
      </c>
      <c r="T8" s="84">
        <v>12131.04</v>
      </c>
      <c r="U8" s="84">
        <v>12162.999800241942</v>
      </c>
      <c r="V8" s="84">
        <v>12855.361903711795</v>
      </c>
      <c r="W8" s="84">
        <v>13276.957048550581</v>
      </c>
      <c r="X8" s="84">
        <v>15302.837710775921</v>
      </c>
      <c r="Y8" s="84">
        <v>27173</v>
      </c>
      <c r="Z8" s="84">
        <v>26430</v>
      </c>
      <c r="AA8" s="84">
        <v>24162</v>
      </c>
      <c r="AB8" s="84">
        <v>21482.715623236356</v>
      </c>
      <c r="AC8" s="84">
        <v>21516.752486125952</v>
      </c>
      <c r="AD8" s="84">
        <v>24815.916143547372</v>
      </c>
      <c r="AE8" s="84">
        <v>23633.293571165999</v>
      </c>
      <c r="AF8" s="84">
        <v>23173.173385423503</v>
      </c>
      <c r="AG8" s="84">
        <v>22751.532128664399</v>
      </c>
      <c r="AH8" s="84">
        <v>23725.111955421387</v>
      </c>
      <c r="AI8" s="84">
        <v>23381.622003386132</v>
      </c>
      <c r="AJ8" s="84">
        <v>23296.76856786057</v>
      </c>
      <c r="AK8" s="84">
        <v>22846.373475193806</v>
      </c>
    </row>
    <row r="9" spans="1:38" s="82" customFormat="1" ht="16.5" customHeight="1">
      <c r="A9" s="11" t="s">
        <v>1124</v>
      </c>
      <c r="B9" s="83" t="s">
        <v>527</v>
      </c>
      <c r="C9" s="83" t="s">
        <v>527</v>
      </c>
      <c r="D9" s="83">
        <v>225613.38</v>
      </c>
      <c r="E9" s="83">
        <v>363267</v>
      </c>
      <c r="F9" s="83">
        <v>520773.65</v>
      </c>
      <c r="G9" s="83">
        <v>688091.36</v>
      </c>
      <c r="H9" s="83">
        <v>999753.54</v>
      </c>
      <c r="I9" s="83">
        <v>1116957.68</v>
      </c>
      <c r="J9" s="83">
        <v>1201667.1000000001</v>
      </c>
      <c r="K9" s="83">
        <v>1252860</v>
      </c>
      <c r="L9" s="84">
        <v>885897</v>
      </c>
      <c r="M9" s="84">
        <v>1256146</v>
      </c>
      <c r="N9" s="84">
        <v>1298299</v>
      </c>
      <c r="O9" s="84">
        <v>1352675</v>
      </c>
      <c r="P9" s="84">
        <v>1380557.2397938734</v>
      </c>
      <c r="Q9" s="84">
        <v>1432782.3794077854</v>
      </c>
      <c r="R9" s="84">
        <v>1467663.7991499156</v>
      </c>
      <c r="S9" s="84">
        <v>1678852.5595885422</v>
      </c>
      <c r="T9" s="84">
        <v>1674791.8930520001</v>
      </c>
      <c r="U9" s="84">
        <v>1706102.912463947</v>
      </c>
      <c r="V9" s="84">
        <v>1780771.1384466074</v>
      </c>
      <c r="W9" s="84">
        <v>1804848.0064037023</v>
      </c>
      <c r="X9" s="84">
        <v>1876689.847532914</v>
      </c>
      <c r="Y9" s="84">
        <v>1017007</v>
      </c>
      <c r="Z9" s="84">
        <v>1049667</v>
      </c>
      <c r="AA9" s="84">
        <v>991383</v>
      </c>
      <c r="AB9" s="84">
        <v>1001455.7277059199</v>
      </c>
      <c r="AC9" s="84">
        <v>972382.44726826402</v>
      </c>
      <c r="AD9" s="84">
        <v>970669.41516661318</v>
      </c>
      <c r="AE9" s="84">
        <v>977476.62107445241</v>
      </c>
      <c r="AF9" s="84">
        <v>1037129.0861966583</v>
      </c>
      <c r="AG9" s="84">
        <v>1028773.6840018815</v>
      </c>
      <c r="AH9" s="84">
        <v>1075233.5052042801</v>
      </c>
      <c r="AI9" s="84">
        <v>1106303.4454204475</v>
      </c>
      <c r="AJ9" s="84">
        <v>1119644.0825954296</v>
      </c>
      <c r="AK9" s="84">
        <v>1128488.8887035879</v>
      </c>
    </row>
    <row r="10" spans="1:38" s="82" customFormat="1" ht="16.5" customHeight="1">
      <c r="A10" s="10" t="s">
        <v>1125</v>
      </c>
      <c r="B10" s="83">
        <v>98551</v>
      </c>
      <c r="C10" s="83">
        <v>128769</v>
      </c>
      <c r="D10" s="83">
        <v>27081</v>
      </c>
      <c r="E10" s="83">
        <v>34606</v>
      </c>
      <c r="F10" s="83">
        <v>39813</v>
      </c>
      <c r="G10" s="83">
        <v>45441</v>
      </c>
      <c r="H10" s="83">
        <v>51901</v>
      </c>
      <c r="I10" s="83">
        <v>52898</v>
      </c>
      <c r="J10" s="83">
        <v>53874</v>
      </c>
      <c r="K10" s="83">
        <v>56772</v>
      </c>
      <c r="L10" s="84">
        <v>61284</v>
      </c>
      <c r="M10" s="84">
        <v>62705</v>
      </c>
      <c r="N10" s="84">
        <v>64072</v>
      </c>
      <c r="O10" s="84">
        <v>66893</v>
      </c>
      <c r="P10" s="84">
        <v>68021</v>
      </c>
      <c r="Q10" s="84">
        <v>70311</v>
      </c>
      <c r="R10" s="84">
        <v>70500</v>
      </c>
      <c r="S10" s="84">
        <v>85488.639999999999</v>
      </c>
      <c r="T10" s="84">
        <v>75866</v>
      </c>
      <c r="U10" s="84">
        <v>77756.625026012029</v>
      </c>
      <c r="V10" s="84">
        <v>78441.001270563196</v>
      </c>
      <c r="W10" s="84">
        <v>78495.659525951312</v>
      </c>
      <c r="X10" s="84">
        <v>80344.221164056842</v>
      </c>
      <c r="Y10" s="84">
        <v>119979</v>
      </c>
      <c r="Z10" s="84">
        <v>126855</v>
      </c>
      <c r="AA10" s="84">
        <v>120207</v>
      </c>
      <c r="AB10" s="84">
        <v>110738.2452064016</v>
      </c>
      <c r="AC10" s="84">
        <v>103803.03027298137</v>
      </c>
      <c r="AD10" s="84">
        <v>105605.2225970268</v>
      </c>
      <c r="AE10" s="84">
        <v>106581.57890487878</v>
      </c>
      <c r="AF10" s="84">
        <v>109301.40619692924</v>
      </c>
      <c r="AG10" s="84">
        <v>109597.31844960712</v>
      </c>
      <c r="AH10" s="84">
        <v>113337.94163267993</v>
      </c>
      <c r="AI10" s="84">
        <v>116102.39910916959</v>
      </c>
      <c r="AJ10" s="84">
        <v>120698.99421461202</v>
      </c>
      <c r="AK10" s="84">
        <v>124745.70718075465</v>
      </c>
    </row>
    <row r="11" spans="1:38" s="82" customFormat="1" ht="16.5" customHeight="1">
      <c r="A11" s="10" t="s">
        <v>531</v>
      </c>
      <c r="B11" s="83">
        <v>28854</v>
      </c>
      <c r="C11" s="83">
        <v>31665</v>
      </c>
      <c r="D11" s="83">
        <v>35134</v>
      </c>
      <c r="E11" s="83">
        <v>46724</v>
      </c>
      <c r="F11" s="83">
        <v>68678</v>
      </c>
      <c r="G11" s="83">
        <v>78063</v>
      </c>
      <c r="H11" s="83">
        <v>94341</v>
      </c>
      <c r="I11" s="83">
        <v>96645</v>
      </c>
      <c r="J11" s="83">
        <v>99510</v>
      </c>
      <c r="K11" s="83">
        <v>103116</v>
      </c>
      <c r="L11" s="84">
        <v>108932</v>
      </c>
      <c r="M11" s="84">
        <v>115451</v>
      </c>
      <c r="N11" s="84">
        <v>118899</v>
      </c>
      <c r="O11" s="84">
        <v>124584</v>
      </c>
      <c r="P11" s="84">
        <v>128359</v>
      </c>
      <c r="Q11" s="84">
        <v>132386</v>
      </c>
      <c r="R11" s="84">
        <v>135020</v>
      </c>
      <c r="S11" s="84">
        <v>161169.12</v>
      </c>
      <c r="T11" s="84">
        <v>138737</v>
      </c>
      <c r="U11" s="84">
        <v>140159.96248174272</v>
      </c>
      <c r="V11" s="84">
        <v>142369.77185656936</v>
      </c>
      <c r="W11" s="84">
        <v>144027.63604132412</v>
      </c>
      <c r="X11" s="84">
        <v>142169.22730548185</v>
      </c>
      <c r="Y11" s="84">
        <v>184199</v>
      </c>
      <c r="Z11" s="84">
        <v>183826</v>
      </c>
      <c r="AA11" s="84">
        <v>168100</v>
      </c>
      <c r="AB11" s="84">
        <v>175788.97173715092</v>
      </c>
      <c r="AC11" s="84">
        <v>163791.29311902044</v>
      </c>
      <c r="AD11" s="84">
        <v>163601.73110557569</v>
      </c>
      <c r="AE11" s="84">
        <v>168435.63414130086</v>
      </c>
      <c r="AF11" s="84">
        <v>169830.17838475661</v>
      </c>
      <c r="AG11" s="84">
        <v>170246.27799988686</v>
      </c>
      <c r="AH11" s="84">
        <v>174556.97827435564</v>
      </c>
      <c r="AI11" s="84">
        <v>181490.18169777928</v>
      </c>
      <c r="AJ11" s="84">
        <v>184165.1211510069</v>
      </c>
      <c r="AK11" s="84">
        <v>175304.70135307586</v>
      </c>
    </row>
    <row r="12" spans="1:38" s="82" customFormat="1" ht="16.5" customHeight="1">
      <c r="A12" s="10" t="s">
        <v>1126</v>
      </c>
      <c r="B12" s="83" t="s">
        <v>527</v>
      </c>
      <c r="C12" s="83" t="s">
        <v>527</v>
      </c>
      <c r="D12" s="83" t="s">
        <v>527</v>
      </c>
      <c r="E12" s="83" t="s">
        <v>527</v>
      </c>
      <c r="F12" s="83" t="s">
        <v>527</v>
      </c>
      <c r="G12" s="83">
        <v>73093</v>
      </c>
      <c r="H12" s="83">
        <v>99792</v>
      </c>
      <c r="I12" s="83">
        <v>100166</v>
      </c>
      <c r="J12" s="83">
        <v>101465</v>
      </c>
      <c r="K12" s="83">
        <v>108854</v>
      </c>
      <c r="L12" s="83">
        <v>116275</v>
      </c>
      <c r="M12" s="83">
        <v>116492</v>
      </c>
      <c r="N12" s="83">
        <v>121758.7273</v>
      </c>
      <c r="O12" s="83">
        <v>126830.53287200001</v>
      </c>
      <c r="P12" s="83">
        <v>129989.38218325401</v>
      </c>
      <c r="Q12" s="83">
        <v>143037.46203487608</v>
      </c>
      <c r="R12" s="83">
        <v>141331.7671156849</v>
      </c>
      <c r="S12" s="83">
        <v>129646.68645014966</v>
      </c>
      <c r="T12" s="83">
        <v>124606.13185429553</v>
      </c>
      <c r="U12" s="83">
        <v>123757.41139621758</v>
      </c>
      <c r="V12" s="83">
        <v>124390.5181900022</v>
      </c>
      <c r="W12" s="83">
        <v>127655.58792172259</v>
      </c>
      <c r="X12" s="83">
        <v>122508.47323663282</v>
      </c>
      <c r="Y12" s="83">
        <v>286431.70120000001</v>
      </c>
      <c r="Z12" s="83">
        <v>292075.290018</v>
      </c>
      <c r="AA12" s="83">
        <v>282864.89591900003</v>
      </c>
      <c r="AB12" s="83">
        <v>270344.2606625912</v>
      </c>
      <c r="AC12" s="84">
        <v>271150.55391375569</v>
      </c>
      <c r="AD12" s="84">
        <v>291201.84246469656</v>
      </c>
      <c r="AE12" s="84">
        <v>299273.23993402399</v>
      </c>
      <c r="AF12" s="84">
        <v>316726.32030126388</v>
      </c>
      <c r="AG12" s="84">
        <v>322962.55593409849</v>
      </c>
      <c r="AH12" s="84">
        <v>325179.64792415383</v>
      </c>
      <c r="AI12" s="84">
        <v>344992.9126821332</v>
      </c>
      <c r="AJ12" s="84">
        <v>368430.10266490339</v>
      </c>
      <c r="AK12" s="84">
        <v>361844.28941487317</v>
      </c>
    </row>
    <row r="13" spans="1:38" s="82" customFormat="1" ht="16.5" customHeight="1">
      <c r="A13" s="89" t="s">
        <v>1127</v>
      </c>
      <c r="B13" s="78" t="s">
        <v>527</v>
      </c>
      <c r="C13" s="78" t="s">
        <v>527</v>
      </c>
      <c r="D13" s="78" t="s">
        <v>527</v>
      </c>
      <c r="E13" s="78" t="s">
        <v>527</v>
      </c>
      <c r="F13" s="87">
        <v>39854</v>
      </c>
      <c r="G13" s="87">
        <v>39581</v>
      </c>
      <c r="H13" s="87">
        <v>41143</v>
      </c>
      <c r="I13" s="87">
        <v>40703</v>
      </c>
      <c r="J13" s="87">
        <v>40241</v>
      </c>
      <c r="K13" s="87">
        <v>39384</v>
      </c>
      <c r="L13" s="87">
        <v>39585</v>
      </c>
      <c r="M13" s="87">
        <v>39808</v>
      </c>
      <c r="N13" s="87">
        <v>38984.124200000006</v>
      </c>
      <c r="O13" s="87">
        <v>40180.218951999996</v>
      </c>
      <c r="P13" s="87">
        <v>41605.038687999993</v>
      </c>
      <c r="Q13" s="87">
        <v>43278.862481000004</v>
      </c>
      <c r="R13" s="87">
        <v>45100.241891000005</v>
      </c>
      <c r="S13" s="87">
        <v>46507.533026999998</v>
      </c>
      <c r="T13" s="87">
        <v>46096.088878999995</v>
      </c>
      <c r="U13" s="87">
        <v>45676.831126000005</v>
      </c>
      <c r="V13" s="87">
        <v>46545.783080000001</v>
      </c>
      <c r="W13" s="87">
        <v>47124.653055000002</v>
      </c>
      <c r="X13" s="87">
        <v>49504.172899999998</v>
      </c>
      <c r="Y13" s="87">
        <v>51873.259700000002</v>
      </c>
      <c r="Z13" s="87">
        <v>53712.078122999999</v>
      </c>
      <c r="AA13" s="87">
        <v>53898.382540000013</v>
      </c>
      <c r="AB13" s="87">
        <v>52627.181348999991</v>
      </c>
      <c r="AC13" s="87">
        <v>54328.134432999992</v>
      </c>
      <c r="AD13" s="87">
        <v>55169.258447999993</v>
      </c>
      <c r="AE13" s="87">
        <v>56467.102654000009</v>
      </c>
      <c r="AF13" s="87">
        <v>57012.092909000006</v>
      </c>
      <c r="AG13" s="87">
        <v>55697.697335999997</v>
      </c>
      <c r="AH13" s="87">
        <v>56321.611936000008</v>
      </c>
      <c r="AI13" s="87">
        <v>54825.884253999997</v>
      </c>
      <c r="AJ13" s="87">
        <v>53830.315945999995</v>
      </c>
      <c r="AK13" s="80">
        <v>54097.055531000005</v>
      </c>
    </row>
    <row r="14" spans="1:38" ht="16.5" customHeight="1">
      <c r="A14" s="10" t="s">
        <v>1128</v>
      </c>
      <c r="B14" s="83" t="s">
        <v>527</v>
      </c>
      <c r="C14" s="83" t="s">
        <v>527</v>
      </c>
      <c r="D14" s="83" t="s">
        <v>527</v>
      </c>
      <c r="E14" s="83" t="s">
        <v>527</v>
      </c>
      <c r="F14" s="83">
        <v>21790</v>
      </c>
      <c r="G14" s="83">
        <v>21161</v>
      </c>
      <c r="H14" s="83">
        <v>20981</v>
      </c>
      <c r="I14" s="83">
        <v>21090</v>
      </c>
      <c r="J14" s="83">
        <v>20336</v>
      </c>
      <c r="K14" s="83">
        <v>20247</v>
      </c>
      <c r="L14" s="83">
        <v>18832</v>
      </c>
      <c r="M14" s="83">
        <v>18818</v>
      </c>
      <c r="N14" s="83">
        <v>16802.168100000003</v>
      </c>
      <c r="O14" s="83">
        <v>17509.219211999996</v>
      </c>
      <c r="P14" s="83">
        <v>17873.721648999999</v>
      </c>
      <c r="Q14" s="83">
        <v>18683.797939</v>
      </c>
      <c r="R14" s="83">
        <v>18807.334752999999</v>
      </c>
      <c r="S14" s="83">
        <v>19582.868181999998</v>
      </c>
      <c r="T14" s="83">
        <v>19678.689117000002</v>
      </c>
      <c r="U14" s="83">
        <v>19178.851354999999</v>
      </c>
      <c r="V14" s="83">
        <v>18920.853862999997</v>
      </c>
      <c r="W14" s="83">
        <v>19424.922553999997</v>
      </c>
      <c r="X14" s="83">
        <v>20390.185932999997</v>
      </c>
      <c r="Y14" s="83">
        <v>20388.053</v>
      </c>
      <c r="Z14" s="83">
        <v>21198.098654000001</v>
      </c>
      <c r="AA14" s="83">
        <v>21099.988628999999</v>
      </c>
      <c r="AB14" s="83">
        <v>20569.726839999999</v>
      </c>
      <c r="AC14" s="83">
        <v>19905.426138999999</v>
      </c>
      <c r="AD14" s="83">
        <v>20129.730629000001</v>
      </c>
      <c r="AE14" s="83">
        <v>18926.876337000002</v>
      </c>
      <c r="AF14" s="83">
        <v>18964.660620999999</v>
      </c>
      <c r="AG14" s="83">
        <v>18506.425159999999</v>
      </c>
      <c r="AH14" s="83">
        <v>18149.823675</v>
      </c>
      <c r="AI14" s="83">
        <v>17075.697165000001</v>
      </c>
      <c r="AJ14" s="83">
        <v>16584.114250999999</v>
      </c>
      <c r="AK14" s="84">
        <v>16387.317525999999</v>
      </c>
      <c r="AL14" s="90"/>
    </row>
    <row r="15" spans="1:38" ht="16.5" customHeight="1">
      <c r="A15" s="10" t="s">
        <v>1129</v>
      </c>
      <c r="B15" s="83" t="s">
        <v>527</v>
      </c>
      <c r="C15" s="83" t="s">
        <v>527</v>
      </c>
      <c r="D15" s="83" t="s">
        <v>527</v>
      </c>
      <c r="E15" s="83" t="s">
        <v>527</v>
      </c>
      <c r="F15" s="83" t="s">
        <v>527</v>
      </c>
      <c r="G15" s="83" t="s">
        <v>527</v>
      </c>
      <c r="H15" s="83" t="s">
        <v>527</v>
      </c>
      <c r="I15" s="83" t="s">
        <v>527</v>
      </c>
      <c r="J15" s="83" t="s">
        <v>527</v>
      </c>
      <c r="K15" s="83" t="s">
        <v>527</v>
      </c>
      <c r="L15" s="83" t="s">
        <v>527</v>
      </c>
      <c r="M15" s="83" t="s">
        <v>527</v>
      </c>
      <c r="N15" s="83" t="s">
        <v>527</v>
      </c>
      <c r="O15" s="83" t="s">
        <v>527</v>
      </c>
      <c r="P15" s="83" t="s">
        <v>527</v>
      </c>
      <c r="Q15" s="83" t="s">
        <v>527</v>
      </c>
      <c r="R15" s="83" t="s">
        <v>527</v>
      </c>
      <c r="S15" s="83" t="s">
        <v>527</v>
      </c>
      <c r="T15" s="83" t="s">
        <v>527</v>
      </c>
      <c r="U15" s="83" t="s">
        <v>527</v>
      </c>
      <c r="V15" s="83" t="s">
        <v>527</v>
      </c>
      <c r="W15" s="83" t="s">
        <v>527</v>
      </c>
      <c r="X15" s="83" t="s">
        <v>527</v>
      </c>
      <c r="Y15" s="83" t="s">
        <v>527</v>
      </c>
      <c r="Z15" s="83" t="s">
        <v>527</v>
      </c>
      <c r="AA15" s="83" t="s">
        <v>527</v>
      </c>
      <c r="AB15" s="83" t="s">
        <v>527</v>
      </c>
      <c r="AC15" s="83">
        <v>653.14929600000005</v>
      </c>
      <c r="AD15" s="83">
        <v>1012.461811</v>
      </c>
      <c r="AE15" s="83">
        <v>2330.5266470000001</v>
      </c>
      <c r="AF15" s="83">
        <v>2464.2874219999999</v>
      </c>
      <c r="AG15" s="83">
        <v>1586.7355230000001</v>
      </c>
      <c r="AH15" s="83">
        <v>2261.1835350000001</v>
      </c>
      <c r="AI15" s="83">
        <v>2147.8257210000002</v>
      </c>
      <c r="AJ15" s="83">
        <v>2040.4712919999999</v>
      </c>
      <c r="AK15" s="84">
        <v>1979.8159760000001</v>
      </c>
      <c r="AL15" s="90"/>
    </row>
    <row r="16" spans="1:38" ht="16.5" customHeight="1">
      <c r="A16" s="10" t="s">
        <v>1130</v>
      </c>
      <c r="B16" s="83" t="s">
        <v>527</v>
      </c>
      <c r="C16" s="83" t="s">
        <v>527</v>
      </c>
      <c r="D16" s="83" t="s">
        <v>527</v>
      </c>
      <c r="E16" s="83" t="s">
        <v>527</v>
      </c>
      <c r="F16" s="83">
        <v>381</v>
      </c>
      <c r="G16" s="83">
        <v>350</v>
      </c>
      <c r="H16" s="83">
        <v>571</v>
      </c>
      <c r="I16" s="83">
        <v>662</v>
      </c>
      <c r="J16" s="83">
        <v>701</v>
      </c>
      <c r="K16" s="83">
        <v>705</v>
      </c>
      <c r="L16" s="83">
        <v>833</v>
      </c>
      <c r="M16" s="83">
        <v>860</v>
      </c>
      <c r="N16" s="83">
        <v>955.24509999999998</v>
      </c>
      <c r="O16" s="83">
        <v>1023.7081319999999</v>
      </c>
      <c r="P16" s="83">
        <v>1115.35194</v>
      </c>
      <c r="Q16" s="83">
        <v>1190.168551</v>
      </c>
      <c r="R16" s="83">
        <v>1339.431795</v>
      </c>
      <c r="S16" s="83">
        <v>1427.305259</v>
      </c>
      <c r="T16" s="83">
        <v>1431.6725369999999</v>
      </c>
      <c r="U16" s="83">
        <v>1476.0326319999997</v>
      </c>
      <c r="V16" s="83">
        <v>1576.197658</v>
      </c>
      <c r="W16" s="83">
        <v>1699.5838489999999</v>
      </c>
      <c r="X16" s="83">
        <v>1865.7201999999997</v>
      </c>
      <c r="Y16" s="83">
        <v>1930.2944</v>
      </c>
      <c r="Z16" s="83">
        <v>2081.062559</v>
      </c>
      <c r="AA16" s="83">
        <v>2196.117518</v>
      </c>
      <c r="AB16" s="83">
        <v>2172.7471529999998</v>
      </c>
      <c r="AC16" s="83">
        <v>2363.430715</v>
      </c>
      <c r="AD16" s="83">
        <v>2488.8479259999999</v>
      </c>
      <c r="AE16" s="83">
        <v>2564.6256589999998</v>
      </c>
      <c r="AF16" s="83">
        <v>2674.5207209999999</v>
      </c>
      <c r="AG16" s="83">
        <v>2678.1120999999998</v>
      </c>
      <c r="AH16" s="83">
        <v>2755.9249209999998</v>
      </c>
      <c r="AI16" s="83">
        <v>2776.0459599999999</v>
      </c>
      <c r="AJ16" s="83">
        <v>2728.4780609999998</v>
      </c>
      <c r="AK16" s="84">
        <v>2692.6561099999999</v>
      </c>
      <c r="AL16" s="90"/>
    </row>
    <row r="17" spans="1:38" ht="16.5" customHeight="1">
      <c r="A17" s="10" t="s">
        <v>530</v>
      </c>
      <c r="B17" s="83" t="s">
        <v>527</v>
      </c>
      <c r="C17" s="83" t="s">
        <v>527</v>
      </c>
      <c r="D17" s="83" t="s">
        <v>527</v>
      </c>
      <c r="E17" s="83" t="s">
        <v>527</v>
      </c>
      <c r="F17" s="83">
        <v>10558</v>
      </c>
      <c r="G17" s="83">
        <v>10427</v>
      </c>
      <c r="H17" s="83">
        <v>11475</v>
      </c>
      <c r="I17" s="83">
        <v>10528</v>
      </c>
      <c r="J17" s="83">
        <v>10737</v>
      </c>
      <c r="K17" s="83">
        <v>10231</v>
      </c>
      <c r="L17" s="83">
        <v>10668</v>
      </c>
      <c r="M17" s="83">
        <v>10559</v>
      </c>
      <c r="N17" s="83">
        <v>11530.220300000001</v>
      </c>
      <c r="O17" s="83">
        <v>12056.0676</v>
      </c>
      <c r="P17" s="83">
        <v>12284.382321999999</v>
      </c>
      <c r="Q17" s="83">
        <v>12902.056581000001</v>
      </c>
      <c r="R17" s="83">
        <v>13843.512074999999</v>
      </c>
      <c r="S17" s="83">
        <v>14178.091572000001</v>
      </c>
      <c r="T17" s="83">
        <v>13663.224326</v>
      </c>
      <c r="U17" s="83">
        <v>13606.195594000001</v>
      </c>
      <c r="V17" s="83">
        <v>14354.281087000001</v>
      </c>
      <c r="W17" s="83">
        <v>14417.698761</v>
      </c>
      <c r="X17" s="83">
        <v>14721.465516</v>
      </c>
      <c r="Y17" s="83">
        <v>16137.9522</v>
      </c>
      <c r="Z17" s="83">
        <v>16849.920437000001</v>
      </c>
      <c r="AA17" s="83">
        <v>16805.109970000001</v>
      </c>
      <c r="AB17" s="83">
        <v>16406.938677999999</v>
      </c>
      <c r="AC17" s="83">
        <v>17316.613255</v>
      </c>
      <c r="AD17" s="83">
        <v>17516.432841999998</v>
      </c>
      <c r="AE17" s="83">
        <v>18004.627035000001</v>
      </c>
      <c r="AF17" s="83">
        <v>18339.048674999998</v>
      </c>
      <c r="AG17" s="83">
        <v>18283.014310999999</v>
      </c>
      <c r="AH17" s="83">
        <v>18356.560739</v>
      </c>
      <c r="AI17" s="83">
        <v>17591.049738000002</v>
      </c>
      <c r="AJ17" s="83">
        <v>16914.100309000001</v>
      </c>
      <c r="AK17" s="84">
        <v>17365.828963</v>
      </c>
      <c r="AL17" s="92"/>
    </row>
    <row r="18" spans="1:38" ht="16.5" customHeight="1">
      <c r="A18" s="10" t="s">
        <v>1131</v>
      </c>
      <c r="B18" s="83" t="s">
        <v>527</v>
      </c>
      <c r="C18" s="83" t="s">
        <v>527</v>
      </c>
      <c r="D18" s="83" t="s">
        <v>527</v>
      </c>
      <c r="E18" s="83" t="s">
        <v>527</v>
      </c>
      <c r="F18" s="83">
        <v>219</v>
      </c>
      <c r="G18" s="83">
        <v>306</v>
      </c>
      <c r="H18" s="83">
        <v>193</v>
      </c>
      <c r="I18" s="83">
        <v>195</v>
      </c>
      <c r="J18" s="83">
        <v>199</v>
      </c>
      <c r="K18" s="83">
        <v>188</v>
      </c>
      <c r="L18" s="83">
        <v>187</v>
      </c>
      <c r="M18" s="83">
        <v>187</v>
      </c>
      <c r="N18" s="83">
        <v>184.16370000000001</v>
      </c>
      <c r="O18" s="83">
        <v>189.170345</v>
      </c>
      <c r="P18" s="83">
        <v>181.71669800000001</v>
      </c>
      <c r="Q18" s="83">
        <v>186.10567</v>
      </c>
      <c r="R18" s="83">
        <v>191.89107100000004</v>
      </c>
      <c r="S18" s="83">
        <v>186.99797199999998</v>
      </c>
      <c r="T18" s="83">
        <v>187.793553</v>
      </c>
      <c r="U18" s="83">
        <v>176.144657</v>
      </c>
      <c r="V18" s="83">
        <v>173.21470899999997</v>
      </c>
      <c r="W18" s="83">
        <v>172.98174700000001</v>
      </c>
      <c r="X18" s="83">
        <v>163.88912900000003</v>
      </c>
      <c r="Y18" s="83">
        <v>155.51650000000001</v>
      </c>
      <c r="Z18" s="83">
        <v>160.68531200000001</v>
      </c>
      <c r="AA18" s="83">
        <v>168.066937</v>
      </c>
      <c r="AB18" s="83">
        <v>158.87200799999999</v>
      </c>
      <c r="AC18" s="83">
        <v>160.306691</v>
      </c>
      <c r="AD18" s="83">
        <v>161.88904700000001</v>
      </c>
      <c r="AE18" s="83">
        <v>156.31329400000001</v>
      </c>
      <c r="AF18" s="83">
        <v>157.73160200000001</v>
      </c>
      <c r="AG18" s="83">
        <v>146.21782099999999</v>
      </c>
      <c r="AH18" s="83">
        <v>153.97867400000001</v>
      </c>
      <c r="AI18" s="83">
        <v>140.21642199999999</v>
      </c>
      <c r="AJ18" s="83">
        <v>126.282285</v>
      </c>
      <c r="AK18" s="84">
        <v>125.805218</v>
      </c>
      <c r="AL18" s="92"/>
    </row>
    <row r="19" spans="1:38" ht="16.5" customHeight="1">
      <c r="A19" s="10" t="s">
        <v>528</v>
      </c>
      <c r="B19" s="83">
        <v>4197</v>
      </c>
      <c r="C19" s="83">
        <v>4128</v>
      </c>
      <c r="D19" s="83">
        <v>4592</v>
      </c>
      <c r="E19" s="83">
        <v>4513</v>
      </c>
      <c r="F19" s="83">
        <v>6516</v>
      </c>
      <c r="G19" s="83">
        <v>6534</v>
      </c>
      <c r="H19" s="83">
        <v>7082</v>
      </c>
      <c r="I19" s="83">
        <v>7344</v>
      </c>
      <c r="J19" s="83">
        <v>7320</v>
      </c>
      <c r="K19" s="83">
        <v>6940</v>
      </c>
      <c r="L19" s="83">
        <v>7996</v>
      </c>
      <c r="M19" s="83">
        <v>8244</v>
      </c>
      <c r="N19" s="83">
        <v>8350.4012999999995</v>
      </c>
      <c r="O19" s="83">
        <v>8037.4858980000008</v>
      </c>
      <c r="P19" s="83">
        <v>8702.2589120000011</v>
      </c>
      <c r="Q19" s="83">
        <v>8764.0169889999997</v>
      </c>
      <c r="R19" s="83">
        <v>9399.8729629999998</v>
      </c>
      <c r="S19" s="83">
        <v>9543.5642550000011</v>
      </c>
      <c r="T19" s="83">
        <v>9499.8287029999992</v>
      </c>
      <c r="U19" s="83">
        <v>9555.383124</v>
      </c>
      <c r="V19" s="83">
        <v>9715.2788890000011</v>
      </c>
      <c r="W19" s="83">
        <v>9470.1332469999998</v>
      </c>
      <c r="X19" s="83">
        <v>10358.926487000002</v>
      </c>
      <c r="Y19" s="83">
        <v>11136.821900000001</v>
      </c>
      <c r="Z19" s="83">
        <v>11031.999811</v>
      </c>
      <c r="AA19" s="83">
        <v>11129.418953</v>
      </c>
      <c r="AB19" s="83">
        <v>10773.7353</v>
      </c>
      <c r="AC19" s="83">
        <v>11314.228574000001</v>
      </c>
      <c r="AD19" s="83">
        <v>11120.63185</v>
      </c>
      <c r="AE19" s="83">
        <v>11735.558829</v>
      </c>
      <c r="AF19" s="83">
        <v>11599.846942</v>
      </c>
      <c r="AG19" s="83">
        <v>11687.41799</v>
      </c>
      <c r="AH19" s="83">
        <v>11767.703304999999</v>
      </c>
      <c r="AI19" s="83">
        <v>12250.669639</v>
      </c>
      <c r="AJ19" s="83">
        <v>12609.891154999999</v>
      </c>
      <c r="AK19" s="84">
        <v>12707.307116</v>
      </c>
      <c r="AL19" s="90"/>
    </row>
    <row r="20" spans="1:38" ht="16.5" customHeight="1">
      <c r="A20" s="11" t="s">
        <v>1132</v>
      </c>
      <c r="B20" s="83" t="s">
        <v>527</v>
      </c>
      <c r="C20" s="83" t="s">
        <v>527</v>
      </c>
      <c r="D20" s="83" t="s">
        <v>527</v>
      </c>
      <c r="E20" s="83" t="s">
        <v>527</v>
      </c>
      <c r="F20" s="83" t="s">
        <v>527</v>
      </c>
      <c r="G20" s="83">
        <v>364</v>
      </c>
      <c r="H20" s="83">
        <v>431</v>
      </c>
      <c r="I20" s="83">
        <v>454</v>
      </c>
      <c r="J20" s="83">
        <v>495</v>
      </c>
      <c r="K20" s="83">
        <v>562</v>
      </c>
      <c r="L20" s="83">
        <v>577</v>
      </c>
      <c r="M20" s="83">
        <v>607</v>
      </c>
      <c r="N20" s="83">
        <v>390.9409</v>
      </c>
      <c r="O20" s="83">
        <v>531.07757100000003</v>
      </c>
      <c r="P20" s="83">
        <v>513.41098099999999</v>
      </c>
      <c r="Q20" s="83">
        <v>558.98629999999991</v>
      </c>
      <c r="R20" s="83">
        <v>587.65657799999997</v>
      </c>
      <c r="S20" s="83">
        <v>625.77712400000007</v>
      </c>
      <c r="T20" s="83">
        <v>650.98968500000001</v>
      </c>
      <c r="U20" s="83">
        <v>688.58305900000005</v>
      </c>
      <c r="V20" s="83">
        <v>703.84377199999994</v>
      </c>
      <c r="W20" s="83">
        <v>738.47902800000008</v>
      </c>
      <c r="X20" s="83">
        <v>753.30440099999998</v>
      </c>
      <c r="Y20" s="83">
        <v>777.72930000000008</v>
      </c>
      <c r="Z20" s="83">
        <v>843.926016</v>
      </c>
      <c r="AA20" s="83">
        <v>881.04851499999995</v>
      </c>
      <c r="AB20" s="83">
        <v>841.18544899999995</v>
      </c>
      <c r="AC20" s="83">
        <v>846.28385000000003</v>
      </c>
      <c r="AD20" s="83">
        <v>851.33871699999997</v>
      </c>
      <c r="AE20" s="83">
        <v>851.65238199999999</v>
      </c>
      <c r="AF20" s="83">
        <v>863.76945699999999</v>
      </c>
      <c r="AG20" s="83">
        <v>871.27002600000003</v>
      </c>
      <c r="AH20" s="83">
        <v>865.04832399999998</v>
      </c>
      <c r="AI20" s="83">
        <v>863.55728899999997</v>
      </c>
      <c r="AJ20" s="83">
        <v>851.11984399999994</v>
      </c>
      <c r="AK20" s="84">
        <v>838.53669000000002</v>
      </c>
      <c r="AL20" s="90"/>
    </row>
    <row r="21" spans="1:38" ht="16.5" customHeight="1">
      <c r="A21" s="10" t="s">
        <v>1133</v>
      </c>
      <c r="B21" s="83" t="s">
        <v>527</v>
      </c>
      <c r="C21" s="83" t="s">
        <v>527</v>
      </c>
      <c r="D21" s="83" t="s">
        <v>527</v>
      </c>
      <c r="E21" s="83" t="s">
        <v>527</v>
      </c>
      <c r="F21" s="83" t="s">
        <v>527</v>
      </c>
      <c r="G21" s="83" t="s">
        <v>527</v>
      </c>
      <c r="H21" s="83">
        <v>286</v>
      </c>
      <c r="I21" s="83">
        <v>282</v>
      </c>
      <c r="J21" s="83">
        <v>271</v>
      </c>
      <c r="K21" s="83">
        <v>260</v>
      </c>
      <c r="L21" s="83">
        <v>260</v>
      </c>
      <c r="M21" s="83">
        <v>260</v>
      </c>
      <c r="N21" s="83">
        <v>255.38840000000002</v>
      </c>
      <c r="O21" s="83">
        <v>254.21924200000004</v>
      </c>
      <c r="P21" s="83">
        <v>280.125878</v>
      </c>
      <c r="Q21" s="83">
        <v>294.71404899999999</v>
      </c>
      <c r="R21" s="83">
        <v>298.132858</v>
      </c>
      <c r="S21" s="83">
        <v>295.33117599999997</v>
      </c>
      <c r="T21" s="83">
        <v>301.363563</v>
      </c>
      <c r="U21" s="83">
        <v>366.84362800000002</v>
      </c>
      <c r="V21" s="83">
        <v>356.984306</v>
      </c>
      <c r="W21" s="83">
        <v>359.19848399999995</v>
      </c>
      <c r="X21" s="83">
        <v>359.85686900000002</v>
      </c>
      <c r="Y21" s="83">
        <v>380.78190000000001</v>
      </c>
      <c r="Z21" s="83">
        <v>390.45811700000002</v>
      </c>
      <c r="AA21" s="83">
        <v>364.67172900000003</v>
      </c>
      <c r="AB21" s="83">
        <v>389.20500600000003</v>
      </c>
      <c r="AC21" s="83">
        <v>389.38419099999999</v>
      </c>
      <c r="AD21" s="83">
        <v>402.115701</v>
      </c>
      <c r="AE21" s="83">
        <v>402.30593399999998</v>
      </c>
      <c r="AF21" s="83">
        <v>414.20945999999998</v>
      </c>
      <c r="AG21" s="83">
        <v>450.52650199999999</v>
      </c>
      <c r="AH21" s="83">
        <v>489.35633300000001</v>
      </c>
      <c r="AI21" s="83">
        <v>486.03749599999998</v>
      </c>
      <c r="AJ21" s="83">
        <v>519.78385800000001</v>
      </c>
      <c r="AK21" s="84">
        <v>546.56959700000004</v>
      </c>
      <c r="AL21" s="90"/>
    </row>
    <row r="22" spans="1:38" ht="16.5" customHeight="1">
      <c r="A22" s="10" t="s">
        <v>1134</v>
      </c>
      <c r="B22" s="83" t="s">
        <v>527</v>
      </c>
      <c r="C22" s="83" t="s">
        <v>527</v>
      </c>
      <c r="D22" s="83" t="s">
        <v>527</v>
      </c>
      <c r="E22" s="83" t="s">
        <v>527</v>
      </c>
      <c r="F22" s="83">
        <v>390</v>
      </c>
      <c r="G22" s="83">
        <v>439</v>
      </c>
      <c r="H22" s="83">
        <v>124</v>
      </c>
      <c r="I22" s="83">
        <v>148</v>
      </c>
      <c r="J22" s="83">
        <v>182</v>
      </c>
      <c r="K22" s="83">
        <v>251</v>
      </c>
      <c r="L22" s="83">
        <v>232</v>
      </c>
      <c r="M22" s="83">
        <v>273</v>
      </c>
      <c r="N22" s="83">
        <v>515.5963999999949</v>
      </c>
      <c r="O22" s="83">
        <v>579.27095199999894</v>
      </c>
      <c r="P22" s="83">
        <v>654.07030799999484</v>
      </c>
      <c r="Q22" s="83">
        <v>699.01640200000111</v>
      </c>
      <c r="R22" s="83">
        <v>632.40979800000787</v>
      </c>
      <c r="S22" s="83">
        <v>667.59748699999909</v>
      </c>
      <c r="T22" s="83">
        <v>682.52739499999007</v>
      </c>
      <c r="U22" s="83">
        <v>628.79707700001018</v>
      </c>
      <c r="V22" s="83">
        <v>745.12879600000451</v>
      </c>
      <c r="W22" s="83">
        <v>841.65538500000548</v>
      </c>
      <c r="X22" s="83">
        <v>890.82436499999312</v>
      </c>
      <c r="Y22" s="83">
        <v>966.1105000000025</v>
      </c>
      <c r="Z22" s="83">
        <v>1155.9272169999999</v>
      </c>
      <c r="AA22" s="83">
        <v>1253.9602890000001</v>
      </c>
      <c r="AB22" s="83">
        <v>1314.7709150000001</v>
      </c>
      <c r="AC22" s="83">
        <v>1379.3117219999999</v>
      </c>
      <c r="AD22" s="83">
        <v>1485.809925</v>
      </c>
      <c r="AE22" s="83">
        <v>1494.6165370000001</v>
      </c>
      <c r="AF22" s="83">
        <v>1534.0180089999999</v>
      </c>
      <c r="AG22" s="83">
        <v>1487.977903</v>
      </c>
      <c r="AH22" s="83">
        <v>1522.03243</v>
      </c>
      <c r="AI22" s="83">
        <v>1494.7848240000001</v>
      </c>
      <c r="AJ22" s="83">
        <v>1456.074891</v>
      </c>
      <c r="AK22" s="84">
        <v>1453.218335</v>
      </c>
      <c r="AL22" s="90"/>
    </row>
    <row r="23" spans="1:38" s="86" customFormat="1" ht="16.5" customHeight="1">
      <c r="A23" s="12" t="s">
        <v>1135</v>
      </c>
      <c r="B23" s="78">
        <v>17064</v>
      </c>
      <c r="C23" s="78">
        <v>13260</v>
      </c>
      <c r="D23" s="78">
        <v>6179</v>
      </c>
      <c r="E23" s="78">
        <v>3931</v>
      </c>
      <c r="F23" s="78">
        <v>4503</v>
      </c>
      <c r="G23" s="78">
        <v>4825</v>
      </c>
      <c r="H23" s="78">
        <v>6057</v>
      </c>
      <c r="I23" s="78">
        <v>6273</v>
      </c>
      <c r="J23" s="78">
        <v>6091</v>
      </c>
      <c r="K23" s="78">
        <v>6199</v>
      </c>
      <c r="L23" s="78">
        <v>5921</v>
      </c>
      <c r="M23" s="78">
        <v>5545</v>
      </c>
      <c r="N23" s="78">
        <v>5050</v>
      </c>
      <c r="O23" s="78">
        <v>5166</v>
      </c>
      <c r="P23" s="78">
        <v>5304</v>
      </c>
      <c r="Q23" s="78">
        <v>5330</v>
      </c>
      <c r="R23" s="78">
        <v>5573.9916949999997</v>
      </c>
      <c r="S23" s="78">
        <v>5571</v>
      </c>
      <c r="T23" s="78">
        <v>5313.8277230000003</v>
      </c>
      <c r="U23" s="78">
        <v>5679.9337930000002</v>
      </c>
      <c r="V23" s="78">
        <v>5510.88</v>
      </c>
      <c r="W23" s="78">
        <v>5381.3719999999994</v>
      </c>
      <c r="X23" s="78">
        <v>5409.8040000000001</v>
      </c>
      <c r="Y23" s="78">
        <v>5782.8180000000002</v>
      </c>
      <c r="Z23" s="78">
        <v>6178.5059999999994</v>
      </c>
      <c r="AA23" s="78">
        <v>5914.0330000000004</v>
      </c>
      <c r="AB23" s="78">
        <v>6419.7687269999997</v>
      </c>
      <c r="AC23" s="80">
        <v>6567.8390909999989</v>
      </c>
      <c r="AD23" s="80">
        <v>6803.8689760000007</v>
      </c>
      <c r="AE23" s="80">
        <v>6809.5782929999996</v>
      </c>
      <c r="AF23" s="80">
        <v>6674.6818009999997</v>
      </c>
      <c r="AG23" s="80">
        <v>6535.9028010000002</v>
      </c>
      <c r="AH23" s="80">
        <v>6520.4109099999996</v>
      </c>
      <c r="AI23" s="80">
        <v>6563.3325960000002</v>
      </c>
      <c r="AJ23" s="80">
        <v>6361.2704389999999</v>
      </c>
      <c r="AK23" s="80">
        <v>6419.8326479999996</v>
      </c>
    </row>
    <row r="24" spans="1:38" s="86" customFormat="1" ht="16.5" customHeight="1">
      <c r="A24" s="12" t="s">
        <v>1136</v>
      </c>
      <c r="B24" s="80" t="s">
        <v>532</v>
      </c>
      <c r="C24" s="80" t="s">
        <v>532</v>
      </c>
      <c r="D24" s="80" t="s">
        <v>532</v>
      </c>
      <c r="E24" s="80" t="s">
        <v>532</v>
      </c>
      <c r="F24" s="80" t="s">
        <v>532</v>
      </c>
      <c r="G24" s="80" t="s">
        <v>532</v>
      </c>
      <c r="H24" s="78">
        <v>11418</v>
      </c>
      <c r="I24" s="80" t="s">
        <v>532</v>
      </c>
      <c r="J24" s="80" t="s">
        <v>532</v>
      </c>
      <c r="K24" s="80" t="s">
        <v>532</v>
      </c>
      <c r="L24" s="80" t="s">
        <v>532</v>
      </c>
      <c r="M24" s="80">
        <v>10821</v>
      </c>
      <c r="N24" s="80" t="s">
        <v>532</v>
      </c>
      <c r="O24" s="80" t="s">
        <v>532</v>
      </c>
      <c r="P24" s="80" t="s">
        <v>532</v>
      </c>
      <c r="Q24" s="80" t="s">
        <v>532</v>
      </c>
      <c r="R24" s="80" t="s">
        <v>532</v>
      </c>
      <c r="S24" s="80">
        <v>24779</v>
      </c>
      <c r="T24" s="80" t="s">
        <v>532</v>
      </c>
      <c r="U24" s="80" t="s">
        <v>532</v>
      </c>
      <c r="V24" s="80" t="s">
        <v>532</v>
      </c>
      <c r="W24" s="80" t="s">
        <v>532</v>
      </c>
      <c r="X24" s="80" t="s">
        <v>532</v>
      </c>
      <c r="Y24" s="80" t="s">
        <v>532</v>
      </c>
      <c r="Z24" s="80" t="s">
        <v>532</v>
      </c>
      <c r="AA24" s="78">
        <v>27943</v>
      </c>
      <c r="AB24" s="80" t="s">
        <v>532</v>
      </c>
      <c r="AC24" s="80" t="s">
        <v>532</v>
      </c>
      <c r="AD24" s="80" t="s">
        <v>532</v>
      </c>
      <c r="AE24" s="80" t="s">
        <v>532</v>
      </c>
      <c r="AF24" s="80" t="s">
        <v>532</v>
      </c>
      <c r="AG24" s="80" t="s">
        <v>532</v>
      </c>
      <c r="AH24" s="80" t="s">
        <v>532</v>
      </c>
      <c r="AI24" s="80">
        <v>33651</v>
      </c>
      <c r="AJ24" s="80" t="s">
        <v>532</v>
      </c>
      <c r="AK24" s="80" t="s">
        <v>532</v>
      </c>
    </row>
    <row r="25" spans="1:38" s="86" customFormat="1" ht="16.5" customHeight="1" thickBot="1">
      <c r="A25" s="12" t="s">
        <v>1137</v>
      </c>
      <c r="B25" s="93" t="s">
        <v>532</v>
      </c>
      <c r="C25" s="93" t="s">
        <v>532</v>
      </c>
      <c r="D25" s="93" t="s">
        <v>532</v>
      </c>
      <c r="E25" s="93" t="s">
        <v>532</v>
      </c>
      <c r="F25" s="93" t="s">
        <v>532</v>
      </c>
      <c r="G25" s="93" t="s">
        <v>532</v>
      </c>
      <c r="H25" s="94">
        <v>3471</v>
      </c>
      <c r="I25" s="93" t="s">
        <v>532</v>
      </c>
      <c r="J25" s="93" t="s">
        <v>532</v>
      </c>
      <c r="K25" s="93" t="s">
        <v>532</v>
      </c>
      <c r="L25" s="93" t="s">
        <v>532</v>
      </c>
      <c r="M25" s="93">
        <v>4593</v>
      </c>
      <c r="N25" s="93" t="s">
        <v>532</v>
      </c>
      <c r="O25" s="93" t="s">
        <v>532</v>
      </c>
      <c r="P25" s="93" t="s">
        <v>532</v>
      </c>
      <c r="Q25" s="93" t="s">
        <v>532</v>
      </c>
      <c r="R25" s="93" t="s">
        <v>532</v>
      </c>
      <c r="S25" s="94">
        <v>6266</v>
      </c>
      <c r="T25" s="93" t="s">
        <v>532</v>
      </c>
      <c r="U25" s="93" t="s">
        <v>532</v>
      </c>
      <c r="V25" s="93" t="s">
        <v>532</v>
      </c>
      <c r="W25" s="93" t="s">
        <v>532</v>
      </c>
      <c r="X25" s="93" t="s">
        <v>532</v>
      </c>
      <c r="Y25" s="93" t="s">
        <v>532</v>
      </c>
      <c r="Z25" s="93" t="s">
        <v>532</v>
      </c>
      <c r="AA25" s="94">
        <v>8956</v>
      </c>
      <c r="AB25" s="93" t="s">
        <v>532</v>
      </c>
      <c r="AC25" s="93" t="s">
        <v>532</v>
      </c>
      <c r="AD25" s="93" t="s">
        <v>532</v>
      </c>
      <c r="AE25" s="93" t="s">
        <v>532</v>
      </c>
      <c r="AF25" s="93" t="s">
        <v>532</v>
      </c>
      <c r="AG25" s="93" t="s">
        <v>532</v>
      </c>
      <c r="AH25" s="93" t="s">
        <v>532</v>
      </c>
      <c r="AI25" s="93">
        <v>8499</v>
      </c>
      <c r="AJ25" s="93" t="s">
        <v>532</v>
      </c>
      <c r="AK25" s="93" t="s">
        <v>532</v>
      </c>
    </row>
    <row r="26" spans="1:38" s="96" customFormat="1" ht="12.75" customHeight="1">
      <c r="A26" s="95" t="s">
        <v>1138</v>
      </c>
      <c r="B26" s="95"/>
      <c r="C26" s="95"/>
      <c r="D26" s="95"/>
      <c r="E26" s="95"/>
      <c r="F26" s="95"/>
      <c r="G26" s="95"/>
      <c r="H26" s="95"/>
      <c r="I26" s="95"/>
      <c r="J26" s="95"/>
      <c r="K26" s="95"/>
      <c r="L26" s="95"/>
      <c r="M26" s="95"/>
      <c r="N26" s="95"/>
      <c r="O26" s="95"/>
      <c r="P26" s="95"/>
      <c r="Q26" s="95"/>
      <c r="R26" s="95"/>
      <c r="S26" s="95"/>
      <c r="T26" s="95"/>
      <c r="U26" s="95"/>
      <c r="V26" s="95"/>
      <c r="W26" s="95"/>
      <c r="X26" s="95"/>
      <c r="Y26" s="95"/>
      <c r="Z26" s="95"/>
    </row>
    <row r="27" spans="1:38" s="97" customFormat="1" ht="12.75" customHeight="1">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row>
    <row r="28" spans="1:38" s="96" customFormat="1" ht="38.25" customHeight="1">
      <c r="A28" s="98" t="s">
        <v>1139</v>
      </c>
      <c r="B28" s="98"/>
      <c r="C28" s="98"/>
      <c r="D28" s="98"/>
      <c r="E28" s="98"/>
      <c r="F28" s="98"/>
      <c r="G28" s="98"/>
      <c r="H28" s="98"/>
      <c r="I28" s="98"/>
      <c r="J28" s="98"/>
      <c r="K28" s="98"/>
      <c r="L28" s="98"/>
      <c r="M28" s="98"/>
      <c r="N28" s="98"/>
      <c r="O28" s="98"/>
      <c r="P28" s="98"/>
      <c r="Q28" s="98"/>
      <c r="R28" s="98"/>
      <c r="S28" s="98"/>
      <c r="T28" s="98"/>
      <c r="U28" s="98"/>
      <c r="V28" s="98"/>
      <c r="W28" s="98"/>
      <c r="X28" s="98"/>
      <c r="Y28" s="98"/>
      <c r="Z28" s="98"/>
    </row>
    <row r="29" spans="1:38" s="96" customFormat="1" ht="12.75" customHeight="1">
      <c r="A29" s="98" t="s">
        <v>1140</v>
      </c>
      <c r="B29" s="98"/>
      <c r="C29" s="98"/>
      <c r="D29" s="98"/>
      <c r="E29" s="98"/>
      <c r="F29" s="98"/>
      <c r="G29" s="98"/>
      <c r="H29" s="98"/>
      <c r="I29" s="98"/>
      <c r="J29" s="98"/>
      <c r="K29" s="98"/>
      <c r="L29" s="98"/>
      <c r="M29" s="98"/>
      <c r="N29" s="98"/>
      <c r="O29" s="98"/>
      <c r="P29" s="98"/>
      <c r="Q29" s="98"/>
      <c r="R29" s="98"/>
      <c r="S29" s="98"/>
      <c r="T29" s="98"/>
      <c r="U29" s="98"/>
      <c r="V29" s="98"/>
      <c r="W29" s="98"/>
      <c r="X29" s="98"/>
      <c r="Y29" s="98"/>
      <c r="Z29" s="98"/>
    </row>
    <row r="30" spans="1:38" s="96" customFormat="1" ht="12.75" customHeight="1">
      <c r="A30" s="98" t="s">
        <v>1141</v>
      </c>
      <c r="B30" s="98"/>
      <c r="C30" s="98"/>
      <c r="D30" s="98"/>
      <c r="E30" s="98"/>
      <c r="F30" s="98"/>
      <c r="G30" s="98"/>
      <c r="H30" s="98"/>
      <c r="I30" s="98"/>
      <c r="J30" s="98"/>
      <c r="K30" s="98"/>
      <c r="L30" s="98"/>
      <c r="M30" s="98"/>
      <c r="N30" s="98"/>
      <c r="O30" s="98"/>
      <c r="P30" s="98"/>
      <c r="Q30" s="98"/>
      <c r="R30" s="98"/>
      <c r="S30" s="98"/>
      <c r="T30" s="98"/>
      <c r="U30" s="98"/>
      <c r="V30" s="98"/>
      <c r="W30" s="98"/>
      <c r="X30" s="98"/>
      <c r="Y30" s="98"/>
      <c r="Z30" s="98"/>
    </row>
    <row r="31" spans="1:38" s="96" customFormat="1" ht="25.5" customHeight="1">
      <c r="A31" s="98" t="s">
        <v>1142</v>
      </c>
      <c r="B31" s="98"/>
      <c r="C31" s="98"/>
      <c r="D31" s="98"/>
      <c r="E31" s="98"/>
      <c r="F31" s="98"/>
      <c r="G31" s="98"/>
      <c r="H31" s="98"/>
      <c r="I31" s="98"/>
      <c r="J31" s="98"/>
      <c r="K31" s="98"/>
      <c r="L31" s="98"/>
      <c r="M31" s="98"/>
      <c r="N31" s="98"/>
      <c r="O31" s="98"/>
      <c r="P31" s="98"/>
      <c r="Q31" s="98"/>
      <c r="R31" s="98"/>
      <c r="S31" s="98"/>
      <c r="T31" s="98"/>
      <c r="U31" s="98"/>
      <c r="V31" s="98"/>
      <c r="W31" s="98"/>
      <c r="X31" s="98"/>
      <c r="Y31" s="98"/>
      <c r="Z31" s="98"/>
    </row>
    <row r="32" spans="1:38" s="96" customFormat="1" ht="12.75" customHeight="1">
      <c r="A32" s="98" t="s">
        <v>1143</v>
      </c>
      <c r="B32" s="98"/>
      <c r="C32" s="98"/>
      <c r="D32" s="98"/>
      <c r="E32" s="98"/>
      <c r="F32" s="98"/>
      <c r="G32" s="98"/>
      <c r="H32" s="98"/>
      <c r="I32" s="98"/>
      <c r="J32" s="98"/>
      <c r="K32" s="98"/>
      <c r="L32" s="98"/>
      <c r="M32" s="98"/>
      <c r="N32" s="98"/>
      <c r="O32" s="98"/>
      <c r="P32" s="98"/>
      <c r="Q32" s="98"/>
      <c r="R32" s="98"/>
      <c r="S32" s="98"/>
      <c r="T32" s="98"/>
      <c r="U32" s="98"/>
      <c r="V32" s="98"/>
      <c r="W32" s="98"/>
      <c r="X32" s="98"/>
      <c r="Y32" s="98"/>
      <c r="Z32" s="98"/>
    </row>
    <row r="33" spans="1:26" s="96" customFormat="1" ht="12.75" customHeight="1">
      <c r="A33" s="98" t="s">
        <v>1144</v>
      </c>
      <c r="B33" s="98"/>
      <c r="C33" s="98"/>
      <c r="D33" s="98"/>
      <c r="E33" s="98"/>
      <c r="F33" s="98"/>
      <c r="G33" s="98"/>
      <c r="H33" s="98"/>
      <c r="I33" s="98"/>
      <c r="J33" s="98"/>
      <c r="K33" s="98"/>
      <c r="L33" s="98"/>
      <c r="M33" s="98"/>
      <c r="N33" s="98"/>
      <c r="O33" s="98"/>
      <c r="P33" s="98"/>
      <c r="Q33" s="98"/>
      <c r="R33" s="98"/>
      <c r="S33" s="98"/>
      <c r="T33" s="98"/>
      <c r="U33" s="98"/>
      <c r="V33" s="98"/>
      <c r="W33" s="98"/>
      <c r="X33" s="98"/>
      <c r="Y33" s="98"/>
      <c r="Z33" s="98"/>
    </row>
    <row r="34" spans="1:26" s="96" customFormat="1" ht="12.75" customHeight="1">
      <c r="A34" s="98" t="s">
        <v>1145</v>
      </c>
      <c r="B34" s="98"/>
      <c r="C34" s="98"/>
      <c r="D34" s="98"/>
      <c r="E34" s="98"/>
      <c r="F34" s="98"/>
      <c r="G34" s="98"/>
      <c r="H34" s="98"/>
      <c r="I34" s="98"/>
      <c r="J34" s="98"/>
      <c r="K34" s="98"/>
      <c r="L34" s="98"/>
      <c r="M34" s="98"/>
      <c r="N34" s="98"/>
      <c r="O34" s="98"/>
      <c r="P34" s="98"/>
      <c r="Q34" s="98"/>
      <c r="R34" s="98"/>
      <c r="S34" s="98"/>
      <c r="T34" s="98"/>
      <c r="U34" s="98"/>
      <c r="V34" s="98"/>
      <c r="W34" s="98"/>
      <c r="X34" s="98"/>
      <c r="Y34" s="98"/>
      <c r="Z34" s="98"/>
    </row>
    <row r="35" spans="1:26" s="96" customFormat="1" ht="12.75" customHeight="1">
      <c r="A35" s="99" t="s">
        <v>1146</v>
      </c>
      <c r="B35" s="99"/>
      <c r="C35" s="99"/>
      <c r="D35" s="99"/>
      <c r="E35" s="99"/>
      <c r="F35" s="99"/>
      <c r="G35" s="99"/>
      <c r="H35" s="99"/>
      <c r="I35" s="99"/>
      <c r="J35" s="99"/>
      <c r="K35" s="99"/>
      <c r="L35" s="99"/>
      <c r="M35" s="99"/>
      <c r="N35" s="99"/>
      <c r="O35" s="99"/>
      <c r="P35" s="99"/>
      <c r="Q35" s="99"/>
      <c r="R35" s="99"/>
      <c r="S35" s="99"/>
      <c r="T35" s="99"/>
      <c r="U35" s="99"/>
      <c r="V35" s="99"/>
      <c r="W35" s="99"/>
      <c r="X35" s="99"/>
      <c r="Y35" s="99"/>
      <c r="Z35" s="99"/>
    </row>
    <row r="36" spans="1:26" s="96" customFormat="1" ht="12.75" customHeight="1">
      <c r="A36" s="98" t="s">
        <v>1147</v>
      </c>
      <c r="B36" s="98"/>
      <c r="C36" s="98"/>
      <c r="D36" s="98"/>
      <c r="E36" s="98"/>
      <c r="F36" s="98"/>
      <c r="G36" s="98"/>
      <c r="H36" s="98"/>
      <c r="I36" s="98"/>
      <c r="J36" s="98"/>
      <c r="K36" s="98"/>
      <c r="L36" s="98"/>
      <c r="M36" s="98"/>
      <c r="N36" s="98"/>
      <c r="O36" s="98"/>
      <c r="P36" s="98"/>
      <c r="Q36" s="98"/>
      <c r="R36" s="98"/>
      <c r="S36" s="98"/>
      <c r="T36" s="98"/>
      <c r="U36" s="98"/>
      <c r="V36" s="98"/>
      <c r="W36" s="98"/>
      <c r="X36" s="98"/>
      <c r="Y36" s="98"/>
      <c r="Z36" s="98"/>
    </row>
    <row r="37" spans="1:26" s="96" customFormat="1" ht="25.5" customHeight="1">
      <c r="A37" s="98" t="s">
        <v>1148</v>
      </c>
      <c r="B37" s="98"/>
      <c r="C37" s="98"/>
      <c r="D37" s="98"/>
      <c r="E37" s="98"/>
      <c r="F37" s="98"/>
      <c r="G37" s="98"/>
      <c r="H37" s="98"/>
      <c r="I37" s="98"/>
      <c r="J37" s="98"/>
      <c r="K37" s="98"/>
      <c r="L37" s="98"/>
      <c r="M37" s="98"/>
      <c r="N37" s="98"/>
      <c r="O37" s="98"/>
      <c r="P37" s="98"/>
      <c r="Q37" s="98"/>
      <c r="R37" s="98"/>
      <c r="S37" s="98"/>
      <c r="T37" s="98"/>
      <c r="U37" s="98"/>
      <c r="V37" s="98"/>
      <c r="W37" s="98"/>
      <c r="X37" s="98"/>
      <c r="Y37" s="98"/>
      <c r="Z37" s="98"/>
    </row>
    <row r="38" spans="1:26" s="96" customFormat="1" ht="12.75" customHeight="1"/>
    <row r="39" spans="1:26" s="96" customFormat="1" ht="12.75" customHeight="1">
      <c r="A39" s="100" t="s">
        <v>526</v>
      </c>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row>
    <row r="40" spans="1:26" s="96" customFormat="1" ht="12.75" customHeight="1">
      <c r="A40" s="101" t="s">
        <v>1149</v>
      </c>
      <c r="B40" s="101"/>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row>
    <row r="41" spans="1:26" s="96" customFormat="1" ht="38.25" customHeight="1">
      <c r="A41" s="101" t="s">
        <v>525</v>
      </c>
      <c r="B41" s="101"/>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row>
    <row r="42" spans="1:26" s="96" customFormat="1" ht="25.5" customHeight="1">
      <c r="A42" s="101" t="s">
        <v>1150</v>
      </c>
      <c r="B42" s="101"/>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row>
    <row r="43" spans="1:26" s="96" customFormat="1" ht="25.5" customHeight="1">
      <c r="A43" s="101" t="s">
        <v>1151</v>
      </c>
      <c r="B43" s="101"/>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row>
    <row r="44" spans="1:26" s="96" customFormat="1" ht="12.75" customHeight="1">
      <c r="A44" s="101" t="s">
        <v>524</v>
      </c>
      <c r="B44" s="101"/>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row>
    <row r="45" spans="1:26" s="96" customFormat="1" ht="24.75" customHeight="1">
      <c r="A45" s="101" t="s">
        <v>1152</v>
      </c>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row>
    <row r="46" spans="1:26" s="96" customFormat="1" ht="12.75" customHeight="1">
      <c r="A46" s="102" t="s">
        <v>1153</v>
      </c>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row>
    <row r="47" spans="1:26" s="96" customFormat="1" ht="12.75" customHeight="1">
      <c r="A47" s="103" t="s">
        <v>523</v>
      </c>
      <c r="B47" s="103"/>
      <c r="C47" s="103"/>
      <c r="D47" s="103"/>
      <c r="E47" s="103"/>
      <c r="F47" s="103"/>
      <c r="G47" s="103"/>
      <c r="H47" s="103"/>
      <c r="I47" s="103"/>
      <c r="J47" s="103"/>
      <c r="K47" s="103"/>
      <c r="L47" s="103"/>
      <c r="M47" s="103"/>
      <c r="N47" s="103"/>
      <c r="O47" s="103"/>
      <c r="P47" s="103"/>
      <c r="Q47" s="103"/>
      <c r="R47" s="103"/>
      <c r="S47" s="103"/>
      <c r="T47" s="103"/>
      <c r="U47" s="103"/>
      <c r="V47" s="103"/>
      <c r="W47" s="103"/>
      <c r="X47" s="103"/>
      <c r="Y47" s="103"/>
      <c r="Z47" s="103"/>
    </row>
    <row r="48" spans="1:26" s="96" customFormat="1" ht="12.75" customHeight="1">
      <c r="A48" s="101" t="s">
        <v>522</v>
      </c>
      <c r="B48" s="101"/>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row>
    <row r="49" spans="1:26" s="96" customFormat="1" ht="12.75" customHeight="1">
      <c r="A49" s="101" t="s">
        <v>1154</v>
      </c>
      <c r="B49" s="101"/>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row>
    <row r="50" spans="1:26" s="96" customFormat="1" ht="12.7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row>
    <row r="51" spans="1:26" s="96" customFormat="1" ht="12.75" customHeight="1">
      <c r="A51" s="104" t="s">
        <v>521</v>
      </c>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row>
    <row r="52" spans="1:26" s="96" customFormat="1" ht="12.75" customHeight="1">
      <c r="A52" s="104" t="s">
        <v>520</v>
      </c>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row>
    <row r="53" spans="1:26" s="96" customFormat="1" ht="12.75" customHeight="1">
      <c r="A53" s="105" t="s">
        <v>1155</v>
      </c>
      <c r="B53" s="105"/>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row>
    <row r="54" spans="1:26" s="96" customFormat="1" ht="12.75" customHeight="1">
      <c r="A54" s="106" t="s">
        <v>519</v>
      </c>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row>
    <row r="55" spans="1:26" s="96" customFormat="1" ht="12.75" customHeight="1">
      <c r="A55" s="106" t="s">
        <v>1156</v>
      </c>
      <c r="B55" s="106"/>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row>
    <row r="56" spans="1:26" s="96" customFormat="1" ht="12.75" customHeight="1">
      <c r="A56" s="102" t="s">
        <v>1157</v>
      </c>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row>
    <row r="57" spans="1:26" s="96" customFormat="1" ht="12.75" customHeight="1">
      <c r="A57" s="102" t="s">
        <v>1158</v>
      </c>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row>
    <row r="58" spans="1:26" s="96" customFormat="1" ht="13" customHeight="1">
      <c r="A58" s="105" t="s">
        <v>1159</v>
      </c>
      <c r="B58" s="105"/>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row>
    <row r="59" spans="1:26" s="96" customFormat="1" ht="13" customHeight="1">
      <c r="A59" s="102" t="s">
        <v>1160</v>
      </c>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row>
    <row r="60" spans="1:26" s="96" customFormat="1" ht="12.75" customHeight="1">
      <c r="A60" s="107" t="s">
        <v>518</v>
      </c>
      <c r="B60" s="107"/>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row>
    <row r="61" spans="1:26" s="96" customFormat="1" ht="12.75" customHeight="1">
      <c r="A61" s="108" t="s">
        <v>1161</v>
      </c>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spans="1:26" s="96" customFormat="1" ht="12.75" customHeight="1">
      <c r="A62" s="102" t="s">
        <v>1162</v>
      </c>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row>
    <row r="63" spans="1:26" s="109" customFormat="1" ht="12.75" customHeight="1">
      <c r="A63" s="106" t="s">
        <v>1163</v>
      </c>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row>
    <row r="64" spans="1:26" s="109" customFormat="1" ht="12.75" customHeight="1">
      <c r="A64" s="108" t="s">
        <v>513</v>
      </c>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spans="1:26" s="96" customFormat="1" ht="12.75" customHeight="1">
      <c r="A65" s="102" t="s">
        <v>1164</v>
      </c>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row>
    <row r="66" spans="1:26" s="109" customFormat="1" ht="12.75" customHeight="1">
      <c r="A66" s="106" t="s">
        <v>1165</v>
      </c>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row>
    <row r="67" spans="1:26" s="109" customFormat="1" ht="12.75" customHeight="1">
      <c r="A67" s="107" t="s">
        <v>517</v>
      </c>
      <c r="B67" s="107"/>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row>
    <row r="68" spans="1:26" s="109" customFormat="1" ht="12.75" customHeight="1">
      <c r="A68" s="108" t="s">
        <v>516</v>
      </c>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spans="1:26" s="109" customFormat="1" ht="12.75" customHeight="1">
      <c r="A69" s="106" t="s">
        <v>515</v>
      </c>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row>
    <row r="70" spans="1:26" s="96" customFormat="1" ht="12.75" customHeight="1">
      <c r="A70" s="106" t="s">
        <v>514</v>
      </c>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row>
    <row r="71" spans="1:26" s="96" customFormat="1" ht="12.75" customHeight="1">
      <c r="A71" s="106" t="s">
        <v>1166</v>
      </c>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row>
    <row r="72" spans="1:26" s="96" customFormat="1" ht="12.75" customHeight="1">
      <c r="A72" s="106" t="s">
        <v>1167</v>
      </c>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row>
    <row r="73" spans="1:26" s="96" customFormat="1" ht="12.75" customHeight="1">
      <c r="A73" s="108" t="s">
        <v>513</v>
      </c>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spans="1:26" s="109" customFormat="1" ht="12.75" customHeight="1">
      <c r="A74" s="106" t="s">
        <v>512</v>
      </c>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row>
    <row r="75" spans="1:26" s="96" customFormat="1" ht="12.75" customHeight="1">
      <c r="A75" s="106" t="s">
        <v>1168</v>
      </c>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row>
    <row r="76" spans="1:26" s="96" customFormat="1" ht="12.75" customHeight="1">
      <c r="A76" s="106" t="s">
        <v>1169</v>
      </c>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row>
    <row r="77" spans="1:26" s="96" customFormat="1" ht="12.75" customHeight="1">
      <c r="A77" s="107" t="s">
        <v>1170</v>
      </c>
      <c r="B77" s="107"/>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row>
    <row r="78" spans="1:26" s="96" customFormat="1" ht="12.75" customHeight="1">
      <c r="A78" s="106" t="s">
        <v>511</v>
      </c>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row>
    <row r="79" spans="1:26" s="96" customFormat="1" ht="12.75" customHeight="1">
      <c r="A79" s="106" t="s">
        <v>510</v>
      </c>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row>
    <row r="80" spans="1:26" s="96" customFormat="1" ht="12.75" customHeight="1">
      <c r="A80" s="106" t="s">
        <v>1171</v>
      </c>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row>
    <row r="81" spans="1:26" ht="12.75" customHeight="1">
      <c r="A81" s="106" t="s">
        <v>1172</v>
      </c>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row>
    <row r="82" spans="1:26" ht="12.75" customHeight="1">
      <c r="A82" s="107" t="s">
        <v>1173</v>
      </c>
      <c r="B82" s="107"/>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row>
    <row r="83" spans="1:26" ht="12.75" customHeight="1">
      <c r="A83" s="106" t="s">
        <v>1174</v>
      </c>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row>
  </sheetData>
  <pageMargins left="0.25" right="0.25" top="0.25" bottom="0.25" header="0.3" footer="0.3"/>
  <pageSetup scale="42"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1"/>
  <sheetViews>
    <sheetView workbookViewId="0"/>
  </sheetViews>
  <sheetFormatPr defaultRowHeight="14.5"/>
  <cols>
    <col min="1" max="1" width="26.81640625" customWidth="1"/>
    <col min="2" max="2" width="16.7265625" customWidth="1"/>
    <col min="3" max="3" width="12.6328125" customWidth="1"/>
    <col min="4" max="4" width="14.08984375" customWidth="1"/>
    <col min="5" max="5" width="16.7265625" customWidth="1"/>
    <col min="6" max="6" width="16.26953125" customWidth="1"/>
    <col min="7" max="7" width="15.81640625" customWidth="1"/>
  </cols>
  <sheetData>
    <row r="1" spans="1:7">
      <c r="A1" s="1" t="s">
        <v>481</v>
      </c>
    </row>
    <row r="2" spans="1:7">
      <c r="A2" s="1"/>
    </row>
    <row r="3" spans="1:7" ht="43.5">
      <c r="A3" s="6" t="s">
        <v>482</v>
      </c>
      <c r="B3" s="6" t="s">
        <v>483</v>
      </c>
      <c r="C3" s="6" t="s">
        <v>484</v>
      </c>
      <c r="D3" s="6" t="s">
        <v>485</v>
      </c>
      <c r="E3" s="6" t="s">
        <v>486</v>
      </c>
      <c r="F3" s="6" t="s">
        <v>487</v>
      </c>
      <c r="G3" s="6" t="s">
        <v>488</v>
      </c>
    </row>
    <row r="4" spans="1:7">
      <c r="A4" t="s">
        <v>489</v>
      </c>
      <c r="B4" s="7">
        <v>21611</v>
      </c>
      <c r="C4" s="7">
        <v>244203</v>
      </c>
      <c r="D4" s="7">
        <v>3584</v>
      </c>
      <c r="E4">
        <v>11.3</v>
      </c>
      <c r="F4">
        <v>5.7</v>
      </c>
      <c r="G4">
        <v>2.4</v>
      </c>
    </row>
    <row r="5" spans="1:7">
      <c r="A5" t="s">
        <v>490</v>
      </c>
      <c r="B5" s="7">
        <v>10147</v>
      </c>
      <c r="C5" s="7">
        <v>121865</v>
      </c>
      <c r="D5" s="7">
        <v>2035</v>
      </c>
      <c r="E5">
        <v>12</v>
      </c>
      <c r="F5">
        <v>6</v>
      </c>
      <c r="G5">
        <v>2.7</v>
      </c>
    </row>
    <row r="6" spans="1:7">
      <c r="A6" t="s">
        <v>491</v>
      </c>
      <c r="B6">
        <v>735</v>
      </c>
      <c r="C6" s="7">
        <v>8137</v>
      </c>
      <c r="D6">
        <v>154</v>
      </c>
      <c r="E6">
        <v>11.1</v>
      </c>
      <c r="F6">
        <v>7.8</v>
      </c>
      <c r="G6">
        <v>2.4</v>
      </c>
    </row>
    <row r="7" spans="1:7">
      <c r="A7" t="s">
        <v>492</v>
      </c>
      <c r="B7">
        <v>854</v>
      </c>
      <c r="C7" s="7">
        <v>12694</v>
      </c>
      <c r="D7">
        <v>220</v>
      </c>
      <c r="E7">
        <v>14.9</v>
      </c>
      <c r="F7">
        <v>4.0999999999999996</v>
      </c>
      <c r="G7">
        <v>3.8</v>
      </c>
    </row>
    <row r="8" spans="1:7">
      <c r="A8" t="s">
        <v>493</v>
      </c>
      <c r="B8" s="7">
        <v>1704</v>
      </c>
      <c r="C8" s="7">
        <v>18728</v>
      </c>
      <c r="D8">
        <v>212</v>
      </c>
      <c r="E8">
        <v>11</v>
      </c>
      <c r="F8">
        <v>4.7</v>
      </c>
      <c r="G8">
        <v>2.2999999999999998</v>
      </c>
    </row>
    <row r="9" spans="1:7">
      <c r="A9" t="s">
        <v>494</v>
      </c>
      <c r="B9" s="7">
        <v>2508</v>
      </c>
      <c r="C9" s="7">
        <v>21580</v>
      </c>
      <c r="D9">
        <v>362</v>
      </c>
      <c r="E9">
        <v>8.6</v>
      </c>
      <c r="F9">
        <v>6.3</v>
      </c>
      <c r="G9">
        <v>2.2999999999999998</v>
      </c>
    </row>
    <row r="10" spans="1:7">
      <c r="A10" t="s">
        <v>495</v>
      </c>
      <c r="B10" s="7">
        <v>3916</v>
      </c>
      <c r="C10" s="7">
        <v>43741</v>
      </c>
      <c r="D10">
        <v>280</v>
      </c>
      <c r="E10">
        <v>11.2</v>
      </c>
      <c r="F10">
        <v>4.5999999999999996</v>
      </c>
      <c r="G10">
        <v>1.3</v>
      </c>
    </row>
    <row r="11" spans="1:7">
      <c r="A11" t="s">
        <v>496</v>
      </c>
      <c r="B11" s="7">
        <v>1747</v>
      </c>
      <c r="C11" s="7">
        <v>17458</v>
      </c>
      <c r="D11">
        <v>322</v>
      </c>
      <c r="E11">
        <v>10</v>
      </c>
      <c r="F11">
        <v>6.8</v>
      </c>
      <c r="G11">
        <v>2.4</v>
      </c>
    </row>
  </sheetData>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24"/>
  <sheetViews>
    <sheetView workbookViewId="0"/>
  </sheetViews>
  <sheetFormatPr defaultColWidth="9.08984375" defaultRowHeight="14.5"/>
  <cols>
    <col min="1" max="1" width="41.08984375" style="135" customWidth="1"/>
    <col min="2" max="6" width="10.36328125" style="17" customWidth="1"/>
    <col min="7" max="16384" width="9.08984375" style="135"/>
  </cols>
  <sheetData>
    <row r="1" spans="1:7">
      <c r="A1" s="2" t="s">
        <v>3325</v>
      </c>
      <c r="B1" s="136"/>
      <c r="C1" s="136"/>
      <c r="D1" s="136"/>
      <c r="E1" s="136"/>
      <c r="F1" s="136"/>
    </row>
    <row r="2" spans="1:7">
      <c r="B2" s="137">
        <v>2010</v>
      </c>
      <c r="C2" s="137" t="s">
        <v>3326</v>
      </c>
      <c r="D2" s="137" t="s">
        <v>3327</v>
      </c>
      <c r="E2" s="137" t="s">
        <v>3328</v>
      </c>
      <c r="F2" s="137" t="s">
        <v>3329</v>
      </c>
      <c r="G2" s="18"/>
    </row>
    <row r="3" spans="1:7">
      <c r="A3" s="135" t="s">
        <v>3330</v>
      </c>
      <c r="B3" s="17">
        <v>130</v>
      </c>
      <c r="C3" s="17">
        <v>130</v>
      </c>
      <c r="D3" s="17">
        <v>130</v>
      </c>
      <c r="E3" s="17">
        <v>130</v>
      </c>
      <c r="F3" s="17">
        <v>130</v>
      </c>
    </row>
    <row r="4" spans="1:7">
      <c r="A4" s="135" t="s">
        <v>3331</v>
      </c>
      <c r="B4" s="17">
        <v>110.8</v>
      </c>
      <c r="C4" s="17">
        <v>91.6</v>
      </c>
      <c r="D4" s="17">
        <v>85.6</v>
      </c>
      <c r="E4" s="17">
        <v>81</v>
      </c>
      <c r="F4" s="17">
        <v>71.2</v>
      </c>
    </row>
    <row r="5" spans="1:7">
      <c r="A5" s="135" t="s">
        <v>3332</v>
      </c>
      <c r="C5" s="17">
        <v>87.5</v>
      </c>
      <c r="D5" s="17">
        <v>90.2</v>
      </c>
      <c r="E5" s="17">
        <v>92.5</v>
      </c>
      <c r="F5" s="17">
        <v>94</v>
      </c>
    </row>
    <row r="6" spans="1:7">
      <c r="A6" s="135" t="s">
        <v>3333</v>
      </c>
      <c r="C6" s="17">
        <v>90.7</v>
      </c>
      <c r="D6" s="17">
        <v>91.6</v>
      </c>
      <c r="E6" s="17">
        <v>92.5</v>
      </c>
      <c r="F6" s="17">
        <v>93.5</v>
      </c>
    </row>
    <row r="7" spans="1:7">
      <c r="A7" s="135" t="s">
        <v>3334</v>
      </c>
      <c r="C7" s="17">
        <v>86.7</v>
      </c>
      <c r="D7" s="17">
        <v>87.8</v>
      </c>
      <c r="E7" s="17">
        <v>88</v>
      </c>
    </row>
    <row r="8" spans="1:7">
      <c r="A8" s="135" t="s">
        <v>3335</v>
      </c>
      <c r="B8" s="17">
        <v>152</v>
      </c>
      <c r="C8" s="17">
        <v>104.1</v>
      </c>
      <c r="D8" s="17">
        <v>98.2</v>
      </c>
      <c r="E8" s="17">
        <v>92.3</v>
      </c>
      <c r="F8" s="17">
        <v>84.6</v>
      </c>
    </row>
    <row r="9" spans="1:7">
      <c r="A9" s="135" t="s">
        <v>3336</v>
      </c>
      <c r="B9" s="17">
        <v>80</v>
      </c>
      <c r="C9" s="17">
        <v>88</v>
      </c>
      <c r="D9" s="17">
        <v>92</v>
      </c>
      <c r="E9" s="17">
        <v>90</v>
      </c>
      <c r="F9" s="17">
        <v>94</v>
      </c>
    </row>
    <row r="10" spans="1:7">
      <c r="A10" s="135" t="s">
        <v>3337</v>
      </c>
      <c r="B10" s="17">
        <v>37.6</v>
      </c>
      <c r="C10" s="17">
        <v>25.8</v>
      </c>
      <c r="D10" s="17">
        <v>21.7</v>
      </c>
      <c r="E10" s="17">
        <v>19.899999999999999</v>
      </c>
      <c r="F10" s="17">
        <v>15.9</v>
      </c>
    </row>
    <row r="11" spans="1:7">
      <c r="A11" s="135" t="s">
        <v>3338</v>
      </c>
      <c r="B11" s="17">
        <v>152</v>
      </c>
      <c r="C11" s="17">
        <v>195</v>
      </c>
      <c r="D11" s="17">
        <v>225</v>
      </c>
      <c r="E11" s="17">
        <v>250</v>
      </c>
      <c r="F11" s="17">
        <v>303</v>
      </c>
    </row>
    <row r="12" spans="1:7">
      <c r="A12" s="135" t="s">
        <v>3339</v>
      </c>
      <c r="B12" s="17">
        <v>22.1</v>
      </c>
      <c r="C12" s="17">
        <v>17.3</v>
      </c>
      <c r="D12" s="17">
        <v>15</v>
      </c>
      <c r="E12" s="17">
        <v>13.5</v>
      </c>
      <c r="F12" s="17">
        <v>11.1</v>
      </c>
    </row>
    <row r="13" spans="1:7">
      <c r="A13" s="135" t="s">
        <v>3340</v>
      </c>
      <c r="B13" s="17">
        <v>450</v>
      </c>
      <c r="C13" s="17">
        <v>250</v>
      </c>
      <c r="D13" s="17">
        <v>200</v>
      </c>
      <c r="E13" s="17">
        <v>160</v>
      </c>
      <c r="F13" s="17">
        <v>150</v>
      </c>
    </row>
    <row r="14" spans="1:7">
      <c r="A14" s="135" t="s">
        <v>3341</v>
      </c>
      <c r="B14" s="138">
        <v>15979</v>
      </c>
      <c r="C14" s="138">
        <v>5401</v>
      </c>
      <c r="D14" s="138">
        <v>4384</v>
      </c>
      <c r="E14" s="138">
        <v>3184</v>
      </c>
      <c r="F14" s="138">
        <v>2050</v>
      </c>
    </row>
    <row r="15" spans="1:7">
      <c r="A15" s="135" t="s">
        <v>3342</v>
      </c>
      <c r="B15" s="138">
        <v>15979</v>
      </c>
      <c r="C15" s="138">
        <v>2968</v>
      </c>
      <c r="D15" s="138">
        <v>2139</v>
      </c>
      <c r="E15" s="17" t="s">
        <v>3343</v>
      </c>
      <c r="F15" s="17" t="s">
        <v>3344</v>
      </c>
    </row>
    <row r="17" spans="1:4">
      <c r="A17" s="2" t="s">
        <v>3345</v>
      </c>
      <c r="B17" s="136"/>
      <c r="C17" s="136"/>
      <c r="D17" s="136"/>
    </row>
    <row r="18" spans="1:4">
      <c r="B18" s="17">
        <v>2010</v>
      </c>
      <c r="C18" s="17">
        <v>2030</v>
      </c>
      <c r="D18" s="17">
        <v>2050</v>
      </c>
    </row>
    <row r="19" spans="1:4">
      <c r="A19" s="135" t="s">
        <v>3338</v>
      </c>
      <c r="B19" s="17">
        <f>B11</f>
        <v>152</v>
      </c>
      <c r="C19" s="17">
        <f>C11</f>
        <v>195</v>
      </c>
      <c r="D19" s="17">
        <f>E11</f>
        <v>250</v>
      </c>
    </row>
    <row r="21" spans="1:4">
      <c r="B21" s="17">
        <v>2017</v>
      </c>
    </row>
    <row r="22" spans="1:4">
      <c r="A22" s="135" t="s">
        <v>3346</v>
      </c>
      <c r="B22" s="17">
        <f>TREND(B19:C19,B18:C18,B21)</f>
        <v>167.05000000000018</v>
      </c>
    </row>
    <row r="24" spans="1:4">
      <c r="A24" s="135" t="s">
        <v>3347</v>
      </c>
      <c r="B24" s="139">
        <f>(D19-B22)/B22</f>
        <v>0.49655791679137817</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7"/>
  <sheetViews>
    <sheetView workbookViewId="0">
      <selection activeCell="B2" sqref="B2:H7"/>
    </sheetView>
  </sheetViews>
  <sheetFormatPr defaultRowHeight="14.5"/>
  <sheetData>
    <row r="1" spans="1:12">
      <c r="A1" t="s">
        <v>3375</v>
      </c>
      <c r="B1" t="s">
        <v>112</v>
      </c>
      <c r="C1" t="s">
        <v>113</v>
      </c>
      <c r="D1" t="s">
        <v>114</v>
      </c>
      <c r="E1" t="s">
        <v>115</v>
      </c>
      <c r="F1" t="s">
        <v>116</v>
      </c>
      <c r="G1" t="s">
        <v>853</v>
      </c>
      <c r="H1" t="s">
        <v>854</v>
      </c>
      <c r="K1" t="s">
        <v>3376</v>
      </c>
      <c r="L1">
        <f t="array" ref="L1:L7">TRANSPOSE(B3:H3)</f>
        <v>2.8716216192227239E-3</v>
      </c>
    </row>
    <row r="2" spans="1:12">
      <c r="A2" t="s">
        <v>863</v>
      </c>
      <c r="B2">
        <v>1.3034527706475435E-3</v>
      </c>
      <c r="C2">
        <v>3.2678701664683445E-4</v>
      </c>
      <c r="D2">
        <v>3.1652760292406873E-4</v>
      </c>
      <c r="E2">
        <v>3.9332496832109406E-4</v>
      </c>
      <c r="F2">
        <v>6.7451596682727188E-4</v>
      </c>
      <c r="G2">
        <v>2.7638078960570732E-4</v>
      </c>
      <c r="H2">
        <v>5.8732402773689196E-4</v>
      </c>
      <c r="L2">
        <v>7.6571862036197878E-4</v>
      </c>
    </row>
    <row r="3" spans="1:12">
      <c r="A3" t="s">
        <v>475</v>
      </c>
      <c r="B3">
        <v>2.8716216192227239E-3</v>
      </c>
      <c r="C3">
        <v>7.6571862036197878E-4</v>
      </c>
      <c r="D3">
        <v>8.9341397788199632E-4</v>
      </c>
      <c r="E3">
        <v>8.9361888315505733E-4</v>
      </c>
      <c r="F3">
        <v>1.9815203879922738E-3</v>
      </c>
      <c r="G3">
        <v>8.9361888315505722E-4</v>
      </c>
      <c r="H3">
        <v>2.6808566494651714E-3</v>
      </c>
      <c r="L3">
        <v>8.9341397788199632E-4</v>
      </c>
    </row>
    <row r="4" spans="1:12">
      <c r="A4" t="s">
        <v>472</v>
      </c>
      <c r="B4">
        <v>1.4185802505818058E-3</v>
      </c>
      <c r="C4">
        <v>4.4144747020460906E-4</v>
      </c>
      <c r="D4">
        <v>4.4144747020460906E-4</v>
      </c>
      <c r="E4">
        <v>4.4144747020460906E-4</v>
      </c>
      <c r="F4">
        <v>0</v>
      </c>
      <c r="G4">
        <v>0</v>
      </c>
      <c r="H4">
        <v>1.3243424106138271E-3</v>
      </c>
      <c r="L4">
        <v>8.9361888315505733E-4</v>
      </c>
    </row>
    <row r="5" spans="1:12">
      <c r="A5" t="s">
        <v>866</v>
      </c>
      <c r="B5">
        <v>1.2405209526886144E-3</v>
      </c>
      <c r="C5">
        <v>4.2438874697242065E-4</v>
      </c>
      <c r="D5">
        <v>4.2438874697242065E-4</v>
      </c>
      <c r="E5">
        <v>4.2438874697242065E-4</v>
      </c>
      <c r="F5">
        <v>0</v>
      </c>
      <c r="G5">
        <v>0</v>
      </c>
      <c r="H5">
        <v>1.2731662409172617E-3</v>
      </c>
      <c r="L5">
        <v>1.9815203879922738E-3</v>
      </c>
    </row>
    <row r="6" spans="1:12">
      <c r="A6" t="s">
        <v>867</v>
      </c>
      <c r="B6">
        <v>3.2293482418666772E-5</v>
      </c>
      <c r="C6">
        <v>0</v>
      </c>
      <c r="D6">
        <v>1.0049397002369564E-5</v>
      </c>
      <c r="E6">
        <v>1.0049397002369565E-5</v>
      </c>
      <c r="F6">
        <v>0</v>
      </c>
      <c r="G6">
        <v>0</v>
      </c>
      <c r="H6">
        <v>3.0148191007108693E-5</v>
      </c>
      <c r="L6">
        <v>8.9361888315505722E-4</v>
      </c>
    </row>
    <row r="7" spans="1:12">
      <c r="A7" t="s">
        <v>868</v>
      </c>
      <c r="B7">
        <v>3.5367364645723983E-3</v>
      </c>
      <c r="C7">
        <v>1.110710625237613E-3</v>
      </c>
      <c r="D7">
        <v>1.110710625237613E-3</v>
      </c>
      <c r="E7">
        <v>1.110710625237613E-3</v>
      </c>
      <c r="F7">
        <v>2.4450248368717451E-3</v>
      </c>
      <c r="G7">
        <v>8.6080073455915005E-4</v>
      </c>
      <c r="H7">
        <v>3.3321318757128385E-3</v>
      </c>
      <c r="L7">
        <v>2.6808566494651714E-3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4"/>
  <sheetViews>
    <sheetView workbookViewId="0">
      <selection activeCell="B2" sqref="B2:H7"/>
    </sheetView>
  </sheetViews>
  <sheetFormatPr defaultRowHeight="14.5"/>
  <cols>
    <col min="1" max="1" width="21.36328125" customWidth="1"/>
    <col min="2" max="2" width="21.81640625" customWidth="1"/>
    <col min="3" max="3" width="35.08984375" customWidth="1"/>
    <col min="4" max="4" width="20.26953125" customWidth="1"/>
    <col min="5" max="5" width="16.7265625" customWidth="1"/>
    <col min="6" max="8" width="20.6328125" customWidth="1"/>
  </cols>
  <sheetData>
    <row r="1" spans="1:8" ht="29.5" thickBot="1">
      <c r="A1" s="6" t="s">
        <v>1119</v>
      </c>
      <c r="B1" s="17" t="s">
        <v>112</v>
      </c>
      <c r="C1" s="17" t="s">
        <v>113</v>
      </c>
      <c r="D1" s="17" t="s">
        <v>114</v>
      </c>
      <c r="E1" s="17" t="s">
        <v>115</v>
      </c>
      <c r="F1" s="17" t="s">
        <v>116</v>
      </c>
      <c r="G1" s="17" t="s">
        <v>853</v>
      </c>
      <c r="H1" s="17" t="s">
        <v>854</v>
      </c>
    </row>
    <row r="2" spans="1:8" ht="15" thickBot="1">
      <c r="A2" t="s">
        <v>863</v>
      </c>
      <c r="B2" s="128">
        <v>1.2098850095054675E-4</v>
      </c>
      <c r="C2" s="128">
        <v>6.8530242152742244E-5</v>
      </c>
      <c r="D2" s="129">
        <v>1.043975093608511E-4</v>
      </c>
      <c r="E2" s="128">
        <v>7.3948395495852042E-5</v>
      </c>
      <c r="F2" s="128">
        <v>2.3149219108236567E-4</v>
      </c>
      <c r="G2" s="128">
        <v>4.0198415563294249E-5</v>
      </c>
      <c r="H2" s="128">
        <v>2.0735934964818689E-3</v>
      </c>
    </row>
    <row r="3" spans="1:8" ht="15" thickBot="1">
      <c r="A3" t="s">
        <v>475</v>
      </c>
      <c r="B3" s="128">
        <v>2.2211467051641521E-3</v>
      </c>
      <c r="C3" s="128">
        <v>4.7352548463232166E-4</v>
      </c>
      <c r="D3" s="128">
        <v>6.7839079634331792E-3</v>
      </c>
      <c r="E3" s="129">
        <v>6.9119783216062313E-4</v>
      </c>
      <c r="F3" s="128">
        <v>1.0867252882872924E-3</v>
      </c>
      <c r="G3" s="128">
        <v>2.9305916427068614E-3</v>
      </c>
      <c r="H3" s="128">
        <v>2.7605411165548288E-3</v>
      </c>
    </row>
    <row r="4" spans="1:8">
      <c r="A4" t="s">
        <v>472</v>
      </c>
      <c r="B4" s="128">
        <v>3.6524335252792104E-4</v>
      </c>
      <c r="C4" s="128">
        <v>1.136599455098666E-4</v>
      </c>
      <c r="D4" s="128">
        <v>1.136599455098666E-4</v>
      </c>
      <c r="E4" s="128">
        <v>1.136599455098666E-4</v>
      </c>
      <c r="F4" s="8">
        <v>0</v>
      </c>
      <c r="G4" s="8">
        <v>0</v>
      </c>
      <c r="H4" s="128">
        <v>3.4097983652959976E-4</v>
      </c>
    </row>
    <row r="5" spans="1:8">
      <c r="A5" t="s">
        <v>866</v>
      </c>
      <c r="B5" s="128">
        <v>1.1140743815291445E-2</v>
      </c>
      <c r="C5" s="128">
        <v>3.4668839999999999E-3</v>
      </c>
      <c r="D5" s="128">
        <v>3.4668839999999999E-3</v>
      </c>
      <c r="E5" s="128">
        <v>3.4668839999999999E-3</v>
      </c>
      <c r="F5" s="8">
        <v>0</v>
      </c>
      <c r="G5" s="8">
        <v>0</v>
      </c>
      <c r="H5" s="128">
        <v>1.0400651999999998E-2</v>
      </c>
    </row>
    <row r="6" spans="1:8">
      <c r="A6" t="s">
        <v>867</v>
      </c>
      <c r="B6" s="128">
        <v>1.5467626362604087E-2</v>
      </c>
      <c r="C6" s="128">
        <v>4.813365E-3</v>
      </c>
      <c r="D6" s="128">
        <v>4.813365E-3</v>
      </c>
      <c r="E6" s="128">
        <v>4.813365E-3</v>
      </c>
      <c r="F6" s="8">
        <v>0</v>
      </c>
      <c r="G6" s="8">
        <v>0</v>
      </c>
      <c r="H6" s="128">
        <v>1.4440094999999998E-2</v>
      </c>
    </row>
    <row r="7" spans="1:8">
      <c r="A7" t="s">
        <v>868</v>
      </c>
      <c r="B7" s="8">
        <v>0</v>
      </c>
      <c r="C7" s="8">
        <v>0</v>
      </c>
      <c r="D7" s="8">
        <v>0</v>
      </c>
      <c r="E7" s="8">
        <v>0</v>
      </c>
      <c r="F7" s="8">
        <v>0</v>
      </c>
      <c r="G7" s="8">
        <v>0</v>
      </c>
      <c r="H7" s="8">
        <v>0</v>
      </c>
    </row>
    <row r="8" spans="1:8">
      <c r="D8" s="4"/>
    </row>
    <row r="9" spans="1:8">
      <c r="D9" s="54"/>
    </row>
    <row r="10" spans="1:8">
      <c r="D10" s="4"/>
    </row>
    <row r="11" spans="1:8">
      <c r="C11" s="68"/>
      <c r="D11" s="54"/>
    </row>
    <row r="12" spans="1:8">
      <c r="D12" s="4"/>
    </row>
    <row r="13" spans="1:8">
      <c r="D13" s="54"/>
    </row>
    <row r="14" spans="1:8">
      <c r="D14" s="69"/>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28837-2BA0-4477-ACE5-5BF4B3DD5D16}">
  <dimension ref="A1:AI62"/>
  <sheetViews>
    <sheetView topLeftCell="A52" workbookViewId="0">
      <selection activeCell="AC64" sqref="AC64"/>
    </sheetView>
  </sheetViews>
  <sheetFormatPr defaultRowHeight="14.5"/>
  <cols>
    <col min="1" max="1" width="31.54296875" style="144" customWidth="1"/>
    <col min="2" max="16384" width="8.7265625" style="144"/>
  </cols>
  <sheetData>
    <row r="1" spans="1:35">
      <c r="A1" s="144" t="s">
        <v>3389</v>
      </c>
    </row>
    <row r="2" spans="1:35">
      <c r="A2" s="144" t="s">
        <v>3390</v>
      </c>
    </row>
    <row r="3" spans="1:35">
      <c r="B3" s="144">
        <v>2024</v>
      </c>
      <c r="C3" s="144">
        <v>2025</v>
      </c>
      <c r="D3" s="144">
        <v>2026</v>
      </c>
    </row>
    <row r="4" spans="1:35">
      <c r="A4" s="144" t="s">
        <v>3391</v>
      </c>
      <c r="B4" s="149">
        <v>40.6</v>
      </c>
      <c r="C4" s="149">
        <v>44.2</v>
      </c>
      <c r="D4" s="149">
        <v>49.1</v>
      </c>
      <c r="E4" s="149"/>
      <c r="F4" s="149"/>
      <c r="G4" s="149"/>
    </row>
    <row r="5" spans="1:35">
      <c r="A5" s="144" t="s">
        <v>3392</v>
      </c>
      <c r="B5" s="149">
        <v>33.898038089764704</v>
      </c>
      <c r="C5" s="149">
        <v>36.801913894259187</v>
      </c>
      <c r="D5" s="149">
        <v>40.694992566843702</v>
      </c>
      <c r="E5" s="149"/>
      <c r="F5" s="149"/>
      <c r="G5" s="149"/>
    </row>
    <row r="8" spans="1:35">
      <c r="A8" s="1" t="s">
        <v>856</v>
      </c>
      <c r="B8" s="144">
        <v>2020</v>
      </c>
      <c r="C8" s="144">
        <v>2021</v>
      </c>
      <c r="D8" s="144">
        <v>2022</v>
      </c>
      <c r="E8" s="144">
        <v>2023</v>
      </c>
      <c r="F8" s="144">
        <v>2024</v>
      </c>
      <c r="G8" s="144">
        <v>2025</v>
      </c>
      <c r="H8" s="144">
        <v>2026</v>
      </c>
      <c r="I8" s="144">
        <v>2027</v>
      </c>
      <c r="J8" s="144">
        <v>2028</v>
      </c>
      <c r="K8" s="144">
        <v>2029</v>
      </c>
      <c r="L8" s="144">
        <v>2030</v>
      </c>
      <c r="M8" s="144">
        <v>2031</v>
      </c>
      <c r="N8" s="144">
        <v>2032</v>
      </c>
      <c r="O8" s="144">
        <v>2033</v>
      </c>
      <c r="P8" s="144">
        <v>2034</v>
      </c>
      <c r="Q8" s="144">
        <v>2035</v>
      </c>
      <c r="R8" s="144">
        <v>2036</v>
      </c>
      <c r="S8" s="144">
        <v>2037</v>
      </c>
      <c r="T8" s="144">
        <v>2038</v>
      </c>
      <c r="U8" s="144">
        <v>2039</v>
      </c>
      <c r="V8" s="144">
        <v>2040</v>
      </c>
      <c r="W8" s="144">
        <v>2041</v>
      </c>
      <c r="X8" s="144">
        <v>2042</v>
      </c>
      <c r="Y8" s="144">
        <v>2043</v>
      </c>
      <c r="Z8" s="144">
        <v>2044</v>
      </c>
      <c r="AA8" s="144">
        <v>2045</v>
      </c>
      <c r="AB8" s="144">
        <v>2046</v>
      </c>
      <c r="AC8" s="144">
        <v>2047</v>
      </c>
      <c r="AD8" s="144">
        <v>2048</v>
      </c>
      <c r="AE8" s="144">
        <v>2049</v>
      </c>
      <c r="AF8" s="144">
        <v>2050</v>
      </c>
    </row>
    <row r="9" spans="1:35">
      <c r="A9" s="144" t="s">
        <v>112</v>
      </c>
      <c r="B9" s="4">
        <f>'BNVFE-LDVs-psgr'!B2</f>
        <v>1.3016014821008825E-3</v>
      </c>
      <c r="C9" s="4">
        <f>'BNVFE-LDVs-psgr'!C2</f>
        <v>1.2926576980307788E-3</v>
      </c>
      <c r="D9" s="4">
        <f>'BNVFE-LDVs-psgr'!D2</f>
        <v>1.2869318658566659E-3</v>
      </c>
      <c r="E9" s="4">
        <f>'BNVFE-LDVs-psgr'!E2</f>
        <v>1.2796983920849219E-3</v>
      </c>
      <c r="F9" s="4">
        <f>'BNVFE-LDVs-psgr'!F2</f>
        <v>1.2723109001949813E-3</v>
      </c>
      <c r="G9" s="4">
        <f>'BNVFE-LDVs-psgr'!G2</f>
        <v>1.2688722771223024E-3</v>
      </c>
      <c r="H9" s="4">
        <f>'BNVFE-LDVs-psgr'!H2</f>
        <v>1.265614096179496E-3</v>
      </c>
      <c r="I9" s="4">
        <f>'BNVFE-LDVs-psgr'!I2</f>
        <v>1.2602292006612041E-3</v>
      </c>
      <c r="J9" s="4">
        <f>'BNVFE-LDVs-psgr'!J2</f>
        <v>1.2562225179555552E-3</v>
      </c>
      <c r="K9" s="4">
        <f>'BNVFE-LDVs-psgr'!K2</f>
        <v>1.252664288663584E-3</v>
      </c>
      <c r="L9" s="4">
        <f>'BNVFE-LDVs-psgr'!L2</f>
        <v>1.2501277882015535E-3</v>
      </c>
      <c r="M9" s="4">
        <f>'BNVFE-LDVs-psgr'!M2</f>
        <v>1.2487082688849278E-3</v>
      </c>
      <c r="N9" s="4">
        <f>'BNVFE-LDVs-psgr'!N2</f>
        <v>1.2467654435390108E-3</v>
      </c>
      <c r="O9" s="4">
        <f>'BNVFE-LDVs-psgr'!O2</f>
        <v>1.2459379766549955E-3</v>
      </c>
      <c r="P9" s="4">
        <f>'BNVFE-LDVs-psgr'!P2</f>
        <v>1.2454911060033728E-3</v>
      </c>
      <c r="Q9" s="4">
        <f>'BNVFE-LDVs-psgr'!Q2</f>
        <v>1.2451425075326549E-3</v>
      </c>
      <c r="R9" s="4">
        <f>'BNVFE-LDVs-psgr'!R2</f>
        <v>1.2441678168462235E-3</v>
      </c>
      <c r="S9" s="4">
        <f>'BNVFE-LDVs-psgr'!S2</f>
        <v>1.2437110831363233E-3</v>
      </c>
      <c r="T9" s="4">
        <f>'BNVFE-LDVs-psgr'!T2</f>
        <v>1.2434472289246487E-3</v>
      </c>
      <c r="U9" s="4">
        <f>'BNVFE-LDVs-psgr'!U2</f>
        <v>1.2431449346539255E-3</v>
      </c>
      <c r="V9" s="4">
        <f>'BNVFE-LDVs-psgr'!V2</f>
        <v>1.242749474488683E-3</v>
      </c>
      <c r="W9" s="4">
        <f>'BNVFE-LDVs-psgr'!W2</f>
        <v>1.2426414751633898E-3</v>
      </c>
      <c r="X9" s="4">
        <f>'BNVFE-LDVs-psgr'!X2</f>
        <v>1.2425270452057901E-3</v>
      </c>
      <c r="Y9" s="4">
        <f>'BNVFE-LDVs-psgr'!Y2</f>
        <v>1.2423665768196443E-3</v>
      </c>
      <c r="Z9" s="4">
        <f>'BNVFE-LDVs-psgr'!Z2</f>
        <v>1.2423661582493899E-3</v>
      </c>
      <c r="AA9" s="4">
        <f>'BNVFE-LDVs-psgr'!AA2</f>
        <v>1.2424552878090294E-3</v>
      </c>
      <c r="AB9" s="4">
        <f>'BNVFE-LDVs-psgr'!AB2</f>
        <v>1.2425304264301077E-3</v>
      </c>
      <c r="AC9" s="4">
        <f>'BNVFE-LDVs-psgr'!AC2</f>
        <v>1.2424094170501326E-3</v>
      </c>
      <c r="AD9" s="4">
        <f>'BNVFE-LDVs-psgr'!AD2</f>
        <v>1.2423079259541866E-3</v>
      </c>
      <c r="AE9" s="4">
        <f>'BNVFE-LDVs-psgr'!AE2</f>
        <v>1.2421595174498235E-3</v>
      </c>
      <c r="AF9" s="4">
        <f>'BNVFE-LDVs-psgr'!AF2</f>
        <v>1.242184730573649E-3</v>
      </c>
      <c r="AG9" s="4"/>
      <c r="AH9" s="4"/>
      <c r="AI9" s="4"/>
    </row>
    <row r="10" spans="1:35">
      <c r="A10" s="144" t="s">
        <v>113</v>
      </c>
      <c r="B10" s="4">
        <f>'BNVFE-LDVs-psgr'!B3</f>
        <v>3.8029529805498928E-4</v>
      </c>
      <c r="C10" s="4">
        <f>'BNVFE-LDVs-psgr'!C3</f>
        <v>3.9476635103339935E-4</v>
      </c>
      <c r="D10" s="4">
        <f>'BNVFE-LDVs-psgr'!D3</f>
        <v>4.0317709826518853E-4</v>
      </c>
      <c r="E10" s="4">
        <f>'BNVFE-LDVs-psgr'!E3</f>
        <v>4.0861194678683542E-4</v>
      </c>
      <c r="F10" s="4">
        <f>'BNVFE-LDVs-psgr'!F3</f>
        <v>4.1215478728194431E-4</v>
      </c>
      <c r="G10" s="4">
        <f>'BNVFE-LDVs-psgr'!G3</f>
        <v>4.161380472574127E-4</v>
      </c>
      <c r="H10" s="4">
        <f>'BNVFE-LDVs-psgr'!H3</f>
        <v>4.1864713672164384E-4</v>
      </c>
      <c r="I10" s="4">
        <f>'BNVFE-LDVs-psgr'!I3</f>
        <v>4.1871977044755321E-4</v>
      </c>
      <c r="J10" s="4">
        <f>'BNVFE-LDVs-psgr'!J3</f>
        <v>4.1845993448607482E-4</v>
      </c>
      <c r="K10" s="4">
        <f>'BNVFE-LDVs-psgr'!K3</f>
        <v>4.1824574080425933E-4</v>
      </c>
      <c r="L10" s="4">
        <f>'BNVFE-LDVs-psgr'!L3</f>
        <v>4.1892239620751885E-4</v>
      </c>
      <c r="M10" s="4">
        <f>'BNVFE-LDVs-psgr'!M3</f>
        <v>4.1874050147763098E-4</v>
      </c>
      <c r="N10" s="4">
        <f>'BNVFE-LDVs-psgr'!N3</f>
        <v>4.1850498686080801E-4</v>
      </c>
      <c r="O10" s="4">
        <f>'BNVFE-LDVs-psgr'!O3</f>
        <v>4.1826480772119918E-4</v>
      </c>
      <c r="P10" s="4">
        <f>'BNVFE-LDVs-psgr'!P3</f>
        <v>4.1829175912415644E-4</v>
      </c>
      <c r="Q10" s="4">
        <f>'BNVFE-LDVs-psgr'!Q3</f>
        <v>4.1761857347733379E-4</v>
      </c>
      <c r="R10" s="4">
        <f>'BNVFE-LDVs-psgr'!R3</f>
        <v>4.1687945245925354E-4</v>
      </c>
      <c r="S10" s="4">
        <f>'BNVFE-LDVs-psgr'!S3</f>
        <v>4.164113300533476E-4</v>
      </c>
      <c r="T10" s="4">
        <f>'BNVFE-LDVs-psgr'!T3</f>
        <v>4.1613449901969674E-4</v>
      </c>
      <c r="U10" s="4">
        <f>'BNVFE-LDVs-psgr'!U3</f>
        <v>4.1551323434343832E-4</v>
      </c>
      <c r="V10" s="4">
        <f>'BNVFE-LDVs-psgr'!V3</f>
        <v>4.1503634236097445E-4</v>
      </c>
      <c r="W10" s="4">
        <f>'BNVFE-LDVs-psgr'!W3</f>
        <v>4.1461933319641856E-4</v>
      </c>
      <c r="X10" s="4">
        <f>'BNVFE-LDVs-psgr'!X3</f>
        <v>4.1413077690561246E-4</v>
      </c>
      <c r="Y10" s="4">
        <f>'BNVFE-LDVs-psgr'!Y3</f>
        <v>4.1366186353318095E-4</v>
      </c>
      <c r="Z10" s="4">
        <f>'BNVFE-LDVs-psgr'!Z3</f>
        <v>4.1331258589589651E-4</v>
      </c>
      <c r="AA10" s="4">
        <f>'BNVFE-LDVs-psgr'!AA3</f>
        <v>4.1306480490411649E-4</v>
      </c>
      <c r="AB10" s="4">
        <f>'BNVFE-LDVs-psgr'!AB3</f>
        <v>4.1264228513673742E-4</v>
      </c>
      <c r="AC10" s="4">
        <f>'BNVFE-LDVs-psgr'!AC3</f>
        <v>4.1222664654626295E-4</v>
      </c>
      <c r="AD10" s="4">
        <f>'BNVFE-LDVs-psgr'!AD3</f>
        <v>4.1170488758498282E-4</v>
      </c>
      <c r="AE10" s="4">
        <f>'BNVFE-LDVs-psgr'!AE3</f>
        <v>4.1134544874802168E-4</v>
      </c>
      <c r="AF10" s="4">
        <f>'BNVFE-LDVs-psgr'!AF3</f>
        <v>4.1101089728435994E-4</v>
      </c>
      <c r="AG10" s="4"/>
      <c r="AH10" s="4"/>
      <c r="AI10" s="4"/>
    </row>
    <row r="11" spans="1:35">
      <c r="A11" s="144" t="s">
        <v>114</v>
      </c>
      <c r="B11" s="4">
        <v>4.010435677007162E-4</v>
      </c>
      <c r="C11" s="4">
        <v>4.1543936179917892E-4</v>
      </c>
      <c r="D11" s="4">
        <v>4.232456921304615E-4</v>
      </c>
      <c r="E11" s="4">
        <v>4.284224989356039E-4</v>
      </c>
      <c r="F11" s="4">
        <v>4.3223887309206766E-4</v>
      </c>
      <c r="G11" s="4">
        <v>4.3661930301858122E-4</v>
      </c>
      <c r="H11" s="4">
        <v>4.4073837767711228E-4</v>
      </c>
      <c r="I11" s="4">
        <v>4.4130433819121803E-4</v>
      </c>
      <c r="J11" s="4">
        <v>4.4139330713525239E-4</v>
      </c>
      <c r="K11" s="4">
        <v>4.4143859386227608E-4</v>
      </c>
      <c r="L11" s="4">
        <v>4.4252278985937798E-4</v>
      </c>
      <c r="M11" s="4">
        <v>4.4258101673758966E-4</v>
      </c>
      <c r="N11" s="4">
        <v>4.4262644410952699E-4</v>
      </c>
      <c r="O11" s="4">
        <v>4.4263525674443374E-4</v>
      </c>
      <c r="P11" s="4">
        <v>4.428907913418545E-4</v>
      </c>
      <c r="Q11" s="4">
        <v>4.4235185104972023E-4</v>
      </c>
      <c r="R11" s="4">
        <v>4.4180682000362565E-4</v>
      </c>
      <c r="S11" s="4">
        <v>4.415169210975881E-4</v>
      </c>
      <c r="T11" s="4">
        <v>4.4141525513386555E-4</v>
      </c>
      <c r="U11" s="4">
        <v>4.4094858868260617E-4</v>
      </c>
      <c r="V11" s="4">
        <v>4.406528424788466E-4</v>
      </c>
      <c r="W11" s="4">
        <v>4.4046477188487546E-4</v>
      </c>
      <c r="X11" s="4">
        <v>4.4016736396697124E-4</v>
      </c>
      <c r="Y11" s="4">
        <v>4.3991921468742256E-4</v>
      </c>
      <c r="Z11" s="4">
        <v>4.3980677282836695E-4</v>
      </c>
      <c r="AA11" s="4">
        <v>4.3981133028276362E-4</v>
      </c>
      <c r="AB11" s="4">
        <v>4.3960459654073496E-4</v>
      </c>
      <c r="AC11" s="4">
        <v>4.3945697770705547E-4</v>
      </c>
      <c r="AD11" s="4">
        <v>4.3919624527100954E-4</v>
      </c>
      <c r="AE11" s="4">
        <v>4.3913823303573507E-4</v>
      </c>
      <c r="AF11" s="4">
        <v>4.3909651675542918E-4</v>
      </c>
      <c r="AG11" s="4"/>
      <c r="AH11" s="4"/>
      <c r="AI11" s="4"/>
    </row>
    <row r="12" spans="1:35">
      <c r="A12" s="144" t="s">
        <v>115</v>
      </c>
      <c r="B12" s="4">
        <f>'BNVFE-LDVs-psgr'!B5</f>
        <v>4.2164836790723349E-4</v>
      </c>
      <c r="C12" s="4">
        <f>'BNVFE-LDVs-psgr'!C5</f>
        <v>4.3038372468941308E-4</v>
      </c>
      <c r="D12" s="4">
        <f>'BNVFE-LDVs-psgr'!D5</f>
        <v>4.3420465633630295E-4</v>
      </c>
      <c r="E12" s="4">
        <f>'BNVFE-LDVs-psgr'!E5</f>
        <v>4.3755646869858035E-4</v>
      </c>
      <c r="F12" s="4">
        <f>'BNVFE-LDVs-psgr'!F5</f>
        <v>4.3967943886681334E-4</v>
      </c>
      <c r="G12" s="4">
        <f>'BNVFE-LDVs-psgr'!G5</f>
        <v>4.4460624002269991E-4</v>
      </c>
      <c r="H12" s="4">
        <f>'BNVFE-LDVs-psgr'!H5</f>
        <v>4.4496012049244393E-4</v>
      </c>
      <c r="I12" s="4">
        <f>'BNVFE-LDVs-psgr'!I5</f>
        <v>4.4386794465270786E-4</v>
      </c>
      <c r="J12" s="4">
        <f>'BNVFE-LDVs-psgr'!J5</f>
        <v>4.4337540076502162E-4</v>
      </c>
      <c r="K12" s="4">
        <f>'BNVFE-LDVs-psgr'!K5</f>
        <v>4.4271108702653624E-4</v>
      </c>
      <c r="L12" s="4">
        <f>'BNVFE-LDVs-psgr'!L5</f>
        <v>4.4204868011526002E-4</v>
      </c>
      <c r="M12" s="4">
        <f>'BNVFE-LDVs-psgr'!M5</f>
        <v>4.4134700384785902E-4</v>
      </c>
      <c r="N12" s="4">
        <f>'BNVFE-LDVs-psgr'!N5</f>
        <v>4.4074150219218516E-4</v>
      </c>
      <c r="O12" s="4">
        <f>'BNVFE-LDVs-psgr'!O5</f>
        <v>4.4004989920049426E-4</v>
      </c>
      <c r="P12" s="4">
        <f>'BNVFE-LDVs-psgr'!P5</f>
        <v>4.3959873902550526E-4</v>
      </c>
      <c r="Q12" s="4">
        <f>'BNVFE-LDVs-psgr'!Q5</f>
        <v>4.3896791873294087E-4</v>
      </c>
      <c r="R12" s="4">
        <f>'BNVFE-LDVs-psgr'!R5</f>
        <v>4.3853822206515422E-4</v>
      </c>
      <c r="S12" s="4">
        <f>'BNVFE-LDVs-psgr'!S5</f>
        <v>4.380679289602619E-4</v>
      </c>
      <c r="T12" s="4">
        <f>'BNVFE-LDVs-psgr'!T5</f>
        <v>4.3761382373608021E-4</v>
      </c>
      <c r="U12" s="4">
        <f>'BNVFE-LDVs-psgr'!U5</f>
        <v>4.3728428606956427E-4</v>
      </c>
      <c r="V12" s="4">
        <f>'BNVFE-LDVs-psgr'!V5</f>
        <v>4.3676208341619235E-4</v>
      </c>
      <c r="W12" s="4">
        <f>'BNVFE-LDVs-psgr'!W5</f>
        <v>4.3641079058356913E-4</v>
      </c>
      <c r="X12" s="4">
        <f>'BNVFE-LDVs-psgr'!X5</f>
        <v>4.3601813064876686E-4</v>
      </c>
      <c r="Y12" s="4">
        <f>'BNVFE-LDVs-psgr'!Y5</f>
        <v>4.3568341275915397E-4</v>
      </c>
      <c r="Z12" s="4">
        <f>'BNVFE-LDVs-psgr'!Z5</f>
        <v>4.3535955435881782E-4</v>
      </c>
      <c r="AA12" s="4">
        <f>'BNVFE-LDVs-psgr'!AA5</f>
        <v>4.3509879831850481E-4</v>
      </c>
      <c r="AB12" s="4">
        <f>'BNVFE-LDVs-psgr'!AB5</f>
        <v>4.3470212020737582E-4</v>
      </c>
      <c r="AC12" s="4">
        <f>'BNVFE-LDVs-psgr'!AC5</f>
        <v>4.3438066023618842E-4</v>
      </c>
      <c r="AD12" s="4">
        <f>'BNVFE-LDVs-psgr'!AD5</f>
        <v>4.3404466716966903E-4</v>
      </c>
      <c r="AE12" s="4">
        <f>'BNVFE-LDVs-psgr'!AE5</f>
        <v>4.3370047683290603E-4</v>
      </c>
      <c r="AF12" s="4">
        <f>'BNVFE-LDVs-psgr'!AF5</f>
        <v>4.3334687418764364E-4</v>
      </c>
      <c r="AG12" s="4"/>
      <c r="AH12" s="4"/>
      <c r="AI12" s="4"/>
    </row>
    <row r="13" spans="1:35">
      <c r="A13" s="144" t="s">
        <v>116</v>
      </c>
      <c r="B13" s="4">
        <f>'BNVFE-LDVs-psgr'!B6</f>
        <v>6.5738318568648571E-4</v>
      </c>
      <c r="C13" s="4">
        <f>'BNVFE-LDVs-psgr'!C6</f>
        <v>6.7868209237387732E-4</v>
      </c>
      <c r="D13" s="4">
        <f>'BNVFE-LDVs-psgr'!D6</f>
        <v>6.8605104499600824E-4</v>
      </c>
      <c r="E13" s="4">
        <f>'BNVFE-LDVs-psgr'!E6</f>
        <v>6.8995200477364748E-4</v>
      </c>
      <c r="F13" s="4">
        <f>'BNVFE-LDVs-psgr'!F6</f>
        <v>7.0255070116778152E-4</v>
      </c>
      <c r="G13" s="4">
        <f>'BNVFE-LDVs-psgr'!G6</f>
        <v>7.3075494105914415E-4</v>
      </c>
      <c r="H13" s="4">
        <f>'BNVFE-LDVs-psgr'!H6</f>
        <v>7.6511494750975708E-4</v>
      </c>
      <c r="I13" s="4">
        <f>'BNVFE-LDVs-psgr'!I6</f>
        <v>7.6729530817545215E-4</v>
      </c>
      <c r="J13" s="4">
        <f>'BNVFE-LDVs-psgr'!J6</f>
        <v>7.6615763729175437E-4</v>
      </c>
      <c r="K13" s="4">
        <f>'BNVFE-LDVs-psgr'!K6</f>
        <v>7.6497534983816374E-4</v>
      </c>
      <c r="L13" s="4">
        <f>'BNVFE-LDVs-psgr'!L6</f>
        <v>7.6434508106930723E-4</v>
      </c>
      <c r="M13" s="4">
        <f>'BNVFE-LDVs-psgr'!M6</f>
        <v>7.6297468642330408E-4</v>
      </c>
      <c r="N13" s="4">
        <f>'BNVFE-LDVs-psgr'!N6</f>
        <v>7.6220701719009081E-4</v>
      </c>
      <c r="O13" s="4">
        <f>'BNVFE-LDVs-psgr'!O6</f>
        <v>7.6135115263870209E-4</v>
      </c>
      <c r="P13" s="4">
        <f>'BNVFE-LDVs-psgr'!P6</f>
        <v>7.6059039236971756E-4</v>
      </c>
      <c r="Q13" s="4">
        <f>'BNVFE-LDVs-psgr'!Q6</f>
        <v>7.5941521982376113E-4</v>
      </c>
      <c r="R13" s="4">
        <f>'BNVFE-LDVs-psgr'!R6</f>
        <v>7.5865921051893645E-4</v>
      </c>
      <c r="S13" s="4">
        <f>'BNVFE-LDVs-psgr'!S6</f>
        <v>7.5779553890121924E-4</v>
      </c>
      <c r="T13" s="4">
        <f>'BNVFE-LDVs-psgr'!T6</f>
        <v>7.5675471415846706E-4</v>
      </c>
      <c r="U13" s="4">
        <f>'BNVFE-LDVs-psgr'!U6</f>
        <v>7.5542246426100047E-4</v>
      </c>
      <c r="V13" s="4">
        <f>'BNVFE-LDVs-psgr'!V6</f>
        <v>7.5410270573479155E-4</v>
      </c>
      <c r="W13" s="4">
        <f>'BNVFE-LDVs-psgr'!W6</f>
        <v>7.5263393803100167E-4</v>
      </c>
      <c r="X13" s="4">
        <f>'BNVFE-LDVs-psgr'!X6</f>
        <v>7.5087688624492623E-4</v>
      </c>
      <c r="Y13" s="4">
        <f>'BNVFE-LDVs-psgr'!Y6</f>
        <v>7.4906248631128583E-4</v>
      </c>
      <c r="Z13" s="4">
        <f>'BNVFE-LDVs-psgr'!Z6</f>
        <v>7.470071968170176E-4</v>
      </c>
      <c r="AA13" s="4">
        <f>'BNVFE-LDVs-psgr'!AA6</f>
        <v>7.4466971736164859E-4</v>
      </c>
      <c r="AB13" s="4">
        <f>'BNVFE-LDVs-psgr'!AB6</f>
        <v>7.4187742730834057E-4</v>
      </c>
      <c r="AC13" s="4">
        <f>'BNVFE-LDVs-psgr'!AC6</f>
        <v>7.3887113076972523E-4</v>
      </c>
      <c r="AD13" s="4">
        <f>'BNVFE-LDVs-psgr'!AD6</f>
        <v>7.3528955607294266E-4</v>
      </c>
      <c r="AE13" s="4">
        <f>'BNVFE-LDVs-psgr'!AE6</f>
        <v>7.3158063579575828E-4</v>
      </c>
      <c r="AF13" s="4">
        <f>'BNVFE-LDVs-psgr'!AF6</f>
        <v>7.2734242308217191E-4</v>
      </c>
      <c r="AG13" s="4"/>
      <c r="AH13" s="4"/>
      <c r="AI13" s="4"/>
    </row>
    <row r="14" spans="1:35">
      <c r="A14" s="144" t="s">
        <v>853</v>
      </c>
      <c r="B14" s="4">
        <f>'BNVFE-LDVs-psgr'!B7</f>
        <v>3.6368321172053488E-4</v>
      </c>
      <c r="C14" s="4">
        <f>'BNVFE-LDVs-psgr'!C7</f>
        <v>3.7519786349243767E-4</v>
      </c>
      <c r="D14" s="4">
        <f>'BNVFE-LDVs-psgr'!D7</f>
        <v>3.8292342231539014E-4</v>
      </c>
      <c r="E14" s="4">
        <f>'BNVFE-LDVs-psgr'!E7</f>
        <v>3.8737442480929154E-4</v>
      </c>
      <c r="F14" s="4">
        <f>'BNVFE-LDVs-psgr'!F7</f>
        <v>3.9018162646122461E-4</v>
      </c>
      <c r="G14" s="4">
        <f>'BNVFE-LDVs-psgr'!G7</f>
        <v>3.9393486543226201E-4</v>
      </c>
      <c r="H14" s="4">
        <f>'BNVFE-LDVs-psgr'!H7</f>
        <v>3.958081254319439E-4</v>
      </c>
      <c r="I14" s="4">
        <f>'BNVFE-LDVs-psgr'!I7</f>
        <v>3.958068662698271E-4</v>
      </c>
      <c r="J14" s="4">
        <f>'BNVFE-LDVs-psgr'!J7</f>
        <v>3.9568870081904033E-4</v>
      </c>
      <c r="K14" s="4">
        <f>'BNVFE-LDVs-psgr'!K7</f>
        <v>3.9552372368166668E-4</v>
      </c>
      <c r="L14" s="4">
        <f>'BNVFE-LDVs-psgr'!L7</f>
        <v>3.9593709557582721E-4</v>
      </c>
      <c r="M14" s="4">
        <f>'BNVFE-LDVs-psgr'!M7</f>
        <v>3.9597127514076109E-4</v>
      </c>
      <c r="N14" s="4">
        <f>'BNVFE-LDVs-psgr'!N7</f>
        <v>3.9568311316840501E-4</v>
      </c>
      <c r="O14" s="4">
        <f>'BNVFE-LDVs-psgr'!O7</f>
        <v>3.9545023752148126E-4</v>
      </c>
      <c r="P14" s="4">
        <f>'BNVFE-LDVs-psgr'!P7</f>
        <v>3.9533735885442279E-4</v>
      </c>
      <c r="Q14" s="4">
        <f>'BNVFE-LDVs-psgr'!Q7</f>
        <v>3.9487850361981201E-4</v>
      </c>
      <c r="R14" s="4">
        <f>'BNVFE-LDVs-psgr'!R7</f>
        <v>3.9428117062173101E-4</v>
      </c>
      <c r="S14" s="4">
        <f>'BNVFE-LDVs-psgr'!S7</f>
        <v>3.9378231845382995E-4</v>
      </c>
      <c r="T14" s="4">
        <f>'BNVFE-LDVs-psgr'!T7</f>
        <v>3.9349649872249946E-4</v>
      </c>
      <c r="U14" s="4">
        <f>'BNVFE-LDVs-psgr'!U7</f>
        <v>3.9297415036491852E-4</v>
      </c>
      <c r="V14" s="4">
        <f>'BNVFE-LDVs-psgr'!V7</f>
        <v>3.9250688719174123E-4</v>
      </c>
      <c r="W14" s="4">
        <f>'BNVFE-LDVs-psgr'!W7</f>
        <v>3.9211185181415524E-4</v>
      </c>
      <c r="X14" s="4">
        <f>'BNVFE-LDVs-psgr'!X7</f>
        <v>3.9168760952964436E-4</v>
      </c>
      <c r="Y14" s="4">
        <f>'BNVFE-LDVs-psgr'!Y7</f>
        <v>3.9122731880395569E-4</v>
      </c>
      <c r="Z14" s="4">
        <f>'BNVFE-LDVs-psgr'!Z7</f>
        <v>3.9085142797907205E-4</v>
      </c>
      <c r="AA14" s="4">
        <f>'BNVFE-LDVs-psgr'!AA7</f>
        <v>3.9051216876031034E-4</v>
      </c>
      <c r="AB14" s="4">
        <f>'BNVFE-LDVs-psgr'!AB7</f>
        <v>3.9011492927727893E-4</v>
      </c>
      <c r="AC14" s="4">
        <f>'BNVFE-LDVs-psgr'!AC7</f>
        <v>3.8968023550283847E-4</v>
      </c>
      <c r="AD14" s="4">
        <f>'BNVFE-LDVs-psgr'!AD7</f>
        <v>3.8920742031412479E-4</v>
      </c>
      <c r="AE14" s="4">
        <f>'BNVFE-LDVs-psgr'!AE7</f>
        <v>3.8876188063600889E-4</v>
      </c>
      <c r="AF14" s="4">
        <f>'BNVFE-LDVs-psgr'!AF7</f>
        <v>3.883715712735463E-4</v>
      </c>
      <c r="AG14" s="4"/>
      <c r="AH14" s="4"/>
      <c r="AI14" s="4"/>
    </row>
    <row r="15" spans="1:35">
      <c r="A15" s="144" t="s">
        <v>854</v>
      </c>
      <c r="B15" s="4">
        <f>'BNVFE-LDVs-psgr'!B8</f>
        <v>5.8794415231938754E-4</v>
      </c>
      <c r="C15" s="4">
        <f>'BNVFE-LDVs-psgr'!C8</f>
        <v>5.859697075889746E-4</v>
      </c>
      <c r="D15" s="4">
        <f>'BNVFE-LDVs-psgr'!D8</f>
        <v>5.8487716230241557E-4</v>
      </c>
      <c r="E15" s="4">
        <f>'BNVFE-LDVs-psgr'!E8</f>
        <v>5.8450715864569842E-4</v>
      </c>
      <c r="F15" s="4">
        <f>'BNVFE-LDVs-psgr'!F8</f>
        <v>5.8509864619692446E-4</v>
      </c>
      <c r="G15" s="4">
        <f>'BNVFE-LDVs-psgr'!G8</f>
        <v>5.8547838832553585E-4</v>
      </c>
      <c r="H15" s="4">
        <f>'BNVFE-LDVs-psgr'!H8</f>
        <v>5.8677369900367977E-4</v>
      </c>
      <c r="I15" s="4">
        <f>'BNVFE-LDVs-psgr'!I8</f>
        <v>5.8555189724455374E-4</v>
      </c>
      <c r="J15" s="4">
        <f>'BNVFE-LDVs-psgr'!J8</f>
        <v>5.848624993596127E-4</v>
      </c>
      <c r="K15" s="4">
        <f>'BNVFE-LDVs-psgr'!K8</f>
        <v>5.8392369578135807E-4</v>
      </c>
      <c r="L15" s="4">
        <f>'BNVFE-LDVs-psgr'!L8</f>
        <v>5.8323582222320433E-4</v>
      </c>
      <c r="M15" s="4">
        <f>'BNVFE-LDVs-psgr'!M8</f>
        <v>5.8232846507614633E-4</v>
      </c>
      <c r="N15" s="4">
        <f>'BNVFE-LDVs-psgr'!N8</f>
        <v>5.8140476063791701E-4</v>
      </c>
      <c r="O15" s="4">
        <f>'BNVFE-LDVs-psgr'!O8</f>
        <v>5.8053415348023238E-4</v>
      </c>
      <c r="P15" s="4">
        <f>'BNVFE-LDVs-psgr'!P8</f>
        <v>5.7985999357189376E-4</v>
      </c>
      <c r="Q15" s="4">
        <f>'BNVFE-LDVs-psgr'!Q8</f>
        <v>5.790672010289583E-4</v>
      </c>
      <c r="R15" s="4">
        <f>'BNVFE-LDVs-psgr'!R8</f>
        <v>5.783038784646057E-4</v>
      </c>
      <c r="S15" s="4">
        <f>'BNVFE-LDVs-psgr'!S8</f>
        <v>5.7772941074558763E-4</v>
      </c>
      <c r="T15" s="4">
        <f>'BNVFE-LDVs-psgr'!T8</f>
        <v>5.7728789584792482E-4</v>
      </c>
      <c r="U15" s="4">
        <f>'BNVFE-LDVs-psgr'!U8</f>
        <v>5.7687866477931793E-4</v>
      </c>
      <c r="V15" s="4">
        <f>'BNVFE-LDVs-psgr'!V8</f>
        <v>5.7657581365796442E-4</v>
      </c>
      <c r="W15" s="4">
        <f>'BNVFE-LDVs-psgr'!W8</f>
        <v>5.7638685408458411E-4</v>
      </c>
      <c r="X15" s="4">
        <f>'BNVFE-LDVs-psgr'!X8</f>
        <v>5.7622519119671751E-4</v>
      </c>
      <c r="Y15" s="4">
        <f>'BNVFE-LDVs-psgr'!Y8</f>
        <v>5.7612076801724784E-4</v>
      </c>
      <c r="Z15" s="4">
        <f>'BNVFE-LDVs-psgr'!Z8</f>
        <v>5.7610601336530144E-4</v>
      </c>
      <c r="AA15" s="4">
        <f>'BNVFE-LDVs-psgr'!AA8</f>
        <v>5.7616718513728532E-4</v>
      </c>
      <c r="AB15" s="4">
        <f>'BNVFE-LDVs-psgr'!AB8</f>
        <v>5.7619221096857649E-4</v>
      </c>
      <c r="AC15" s="4">
        <f>'BNVFE-LDVs-psgr'!AC8</f>
        <v>5.7620061572155568E-4</v>
      </c>
      <c r="AD15" s="4">
        <f>'BNVFE-LDVs-psgr'!AD8</f>
        <v>5.7622282038993897E-4</v>
      </c>
      <c r="AE15" s="4">
        <f>'BNVFE-LDVs-psgr'!AE8</f>
        <v>5.7625953419671364E-4</v>
      </c>
      <c r="AF15" s="4">
        <f>'BNVFE-LDVs-psgr'!AF8</f>
        <v>5.7635527402379559E-4</v>
      </c>
      <c r="AG15" s="4"/>
      <c r="AH15" s="4"/>
      <c r="AI15" s="4"/>
    </row>
    <row r="17" spans="1:32">
      <c r="A17" s="1" t="s">
        <v>3393</v>
      </c>
    </row>
    <row r="18" spans="1:32">
      <c r="A18" s="144" t="s">
        <v>3394</v>
      </c>
      <c r="B18" s="144">
        <v>2020</v>
      </c>
      <c r="C18" s="144">
        <v>2021</v>
      </c>
      <c r="D18" s="144">
        <v>2022</v>
      </c>
      <c r="E18" s="144">
        <v>2023</v>
      </c>
      <c r="F18" s="144">
        <v>2024</v>
      </c>
      <c r="G18" s="144">
        <v>2025</v>
      </c>
      <c r="H18" s="144">
        <v>2026</v>
      </c>
      <c r="I18" s="144">
        <v>2027</v>
      </c>
      <c r="J18" s="144">
        <v>2028</v>
      </c>
      <c r="K18" s="144">
        <v>2029</v>
      </c>
      <c r="L18" s="144">
        <v>2030</v>
      </c>
      <c r="M18" s="144">
        <v>2031</v>
      </c>
      <c r="N18" s="144">
        <v>2032</v>
      </c>
      <c r="O18" s="144">
        <v>2033</v>
      </c>
      <c r="P18" s="144">
        <v>2034</v>
      </c>
      <c r="Q18" s="144">
        <v>2035</v>
      </c>
      <c r="R18" s="144">
        <v>2036</v>
      </c>
      <c r="S18" s="144">
        <v>2037</v>
      </c>
      <c r="T18" s="144">
        <v>2038</v>
      </c>
      <c r="U18" s="144">
        <v>2039</v>
      </c>
      <c r="V18" s="144">
        <v>2040</v>
      </c>
      <c r="W18" s="144">
        <v>2041</v>
      </c>
      <c r="X18" s="144">
        <v>2042</v>
      </c>
      <c r="Y18" s="144">
        <v>2043</v>
      </c>
      <c r="Z18" s="144">
        <v>2044</v>
      </c>
      <c r="AA18" s="144">
        <v>2045</v>
      </c>
      <c r="AB18" s="144">
        <v>2046</v>
      </c>
      <c r="AC18" s="144">
        <v>2047</v>
      </c>
      <c r="AD18" s="144">
        <v>2048</v>
      </c>
      <c r="AE18" s="144">
        <v>2049</v>
      </c>
      <c r="AF18" s="144">
        <v>2050</v>
      </c>
    </row>
    <row r="19" spans="1:32">
      <c r="A19" s="144" t="s">
        <v>3411</v>
      </c>
      <c r="B19" s="144">
        <v>328761</v>
      </c>
      <c r="C19" s="4">
        <v>537999</v>
      </c>
      <c r="D19" s="4">
        <v>923271</v>
      </c>
      <c r="E19" s="4">
        <v>1396960</v>
      </c>
      <c r="F19" s="4">
        <v>1986480</v>
      </c>
      <c r="G19" s="4">
        <v>2681780</v>
      </c>
      <c r="H19" s="4">
        <v>3356340</v>
      </c>
      <c r="I19" s="4">
        <v>3975250</v>
      </c>
      <c r="J19" s="4">
        <v>4520760</v>
      </c>
      <c r="K19" s="4">
        <v>5024490</v>
      </c>
      <c r="L19" s="4">
        <v>5560350</v>
      </c>
      <c r="M19" s="4">
        <v>6002870</v>
      </c>
      <c r="N19" s="4">
        <v>6380960</v>
      </c>
      <c r="O19" s="4">
        <v>6747030</v>
      </c>
      <c r="P19" s="4">
        <v>7064830</v>
      </c>
      <c r="Q19" s="4">
        <v>7362140</v>
      </c>
      <c r="R19" s="4">
        <v>7662150</v>
      </c>
      <c r="S19" s="4">
        <v>7954220</v>
      </c>
      <c r="T19" s="4">
        <v>8263950</v>
      </c>
      <c r="U19" s="4">
        <v>8541650</v>
      </c>
      <c r="V19" s="4">
        <v>8834150</v>
      </c>
      <c r="W19" s="4">
        <v>9135740</v>
      </c>
      <c r="X19" s="4">
        <v>9421100</v>
      </c>
      <c r="Y19" s="4">
        <v>9727780</v>
      </c>
      <c r="Z19" s="4">
        <v>10043400</v>
      </c>
      <c r="AA19" s="4">
        <v>10341400</v>
      </c>
      <c r="AB19" s="4">
        <v>10658000</v>
      </c>
      <c r="AC19" s="4">
        <v>10996100</v>
      </c>
      <c r="AD19" s="4">
        <v>11299000</v>
      </c>
      <c r="AE19" s="4">
        <v>11614300</v>
      </c>
      <c r="AF19" s="4">
        <v>11941900</v>
      </c>
    </row>
    <row r="20" spans="1:32">
      <c r="A20" s="144" t="s">
        <v>3412</v>
      </c>
      <c r="B20" s="144">
        <v>1848</v>
      </c>
      <c r="C20" s="144">
        <v>2034</v>
      </c>
      <c r="D20" s="144">
        <v>1845</v>
      </c>
      <c r="E20" s="144">
        <v>1947</v>
      </c>
      <c r="F20" s="144">
        <v>2127</v>
      </c>
      <c r="G20" s="144">
        <v>2121</v>
      </c>
      <c r="H20" s="144">
        <v>2103</v>
      </c>
      <c r="I20" s="144">
        <v>2103</v>
      </c>
      <c r="J20" s="144">
        <v>2127</v>
      </c>
      <c r="K20" s="144">
        <v>2235</v>
      </c>
      <c r="L20" s="144">
        <v>2376</v>
      </c>
      <c r="M20" s="144">
        <v>2499</v>
      </c>
      <c r="N20" s="144">
        <v>2664</v>
      </c>
      <c r="O20" s="144">
        <v>2841</v>
      </c>
      <c r="P20" s="144">
        <v>3048</v>
      </c>
      <c r="Q20" s="144">
        <v>3261</v>
      </c>
      <c r="R20" s="144">
        <v>3459</v>
      </c>
      <c r="S20" s="144">
        <v>3639</v>
      </c>
      <c r="T20" s="144">
        <v>3810</v>
      </c>
      <c r="U20" s="144">
        <v>3942</v>
      </c>
      <c r="V20" s="144">
        <v>4047</v>
      </c>
      <c r="W20" s="144">
        <v>4125</v>
      </c>
      <c r="X20" s="144">
        <v>4176</v>
      </c>
      <c r="Y20" s="144">
        <v>4212</v>
      </c>
      <c r="Z20" s="144">
        <v>4227</v>
      </c>
      <c r="AA20" s="144">
        <v>4227</v>
      </c>
      <c r="AB20" s="144">
        <v>4218</v>
      </c>
      <c r="AC20" s="144">
        <v>4194</v>
      </c>
      <c r="AD20" s="144">
        <v>4164</v>
      </c>
      <c r="AE20" s="144">
        <v>4128</v>
      </c>
      <c r="AF20" s="144">
        <v>4092</v>
      </c>
    </row>
    <row r="21" spans="1:32">
      <c r="A21" s="144" t="s">
        <v>3413</v>
      </c>
      <c r="B21" s="4">
        <v>19477000</v>
      </c>
      <c r="C21" s="4">
        <v>20253400</v>
      </c>
      <c r="D21" s="4">
        <v>20805100</v>
      </c>
      <c r="E21" s="4">
        <v>21068800</v>
      </c>
      <c r="F21" s="4">
        <v>20826400</v>
      </c>
      <c r="G21" s="4">
        <v>20441500</v>
      </c>
      <c r="H21" s="4">
        <v>20029300</v>
      </c>
      <c r="I21" s="4">
        <v>19607900</v>
      </c>
      <c r="J21" s="4">
        <v>19210800</v>
      </c>
      <c r="K21" s="4">
        <v>18841200</v>
      </c>
      <c r="L21" s="4">
        <v>18447900</v>
      </c>
      <c r="M21" s="4">
        <v>18140100</v>
      </c>
      <c r="N21" s="4">
        <v>17853400</v>
      </c>
      <c r="O21" s="4">
        <v>17584800</v>
      </c>
      <c r="P21" s="4">
        <v>17348000</v>
      </c>
      <c r="Q21" s="4">
        <v>17116600</v>
      </c>
      <c r="R21" s="4">
        <v>16883500</v>
      </c>
      <c r="S21" s="4">
        <v>16671400</v>
      </c>
      <c r="T21" s="4">
        <v>16445700</v>
      </c>
      <c r="U21" s="4">
        <v>16277600</v>
      </c>
      <c r="V21" s="4">
        <v>16105100</v>
      </c>
      <c r="W21" s="4">
        <v>15923300</v>
      </c>
      <c r="X21" s="4">
        <v>15770800</v>
      </c>
      <c r="Y21" s="4">
        <v>15600400</v>
      </c>
      <c r="Z21" s="4">
        <v>15424200</v>
      </c>
      <c r="AA21" s="4">
        <v>15280700</v>
      </c>
      <c r="AB21" s="4">
        <v>15139600</v>
      </c>
      <c r="AC21" s="4">
        <v>14981900</v>
      </c>
      <c r="AD21" s="4">
        <v>14863800</v>
      </c>
      <c r="AE21" s="4">
        <v>14747000</v>
      </c>
      <c r="AF21" s="4">
        <v>14637400</v>
      </c>
    </row>
    <row r="22" spans="1:32">
      <c r="A22" s="144" t="s">
        <v>3414</v>
      </c>
      <c r="B22" s="144">
        <v>21453</v>
      </c>
      <c r="C22" s="144">
        <v>27300</v>
      </c>
      <c r="D22" s="144">
        <v>30579</v>
      </c>
      <c r="E22" s="144">
        <v>36993</v>
      </c>
      <c r="F22" s="144">
        <v>40968</v>
      </c>
      <c r="G22" s="144">
        <v>44637</v>
      </c>
      <c r="H22" s="144">
        <v>48036</v>
      </c>
      <c r="I22" s="144">
        <v>51357</v>
      </c>
      <c r="J22" s="144">
        <v>54516</v>
      </c>
      <c r="K22" s="144">
        <v>57900</v>
      </c>
      <c r="L22" s="144">
        <v>61539</v>
      </c>
      <c r="M22" s="144">
        <v>64995</v>
      </c>
      <c r="N22" s="144">
        <v>68463</v>
      </c>
      <c r="O22" s="144">
        <v>71736</v>
      </c>
      <c r="P22" s="144">
        <v>75210</v>
      </c>
      <c r="Q22" s="144">
        <v>78315</v>
      </c>
      <c r="R22" s="144">
        <v>81387</v>
      </c>
      <c r="S22" s="144">
        <v>84360</v>
      </c>
      <c r="T22" s="144">
        <v>87636</v>
      </c>
      <c r="U22" s="144">
        <v>90561</v>
      </c>
      <c r="V22" s="144">
        <v>93648</v>
      </c>
      <c r="W22" s="144">
        <v>96702</v>
      </c>
      <c r="X22" s="144">
        <v>99771</v>
      </c>
      <c r="Y22" s="144">
        <v>102693</v>
      </c>
      <c r="Z22" s="144">
        <v>105336</v>
      </c>
      <c r="AA22" s="144">
        <v>108225</v>
      </c>
      <c r="AB22" s="144">
        <v>111222</v>
      </c>
      <c r="AC22" s="144">
        <v>113991</v>
      </c>
      <c r="AD22" s="144">
        <v>116880</v>
      </c>
      <c r="AE22" s="144">
        <v>119871</v>
      </c>
      <c r="AF22" s="144">
        <v>122847</v>
      </c>
    </row>
    <row r="23" spans="1:32">
      <c r="A23" s="144" t="s">
        <v>3415</v>
      </c>
      <c r="B23" s="144">
        <v>83631</v>
      </c>
      <c r="C23" s="144">
        <v>94413</v>
      </c>
      <c r="D23" s="144">
        <v>109887</v>
      </c>
      <c r="E23" s="144">
        <v>114378</v>
      </c>
      <c r="F23" s="144">
        <v>121590</v>
      </c>
      <c r="G23" s="144">
        <v>129444</v>
      </c>
      <c r="H23" s="144">
        <v>140181</v>
      </c>
      <c r="I23" s="144">
        <v>152049</v>
      </c>
      <c r="J23" s="144">
        <v>167559</v>
      </c>
      <c r="K23" s="144">
        <v>190572</v>
      </c>
      <c r="L23" s="144">
        <v>218340</v>
      </c>
      <c r="M23" s="144">
        <v>253572</v>
      </c>
      <c r="N23" s="144">
        <v>292587</v>
      </c>
      <c r="O23" s="144">
        <v>335565</v>
      </c>
      <c r="P23" s="144">
        <v>382035</v>
      </c>
      <c r="Q23" s="144">
        <v>430077</v>
      </c>
      <c r="R23" s="144">
        <v>476250</v>
      </c>
      <c r="S23" s="144">
        <v>519198</v>
      </c>
      <c r="T23" s="144">
        <v>558639</v>
      </c>
      <c r="U23" s="144">
        <v>590619</v>
      </c>
      <c r="V23" s="144">
        <v>617439</v>
      </c>
      <c r="W23" s="144">
        <v>638484</v>
      </c>
      <c r="X23" s="144">
        <v>653250</v>
      </c>
      <c r="Y23" s="144">
        <v>664245</v>
      </c>
      <c r="Z23" s="144">
        <v>671571</v>
      </c>
      <c r="AA23" s="144">
        <v>675162</v>
      </c>
      <c r="AB23" s="144">
        <v>676623</v>
      </c>
      <c r="AC23" s="144">
        <v>675378</v>
      </c>
      <c r="AD23" s="144">
        <v>672426</v>
      </c>
      <c r="AE23" s="144">
        <v>668622</v>
      </c>
      <c r="AF23" s="144">
        <v>663933</v>
      </c>
    </row>
    <row r="24" spans="1:32">
      <c r="A24" s="144" t="s">
        <v>3416</v>
      </c>
      <c r="B24" s="144">
        <v>1677</v>
      </c>
      <c r="C24" s="144">
        <v>1626</v>
      </c>
      <c r="D24" s="144">
        <v>1953</v>
      </c>
      <c r="E24" s="144">
        <v>2073</v>
      </c>
      <c r="F24" s="144">
        <v>2106</v>
      </c>
      <c r="G24" s="144">
        <v>2115</v>
      </c>
      <c r="H24" s="144">
        <v>2094</v>
      </c>
      <c r="I24" s="144">
        <v>2067</v>
      </c>
      <c r="J24" s="144">
        <v>2040</v>
      </c>
      <c r="K24" s="144">
        <v>2073</v>
      </c>
      <c r="L24" s="144">
        <v>2103</v>
      </c>
      <c r="M24" s="144">
        <v>2142</v>
      </c>
      <c r="N24" s="144">
        <v>2178</v>
      </c>
      <c r="O24" s="144">
        <v>2211</v>
      </c>
      <c r="P24" s="144">
        <v>2244</v>
      </c>
      <c r="Q24" s="144">
        <v>2277</v>
      </c>
      <c r="R24" s="144">
        <v>2304</v>
      </c>
      <c r="S24" s="144">
        <v>2328</v>
      </c>
      <c r="T24" s="144">
        <v>2358</v>
      </c>
      <c r="U24" s="144">
        <v>2385</v>
      </c>
      <c r="V24" s="144">
        <v>2409</v>
      </c>
      <c r="W24" s="144">
        <v>2436</v>
      </c>
      <c r="X24" s="144">
        <v>2466</v>
      </c>
      <c r="Y24" s="144">
        <v>2490</v>
      </c>
      <c r="Z24" s="144">
        <v>2514</v>
      </c>
      <c r="AA24" s="144">
        <v>2544</v>
      </c>
      <c r="AB24" s="144">
        <v>2568</v>
      </c>
      <c r="AC24" s="144">
        <v>2592</v>
      </c>
      <c r="AD24" s="144">
        <v>2613</v>
      </c>
      <c r="AE24" s="144">
        <v>2637</v>
      </c>
      <c r="AF24" s="144">
        <v>2658</v>
      </c>
    </row>
    <row r="25" spans="1:32">
      <c r="A25" s="144" t="s">
        <v>3417</v>
      </c>
      <c r="B25" s="144">
        <v>12</v>
      </c>
      <c r="C25" s="144">
        <v>15</v>
      </c>
      <c r="D25" s="144">
        <v>21</v>
      </c>
      <c r="E25" s="144">
        <v>24</v>
      </c>
      <c r="F25" s="144">
        <v>30</v>
      </c>
      <c r="G25" s="144">
        <v>36</v>
      </c>
      <c r="H25" s="144">
        <v>45</v>
      </c>
      <c r="I25" s="144">
        <v>57</v>
      </c>
      <c r="J25" s="144">
        <v>72</v>
      </c>
      <c r="K25" s="144">
        <v>93</v>
      </c>
      <c r="L25" s="144">
        <v>123</v>
      </c>
      <c r="M25" s="144">
        <v>153</v>
      </c>
      <c r="N25" s="144">
        <v>192</v>
      </c>
      <c r="O25" s="144">
        <v>234</v>
      </c>
      <c r="P25" s="144">
        <v>285</v>
      </c>
      <c r="Q25" s="144">
        <v>339</v>
      </c>
      <c r="R25" s="144">
        <v>399</v>
      </c>
      <c r="S25" s="144">
        <v>459</v>
      </c>
      <c r="T25" s="144">
        <v>519</v>
      </c>
      <c r="U25" s="144">
        <v>579</v>
      </c>
      <c r="V25" s="144">
        <v>636</v>
      </c>
      <c r="W25" s="144">
        <v>690</v>
      </c>
      <c r="X25" s="144">
        <v>738</v>
      </c>
      <c r="Y25" s="144">
        <v>786</v>
      </c>
      <c r="Z25" s="144">
        <v>828</v>
      </c>
      <c r="AA25" s="144">
        <v>870</v>
      </c>
      <c r="AB25" s="144">
        <v>906</v>
      </c>
      <c r="AC25" s="144">
        <v>942</v>
      </c>
      <c r="AD25" s="144">
        <v>972</v>
      </c>
      <c r="AE25" s="144">
        <v>1002</v>
      </c>
      <c r="AF25" s="144">
        <v>1032</v>
      </c>
    </row>
    <row r="27" spans="1:32">
      <c r="A27" s="1" t="s">
        <v>3402</v>
      </c>
    </row>
    <row r="28" spans="1:32">
      <c r="A28" s="144" t="s">
        <v>3394</v>
      </c>
      <c r="B28" s="144">
        <v>2020</v>
      </c>
      <c r="C28" s="144">
        <v>2021</v>
      </c>
      <c r="D28" s="144">
        <v>2022</v>
      </c>
      <c r="E28" s="144">
        <v>2023</v>
      </c>
      <c r="F28" s="144">
        <v>2024</v>
      </c>
      <c r="G28" s="144">
        <v>2025</v>
      </c>
      <c r="H28" s="144">
        <v>2026</v>
      </c>
      <c r="I28" s="144">
        <v>2027</v>
      </c>
      <c r="J28" s="144">
        <v>2028</v>
      </c>
      <c r="K28" s="144">
        <v>2029</v>
      </c>
      <c r="L28" s="144">
        <v>2030</v>
      </c>
      <c r="M28" s="144">
        <v>2031</v>
      </c>
      <c r="N28" s="144">
        <v>2032</v>
      </c>
      <c r="O28" s="144">
        <v>2033</v>
      </c>
      <c r="P28" s="144">
        <v>2034</v>
      </c>
      <c r="Q28" s="144">
        <v>2035</v>
      </c>
      <c r="R28" s="144">
        <v>2036</v>
      </c>
      <c r="S28" s="144">
        <v>2037</v>
      </c>
      <c r="T28" s="144">
        <v>2038</v>
      </c>
      <c r="U28" s="144">
        <v>2039</v>
      </c>
      <c r="V28" s="144">
        <v>2040</v>
      </c>
      <c r="W28" s="144">
        <v>2041</v>
      </c>
      <c r="X28" s="144">
        <v>2042</v>
      </c>
      <c r="Y28" s="144">
        <v>2043</v>
      </c>
      <c r="Z28" s="144">
        <v>2044</v>
      </c>
      <c r="AA28" s="144">
        <v>2045</v>
      </c>
      <c r="AB28" s="144">
        <v>2046</v>
      </c>
      <c r="AC28" s="144">
        <v>2047</v>
      </c>
      <c r="AD28" s="144">
        <v>2048</v>
      </c>
      <c r="AE28" s="144">
        <v>2049</v>
      </c>
      <c r="AF28" s="144">
        <v>2050</v>
      </c>
    </row>
    <row r="29" spans="1:32">
      <c r="A29" s="144" t="s">
        <v>3395</v>
      </c>
      <c r="B29" s="64">
        <f t="shared" ref="B29:AF29" si="0">B19/SUM(B$19:B$25)</f>
        <v>1.650872218881811E-2</v>
      </c>
      <c r="C29" s="64">
        <f t="shared" si="0"/>
        <v>2.5720919756939725E-2</v>
      </c>
      <c r="D29" s="64">
        <f t="shared" si="0"/>
        <v>4.2211197396420444E-2</v>
      </c>
      <c r="E29" s="64">
        <f t="shared" si="0"/>
        <v>6.1754528666172294E-2</v>
      </c>
      <c r="F29" s="64">
        <f t="shared" si="0"/>
        <v>8.6444988992676622E-2</v>
      </c>
      <c r="G29" s="64">
        <f t="shared" si="0"/>
        <v>0.11508978791314754</v>
      </c>
      <c r="H29" s="64">
        <f t="shared" si="0"/>
        <v>0.1423498985223533</v>
      </c>
      <c r="I29" s="64">
        <f t="shared" si="0"/>
        <v>0.16709202046859911</v>
      </c>
      <c r="J29" s="64">
        <f t="shared" si="0"/>
        <v>0.18869620902088391</v>
      </c>
      <c r="K29" s="64">
        <f t="shared" si="0"/>
        <v>0.20832460043328452</v>
      </c>
      <c r="L29" s="64">
        <f t="shared" si="0"/>
        <v>0.22888945668562335</v>
      </c>
      <c r="M29" s="64">
        <f t="shared" si="0"/>
        <v>0.24535227615452435</v>
      </c>
      <c r="N29" s="64">
        <f t="shared" si="0"/>
        <v>0.2593839363224501</v>
      </c>
      <c r="O29" s="64">
        <f t="shared" si="0"/>
        <v>0.27266878019393226</v>
      </c>
      <c r="P29" s="64">
        <f t="shared" si="0"/>
        <v>0.28400582223935278</v>
      </c>
      <c r="Q29" s="64">
        <f t="shared" si="0"/>
        <v>0.29456797298796633</v>
      </c>
      <c r="R29" s="64">
        <f t="shared" si="0"/>
        <v>0.30515006522046739</v>
      </c>
      <c r="S29" s="64">
        <f t="shared" si="0"/>
        <v>0.3151983205949816</v>
      </c>
      <c r="T29" s="64">
        <f t="shared" si="0"/>
        <v>0.32583197661187263</v>
      </c>
      <c r="U29" s="64">
        <f t="shared" si="0"/>
        <v>0.33487032906925285</v>
      </c>
      <c r="V29" s="64">
        <f t="shared" si="0"/>
        <v>0.34431158320656369</v>
      </c>
      <c r="W29" s="64">
        <f t="shared" si="0"/>
        <v>0.35407817932283486</v>
      </c>
      <c r="X29" s="64">
        <f t="shared" si="0"/>
        <v>0.36301598074097552</v>
      </c>
      <c r="Y29" s="64">
        <f t="shared" si="0"/>
        <v>0.37267466704282326</v>
      </c>
      <c r="Z29" s="64">
        <f t="shared" si="0"/>
        <v>0.3825754580323476</v>
      </c>
      <c r="AA29" s="64">
        <f t="shared" si="0"/>
        <v>0.3915250022640257</v>
      </c>
      <c r="AB29" s="64">
        <f t="shared" si="0"/>
        <v>0.40078009600747744</v>
      </c>
      <c r="AC29" s="64">
        <f t="shared" si="0"/>
        <v>0.41068385298473431</v>
      </c>
      <c r="AD29" s="64">
        <f t="shared" si="0"/>
        <v>0.41910462797370385</v>
      </c>
      <c r="AE29" s="64">
        <f t="shared" si="0"/>
        <v>0.42766360453590085</v>
      </c>
      <c r="AF29" s="64">
        <f t="shared" si="0"/>
        <v>0.43625192528551504</v>
      </c>
    </row>
    <row r="30" spans="1:32">
      <c r="A30" s="144" t="s">
        <v>3396</v>
      </c>
      <c r="B30" s="64">
        <f t="shared" ref="B30:AF30" si="1">B20/SUM(B$19:B$25)</f>
        <v>9.2797255772235368E-5</v>
      </c>
      <c r="C30" s="64">
        <f t="shared" si="1"/>
        <v>9.7242468453687464E-5</v>
      </c>
      <c r="D30" s="64">
        <f t="shared" si="1"/>
        <v>8.4351895810001311E-5</v>
      </c>
      <c r="E30" s="64">
        <f t="shared" si="1"/>
        <v>8.6069799645685949E-5</v>
      </c>
      <c r="F30" s="64">
        <f t="shared" si="1"/>
        <v>9.2559951062896778E-5</v>
      </c>
      <c r="G30" s="64">
        <f t="shared" si="1"/>
        <v>9.102366344882352E-5</v>
      </c>
      <c r="H30" s="64">
        <f t="shared" si="1"/>
        <v>8.9192941296921345E-5</v>
      </c>
      <c r="I30" s="64">
        <f t="shared" si="1"/>
        <v>8.8395577396506878E-5</v>
      </c>
      <c r="J30" s="64">
        <f t="shared" si="1"/>
        <v>8.8780832556344518E-5</v>
      </c>
      <c r="K30" s="64">
        <f t="shared" si="1"/>
        <v>9.2667212387404673E-5</v>
      </c>
      <c r="L30" s="64">
        <f t="shared" si="1"/>
        <v>9.7807035363788457E-5</v>
      </c>
      <c r="M30" s="64">
        <f t="shared" si="1"/>
        <v>1.0214036587668172E-4</v>
      </c>
      <c r="N30" s="64">
        <f t="shared" si="1"/>
        <v>1.082907284112433E-4</v>
      </c>
      <c r="O30" s="64">
        <f t="shared" si="1"/>
        <v>1.1481377799282965E-4</v>
      </c>
      <c r="P30" s="64">
        <f t="shared" si="1"/>
        <v>1.2252945169035167E-4</v>
      </c>
      <c r="Q30" s="64">
        <f t="shared" si="1"/>
        <v>1.3047648644466938E-4</v>
      </c>
      <c r="R30" s="64">
        <f t="shared" si="1"/>
        <v>1.3775690577678547E-4</v>
      </c>
      <c r="S30" s="64">
        <f t="shared" si="1"/>
        <v>1.4420102645452829E-4</v>
      </c>
      <c r="T30" s="64">
        <f t="shared" si="1"/>
        <v>1.5022112075838246E-4</v>
      </c>
      <c r="U30" s="64">
        <f t="shared" si="1"/>
        <v>1.5454377517118997E-4</v>
      </c>
      <c r="V30" s="64">
        <f t="shared" si="1"/>
        <v>1.5773209388984376E-4</v>
      </c>
      <c r="W30" s="64">
        <f t="shared" si="1"/>
        <v>1.5987456842102488E-4</v>
      </c>
      <c r="X30" s="64">
        <f t="shared" si="1"/>
        <v>1.6091058746582818E-4</v>
      </c>
      <c r="Y30" s="64">
        <f t="shared" si="1"/>
        <v>1.6136319875494423E-4</v>
      </c>
      <c r="Z30" s="64">
        <f t="shared" si="1"/>
        <v>1.6101583737606123E-4</v>
      </c>
      <c r="AA30" s="64">
        <f t="shared" si="1"/>
        <v>1.6003405579225602E-4</v>
      </c>
      <c r="AB30" s="64">
        <f t="shared" si="1"/>
        <v>1.5861235175075434E-4</v>
      </c>
      <c r="AC30" s="64">
        <f t="shared" si="1"/>
        <v>1.5663808799646926E-4</v>
      </c>
      <c r="AD30" s="64">
        <f t="shared" si="1"/>
        <v>1.5445186927006839E-4</v>
      </c>
      <c r="AE30" s="64">
        <f t="shared" si="1"/>
        <v>1.5200187351146422E-4</v>
      </c>
      <c r="AF30" s="64">
        <f t="shared" si="1"/>
        <v>1.4948566628998129E-4</v>
      </c>
    </row>
    <row r="31" spans="1:32">
      <c r="A31" s="144" t="s">
        <v>3397</v>
      </c>
      <c r="B31" s="64">
        <f t="shared" ref="B31:AF35" si="2">B21/SUM(B$19:B$25)</f>
        <v>0.97803687807133555</v>
      </c>
      <c r="C31" s="64">
        <f t="shared" si="2"/>
        <v>0.96828446931165857</v>
      </c>
      <c r="D31" s="64">
        <f t="shared" si="2"/>
        <v>0.95119221003612908</v>
      </c>
      <c r="E31" s="64">
        <f t="shared" si="2"/>
        <v>0.93137513855933651</v>
      </c>
      <c r="F31" s="64">
        <f t="shared" si="2"/>
        <v>0.90629551707396017</v>
      </c>
      <c r="G31" s="64">
        <f t="shared" si="2"/>
        <v>0.87725611333763609</v>
      </c>
      <c r="H31" s="64">
        <f t="shared" si="2"/>
        <v>0.84948748412668895</v>
      </c>
      <c r="I31" s="64">
        <f t="shared" si="2"/>
        <v>0.82418052402899056</v>
      </c>
      <c r="J31" s="64">
        <f t="shared" si="2"/>
        <v>0.80185746030720417</v>
      </c>
      <c r="K31" s="64">
        <f t="shared" si="2"/>
        <v>0.78119081970182058</v>
      </c>
      <c r="L31" s="64">
        <f t="shared" si="2"/>
        <v>0.7594000032355358</v>
      </c>
      <c r="M31" s="64">
        <f t="shared" si="2"/>
        <v>0.74143115287698835</v>
      </c>
      <c r="N31" s="64">
        <f t="shared" si="2"/>
        <v>0.72573486885033456</v>
      </c>
      <c r="O31" s="64">
        <f t="shared" si="2"/>
        <v>0.71065727675054946</v>
      </c>
      <c r="P31" s="64">
        <f t="shared" si="2"/>
        <v>0.69738875588064986</v>
      </c>
      <c r="Q31" s="64">
        <f t="shared" si="2"/>
        <v>0.68485551299565406</v>
      </c>
      <c r="R31" s="64">
        <f t="shared" si="2"/>
        <v>0.67239627599952512</v>
      </c>
      <c r="S31" s="64">
        <f t="shared" si="2"/>
        <v>0.66063011608519451</v>
      </c>
      <c r="T31" s="64">
        <f t="shared" si="2"/>
        <v>0.64842296211446993</v>
      </c>
      <c r="U31" s="64">
        <f t="shared" si="2"/>
        <v>0.63815366685097963</v>
      </c>
      <c r="V31" s="64">
        <f t="shared" si="2"/>
        <v>0.62769734255135223</v>
      </c>
      <c r="W31" s="64">
        <f t="shared" si="2"/>
        <v>0.617146840082062</v>
      </c>
      <c r="X31" s="64">
        <f t="shared" si="2"/>
        <v>0.60768407394781676</v>
      </c>
      <c r="Y31" s="64">
        <f t="shared" si="2"/>
        <v>0.59765680101059637</v>
      </c>
      <c r="Z31" s="64">
        <f t="shared" si="2"/>
        <v>0.58754210524150552</v>
      </c>
      <c r="AA31" s="64">
        <f t="shared" si="2"/>
        <v>0.57852670838531506</v>
      </c>
      <c r="AB31" s="64">
        <f t="shared" si="2"/>
        <v>0.56930477965047899</v>
      </c>
      <c r="AC31" s="64">
        <f t="shared" si="2"/>
        <v>0.55954605878738739</v>
      </c>
      <c r="AD31" s="64">
        <f t="shared" si="2"/>
        <v>0.55133085841893437</v>
      </c>
      <c r="AE31" s="64">
        <f t="shared" si="2"/>
        <v>0.54301638291510723</v>
      </c>
      <c r="AF31" s="64">
        <f t="shared" si="2"/>
        <v>0.53472177217814576</v>
      </c>
    </row>
    <row r="32" spans="1:32">
      <c r="A32" s="144" t="s">
        <v>3398</v>
      </c>
      <c r="B32" s="64">
        <f t="shared" si="2"/>
        <v>1.0772616493948946E-3</v>
      </c>
      <c r="C32" s="64">
        <f t="shared" si="2"/>
        <v>1.3051717742309085E-3</v>
      </c>
      <c r="D32" s="64">
        <f t="shared" si="2"/>
        <v>1.3980469495794201E-3</v>
      </c>
      <c r="E32" s="64">
        <f t="shared" si="2"/>
        <v>1.6353261932680332E-3</v>
      </c>
      <c r="F32" s="64">
        <f t="shared" si="2"/>
        <v>1.7827908204723813E-3</v>
      </c>
      <c r="G32" s="64">
        <f t="shared" si="2"/>
        <v>1.9156168153536706E-3</v>
      </c>
      <c r="H32" s="64">
        <f t="shared" si="2"/>
        <v>2.0373143738178384E-3</v>
      </c>
      <c r="I32" s="64">
        <f t="shared" si="2"/>
        <v>2.1586931375903013E-3</v>
      </c>
      <c r="J32" s="64">
        <f t="shared" si="2"/>
        <v>2.2754940609504832E-3</v>
      </c>
      <c r="K32" s="64">
        <f t="shared" si="2"/>
        <v>2.4006405356737049E-3</v>
      </c>
      <c r="L32" s="64">
        <f t="shared" si="2"/>
        <v>2.5332269146684247E-3</v>
      </c>
      <c r="M32" s="64">
        <f t="shared" si="2"/>
        <v>2.6565078351960497E-3</v>
      </c>
      <c r="N32" s="64">
        <f t="shared" si="2"/>
        <v>2.7829985507578643E-3</v>
      </c>
      <c r="O32" s="64">
        <f t="shared" si="2"/>
        <v>2.8990782041864232E-3</v>
      </c>
      <c r="P32" s="64">
        <f t="shared" si="2"/>
        <v>3.0234383404302329E-3</v>
      </c>
      <c r="Q32" s="64">
        <f t="shared" si="2"/>
        <v>3.1334762452972348E-3</v>
      </c>
      <c r="R32" s="64">
        <f t="shared" si="2"/>
        <v>3.2412897630688751E-3</v>
      </c>
      <c r="S32" s="64">
        <f t="shared" si="2"/>
        <v>3.3428960131090977E-3</v>
      </c>
      <c r="T32" s="64">
        <f t="shared" si="2"/>
        <v>3.4553223461369041E-3</v>
      </c>
      <c r="U32" s="64">
        <f t="shared" si="2"/>
        <v>3.5503903661283955E-3</v>
      </c>
      <c r="V32" s="64">
        <f t="shared" si="2"/>
        <v>3.6499370221388899E-3</v>
      </c>
      <c r="W32" s="64">
        <f t="shared" si="2"/>
        <v>3.7479249734424119E-3</v>
      </c>
      <c r="X32" s="64">
        <f t="shared" si="2"/>
        <v>3.8443989995337984E-3</v>
      </c>
      <c r="Y32" s="64">
        <f t="shared" si="2"/>
        <v>3.9342048836043418E-3</v>
      </c>
      <c r="Z32" s="64">
        <f t="shared" si="2"/>
        <v>4.0124826699419885E-3</v>
      </c>
      <c r="AA32" s="64">
        <f t="shared" si="2"/>
        <v>4.0973942957456613E-3</v>
      </c>
      <c r="AB32" s="64">
        <f t="shared" si="2"/>
        <v>4.1823572751119959E-3</v>
      </c>
      <c r="AC32" s="64">
        <f t="shared" si="2"/>
        <v>4.2573515233203449E-3</v>
      </c>
      <c r="AD32" s="64">
        <f t="shared" si="2"/>
        <v>4.3353348895978855E-3</v>
      </c>
      <c r="AE32" s="64">
        <f t="shared" si="2"/>
        <v>4.4139090551581217E-3</v>
      </c>
      <c r="AF32" s="64">
        <f t="shared" si="2"/>
        <v>4.4877482030120557E-3</v>
      </c>
    </row>
    <row r="33" spans="1:32">
      <c r="A33" s="144" t="s">
        <v>3399</v>
      </c>
      <c r="B33" s="64">
        <f t="shared" si="2"/>
        <v>4.1995277583808527E-3</v>
      </c>
      <c r="C33" s="64">
        <f t="shared" si="2"/>
        <v>4.5137429567935075E-3</v>
      </c>
      <c r="D33" s="64">
        <f t="shared" si="2"/>
        <v>5.0239440514220132E-3</v>
      </c>
      <c r="E33" s="64">
        <f t="shared" si="2"/>
        <v>5.0562360266431785E-3</v>
      </c>
      <c r="F33" s="64">
        <f t="shared" si="2"/>
        <v>5.2911915607605168E-3</v>
      </c>
      <c r="G33" s="64">
        <f t="shared" si="2"/>
        <v>5.5551471435499825E-3</v>
      </c>
      <c r="H33" s="64">
        <f t="shared" si="2"/>
        <v>5.9453902538962114E-3</v>
      </c>
      <c r="I33" s="64">
        <f t="shared" si="2"/>
        <v>6.3910885152455889E-3</v>
      </c>
      <c r="J33" s="64">
        <f t="shared" si="2"/>
        <v>6.9939010448089008E-3</v>
      </c>
      <c r="K33" s="64">
        <f t="shared" si="2"/>
        <v>7.9014657714060327E-3</v>
      </c>
      <c r="L33" s="64">
        <f t="shared" si="2"/>
        <v>8.9878737800208625E-3</v>
      </c>
      <c r="M33" s="64">
        <f t="shared" si="2"/>
        <v>1.036412039058901E-2</v>
      </c>
      <c r="N33" s="64">
        <f t="shared" si="2"/>
        <v>1.1893565823446113E-2</v>
      </c>
      <c r="O33" s="64">
        <f t="shared" si="2"/>
        <v>1.3561240905372715E-2</v>
      </c>
      <c r="P33" s="64">
        <f t="shared" si="2"/>
        <v>1.5357788410932908E-2</v>
      </c>
      <c r="Q33" s="64">
        <f t="shared" si="2"/>
        <v>1.7207892014923055E-2</v>
      </c>
      <c r="R33" s="64">
        <f t="shared" si="2"/>
        <v>1.8966963392944226E-2</v>
      </c>
      <c r="S33" s="64">
        <f t="shared" si="2"/>
        <v>2.0574027076982186E-2</v>
      </c>
      <c r="T33" s="64">
        <f t="shared" si="2"/>
        <v>2.2026083117937537E-2</v>
      </c>
      <c r="U33" s="64">
        <f t="shared" si="2"/>
        <v>2.315486807403172E-2</v>
      </c>
      <c r="V33" s="64">
        <f t="shared" si="2"/>
        <v>2.4064726048740114E-2</v>
      </c>
      <c r="W33" s="64">
        <f t="shared" si="2"/>
        <v>2.4746025198479918E-2</v>
      </c>
      <c r="X33" s="64">
        <f t="shared" si="2"/>
        <v>2.5171178463135119E-2</v>
      </c>
      <c r="Y33" s="64">
        <f t="shared" si="2"/>
        <v>2.5447459154078332E-2</v>
      </c>
      <c r="Z33" s="64">
        <f t="shared" si="2"/>
        <v>2.5581634001059575E-2</v>
      </c>
      <c r="AA33" s="64">
        <f t="shared" si="2"/>
        <v>2.5561607091746194E-2</v>
      </c>
      <c r="AB33" s="64">
        <f t="shared" si="2"/>
        <v>2.5443519506555393E-2</v>
      </c>
      <c r="AC33" s="64">
        <f t="shared" si="2"/>
        <v>2.5224110299208253E-2</v>
      </c>
      <c r="AD33" s="64">
        <f t="shared" si="2"/>
        <v>2.4941751355858553E-2</v>
      </c>
      <c r="AE33" s="64">
        <f t="shared" si="2"/>
        <v>2.4620105782699183E-2</v>
      </c>
      <c r="AF33" s="64">
        <f t="shared" si="2"/>
        <v>2.4254268542743439E-2</v>
      </c>
    </row>
    <row r="34" spans="1:32">
      <c r="A34" s="144" t="s">
        <v>3400</v>
      </c>
      <c r="B34" s="64">
        <f t="shared" si="2"/>
        <v>8.4210496715388908E-5</v>
      </c>
      <c r="C34" s="64">
        <f t="shared" si="2"/>
        <v>7.7736604575071689E-5</v>
      </c>
      <c r="D34" s="64">
        <f t="shared" si="2"/>
        <v>8.9289567759855045E-5</v>
      </c>
      <c r="E34" s="64">
        <f t="shared" si="2"/>
        <v>9.1639802088087823E-5</v>
      </c>
      <c r="F34" s="64">
        <f t="shared" si="2"/>
        <v>9.1646101052402729E-5</v>
      </c>
      <c r="G34" s="64">
        <f t="shared" si="2"/>
        <v>9.076617076579997E-5</v>
      </c>
      <c r="H34" s="64">
        <f t="shared" si="2"/>
        <v>8.8811231134452358E-5</v>
      </c>
      <c r="I34" s="64">
        <f t="shared" si="2"/>
        <v>8.6882386342643708E-5</v>
      </c>
      <c r="J34" s="64">
        <f t="shared" si="2"/>
        <v>8.5149458587185161E-5</v>
      </c>
      <c r="K34" s="64">
        <f t="shared" si="2"/>
        <v>8.5950394308317621E-5</v>
      </c>
      <c r="L34" s="64">
        <f t="shared" si="2"/>
        <v>8.6569105795474368E-5</v>
      </c>
      <c r="M34" s="64">
        <f t="shared" si="2"/>
        <v>8.7548885037155754E-5</v>
      </c>
      <c r="N34" s="64">
        <f t="shared" si="2"/>
        <v>8.8534987417300271E-5</v>
      </c>
      <c r="O34" s="64">
        <f t="shared" si="2"/>
        <v>8.9353489314377465E-5</v>
      </c>
      <c r="P34" s="64">
        <f t="shared" si="2"/>
        <v>9.0208690811400638E-5</v>
      </c>
      <c r="Q34" s="64">
        <f t="shared" si="2"/>
        <v>9.1105476735514322E-5</v>
      </c>
      <c r="R34" s="64">
        <f t="shared" si="2"/>
        <v>9.1758285894684511E-5</v>
      </c>
      <c r="S34" s="64">
        <f t="shared" si="2"/>
        <v>9.225061543999502E-5</v>
      </c>
      <c r="T34" s="64">
        <f t="shared" si="2"/>
        <v>9.2971496784321743E-5</v>
      </c>
      <c r="U34" s="64">
        <f t="shared" si="2"/>
        <v>9.3502512375263338E-5</v>
      </c>
      <c r="V34" s="64">
        <f t="shared" si="2"/>
        <v>9.389093505822426E-5</v>
      </c>
      <c r="W34" s="64">
        <f t="shared" si="2"/>
        <v>9.4413199678452516E-5</v>
      </c>
      <c r="X34" s="64">
        <f t="shared" si="2"/>
        <v>9.5020476219045082E-5</v>
      </c>
      <c r="Y34" s="64">
        <f t="shared" si="2"/>
        <v>9.5392774192737693E-5</v>
      </c>
      <c r="Z34" s="64">
        <f t="shared" si="2"/>
        <v>9.5763855018551672E-5</v>
      </c>
      <c r="AA34" s="64">
        <f t="shared" si="2"/>
        <v>9.6315741172344299E-5</v>
      </c>
      <c r="AB34" s="64">
        <f t="shared" si="2"/>
        <v>9.6566268206718143E-5</v>
      </c>
      <c r="AC34" s="64">
        <f t="shared" si="2"/>
        <v>9.6806371980650527E-5</v>
      </c>
      <c r="AD34" s="64">
        <f t="shared" si="2"/>
        <v>9.6921886263854164E-5</v>
      </c>
      <c r="AE34" s="64">
        <f t="shared" si="2"/>
        <v>9.7100034023675169E-5</v>
      </c>
      <c r="AF34" s="64">
        <f t="shared" si="2"/>
        <v>9.7099926930295771E-5</v>
      </c>
    </row>
    <row r="35" spans="1:32">
      <c r="A35" s="144" t="s">
        <v>3401</v>
      </c>
      <c r="B35" s="64">
        <f t="shared" si="2"/>
        <v>6.0257958293659324E-7</v>
      </c>
      <c r="C35" s="64">
        <f t="shared" si="2"/>
        <v>7.1712734847852108E-7</v>
      </c>
      <c r="D35" s="64">
        <f t="shared" si="2"/>
        <v>9.6010287913822634E-7</v>
      </c>
      <c r="E35" s="64">
        <f t="shared" si="2"/>
        <v>1.0609528461717837E-6</v>
      </c>
      <c r="F35" s="64">
        <f t="shared" si="2"/>
        <v>1.3055000149914918E-6</v>
      </c>
      <c r="G35" s="64">
        <f t="shared" si="2"/>
        <v>1.5449560981412762E-6</v>
      </c>
      <c r="H35" s="64">
        <f t="shared" si="2"/>
        <v>1.9085508123449649E-6</v>
      </c>
      <c r="I35" s="64">
        <f t="shared" si="2"/>
        <v>2.395885835283353E-6</v>
      </c>
      <c r="J35" s="64">
        <f t="shared" si="2"/>
        <v>3.005275008959476E-6</v>
      </c>
      <c r="K35" s="64">
        <f t="shared" si="2"/>
        <v>3.8559511194758989E-6</v>
      </c>
      <c r="L35" s="64">
        <f t="shared" si="2"/>
        <v>5.0632429923173318E-6</v>
      </c>
      <c r="M35" s="64">
        <f t="shared" si="2"/>
        <v>6.2534917883682685E-6</v>
      </c>
      <c r="N35" s="64">
        <f t="shared" si="2"/>
        <v>7.8047371827923099E-6</v>
      </c>
      <c r="O35" s="64">
        <f t="shared" si="2"/>
        <v>9.4566786519965285E-6</v>
      </c>
      <c r="P35" s="64">
        <f t="shared" si="2"/>
        <v>1.1456986132463985E-5</v>
      </c>
      <c r="Q35" s="64">
        <f t="shared" si="2"/>
        <v>1.3563792979068667E-5</v>
      </c>
      <c r="R35" s="64">
        <f t="shared" si="2"/>
        <v>1.5890432322907605E-5</v>
      </c>
      <c r="S35" s="64">
        <f t="shared" si="2"/>
        <v>1.8188587838040254E-5</v>
      </c>
      <c r="T35" s="64">
        <f t="shared" si="2"/>
        <v>2.0463192040315091E-5</v>
      </c>
      <c r="U35" s="64">
        <f t="shared" si="2"/>
        <v>2.2699352060912986E-5</v>
      </c>
      <c r="V35" s="64">
        <f t="shared" si="2"/>
        <v>2.4788142256965811E-5</v>
      </c>
      <c r="W35" s="64">
        <f t="shared" si="2"/>
        <v>2.6742655081335072E-5</v>
      </c>
      <c r="X35" s="64">
        <f t="shared" si="2"/>
        <v>2.8436784853874807E-5</v>
      </c>
      <c r="Y35" s="64">
        <f t="shared" si="2"/>
        <v>3.0111935949996718E-5</v>
      </c>
      <c r="Z35" s="64">
        <f t="shared" si="2"/>
        <v>3.1540362750740171E-5</v>
      </c>
      <c r="AA35" s="64">
        <f t="shared" si="2"/>
        <v>3.2938166202806423E-5</v>
      </c>
      <c r="AB35" s="64">
        <f t="shared" si="2"/>
        <v>3.4068940418725328E-5</v>
      </c>
      <c r="AC35" s="64">
        <f t="shared" si="2"/>
        <v>3.5181945372597528E-5</v>
      </c>
      <c r="AD35" s="64">
        <f t="shared" si="2"/>
        <v>3.6053606371399254E-5</v>
      </c>
      <c r="AE35" s="64">
        <f t="shared" si="2"/>
        <v>3.6895803599439716E-5</v>
      </c>
      <c r="AF35" s="64">
        <f t="shared" si="2"/>
        <v>3.7700197363455692E-5</v>
      </c>
    </row>
    <row r="38" spans="1:32">
      <c r="A38" s="144" t="s">
        <v>3394</v>
      </c>
      <c r="B38" s="144">
        <v>2020</v>
      </c>
      <c r="C38" s="144">
        <v>2021</v>
      </c>
      <c r="D38" s="144">
        <v>2022</v>
      </c>
      <c r="E38" s="144">
        <v>2023</v>
      </c>
      <c r="F38" s="144">
        <v>2024</v>
      </c>
      <c r="G38" s="144">
        <v>2025</v>
      </c>
      <c r="H38" s="144">
        <v>2026</v>
      </c>
      <c r="I38" s="144">
        <v>2027</v>
      </c>
      <c r="J38" s="144">
        <v>2028</v>
      </c>
      <c r="K38" s="144">
        <v>2029</v>
      </c>
      <c r="L38" s="144">
        <v>2030</v>
      </c>
      <c r="M38" s="144">
        <v>2031</v>
      </c>
      <c r="N38" s="144">
        <v>2032</v>
      </c>
      <c r="O38" s="144">
        <v>2033</v>
      </c>
      <c r="P38" s="144">
        <v>2034</v>
      </c>
      <c r="Q38" s="144">
        <v>2035</v>
      </c>
      <c r="R38" s="144">
        <v>2036</v>
      </c>
      <c r="S38" s="144">
        <v>2037</v>
      </c>
      <c r="T38" s="144">
        <v>2038</v>
      </c>
      <c r="U38" s="144">
        <v>2039</v>
      </c>
      <c r="V38" s="144">
        <v>2040</v>
      </c>
      <c r="W38" s="144">
        <v>2041</v>
      </c>
      <c r="X38" s="144">
        <v>2042</v>
      </c>
      <c r="Y38" s="144">
        <v>2043</v>
      </c>
      <c r="Z38" s="144">
        <v>2044</v>
      </c>
      <c r="AA38" s="144">
        <v>2045</v>
      </c>
      <c r="AB38" s="144">
        <v>2046</v>
      </c>
      <c r="AC38" s="144">
        <v>2047</v>
      </c>
      <c r="AD38" s="144">
        <v>2048</v>
      </c>
      <c r="AE38" s="144">
        <v>2049</v>
      </c>
      <c r="AF38" s="144">
        <v>2050</v>
      </c>
    </row>
    <row r="39" spans="1:32">
      <c r="A39" s="144" t="s">
        <v>3403</v>
      </c>
      <c r="B39" s="144">
        <v>1.67</v>
      </c>
      <c r="C39" s="144">
        <v>1.67</v>
      </c>
      <c r="D39" s="4">
        <v>1.67</v>
      </c>
      <c r="E39" s="4">
        <v>1.67</v>
      </c>
      <c r="F39" s="4">
        <v>1.67</v>
      </c>
      <c r="G39" s="4">
        <v>1.67</v>
      </c>
      <c r="H39" s="4">
        <v>1.67</v>
      </c>
      <c r="I39" s="4">
        <v>1.67</v>
      </c>
      <c r="J39" s="4">
        <v>1.67</v>
      </c>
      <c r="K39" s="4">
        <v>1.67</v>
      </c>
      <c r="L39" s="4">
        <v>1.67</v>
      </c>
      <c r="M39" s="4">
        <v>1.67</v>
      </c>
      <c r="N39" s="4">
        <v>1.67</v>
      </c>
      <c r="O39" s="4">
        <v>1.67</v>
      </c>
      <c r="P39" s="4">
        <v>1.67</v>
      </c>
      <c r="Q39" s="4">
        <v>1.67</v>
      </c>
      <c r="R39" s="4">
        <v>1.67</v>
      </c>
      <c r="S39" s="4">
        <v>1.67</v>
      </c>
      <c r="T39" s="4">
        <v>1.67</v>
      </c>
      <c r="U39" s="4">
        <v>1.67</v>
      </c>
      <c r="V39" s="4">
        <v>1.67</v>
      </c>
      <c r="W39" s="4">
        <v>1.67</v>
      </c>
      <c r="X39" s="4">
        <v>1.67</v>
      </c>
      <c r="Y39" s="4">
        <v>1.67</v>
      </c>
      <c r="Z39" s="4">
        <v>1.67</v>
      </c>
      <c r="AA39" s="4">
        <v>1.67</v>
      </c>
      <c r="AB39" s="4">
        <v>1.67</v>
      </c>
      <c r="AC39" s="4">
        <v>1.67</v>
      </c>
      <c r="AD39" s="4">
        <v>1.67</v>
      </c>
      <c r="AE39" s="4">
        <v>1.67</v>
      </c>
      <c r="AF39" s="4">
        <v>1.67</v>
      </c>
    </row>
    <row r="41" spans="1:32">
      <c r="A41" s="2" t="s">
        <v>606</v>
      </c>
      <c r="B41" s="3"/>
    </row>
    <row r="42" spans="1:32">
      <c r="A42" s="144" t="s">
        <v>607</v>
      </c>
      <c r="B42" s="144">
        <v>120476</v>
      </c>
    </row>
    <row r="43" spans="1:32">
      <c r="A43" s="144" t="s">
        <v>608</v>
      </c>
      <c r="B43" s="144">
        <v>137452</v>
      </c>
    </row>
    <row r="45" spans="1:32">
      <c r="A45" s="144" t="s">
        <v>3404</v>
      </c>
      <c r="B45" s="144">
        <v>3412.14</v>
      </c>
    </row>
    <row r="47" spans="1:32">
      <c r="A47" s="144" t="s">
        <v>3405</v>
      </c>
      <c r="B47" s="144">
        <v>33.700000000000003</v>
      </c>
    </row>
    <row r="49" spans="1:35">
      <c r="A49" s="144" t="s">
        <v>3406</v>
      </c>
    </row>
    <row r="50" spans="1:35">
      <c r="A50" s="1" t="s">
        <v>3407</v>
      </c>
      <c r="B50" s="144">
        <v>2020</v>
      </c>
      <c r="C50" s="144">
        <v>2021</v>
      </c>
      <c r="D50" s="144">
        <v>2022</v>
      </c>
      <c r="E50" s="144">
        <v>2023</v>
      </c>
      <c r="F50" s="144">
        <v>2024</v>
      </c>
      <c r="G50" s="144">
        <v>2025</v>
      </c>
      <c r="H50" s="144">
        <v>2026</v>
      </c>
      <c r="I50" s="144">
        <v>2027</v>
      </c>
      <c r="J50" s="144">
        <v>2028</v>
      </c>
      <c r="K50" s="144">
        <v>2029</v>
      </c>
      <c r="L50" s="144">
        <v>2030</v>
      </c>
      <c r="M50" s="144">
        <v>2031</v>
      </c>
      <c r="N50" s="144">
        <v>2032</v>
      </c>
      <c r="O50" s="144">
        <v>2033</v>
      </c>
      <c r="P50" s="144">
        <v>2034</v>
      </c>
      <c r="Q50" s="144">
        <v>2035</v>
      </c>
      <c r="R50" s="144">
        <v>2036</v>
      </c>
      <c r="S50" s="144">
        <v>2037</v>
      </c>
      <c r="T50" s="144">
        <v>2038</v>
      </c>
      <c r="U50" s="144">
        <v>2039</v>
      </c>
      <c r="V50" s="144">
        <v>2040</v>
      </c>
      <c r="W50" s="144">
        <v>2041</v>
      </c>
      <c r="X50" s="144">
        <v>2042</v>
      </c>
      <c r="Y50" s="144">
        <v>2043</v>
      </c>
      <c r="Z50" s="144">
        <v>2044</v>
      </c>
      <c r="AA50" s="144">
        <v>2045</v>
      </c>
      <c r="AB50" s="144">
        <v>2046</v>
      </c>
      <c r="AC50" s="144">
        <v>2047</v>
      </c>
      <c r="AD50" s="144">
        <v>2048</v>
      </c>
      <c r="AE50" s="144">
        <v>2049</v>
      </c>
      <c r="AF50" s="144">
        <v>2050</v>
      </c>
    </row>
    <row r="51" spans="1:35">
      <c r="A51" s="144" t="s">
        <v>112</v>
      </c>
      <c r="B51" s="144">
        <f t="shared" ref="B51:AF51" si="3">B9*$B$45/$B$39*$B$47</f>
        <v>89.622758331900158</v>
      </c>
      <c r="C51" s="144">
        <f t="shared" si="3"/>
        <v>89.006927288903967</v>
      </c>
      <c r="D51" s="144">
        <f t="shared" si="3"/>
        <v>88.612670767037329</v>
      </c>
      <c r="E51" s="144">
        <f t="shared" si="3"/>
        <v>88.114604438241543</v>
      </c>
      <c r="F51" s="144">
        <f t="shared" si="3"/>
        <v>87.605933074974217</v>
      </c>
      <c r="G51" s="144">
        <f t="shared" si="3"/>
        <v>87.369164072422251</v>
      </c>
      <c r="H51" s="144">
        <f t="shared" si="3"/>
        <v>87.144819549728993</v>
      </c>
      <c r="I51" s="144">
        <f t="shared" si="3"/>
        <v>86.7740384801658</v>
      </c>
      <c r="J51" s="144">
        <f t="shared" si="3"/>
        <v>86.498155300268536</v>
      </c>
      <c r="K51" s="144">
        <f t="shared" si="3"/>
        <v>86.253150720672423</v>
      </c>
      <c r="L51" s="144">
        <f t="shared" si="3"/>
        <v>86.078498055441585</v>
      </c>
      <c r="M51" s="144">
        <f t="shared" si="3"/>
        <v>85.980755975080669</v>
      </c>
      <c r="N51" s="144">
        <f t="shared" si="3"/>
        <v>85.846981260736328</v>
      </c>
      <c r="O51" s="144">
        <f t="shared" si="3"/>
        <v>85.790005400157199</v>
      </c>
      <c r="P51" s="144">
        <f t="shared" si="3"/>
        <v>85.759235782139129</v>
      </c>
      <c r="Q51" s="144">
        <f t="shared" si="3"/>
        <v>85.735232769753509</v>
      </c>
      <c r="R51" s="144">
        <f t="shared" si="3"/>
        <v>85.668119702474741</v>
      </c>
      <c r="S51" s="144">
        <f t="shared" si="3"/>
        <v>85.636670956090114</v>
      </c>
      <c r="T51" s="144">
        <f t="shared" si="3"/>
        <v>85.618503074005659</v>
      </c>
      <c r="U51" s="144">
        <f t="shared" si="3"/>
        <v>85.597688372468582</v>
      </c>
      <c r="V51" s="144">
        <f t="shared" si="3"/>
        <v>85.570458662525255</v>
      </c>
      <c r="W51" s="144">
        <f t="shared" si="3"/>
        <v>85.563022286980299</v>
      </c>
      <c r="X51" s="144">
        <f t="shared" si="3"/>
        <v>85.555143125365234</v>
      </c>
      <c r="Y51" s="144">
        <f t="shared" si="3"/>
        <v>85.544093952796516</v>
      </c>
      <c r="Z51" s="144">
        <f t="shared" si="3"/>
        <v>85.544065131823814</v>
      </c>
      <c r="AA51" s="144">
        <f t="shared" si="3"/>
        <v>85.550202215327218</v>
      </c>
      <c r="AB51" s="144">
        <f t="shared" si="3"/>
        <v>85.555375942132926</v>
      </c>
      <c r="AC51" s="144">
        <f t="shared" si="3"/>
        <v>85.547043749394561</v>
      </c>
      <c r="AD51" s="144">
        <f t="shared" si="3"/>
        <v>85.540055502922897</v>
      </c>
      <c r="AE51" s="144">
        <f t="shared" si="3"/>
        <v>85.529836722671163</v>
      </c>
      <c r="AF51" s="144">
        <f t="shared" si="3"/>
        <v>85.531572791456028</v>
      </c>
      <c r="AG51" s="4"/>
      <c r="AH51" s="4"/>
      <c r="AI51" s="4"/>
    </row>
    <row r="52" spans="1:35">
      <c r="A52" s="144" t="s">
        <v>113</v>
      </c>
      <c r="B52" s="144">
        <f t="shared" ref="B52:AF57" si="4">B10/$B$39*$B$42</f>
        <v>27.435003789504723</v>
      </c>
      <c r="C52" s="144">
        <f t="shared" si="4"/>
        <v>28.478964615029835</v>
      </c>
      <c r="D52" s="144">
        <f t="shared" si="4"/>
        <v>29.085727000357398</v>
      </c>
      <c r="E52" s="144">
        <f t="shared" si="4"/>
        <v>29.477804132389693</v>
      </c>
      <c r="F52" s="144">
        <f t="shared" si="4"/>
        <v>29.733389312921869</v>
      </c>
      <c r="G52" s="144">
        <f t="shared" si="4"/>
        <v>30.020746934960513</v>
      </c>
      <c r="H52" s="144">
        <f t="shared" si="4"/>
        <v>30.201755954297465</v>
      </c>
      <c r="I52" s="144">
        <f t="shared" si="4"/>
        <v>30.206995846969715</v>
      </c>
      <c r="J52" s="144">
        <f t="shared" si="4"/>
        <v>30.188250938409791</v>
      </c>
      <c r="K52" s="144">
        <f t="shared" si="4"/>
        <v>30.172798724032305</v>
      </c>
      <c r="L52" s="144">
        <f t="shared" si="4"/>
        <v>30.221613536225775</v>
      </c>
      <c r="M52" s="144">
        <f t="shared" si="4"/>
        <v>30.208491410789865</v>
      </c>
      <c r="N52" s="144">
        <f t="shared" si="4"/>
        <v>30.191501076073479</v>
      </c>
      <c r="O52" s="144">
        <f t="shared" si="4"/>
        <v>30.174174236538441</v>
      </c>
      <c r="P52" s="144">
        <f t="shared" si="4"/>
        <v>30.176118546252621</v>
      </c>
      <c r="Q52" s="144">
        <f t="shared" si="4"/>
        <v>30.127554046859441</v>
      </c>
      <c r="R52" s="144">
        <f t="shared" si="4"/>
        <v>30.074232882922772</v>
      </c>
      <c r="S52" s="144">
        <f t="shared" si="4"/>
        <v>30.040461915872523</v>
      </c>
      <c r="T52" s="144">
        <f t="shared" si="4"/>
        <v>30.020490960417355</v>
      </c>
      <c r="U52" s="144">
        <f t="shared" si="4"/>
        <v>29.975672108239571</v>
      </c>
      <c r="V52" s="144">
        <f t="shared" si="4"/>
        <v>29.941268492383692</v>
      </c>
      <c r="W52" s="144">
        <f t="shared" si="4"/>
        <v>29.911184901899237</v>
      </c>
      <c r="X52" s="144">
        <f t="shared" si="4"/>
        <v>29.875939807473397</v>
      </c>
      <c r="Y52" s="144">
        <f t="shared" si="4"/>
        <v>29.842111779055994</v>
      </c>
      <c r="Z52" s="144">
        <f t="shared" si="4"/>
        <v>29.816914430176062</v>
      </c>
      <c r="AA52" s="144">
        <f t="shared" si="4"/>
        <v>29.799039183010986</v>
      </c>
      <c r="AB52" s="144">
        <f t="shared" si="4"/>
        <v>29.76855805037939</v>
      </c>
      <c r="AC52" s="144">
        <f t="shared" si="4"/>
        <v>29.738573334914719</v>
      </c>
      <c r="AD52" s="144">
        <f t="shared" si="4"/>
        <v>29.700932956100836</v>
      </c>
      <c r="AE52" s="144">
        <f t="shared" si="4"/>
        <v>29.675002564890217</v>
      </c>
      <c r="AF52" s="144">
        <f t="shared" si="4"/>
        <v>29.650867581575177</v>
      </c>
      <c r="AG52" s="4"/>
      <c r="AH52" s="4"/>
      <c r="AI52" s="4"/>
    </row>
    <row r="53" spans="1:35">
      <c r="A53" s="144" t="s">
        <v>114</v>
      </c>
      <c r="B53" s="144">
        <f t="shared" si="4"/>
        <v>28.931811294797296</v>
      </c>
      <c r="C53" s="144">
        <f t="shared" si="4"/>
        <v>29.97034284557957</v>
      </c>
      <c r="D53" s="144">
        <f t="shared" si="4"/>
        <v>30.533501799466755</v>
      </c>
      <c r="E53" s="144">
        <f t="shared" si="4"/>
        <v>30.90696346213522</v>
      </c>
      <c r="F53" s="42">
        <f>-((F29*EV_FE_2024+F30*NG_FE_2024+F32*Diesel_FE_2024+F33*PHEV_FE_2024+F34*LPG_FE_2024+F35*Hydg_FE_2024)-B5)/F31</f>
        <v>28.68251605946098</v>
      </c>
      <c r="G53" s="42">
        <f>-((G29*EV_FE_2024+G30*NG_FE_2024+G32*Diesel_FE_2024+G33*PHEV_FE_2024+G34*LPG_FE_2024+G35*Hydg_FE_2024)-C5)/G31</f>
        <v>30.061604554859713</v>
      </c>
      <c r="H53" s="42">
        <f>-((H29*EV_FE_2024+H30*NG_FE_2024+H32*Diesel_FE_2024+H33*PHEV_FE_2024+H34*LPG_FE_2024+H35*Hydg_FE_2024)-D5)/H31</f>
        <v>32.78813809195762</v>
      </c>
      <c r="I53" s="144">
        <f t="shared" si="4"/>
        <v>31.836276316122863</v>
      </c>
      <c r="J53" s="144">
        <f t="shared" si="4"/>
        <v>31.842694652950104</v>
      </c>
      <c r="K53" s="144">
        <f t="shared" si="4"/>
        <v>31.845961697096751</v>
      </c>
      <c r="L53" s="144">
        <f t="shared" si="4"/>
        <v>31.924177024609833</v>
      </c>
      <c r="M53" s="144">
        <f t="shared" si="4"/>
        <v>31.928377588310095</v>
      </c>
      <c r="N53" s="144">
        <f t="shared" si="4"/>
        <v>31.931654778766095</v>
      </c>
      <c r="O53" s="144">
        <f t="shared" si="4"/>
        <v>31.932290533857728</v>
      </c>
      <c r="P53" s="144">
        <f t="shared" si="4"/>
        <v>31.950725136348066</v>
      </c>
      <c r="Q53" s="144">
        <f t="shared" si="4"/>
        <v>31.911845273692272</v>
      </c>
      <c r="R53" s="144">
        <f t="shared" si="4"/>
        <v>31.872526016022036</v>
      </c>
      <c r="S53" s="144">
        <f t="shared" si="4"/>
        <v>31.851612327037738</v>
      </c>
      <c r="T53" s="144">
        <f t="shared" si="4"/>
        <v>31.844278010483585</v>
      </c>
      <c r="U53" s="144">
        <f t="shared" si="4"/>
        <v>31.810612077919561</v>
      </c>
      <c r="V53" s="144">
        <f t="shared" si="4"/>
        <v>31.789276557174567</v>
      </c>
      <c r="W53" s="144">
        <f t="shared" si="4"/>
        <v>31.775708896767821</v>
      </c>
      <c r="X53" s="144">
        <f t="shared" si="4"/>
        <v>31.754253497775348</v>
      </c>
      <c r="Y53" s="144">
        <f t="shared" si="4"/>
        <v>31.736351681845459</v>
      </c>
      <c r="Z53" s="144">
        <f t="shared" si="4"/>
        <v>31.728239978006194</v>
      </c>
      <c r="AA53" s="144">
        <f t="shared" si="4"/>
        <v>31.728568758770198</v>
      </c>
      <c r="AB53" s="144">
        <f t="shared" si="4"/>
        <v>31.713654714276398</v>
      </c>
      <c r="AC53" s="144">
        <f t="shared" si="4"/>
        <v>31.703005297146838</v>
      </c>
      <c r="AD53" s="144">
        <f t="shared" si="4"/>
        <v>31.684195715730624</v>
      </c>
      <c r="AE53" s="144">
        <f t="shared" si="4"/>
        <v>31.680010636654625</v>
      </c>
      <c r="AF53" s="144">
        <f t="shared" si="4"/>
        <v>31.677001169237776</v>
      </c>
      <c r="AG53" s="4"/>
      <c r="AH53" s="4"/>
      <c r="AI53" s="4"/>
    </row>
    <row r="54" spans="1:35">
      <c r="A54" s="144" t="s">
        <v>115</v>
      </c>
      <c r="B54" s="144">
        <f t="shared" si="4"/>
        <v>30.41826872574363</v>
      </c>
      <c r="C54" s="144">
        <f t="shared" si="4"/>
        <v>31.048448871665705</v>
      </c>
      <c r="D54" s="144">
        <f t="shared" si="4"/>
        <v>31.324095914234988</v>
      </c>
      <c r="E54" s="144">
        <f t="shared" si="4"/>
        <v>31.565900073610877</v>
      </c>
      <c r="F54" s="144">
        <f t="shared" si="4"/>
        <v>31.719053938274374</v>
      </c>
      <c r="G54" s="144">
        <f t="shared" si="4"/>
        <v>32.074479864056769</v>
      </c>
      <c r="H54" s="144">
        <f t="shared" si="4"/>
        <v>32.100009267333938</v>
      </c>
      <c r="I54" s="144">
        <f t="shared" si="4"/>
        <v>32.02121826346086</v>
      </c>
      <c r="J54" s="144">
        <f t="shared" si="4"/>
        <v>31.985685498542964</v>
      </c>
      <c r="K54" s="144">
        <f t="shared" si="4"/>
        <v>31.937761030304781</v>
      </c>
      <c r="L54" s="144">
        <f t="shared" si="4"/>
        <v>31.889974123093452</v>
      </c>
      <c r="M54" s="144">
        <f t="shared" si="4"/>
        <v>31.839354272799198</v>
      </c>
      <c r="N54" s="144">
        <f t="shared" si="4"/>
        <v>31.795672585692035</v>
      </c>
      <c r="O54" s="144">
        <f t="shared" si="4"/>
        <v>31.745779434777692</v>
      </c>
      <c r="P54" s="144">
        <f t="shared" si="4"/>
        <v>31.713232145411244</v>
      </c>
      <c r="Q54" s="144">
        <f t="shared" si="4"/>
        <v>31.667723938484901</v>
      </c>
      <c r="R54" s="144">
        <f t="shared" si="4"/>
        <v>31.636725054803307</v>
      </c>
      <c r="S54" s="144">
        <f t="shared" si="4"/>
        <v>31.602797490668575</v>
      </c>
      <c r="T54" s="144">
        <f t="shared" si="4"/>
        <v>31.570037741573653</v>
      </c>
      <c r="U54" s="144">
        <f t="shared" si="4"/>
        <v>31.546264460189718</v>
      </c>
      <c r="V54" s="144">
        <f t="shared" si="4"/>
        <v>31.508592072843829</v>
      </c>
      <c r="W54" s="144">
        <f t="shared" si="4"/>
        <v>31.483249345117411</v>
      </c>
      <c r="X54" s="144">
        <f t="shared" si="4"/>
        <v>31.454922340144215</v>
      </c>
      <c r="Y54" s="144">
        <f t="shared" si="4"/>
        <v>31.43077535064182</v>
      </c>
      <c r="Z54" s="144">
        <f t="shared" si="4"/>
        <v>31.407411779001762</v>
      </c>
      <c r="AA54" s="144">
        <f t="shared" si="4"/>
        <v>31.388600494742629</v>
      </c>
      <c r="AB54" s="144">
        <f t="shared" si="4"/>
        <v>31.359983613235816</v>
      </c>
      <c r="AC54" s="144">
        <f t="shared" si="4"/>
        <v>31.336793067434151</v>
      </c>
      <c r="AD54" s="144">
        <f t="shared" si="4"/>
        <v>31.312554084989852</v>
      </c>
      <c r="AE54" s="144">
        <f t="shared" si="4"/>
        <v>31.287723740671371</v>
      </c>
      <c r="AF54" s="144">
        <f t="shared" si="4"/>
        <v>31.2622143800183</v>
      </c>
      <c r="AG54" s="4"/>
      <c r="AH54" s="4"/>
      <c r="AI54" s="4"/>
    </row>
    <row r="55" spans="1:35">
      <c r="A55" s="144" t="s">
        <v>116</v>
      </c>
      <c r="B55" s="144">
        <f t="shared" si="4"/>
        <v>47.424489029200636</v>
      </c>
      <c r="C55" s="144">
        <f t="shared" si="4"/>
        <v>48.961020216069009</v>
      </c>
      <c r="D55" s="144">
        <f t="shared" si="4"/>
        <v>49.492626165831794</v>
      </c>
      <c r="E55" s="144">
        <f t="shared" si="4"/>
        <v>49.774046543179615</v>
      </c>
      <c r="F55" s="144">
        <f t="shared" si="4"/>
        <v>50.682933098137518</v>
      </c>
      <c r="G55" s="144">
        <f t="shared" si="4"/>
        <v>52.717624119186496</v>
      </c>
      <c r="H55" s="144">
        <f t="shared" si="4"/>
        <v>55.196400249212871</v>
      </c>
      <c r="I55" s="144">
        <f t="shared" si="4"/>
        <v>55.353694339967532</v>
      </c>
      <c r="J55" s="144">
        <f t="shared" si="4"/>
        <v>55.271621263689461</v>
      </c>
      <c r="K55" s="144">
        <f t="shared" si="4"/>
        <v>55.186329489283004</v>
      </c>
      <c r="L55" s="144">
        <f t="shared" si="4"/>
        <v>55.14086107000351</v>
      </c>
      <c r="M55" s="144">
        <f t="shared" si="4"/>
        <v>55.04199899493053</v>
      </c>
      <c r="N55" s="144">
        <f t="shared" si="4"/>
        <v>54.986618325145734</v>
      </c>
      <c r="O55" s="144">
        <f t="shared" si="4"/>
        <v>54.924875128922324</v>
      </c>
      <c r="P55" s="144">
        <f t="shared" si="4"/>
        <v>54.869992880918623</v>
      </c>
      <c r="Q55" s="144">
        <f t="shared" si="4"/>
        <v>54.785214385321829</v>
      </c>
      <c r="R55" s="144">
        <f t="shared" si="4"/>
        <v>54.730674878131374</v>
      </c>
      <c r="S55" s="144">
        <f t="shared" si="4"/>
        <v>54.668368469858265</v>
      </c>
      <c r="T55" s="144">
        <f t="shared" si="4"/>
        <v>54.593282001769751</v>
      </c>
      <c r="U55" s="144">
        <f t="shared" si="4"/>
        <v>54.497171739106768</v>
      </c>
      <c r="V55" s="144">
        <f t="shared" si="4"/>
        <v>54.401962620422005</v>
      </c>
      <c r="W55" s="144">
        <f t="shared" si="4"/>
        <v>54.296003783367041</v>
      </c>
      <c r="X55" s="144">
        <f t="shared" si="4"/>
        <v>54.169247752840562</v>
      </c>
      <c r="Y55" s="144">
        <f t="shared" si="4"/>
        <v>54.038354551400289</v>
      </c>
      <c r="Z55" s="144">
        <f t="shared" si="4"/>
        <v>53.890083259716775</v>
      </c>
      <c r="AA55" s="144">
        <f t="shared" si="4"/>
        <v>53.721454412492207</v>
      </c>
      <c r="AB55" s="144">
        <f t="shared" si="4"/>
        <v>53.520014929580618</v>
      </c>
      <c r="AC55" s="144">
        <f t="shared" si="4"/>
        <v>53.30313673689426</v>
      </c>
      <c r="AD55" s="144">
        <f t="shared" si="4"/>
        <v>53.044757220026256</v>
      </c>
      <c r="AE55" s="144">
        <f t="shared" si="4"/>
        <v>52.777190825227407</v>
      </c>
      <c r="AF55" s="144">
        <f t="shared" si="4"/>
        <v>52.471440576795054</v>
      </c>
      <c r="AG55" s="4"/>
      <c r="AH55" s="4"/>
      <c r="AI55" s="4"/>
    </row>
    <row r="56" spans="1:35">
      <c r="A56" s="144" t="s">
        <v>853</v>
      </c>
      <c r="B56" s="144">
        <f t="shared" si="4"/>
        <v>26.236585997151597</v>
      </c>
      <c r="C56" s="144">
        <f t="shared" si="4"/>
        <v>27.067268144978996</v>
      </c>
      <c r="D56" s="144">
        <f t="shared" si="4"/>
        <v>27.624600135849665</v>
      </c>
      <c r="E56" s="144">
        <f t="shared" si="4"/>
        <v>27.945701319355816</v>
      </c>
      <c r="F56" s="144">
        <f t="shared" si="4"/>
        <v>28.148216544636224</v>
      </c>
      <c r="G56" s="144">
        <f t="shared" si="4"/>
        <v>28.418980148393533</v>
      </c>
      <c r="H56" s="144">
        <f t="shared" si="4"/>
        <v>28.55411959253825</v>
      </c>
      <c r="I56" s="144">
        <f t="shared" si="4"/>
        <v>28.554028754924364</v>
      </c>
      <c r="J56" s="144">
        <f t="shared" si="4"/>
        <v>28.545504143637547</v>
      </c>
      <c r="K56" s="144">
        <f t="shared" si="4"/>
        <v>28.533602475612263</v>
      </c>
      <c r="L56" s="144">
        <f t="shared" si="4"/>
        <v>28.563423668618782</v>
      </c>
      <c r="M56" s="144">
        <f t="shared" si="4"/>
        <v>28.565889427460082</v>
      </c>
      <c r="N56" s="144">
        <f t="shared" si="4"/>
        <v>28.54510104315974</v>
      </c>
      <c r="O56" s="144">
        <f t="shared" si="4"/>
        <v>28.528301087208369</v>
      </c>
      <c r="P56" s="144">
        <f t="shared" si="4"/>
        <v>28.520157871464338</v>
      </c>
      <c r="Q56" s="144">
        <f t="shared" si="4"/>
        <v>28.487055450359563</v>
      </c>
      <c r="R56" s="144">
        <f t="shared" si="4"/>
        <v>28.443963060972258</v>
      </c>
      <c r="S56" s="144">
        <f t="shared" si="4"/>
        <v>28.407975208409354</v>
      </c>
      <c r="T56" s="144">
        <f t="shared" si="4"/>
        <v>28.387355796462185</v>
      </c>
      <c r="U56" s="144">
        <f t="shared" si="4"/>
        <v>28.34967289782271</v>
      </c>
      <c r="V56" s="144">
        <f t="shared" si="4"/>
        <v>28.315963916953425</v>
      </c>
      <c r="W56" s="144">
        <f t="shared" si="4"/>
        <v>28.287465544408487</v>
      </c>
      <c r="X56" s="144">
        <f t="shared" si="4"/>
        <v>28.256860147121817</v>
      </c>
      <c r="Y56" s="144">
        <f t="shared" si="4"/>
        <v>28.223654167799623</v>
      </c>
      <c r="Z56" s="144">
        <f t="shared" si="4"/>
        <v>28.196536908506996</v>
      </c>
      <c r="AA56" s="144">
        <f t="shared" si="4"/>
        <v>28.172062301537217</v>
      </c>
      <c r="AB56" s="144">
        <f t="shared" si="4"/>
        <v>28.143404921921832</v>
      </c>
      <c r="AC56" s="144">
        <f t="shared" si="4"/>
        <v>28.112045540383214</v>
      </c>
      <c r="AD56" s="144">
        <f t="shared" si="4"/>
        <v>28.077936029799101</v>
      </c>
      <c r="AE56" s="144">
        <f t="shared" si="4"/>
        <v>28.045794210481322</v>
      </c>
      <c r="AF56" s="144">
        <f t="shared" si="4"/>
        <v>28.017636778893273</v>
      </c>
      <c r="AG56" s="4"/>
      <c r="AH56" s="4"/>
      <c r="AI56" s="4"/>
    </row>
    <row r="57" spans="1:35">
      <c r="A57" s="144" t="s">
        <v>854</v>
      </c>
      <c r="B57" s="144">
        <f t="shared" si="4"/>
        <v>42.415065685527267</v>
      </c>
      <c r="C57" s="144">
        <f t="shared" si="4"/>
        <v>42.272626641610366</v>
      </c>
      <c r="D57" s="144">
        <f t="shared" si="4"/>
        <v>42.193808985356775</v>
      </c>
      <c r="E57" s="144">
        <f t="shared" si="4"/>
        <v>42.167116434131238</v>
      </c>
      <c r="F57" s="144">
        <f t="shared" si="4"/>
        <v>42.209787125281842</v>
      </c>
      <c r="G57" s="144">
        <f t="shared" si="4"/>
        <v>42.237182222698955</v>
      </c>
      <c r="H57" s="144">
        <f t="shared" si="4"/>
        <v>42.330627641417557</v>
      </c>
      <c r="I57" s="144">
        <f t="shared" si="4"/>
        <v>42.242485252955007</v>
      </c>
      <c r="J57" s="144">
        <f t="shared" si="4"/>
        <v>42.19275118134653</v>
      </c>
      <c r="K57" s="144">
        <f t="shared" si="4"/>
        <v>42.125024654464006</v>
      </c>
      <c r="L57" s="144">
        <f t="shared" si="4"/>
        <v>42.075400549798061</v>
      </c>
      <c r="M57" s="144">
        <f t="shared" si="4"/>
        <v>42.009942609888512</v>
      </c>
      <c r="N57" s="144">
        <f t="shared" si="4"/>
        <v>41.943305354858495</v>
      </c>
      <c r="O57" s="144">
        <f t="shared" si="4"/>
        <v>41.880498607595499</v>
      </c>
      <c r="P57" s="144">
        <f t="shared" si="4"/>
        <v>41.831863823693098</v>
      </c>
      <c r="Q57" s="144">
        <f t="shared" si="4"/>
        <v>41.774670725248377</v>
      </c>
      <c r="R57" s="144">
        <f t="shared" si="4"/>
        <v>41.719603629881341</v>
      </c>
      <c r="S57" s="144">
        <f t="shared" si="4"/>
        <v>41.678160771847551</v>
      </c>
      <c r="T57" s="144">
        <f t="shared" si="4"/>
        <v>41.646309305493766</v>
      </c>
      <c r="U57" s="144">
        <f t="shared" si="4"/>
        <v>41.616786837097671</v>
      </c>
      <c r="V57" s="144">
        <f t="shared" si="4"/>
        <v>41.594938758237681</v>
      </c>
      <c r="W57" s="144">
        <f t="shared" si="4"/>
        <v>41.581306965685251</v>
      </c>
      <c r="X57" s="144">
        <f t="shared" si="4"/>
        <v>41.56964439198547</v>
      </c>
      <c r="Y57" s="144">
        <f t="shared" si="4"/>
        <v>41.562111166255065</v>
      </c>
      <c r="Z57" s="144">
        <f t="shared" si="4"/>
        <v>41.561046746226381</v>
      </c>
      <c r="AA57" s="144">
        <f t="shared" si="4"/>
        <v>41.56545975844287</v>
      </c>
      <c r="AB57" s="144">
        <f t="shared" si="4"/>
        <v>41.567265154880374</v>
      </c>
      <c r="AC57" s="144">
        <f t="shared" si="4"/>
        <v>41.567871484832423</v>
      </c>
      <c r="AD57" s="144">
        <f t="shared" si="4"/>
        <v>41.569473358861252</v>
      </c>
      <c r="AE57" s="144">
        <f t="shared" si="4"/>
        <v>41.572121941247467</v>
      </c>
      <c r="AF57" s="144">
        <f t="shared" si="4"/>
        <v>41.579028738497485</v>
      </c>
      <c r="AG57" s="4"/>
      <c r="AH57" s="4"/>
      <c r="AI57" s="4"/>
    </row>
    <row r="59" spans="1:35">
      <c r="A59" s="144" t="s">
        <v>3408</v>
      </c>
      <c r="B59" s="144">
        <f>SUMPRODUCT(B51:B57,B19:B25)/SUM(B19:B25)</f>
        <v>30.012645354709161</v>
      </c>
      <c r="C59" s="144">
        <f>SUMPRODUCT(C51:C57,C19:C25)/SUM(C19:C25)</f>
        <v>31.575582368384342</v>
      </c>
      <c r="D59" s="144">
        <f>SUMPRODUCT(D51:D57,D19:D25)/SUM(D19:D25)</f>
        <v>33.081077271121302</v>
      </c>
      <c r="E59" s="144">
        <f>SUMPRODUCT(E51:E57,E19:E25)/SUM(E19:E25)</f>
        <v>34.535885937768242</v>
      </c>
      <c r="F59" s="144">
        <f>E59</f>
        <v>34.535885937768242</v>
      </c>
      <c r="G59" s="144">
        <f t="shared" ref="G59:AF59" si="5">SUMPRODUCT(G51:G57,G19:G25)/SUM(G19:G25)</f>
        <v>36.786698842707899</v>
      </c>
      <c r="H59" s="144">
        <f t="shared" si="5"/>
        <v>40.657041607074738</v>
      </c>
      <c r="I59" s="144">
        <f t="shared" si="5"/>
        <v>41.166234870689244</v>
      </c>
      <c r="J59" s="144">
        <f t="shared" si="5"/>
        <v>42.319761316399827</v>
      </c>
      <c r="K59" s="144">
        <f t="shared" si="5"/>
        <v>43.364560995168333</v>
      </c>
      <c r="L59" s="144">
        <f t="shared" si="5"/>
        <v>44.527706062626912</v>
      </c>
      <c r="M59" s="144">
        <f t="shared" si="5"/>
        <v>45.429160513946613</v>
      </c>
      <c r="N59" s="144">
        <f t="shared" si="5"/>
        <v>46.189841545316469</v>
      </c>
      <c r="O59" s="144">
        <f t="shared" si="5"/>
        <v>46.928463281650885</v>
      </c>
      <c r="P59" s="144">
        <f t="shared" si="5"/>
        <v>47.583512964435954</v>
      </c>
      <c r="Q59" s="144">
        <f t="shared" si="5"/>
        <v>48.158917897201412</v>
      </c>
      <c r="R59" s="144">
        <f t="shared" si="5"/>
        <v>48.720634459436091</v>
      </c>
      <c r="S59" s="144">
        <f t="shared" si="5"/>
        <v>49.272773160232092</v>
      </c>
      <c r="T59" s="144">
        <f t="shared" si="5"/>
        <v>49.865369132217261</v>
      </c>
      <c r="U59" s="144">
        <f t="shared" si="5"/>
        <v>50.346289183875932</v>
      </c>
      <c r="V59" s="144">
        <f t="shared" si="5"/>
        <v>50.84952959063213</v>
      </c>
      <c r="W59" s="144">
        <f t="shared" si="5"/>
        <v>51.376449362466502</v>
      </c>
      <c r="X59" s="144">
        <f t="shared" si="5"/>
        <v>51.847541836531391</v>
      </c>
      <c r="Y59" s="144">
        <f t="shared" si="5"/>
        <v>52.355116350250363</v>
      </c>
      <c r="Z59" s="144">
        <f t="shared" si="5"/>
        <v>52.882166948757764</v>
      </c>
      <c r="AA59" s="144">
        <f t="shared" si="5"/>
        <v>53.361537108722089</v>
      </c>
      <c r="AB59" s="144">
        <f t="shared" si="5"/>
        <v>53.845378709798958</v>
      </c>
      <c r="AC59" s="144">
        <f t="shared" si="5"/>
        <v>54.358859205224455</v>
      </c>
      <c r="AD59" s="144">
        <f t="shared" si="5"/>
        <v>54.786294974756707</v>
      </c>
      <c r="AE59" s="144">
        <f t="shared" si="5"/>
        <v>55.227011983382702</v>
      </c>
      <c r="AF59" s="144">
        <f t="shared" si="5"/>
        <v>55.67336929022531</v>
      </c>
    </row>
    <row r="61" spans="1:35" ht="29">
      <c r="A61" s="140" t="s">
        <v>3409</v>
      </c>
      <c r="B61" s="144">
        <f>$F$61*'AEO 7'!C41/'AEO 7'!$G$41</f>
        <v>3.7068404566156505E-4</v>
      </c>
      <c r="C61" s="144">
        <f>$F$61*'AEO 7'!D41/'AEO 7'!$G$41</f>
        <v>3.8286968063361244E-4</v>
      </c>
      <c r="D61" s="144">
        <f>$F$61*'AEO 7'!E41/'AEO 7'!$G$41</f>
        <v>3.8999540362380768E-4</v>
      </c>
      <c r="E61" s="144">
        <f>$F$61*'AEO 7'!F41/'AEO 7'!$G$41</f>
        <v>3.9439145706872869E-4</v>
      </c>
      <c r="F61" s="144">
        <f>F53*$B$39/$B$42</f>
        <v>3.9758791642567675E-4</v>
      </c>
      <c r="G61" s="144">
        <f>G53*$B$39/$B$42</f>
        <v>4.1670440259151796E-4</v>
      </c>
      <c r="H61" s="144">
        <f t="shared" ref="F61:H61" si="6">H53*$B$39/$B$42</f>
        <v>4.5449874343080136E-4</v>
      </c>
      <c r="I61" s="144">
        <f>$H$61*'AEO 7'!J41/'AEO 7'!$I$41</f>
        <v>4.5571840174311271E-4</v>
      </c>
      <c r="J61" s="144">
        <f>$H$61*'AEO 7'!K41/'AEO 7'!$I$41</f>
        <v>4.5632492494806224E-4</v>
      </c>
      <c r="K61" s="144">
        <f>$H$61*'AEO 7'!L41/'AEO 7'!$I$41</f>
        <v>4.5682343934192723E-4</v>
      </c>
      <c r="L61" s="144">
        <f>$H$61*'AEO 7'!M41/'AEO 7'!$I$41</f>
        <v>4.5864796428233097E-4</v>
      </c>
      <c r="M61" s="144">
        <f>$H$61*'AEO 7'!N41/'AEO 7'!$I$41</f>
        <v>4.5942511490356416E-4</v>
      </c>
      <c r="N61" s="144">
        <f>$H$61*'AEO 7'!O41/'AEO 7'!$I$41</f>
        <v>4.6038567019040524E-4</v>
      </c>
      <c r="O61" s="144">
        <f>$H$61*'AEO 7'!P41/'AEO 7'!$I$41</f>
        <v>4.6137990440500237E-4</v>
      </c>
      <c r="P61" s="144">
        <f>$H$61*'AEO 7'!Q41/'AEO 7'!$I$41</f>
        <v>4.627584500454361E-4</v>
      </c>
      <c r="Q61" s="144">
        <f>$H$61*'AEO 7'!R41/'AEO 7'!$I$41</f>
        <v>4.6332164296180965E-4</v>
      </c>
      <c r="R61" s="144">
        <f>$H$61*'AEO 7'!S41/'AEO 7'!$I$41</f>
        <v>4.6388593065941057E-4</v>
      </c>
      <c r="S61" s="144">
        <f>$H$61*'AEO 7'!T41/'AEO 7'!$I$41</f>
        <v>4.6479081055883617E-4</v>
      </c>
      <c r="T61" s="144">
        <f>$H$61*'AEO 7'!U41/'AEO 7'!$I$41</f>
        <v>4.6598088096797761E-4</v>
      </c>
      <c r="U61" s="144">
        <f>$H$61*'AEO 7'!V41/'AEO 7'!$I$41</f>
        <v>4.6672534660756901E-4</v>
      </c>
      <c r="V61" s="144">
        <f>$H$61*'AEO 7'!W41/'AEO 7'!$I$41</f>
        <v>4.6768413007742366E-4</v>
      </c>
      <c r="W61" s="144">
        <f>$H$61*'AEO 7'!X41/'AEO 7'!$I$41</f>
        <v>4.6835837126328925E-4</v>
      </c>
      <c r="X61" s="144">
        <f>$H$61*'AEO 7'!Y41/'AEO 7'!$I$41</f>
        <v>4.6888408232764332E-4</v>
      </c>
      <c r="Y61" s="144">
        <f>$H$61*'AEO 7'!Z41/'AEO 7'!$I$41</f>
        <v>4.6949898925199146E-4</v>
      </c>
      <c r="Z61" s="144">
        <f>$H$61*'AEO 7'!AA41/'AEO 7'!$I$41</f>
        <v>4.7032072339820558E-4</v>
      </c>
      <c r="AA61" s="144">
        <f>$H$61*'AEO 7'!AB41/'AEO 7'!$I$41</f>
        <v>4.7135545011319722E-4</v>
      </c>
      <c r="AB61" s="144">
        <f>$H$61*'AEO 7'!AC41/'AEO 7'!$I$41</f>
        <v>4.7215508696463892E-4</v>
      </c>
      <c r="AC61" s="144">
        <f>$H$61*'AEO 7'!AD41/'AEO 7'!$I$41</f>
        <v>4.730119981602886E-4</v>
      </c>
      <c r="AD61" s="144">
        <f>$H$61*'AEO 7'!AE41/'AEO 7'!$I$41</f>
        <v>4.737905892831368E-4</v>
      </c>
      <c r="AE61" s="144">
        <f>$H$61*'AEO 7'!AF41/'AEO 7'!$I$41</f>
        <v>4.7491927991846777E-4</v>
      </c>
      <c r="AF61" s="144">
        <f>$H$61*'AEO 7'!AG41/'AEO 7'!$I$41</f>
        <v>4.7615242132589445E-4</v>
      </c>
    </row>
    <row r="62" spans="1:35">
      <c r="A62" s="144" t="s">
        <v>3410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K104"/>
  <sheetViews>
    <sheetView topLeftCell="A88" workbookViewId="0">
      <selection activeCell="E77" sqref="E77"/>
    </sheetView>
  </sheetViews>
  <sheetFormatPr defaultRowHeight="14.5"/>
  <cols>
    <col min="1" max="1" width="50.36328125" customWidth="1"/>
    <col min="2" max="2" width="20.08984375" bestFit="1" customWidth="1"/>
    <col min="3" max="3" width="11.7265625" bestFit="1" customWidth="1"/>
    <col min="4" max="4" width="21.26953125" customWidth="1"/>
    <col min="5" max="5" width="17.81640625" customWidth="1"/>
    <col min="6" max="33" width="11.7265625" bestFit="1" customWidth="1"/>
    <col min="34" max="36" width="10" bestFit="1" customWidth="1"/>
  </cols>
  <sheetData>
    <row r="1" spans="1:37">
      <c r="A1" s="2" t="s">
        <v>471</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7">
      <c r="B2">
        <f>'AEO 7'!C$1</f>
        <v>2020</v>
      </c>
      <c r="C2">
        <f>'AEO 7'!D$1</f>
        <v>2021</v>
      </c>
      <c r="D2">
        <f>'AEO 7'!E$1</f>
        <v>2022</v>
      </c>
      <c r="E2">
        <f>'AEO 7'!F$1</f>
        <v>2023</v>
      </c>
      <c r="F2">
        <f>'AEO 7'!G$1</f>
        <v>2024</v>
      </c>
      <c r="G2">
        <f>'AEO 7'!H$1</f>
        <v>2025</v>
      </c>
      <c r="H2">
        <f>'AEO 7'!I$1</f>
        <v>2026</v>
      </c>
      <c r="I2">
        <f>'AEO 7'!J$1</f>
        <v>2027</v>
      </c>
      <c r="J2">
        <f>'AEO 7'!K$1</f>
        <v>2028</v>
      </c>
      <c r="K2">
        <f>'AEO 7'!L$1</f>
        <v>2029</v>
      </c>
      <c r="L2">
        <f>'AEO 7'!M$1</f>
        <v>2030</v>
      </c>
      <c r="M2">
        <f>'AEO 7'!N$1</f>
        <v>2031</v>
      </c>
      <c r="N2">
        <f>'AEO 7'!O$1</f>
        <v>2032</v>
      </c>
      <c r="O2">
        <f>'AEO 7'!P$1</f>
        <v>2033</v>
      </c>
      <c r="P2">
        <f>'AEO 7'!Q$1</f>
        <v>2034</v>
      </c>
      <c r="Q2">
        <f>'AEO 7'!R$1</f>
        <v>2035</v>
      </c>
      <c r="R2">
        <f>'AEO 7'!S$1</f>
        <v>2036</v>
      </c>
      <c r="S2">
        <f>'AEO 7'!T$1</f>
        <v>2037</v>
      </c>
      <c r="T2">
        <f>'AEO 7'!U$1</f>
        <v>2038</v>
      </c>
      <c r="U2">
        <f>'AEO 7'!V$1</f>
        <v>2039</v>
      </c>
      <c r="V2">
        <f>'AEO 7'!W$1</f>
        <v>2040</v>
      </c>
      <c r="W2">
        <f>'AEO 7'!X$1</f>
        <v>2041</v>
      </c>
      <c r="X2">
        <f>'AEO 7'!Y$1</f>
        <v>2042</v>
      </c>
      <c r="Y2">
        <f>'AEO 7'!Z$1</f>
        <v>2043</v>
      </c>
      <c r="Z2">
        <f>'AEO 7'!AA$1</f>
        <v>2044</v>
      </c>
      <c r="AA2">
        <f>'AEO 7'!AB$1</f>
        <v>2045</v>
      </c>
      <c r="AB2">
        <f>'AEO 7'!AC$1</f>
        <v>2046</v>
      </c>
      <c r="AC2">
        <f>'AEO 7'!AD$1</f>
        <v>2047</v>
      </c>
      <c r="AD2">
        <f>'AEO 7'!AE$1</f>
        <v>2048</v>
      </c>
      <c r="AE2">
        <f>'AEO 7'!AF$1</f>
        <v>2049</v>
      </c>
      <c r="AF2">
        <f>'AEO 7'!AG$1</f>
        <v>2050</v>
      </c>
    </row>
    <row r="3" spans="1:37">
      <c r="A3" t="s">
        <v>469</v>
      </c>
      <c r="B3" s="64">
        <f>(INDEX('AEO 48'!$E$70:$AL$70,MATCH('Calculations Etc'!B$2,'AEO 48'!$E$1:$AL$1,0))-INDEX('AEO 48'!$E$178:$AL$178,MATCH('Calculations Etc'!B$2,'AEO 48'!$E$1:$AL$1,0)))/INDEX('AEO 48'!$E$70:$AL$70,MATCH('Calculations Etc'!B$2,'AEO 48'!$E$1:$AL$1,0))</f>
        <v>0.45646238062495437</v>
      </c>
      <c r="C3" s="64">
        <f>(INDEX('AEO 48'!$E$70:$AL$70,MATCH('Calculations Etc'!C$2,'AEO 48'!$E$1:$AL$1,0))-INDEX('AEO 48'!$E$178:$AL$178,MATCH('Calculations Etc'!C$2,'AEO 48'!$E$1:$AL$1,0)))/INDEX('AEO 48'!$E$70:$AL$70,MATCH('Calculations Etc'!C$2,'AEO 48'!$E$1:$AL$1,0))</f>
        <v>0.80451859019570515</v>
      </c>
      <c r="D3">
        <f>(INDEX('AEO 48'!$E$70:$AL$70,MATCH('Calculations Etc'!D$2,'AEO 48'!$E$1:$AL$1,0))-INDEX('AEO 48'!$E$178:$AL$178,MATCH('Calculations Etc'!D$2,'AEO 48'!$E$1:$AL$1,0)))/INDEX('AEO 48'!$E$70:$AL$70,MATCH('Calculations Etc'!D$2,'AEO 48'!$E$1:$AL$1,0))</f>
        <v>0.82350819166817801</v>
      </c>
      <c r="E3">
        <f>(INDEX('AEO 48'!$E$70:$AL$70,MATCH('Calculations Etc'!E$2,'AEO 48'!$E$1:$AL$1,0))-INDEX('AEO 48'!$E$178:$AL$178,MATCH('Calculations Etc'!E$2,'AEO 48'!$E$1:$AL$1,0)))/INDEX('AEO 48'!$E$70:$AL$70,MATCH('Calculations Etc'!E$2,'AEO 48'!$E$1:$AL$1,0))</f>
        <v>0.83051191176702843</v>
      </c>
      <c r="F3">
        <f>(INDEX('AEO 48'!$E$70:$AL$70,MATCH('Calculations Etc'!F$2,'AEO 48'!$E$1:$AL$1,0))-INDEX('AEO 48'!$E$178:$AL$178,MATCH('Calculations Etc'!F$2,'AEO 48'!$E$1:$AL$1,0)))/INDEX('AEO 48'!$E$70:$AL$70,MATCH('Calculations Etc'!F$2,'AEO 48'!$E$1:$AL$1,0))</f>
        <v>0.82964599858463339</v>
      </c>
      <c r="G3">
        <f>(INDEX('AEO 48'!$E$70:$AL$70,MATCH('Calculations Etc'!G$2,'AEO 48'!$E$1:$AL$1,0))-INDEX('AEO 48'!$E$178:$AL$178,MATCH('Calculations Etc'!G$2,'AEO 48'!$E$1:$AL$1,0)))/INDEX('AEO 48'!$E$70:$AL$70,MATCH('Calculations Etc'!G$2,'AEO 48'!$E$1:$AL$1,0))</f>
        <v>0.83066130200264388</v>
      </c>
      <c r="H3">
        <f>(INDEX('AEO 48'!$E$70:$AL$70,MATCH('Calculations Etc'!H$2,'AEO 48'!$E$1:$AL$1,0))-INDEX('AEO 48'!$E$178:$AL$178,MATCH('Calculations Etc'!H$2,'AEO 48'!$E$1:$AL$1,0)))/INDEX('AEO 48'!$E$70:$AL$70,MATCH('Calculations Etc'!H$2,'AEO 48'!$E$1:$AL$1,0))</f>
        <v>0.83024458343973562</v>
      </c>
      <c r="I3">
        <f>(INDEX('AEO 48'!$E$70:$AL$70,MATCH('Calculations Etc'!I$2,'AEO 48'!$E$1:$AL$1,0))-INDEX('AEO 48'!$E$178:$AL$178,MATCH('Calculations Etc'!I$2,'AEO 48'!$E$1:$AL$1,0)))/INDEX('AEO 48'!$E$70:$AL$70,MATCH('Calculations Etc'!I$2,'AEO 48'!$E$1:$AL$1,0))</f>
        <v>0.82717388968807581</v>
      </c>
      <c r="J3">
        <f>(INDEX('AEO 48'!$E$70:$AL$70,MATCH('Calculations Etc'!J$2,'AEO 48'!$E$1:$AL$1,0))-INDEX('AEO 48'!$E$178:$AL$178,MATCH('Calculations Etc'!J$2,'AEO 48'!$E$1:$AL$1,0)))/INDEX('AEO 48'!$E$70:$AL$70,MATCH('Calculations Etc'!J$2,'AEO 48'!$E$1:$AL$1,0))</f>
        <v>0.82558588600548399</v>
      </c>
      <c r="K3">
        <f>(INDEX('AEO 48'!$E$70:$AL$70,MATCH('Calculations Etc'!K$2,'AEO 48'!$E$1:$AL$1,0))-INDEX('AEO 48'!$E$178:$AL$178,MATCH('Calculations Etc'!K$2,'AEO 48'!$E$1:$AL$1,0)))/INDEX('AEO 48'!$E$70:$AL$70,MATCH('Calculations Etc'!K$2,'AEO 48'!$E$1:$AL$1,0))</f>
        <v>0.82280853108035013</v>
      </c>
      <c r="L3">
        <f>(INDEX('AEO 48'!$E$70:$AL$70,MATCH('Calculations Etc'!L$2,'AEO 48'!$E$1:$AL$1,0))-INDEX('AEO 48'!$E$178:$AL$178,MATCH('Calculations Etc'!L$2,'AEO 48'!$E$1:$AL$1,0)))/INDEX('AEO 48'!$E$70:$AL$70,MATCH('Calculations Etc'!L$2,'AEO 48'!$E$1:$AL$1,0))</f>
        <v>0.82068082397903597</v>
      </c>
      <c r="M3">
        <f>(INDEX('AEO 48'!$E$70:$AL$70,MATCH('Calculations Etc'!M$2,'AEO 48'!$E$1:$AL$1,0))-INDEX('AEO 48'!$E$178:$AL$178,MATCH('Calculations Etc'!M$2,'AEO 48'!$E$1:$AL$1,0)))/INDEX('AEO 48'!$E$70:$AL$70,MATCH('Calculations Etc'!M$2,'AEO 48'!$E$1:$AL$1,0))</f>
        <v>0.81877068858058866</v>
      </c>
      <c r="N3">
        <f>(INDEX('AEO 48'!$E$70:$AL$70,MATCH('Calculations Etc'!N$2,'AEO 48'!$E$1:$AL$1,0))-INDEX('AEO 48'!$E$178:$AL$178,MATCH('Calculations Etc'!N$2,'AEO 48'!$E$1:$AL$1,0)))/INDEX('AEO 48'!$E$70:$AL$70,MATCH('Calculations Etc'!N$2,'AEO 48'!$E$1:$AL$1,0))</f>
        <v>0.81724414176213445</v>
      </c>
      <c r="O3">
        <f>(INDEX('AEO 48'!$E$70:$AL$70,MATCH('Calculations Etc'!O$2,'AEO 48'!$E$1:$AL$1,0))-INDEX('AEO 48'!$E$178:$AL$178,MATCH('Calculations Etc'!O$2,'AEO 48'!$E$1:$AL$1,0)))/INDEX('AEO 48'!$E$70:$AL$70,MATCH('Calculations Etc'!O$2,'AEO 48'!$E$1:$AL$1,0))</f>
        <v>0.81577368537994743</v>
      </c>
      <c r="P3">
        <f>(INDEX('AEO 48'!$E$70:$AL$70,MATCH('Calculations Etc'!P$2,'AEO 48'!$E$1:$AL$1,0))-INDEX('AEO 48'!$E$178:$AL$178,MATCH('Calculations Etc'!P$2,'AEO 48'!$E$1:$AL$1,0)))/INDEX('AEO 48'!$E$70:$AL$70,MATCH('Calculations Etc'!P$2,'AEO 48'!$E$1:$AL$1,0))</f>
        <v>0.81453005123984989</v>
      </c>
      <c r="Q3">
        <f>(INDEX('AEO 48'!$E$70:$AL$70,MATCH('Calculations Etc'!Q$2,'AEO 48'!$E$1:$AL$1,0))-INDEX('AEO 48'!$E$178:$AL$178,MATCH('Calculations Etc'!Q$2,'AEO 48'!$E$1:$AL$1,0)))/INDEX('AEO 48'!$E$70:$AL$70,MATCH('Calculations Etc'!Q$2,'AEO 48'!$E$1:$AL$1,0))</f>
        <v>0.81347784679670865</v>
      </c>
      <c r="R3">
        <f>(INDEX('AEO 48'!$E$70:$AL$70,MATCH('Calculations Etc'!R$2,'AEO 48'!$E$1:$AL$1,0))-INDEX('AEO 48'!$E$178:$AL$178,MATCH('Calculations Etc'!R$2,'AEO 48'!$E$1:$AL$1,0)))/INDEX('AEO 48'!$E$70:$AL$70,MATCH('Calculations Etc'!R$2,'AEO 48'!$E$1:$AL$1,0))</f>
        <v>0.81226134880511536</v>
      </c>
      <c r="S3">
        <f>(INDEX('AEO 48'!$E$70:$AL$70,MATCH('Calculations Etc'!S$2,'AEO 48'!$E$1:$AL$1,0))-INDEX('AEO 48'!$E$178:$AL$178,MATCH('Calculations Etc'!S$2,'AEO 48'!$E$1:$AL$1,0)))/INDEX('AEO 48'!$E$70:$AL$70,MATCH('Calculations Etc'!S$2,'AEO 48'!$E$1:$AL$1,0))</f>
        <v>0.81089861828833454</v>
      </c>
      <c r="T3">
        <f>(INDEX('AEO 48'!$E$70:$AL$70,MATCH('Calculations Etc'!T$2,'AEO 48'!$E$1:$AL$1,0))-INDEX('AEO 48'!$E$178:$AL$178,MATCH('Calculations Etc'!T$2,'AEO 48'!$E$1:$AL$1,0)))/INDEX('AEO 48'!$E$70:$AL$70,MATCH('Calculations Etc'!T$2,'AEO 48'!$E$1:$AL$1,0))</f>
        <v>0.80960928872549065</v>
      </c>
      <c r="U3">
        <f>(INDEX('AEO 48'!$E$70:$AL$70,MATCH('Calculations Etc'!U$2,'AEO 48'!$E$1:$AL$1,0))-INDEX('AEO 48'!$E$178:$AL$178,MATCH('Calculations Etc'!U$2,'AEO 48'!$E$1:$AL$1,0)))/INDEX('AEO 48'!$E$70:$AL$70,MATCH('Calculations Etc'!U$2,'AEO 48'!$E$1:$AL$1,0))</f>
        <v>0.80854339979797762</v>
      </c>
      <c r="V3">
        <f>(INDEX('AEO 48'!$E$70:$AL$70,MATCH('Calculations Etc'!V$2,'AEO 48'!$E$1:$AL$1,0))-INDEX('AEO 48'!$E$178:$AL$178,MATCH('Calculations Etc'!V$2,'AEO 48'!$E$1:$AL$1,0)))/INDEX('AEO 48'!$E$70:$AL$70,MATCH('Calculations Etc'!V$2,'AEO 48'!$E$1:$AL$1,0))</f>
        <v>0.80769921912658138</v>
      </c>
      <c r="W3">
        <f>(INDEX('AEO 48'!$E$70:$AL$70,MATCH('Calculations Etc'!W$2,'AEO 48'!$E$1:$AL$1,0))-INDEX('AEO 48'!$E$178:$AL$178,MATCH('Calculations Etc'!W$2,'AEO 48'!$E$1:$AL$1,0)))/INDEX('AEO 48'!$E$70:$AL$70,MATCH('Calculations Etc'!W$2,'AEO 48'!$E$1:$AL$1,0))</f>
        <v>0.80683145066899897</v>
      </c>
      <c r="X3">
        <f>(INDEX('AEO 48'!$E$70:$AL$70,MATCH('Calculations Etc'!X$2,'AEO 48'!$E$1:$AL$1,0))-INDEX('AEO 48'!$E$178:$AL$178,MATCH('Calculations Etc'!X$2,'AEO 48'!$E$1:$AL$1,0)))/INDEX('AEO 48'!$E$70:$AL$70,MATCH('Calculations Etc'!X$2,'AEO 48'!$E$1:$AL$1,0))</f>
        <v>0.80595770656789423</v>
      </c>
      <c r="Y3">
        <f>(INDEX('AEO 48'!$E$70:$AL$70,MATCH('Calculations Etc'!Y$2,'AEO 48'!$E$1:$AL$1,0))-INDEX('AEO 48'!$E$178:$AL$178,MATCH('Calculations Etc'!Y$2,'AEO 48'!$E$1:$AL$1,0)))/INDEX('AEO 48'!$E$70:$AL$70,MATCH('Calculations Etc'!Y$2,'AEO 48'!$E$1:$AL$1,0))</f>
        <v>0.80506417041865486</v>
      </c>
      <c r="Z3">
        <f>(INDEX('AEO 48'!$E$70:$AL$70,MATCH('Calculations Etc'!Z$2,'AEO 48'!$E$1:$AL$1,0))-INDEX('AEO 48'!$E$178:$AL$178,MATCH('Calculations Etc'!Z$2,'AEO 48'!$E$1:$AL$1,0)))/INDEX('AEO 48'!$E$70:$AL$70,MATCH('Calculations Etc'!Z$2,'AEO 48'!$E$1:$AL$1,0))</f>
        <v>0.80411986046228401</v>
      </c>
      <c r="AA3">
        <f>(INDEX('AEO 48'!$E$70:$AL$70,MATCH('Calculations Etc'!AA$2,'AEO 48'!$E$1:$AL$1,0))-INDEX('AEO 48'!$E$178:$AL$178,MATCH('Calculations Etc'!AA$2,'AEO 48'!$E$1:$AL$1,0)))/INDEX('AEO 48'!$E$70:$AL$70,MATCH('Calculations Etc'!AA$2,'AEO 48'!$E$1:$AL$1,0))</f>
        <v>0.80330423223188197</v>
      </c>
      <c r="AB3">
        <f>(INDEX('AEO 48'!$E$70:$AL$70,MATCH('Calculations Etc'!AB$2,'AEO 48'!$E$1:$AL$1,0))-INDEX('AEO 48'!$E$178:$AL$178,MATCH('Calculations Etc'!AB$2,'AEO 48'!$E$1:$AL$1,0)))/INDEX('AEO 48'!$E$70:$AL$70,MATCH('Calculations Etc'!AB$2,'AEO 48'!$E$1:$AL$1,0))</f>
        <v>0.80236267284546015</v>
      </c>
      <c r="AC3">
        <f>(INDEX('AEO 48'!$E$70:$AL$70,MATCH('Calculations Etc'!AC$2,'AEO 48'!$E$1:$AL$1,0))-INDEX('AEO 48'!$E$178:$AL$178,MATCH('Calculations Etc'!AC$2,'AEO 48'!$E$1:$AL$1,0)))/INDEX('AEO 48'!$E$70:$AL$70,MATCH('Calculations Etc'!AC$2,'AEO 48'!$E$1:$AL$1,0))</f>
        <v>0.80128033440027124</v>
      </c>
      <c r="AD3">
        <f>(INDEX('AEO 48'!$E$70:$AL$70,MATCH('Calculations Etc'!AD$2,'AEO 48'!$E$1:$AL$1,0))-INDEX('AEO 48'!$E$178:$AL$178,MATCH('Calculations Etc'!AD$2,'AEO 48'!$E$1:$AL$1,0)))/INDEX('AEO 48'!$E$70:$AL$70,MATCH('Calculations Etc'!AD$2,'AEO 48'!$E$1:$AL$1,0))</f>
        <v>0.80042119195248607</v>
      </c>
      <c r="AE3">
        <f>(INDEX('AEO 48'!$E$70:$AL$70,MATCH('Calculations Etc'!AE$2,'AEO 48'!$E$1:$AL$1,0))-INDEX('AEO 48'!$E$178:$AL$178,MATCH('Calculations Etc'!AE$2,'AEO 48'!$E$1:$AL$1,0)))/INDEX('AEO 48'!$E$70:$AL$70,MATCH('Calculations Etc'!AE$2,'AEO 48'!$E$1:$AL$1,0))</f>
        <v>0.79956023935946874</v>
      </c>
      <c r="AF3">
        <f>(INDEX('AEO 48'!$E$70:$AL$70,MATCH('Calculations Etc'!AF$2,'AEO 48'!$E$1:$AL$1,0))-INDEX('AEO 48'!$E$178:$AL$178,MATCH('Calculations Etc'!AF$2,'AEO 48'!$E$1:$AL$1,0)))/INDEX('AEO 48'!$E$70:$AL$70,MATCH('Calculations Etc'!AF$2,'AEO 48'!$E$1:$AL$1,0))</f>
        <v>0.79872579413914413</v>
      </c>
    </row>
    <row r="4" spans="1:37">
      <c r="A4" t="s">
        <v>470</v>
      </c>
      <c r="B4" s="121">
        <f>INDEX('AEO 48'!$178:$178,MATCH(B$2,'AEO 48'!$1:$1,0))/INDEX('AEO 48'!$70:$70,MATCH(B$2,'AEO 48'!$1:$1,0))</f>
        <v>0.54353761937504563</v>
      </c>
      <c r="C4" s="121">
        <f>INDEX('AEO 48'!$178:$178,MATCH(C$2,'AEO 48'!$1:$1,0))/INDEX('AEO 48'!$70:$70,MATCH(C$2,'AEO 48'!$1:$1,0))</f>
        <v>0.19548140980429482</v>
      </c>
      <c r="D4" s="8">
        <f>INDEX('AEO 48'!$178:$178,MATCH(D$2,'AEO 48'!$1:$1,0))/INDEX('AEO 48'!$70:$70,MATCH(D$2,'AEO 48'!$1:$1,0))</f>
        <v>0.17649180833182201</v>
      </c>
      <c r="E4" s="8">
        <f>INDEX('AEO 48'!$178:$178,MATCH(E$2,'AEO 48'!$1:$1,0))/INDEX('AEO 48'!$70:$70,MATCH(E$2,'AEO 48'!$1:$1,0))</f>
        <v>0.16948808823297154</v>
      </c>
      <c r="F4" s="8">
        <f>INDEX('AEO 48'!$178:$178,MATCH(F$2,'AEO 48'!$1:$1,0))/INDEX('AEO 48'!$70:$70,MATCH(F$2,'AEO 48'!$1:$1,0))</f>
        <v>0.17035400141536666</v>
      </c>
      <c r="G4" s="8">
        <f>INDEX('AEO 48'!$178:$178,MATCH(G$2,'AEO 48'!$1:$1,0))/INDEX('AEO 48'!$70:$70,MATCH(G$2,'AEO 48'!$1:$1,0))</f>
        <v>0.16933869799735615</v>
      </c>
      <c r="H4" s="8">
        <f>INDEX('AEO 48'!$178:$178,MATCH(H$2,'AEO 48'!$1:$1,0))/INDEX('AEO 48'!$70:$70,MATCH(H$2,'AEO 48'!$1:$1,0))</f>
        <v>0.16975541656026447</v>
      </c>
      <c r="I4" s="8">
        <f>INDEX('AEO 48'!$178:$178,MATCH(I$2,'AEO 48'!$1:$1,0))/INDEX('AEO 48'!$70:$70,MATCH(I$2,'AEO 48'!$1:$1,0))</f>
        <v>0.17282611031192421</v>
      </c>
      <c r="J4" s="8">
        <f>INDEX('AEO 48'!$178:$178,MATCH(J$2,'AEO 48'!$1:$1,0))/INDEX('AEO 48'!$70:$70,MATCH(J$2,'AEO 48'!$1:$1,0))</f>
        <v>0.17441411399451595</v>
      </c>
      <c r="K4" s="8">
        <f>INDEX('AEO 48'!$178:$178,MATCH(K$2,'AEO 48'!$1:$1,0))/INDEX('AEO 48'!$70:$70,MATCH(K$2,'AEO 48'!$1:$1,0))</f>
        <v>0.17719146891964979</v>
      </c>
      <c r="L4" s="8">
        <f>INDEX('AEO 48'!$178:$178,MATCH(L$2,'AEO 48'!$1:$1,0))/INDEX('AEO 48'!$70:$70,MATCH(L$2,'AEO 48'!$1:$1,0))</f>
        <v>0.17931917602096412</v>
      </c>
      <c r="M4" s="8">
        <f>INDEX('AEO 48'!$178:$178,MATCH(M$2,'AEO 48'!$1:$1,0))/INDEX('AEO 48'!$70:$70,MATCH(M$2,'AEO 48'!$1:$1,0))</f>
        <v>0.18122931141941132</v>
      </c>
      <c r="N4" s="8">
        <f>INDEX('AEO 48'!$178:$178,MATCH(N$2,'AEO 48'!$1:$1,0))/INDEX('AEO 48'!$70:$70,MATCH(N$2,'AEO 48'!$1:$1,0))</f>
        <v>0.18275585823786555</v>
      </c>
      <c r="O4" s="8">
        <f>INDEX('AEO 48'!$178:$178,MATCH(O$2,'AEO 48'!$1:$1,0))/INDEX('AEO 48'!$70:$70,MATCH(O$2,'AEO 48'!$1:$1,0))</f>
        <v>0.18422631462005259</v>
      </c>
      <c r="P4" s="8">
        <f>INDEX('AEO 48'!$178:$178,MATCH(P$2,'AEO 48'!$1:$1,0))/INDEX('AEO 48'!$70:$70,MATCH(P$2,'AEO 48'!$1:$1,0))</f>
        <v>0.18546994876015016</v>
      </c>
      <c r="Q4" s="8">
        <f>INDEX('AEO 48'!$178:$178,MATCH(Q$2,'AEO 48'!$1:$1,0))/INDEX('AEO 48'!$70:$70,MATCH(Q$2,'AEO 48'!$1:$1,0))</f>
        <v>0.1865221532032913</v>
      </c>
      <c r="R4" s="8">
        <f>INDEX('AEO 48'!$178:$178,MATCH(R$2,'AEO 48'!$1:$1,0))/INDEX('AEO 48'!$70:$70,MATCH(R$2,'AEO 48'!$1:$1,0))</f>
        <v>0.18773865119488459</v>
      </c>
      <c r="S4" s="8">
        <f>INDEX('AEO 48'!$178:$178,MATCH(S$2,'AEO 48'!$1:$1,0))/INDEX('AEO 48'!$70:$70,MATCH(S$2,'AEO 48'!$1:$1,0))</f>
        <v>0.18910138171166541</v>
      </c>
      <c r="T4" s="8">
        <f>INDEX('AEO 48'!$178:$178,MATCH(T$2,'AEO 48'!$1:$1,0))/INDEX('AEO 48'!$70:$70,MATCH(T$2,'AEO 48'!$1:$1,0))</f>
        <v>0.19039071127450938</v>
      </c>
      <c r="U4" s="8">
        <f>INDEX('AEO 48'!$178:$178,MATCH(U$2,'AEO 48'!$1:$1,0))/INDEX('AEO 48'!$70:$70,MATCH(U$2,'AEO 48'!$1:$1,0))</f>
        <v>0.19145660020202246</v>
      </c>
      <c r="V4" s="8">
        <f>INDEX('AEO 48'!$178:$178,MATCH(V$2,'AEO 48'!$1:$1,0))/INDEX('AEO 48'!$70:$70,MATCH(V$2,'AEO 48'!$1:$1,0))</f>
        <v>0.19230078087341868</v>
      </c>
      <c r="W4" s="8">
        <f>INDEX('AEO 48'!$178:$178,MATCH(W$2,'AEO 48'!$1:$1,0))/INDEX('AEO 48'!$70:$70,MATCH(W$2,'AEO 48'!$1:$1,0))</f>
        <v>0.19316854933100105</v>
      </c>
      <c r="X4" s="8">
        <f>INDEX('AEO 48'!$178:$178,MATCH(X$2,'AEO 48'!$1:$1,0))/INDEX('AEO 48'!$70:$70,MATCH(X$2,'AEO 48'!$1:$1,0))</f>
        <v>0.19404229343210577</v>
      </c>
      <c r="Y4" s="8">
        <f>INDEX('AEO 48'!$178:$178,MATCH(Y$2,'AEO 48'!$1:$1,0))/INDEX('AEO 48'!$70:$70,MATCH(Y$2,'AEO 48'!$1:$1,0))</f>
        <v>0.19493582958134512</v>
      </c>
      <c r="Z4" s="8">
        <f>INDEX('AEO 48'!$178:$178,MATCH(Z$2,'AEO 48'!$1:$1,0))/INDEX('AEO 48'!$70:$70,MATCH(Z$2,'AEO 48'!$1:$1,0))</f>
        <v>0.19588013953771591</v>
      </c>
      <c r="AA4" s="8">
        <f>INDEX('AEO 48'!$178:$178,MATCH(AA$2,'AEO 48'!$1:$1,0))/INDEX('AEO 48'!$70:$70,MATCH(AA$2,'AEO 48'!$1:$1,0))</f>
        <v>0.19669576776811792</v>
      </c>
      <c r="AB4" s="8">
        <f>INDEX('AEO 48'!$178:$178,MATCH(AB$2,'AEO 48'!$1:$1,0))/INDEX('AEO 48'!$70:$70,MATCH(AB$2,'AEO 48'!$1:$1,0))</f>
        <v>0.19763732715453985</v>
      </c>
      <c r="AC4" s="8">
        <f>INDEX('AEO 48'!$178:$178,MATCH(AC$2,'AEO 48'!$1:$1,0))/INDEX('AEO 48'!$70:$70,MATCH(AC$2,'AEO 48'!$1:$1,0))</f>
        <v>0.19871966559972876</v>
      </c>
      <c r="AD4" s="8">
        <f>INDEX('AEO 48'!$178:$178,MATCH(AD$2,'AEO 48'!$1:$1,0))/INDEX('AEO 48'!$70:$70,MATCH(AD$2,'AEO 48'!$1:$1,0))</f>
        <v>0.19957880804751388</v>
      </c>
      <c r="AE4" s="8">
        <f>INDEX('AEO 48'!$178:$178,MATCH(AE$2,'AEO 48'!$1:$1,0))/INDEX('AEO 48'!$70:$70,MATCH(AE$2,'AEO 48'!$1:$1,0))</f>
        <v>0.20043976064053126</v>
      </c>
      <c r="AF4" s="8">
        <f>INDEX('AEO 48'!$178:$178,MATCH(AF$2,'AEO 48'!$1:$1,0))/INDEX('AEO 48'!$70:$70,MATCH(AF$2,'AEO 48'!$1:$1,0))</f>
        <v>0.20127420586085587</v>
      </c>
    </row>
    <row r="5" spans="1:37">
      <c r="B5">
        <f>SUM(B3:B4)</f>
        <v>1</v>
      </c>
      <c r="C5">
        <f t="shared" ref="C5:AF5" si="0">SUM(C3:C4)</f>
        <v>1</v>
      </c>
      <c r="D5">
        <f t="shared" si="0"/>
        <v>1</v>
      </c>
      <c r="E5">
        <f t="shared" si="0"/>
        <v>1</v>
      </c>
      <c r="F5">
        <f t="shared" si="0"/>
        <v>1</v>
      </c>
      <c r="G5">
        <f t="shared" si="0"/>
        <v>1</v>
      </c>
      <c r="H5">
        <f t="shared" si="0"/>
        <v>1</v>
      </c>
      <c r="I5">
        <f t="shared" si="0"/>
        <v>1</v>
      </c>
      <c r="J5">
        <f t="shared" si="0"/>
        <v>1</v>
      </c>
      <c r="K5">
        <f t="shared" si="0"/>
        <v>0.99999999999999989</v>
      </c>
      <c r="L5">
        <f t="shared" si="0"/>
        <v>1</v>
      </c>
      <c r="M5">
        <f t="shared" si="0"/>
        <v>1</v>
      </c>
      <c r="N5">
        <f t="shared" si="0"/>
        <v>1</v>
      </c>
      <c r="O5">
        <f t="shared" si="0"/>
        <v>1</v>
      </c>
      <c r="P5">
        <f t="shared" si="0"/>
        <v>1</v>
      </c>
      <c r="Q5">
        <f t="shared" si="0"/>
        <v>1</v>
      </c>
      <c r="R5">
        <f t="shared" si="0"/>
        <v>1</v>
      </c>
      <c r="S5">
        <f t="shared" si="0"/>
        <v>1</v>
      </c>
      <c r="T5">
        <f t="shared" si="0"/>
        <v>1</v>
      </c>
      <c r="U5">
        <f t="shared" si="0"/>
        <v>1</v>
      </c>
      <c r="V5">
        <f t="shared" si="0"/>
        <v>1</v>
      </c>
      <c r="W5">
        <f t="shared" si="0"/>
        <v>1</v>
      </c>
      <c r="X5">
        <f t="shared" si="0"/>
        <v>1</v>
      </c>
      <c r="Y5">
        <f t="shared" si="0"/>
        <v>1</v>
      </c>
      <c r="Z5">
        <f t="shared" si="0"/>
        <v>0.99999999999999989</v>
      </c>
      <c r="AA5">
        <f t="shared" si="0"/>
        <v>0.99999999999999989</v>
      </c>
      <c r="AB5">
        <f t="shared" si="0"/>
        <v>1</v>
      </c>
      <c r="AC5">
        <f t="shared" si="0"/>
        <v>1</v>
      </c>
      <c r="AD5">
        <f t="shared" si="0"/>
        <v>1</v>
      </c>
      <c r="AE5">
        <f t="shared" si="0"/>
        <v>1</v>
      </c>
      <c r="AF5">
        <f t="shared" si="0"/>
        <v>1</v>
      </c>
    </row>
    <row r="6" spans="1:37">
      <c r="A6" s="2" t="s">
        <v>476</v>
      </c>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row>
    <row r="7" spans="1:37">
      <c r="B7">
        <f>B2</f>
        <v>2020</v>
      </c>
      <c r="C7">
        <f t="shared" ref="C7:AF7" si="1">C2</f>
        <v>2021</v>
      </c>
      <c r="D7">
        <f t="shared" si="1"/>
        <v>2022</v>
      </c>
      <c r="E7">
        <f t="shared" si="1"/>
        <v>2023</v>
      </c>
      <c r="F7">
        <f t="shared" si="1"/>
        <v>2024</v>
      </c>
      <c r="G7">
        <f t="shared" si="1"/>
        <v>2025</v>
      </c>
      <c r="H7">
        <f t="shared" si="1"/>
        <v>2026</v>
      </c>
      <c r="I7">
        <f t="shared" si="1"/>
        <v>2027</v>
      </c>
      <c r="J7">
        <f t="shared" si="1"/>
        <v>2028</v>
      </c>
      <c r="K7">
        <f t="shared" si="1"/>
        <v>2029</v>
      </c>
      <c r="L7">
        <f t="shared" si="1"/>
        <v>2030</v>
      </c>
      <c r="M7">
        <f t="shared" si="1"/>
        <v>2031</v>
      </c>
      <c r="N7">
        <f t="shared" si="1"/>
        <v>2032</v>
      </c>
      <c r="O7">
        <f t="shared" si="1"/>
        <v>2033</v>
      </c>
      <c r="P7">
        <f t="shared" si="1"/>
        <v>2034</v>
      </c>
      <c r="Q7">
        <f t="shared" si="1"/>
        <v>2035</v>
      </c>
      <c r="R7">
        <f t="shared" si="1"/>
        <v>2036</v>
      </c>
      <c r="S7">
        <f t="shared" si="1"/>
        <v>2037</v>
      </c>
      <c r="T7">
        <f t="shared" si="1"/>
        <v>2038</v>
      </c>
      <c r="U7">
        <f t="shared" si="1"/>
        <v>2039</v>
      </c>
      <c r="V7">
        <f t="shared" si="1"/>
        <v>2040</v>
      </c>
      <c r="W7">
        <f t="shared" si="1"/>
        <v>2041</v>
      </c>
      <c r="X7">
        <f t="shared" si="1"/>
        <v>2042</v>
      </c>
      <c r="Y7">
        <f t="shared" si="1"/>
        <v>2043</v>
      </c>
      <c r="Z7">
        <f t="shared" si="1"/>
        <v>2044</v>
      </c>
      <c r="AA7">
        <f t="shared" si="1"/>
        <v>2045</v>
      </c>
      <c r="AB7">
        <f t="shared" si="1"/>
        <v>2046</v>
      </c>
      <c r="AC7">
        <f t="shared" si="1"/>
        <v>2047</v>
      </c>
      <c r="AD7">
        <f t="shared" si="1"/>
        <v>2048</v>
      </c>
      <c r="AE7">
        <f t="shared" si="1"/>
        <v>2049</v>
      </c>
      <c r="AF7">
        <f t="shared" si="1"/>
        <v>2050</v>
      </c>
    </row>
    <row r="8" spans="1:37">
      <c r="A8" t="s">
        <v>472</v>
      </c>
      <c r="B8" s="42">
        <f>INDEX('AEO 47'!$E$170:$AL$170,MATCH('Calculations Etc'!B$2,'AEO 47'!$E$1:$AL$1,0))/INDEX('AEO 47'!$E$175:$AL$175,MATCH('Calculations Etc'!B$2,'AEO 47'!$E$1:$AL$1,0))</f>
        <v>1.0267589376257868</v>
      </c>
      <c r="C8">
        <f>INDEX('AEO 47'!$E$170:$AL$170,MATCH('Calculations Etc'!C$2,'AEO 47'!$E$1:$AL$1,0))/INDEX('AEO 47'!$E$175:$AL$175,MATCH('Calculations Etc'!C$2,'AEO 47'!$E$1:$AL$1,0))</f>
        <v>1.0566226518577373</v>
      </c>
      <c r="D8">
        <f>INDEX('AEO 47'!$E$170:$AL$170,MATCH('Calculations Etc'!D$2,'AEO 47'!$E$1:$AL$1,0))/INDEX('AEO 47'!$E$175:$AL$175,MATCH('Calculations Etc'!D$2,'AEO 47'!$E$1:$AL$1,0))</f>
        <v>1.0726760422544461</v>
      </c>
      <c r="E8">
        <f>INDEX('AEO 47'!$E$170:$AL$170,MATCH('Calculations Etc'!E$2,'AEO 47'!$E$1:$AL$1,0))/INDEX('AEO 47'!$E$175:$AL$175,MATCH('Calculations Etc'!E$2,'AEO 47'!$E$1:$AL$1,0))</f>
        <v>1.080032575194942</v>
      </c>
      <c r="F8">
        <f>INDEX('AEO 47'!$E$170:$AL$170,MATCH('Calculations Etc'!F$2,'AEO 47'!$E$1:$AL$1,0))/INDEX('AEO 47'!$E$175:$AL$175,MATCH('Calculations Etc'!F$2,'AEO 47'!$E$1:$AL$1,0))</f>
        <v>1.0807966841291061</v>
      </c>
      <c r="G8">
        <f>INDEX('AEO 47'!$E$170:$AL$170,MATCH('Calculations Etc'!G$2,'AEO 47'!$E$1:$AL$1,0))/INDEX('AEO 47'!$E$175:$AL$175,MATCH('Calculations Etc'!G$2,'AEO 47'!$E$1:$AL$1,0))</f>
        <v>1.0803786226963543</v>
      </c>
      <c r="H8">
        <f>INDEX('AEO 47'!$E$170:$AL$170,MATCH('Calculations Etc'!H$2,'AEO 47'!$E$1:$AL$1,0))/INDEX('AEO 47'!$E$175:$AL$175,MATCH('Calculations Etc'!H$2,'AEO 47'!$E$1:$AL$1,0))</f>
        <v>1.0801477744476284</v>
      </c>
      <c r="I8">
        <f>INDEX('AEO 47'!$E$170:$AL$170,MATCH('Calculations Etc'!I$2,'AEO 47'!$E$1:$AL$1,0))/INDEX('AEO 47'!$E$175:$AL$175,MATCH('Calculations Etc'!I$2,'AEO 47'!$E$1:$AL$1,0))</f>
        <v>1.0801863726728571</v>
      </c>
      <c r="J8">
        <f>INDEX('AEO 47'!$E$170:$AL$170,MATCH('Calculations Etc'!J$2,'AEO 47'!$E$1:$AL$1,0))/INDEX('AEO 47'!$E$175:$AL$175,MATCH('Calculations Etc'!J$2,'AEO 47'!$E$1:$AL$1,0))</f>
        <v>1.0801703043350759</v>
      </c>
      <c r="K8">
        <f>INDEX('AEO 47'!$E$170:$AL$170,MATCH('Calculations Etc'!K$2,'AEO 47'!$E$1:$AL$1,0))/INDEX('AEO 47'!$E$175:$AL$175,MATCH('Calculations Etc'!K$2,'AEO 47'!$E$1:$AL$1,0))</f>
        <v>1.0803006689634698</v>
      </c>
      <c r="L8">
        <f>INDEX('AEO 47'!$E$170:$AL$170,MATCH('Calculations Etc'!L$2,'AEO 47'!$E$1:$AL$1,0))/INDEX('AEO 47'!$E$175:$AL$175,MATCH('Calculations Etc'!L$2,'AEO 47'!$E$1:$AL$1,0))</f>
        <v>1.0800974058005088</v>
      </c>
      <c r="M8">
        <f>INDEX('AEO 47'!$E$170:$AL$170,MATCH('Calculations Etc'!M$2,'AEO 47'!$E$1:$AL$1,0))/INDEX('AEO 47'!$E$175:$AL$175,MATCH('Calculations Etc'!M$2,'AEO 47'!$E$1:$AL$1,0))</f>
        <v>1.0796479552201315</v>
      </c>
      <c r="N8">
        <f>INDEX('AEO 47'!$E$170:$AL$170,MATCH('Calculations Etc'!N$2,'AEO 47'!$E$1:$AL$1,0))/INDEX('AEO 47'!$E$175:$AL$175,MATCH('Calculations Etc'!N$2,'AEO 47'!$E$1:$AL$1,0))</f>
        <v>1.0788233839061232</v>
      </c>
      <c r="O8">
        <f>INDEX('AEO 47'!$E$170:$AL$170,MATCH('Calculations Etc'!O$2,'AEO 47'!$E$1:$AL$1,0))/INDEX('AEO 47'!$E$175:$AL$175,MATCH('Calculations Etc'!O$2,'AEO 47'!$E$1:$AL$1,0))</f>
        <v>1.0776572777055966</v>
      </c>
      <c r="P8">
        <f>INDEX('AEO 47'!$E$170:$AL$170,MATCH('Calculations Etc'!P$2,'AEO 47'!$E$1:$AL$1,0))/INDEX('AEO 47'!$E$175:$AL$175,MATCH('Calculations Etc'!P$2,'AEO 47'!$E$1:$AL$1,0))</f>
        <v>1.076380949111378</v>
      </c>
      <c r="Q8">
        <f>INDEX('AEO 47'!$E$170:$AL$170,MATCH('Calculations Etc'!Q$2,'AEO 47'!$E$1:$AL$1,0))/INDEX('AEO 47'!$E$175:$AL$175,MATCH('Calculations Etc'!Q$2,'AEO 47'!$E$1:$AL$1,0))</f>
        <v>1.0748618309569336</v>
      </c>
      <c r="R8">
        <f>INDEX('AEO 47'!$E$170:$AL$170,MATCH('Calculations Etc'!R$2,'AEO 47'!$E$1:$AL$1,0))/INDEX('AEO 47'!$E$175:$AL$175,MATCH('Calculations Etc'!R$2,'AEO 47'!$E$1:$AL$1,0))</f>
        <v>1.0734124867562602</v>
      </c>
      <c r="S8">
        <f>INDEX('AEO 47'!$E$170:$AL$170,MATCH('Calculations Etc'!S$2,'AEO 47'!$E$1:$AL$1,0))/INDEX('AEO 47'!$E$175:$AL$175,MATCH('Calculations Etc'!S$2,'AEO 47'!$E$1:$AL$1,0))</f>
        <v>1.0720164120332718</v>
      </c>
      <c r="T8">
        <f>INDEX('AEO 47'!$E$170:$AL$170,MATCH('Calculations Etc'!T$2,'AEO 47'!$E$1:$AL$1,0))/INDEX('AEO 47'!$E$175:$AL$175,MATCH('Calculations Etc'!T$2,'AEO 47'!$E$1:$AL$1,0))</f>
        <v>1.0707930711041553</v>
      </c>
      <c r="U8">
        <f>INDEX('AEO 47'!$E$170:$AL$170,MATCH('Calculations Etc'!U$2,'AEO 47'!$E$1:$AL$1,0))/INDEX('AEO 47'!$E$175:$AL$175,MATCH('Calculations Etc'!U$2,'AEO 47'!$E$1:$AL$1,0))</f>
        <v>1.069887456744699</v>
      </c>
      <c r="V8">
        <f>INDEX('AEO 47'!$E$170:$AL$170,MATCH('Calculations Etc'!V$2,'AEO 47'!$E$1:$AL$1,0))/INDEX('AEO 47'!$E$175:$AL$175,MATCH('Calculations Etc'!V$2,'AEO 47'!$E$1:$AL$1,0))</f>
        <v>1.0691757565982958</v>
      </c>
      <c r="W8">
        <f>INDEX('AEO 47'!$E$170:$AL$170,MATCH('Calculations Etc'!W$2,'AEO 47'!$E$1:$AL$1,0))/INDEX('AEO 47'!$E$175:$AL$175,MATCH('Calculations Etc'!W$2,'AEO 47'!$E$1:$AL$1,0))</f>
        <v>1.0685676746579558</v>
      </c>
      <c r="X8">
        <f>INDEX('AEO 47'!$E$170:$AL$170,MATCH('Calculations Etc'!X$2,'AEO 47'!$E$1:$AL$1,0))/INDEX('AEO 47'!$E$175:$AL$175,MATCH('Calculations Etc'!X$2,'AEO 47'!$E$1:$AL$1,0))</f>
        <v>1.0680013267815363</v>
      </c>
      <c r="Y8">
        <f>INDEX('AEO 47'!$E$170:$AL$170,MATCH('Calculations Etc'!Y$2,'AEO 47'!$E$1:$AL$1,0))/INDEX('AEO 47'!$E$175:$AL$175,MATCH('Calculations Etc'!Y$2,'AEO 47'!$E$1:$AL$1,0))</f>
        <v>1.0673990407710821</v>
      </c>
      <c r="Z8">
        <f>INDEX('AEO 47'!$E$170:$AL$170,MATCH('Calculations Etc'!Z$2,'AEO 47'!$E$1:$AL$1,0))/INDEX('AEO 47'!$E$175:$AL$175,MATCH('Calculations Etc'!Z$2,'AEO 47'!$E$1:$AL$1,0))</f>
        <v>1.0670790658864524</v>
      </c>
      <c r="AA8">
        <f>INDEX('AEO 47'!$E$170:$AL$170,MATCH('Calculations Etc'!AA$2,'AEO 47'!$E$1:$AL$1,0))/INDEX('AEO 47'!$E$175:$AL$175,MATCH('Calculations Etc'!AA$2,'AEO 47'!$E$1:$AL$1,0))</f>
        <v>1.0670327238047188</v>
      </c>
      <c r="AB8">
        <f>INDEX('AEO 47'!$E$170:$AL$170,MATCH('Calculations Etc'!AB$2,'AEO 47'!$E$1:$AL$1,0))/INDEX('AEO 47'!$E$175:$AL$175,MATCH('Calculations Etc'!AB$2,'AEO 47'!$E$1:$AL$1,0))</f>
        <v>1.06715660210925</v>
      </c>
      <c r="AC8">
        <f>INDEX('AEO 47'!$E$170:$AL$170,MATCH('Calculations Etc'!AC$2,'AEO 47'!$E$1:$AL$1,0))/INDEX('AEO 47'!$E$175:$AL$175,MATCH('Calculations Etc'!AC$2,'AEO 47'!$E$1:$AL$1,0))</f>
        <v>1.0674450504798578</v>
      </c>
      <c r="AD8">
        <f>INDEX('AEO 47'!$E$170:$AL$170,MATCH('Calculations Etc'!AD$2,'AEO 47'!$E$1:$AL$1,0))/INDEX('AEO 47'!$E$175:$AL$175,MATCH('Calculations Etc'!AD$2,'AEO 47'!$E$1:$AL$1,0))</f>
        <v>1.0675325681941918</v>
      </c>
      <c r="AE8">
        <f>INDEX('AEO 47'!$E$170:$AL$170,MATCH('Calculations Etc'!AE$2,'AEO 47'!$E$1:$AL$1,0))/INDEX('AEO 47'!$E$175:$AL$175,MATCH('Calculations Etc'!AE$2,'AEO 47'!$E$1:$AL$1,0))</f>
        <v>1.0677374953366006</v>
      </c>
      <c r="AF8">
        <f>INDEX('AEO 47'!$E$170:$AL$170,MATCH('Calculations Etc'!AF$2,'AEO 47'!$E$1:$AL$1,0))/INDEX('AEO 47'!$E$175:$AL$175,MATCH('Calculations Etc'!AF$2,'AEO 47'!$E$1:$AL$1,0))</f>
        <v>1.0680294218651734</v>
      </c>
    </row>
    <row r="9" spans="1:37">
      <c r="A9" t="s">
        <v>598</v>
      </c>
      <c r="B9">
        <f>INDEX('AEO 49'!$202:$202,MATCH('Calculations Etc'!B$2,'AEO 49'!$1:$1,0))/INDEX('AEO 49'!$131:$131,MATCH('Calculations Etc'!B$2,'AEO 49'!$1:$1,0))</f>
        <v>1.0500638212832756</v>
      </c>
      <c r="C9">
        <f>INDEX('AEO 49'!$202:$202,MATCH('Calculations Etc'!C$2,'AEO 49'!$1:$1,0))/INDEX('AEO 49'!$131:$131,MATCH('Calculations Etc'!C$2,'AEO 49'!$1:$1,0))</f>
        <v>1.0593922591475193</v>
      </c>
      <c r="D9">
        <f>INDEX('AEO 49'!$202:$202,MATCH('Calculations Etc'!D$2,'AEO 49'!$1:$1,0))/INDEX('AEO 49'!$131:$131,MATCH('Calculations Etc'!D$2,'AEO 49'!$1:$1,0))</f>
        <v>1.055273588491612</v>
      </c>
      <c r="E9">
        <f>INDEX('AEO 49'!$202:$202,MATCH('Calculations Etc'!E$2,'AEO 49'!$1:$1,0))/INDEX('AEO 49'!$131:$131,MATCH('Calculations Etc'!E$2,'AEO 49'!$1:$1,0))</f>
        <v>1.0598405656839316</v>
      </c>
      <c r="F9">
        <f>INDEX('AEO 49'!$202:$202,MATCH('Calculations Etc'!F$2,'AEO 49'!$1:$1,0))/INDEX('AEO 49'!$131:$131,MATCH('Calculations Etc'!F$2,'AEO 49'!$1:$1,0))</f>
        <v>1.0720519339174091</v>
      </c>
      <c r="G9">
        <f>INDEX('AEO 49'!$202:$202,MATCH('Calculations Etc'!G$2,'AEO 49'!$1:$1,0))/INDEX('AEO 49'!$131:$131,MATCH('Calculations Etc'!G$2,'AEO 49'!$1:$1,0))</f>
        <v>1.0870789809585106</v>
      </c>
      <c r="H9">
        <f>INDEX('AEO 49'!$202:$202,MATCH('Calculations Etc'!H$2,'AEO 49'!$1:$1,0))/INDEX('AEO 49'!$131:$131,MATCH('Calculations Etc'!H$2,'AEO 49'!$1:$1,0))</f>
        <v>1.1026064527430068</v>
      </c>
      <c r="I9">
        <f>INDEX('AEO 49'!$202:$202,MATCH('Calculations Etc'!I$2,'AEO 49'!$1:$1,0))/INDEX('AEO 49'!$131:$131,MATCH('Calculations Etc'!I$2,'AEO 49'!$1:$1,0))</f>
        <v>1.1198731054782076</v>
      </c>
      <c r="J9">
        <f>INDEX('AEO 49'!$202:$202,MATCH('Calculations Etc'!J$2,'AEO 49'!$1:$1,0))/INDEX('AEO 49'!$131:$131,MATCH('Calculations Etc'!J$2,'AEO 49'!$1:$1,0))</f>
        <v>1.1218489479307785</v>
      </c>
      <c r="K9">
        <f>INDEX('AEO 49'!$202:$202,MATCH('Calculations Etc'!K$2,'AEO 49'!$1:$1,0))/INDEX('AEO 49'!$131:$131,MATCH('Calculations Etc'!K$2,'AEO 49'!$1:$1,0))</f>
        <v>1.1279514295135296</v>
      </c>
      <c r="L9">
        <f>INDEX('AEO 49'!$202:$202,MATCH('Calculations Etc'!L$2,'AEO 49'!$1:$1,0))/INDEX('AEO 49'!$131:$131,MATCH('Calculations Etc'!L$2,'AEO 49'!$1:$1,0))</f>
        <v>1.1283726764032007</v>
      </c>
      <c r="M9">
        <f>INDEX('AEO 49'!$202:$202,MATCH('Calculations Etc'!M$2,'AEO 49'!$1:$1,0))/INDEX('AEO 49'!$131:$131,MATCH('Calculations Etc'!M$2,'AEO 49'!$1:$1,0))</f>
        <v>1.1261203459152576</v>
      </c>
      <c r="N9">
        <f>INDEX('AEO 49'!$202:$202,MATCH('Calculations Etc'!N$2,'AEO 49'!$1:$1,0))/INDEX('AEO 49'!$131:$131,MATCH('Calculations Etc'!N$2,'AEO 49'!$1:$1,0))</f>
        <v>1.1166039177170293</v>
      </c>
      <c r="O9">
        <f>INDEX('AEO 49'!$202:$202,MATCH('Calculations Etc'!O$2,'AEO 49'!$1:$1,0))/INDEX('AEO 49'!$131:$131,MATCH('Calculations Etc'!O$2,'AEO 49'!$1:$1,0))</f>
        <v>1.1011107053022853</v>
      </c>
      <c r="P9">
        <f>INDEX('AEO 49'!$202:$202,MATCH('Calculations Etc'!P$2,'AEO 49'!$1:$1,0))/INDEX('AEO 49'!$131:$131,MATCH('Calculations Etc'!P$2,'AEO 49'!$1:$1,0))</f>
        <v>1.0875110717646859</v>
      </c>
      <c r="Q9">
        <f>INDEX('AEO 49'!$202:$202,MATCH('Calculations Etc'!Q$2,'AEO 49'!$1:$1,0))/INDEX('AEO 49'!$131:$131,MATCH('Calculations Etc'!Q$2,'AEO 49'!$1:$1,0))</f>
        <v>1.0745895895708351</v>
      </c>
      <c r="R9">
        <f>INDEX('AEO 49'!$202:$202,MATCH('Calculations Etc'!R$2,'AEO 49'!$1:$1,0))/INDEX('AEO 49'!$131:$131,MATCH('Calculations Etc'!R$2,'AEO 49'!$1:$1,0))</f>
        <v>1.0628059054583676</v>
      </c>
      <c r="S9">
        <f>INDEX('AEO 49'!$202:$202,MATCH('Calculations Etc'!S$2,'AEO 49'!$1:$1,0))/INDEX('AEO 49'!$131:$131,MATCH('Calculations Etc'!S$2,'AEO 49'!$1:$1,0))</f>
        <v>1.0532608552647895</v>
      </c>
      <c r="T9">
        <f>INDEX('AEO 49'!$202:$202,MATCH('Calculations Etc'!T$2,'AEO 49'!$1:$1,0))/INDEX('AEO 49'!$131:$131,MATCH('Calculations Etc'!T$2,'AEO 49'!$1:$1,0))</f>
        <v>1.0458209852303599</v>
      </c>
      <c r="U9">
        <f>INDEX('AEO 49'!$202:$202,MATCH('Calculations Etc'!U$2,'AEO 49'!$1:$1,0))/INDEX('AEO 49'!$131:$131,MATCH('Calculations Etc'!U$2,'AEO 49'!$1:$1,0))</f>
        <v>1.0373868366369192</v>
      </c>
      <c r="V9">
        <f>INDEX('AEO 49'!$202:$202,MATCH('Calculations Etc'!V$2,'AEO 49'!$1:$1,0))/INDEX('AEO 49'!$131:$131,MATCH('Calculations Etc'!V$2,'AEO 49'!$1:$1,0))</f>
        <v>1.0291690215826339</v>
      </c>
      <c r="W9">
        <f>INDEX('AEO 49'!$202:$202,MATCH('Calculations Etc'!W$2,'AEO 49'!$1:$1,0))/INDEX('AEO 49'!$131:$131,MATCH('Calculations Etc'!W$2,'AEO 49'!$1:$1,0))</f>
        <v>1.0229229297301126</v>
      </c>
      <c r="X9">
        <f>INDEX('AEO 49'!$202:$202,MATCH('Calculations Etc'!X$2,'AEO 49'!$1:$1,0))/INDEX('AEO 49'!$131:$131,MATCH('Calculations Etc'!X$2,'AEO 49'!$1:$1,0))</f>
        <v>1.0186349516301247</v>
      </c>
      <c r="Y9">
        <f>INDEX('AEO 49'!$202:$202,MATCH('Calculations Etc'!Y$2,'AEO 49'!$1:$1,0))/INDEX('AEO 49'!$131:$131,MATCH('Calculations Etc'!Y$2,'AEO 49'!$1:$1,0))</f>
        <v>1.0149193628782565</v>
      </c>
      <c r="Z9">
        <f>INDEX('AEO 49'!$202:$202,MATCH('Calculations Etc'!Z$2,'AEO 49'!$1:$1,0))/INDEX('AEO 49'!$131:$131,MATCH('Calculations Etc'!Z$2,'AEO 49'!$1:$1,0))</f>
        <v>1.0124311900473977</v>
      </c>
      <c r="AA9">
        <f>INDEX('AEO 49'!$202:$202,MATCH('Calculations Etc'!AA$2,'AEO 49'!$1:$1,0))/INDEX('AEO 49'!$131:$131,MATCH('Calculations Etc'!AA$2,'AEO 49'!$1:$1,0))</f>
        <v>1.0108032830038116</v>
      </c>
      <c r="AB9">
        <f>INDEX('AEO 49'!$202:$202,MATCH('Calculations Etc'!AB$2,'AEO 49'!$1:$1,0))/INDEX('AEO 49'!$131:$131,MATCH('Calculations Etc'!AB$2,'AEO 49'!$1:$1,0))</f>
        <v>1.0083650321161761</v>
      </c>
      <c r="AC9">
        <f>INDEX('AEO 49'!$202:$202,MATCH('Calculations Etc'!AC$2,'AEO 49'!$1:$1,0))/INDEX('AEO 49'!$131:$131,MATCH('Calculations Etc'!AC$2,'AEO 49'!$1:$1,0))</f>
        <v>1.0075344892777718</v>
      </c>
      <c r="AD9">
        <f>INDEX('AEO 49'!$202:$202,MATCH('Calculations Etc'!AD$2,'AEO 49'!$1:$1,0))/INDEX('AEO 49'!$131:$131,MATCH('Calculations Etc'!AD$2,'AEO 49'!$1:$1,0))</f>
        <v>1.0068776572893245</v>
      </c>
      <c r="AE9">
        <f>INDEX('AEO 49'!$202:$202,MATCH('Calculations Etc'!AE$2,'AEO 49'!$1:$1,0))/INDEX('AEO 49'!$131:$131,MATCH('Calculations Etc'!AE$2,'AEO 49'!$1:$1,0))</f>
        <v>1.004062394919603</v>
      </c>
      <c r="AF9">
        <f>INDEX('AEO 49'!$202:$202,MATCH('Calculations Etc'!AF$2,'AEO 49'!$1:$1,0))/INDEX('AEO 49'!$131:$131,MATCH('Calculations Etc'!AF$2,'AEO 49'!$1:$1,0))</f>
        <v>1.0019605166207237</v>
      </c>
    </row>
    <row r="11" spans="1:37">
      <c r="A11" s="2" t="s">
        <v>857</v>
      </c>
      <c r="B11" s="2"/>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21"/>
      <c r="AK11" s="8"/>
    </row>
    <row r="12" spans="1:37">
      <c r="B12">
        <f>B2</f>
        <v>2020</v>
      </c>
      <c r="C12">
        <v>2021</v>
      </c>
      <c r="D12">
        <f t="shared" ref="D12" si="2">D2</f>
        <v>2022</v>
      </c>
      <c r="E12">
        <v>2022</v>
      </c>
      <c r="F12">
        <f t="shared" ref="F12" si="3">F2</f>
        <v>2024</v>
      </c>
      <c r="G12">
        <v>2023</v>
      </c>
      <c r="H12">
        <f t="shared" ref="H12" si="4">H2</f>
        <v>2026</v>
      </c>
      <c r="I12">
        <v>2024</v>
      </c>
      <c r="J12">
        <f t="shared" ref="J12" si="5">J2</f>
        <v>2028</v>
      </c>
      <c r="K12">
        <v>2025</v>
      </c>
      <c r="L12">
        <f t="shared" ref="L12" si="6">L2</f>
        <v>2030</v>
      </c>
      <c r="M12">
        <v>2026</v>
      </c>
      <c r="N12">
        <f t="shared" ref="N12" si="7">N2</f>
        <v>2032</v>
      </c>
      <c r="O12">
        <v>2027</v>
      </c>
      <c r="P12">
        <f t="shared" ref="P12" si="8">P2</f>
        <v>2034</v>
      </c>
      <c r="Q12">
        <v>2028</v>
      </c>
      <c r="R12">
        <f t="shared" ref="R12" si="9">R2</f>
        <v>2036</v>
      </c>
      <c r="S12">
        <v>2029</v>
      </c>
      <c r="T12">
        <f t="shared" ref="T12" si="10">T2</f>
        <v>2038</v>
      </c>
      <c r="U12">
        <v>2030</v>
      </c>
      <c r="V12">
        <f t="shared" ref="V12" si="11">V2</f>
        <v>2040</v>
      </c>
      <c r="W12">
        <v>2031</v>
      </c>
      <c r="X12">
        <f t="shared" ref="X12" si="12">X2</f>
        <v>2042</v>
      </c>
      <c r="Y12">
        <v>2032</v>
      </c>
      <c r="Z12">
        <f t="shared" ref="Z12" si="13">Z2</f>
        <v>2044</v>
      </c>
      <c r="AA12">
        <v>2033</v>
      </c>
      <c r="AB12">
        <f t="shared" ref="AB12" si="14">AB2</f>
        <v>2046</v>
      </c>
      <c r="AC12">
        <v>2034</v>
      </c>
      <c r="AD12">
        <f t="shared" ref="AD12" si="15">AD2</f>
        <v>2048</v>
      </c>
      <c r="AE12">
        <v>2035</v>
      </c>
      <c r="AF12">
        <f t="shared" ref="AF12" si="16">AF2</f>
        <v>2050</v>
      </c>
      <c r="AJ12" s="8"/>
      <c r="AK12" s="8"/>
    </row>
    <row r="13" spans="1:37">
      <c r="A13" t="s">
        <v>858</v>
      </c>
      <c r="B13" cm="1">
        <f t="array" ref="B13">(INDEX('AEO 7'!$22:$22,MATCH(B2,'AEO 7'!$1:$1,0))*10^9)/(INDEX('AEO 7'!$58:$58,,MATCH(B2,'AEO 7'!$1:$1,0))*10^15)</f>
        <v>8.7638862145128277E-4</v>
      </c>
      <c r="C13" cm="1">
        <f t="array" ref="C13">(INDEX('AEO 7'!$22:$22,MATCH(C2,'AEO 7'!$1:$1,0))*10^9)/(INDEX('AEO 7'!$58:$58,,MATCH(C2,'AEO 7'!$1:$1,0))*10^15)</f>
        <v>8.6858289366033401E-4</v>
      </c>
      <c r="D13" cm="1">
        <f t="array" ref="D13">(INDEX('AEO 7'!$22:$22,MATCH(D2,'AEO 7'!$1:$1,0))*10^9)/(INDEX('AEO 7'!$58:$58,,MATCH(D2,'AEO 7'!$1:$1,0))*10^15)</f>
        <v>8.6877437432266249E-4</v>
      </c>
      <c r="E13" cm="1">
        <f t="array" ref="E13">(INDEX('AEO 7'!$22:$22,MATCH(E2,'AEO 7'!$1:$1,0))*10^9)/(INDEX('AEO 7'!$58:$58,,MATCH(E2,'AEO 7'!$1:$1,0))*10^15)</f>
        <v>8.7093458730761733E-4</v>
      </c>
      <c r="F13" cm="1">
        <f t="array" ref="F13">(INDEX('AEO 7'!$22:$22,MATCH(F2,'AEO 7'!$1:$1,0))*10^9)/(INDEX('AEO 7'!$58:$58,,MATCH(F2,'AEO 7'!$1:$1,0))*10^15)</f>
        <v>8.736463756778552E-4</v>
      </c>
      <c r="G13" cm="1">
        <f t="array" ref="G13">(INDEX('AEO 7'!$22:$22,MATCH(G2,'AEO 7'!$1:$1,0))*10^9)/(INDEX('AEO 7'!$58:$58,,MATCH(G2,'AEO 7'!$1:$1,0))*10^15)</f>
        <v>8.7735221110251792E-4</v>
      </c>
      <c r="H13" cm="1">
        <f t="array" ref="H13">(INDEX('AEO 7'!$22:$22,MATCH(H2,'AEO 7'!$1:$1,0))*10^9)/(INDEX('AEO 7'!$58:$58,,MATCH(H2,'AEO 7'!$1:$1,0))*10^15)</f>
        <v>8.8073902997118413E-4</v>
      </c>
      <c r="I13" cm="1">
        <f t="array" ref="I13">(INDEX('AEO 7'!$22:$22,MATCH(I2,'AEO 7'!$1:$1,0))*10^9)/(INDEX('AEO 7'!$58:$58,,MATCH(I2,'AEO 7'!$1:$1,0))*10^15)</f>
        <v>8.8339079190982771E-4</v>
      </c>
      <c r="J13" cm="1">
        <f t="array" ref="J13">(INDEX('AEO 7'!$22:$22,MATCH(J2,'AEO 7'!$1:$1,0))*10^9)/(INDEX('AEO 7'!$58:$58,,MATCH(J2,'AEO 7'!$1:$1,0))*10^15)</f>
        <v>8.8949252263659186E-4</v>
      </c>
      <c r="K13" cm="1">
        <f t="array" ref="K13">(INDEX('AEO 7'!$22:$22,MATCH(K2,'AEO 7'!$1:$1,0))*10^9)/(INDEX('AEO 7'!$58:$58,,MATCH(K2,'AEO 7'!$1:$1,0))*10^15)</f>
        <v>8.9464835150599158E-4</v>
      </c>
      <c r="L13" cm="1">
        <f t="array" ref="L13">(INDEX('AEO 7'!$22:$22,MATCH(L2,'AEO 7'!$1:$1,0))*10^9)/(INDEX('AEO 7'!$58:$58,,MATCH(L2,'AEO 7'!$1:$1,0))*10^15)</f>
        <v>8.973424598838829E-4</v>
      </c>
      <c r="M13" cm="1">
        <f t="array" ref="M13">(INDEX('AEO 7'!$22:$22,MATCH(M2,'AEO 7'!$1:$1,0))*10^9)/(INDEX('AEO 7'!$58:$58,,MATCH(M2,'AEO 7'!$1:$1,0))*10^15)</f>
        <v>9.0212622002573651E-4</v>
      </c>
      <c r="N13" cm="1">
        <f t="array" ref="N13">(INDEX('AEO 7'!$22:$22,MATCH(N2,'AEO 7'!$1:$1,0))*10^9)/(INDEX('AEO 7'!$58:$58,,MATCH(N2,'AEO 7'!$1:$1,0))*10^15)</f>
        <v>9.0526711058628933E-4</v>
      </c>
      <c r="O13" cm="1">
        <f t="array" ref="O13">(INDEX('AEO 7'!$22:$22,MATCH(O2,'AEO 7'!$1:$1,0))*10^9)/(INDEX('AEO 7'!$58:$58,,MATCH(O2,'AEO 7'!$1:$1,0))*10^15)</f>
        <v>9.0834532435354919E-4</v>
      </c>
      <c r="P13" cm="1">
        <f t="array" ref="P13">(INDEX('AEO 7'!$22:$22,MATCH(P2,'AEO 7'!$1:$1,0))*10^9)/(INDEX('AEO 7'!$58:$58,,MATCH(P2,'AEO 7'!$1:$1,0))*10^15)</f>
        <v>9.1088507423963392E-4</v>
      </c>
      <c r="Q13" cm="1">
        <f t="array" ref="Q13">(INDEX('AEO 7'!$22:$22,MATCH(Q2,'AEO 7'!$1:$1,0))*10^9)/(INDEX('AEO 7'!$58:$58,,MATCH(Q2,'AEO 7'!$1:$1,0))*10^15)</f>
        <v>9.1469488608285192E-4</v>
      </c>
      <c r="R13" cm="1">
        <f t="array" ref="R13">(INDEX('AEO 7'!$22:$22,MATCH(R2,'AEO 7'!$1:$1,0))*10^9)/(INDEX('AEO 7'!$58:$58,,MATCH(R2,'AEO 7'!$1:$1,0))*10^15)</f>
        <v>9.1742988466540179E-4</v>
      </c>
      <c r="S13" cm="1">
        <f t="array" ref="S13">(INDEX('AEO 7'!$22:$22,MATCH(S2,'AEO 7'!$1:$1,0))*10^9)/(INDEX('AEO 7'!$58:$58,,MATCH(S2,'AEO 7'!$1:$1,0))*10^15)</f>
        <v>9.1979706310358516E-4</v>
      </c>
      <c r="T13" cm="1">
        <f t="array" ref="T13">(INDEX('AEO 7'!$22:$22,MATCH(T2,'AEO 7'!$1:$1,0))*10^9)/(INDEX('AEO 7'!$58:$58,,MATCH(T2,'AEO 7'!$1:$1,0))*10^15)</f>
        <v>9.2232841836233169E-4</v>
      </c>
      <c r="U13" cm="1">
        <f t="array" ref="U13">(INDEX('AEO 7'!$22:$22,MATCH(U2,'AEO 7'!$1:$1,0))*10^9)/(INDEX('AEO 7'!$58:$58,,MATCH(U2,'AEO 7'!$1:$1,0))*10^15)</f>
        <v>9.2542898153305628E-4</v>
      </c>
      <c r="V13" cm="1">
        <f t="array" ref="V13">(INDEX('AEO 7'!$22:$22,MATCH(V2,'AEO 7'!$1:$1,0))*10^9)/(INDEX('AEO 7'!$58:$58,,MATCH(V2,'AEO 7'!$1:$1,0))*10^15)</f>
        <v>9.280444612359502E-4</v>
      </c>
      <c r="W13" cm="1">
        <f t="array" ref="W13">(INDEX('AEO 7'!$22:$22,MATCH(W2,'AEO 7'!$1:$1,0))*10^9)/(INDEX('AEO 7'!$58:$58,,MATCH(W2,'AEO 7'!$1:$1,0))*10^15)</f>
        <v>9.311671890877151E-4</v>
      </c>
      <c r="X13" cm="1">
        <f t="array" ref="X13">(INDEX('AEO 7'!$22:$22,MATCH(X2,'AEO 7'!$1:$1,0))*10^9)/(INDEX('AEO 7'!$58:$58,,MATCH(X2,'AEO 7'!$1:$1,0))*10^15)</f>
        <v>9.3441961609233137E-4</v>
      </c>
      <c r="Y13" cm="1">
        <f t="array" ref="Y13">(INDEX('AEO 7'!$22:$22,MATCH(Y2,'AEO 7'!$1:$1,0))*10^9)/(INDEX('AEO 7'!$58:$58,,MATCH(Y2,'AEO 7'!$1:$1,0))*10^15)</f>
        <v>9.376490052737177E-4</v>
      </c>
      <c r="Z13" cm="1">
        <f t="array" ref="Z13">(INDEX('AEO 7'!$22:$22,MATCH(Z2,'AEO 7'!$1:$1,0))*10^9)/(INDEX('AEO 7'!$58:$58,,MATCH(Z2,'AEO 7'!$1:$1,0))*10^15)</f>
        <v>9.408107292685578E-4</v>
      </c>
      <c r="AA13" cm="1">
        <f t="array" ref="AA13">(INDEX('AEO 7'!$22:$22,MATCH(AA2,'AEO 7'!$1:$1,0))*10^9)/(INDEX('AEO 7'!$58:$58,,MATCH(AA2,'AEO 7'!$1:$1,0))*10^15)</f>
        <v>9.4402193862419092E-4</v>
      </c>
      <c r="AB13" cm="1">
        <f t="array" ref="AB13">(INDEX('AEO 7'!$22:$22,MATCH(AB2,'AEO 7'!$1:$1,0))*10^9)/(INDEX('AEO 7'!$58:$58,,MATCH(AB2,'AEO 7'!$1:$1,0))*10^15)</f>
        <v>9.4751187609984149E-4</v>
      </c>
      <c r="AC13" cm="1">
        <f t="array" ref="AC13">(INDEX('AEO 7'!$22:$22,MATCH(AC2,'AEO 7'!$1:$1,0))*10^9)/(INDEX('AEO 7'!$58:$58,,MATCH(AC2,'AEO 7'!$1:$1,0))*10^15)</f>
        <v>9.5068608282059051E-4</v>
      </c>
      <c r="AD13" cm="1">
        <f t="array" ref="AD13">(INDEX('AEO 7'!$22:$22,MATCH(AD2,'AEO 7'!$1:$1,0))*10^9)/(INDEX('AEO 7'!$58:$58,,MATCH(AD2,'AEO 7'!$1:$1,0))*10^15)</f>
        <v>9.5426655440848456E-4</v>
      </c>
      <c r="AE13" cm="1">
        <f t="array" ref="AE13">(INDEX('AEO 7'!$22:$22,MATCH(AE2,'AEO 7'!$1:$1,0))*10^9)/(INDEX('AEO 7'!$58:$58,,MATCH(AE2,'AEO 7'!$1:$1,0))*10^15)</f>
        <v>9.5698177977524121E-4</v>
      </c>
      <c r="AF13" cm="1">
        <f t="array" ref="AF13">(INDEX('AEO 7'!$22:$22,MATCH(AF2,'AEO 7'!$1:$1,0))*10^9)/(INDEX('AEO 7'!$58:$58,,MATCH(AF2,'AEO 7'!$1:$1,0))*10^15)</f>
        <v>9.5946977568148097E-4</v>
      </c>
    </row>
    <row r="15" spans="1:37">
      <c r="A15" s="2" t="s">
        <v>599</v>
      </c>
      <c r="B15" s="3"/>
      <c r="D15" s="2" t="s">
        <v>610</v>
      </c>
    </row>
    <row r="16" spans="1:37">
      <c r="A16" t="s">
        <v>604</v>
      </c>
      <c r="B16" s="13">
        <v>0.68595041322314043</v>
      </c>
      <c r="D16" s="9" t="s">
        <v>600</v>
      </c>
    </row>
    <row r="17" spans="1:37">
      <c r="A17" t="s">
        <v>475</v>
      </c>
      <c r="B17" s="13">
        <v>0.68881036513545346</v>
      </c>
    </row>
    <row r="19" spans="1:37">
      <c r="A19" s="2" t="s">
        <v>601</v>
      </c>
      <c r="B19" s="3"/>
      <c r="D19" s="2" t="s">
        <v>610</v>
      </c>
    </row>
    <row r="20" spans="1:37">
      <c r="A20" t="s">
        <v>602</v>
      </c>
      <c r="B20">
        <v>0.55000000000000004</v>
      </c>
      <c r="D20" s="9" t="s">
        <v>603</v>
      </c>
    </row>
    <row r="22" spans="1:37">
      <c r="A22" s="2" t="s">
        <v>612</v>
      </c>
      <c r="B22" s="3"/>
      <c r="C22" s="8"/>
      <c r="D22" s="2" t="s">
        <v>610</v>
      </c>
    </row>
    <row r="23" spans="1:37">
      <c r="A23" t="s">
        <v>595</v>
      </c>
      <c r="B23">
        <v>1.67</v>
      </c>
      <c r="C23" s="8"/>
      <c r="D23" s="9" t="s">
        <v>605</v>
      </c>
    </row>
    <row r="24" spans="1:37">
      <c r="A24" t="s">
        <v>596</v>
      </c>
      <c r="B24">
        <v>1</v>
      </c>
      <c r="C24" s="8"/>
    </row>
    <row r="25" spans="1:37">
      <c r="A25" t="s">
        <v>598</v>
      </c>
      <c r="B25">
        <v>16</v>
      </c>
      <c r="C25" s="8"/>
    </row>
    <row r="26" spans="1:37">
      <c r="A26" t="s">
        <v>508</v>
      </c>
      <c r="B26">
        <v>48.656731685074099</v>
      </c>
      <c r="C26" s="8"/>
    </row>
    <row r="28" spans="1:37">
      <c r="A28" s="2" t="s">
        <v>606</v>
      </c>
      <c r="B28" s="3"/>
      <c r="D28" s="2" t="s">
        <v>610</v>
      </c>
    </row>
    <row r="29" spans="1:37">
      <c r="A29" t="s">
        <v>607</v>
      </c>
      <c r="B29">
        <v>120476</v>
      </c>
      <c r="D29" t="s">
        <v>473</v>
      </c>
      <c r="E29" t="s">
        <v>611</v>
      </c>
    </row>
    <row r="30" spans="1:37">
      <c r="A30" t="s">
        <v>608</v>
      </c>
      <c r="B30">
        <v>137452</v>
      </c>
      <c r="D30" s="5">
        <v>2017</v>
      </c>
      <c r="E30" t="s">
        <v>609</v>
      </c>
      <c r="AJ30" s="8"/>
      <c r="AK30" s="8"/>
    </row>
    <row r="31" spans="1:37">
      <c r="AJ31" s="8"/>
      <c r="AK31" s="8"/>
    </row>
    <row r="32" spans="1:37">
      <c r="A32" s="2" t="s">
        <v>842</v>
      </c>
      <c r="B32" s="3"/>
      <c r="D32" s="2" t="s">
        <v>610</v>
      </c>
    </row>
    <row r="33" spans="1:33">
      <c r="A33" t="s">
        <v>843</v>
      </c>
      <c r="B33" s="22">
        <v>0.2</v>
      </c>
      <c r="D33" s="9" t="s">
        <v>844</v>
      </c>
    </row>
    <row r="34" spans="1:33">
      <c r="A34" t="s">
        <v>845</v>
      </c>
      <c r="B34" s="22">
        <v>0.6</v>
      </c>
      <c r="D34" s="9" t="s">
        <v>846</v>
      </c>
    </row>
    <row r="35" spans="1:33">
      <c r="A35" t="s">
        <v>847</v>
      </c>
      <c r="B35" s="14">
        <f>B34/B33</f>
        <v>2.9999999999999996</v>
      </c>
    </row>
    <row r="37" spans="1:33">
      <c r="A37" s="2" t="s">
        <v>848</v>
      </c>
      <c r="B37" s="2"/>
      <c r="D37" s="2" t="s">
        <v>610</v>
      </c>
    </row>
    <row r="38" spans="1:33">
      <c r="A38" t="s">
        <v>849</v>
      </c>
      <c r="B38" s="23">
        <v>0.22500000000000001</v>
      </c>
      <c r="D38" s="24" t="s">
        <v>850</v>
      </c>
    </row>
    <row r="39" spans="1:33">
      <c r="A39" t="s">
        <v>851</v>
      </c>
      <c r="B39" s="14">
        <f>1-B38</f>
        <v>0.77500000000000002</v>
      </c>
      <c r="D39" s="24" t="s">
        <v>852</v>
      </c>
    </row>
    <row r="41" spans="1:33">
      <c r="A41" s="2" t="s">
        <v>980</v>
      </c>
    </row>
    <row r="42" spans="1:33" s="1" customFormat="1">
      <c r="A42" s="43" t="s">
        <v>981</v>
      </c>
      <c r="B42" s="1">
        <v>2020</v>
      </c>
      <c r="C42" s="1">
        <v>2021</v>
      </c>
      <c r="D42" s="1">
        <v>2022</v>
      </c>
      <c r="E42" s="1">
        <v>2023</v>
      </c>
      <c r="F42" s="1">
        <v>2024</v>
      </c>
      <c r="G42" s="1">
        <v>2025</v>
      </c>
      <c r="H42" s="1">
        <v>2026</v>
      </c>
      <c r="I42" s="1">
        <v>2027</v>
      </c>
      <c r="J42" s="1">
        <v>2028</v>
      </c>
      <c r="K42" s="1">
        <v>2029</v>
      </c>
      <c r="L42" s="1">
        <v>2030</v>
      </c>
      <c r="M42" s="1">
        <v>2031</v>
      </c>
      <c r="N42" s="1">
        <v>2032</v>
      </c>
      <c r="O42" s="1">
        <v>2033</v>
      </c>
      <c r="P42" s="1">
        <v>2034</v>
      </c>
      <c r="Q42" s="1">
        <v>2035</v>
      </c>
      <c r="R42" s="1">
        <v>2036</v>
      </c>
      <c r="S42" s="1">
        <v>2037</v>
      </c>
      <c r="T42" s="1">
        <v>2038</v>
      </c>
      <c r="U42" s="1">
        <v>2039</v>
      </c>
      <c r="V42" s="1">
        <v>2040</v>
      </c>
      <c r="W42" s="1">
        <v>2041</v>
      </c>
      <c r="X42" s="1">
        <v>2042</v>
      </c>
      <c r="Y42" s="1">
        <v>2043</v>
      </c>
      <c r="Z42" s="1">
        <v>2044</v>
      </c>
      <c r="AA42" s="1">
        <v>2045</v>
      </c>
      <c r="AB42" s="1">
        <v>2046</v>
      </c>
      <c r="AC42" s="1">
        <v>2047</v>
      </c>
      <c r="AD42" s="1">
        <v>2048</v>
      </c>
      <c r="AE42" s="1">
        <v>2049</v>
      </c>
      <c r="AF42" s="1">
        <v>2050</v>
      </c>
    </row>
    <row r="43" spans="1:33" s="1" customFormat="1">
      <c r="A43" s="50" t="s">
        <v>983</v>
      </c>
    </row>
    <row r="44" spans="1:33">
      <c r="A44" t="s">
        <v>916</v>
      </c>
      <c r="B44" s="47">
        <f>INDEX('AEO 38'!$F$17:$AK$76,MATCH($A44,'AEO 38'!$B$17:$B$76,0),MATCH(B$42,'AEO 38'!$F$1:$AK$1,0))</f>
        <v>4430.5400390000004</v>
      </c>
      <c r="C44" s="47">
        <f>INDEX('AEO 38'!$F$17:$AK$76,MATCH($A44,'AEO 38'!$B$17:$B$76,0),MATCH(C$42,'AEO 38'!$F$1:$AK$1,0))</f>
        <v>4768.9262699999999</v>
      </c>
      <c r="D44" s="47">
        <f>INDEX('AEO 38'!$F$17:$AK$76,MATCH($A44,'AEO 38'!$B$17:$B$76,0),MATCH(D$42,'AEO 38'!$F$1:$AK$1,0))</f>
        <v>5242.6860349999997</v>
      </c>
      <c r="E44" s="47">
        <f>INDEX('AEO 38'!$F$17:$AK$76,MATCH($A44,'AEO 38'!$B$17:$B$76,0),MATCH(E$42,'AEO 38'!$F$1:$AK$1,0))</f>
        <v>5277.4257809999999</v>
      </c>
      <c r="F44" s="47">
        <f>INDEX('AEO 38'!$F$17:$AK$76,MATCH($A44,'AEO 38'!$B$17:$B$76,0),MATCH(F$42,'AEO 38'!$F$1:$AK$1,0))</f>
        <v>5332.482422</v>
      </c>
      <c r="G44" s="47">
        <f>INDEX('AEO 38'!$F$17:$AK$76,MATCH($A44,'AEO 38'!$B$17:$B$76,0),MATCH(G$42,'AEO 38'!$F$1:$AK$1,0))</f>
        <v>5366.3647460000002</v>
      </c>
      <c r="H44" s="47">
        <f>INDEX('AEO 38'!$F$17:$AK$76,MATCH($A44,'AEO 38'!$B$17:$B$76,0),MATCH(H$42,'AEO 38'!$F$1:$AK$1,0))</f>
        <v>5276.0283200000003</v>
      </c>
      <c r="I44" s="47">
        <f>INDEX('AEO 38'!$F$17:$AK$76,MATCH($A44,'AEO 38'!$B$17:$B$76,0),MATCH(I$42,'AEO 38'!$F$1:$AK$1,0))</f>
        <v>5157.7226559999999</v>
      </c>
      <c r="J44" s="47">
        <f>INDEX('AEO 38'!$F$17:$AK$76,MATCH($A44,'AEO 38'!$B$17:$B$76,0),MATCH(J$42,'AEO 38'!$F$1:$AK$1,0))</f>
        <v>5160.4291990000002</v>
      </c>
      <c r="K44" s="47">
        <f>INDEX('AEO 38'!$F$17:$AK$76,MATCH($A44,'AEO 38'!$B$17:$B$76,0),MATCH(K$42,'AEO 38'!$F$1:$AK$1,0))</f>
        <v>5150.4785160000001</v>
      </c>
      <c r="L44" s="47">
        <f>INDEX('AEO 38'!$F$17:$AK$76,MATCH($A44,'AEO 38'!$B$17:$B$76,0),MATCH(L$42,'AEO 38'!$F$1:$AK$1,0))</f>
        <v>5149.1210940000001</v>
      </c>
      <c r="M44" s="47">
        <f>INDEX('AEO 38'!$F$17:$AK$76,MATCH($A44,'AEO 38'!$B$17:$B$76,0),MATCH(M$42,'AEO 38'!$F$1:$AK$1,0))</f>
        <v>5129.0278319999998</v>
      </c>
      <c r="N44" s="47">
        <f>INDEX('AEO 38'!$F$17:$AK$76,MATCH($A44,'AEO 38'!$B$17:$B$76,0),MATCH(N$42,'AEO 38'!$F$1:$AK$1,0))</f>
        <v>5123.6499020000001</v>
      </c>
      <c r="O44" s="47">
        <f>INDEX('AEO 38'!$F$17:$AK$76,MATCH($A44,'AEO 38'!$B$17:$B$76,0),MATCH(O$42,'AEO 38'!$F$1:$AK$1,0))</f>
        <v>5107.1650390000004</v>
      </c>
      <c r="P44" s="47">
        <f>INDEX('AEO 38'!$F$17:$AK$76,MATCH($A44,'AEO 38'!$B$17:$B$76,0),MATCH(P$42,'AEO 38'!$F$1:$AK$1,0))</f>
        <v>5106.6157229999999</v>
      </c>
      <c r="Q44" s="47">
        <f>INDEX('AEO 38'!$F$17:$AK$76,MATCH($A44,'AEO 38'!$B$17:$B$76,0),MATCH(Q$42,'AEO 38'!$F$1:$AK$1,0))</f>
        <v>5067.029297</v>
      </c>
      <c r="R44" s="47">
        <f>INDEX('AEO 38'!$F$17:$AK$76,MATCH($A44,'AEO 38'!$B$17:$B$76,0),MATCH(R$42,'AEO 38'!$F$1:$AK$1,0))</f>
        <v>4988.6606449999999</v>
      </c>
      <c r="S44" s="47">
        <f>INDEX('AEO 38'!$F$17:$AK$76,MATCH($A44,'AEO 38'!$B$17:$B$76,0),MATCH(S$42,'AEO 38'!$F$1:$AK$1,0))</f>
        <v>4915.4423829999996</v>
      </c>
      <c r="T44" s="47">
        <f>INDEX('AEO 38'!$F$17:$AK$76,MATCH($A44,'AEO 38'!$B$17:$B$76,0),MATCH(T$42,'AEO 38'!$F$1:$AK$1,0))</f>
        <v>4879.7421880000002</v>
      </c>
      <c r="U44" s="47">
        <f>INDEX('AEO 38'!$F$17:$AK$76,MATCH($A44,'AEO 38'!$B$17:$B$76,0),MATCH(U$42,'AEO 38'!$F$1:$AK$1,0))</f>
        <v>4824.8183589999999</v>
      </c>
      <c r="V44" s="47">
        <f>INDEX('AEO 38'!$F$17:$AK$76,MATCH($A44,'AEO 38'!$B$17:$B$76,0),MATCH(V$42,'AEO 38'!$F$1:$AK$1,0))</f>
        <v>4767.015625</v>
      </c>
      <c r="W44" s="47">
        <f>INDEX('AEO 38'!$F$17:$AK$76,MATCH($A44,'AEO 38'!$B$17:$B$76,0),MATCH(W$42,'AEO 38'!$F$1:$AK$1,0))</f>
        <v>4718.7866210000002</v>
      </c>
      <c r="X44" s="47">
        <f>INDEX('AEO 38'!$F$17:$AK$76,MATCH($A44,'AEO 38'!$B$17:$B$76,0),MATCH(X$42,'AEO 38'!$F$1:$AK$1,0))</f>
        <v>4672.1494140000004</v>
      </c>
      <c r="Y44" s="47">
        <f>INDEX('AEO 38'!$F$17:$AK$76,MATCH($A44,'AEO 38'!$B$17:$B$76,0),MATCH(Y$42,'AEO 38'!$F$1:$AK$1,0))</f>
        <v>4616.1040039999998</v>
      </c>
      <c r="Z44" s="47">
        <f>INDEX('AEO 38'!$F$17:$AK$76,MATCH($A44,'AEO 38'!$B$17:$B$76,0),MATCH(Z$42,'AEO 38'!$F$1:$AK$1,0))</f>
        <v>4570.1870120000003</v>
      </c>
      <c r="AA44" s="47">
        <f>INDEX('AEO 38'!$F$17:$AK$76,MATCH($A44,'AEO 38'!$B$17:$B$76,0),MATCH(AA$42,'AEO 38'!$F$1:$AK$1,0))</f>
        <v>4571.701172</v>
      </c>
      <c r="AB44" s="47">
        <f>INDEX('AEO 38'!$F$17:$AK$76,MATCH($A44,'AEO 38'!$B$17:$B$76,0),MATCH(AB$42,'AEO 38'!$F$1:$AK$1,0))</f>
        <v>4505.4287109999996</v>
      </c>
      <c r="AC44" s="47">
        <f>INDEX('AEO 38'!$F$17:$AK$76,MATCH($A44,'AEO 38'!$B$17:$B$76,0),MATCH(AC$42,'AEO 38'!$F$1:$AK$1,0))</f>
        <v>4434.6743159999996</v>
      </c>
      <c r="AD44" s="47">
        <f>INDEX('AEO 38'!$F$17:$AK$76,MATCH($A44,'AEO 38'!$B$17:$B$76,0),MATCH(AD$42,'AEO 38'!$F$1:$AK$1,0))</f>
        <v>4405.3608400000003</v>
      </c>
      <c r="AE44" s="47">
        <f>INDEX('AEO 38'!$F$17:$AK$76,MATCH($A44,'AEO 38'!$B$17:$B$76,0),MATCH(AE$42,'AEO 38'!$F$1:$AK$1,0))</f>
        <v>4332.6879879999997</v>
      </c>
      <c r="AF44" s="47">
        <f>INDEX('AEO 38'!$F$17:$AK$76,MATCH($A44,'AEO 38'!$B$17:$B$76,0),MATCH(AF$42,'AEO 38'!$F$1:$AK$1,0))</f>
        <v>4252.9243159999996</v>
      </c>
      <c r="AG44" s="47"/>
    </row>
    <row r="45" spans="1:33">
      <c r="A45" t="s">
        <v>938</v>
      </c>
      <c r="B45" s="47">
        <f>INDEX('AEO 38'!$F$17:$AK$76,MATCH($A45,'AEO 38'!$B$17:$B$76,0),MATCH(B$42,'AEO 38'!$F$1:$AK$1,0))</f>
        <v>6511.5112300000001</v>
      </c>
      <c r="C45" s="47">
        <f>INDEX('AEO 38'!$F$17:$AK$76,MATCH($A45,'AEO 38'!$B$17:$B$76,0),MATCH(C$42,'AEO 38'!$F$1:$AK$1,0))</f>
        <v>7292.9345700000003</v>
      </c>
      <c r="D45" s="47">
        <f>INDEX('AEO 38'!$F$17:$AK$76,MATCH($A45,'AEO 38'!$B$17:$B$76,0),MATCH(D$42,'AEO 38'!$F$1:$AK$1,0))</f>
        <v>7525.9262699999999</v>
      </c>
      <c r="E45" s="47">
        <f>INDEX('AEO 38'!$F$17:$AK$76,MATCH($A45,'AEO 38'!$B$17:$B$76,0),MATCH(E$42,'AEO 38'!$F$1:$AK$1,0))</f>
        <v>7716.5991210000002</v>
      </c>
      <c r="F45" s="47">
        <f>INDEX('AEO 38'!$F$17:$AK$76,MATCH($A45,'AEO 38'!$B$17:$B$76,0),MATCH(F$42,'AEO 38'!$F$1:$AK$1,0))</f>
        <v>8010.6342770000001</v>
      </c>
      <c r="G45" s="47">
        <f>INDEX('AEO 38'!$F$17:$AK$76,MATCH($A45,'AEO 38'!$B$17:$B$76,0),MATCH(G$42,'AEO 38'!$F$1:$AK$1,0))</f>
        <v>8217.6806639999995</v>
      </c>
      <c r="H45" s="47">
        <f>INDEX('AEO 38'!$F$17:$AK$76,MATCH($A45,'AEO 38'!$B$17:$B$76,0),MATCH(H$42,'AEO 38'!$F$1:$AK$1,0))</f>
        <v>8112.4086909999996</v>
      </c>
      <c r="I45" s="47">
        <f>INDEX('AEO 38'!$F$17:$AK$76,MATCH($A45,'AEO 38'!$B$17:$B$76,0),MATCH(I$42,'AEO 38'!$F$1:$AK$1,0))</f>
        <v>7927.6225590000004</v>
      </c>
      <c r="J45" s="47">
        <f>INDEX('AEO 38'!$F$17:$AK$76,MATCH($A45,'AEO 38'!$B$17:$B$76,0),MATCH(J$42,'AEO 38'!$F$1:$AK$1,0))</f>
        <v>7939.861328</v>
      </c>
      <c r="K45" s="47">
        <f>INDEX('AEO 38'!$F$17:$AK$76,MATCH($A45,'AEO 38'!$B$17:$B$76,0),MATCH(K$42,'AEO 38'!$F$1:$AK$1,0))</f>
        <v>7908.939453</v>
      </c>
      <c r="L45" s="47">
        <f>INDEX('AEO 38'!$F$17:$AK$76,MATCH($A45,'AEO 38'!$B$17:$B$76,0),MATCH(L$42,'AEO 38'!$F$1:$AK$1,0))</f>
        <v>7718.6572269999997</v>
      </c>
      <c r="M45" s="47">
        <f>INDEX('AEO 38'!$F$17:$AK$76,MATCH($A45,'AEO 38'!$B$17:$B$76,0),MATCH(M$42,'AEO 38'!$F$1:$AK$1,0))</f>
        <v>7683.6752930000002</v>
      </c>
      <c r="N45" s="47">
        <f>INDEX('AEO 38'!$F$17:$AK$76,MATCH($A45,'AEO 38'!$B$17:$B$76,0),MATCH(N$42,'AEO 38'!$F$1:$AK$1,0))</f>
        <v>7655.0903319999998</v>
      </c>
      <c r="O45" s="47">
        <f>INDEX('AEO 38'!$F$17:$AK$76,MATCH($A45,'AEO 38'!$B$17:$B$76,0),MATCH(O$42,'AEO 38'!$F$1:$AK$1,0))</f>
        <v>7618.3012699999999</v>
      </c>
      <c r="P45" s="47">
        <f>INDEX('AEO 38'!$F$17:$AK$76,MATCH($A45,'AEO 38'!$B$17:$B$76,0),MATCH(P$42,'AEO 38'!$F$1:$AK$1,0))</f>
        <v>7564.6049800000001</v>
      </c>
      <c r="Q45" s="47">
        <f>INDEX('AEO 38'!$F$17:$AK$76,MATCH($A45,'AEO 38'!$B$17:$B$76,0),MATCH(Q$42,'AEO 38'!$F$1:$AK$1,0))</f>
        <v>7588.0214839999999</v>
      </c>
      <c r="R45" s="47">
        <f>INDEX('AEO 38'!$F$17:$AK$76,MATCH($A45,'AEO 38'!$B$17:$B$76,0),MATCH(R$42,'AEO 38'!$F$1:$AK$1,0))</f>
        <v>7548.6801759999998</v>
      </c>
      <c r="S45" s="47">
        <f>INDEX('AEO 38'!$F$17:$AK$76,MATCH($A45,'AEO 38'!$B$17:$B$76,0),MATCH(S$42,'AEO 38'!$F$1:$AK$1,0))</f>
        <v>7479.4257809999999</v>
      </c>
      <c r="T45" s="47">
        <f>INDEX('AEO 38'!$F$17:$AK$76,MATCH($A45,'AEO 38'!$B$17:$B$76,0),MATCH(T$42,'AEO 38'!$F$1:$AK$1,0))</f>
        <v>7456.2070309999999</v>
      </c>
      <c r="U45" s="47">
        <f>INDEX('AEO 38'!$F$17:$AK$76,MATCH($A45,'AEO 38'!$B$17:$B$76,0),MATCH(U$42,'AEO 38'!$F$1:$AK$1,0))</f>
        <v>7444.9130859999996</v>
      </c>
      <c r="V45" s="47">
        <f>INDEX('AEO 38'!$F$17:$AK$76,MATCH($A45,'AEO 38'!$B$17:$B$76,0),MATCH(V$42,'AEO 38'!$F$1:$AK$1,0))</f>
        <v>7408.1596680000002</v>
      </c>
      <c r="W45" s="47">
        <f>INDEX('AEO 38'!$F$17:$AK$76,MATCH($A45,'AEO 38'!$B$17:$B$76,0),MATCH(W$42,'AEO 38'!$F$1:$AK$1,0))</f>
        <v>7379.0336909999996</v>
      </c>
      <c r="X45" s="47">
        <f>INDEX('AEO 38'!$F$17:$AK$76,MATCH($A45,'AEO 38'!$B$17:$B$76,0),MATCH(X$42,'AEO 38'!$F$1:$AK$1,0))</f>
        <v>7367.5815430000002</v>
      </c>
      <c r="Y45" s="47">
        <f>INDEX('AEO 38'!$F$17:$AK$76,MATCH($A45,'AEO 38'!$B$17:$B$76,0),MATCH(Y$42,'AEO 38'!$F$1:$AK$1,0))</f>
        <v>7330.8530270000001</v>
      </c>
      <c r="Z45" s="47">
        <f>INDEX('AEO 38'!$F$17:$AK$76,MATCH($A45,'AEO 38'!$B$17:$B$76,0),MATCH(Z$42,'AEO 38'!$F$1:$AK$1,0))</f>
        <v>7297.3505859999996</v>
      </c>
      <c r="AA45" s="47">
        <f>INDEX('AEO 38'!$F$17:$AK$76,MATCH($A45,'AEO 38'!$B$17:$B$76,0),MATCH(AA$42,'AEO 38'!$F$1:$AK$1,0))</f>
        <v>7318.8364259999998</v>
      </c>
      <c r="AB45" s="47">
        <f>INDEX('AEO 38'!$F$17:$AK$76,MATCH($A45,'AEO 38'!$B$17:$B$76,0),MATCH(AB$42,'AEO 38'!$F$1:$AK$1,0))</f>
        <v>7272.265625</v>
      </c>
      <c r="AC45" s="47">
        <f>INDEX('AEO 38'!$F$17:$AK$76,MATCH($A45,'AEO 38'!$B$17:$B$76,0),MATCH(AC$42,'AEO 38'!$F$1:$AK$1,0))</f>
        <v>7213.9648440000001</v>
      </c>
      <c r="AD45" s="47">
        <f>INDEX('AEO 38'!$F$17:$AK$76,MATCH($A45,'AEO 38'!$B$17:$B$76,0),MATCH(AD$42,'AEO 38'!$F$1:$AK$1,0))</f>
        <v>7236.2163090000004</v>
      </c>
      <c r="AE45" s="47">
        <f>INDEX('AEO 38'!$F$17:$AK$76,MATCH($A45,'AEO 38'!$B$17:$B$76,0),MATCH(AE$42,'AEO 38'!$F$1:$AK$1,0))</f>
        <v>7160.7158200000003</v>
      </c>
      <c r="AF45" s="47">
        <f>INDEX('AEO 38'!$F$17:$AK$76,MATCH($A45,'AEO 38'!$B$17:$B$76,0),MATCH(AF$42,'AEO 38'!$F$1:$AK$1,0))</f>
        <v>7073.6337890000004</v>
      </c>
      <c r="AG45" s="47"/>
    </row>
    <row r="46" spans="1:33" s="46" customFormat="1">
      <c r="A46" s="45" t="s">
        <v>577</v>
      </c>
      <c r="B46" s="48">
        <f>SUM(B44:B45)</f>
        <v>10942.051269</v>
      </c>
      <c r="C46" s="48">
        <f t="shared" ref="C46:AF46" si="17">SUM(C44:C45)</f>
        <v>12061.860840000001</v>
      </c>
      <c r="D46" s="48">
        <f t="shared" si="17"/>
        <v>12768.612304999999</v>
      </c>
      <c r="E46" s="48">
        <f t="shared" si="17"/>
        <v>12994.024902000001</v>
      </c>
      <c r="F46" s="48">
        <f t="shared" si="17"/>
        <v>13343.116699</v>
      </c>
      <c r="G46" s="48">
        <f t="shared" si="17"/>
        <v>13584.045409999999</v>
      </c>
      <c r="H46" s="48">
        <f t="shared" si="17"/>
        <v>13388.437011</v>
      </c>
      <c r="I46" s="48">
        <f t="shared" si="17"/>
        <v>13085.345215000001</v>
      </c>
      <c r="J46" s="48">
        <f t="shared" si="17"/>
        <v>13100.290527000001</v>
      </c>
      <c r="K46" s="48">
        <f t="shared" si="17"/>
        <v>13059.417969</v>
      </c>
      <c r="L46" s="48">
        <f t="shared" si="17"/>
        <v>12867.778321</v>
      </c>
      <c r="M46" s="48">
        <f t="shared" si="17"/>
        <v>12812.703125</v>
      </c>
      <c r="N46" s="48">
        <f t="shared" si="17"/>
        <v>12778.740234000001</v>
      </c>
      <c r="O46" s="48">
        <f t="shared" si="17"/>
        <v>12725.466308999999</v>
      </c>
      <c r="P46" s="48">
        <f t="shared" si="17"/>
        <v>12671.220702999999</v>
      </c>
      <c r="Q46" s="48">
        <f t="shared" si="17"/>
        <v>12655.050781</v>
      </c>
      <c r="R46" s="48">
        <f t="shared" si="17"/>
        <v>12537.340821</v>
      </c>
      <c r="S46" s="48">
        <f t="shared" si="17"/>
        <v>12394.868164</v>
      </c>
      <c r="T46" s="48">
        <f t="shared" si="17"/>
        <v>12335.949219</v>
      </c>
      <c r="U46" s="48">
        <f t="shared" si="17"/>
        <v>12269.731444999999</v>
      </c>
      <c r="V46" s="48">
        <f t="shared" si="17"/>
        <v>12175.175293</v>
      </c>
      <c r="W46" s="48">
        <f t="shared" si="17"/>
        <v>12097.820312</v>
      </c>
      <c r="X46" s="48">
        <f t="shared" si="17"/>
        <v>12039.730957</v>
      </c>
      <c r="Y46" s="48">
        <f t="shared" si="17"/>
        <v>11946.957031</v>
      </c>
      <c r="Z46" s="48">
        <f t="shared" si="17"/>
        <v>11867.537597999999</v>
      </c>
      <c r="AA46" s="48">
        <f t="shared" si="17"/>
        <v>11890.537597999999</v>
      </c>
      <c r="AB46" s="48">
        <f t="shared" si="17"/>
        <v>11777.694336</v>
      </c>
      <c r="AC46" s="48">
        <f t="shared" si="17"/>
        <v>11648.639159999999</v>
      </c>
      <c r="AD46" s="48">
        <f t="shared" si="17"/>
        <v>11641.577149000001</v>
      </c>
      <c r="AE46" s="48">
        <f t="shared" si="17"/>
        <v>11493.403807999999</v>
      </c>
      <c r="AF46" s="48">
        <f t="shared" si="17"/>
        <v>11326.558105</v>
      </c>
      <c r="AG46" s="48"/>
    </row>
    <row r="47" spans="1:33">
      <c r="A47" s="43" t="s">
        <v>982</v>
      </c>
      <c r="B47" s="1">
        <f>B42</f>
        <v>2020</v>
      </c>
      <c r="C47" s="1">
        <f t="shared" ref="C47:AF47" si="18">C42</f>
        <v>2021</v>
      </c>
      <c r="D47" s="1">
        <f t="shared" si="18"/>
        <v>2022</v>
      </c>
      <c r="E47" s="1">
        <f t="shared" si="18"/>
        <v>2023</v>
      </c>
      <c r="F47" s="1">
        <f t="shared" si="18"/>
        <v>2024</v>
      </c>
      <c r="G47" s="1">
        <f t="shared" si="18"/>
        <v>2025</v>
      </c>
      <c r="H47" s="1">
        <f t="shared" si="18"/>
        <v>2026</v>
      </c>
      <c r="I47" s="1">
        <f t="shared" si="18"/>
        <v>2027</v>
      </c>
      <c r="J47" s="1">
        <f t="shared" si="18"/>
        <v>2028</v>
      </c>
      <c r="K47" s="1">
        <f t="shared" si="18"/>
        <v>2029</v>
      </c>
      <c r="L47" s="1">
        <f t="shared" si="18"/>
        <v>2030</v>
      </c>
      <c r="M47" s="1">
        <f t="shared" si="18"/>
        <v>2031</v>
      </c>
      <c r="N47" s="1">
        <f t="shared" si="18"/>
        <v>2032</v>
      </c>
      <c r="O47" s="1">
        <f t="shared" si="18"/>
        <v>2033</v>
      </c>
      <c r="P47" s="1">
        <f t="shared" si="18"/>
        <v>2034</v>
      </c>
      <c r="Q47" s="1">
        <f t="shared" si="18"/>
        <v>2035</v>
      </c>
      <c r="R47" s="1">
        <f t="shared" si="18"/>
        <v>2036</v>
      </c>
      <c r="S47" s="1">
        <f t="shared" si="18"/>
        <v>2037</v>
      </c>
      <c r="T47" s="1">
        <f t="shared" si="18"/>
        <v>2038</v>
      </c>
      <c r="U47" s="1">
        <f t="shared" si="18"/>
        <v>2039</v>
      </c>
      <c r="V47" s="1">
        <f t="shared" si="18"/>
        <v>2040</v>
      </c>
      <c r="W47" s="1">
        <f t="shared" si="18"/>
        <v>2041</v>
      </c>
      <c r="X47" s="1">
        <f t="shared" si="18"/>
        <v>2042</v>
      </c>
      <c r="Y47" s="1">
        <f t="shared" si="18"/>
        <v>2043</v>
      </c>
      <c r="Z47" s="1">
        <f t="shared" si="18"/>
        <v>2044</v>
      </c>
      <c r="AA47" s="1">
        <f t="shared" si="18"/>
        <v>2045</v>
      </c>
      <c r="AB47" s="1">
        <f t="shared" si="18"/>
        <v>2046</v>
      </c>
      <c r="AC47" s="1">
        <f t="shared" si="18"/>
        <v>2047</v>
      </c>
      <c r="AD47" s="1">
        <f t="shared" si="18"/>
        <v>2048</v>
      </c>
      <c r="AE47" s="1">
        <f t="shared" si="18"/>
        <v>2049</v>
      </c>
      <c r="AF47" s="1">
        <f t="shared" si="18"/>
        <v>2050</v>
      </c>
      <c r="AG47" s="1"/>
    </row>
    <row r="48" spans="1:33">
      <c r="A48" s="50" t="s">
        <v>873</v>
      </c>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row>
    <row r="49" spans="1:37">
      <c r="A49" t="s">
        <v>874</v>
      </c>
      <c r="B49" s="49">
        <f>INDEX('AEO 40'!$F$17:$AK$60,MATCH($A49,'AEO 40'!$B$17:$B$60,0),MATCH(B$42,'AEO 40'!$F$1:$AK$1,0))</f>
        <v>41.799618000000002</v>
      </c>
      <c r="C49" s="49">
        <f>INDEX('AEO 40'!$F$17:$AK$60,MATCH($A49,'AEO 40'!$B$17:$B$60,0),MATCH(C$42,'AEO 40'!$F$1:$AK$1,0))</f>
        <v>43.725628</v>
      </c>
      <c r="D49" s="49">
        <f>INDEX('AEO 40'!$F$17:$AK$60,MATCH($A49,'AEO 40'!$B$17:$B$60,0),MATCH(D$42,'AEO 40'!$F$1:$AK$1,0))</f>
        <v>44.206856000000002</v>
      </c>
      <c r="E49" s="49">
        <f>INDEX('AEO 40'!$F$17:$AK$60,MATCH($A49,'AEO 40'!$B$17:$B$60,0),MATCH(E$42,'AEO 40'!$F$1:$AK$1,0))</f>
        <v>44.834556999999997</v>
      </c>
      <c r="F49" s="49">
        <f>INDEX('AEO 40'!$F$17:$AK$60,MATCH($A49,'AEO 40'!$B$17:$B$60,0),MATCH(F$42,'AEO 40'!$F$1:$AK$1,0))</f>
        <v>45.396872999999999</v>
      </c>
      <c r="G49" s="49">
        <f>INDEX('AEO 40'!$F$17:$AK$60,MATCH($A49,'AEO 40'!$B$17:$B$60,0),MATCH(G$42,'AEO 40'!$F$1:$AK$1,0))</f>
        <v>45.904418999999997</v>
      </c>
      <c r="H49" s="49">
        <f>INDEX('AEO 40'!$F$17:$AK$60,MATCH($A49,'AEO 40'!$B$17:$B$60,0),MATCH(H$42,'AEO 40'!$F$1:$AK$1,0))</f>
        <v>46.549140999999999</v>
      </c>
      <c r="I49" s="49">
        <f>INDEX('AEO 40'!$F$17:$AK$60,MATCH($A49,'AEO 40'!$B$17:$B$60,0),MATCH(I$42,'AEO 40'!$F$1:$AK$1,0))</f>
        <v>46.557521999999999</v>
      </c>
      <c r="J49" s="49">
        <f>INDEX('AEO 40'!$F$17:$AK$60,MATCH($A49,'AEO 40'!$B$17:$B$60,0),MATCH(J$42,'AEO 40'!$F$1:$AK$1,0))</f>
        <v>46.492728999999997</v>
      </c>
      <c r="K49" s="49">
        <f>INDEX('AEO 40'!$F$17:$AK$60,MATCH($A49,'AEO 40'!$B$17:$B$60,0),MATCH(K$42,'AEO 40'!$F$1:$AK$1,0))</f>
        <v>46.427345000000003</v>
      </c>
      <c r="L49" s="49">
        <f>INDEX('AEO 40'!$F$17:$AK$60,MATCH($A49,'AEO 40'!$B$17:$B$60,0),MATCH(L$42,'AEO 40'!$F$1:$AK$1,0))</f>
        <v>46.381999999999998</v>
      </c>
      <c r="M49" s="49">
        <f>INDEX('AEO 40'!$F$17:$AK$60,MATCH($A49,'AEO 40'!$B$17:$B$60,0),MATCH(M$42,'AEO 40'!$F$1:$AK$1,0))</f>
        <v>46.339816999999996</v>
      </c>
      <c r="N49" s="49">
        <f>INDEX('AEO 40'!$F$17:$AK$60,MATCH($A49,'AEO 40'!$B$17:$B$60,0),MATCH(N$42,'AEO 40'!$F$1:$AK$1,0))</f>
        <v>46.277225000000001</v>
      </c>
      <c r="O49" s="49">
        <f>INDEX('AEO 40'!$F$17:$AK$60,MATCH($A49,'AEO 40'!$B$17:$B$60,0),MATCH(O$42,'AEO 40'!$F$1:$AK$1,0))</f>
        <v>46.229134000000002</v>
      </c>
      <c r="P49" s="49">
        <f>INDEX('AEO 40'!$F$17:$AK$60,MATCH($A49,'AEO 40'!$B$17:$B$60,0),MATCH(P$42,'AEO 40'!$F$1:$AK$1,0))</f>
        <v>46.176754000000003</v>
      </c>
      <c r="Q49" s="49">
        <f>INDEX('AEO 40'!$F$17:$AK$60,MATCH($A49,'AEO 40'!$B$17:$B$60,0),MATCH(Q$42,'AEO 40'!$F$1:$AK$1,0))</f>
        <v>46.111888999999998</v>
      </c>
      <c r="R49" s="49">
        <f>INDEX('AEO 40'!$F$17:$AK$60,MATCH($A49,'AEO 40'!$B$17:$B$60,0),MATCH(R$42,'AEO 40'!$F$1:$AK$1,0))</f>
        <v>46.038218999999998</v>
      </c>
      <c r="S49" s="49">
        <f>INDEX('AEO 40'!$F$17:$AK$60,MATCH($A49,'AEO 40'!$B$17:$B$60,0),MATCH(S$42,'AEO 40'!$F$1:$AK$1,0))</f>
        <v>45.977187999999998</v>
      </c>
      <c r="T49" s="49">
        <f>INDEX('AEO 40'!$F$17:$AK$60,MATCH($A49,'AEO 40'!$B$17:$B$60,0),MATCH(T$42,'AEO 40'!$F$1:$AK$1,0))</f>
        <v>45.919724000000002</v>
      </c>
      <c r="U49" s="49">
        <f>INDEX('AEO 40'!$F$17:$AK$60,MATCH($A49,'AEO 40'!$B$17:$B$60,0),MATCH(U$42,'AEO 40'!$F$1:$AK$1,0))</f>
        <v>45.853873999999998</v>
      </c>
      <c r="V49" s="49">
        <f>INDEX('AEO 40'!$F$17:$AK$60,MATCH($A49,'AEO 40'!$B$17:$B$60,0),MATCH(V$42,'AEO 40'!$F$1:$AK$1,0))</f>
        <v>45.786766</v>
      </c>
      <c r="W49" s="49">
        <f>INDEX('AEO 40'!$F$17:$AK$60,MATCH($A49,'AEO 40'!$B$17:$B$60,0),MATCH(W$42,'AEO 40'!$F$1:$AK$1,0))</f>
        <v>45.726635000000002</v>
      </c>
      <c r="X49" s="49">
        <f>INDEX('AEO 40'!$F$17:$AK$60,MATCH($A49,'AEO 40'!$B$17:$B$60,0),MATCH(X$42,'AEO 40'!$F$1:$AK$1,0))</f>
        <v>45.664349000000001</v>
      </c>
      <c r="Y49" s="49">
        <f>INDEX('AEO 40'!$F$17:$AK$60,MATCH($A49,'AEO 40'!$B$17:$B$60,0),MATCH(Y$42,'AEO 40'!$F$1:$AK$1,0))</f>
        <v>45.600501999999999</v>
      </c>
      <c r="Z49" s="49">
        <f>INDEX('AEO 40'!$F$17:$AK$60,MATCH($A49,'AEO 40'!$B$17:$B$60,0),MATCH(Z$42,'AEO 40'!$F$1:$AK$1,0))</f>
        <v>45.544719999999998</v>
      </c>
      <c r="AA49" s="49">
        <f>INDEX('AEO 40'!$F$17:$AK$60,MATCH($A49,'AEO 40'!$B$17:$B$60,0),MATCH(AA$42,'AEO 40'!$F$1:$AK$1,0))</f>
        <v>45.488106000000002</v>
      </c>
      <c r="AB49" s="49">
        <f>INDEX('AEO 40'!$F$17:$AK$60,MATCH($A49,'AEO 40'!$B$17:$B$60,0),MATCH(AB$42,'AEO 40'!$F$1:$AK$1,0))</f>
        <v>45.432502999999997</v>
      </c>
      <c r="AC49" s="49">
        <f>INDEX('AEO 40'!$F$17:$AK$60,MATCH($A49,'AEO 40'!$B$17:$B$60,0),MATCH(AC$42,'AEO 40'!$F$1:$AK$1,0))</f>
        <v>45.378571000000001</v>
      </c>
      <c r="AD49" s="49">
        <f>INDEX('AEO 40'!$F$17:$AK$60,MATCH($A49,'AEO 40'!$B$17:$B$60,0),MATCH(AD$42,'AEO 40'!$F$1:$AK$1,0))</f>
        <v>45.317413000000002</v>
      </c>
      <c r="AE49" s="49">
        <f>INDEX('AEO 40'!$F$17:$AK$60,MATCH($A49,'AEO 40'!$B$17:$B$60,0),MATCH(AE$42,'AEO 40'!$F$1:$AK$1,0))</f>
        <v>45.261752999999999</v>
      </c>
      <c r="AF49" s="49">
        <f>INDEX('AEO 40'!$F$17:$AK$60,MATCH($A49,'AEO 40'!$B$17:$B$60,0),MATCH(AF$42,'AEO 40'!$F$1:$AK$1,0))</f>
        <v>45.207706000000002</v>
      </c>
      <c r="AG49" s="49"/>
    </row>
    <row r="50" spans="1:37">
      <c r="A50" s="18" t="s">
        <v>891</v>
      </c>
      <c r="B50" s="49">
        <f>INDEX('AEO 40'!$F$17:$AK$60,MATCH($A50,'AEO 40'!$B$17:$B$60,0),MATCH(B$42,'AEO 40'!$F$1:$AK$1,0))</f>
        <v>30.781351000000001</v>
      </c>
      <c r="C50" s="49">
        <f>INDEX('AEO 40'!$F$17:$AK$60,MATCH($A50,'AEO 40'!$B$17:$B$60,0),MATCH(C$42,'AEO 40'!$F$1:$AK$1,0))</f>
        <v>31.734869</v>
      </c>
      <c r="D50" s="49">
        <f>INDEX('AEO 40'!$F$17:$AK$60,MATCH($A50,'AEO 40'!$B$17:$B$60,0),MATCH(D$42,'AEO 40'!$F$1:$AK$1,0))</f>
        <v>32.215733</v>
      </c>
      <c r="E50" s="49">
        <f>INDEX('AEO 40'!$F$17:$AK$60,MATCH($A50,'AEO 40'!$B$17:$B$60,0),MATCH(E$42,'AEO 40'!$F$1:$AK$1,0))</f>
        <v>32.607708000000002</v>
      </c>
      <c r="F50" s="49">
        <f>INDEX('AEO 40'!$F$17:$AK$60,MATCH($A50,'AEO 40'!$B$17:$B$60,0),MATCH(F$42,'AEO 40'!$F$1:$AK$1,0))</f>
        <v>32.887383</v>
      </c>
      <c r="G50" s="49">
        <f>INDEX('AEO 40'!$F$17:$AK$60,MATCH($A50,'AEO 40'!$B$17:$B$60,0),MATCH(G$42,'AEO 40'!$F$1:$AK$1,0))</f>
        <v>33.219242000000001</v>
      </c>
      <c r="H50" s="49">
        <f>INDEX('AEO 40'!$F$17:$AK$60,MATCH($A50,'AEO 40'!$B$17:$B$60,0),MATCH(H$42,'AEO 40'!$F$1:$AK$1,0))</f>
        <v>33.306679000000003</v>
      </c>
      <c r="I50" s="49">
        <f>INDEX('AEO 40'!$F$17:$AK$60,MATCH($A50,'AEO 40'!$B$17:$B$60,0),MATCH(I$42,'AEO 40'!$F$1:$AK$1,0))</f>
        <v>33.296996999999998</v>
      </c>
      <c r="J50" s="49">
        <f>INDEX('AEO 40'!$F$17:$AK$60,MATCH($A50,'AEO 40'!$B$17:$B$60,0),MATCH(J$42,'AEO 40'!$F$1:$AK$1,0))</f>
        <v>33.293453</v>
      </c>
      <c r="K50" s="49">
        <f>INDEX('AEO 40'!$F$17:$AK$60,MATCH($A50,'AEO 40'!$B$17:$B$60,0),MATCH(K$42,'AEO 40'!$F$1:$AK$1,0))</f>
        <v>33.279564000000001</v>
      </c>
      <c r="L50" s="49">
        <f>INDEX('AEO 40'!$F$17:$AK$60,MATCH($A50,'AEO 40'!$B$17:$B$60,0),MATCH(L$42,'AEO 40'!$F$1:$AK$1,0))</f>
        <v>33.274303000000003</v>
      </c>
      <c r="M50" s="49">
        <f>INDEX('AEO 40'!$F$17:$AK$60,MATCH($A50,'AEO 40'!$B$17:$B$60,0),MATCH(M$42,'AEO 40'!$F$1:$AK$1,0))</f>
        <v>33.249251999999998</v>
      </c>
      <c r="N50" s="49">
        <f>INDEX('AEO 40'!$F$17:$AK$60,MATCH($A50,'AEO 40'!$B$17:$B$60,0),MATCH(N$42,'AEO 40'!$F$1:$AK$1,0))</f>
        <v>33.221687000000003</v>
      </c>
      <c r="O50" s="49">
        <f>INDEX('AEO 40'!$F$17:$AK$60,MATCH($A50,'AEO 40'!$B$17:$B$60,0),MATCH(O$42,'AEO 40'!$F$1:$AK$1,0))</f>
        <v>33.185428999999999</v>
      </c>
      <c r="P50" s="49">
        <f>INDEX('AEO 40'!$F$17:$AK$60,MATCH($A50,'AEO 40'!$B$17:$B$60,0),MATCH(P$42,'AEO 40'!$F$1:$AK$1,0))</f>
        <v>33.157100999999997</v>
      </c>
      <c r="Q50" s="49">
        <f>INDEX('AEO 40'!$F$17:$AK$60,MATCH($A50,'AEO 40'!$B$17:$B$60,0),MATCH(Q$42,'AEO 40'!$F$1:$AK$1,0))</f>
        <v>33.122115999999998</v>
      </c>
      <c r="R50" s="49">
        <f>INDEX('AEO 40'!$F$17:$AK$60,MATCH($A50,'AEO 40'!$B$17:$B$60,0),MATCH(R$42,'AEO 40'!$F$1:$AK$1,0))</f>
        <v>33.086300000000001</v>
      </c>
      <c r="S50" s="49">
        <f>INDEX('AEO 40'!$F$17:$AK$60,MATCH($A50,'AEO 40'!$B$17:$B$60,0),MATCH(S$42,'AEO 40'!$F$1:$AK$1,0))</f>
        <v>33.052925000000002</v>
      </c>
      <c r="T50" s="49">
        <f>INDEX('AEO 40'!$F$17:$AK$60,MATCH($A50,'AEO 40'!$B$17:$B$60,0),MATCH(T$42,'AEO 40'!$F$1:$AK$1,0))</f>
        <v>33.036205000000002</v>
      </c>
      <c r="U50" s="49">
        <f>INDEX('AEO 40'!$F$17:$AK$60,MATCH($A50,'AEO 40'!$B$17:$B$60,0),MATCH(U$42,'AEO 40'!$F$1:$AK$1,0))</f>
        <v>33.002163000000003</v>
      </c>
      <c r="V50" s="49">
        <f>INDEX('AEO 40'!$F$17:$AK$60,MATCH($A50,'AEO 40'!$B$17:$B$60,0),MATCH(V$42,'AEO 40'!$F$1:$AK$1,0))</f>
        <v>32.977539</v>
      </c>
      <c r="W50" s="49">
        <f>INDEX('AEO 40'!$F$17:$AK$60,MATCH($A50,'AEO 40'!$B$17:$B$60,0),MATCH(W$42,'AEO 40'!$F$1:$AK$1,0))</f>
        <v>32.955719000000002</v>
      </c>
      <c r="X50" s="49">
        <f>INDEX('AEO 40'!$F$17:$AK$60,MATCH($A50,'AEO 40'!$B$17:$B$60,0),MATCH(X$42,'AEO 40'!$F$1:$AK$1,0))</f>
        <v>32.935600000000001</v>
      </c>
      <c r="Y50" s="49">
        <f>INDEX('AEO 40'!$F$17:$AK$60,MATCH($A50,'AEO 40'!$B$17:$B$60,0),MATCH(Y$42,'AEO 40'!$F$1:$AK$1,0))</f>
        <v>32.913573999999997</v>
      </c>
      <c r="Z50" s="49">
        <f>INDEX('AEO 40'!$F$17:$AK$60,MATCH($A50,'AEO 40'!$B$17:$B$60,0),MATCH(Z$42,'AEO 40'!$F$1:$AK$1,0))</f>
        <v>32.894779</v>
      </c>
      <c r="AA50" s="49">
        <f>INDEX('AEO 40'!$F$17:$AK$60,MATCH($A50,'AEO 40'!$B$17:$B$60,0),MATCH(AA$42,'AEO 40'!$F$1:$AK$1,0))</f>
        <v>32.875202000000002</v>
      </c>
      <c r="AB50" s="49">
        <f>INDEX('AEO 40'!$F$17:$AK$60,MATCH($A50,'AEO 40'!$B$17:$B$60,0),MATCH(AB$42,'AEO 40'!$F$1:$AK$1,0))</f>
        <v>32.853752</v>
      </c>
      <c r="AC50" s="49">
        <f>INDEX('AEO 40'!$F$17:$AK$60,MATCH($A50,'AEO 40'!$B$17:$B$60,0),MATCH(AC$42,'AEO 40'!$F$1:$AK$1,0))</f>
        <v>32.834758999999998</v>
      </c>
      <c r="AD50" s="49">
        <f>INDEX('AEO 40'!$F$17:$AK$60,MATCH($A50,'AEO 40'!$B$17:$B$60,0),MATCH(AD$42,'AEO 40'!$F$1:$AK$1,0))</f>
        <v>32.812449999999998</v>
      </c>
      <c r="AE50" s="49">
        <f>INDEX('AEO 40'!$F$17:$AK$60,MATCH($A50,'AEO 40'!$B$17:$B$60,0),MATCH(AE$42,'AEO 40'!$F$1:$AK$1,0))</f>
        <v>32.792171000000003</v>
      </c>
      <c r="AF50" s="49">
        <f>INDEX('AEO 40'!$F$17:$AK$60,MATCH($A50,'AEO 40'!$B$17:$B$60,0),MATCH(AF$42,'AEO 40'!$F$1:$AK$1,0))</f>
        <v>32.77158</v>
      </c>
      <c r="AG50" s="49"/>
    </row>
    <row r="51" spans="1:37">
      <c r="A51" s="51" t="s">
        <v>988</v>
      </c>
      <c r="B51" s="52">
        <f>SUM(B44/B46*B49,B45/B46*B50)</f>
        <v>35.242751509262455</v>
      </c>
      <c r="C51" s="52">
        <f t="shared" ref="C51:AF51" si="19">SUM(C44/C46*C49,C45/C46*C50)</f>
        <v>36.475683568404435</v>
      </c>
      <c r="D51" s="52">
        <f t="shared" si="19"/>
        <v>37.139188391581598</v>
      </c>
      <c r="E51" s="52">
        <f t="shared" si="19"/>
        <v>37.573551040908924</v>
      </c>
      <c r="F51" s="52">
        <f t="shared" si="19"/>
        <v>37.886712394921958</v>
      </c>
      <c r="G51" s="52">
        <f t="shared" si="19"/>
        <v>38.230509600699961</v>
      </c>
      <c r="H51" s="52">
        <f t="shared" si="19"/>
        <v>38.525182435548174</v>
      </c>
      <c r="I51" s="52">
        <f t="shared" si="19"/>
        <v>38.523768560031357</v>
      </c>
      <c r="J51" s="52">
        <f t="shared" si="19"/>
        <v>38.492874275098863</v>
      </c>
      <c r="K51" s="52">
        <f t="shared" si="19"/>
        <v>38.464891840361503</v>
      </c>
      <c r="L51" s="52">
        <f t="shared" si="19"/>
        <v>38.519429037515962</v>
      </c>
      <c r="M51" s="52">
        <f t="shared" si="19"/>
        <v>38.48951016930063</v>
      </c>
      <c r="N51" s="52">
        <f t="shared" si="19"/>
        <v>38.456319269641085</v>
      </c>
      <c r="O51" s="52">
        <f t="shared" si="19"/>
        <v>38.420314114419391</v>
      </c>
      <c r="P51" s="52">
        <f t="shared" si="19"/>
        <v>38.404138067396595</v>
      </c>
      <c r="Q51" s="52">
        <f t="shared" si="19"/>
        <v>38.323166670709242</v>
      </c>
      <c r="R51" s="52">
        <f t="shared" si="19"/>
        <v>38.239923046148803</v>
      </c>
      <c r="S51" s="52">
        <f t="shared" si="19"/>
        <v>38.17830989951451</v>
      </c>
      <c r="T51" s="52">
        <f t="shared" si="19"/>
        <v>38.132549843684103</v>
      </c>
      <c r="U51" s="52">
        <f t="shared" si="19"/>
        <v>38.055832793451806</v>
      </c>
      <c r="V51" s="52">
        <f>SUM(V44/V46*V49,V45/V46*V50)</f>
        <v>37.99280849581406</v>
      </c>
      <c r="W51" s="52">
        <f t="shared" si="19"/>
        <v>37.937048363847381</v>
      </c>
      <c r="X51" s="52">
        <f t="shared" si="19"/>
        <v>37.875130409251085</v>
      </c>
      <c r="Y51" s="52">
        <f t="shared" si="19"/>
        <v>37.81559038687552</v>
      </c>
      <c r="Z51" s="52">
        <f t="shared" si="19"/>
        <v>37.766269448912446</v>
      </c>
      <c r="AA51" s="52">
        <f t="shared" si="19"/>
        <v>37.724640263314726</v>
      </c>
      <c r="AB51" s="52">
        <f t="shared" si="19"/>
        <v>37.665616214432262</v>
      </c>
      <c r="AC51" s="52">
        <f t="shared" si="19"/>
        <v>37.610228489359017</v>
      </c>
      <c r="AD51" s="52">
        <f t="shared" si="19"/>
        <v>37.544529992321401</v>
      </c>
      <c r="AE51" s="52">
        <f t="shared" si="19"/>
        <v>37.492850541875626</v>
      </c>
      <c r="AF51" s="52">
        <f t="shared" si="19"/>
        <v>37.441127639445035</v>
      </c>
      <c r="AG51" s="52"/>
    </row>
    <row r="52" spans="1:37">
      <c r="A52" s="43" t="s">
        <v>984</v>
      </c>
      <c r="B52" s="1">
        <f>B47</f>
        <v>2020</v>
      </c>
      <c r="C52" s="1">
        <f t="shared" ref="C52:AF52" si="20">C47</f>
        <v>2021</v>
      </c>
      <c r="D52" s="1">
        <f t="shared" si="20"/>
        <v>2022</v>
      </c>
      <c r="E52" s="1">
        <f t="shared" si="20"/>
        <v>2023</v>
      </c>
      <c r="F52" s="1">
        <f t="shared" si="20"/>
        <v>2024</v>
      </c>
      <c r="G52" s="1">
        <f t="shared" si="20"/>
        <v>2025</v>
      </c>
      <c r="H52" s="1">
        <f t="shared" si="20"/>
        <v>2026</v>
      </c>
      <c r="I52" s="1">
        <f t="shared" si="20"/>
        <v>2027</v>
      </c>
      <c r="J52" s="1">
        <f t="shared" si="20"/>
        <v>2028</v>
      </c>
      <c r="K52" s="1">
        <f t="shared" si="20"/>
        <v>2029</v>
      </c>
      <c r="L52" s="1">
        <f t="shared" si="20"/>
        <v>2030</v>
      </c>
      <c r="M52" s="1">
        <f t="shared" si="20"/>
        <v>2031</v>
      </c>
      <c r="N52" s="1">
        <f t="shared" si="20"/>
        <v>2032</v>
      </c>
      <c r="O52" s="1">
        <f t="shared" si="20"/>
        <v>2033</v>
      </c>
      <c r="P52" s="1">
        <f t="shared" si="20"/>
        <v>2034</v>
      </c>
      <c r="Q52" s="1">
        <f t="shared" si="20"/>
        <v>2035</v>
      </c>
      <c r="R52" s="1">
        <f t="shared" si="20"/>
        <v>2036</v>
      </c>
      <c r="S52" s="1">
        <f t="shared" si="20"/>
        <v>2037</v>
      </c>
      <c r="T52" s="1">
        <f t="shared" si="20"/>
        <v>2038</v>
      </c>
      <c r="U52" s="1">
        <f t="shared" si="20"/>
        <v>2039</v>
      </c>
      <c r="V52" s="1">
        <f t="shared" si="20"/>
        <v>2040</v>
      </c>
      <c r="W52" s="1">
        <f t="shared" si="20"/>
        <v>2041</v>
      </c>
      <c r="X52" s="1">
        <f t="shared" si="20"/>
        <v>2042</v>
      </c>
      <c r="Y52" s="1">
        <f t="shared" si="20"/>
        <v>2043</v>
      </c>
      <c r="Z52" s="1">
        <f t="shared" si="20"/>
        <v>2044</v>
      </c>
      <c r="AA52" s="1">
        <f t="shared" si="20"/>
        <v>2045</v>
      </c>
      <c r="AB52" s="1">
        <f t="shared" si="20"/>
        <v>2046</v>
      </c>
      <c r="AC52" s="1">
        <f t="shared" si="20"/>
        <v>2047</v>
      </c>
      <c r="AD52" s="1">
        <f t="shared" si="20"/>
        <v>2048</v>
      </c>
      <c r="AE52" s="1">
        <f t="shared" si="20"/>
        <v>2049</v>
      </c>
      <c r="AF52" s="1">
        <f t="shared" si="20"/>
        <v>2050</v>
      </c>
      <c r="AG52" s="1"/>
    </row>
    <row r="53" spans="1:37">
      <c r="A53" s="50" t="s">
        <v>985</v>
      </c>
    </row>
    <row r="54" spans="1:37">
      <c r="A54" s="55" t="s">
        <v>73</v>
      </c>
      <c r="B54" s="49">
        <f>INDEX('AEO 7'!$C$18:$AH$85,MATCH($A54,'AEO 7'!$A$18:$A$85,0),MATCH(B$42,'AEO 7'!$C$1:$AH$1,0))</f>
        <v>35.306621999999997</v>
      </c>
      <c r="C54" s="49">
        <f>INDEX('AEO 7'!$C$18:$AH$85,MATCH($A54,'AEO 7'!$A$18:$A$85,0),MATCH(C$42,'AEO 7'!$C$1:$AH$1,0))</f>
        <v>36.467899000000003</v>
      </c>
      <c r="D54" s="49">
        <f>INDEX('AEO 7'!$C$18:$AH$85,MATCH($A54,'AEO 7'!$A$18:$A$85,0),MATCH(D$42,'AEO 7'!$C$1:$AH$1,0))</f>
        <v>37.145805000000003</v>
      </c>
      <c r="E54" s="49">
        <f>INDEX('AEO 7'!$C$18:$AH$85,MATCH($A54,'AEO 7'!$A$18:$A$85,0),MATCH(E$42,'AEO 7'!$C$1:$AH$1,0))</f>
        <v>37.564754000000001</v>
      </c>
      <c r="F54" s="49">
        <f>INDEX('AEO 7'!$C$18:$AH$85,MATCH($A54,'AEO 7'!$A$18:$A$85,0),MATCH(F$42,'AEO 7'!$C$1:$AH$1,0))</f>
        <v>37.869587000000003</v>
      </c>
      <c r="G54" s="49">
        <f>INDEX('AEO 7'!$C$18:$AH$85,MATCH($A54,'AEO 7'!$A$18:$A$85,0),MATCH(G$42,'AEO 7'!$C$1:$AH$1,0))</f>
        <v>38.261166000000003</v>
      </c>
      <c r="H54" s="49">
        <f>INDEX('AEO 7'!$C$18:$AH$85,MATCH($A54,'AEO 7'!$A$18:$A$85,0),MATCH(H$42,'AEO 7'!$C$1:$AH$1,0))</f>
        <v>38.678328999999998</v>
      </c>
      <c r="I54" s="49">
        <f>INDEX('AEO 7'!$C$18:$AH$85,MATCH($A54,'AEO 7'!$A$18:$A$85,0),MATCH(I$42,'AEO 7'!$C$1:$AH$1,0))</f>
        <v>38.782119999999999</v>
      </c>
      <c r="J54" s="49">
        <f>INDEX('AEO 7'!$C$18:$AH$85,MATCH($A54,'AEO 7'!$A$18:$A$85,0),MATCH(J$42,'AEO 7'!$C$1:$AH$1,0))</f>
        <v>38.833714000000001</v>
      </c>
      <c r="K54" s="49">
        <f>INDEX('AEO 7'!$C$18:$AH$85,MATCH($A54,'AEO 7'!$A$18:$A$85,0),MATCH(K$42,'AEO 7'!$C$1:$AH$1,0))</f>
        <v>38.876083000000001</v>
      </c>
      <c r="L54" s="49">
        <f>INDEX('AEO 7'!$C$18:$AH$85,MATCH($A54,'AEO 7'!$A$18:$A$85,0),MATCH(L$42,'AEO 7'!$C$1:$AH$1,0))</f>
        <v>39.031016999999999</v>
      </c>
      <c r="M54" s="49">
        <f>INDEX('AEO 7'!$C$18:$AH$85,MATCH($A54,'AEO 7'!$A$18:$A$85,0),MATCH(M$42,'AEO 7'!$C$1:$AH$1,0))</f>
        <v>39.097121999999999</v>
      </c>
      <c r="N54" s="49">
        <f>INDEX('AEO 7'!$C$18:$AH$85,MATCH($A54,'AEO 7'!$A$18:$A$85,0),MATCH(N$42,'AEO 7'!$C$1:$AH$1,0))</f>
        <v>39.178814000000003</v>
      </c>
      <c r="O54" s="49">
        <f>INDEX('AEO 7'!$C$18:$AH$85,MATCH($A54,'AEO 7'!$A$18:$A$85,0),MATCH(O$42,'AEO 7'!$C$1:$AH$1,0))</f>
        <v>39.263396999999998</v>
      </c>
      <c r="P54" s="49">
        <f>INDEX('AEO 7'!$C$18:$AH$85,MATCH($A54,'AEO 7'!$A$18:$A$85,0),MATCH(P$42,'AEO 7'!$C$1:$AH$1,0))</f>
        <v>39.380603999999998</v>
      </c>
      <c r="Q54" s="49">
        <f>INDEX('AEO 7'!$C$18:$AH$85,MATCH($A54,'AEO 7'!$A$18:$A$85,0),MATCH(Q$42,'AEO 7'!$C$1:$AH$1,0))</f>
        <v>39.428646000000001</v>
      </c>
      <c r="R54" s="49">
        <f>INDEX('AEO 7'!$C$18:$AH$85,MATCH($A54,'AEO 7'!$A$18:$A$85,0),MATCH(R$42,'AEO 7'!$C$1:$AH$1,0))</f>
        <v>39.476784000000002</v>
      </c>
      <c r="S54" s="49">
        <f>INDEX('AEO 7'!$C$18:$AH$85,MATCH($A54,'AEO 7'!$A$18:$A$85,0),MATCH(S$42,'AEO 7'!$C$1:$AH$1,0))</f>
        <v>39.553840999999998</v>
      </c>
      <c r="T54" s="49">
        <f>INDEX('AEO 7'!$C$18:$AH$85,MATCH($A54,'AEO 7'!$A$18:$A$85,0),MATCH(T$42,'AEO 7'!$C$1:$AH$1,0))</f>
        <v>39.655147999999997</v>
      </c>
      <c r="U54" s="49">
        <f>INDEX('AEO 7'!$C$18:$AH$85,MATCH($A54,'AEO 7'!$A$18:$A$85,0),MATCH(U$42,'AEO 7'!$C$1:$AH$1,0))</f>
        <v>39.718604999999997</v>
      </c>
      <c r="V54" s="49">
        <f>INDEX('AEO 7'!$C$18:$AH$85,MATCH($A54,'AEO 7'!$A$18:$A$85,0),MATCH(V$42,'AEO 7'!$C$1:$AH$1,0))</f>
        <v>39.800255</v>
      </c>
      <c r="W54" s="49">
        <f>INDEX('AEO 7'!$C$18:$AH$85,MATCH($A54,'AEO 7'!$A$18:$A$85,0),MATCH(W$42,'AEO 7'!$C$1:$AH$1,0))</f>
        <v>39.857684999999996</v>
      </c>
      <c r="X54" s="49">
        <f>INDEX('AEO 7'!$C$18:$AH$85,MATCH($A54,'AEO 7'!$A$18:$A$85,0),MATCH(X$42,'AEO 7'!$C$1:$AH$1,0))</f>
        <v>39.902507999999997</v>
      </c>
      <c r="Y54" s="49">
        <f>INDEX('AEO 7'!$C$18:$AH$85,MATCH($A54,'AEO 7'!$A$18:$A$85,0),MATCH(Y$42,'AEO 7'!$C$1:$AH$1,0))</f>
        <v>39.954895</v>
      </c>
      <c r="Z54" s="49">
        <f>INDEX('AEO 7'!$C$18:$AH$85,MATCH($A54,'AEO 7'!$A$18:$A$85,0),MATCH(Z$42,'AEO 7'!$C$1:$AH$1,0))</f>
        <v>40.024872000000002</v>
      </c>
      <c r="AA54" s="49">
        <f>INDEX('AEO 7'!$C$18:$AH$85,MATCH($A54,'AEO 7'!$A$18:$A$85,0),MATCH(AA$42,'AEO 7'!$C$1:$AH$1,0))</f>
        <v>40.112934000000003</v>
      </c>
      <c r="AB54" s="49">
        <f>INDEX('AEO 7'!$C$18:$AH$85,MATCH($A54,'AEO 7'!$A$18:$A$85,0),MATCH(AB$42,'AEO 7'!$C$1:$AH$1,0))</f>
        <v>40.181061</v>
      </c>
      <c r="AC54" s="49">
        <f>INDEX('AEO 7'!$C$18:$AH$85,MATCH($A54,'AEO 7'!$A$18:$A$85,0),MATCH(AC$42,'AEO 7'!$C$1:$AH$1,0))</f>
        <v>40.254047</v>
      </c>
      <c r="AD54" s="49">
        <f>INDEX('AEO 7'!$C$18:$AH$85,MATCH($A54,'AEO 7'!$A$18:$A$85,0),MATCH(AD$42,'AEO 7'!$C$1:$AH$1,0))</f>
        <v>40.320404000000003</v>
      </c>
      <c r="AE54" s="49">
        <f>INDEX('AEO 7'!$C$18:$AH$85,MATCH($A54,'AEO 7'!$A$18:$A$85,0),MATCH(AE$42,'AEO 7'!$C$1:$AH$1,0))</f>
        <v>40.416508</v>
      </c>
      <c r="AF54" s="49">
        <f>INDEX('AEO 7'!$C$18:$AH$85,MATCH($A54,'AEO 7'!$A$18:$A$85,0),MATCH(AF$42,'AEO 7'!$C$1:$AH$1,0))</f>
        <v>40.521500000000003</v>
      </c>
      <c r="AG54" s="49"/>
    </row>
    <row r="55" spans="1:37">
      <c r="A55" s="55" t="s">
        <v>67</v>
      </c>
      <c r="B55" s="49">
        <f>INDEX('AEO 7'!$C$18:$AH$85,MATCH($A55,'AEO 7'!$A$18:$A$85,0),MATCH(B$42,'AEO 7'!$C$1:$AH$1,0))</f>
        <v>28.801698999999999</v>
      </c>
      <c r="C55" s="49">
        <f>INDEX('AEO 7'!$C$18:$AH$85,MATCH($A55,'AEO 7'!$A$18:$A$85,0),MATCH(C$42,'AEO 7'!$C$1:$AH$1,0))</f>
        <v>29.748508000000001</v>
      </c>
      <c r="D55" s="49">
        <f>INDEX('AEO 7'!$C$18:$AH$85,MATCH($A55,'AEO 7'!$A$18:$A$85,0),MATCH(D$42,'AEO 7'!$C$1:$AH$1,0))</f>
        <v>30.302168000000002</v>
      </c>
      <c r="E55" s="49">
        <f>INDEX('AEO 7'!$C$18:$AH$85,MATCH($A55,'AEO 7'!$A$18:$A$85,0),MATCH(E$42,'AEO 7'!$C$1:$AH$1,0))</f>
        <v>30.643736000000001</v>
      </c>
      <c r="F55" s="49">
        <f>INDEX('AEO 7'!$C$18:$AH$85,MATCH($A55,'AEO 7'!$A$18:$A$85,0),MATCH(F$42,'AEO 7'!$C$1:$AH$1,0))</f>
        <v>30.892097</v>
      </c>
      <c r="G55" s="49">
        <f>INDEX('AEO 7'!$C$18:$AH$85,MATCH($A55,'AEO 7'!$A$18:$A$85,0),MATCH(G$42,'AEO 7'!$C$1:$AH$1,0))</f>
        <v>31.211321000000002</v>
      </c>
      <c r="H55" s="49">
        <f>INDEX('AEO 7'!$C$18:$AH$85,MATCH($A55,'AEO 7'!$A$18:$A$85,0),MATCH(H$42,'AEO 7'!$C$1:$AH$1,0))</f>
        <v>31.551421999999999</v>
      </c>
      <c r="I55" s="49">
        <f>INDEX('AEO 7'!$C$18:$AH$85,MATCH($A55,'AEO 7'!$A$18:$A$85,0),MATCH(I$42,'AEO 7'!$C$1:$AH$1,0))</f>
        <v>31.636091</v>
      </c>
      <c r="J55" s="49">
        <f>INDEX('AEO 7'!$C$18:$AH$85,MATCH($A55,'AEO 7'!$A$18:$A$85,0),MATCH(J$42,'AEO 7'!$C$1:$AH$1,0))</f>
        <v>31.678196</v>
      </c>
      <c r="K55" s="49">
        <f>INDEX('AEO 7'!$C$18:$AH$85,MATCH($A55,'AEO 7'!$A$18:$A$85,0),MATCH(K$42,'AEO 7'!$C$1:$AH$1,0))</f>
        <v>31.712803000000001</v>
      </c>
      <c r="L55" s="49">
        <f>INDEX('AEO 7'!$C$18:$AH$85,MATCH($A55,'AEO 7'!$A$18:$A$85,0),MATCH(L$42,'AEO 7'!$C$1:$AH$1,0))</f>
        <v>31.839462000000001</v>
      </c>
      <c r="M55" s="49">
        <f>INDEX('AEO 7'!$C$18:$AH$85,MATCH($A55,'AEO 7'!$A$18:$A$85,0),MATCH(M$42,'AEO 7'!$C$1:$AH$1,0))</f>
        <v>31.893412000000001</v>
      </c>
      <c r="N55" s="49">
        <f>INDEX('AEO 7'!$C$18:$AH$85,MATCH($A55,'AEO 7'!$A$18:$A$85,0),MATCH(N$42,'AEO 7'!$C$1:$AH$1,0))</f>
        <v>31.960094000000002</v>
      </c>
      <c r="O55" s="49">
        <f>INDEX('AEO 7'!$C$18:$AH$85,MATCH($A55,'AEO 7'!$A$18:$A$85,0),MATCH(O$42,'AEO 7'!$C$1:$AH$1,0))</f>
        <v>32.029114</v>
      </c>
      <c r="P55" s="49">
        <f>INDEX('AEO 7'!$C$18:$AH$85,MATCH($A55,'AEO 7'!$A$18:$A$85,0),MATCH(P$42,'AEO 7'!$C$1:$AH$1,0))</f>
        <v>32.124813000000003</v>
      </c>
      <c r="Q55" s="49">
        <f>INDEX('AEO 7'!$C$18:$AH$85,MATCH($A55,'AEO 7'!$A$18:$A$85,0),MATCH(Q$42,'AEO 7'!$C$1:$AH$1,0))</f>
        <v>32.163910000000001</v>
      </c>
      <c r="R55" s="49">
        <f>INDEX('AEO 7'!$C$18:$AH$85,MATCH($A55,'AEO 7'!$A$18:$A$85,0),MATCH(R$42,'AEO 7'!$C$1:$AH$1,0))</f>
        <v>32.203082999999999</v>
      </c>
      <c r="S55" s="49">
        <f>INDEX('AEO 7'!$C$18:$AH$85,MATCH($A55,'AEO 7'!$A$18:$A$85,0),MATCH(S$42,'AEO 7'!$C$1:$AH$1,0))</f>
        <v>32.265900000000002</v>
      </c>
      <c r="T55" s="49">
        <f>INDEX('AEO 7'!$C$18:$AH$85,MATCH($A55,'AEO 7'!$A$18:$A$85,0),MATCH(T$42,'AEO 7'!$C$1:$AH$1,0))</f>
        <v>32.348514999999999</v>
      </c>
      <c r="U55" s="49">
        <f>INDEX('AEO 7'!$C$18:$AH$85,MATCH($A55,'AEO 7'!$A$18:$A$85,0),MATCH(U$42,'AEO 7'!$C$1:$AH$1,0))</f>
        <v>32.400196000000001</v>
      </c>
      <c r="V55" s="49">
        <f>INDEX('AEO 7'!$C$18:$AH$85,MATCH($A55,'AEO 7'!$A$18:$A$85,0),MATCH(V$42,'AEO 7'!$C$1:$AH$1,0))</f>
        <v>32.466754999999999</v>
      </c>
      <c r="W55" s="49">
        <f>INDEX('AEO 7'!$C$18:$AH$85,MATCH($A55,'AEO 7'!$A$18:$A$85,0),MATCH(W$42,'AEO 7'!$C$1:$AH$1,0))</f>
        <v>32.513561000000003</v>
      </c>
      <c r="X55" s="49">
        <f>INDEX('AEO 7'!$C$18:$AH$85,MATCH($A55,'AEO 7'!$A$18:$A$85,0),MATCH(X$42,'AEO 7'!$C$1:$AH$1,0))</f>
        <v>32.550055999999998</v>
      </c>
      <c r="Y55" s="49">
        <f>INDEX('AEO 7'!$C$18:$AH$85,MATCH($A55,'AEO 7'!$A$18:$A$85,0),MATCH(Y$42,'AEO 7'!$C$1:$AH$1,0))</f>
        <v>32.592742999999999</v>
      </c>
      <c r="Z55" s="49">
        <f>INDEX('AEO 7'!$C$18:$AH$85,MATCH($A55,'AEO 7'!$A$18:$A$85,0),MATCH(Z$42,'AEO 7'!$C$1:$AH$1,0))</f>
        <v>32.649788000000001</v>
      </c>
      <c r="AA55" s="49">
        <f>INDEX('AEO 7'!$C$18:$AH$85,MATCH($A55,'AEO 7'!$A$18:$A$85,0),MATCH(AA$42,'AEO 7'!$C$1:$AH$1,0))</f>
        <v>32.721618999999997</v>
      </c>
      <c r="AB55" s="49">
        <f>INDEX('AEO 7'!$C$18:$AH$85,MATCH($A55,'AEO 7'!$A$18:$A$85,0),MATCH(AB$42,'AEO 7'!$C$1:$AH$1,0))</f>
        <v>32.77713</v>
      </c>
      <c r="AC55" s="49">
        <f>INDEX('AEO 7'!$C$18:$AH$85,MATCH($A55,'AEO 7'!$A$18:$A$85,0),MATCH(AC$42,'AEO 7'!$C$1:$AH$1,0))</f>
        <v>32.836616999999997</v>
      </c>
      <c r="AD55" s="49">
        <f>INDEX('AEO 7'!$C$18:$AH$85,MATCH($A55,'AEO 7'!$A$18:$A$85,0),MATCH(AD$42,'AEO 7'!$C$1:$AH$1,0))</f>
        <v>32.890667000000001</v>
      </c>
      <c r="AE55" s="49">
        <f>INDEX('AEO 7'!$C$18:$AH$85,MATCH($A55,'AEO 7'!$A$18:$A$85,0),MATCH(AE$42,'AEO 7'!$C$1:$AH$1,0))</f>
        <v>32.969020999999998</v>
      </c>
      <c r="AF55" s="49">
        <f>INDEX('AEO 7'!$C$18:$AH$85,MATCH($A55,'AEO 7'!$A$18:$A$85,0),MATCH(AF$42,'AEO 7'!$C$1:$AH$1,0))</f>
        <v>33.054625999999999</v>
      </c>
      <c r="AG55" s="49"/>
    </row>
    <row r="56" spans="1:37">
      <c r="A56" s="51" t="s">
        <v>986</v>
      </c>
      <c r="B56" s="56">
        <f>B55/B54</f>
        <v>0.81575912303363374</v>
      </c>
      <c r="C56" s="56">
        <f t="shared" ref="C56:AF56" si="21">C55/C54</f>
        <v>0.81574504744570009</v>
      </c>
      <c r="D56" s="56">
        <f t="shared" si="21"/>
        <v>0.81576285666712567</v>
      </c>
      <c r="E56" s="56">
        <f t="shared" si="21"/>
        <v>0.81575766475137834</v>
      </c>
      <c r="F56" s="56">
        <f t="shared" si="21"/>
        <v>0.81574950896612619</v>
      </c>
      <c r="G56" s="56">
        <f t="shared" si="21"/>
        <v>0.81574411506434485</v>
      </c>
      <c r="H56" s="56">
        <f t="shared" si="21"/>
        <v>0.81573901499209034</v>
      </c>
      <c r="I56" s="56">
        <f t="shared" si="21"/>
        <v>0.81573908285570773</v>
      </c>
      <c r="J56" s="56">
        <f t="shared" si="21"/>
        <v>0.81573954013257655</v>
      </c>
      <c r="K56" s="56">
        <f t="shared" si="21"/>
        <v>0.8157406958926392</v>
      </c>
      <c r="L56" s="56">
        <f t="shared" si="21"/>
        <v>0.81574769112472789</v>
      </c>
      <c r="M56" s="56">
        <f t="shared" si="21"/>
        <v>0.81574833052929063</v>
      </c>
      <c r="N56" s="56">
        <f t="shared" si="21"/>
        <v>0.81574939966278714</v>
      </c>
      <c r="O56" s="56">
        <f t="shared" si="21"/>
        <v>0.81574994644503129</v>
      </c>
      <c r="P56" s="56">
        <f t="shared" si="21"/>
        <v>0.81575216571081555</v>
      </c>
      <c r="Q56" s="56">
        <f t="shared" si="21"/>
        <v>0.81574979774857093</v>
      </c>
      <c r="R56" s="56">
        <f t="shared" si="21"/>
        <v>0.81574737698997968</v>
      </c>
      <c r="S56" s="56">
        <f t="shared" si="21"/>
        <v>0.81574631399261588</v>
      </c>
      <c r="T56" s="56">
        <f t="shared" si="21"/>
        <v>0.81574566308515606</v>
      </c>
      <c r="U56" s="56">
        <f t="shared" si="21"/>
        <v>0.81574355393398146</v>
      </c>
      <c r="V56" s="56">
        <f t="shared" si="21"/>
        <v>0.8157423865751614</v>
      </c>
      <c r="W56" s="56">
        <f t="shared" si="21"/>
        <v>0.8157413306869179</v>
      </c>
      <c r="X56" s="56">
        <f t="shared" si="21"/>
        <v>0.81573960213227703</v>
      </c>
      <c r="Y56" s="56">
        <f t="shared" si="21"/>
        <v>0.81573842203815072</v>
      </c>
      <c r="Z56" s="56">
        <f t="shared" si="21"/>
        <v>0.81573747443839417</v>
      </c>
      <c r="AA56" s="56">
        <f t="shared" si="21"/>
        <v>0.81573736291640986</v>
      </c>
      <c r="AB56" s="56">
        <f t="shared" si="21"/>
        <v>0.81573580150111014</v>
      </c>
      <c r="AC56" s="56">
        <f t="shared" si="21"/>
        <v>0.81573455210602797</v>
      </c>
      <c r="AD56" s="56">
        <f t="shared" si="21"/>
        <v>0.81573257549701128</v>
      </c>
      <c r="AE56" s="56">
        <f t="shared" si="21"/>
        <v>0.81573155701625677</v>
      </c>
      <c r="AF56" s="56">
        <f t="shared" si="21"/>
        <v>0.81573056278765588</v>
      </c>
      <c r="AG56" s="56"/>
    </row>
    <row r="57" spans="1:37">
      <c r="B57" s="53"/>
    </row>
    <row r="58" spans="1:37">
      <c r="A58" s="57" t="s">
        <v>987</v>
      </c>
      <c r="B58" s="58">
        <f>B51*B56</f>
        <v>28.749596064488212</v>
      </c>
      <c r="C58" s="58">
        <f t="shared" ref="C58:AF58" si="22">C51*C56</f>
        <v>29.754858223122419</v>
      </c>
      <c r="D58" s="58">
        <f>D51*D56</f>
        <v>30.296770416615157</v>
      </c>
      <c r="E58" s="58">
        <f t="shared" si="22"/>
        <v>30.650912253548587</v>
      </c>
      <c r="F58" s="58">
        <f>F51*F56</f>
        <v>30.906067032498434</v>
      </c>
      <c r="G58" s="58">
        <f t="shared" si="22"/>
        <v>31.186313222681928</v>
      </c>
      <c r="H58" s="58">
        <f t="shared" si="22"/>
        <v>31.426494372364647</v>
      </c>
      <c r="I58" s="58">
        <f t="shared" si="22"/>
        <v>31.425343633305527</v>
      </c>
      <c r="J58" s="58">
        <f t="shared" si="22"/>
        <v>31.400159559550232</v>
      </c>
      <c r="K58" s="58">
        <f t="shared" si="22"/>
        <v>31.377377637291591</v>
      </c>
      <c r="L58" s="58">
        <f t="shared" si="22"/>
        <v>31.422135300796445</v>
      </c>
      <c r="M58" s="58">
        <f t="shared" si="22"/>
        <v>31.397753663497141</v>
      </c>
      <c r="N58" s="58">
        <f t="shared" si="22"/>
        <v>31.370719357450188</v>
      </c>
      <c r="O58" s="58">
        <f t="shared" si="22"/>
        <v>31.341369181238896</v>
      </c>
      <c r="P58" s="58">
        <f t="shared" si="22"/>
        <v>31.328258800735945</v>
      </c>
      <c r="Q58" s="58">
        <f t="shared" si="22"/>
        <v>31.262115460715837</v>
      </c>
      <c r="R58" s="58">
        <f t="shared" si="22"/>
        <v>31.19411692119456</v>
      </c>
      <c r="S58" s="58">
        <f t="shared" si="22"/>
        <v>31.143815574996758</v>
      </c>
      <c r="T58" s="58">
        <f t="shared" si="22"/>
        <v>31.106462157363854</v>
      </c>
      <c r="U58" s="58">
        <f t="shared" si="22"/>
        <v>31.043800290847734</v>
      </c>
      <c r="V58" s="58">
        <f t="shared" si="22"/>
        <v>30.992344275068429</v>
      </c>
      <c r="W58" s="58">
        <f t="shared" si="22"/>
        <v>30.946818314658824</v>
      </c>
      <c r="X58" s="58">
        <f t="shared" si="22"/>
        <v>30.896243810750587</v>
      </c>
      <c r="Y58" s="58">
        <f t="shared" si="22"/>
        <v>30.847630030630899</v>
      </c>
      <c r="Z58" s="58">
        <f t="shared" si="22"/>
        <v>30.807361259215725</v>
      </c>
      <c r="AA58" s="58">
        <f t="shared" si="22"/>
        <v>30.773398565366573</v>
      </c>
      <c r="AB58" s="58">
        <f t="shared" si="22"/>
        <v>30.725191631713113</v>
      </c>
      <c r="AC58" s="58">
        <f t="shared" si="22"/>
        <v>30.67996289137265</v>
      </c>
      <c r="AD58" s="58">
        <f t="shared" si="22"/>
        <v>30.626296146461122</v>
      </c>
      <c r="AE58" s="58">
        <f t="shared" si="22"/>
        <v>30.58410134950201</v>
      </c>
      <c r="AF58" s="58">
        <f t="shared" si="22"/>
        <v>30.541872120728957</v>
      </c>
      <c r="AG58" s="58"/>
    </row>
    <row r="61" spans="1:37">
      <c r="A61" s="2" t="s">
        <v>1098</v>
      </c>
    </row>
    <row r="62" spans="1:37">
      <c r="D62" s="43" t="s">
        <v>990</v>
      </c>
      <c r="E62" s="1">
        <v>2020</v>
      </c>
      <c r="F62" s="1">
        <v>2021</v>
      </c>
      <c r="G62" s="1">
        <v>2022</v>
      </c>
      <c r="H62" s="1">
        <v>2023</v>
      </c>
      <c r="I62" s="1">
        <v>2024</v>
      </c>
      <c r="J62" s="1">
        <v>2025</v>
      </c>
      <c r="K62" s="1">
        <v>2026</v>
      </c>
      <c r="L62" s="1">
        <v>2027</v>
      </c>
      <c r="M62" s="1">
        <v>2028</v>
      </c>
      <c r="N62" s="1">
        <v>2029</v>
      </c>
      <c r="O62" s="1">
        <v>2030</v>
      </c>
      <c r="P62" s="1">
        <v>2031</v>
      </c>
      <c r="Q62" s="1">
        <v>2032</v>
      </c>
      <c r="R62" s="1">
        <v>2033</v>
      </c>
      <c r="S62" s="1">
        <v>2034</v>
      </c>
      <c r="T62" s="1">
        <v>2035</v>
      </c>
      <c r="U62" s="1">
        <v>2036</v>
      </c>
      <c r="V62" s="1">
        <v>2037</v>
      </c>
      <c r="W62" s="1">
        <v>2038</v>
      </c>
      <c r="X62" s="1">
        <v>2039</v>
      </c>
      <c r="Y62" s="1">
        <v>2040</v>
      </c>
      <c r="Z62" s="1">
        <v>2041</v>
      </c>
      <c r="AA62" s="1">
        <v>2042</v>
      </c>
      <c r="AB62" s="1">
        <v>2043</v>
      </c>
      <c r="AC62" s="1">
        <v>2044</v>
      </c>
      <c r="AD62" s="1">
        <v>2045</v>
      </c>
      <c r="AE62" s="1">
        <v>2046</v>
      </c>
      <c r="AF62" s="1">
        <v>2047</v>
      </c>
      <c r="AG62" s="1">
        <v>2048</v>
      </c>
      <c r="AH62" s="1">
        <v>2049</v>
      </c>
      <c r="AI62" s="1">
        <v>2050</v>
      </c>
      <c r="AJ62" s="1"/>
    </row>
    <row r="63" spans="1:37">
      <c r="C63" s="61" t="s">
        <v>836</v>
      </c>
      <c r="D63" t="s">
        <v>989</v>
      </c>
      <c r="E63" s="65">
        <f>INDEX('AEO 7'!$C$18:$AH$28,MATCH($C$63,'AEO 7'!$A$18:$A$28,0),MATCH(E$62,'AEO 7'!$C$13:$AH$13,0))*10^9</f>
        <v>24970692000</v>
      </c>
      <c r="F63" s="65">
        <f>INDEX('AEO 7'!$C$18:$AH$28,MATCH($C$63,'AEO 7'!$A$18:$A$28,0),MATCH(F$62,'AEO 7'!$C$13:$AH$13,0))*10^9</f>
        <v>29653244000</v>
      </c>
      <c r="G63" s="65">
        <f>INDEX('AEO 7'!$C$18:$AH$28,MATCH($C$63,'AEO 7'!$A$18:$A$28,0),MATCH(G$62,'AEO 7'!$C$13:$AH$13,0))*10^9</f>
        <v>33486446000</v>
      </c>
      <c r="H63" s="65">
        <f>INDEX('AEO 7'!$C$18:$AH$28,MATCH($C$63,'AEO 7'!$A$18:$A$28,0),MATCH(H$62,'AEO 7'!$C$13:$AH$13,0))*10^9</f>
        <v>36386101000</v>
      </c>
      <c r="I63" s="65">
        <f>INDEX('AEO 7'!$C$18:$AH$28,MATCH($C$63,'AEO 7'!$A$18:$A$28,0),MATCH(I$62,'AEO 7'!$C$13:$AH$13,0))*10^9</f>
        <v>38577961000</v>
      </c>
      <c r="J63" s="65">
        <f>INDEX('AEO 7'!$C$18:$AH$28,MATCH($C$63,'AEO 7'!$A$18:$A$28,0),MATCH(J$62,'AEO 7'!$C$13:$AH$13,0))*10^9</f>
        <v>40222988000</v>
      </c>
      <c r="K63" s="65">
        <f>INDEX('AEO 7'!$C$18:$AH$28,MATCH($C$63,'AEO 7'!$A$18:$A$28,0),MATCH(K$62,'AEO 7'!$C$13:$AH$13,0))*10^9</f>
        <v>41396164000</v>
      </c>
      <c r="L63" s="65">
        <f>INDEX('AEO 7'!$C$18:$AH$28,MATCH($C$63,'AEO 7'!$A$18:$A$28,0),MATCH(L$62,'AEO 7'!$C$13:$AH$13,0))*10^9</f>
        <v>42264778000</v>
      </c>
      <c r="M63" s="65">
        <f>INDEX('AEO 7'!$C$18:$AH$28,MATCH($C$63,'AEO 7'!$A$18:$A$28,0),MATCH(M$62,'AEO 7'!$C$13:$AH$13,0))*10^9</f>
        <v>42515728000</v>
      </c>
      <c r="N63" s="65">
        <f>INDEX('AEO 7'!$C$18:$AH$28,MATCH($C$63,'AEO 7'!$A$18:$A$28,0),MATCH(N$62,'AEO 7'!$C$13:$AH$13,0))*10^9</f>
        <v>42713291000</v>
      </c>
      <c r="O63" s="65">
        <f>INDEX('AEO 7'!$C$18:$AH$28,MATCH($C$63,'AEO 7'!$A$18:$A$28,0),MATCH(O$62,'AEO 7'!$C$13:$AH$13,0))*10^9</f>
        <v>43137005000</v>
      </c>
      <c r="P63" s="65">
        <f>INDEX('AEO 7'!$C$18:$AH$28,MATCH($C$63,'AEO 7'!$A$18:$A$28,0),MATCH(P$62,'AEO 7'!$C$13:$AH$13,0))*10^9</f>
        <v>43343742000</v>
      </c>
      <c r="Q63" s="65">
        <f>INDEX('AEO 7'!$C$18:$AH$28,MATCH($C$63,'AEO 7'!$A$18:$A$28,0),MATCH(Q$62,'AEO 7'!$C$13:$AH$13,0))*10^9</f>
        <v>43818241000</v>
      </c>
      <c r="R63" s="65">
        <f>INDEX('AEO 7'!$C$18:$AH$28,MATCH($C$63,'AEO 7'!$A$18:$A$28,0),MATCH(R$62,'AEO 7'!$C$13:$AH$13,0))*10^9</f>
        <v>44274139000</v>
      </c>
      <c r="S63" s="65">
        <f>INDEX('AEO 7'!$C$18:$AH$28,MATCH($C$63,'AEO 7'!$A$18:$A$28,0),MATCH(S$62,'AEO 7'!$C$13:$AH$13,0))*10^9</f>
        <v>44835865000</v>
      </c>
      <c r="T63" s="65">
        <f>INDEX('AEO 7'!$C$18:$AH$28,MATCH($C$63,'AEO 7'!$A$18:$A$28,0),MATCH(T$62,'AEO 7'!$C$13:$AH$13,0))*10^9</f>
        <v>45310886000</v>
      </c>
      <c r="U63" s="65">
        <f>INDEX('AEO 7'!$C$18:$AH$28,MATCH($C$63,'AEO 7'!$A$18:$A$28,0),MATCH(U$62,'AEO 7'!$C$13:$AH$13,0))*10^9</f>
        <v>45831734000</v>
      </c>
      <c r="V63" s="65">
        <f>INDEX('AEO 7'!$C$18:$AH$28,MATCH($C$63,'AEO 7'!$A$18:$A$28,0),MATCH(V$62,'AEO 7'!$C$13:$AH$13,0))*10^9</f>
        <v>46327930000</v>
      </c>
      <c r="W63" s="65">
        <f>INDEX('AEO 7'!$C$18:$AH$28,MATCH($C$63,'AEO 7'!$A$18:$A$28,0),MATCH(W$62,'AEO 7'!$C$13:$AH$13,0))*10^9</f>
        <v>46816154000</v>
      </c>
      <c r="X63" s="65">
        <f>INDEX('AEO 7'!$C$18:$AH$28,MATCH($C$63,'AEO 7'!$A$18:$A$28,0),MATCH(X$62,'AEO 7'!$C$13:$AH$13,0))*10^9</f>
        <v>47317448000</v>
      </c>
      <c r="Y63" s="65">
        <f>INDEX('AEO 7'!$C$18:$AH$28,MATCH($C$63,'AEO 7'!$A$18:$A$28,0),MATCH(Y$62,'AEO 7'!$C$13:$AH$13,0))*10^9</f>
        <v>47980492000</v>
      </c>
      <c r="Z63" s="65">
        <f>INDEX('AEO 7'!$C$18:$AH$28,MATCH($C$63,'AEO 7'!$A$18:$A$28,0),MATCH(Z$62,'AEO 7'!$C$13:$AH$13,0))*10^9</f>
        <v>48582150000</v>
      </c>
      <c r="AA63" s="65">
        <f>INDEX('AEO 7'!$C$18:$AH$28,MATCH($C$63,'AEO 7'!$A$18:$A$28,0),MATCH(AA$62,'AEO 7'!$C$13:$AH$13,0))*10^9</f>
        <v>49164021000</v>
      </c>
      <c r="AB63" s="65">
        <f>INDEX('AEO 7'!$C$18:$AH$28,MATCH($C$63,'AEO 7'!$A$18:$A$28,0),MATCH(AB$62,'AEO 7'!$C$13:$AH$13,0))*10^9</f>
        <v>49763081000</v>
      </c>
      <c r="AC63" s="65">
        <f>INDEX('AEO 7'!$C$18:$AH$28,MATCH($C$63,'AEO 7'!$A$18:$A$28,0),MATCH(AC$62,'AEO 7'!$C$13:$AH$13,0))*10^9</f>
        <v>50334721000</v>
      </c>
      <c r="AD63" s="65">
        <f>INDEX('AEO 7'!$C$18:$AH$28,MATCH($C$63,'AEO 7'!$A$18:$A$28,0),MATCH(AD$62,'AEO 7'!$C$13:$AH$13,0))*10^9</f>
        <v>50978020000</v>
      </c>
      <c r="AE63" s="65">
        <f>INDEX('AEO 7'!$C$18:$AH$28,MATCH($C$63,'AEO 7'!$A$18:$A$28,0),MATCH(AE$62,'AEO 7'!$C$13:$AH$13,0))*10^9</f>
        <v>51558666000</v>
      </c>
      <c r="AF63" s="65">
        <f>INDEX('AEO 7'!$C$18:$AH$28,MATCH($C$63,'AEO 7'!$A$18:$A$28,0),MATCH(AF$62,'AEO 7'!$C$13:$AH$13,0))*10^9</f>
        <v>52079247000</v>
      </c>
      <c r="AG63" s="65">
        <f>INDEX('AEO 7'!$C$18:$AH$28,MATCH($C$63,'AEO 7'!$A$18:$A$28,0),MATCH(AG$62,'AEO 7'!$C$13:$AH$13,0))*10^9</f>
        <v>52647175000</v>
      </c>
      <c r="AH63" s="65">
        <f>INDEX('AEO 7'!$C$18:$AH$28,MATCH($C$63,'AEO 7'!$A$18:$A$28,0),MATCH(AH$62,'AEO 7'!$C$13:$AH$13,0))*10^9</f>
        <v>53282265000</v>
      </c>
      <c r="AI63" s="65">
        <f>INDEX('AEO 7'!$C$18:$AH$28,MATCH($C$63,'AEO 7'!$A$18:$A$28,0),MATCH(AI$62,'AEO 7'!$C$13:$AH$13,0))*10^9</f>
        <v>53912506000</v>
      </c>
      <c r="AJ63" s="65"/>
      <c r="AK63" s="64"/>
    </row>
    <row r="64" spans="1:37">
      <c r="A64" s="19" t="s">
        <v>1077</v>
      </c>
      <c r="B64" s="19" t="s">
        <v>1075</v>
      </c>
      <c r="C64" s="19" t="s">
        <v>1070</v>
      </c>
      <c r="D64" t="s">
        <v>1092</v>
      </c>
      <c r="E64" s="54">
        <f>SUM(INDEX('AEO 36'!$F$15:$AK$103,MATCH($C$64,'AEO 36'!$B$15:$B$103,0),MATCH(E$62,'AEO 36'!$F$1:$AK$1,0)),INDEX('AEO 36'!$F$15:$AK$103,MATCH($B$64,'AEO 36'!$B$15:$B$103,0),MATCH(E$62,'AEO 36'!$F$1:$AK$1,0)),INDEX('AEO 36'!$F$15:$AK$103,MATCH($A$64,'AEO 36'!$B$15:$B$103,0),MATCH(E$62,'AEO 36'!$F$1:$AK$1,0)))*10^12</f>
        <v>15724651999999.998</v>
      </c>
      <c r="F64" s="54">
        <f>SUM(INDEX('AEO 36'!$F$15:$AK$103,MATCH($C$64,'AEO 36'!$B$15:$B$103,0),MATCH(F$62,'AEO 36'!$F$1:$AK$1,0)),INDEX('AEO 36'!$F$15:$AK$103,MATCH($B$64,'AEO 36'!$B$15:$B$103,0),MATCH(F$62,'AEO 36'!$F$1:$AK$1,0)),INDEX('AEO 36'!$F$15:$AK$103,MATCH($A$64,'AEO 36'!$B$15:$B$103,0),MATCH(F$62,'AEO 36'!$F$1:$AK$1,0)))*10^12</f>
        <v>18570040000000</v>
      </c>
      <c r="G64" s="54">
        <f>SUM(INDEX('AEO 36'!$F$15:$AK$103,MATCH($C$64,'AEO 36'!$B$15:$B$103,0),MATCH(G$62,'AEO 36'!$F$1:$AK$1,0)),INDEX('AEO 36'!$F$15:$AK$103,MATCH($B$64,'AEO 36'!$B$15:$B$103,0),MATCH(G$62,'AEO 36'!$F$1:$AK$1,0)),INDEX('AEO 36'!$F$15:$AK$103,MATCH($A$64,'AEO 36'!$B$15:$B$103,0),MATCH(G$62,'AEO 36'!$F$1:$AK$1,0)))*10^12</f>
        <v>20939007000000</v>
      </c>
      <c r="H64" s="54">
        <f>SUM(INDEX('AEO 36'!$F$15:$AK$103,MATCH($C$64,'AEO 36'!$B$15:$B$103,0),MATCH(H$62,'AEO 36'!$F$1:$AK$1,0)),INDEX('AEO 36'!$F$15:$AK$103,MATCH($B$64,'AEO 36'!$B$15:$B$103,0),MATCH(H$62,'AEO 36'!$F$1:$AK$1,0)),INDEX('AEO 36'!$F$15:$AK$103,MATCH($A$64,'AEO 36'!$B$15:$B$103,0),MATCH(H$62,'AEO 36'!$F$1:$AK$1,0)))*10^12</f>
        <v>22730788000000</v>
      </c>
      <c r="I64" s="54">
        <f>SUM(INDEX('AEO 36'!$F$15:$AK$103,MATCH($C$64,'AEO 36'!$B$15:$B$103,0),MATCH(I$62,'AEO 36'!$F$1:$AK$1,0)),INDEX('AEO 36'!$F$15:$AK$103,MATCH($B$64,'AEO 36'!$B$15:$B$103,0),MATCH(I$62,'AEO 36'!$F$1:$AK$1,0)),INDEX('AEO 36'!$F$15:$AK$103,MATCH($A$64,'AEO 36'!$B$15:$B$103,0),MATCH(I$62,'AEO 36'!$F$1:$AK$1,0)))*10^12</f>
        <v>24090370000000</v>
      </c>
      <c r="J64" s="54">
        <f>SUM(INDEX('AEO 36'!$F$15:$AK$103,MATCH($C$64,'AEO 36'!$B$15:$B$103,0),MATCH(J$62,'AEO 36'!$F$1:$AK$1,0)),INDEX('AEO 36'!$F$15:$AK$103,MATCH($B$64,'AEO 36'!$B$15:$B$103,0),MATCH(J$62,'AEO 36'!$F$1:$AK$1,0)),INDEX('AEO 36'!$F$15:$AK$103,MATCH($A$64,'AEO 36'!$B$15:$B$103,0),MATCH(J$62,'AEO 36'!$F$1:$AK$1,0)))*10^12</f>
        <v>25112246000000</v>
      </c>
      <c r="K64" s="54">
        <f>SUM(INDEX('AEO 36'!$F$15:$AK$103,MATCH($C$64,'AEO 36'!$B$15:$B$103,0),MATCH(K$62,'AEO 36'!$F$1:$AK$1,0)),INDEX('AEO 36'!$F$15:$AK$103,MATCH($B$64,'AEO 36'!$B$15:$B$103,0),MATCH(K$62,'AEO 36'!$F$1:$AK$1,0)),INDEX('AEO 36'!$F$15:$AK$103,MATCH($A$64,'AEO 36'!$B$15:$B$103,0),MATCH(K$62,'AEO 36'!$F$1:$AK$1,0)))*10^12</f>
        <v>25840006000000</v>
      </c>
      <c r="L64" s="54">
        <f>SUM(INDEX('AEO 36'!$F$15:$AK$103,MATCH($C$64,'AEO 36'!$B$15:$B$103,0),MATCH(L$62,'AEO 36'!$F$1:$AK$1,0)),INDEX('AEO 36'!$F$15:$AK$103,MATCH($B$64,'AEO 36'!$B$15:$B$103,0),MATCH(L$62,'AEO 36'!$F$1:$AK$1,0)),INDEX('AEO 36'!$F$15:$AK$103,MATCH($A$64,'AEO 36'!$B$15:$B$103,0),MATCH(L$62,'AEO 36'!$F$1:$AK$1,0)))*10^12</f>
        <v>26380896000000</v>
      </c>
      <c r="M64" s="54">
        <f>SUM(INDEX('AEO 36'!$F$15:$AK$103,MATCH($C$64,'AEO 36'!$B$15:$B$103,0),MATCH(M$62,'AEO 36'!$F$1:$AK$1,0)),INDEX('AEO 36'!$F$15:$AK$103,MATCH($B$64,'AEO 36'!$B$15:$B$103,0),MATCH(M$62,'AEO 36'!$F$1:$AK$1,0)),INDEX('AEO 36'!$F$15:$AK$103,MATCH($A$64,'AEO 36'!$B$15:$B$103,0),MATCH(M$62,'AEO 36'!$F$1:$AK$1,0)))*10^12</f>
        <v>26537698000000</v>
      </c>
      <c r="N64" s="54">
        <f>SUM(INDEX('AEO 36'!$F$15:$AK$103,MATCH($C$64,'AEO 36'!$B$15:$B$103,0),MATCH(N$62,'AEO 36'!$F$1:$AK$1,0)),INDEX('AEO 36'!$F$15:$AK$103,MATCH($B$64,'AEO 36'!$B$15:$B$103,0),MATCH(N$62,'AEO 36'!$F$1:$AK$1,0)),INDEX('AEO 36'!$F$15:$AK$103,MATCH($A$64,'AEO 36'!$B$15:$B$103,0),MATCH(N$62,'AEO 36'!$F$1:$AK$1,0)))*10^12</f>
        <v>26659430000000</v>
      </c>
      <c r="O64" s="54">
        <f>SUM(INDEX('AEO 36'!$F$15:$AK$103,MATCH($C$64,'AEO 36'!$B$15:$B$103,0),MATCH(O$62,'AEO 36'!$F$1:$AK$1,0)),INDEX('AEO 36'!$F$15:$AK$103,MATCH($B$64,'AEO 36'!$B$15:$B$103,0),MATCH(O$62,'AEO 36'!$F$1:$AK$1,0)),INDEX('AEO 36'!$F$15:$AK$103,MATCH($A$64,'AEO 36'!$B$15:$B$103,0),MATCH(O$62,'AEO 36'!$F$1:$AK$1,0)))*10^12</f>
        <v>26941779000000</v>
      </c>
      <c r="P64" s="54">
        <f>SUM(INDEX('AEO 36'!$F$15:$AK$103,MATCH($C$64,'AEO 36'!$B$15:$B$103,0),MATCH(P$62,'AEO 36'!$F$1:$AK$1,0)),INDEX('AEO 36'!$F$15:$AK$103,MATCH($B$64,'AEO 36'!$B$15:$B$103,0),MATCH(P$62,'AEO 36'!$F$1:$AK$1,0)),INDEX('AEO 36'!$F$15:$AK$103,MATCH($A$64,'AEO 36'!$B$15:$B$103,0),MATCH(P$62,'AEO 36'!$F$1:$AK$1,0)))*10^12</f>
        <v>27061387000000.004</v>
      </c>
      <c r="Q64" s="54">
        <f>SUM(INDEX('AEO 36'!$F$15:$AK$103,MATCH($C$64,'AEO 36'!$B$15:$B$103,0),MATCH(Q$62,'AEO 36'!$F$1:$AK$1,0)),INDEX('AEO 36'!$F$15:$AK$103,MATCH($B$64,'AEO 36'!$B$15:$B$103,0),MATCH(Q$62,'AEO 36'!$F$1:$AK$1,0)),INDEX('AEO 36'!$F$15:$AK$103,MATCH($A$64,'AEO 36'!$B$15:$B$103,0),MATCH(Q$62,'AEO 36'!$F$1:$AK$1,0)))*10^12</f>
        <v>27370438999999.996</v>
      </c>
      <c r="R64" s="54">
        <f>SUM(INDEX('AEO 36'!$F$15:$AK$103,MATCH($C$64,'AEO 36'!$B$15:$B$103,0),MATCH(R$62,'AEO 36'!$F$1:$AK$1,0)),INDEX('AEO 36'!$F$15:$AK$103,MATCH($B$64,'AEO 36'!$B$15:$B$103,0),MATCH(R$62,'AEO 36'!$F$1:$AK$1,0)),INDEX('AEO 36'!$F$15:$AK$103,MATCH($A$64,'AEO 36'!$B$15:$B$103,0),MATCH(R$62,'AEO 36'!$F$1:$AK$1,0)))*10^12</f>
        <v>27664516000000</v>
      </c>
      <c r="S64" s="54">
        <f>SUM(INDEX('AEO 36'!$F$15:$AK$103,MATCH($C$64,'AEO 36'!$B$15:$B$103,0),MATCH(S$62,'AEO 36'!$F$1:$AK$1,0)),INDEX('AEO 36'!$F$15:$AK$103,MATCH($B$64,'AEO 36'!$B$15:$B$103,0),MATCH(S$62,'AEO 36'!$F$1:$AK$1,0)),INDEX('AEO 36'!$F$15:$AK$103,MATCH($A$64,'AEO 36'!$B$15:$B$103,0),MATCH(S$62,'AEO 36'!$F$1:$AK$1,0)))*10^12</f>
        <v>28033673999999.996</v>
      </c>
      <c r="T64" s="54">
        <f>SUM(INDEX('AEO 36'!$F$15:$AK$103,MATCH($C$64,'AEO 36'!$B$15:$B$103,0),MATCH(T$62,'AEO 36'!$F$1:$AK$1,0)),INDEX('AEO 36'!$F$15:$AK$103,MATCH($B$64,'AEO 36'!$B$15:$B$103,0),MATCH(T$62,'AEO 36'!$F$1:$AK$1,0)),INDEX('AEO 36'!$F$15:$AK$103,MATCH($A$64,'AEO 36'!$B$15:$B$103,0),MATCH(T$62,'AEO 36'!$F$1:$AK$1,0)))*10^12</f>
        <v>28336389000000</v>
      </c>
      <c r="U64" s="54">
        <f>SUM(INDEX('AEO 36'!$F$15:$AK$103,MATCH($C$64,'AEO 36'!$B$15:$B$103,0),MATCH(U$62,'AEO 36'!$F$1:$AK$1,0)),INDEX('AEO 36'!$F$15:$AK$103,MATCH($B$64,'AEO 36'!$B$15:$B$103,0),MATCH(U$62,'AEO 36'!$F$1:$AK$1,0)),INDEX('AEO 36'!$F$15:$AK$103,MATCH($A$64,'AEO 36'!$B$15:$B$103,0),MATCH(U$62,'AEO 36'!$F$1:$AK$1,0)))*10^12</f>
        <v>28674376000000.004</v>
      </c>
      <c r="V64" s="54">
        <f>SUM(INDEX('AEO 36'!$F$15:$AK$103,MATCH($C$64,'AEO 36'!$B$15:$B$103,0),MATCH(V$62,'AEO 36'!$F$1:$AK$1,0)),INDEX('AEO 36'!$F$15:$AK$103,MATCH($B$64,'AEO 36'!$B$15:$B$103,0),MATCH(V$62,'AEO 36'!$F$1:$AK$1,0)),INDEX('AEO 36'!$F$15:$AK$103,MATCH($A$64,'AEO 36'!$B$15:$B$103,0),MATCH(V$62,'AEO 36'!$F$1:$AK$1,0)))*10^12</f>
        <v>28995555000000</v>
      </c>
      <c r="W64" s="54">
        <f>SUM(INDEX('AEO 36'!$F$15:$AK$103,MATCH($C$64,'AEO 36'!$B$15:$B$103,0),MATCH(W$62,'AEO 36'!$F$1:$AK$1,0)),INDEX('AEO 36'!$F$15:$AK$103,MATCH($B$64,'AEO 36'!$B$15:$B$103,0),MATCH(W$62,'AEO 36'!$F$1:$AK$1,0)),INDEX('AEO 36'!$F$15:$AK$103,MATCH($A$64,'AEO 36'!$B$15:$B$103,0),MATCH(W$62,'AEO 36'!$F$1:$AK$1,0)))*10^12</f>
        <v>29311184000000</v>
      </c>
      <c r="X64" s="54">
        <f>SUM(INDEX('AEO 36'!$F$15:$AK$103,MATCH($C$64,'AEO 36'!$B$15:$B$103,0),MATCH(X$62,'AEO 36'!$F$1:$AK$1,0)),INDEX('AEO 36'!$F$15:$AK$103,MATCH($B$64,'AEO 36'!$B$15:$B$103,0),MATCH(X$62,'AEO 36'!$F$1:$AK$1,0)),INDEX('AEO 36'!$F$15:$AK$103,MATCH($A$64,'AEO 36'!$B$15:$B$103,0),MATCH(X$62,'AEO 36'!$F$1:$AK$1,0)))*10^12</f>
        <v>29633765000000</v>
      </c>
      <c r="Y64" s="54">
        <f>SUM(INDEX('AEO 36'!$F$15:$AK$103,MATCH($C$64,'AEO 36'!$B$15:$B$103,0),MATCH(Y$62,'AEO 36'!$F$1:$AK$1,0)),INDEX('AEO 36'!$F$15:$AK$103,MATCH($B$64,'AEO 36'!$B$15:$B$103,0),MATCH(Y$62,'AEO 36'!$F$1:$AK$1,0)),INDEX('AEO 36'!$F$15:$AK$103,MATCH($A$64,'AEO 36'!$B$15:$B$103,0),MATCH(Y$62,'AEO 36'!$F$1:$AK$1,0)))*10^12</f>
        <v>30069786000000</v>
      </c>
      <c r="Z64" s="54">
        <f>SUM(INDEX('AEO 36'!$F$15:$AK$103,MATCH($C$64,'AEO 36'!$B$15:$B$103,0),MATCH(Z$62,'AEO 36'!$F$1:$AK$1,0)),INDEX('AEO 36'!$F$15:$AK$103,MATCH($B$64,'AEO 36'!$B$15:$B$103,0),MATCH(Z$62,'AEO 36'!$F$1:$AK$1,0)),INDEX('AEO 36'!$F$15:$AK$103,MATCH($A$64,'AEO 36'!$B$15:$B$103,0),MATCH(Z$62,'AEO 36'!$F$1:$AK$1,0)))*10^12</f>
        <v>30462376000000</v>
      </c>
      <c r="AA64" s="54">
        <f>SUM(INDEX('AEO 36'!$F$15:$AK$103,MATCH($C$64,'AEO 36'!$B$15:$B$103,0),MATCH(AA$62,'AEO 36'!$F$1:$AK$1,0)),INDEX('AEO 36'!$F$15:$AK$103,MATCH($B$64,'AEO 36'!$B$15:$B$103,0),MATCH(AA$62,'AEO 36'!$F$1:$AK$1,0)),INDEX('AEO 36'!$F$15:$AK$103,MATCH($A$64,'AEO 36'!$B$15:$B$103,0),MATCH(AA$62,'AEO 36'!$F$1:$AK$1,0)))*10^12</f>
        <v>30840115000000</v>
      </c>
      <c r="AB64" s="54">
        <f>SUM(INDEX('AEO 36'!$F$15:$AK$103,MATCH($C$64,'AEO 36'!$B$15:$B$103,0),MATCH(AB$62,'AEO 36'!$F$1:$AK$1,0)),INDEX('AEO 36'!$F$15:$AK$103,MATCH($B$64,'AEO 36'!$B$15:$B$103,0),MATCH(AB$62,'AEO 36'!$F$1:$AK$1,0)),INDEX('AEO 36'!$F$15:$AK$103,MATCH($A$64,'AEO 36'!$B$15:$B$103,0),MATCH(AB$62,'AEO 36'!$F$1:$AK$1,0)))*10^12</f>
        <v>31230839000000.004</v>
      </c>
      <c r="AC64" s="54">
        <f>SUM(INDEX('AEO 36'!$F$15:$AK$103,MATCH($C$64,'AEO 36'!$B$15:$B$103,0),MATCH(AC$62,'AEO 36'!$F$1:$AK$1,0)),INDEX('AEO 36'!$F$15:$AK$103,MATCH($B$64,'AEO 36'!$B$15:$B$103,0),MATCH(AC$62,'AEO 36'!$F$1:$AK$1,0)),INDEX('AEO 36'!$F$15:$AK$103,MATCH($A$64,'AEO 36'!$B$15:$B$103,0),MATCH(AC$62,'AEO 36'!$F$1:$AK$1,0)))*10^12</f>
        <v>31603850000000</v>
      </c>
      <c r="AD64" s="54">
        <f>SUM(INDEX('AEO 36'!$F$15:$AK$103,MATCH($C$64,'AEO 36'!$B$15:$B$103,0),MATCH(AD$62,'AEO 36'!$F$1:$AK$1,0)),INDEX('AEO 36'!$F$15:$AK$103,MATCH($B$64,'AEO 36'!$B$15:$B$103,0),MATCH(AD$62,'AEO 36'!$F$1:$AK$1,0)),INDEX('AEO 36'!$F$15:$AK$103,MATCH($A$64,'AEO 36'!$B$15:$B$103,0),MATCH(AD$62,'AEO 36'!$F$1:$AK$1,0)))*10^12</f>
        <v>32029404000000</v>
      </c>
      <c r="AE64" s="54">
        <f>SUM(INDEX('AEO 36'!$F$15:$AK$103,MATCH($C$64,'AEO 36'!$B$15:$B$103,0),MATCH(AE$62,'AEO 36'!$F$1:$AK$1,0)),INDEX('AEO 36'!$F$15:$AK$103,MATCH($B$64,'AEO 36'!$B$15:$B$103,0),MATCH(AE$62,'AEO 36'!$F$1:$AK$1,0)),INDEX('AEO 36'!$F$15:$AK$103,MATCH($A$64,'AEO 36'!$B$15:$B$103,0),MATCH(AE$62,'AEO 36'!$F$1:$AK$1,0)))*10^12</f>
        <v>32413029000000</v>
      </c>
      <c r="AF64" s="54">
        <f>SUM(INDEX('AEO 36'!$F$15:$AK$103,MATCH($C$64,'AEO 36'!$B$15:$B$103,0),MATCH(AF$62,'AEO 36'!$F$1:$AK$1,0)),INDEX('AEO 36'!$F$15:$AK$103,MATCH($B$64,'AEO 36'!$B$15:$B$103,0),MATCH(AF$62,'AEO 36'!$F$1:$AK$1,0)),INDEX('AEO 36'!$F$15:$AK$103,MATCH($A$64,'AEO 36'!$B$15:$B$103,0),MATCH(AF$62,'AEO 36'!$F$1:$AK$1,0)))*10^12</f>
        <v>32759529999999.996</v>
      </c>
      <c r="AG64" s="54">
        <f>SUM(INDEX('AEO 36'!$F$15:$AK$103,MATCH($C$64,'AEO 36'!$B$15:$B$103,0),MATCH(AG$62,'AEO 36'!$F$1:$AK$1,0)),INDEX('AEO 36'!$F$15:$AK$103,MATCH($B$64,'AEO 36'!$B$15:$B$103,0),MATCH(AG$62,'AEO 36'!$F$1:$AK$1,0)),INDEX('AEO 36'!$F$15:$AK$103,MATCH($A$64,'AEO 36'!$B$15:$B$103,0),MATCH(AG$62,'AEO 36'!$F$1:$AK$1,0)))*10^12</f>
        <v>33144264999999.996</v>
      </c>
      <c r="AH64" s="54">
        <f>SUM(INDEX('AEO 36'!$F$15:$AK$103,MATCH($C$64,'AEO 36'!$B$15:$B$103,0),MATCH(AH$62,'AEO 36'!$F$1:$AK$1,0)),INDEX('AEO 36'!$F$15:$AK$103,MATCH($B$64,'AEO 36'!$B$15:$B$103,0),MATCH(AH$62,'AEO 36'!$F$1:$AK$1,0)),INDEX('AEO 36'!$F$15:$AK$103,MATCH($A$64,'AEO 36'!$B$15:$B$103,0),MATCH(AH$62,'AEO 36'!$F$1:$AK$1,0)))*10^12</f>
        <v>33584294000000</v>
      </c>
      <c r="AI64" s="54">
        <f>SUM(INDEX('AEO 36'!$F$15:$AK$103,MATCH($C$64,'AEO 36'!$B$15:$B$103,0),MATCH(AI$62,'AEO 36'!$F$1:$AK$1,0)),INDEX('AEO 36'!$F$15:$AK$103,MATCH($B$64,'AEO 36'!$B$15:$B$103,0),MATCH(AI$62,'AEO 36'!$F$1:$AK$1,0)),INDEX('AEO 36'!$F$15:$AK$103,MATCH($A$64,'AEO 36'!$B$15:$B$103,0),MATCH(AI$62,'AEO 36'!$F$1:$AK$1,0)))*10^12</f>
        <v>34028448999999.996</v>
      </c>
      <c r="AJ64" s="54"/>
      <c r="AK64" s="64"/>
    </row>
    <row r="65" spans="1:37">
      <c r="B65" s="19" t="s">
        <v>1078</v>
      </c>
      <c r="C65" s="19" t="s">
        <v>1071</v>
      </c>
      <c r="D65" t="s">
        <v>1093</v>
      </c>
      <c r="E65" s="54">
        <f>SUM(INDEX('AEO 36'!$F$15:$AK$103,MATCH($C$65,'AEO 36'!$B$15:$B$103,0),MATCH(E$62,'AEO 36'!$F$1:$AK$1,0)),INDEX('AEO 36'!$F$15:$AK$103,MATCH($B$65,'AEO 36'!$B$15:$B$103,0),MATCH(E$62,'AEO 36'!$F$1:$AK$1,0)))*10^12</f>
        <v>13712565000000</v>
      </c>
      <c r="F65" s="54">
        <f>SUM(INDEX('AEO 36'!$F$15:$AK$103,MATCH($C$65,'AEO 36'!$B$15:$B$103,0),MATCH(F$62,'AEO 36'!$F$1:$AK$1,0)),INDEX('AEO 36'!$F$15:$AK$103,MATCH($B$65,'AEO 36'!$B$15:$B$103,0),MATCH(F$62,'AEO 36'!$F$1:$AK$1,0)))*10^12</f>
        <v>16680758000000</v>
      </c>
      <c r="G65" s="54">
        <f>SUM(INDEX('AEO 36'!$F$15:$AK$103,MATCH($C$65,'AEO 36'!$B$15:$B$103,0),MATCH(G$62,'AEO 36'!$F$1:$AK$1,0)),INDEX('AEO 36'!$F$15:$AK$103,MATCH($B$65,'AEO 36'!$B$15:$B$103,0),MATCH(G$62,'AEO 36'!$F$1:$AK$1,0)))*10^12</f>
        <v>18994887000000</v>
      </c>
      <c r="H65" s="54">
        <f>SUM(INDEX('AEO 36'!$F$15:$AK$103,MATCH($C$65,'AEO 36'!$B$15:$B$103,0),MATCH(H$62,'AEO 36'!$F$1:$AK$1,0)),INDEX('AEO 36'!$F$15:$AK$103,MATCH($B$65,'AEO 36'!$B$15:$B$103,0),MATCH(H$62,'AEO 36'!$F$1:$AK$1,0)))*10^12</f>
        <v>20747469000000</v>
      </c>
      <c r="I65" s="54">
        <f>SUM(INDEX('AEO 36'!$F$15:$AK$103,MATCH($C$65,'AEO 36'!$B$15:$B$103,0),MATCH(I$62,'AEO 36'!$F$1:$AK$1,0)),INDEX('AEO 36'!$F$15:$AK$103,MATCH($B$65,'AEO 36'!$B$15:$B$103,0),MATCH(I$62,'AEO 36'!$F$1:$AK$1,0)))*10^12</f>
        <v>22065845000000</v>
      </c>
      <c r="J65" s="54">
        <f>SUM(INDEX('AEO 36'!$F$15:$AK$103,MATCH($C$65,'AEO 36'!$B$15:$B$103,0),MATCH(J$62,'AEO 36'!$F$1:$AK$1,0)),INDEX('AEO 36'!$F$15:$AK$103,MATCH($B$65,'AEO 36'!$B$15:$B$103,0),MATCH(J$62,'AEO 36'!$F$1:$AK$1,0)))*10^12</f>
        <v>23053733000000</v>
      </c>
      <c r="K65" s="54">
        <f>SUM(INDEX('AEO 36'!$F$15:$AK$103,MATCH($C$65,'AEO 36'!$B$15:$B$103,0),MATCH(K$62,'AEO 36'!$F$1:$AK$1,0)),INDEX('AEO 36'!$F$15:$AK$103,MATCH($B$65,'AEO 36'!$B$15:$B$103,0),MATCH(K$62,'AEO 36'!$F$1:$AK$1,0)))*10^12</f>
        <v>23775042000000</v>
      </c>
      <c r="L65" s="54">
        <f>SUM(INDEX('AEO 36'!$F$15:$AK$103,MATCH($C$65,'AEO 36'!$B$15:$B$103,0),MATCH(L$62,'AEO 36'!$F$1:$AK$1,0)),INDEX('AEO 36'!$F$15:$AK$103,MATCH($B$65,'AEO 36'!$B$15:$B$103,0),MATCH(L$62,'AEO 36'!$F$1:$AK$1,0)))*10^12</f>
        <v>24314597000000</v>
      </c>
      <c r="M65" s="54">
        <f>SUM(INDEX('AEO 36'!$F$15:$AK$103,MATCH($C$65,'AEO 36'!$B$15:$B$103,0),MATCH(M$62,'AEO 36'!$F$1:$AK$1,0)),INDEX('AEO 36'!$F$15:$AK$103,MATCH($B$65,'AEO 36'!$B$15:$B$103,0),MATCH(M$62,'AEO 36'!$F$1:$AK$1,0)))*10^12</f>
        <v>24463506000000</v>
      </c>
      <c r="N65" s="54">
        <f>SUM(INDEX('AEO 36'!$F$15:$AK$103,MATCH($C$65,'AEO 36'!$B$15:$B$103,0),MATCH(N$62,'AEO 36'!$F$1:$AK$1,0)),INDEX('AEO 36'!$F$15:$AK$103,MATCH($B$65,'AEO 36'!$B$15:$B$103,0),MATCH(N$62,'AEO 36'!$F$1:$AK$1,0)))*10^12</f>
        <v>24590615000000</v>
      </c>
      <c r="O65" s="54">
        <f>SUM(INDEX('AEO 36'!$F$15:$AK$103,MATCH($C$65,'AEO 36'!$B$15:$B$103,0),MATCH(O$62,'AEO 36'!$F$1:$AK$1,0)),INDEX('AEO 36'!$F$15:$AK$103,MATCH($B$65,'AEO 36'!$B$15:$B$103,0),MATCH(O$62,'AEO 36'!$F$1:$AK$1,0)))*10^12</f>
        <v>24809764000000</v>
      </c>
      <c r="P65" s="54">
        <f>SUM(INDEX('AEO 36'!$F$15:$AK$103,MATCH($C$65,'AEO 36'!$B$15:$B$103,0),MATCH(P$62,'AEO 36'!$F$1:$AK$1,0)),INDEX('AEO 36'!$F$15:$AK$103,MATCH($B$65,'AEO 36'!$B$15:$B$103,0),MATCH(P$62,'AEO 36'!$F$1:$AK$1,0)))*10^12</f>
        <v>24957225000000</v>
      </c>
      <c r="Q65" s="54">
        <f>SUM(INDEX('AEO 36'!$F$15:$AK$103,MATCH($C$65,'AEO 36'!$B$15:$B$103,0),MATCH(Q$62,'AEO 36'!$F$1:$AK$1,0)),INDEX('AEO 36'!$F$15:$AK$103,MATCH($B$65,'AEO 36'!$B$15:$B$103,0),MATCH(Q$62,'AEO 36'!$F$1:$AK$1,0)))*10^12</f>
        <v>25203131000000</v>
      </c>
      <c r="R65" s="54">
        <f>SUM(INDEX('AEO 36'!$F$15:$AK$103,MATCH($C$65,'AEO 36'!$B$15:$B$103,0),MATCH(R$62,'AEO 36'!$F$1:$AK$1,0)),INDEX('AEO 36'!$F$15:$AK$103,MATCH($B$65,'AEO 36'!$B$15:$B$103,0),MATCH(R$62,'AEO 36'!$F$1:$AK$1,0)))*10^12</f>
        <v>25446168000000</v>
      </c>
      <c r="S65" s="54">
        <f>SUM(INDEX('AEO 36'!$F$15:$AK$103,MATCH($C$65,'AEO 36'!$B$15:$B$103,0),MATCH(S$62,'AEO 36'!$F$1:$AK$1,0)),INDEX('AEO 36'!$F$15:$AK$103,MATCH($B$65,'AEO 36'!$B$15:$B$103,0),MATCH(S$62,'AEO 36'!$F$1:$AK$1,0)))*10^12</f>
        <v>25731031000000</v>
      </c>
      <c r="T65" s="54">
        <f>SUM(INDEX('AEO 36'!$F$15:$AK$103,MATCH($C$65,'AEO 36'!$B$15:$B$103,0),MATCH(T$62,'AEO 36'!$F$1:$AK$1,0)),INDEX('AEO 36'!$F$15:$AK$103,MATCH($B$65,'AEO 36'!$B$15:$B$103,0),MATCH(T$62,'AEO 36'!$F$1:$AK$1,0)))*10^12</f>
        <v>25993352000000</v>
      </c>
      <c r="U65" s="54">
        <f>SUM(INDEX('AEO 36'!$F$15:$AK$103,MATCH($C$65,'AEO 36'!$B$15:$B$103,0),MATCH(U$62,'AEO 36'!$F$1:$AK$1,0)),INDEX('AEO 36'!$F$15:$AK$103,MATCH($B$65,'AEO 36'!$B$15:$B$103,0),MATCH(U$62,'AEO 36'!$F$1:$AK$1,0)))*10^12</f>
        <v>26277877000000</v>
      </c>
      <c r="V65" s="54">
        <f>SUM(INDEX('AEO 36'!$F$15:$AK$103,MATCH($C$65,'AEO 36'!$B$15:$B$103,0),MATCH(V$62,'AEO 36'!$F$1:$AK$1,0)),INDEX('AEO 36'!$F$15:$AK$103,MATCH($B$65,'AEO 36'!$B$15:$B$103,0),MATCH(V$62,'AEO 36'!$F$1:$AK$1,0)))*10^12</f>
        <v>26554169000000</v>
      </c>
      <c r="W65" s="54">
        <f>SUM(INDEX('AEO 36'!$F$15:$AK$103,MATCH($C$65,'AEO 36'!$B$15:$B$103,0),MATCH(W$62,'AEO 36'!$F$1:$AK$1,0)),INDEX('AEO 36'!$F$15:$AK$103,MATCH($B$65,'AEO 36'!$B$15:$B$103,0),MATCH(W$62,'AEO 36'!$F$1:$AK$1,0)))*10^12</f>
        <v>26830280000000</v>
      </c>
      <c r="X65" s="54">
        <f>SUM(INDEX('AEO 36'!$F$15:$AK$103,MATCH($C$65,'AEO 36'!$B$15:$B$103,0),MATCH(X$62,'AEO 36'!$F$1:$AK$1,0)),INDEX('AEO 36'!$F$15:$AK$103,MATCH($B$65,'AEO 36'!$B$15:$B$103,0),MATCH(X$62,'AEO 36'!$F$1:$AK$1,0)))*10^12</f>
        <v>27118281000000</v>
      </c>
      <c r="Y65" s="54">
        <f>SUM(INDEX('AEO 36'!$F$15:$AK$103,MATCH($C$65,'AEO 36'!$B$15:$B$103,0),MATCH(Y$62,'AEO 36'!$F$1:$AK$1,0)),INDEX('AEO 36'!$F$15:$AK$103,MATCH($B$65,'AEO 36'!$B$15:$B$103,0),MATCH(Y$62,'AEO 36'!$F$1:$AK$1,0)))*10^12</f>
        <v>27471909000000</v>
      </c>
      <c r="Z65" s="54">
        <f>SUM(INDEX('AEO 36'!$F$15:$AK$103,MATCH($C$65,'AEO 36'!$B$15:$B$103,0),MATCH(Z$62,'AEO 36'!$F$1:$AK$1,0)),INDEX('AEO 36'!$F$15:$AK$103,MATCH($B$65,'AEO 36'!$B$15:$B$103,0),MATCH(Z$62,'AEO 36'!$F$1:$AK$1,0)))*10^12</f>
        <v>27805148000000</v>
      </c>
      <c r="AA65" s="54">
        <f>SUM(INDEX('AEO 36'!$F$15:$AK$103,MATCH($C$65,'AEO 36'!$B$15:$B$103,0),MATCH(AA$62,'AEO 36'!$F$1:$AK$1,0)),INDEX('AEO 36'!$F$15:$AK$103,MATCH($B$65,'AEO 36'!$B$15:$B$103,0),MATCH(AA$62,'AEO 36'!$F$1:$AK$1,0)))*10^12</f>
        <v>28138944000000.004</v>
      </c>
      <c r="AB65" s="54">
        <f>SUM(INDEX('AEO 36'!$F$15:$AK$103,MATCH($C$65,'AEO 36'!$B$15:$B$103,0),MATCH(AB$62,'AEO 36'!$F$1:$AK$1,0)),INDEX('AEO 36'!$F$15:$AK$103,MATCH($B$65,'AEO 36'!$B$15:$B$103,0),MATCH(AB$62,'AEO 36'!$F$1:$AK$1,0)))*10^12</f>
        <v>28481359000000</v>
      </c>
      <c r="AC65" s="54">
        <f>SUM(INDEX('AEO 36'!$F$15:$AK$103,MATCH($C$65,'AEO 36'!$B$15:$B$103,0),MATCH(AC$62,'AEO 36'!$F$1:$AK$1,0)),INDEX('AEO 36'!$F$15:$AK$103,MATCH($B$65,'AEO 36'!$B$15:$B$103,0),MATCH(AC$62,'AEO 36'!$F$1:$AK$1,0)))*10^12</f>
        <v>28814511000000</v>
      </c>
      <c r="AD65" s="54">
        <f>SUM(INDEX('AEO 36'!$F$15:$AK$103,MATCH($C$65,'AEO 36'!$B$15:$B$103,0),MATCH(AD$62,'AEO 36'!$F$1:$AK$1,0)),INDEX('AEO 36'!$F$15:$AK$103,MATCH($B$65,'AEO 36'!$B$15:$B$103,0),MATCH(AD$62,'AEO 36'!$F$1:$AK$1,0)))*10^12</f>
        <v>29173555000000</v>
      </c>
      <c r="AE65" s="54">
        <f>SUM(INDEX('AEO 36'!$F$15:$AK$103,MATCH($C$65,'AEO 36'!$B$15:$B$103,0),MATCH(AE$62,'AEO 36'!$F$1:$AK$1,0)),INDEX('AEO 36'!$F$15:$AK$103,MATCH($B$65,'AEO 36'!$B$15:$B$103,0),MATCH(AE$62,'AEO 36'!$F$1:$AK$1,0)))*10^12</f>
        <v>29504795000000</v>
      </c>
      <c r="AF65" s="54">
        <f>SUM(INDEX('AEO 36'!$F$15:$AK$103,MATCH($C$65,'AEO 36'!$B$15:$B$103,0),MATCH(AF$62,'AEO 36'!$F$1:$AK$1,0)),INDEX('AEO 36'!$F$15:$AK$103,MATCH($B$65,'AEO 36'!$B$15:$B$103,0),MATCH(AF$62,'AEO 36'!$F$1:$AK$1,0)))*10^12</f>
        <v>29803602000000</v>
      </c>
      <c r="AG65" s="54">
        <f>SUM(INDEX('AEO 36'!$F$15:$AK$103,MATCH($C$65,'AEO 36'!$B$15:$B$103,0),MATCH(AG$62,'AEO 36'!$F$1:$AK$1,0)),INDEX('AEO 36'!$F$15:$AK$103,MATCH($B$65,'AEO 36'!$B$15:$B$103,0),MATCH(AG$62,'AEO 36'!$F$1:$AK$1,0)))*10^12</f>
        <v>30109448999999.996</v>
      </c>
      <c r="AH65" s="54">
        <f>SUM(INDEX('AEO 36'!$F$15:$AK$103,MATCH($C$65,'AEO 36'!$B$15:$B$103,0),MATCH(AH$62,'AEO 36'!$F$1:$AK$1,0)),INDEX('AEO 36'!$F$15:$AK$103,MATCH($B$65,'AEO 36'!$B$15:$B$103,0),MATCH(AH$62,'AEO 36'!$F$1:$AK$1,0)))*10^12</f>
        <v>30427265000000</v>
      </c>
      <c r="AI65" s="54">
        <f>SUM(INDEX('AEO 36'!$F$15:$AK$103,MATCH($C$65,'AEO 36'!$B$15:$B$103,0),MATCH(AI$62,'AEO 36'!$F$1:$AK$1,0)),INDEX('AEO 36'!$F$15:$AK$103,MATCH($B$65,'AEO 36'!$B$15:$B$103,0),MATCH(AI$62,'AEO 36'!$F$1:$AK$1,0)))*10^12</f>
        <v>30727714000000</v>
      </c>
      <c r="AJ65" s="54"/>
      <c r="AK65" s="64"/>
    </row>
    <row r="66" spans="1:37">
      <c r="D66" t="s">
        <v>1096</v>
      </c>
      <c r="E66" s="54">
        <f>E64*$B$71</f>
        <v>15724651999999.998</v>
      </c>
      <c r="F66" s="54">
        <f t="shared" ref="F66:AI66" si="23">F64*$B$71</f>
        <v>18570040000000</v>
      </c>
      <c r="G66" s="54">
        <f t="shared" si="23"/>
        <v>20939007000000</v>
      </c>
      <c r="H66" s="54">
        <f t="shared" si="23"/>
        <v>22730788000000</v>
      </c>
      <c r="I66" s="54">
        <f t="shared" si="23"/>
        <v>24090370000000</v>
      </c>
      <c r="J66" s="54">
        <f t="shared" si="23"/>
        <v>25112246000000</v>
      </c>
      <c r="K66" s="54">
        <f t="shared" si="23"/>
        <v>25840006000000</v>
      </c>
      <c r="L66" s="54">
        <f t="shared" si="23"/>
        <v>26380896000000</v>
      </c>
      <c r="M66" s="54">
        <f t="shared" si="23"/>
        <v>26537698000000</v>
      </c>
      <c r="N66" s="54">
        <f t="shared" si="23"/>
        <v>26659430000000</v>
      </c>
      <c r="O66" s="54">
        <f t="shared" si="23"/>
        <v>26941779000000</v>
      </c>
      <c r="P66" s="54">
        <f t="shared" si="23"/>
        <v>27061387000000.004</v>
      </c>
      <c r="Q66" s="54">
        <f t="shared" si="23"/>
        <v>27370438999999.996</v>
      </c>
      <c r="R66" s="54">
        <f t="shared" si="23"/>
        <v>27664516000000</v>
      </c>
      <c r="S66" s="54">
        <f t="shared" si="23"/>
        <v>28033673999999.996</v>
      </c>
      <c r="T66" s="54">
        <f t="shared" si="23"/>
        <v>28336389000000</v>
      </c>
      <c r="U66" s="54">
        <f t="shared" si="23"/>
        <v>28674376000000.004</v>
      </c>
      <c r="V66" s="54">
        <f t="shared" si="23"/>
        <v>28995555000000</v>
      </c>
      <c r="W66" s="54">
        <f t="shared" si="23"/>
        <v>29311184000000</v>
      </c>
      <c r="X66" s="54">
        <f t="shared" si="23"/>
        <v>29633765000000</v>
      </c>
      <c r="Y66" s="54">
        <f t="shared" si="23"/>
        <v>30069786000000</v>
      </c>
      <c r="Z66" s="54">
        <f t="shared" si="23"/>
        <v>30462376000000</v>
      </c>
      <c r="AA66" s="54">
        <f t="shared" si="23"/>
        <v>30840115000000</v>
      </c>
      <c r="AB66" s="54">
        <f t="shared" si="23"/>
        <v>31230839000000.004</v>
      </c>
      <c r="AC66" s="54">
        <f t="shared" si="23"/>
        <v>31603850000000</v>
      </c>
      <c r="AD66" s="54">
        <f t="shared" si="23"/>
        <v>32029404000000</v>
      </c>
      <c r="AE66" s="54">
        <f t="shared" si="23"/>
        <v>32413029000000</v>
      </c>
      <c r="AF66" s="54">
        <f t="shared" si="23"/>
        <v>32759529999999.996</v>
      </c>
      <c r="AG66" s="54">
        <f t="shared" si="23"/>
        <v>33144264999999.996</v>
      </c>
      <c r="AH66" s="54">
        <f t="shared" si="23"/>
        <v>33584294000000</v>
      </c>
      <c r="AI66" s="54">
        <f t="shared" si="23"/>
        <v>34028448999999.996</v>
      </c>
      <c r="AJ66" s="54"/>
      <c r="AK66" s="64"/>
    </row>
    <row r="67" spans="1:37">
      <c r="D67" t="s">
        <v>1097</v>
      </c>
      <c r="E67" s="54">
        <f>E65*$B$72</f>
        <v>4267208095406.3608</v>
      </c>
      <c r="F67" s="54">
        <f t="shared" ref="F67:AI67" si="24">F65*$B$72</f>
        <v>5190878991283.8633</v>
      </c>
      <c r="G67" s="54">
        <f t="shared" si="24"/>
        <v>5911011949823.3223</v>
      </c>
      <c r="H67" s="54">
        <f t="shared" si="24"/>
        <v>6456397302473.498</v>
      </c>
      <c r="I67" s="54">
        <f t="shared" si="24"/>
        <v>6866662248527.6797</v>
      </c>
      <c r="J67" s="54">
        <f t="shared" si="24"/>
        <v>7174082754534.7471</v>
      </c>
      <c r="K67" s="54">
        <f t="shared" si="24"/>
        <v>7398546638869.2578</v>
      </c>
      <c r="L67" s="54">
        <f t="shared" si="24"/>
        <v>7566450562308.5986</v>
      </c>
      <c r="M67" s="54">
        <f t="shared" si="24"/>
        <v>7612789499646.6436</v>
      </c>
      <c r="N67" s="54">
        <f t="shared" si="24"/>
        <v>7652344502944.6406</v>
      </c>
      <c r="O67" s="54">
        <f t="shared" si="24"/>
        <v>7720541400235.5713</v>
      </c>
      <c r="P67" s="54">
        <f t="shared" si="24"/>
        <v>7766429734982.332</v>
      </c>
      <c r="Q67" s="54">
        <f t="shared" si="24"/>
        <v>7842953133333.334</v>
      </c>
      <c r="R67" s="54">
        <f t="shared" si="24"/>
        <v>7918583728621.9082</v>
      </c>
      <c r="S67" s="54">
        <f t="shared" si="24"/>
        <v>8007230141578.3281</v>
      </c>
      <c r="T67" s="54">
        <f t="shared" si="24"/>
        <v>8088861717785.6309</v>
      </c>
      <c r="U67" s="54">
        <f t="shared" si="24"/>
        <v>8177402948645.4658</v>
      </c>
      <c r="V67" s="54">
        <f t="shared" si="24"/>
        <v>8263382155241.4609</v>
      </c>
      <c r="W67" s="54">
        <f t="shared" si="24"/>
        <v>8349305036513.5459</v>
      </c>
      <c r="X67" s="54">
        <f t="shared" si="24"/>
        <v>8438927962544.1699</v>
      </c>
      <c r="Y67" s="54">
        <f t="shared" si="24"/>
        <v>8548973330742.0498</v>
      </c>
      <c r="Z67" s="54">
        <f t="shared" si="24"/>
        <v>8652673853474.6768</v>
      </c>
      <c r="AA67" s="54">
        <f t="shared" si="24"/>
        <v>8756547708833.9238</v>
      </c>
      <c r="AB67" s="54">
        <f t="shared" si="24"/>
        <v>8863103707656.0664</v>
      </c>
      <c r="AC67" s="54">
        <f t="shared" si="24"/>
        <v>8966777156890.459</v>
      </c>
      <c r="AD67" s="54">
        <f t="shared" si="24"/>
        <v>9078507928150.7656</v>
      </c>
      <c r="AE67" s="54">
        <f t="shared" si="24"/>
        <v>9181586382803.2988</v>
      </c>
      <c r="AF67" s="54">
        <f t="shared" si="24"/>
        <v>9274572024028.2695</v>
      </c>
      <c r="AG67" s="54">
        <f t="shared" si="24"/>
        <v>9369748440282.6855</v>
      </c>
      <c r="AH67" s="54">
        <f t="shared" si="24"/>
        <v>9468649485276.7969</v>
      </c>
      <c r="AI67" s="54">
        <f t="shared" si="24"/>
        <v>9562146099882.2148</v>
      </c>
      <c r="AJ67" s="54"/>
      <c r="AK67" s="64"/>
    </row>
    <row r="68" spans="1:37">
      <c r="D68" s="46" t="s">
        <v>1090</v>
      </c>
      <c r="E68" s="63">
        <f>E63*(E66/SUM(E66:E67))/E64</f>
        <v>1.2490429545241593E-3</v>
      </c>
      <c r="F68" s="63">
        <f t="shared" ref="F68:AI68" si="25">F63*(F66/SUM(F66:F67))/F64</f>
        <v>1.2479838852561889E-3</v>
      </c>
      <c r="G68" s="63">
        <f t="shared" si="25"/>
        <v>1.2471665685815224E-3</v>
      </c>
      <c r="H68" s="63">
        <f t="shared" si="25"/>
        <v>1.2466464519590526E-3</v>
      </c>
      <c r="I68" s="63">
        <f t="shared" si="25"/>
        <v>1.2461776274382624E-3</v>
      </c>
      <c r="J68" s="63">
        <f t="shared" si="25"/>
        <v>1.2458210503215087E-3</v>
      </c>
      <c r="K68" s="63">
        <f t="shared" si="25"/>
        <v>1.2454261907779705E-3</v>
      </c>
      <c r="L68" s="63">
        <f t="shared" si="25"/>
        <v>1.2450097660041024E-3</v>
      </c>
      <c r="M68" s="63">
        <f t="shared" si="25"/>
        <v>1.2449523012062393E-3</v>
      </c>
      <c r="N68" s="63">
        <f t="shared" si="25"/>
        <v>1.2448581170389291E-3</v>
      </c>
      <c r="O68" s="63">
        <f t="shared" si="25"/>
        <v>1.244492708563932E-3</v>
      </c>
      <c r="P68" s="63">
        <f t="shared" si="25"/>
        <v>1.2445150475500222E-3</v>
      </c>
      <c r="Q68" s="63">
        <f t="shared" si="25"/>
        <v>1.244362963786191E-3</v>
      </c>
      <c r="R68" s="63">
        <f t="shared" si="25"/>
        <v>1.2442462668418766E-3</v>
      </c>
      <c r="S68" s="63">
        <f t="shared" si="25"/>
        <v>1.2440271982043711E-3</v>
      </c>
      <c r="T68" s="63">
        <f t="shared" si="25"/>
        <v>1.2439416368347936E-3</v>
      </c>
      <c r="U68" s="63">
        <f t="shared" si="25"/>
        <v>1.2436776543099449E-3</v>
      </c>
      <c r="V68" s="63">
        <f t="shared" si="25"/>
        <v>1.2434044966707469E-3</v>
      </c>
      <c r="W68" s="63">
        <f t="shared" si="25"/>
        <v>1.2431106233009778E-3</v>
      </c>
      <c r="X68" s="63">
        <f t="shared" si="25"/>
        <v>1.242818522097998E-3</v>
      </c>
      <c r="Y68" s="63">
        <f t="shared" si="25"/>
        <v>1.2424141228640053E-3</v>
      </c>
      <c r="Z68" s="63">
        <f t="shared" si="25"/>
        <v>1.2420321636298346E-3</v>
      </c>
      <c r="AA68" s="63">
        <f t="shared" si="25"/>
        <v>1.241620319407161E-3</v>
      </c>
      <c r="AB68" s="63">
        <f t="shared" si="25"/>
        <v>1.2411620718582406E-3</v>
      </c>
      <c r="AC68" s="63">
        <f t="shared" si="25"/>
        <v>1.240669038843074E-3</v>
      </c>
      <c r="AD68" s="63">
        <f t="shared" si="25"/>
        <v>1.2401023941352315E-3</v>
      </c>
      <c r="AE68" s="63">
        <f t="shared" si="25"/>
        <v>1.2395514545691941E-3</v>
      </c>
      <c r="AF68" s="63">
        <f t="shared" si="25"/>
        <v>1.2389760811407262E-3</v>
      </c>
      <c r="AG68" s="63">
        <f t="shared" si="25"/>
        <v>1.2383487405617649E-3</v>
      </c>
      <c r="AH68" s="63">
        <f t="shared" si="25"/>
        <v>1.2375986561341948E-3</v>
      </c>
      <c r="AI68" s="63">
        <f t="shared" si="25"/>
        <v>1.236792153822779E-3</v>
      </c>
      <c r="AJ68" s="63"/>
      <c r="AK68" s="64"/>
    </row>
    <row r="69" spans="1:37">
      <c r="D69" s="46" t="s">
        <v>1091</v>
      </c>
      <c r="E69" s="63">
        <f>E63*(E67/SUM(E66:E67))/E65</f>
        <v>3.8868922094850749E-4</v>
      </c>
      <c r="F69" s="63">
        <f t="shared" ref="F69:AI69" si="26">F63*(F67/SUM(F66:F67))/F65</f>
        <v>3.8835964956971156E-4</v>
      </c>
      <c r="G69" s="63">
        <f t="shared" si="26"/>
        <v>3.8810530909215343E-4</v>
      </c>
      <c r="H69" s="63">
        <f t="shared" si="26"/>
        <v>3.8794345419032003E-4</v>
      </c>
      <c r="I69" s="63">
        <f t="shared" si="26"/>
        <v>3.8779756085887974E-4</v>
      </c>
      <c r="J69" s="63">
        <f t="shared" si="26"/>
        <v>3.8768659775611613E-4</v>
      </c>
      <c r="K69" s="63">
        <f t="shared" si="26"/>
        <v>3.8756372155893972E-4</v>
      </c>
      <c r="L69" s="63">
        <f t="shared" si="26"/>
        <v>3.8743413448561116E-4</v>
      </c>
      <c r="M69" s="63">
        <f t="shared" si="26"/>
        <v>3.8741625203614658E-4</v>
      </c>
      <c r="N69" s="63">
        <f t="shared" si="26"/>
        <v>3.8738694289951122E-4</v>
      </c>
      <c r="O69" s="63">
        <f t="shared" si="26"/>
        <v>3.8727323156960051E-4</v>
      </c>
      <c r="P69" s="63">
        <f t="shared" si="26"/>
        <v>3.872801832305252E-4</v>
      </c>
      <c r="Q69" s="63">
        <f t="shared" si="26"/>
        <v>3.8723285633958973E-4</v>
      </c>
      <c r="R69" s="63">
        <f t="shared" si="26"/>
        <v>3.8719654146009873E-4</v>
      </c>
      <c r="S69" s="63">
        <f t="shared" si="26"/>
        <v>3.8712836957078314E-4</v>
      </c>
      <c r="T69" s="63">
        <f t="shared" si="26"/>
        <v>3.8710174375942578E-4</v>
      </c>
      <c r="U69" s="63">
        <f t="shared" si="26"/>
        <v>3.8701959513390749E-4</v>
      </c>
      <c r="V69" s="63">
        <f t="shared" si="26"/>
        <v>3.8693459130790495E-4</v>
      </c>
      <c r="W69" s="63">
        <f t="shared" si="26"/>
        <v>3.8684314096127021E-4</v>
      </c>
      <c r="X69" s="63">
        <f t="shared" si="26"/>
        <v>3.8675224209457141E-4</v>
      </c>
      <c r="Y69" s="63">
        <f t="shared" si="26"/>
        <v>3.8662639724460569E-4</v>
      </c>
      <c r="Z69" s="63">
        <f t="shared" si="26"/>
        <v>3.8650753548999096E-4</v>
      </c>
      <c r="AA69" s="63">
        <f t="shared" si="26"/>
        <v>3.8637937383671609E-4</v>
      </c>
      <c r="AB69" s="63">
        <f t="shared" si="26"/>
        <v>3.8623677194928995E-4</v>
      </c>
      <c r="AC69" s="63">
        <f t="shared" si="26"/>
        <v>3.8608334518532407E-4</v>
      </c>
      <c r="AD69" s="63">
        <f t="shared" si="26"/>
        <v>3.8590701122559256E-4</v>
      </c>
      <c r="AE69" s="63">
        <f t="shared" si="26"/>
        <v>3.8573556454320505E-4</v>
      </c>
      <c r="AF69" s="63">
        <f t="shared" si="26"/>
        <v>3.8555651429608934E-4</v>
      </c>
      <c r="AG69" s="63">
        <f t="shared" si="26"/>
        <v>3.8536129241038667E-4</v>
      </c>
      <c r="AH69" s="63">
        <f t="shared" si="26"/>
        <v>3.8512787391125356E-4</v>
      </c>
      <c r="AI69" s="63">
        <f t="shared" si="26"/>
        <v>3.8487689875144672E-4</v>
      </c>
      <c r="AJ69" s="63"/>
    </row>
    <row r="70" spans="1:37">
      <c r="B70" s="62"/>
      <c r="C70" s="62"/>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row>
    <row r="71" spans="1:37">
      <c r="A71" t="s">
        <v>1108</v>
      </c>
      <c r="B71" s="62">
        <v>1</v>
      </c>
      <c r="C71" s="62"/>
      <c r="D71" s="66" t="s">
        <v>1099</v>
      </c>
      <c r="E71" s="62"/>
      <c r="F71" s="62"/>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62"/>
      <c r="AG71" s="62"/>
    </row>
    <row r="72" spans="1:37">
      <c r="A72" t="s">
        <v>1107</v>
      </c>
      <c r="B72" s="67">
        <f>1-B17</f>
        <v>0.31118963486454654</v>
      </c>
      <c r="C72" s="62"/>
      <c r="D72" s="62"/>
      <c r="E72" s="62"/>
      <c r="F72" s="62"/>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62"/>
      <c r="AG72" s="62"/>
    </row>
    <row r="73" spans="1:37">
      <c r="B73" s="62"/>
      <c r="C73" s="62"/>
      <c r="D73" s="62"/>
      <c r="E73" s="62"/>
      <c r="F73" s="62"/>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62"/>
      <c r="AG73" s="62"/>
    </row>
    <row r="74" spans="1:37">
      <c r="A74" s="2" t="s">
        <v>1105</v>
      </c>
    </row>
    <row r="75" spans="1:37">
      <c r="D75" s="43"/>
      <c r="E75" s="1">
        <v>2020</v>
      </c>
      <c r="F75" s="1">
        <v>2021</v>
      </c>
      <c r="G75" s="1">
        <v>2022</v>
      </c>
      <c r="H75" s="1">
        <v>2023</v>
      </c>
      <c r="I75" s="1">
        <v>2024</v>
      </c>
      <c r="J75" s="1">
        <v>2025</v>
      </c>
      <c r="K75" s="1">
        <v>2026</v>
      </c>
      <c r="L75" s="1">
        <v>2027</v>
      </c>
      <c r="M75" s="1">
        <v>2028</v>
      </c>
      <c r="N75" s="1">
        <v>2029</v>
      </c>
      <c r="O75" s="1">
        <v>2030</v>
      </c>
      <c r="P75" s="1">
        <v>2031</v>
      </c>
      <c r="Q75" s="1">
        <v>2032</v>
      </c>
      <c r="R75" s="1">
        <v>2033</v>
      </c>
      <c r="S75" s="1">
        <v>2034</v>
      </c>
      <c r="T75" s="1">
        <v>2035</v>
      </c>
      <c r="U75" s="1">
        <v>2036</v>
      </c>
      <c r="V75" s="1">
        <v>2037</v>
      </c>
      <c r="W75" s="1">
        <v>2038</v>
      </c>
      <c r="X75" s="1">
        <v>2039</v>
      </c>
      <c r="Y75" s="1">
        <v>2040</v>
      </c>
      <c r="Z75" s="1">
        <v>2041</v>
      </c>
      <c r="AA75" s="1">
        <v>2042</v>
      </c>
      <c r="AB75" s="1">
        <v>2043</v>
      </c>
      <c r="AC75" s="1">
        <v>2044</v>
      </c>
      <c r="AD75" s="1">
        <v>2045</v>
      </c>
      <c r="AE75" s="1">
        <v>2046</v>
      </c>
      <c r="AF75" s="1">
        <v>2047</v>
      </c>
      <c r="AG75" s="1">
        <v>2048</v>
      </c>
      <c r="AH75" s="1">
        <v>2049</v>
      </c>
      <c r="AI75" s="1">
        <v>2050</v>
      </c>
    </row>
    <row r="76" spans="1:37">
      <c r="C76" s="28" t="s">
        <v>834</v>
      </c>
      <c r="D76" t="s">
        <v>3062</v>
      </c>
      <c r="E76" s="65">
        <f>INDEX('AEO 7'!$C$18:$AH$28,MATCH($C$76,'AEO 7'!$A$18:$A$28,0),MATCH(E$75,'AEO 7'!$C$13:$AH$13,0))*10^9</f>
        <v>108322510000</v>
      </c>
      <c r="F76" s="65">
        <f>INDEX('AEO 7'!$C$18:$AH$28,MATCH($C$76,'AEO 7'!$A$18:$A$28,0),MATCH(F$75,'AEO 7'!$C$13:$AH$13,0))*10^9</f>
        <v>134829253999.99998</v>
      </c>
      <c r="G76" s="65">
        <f>INDEX('AEO 7'!$C$18:$AH$28,MATCH($C$76,'AEO 7'!$A$18:$A$28,0),MATCH(G$75,'AEO 7'!$C$13:$AH$13,0))*10^9</f>
        <v>154717422000</v>
      </c>
      <c r="H76" s="65">
        <f>INDEX('AEO 7'!$C$18:$AH$28,MATCH($C$76,'AEO 7'!$A$18:$A$28,0),MATCH(H$75,'AEO 7'!$C$13:$AH$13,0))*10^9</f>
        <v>169652832000</v>
      </c>
      <c r="I76" s="65">
        <f>INDEX('AEO 7'!$C$18:$AH$28,MATCH($C$76,'AEO 7'!$A$18:$A$28,0),MATCH(I$75,'AEO 7'!$C$13:$AH$13,0))*10^9</f>
        <v>180920807000</v>
      </c>
      <c r="J76" s="65">
        <f>INDEX('AEO 7'!$C$18:$AH$28,MATCH($C$76,'AEO 7'!$A$18:$A$28,0),MATCH(J$75,'AEO 7'!$C$13:$AH$13,0))*10^9</f>
        <v>189449295000</v>
      </c>
      <c r="K76" s="65">
        <f>INDEX('AEO 7'!$C$18:$AH$28,MATCH($C$76,'AEO 7'!$A$18:$A$28,0),MATCH(K$75,'AEO 7'!$C$13:$AH$13,0))*10^9</f>
        <v>195917755000</v>
      </c>
      <c r="L76" s="65">
        <f>INDEX('AEO 7'!$C$18:$AH$28,MATCH($C$76,'AEO 7'!$A$18:$A$28,0),MATCH(L$75,'AEO 7'!$C$13:$AH$13,0))*10^9</f>
        <v>200871582000</v>
      </c>
      <c r="M76" s="65">
        <f>INDEX('AEO 7'!$C$18:$AH$28,MATCH($C$76,'AEO 7'!$A$18:$A$28,0),MATCH(M$75,'AEO 7'!$C$13:$AH$13,0))*10^9</f>
        <v>204429398000</v>
      </c>
      <c r="N76" s="65">
        <f>INDEX('AEO 7'!$C$18:$AH$28,MATCH($C$76,'AEO 7'!$A$18:$A$28,0),MATCH(N$75,'AEO 7'!$C$13:$AH$13,0))*10^9</f>
        <v>207178192000</v>
      </c>
      <c r="O76" s="65">
        <f>INDEX('AEO 7'!$C$18:$AH$28,MATCH($C$76,'AEO 7'!$A$18:$A$28,0),MATCH(O$75,'AEO 7'!$C$13:$AH$13,0))*10^9</f>
        <v>209426270000</v>
      </c>
      <c r="P76" s="65">
        <f>INDEX('AEO 7'!$C$18:$AH$28,MATCH($C$76,'AEO 7'!$A$18:$A$28,0),MATCH(P$75,'AEO 7'!$C$13:$AH$13,0))*10^9</f>
        <v>211015442000</v>
      </c>
      <c r="Q76" s="65">
        <f>INDEX('AEO 7'!$C$18:$AH$28,MATCH($C$76,'AEO 7'!$A$18:$A$28,0),MATCH(Q$75,'AEO 7'!$C$13:$AH$13,0))*10^9</f>
        <v>212354843000</v>
      </c>
      <c r="R76" s="65">
        <f>INDEX('AEO 7'!$C$18:$AH$28,MATCH($C$76,'AEO 7'!$A$18:$A$28,0),MATCH(R$75,'AEO 7'!$C$13:$AH$13,0))*10^9</f>
        <v>213368500000</v>
      </c>
      <c r="S76" s="65">
        <f>INDEX('AEO 7'!$C$18:$AH$28,MATCH($C$76,'AEO 7'!$A$18:$A$28,0),MATCH(S$75,'AEO 7'!$C$13:$AH$13,0))*10^9</f>
        <v>214164566000</v>
      </c>
      <c r="T76" s="65">
        <f>INDEX('AEO 7'!$C$18:$AH$28,MATCH($C$76,'AEO 7'!$A$18:$A$28,0),MATCH(T$75,'AEO 7'!$C$13:$AH$13,0))*10^9</f>
        <v>214708160000</v>
      </c>
      <c r="U76" s="65">
        <f>INDEX('AEO 7'!$C$18:$AH$28,MATCH($C$76,'AEO 7'!$A$18:$A$28,0),MATCH(U$75,'AEO 7'!$C$13:$AH$13,0))*10^9</f>
        <v>215169418000</v>
      </c>
      <c r="V76" s="65">
        <f>INDEX('AEO 7'!$C$18:$AH$28,MATCH($C$76,'AEO 7'!$A$18:$A$28,0),MATCH(V$75,'AEO 7'!$C$13:$AH$13,0))*10^9</f>
        <v>215535126000</v>
      </c>
      <c r="W76" s="65">
        <f>INDEX('AEO 7'!$C$18:$AH$28,MATCH($C$76,'AEO 7'!$A$18:$A$28,0),MATCH(W$75,'AEO 7'!$C$13:$AH$13,0))*10^9</f>
        <v>215805481000</v>
      </c>
      <c r="X76" s="65">
        <f>INDEX('AEO 7'!$C$18:$AH$28,MATCH($C$76,'AEO 7'!$A$18:$A$28,0),MATCH(X$75,'AEO 7'!$C$13:$AH$13,0))*10^9</f>
        <v>215985870000</v>
      </c>
      <c r="Y76" s="65">
        <f>INDEX('AEO 7'!$C$18:$AH$28,MATCH($C$76,'AEO 7'!$A$18:$A$28,0),MATCH(Y$75,'AEO 7'!$C$13:$AH$13,0))*10^9</f>
        <v>216161972000</v>
      </c>
      <c r="Z76" s="65">
        <f>INDEX('AEO 7'!$C$18:$AH$28,MATCH($C$76,'AEO 7'!$A$18:$A$28,0),MATCH(Z$75,'AEO 7'!$C$13:$AH$13,0))*10^9</f>
        <v>216265442000</v>
      </c>
      <c r="AA76" s="65">
        <f>INDEX('AEO 7'!$C$18:$AH$28,MATCH($C$76,'AEO 7'!$A$18:$A$28,0),MATCH(AA$75,'AEO 7'!$C$13:$AH$13,0))*10^9</f>
        <v>216331223000</v>
      </c>
      <c r="AB76" s="65">
        <f>INDEX('AEO 7'!$C$18:$AH$28,MATCH($C$76,'AEO 7'!$A$18:$A$28,0),MATCH(AB$75,'AEO 7'!$C$13:$AH$13,0))*10^9</f>
        <v>216378448000</v>
      </c>
      <c r="AC76" s="65">
        <f>INDEX('AEO 7'!$C$18:$AH$28,MATCH($C$76,'AEO 7'!$A$18:$A$28,0),MATCH(AC$75,'AEO 7'!$C$13:$AH$13,0))*10^9</f>
        <v>216409988000</v>
      </c>
      <c r="AD76" s="65">
        <f>INDEX('AEO 7'!$C$18:$AH$28,MATCH($C$76,'AEO 7'!$A$18:$A$28,0),MATCH(AD$75,'AEO 7'!$C$13:$AH$13,0))*10^9</f>
        <v>216441574000</v>
      </c>
      <c r="AE76" s="65">
        <f>INDEX('AEO 7'!$C$18:$AH$28,MATCH($C$76,'AEO 7'!$A$18:$A$28,0),MATCH(AE$75,'AEO 7'!$C$13:$AH$13,0))*10^9</f>
        <v>216451508000</v>
      </c>
      <c r="AF76" s="65">
        <f>INDEX('AEO 7'!$C$18:$AH$28,MATCH($C$76,'AEO 7'!$A$18:$A$28,0),MATCH(AF$75,'AEO 7'!$C$13:$AH$13,0))*10^9</f>
        <v>216468369000</v>
      </c>
      <c r="AG76" s="65">
        <f>INDEX('AEO 7'!$C$18:$AH$28,MATCH($C$76,'AEO 7'!$A$18:$A$28,0),MATCH(AG$75,'AEO 7'!$C$13:$AH$13,0))*10^9</f>
        <v>216483002000</v>
      </c>
      <c r="AH76" s="65">
        <f>INDEX('AEO 7'!$C$18:$AH$28,MATCH($C$76,'AEO 7'!$A$18:$A$28,0),MATCH(AH$75,'AEO 7'!$C$13:$AH$13,0))*10^9</f>
        <v>216552536000</v>
      </c>
      <c r="AI76" s="65">
        <f>INDEX('AEO 7'!$C$18:$AH$28,MATCH($C$76,'AEO 7'!$A$18:$A$28,0),MATCH(AI$75,'AEO 7'!$C$13:$AH$13,0))*10^9</f>
        <v>216643478000</v>
      </c>
      <c r="AK76" s="64"/>
    </row>
    <row r="77" spans="1:37">
      <c r="A77" s="19" t="s">
        <v>1065</v>
      </c>
      <c r="B77" s="19" t="s">
        <v>1057</v>
      </c>
      <c r="C77" s="19" t="s">
        <v>1049</v>
      </c>
      <c r="D77" t="s">
        <v>1092</v>
      </c>
      <c r="E77" s="54">
        <f>SUM(INDEX('AEO 36'!$F$15:$AK$103,MATCH($C$77,'AEO 36'!$B$15:$B$103,0),MATCH(E$75,'AEO 36'!$F$1:$AK$1,0)),INDEX('AEO 36'!$F$15:$AK$103,MATCH($B$77,'AEO 36'!$B$15:$B$103,0),MATCH(E$75,'AEO 36'!$F$1:$AK$1,0)),INDEX('AEO 36'!$F$15:$AK$103,MATCH($A$77,'AEO 36'!$B$15:$B$103,0),MATCH(E$75,'AEO 36'!$F$1:$AK$1,0)))*10^12</f>
        <v>345431000000</v>
      </c>
      <c r="F77" s="54">
        <f>SUM(INDEX('AEO 36'!$F$15:$AK$103,MATCH($C$77,'AEO 36'!$B$15:$B$103,0),MATCH(F$75,'AEO 36'!$F$1:$AK$1,0)),INDEX('AEO 36'!$F$15:$AK$103,MATCH($B$77,'AEO 36'!$B$15:$B$103,0),MATCH(F$75,'AEO 36'!$F$1:$AK$1,0)),INDEX('AEO 36'!$F$15:$AK$103,MATCH($A$77,'AEO 36'!$B$15:$B$103,0),MATCH(F$75,'AEO 36'!$F$1:$AK$1,0)))*10^12</f>
        <v>429563000000</v>
      </c>
      <c r="G77" s="54">
        <f>SUM(INDEX('AEO 36'!$F$15:$AK$103,MATCH($C$77,'AEO 36'!$B$15:$B$103,0),MATCH(G$75,'AEO 36'!$F$1:$AK$1,0)),INDEX('AEO 36'!$F$15:$AK$103,MATCH($B$77,'AEO 36'!$B$15:$B$103,0),MATCH(G$75,'AEO 36'!$F$1:$AK$1,0)),INDEX('AEO 36'!$F$15:$AK$103,MATCH($A$77,'AEO 36'!$B$15:$B$103,0),MATCH(G$75,'AEO 36'!$F$1:$AK$1,0)))*10^12</f>
        <v>500859000000.00006</v>
      </c>
      <c r="H77" s="54">
        <f>SUM(INDEX('AEO 36'!$F$15:$AK$103,MATCH($C$77,'AEO 36'!$B$15:$B$103,0),MATCH(H$75,'AEO 36'!$F$1:$AK$1,0)),INDEX('AEO 36'!$F$15:$AK$103,MATCH($B$77,'AEO 36'!$B$15:$B$103,0),MATCH(H$75,'AEO 36'!$F$1:$AK$1,0)),INDEX('AEO 36'!$F$15:$AK$103,MATCH($A$77,'AEO 36'!$B$15:$B$103,0),MATCH(H$75,'AEO 36'!$F$1:$AK$1,0)))*10^12</f>
        <v>566272000000</v>
      </c>
      <c r="I77" s="54">
        <f>SUM(INDEX('AEO 36'!$F$15:$AK$103,MATCH($C$77,'AEO 36'!$B$15:$B$103,0),MATCH(I$75,'AEO 36'!$F$1:$AK$1,0)),INDEX('AEO 36'!$F$15:$AK$103,MATCH($B$77,'AEO 36'!$B$15:$B$103,0),MATCH(I$75,'AEO 36'!$F$1:$AK$1,0)),INDEX('AEO 36'!$F$15:$AK$103,MATCH($A$77,'AEO 36'!$B$15:$B$103,0),MATCH(I$75,'AEO 36'!$F$1:$AK$1,0)))*10^12</f>
        <v>627633000000</v>
      </c>
      <c r="J77" s="54">
        <f>SUM(INDEX('AEO 36'!$F$15:$AK$103,MATCH($C$77,'AEO 36'!$B$15:$B$103,0),MATCH(J$75,'AEO 36'!$F$1:$AK$1,0)),INDEX('AEO 36'!$F$15:$AK$103,MATCH($B$77,'AEO 36'!$B$15:$B$103,0),MATCH(J$75,'AEO 36'!$F$1:$AK$1,0)),INDEX('AEO 36'!$F$15:$AK$103,MATCH($A$77,'AEO 36'!$B$15:$B$103,0),MATCH(J$75,'AEO 36'!$F$1:$AK$1,0)))*10^12</f>
        <v>684497000000</v>
      </c>
      <c r="K77" s="54">
        <f>SUM(INDEX('AEO 36'!$F$15:$AK$103,MATCH($C$77,'AEO 36'!$B$15:$B$103,0),MATCH(K$75,'AEO 36'!$F$1:$AK$1,0)),INDEX('AEO 36'!$F$15:$AK$103,MATCH($B$77,'AEO 36'!$B$15:$B$103,0),MATCH(K$75,'AEO 36'!$F$1:$AK$1,0)),INDEX('AEO 36'!$F$15:$AK$103,MATCH($A$77,'AEO 36'!$B$15:$B$103,0),MATCH(K$75,'AEO 36'!$F$1:$AK$1,0)))*10^12</f>
        <v>741096000000</v>
      </c>
      <c r="L77" s="54">
        <f>SUM(INDEX('AEO 36'!$F$15:$AK$103,MATCH($C$77,'AEO 36'!$B$15:$B$103,0),MATCH(L$75,'AEO 36'!$F$1:$AK$1,0)),INDEX('AEO 36'!$F$15:$AK$103,MATCH($B$77,'AEO 36'!$B$15:$B$103,0),MATCH(L$75,'AEO 36'!$F$1:$AK$1,0)),INDEX('AEO 36'!$F$15:$AK$103,MATCH($A$77,'AEO 36'!$B$15:$B$103,0),MATCH(L$75,'AEO 36'!$F$1:$AK$1,0)))*10^12</f>
        <v>800102000000</v>
      </c>
      <c r="M77" s="54">
        <f>SUM(INDEX('AEO 36'!$F$15:$AK$103,MATCH($C$77,'AEO 36'!$B$15:$B$103,0),MATCH(M$75,'AEO 36'!$F$1:$AK$1,0)),INDEX('AEO 36'!$F$15:$AK$103,MATCH($B$77,'AEO 36'!$B$15:$B$103,0),MATCH(M$75,'AEO 36'!$F$1:$AK$1,0)),INDEX('AEO 36'!$F$15:$AK$103,MATCH($A$77,'AEO 36'!$B$15:$B$103,0),MATCH(M$75,'AEO 36'!$F$1:$AK$1,0)))*10^12</f>
        <v>849352000000</v>
      </c>
      <c r="N77" s="54">
        <f>SUM(INDEX('AEO 36'!$F$15:$AK$103,MATCH($C$77,'AEO 36'!$B$15:$B$103,0),MATCH(N$75,'AEO 36'!$F$1:$AK$1,0)),INDEX('AEO 36'!$F$15:$AK$103,MATCH($B$77,'AEO 36'!$B$15:$B$103,0),MATCH(N$75,'AEO 36'!$F$1:$AK$1,0)),INDEX('AEO 36'!$F$15:$AK$103,MATCH($A$77,'AEO 36'!$B$15:$B$103,0),MATCH(N$75,'AEO 36'!$F$1:$AK$1,0)))*10^12</f>
        <v>903103000000</v>
      </c>
      <c r="O77" s="54">
        <f>SUM(INDEX('AEO 36'!$F$15:$AK$103,MATCH($C$77,'AEO 36'!$B$15:$B$103,0),MATCH(O$75,'AEO 36'!$F$1:$AK$1,0)),INDEX('AEO 36'!$F$15:$AK$103,MATCH($B$77,'AEO 36'!$B$15:$B$103,0),MATCH(O$75,'AEO 36'!$F$1:$AK$1,0)),INDEX('AEO 36'!$F$15:$AK$103,MATCH($A$77,'AEO 36'!$B$15:$B$103,0),MATCH(O$75,'AEO 36'!$F$1:$AK$1,0)))*10^12</f>
        <v>967284000000</v>
      </c>
      <c r="P77" s="54">
        <f>SUM(INDEX('AEO 36'!$F$15:$AK$103,MATCH($C$77,'AEO 36'!$B$15:$B$103,0),MATCH(P$75,'AEO 36'!$F$1:$AK$1,0)),INDEX('AEO 36'!$F$15:$AK$103,MATCH($B$77,'AEO 36'!$B$15:$B$103,0),MATCH(P$75,'AEO 36'!$F$1:$AK$1,0)),INDEX('AEO 36'!$F$15:$AK$103,MATCH($A$77,'AEO 36'!$B$15:$B$103,0),MATCH(P$75,'AEO 36'!$F$1:$AK$1,0)))*10^12</f>
        <v>1030273000000</v>
      </c>
      <c r="Q77" s="54">
        <f>SUM(INDEX('AEO 36'!$F$15:$AK$103,MATCH($C$77,'AEO 36'!$B$15:$B$103,0),MATCH(Q$75,'AEO 36'!$F$1:$AK$1,0)),INDEX('AEO 36'!$F$15:$AK$103,MATCH($B$77,'AEO 36'!$B$15:$B$103,0),MATCH(Q$75,'AEO 36'!$F$1:$AK$1,0)),INDEX('AEO 36'!$F$15:$AK$103,MATCH($A$77,'AEO 36'!$B$15:$B$103,0),MATCH(Q$75,'AEO 36'!$F$1:$AK$1,0)))*10^12</f>
        <v>1103495000000</v>
      </c>
      <c r="R77" s="54">
        <f>SUM(INDEX('AEO 36'!$F$15:$AK$103,MATCH($C$77,'AEO 36'!$B$15:$B$103,0),MATCH(R$75,'AEO 36'!$F$1:$AK$1,0)),INDEX('AEO 36'!$F$15:$AK$103,MATCH($B$77,'AEO 36'!$B$15:$B$103,0),MATCH(R$75,'AEO 36'!$F$1:$AK$1,0)),INDEX('AEO 36'!$F$15:$AK$103,MATCH($A$77,'AEO 36'!$B$15:$B$103,0),MATCH(R$75,'AEO 36'!$F$1:$AK$1,0)))*10^12</f>
        <v>1184134000000</v>
      </c>
      <c r="S77" s="54">
        <f>SUM(INDEX('AEO 36'!$F$15:$AK$103,MATCH($C$77,'AEO 36'!$B$15:$B$103,0),MATCH(S$75,'AEO 36'!$F$1:$AK$1,0)),INDEX('AEO 36'!$F$15:$AK$103,MATCH($B$77,'AEO 36'!$B$15:$B$103,0),MATCH(S$75,'AEO 36'!$F$1:$AK$1,0)),INDEX('AEO 36'!$F$15:$AK$103,MATCH($A$77,'AEO 36'!$B$15:$B$103,0),MATCH(S$75,'AEO 36'!$F$1:$AK$1,0)))*10^12</f>
        <v>1274770000000</v>
      </c>
      <c r="T77" s="54">
        <f>SUM(INDEX('AEO 36'!$F$15:$AK$103,MATCH($C$77,'AEO 36'!$B$15:$B$103,0),MATCH(T$75,'AEO 36'!$F$1:$AK$1,0)),INDEX('AEO 36'!$F$15:$AK$103,MATCH($B$77,'AEO 36'!$B$15:$B$103,0),MATCH(T$75,'AEO 36'!$F$1:$AK$1,0)),INDEX('AEO 36'!$F$15:$AK$103,MATCH($A$77,'AEO 36'!$B$15:$B$103,0),MATCH(T$75,'AEO 36'!$F$1:$AK$1,0)))*10^12</f>
        <v>1369760000000</v>
      </c>
      <c r="U77" s="54">
        <f>SUM(INDEX('AEO 36'!$F$15:$AK$103,MATCH($C$77,'AEO 36'!$B$15:$B$103,0),MATCH(U$75,'AEO 36'!$F$1:$AK$1,0)),INDEX('AEO 36'!$F$15:$AK$103,MATCH($B$77,'AEO 36'!$B$15:$B$103,0),MATCH(U$75,'AEO 36'!$F$1:$AK$1,0)),INDEX('AEO 36'!$F$15:$AK$103,MATCH($A$77,'AEO 36'!$B$15:$B$103,0),MATCH(U$75,'AEO 36'!$F$1:$AK$1,0)))*10^12</f>
        <v>1479735000000</v>
      </c>
      <c r="V77" s="54">
        <f>SUM(INDEX('AEO 36'!$F$15:$AK$103,MATCH($C$77,'AEO 36'!$B$15:$B$103,0),MATCH(V$75,'AEO 36'!$F$1:$AK$1,0)),INDEX('AEO 36'!$F$15:$AK$103,MATCH($B$77,'AEO 36'!$B$15:$B$103,0),MATCH(V$75,'AEO 36'!$F$1:$AK$1,0)),INDEX('AEO 36'!$F$15:$AK$103,MATCH($A$77,'AEO 36'!$B$15:$B$103,0),MATCH(V$75,'AEO 36'!$F$1:$AK$1,0)))*10^12</f>
        <v>1604050000000</v>
      </c>
      <c r="W77" s="54">
        <f>SUM(INDEX('AEO 36'!$F$15:$AK$103,MATCH($C$77,'AEO 36'!$B$15:$B$103,0),MATCH(W$75,'AEO 36'!$F$1:$AK$1,0)),INDEX('AEO 36'!$F$15:$AK$103,MATCH($B$77,'AEO 36'!$B$15:$B$103,0),MATCH(W$75,'AEO 36'!$F$1:$AK$1,0)),INDEX('AEO 36'!$F$15:$AK$103,MATCH($A$77,'AEO 36'!$B$15:$B$103,0),MATCH(W$75,'AEO 36'!$F$1:$AK$1,0)))*10^12</f>
        <v>1741650000000</v>
      </c>
      <c r="X77" s="54">
        <f>SUM(INDEX('AEO 36'!$F$15:$AK$103,MATCH($C$77,'AEO 36'!$B$15:$B$103,0),MATCH(X$75,'AEO 36'!$F$1:$AK$1,0)),INDEX('AEO 36'!$F$15:$AK$103,MATCH($B$77,'AEO 36'!$B$15:$B$103,0),MATCH(X$75,'AEO 36'!$F$1:$AK$1,0)),INDEX('AEO 36'!$F$15:$AK$103,MATCH($A$77,'AEO 36'!$B$15:$B$103,0),MATCH(X$75,'AEO 36'!$F$1:$AK$1,0)))*10^12</f>
        <v>1892751000000</v>
      </c>
      <c r="Y77" s="54">
        <f>SUM(INDEX('AEO 36'!$F$15:$AK$103,MATCH($C$77,'AEO 36'!$B$15:$B$103,0),MATCH(Y$75,'AEO 36'!$F$1:$AK$1,0)),INDEX('AEO 36'!$F$15:$AK$103,MATCH($B$77,'AEO 36'!$B$15:$B$103,0),MATCH(Y$75,'AEO 36'!$F$1:$AK$1,0)),INDEX('AEO 36'!$F$15:$AK$103,MATCH($A$77,'AEO 36'!$B$15:$B$103,0),MATCH(Y$75,'AEO 36'!$F$1:$AK$1,0)))*10^12</f>
        <v>2066053999999.9998</v>
      </c>
      <c r="Z77" s="54">
        <f>SUM(INDEX('AEO 36'!$F$15:$AK$103,MATCH($C$77,'AEO 36'!$B$15:$B$103,0),MATCH(Z$75,'AEO 36'!$F$1:$AK$1,0)),INDEX('AEO 36'!$F$15:$AK$103,MATCH($B$77,'AEO 36'!$B$15:$B$103,0),MATCH(Z$75,'AEO 36'!$F$1:$AK$1,0)),INDEX('AEO 36'!$F$15:$AK$103,MATCH($A$77,'AEO 36'!$B$15:$B$103,0),MATCH(Z$75,'AEO 36'!$F$1:$AK$1,0)))*10^12</f>
        <v>2258665000000</v>
      </c>
      <c r="AA77" s="54">
        <f>SUM(INDEX('AEO 36'!$F$15:$AK$103,MATCH($C$77,'AEO 36'!$B$15:$B$103,0),MATCH(AA$75,'AEO 36'!$F$1:$AK$1,0)),INDEX('AEO 36'!$F$15:$AK$103,MATCH($B$77,'AEO 36'!$B$15:$B$103,0),MATCH(AA$75,'AEO 36'!$F$1:$AK$1,0)),INDEX('AEO 36'!$F$15:$AK$103,MATCH($A$77,'AEO 36'!$B$15:$B$103,0),MATCH(AA$75,'AEO 36'!$F$1:$AK$1,0)))*10^12</f>
        <v>2478114000000</v>
      </c>
      <c r="AB77" s="54">
        <f>SUM(INDEX('AEO 36'!$F$15:$AK$103,MATCH($C$77,'AEO 36'!$B$15:$B$103,0),MATCH(AB$75,'AEO 36'!$F$1:$AK$1,0)),INDEX('AEO 36'!$F$15:$AK$103,MATCH($B$77,'AEO 36'!$B$15:$B$103,0),MATCH(AB$75,'AEO 36'!$F$1:$AK$1,0)),INDEX('AEO 36'!$F$15:$AK$103,MATCH($A$77,'AEO 36'!$B$15:$B$103,0),MATCH(AB$75,'AEO 36'!$F$1:$AK$1,0)))*10^12</f>
        <v>2731331000000</v>
      </c>
      <c r="AC77" s="54">
        <f>SUM(INDEX('AEO 36'!$F$15:$AK$103,MATCH($C$77,'AEO 36'!$B$15:$B$103,0),MATCH(AC$75,'AEO 36'!$F$1:$AK$1,0)),INDEX('AEO 36'!$F$15:$AK$103,MATCH($B$77,'AEO 36'!$B$15:$B$103,0),MATCH(AC$75,'AEO 36'!$F$1:$AK$1,0)),INDEX('AEO 36'!$F$15:$AK$103,MATCH($A$77,'AEO 36'!$B$15:$B$103,0),MATCH(AC$75,'AEO 36'!$F$1:$AK$1,0)))*10^12</f>
        <v>3027979000000</v>
      </c>
      <c r="AD77" s="54">
        <f>SUM(INDEX('AEO 36'!$F$15:$AK$103,MATCH($C$77,'AEO 36'!$B$15:$B$103,0),MATCH(AD$75,'AEO 36'!$F$1:$AK$1,0)),INDEX('AEO 36'!$F$15:$AK$103,MATCH($B$77,'AEO 36'!$B$15:$B$103,0),MATCH(AD$75,'AEO 36'!$F$1:$AK$1,0)),INDEX('AEO 36'!$F$15:$AK$103,MATCH($A$77,'AEO 36'!$B$15:$B$103,0),MATCH(AD$75,'AEO 36'!$F$1:$AK$1,0)))*10^12</f>
        <v>3379191000000</v>
      </c>
      <c r="AE77" s="54">
        <f>SUM(INDEX('AEO 36'!$F$15:$AK$103,MATCH($C$77,'AEO 36'!$B$15:$B$103,0),MATCH(AE$75,'AEO 36'!$F$1:$AK$1,0)),INDEX('AEO 36'!$F$15:$AK$103,MATCH($B$77,'AEO 36'!$B$15:$B$103,0),MATCH(AE$75,'AEO 36'!$F$1:$AK$1,0)),INDEX('AEO 36'!$F$15:$AK$103,MATCH($A$77,'AEO 36'!$B$15:$B$103,0),MATCH(AE$75,'AEO 36'!$F$1:$AK$1,0)))*10^12</f>
        <v>3804028000000</v>
      </c>
      <c r="AF77" s="54">
        <f>SUM(INDEX('AEO 36'!$F$15:$AK$103,MATCH($C$77,'AEO 36'!$B$15:$B$103,0),MATCH(AF$75,'AEO 36'!$F$1:$AK$1,0)),INDEX('AEO 36'!$F$15:$AK$103,MATCH($B$77,'AEO 36'!$B$15:$B$103,0),MATCH(AF$75,'AEO 36'!$F$1:$AK$1,0)),INDEX('AEO 36'!$F$15:$AK$103,MATCH($A$77,'AEO 36'!$B$15:$B$103,0),MATCH(AF$75,'AEO 36'!$F$1:$AK$1,0)))*10^12</f>
        <v>4342843000000</v>
      </c>
      <c r="AG77" s="54">
        <f>SUM(INDEX('AEO 36'!$F$15:$AK$103,MATCH($C$77,'AEO 36'!$B$15:$B$103,0),MATCH(AG$75,'AEO 36'!$F$1:$AK$1,0)),INDEX('AEO 36'!$F$15:$AK$103,MATCH($B$77,'AEO 36'!$B$15:$B$103,0),MATCH(AG$75,'AEO 36'!$F$1:$AK$1,0)),INDEX('AEO 36'!$F$15:$AK$103,MATCH($A$77,'AEO 36'!$B$15:$B$103,0),MATCH(AG$75,'AEO 36'!$F$1:$AK$1,0)))*10^12</f>
        <v>5050129000000</v>
      </c>
      <c r="AH77" s="54">
        <f>SUM(INDEX('AEO 36'!$F$15:$AK$103,MATCH($C$77,'AEO 36'!$B$15:$B$103,0),MATCH(AH$75,'AEO 36'!$F$1:$AK$1,0)),INDEX('AEO 36'!$F$15:$AK$103,MATCH($B$77,'AEO 36'!$B$15:$B$103,0),MATCH(AH$75,'AEO 36'!$F$1:$AK$1,0)),INDEX('AEO 36'!$F$15:$AK$103,MATCH($A$77,'AEO 36'!$B$15:$B$103,0),MATCH(AH$75,'AEO 36'!$F$1:$AK$1,0)))*10^12</f>
        <v>6101129000000</v>
      </c>
      <c r="AI77" s="54">
        <f>SUM(INDEX('AEO 36'!$F$15:$AK$103,MATCH($C$77,'AEO 36'!$B$15:$B$103,0),MATCH(AI$75,'AEO 36'!$F$1:$AK$1,0)),INDEX('AEO 36'!$F$15:$AK$103,MATCH($B$77,'AEO 36'!$B$15:$B$103,0),MATCH(AI$75,'AEO 36'!$F$1:$AK$1,0)),INDEX('AEO 36'!$F$15:$AK$103,MATCH($A$77,'AEO 36'!$B$15:$B$103,0),MATCH(AI$75,'AEO 36'!$F$1:$AK$1,0)))*10^12</f>
        <v>7110398000000</v>
      </c>
      <c r="AK77" s="64"/>
    </row>
    <row r="78" spans="1:37">
      <c r="B78" s="19"/>
      <c r="C78" s="19" t="s">
        <v>1041</v>
      </c>
      <c r="D78" t="s">
        <v>1106</v>
      </c>
      <c r="E78" s="54">
        <f>INDEX('AEO 36'!$F$15:$AK$103,MATCH($C$78,'AEO 36'!$B$15:$B$103,0),MATCH(E$75,'AEO 36'!$F$1:$AK$1,0))*10^12-E77</f>
        <v>122894986000000</v>
      </c>
      <c r="F78" s="54">
        <f>INDEX('AEO 36'!$F$15:$AK$103,MATCH($C$78,'AEO 36'!$B$15:$B$103,0),MATCH(F$75,'AEO 36'!$F$1:$AK$1,0))*10^12-F77</f>
        <v>154352221000000</v>
      </c>
      <c r="G78" s="54">
        <f>INDEX('AEO 36'!$F$15:$AK$103,MATCH($C$78,'AEO 36'!$B$15:$B$103,0),MATCH(G$75,'AEO 36'!$F$1:$AK$1,0))*10^12-G77</f>
        <v>177065288000000</v>
      </c>
      <c r="H78" s="54">
        <f>INDEX('AEO 36'!$F$15:$AK$103,MATCH($C$78,'AEO 36'!$B$15:$B$103,0),MATCH(H$75,'AEO 36'!$F$1:$AK$1,0))*10^12-H77</f>
        <v>193640286000000</v>
      </c>
      <c r="I78" s="54">
        <f>INDEX('AEO 36'!$F$15:$AK$103,MATCH($C$78,'AEO 36'!$B$15:$B$103,0),MATCH(I$75,'AEO 36'!$F$1:$AK$1,0))*10^12-I77</f>
        <v>205809562000000</v>
      </c>
      <c r="J78" s="54">
        <f>INDEX('AEO 36'!$F$15:$AK$103,MATCH($C$78,'AEO 36'!$B$15:$B$103,0),MATCH(J$75,'AEO 36'!$F$1:$AK$1,0))*10^12-J77</f>
        <v>214540982000000</v>
      </c>
      <c r="K78" s="54">
        <f>INDEX('AEO 36'!$F$15:$AK$103,MATCH($C$78,'AEO 36'!$B$15:$B$103,0),MATCH(K$75,'AEO 36'!$F$1:$AK$1,0))*10^12-K77</f>
        <v>220941262000000</v>
      </c>
      <c r="L78" s="54">
        <f>INDEX('AEO 36'!$F$15:$AK$103,MATCH($C$78,'AEO 36'!$B$15:$B$103,0),MATCH(L$75,'AEO 36'!$F$1:$AK$1,0))*10^12-L77</f>
        <v>225762932000000</v>
      </c>
      <c r="M78" s="54">
        <f>INDEX('AEO 36'!$F$15:$AK$103,MATCH($C$78,'AEO 36'!$B$15:$B$103,0),MATCH(M$75,'AEO 36'!$F$1:$AK$1,0))*10^12-M77</f>
        <v>228104582000000</v>
      </c>
      <c r="N78" s="54">
        <f>INDEX('AEO 36'!$F$15:$AK$103,MATCH($C$78,'AEO 36'!$B$15:$B$103,0),MATCH(N$75,'AEO 36'!$F$1:$AK$1,0))*10^12-N77</f>
        <v>229745884000000</v>
      </c>
      <c r="O78" s="54">
        <f>INDEX('AEO 36'!$F$15:$AK$103,MATCH($C$78,'AEO 36'!$B$15:$B$103,0),MATCH(O$75,'AEO 36'!$F$1:$AK$1,0))*10^12-O77</f>
        <v>231426652000000</v>
      </c>
      <c r="P78" s="54">
        <f>INDEX('AEO 36'!$F$15:$AK$103,MATCH($C$78,'AEO 36'!$B$15:$B$103,0),MATCH(P$75,'AEO 36'!$F$1:$AK$1,0))*10^12-P77</f>
        <v>231825547000000</v>
      </c>
      <c r="Q78" s="54">
        <f>INDEX('AEO 36'!$F$15:$AK$103,MATCH($C$78,'AEO 36'!$B$15:$B$103,0),MATCH(Q$75,'AEO 36'!$F$1:$AK$1,0))*10^12-Q77</f>
        <v>232347280000000</v>
      </c>
      <c r="R78" s="54">
        <f>INDEX('AEO 36'!$F$15:$AK$103,MATCH($C$78,'AEO 36'!$B$15:$B$103,0),MATCH(R$75,'AEO 36'!$F$1:$AK$1,0))*10^12-R77</f>
        <v>232507089000000</v>
      </c>
      <c r="S78" s="54">
        <f>INDEX('AEO 36'!$F$15:$AK$103,MATCH($C$78,'AEO 36'!$B$15:$B$103,0),MATCH(S$75,'AEO 36'!$F$1:$AK$1,0))*10^12-S77</f>
        <v>232545176000000</v>
      </c>
      <c r="T78" s="54">
        <f>INDEX('AEO 36'!$F$15:$AK$103,MATCH($C$78,'AEO 36'!$B$15:$B$103,0),MATCH(T$75,'AEO 36'!$F$1:$AK$1,0))*10^12-T77</f>
        <v>231969824000000</v>
      </c>
      <c r="U78" s="54">
        <f>INDEX('AEO 36'!$F$15:$AK$103,MATCH($C$78,'AEO 36'!$B$15:$B$103,0),MATCH(U$75,'AEO 36'!$F$1:$AK$1,0))*10^12-U77</f>
        <v>231553209000000</v>
      </c>
      <c r="V78" s="54">
        <f>INDEX('AEO 36'!$F$15:$AK$103,MATCH($C$78,'AEO 36'!$B$15:$B$103,0),MATCH(V$75,'AEO 36'!$F$1:$AK$1,0))*10^12-V77</f>
        <v>231098648000000</v>
      </c>
      <c r="W78" s="54">
        <f>INDEX('AEO 36'!$F$15:$AK$103,MATCH($C$78,'AEO 36'!$B$15:$B$103,0),MATCH(W$75,'AEO 36'!$F$1:$AK$1,0))*10^12-W77</f>
        <v>230473652000000</v>
      </c>
      <c r="X78" s="54">
        <f>INDEX('AEO 36'!$F$15:$AK$103,MATCH($C$78,'AEO 36'!$B$15:$B$103,0),MATCH(X$75,'AEO 36'!$F$1:$AK$1,0))*10^12-X77</f>
        <v>229582881000000</v>
      </c>
      <c r="Y78" s="54">
        <f>INDEX('AEO 36'!$F$15:$AK$103,MATCH($C$78,'AEO 36'!$B$15:$B$103,0),MATCH(Y$75,'AEO 36'!$F$1:$AK$1,0))*10^12-Y77</f>
        <v>228768113000000</v>
      </c>
      <c r="Z78" s="54">
        <f>INDEX('AEO 36'!$F$15:$AK$103,MATCH($C$78,'AEO 36'!$B$15:$B$103,0),MATCH(Z$75,'AEO 36'!$F$1:$AK$1,0))*10^12-Z77</f>
        <v>227713045000000</v>
      </c>
      <c r="AA78" s="54">
        <f>INDEX('AEO 36'!$F$15:$AK$103,MATCH($C$78,'AEO 36'!$B$15:$B$103,0),MATCH(AA$75,'AEO 36'!$F$1:$AK$1,0))*10^12-AA77</f>
        <v>226536336000000</v>
      </c>
      <c r="AB78" s="54">
        <f>INDEX('AEO 36'!$F$15:$AK$103,MATCH($C$78,'AEO 36'!$B$15:$B$103,0),MATCH(AB$75,'AEO 36'!$F$1:$AK$1,0))*10^12-AB77</f>
        <v>225283256000000</v>
      </c>
      <c r="AC78" s="54">
        <f>INDEX('AEO 36'!$F$15:$AK$103,MATCH($C$78,'AEO 36'!$B$15:$B$103,0),MATCH(AC$75,'AEO 36'!$F$1:$AK$1,0))*10^12-AC77</f>
        <v>223948141000000</v>
      </c>
      <c r="AD78" s="54">
        <f>INDEX('AEO 36'!$F$15:$AK$103,MATCH($C$78,'AEO 36'!$B$15:$B$103,0),MATCH(AD$75,'AEO 36'!$F$1:$AK$1,0))*10^12-AD77</f>
        <v>222496877000000</v>
      </c>
      <c r="AE78" s="54">
        <f>INDEX('AEO 36'!$F$15:$AK$103,MATCH($C$78,'AEO 36'!$B$15:$B$103,0),MATCH(AE$75,'AEO 36'!$F$1:$AK$1,0))*10^12-AE77</f>
        <v>220813556000000</v>
      </c>
      <c r="AF78" s="54">
        <f>INDEX('AEO 36'!$F$15:$AK$103,MATCH($C$78,'AEO 36'!$B$15:$B$103,0),MATCH(AF$75,'AEO 36'!$F$1:$AK$1,0))*10^12-AF77</f>
        <v>218990836000000</v>
      </c>
      <c r="AG78" s="54">
        <f>INDEX('AEO 36'!$F$15:$AK$103,MATCH($C$78,'AEO 36'!$B$15:$B$103,0),MATCH(AG$75,'AEO 36'!$F$1:$AK$1,0))*10^12-AG77</f>
        <v>216738003000000</v>
      </c>
      <c r="AH78" s="54">
        <f>INDEX('AEO 36'!$F$15:$AK$103,MATCH($C$78,'AEO 36'!$B$15:$B$103,0),MATCH(AH$75,'AEO 36'!$F$1:$AK$1,0))*10^12-AH77</f>
        <v>214064673000000</v>
      </c>
      <c r="AI78" s="54">
        <f>INDEX('AEO 36'!$F$15:$AK$103,MATCH($C$78,'AEO 36'!$B$15:$B$103,0),MATCH(AI$75,'AEO 36'!$F$1:$AK$1,0))*10^12-AI77</f>
        <v>211554733000000</v>
      </c>
      <c r="AK78" s="64"/>
    </row>
    <row r="79" spans="1:37">
      <c r="D79" t="s">
        <v>1096</v>
      </c>
      <c r="E79" s="54">
        <f t="shared" ref="E79:AI79" si="27">E77*$B$71</f>
        <v>345431000000</v>
      </c>
      <c r="F79" s="54">
        <f t="shared" si="27"/>
        <v>429563000000</v>
      </c>
      <c r="G79" s="54">
        <f t="shared" si="27"/>
        <v>500859000000.00006</v>
      </c>
      <c r="H79" s="54">
        <f t="shared" si="27"/>
        <v>566272000000</v>
      </c>
      <c r="I79" s="54">
        <f t="shared" si="27"/>
        <v>627633000000</v>
      </c>
      <c r="J79" s="54">
        <f t="shared" si="27"/>
        <v>684497000000</v>
      </c>
      <c r="K79" s="54">
        <f t="shared" si="27"/>
        <v>741096000000</v>
      </c>
      <c r="L79" s="54">
        <f t="shared" si="27"/>
        <v>800102000000</v>
      </c>
      <c r="M79" s="54">
        <f t="shared" si="27"/>
        <v>849352000000</v>
      </c>
      <c r="N79" s="54">
        <f t="shared" si="27"/>
        <v>903103000000</v>
      </c>
      <c r="O79" s="54">
        <f t="shared" si="27"/>
        <v>967284000000</v>
      </c>
      <c r="P79" s="54">
        <f t="shared" si="27"/>
        <v>1030273000000</v>
      </c>
      <c r="Q79" s="54">
        <f t="shared" si="27"/>
        <v>1103495000000</v>
      </c>
      <c r="R79" s="54">
        <f t="shared" si="27"/>
        <v>1184134000000</v>
      </c>
      <c r="S79" s="54">
        <f t="shared" si="27"/>
        <v>1274770000000</v>
      </c>
      <c r="T79" s="54">
        <f t="shared" si="27"/>
        <v>1369760000000</v>
      </c>
      <c r="U79" s="54">
        <f t="shared" si="27"/>
        <v>1479735000000</v>
      </c>
      <c r="V79" s="54">
        <f t="shared" si="27"/>
        <v>1604050000000</v>
      </c>
      <c r="W79" s="54">
        <f t="shared" si="27"/>
        <v>1741650000000</v>
      </c>
      <c r="X79" s="54">
        <f t="shared" si="27"/>
        <v>1892751000000</v>
      </c>
      <c r="Y79" s="54">
        <f t="shared" si="27"/>
        <v>2066053999999.9998</v>
      </c>
      <c r="Z79" s="54">
        <f t="shared" si="27"/>
        <v>2258665000000</v>
      </c>
      <c r="AA79" s="54">
        <f t="shared" si="27"/>
        <v>2478114000000</v>
      </c>
      <c r="AB79" s="54">
        <f t="shared" si="27"/>
        <v>2731331000000</v>
      </c>
      <c r="AC79" s="54">
        <f t="shared" si="27"/>
        <v>3027979000000</v>
      </c>
      <c r="AD79" s="54">
        <f t="shared" si="27"/>
        <v>3379191000000</v>
      </c>
      <c r="AE79" s="54">
        <f t="shared" si="27"/>
        <v>3804028000000</v>
      </c>
      <c r="AF79" s="54">
        <f t="shared" si="27"/>
        <v>4342843000000</v>
      </c>
      <c r="AG79" s="54">
        <f t="shared" si="27"/>
        <v>5050129000000</v>
      </c>
      <c r="AH79" s="54">
        <f t="shared" si="27"/>
        <v>6101129000000</v>
      </c>
      <c r="AI79" s="54">
        <f t="shared" si="27"/>
        <v>7110398000000</v>
      </c>
      <c r="AK79" s="64"/>
    </row>
    <row r="80" spans="1:37">
      <c r="D80" t="s">
        <v>1097</v>
      </c>
      <c r="E80" s="54">
        <f t="shared" ref="E80:AI80" si="28">E78*$B$72</f>
        <v>38243645820023.563</v>
      </c>
      <c r="F80" s="54">
        <f t="shared" si="28"/>
        <v>48032811293521.789</v>
      </c>
      <c r="G80" s="54">
        <f t="shared" si="28"/>
        <v>55100882319905.773</v>
      </c>
      <c r="H80" s="54">
        <f t="shared" si="28"/>
        <v>60258849895406.359</v>
      </c>
      <c r="I80" s="54">
        <f t="shared" si="28"/>
        <v>64045802450412.25</v>
      </c>
      <c r="J80" s="54">
        <f t="shared" si="28"/>
        <v>66762929852061.25</v>
      </c>
      <c r="K80" s="54">
        <f t="shared" si="28"/>
        <v>68754630648292.109</v>
      </c>
      <c r="L80" s="54">
        <f t="shared" si="28"/>
        <v>70255084375029.453</v>
      </c>
      <c r="M80" s="54">
        <f t="shared" si="28"/>
        <v>70983781583510.016</v>
      </c>
      <c r="N80" s="54">
        <f t="shared" si="28"/>
        <v>71494537753592.469</v>
      </c>
      <c r="O80" s="54">
        <f t="shared" si="28"/>
        <v>72017575333804.484</v>
      </c>
      <c r="P80" s="54">
        <f t="shared" si="28"/>
        <v>72141707323203.766</v>
      </c>
      <c r="Q80" s="54">
        <f t="shared" si="28"/>
        <v>72304065224970.563</v>
      </c>
      <c r="R80" s="54">
        <f t="shared" si="28"/>
        <v>72353796129328.625</v>
      </c>
      <c r="S80" s="54">
        <f t="shared" si="28"/>
        <v>72365648408951.703</v>
      </c>
      <c r="T80" s="54">
        <f t="shared" si="28"/>
        <v>72186604830153.125</v>
      </c>
      <c r="U80" s="54">
        <f t="shared" si="28"/>
        <v>72056958560424.031</v>
      </c>
      <c r="V80" s="54">
        <f t="shared" si="28"/>
        <v>71915503888810.375</v>
      </c>
      <c r="W80" s="54">
        <f t="shared" si="28"/>
        <v>71721011611778.563</v>
      </c>
      <c r="X80" s="54">
        <f t="shared" si="28"/>
        <v>71443812909540.641</v>
      </c>
      <c r="Y80" s="54">
        <f t="shared" si="28"/>
        <v>71190265553121.328</v>
      </c>
      <c r="Z80" s="54">
        <f t="shared" si="28"/>
        <v>70861939327444.063</v>
      </c>
      <c r="AA80" s="54">
        <f t="shared" si="28"/>
        <v>70495759683392.234</v>
      </c>
      <c r="AB80" s="54">
        <f t="shared" si="28"/>
        <v>70105814175736.164</v>
      </c>
      <c r="AC80" s="54">
        <f t="shared" si="28"/>
        <v>69690340226383.984</v>
      </c>
      <c r="AD80" s="54">
        <f t="shared" si="28"/>
        <v>69238721912131.922</v>
      </c>
      <c r="AE80" s="54">
        <f t="shared" si="28"/>
        <v>68714889864782.102</v>
      </c>
      <c r="AF80" s="54">
        <f t="shared" si="28"/>
        <v>68147678293521.797</v>
      </c>
      <c r="AG80" s="54">
        <f t="shared" si="28"/>
        <v>67446620014840.992</v>
      </c>
      <c r="AH80" s="54">
        <f t="shared" si="28"/>
        <v>66614707428268.555</v>
      </c>
      <c r="AI80" s="54">
        <f t="shared" si="28"/>
        <v>65833640116136.633</v>
      </c>
      <c r="AK80" s="64"/>
    </row>
    <row r="81" spans="1:37">
      <c r="D81" s="46" t="s">
        <v>1090</v>
      </c>
      <c r="E81" s="63">
        <f t="shared" ref="E81:AI81" si="29">E76*(E79/SUM(E79:E80))/E77</f>
        <v>2.8070770001886215E-3</v>
      </c>
      <c r="F81" s="63">
        <f t="shared" si="29"/>
        <v>2.7821429710269741E-3</v>
      </c>
      <c r="G81" s="63">
        <f t="shared" si="29"/>
        <v>2.782600298609896E-3</v>
      </c>
      <c r="H81" s="63">
        <f t="shared" si="29"/>
        <v>2.7891901686893711E-3</v>
      </c>
      <c r="I81" s="63">
        <f t="shared" si="29"/>
        <v>2.7974516235297151E-3</v>
      </c>
      <c r="J81" s="63">
        <f t="shared" si="29"/>
        <v>2.8088439224751576E-3</v>
      </c>
      <c r="K81" s="63">
        <f t="shared" si="29"/>
        <v>2.8191338438910297E-3</v>
      </c>
      <c r="L81" s="63">
        <f t="shared" si="29"/>
        <v>2.8269798764554541E-3</v>
      </c>
      <c r="M81" s="63">
        <f t="shared" si="29"/>
        <v>2.8458928046392333E-3</v>
      </c>
      <c r="N81" s="63">
        <f t="shared" si="29"/>
        <v>2.8616704887544221E-3</v>
      </c>
      <c r="O81" s="63">
        <f t="shared" si="29"/>
        <v>2.86944815557108E-3</v>
      </c>
      <c r="P81" s="63">
        <f t="shared" si="29"/>
        <v>2.8838284964809724E-3</v>
      </c>
      <c r="Q81" s="63">
        <f t="shared" si="29"/>
        <v>2.89281979062103E-3</v>
      </c>
      <c r="R81" s="63">
        <f t="shared" si="29"/>
        <v>2.9014754647670418E-3</v>
      </c>
      <c r="S81" s="63">
        <f t="shared" si="29"/>
        <v>2.9082475443127872E-3</v>
      </c>
      <c r="T81" s="63">
        <f t="shared" si="29"/>
        <v>2.918960996723756E-3</v>
      </c>
      <c r="U81" s="63">
        <f t="shared" si="29"/>
        <v>2.9260143145163086E-3</v>
      </c>
      <c r="V81" s="63">
        <f t="shared" si="29"/>
        <v>2.9316707542318791E-3</v>
      </c>
      <c r="W81" s="63">
        <f t="shared" si="29"/>
        <v>2.9376213203443071E-3</v>
      </c>
      <c r="X81" s="63">
        <f t="shared" si="29"/>
        <v>2.9451321208124061E-3</v>
      </c>
      <c r="Y81" s="63">
        <f t="shared" si="29"/>
        <v>2.9507621092437165E-3</v>
      </c>
      <c r="Z81" s="63">
        <f t="shared" si="29"/>
        <v>2.957653919701399E-3</v>
      </c>
      <c r="AA81" s="63">
        <f t="shared" si="29"/>
        <v>2.9645023907951562E-3</v>
      </c>
      <c r="AB81" s="63">
        <f t="shared" si="29"/>
        <v>2.9707156627011926E-3</v>
      </c>
      <c r="AC81" s="63">
        <f t="shared" si="29"/>
        <v>2.9760037127134422E-3</v>
      </c>
      <c r="AD81" s="63">
        <f t="shared" si="29"/>
        <v>2.9805534932117305E-3</v>
      </c>
      <c r="AE81" s="63">
        <f t="shared" si="29"/>
        <v>2.9847592100532019E-3</v>
      </c>
      <c r="AF81" s="63">
        <f t="shared" si="29"/>
        <v>2.9861610199145437E-3</v>
      </c>
      <c r="AG81" s="63">
        <f t="shared" si="29"/>
        <v>2.986106341895182E-3</v>
      </c>
      <c r="AH81" s="63">
        <f t="shared" si="29"/>
        <v>2.9780656681797357E-3</v>
      </c>
      <c r="AI81" s="63">
        <f t="shared" si="29"/>
        <v>2.9699956788116766E-3</v>
      </c>
      <c r="AK81" s="64"/>
    </row>
    <row r="82" spans="1:37">
      <c r="D82" s="46" t="s">
        <v>1109</v>
      </c>
      <c r="E82" s="63">
        <f t="shared" ref="E82:AI82" si="30">E76*(E80/SUM(E79:E80))/E78</f>
        <v>8.7353326672536381E-4</v>
      </c>
      <c r="F82" s="63">
        <f t="shared" si="30"/>
        <v>8.6577405529484892E-4</v>
      </c>
      <c r="G82" s="63">
        <f t="shared" si="30"/>
        <v>8.6591637089839164E-4</v>
      </c>
      <c r="H82" s="63">
        <f t="shared" si="30"/>
        <v>8.6796707016222822E-4</v>
      </c>
      <c r="I82" s="63">
        <f t="shared" si="30"/>
        <v>8.7053794927744496E-4</v>
      </c>
      <c r="J82" s="63">
        <f t="shared" si="30"/>
        <v>8.7408311462654502E-4</v>
      </c>
      <c r="K82" s="63">
        <f t="shared" si="30"/>
        <v>8.7728523151473501E-4</v>
      </c>
      <c r="L82" s="63">
        <f t="shared" si="30"/>
        <v>8.7972683552359362E-4</v>
      </c>
      <c r="M82" s="63">
        <f t="shared" si="30"/>
        <v>8.8561234273932317E-4</v>
      </c>
      <c r="N82" s="63">
        <f t="shared" si="30"/>
        <v>8.9052219449813703E-4</v>
      </c>
      <c r="O82" s="63">
        <f t="shared" si="30"/>
        <v>8.9294252379491107E-4</v>
      </c>
      <c r="P82" s="63">
        <f t="shared" si="30"/>
        <v>8.9741753683188793E-4</v>
      </c>
      <c r="Q82" s="63">
        <f t="shared" si="30"/>
        <v>9.002155343722924E-4</v>
      </c>
      <c r="R82" s="63">
        <f t="shared" si="30"/>
        <v>9.0290909044929608E-4</v>
      </c>
      <c r="S82" s="63">
        <f t="shared" si="30"/>
        <v>9.0501649141041054E-4</v>
      </c>
      <c r="T82" s="63">
        <f t="shared" si="30"/>
        <v>9.0835040675431853E-4</v>
      </c>
      <c r="U82" s="63">
        <f t="shared" si="30"/>
        <v>9.1054532614276667E-4</v>
      </c>
      <c r="V82" s="63">
        <f t="shared" si="30"/>
        <v>9.1230555155248833E-4</v>
      </c>
      <c r="W82" s="63">
        <f t="shared" si="30"/>
        <v>9.1415730604825203E-4</v>
      </c>
      <c r="X82" s="63">
        <f t="shared" si="30"/>
        <v>9.1649458930346032E-4</v>
      </c>
      <c r="Y82" s="63">
        <f t="shared" si="30"/>
        <v>9.1824658334769139E-4</v>
      </c>
      <c r="Z82" s="63">
        <f t="shared" si="30"/>
        <v>9.2039124332757326E-4</v>
      </c>
      <c r="AA82" s="63">
        <f t="shared" si="30"/>
        <v>9.2252241654661984E-4</v>
      </c>
      <c r="AB82" s="63">
        <f t="shared" si="30"/>
        <v>9.2445592236237346E-4</v>
      </c>
      <c r="AC82" s="63">
        <f t="shared" si="30"/>
        <v>9.2610150871483081E-4</v>
      </c>
      <c r="AD82" s="63">
        <f t="shared" si="30"/>
        <v>9.2751735324680701E-4</v>
      </c>
      <c r="AE82" s="63">
        <f t="shared" si="30"/>
        <v>9.2882612873504812E-4</v>
      </c>
      <c r="AF82" s="63">
        <f t="shared" si="30"/>
        <v>9.2926235743394879E-4</v>
      </c>
      <c r="AG82" s="63">
        <f t="shared" si="30"/>
        <v>9.2924534220106846E-4</v>
      </c>
      <c r="AH82" s="63">
        <f t="shared" si="30"/>
        <v>9.2674316788349384E-4</v>
      </c>
      <c r="AI82" s="63">
        <f t="shared" si="30"/>
        <v>9.2423187083868661E-4</v>
      </c>
    </row>
    <row r="83" spans="1:37">
      <c r="B83" s="62"/>
      <c r="C83" s="62"/>
      <c r="D83" s="62"/>
      <c r="E83" s="62"/>
      <c r="F83" s="62"/>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62"/>
      <c r="AG83" s="62"/>
    </row>
    <row r="84" spans="1:37">
      <c r="A84" t="s">
        <v>1094</v>
      </c>
      <c r="B84" s="62">
        <v>0.95</v>
      </c>
      <c r="C84" s="62"/>
      <c r="D84" s="66" t="s">
        <v>1099</v>
      </c>
      <c r="E84" s="62"/>
      <c r="F84" s="62"/>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62"/>
      <c r="AG84" s="62"/>
    </row>
    <row r="85" spans="1:37">
      <c r="A85" t="s">
        <v>1095</v>
      </c>
      <c r="B85" s="62">
        <v>0.32500000000000001</v>
      </c>
      <c r="C85" s="62"/>
      <c r="D85" s="62"/>
      <c r="E85" s="62"/>
      <c r="F85" s="62"/>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62"/>
      <c r="AG85" s="62"/>
    </row>
    <row r="87" spans="1:37">
      <c r="A87" s="2" t="s">
        <v>3348</v>
      </c>
    </row>
    <row r="88" spans="1:37">
      <c r="B88">
        <v>2020</v>
      </c>
      <c r="C88" s="135">
        <v>2021</v>
      </c>
      <c r="D88" s="135">
        <v>2022</v>
      </c>
      <c r="E88" s="135">
        <v>2023</v>
      </c>
      <c r="F88" s="135">
        <v>2024</v>
      </c>
      <c r="G88" s="135">
        <v>2025</v>
      </c>
      <c r="H88" s="135">
        <v>2026</v>
      </c>
      <c r="I88" s="135">
        <v>2027</v>
      </c>
      <c r="J88" s="135">
        <v>2028</v>
      </c>
      <c r="K88" s="135">
        <v>2029</v>
      </c>
      <c r="L88" s="135">
        <v>2030</v>
      </c>
      <c r="M88" s="135">
        <v>2031</v>
      </c>
      <c r="N88" s="135">
        <v>2032</v>
      </c>
      <c r="O88" s="135">
        <v>2033</v>
      </c>
      <c r="P88" s="135">
        <v>2034</v>
      </c>
      <c r="Q88" s="135">
        <v>2035</v>
      </c>
      <c r="R88" s="135">
        <v>2036</v>
      </c>
      <c r="S88" s="135">
        <v>2037</v>
      </c>
      <c r="T88" s="135">
        <v>2038</v>
      </c>
      <c r="U88" s="135">
        <v>2039</v>
      </c>
      <c r="V88" s="135">
        <v>2040</v>
      </c>
      <c r="W88" s="135">
        <v>2041</v>
      </c>
      <c r="X88" s="135">
        <v>2042</v>
      </c>
      <c r="Y88" s="135">
        <v>2043</v>
      </c>
      <c r="Z88" s="135">
        <v>2044</v>
      </c>
      <c r="AA88" s="135">
        <v>2045</v>
      </c>
      <c r="AB88" s="135">
        <v>2046</v>
      </c>
      <c r="AC88" s="135">
        <v>2047</v>
      </c>
      <c r="AD88" s="135">
        <v>2048</v>
      </c>
      <c r="AE88" s="135">
        <v>2049</v>
      </c>
      <c r="AF88" s="135">
        <v>2050</v>
      </c>
      <c r="AG88" s="135"/>
      <c r="AH88" s="135"/>
      <c r="AI88" s="135"/>
    </row>
    <row r="89" spans="1:37">
      <c r="A89" s="135" t="s">
        <v>3351</v>
      </c>
      <c r="B89">
        <f>'AEO 7'!C45/'AEO 7'!C46</f>
        <v>1.0824483640629017</v>
      </c>
      <c r="C89" s="135">
        <f>'AEO 7'!D45/'AEO 7'!D46</f>
        <v>1.0802569034807277</v>
      </c>
      <c r="D89" s="135">
        <f>'AEO 7'!E45/'AEO 7'!E46</f>
        <v>1.0728281738052636</v>
      </c>
      <c r="E89" s="135">
        <f>'AEO 7'!F45/'AEO 7'!F46</f>
        <v>1.0704207151140115</v>
      </c>
      <c r="F89" s="135">
        <f>'AEO 7'!G45/'AEO 7'!G46</f>
        <v>1.0699066866927329</v>
      </c>
      <c r="G89" s="135">
        <f>'AEO 7'!H45/'AEO 7'!H46</f>
        <v>1.0747987984422605</v>
      </c>
      <c r="H89" s="135">
        <f>'AEO 7'!I45/'AEO 7'!I46</f>
        <v>1.0791664159349779</v>
      </c>
      <c r="I89" s="135">
        <f>'AEO 7'!J45/'AEO 7'!J46</f>
        <v>1.0815696924447276</v>
      </c>
      <c r="J89" s="135">
        <f>'AEO 7'!K45/'AEO 7'!K46</f>
        <v>1.0735489340568209</v>
      </c>
      <c r="K89" s="135">
        <f>'AEO 7'!L45/'AEO 7'!L46</f>
        <v>1.0701069464169217</v>
      </c>
      <c r="L89" s="135">
        <f>'AEO 7'!M45/'AEO 7'!M46</f>
        <v>1.0656449179683074</v>
      </c>
      <c r="M89" s="135">
        <f>'AEO 7'!N45/'AEO 7'!N46</f>
        <v>1.0592580803113991</v>
      </c>
      <c r="N89" s="135">
        <f>'AEO 7'!O45/'AEO 7'!O46</f>
        <v>1.0519685114774946</v>
      </c>
      <c r="O89" s="135">
        <f>'AEO 7'!P45/'AEO 7'!P46</f>
        <v>1.0446772438535814</v>
      </c>
      <c r="P89" s="135">
        <f>'AEO 7'!Q45/'AEO 7'!Q46</f>
        <v>1.0385263854362459</v>
      </c>
      <c r="Q89" s="135">
        <f>'AEO 7'!R45/'AEO 7'!R46</f>
        <v>1.0304580947348907</v>
      </c>
      <c r="R89" s="135">
        <f>'AEO 7'!S45/'AEO 7'!S46</f>
        <v>1.0261251464043428</v>
      </c>
      <c r="S89" s="135">
        <f>'AEO 7'!T45/'AEO 7'!T46</f>
        <v>1.0202188058835442</v>
      </c>
      <c r="T89" s="135">
        <f>'AEO 7'!U45/'AEO 7'!U46</f>
        <v>1.0179012330857877</v>
      </c>
      <c r="U89" s="135">
        <f>'AEO 7'!V45/'AEO 7'!V46</f>
        <v>1.016449872730016</v>
      </c>
      <c r="V89" s="135">
        <f>'AEO 7'!W45/'AEO 7'!W46</f>
        <v>1.0155392710556166</v>
      </c>
      <c r="W89" s="135">
        <f>'AEO 7'!X45/'AEO 7'!X46</f>
        <v>1.014991028520875</v>
      </c>
      <c r="X89" s="135">
        <f>'AEO 7'!Y45/'AEO 7'!Y46</f>
        <v>1.014097153467501</v>
      </c>
      <c r="Y89" s="135">
        <f>'AEO 7'!Z45/'AEO 7'!Z46</f>
        <v>1.013701229095374</v>
      </c>
      <c r="Z89" s="135">
        <f>'AEO 7'!AA45/'AEO 7'!AA46</f>
        <v>1.0133940781312698</v>
      </c>
      <c r="AA89" s="135">
        <f>'AEO 7'!AB45/'AEO 7'!AB46</f>
        <v>1.01286591411562</v>
      </c>
      <c r="AB89" s="135">
        <f>'AEO 7'!AC45/'AEO 7'!AC46</f>
        <v>1.012747550295098</v>
      </c>
      <c r="AC89" s="135">
        <f>'AEO 7'!AD45/'AEO 7'!AD46</f>
        <v>1.0105387553189615</v>
      </c>
      <c r="AD89" s="135">
        <f>'AEO 7'!AE45/'AEO 7'!AE46</f>
        <v>1.0081094315423718</v>
      </c>
      <c r="AE89" s="135">
        <f>'AEO 7'!AF45/'AEO 7'!AF46</f>
        <v>1.0055972472197259</v>
      </c>
      <c r="AF89" s="135">
        <f>'AEO 7'!AG45/'AEO 7'!AG46</f>
        <v>1.0029472725827617</v>
      </c>
    </row>
    <row r="90" spans="1:37">
      <c r="A90" s="135" t="s">
        <v>3349</v>
      </c>
      <c r="B90">
        <f>'AEO 49'!G179/'AEO 49'!G108</f>
        <v>1.1551211424645451</v>
      </c>
      <c r="C90" s="135">
        <f>'AEO 49'!H179/'AEO 49'!H108</f>
        <v>1.1542153227969827</v>
      </c>
      <c r="D90" s="135">
        <f>'AEO 49'!I179/'AEO 49'!I108</f>
        <v>1.1483897738706925</v>
      </c>
      <c r="E90" s="135">
        <f>'AEO 49'!J179/'AEO 49'!J108</f>
        <v>1.1466449774206646</v>
      </c>
      <c r="F90" s="135">
        <f>'AEO 49'!K179/'AEO 49'!K108</f>
        <v>1.1481597841143751</v>
      </c>
      <c r="G90" s="135">
        <f>'AEO 49'!L179/'AEO 49'!L108</f>
        <v>1.1514741540978779</v>
      </c>
      <c r="H90" s="135">
        <f>'AEO 49'!M179/'AEO 49'!M108</f>
        <v>1.1548808458064965</v>
      </c>
      <c r="I90" s="135">
        <f>'AEO 49'!N179/'AEO 49'!N108</f>
        <v>1.1534602725306162</v>
      </c>
      <c r="J90" s="135">
        <f>'AEO 49'!O179/'AEO 49'!O108</f>
        <v>1.140338429700833</v>
      </c>
      <c r="K90" s="135">
        <f>'AEO 49'!P179/'AEO 49'!P108</f>
        <v>1.1326234631385657</v>
      </c>
      <c r="L90" s="135">
        <f>'AEO 49'!Q179/'AEO 49'!Q108</f>
        <v>1.1235397213419192</v>
      </c>
      <c r="M90" s="135">
        <f>'AEO 49'!R179/'AEO 49'!R108</f>
        <v>1.1136121433397475</v>
      </c>
      <c r="N90" s="135">
        <f>'AEO 49'!S179/'AEO 49'!S108</f>
        <v>1.1027729610934116</v>
      </c>
      <c r="O90" s="135">
        <f>'AEO 49'!T179/'AEO 49'!T108</f>
        <v>1.0920609607453848</v>
      </c>
      <c r="P90" s="135">
        <f>'AEO 49'!U179/'AEO 49'!U108</f>
        <v>1.0823956816875955</v>
      </c>
      <c r="Q90" s="135">
        <f>'AEO 49'!V179/'AEO 49'!V108</f>
        <v>1.0736357762986517</v>
      </c>
      <c r="R90" s="135">
        <f>'AEO 49'!W179/'AEO 49'!W108</f>
        <v>1.0658599513059208</v>
      </c>
      <c r="S90" s="135">
        <f>'AEO 49'!X179/'AEO 49'!X108</f>
        <v>1.0589059036674653</v>
      </c>
      <c r="T90" s="135">
        <f>'AEO 49'!Y179/'AEO 49'!Y108</f>
        <v>1.0525971922388218</v>
      </c>
      <c r="U90" s="135">
        <f>'AEO 49'!Z179/'AEO 49'!Z108</f>
        <v>1.0471770609409761</v>
      </c>
      <c r="V90" s="135">
        <f>'AEO 49'!AA179/'AEO 49'!AA108</f>
        <v>1.0421749387600001</v>
      </c>
      <c r="W90" s="135">
        <f>'AEO 49'!AB179/'AEO 49'!AB108</f>
        <v>1.0381238680871181</v>
      </c>
      <c r="X90" s="135">
        <f>'AEO 49'!AC179/'AEO 49'!AC108</f>
        <v>1.0348428812661794</v>
      </c>
      <c r="Y90" s="135">
        <f>'AEO 49'!AD179/'AEO 49'!AD108</f>
        <v>1.0319942960337107</v>
      </c>
      <c r="Z90" s="135">
        <f>'AEO 49'!AE179/'AEO 49'!AE108</f>
        <v>1.0297693556872807</v>
      </c>
      <c r="AA90" s="135">
        <f>'AEO 49'!AF179/'AEO 49'!AF108</f>
        <v>1.0279741026120208</v>
      </c>
      <c r="AB90" s="135">
        <f>'AEO 49'!AG179/'AEO 49'!AG108</f>
        <v>1.026170828644499</v>
      </c>
      <c r="AC90" s="135">
        <f>'AEO 49'!AH179/'AEO 49'!AH108</f>
        <v>1.0252784502763734</v>
      </c>
      <c r="AD90" s="135">
        <f>'AEO 49'!AI179/'AEO 49'!AI108</f>
        <v>1.0244496831357419</v>
      </c>
      <c r="AE90" s="135">
        <f>'AEO 49'!AJ179/'AEO 49'!AJ108</f>
        <v>1.0238131082184718</v>
      </c>
      <c r="AF90" s="135">
        <f>'AEO 49'!AK179/'AEO 49'!AK108</f>
        <v>1.0236489163787985</v>
      </c>
    </row>
    <row r="91" spans="1:37">
      <c r="A91" s="135" t="s">
        <v>3350</v>
      </c>
      <c r="B91">
        <f>'AEO 49'!G190/'AEO 49'!G119</f>
        <v>1.1072114923426324</v>
      </c>
      <c r="C91" s="135">
        <f>'AEO 49'!H190/'AEO 49'!H119</f>
        <v>1.1292148028853062</v>
      </c>
      <c r="D91" s="135">
        <f>'AEO 49'!I190/'AEO 49'!I119</f>
        <v>1.1333561574371291</v>
      </c>
      <c r="E91" s="135">
        <f>'AEO 49'!J190/'AEO 49'!J119</f>
        <v>1.1412465108243184</v>
      </c>
      <c r="F91" s="135">
        <f>'AEO 49'!K190/'AEO 49'!K119</f>
        <v>1.1521452678631832</v>
      </c>
      <c r="G91" s="135">
        <f>'AEO 49'!L190/'AEO 49'!L119</f>
        <v>1.1648938613425903</v>
      </c>
      <c r="H91" s="135">
        <f>'AEO 49'!M190/'AEO 49'!M119</f>
        <v>1.1764452496267768</v>
      </c>
      <c r="I91" s="135">
        <f>'AEO 49'!N190/'AEO 49'!N119</f>
        <v>1.1900774222777746</v>
      </c>
      <c r="J91" s="135">
        <f>'AEO 49'!O190/'AEO 49'!O119</f>
        <v>1.1868081692606558</v>
      </c>
      <c r="K91" s="135">
        <f>'AEO 49'!P190/'AEO 49'!P119</f>
        <v>1.197151213211431</v>
      </c>
      <c r="L91" s="135">
        <f>'AEO 49'!Q190/'AEO 49'!Q119</f>
        <v>1.2033395824176736</v>
      </c>
      <c r="M91" s="135">
        <f>'AEO 49'!R190/'AEO 49'!R119</f>
        <v>1.2065324507240578</v>
      </c>
      <c r="N91" s="135">
        <f>'AEO 49'!S190/'AEO 49'!S119</f>
        <v>1.1991659507555814</v>
      </c>
      <c r="O91" s="135">
        <f>'AEO 49'!T190/'AEO 49'!T119</f>
        <v>1.1809330280711954</v>
      </c>
      <c r="P91" s="135">
        <f>'AEO 49'!U190/'AEO 49'!U119</f>
        <v>1.1642661279573194</v>
      </c>
      <c r="Q91" s="135">
        <f>'AEO 49'!V190/'AEO 49'!V119</f>
        <v>1.1476278943713729</v>
      </c>
      <c r="R91" s="135">
        <f>'AEO 49'!W190/'AEO 49'!W119</f>
        <v>1.1325218319193842</v>
      </c>
      <c r="S91" s="135">
        <f>'AEO 49'!X190/'AEO 49'!X119</f>
        <v>1.1168729280035847</v>
      </c>
      <c r="T91" s="135">
        <f>'AEO 49'!Y190/'AEO 49'!Y119</f>
        <v>1.1056564954146697</v>
      </c>
      <c r="U91" s="135">
        <f>'AEO 49'!Z190/'AEO 49'!Z119</f>
        <v>1.0956671256100923</v>
      </c>
      <c r="V91" s="135">
        <f>'AEO 49'!AA190/'AEO 49'!AA119</f>
        <v>1.0865148771233402</v>
      </c>
      <c r="W91" s="135">
        <f>'AEO 49'!AB190/'AEO 49'!AB119</f>
        <v>1.0783501461325189</v>
      </c>
      <c r="X91" s="135">
        <f>'AEO 49'!AC190/'AEO 49'!AC119</f>
        <v>1.0712288805820527</v>
      </c>
      <c r="Y91" s="135">
        <f>'AEO 49'!AD190/'AEO 49'!AD119</f>
        <v>1.0652197139382469</v>
      </c>
      <c r="Z91" s="135">
        <f>'AEO 49'!AE190/'AEO 49'!AE119</f>
        <v>1.0601558519856138</v>
      </c>
      <c r="AA91" s="135">
        <f>'AEO 49'!AF190/'AEO 49'!AF119</f>
        <v>1.0556295022187596</v>
      </c>
      <c r="AB91" s="135">
        <f>'AEO 49'!AG190/'AEO 49'!AG119</f>
        <v>1.0514774467407006</v>
      </c>
      <c r="AC91" s="135">
        <f>'AEO 49'!AH190/'AEO 49'!AH119</f>
        <v>1.0476358884925763</v>
      </c>
      <c r="AD91" s="135">
        <f>'AEO 49'!AI190/'AEO 49'!AI119</f>
        <v>1.0442560649688226</v>
      </c>
      <c r="AE91" s="135">
        <f>'AEO 49'!AJ190/'AEO 49'!AJ119</f>
        <v>1.0411771093553202</v>
      </c>
      <c r="AF91" s="135">
        <f>'AEO 49'!AK190/'AEO 49'!AK119</f>
        <v>1.0382987734004618</v>
      </c>
    </row>
    <row r="92" spans="1:37">
      <c r="C92" s="135"/>
      <c r="D92" s="135"/>
      <c r="E92" s="135"/>
      <c r="F92" s="135"/>
      <c r="G92" s="135"/>
      <c r="H92" s="135"/>
      <c r="I92" s="135"/>
      <c r="J92" s="135"/>
      <c r="K92" s="135"/>
      <c r="L92" s="135"/>
      <c r="M92" s="135"/>
      <c r="N92" s="135"/>
      <c r="O92" s="135"/>
      <c r="P92" s="135"/>
      <c r="Q92" s="135"/>
      <c r="R92" s="135"/>
      <c r="S92" s="135"/>
      <c r="T92" s="135"/>
      <c r="U92" s="135"/>
      <c r="V92" s="135"/>
      <c r="W92" s="135"/>
      <c r="X92" s="135"/>
      <c r="Y92" s="135"/>
      <c r="Z92" s="135"/>
      <c r="AA92" s="135"/>
      <c r="AB92" s="135"/>
      <c r="AC92" s="135"/>
      <c r="AD92" s="135"/>
      <c r="AE92" s="135"/>
      <c r="AF92" s="135"/>
    </row>
    <row r="93" spans="1:37">
      <c r="A93" t="s">
        <v>3366</v>
      </c>
      <c r="B93" s="141">
        <f>INDEX('AEO 44'!$K:$K,MATCH('Calculations Etc'!B88,'AEO 44'!$A:$A,0))*1000</f>
        <v>728740.66200000001</v>
      </c>
      <c r="C93" s="141">
        <f>INDEX('AEO 44'!$K:$K,MATCH('Calculations Etc'!C88,'AEO 44'!$A:$A,0))*1000</f>
        <v>822791.26</v>
      </c>
      <c r="D93" s="141">
        <f>INDEX('AEO 44'!$K:$K,MATCH('Calculations Etc'!D88,'AEO 44'!$A:$A,0))*1000</f>
        <v>878964.53899999999</v>
      </c>
      <c r="E93" s="141">
        <f>INDEX('AEO 44'!$K:$K,MATCH('Calculations Etc'!E88,'AEO 44'!$A:$A,0))*1000</f>
        <v>906911.74300000002</v>
      </c>
      <c r="F93" s="141">
        <f>INDEX('AEO 44'!$K:$K,MATCH('Calculations Etc'!F88,'AEO 44'!$A:$A,0))*1000</f>
        <v>940583.37400000007</v>
      </c>
      <c r="G93" s="141">
        <f>INDEX('AEO 44'!$K:$K,MATCH('Calculations Etc'!G88,'AEO 44'!$A:$A,0))*1000</f>
        <v>964770.38600000006</v>
      </c>
      <c r="H93" s="141">
        <f>INDEX('AEO 44'!$K:$K,MATCH('Calculations Etc'!H88,'AEO 44'!$A:$A,0))*1000</f>
        <v>966386.902</v>
      </c>
      <c r="I93" s="141">
        <f>INDEX('AEO 44'!$K:$K,MATCH('Calculations Etc'!I88,'AEO 44'!$A:$A,0))*1000</f>
        <v>953719.3600000001</v>
      </c>
      <c r="J93" s="141">
        <f>INDEX('AEO 44'!$K:$K,MATCH('Calculations Etc'!J88,'AEO 44'!$A:$A,0))*1000</f>
        <v>966187.56099999999</v>
      </c>
      <c r="K93" s="141">
        <f>INDEX('AEO 44'!$K:$K,MATCH('Calculations Etc'!K88,'AEO 44'!$A:$A,0))*1000</f>
        <v>981239.56299999997</v>
      </c>
      <c r="L93" s="141">
        <f>INDEX('AEO 44'!$K:$K,MATCH('Calculations Etc'!L88,'AEO 44'!$A:$A,0))*1000</f>
        <v>970984.68</v>
      </c>
      <c r="M93" s="141">
        <f>INDEX('AEO 44'!$K:$K,MATCH('Calculations Etc'!M88,'AEO 44'!$A:$A,0))*1000</f>
        <v>972471.25200000009</v>
      </c>
      <c r="N93" s="141">
        <f>INDEX('AEO 44'!$K:$K,MATCH('Calculations Etc'!N88,'AEO 44'!$A:$A,0))*1000</f>
        <v>975894.04300000006</v>
      </c>
      <c r="O93" s="141">
        <f>INDEX('AEO 44'!$K:$K,MATCH('Calculations Etc'!O88,'AEO 44'!$A:$A,0))*1000</f>
        <v>977975.098</v>
      </c>
      <c r="P93" s="141">
        <f>INDEX('AEO 44'!$K:$K,MATCH('Calculations Etc'!P88,'AEO 44'!$A:$A,0))*1000</f>
        <v>980602.4169999999</v>
      </c>
      <c r="Q93" s="141">
        <f>INDEX('AEO 44'!$K:$K,MATCH('Calculations Etc'!Q88,'AEO 44'!$A:$A,0))*1000</f>
        <v>985550.90299999993</v>
      </c>
      <c r="R93" s="141">
        <f>INDEX('AEO 44'!$K:$K,MATCH('Calculations Etc'!R88,'AEO 44'!$A:$A,0))*1000</f>
        <v>982682.25099999993</v>
      </c>
      <c r="S93" s="141">
        <f>INDEX('AEO 44'!$K:$K,MATCH('Calculations Etc'!S88,'AEO 44'!$A:$A,0))*1000</f>
        <v>977937.68299999996</v>
      </c>
      <c r="T93" s="141">
        <f>INDEX('AEO 44'!$K:$K,MATCH('Calculations Etc'!T88,'AEO 44'!$A:$A,0))*1000</f>
        <v>979911.86499999999</v>
      </c>
      <c r="U93" s="141">
        <f>INDEX('AEO 44'!$K:$K,MATCH('Calculations Etc'!U88,'AEO 44'!$A:$A,0))*1000</f>
        <v>981146.85100000002</v>
      </c>
      <c r="V93" s="141">
        <f>INDEX('AEO 44'!$K:$K,MATCH('Calculations Etc'!V88,'AEO 44'!$A:$A,0))*1000</f>
        <v>979869.75099999993</v>
      </c>
      <c r="W93" s="141">
        <f>INDEX('AEO 44'!$K:$K,MATCH('Calculations Etc'!W88,'AEO 44'!$A:$A,0))*1000</f>
        <v>979058.28899999999</v>
      </c>
      <c r="X93" s="141">
        <f>INDEX('AEO 44'!$K:$K,MATCH('Calculations Etc'!X88,'AEO 44'!$A:$A,0))*1000</f>
        <v>979396.85100000002</v>
      </c>
      <c r="Y93" s="141">
        <f>INDEX('AEO 44'!$K:$K,MATCH('Calculations Etc'!Y88,'AEO 44'!$A:$A,0))*1000</f>
        <v>977103.33299999998</v>
      </c>
      <c r="Z93" s="141">
        <f>INDEX('AEO 44'!$K:$K,MATCH('Calculations Etc'!Z88,'AEO 44'!$A:$A,0))*1000</f>
        <v>976138.245</v>
      </c>
      <c r="AA93" s="141">
        <f>INDEX('AEO 44'!$K:$K,MATCH('Calculations Etc'!AA88,'AEO 44'!$A:$A,0))*1000</f>
        <v>984091.85800000001</v>
      </c>
      <c r="AB93" s="141">
        <f>INDEX('AEO 44'!$K:$K,MATCH('Calculations Etc'!AB88,'AEO 44'!$A:$A,0))*1000</f>
        <v>980589.96600000001</v>
      </c>
      <c r="AC93" s="141">
        <f>INDEX('AEO 44'!$K:$K,MATCH('Calculations Etc'!AC88,'AEO 44'!$A:$A,0))*1000</f>
        <v>975819.64100000006</v>
      </c>
      <c r="AD93" s="141">
        <f>INDEX('AEO 44'!$K:$K,MATCH('Calculations Etc'!AD88,'AEO 44'!$A:$A,0))*1000</f>
        <v>981372.80299999996</v>
      </c>
      <c r="AE93" s="141">
        <f>INDEX('AEO 44'!$K:$K,MATCH('Calculations Etc'!AE88,'AEO 44'!$A:$A,0))*1000</f>
        <v>975680.35899999994</v>
      </c>
      <c r="AF93" s="141">
        <f>INDEX('AEO 44'!$K:$K,MATCH('Calculations Etc'!AF88,'AEO 44'!$A:$A,0))*1000</f>
        <v>968614.80700000003</v>
      </c>
    </row>
    <row r="94" spans="1:37">
      <c r="A94" t="s">
        <v>3367</v>
      </c>
      <c r="B94" s="141">
        <f>'AEO 49'!G214*1000</f>
        <v>207952.133</v>
      </c>
      <c r="C94" s="141">
        <f>'AEO 49'!H214*1000</f>
        <v>231691.72699999998</v>
      </c>
      <c r="D94" s="141">
        <f>'AEO 49'!I214*1000</f>
        <v>250509.07900000003</v>
      </c>
      <c r="E94" s="141">
        <f>'AEO 49'!J214*1000</f>
        <v>260794.06699999998</v>
      </c>
      <c r="F94" s="141">
        <f>'AEO 49'!K214*1000</f>
        <v>273597.62599999999</v>
      </c>
      <c r="G94" s="141">
        <f>'AEO 49'!L214*1000</f>
        <v>284732.54399999999</v>
      </c>
      <c r="H94" s="141">
        <f>'AEO 49'!M214*1000</f>
        <v>287597.38199999998</v>
      </c>
      <c r="I94" s="141">
        <f>'AEO 49'!N214*1000</f>
        <v>286203.15599999996</v>
      </c>
      <c r="J94" s="141">
        <f>'AEO 49'!O214*1000</f>
        <v>291375.61</v>
      </c>
      <c r="K94" s="141">
        <f>'AEO 49'!P214*1000</f>
        <v>295825.56199999998</v>
      </c>
      <c r="L94" s="141">
        <f>'AEO 49'!Q214*1000</f>
        <v>296498.93200000003</v>
      </c>
      <c r="M94" s="141">
        <f>'AEO 49'!R214*1000</f>
        <v>300003.60100000002</v>
      </c>
      <c r="N94" s="141">
        <f>'AEO 49'!S214*1000</f>
        <v>304527.61800000002</v>
      </c>
      <c r="O94" s="141">
        <f>'AEO 49'!T214*1000</f>
        <v>308585.05200000003</v>
      </c>
      <c r="P94" s="141">
        <f>'AEO 49'!U214*1000</f>
        <v>312809.14299999998</v>
      </c>
      <c r="Q94" s="141">
        <f>'AEO 49'!V214*1000</f>
        <v>317875.42700000003</v>
      </c>
      <c r="R94" s="141">
        <f>'AEO 49'!W214*1000</f>
        <v>320350.43300000002</v>
      </c>
      <c r="S94" s="141">
        <f>'AEO 49'!X214*1000</f>
        <v>321876.89199999999</v>
      </c>
      <c r="T94" s="141">
        <f>'AEO 49'!Y214*1000</f>
        <v>325856.62800000003</v>
      </c>
      <c r="U94" s="141">
        <f>'AEO 49'!Z214*1000</f>
        <v>329683.74599999998</v>
      </c>
      <c r="V94" s="141">
        <f>'AEO 49'!AA214*1000</f>
        <v>332515.41099999996</v>
      </c>
      <c r="W94" s="141">
        <f>'AEO 49'!AB214*1000</f>
        <v>335575.989</v>
      </c>
      <c r="X94" s="141">
        <f>'AEO 49'!AC214*1000</f>
        <v>338964.81299999997</v>
      </c>
      <c r="Y94" s="141">
        <f>'AEO 49'!AD214*1000</f>
        <v>341475.40300000005</v>
      </c>
      <c r="Z94" s="141">
        <f>'AEO 49'!AE214*1000</f>
        <v>344321.99100000004</v>
      </c>
      <c r="AA94" s="141">
        <f>'AEO 49'!AF214*1000</f>
        <v>350706.05499999999</v>
      </c>
      <c r="AB94" s="141">
        <f>'AEO 49'!AG214*1000</f>
        <v>352844.147</v>
      </c>
      <c r="AC94" s="141">
        <f>'AEO 49'!AH214*1000</f>
        <v>354161.77399999998</v>
      </c>
      <c r="AD94" s="141">
        <f>'AEO 49'!AI214*1000</f>
        <v>359658.35600000003</v>
      </c>
      <c r="AE94" s="141">
        <f>'AEO 49'!AJ214*1000</f>
        <v>360829.86499999999</v>
      </c>
      <c r="AF94" s="141">
        <f>'AEO 49'!AK214*1000</f>
        <v>361139.52600000001</v>
      </c>
    </row>
    <row r="95" spans="1:37">
      <c r="A95" t="s">
        <v>3368</v>
      </c>
      <c r="B95" s="141">
        <f>'AEO 49'!G225*1000</f>
        <v>143058.48700000002</v>
      </c>
      <c r="C95" s="141">
        <f>'AEO 49'!H225*1000</f>
        <v>159204.02499999999</v>
      </c>
      <c r="D95" s="141">
        <f>'AEO 49'!I225*1000</f>
        <v>190947.40300000002</v>
      </c>
      <c r="E95" s="141">
        <f>'AEO 49'!J225*1000</f>
        <v>209990.997</v>
      </c>
      <c r="F95" s="141">
        <f>'AEO 49'!K225*1000</f>
        <v>222502.71599999999</v>
      </c>
      <c r="G95" s="141">
        <f>'AEO 49'!L225*1000</f>
        <v>230983.04699999999</v>
      </c>
      <c r="H95" s="141">
        <f>'AEO 49'!M225*1000</f>
        <v>230972</v>
      </c>
      <c r="I95" s="141">
        <f>'AEO 49'!N225*1000</f>
        <v>221502.02899999998</v>
      </c>
      <c r="J95" s="141">
        <f>'AEO 49'!O225*1000</f>
        <v>217183.45600000001</v>
      </c>
      <c r="K95" s="141">
        <f>'AEO 49'!P225*1000</f>
        <v>216904.55600000001</v>
      </c>
      <c r="L95" s="141">
        <f>'AEO 49'!Q225*1000</f>
        <v>217474.228</v>
      </c>
      <c r="M95" s="141">
        <f>'AEO 49'!R225*1000</f>
        <v>220817.91699999999</v>
      </c>
      <c r="N95" s="141">
        <f>'AEO 49'!S225*1000</f>
        <v>227648.95600000001</v>
      </c>
      <c r="O95" s="141">
        <f>'AEO 49'!T225*1000</f>
        <v>234082.16899999999</v>
      </c>
      <c r="P95" s="141">
        <f>'AEO 49'!U225*1000</f>
        <v>240281.891</v>
      </c>
      <c r="Q95" s="141">
        <f>'AEO 49'!V225*1000</f>
        <v>248073.22700000001</v>
      </c>
      <c r="R95" s="141">
        <f>'AEO 49'!W225*1000</f>
        <v>255911.56</v>
      </c>
      <c r="S95" s="141">
        <f>'AEO 49'!X225*1000</f>
        <v>260197.14399999997</v>
      </c>
      <c r="T95" s="141">
        <f>'AEO 49'!Y225*1000</f>
        <v>264953.522</v>
      </c>
      <c r="U95" s="141">
        <f>'AEO 49'!Z225*1000</f>
        <v>274417.35800000001</v>
      </c>
      <c r="V95" s="141">
        <f>'AEO 49'!AA225*1000</f>
        <v>285796.326</v>
      </c>
      <c r="W95" s="141">
        <f>'AEO 49'!AB225*1000</f>
        <v>294375.48800000001</v>
      </c>
      <c r="X95" s="141">
        <f>'AEO 49'!AC225*1000</f>
        <v>300343.81100000005</v>
      </c>
      <c r="Y95" s="141">
        <f>'AEO 49'!AD225*1000</f>
        <v>306252.16699999996</v>
      </c>
      <c r="Z95" s="141">
        <f>'AEO 49'!AE225*1000</f>
        <v>310834.90000000002</v>
      </c>
      <c r="AA95" s="141">
        <f>'AEO 49'!AF225*1000</f>
        <v>317113.342</v>
      </c>
      <c r="AB95" s="141">
        <f>'AEO 49'!AG225*1000</f>
        <v>322614.86800000002</v>
      </c>
      <c r="AC95" s="141">
        <f>'AEO 49'!AH225*1000</f>
        <v>323079.25400000002</v>
      </c>
      <c r="AD95" s="141">
        <f>'AEO 49'!AI225*1000</f>
        <v>327152.527</v>
      </c>
      <c r="AE95" s="141">
        <f>'AEO 49'!AJ225*1000</f>
        <v>335234.49699999997</v>
      </c>
      <c r="AF95" s="141">
        <f>'AEO 49'!AK225*1000</f>
        <v>340899.2</v>
      </c>
    </row>
    <row r="97" spans="1:32">
      <c r="A97" t="s">
        <v>3373</v>
      </c>
      <c r="B97">
        <f>SUMPRODUCT(B89:B91,B93:B95)/SUM(B93:B95)</f>
        <v>1.099725523401105</v>
      </c>
      <c r="C97" s="135">
        <f t="shared" ref="C97:AF97" si="31">SUMPRODUCT(C89:C91,C93:C95)/SUM(C93:C95)</f>
        <v>1.1007974944995329</v>
      </c>
      <c r="D97" s="135">
        <f t="shared" si="31"/>
        <v>1.0959166642478042</v>
      </c>
      <c r="E97" s="135">
        <f t="shared" si="31"/>
        <v>1.09564514377566</v>
      </c>
      <c r="F97" s="135">
        <f t="shared" si="31"/>
        <v>1.0975454556924087</v>
      </c>
      <c r="G97" s="135">
        <f t="shared" si="31"/>
        <v>1.1036017738765245</v>
      </c>
      <c r="H97" s="135">
        <f t="shared" si="31"/>
        <v>1.1089612045512154</v>
      </c>
      <c r="I97" s="135">
        <f t="shared" si="31"/>
        <v>1.1120946985971703</v>
      </c>
      <c r="J97" s="135">
        <f t="shared" si="31"/>
        <v>1.1034244810516147</v>
      </c>
      <c r="K97" s="135">
        <f t="shared" si="31"/>
        <v>1.1009311756904683</v>
      </c>
      <c r="L97" s="135">
        <f t="shared" si="31"/>
        <v>1.097370255180218</v>
      </c>
      <c r="M97" s="135">
        <f t="shared" si="31"/>
        <v>1.091955777186671</v>
      </c>
      <c r="N97" s="135">
        <f t="shared" si="31"/>
        <v>1.0844475617624894</v>
      </c>
      <c r="O97" s="135">
        <f t="shared" si="31"/>
        <v>1.075267577733054</v>
      </c>
      <c r="P97" s="135">
        <f t="shared" si="31"/>
        <v>1.067173374860741</v>
      </c>
      <c r="Q97" s="135">
        <f t="shared" si="31"/>
        <v>1.0580390334942023</v>
      </c>
      <c r="R97" s="135">
        <f t="shared" si="31"/>
        <v>1.051756084700026</v>
      </c>
      <c r="S97" s="135">
        <f t="shared" si="31"/>
        <v>1.0443222205365787</v>
      </c>
      <c r="T97" s="135">
        <f t="shared" si="31"/>
        <v>1.0399019268768557</v>
      </c>
      <c r="U97" s="135">
        <f t="shared" si="31"/>
        <v>1.036553253817049</v>
      </c>
      <c r="V97" s="135">
        <f t="shared" si="31"/>
        <v>1.0337733312437554</v>
      </c>
      <c r="W97" s="135">
        <f t="shared" si="31"/>
        <v>1.0314074588248772</v>
      </c>
      <c r="X97" s="135">
        <f t="shared" si="31"/>
        <v>1.0290419552044721</v>
      </c>
      <c r="Y97" s="135">
        <f t="shared" si="31"/>
        <v>1.027256042699606</v>
      </c>
      <c r="Z97" s="135">
        <f t="shared" si="31"/>
        <v>1.0257606689620176</v>
      </c>
      <c r="AA97" s="135">
        <f t="shared" si="31"/>
        <v>1.0242826518295765</v>
      </c>
      <c r="AB97" s="135">
        <f t="shared" si="31"/>
        <v>1.0231525357914721</v>
      </c>
      <c r="AC97" s="135">
        <f t="shared" si="31"/>
        <v>1.0209470548740009</v>
      </c>
      <c r="AD97" s="135">
        <f t="shared" si="31"/>
        <v>1.0187211948879007</v>
      </c>
      <c r="AE97" s="135">
        <f t="shared" si="31"/>
        <v>1.0166637836466064</v>
      </c>
      <c r="AF97" s="135">
        <f t="shared" si="31"/>
        <v>1.0146358003293912</v>
      </c>
    </row>
    <row r="99" spans="1:32" s="135" customFormat="1">
      <c r="B99" s="135">
        <v>2019</v>
      </c>
      <c r="C99" s="135">
        <v>2020</v>
      </c>
      <c r="D99" s="135" t="s">
        <v>3374</v>
      </c>
    </row>
    <row r="100" spans="1:32">
      <c r="A100" t="s">
        <v>3369</v>
      </c>
      <c r="B100">
        <f>'AEO 7 (2020)'!C46</f>
        <v>13.941457</v>
      </c>
      <c r="C100">
        <f>'AEO 7'!C46</f>
        <v>14.042013000000001</v>
      </c>
      <c r="D100">
        <f>C100/B100</f>
        <v>1.0072127324999103</v>
      </c>
    </row>
    <row r="101" spans="1:32">
      <c r="A101" t="s">
        <v>3370</v>
      </c>
      <c r="B101">
        <f>'AEO 49 (2020)'!F108</f>
        <v>12.956725</v>
      </c>
      <c r="C101">
        <f>'AEO 49'!G108</f>
        <v>13.189800999999999</v>
      </c>
      <c r="D101" s="135">
        <f>C101/B101</f>
        <v>1.0179888050413972</v>
      </c>
    </row>
    <row r="102" spans="1:32">
      <c r="A102" t="s">
        <v>3371</v>
      </c>
      <c r="B102">
        <f>'AEO 49 (2020)'!F119</f>
        <v>8.0157849999999993</v>
      </c>
      <c r="C102">
        <f>'AEO 49'!G119</f>
        <v>8.0269100000000009</v>
      </c>
      <c r="D102" s="135">
        <f>C102/B102</f>
        <v>1.0013878865263979</v>
      </c>
    </row>
    <row r="104" spans="1:32">
      <c r="A104" t="s">
        <v>3372</v>
      </c>
      <c r="B104">
        <f>SUMPRODUCT(D100:D102,B93:B95)/SUM(B93:B95)</f>
        <v>1.0085163786653297</v>
      </c>
    </row>
  </sheetData>
  <hyperlinks>
    <hyperlink ref="D38" r:id="rId1" xr:uid="{00000000-0004-0000-1200-000000000000}"/>
    <hyperlink ref="D39" r:id="rId2" xr:uid="{00000000-0004-0000-1200-000001000000}"/>
  </hyperlinks>
  <pageMargins left="0.7" right="0.7" top="0.75" bottom="0.75" header="0.3" footer="0.3"/>
  <pageSetup orientation="portrait"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5"/>
  <sheetViews>
    <sheetView workbookViewId="0">
      <selection activeCell="AE13" sqref="AE13"/>
    </sheetView>
  </sheetViews>
  <sheetFormatPr defaultRowHeight="14.5"/>
  <cols>
    <col min="1" max="1" width="31.08984375" customWidth="1"/>
  </cols>
  <sheetData>
    <row r="1" spans="1:35">
      <c r="A1" s="1" t="s">
        <v>856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5">
      <c r="A2" t="s">
        <v>112</v>
      </c>
      <c r="B2" s="15">
        <f>SUMIFS('psgr LDVs'!B$82:B$119,'psgr LDVs'!$A$82:$A$119,'BNVFE-LDVs-psgr'!$A2)*('AEO 7'!C$41/'AEO 7'!C$38)*'Calculations Etc'!$B$23/'Calculations Etc'!$B$29</f>
        <v>1.3016014821008825E-3</v>
      </c>
      <c r="C2" s="15">
        <f>SUMIFS('psgr LDVs'!C$82:C$119,'psgr LDVs'!$A$82:$A$119,'BNVFE-LDVs-psgr'!$A2)*('AEO 7'!D$41/'AEO 7'!D$38)*'Calculations Etc'!$B$23/'Calculations Etc'!$B$29</f>
        <v>1.2926576980307788E-3</v>
      </c>
      <c r="D2" s="15">
        <f>SUMIFS('psgr LDVs'!D$82:D$119,'psgr LDVs'!$A$82:$A$119,'BNVFE-LDVs-psgr'!$A2)*('AEO 7'!E$41/'AEO 7'!E$38)*'Calculations Etc'!$B$23/'Calculations Etc'!$B$29</f>
        <v>1.2869318658566659E-3</v>
      </c>
      <c r="E2" s="15">
        <f>SUMIFS('psgr LDVs'!E$82:E$119,'psgr LDVs'!$A$82:$A$119,'BNVFE-LDVs-psgr'!$A2)*('AEO 7'!F$41/'AEO 7'!F$38)*'Calculations Etc'!$B$23/'Calculations Etc'!$B$29</f>
        <v>1.2796983920849219E-3</v>
      </c>
      <c r="F2" s="15">
        <f>SUMIFS('psgr LDVs'!F$82:F$119,'psgr LDVs'!$A$82:$A$119,'BNVFE-LDVs-psgr'!$A2)*('AEO 7'!G$41/'AEO 7'!G$38)*'Calculations Etc'!$B$23/'Calculations Etc'!$B$29</f>
        <v>1.2723109001949813E-3</v>
      </c>
      <c r="G2" s="15">
        <f>SUMIFS('psgr LDVs'!G$82:G$119,'psgr LDVs'!$A$82:$A$119,'BNVFE-LDVs-psgr'!$A2)*('AEO 7'!H$41/'AEO 7'!H$38)*'Calculations Etc'!$B$23/'Calculations Etc'!$B$29</f>
        <v>1.2688722771223024E-3</v>
      </c>
      <c r="H2" s="15">
        <f>SUMIFS('psgr LDVs'!H$82:H$119,'psgr LDVs'!$A$82:$A$119,'BNVFE-LDVs-psgr'!$A2)*('AEO 7'!I$41/'AEO 7'!I$38)*'Calculations Etc'!$B$23/'Calculations Etc'!$B$29</f>
        <v>1.265614096179496E-3</v>
      </c>
      <c r="I2" s="15">
        <f>SUMIFS('psgr LDVs'!I$82:I$119,'psgr LDVs'!$A$82:$A$119,'BNVFE-LDVs-psgr'!$A2)*('AEO 7'!J$41/'AEO 7'!J$38)*'Calculations Etc'!$B$23/'Calculations Etc'!$B$29</f>
        <v>1.2602292006612041E-3</v>
      </c>
      <c r="J2" s="15">
        <f>SUMIFS('psgr LDVs'!J$82:J$119,'psgr LDVs'!$A$82:$A$119,'BNVFE-LDVs-psgr'!$A2)*('AEO 7'!K$41/'AEO 7'!K$38)*'Calculations Etc'!$B$23/'Calculations Etc'!$B$29</f>
        <v>1.2562225179555552E-3</v>
      </c>
      <c r="K2" s="15">
        <f>SUMIFS('psgr LDVs'!K$82:K$119,'psgr LDVs'!$A$82:$A$119,'BNVFE-LDVs-psgr'!$A2)*('AEO 7'!L$41/'AEO 7'!L$38)*'Calculations Etc'!$B$23/'Calculations Etc'!$B$29</f>
        <v>1.252664288663584E-3</v>
      </c>
      <c r="L2" s="15">
        <f>SUMIFS('psgr LDVs'!L$82:L$119,'psgr LDVs'!$A$82:$A$119,'BNVFE-LDVs-psgr'!$A2)*('AEO 7'!M$41/'AEO 7'!M$38)*'Calculations Etc'!$B$23/'Calculations Etc'!$B$29</f>
        <v>1.2501277882015535E-3</v>
      </c>
      <c r="M2" s="15">
        <f>SUMIFS('psgr LDVs'!M$82:M$119,'psgr LDVs'!$A$82:$A$119,'BNVFE-LDVs-psgr'!$A2)*('AEO 7'!N$41/'AEO 7'!N$38)*'Calculations Etc'!$B$23/'Calculations Etc'!$B$29</f>
        <v>1.2487082688849278E-3</v>
      </c>
      <c r="N2" s="15">
        <f>SUMIFS('psgr LDVs'!N$82:N$119,'psgr LDVs'!$A$82:$A$119,'BNVFE-LDVs-psgr'!$A2)*('AEO 7'!O$41/'AEO 7'!O$38)*'Calculations Etc'!$B$23/'Calculations Etc'!$B$29</f>
        <v>1.2467654435390108E-3</v>
      </c>
      <c r="O2" s="15">
        <f>SUMIFS('psgr LDVs'!O$82:O$119,'psgr LDVs'!$A$82:$A$119,'BNVFE-LDVs-psgr'!$A2)*('AEO 7'!P$41/'AEO 7'!P$38)*'Calculations Etc'!$B$23/'Calculations Etc'!$B$29</f>
        <v>1.2459379766549955E-3</v>
      </c>
      <c r="P2" s="15">
        <f>SUMIFS('psgr LDVs'!P$82:P$119,'psgr LDVs'!$A$82:$A$119,'BNVFE-LDVs-psgr'!$A2)*('AEO 7'!Q$41/'AEO 7'!Q$38)*'Calculations Etc'!$B$23/'Calculations Etc'!$B$29</f>
        <v>1.2454911060033728E-3</v>
      </c>
      <c r="Q2" s="15">
        <f>SUMIFS('psgr LDVs'!Q$82:Q$119,'psgr LDVs'!$A$82:$A$119,'BNVFE-LDVs-psgr'!$A2)*('AEO 7'!R$41/'AEO 7'!R$38)*'Calculations Etc'!$B$23/'Calculations Etc'!$B$29</f>
        <v>1.2451425075326549E-3</v>
      </c>
      <c r="R2" s="15">
        <f>SUMIFS('psgr LDVs'!R$82:R$119,'psgr LDVs'!$A$82:$A$119,'BNVFE-LDVs-psgr'!$A2)*('AEO 7'!S$41/'AEO 7'!S$38)*'Calculations Etc'!$B$23/'Calculations Etc'!$B$29</f>
        <v>1.2441678168462235E-3</v>
      </c>
      <c r="S2" s="15">
        <f>SUMIFS('psgr LDVs'!S$82:S$119,'psgr LDVs'!$A$82:$A$119,'BNVFE-LDVs-psgr'!$A2)*('AEO 7'!T$41/'AEO 7'!T$38)*'Calculations Etc'!$B$23/'Calculations Etc'!$B$29</f>
        <v>1.2437110831363233E-3</v>
      </c>
      <c r="T2" s="15">
        <f>SUMIFS('psgr LDVs'!T$82:T$119,'psgr LDVs'!$A$82:$A$119,'BNVFE-LDVs-psgr'!$A2)*('AEO 7'!U$41/'AEO 7'!U$38)*'Calculations Etc'!$B$23/'Calculations Etc'!$B$29</f>
        <v>1.2434472289246487E-3</v>
      </c>
      <c r="U2" s="15">
        <f>SUMIFS('psgr LDVs'!U$82:U$119,'psgr LDVs'!$A$82:$A$119,'BNVFE-LDVs-psgr'!$A2)*('AEO 7'!V$41/'AEO 7'!V$38)*'Calculations Etc'!$B$23/'Calculations Etc'!$B$29</f>
        <v>1.2431449346539255E-3</v>
      </c>
      <c r="V2" s="15">
        <f>SUMIFS('psgr LDVs'!V$82:V$119,'psgr LDVs'!$A$82:$A$119,'BNVFE-LDVs-psgr'!$A2)*('AEO 7'!W$41/'AEO 7'!W$38)*'Calculations Etc'!$B$23/'Calculations Etc'!$B$29</f>
        <v>1.242749474488683E-3</v>
      </c>
      <c r="W2" s="15">
        <f>SUMIFS('psgr LDVs'!W$82:W$119,'psgr LDVs'!$A$82:$A$119,'BNVFE-LDVs-psgr'!$A2)*('AEO 7'!X$41/'AEO 7'!X$38)*'Calculations Etc'!$B$23/'Calculations Etc'!$B$29</f>
        <v>1.2426414751633898E-3</v>
      </c>
      <c r="X2" s="15">
        <f>SUMIFS('psgr LDVs'!X$82:X$119,'psgr LDVs'!$A$82:$A$119,'BNVFE-LDVs-psgr'!$A2)*('AEO 7'!Y$41/'AEO 7'!Y$38)*'Calculations Etc'!$B$23/'Calculations Etc'!$B$29</f>
        <v>1.2425270452057901E-3</v>
      </c>
      <c r="Y2" s="15">
        <f>SUMIFS('psgr LDVs'!Y$82:Y$119,'psgr LDVs'!$A$82:$A$119,'BNVFE-LDVs-psgr'!$A2)*('AEO 7'!Z$41/'AEO 7'!Z$38)*'Calculations Etc'!$B$23/'Calculations Etc'!$B$29</f>
        <v>1.2423665768196443E-3</v>
      </c>
      <c r="Z2" s="15">
        <f>SUMIFS('psgr LDVs'!Z$82:Z$119,'psgr LDVs'!$A$82:$A$119,'BNVFE-LDVs-psgr'!$A2)*('AEO 7'!AA$41/'AEO 7'!AA$38)*'Calculations Etc'!$B$23/'Calculations Etc'!$B$29</f>
        <v>1.2423661582493899E-3</v>
      </c>
      <c r="AA2" s="15">
        <f>SUMIFS('psgr LDVs'!AA$82:AA$119,'psgr LDVs'!$A$82:$A$119,'BNVFE-LDVs-psgr'!$A2)*('AEO 7'!AB$41/'AEO 7'!AB$38)*'Calculations Etc'!$B$23/'Calculations Etc'!$B$29</f>
        <v>1.2424552878090294E-3</v>
      </c>
      <c r="AB2" s="15">
        <f>SUMIFS('psgr LDVs'!AB$82:AB$119,'psgr LDVs'!$A$82:$A$119,'BNVFE-LDVs-psgr'!$A2)*('AEO 7'!AC$41/'AEO 7'!AC$38)*'Calculations Etc'!$B$23/'Calculations Etc'!$B$29</f>
        <v>1.2425304264301077E-3</v>
      </c>
      <c r="AC2" s="15">
        <f>SUMIFS('psgr LDVs'!AC$82:AC$119,'psgr LDVs'!$A$82:$A$119,'BNVFE-LDVs-psgr'!$A2)*('AEO 7'!AD$41/'AEO 7'!AD$38)*'Calculations Etc'!$B$23/'Calculations Etc'!$B$29</f>
        <v>1.2424094170501326E-3</v>
      </c>
      <c r="AD2" s="15">
        <f>SUMIFS('psgr LDVs'!AD$82:AD$119,'psgr LDVs'!$A$82:$A$119,'BNVFE-LDVs-psgr'!$A2)*('AEO 7'!AE$41/'AEO 7'!AE$38)*'Calculations Etc'!$B$23/'Calculations Etc'!$B$29</f>
        <v>1.2423079259541866E-3</v>
      </c>
      <c r="AE2" s="15">
        <f>SUMIFS('psgr LDVs'!AE$82:AE$119,'psgr LDVs'!$A$82:$A$119,'BNVFE-LDVs-psgr'!$A2)*('AEO 7'!AF$41/'AEO 7'!AF$38)*'Calculations Etc'!$B$23/'Calculations Etc'!$B$29</f>
        <v>1.2421595174498235E-3</v>
      </c>
      <c r="AF2" s="15">
        <f>SUMIFS('psgr LDVs'!AF$82:AF$119,'psgr LDVs'!$A$82:$A$119,'BNVFE-LDVs-psgr'!$A2)*('AEO 7'!AG$41/'AEO 7'!AG$38)*'Calculations Etc'!$B$23/'Calculations Etc'!$B$29</f>
        <v>1.242184730573649E-3</v>
      </c>
      <c r="AG2" s="4"/>
      <c r="AH2" s="4"/>
      <c r="AI2" s="4"/>
    </row>
    <row r="3" spans="1:35">
      <c r="A3" t="s">
        <v>113</v>
      </c>
      <c r="B3" s="15">
        <f>SUMIFS('psgr LDVs'!B$82:B$119,'psgr LDVs'!$A$82:$A$119,'BNVFE-LDVs-psgr'!$A3)*('AEO 7'!C$41/'AEO 7'!C$38)*'Calculations Etc'!$B$23/'Calculations Etc'!$B$29</f>
        <v>3.8029529805498928E-4</v>
      </c>
      <c r="C3" s="15">
        <f>SUMIFS('psgr LDVs'!C$82:C$119,'psgr LDVs'!$A$82:$A$119,'BNVFE-LDVs-psgr'!$A3)*('AEO 7'!D$41/'AEO 7'!D$38)*'Calculations Etc'!$B$23/'Calculations Etc'!$B$29</f>
        <v>3.9476635103339935E-4</v>
      </c>
      <c r="D3" s="15">
        <f>SUMIFS('psgr LDVs'!D$82:D$119,'psgr LDVs'!$A$82:$A$119,'BNVFE-LDVs-psgr'!$A3)*('AEO 7'!E$41/'AEO 7'!E$38)*'Calculations Etc'!$B$23/'Calculations Etc'!$B$29</f>
        <v>4.0317709826518853E-4</v>
      </c>
      <c r="E3" s="15">
        <f>SUMIFS('psgr LDVs'!E$82:E$119,'psgr LDVs'!$A$82:$A$119,'BNVFE-LDVs-psgr'!$A3)*('AEO 7'!F$41/'AEO 7'!F$38)*'Calculations Etc'!$B$23/'Calculations Etc'!$B$29</f>
        <v>4.0861194678683542E-4</v>
      </c>
      <c r="F3" s="15">
        <f>SUMIFS('psgr LDVs'!F$82:F$119,'psgr LDVs'!$A$82:$A$119,'BNVFE-LDVs-psgr'!$A3)*('AEO 7'!G$41/'AEO 7'!G$38)*'Calculations Etc'!$B$23/'Calculations Etc'!$B$29</f>
        <v>4.1215478728194431E-4</v>
      </c>
      <c r="G3" s="15">
        <f>SUMIFS('psgr LDVs'!G$82:G$119,'psgr LDVs'!$A$82:$A$119,'BNVFE-LDVs-psgr'!$A3)*('AEO 7'!H$41/'AEO 7'!H$38)*'Calculations Etc'!$B$23/'Calculations Etc'!$B$29</f>
        <v>4.161380472574127E-4</v>
      </c>
      <c r="H3" s="15">
        <f>SUMIFS('psgr LDVs'!H$82:H$119,'psgr LDVs'!$A$82:$A$119,'BNVFE-LDVs-psgr'!$A3)*('AEO 7'!I$41/'AEO 7'!I$38)*'Calculations Etc'!$B$23/'Calculations Etc'!$B$29</f>
        <v>4.1864713672164384E-4</v>
      </c>
      <c r="I3" s="15">
        <f>SUMIFS('psgr LDVs'!I$82:I$119,'psgr LDVs'!$A$82:$A$119,'BNVFE-LDVs-psgr'!$A3)*('AEO 7'!J$41/'AEO 7'!J$38)*'Calculations Etc'!$B$23/'Calculations Etc'!$B$29</f>
        <v>4.1871977044755321E-4</v>
      </c>
      <c r="J3" s="15">
        <f>SUMIFS('psgr LDVs'!J$82:J$119,'psgr LDVs'!$A$82:$A$119,'BNVFE-LDVs-psgr'!$A3)*('AEO 7'!K$41/'AEO 7'!K$38)*'Calculations Etc'!$B$23/'Calculations Etc'!$B$29</f>
        <v>4.1845993448607482E-4</v>
      </c>
      <c r="K3" s="15">
        <f>SUMIFS('psgr LDVs'!K$82:K$119,'psgr LDVs'!$A$82:$A$119,'BNVFE-LDVs-psgr'!$A3)*('AEO 7'!L$41/'AEO 7'!L$38)*'Calculations Etc'!$B$23/'Calculations Etc'!$B$29</f>
        <v>4.1824574080425933E-4</v>
      </c>
      <c r="L3" s="15">
        <f>SUMIFS('psgr LDVs'!L$82:L$119,'psgr LDVs'!$A$82:$A$119,'BNVFE-LDVs-psgr'!$A3)*('AEO 7'!M$41/'AEO 7'!M$38)*'Calculations Etc'!$B$23/'Calculations Etc'!$B$29</f>
        <v>4.1892239620751885E-4</v>
      </c>
      <c r="M3" s="15">
        <f>SUMIFS('psgr LDVs'!M$82:M$119,'psgr LDVs'!$A$82:$A$119,'BNVFE-LDVs-psgr'!$A3)*('AEO 7'!N$41/'AEO 7'!N$38)*'Calculations Etc'!$B$23/'Calculations Etc'!$B$29</f>
        <v>4.1874050147763098E-4</v>
      </c>
      <c r="N3" s="15">
        <f>SUMIFS('psgr LDVs'!N$82:N$119,'psgr LDVs'!$A$82:$A$119,'BNVFE-LDVs-psgr'!$A3)*('AEO 7'!O$41/'AEO 7'!O$38)*'Calculations Etc'!$B$23/'Calculations Etc'!$B$29</f>
        <v>4.1850498686080801E-4</v>
      </c>
      <c r="O3" s="15">
        <f>SUMIFS('psgr LDVs'!O$82:O$119,'psgr LDVs'!$A$82:$A$119,'BNVFE-LDVs-psgr'!$A3)*('AEO 7'!P$41/'AEO 7'!P$38)*'Calculations Etc'!$B$23/'Calculations Etc'!$B$29</f>
        <v>4.1826480772119918E-4</v>
      </c>
      <c r="P3" s="15">
        <f>SUMIFS('psgr LDVs'!P$82:P$119,'psgr LDVs'!$A$82:$A$119,'BNVFE-LDVs-psgr'!$A3)*('AEO 7'!Q$41/'AEO 7'!Q$38)*'Calculations Etc'!$B$23/'Calculations Etc'!$B$29</f>
        <v>4.1829175912415644E-4</v>
      </c>
      <c r="Q3" s="15">
        <f>SUMIFS('psgr LDVs'!Q$82:Q$119,'psgr LDVs'!$A$82:$A$119,'BNVFE-LDVs-psgr'!$A3)*('AEO 7'!R$41/'AEO 7'!R$38)*'Calculations Etc'!$B$23/'Calculations Etc'!$B$29</f>
        <v>4.1761857347733379E-4</v>
      </c>
      <c r="R3" s="15">
        <f>SUMIFS('psgr LDVs'!R$82:R$119,'psgr LDVs'!$A$82:$A$119,'BNVFE-LDVs-psgr'!$A3)*('AEO 7'!S$41/'AEO 7'!S$38)*'Calculations Etc'!$B$23/'Calculations Etc'!$B$29</f>
        <v>4.1687945245925354E-4</v>
      </c>
      <c r="S3" s="15">
        <f>SUMIFS('psgr LDVs'!S$82:S$119,'psgr LDVs'!$A$82:$A$119,'BNVFE-LDVs-psgr'!$A3)*('AEO 7'!T$41/'AEO 7'!T$38)*'Calculations Etc'!$B$23/'Calculations Etc'!$B$29</f>
        <v>4.164113300533476E-4</v>
      </c>
      <c r="T3" s="15">
        <f>SUMIFS('psgr LDVs'!T$82:T$119,'psgr LDVs'!$A$82:$A$119,'BNVFE-LDVs-psgr'!$A3)*('AEO 7'!U$41/'AEO 7'!U$38)*'Calculations Etc'!$B$23/'Calculations Etc'!$B$29</f>
        <v>4.1613449901969674E-4</v>
      </c>
      <c r="U3" s="15">
        <f>SUMIFS('psgr LDVs'!U$82:U$119,'psgr LDVs'!$A$82:$A$119,'BNVFE-LDVs-psgr'!$A3)*('AEO 7'!V$41/'AEO 7'!V$38)*'Calculations Etc'!$B$23/'Calculations Etc'!$B$29</f>
        <v>4.1551323434343832E-4</v>
      </c>
      <c r="V3" s="15">
        <f>SUMIFS('psgr LDVs'!V$82:V$119,'psgr LDVs'!$A$82:$A$119,'BNVFE-LDVs-psgr'!$A3)*('AEO 7'!W$41/'AEO 7'!W$38)*'Calculations Etc'!$B$23/'Calculations Etc'!$B$29</f>
        <v>4.1503634236097445E-4</v>
      </c>
      <c r="W3" s="15">
        <f>SUMIFS('psgr LDVs'!W$82:W$119,'psgr LDVs'!$A$82:$A$119,'BNVFE-LDVs-psgr'!$A3)*('AEO 7'!X$41/'AEO 7'!X$38)*'Calculations Etc'!$B$23/'Calculations Etc'!$B$29</f>
        <v>4.1461933319641856E-4</v>
      </c>
      <c r="X3" s="15">
        <f>SUMIFS('psgr LDVs'!X$82:X$119,'psgr LDVs'!$A$82:$A$119,'BNVFE-LDVs-psgr'!$A3)*('AEO 7'!Y$41/'AEO 7'!Y$38)*'Calculations Etc'!$B$23/'Calculations Etc'!$B$29</f>
        <v>4.1413077690561246E-4</v>
      </c>
      <c r="Y3" s="15">
        <f>SUMIFS('psgr LDVs'!Y$82:Y$119,'psgr LDVs'!$A$82:$A$119,'BNVFE-LDVs-psgr'!$A3)*('AEO 7'!Z$41/'AEO 7'!Z$38)*'Calculations Etc'!$B$23/'Calculations Etc'!$B$29</f>
        <v>4.1366186353318095E-4</v>
      </c>
      <c r="Z3" s="15">
        <f>SUMIFS('psgr LDVs'!Z$82:Z$119,'psgr LDVs'!$A$82:$A$119,'BNVFE-LDVs-psgr'!$A3)*('AEO 7'!AA$41/'AEO 7'!AA$38)*'Calculations Etc'!$B$23/'Calculations Etc'!$B$29</f>
        <v>4.1331258589589651E-4</v>
      </c>
      <c r="AA3" s="15">
        <f>SUMIFS('psgr LDVs'!AA$82:AA$119,'psgr LDVs'!$A$82:$A$119,'BNVFE-LDVs-psgr'!$A3)*('AEO 7'!AB$41/'AEO 7'!AB$38)*'Calculations Etc'!$B$23/'Calculations Etc'!$B$29</f>
        <v>4.1306480490411649E-4</v>
      </c>
      <c r="AB3" s="15">
        <f>SUMIFS('psgr LDVs'!AB$82:AB$119,'psgr LDVs'!$A$82:$A$119,'BNVFE-LDVs-psgr'!$A3)*('AEO 7'!AC$41/'AEO 7'!AC$38)*'Calculations Etc'!$B$23/'Calculations Etc'!$B$29</f>
        <v>4.1264228513673742E-4</v>
      </c>
      <c r="AC3" s="15">
        <f>SUMIFS('psgr LDVs'!AC$82:AC$119,'psgr LDVs'!$A$82:$A$119,'BNVFE-LDVs-psgr'!$A3)*('AEO 7'!AD$41/'AEO 7'!AD$38)*'Calculations Etc'!$B$23/'Calculations Etc'!$B$29</f>
        <v>4.1222664654626295E-4</v>
      </c>
      <c r="AD3" s="15">
        <f>SUMIFS('psgr LDVs'!AD$82:AD$119,'psgr LDVs'!$A$82:$A$119,'BNVFE-LDVs-psgr'!$A3)*('AEO 7'!AE$41/'AEO 7'!AE$38)*'Calculations Etc'!$B$23/'Calculations Etc'!$B$29</f>
        <v>4.1170488758498282E-4</v>
      </c>
      <c r="AE3" s="15">
        <f>SUMIFS('psgr LDVs'!AE$82:AE$119,'psgr LDVs'!$A$82:$A$119,'BNVFE-LDVs-psgr'!$A3)*('AEO 7'!AF$41/'AEO 7'!AF$38)*'Calculations Etc'!$B$23/'Calculations Etc'!$B$29</f>
        <v>4.1134544874802168E-4</v>
      </c>
      <c r="AF3" s="15">
        <f>SUMIFS('psgr LDVs'!AF$82:AF$119,'psgr LDVs'!$A$82:$A$119,'BNVFE-LDVs-psgr'!$A3)*('AEO 7'!AG$41/'AEO 7'!AG$38)*'Calculations Etc'!$B$23/'Calculations Etc'!$B$29</f>
        <v>4.1101089728435994E-4</v>
      </c>
      <c r="AG3" s="4"/>
      <c r="AH3" s="4"/>
      <c r="AI3" s="4"/>
    </row>
    <row r="4" spans="1:35" s="8" customFormat="1">
      <c r="A4" s="8" t="s">
        <v>114</v>
      </c>
      <c r="B4" s="15">
        <f>'Fuel Economy Stds'!B61</f>
        <v>3.7068404566156505E-4</v>
      </c>
      <c r="C4" s="15">
        <f>'Fuel Economy Stds'!C61</f>
        <v>3.8286968063361244E-4</v>
      </c>
      <c r="D4" s="15">
        <f>'Fuel Economy Stds'!D61</f>
        <v>3.8999540362380768E-4</v>
      </c>
      <c r="E4" s="15">
        <f>'Fuel Economy Stds'!E61</f>
        <v>3.9439145706872869E-4</v>
      </c>
      <c r="F4" s="15">
        <f>'Fuel Economy Stds'!F61</f>
        <v>3.9758791642567675E-4</v>
      </c>
      <c r="G4" s="15">
        <f>'Fuel Economy Stds'!G61</f>
        <v>4.1670440259151796E-4</v>
      </c>
      <c r="H4" s="15">
        <f>'Fuel Economy Stds'!H61</f>
        <v>4.5449874343080136E-4</v>
      </c>
      <c r="I4" s="15">
        <f>'Fuel Economy Stds'!I61</f>
        <v>4.5571840174311271E-4</v>
      </c>
      <c r="J4" s="15">
        <f>'Fuel Economy Stds'!J61</f>
        <v>4.5632492494806224E-4</v>
      </c>
      <c r="K4" s="15">
        <f>'Fuel Economy Stds'!K61</f>
        <v>4.5682343934192723E-4</v>
      </c>
      <c r="L4" s="15">
        <f>'Fuel Economy Stds'!L61</f>
        <v>4.5864796428233097E-4</v>
      </c>
      <c r="M4" s="15">
        <f>'Fuel Economy Stds'!M61</f>
        <v>4.5942511490356416E-4</v>
      </c>
      <c r="N4" s="15">
        <f>'Fuel Economy Stds'!N61</f>
        <v>4.6038567019040524E-4</v>
      </c>
      <c r="O4" s="15">
        <f>'Fuel Economy Stds'!O61</f>
        <v>4.6137990440500237E-4</v>
      </c>
      <c r="P4" s="15">
        <f>'Fuel Economy Stds'!P61</f>
        <v>4.627584500454361E-4</v>
      </c>
      <c r="Q4" s="15">
        <f>'Fuel Economy Stds'!Q61</f>
        <v>4.6332164296180965E-4</v>
      </c>
      <c r="R4" s="15">
        <f>'Fuel Economy Stds'!R61</f>
        <v>4.6388593065941057E-4</v>
      </c>
      <c r="S4" s="15">
        <f>'Fuel Economy Stds'!S61</f>
        <v>4.6479081055883617E-4</v>
      </c>
      <c r="T4" s="15">
        <f>'Fuel Economy Stds'!T61</f>
        <v>4.6598088096797761E-4</v>
      </c>
      <c r="U4" s="15">
        <f>'Fuel Economy Stds'!U61</f>
        <v>4.6672534660756901E-4</v>
      </c>
      <c r="V4" s="15">
        <f>'Fuel Economy Stds'!V61</f>
        <v>4.6768413007742366E-4</v>
      </c>
      <c r="W4" s="15">
        <f>'Fuel Economy Stds'!W61</f>
        <v>4.6835837126328925E-4</v>
      </c>
      <c r="X4" s="15">
        <f>'Fuel Economy Stds'!X61</f>
        <v>4.6888408232764332E-4</v>
      </c>
      <c r="Y4" s="15">
        <f>'Fuel Economy Stds'!Y61</f>
        <v>4.6949898925199146E-4</v>
      </c>
      <c r="Z4" s="15">
        <f>'Fuel Economy Stds'!Z61</f>
        <v>4.7032072339820558E-4</v>
      </c>
      <c r="AA4" s="15">
        <f>'Fuel Economy Stds'!AA61</f>
        <v>4.7135545011319722E-4</v>
      </c>
      <c r="AB4" s="15">
        <f>'Fuel Economy Stds'!AB61</f>
        <v>4.7215508696463892E-4</v>
      </c>
      <c r="AC4" s="15">
        <f>'Fuel Economy Stds'!AC61</f>
        <v>4.730119981602886E-4</v>
      </c>
      <c r="AD4" s="15">
        <f>'Fuel Economy Stds'!AD61</f>
        <v>4.737905892831368E-4</v>
      </c>
      <c r="AE4" s="15">
        <f>'Fuel Economy Stds'!AE61</f>
        <v>4.7491927991846777E-4</v>
      </c>
      <c r="AF4" s="15">
        <f>'Fuel Economy Stds'!AF61</f>
        <v>4.7615242132589445E-4</v>
      </c>
      <c r="AG4" s="15"/>
      <c r="AH4" s="15"/>
      <c r="AI4" s="15"/>
    </row>
    <row r="5" spans="1:35">
      <c r="A5" t="s">
        <v>115</v>
      </c>
      <c r="B5" s="15">
        <f>SUMIFS('psgr LDVs'!B$82:B$119,'psgr LDVs'!$A$82:$A$119,'BNVFE-LDVs-psgr'!$A5)*('AEO 7'!C$41/'AEO 7'!C$38)*'Calculations Etc'!$B$23/'Calculations Etc'!$B$29</f>
        <v>4.2164836790723349E-4</v>
      </c>
      <c r="C5" s="15">
        <f>SUMIFS('psgr LDVs'!C$82:C$119,'psgr LDVs'!$A$82:$A$119,'BNVFE-LDVs-psgr'!$A5)*('AEO 7'!D$41/'AEO 7'!D$38)*'Calculations Etc'!$B$23/'Calculations Etc'!$B$29</f>
        <v>4.3038372468941308E-4</v>
      </c>
      <c r="D5" s="15">
        <f>SUMIFS('psgr LDVs'!D$82:D$119,'psgr LDVs'!$A$82:$A$119,'BNVFE-LDVs-psgr'!$A5)*('AEO 7'!E$41/'AEO 7'!E$38)*'Calculations Etc'!$B$23/'Calculations Etc'!$B$29</f>
        <v>4.3420465633630295E-4</v>
      </c>
      <c r="E5" s="15">
        <f>SUMIFS('psgr LDVs'!E$82:E$119,'psgr LDVs'!$A$82:$A$119,'BNVFE-LDVs-psgr'!$A5)*('AEO 7'!F$41/'AEO 7'!F$38)*'Calculations Etc'!$B$23/'Calculations Etc'!$B$29</f>
        <v>4.3755646869858035E-4</v>
      </c>
      <c r="F5" s="15">
        <f>SUMIFS('psgr LDVs'!F$82:F$119,'psgr LDVs'!$A$82:$A$119,'BNVFE-LDVs-psgr'!$A5)*('AEO 7'!G$41/'AEO 7'!G$38)*'Calculations Etc'!$B$23/'Calculations Etc'!$B$29</f>
        <v>4.3967943886681334E-4</v>
      </c>
      <c r="G5" s="15">
        <f>SUMIFS('psgr LDVs'!G$82:G$119,'psgr LDVs'!$A$82:$A$119,'BNVFE-LDVs-psgr'!$A5)*('AEO 7'!H$41/'AEO 7'!H$38)*'Calculations Etc'!$B$23/'Calculations Etc'!$B$29</f>
        <v>4.4460624002269991E-4</v>
      </c>
      <c r="H5" s="15">
        <f>SUMIFS('psgr LDVs'!H$82:H$119,'psgr LDVs'!$A$82:$A$119,'BNVFE-LDVs-psgr'!$A5)*('AEO 7'!I$41/'AEO 7'!I$38)*'Calculations Etc'!$B$23/'Calculations Etc'!$B$29</f>
        <v>4.4496012049244393E-4</v>
      </c>
      <c r="I5" s="15">
        <f>SUMIFS('psgr LDVs'!I$82:I$119,'psgr LDVs'!$A$82:$A$119,'BNVFE-LDVs-psgr'!$A5)*('AEO 7'!J$41/'AEO 7'!J$38)*'Calculations Etc'!$B$23/'Calculations Etc'!$B$29</f>
        <v>4.4386794465270786E-4</v>
      </c>
      <c r="J5" s="15">
        <f>SUMIFS('psgr LDVs'!J$82:J$119,'psgr LDVs'!$A$82:$A$119,'BNVFE-LDVs-psgr'!$A5)*('AEO 7'!K$41/'AEO 7'!K$38)*'Calculations Etc'!$B$23/'Calculations Etc'!$B$29</f>
        <v>4.4337540076502162E-4</v>
      </c>
      <c r="K5" s="15">
        <f>SUMIFS('psgr LDVs'!K$82:K$119,'psgr LDVs'!$A$82:$A$119,'BNVFE-LDVs-psgr'!$A5)*('AEO 7'!L$41/'AEO 7'!L$38)*'Calculations Etc'!$B$23/'Calculations Etc'!$B$29</f>
        <v>4.4271108702653624E-4</v>
      </c>
      <c r="L5" s="15">
        <f>SUMIFS('psgr LDVs'!L$82:L$119,'psgr LDVs'!$A$82:$A$119,'BNVFE-LDVs-psgr'!$A5)*('AEO 7'!M$41/'AEO 7'!M$38)*'Calculations Etc'!$B$23/'Calculations Etc'!$B$29</f>
        <v>4.4204868011526002E-4</v>
      </c>
      <c r="M5" s="15">
        <f>SUMIFS('psgr LDVs'!M$82:M$119,'psgr LDVs'!$A$82:$A$119,'BNVFE-LDVs-psgr'!$A5)*('AEO 7'!N$41/'AEO 7'!N$38)*'Calculations Etc'!$B$23/'Calculations Etc'!$B$29</f>
        <v>4.4134700384785902E-4</v>
      </c>
      <c r="N5" s="15">
        <f>SUMIFS('psgr LDVs'!N$82:N$119,'psgr LDVs'!$A$82:$A$119,'BNVFE-LDVs-psgr'!$A5)*('AEO 7'!O$41/'AEO 7'!O$38)*'Calculations Etc'!$B$23/'Calculations Etc'!$B$29</f>
        <v>4.4074150219218516E-4</v>
      </c>
      <c r="O5" s="15">
        <f>SUMIFS('psgr LDVs'!O$82:O$119,'psgr LDVs'!$A$82:$A$119,'BNVFE-LDVs-psgr'!$A5)*('AEO 7'!P$41/'AEO 7'!P$38)*'Calculations Etc'!$B$23/'Calculations Etc'!$B$29</f>
        <v>4.4004989920049426E-4</v>
      </c>
      <c r="P5" s="15">
        <f>SUMIFS('psgr LDVs'!P$82:P$119,'psgr LDVs'!$A$82:$A$119,'BNVFE-LDVs-psgr'!$A5)*('AEO 7'!Q$41/'AEO 7'!Q$38)*'Calculations Etc'!$B$23/'Calculations Etc'!$B$29</f>
        <v>4.3959873902550526E-4</v>
      </c>
      <c r="Q5" s="15">
        <f>SUMIFS('psgr LDVs'!Q$82:Q$119,'psgr LDVs'!$A$82:$A$119,'BNVFE-LDVs-psgr'!$A5)*('AEO 7'!R$41/'AEO 7'!R$38)*'Calculations Etc'!$B$23/'Calculations Etc'!$B$29</f>
        <v>4.3896791873294087E-4</v>
      </c>
      <c r="R5" s="15">
        <f>SUMIFS('psgr LDVs'!R$82:R$119,'psgr LDVs'!$A$82:$A$119,'BNVFE-LDVs-psgr'!$A5)*('AEO 7'!S$41/'AEO 7'!S$38)*'Calculations Etc'!$B$23/'Calculations Etc'!$B$29</f>
        <v>4.3853822206515422E-4</v>
      </c>
      <c r="S5" s="15">
        <f>SUMIFS('psgr LDVs'!S$82:S$119,'psgr LDVs'!$A$82:$A$119,'BNVFE-LDVs-psgr'!$A5)*('AEO 7'!T$41/'AEO 7'!T$38)*'Calculations Etc'!$B$23/'Calculations Etc'!$B$29</f>
        <v>4.380679289602619E-4</v>
      </c>
      <c r="T5" s="15">
        <f>SUMIFS('psgr LDVs'!T$82:T$119,'psgr LDVs'!$A$82:$A$119,'BNVFE-LDVs-psgr'!$A5)*('AEO 7'!U$41/'AEO 7'!U$38)*'Calculations Etc'!$B$23/'Calculations Etc'!$B$29</f>
        <v>4.3761382373608021E-4</v>
      </c>
      <c r="U5" s="15">
        <f>SUMIFS('psgr LDVs'!U$82:U$119,'psgr LDVs'!$A$82:$A$119,'BNVFE-LDVs-psgr'!$A5)*('AEO 7'!V$41/'AEO 7'!V$38)*'Calculations Etc'!$B$23/'Calculations Etc'!$B$29</f>
        <v>4.3728428606956427E-4</v>
      </c>
      <c r="V5" s="15">
        <f>SUMIFS('psgr LDVs'!V$82:V$119,'psgr LDVs'!$A$82:$A$119,'BNVFE-LDVs-psgr'!$A5)*('AEO 7'!W$41/'AEO 7'!W$38)*'Calculations Etc'!$B$23/'Calculations Etc'!$B$29</f>
        <v>4.3676208341619235E-4</v>
      </c>
      <c r="W5" s="15">
        <f>SUMIFS('psgr LDVs'!W$82:W$119,'psgr LDVs'!$A$82:$A$119,'BNVFE-LDVs-psgr'!$A5)*('AEO 7'!X$41/'AEO 7'!X$38)*'Calculations Etc'!$B$23/'Calculations Etc'!$B$29</f>
        <v>4.3641079058356913E-4</v>
      </c>
      <c r="X5" s="15">
        <f>SUMIFS('psgr LDVs'!X$82:X$119,'psgr LDVs'!$A$82:$A$119,'BNVFE-LDVs-psgr'!$A5)*('AEO 7'!Y$41/'AEO 7'!Y$38)*'Calculations Etc'!$B$23/'Calculations Etc'!$B$29</f>
        <v>4.3601813064876686E-4</v>
      </c>
      <c r="Y5" s="15">
        <f>SUMIFS('psgr LDVs'!Y$82:Y$119,'psgr LDVs'!$A$82:$A$119,'BNVFE-LDVs-psgr'!$A5)*('AEO 7'!Z$41/'AEO 7'!Z$38)*'Calculations Etc'!$B$23/'Calculations Etc'!$B$29</f>
        <v>4.3568341275915397E-4</v>
      </c>
      <c r="Z5" s="15">
        <f>SUMIFS('psgr LDVs'!Z$82:Z$119,'psgr LDVs'!$A$82:$A$119,'BNVFE-LDVs-psgr'!$A5)*('AEO 7'!AA$41/'AEO 7'!AA$38)*'Calculations Etc'!$B$23/'Calculations Etc'!$B$29</f>
        <v>4.3535955435881782E-4</v>
      </c>
      <c r="AA5" s="15">
        <f>SUMIFS('psgr LDVs'!AA$82:AA$119,'psgr LDVs'!$A$82:$A$119,'BNVFE-LDVs-psgr'!$A5)*('AEO 7'!AB$41/'AEO 7'!AB$38)*'Calculations Etc'!$B$23/'Calculations Etc'!$B$29</f>
        <v>4.3509879831850481E-4</v>
      </c>
      <c r="AB5" s="15">
        <f>SUMIFS('psgr LDVs'!AB$82:AB$119,'psgr LDVs'!$A$82:$A$119,'BNVFE-LDVs-psgr'!$A5)*('AEO 7'!AC$41/'AEO 7'!AC$38)*'Calculations Etc'!$B$23/'Calculations Etc'!$B$29</f>
        <v>4.3470212020737582E-4</v>
      </c>
      <c r="AC5" s="15">
        <f>SUMIFS('psgr LDVs'!AC$82:AC$119,'psgr LDVs'!$A$82:$A$119,'BNVFE-LDVs-psgr'!$A5)*('AEO 7'!AD$41/'AEO 7'!AD$38)*'Calculations Etc'!$B$23/'Calculations Etc'!$B$29</f>
        <v>4.3438066023618842E-4</v>
      </c>
      <c r="AD5" s="15">
        <f>SUMIFS('psgr LDVs'!AD$82:AD$119,'psgr LDVs'!$A$82:$A$119,'BNVFE-LDVs-psgr'!$A5)*('AEO 7'!AE$41/'AEO 7'!AE$38)*'Calculations Etc'!$B$23/'Calculations Etc'!$B$29</f>
        <v>4.3404466716966903E-4</v>
      </c>
      <c r="AE5" s="15">
        <f>SUMIFS('psgr LDVs'!AE$82:AE$119,'psgr LDVs'!$A$82:$A$119,'BNVFE-LDVs-psgr'!$A5)*('AEO 7'!AF$41/'AEO 7'!AF$38)*'Calculations Etc'!$B$23/'Calculations Etc'!$B$29</f>
        <v>4.3370047683290603E-4</v>
      </c>
      <c r="AF5" s="15">
        <f>SUMIFS('psgr LDVs'!AF$82:AF$119,'psgr LDVs'!$A$82:$A$119,'BNVFE-LDVs-psgr'!$A5)*('AEO 7'!AG$41/'AEO 7'!AG$38)*'Calculations Etc'!$B$23/'Calculations Etc'!$B$29</f>
        <v>4.3334687418764364E-4</v>
      </c>
      <c r="AG5" s="4"/>
      <c r="AH5" s="4"/>
      <c r="AI5" s="4"/>
    </row>
    <row r="6" spans="1:35">
      <c r="A6" t="s">
        <v>116</v>
      </c>
      <c r="B6" s="15">
        <f>SUMIFS('psgr LDVs'!B$82:B$119,'psgr LDVs'!$A$82:$A$119,'BNVFE-LDVs-psgr'!$A6)*('AEO 7'!C$41/'AEO 7'!C$38)*'Calculations Etc'!$B$23/'Calculations Etc'!$B$29</f>
        <v>6.5738318568648571E-4</v>
      </c>
      <c r="C6" s="15">
        <f>SUMIFS('psgr LDVs'!C$82:C$119,'psgr LDVs'!$A$82:$A$119,'BNVFE-LDVs-psgr'!$A6)*('AEO 7'!D$41/'AEO 7'!D$38)*'Calculations Etc'!$B$23/'Calculations Etc'!$B$29</f>
        <v>6.7868209237387732E-4</v>
      </c>
      <c r="D6" s="15">
        <f>SUMIFS('psgr LDVs'!D$82:D$119,'psgr LDVs'!$A$82:$A$119,'BNVFE-LDVs-psgr'!$A6)*('AEO 7'!E$41/'AEO 7'!E$38)*'Calculations Etc'!$B$23/'Calculations Etc'!$B$29</f>
        <v>6.8605104499600824E-4</v>
      </c>
      <c r="E6" s="15">
        <f>SUMIFS('psgr LDVs'!E$82:E$119,'psgr LDVs'!$A$82:$A$119,'BNVFE-LDVs-psgr'!$A6)*('AEO 7'!F$41/'AEO 7'!F$38)*'Calculations Etc'!$B$23/'Calculations Etc'!$B$29</f>
        <v>6.8995200477364748E-4</v>
      </c>
      <c r="F6" s="15">
        <f>SUMIFS('psgr LDVs'!F$82:F$119,'psgr LDVs'!$A$82:$A$119,'BNVFE-LDVs-psgr'!$A6)*('AEO 7'!G$41/'AEO 7'!G$38)*'Calculations Etc'!$B$23/'Calculations Etc'!$B$29</f>
        <v>7.0255070116778152E-4</v>
      </c>
      <c r="G6" s="15">
        <f>SUMIFS('psgr LDVs'!G$82:G$119,'psgr LDVs'!$A$82:$A$119,'BNVFE-LDVs-psgr'!$A6)*('AEO 7'!H$41/'AEO 7'!H$38)*'Calculations Etc'!$B$23/'Calculations Etc'!$B$29</f>
        <v>7.3075494105914415E-4</v>
      </c>
      <c r="H6" s="15">
        <f>SUMIFS('psgr LDVs'!H$82:H$119,'psgr LDVs'!$A$82:$A$119,'BNVFE-LDVs-psgr'!$A6)*('AEO 7'!I$41/'AEO 7'!I$38)*'Calculations Etc'!$B$23/'Calculations Etc'!$B$29</f>
        <v>7.6511494750975708E-4</v>
      </c>
      <c r="I6" s="15">
        <f>SUMIFS('psgr LDVs'!I$82:I$119,'psgr LDVs'!$A$82:$A$119,'BNVFE-LDVs-psgr'!$A6)*('AEO 7'!J$41/'AEO 7'!J$38)*'Calculations Etc'!$B$23/'Calculations Etc'!$B$29</f>
        <v>7.6729530817545215E-4</v>
      </c>
      <c r="J6" s="15">
        <f>SUMIFS('psgr LDVs'!J$82:J$119,'psgr LDVs'!$A$82:$A$119,'BNVFE-LDVs-psgr'!$A6)*('AEO 7'!K$41/'AEO 7'!K$38)*'Calculations Etc'!$B$23/'Calculations Etc'!$B$29</f>
        <v>7.6615763729175437E-4</v>
      </c>
      <c r="K6" s="15">
        <f>SUMIFS('psgr LDVs'!K$82:K$119,'psgr LDVs'!$A$82:$A$119,'BNVFE-LDVs-psgr'!$A6)*('AEO 7'!L$41/'AEO 7'!L$38)*'Calculations Etc'!$B$23/'Calculations Etc'!$B$29</f>
        <v>7.6497534983816374E-4</v>
      </c>
      <c r="L6" s="15">
        <f>SUMIFS('psgr LDVs'!L$82:L$119,'psgr LDVs'!$A$82:$A$119,'BNVFE-LDVs-psgr'!$A6)*('AEO 7'!M$41/'AEO 7'!M$38)*'Calculations Etc'!$B$23/'Calculations Etc'!$B$29</f>
        <v>7.6434508106930723E-4</v>
      </c>
      <c r="M6" s="15">
        <f>SUMIFS('psgr LDVs'!M$82:M$119,'psgr LDVs'!$A$82:$A$119,'BNVFE-LDVs-psgr'!$A6)*('AEO 7'!N$41/'AEO 7'!N$38)*'Calculations Etc'!$B$23/'Calculations Etc'!$B$29</f>
        <v>7.6297468642330408E-4</v>
      </c>
      <c r="N6" s="15">
        <f>SUMIFS('psgr LDVs'!N$82:N$119,'psgr LDVs'!$A$82:$A$119,'BNVFE-LDVs-psgr'!$A6)*('AEO 7'!O$41/'AEO 7'!O$38)*'Calculations Etc'!$B$23/'Calculations Etc'!$B$29</f>
        <v>7.6220701719009081E-4</v>
      </c>
      <c r="O6" s="15">
        <f>SUMIFS('psgr LDVs'!O$82:O$119,'psgr LDVs'!$A$82:$A$119,'BNVFE-LDVs-psgr'!$A6)*('AEO 7'!P$41/'AEO 7'!P$38)*'Calculations Etc'!$B$23/'Calculations Etc'!$B$29</f>
        <v>7.6135115263870209E-4</v>
      </c>
      <c r="P6" s="15">
        <f>SUMIFS('psgr LDVs'!P$82:P$119,'psgr LDVs'!$A$82:$A$119,'BNVFE-LDVs-psgr'!$A6)*('AEO 7'!Q$41/'AEO 7'!Q$38)*'Calculations Etc'!$B$23/'Calculations Etc'!$B$29</f>
        <v>7.6059039236971756E-4</v>
      </c>
      <c r="Q6" s="15">
        <f>SUMIFS('psgr LDVs'!Q$82:Q$119,'psgr LDVs'!$A$82:$A$119,'BNVFE-LDVs-psgr'!$A6)*('AEO 7'!R$41/'AEO 7'!R$38)*'Calculations Etc'!$B$23/'Calculations Etc'!$B$29</f>
        <v>7.5941521982376113E-4</v>
      </c>
      <c r="R6" s="15">
        <f>SUMIFS('psgr LDVs'!R$82:R$119,'psgr LDVs'!$A$82:$A$119,'BNVFE-LDVs-psgr'!$A6)*('AEO 7'!S$41/'AEO 7'!S$38)*'Calculations Etc'!$B$23/'Calculations Etc'!$B$29</f>
        <v>7.5865921051893645E-4</v>
      </c>
      <c r="S6" s="15">
        <f>SUMIFS('psgr LDVs'!S$82:S$119,'psgr LDVs'!$A$82:$A$119,'BNVFE-LDVs-psgr'!$A6)*('AEO 7'!T$41/'AEO 7'!T$38)*'Calculations Etc'!$B$23/'Calculations Etc'!$B$29</f>
        <v>7.5779553890121924E-4</v>
      </c>
      <c r="T6" s="15">
        <f>SUMIFS('psgr LDVs'!T$82:T$119,'psgr LDVs'!$A$82:$A$119,'BNVFE-LDVs-psgr'!$A6)*('AEO 7'!U$41/'AEO 7'!U$38)*'Calculations Etc'!$B$23/'Calculations Etc'!$B$29</f>
        <v>7.5675471415846706E-4</v>
      </c>
      <c r="U6" s="15">
        <f>SUMIFS('psgr LDVs'!U$82:U$119,'psgr LDVs'!$A$82:$A$119,'BNVFE-LDVs-psgr'!$A6)*('AEO 7'!V$41/'AEO 7'!V$38)*'Calculations Etc'!$B$23/'Calculations Etc'!$B$29</f>
        <v>7.5542246426100047E-4</v>
      </c>
      <c r="V6" s="15">
        <f>SUMIFS('psgr LDVs'!V$82:V$119,'psgr LDVs'!$A$82:$A$119,'BNVFE-LDVs-psgr'!$A6)*('AEO 7'!W$41/'AEO 7'!W$38)*'Calculations Etc'!$B$23/'Calculations Etc'!$B$29</f>
        <v>7.5410270573479155E-4</v>
      </c>
      <c r="W6" s="15">
        <f>SUMIFS('psgr LDVs'!W$82:W$119,'psgr LDVs'!$A$82:$A$119,'BNVFE-LDVs-psgr'!$A6)*('AEO 7'!X$41/'AEO 7'!X$38)*'Calculations Etc'!$B$23/'Calculations Etc'!$B$29</f>
        <v>7.5263393803100167E-4</v>
      </c>
      <c r="X6" s="15">
        <f>SUMIFS('psgr LDVs'!X$82:X$119,'psgr LDVs'!$A$82:$A$119,'BNVFE-LDVs-psgr'!$A6)*('AEO 7'!Y$41/'AEO 7'!Y$38)*'Calculations Etc'!$B$23/'Calculations Etc'!$B$29</f>
        <v>7.5087688624492623E-4</v>
      </c>
      <c r="Y6" s="15">
        <f>SUMIFS('psgr LDVs'!Y$82:Y$119,'psgr LDVs'!$A$82:$A$119,'BNVFE-LDVs-psgr'!$A6)*('AEO 7'!Z$41/'AEO 7'!Z$38)*'Calculations Etc'!$B$23/'Calculations Etc'!$B$29</f>
        <v>7.4906248631128583E-4</v>
      </c>
      <c r="Z6" s="15">
        <f>SUMIFS('psgr LDVs'!Z$82:Z$119,'psgr LDVs'!$A$82:$A$119,'BNVFE-LDVs-psgr'!$A6)*('AEO 7'!AA$41/'AEO 7'!AA$38)*'Calculations Etc'!$B$23/'Calculations Etc'!$B$29</f>
        <v>7.470071968170176E-4</v>
      </c>
      <c r="AA6" s="15">
        <f>SUMIFS('psgr LDVs'!AA$82:AA$119,'psgr LDVs'!$A$82:$A$119,'BNVFE-LDVs-psgr'!$A6)*('AEO 7'!AB$41/'AEO 7'!AB$38)*'Calculations Etc'!$B$23/'Calculations Etc'!$B$29</f>
        <v>7.4466971736164859E-4</v>
      </c>
      <c r="AB6" s="15">
        <f>SUMIFS('psgr LDVs'!AB$82:AB$119,'psgr LDVs'!$A$82:$A$119,'BNVFE-LDVs-psgr'!$A6)*('AEO 7'!AC$41/'AEO 7'!AC$38)*'Calculations Etc'!$B$23/'Calculations Etc'!$B$29</f>
        <v>7.4187742730834057E-4</v>
      </c>
      <c r="AC6" s="15">
        <f>SUMIFS('psgr LDVs'!AC$82:AC$119,'psgr LDVs'!$A$82:$A$119,'BNVFE-LDVs-psgr'!$A6)*('AEO 7'!AD$41/'AEO 7'!AD$38)*'Calculations Etc'!$B$23/'Calculations Etc'!$B$29</f>
        <v>7.3887113076972523E-4</v>
      </c>
      <c r="AD6" s="15">
        <f>SUMIFS('psgr LDVs'!AD$82:AD$119,'psgr LDVs'!$A$82:$A$119,'BNVFE-LDVs-psgr'!$A6)*('AEO 7'!AE$41/'AEO 7'!AE$38)*'Calculations Etc'!$B$23/'Calculations Etc'!$B$29</f>
        <v>7.3528955607294266E-4</v>
      </c>
      <c r="AE6" s="15">
        <f>SUMIFS('psgr LDVs'!AE$82:AE$119,'psgr LDVs'!$A$82:$A$119,'BNVFE-LDVs-psgr'!$A6)*('AEO 7'!AF$41/'AEO 7'!AF$38)*'Calculations Etc'!$B$23/'Calculations Etc'!$B$29</f>
        <v>7.3158063579575828E-4</v>
      </c>
      <c r="AF6" s="15">
        <f>SUMIFS('psgr LDVs'!AF$82:AF$119,'psgr LDVs'!$A$82:$A$119,'BNVFE-LDVs-psgr'!$A6)*('AEO 7'!AG$41/'AEO 7'!AG$38)*'Calculations Etc'!$B$23/'Calculations Etc'!$B$29</f>
        <v>7.2734242308217191E-4</v>
      </c>
      <c r="AG6" s="4"/>
      <c r="AH6" s="4"/>
      <c r="AI6" s="4"/>
    </row>
    <row r="7" spans="1:35">
      <c r="A7" t="s">
        <v>853</v>
      </c>
      <c r="B7" s="15">
        <f>SUMIFS('psgr LDVs'!B$82:B$119,'psgr LDVs'!$A$82:$A$119,'BNVFE-LDVs-psgr'!$A7)*('AEO 7'!C$41/'AEO 7'!C$38)*'Calculations Etc'!$B$23/'Calculations Etc'!$B$29</f>
        <v>3.6368321172053488E-4</v>
      </c>
      <c r="C7" s="15">
        <f>SUMIFS('psgr LDVs'!C$82:C$119,'psgr LDVs'!$A$82:$A$119,'BNVFE-LDVs-psgr'!$A7)*('AEO 7'!D$41/'AEO 7'!D$38)*'Calculations Etc'!$B$23/'Calculations Etc'!$B$29</f>
        <v>3.7519786349243767E-4</v>
      </c>
      <c r="D7" s="15">
        <f>SUMIFS('psgr LDVs'!D$82:D$119,'psgr LDVs'!$A$82:$A$119,'BNVFE-LDVs-psgr'!$A7)*('AEO 7'!E$41/'AEO 7'!E$38)*'Calculations Etc'!$B$23/'Calculations Etc'!$B$29</f>
        <v>3.8292342231539014E-4</v>
      </c>
      <c r="E7" s="15">
        <f>SUMIFS('psgr LDVs'!E$82:E$119,'psgr LDVs'!$A$82:$A$119,'BNVFE-LDVs-psgr'!$A7)*('AEO 7'!F$41/'AEO 7'!F$38)*'Calculations Etc'!$B$23/'Calculations Etc'!$B$29</f>
        <v>3.8737442480929154E-4</v>
      </c>
      <c r="F7" s="15">
        <f>SUMIFS('psgr LDVs'!F$82:F$119,'psgr LDVs'!$A$82:$A$119,'BNVFE-LDVs-psgr'!$A7)*('AEO 7'!G$41/'AEO 7'!G$38)*'Calculations Etc'!$B$23/'Calculations Etc'!$B$29</f>
        <v>3.9018162646122461E-4</v>
      </c>
      <c r="G7" s="15">
        <f>SUMIFS('psgr LDVs'!G$82:G$119,'psgr LDVs'!$A$82:$A$119,'BNVFE-LDVs-psgr'!$A7)*('AEO 7'!H$41/'AEO 7'!H$38)*'Calculations Etc'!$B$23/'Calculations Etc'!$B$29</f>
        <v>3.9393486543226201E-4</v>
      </c>
      <c r="H7" s="15">
        <f>SUMIFS('psgr LDVs'!H$82:H$119,'psgr LDVs'!$A$82:$A$119,'BNVFE-LDVs-psgr'!$A7)*('AEO 7'!I$41/'AEO 7'!I$38)*'Calculations Etc'!$B$23/'Calculations Etc'!$B$29</f>
        <v>3.958081254319439E-4</v>
      </c>
      <c r="I7" s="15">
        <f>SUMIFS('psgr LDVs'!I$82:I$119,'psgr LDVs'!$A$82:$A$119,'BNVFE-LDVs-psgr'!$A7)*('AEO 7'!J$41/'AEO 7'!J$38)*'Calculations Etc'!$B$23/'Calculations Etc'!$B$29</f>
        <v>3.958068662698271E-4</v>
      </c>
      <c r="J7" s="15">
        <f>SUMIFS('psgr LDVs'!J$82:J$119,'psgr LDVs'!$A$82:$A$119,'BNVFE-LDVs-psgr'!$A7)*('AEO 7'!K$41/'AEO 7'!K$38)*'Calculations Etc'!$B$23/'Calculations Etc'!$B$29</f>
        <v>3.9568870081904033E-4</v>
      </c>
      <c r="K7" s="15">
        <f>SUMIFS('psgr LDVs'!K$82:K$119,'psgr LDVs'!$A$82:$A$119,'BNVFE-LDVs-psgr'!$A7)*('AEO 7'!L$41/'AEO 7'!L$38)*'Calculations Etc'!$B$23/'Calculations Etc'!$B$29</f>
        <v>3.9552372368166668E-4</v>
      </c>
      <c r="L7" s="15">
        <f>SUMIFS('psgr LDVs'!L$82:L$119,'psgr LDVs'!$A$82:$A$119,'BNVFE-LDVs-psgr'!$A7)*('AEO 7'!M$41/'AEO 7'!M$38)*'Calculations Etc'!$B$23/'Calculations Etc'!$B$29</f>
        <v>3.9593709557582721E-4</v>
      </c>
      <c r="M7" s="15">
        <f>SUMIFS('psgr LDVs'!M$82:M$119,'psgr LDVs'!$A$82:$A$119,'BNVFE-LDVs-psgr'!$A7)*('AEO 7'!N$41/'AEO 7'!N$38)*'Calculations Etc'!$B$23/'Calculations Etc'!$B$29</f>
        <v>3.9597127514076109E-4</v>
      </c>
      <c r="N7" s="15">
        <f>SUMIFS('psgr LDVs'!N$82:N$119,'psgr LDVs'!$A$82:$A$119,'BNVFE-LDVs-psgr'!$A7)*('AEO 7'!O$41/'AEO 7'!O$38)*'Calculations Etc'!$B$23/'Calculations Etc'!$B$29</f>
        <v>3.9568311316840501E-4</v>
      </c>
      <c r="O7" s="15">
        <f>SUMIFS('psgr LDVs'!O$82:O$119,'psgr LDVs'!$A$82:$A$119,'BNVFE-LDVs-psgr'!$A7)*('AEO 7'!P$41/'AEO 7'!P$38)*'Calculations Etc'!$B$23/'Calculations Etc'!$B$29</f>
        <v>3.9545023752148126E-4</v>
      </c>
      <c r="P7" s="15">
        <f>SUMIFS('psgr LDVs'!P$82:P$119,'psgr LDVs'!$A$82:$A$119,'BNVFE-LDVs-psgr'!$A7)*('AEO 7'!Q$41/'AEO 7'!Q$38)*'Calculations Etc'!$B$23/'Calculations Etc'!$B$29</f>
        <v>3.9533735885442279E-4</v>
      </c>
      <c r="Q7" s="15">
        <f>SUMIFS('psgr LDVs'!Q$82:Q$119,'psgr LDVs'!$A$82:$A$119,'BNVFE-LDVs-psgr'!$A7)*('AEO 7'!R$41/'AEO 7'!R$38)*'Calculations Etc'!$B$23/'Calculations Etc'!$B$29</f>
        <v>3.9487850361981201E-4</v>
      </c>
      <c r="R7" s="15">
        <f>SUMIFS('psgr LDVs'!R$82:R$119,'psgr LDVs'!$A$82:$A$119,'BNVFE-LDVs-psgr'!$A7)*('AEO 7'!S$41/'AEO 7'!S$38)*'Calculations Etc'!$B$23/'Calculations Etc'!$B$29</f>
        <v>3.9428117062173101E-4</v>
      </c>
      <c r="S7" s="15">
        <f>SUMIFS('psgr LDVs'!S$82:S$119,'psgr LDVs'!$A$82:$A$119,'BNVFE-LDVs-psgr'!$A7)*('AEO 7'!T$41/'AEO 7'!T$38)*'Calculations Etc'!$B$23/'Calculations Etc'!$B$29</f>
        <v>3.9378231845382995E-4</v>
      </c>
      <c r="T7" s="15">
        <f>SUMIFS('psgr LDVs'!T$82:T$119,'psgr LDVs'!$A$82:$A$119,'BNVFE-LDVs-psgr'!$A7)*('AEO 7'!U$41/'AEO 7'!U$38)*'Calculations Etc'!$B$23/'Calculations Etc'!$B$29</f>
        <v>3.9349649872249946E-4</v>
      </c>
      <c r="U7" s="15">
        <f>SUMIFS('psgr LDVs'!U$82:U$119,'psgr LDVs'!$A$82:$A$119,'BNVFE-LDVs-psgr'!$A7)*('AEO 7'!V$41/'AEO 7'!V$38)*'Calculations Etc'!$B$23/'Calculations Etc'!$B$29</f>
        <v>3.9297415036491852E-4</v>
      </c>
      <c r="V7" s="15">
        <f>SUMIFS('psgr LDVs'!V$82:V$119,'psgr LDVs'!$A$82:$A$119,'BNVFE-LDVs-psgr'!$A7)*('AEO 7'!W$41/'AEO 7'!W$38)*'Calculations Etc'!$B$23/'Calculations Etc'!$B$29</f>
        <v>3.9250688719174123E-4</v>
      </c>
      <c r="W7" s="15">
        <f>SUMIFS('psgr LDVs'!W$82:W$119,'psgr LDVs'!$A$82:$A$119,'BNVFE-LDVs-psgr'!$A7)*('AEO 7'!X$41/'AEO 7'!X$38)*'Calculations Etc'!$B$23/'Calculations Etc'!$B$29</f>
        <v>3.9211185181415524E-4</v>
      </c>
      <c r="X7" s="15">
        <f>SUMIFS('psgr LDVs'!X$82:X$119,'psgr LDVs'!$A$82:$A$119,'BNVFE-LDVs-psgr'!$A7)*('AEO 7'!Y$41/'AEO 7'!Y$38)*'Calculations Etc'!$B$23/'Calculations Etc'!$B$29</f>
        <v>3.9168760952964436E-4</v>
      </c>
      <c r="Y7" s="15">
        <f>SUMIFS('psgr LDVs'!Y$82:Y$119,'psgr LDVs'!$A$82:$A$119,'BNVFE-LDVs-psgr'!$A7)*('AEO 7'!Z$41/'AEO 7'!Z$38)*'Calculations Etc'!$B$23/'Calculations Etc'!$B$29</f>
        <v>3.9122731880395569E-4</v>
      </c>
      <c r="Z7" s="15">
        <f>SUMIFS('psgr LDVs'!Z$82:Z$119,'psgr LDVs'!$A$82:$A$119,'BNVFE-LDVs-psgr'!$A7)*('AEO 7'!AA$41/'AEO 7'!AA$38)*'Calculations Etc'!$B$23/'Calculations Etc'!$B$29</f>
        <v>3.9085142797907205E-4</v>
      </c>
      <c r="AA7" s="15">
        <f>SUMIFS('psgr LDVs'!AA$82:AA$119,'psgr LDVs'!$A$82:$A$119,'BNVFE-LDVs-psgr'!$A7)*('AEO 7'!AB$41/'AEO 7'!AB$38)*'Calculations Etc'!$B$23/'Calculations Etc'!$B$29</f>
        <v>3.9051216876031034E-4</v>
      </c>
      <c r="AB7" s="15">
        <f>SUMIFS('psgr LDVs'!AB$82:AB$119,'psgr LDVs'!$A$82:$A$119,'BNVFE-LDVs-psgr'!$A7)*('AEO 7'!AC$41/'AEO 7'!AC$38)*'Calculations Etc'!$B$23/'Calculations Etc'!$B$29</f>
        <v>3.9011492927727893E-4</v>
      </c>
      <c r="AC7" s="15">
        <f>SUMIFS('psgr LDVs'!AC$82:AC$119,'psgr LDVs'!$A$82:$A$119,'BNVFE-LDVs-psgr'!$A7)*('AEO 7'!AD$41/'AEO 7'!AD$38)*'Calculations Etc'!$B$23/'Calculations Etc'!$B$29</f>
        <v>3.8968023550283847E-4</v>
      </c>
      <c r="AD7" s="15">
        <f>SUMIFS('psgr LDVs'!AD$82:AD$119,'psgr LDVs'!$A$82:$A$119,'BNVFE-LDVs-psgr'!$A7)*('AEO 7'!AE$41/'AEO 7'!AE$38)*'Calculations Etc'!$B$23/'Calculations Etc'!$B$29</f>
        <v>3.8920742031412479E-4</v>
      </c>
      <c r="AE7" s="15">
        <f>SUMIFS('psgr LDVs'!AE$82:AE$119,'psgr LDVs'!$A$82:$A$119,'BNVFE-LDVs-psgr'!$A7)*('AEO 7'!AF$41/'AEO 7'!AF$38)*'Calculations Etc'!$B$23/'Calculations Etc'!$B$29</f>
        <v>3.8876188063600889E-4</v>
      </c>
      <c r="AF7" s="15">
        <f>SUMIFS('psgr LDVs'!AF$82:AF$119,'psgr LDVs'!$A$82:$A$119,'BNVFE-LDVs-psgr'!$A7)*('AEO 7'!AG$41/'AEO 7'!AG$38)*'Calculations Etc'!$B$23/'Calculations Etc'!$B$29</f>
        <v>3.883715712735463E-4</v>
      </c>
      <c r="AG7" s="4"/>
      <c r="AH7" s="4"/>
      <c r="AI7" s="4"/>
    </row>
    <row r="8" spans="1:35">
      <c r="A8" t="s">
        <v>854</v>
      </c>
      <c r="B8" s="15">
        <f>SUMIFS('psgr LDVs'!B$82:B$119,'psgr LDVs'!$A$82:$A$119,'BNVFE-LDVs-psgr'!$A8)*('AEO 7'!C$41/'AEO 7'!C$38)*'Calculations Etc'!$B$23/'Calculations Etc'!$B$29</f>
        <v>5.8794415231938754E-4</v>
      </c>
      <c r="C8" s="15">
        <f>SUMIFS('psgr LDVs'!C$82:C$119,'psgr LDVs'!$A$82:$A$119,'BNVFE-LDVs-psgr'!$A8)*('AEO 7'!D$41/'AEO 7'!D$38)*'Calculations Etc'!$B$23/'Calculations Etc'!$B$29</f>
        <v>5.859697075889746E-4</v>
      </c>
      <c r="D8" s="15">
        <f>SUMIFS('psgr LDVs'!D$82:D$119,'psgr LDVs'!$A$82:$A$119,'BNVFE-LDVs-psgr'!$A8)*('AEO 7'!E$41/'AEO 7'!E$38)*'Calculations Etc'!$B$23/'Calculations Etc'!$B$29</f>
        <v>5.8487716230241557E-4</v>
      </c>
      <c r="E8" s="15">
        <f>SUMIFS('psgr LDVs'!E$82:E$119,'psgr LDVs'!$A$82:$A$119,'BNVFE-LDVs-psgr'!$A8)*('AEO 7'!F$41/'AEO 7'!F$38)*'Calculations Etc'!$B$23/'Calculations Etc'!$B$29</f>
        <v>5.8450715864569842E-4</v>
      </c>
      <c r="F8" s="15">
        <f>SUMIFS('psgr LDVs'!F$82:F$119,'psgr LDVs'!$A$82:$A$119,'BNVFE-LDVs-psgr'!$A8)*('AEO 7'!G$41/'AEO 7'!G$38)*'Calculations Etc'!$B$23/'Calculations Etc'!$B$29</f>
        <v>5.8509864619692446E-4</v>
      </c>
      <c r="G8" s="15">
        <f>SUMIFS('psgr LDVs'!G$82:G$119,'psgr LDVs'!$A$82:$A$119,'BNVFE-LDVs-psgr'!$A8)*('AEO 7'!H$41/'AEO 7'!H$38)*'Calculations Etc'!$B$23/'Calculations Etc'!$B$29</f>
        <v>5.8547838832553585E-4</v>
      </c>
      <c r="H8" s="15">
        <f>SUMIFS('psgr LDVs'!H$82:H$119,'psgr LDVs'!$A$82:$A$119,'BNVFE-LDVs-psgr'!$A8)*('AEO 7'!I$41/'AEO 7'!I$38)*'Calculations Etc'!$B$23/'Calculations Etc'!$B$29</f>
        <v>5.8677369900367977E-4</v>
      </c>
      <c r="I8" s="15">
        <f>SUMIFS('psgr LDVs'!I$82:I$119,'psgr LDVs'!$A$82:$A$119,'BNVFE-LDVs-psgr'!$A8)*('AEO 7'!J$41/'AEO 7'!J$38)*'Calculations Etc'!$B$23/'Calculations Etc'!$B$29</f>
        <v>5.8555189724455374E-4</v>
      </c>
      <c r="J8" s="15">
        <f>SUMIFS('psgr LDVs'!J$82:J$119,'psgr LDVs'!$A$82:$A$119,'BNVFE-LDVs-psgr'!$A8)*('AEO 7'!K$41/'AEO 7'!K$38)*'Calculations Etc'!$B$23/'Calculations Etc'!$B$29</f>
        <v>5.848624993596127E-4</v>
      </c>
      <c r="K8" s="15">
        <f>SUMIFS('psgr LDVs'!K$82:K$119,'psgr LDVs'!$A$82:$A$119,'BNVFE-LDVs-psgr'!$A8)*('AEO 7'!L$41/'AEO 7'!L$38)*'Calculations Etc'!$B$23/'Calculations Etc'!$B$29</f>
        <v>5.8392369578135807E-4</v>
      </c>
      <c r="L8" s="15">
        <f>SUMIFS('psgr LDVs'!L$82:L$119,'psgr LDVs'!$A$82:$A$119,'BNVFE-LDVs-psgr'!$A8)*('AEO 7'!M$41/'AEO 7'!M$38)*'Calculations Etc'!$B$23/'Calculations Etc'!$B$29</f>
        <v>5.8323582222320433E-4</v>
      </c>
      <c r="M8" s="15">
        <f>SUMIFS('psgr LDVs'!M$82:M$119,'psgr LDVs'!$A$82:$A$119,'BNVFE-LDVs-psgr'!$A8)*('AEO 7'!N$41/'AEO 7'!N$38)*'Calculations Etc'!$B$23/'Calculations Etc'!$B$29</f>
        <v>5.8232846507614633E-4</v>
      </c>
      <c r="N8" s="15">
        <f>SUMIFS('psgr LDVs'!N$82:N$119,'psgr LDVs'!$A$82:$A$119,'BNVFE-LDVs-psgr'!$A8)*('AEO 7'!O$41/'AEO 7'!O$38)*'Calculations Etc'!$B$23/'Calculations Etc'!$B$29</f>
        <v>5.8140476063791701E-4</v>
      </c>
      <c r="O8" s="15">
        <f>SUMIFS('psgr LDVs'!O$82:O$119,'psgr LDVs'!$A$82:$A$119,'BNVFE-LDVs-psgr'!$A8)*('AEO 7'!P$41/'AEO 7'!P$38)*'Calculations Etc'!$B$23/'Calculations Etc'!$B$29</f>
        <v>5.8053415348023238E-4</v>
      </c>
      <c r="P8" s="15">
        <f>SUMIFS('psgr LDVs'!P$82:P$119,'psgr LDVs'!$A$82:$A$119,'BNVFE-LDVs-psgr'!$A8)*('AEO 7'!Q$41/'AEO 7'!Q$38)*'Calculations Etc'!$B$23/'Calculations Etc'!$B$29</f>
        <v>5.7985999357189376E-4</v>
      </c>
      <c r="Q8" s="15">
        <f>SUMIFS('psgr LDVs'!Q$82:Q$119,'psgr LDVs'!$A$82:$A$119,'BNVFE-LDVs-psgr'!$A8)*('AEO 7'!R$41/'AEO 7'!R$38)*'Calculations Etc'!$B$23/'Calculations Etc'!$B$29</f>
        <v>5.790672010289583E-4</v>
      </c>
      <c r="R8" s="15">
        <f>SUMIFS('psgr LDVs'!R$82:R$119,'psgr LDVs'!$A$82:$A$119,'BNVFE-LDVs-psgr'!$A8)*('AEO 7'!S$41/'AEO 7'!S$38)*'Calculations Etc'!$B$23/'Calculations Etc'!$B$29</f>
        <v>5.783038784646057E-4</v>
      </c>
      <c r="S8" s="15">
        <f>SUMIFS('psgr LDVs'!S$82:S$119,'psgr LDVs'!$A$82:$A$119,'BNVFE-LDVs-psgr'!$A8)*('AEO 7'!T$41/'AEO 7'!T$38)*'Calculations Etc'!$B$23/'Calculations Etc'!$B$29</f>
        <v>5.7772941074558763E-4</v>
      </c>
      <c r="T8" s="15">
        <f>SUMIFS('psgr LDVs'!T$82:T$119,'psgr LDVs'!$A$82:$A$119,'BNVFE-LDVs-psgr'!$A8)*('AEO 7'!U$41/'AEO 7'!U$38)*'Calculations Etc'!$B$23/'Calculations Etc'!$B$29</f>
        <v>5.7728789584792482E-4</v>
      </c>
      <c r="U8" s="15">
        <f>SUMIFS('psgr LDVs'!U$82:U$119,'psgr LDVs'!$A$82:$A$119,'BNVFE-LDVs-psgr'!$A8)*('AEO 7'!V$41/'AEO 7'!V$38)*'Calculations Etc'!$B$23/'Calculations Etc'!$B$29</f>
        <v>5.7687866477931793E-4</v>
      </c>
      <c r="V8" s="15">
        <f>SUMIFS('psgr LDVs'!V$82:V$119,'psgr LDVs'!$A$82:$A$119,'BNVFE-LDVs-psgr'!$A8)*('AEO 7'!W$41/'AEO 7'!W$38)*'Calculations Etc'!$B$23/'Calculations Etc'!$B$29</f>
        <v>5.7657581365796442E-4</v>
      </c>
      <c r="W8" s="15">
        <f>SUMIFS('psgr LDVs'!W$82:W$119,'psgr LDVs'!$A$82:$A$119,'BNVFE-LDVs-psgr'!$A8)*('AEO 7'!X$41/'AEO 7'!X$38)*'Calculations Etc'!$B$23/'Calculations Etc'!$B$29</f>
        <v>5.7638685408458411E-4</v>
      </c>
      <c r="X8" s="15">
        <f>SUMIFS('psgr LDVs'!X$82:X$119,'psgr LDVs'!$A$82:$A$119,'BNVFE-LDVs-psgr'!$A8)*('AEO 7'!Y$41/'AEO 7'!Y$38)*'Calculations Etc'!$B$23/'Calculations Etc'!$B$29</f>
        <v>5.7622519119671751E-4</v>
      </c>
      <c r="Y8" s="15">
        <f>SUMIFS('psgr LDVs'!Y$82:Y$119,'psgr LDVs'!$A$82:$A$119,'BNVFE-LDVs-psgr'!$A8)*('AEO 7'!Z$41/'AEO 7'!Z$38)*'Calculations Etc'!$B$23/'Calculations Etc'!$B$29</f>
        <v>5.7612076801724784E-4</v>
      </c>
      <c r="Z8" s="15">
        <f>SUMIFS('psgr LDVs'!Z$82:Z$119,'psgr LDVs'!$A$82:$A$119,'BNVFE-LDVs-psgr'!$A8)*('AEO 7'!AA$41/'AEO 7'!AA$38)*'Calculations Etc'!$B$23/'Calculations Etc'!$B$29</f>
        <v>5.7610601336530144E-4</v>
      </c>
      <c r="AA8" s="15">
        <f>SUMIFS('psgr LDVs'!AA$82:AA$119,'psgr LDVs'!$A$82:$A$119,'BNVFE-LDVs-psgr'!$A8)*('AEO 7'!AB$41/'AEO 7'!AB$38)*'Calculations Etc'!$B$23/'Calculations Etc'!$B$29</f>
        <v>5.7616718513728532E-4</v>
      </c>
      <c r="AB8" s="15">
        <f>SUMIFS('psgr LDVs'!AB$82:AB$119,'psgr LDVs'!$A$82:$A$119,'BNVFE-LDVs-psgr'!$A8)*('AEO 7'!AC$41/'AEO 7'!AC$38)*'Calculations Etc'!$B$23/'Calculations Etc'!$B$29</f>
        <v>5.7619221096857649E-4</v>
      </c>
      <c r="AC8" s="15">
        <f>SUMIFS('psgr LDVs'!AC$82:AC$119,'psgr LDVs'!$A$82:$A$119,'BNVFE-LDVs-psgr'!$A8)*('AEO 7'!AD$41/'AEO 7'!AD$38)*'Calculations Etc'!$B$23/'Calculations Etc'!$B$29</f>
        <v>5.7620061572155568E-4</v>
      </c>
      <c r="AD8" s="15">
        <f>SUMIFS('psgr LDVs'!AD$82:AD$119,'psgr LDVs'!$A$82:$A$119,'BNVFE-LDVs-psgr'!$A8)*('AEO 7'!AE$41/'AEO 7'!AE$38)*'Calculations Etc'!$B$23/'Calculations Etc'!$B$29</f>
        <v>5.7622282038993897E-4</v>
      </c>
      <c r="AE8" s="15">
        <f>SUMIFS('psgr LDVs'!AE$82:AE$119,'psgr LDVs'!$A$82:$A$119,'BNVFE-LDVs-psgr'!$A8)*('AEO 7'!AF$41/'AEO 7'!AF$38)*'Calculations Etc'!$B$23/'Calculations Etc'!$B$29</f>
        <v>5.7625953419671364E-4</v>
      </c>
      <c r="AF8" s="15">
        <f>SUMIFS('psgr LDVs'!AF$82:AF$119,'psgr LDVs'!$A$82:$A$119,'BNVFE-LDVs-psgr'!$A8)*('AEO 7'!AG$41/'AEO 7'!AG$38)*'Calculations Etc'!$B$23/'Calculations Etc'!$B$29</f>
        <v>5.7635527402379559E-4</v>
      </c>
      <c r="AG8" s="4"/>
      <c r="AH8" s="4"/>
      <c r="AI8" s="4"/>
    </row>
    <row r="11" spans="1:35">
      <c r="B11" s="54"/>
    </row>
    <row r="12" spans="1:35">
      <c r="B12" s="16"/>
    </row>
    <row r="13" spans="1:35">
      <c r="B13" s="49"/>
    </row>
    <row r="14" spans="1:35">
      <c r="B14" s="49"/>
    </row>
    <row r="15" spans="1:35">
      <c r="B15" s="16"/>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8"/>
  <sheetViews>
    <sheetView workbookViewId="0">
      <selection activeCell="E5" sqref="E5"/>
    </sheetView>
  </sheetViews>
  <sheetFormatPr defaultRowHeight="14.5"/>
  <cols>
    <col min="1" max="1" width="31.08984375" customWidth="1"/>
  </cols>
  <sheetData>
    <row r="1" spans="1:35">
      <c r="A1" s="1"/>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5">
      <c r="A2" t="s">
        <v>112</v>
      </c>
      <c r="B2" s="15">
        <f>INDEX('SYFAFE-freight'!$B$2:$H$2,MATCH('BNVFE-LDVs-frgt'!A2,'SYFAFE-freight'!$B$1:$H$1,0))*'Calculations Etc'!$B$104*'Calculations Etc'!B$97</f>
        <v>1.3418728199415992E-4</v>
      </c>
      <c r="C2" s="4">
        <f>$B2+$B2*(C$1-$B$1)/($AF$1-$B$1)*'NAP F28'!$B$24</f>
        <v>1.3640834056772384E-4</v>
      </c>
      <c r="D2" s="4">
        <f>$B2+$B2*(D$1-$B$1)/($AF$1-$B$1)*'NAP F28'!$B$24</f>
        <v>1.3862939914128773E-4</v>
      </c>
      <c r="E2" s="4">
        <f>$B2+$B2*(E$1-$B$1)/($AF$1-$B$1)*'NAP F28'!$B$24</f>
        <v>1.4085045771485165E-4</v>
      </c>
      <c r="F2" s="4">
        <f>$B2+$B2*(F$1-$B$1)/($AF$1-$B$1)*'NAP F28'!$B$24</f>
        <v>1.4307151628841557E-4</v>
      </c>
      <c r="G2" s="4">
        <f>$B2+$B2*(G$1-$B$1)/($AF$1-$B$1)*'NAP F28'!$B$24</f>
        <v>1.4529257486197946E-4</v>
      </c>
      <c r="H2" s="4">
        <f>$B2+$B2*(H$1-$B$1)/($AF$1-$B$1)*'NAP F28'!$B$24</f>
        <v>1.4751363343554338E-4</v>
      </c>
      <c r="I2" s="4">
        <f>$B2+$B2*(I$1-$B$1)/($AF$1-$B$1)*'NAP F28'!$B$24</f>
        <v>1.497346920091073E-4</v>
      </c>
      <c r="J2" s="4">
        <f>$B2+$B2*(J$1-$B$1)/($AF$1-$B$1)*'NAP F28'!$B$24</f>
        <v>1.5195575058267119E-4</v>
      </c>
      <c r="K2" s="4">
        <f>$B2+$B2*(K$1-$B$1)/($AF$1-$B$1)*'NAP F28'!$B$24</f>
        <v>1.5417680915623511E-4</v>
      </c>
      <c r="L2" s="4">
        <f>$B2+$B2*(L$1-$B$1)/($AF$1-$B$1)*'NAP F28'!$B$24</f>
        <v>1.56397867729799E-4</v>
      </c>
      <c r="M2" s="4">
        <f>$B2+$B2*(M$1-$B$1)/($AF$1-$B$1)*'NAP F28'!$B$24</f>
        <v>1.5861892630336292E-4</v>
      </c>
      <c r="N2" s="4">
        <f>$B2+$B2*(N$1-$B$1)/($AF$1-$B$1)*'NAP F28'!$B$24</f>
        <v>1.6083998487692684E-4</v>
      </c>
      <c r="O2" s="4">
        <f>$B2+$B2*(O$1-$B$1)/($AF$1-$B$1)*'NAP F28'!$B$24</f>
        <v>1.6306104345049073E-4</v>
      </c>
      <c r="P2" s="4">
        <f>$B2+$B2*(P$1-$B$1)/($AF$1-$B$1)*'NAP F28'!$B$24</f>
        <v>1.6528210202405464E-4</v>
      </c>
      <c r="Q2" s="4">
        <f>$B2+$B2*(Q$1-$B$1)/($AF$1-$B$1)*'NAP F28'!$B$24</f>
        <v>1.6750316059761856E-4</v>
      </c>
      <c r="R2" s="4">
        <f>$B2+$B2*(R$1-$B$1)/($AF$1-$B$1)*'NAP F28'!$B$24</f>
        <v>1.6972421917118245E-4</v>
      </c>
      <c r="S2" s="4">
        <f>$B2+$B2*(S$1-$B$1)/($AF$1-$B$1)*'NAP F28'!$B$24</f>
        <v>1.7194527774474637E-4</v>
      </c>
      <c r="T2" s="4">
        <f>$B2+$B2*(T$1-$B$1)/($AF$1-$B$1)*'NAP F28'!$B$24</f>
        <v>1.7416633631831029E-4</v>
      </c>
      <c r="U2" s="4">
        <f>$B2+$B2*(U$1-$B$1)/($AF$1-$B$1)*'NAP F28'!$B$24</f>
        <v>1.7638739489187418E-4</v>
      </c>
      <c r="V2" s="4">
        <f>$B2+$B2*(V$1-$B$1)/($AF$1-$B$1)*'NAP F28'!$B$24</f>
        <v>1.786084534654381E-4</v>
      </c>
      <c r="W2" s="4">
        <f>$B2+$B2*(W$1-$B$1)/($AF$1-$B$1)*'NAP F28'!$B$24</f>
        <v>1.8082951203900199E-4</v>
      </c>
      <c r="X2" s="4">
        <f>$B2+$B2*(X$1-$B$1)/($AF$1-$B$1)*'NAP F28'!$B$24</f>
        <v>1.8305057061256591E-4</v>
      </c>
      <c r="Y2" s="4">
        <f>$B2+$B2*(Y$1-$B$1)/($AF$1-$B$1)*'NAP F28'!$B$24</f>
        <v>1.8527162918612983E-4</v>
      </c>
      <c r="Z2" s="4">
        <f>$B2+$B2*(Z$1-$B$1)/($AF$1-$B$1)*'NAP F28'!$B$24</f>
        <v>1.8749268775969375E-4</v>
      </c>
      <c r="AA2" s="4">
        <f>$B2+$B2*(AA$1-$B$1)/($AF$1-$B$1)*'NAP F28'!$B$24</f>
        <v>1.8971374633325764E-4</v>
      </c>
      <c r="AB2" s="4">
        <f>$B2+$B2*(AB$1-$B$1)/($AF$1-$B$1)*'NAP F28'!$B$24</f>
        <v>1.9193480490682156E-4</v>
      </c>
      <c r="AC2" s="4">
        <f>$B2+$B2*(AC$1-$B$1)/($AF$1-$B$1)*'NAP F28'!$B$24</f>
        <v>1.9415586348038545E-4</v>
      </c>
      <c r="AD2" s="4">
        <f>$B2+$B2*(AD$1-$B$1)/($AF$1-$B$1)*'NAP F28'!$B$24</f>
        <v>1.9637692205394937E-4</v>
      </c>
      <c r="AE2" s="4">
        <f>$B2+$B2*(AE$1-$B$1)/($AF$1-$B$1)*'NAP F28'!$B$24</f>
        <v>1.9859798062751328E-4</v>
      </c>
      <c r="AF2" s="4">
        <f>$B2+$B2*(AF$1-$B$1)/($AF$1-$B$1)*'NAP F28'!$B$24</f>
        <v>2.008190392010772E-4</v>
      </c>
      <c r="AG2" s="4"/>
      <c r="AH2" s="4"/>
      <c r="AI2" s="4"/>
    </row>
    <row r="3" spans="1:35">
      <c r="A3" t="s">
        <v>113</v>
      </c>
      <c r="B3" s="15">
        <f>INDEX('SYFAFE-freight'!$B$2:$H$2,MATCH('BNVFE-LDVs-frgt'!A3,'SYFAFE-freight'!$B$1:$H$1,0))*'Calculations Etc'!$B$104*'Calculations Etc'!B$97</f>
        <v>7.6006288669010344E-5</v>
      </c>
      <c r="C3" s="4">
        <f>$B3*'Calculations Etc'!C$97/'Calculations Etc'!$B$97</f>
        <v>7.6080376741914172E-5</v>
      </c>
      <c r="D3" s="4">
        <f>$B3*'Calculations Etc'!D$97/'Calculations Etc'!$B$97</f>
        <v>7.5743043666375457E-5</v>
      </c>
      <c r="E3" s="4">
        <f>$B3*'Calculations Etc'!E$97/'Calculations Etc'!$B$97</f>
        <v>7.5724277835314714E-5</v>
      </c>
      <c r="F3" s="4">
        <f>$B3*'Calculations Etc'!F$97/'Calculations Etc'!$B$97</f>
        <v>7.5855615749214229E-5</v>
      </c>
      <c r="G3" s="4">
        <f>$B3*'Calculations Etc'!G$97/'Calculations Etc'!$B$97</f>
        <v>7.6274191346832132E-5</v>
      </c>
      <c r="H3" s="4">
        <f>$B3*'Calculations Etc'!H$97/'Calculations Etc'!$B$97</f>
        <v>7.664460235057268E-5</v>
      </c>
      <c r="I3" s="4">
        <f>$B3*'Calculations Etc'!I$97/'Calculations Etc'!$B$97</f>
        <v>7.6861170255864997E-5</v>
      </c>
      <c r="J3" s="4">
        <f>$B3*'Calculations Etc'!J$97/'Calculations Etc'!$B$97</f>
        <v>7.6261937953287745E-5</v>
      </c>
      <c r="K3" s="4">
        <f>$B3*'Calculations Etc'!K$97/'Calculations Etc'!$B$97</f>
        <v>7.6089615966585825E-5</v>
      </c>
      <c r="L3" s="4">
        <f>$B3*'Calculations Etc'!L$97/'Calculations Etc'!$B$97</f>
        <v>7.5843506963502549E-5</v>
      </c>
      <c r="M3" s="4">
        <f>$B3*'Calculations Etc'!M$97/'Calculations Etc'!$B$97</f>
        <v>7.5469291426432186E-5</v>
      </c>
      <c r="N3" s="4">
        <f>$B3*'Calculations Etc'!N$97/'Calculations Etc'!$B$97</f>
        <v>7.4950369589322721E-5</v>
      </c>
      <c r="O3" s="4">
        <f>$B3*'Calculations Etc'!O$97/'Calculations Etc'!$B$97</f>
        <v>7.4315905351409709E-5</v>
      </c>
      <c r="P3" s="4">
        <f>$B3*'Calculations Etc'!P$97/'Calculations Etc'!$B$97</f>
        <v>7.3756483653024548E-5</v>
      </c>
      <c r="Q3" s="4">
        <f>$B3*'Calculations Etc'!Q$97/'Calculations Etc'!$B$97</f>
        <v>7.3125173956256506E-5</v>
      </c>
      <c r="R3" s="4">
        <f>$B3*'Calculations Etc'!R$97/'Calculations Etc'!$B$97</f>
        <v>7.2690935039744075E-5</v>
      </c>
      <c r="S3" s="4">
        <f>$B3*'Calculations Etc'!S$97/'Calculations Etc'!$B$97</f>
        <v>7.2177151906125642E-5</v>
      </c>
      <c r="T3" s="4">
        <f>$B3*'Calculations Etc'!T$97/'Calculations Etc'!$B$97</f>
        <v>7.1871648297494589E-5</v>
      </c>
      <c r="U3" s="4">
        <f>$B3*'Calculations Etc'!U$97/'Calculations Etc'!$B$97</f>
        <v>7.1640208537458242E-5</v>
      </c>
      <c r="V3" s="4">
        <f>$B3*'Calculations Etc'!V$97/'Calculations Etc'!$B$97</f>
        <v>7.1448077325544755E-5</v>
      </c>
      <c r="W3" s="4">
        <f>$B3*'Calculations Etc'!W$97/'Calculations Etc'!$B$97</f>
        <v>7.1284562722858101E-5</v>
      </c>
      <c r="X3" s="4">
        <f>$B3*'Calculations Etc'!X$97/'Calculations Etc'!$B$97</f>
        <v>7.1121073609261765E-5</v>
      </c>
      <c r="Y3" s="4">
        <f>$B3*'Calculations Etc'!Y$97/'Calculations Etc'!$B$97</f>
        <v>7.0997642281631361E-5</v>
      </c>
      <c r="Z3" s="4">
        <f>$B3*'Calculations Etc'!Z$97/'Calculations Etc'!$B$97</f>
        <v>7.0894291213070466E-5</v>
      </c>
      <c r="AA3" s="4">
        <f>$B3*'Calculations Etc'!AA$97/'Calculations Etc'!$B$97</f>
        <v>7.0792139726689904E-5</v>
      </c>
      <c r="AB3" s="4">
        <f>$B3*'Calculations Etc'!AB$97/'Calculations Etc'!$B$97</f>
        <v>7.0714033031888464E-5</v>
      </c>
      <c r="AC3" s="4">
        <f>$B3*'Calculations Etc'!AC$97/'Calculations Etc'!$B$97</f>
        <v>7.0561603706842998E-5</v>
      </c>
      <c r="AD3" s="4">
        <f>$B3*'Calculations Etc'!AD$97/'Calculations Etc'!$B$97</f>
        <v>7.0407765905464056E-5</v>
      </c>
      <c r="AE3" s="4">
        <f>$B3*'Calculations Etc'!AE$97/'Calculations Etc'!$B$97</f>
        <v>7.0265570249012377E-5</v>
      </c>
      <c r="AF3" s="4">
        <f>$B3*'Calculations Etc'!AF$97/'Calculations Etc'!$B$97</f>
        <v>7.0125408470328278E-5</v>
      </c>
      <c r="AG3" s="4"/>
      <c r="AH3" s="4"/>
      <c r="AI3" s="4"/>
    </row>
    <row r="4" spans="1:35" s="8" customFormat="1">
      <c r="A4" s="8" t="s">
        <v>114</v>
      </c>
      <c r="B4" s="15">
        <f>INDEX('SYFAFE-freight'!$B$2:$H$2,MATCH('BNVFE-LDVs-frgt'!A4,'SYFAFE-freight'!$B$1:$H$1,0))*'Calculations Etc'!$B$104*'Calculations Etc'!B$97</f>
        <v>1.157863591831631E-4</v>
      </c>
      <c r="C4" s="4">
        <f>$B4*'Calculations Etc'!C$97/'Calculations Etc'!$B$97</f>
        <v>1.1589922337335911E-4</v>
      </c>
      <c r="D4" s="4">
        <f>$B4*'Calculations Etc'!D$97/'Calculations Etc'!$B$97</f>
        <v>1.1538533736033749E-4</v>
      </c>
      <c r="E4" s="4">
        <f>$B4*'Calculations Etc'!E$97/'Calculations Etc'!$B$97</f>
        <v>1.1535674989351573E-4</v>
      </c>
      <c r="F4" s="4">
        <f>$B4*'Calculations Etc'!F$97/'Calculations Etc'!$B$97</f>
        <v>1.1555682727052541E-4</v>
      </c>
      <c r="G4" s="4">
        <f>$B4*'Calculations Etc'!G$97/'Calculations Etc'!$B$97</f>
        <v>1.1619447640903485E-4</v>
      </c>
      <c r="H4" s="4">
        <f>$B4*'Calculations Etc'!H$97/'Calculations Etc'!$B$97</f>
        <v>1.1675875263243092E-4</v>
      </c>
      <c r="I4" s="4">
        <f>$B4*'Calculations Etc'!I$97/'Calculations Etc'!$B$97</f>
        <v>1.170886675606406E-4</v>
      </c>
      <c r="J4" s="4">
        <f>$B4*'Calculations Etc'!J$97/'Calculations Etc'!$B$97</f>
        <v>1.1617580985063572E-4</v>
      </c>
      <c r="K4" s="4">
        <f>$B4*'Calculations Etc'!K$97/'Calculations Etc'!$B$97</f>
        <v>1.1591329821118029E-4</v>
      </c>
      <c r="L4" s="4">
        <f>$B4*'Calculations Etc'!L$97/'Calculations Etc'!$B$97</f>
        <v>1.1553838100461461E-4</v>
      </c>
      <c r="M4" s="4">
        <f>$B4*'Calculations Etc'!M$97/'Calculations Etc'!$B$97</f>
        <v>1.1496830903628264E-4</v>
      </c>
      <c r="N4" s="4">
        <f>$B4*'Calculations Etc'!N$97/'Calculations Etc'!$B$97</f>
        <v>1.1417779457660161E-4</v>
      </c>
      <c r="O4" s="4">
        <f>$B4*'Calculations Etc'!O$97/'Calculations Etc'!$B$97</f>
        <v>1.1321126528769265E-4</v>
      </c>
      <c r="P4" s="4">
        <f>$B4*'Calculations Etc'!P$97/'Calculations Etc'!$B$97</f>
        <v>1.1235905420307894E-4</v>
      </c>
      <c r="Q4" s="4">
        <f>$B4*'Calculations Etc'!Q$97/'Calculations Etc'!$B$97</f>
        <v>1.113973304748738E-4</v>
      </c>
      <c r="R4" s="4">
        <f>$B4*'Calculations Etc'!R$97/'Calculations Etc'!$B$97</f>
        <v>1.1073582017040977E-4</v>
      </c>
      <c r="S4" s="4">
        <f>$B4*'Calculations Etc'!S$97/'Calculations Etc'!$B$97</f>
        <v>1.099531339020346E-4</v>
      </c>
      <c r="T4" s="4">
        <f>$B4*'Calculations Etc'!T$97/'Calculations Etc'!$B$97</f>
        <v>1.0948773622007766E-4</v>
      </c>
      <c r="U4" s="4">
        <f>$B4*'Calculations Etc'!U$97/'Calculations Etc'!$B$97</f>
        <v>1.0913516582552083E-4</v>
      </c>
      <c r="V4" s="4">
        <f>$B4*'Calculations Etc'!V$97/'Calculations Etc'!$B$97</f>
        <v>1.0884247723484658E-4</v>
      </c>
      <c r="W4" s="4">
        <f>$B4*'Calculations Etc'!W$97/'Calculations Etc'!$B$97</f>
        <v>1.085933825763662E-4</v>
      </c>
      <c r="X4" s="4">
        <f>$B4*'Calculations Etc'!X$97/'Calculations Etc'!$B$97</f>
        <v>1.083443267474224E-4</v>
      </c>
      <c r="Y4" s="4">
        <f>$B4*'Calculations Etc'!Y$97/'Calculations Etc'!$B$97</f>
        <v>1.0815629409531245E-4</v>
      </c>
      <c r="Z4" s="4">
        <f>$B4*'Calculations Etc'!Z$97/'Calculations Etc'!$B$97</f>
        <v>1.0799885128162017E-4</v>
      </c>
      <c r="AA4" s="4">
        <f>$B4*'Calculations Etc'!AA$97/'Calculations Etc'!$B$97</f>
        <v>1.078432358858381E-4</v>
      </c>
      <c r="AB4" s="4">
        <f>$B4*'Calculations Etc'!AB$97/'Calculations Etc'!$B$97</f>
        <v>1.0772424981274788E-4</v>
      </c>
      <c r="AC4" s="4">
        <f>$B4*'Calculations Etc'!AC$97/'Calculations Etc'!$B$97</f>
        <v>1.0749204222981193E-4</v>
      </c>
      <c r="AD4" s="4">
        <f>$B4*'Calculations Etc'!AD$97/'Calculations Etc'!$B$97</f>
        <v>1.0725768900406794E-4</v>
      </c>
      <c r="AE4" s="4">
        <f>$B4*'Calculations Etc'!AE$97/'Calculations Etc'!$B$97</f>
        <v>1.0704107117361582E-4</v>
      </c>
      <c r="AF4" s="4">
        <f>$B4*'Calculations Etc'!AF$97/'Calculations Etc'!$B$97</f>
        <v>1.0682755170917861E-4</v>
      </c>
      <c r="AG4" s="15"/>
      <c r="AH4" s="15"/>
      <c r="AI4" s="15"/>
    </row>
    <row r="5" spans="1:35">
      <c r="A5" t="s">
        <v>115</v>
      </c>
      <c r="B5" s="15">
        <f>INDEX('SYFAFE-freight'!$B$2:$H$2,MATCH('BNVFE-LDVs-frgt'!A5,'SYFAFE-freight'!$B$1:$H$1,0))*'Calculations Etc'!$B$104*'Calculations Etc'!B$97</f>
        <v>8.201551487503343E-5</v>
      </c>
      <c r="C5" s="4">
        <f>$B5*'Calculations Etc'!C$97/'Calculations Etc'!$B$97</f>
        <v>8.2095460515739128E-5</v>
      </c>
      <c r="D5" s="4">
        <f>$B5*'Calculations Etc'!D$97/'Calculations Etc'!$B$97</f>
        <v>8.1731457137082305E-5</v>
      </c>
      <c r="E5" s="4">
        <f>$B5*'Calculations Etc'!E$97/'Calculations Etc'!$B$97</f>
        <v>8.171120763768617E-5</v>
      </c>
      <c r="F5" s="4">
        <f>$B5*'Calculations Etc'!F$97/'Calculations Etc'!$B$97</f>
        <v>8.1852929419129673E-5</v>
      </c>
      <c r="G5" s="4">
        <f>$B5*'Calculations Etc'!G$97/'Calculations Etc'!$B$97</f>
        <v>8.2304598534329538E-5</v>
      </c>
      <c r="H5" s="4">
        <f>$B5*'Calculations Etc'!H$97/'Calculations Etc'!$B$97</f>
        <v>8.2704295055751004E-5</v>
      </c>
      <c r="I5" s="4">
        <f>$B5*'Calculations Etc'!I$97/'Calculations Etc'!$B$97</f>
        <v>8.2937985301242487E-5</v>
      </c>
      <c r="J5" s="4">
        <f>$B5*'Calculations Etc'!J$97/'Calculations Etc'!$B$97</f>
        <v>8.2291376360242263E-5</v>
      </c>
      <c r="K5" s="4">
        <f>$B5*'Calculations Etc'!K$97/'Calculations Etc'!$B$97</f>
        <v>8.2105430214059649E-5</v>
      </c>
      <c r="L5" s="4">
        <f>$B5*'Calculations Etc'!L$97/'Calculations Etc'!$B$97</f>
        <v>8.1839863285891951E-5</v>
      </c>
      <c r="M5" s="4">
        <f>$B5*'Calculations Etc'!M$97/'Calculations Etc'!$B$97</f>
        <v>8.1436061436275037E-5</v>
      </c>
      <c r="N5" s="4">
        <f>$B5*'Calculations Etc'!N$97/'Calculations Etc'!$B$97</f>
        <v>8.0876112484738039E-5</v>
      </c>
      <c r="O5" s="4">
        <f>$B5*'Calculations Etc'!O$97/'Calculations Etc'!$B$97</f>
        <v>8.0191486093245156E-5</v>
      </c>
      <c r="P5" s="4">
        <f>$B5*'Calculations Etc'!P$97/'Calculations Etc'!$B$97</f>
        <v>7.9587835271335844E-5</v>
      </c>
      <c r="Q5" s="4">
        <f>$B5*'Calculations Etc'!Q$97/'Calculations Etc'!$B$97</f>
        <v>7.8906612826025961E-5</v>
      </c>
      <c r="R5" s="4">
        <f>$B5*'Calculations Etc'!R$97/'Calculations Etc'!$B$97</f>
        <v>7.8438042015107454E-5</v>
      </c>
      <c r="S5" s="4">
        <f>$B5*'Calculations Etc'!S$97/'Calculations Etc'!$B$97</f>
        <v>7.7883638044387005E-5</v>
      </c>
      <c r="T5" s="4">
        <f>$B5*'Calculations Etc'!T$97/'Calculations Etc'!$B$97</f>
        <v>7.7553980641074374E-5</v>
      </c>
      <c r="U5" s="4">
        <f>$B5*'Calculations Etc'!U$97/'Calculations Etc'!$B$97</f>
        <v>7.7304242738930563E-5</v>
      </c>
      <c r="V5" s="4">
        <f>$B5*'Calculations Etc'!V$97/'Calculations Etc'!$B$97</f>
        <v>7.7096921206139103E-5</v>
      </c>
      <c r="W5" s="4">
        <f>$B5*'Calculations Etc'!W$97/'Calculations Etc'!$B$97</f>
        <v>7.6920478775337981E-5</v>
      </c>
      <c r="X5" s="4">
        <f>$B5*'Calculations Etc'!X$97/'Calculations Etc'!$B$97</f>
        <v>7.6744063848851346E-5</v>
      </c>
      <c r="Y5" s="4">
        <f>$B5*'Calculations Etc'!Y$97/'Calculations Etc'!$B$97</f>
        <v>7.6610873765970154E-5</v>
      </c>
      <c r="Z5" s="4">
        <f>$B5*'Calculations Etc'!Z$97/'Calculations Etc'!$B$97</f>
        <v>7.6499351532095263E-5</v>
      </c>
      <c r="AA5" s="4">
        <f>$B5*'Calculations Etc'!AA$97/'Calculations Etc'!$B$97</f>
        <v>7.638912372203555E-5</v>
      </c>
      <c r="AB5" s="4">
        <f>$B5*'Calculations Etc'!AB$97/'Calculations Etc'!$B$97</f>
        <v>7.6304841738248364E-5</v>
      </c>
      <c r="AC5" s="4">
        <f>$B5*'Calculations Etc'!AC$97/'Calculations Etc'!$B$97</f>
        <v>7.6140361011790326E-5</v>
      </c>
      <c r="AD5" s="4">
        <f>$B5*'Calculations Etc'!AD$97/'Calculations Etc'!$B$97</f>
        <v>7.5974360451727698E-5</v>
      </c>
      <c r="AE5" s="4">
        <f>$B5*'Calculations Etc'!AE$97/'Calculations Etc'!$B$97</f>
        <v>7.5820922490460257E-5</v>
      </c>
      <c r="AF5" s="4">
        <f>$B5*'Calculations Etc'!AF$97/'Calculations Etc'!$B$97</f>
        <v>7.5669679209859657E-5</v>
      </c>
      <c r="AG5" s="4"/>
      <c r="AH5" s="4"/>
      <c r="AI5" s="4"/>
    </row>
    <row r="6" spans="1:35">
      <c r="A6" t="s">
        <v>116</v>
      </c>
      <c r="B6" s="4">
        <f>B4*(1-'Calculations Etc'!$B$20)+B2*'Calculations Etc'!$B$20</f>
        <v>1.2590686672921136E-4</v>
      </c>
      <c r="C6" s="4">
        <f>C4*(1-'Calculations Etc'!$B$20)+C2*'Calculations Etc'!$B$20</f>
        <v>1.2717923783025971E-4</v>
      </c>
      <c r="D6" s="4">
        <f>D4*(1-'Calculations Etc'!$B$20)+D2*'Calculations Etc'!$B$20</f>
        <v>1.2816957133986013E-4</v>
      </c>
      <c r="E6" s="4">
        <f>E4*(1-'Calculations Etc'!$B$20)+E2*'Calculations Etc'!$B$20</f>
        <v>1.2937828919525049E-4</v>
      </c>
      <c r="F6" s="4">
        <f>F4*(1-'Calculations Etc'!$B$20)+F2*'Calculations Etc'!$B$20</f>
        <v>1.30689906230365E-4</v>
      </c>
      <c r="G6" s="4">
        <f>G4*(1-'Calculations Etc'!$B$20)+G2*'Calculations Etc'!$B$20</f>
        <v>1.3219843055815438E-4</v>
      </c>
      <c r="H6" s="4">
        <f>H4*(1-'Calculations Etc'!$B$20)+H2*'Calculations Etc'!$B$20</f>
        <v>1.3367393707414276E-4</v>
      </c>
      <c r="I6" s="4">
        <f>I4*(1-'Calculations Etc'!$B$20)+I2*'Calculations Etc'!$B$20</f>
        <v>1.3504398100729726E-4</v>
      </c>
      <c r="J6" s="4">
        <f>J4*(1-'Calculations Etc'!$B$20)+J2*'Calculations Etc'!$B$20</f>
        <v>1.3585477725325522E-4</v>
      </c>
      <c r="K6" s="4">
        <f>K4*(1-'Calculations Etc'!$B$20)+K2*'Calculations Etc'!$B$20</f>
        <v>1.3695822923096045E-4</v>
      </c>
      <c r="L6" s="4">
        <f>L4*(1-'Calculations Etc'!$B$20)+L2*'Calculations Etc'!$B$20</f>
        <v>1.3801109870346603E-4</v>
      </c>
      <c r="M6" s="4">
        <f>M4*(1-'Calculations Etc'!$B$20)+M2*'Calculations Etc'!$B$20</f>
        <v>1.389761485331768E-4</v>
      </c>
      <c r="N6" s="4">
        <f>N4*(1-'Calculations Etc'!$B$20)+N2*'Calculations Etc'!$B$20</f>
        <v>1.3984199924178047E-4</v>
      </c>
      <c r="O6" s="4">
        <f>O4*(1-'Calculations Etc'!$B$20)+O2*'Calculations Etc'!$B$20</f>
        <v>1.4062864327723159E-4</v>
      </c>
      <c r="P6" s="4">
        <f>P4*(1-'Calculations Etc'!$B$20)+P2*'Calculations Etc'!$B$20</f>
        <v>1.414667305046156E-4</v>
      </c>
      <c r="Q6" s="4">
        <f>Q4*(1-'Calculations Etc'!$B$20)+Q2*'Calculations Etc'!$B$20</f>
        <v>1.4225553704238342E-4</v>
      </c>
      <c r="R6" s="4">
        <f>R4*(1-'Calculations Etc'!$B$20)+R2*'Calculations Etc'!$B$20</f>
        <v>1.4317943962083475E-4</v>
      </c>
      <c r="S6" s="4">
        <f>S4*(1-'Calculations Etc'!$B$20)+S2*'Calculations Etc'!$B$20</f>
        <v>1.4404881301552608E-4</v>
      </c>
      <c r="T6" s="4">
        <f>T4*(1-'Calculations Etc'!$B$20)+T2*'Calculations Etc'!$B$20</f>
        <v>1.4506096627410562E-4</v>
      </c>
      <c r="U6" s="4">
        <f>U4*(1-'Calculations Etc'!$B$20)+U2*'Calculations Etc'!$B$20</f>
        <v>1.4612389181201517E-4</v>
      </c>
      <c r="V6" s="4">
        <f>V4*(1-'Calculations Etc'!$B$20)+V2*'Calculations Etc'!$B$20</f>
        <v>1.4721376416167192E-4</v>
      </c>
      <c r="W6" s="4">
        <f>W4*(1-'Calculations Etc'!$B$20)+W2*'Calculations Etc'!$B$20</f>
        <v>1.483232537808159E-4</v>
      </c>
      <c r="X6" s="4">
        <f>X4*(1-'Calculations Etc'!$B$20)+X2*'Calculations Etc'!$B$20</f>
        <v>1.4943276087325133E-4</v>
      </c>
      <c r="Y6" s="4">
        <f>Y4*(1-'Calculations Etc'!$B$20)+Y2*'Calculations Etc'!$B$20</f>
        <v>1.5056972839526199E-4</v>
      </c>
      <c r="Z6" s="4">
        <f>Z4*(1-'Calculations Etc'!$B$20)+Z2*'Calculations Etc'!$B$20</f>
        <v>1.5172046134456063E-4</v>
      </c>
      <c r="AA6" s="4">
        <f>AA4*(1-'Calculations Etc'!$B$20)+AA2*'Calculations Etc'!$B$20</f>
        <v>1.5287201663191885E-4</v>
      </c>
      <c r="AB6" s="4">
        <f>AB4*(1-'Calculations Etc'!$B$20)+AB2*'Calculations Etc'!$B$20</f>
        <v>1.5404005511448842E-4</v>
      </c>
      <c r="AC6" s="4">
        <f>AC4*(1-'Calculations Etc'!$B$20)+AC2*'Calculations Etc'!$B$20</f>
        <v>1.5515714391762736E-4</v>
      </c>
      <c r="AD6" s="4">
        <f>AD4*(1-'Calculations Etc'!$B$20)+AD2*'Calculations Etc'!$B$20</f>
        <v>1.5627326718150274E-4</v>
      </c>
      <c r="AE6" s="4">
        <f>AE4*(1-'Calculations Etc'!$B$20)+AE2*'Calculations Etc'!$B$20</f>
        <v>1.5739737137325944E-4</v>
      </c>
      <c r="AF6" s="4">
        <f>AF4*(1-'Calculations Etc'!$B$20)+AF2*'Calculations Etc'!$B$20</f>
        <v>1.5852286982972284E-4</v>
      </c>
      <c r="AG6" s="4"/>
      <c r="AH6" s="4"/>
      <c r="AI6" s="4"/>
    </row>
    <row r="7" spans="1:35">
      <c r="A7" t="s">
        <v>853</v>
      </c>
      <c r="B7" s="15">
        <f>INDEX('SYFAFE-freight'!$B$2:$H$2,MATCH('BNVFE-LDVs-frgt'!A7,'SYFAFE-freight'!$B$1:$H$1,0))*'Calculations Etc'!$B$104*'Calculations Etc'!B$97</f>
        <v>4.4583709051118848E-5</v>
      </c>
      <c r="C7" s="4">
        <f>$B7*'Calculations Etc'!C$97/'Calculations Etc'!$B$97</f>
        <v>4.4627167574674539E-5</v>
      </c>
      <c r="D7" s="4">
        <f>$B7*'Calculations Etc'!D$97/'Calculations Etc'!$B$97</f>
        <v>4.4429295004437204E-5</v>
      </c>
      <c r="E7" s="4">
        <f>$B7*'Calculations Etc'!E$97/'Calculations Etc'!$B$97</f>
        <v>4.4418287358007338E-5</v>
      </c>
      <c r="F7" s="4">
        <f>$B7*'Calculations Etc'!F$97/'Calculations Etc'!$B$97</f>
        <v>4.4495327448284301E-5</v>
      </c>
      <c r="G7" s="4">
        <f>$B7*'Calculations Etc'!G$97/'Calculations Etc'!$B$97</f>
        <v>4.4740855193249741E-5</v>
      </c>
      <c r="H7" s="4">
        <f>$B7*'Calculations Etc'!H$97/'Calculations Etc'!$B$97</f>
        <v>4.4958130588605744E-5</v>
      </c>
      <c r="I7" s="4">
        <f>$B7*'Calculations Etc'!I$97/'Calculations Etc'!$B$97</f>
        <v>4.508516482022584E-5</v>
      </c>
      <c r="J7" s="4">
        <f>$B7*'Calculations Etc'!J$97/'Calculations Etc'!$B$97</f>
        <v>4.4733667607298132E-5</v>
      </c>
      <c r="K7" s="4">
        <f>$B7*'Calculations Etc'!K$97/'Calculations Etc'!$B$97</f>
        <v>4.4632587111818528E-5</v>
      </c>
      <c r="L7" s="4">
        <f>$B7*'Calculations Etc'!L$97/'Calculations Etc'!$B$97</f>
        <v>4.4488224686281508E-5</v>
      </c>
      <c r="M7" s="4">
        <f>$B7*'Calculations Etc'!M$97/'Calculations Etc'!$B$97</f>
        <v>4.4268717630756032E-5</v>
      </c>
      <c r="N7" s="4">
        <f>$B7*'Calculations Etc'!N$97/'Calculations Etc'!$B$97</f>
        <v>4.3964328867522117E-5</v>
      </c>
      <c r="O7" s="4">
        <f>$B7*'Calculations Etc'!O$97/'Calculations Etc'!$B$97</f>
        <v>4.3592165333664591E-5</v>
      </c>
      <c r="P7" s="4">
        <f>$B7*'Calculations Etc'!P$97/'Calculations Etc'!$B$97</f>
        <v>4.3264020193644674E-5</v>
      </c>
      <c r="Q7" s="4">
        <f>$B7*'Calculations Etc'!Q$97/'Calculations Etc'!$B$97</f>
        <v>4.2893707048051865E-5</v>
      </c>
      <c r="R7" s="4">
        <f>$B7*'Calculations Etc'!R$97/'Calculations Etc'!$B$97</f>
        <v>4.2638991525803811E-5</v>
      </c>
      <c r="S7" s="4">
        <f>$B7*'Calculations Etc'!S$97/'Calculations Etc'!$B$97</f>
        <v>4.2337617019223595E-5</v>
      </c>
      <c r="T7" s="4">
        <f>$B7*'Calculations Etc'!T$97/'Calculations Etc'!$B$97</f>
        <v>4.2158414952660556E-5</v>
      </c>
      <c r="U7" s="4">
        <f>$B7*'Calculations Etc'!U$97/'Calculations Etc'!$B$97</f>
        <v>4.2022657200176995E-5</v>
      </c>
      <c r="V7" s="4">
        <f>$B7*'Calculations Etc'!V$97/'Calculations Etc'!$B$97</f>
        <v>4.1909957024946854E-5</v>
      </c>
      <c r="W7" s="4">
        <f>$B7*'Calculations Etc'!W$97/'Calculations Etc'!$B$97</f>
        <v>4.1814042757858543E-5</v>
      </c>
      <c r="X7" s="4">
        <f>$B7*'Calculations Etc'!X$97/'Calculations Etc'!$B$97</f>
        <v>4.1718143442140791E-5</v>
      </c>
      <c r="Y7" s="4">
        <f>$B7*'Calculations Etc'!Y$97/'Calculations Etc'!$B$97</f>
        <v>4.1645741191021392E-5</v>
      </c>
      <c r="Z7" s="4">
        <f>$B7*'Calculations Etc'!Z$97/'Calculations Etc'!$B$97</f>
        <v>4.158511760247982E-5</v>
      </c>
      <c r="AA7" s="4">
        <f>$B7*'Calculations Etc'!AA$97/'Calculations Etc'!$B$97</f>
        <v>4.1525197663910494E-5</v>
      </c>
      <c r="AB7" s="4">
        <f>$B7*'Calculations Etc'!AB$97/'Calculations Etc'!$B$97</f>
        <v>4.1479381900281561E-5</v>
      </c>
      <c r="AC7" s="4">
        <f>$B7*'Calculations Etc'!AC$97/'Calculations Etc'!$B$97</f>
        <v>4.1389970026636733E-5</v>
      </c>
      <c r="AD7" s="4">
        <f>$B7*'Calculations Etc'!AD$97/'Calculations Etc'!$B$97</f>
        <v>4.1299731970051566E-5</v>
      </c>
      <c r="AE7" s="4">
        <f>$B7*'Calculations Etc'!AE$97/'Calculations Etc'!$B$97</f>
        <v>4.121632295368475E-5</v>
      </c>
      <c r="AF7" s="4">
        <f>$B7*'Calculations Etc'!AF$97/'Calculations Etc'!$B$97</f>
        <v>4.1134106967739804E-5</v>
      </c>
      <c r="AG7" s="4"/>
      <c r="AH7" s="4"/>
      <c r="AI7" s="4"/>
    </row>
    <row r="8" spans="1:35">
      <c r="A8" t="s">
        <v>854</v>
      </c>
      <c r="B8" s="15">
        <f>B5*'Calculations Etc'!$B$35</f>
        <v>2.4604654462510026E-4</v>
      </c>
      <c r="C8" s="4">
        <f>$B8*'Calculations Etc'!C$97/'Calculations Etc'!$B$97</f>
        <v>2.462863815472174E-4</v>
      </c>
      <c r="D8" s="4">
        <f>$B8*'Calculations Etc'!D$97/'Calculations Etc'!$B$97</f>
        <v>2.4519437141124688E-4</v>
      </c>
      <c r="E8" s="4">
        <f>$B8*'Calculations Etc'!E$97/'Calculations Etc'!$B$97</f>
        <v>2.4513362291305851E-4</v>
      </c>
      <c r="F8" s="4">
        <f>$B8*'Calculations Etc'!F$97/'Calculations Etc'!$B$97</f>
        <v>2.4555878825738899E-4</v>
      </c>
      <c r="G8" s="4">
        <f>$B8*'Calculations Etc'!G$97/'Calculations Etc'!$B$97</f>
        <v>2.4691379560298857E-4</v>
      </c>
      <c r="H8" s="4">
        <f>$B8*'Calculations Etc'!H$97/'Calculations Etc'!$B$97</f>
        <v>2.4811288516725301E-4</v>
      </c>
      <c r="I8" s="4">
        <f>$B8*'Calculations Etc'!I$97/'Calculations Etc'!$B$97</f>
        <v>2.4881395590372739E-4</v>
      </c>
      <c r="J8" s="4">
        <f>$B8*'Calculations Etc'!J$97/'Calculations Etc'!$B$97</f>
        <v>2.4687412908072675E-4</v>
      </c>
      <c r="K8" s="4">
        <f>$B8*'Calculations Etc'!K$97/'Calculations Etc'!$B$97</f>
        <v>2.4631629064217889E-4</v>
      </c>
      <c r="L8" s="4">
        <f>$B8*'Calculations Etc'!L$97/'Calculations Etc'!$B$97</f>
        <v>2.4551958985767581E-4</v>
      </c>
      <c r="M8" s="4">
        <f>$B8*'Calculations Etc'!M$97/'Calculations Etc'!$B$97</f>
        <v>2.4430818430882508E-4</v>
      </c>
      <c r="N8" s="4">
        <f>$B8*'Calculations Etc'!N$97/'Calculations Etc'!$B$97</f>
        <v>2.4262833745421412E-4</v>
      </c>
      <c r="O8" s="4">
        <f>$B8*'Calculations Etc'!O$97/'Calculations Etc'!$B$97</f>
        <v>2.4057445827973541E-4</v>
      </c>
      <c r="P8" s="4">
        <f>$B8*'Calculations Etc'!P$97/'Calculations Etc'!$B$97</f>
        <v>2.3876350581400748E-4</v>
      </c>
      <c r="Q8" s="4">
        <f>$B8*'Calculations Etc'!Q$97/'Calculations Etc'!$B$97</f>
        <v>2.3671983847807786E-4</v>
      </c>
      <c r="R8" s="4">
        <f>$B8*'Calculations Etc'!R$97/'Calculations Etc'!$B$97</f>
        <v>2.3531412604532232E-4</v>
      </c>
      <c r="S8" s="4">
        <f>$B8*'Calculations Etc'!S$97/'Calculations Etc'!$B$97</f>
        <v>2.33650914133161E-4</v>
      </c>
      <c r="T8" s="4">
        <f>$B8*'Calculations Etc'!T$97/'Calculations Etc'!$B$97</f>
        <v>2.3266194192322309E-4</v>
      </c>
      <c r="U8" s="4">
        <f>$B8*'Calculations Etc'!U$97/'Calculations Etc'!$B$97</f>
        <v>2.3191272821679169E-4</v>
      </c>
      <c r="V8" s="4">
        <f>$B8*'Calculations Etc'!V$97/'Calculations Etc'!$B$97</f>
        <v>2.3129076361841732E-4</v>
      </c>
      <c r="W8" s="4">
        <f>$B8*'Calculations Etc'!W$97/'Calculations Etc'!$B$97</f>
        <v>2.3076143632601393E-4</v>
      </c>
      <c r="X8" s="4">
        <f>$B8*'Calculations Etc'!X$97/'Calculations Etc'!$B$97</f>
        <v>2.3023219154655404E-4</v>
      </c>
      <c r="Y8" s="4">
        <f>$B8*'Calculations Etc'!Y$97/'Calculations Etc'!$B$97</f>
        <v>2.2983262129791046E-4</v>
      </c>
      <c r="Z8" s="4">
        <f>$B8*'Calculations Etc'!Z$97/'Calculations Etc'!$B$97</f>
        <v>2.2949805459628579E-4</v>
      </c>
      <c r="AA8" s="4">
        <f>$B8*'Calculations Etc'!AA$97/'Calculations Etc'!$B$97</f>
        <v>2.2916737116610668E-4</v>
      </c>
      <c r="AB8" s="4">
        <f>$B8*'Calculations Etc'!AB$97/'Calculations Etc'!$B$97</f>
        <v>2.2891452521474505E-4</v>
      </c>
      <c r="AC8" s="4">
        <f>$B8*'Calculations Etc'!AC$97/'Calculations Etc'!$B$97</f>
        <v>2.2842108303537095E-4</v>
      </c>
      <c r="AD8" s="4">
        <f>$B8*'Calculations Etc'!AD$97/'Calculations Etc'!$B$97</f>
        <v>2.2792308135518305E-4</v>
      </c>
      <c r="AE8" s="4">
        <f>$B8*'Calculations Etc'!AE$97/'Calculations Etc'!$B$97</f>
        <v>2.2746276747138072E-4</v>
      </c>
      <c r="AF8" s="4">
        <f>$B8*'Calculations Etc'!AF$97/'Calculations Etc'!$B$97</f>
        <v>2.2700903762957897E-4</v>
      </c>
      <c r="AG8" s="4"/>
      <c r="AH8" s="4"/>
      <c r="AI8" s="4"/>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3"/>
  </sheetPr>
  <dimension ref="A1:AK8"/>
  <sheetViews>
    <sheetView workbookViewId="0">
      <selection activeCell="C2" sqref="C2:AF8"/>
    </sheetView>
  </sheetViews>
  <sheetFormatPr defaultRowHeight="14.5"/>
  <cols>
    <col min="1" max="1" width="31.08984375" customWidth="1"/>
  </cols>
  <sheetData>
    <row r="1" spans="1:37">
      <c r="A1" s="1" t="s">
        <v>856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7">
      <c r="A2" t="s">
        <v>112</v>
      </c>
      <c r="B2" s="15">
        <f>'SYFAFE-passenger'!L1*'Calculations Etc'!$B$9*'AEO 49'!$G$202/'AEO 49'!$G$131</f>
        <v>3.1663477151009402E-3</v>
      </c>
      <c r="C2" s="4">
        <f>$B2*'BNVFE-HDVs-frgt'!C2/'BNVFE-HDVs-frgt'!$B2</f>
        <v>4.4079595093891597E-3</v>
      </c>
      <c r="D2" s="4">
        <f>$B2*'BNVFE-HDVs-frgt'!D2/'BNVFE-HDVs-frgt'!$B2</f>
        <v>4.4499552617472604E-3</v>
      </c>
      <c r="E2" s="4">
        <f>$B2*'BNVFE-HDVs-frgt'!E2/'BNVFE-HDVs-frgt'!$B2</f>
        <v>4.5052438778823926E-3</v>
      </c>
      <c r="F2" s="4">
        <f>$B2*'BNVFE-HDVs-frgt'!F2/'BNVFE-HDVs-frgt'!$B2</f>
        <v>4.5727808524734324E-3</v>
      </c>
      <c r="G2" s="4">
        <f>$B2*'BNVFE-HDVs-frgt'!G2/'BNVFE-HDVs-frgt'!$B2</f>
        <v>4.6568996641535541E-3</v>
      </c>
      <c r="H2" s="4">
        <f>$B2*'BNVFE-HDVs-frgt'!H2/'BNVFE-HDVs-frgt'!$B2</f>
        <v>4.7577561904264291E-3</v>
      </c>
      <c r="I2" s="4">
        <f>$B2*'BNVFE-HDVs-frgt'!I2/'BNVFE-HDVs-frgt'!$B2</f>
        <v>4.8608689490301296E-3</v>
      </c>
      <c r="J2" s="4">
        <f>$B2*'BNVFE-HDVs-frgt'!J2/'BNVFE-HDVs-frgt'!$B2</f>
        <v>4.9072532203259349E-3</v>
      </c>
      <c r="K2" s="4">
        <f>$B2*'BNVFE-HDVs-frgt'!K2/'BNVFE-HDVs-frgt'!$B2</f>
        <v>4.9900615685721924E-3</v>
      </c>
      <c r="L2" s="4">
        <f>$B2*'BNVFE-HDVs-frgt'!L2/'BNVFE-HDVs-frgt'!$B2</f>
        <v>5.0684759358657905E-3</v>
      </c>
      <c r="M2" s="4">
        <f>$B2*'BNVFE-HDVs-frgt'!M2/'BNVFE-HDVs-frgt'!$B2</f>
        <v>5.1401510170166632E-3</v>
      </c>
      <c r="N2" s="4">
        <f>$B2*'BNVFE-HDVs-frgt'!N2/'BNVFE-HDVs-frgt'!$B2</f>
        <v>5.1812984764369732E-3</v>
      </c>
      <c r="O2" s="4">
        <f>$B2*'BNVFE-HDVs-frgt'!O2/'BNVFE-HDVs-frgt'!$B2</f>
        <v>5.1861210154859894E-3</v>
      </c>
      <c r="P2" s="4">
        <f>$B2*'BNVFE-HDVs-frgt'!P2/'BNVFE-HDVs-frgt'!$B2</f>
        <v>5.1896536786959673E-3</v>
      </c>
      <c r="Q2" s="4">
        <f>$B2*'BNVFE-HDVs-frgt'!Q2/'BNVFE-HDVs-frgt'!$B2</f>
        <v>5.1900028274979998E-3</v>
      </c>
      <c r="R2" s="4">
        <f>$B2*'BNVFE-HDVs-frgt'!R2/'BNVFE-HDVs-frgt'!$B2</f>
        <v>5.189671325205817E-3</v>
      </c>
      <c r="S2" s="4">
        <f>$B2*'BNVFE-HDVs-frgt'!S2/'BNVFE-HDVs-frgt'!$B2</f>
        <v>5.1889402555120303E-3</v>
      </c>
      <c r="T2" s="4">
        <f>$B2*'BNVFE-HDVs-frgt'!T2/'BNVFE-HDVs-frgt'!$B2</f>
        <v>5.1880016292500074E-3</v>
      </c>
      <c r="U2" s="4">
        <f>$B2*'BNVFE-HDVs-frgt'!U2/'BNVFE-HDVs-frgt'!$B2</f>
        <v>5.1869966184985477E-3</v>
      </c>
      <c r="V2" s="4">
        <f>$B2*'BNVFE-HDVs-frgt'!V2/'BNVFE-HDVs-frgt'!$B2</f>
        <v>5.1859319457375963E-3</v>
      </c>
      <c r="W2" s="4">
        <f>$B2*'BNVFE-HDVs-frgt'!W2/'BNVFE-HDVs-frgt'!$B2</f>
        <v>5.1847290419828199E-3</v>
      </c>
      <c r="X2" s="4">
        <f>$B2*'BNVFE-HDVs-frgt'!X2/'BNVFE-HDVs-frgt'!$B2</f>
        <v>5.1833484126645527E-3</v>
      </c>
      <c r="Y2" s="4">
        <f>$B2*'BNVFE-HDVs-frgt'!Y2/'BNVFE-HDVs-frgt'!$B2</f>
        <v>5.1820211430308322E-3</v>
      </c>
      <c r="Z2" s="4">
        <f>$B2*'BNVFE-HDVs-frgt'!Z2/'BNVFE-HDVs-frgt'!$B2</f>
        <v>5.1808115167961116E-3</v>
      </c>
      <c r="AA2" s="4">
        <f>$B2*'BNVFE-HDVs-frgt'!AA2/'BNVFE-HDVs-frgt'!$B2</f>
        <v>5.1796770983057539E-3</v>
      </c>
      <c r="AB2" s="4">
        <f>$B2*'BNVFE-HDVs-frgt'!AB2/'BNVFE-HDVs-frgt'!$B2</f>
        <v>5.1786166270947646E-3</v>
      </c>
      <c r="AC2" s="4">
        <f>$B2*'BNVFE-HDVs-frgt'!AC2/'BNVFE-HDVs-frgt'!$B2</f>
        <v>5.1776036333983739E-3</v>
      </c>
      <c r="AD2" s="4">
        <f>$B2*'BNVFE-HDVs-frgt'!AD2/'BNVFE-HDVs-frgt'!$B2</f>
        <v>5.1766360164415964E-3</v>
      </c>
      <c r="AE2" s="4">
        <f>$B2*'BNVFE-HDVs-frgt'!AE2/'BNVFE-HDVs-frgt'!$B2</f>
        <v>5.1757179777743995E-3</v>
      </c>
      <c r="AF2" s="4">
        <f>$B2*'BNVFE-HDVs-frgt'!AF2/'BNVFE-HDVs-frgt'!$B2</f>
        <v>5.1748444755368222E-3</v>
      </c>
      <c r="AG2" s="4"/>
      <c r="AH2" s="4"/>
      <c r="AI2" s="4"/>
    </row>
    <row r="3" spans="1:37">
      <c r="A3" t="s">
        <v>113</v>
      </c>
      <c r="B3" s="15">
        <f>'SYFAFE-passenger'!L2*'Calculations Etc'!$B$9*'AEO 49'!$G$202/'AEO 49'!$G$131</f>
        <v>8.4430740727243017E-4</v>
      </c>
      <c r="C3" s="4">
        <f>$B3*'BNVFE-HDVs-frgt'!C3/'BNVFE-HDVs-frgt'!$B3</f>
        <v>8.5584739574332729E-4</v>
      </c>
      <c r="D3" s="4">
        <f>$B3*'BNVFE-HDVs-frgt'!D3/'BNVFE-HDVs-frgt'!$B3</f>
        <v>8.6929128531010823E-4</v>
      </c>
      <c r="E3" s="4">
        <f>$B3*'BNVFE-HDVs-frgt'!E3/'BNVFE-HDVs-frgt'!$B3</f>
        <v>8.8589111695567169E-4</v>
      </c>
      <c r="F3" s="4">
        <f>$B3*'BNVFE-HDVs-frgt'!F3/'BNVFE-HDVs-frgt'!$B3</f>
        <v>9.0644258910400281E-4</v>
      </c>
      <c r="G3" s="4">
        <f>$B3*'BNVFE-HDVs-frgt'!G3/'BNVFE-HDVs-frgt'!$B3</f>
        <v>9.3018481598049565E-4</v>
      </c>
      <c r="H3" s="4">
        <f>$B3*'BNVFE-HDVs-frgt'!H3/'BNVFE-HDVs-frgt'!$B3</f>
        <v>9.5583701592660115E-4</v>
      </c>
      <c r="I3" s="4">
        <f>$B3*'BNVFE-HDVs-frgt'!I3/'BNVFE-HDVs-frgt'!$B3</f>
        <v>9.8234846762172072E-4</v>
      </c>
      <c r="J3" s="4">
        <f>$B3*'BNVFE-HDVs-frgt'!J3/'BNVFE-HDVs-frgt'!$B3</f>
        <v>9.9585483105153446E-4</v>
      </c>
      <c r="K3" s="4">
        <f>$B3*'BNVFE-HDVs-frgt'!K3/'BNVFE-HDVs-frgt'!$B3</f>
        <v>1.0155987306939222E-3</v>
      </c>
      <c r="L3" s="4">
        <f>$B3*'BNVFE-HDVs-frgt'!L3/'BNVFE-HDVs-frgt'!$B3</f>
        <v>1.0323399718609944E-3</v>
      </c>
      <c r="M3" s="4">
        <f>$B3*'BNVFE-HDVs-frgt'!M3/'BNVFE-HDVs-frgt'!$B3</f>
        <v>1.0472122595143114E-3</v>
      </c>
      <c r="N3" s="4">
        <f>$B3*'BNVFE-HDVs-frgt'!N3/'BNVFE-HDVs-frgt'!$B3</f>
        <v>1.0560436079711214E-3</v>
      </c>
      <c r="O3" s="4">
        <f>$B3*'BNVFE-HDVs-frgt'!O3/'BNVFE-HDVs-frgt'!$B3</f>
        <v>1.0571414208213061E-3</v>
      </c>
      <c r="P3" s="4">
        <f>$B3*'BNVFE-HDVs-frgt'!P3/'BNVFE-HDVs-frgt'!$B3</f>
        <v>1.0579798929268925E-3</v>
      </c>
      <c r="Q3" s="4">
        <f>$B3*'BNVFE-HDVs-frgt'!Q3/'BNVFE-HDVs-frgt'!$B3</f>
        <v>1.0580681389450858E-3</v>
      </c>
      <c r="R3" s="4">
        <f>$B3*'BNVFE-HDVs-frgt'!R3/'BNVFE-HDVs-frgt'!$B3</f>
        <v>1.0584918277786134E-3</v>
      </c>
      <c r="S3" s="4">
        <f>$B3*'BNVFE-HDVs-frgt'!S3/'BNVFE-HDVs-frgt'!$B3</f>
        <v>1.058841978263647E-3</v>
      </c>
      <c r="T3" s="4">
        <f>$B3*'BNVFE-HDVs-frgt'!T3/'BNVFE-HDVs-frgt'!$B3</f>
        <v>1.058932518138582E-3</v>
      </c>
      <c r="U3" s="4">
        <f>$B3*'BNVFE-HDVs-frgt'!U3/'BNVFE-HDVs-frgt'!$B3</f>
        <v>1.0588075704125162E-3</v>
      </c>
      <c r="V3" s="4">
        <f>$B3*'BNVFE-HDVs-frgt'!V3/'BNVFE-HDVs-frgt'!$B3</f>
        <v>1.0588006888422902E-3</v>
      </c>
      <c r="W3" s="4">
        <f>$B3*'BNVFE-HDVs-frgt'!W3/'BNVFE-HDVs-frgt'!$B3</f>
        <v>1.0588079752107647E-3</v>
      </c>
      <c r="X3" s="4">
        <f>$B3*'BNVFE-HDVs-frgt'!X3/'BNVFE-HDVs-frgt'!$B3</f>
        <v>1.0588168807722338E-3</v>
      </c>
      <c r="Y3" s="4">
        <f>$B3*'BNVFE-HDVs-frgt'!Y3/'BNVFE-HDVs-frgt'!$B3</f>
        <v>1.0587534623799542E-3</v>
      </c>
      <c r="Z3" s="4">
        <f>$B3*'BNVFE-HDVs-frgt'!Z3/'BNVFE-HDVs-frgt'!$B3</f>
        <v>1.0588186348979779E-3</v>
      </c>
      <c r="AA3" s="4">
        <f>$B3*'BNVFE-HDVs-frgt'!AA3/'BNVFE-HDVs-frgt'!$B3</f>
        <v>1.0589867611038935E-3</v>
      </c>
      <c r="AB3" s="4">
        <f>$B3*'BNVFE-HDVs-frgt'!AB3/'BNVFE-HDVs-frgt'!$B3</f>
        <v>1.0589770459459274E-3</v>
      </c>
      <c r="AC3" s="4">
        <f>$B3*'BNVFE-HDVs-frgt'!AC3/'BNVFE-HDVs-frgt'!$B3</f>
        <v>1.0592625636439352E-3</v>
      </c>
      <c r="AD3" s="4">
        <f>$B3*'BNVFE-HDVs-frgt'!AD3/'BNVFE-HDVs-frgt'!$B3</f>
        <v>1.0597098657086307E-3</v>
      </c>
      <c r="AE3" s="4">
        <f>$B3*'BNVFE-HDVs-frgt'!AE3/'BNVFE-HDVs-frgt'!$B3</f>
        <v>1.0602143792591274E-3</v>
      </c>
      <c r="AF3" s="4">
        <f>$B3*'BNVFE-HDVs-frgt'!AF3/'BNVFE-HDVs-frgt'!$B3</f>
        <v>1.0607856845206423E-3</v>
      </c>
      <c r="AG3" s="4"/>
      <c r="AH3" s="4"/>
      <c r="AI3" s="4"/>
    </row>
    <row r="4" spans="1:37">
      <c r="A4" t="s">
        <v>114</v>
      </c>
      <c r="B4" s="15">
        <f>'SYFAFE-passenger'!L3*'Calculations Etc'!$B$9*'AEO 49'!$G$202/'AEO 49'!$G$131</f>
        <v>9.8510865378970158E-4</v>
      </c>
      <c r="C4" s="4">
        <f>$B4*'BNVFE-HDVs-frgt'!C4/'BNVFE-HDVs-frgt'!$B4</f>
        <v>9.9857311283553583E-4</v>
      </c>
      <c r="D4" s="4">
        <f>$B4*'BNVFE-HDVs-frgt'!D4/'BNVFE-HDVs-frgt'!$B4</f>
        <v>1.0142589777690357E-3</v>
      </c>
      <c r="E4" s="4">
        <f>$B4*'BNVFE-HDVs-frgt'!E4/'BNVFE-HDVs-frgt'!$B4</f>
        <v>1.0336270866647336E-3</v>
      </c>
      <c r="F4" s="4">
        <f>$B4*'BNVFE-HDVs-frgt'!F4/'BNVFE-HDVs-frgt'!$B4</f>
        <v>1.0576058328975104E-3</v>
      </c>
      <c r="G4" s="4">
        <f>$B4*'BNVFE-HDVs-frgt'!G4/'BNVFE-HDVs-frgt'!$B4</f>
        <v>1.0853074412866034E-3</v>
      </c>
      <c r="H4" s="4">
        <f>$B4*'BNVFE-HDVs-frgt'!H4/'BNVFE-HDVs-frgt'!$B4</f>
        <v>1.1152375401321042E-3</v>
      </c>
      <c r="I4" s="4">
        <f>$B4*'BNVFE-HDVs-frgt'!I4/'BNVFE-HDVs-frgt'!$B4</f>
        <v>1.1461701841719817E-3</v>
      </c>
      <c r="J4" s="4">
        <f>$B4*'BNVFE-HDVs-frgt'!J4/'BNVFE-HDVs-frgt'!$B4</f>
        <v>1.1619289414460904E-3</v>
      </c>
      <c r="K4" s="4">
        <f>$B4*'BNVFE-HDVs-frgt'!K4/'BNVFE-HDVs-frgt'!$B4</f>
        <v>1.1849654400362248E-3</v>
      </c>
      <c r="L4" s="4">
        <f>$B4*'BNVFE-HDVs-frgt'!L4/'BNVFE-HDVs-frgt'!$B4</f>
        <v>1.2044985406661731E-3</v>
      </c>
      <c r="M4" s="4">
        <f>$B4*'BNVFE-HDVs-frgt'!M4/'BNVFE-HDVs-frgt'!$B4</f>
        <v>1.2218510110374359E-3</v>
      </c>
      <c r="N4" s="4">
        <f>$B4*'BNVFE-HDVs-frgt'!N4/'BNVFE-HDVs-frgt'!$B4</f>
        <v>1.2321551226850418E-3</v>
      </c>
      <c r="O4" s="4">
        <f>$B4*'BNVFE-HDVs-frgt'!O4/'BNVFE-HDVs-frgt'!$B4</f>
        <v>1.2334360127135354E-3</v>
      </c>
      <c r="P4" s="4">
        <f>$B4*'BNVFE-HDVs-frgt'!P4/'BNVFE-HDVs-frgt'!$B4</f>
        <v>1.2344143129393297E-3</v>
      </c>
      <c r="Q4" s="4">
        <f>$B4*'BNVFE-HDVs-frgt'!Q4/'BNVFE-HDVs-frgt'!$B4</f>
        <v>1.2345172753383752E-3</v>
      </c>
      <c r="R4" s="4">
        <f>$B4*'BNVFE-HDVs-frgt'!R4/'BNVFE-HDVs-frgt'!$B4</f>
        <v>1.2350116208016829E-3</v>
      </c>
      <c r="S4" s="4">
        <f>$B4*'BNVFE-HDVs-frgt'!S4/'BNVFE-HDVs-frgt'!$B4</f>
        <v>1.235420164265786E-3</v>
      </c>
      <c r="T4" s="4">
        <f>$B4*'BNVFE-HDVs-frgt'!T4/'BNVFE-HDVs-frgt'!$B4</f>
        <v>1.235525803057467E-3</v>
      </c>
      <c r="U4" s="4">
        <f>$B4*'BNVFE-HDVs-frgt'!U4/'BNVFE-HDVs-frgt'!$B4</f>
        <v>1.2353800183762496E-3</v>
      </c>
      <c r="V4" s="4">
        <f>$B4*'BNVFE-HDVs-frgt'!V4/'BNVFE-HDVs-frgt'!$B4</f>
        <v>1.2353719891983425E-3</v>
      </c>
      <c r="W4" s="4">
        <f>$B4*'BNVFE-HDVs-frgt'!W4/'BNVFE-HDVs-frgt'!$B4</f>
        <v>1.2353804906808325E-3</v>
      </c>
      <c r="X4" s="4">
        <f>$B4*'BNVFE-HDVs-frgt'!X4/'BNVFE-HDVs-frgt'!$B4</f>
        <v>1.2353908813816535E-3</v>
      </c>
      <c r="Y4" s="4">
        <f>$B4*'BNVFE-HDVs-frgt'!Y4/'BNVFE-HDVs-frgt'!$B4</f>
        <v>1.2353168869970183E-3</v>
      </c>
      <c r="Z4" s="4">
        <f>$B4*'BNVFE-HDVs-frgt'!Z4/'BNVFE-HDVs-frgt'!$B4</f>
        <v>1.2353929280348455E-3</v>
      </c>
      <c r="AA4" s="4">
        <f>$B4*'BNVFE-HDVs-frgt'!AA4/'BNVFE-HDVs-frgt'!$B4</f>
        <v>1.2355890918715595E-3</v>
      </c>
      <c r="AB4" s="4">
        <f>$B4*'BNVFE-HDVs-frgt'!AB4/'BNVFE-HDVs-frgt'!$B4</f>
        <v>1.2355777565615728E-3</v>
      </c>
      <c r="AC4" s="4">
        <f>$B4*'BNVFE-HDVs-frgt'!AC4/'BNVFE-HDVs-frgt'!$B4</f>
        <v>1.2359108887272918E-3</v>
      </c>
      <c r="AD4" s="4">
        <f>$B4*'BNVFE-HDVs-frgt'!AD4/'BNVFE-HDVs-frgt'!$B4</f>
        <v>1.2364327852912617E-3</v>
      </c>
      <c r="AE4" s="4">
        <f>$B4*'BNVFE-HDVs-frgt'!AE4/'BNVFE-HDVs-frgt'!$B4</f>
        <v>1.2370214342362642E-3</v>
      </c>
      <c r="AF4" s="4">
        <f>$B4*'BNVFE-HDVs-frgt'!AF4/'BNVFE-HDVs-frgt'!$B4</f>
        <v>1.237688013437425E-3</v>
      </c>
      <c r="AG4" s="4"/>
      <c r="AH4" s="4"/>
      <c r="AI4" s="4"/>
    </row>
    <row r="5" spans="1:37">
      <c r="A5" t="s">
        <v>115</v>
      </c>
      <c r="B5" s="15">
        <f>'SYFAFE-passenger'!L4*'Calculations Etc'!$B$9*'AEO 49'!$G$202/'AEO 49'!$G$131</f>
        <v>9.8533458931645266E-4</v>
      </c>
      <c r="C5" s="4">
        <f>$B5*'BNVFE-HDVs-frgt'!C5/'BNVFE-HDVs-frgt'!$B5</f>
        <v>9.988021364476826E-4</v>
      </c>
      <c r="D5" s="4">
        <f>$B5*'BNVFE-HDVs-frgt'!D5/'BNVFE-HDVs-frgt'!$B5</f>
        <v>1.0144915989479513E-3</v>
      </c>
      <c r="E5" s="4">
        <f>$B5*'BNVFE-HDVs-frgt'!E5/'BNVFE-HDVs-frgt'!$B5</f>
        <v>1.0338641499362739E-3</v>
      </c>
      <c r="F5" s="4">
        <f>$B5*'BNVFE-HDVs-frgt'!F5/'BNVFE-HDVs-frgt'!$B5</f>
        <v>1.0578483957153595E-3</v>
      </c>
      <c r="G5" s="4">
        <f>$B5*'BNVFE-HDVs-frgt'!G5/'BNVFE-HDVs-frgt'!$B5</f>
        <v>1.0855563574924357E-3</v>
      </c>
      <c r="H5" s="4">
        <f>$B5*'BNVFE-HDVs-frgt'!H5/'BNVFE-HDVs-frgt'!$B5</f>
        <v>1.1154933208321449E-3</v>
      </c>
      <c r="I5" s="4">
        <f>$B5*'BNVFE-HDVs-frgt'!I5/'BNVFE-HDVs-frgt'!$B5</f>
        <v>1.146433059300843E-3</v>
      </c>
      <c r="J5" s="4">
        <f>$B5*'BNVFE-HDVs-frgt'!J5/'BNVFE-HDVs-frgt'!$B5</f>
        <v>1.162195430859642E-3</v>
      </c>
      <c r="K5" s="4">
        <f>$B5*'BNVFE-HDVs-frgt'!K5/'BNVFE-HDVs-frgt'!$B5</f>
        <v>1.1852372128907688E-3</v>
      </c>
      <c r="L5" s="4">
        <f>$B5*'BNVFE-HDVs-frgt'!L5/'BNVFE-HDVs-frgt'!$B5</f>
        <v>1.2047747934543398E-3</v>
      </c>
      <c r="M5" s="4">
        <f>$B5*'BNVFE-HDVs-frgt'!M5/'BNVFE-HDVs-frgt'!$B5</f>
        <v>1.2221312436297778E-3</v>
      </c>
      <c r="N5" s="4">
        <f>$B5*'BNVFE-HDVs-frgt'!N5/'BNVFE-HDVs-frgt'!$B5</f>
        <v>1.2324377185343545E-3</v>
      </c>
      <c r="O5" s="4">
        <f>$B5*'BNVFE-HDVs-frgt'!O5/'BNVFE-HDVs-frgt'!$B5</f>
        <v>1.2337189023360906E-3</v>
      </c>
      <c r="P5" s="4">
        <f>$B5*'BNVFE-HDVs-frgt'!P5/'BNVFE-HDVs-frgt'!$B5</f>
        <v>1.2346974269358923E-3</v>
      </c>
      <c r="Q5" s="4">
        <f>$B5*'BNVFE-HDVs-frgt'!Q5/'BNVFE-HDVs-frgt'!$B5</f>
        <v>1.2348004129494538E-3</v>
      </c>
      <c r="R5" s="4">
        <f>$B5*'BNVFE-HDVs-frgt'!R5/'BNVFE-HDVs-frgt'!$B5</f>
        <v>1.2352948717913239E-3</v>
      </c>
      <c r="S5" s="4">
        <f>$B5*'BNVFE-HDVs-frgt'!S5/'BNVFE-HDVs-frgt'!$B5</f>
        <v>1.2357035089552255E-3</v>
      </c>
      <c r="T5" s="4">
        <f>$B5*'BNVFE-HDVs-frgt'!T5/'BNVFE-HDVs-frgt'!$B5</f>
        <v>1.2358091719752555E-3</v>
      </c>
      <c r="U5" s="4">
        <f>$B5*'BNVFE-HDVs-frgt'!U5/'BNVFE-HDVs-frgt'!$B5</f>
        <v>1.2356633538581946E-3</v>
      </c>
      <c r="V5" s="4">
        <f>$B5*'BNVFE-HDVs-frgt'!V5/'BNVFE-HDVs-frgt'!$B5</f>
        <v>1.2356553228387885E-3</v>
      </c>
      <c r="W5" s="4">
        <f>$B5*'BNVFE-HDVs-frgt'!W5/'BNVFE-HDVs-frgt'!$B5</f>
        <v>1.2356638262711007E-3</v>
      </c>
      <c r="X5" s="4">
        <f>$B5*'BNVFE-HDVs-frgt'!X5/'BNVFE-HDVs-frgt'!$B5</f>
        <v>1.2356742193550382E-3</v>
      </c>
      <c r="Y5" s="4">
        <f>$B5*'BNVFE-HDVs-frgt'!Y5/'BNVFE-HDVs-frgt'!$B5</f>
        <v>1.2356002079997265E-3</v>
      </c>
      <c r="Z5" s="4">
        <f>$B5*'BNVFE-HDVs-frgt'!Z5/'BNVFE-HDVs-frgt'!$B5</f>
        <v>1.2356762664776318E-3</v>
      </c>
      <c r="AA5" s="4">
        <f>$B5*'BNVFE-HDVs-frgt'!AA5/'BNVFE-HDVs-frgt'!$B5</f>
        <v>1.2358724753046924E-3</v>
      </c>
      <c r="AB5" s="4">
        <f>$B5*'BNVFE-HDVs-frgt'!AB5/'BNVFE-HDVs-frgt'!$B5</f>
        <v>1.2358611373949426E-3</v>
      </c>
      <c r="AC5" s="4">
        <f>$B5*'BNVFE-HDVs-frgt'!AC5/'BNVFE-HDVs-frgt'!$B5</f>
        <v>1.236194345964814E-3</v>
      </c>
      <c r="AD5" s="4">
        <f>$B5*'BNVFE-HDVs-frgt'!AD5/'BNVFE-HDVs-frgt'!$B5</f>
        <v>1.2367163622262144E-3</v>
      </c>
      <c r="AE5" s="4">
        <f>$B5*'BNVFE-HDVs-frgt'!AE5/'BNVFE-HDVs-frgt'!$B5</f>
        <v>1.2373051461783645E-3</v>
      </c>
      <c r="AF5" s="4">
        <f>$B5*'BNVFE-HDVs-frgt'!AF5/'BNVFE-HDVs-frgt'!$B5</f>
        <v>1.2379718782600448E-3</v>
      </c>
      <c r="AG5" s="15"/>
      <c r="AH5" s="15"/>
      <c r="AI5" s="15"/>
      <c r="AJ5" s="8"/>
      <c r="AK5" s="8"/>
    </row>
    <row r="6" spans="1:37">
      <c r="A6" t="s">
        <v>116</v>
      </c>
      <c r="B6" s="15">
        <f>'SYFAFE-passenger'!L5*'Calculations Etc'!$B$9*'AEO 49'!$G$202/'AEO 49'!$G$131</f>
        <v>2.184891808497921E-3</v>
      </c>
      <c r="C6" s="4">
        <f>$B6*'BNVFE-HDVs-frgt'!C6/'BNVFE-HDVs-frgt'!$B6</f>
        <v>2.2147548963531811E-3</v>
      </c>
      <c r="D6" s="4">
        <f>$B6*'BNVFE-HDVs-frgt'!D6/'BNVFE-HDVs-frgt'!$B6</f>
        <v>2.2495448839048742E-3</v>
      </c>
      <c r="E6" s="4">
        <f>$B6*'BNVFE-HDVs-frgt'!E6/'BNVFE-HDVs-frgt'!$B6</f>
        <v>2.2925017925763316E-3</v>
      </c>
      <c r="F6" s="4">
        <f>$B6*'BNVFE-HDVs-frgt'!F6/'BNVFE-HDVs-frgt'!$B6</f>
        <v>2.3456847242463524E-3</v>
      </c>
      <c r="G6" s="4">
        <f>$B6*'BNVFE-HDVs-frgt'!G6/'BNVFE-HDVs-frgt'!$B6</f>
        <v>2.4071246649256953E-3</v>
      </c>
      <c r="H6" s="4">
        <f>$B6*'BNVFE-HDVs-frgt'!H6/'BNVFE-HDVs-frgt'!$B6</f>
        <v>2.4735072183054651E-3</v>
      </c>
      <c r="I6" s="4">
        <f>$B6*'BNVFE-HDVs-frgt'!I6/'BNVFE-HDVs-frgt'!$B6</f>
        <v>2.5421133363391591E-3</v>
      </c>
      <c r="J6" s="4">
        <f>$B6*'BNVFE-HDVs-frgt'!J6/'BNVFE-HDVs-frgt'!$B6</f>
        <v>2.577064993243046E-3</v>
      </c>
      <c r="K6" s="4">
        <f>$B6*'BNVFE-HDVs-frgt'!K6/'BNVFE-HDVs-frgt'!$B6</f>
        <v>2.6281580953820141E-3</v>
      </c>
      <c r="L6" s="4">
        <f>$B6*'BNVFE-HDVs-frgt'!L6/'BNVFE-HDVs-frgt'!$B6</f>
        <v>2.671480942457572E-3</v>
      </c>
      <c r="M6" s="4">
        <f>$B6*'BNVFE-HDVs-frgt'!M6/'BNVFE-HDVs-frgt'!$B6</f>
        <v>2.7099673269041225E-3</v>
      </c>
      <c r="N6" s="4">
        <f>$B6*'BNVFE-HDVs-frgt'!N6/'BNVFE-HDVs-frgt'!$B6</f>
        <v>2.7328210182670939E-3</v>
      </c>
      <c r="O6" s="4">
        <f>$B6*'BNVFE-HDVs-frgt'!O6/'BNVFE-HDVs-frgt'!$B6</f>
        <v>2.7356619293890062E-3</v>
      </c>
      <c r="P6" s="4">
        <f>$B6*'BNVFE-HDVs-frgt'!P6/'BNVFE-HDVs-frgt'!$B6</f>
        <v>2.7378317206514886E-3</v>
      </c>
      <c r="Q6" s="4">
        <f>$B6*'BNVFE-HDVs-frgt'!Q6/'BNVFE-HDVs-frgt'!$B6</f>
        <v>2.7380600829761854E-3</v>
      </c>
      <c r="R6" s="4">
        <f>$B6*'BNVFE-HDVs-frgt'!R6/'BNVFE-HDVs-frgt'!$B6</f>
        <v>2.7391565014770218E-3</v>
      </c>
      <c r="S6" s="4">
        <f>$B6*'BNVFE-HDVs-frgt'!S6/'BNVFE-HDVs-frgt'!$B6</f>
        <v>2.740062618040611E-3</v>
      </c>
      <c r="T6" s="4">
        <f>$B6*'BNVFE-HDVs-frgt'!T6/'BNVFE-HDVs-frgt'!$B6</f>
        <v>2.7402969163890381E-3</v>
      </c>
      <c r="U6" s="4">
        <f>$B6*'BNVFE-HDVs-frgt'!U6/'BNVFE-HDVs-frgt'!$B6</f>
        <v>2.7399735776846507E-3</v>
      </c>
      <c r="V6" s="4">
        <f>$B6*'BNVFE-HDVs-frgt'!V6/'BNVFE-HDVs-frgt'!$B6</f>
        <v>2.7399557696134594E-3</v>
      </c>
      <c r="W6" s="4">
        <f>$B6*'BNVFE-HDVs-frgt'!W6/'BNVFE-HDVs-frgt'!$B6</f>
        <v>2.7399746252182505E-3</v>
      </c>
      <c r="X6" s="4">
        <f>$B6*'BNVFE-HDVs-frgt'!X6/'BNVFE-HDVs-frgt'!$B6</f>
        <v>2.7399976709574399E-3</v>
      </c>
      <c r="Y6" s="4">
        <f>$B6*'BNVFE-HDVs-frgt'!Y6/'BNVFE-HDVs-frgt'!$B6</f>
        <v>2.7398335573601816E-3</v>
      </c>
      <c r="Z6" s="4">
        <f>$B6*'BNVFE-HDVs-frgt'!Z6/'BNVFE-HDVs-frgt'!$B6</f>
        <v>2.7400022102697045E-3</v>
      </c>
      <c r="AA6" s="4">
        <f>$B6*'BNVFE-HDVs-frgt'!AA6/'BNVFE-HDVs-frgt'!$B6</f>
        <v>2.740437285891374E-3</v>
      </c>
      <c r="AB6" s="4">
        <f>$B6*'BNVFE-HDVs-frgt'!AB6/'BNVFE-HDVs-frgt'!$B6</f>
        <v>2.7404121450849859E-3</v>
      </c>
      <c r="AC6" s="4">
        <f>$B6*'BNVFE-HDVs-frgt'!AC6/'BNVFE-HDVs-frgt'!$B6</f>
        <v>2.741151005450517E-3</v>
      </c>
      <c r="AD6" s="4">
        <f>$B6*'BNVFE-HDVs-frgt'!AD6/'BNVFE-HDVs-frgt'!$B6</f>
        <v>2.7423085300779925E-3</v>
      </c>
      <c r="AE6" s="4">
        <f>$B6*'BNVFE-HDVs-frgt'!AE6/'BNVFE-HDVs-frgt'!$B6</f>
        <v>2.7436141061208679E-3</v>
      </c>
      <c r="AF6" s="4">
        <f>$B6*'BNVFE-HDVs-frgt'!AF6/'BNVFE-HDVs-frgt'!$B6</f>
        <v>2.7450925252076636E-3</v>
      </c>
      <c r="AG6" s="15"/>
      <c r="AH6" s="15"/>
      <c r="AI6" s="15"/>
      <c r="AJ6" s="8"/>
      <c r="AK6" s="8"/>
    </row>
    <row r="7" spans="1:37">
      <c r="A7" t="s">
        <v>853</v>
      </c>
      <c r="B7" s="15">
        <f>'SYFAFE-passenger'!L6*'Calculations Etc'!$B$9*'AEO 49'!$G$202/'AEO 49'!$G$131</f>
        <v>9.8533458931645266E-4</v>
      </c>
      <c r="C7" s="4">
        <f>$B7*'BNVFE-HDVs-frgt'!C7/'BNVFE-HDVs-frgt'!$B7</f>
        <v>9.988021364476826E-4</v>
      </c>
      <c r="D7" s="4">
        <f>$B7*'BNVFE-HDVs-frgt'!D7/'BNVFE-HDVs-frgt'!$B7</f>
        <v>1.0144915989479511E-3</v>
      </c>
      <c r="E7" s="4">
        <f>$B7*'BNVFE-HDVs-frgt'!E7/'BNVFE-HDVs-frgt'!$B7</f>
        <v>1.0338641499362737E-3</v>
      </c>
      <c r="F7" s="4">
        <f>$B7*'BNVFE-HDVs-frgt'!F7/'BNVFE-HDVs-frgt'!$B7</f>
        <v>1.0578483957153595E-3</v>
      </c>
      <c r="G7" s="4">
        <f>$B7*'BNVFE-HDVs-frgt'!G7/'BNVFE-HDVs-frgt'!$B7</f>
        <v>1.0855563574924359E-3</v>
      </c>
      <c r="H7" s="4">
        <f>$B7*'BNVFE-HDVs-frgt'!H7/'BNVFE-HDVs-frgt'!$B7</f>
        <v>1.1154933208321449E-3</v>
      </c>
      <c r="I7" s="4">
        <f>$B7*'BNVFE-HDVs-frgt'!I7/'BNVFE-HDVs-frgt'!$B7</f>
        <v>1.146433059300843E-3</v>
      </c>
      <c r="J7" s="4">
        <f>$B7*'BNVFE-HDVs-frgt'!J7/'BNVFE-HDVs-frgt'!$B7</f>
        <v>1.162195430859642E-3</v>
      </c>
      <c r="K7" s="4">
        <f>$B7*'BNVFE-HDVs-frgt'!K7/'BNVFE-HDVs-frgt'!$B7</f>
        <v>1.185237212890769E-3</v>
      </c>
      <c r="L7" s="4">
        <f>$B7*'BNVFE-HDVs-frgt'!L7/'BNVFE-HDVs-frgt'!$B7</f>
        <v>1.2047747934543398E-3</v>
      </c>
      <c r="M7" s="4">
        <f>$B7*'BNVFE-HDVs-frgt'!M7/'BNVFE-HDVs-frgt'!$B7</f>
        <v>1.222131243629778E-3</v>
      </c>
      <c r="N7" s="4">
        <f>$B7*'BNVFE-HDVs-frgt'!N7/'BNVFE-HDVs-frgt'!$B7</f>
        <v>1.2324377185343543E-3</v>
      </c>
      <c r="O7" s="4">
        <f>$B7*'BNVFE-HDVs-frgt'!O7/'BNVFE-HDVs-frgt'!$B7</f>
        <v>1.2337189023360906E-3</v>
      </c>
      <c r="P7" s="4">
        <f>$B7*'BNVFE-HDVs-frgt'!P7/'BNVFE-HDVs-frgt'!$B7</f>
        <v>1.2346974269358923E-3</v>
      </c>
      <c r="Q7" s="4">
        <f>$B7*'BNVFE-HDVs-frgt'!Q7/'BNVFE-HDVs-frgt'!$B7</f>
        <v>1.2348004129494538E-3</v>
      </c>
      <c r="R7" s="4">
        <f>$B7*'BNVFE-HDVs-frgt'!R7/'BNVFE-HDVs-frgt'!$B7</f>
        <v>1.2352948717913237E-3</v>
      </c>
      <c r="S7" s="4">
        <f>$B7*'BNVFE-HDVs-frgt'!S7/'BNVFE-HDVs-frgt'!$B7</f>
        <v>1.2357035089552253E-3</v>
      </c>
      <c r="T7" s="4">
        <f>$B7*'BNVFE-HDVs-frgt'!T7/'BNVFE-HDVs-frgt'!$B7</f>
        <v>1.2358091719752557E-3</v>
      </c>
      <c r="U7" s="4">
        <f>$B7*'BNVFE-HDVs-frgt'!U7/'BNVFE-HDVs-frgt'!$B7</f>
        <v>1.2356633538581946E-3</v>
      </c>
      <c r="V7" s="4">
        <f>$B7*'BNVFE-HDVs-frgt'!V7/'BNVFE-HDVs-frgt'!$B7</f>
        <v>1.2356553228387885E-3</v>
      </c>
      <c r="W7" s="4">
        <f>$B7*'BNVFE-HDVs-frgt'!W7/'BNVFE-HDVs-frgt'!$B7</f>
        <v>1.2356638262711007E-3</v>
      </c>
      <c r="X7" s="4">
        <f>$B7*'BNVFE-HDVs-frgt'!X7/'BNVFE-HDVs-frgt'!$B7</f>
        <v>1.2356742193550382E-3</v>
      </c>
      <c r="Y7" s="4">
        <f>$B7*'BNVFE-HDVs-frgt'!Y7/'BNVFE-HDVs-frgt'!$B7</f>
        <v>1.2356002079997265E-3</v>
      </c>
      <c r="Z7" s="4">
        <f>$B7*'BNVFE-HDVs-frgt'!Z7/'BNVFE-HDVs-frgt'!$B7</f>
        <v>1.2356762664776323E-3</v>
      </c>
      <c r="AA7" s="4">
        <f>$B7*'BNVFE-HDVs-frgt'!AA7/'BNVFE-HDVs-frgt'!$B7</f>
        <v>1.2358724753046926E-3</v>
      </c>
      <c r="AB7" s="4">
        <f>$B7*'BNVFE-HDVs-frgt'!AB7/'BNVFE-HDVs-frgt'!$B7</f>
        <v>1.2358611373949424E-3</v>
      </c>
      <c r="AC7" s="4">
        <f>$B7*'BNVFE-HDVs-frgt'!AC7/'BNVFE-HDVs-frgt'!$B7</f>
        <v>1.236194345964814E-3</v>
      </c>
      <c r="AD7" s="4">
        <f>$B7*'BNVFE-HDVs-frgt'!AD7/'BNVFE-HDVs-frgt'!$B7</f>
        <v>1.2367163622262144E-3</v>
      </c>
      <c r="AE7" s="4">
        <f>$B7*'BNVFE-HDVs-frgt'!AE7/'BNVFE-HDVs-frgt'!$B7</f>
        <v>1.2373051461783645E-3</v>
      </c>
      <c r="AF7" s="4">
        <f>$B7*'BNVFE-HDVs-frgt'!AF7/'BNVFE-HDVs-frgt'!$B7</f>
        <v>1.2379718782600448E-3</v>
      </c>
      <c r="AG7" s="4"/>
      <c r="AH7" s="4"/>
      <c r="AI7" s="4"/>
    </row>
    <row r="8" spans="1:37">
      <c r="A8" t="s">
        <v>854</v>
      </c>
      <c r="B8" s="15">
        <f>'SYFAFE-passenger'!L7*'Calculations Etc'!$B$9*'AEO 49'!$G$202/'AEO 49'!$G$131</f>
        <v>2.9560037679493573E-3</v>
      </c>
      <c r="C8" s="4">
        <f>$B8*'BNVFE-HDVs-frgt'!C8/'BNVFE-HDVs-frgt'!$B8</f>
        <v>2.9964064093430461E-3</v>
      </c>
      <c r="D8" s="4">
        <f>$B8*'BNVFE-HDVs-frgt'!D8/'BNVFE-HDVs-frgt'!$B8</f>
        <v>3.0434747968438526E-3</v>
      </c>
      <c r="E8" s="4">
        <f>$B8*'BNVFE-HDVs-frgt'!E8/'BNVFE-HDVs-frgt'!$B8</f>
        <v>3.1015924498088211E-3</v>
      </c>
      <c r="F8" s="4">
        <f>$B8*'BNVFE-HDVs-frgt'!F8/'BNVFE-HDVs-frgt'!$B8</f>
        <v>3.1735451871460771E-3</v>
      </c>
      <c r="G8" s="4">
        <f>$B8*'BNVFE-HDVs-frgt'!G8/'BNVFE-HDVs-frgt'!$B8</f>
        <v>3.2566690724773069E-3</v>
      </c>
      <c r="H8" s="4">
        <f>$B8*'BNVFE-HDVs-frgt'!H8/'BNVFE-HDVs-frgt'!$B8</f>
        <v>3.3464799624964331E-3</v>
      </c>
      <c r="I8" s="4">
        <f>$B8*'BNVFE-HDVs-frgt'!I8/'BNVFE-HDVs-frgt'!$B8</f>
        <v>3.439299177902528E-3</v>
      </c>
      <c r="J8" s="4">
        <f>$B8*'BNVFE-HDVs-frgt'!J8/'BNVFE-HDVs-frgt'!$B8</f>
        <v>3.4865862925789249E-3</v>
      </c>
      <c r="K8" s="4">
        <f>$B8*'BNVFE-HDVs-frgt'!K8/'BNVFE-HDVs-frgt'!$B8</f>
        <v>3.5557116386723056E-3</v>
      </c>
      <c r="L8" s="4">
        <f>$B8*'BNVFE-HDVs-frgt'!L8/'BNVFE-HDVs-frgt'!$B8</f>
        <v>3.6143243803630188E-3</v>
      </c>
      <c r="M8" s="4">
        <f>$B8*'BNVFE-HDVs-frgt'!M8/'BNVFE-HDVs-frgt'!$B8</f>
        <v>3.6663937308893326E-3</v>
      </c>
      <c r="N8" s="4">
        <f>$B8*'BNVFE-HDVs-frgt'!N8/'BNVFE-HDVs-frgt'!$B8</f>
        <v>3.6973131556030628E-3</v>
      </c>
      <c r="O8" s="4">
        <f>$B8*'BNVFE-HDVs-frgt'!O8/'BNVFE-HDVs-frgt'!$B8</f>
        <v>3.7011567070082707E-3</v>
      </c>
      <c r="P8" s="4">
        <f>$B8*'BNVFE-HDVs-frgt'!P8/'BNVFE-HDVs-frgt'!$B8</f>
        <v>3.704092280807677E-3</v>
      </c>
      <c r="Q8" s="4">
        <f>$B8*'BNVFE-HDVs-frgt'!Q8/'BNVFE-HDVs-frgt'!$B8</f>
        <v>3.7044012388483608E-3</v>
      </c>
      <c r="R8" s="4">
        <f>$B8*'BNVFE-HDVs-frgt'!R8/'BNVFE-HDVs-frgt'!$B8</f>
        <v>3.7058846153739697E-3</v>
      </c>
      <c r="S8" s="4">
        <f>$B8*'BNVFE-HDVs-frgt'!S8/'BNVFE-HDVs-frgt'!$B8</f>
        <v>3.7071105268656757E-3</v>
      </c>
      <c r="T8" s="4">
        <f>$B8*'BNVFE-HDVs-frgt'!T8/'BNVFE-HDVs-frgt'!$B8</f>
        <v>3.7074275159257658E-3</v>
      </c>
      <c r="U8" s="4">
        <f>$B8*'BNVFE-HDVs-frgt'!U8/'BNVFE-HDVs-frgt'!$B8</f>
        <v>3.706990061574583E-3</v>
      </c>
      <c r="V8" s="4">
        <f>$B8*'BNVFE-HDVs-frgt'!V8/'BNVFE-HDVs-frgt'!$B8</f>
        <v>3.7069659685163648E-3</v>
      </c>
      <c r="W8" s="4">
        <f>$B8*'BNVFE-HDVs-frgt'!W8/'BNVFE-HDVs-frgt'!$B8</f>
        <v>3.7069914788133013E-3</v>
      </c>
      <c r="X8" s="4">
        <f>$B8*'BNVFE-HDVs-frgt'!X8/'BNVFE-HDVs-frgt'!$B8</f>
        <v>3.707022658065114E-3</v>
      </c>
      <c r="Y8" s="4">
        <f>$B8*'BNVFE-HDVs-frgt'!Y8/'BNVFE-HDVs-frgt'!$B8</f>
        <v>3.7068006239991788E-3</v>
      </c>
      <c r="Z8" s="4">
        <f>$B8*'BNVFE-HDVs-frgt'!Z8/'BNVFE-HDVs-frgt'!$B8</f>
        <v>3.7070287994328951E-3</v>
      </c>
      <c r="AA8" s="4">
        <f>$B8*'BNVFE-HDVs-frgt'!AA8/'BNVFE-HDVs-frgt'!$B8</f>
        <v>3.7076174259140764E-3</v>
      </c>
      <c r="AB8" s="4">
        <f>$B8*'BNVFE-HDVs-frgt'!AB8/'BNVFE-HDVs-frgt'!$B8</f>
        <v>3.7075834121848266E-3</v>
      </c>
      <c r="AC8" s="4">
        <f>$B8*'BNVFE-HDVs-frgt'!AC8/'BNVFE-HDVs-frgt'!$B8</f>
        <v>3.7085830378944407E-3</v>
      </c>
      <c r="AD8" s="4">
        <f>$B8*'BNVFE-HDVs-frgt'!AD8/'BNVFE-HDVs-frgt'!$B8</f>
        <v>3.7101490866786424E-3</v>
      </c>
      <c r="AE8" s="4">
        <f>$B8*'BNVFE-HDVs-frgt'!AE8/'BNVFE-HDVs-frgt'!$B8</f>
        <v>3.7119154385350924E-3</v>
      </c>
      <c r="AF8" s="4">
        <f>$B8*'BNVFE-HDVs-frgt'!AF8/'BNVFE-HDVs-frgt'!$B8</f>
        <v>3.7139156347801338E-3</v>
      </c>
      <c r="AG8" s="4"/>
      <c r="AH8" s="4"/>
      <c r="AI8" s="4"/>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I8"/>
  <sheetViews>
    <sheetView workbookViewId="0">
      <selection activeCell="G6" sqref="G6"/>
    </sheetView>
  </sheetViews>
  <sheetFormatPr defaultRowHeight="14.5"/>
  <cols>
    <col min="1" max="1" width="31.08984375" customWidth="1"/>
  </cols>
  <sheetData>
    <row r="1" spans="1:35">
      <c r="A1" s="1" t="s">
        <v>856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5">
      <c r="A2" t="s">
        <v>112</v>
      </c>
      <c r="B2" s="15">
        <f>INDEX('AEO 49'!$197:$197,MATCH('BNVFE-HDVs-frgt'!B1,'AEO 49'!1:1,0))*'Calculations Etc'!$B$25/'Calculations Etc'!$B$29</f>
        <v>1.0008488993658489E-3</v>
      </c>
      <c r="C2" s="15">
        <f>INDEX('AEO 49'!$197:$197,MATCH('BNVFE-HDVs-frgt'!C1,'AEO 49'!1:1,0))*'Calculations Etc'!$B$25/'Calculations Etc'!$B$29</f>
        <v>1.3933092068129753E-3</v>
      </c>
      <c r="D2" s="15">
        <f>INDEX('AEO 49'!$197:$197,MATCH('BNVFE-HDVs-frgt'!D1,'AEO 49'!1:1,0))*'Calculations Etc'!$B$25/'Calculations Etc'!$B$29</f>
        <v>1.406583618314021E-3</v>
      </c>
      <c r="E2" s="15">
        <f>INDEX('AEO 49'!$197:$197,MATCH('BNVFE-HDVs-frgt'!E1,'AEO 49'!1:1,0))*'Calculations Etc'!$B$25/'Calculations Etc'!$B$29</f>
        <v>1.4240597629403366E-3</v>
      </c>
      <c r="F2" s="15">
        <f>INDEX('AEO 49'!$197:$197,MATCH('BNVFE-HDVs-frgt'!F1,'AEO 49'!1:1,0))*'Calculations Etc'!$B$25/'Calculations Etc'!$B$29</f>
        <v>1.4454074836481954E-3</v>
      </c>
      <c r="G2" s="15">
        <f>INDEX('AEO 49'!$197:$197,MATCH('BNVFE-HDVs-frgt'!G1,'AEO 49'!1:1,0))*'Calculations Etc'!$B$25/'Calculations Etc'!$B$29</f>
        <v>1.4719965470301141E-3</v>
      </c>
      <c r="H2" s="15">
        <f>INDEX('AEO 49'!$197:$197,MATCH('BNVFE-HDVs-frgt'!H1,'AEO 49'!1:1,0))*'Calculations Etc'!$B$25/'Calculations Etc'!$B$29</f>
        <v>1.5038762243102361E-3</v>
      </c>
      <c r="I2" s="15">
        <f>INDEX('AEO 49'!$197:$197,MATCH('BNVFE-HDVs-frgt'!I1,'AEO 49'!1:1,0))*'Calculations Etc'!$B$25/'Calculations Etc'!$B$29</f>
        <v>1.5364690726783758E-3</v>
      </c>
      <c r="J2" s="15">
        <f>INDEX('AEO 49'!$197:$197,MATCH('BNVFE-HDVs-frgt'!J1,'AEO 49'!1:1,0))*'Calculations Etc'!$B$25/'Calculations Etc'!$B$29</f>
        <v>1.5511306484279027E-3</v>
      </c>
      <c r="K2" s="15">
        <f>INDEX('AEO 49'!$197:$197,MATCH('BNVFE-HDVs-frgt'!K1,'AEO 49'!1:1,0))*'Calculations Etc'!$B$25/'Calculations Etc'!$B$29</f>
        <v>1.5773054882300208E-3</v>
      </c>
      <c r="L2" s="15">
        <f>INDEX('AEO 49'!$197:$197,MATCH('BNVFE-HDVs-frgt'!L1,'AEO 49'!1:1,0))*'Calculations Etc'!$B$25/'Calculations Etc'!$B$29</f>
        <v>1.602091437298715E-3</v>
      </c>
      <c r="M2" s="15">
        <f>INDEX('AEO 49'!$197:$197,MATCH('BNVFE-HDVs-frgt'!M1,'AEO 49'!1:1,0))*'Calculations Etc'!$B$25/'Calculations Etc'!$B$29</f>
        <v>1.6247471695607424E-3</v>
      </c>
      <c r="N2" s="15">
        <f>INDEX('AEO 49'!$197:$197,MATCH('BNVFE-HDVs-frgt'!N1,'AEO 49'!1:1,0))*'Calculations Etc'!$B$25/'Calculations Etc'!$B$29</f>
        <v>1.6377534446694777E-3</v>
      </c>
      <c r="O2" s="15">
        <f>INDEX('AEO 49'!$197:$197,MATCH('BNVFE-HDVs-frgt'!O1,'AEO 49'!1:1,0))*'Calculations Etc'!$B$25/'Calculations Etc'!$B$29</f>
        <v>1.6392777980676649E-3</v>
      </c>
      <c r="P2" s="15">
        <f>INDEX('AEO 49'!$197:$197,MATCH('BNVFE-HDVs-frgt'!P1,'AEO 49'!1:1,0))*'Calculations Etc'!$B$25/'Calculations Etc'!$B$29</f>
        <v>1.640394435406222E-3</v>
      </c>
      <c r="Q2" s="15">
        <f>INDEX('AEO 49'!$197:$197,MATCH('BNVFE-HDVs-frgt'!Q1,'AEO 49'!1:1,0))*'Calculations Etc'!$B$25/'Calculations Etc'!$B$29</f>
        <v>1.6405047976360437E-3</v>
      </c>
      <c r="R2" s="15">
        <f>INDEX('AEO 49'!$197:$197,MATCH('BNVFE-HDVs-frgt'!R1,'AEO 49'!1:1,0))*'Calculations Etc'!$B$25/'Calculations Etc'!$B$29</f>
        <v>1.6404000132806532E-3</v>
      </c>
      <c r="S2" s="15">
        <f>INDEX('AEO 49'!$197:$197,MATCH('BNVFE-HDVs-frgt'!S1,'AEO 49'!1:1,0))*'Calculations Etc'!$B$25/'Calculations Etc'!$B$29</f>
        <v>1.6401689299113515E-3</v>
      </c>
      <c r="T2" s="15">
        <f>INDEX('AEO 49'!$197:$197,MATCH('BNVFE-HDVs-frgt'!T1,'AEO 49'!1:1,0))*'Calculations Etc'!$B$25/'Calculations Etc'!$B$29</f>
        <v>1.6398722401142136E-3</v>
      </c>
      <c r="U2" s="15">
        <f>INDEX('AEO 49'!$197:$197,MATCH('BNVFE-HDVs-frgt'!U1,'AEO 49'!1:1,0))*'Calculations Etc'!$B$25/'Calculations Etc'!$B$29</f>
        <v>1.6395545668846905E-3</v>
      </c>
      <c r="V2" s="15">
        <f>INDEX('AEO 49'!$197:$197,MATCH('BNVFE-HDVs-frgt'!V1,'AEO 49'!1:1,0))*'Calculations Etc'!$B$25/'Calculations Etc'!$B$29</f>
        <v>1.6392180351273284E-3</v>
      </c>
      <c r="W2" s="15">
        <f>INDEX('AEO 49'!$197:$197,MATCH('BNVFE-HDVs-frgt'!W1,'AEO 49'!1:1,0))*'Calculations Etc'!$B$25/'Calculations Etc'!$B$29</f>
        <v>1.6388378100202531E-3</v>
      </c>
      <c r="X2" s="15">
        <f>INDEX('AEO 49'!$197:$197,MATCH('BNVFE-HDVs-frgt'!X1,'AEO 49'!1:1,0))*'Calculations Etc'!$B$25/'Calculations Etc'!$B$29</f>
        <v>1.6384014077492613E-3</v>
      </c>
      <c r="Y2" s="15">
        <f>INDEX('AEO 49'!$197:$197,MATCH('BNVFE-HDVs-frgt'!Y1,'AEO 49'!1:1,0))*'Calculations Etc'!$B$25/'Calculations Etc'!$B$29</f>
        <v>1.6379818719080977E-3</v>
      </c>
      <c r="Z2" s="15">
        <f>INDEX('AEO 49'!$197:$197,MATCH('BNVFE-HDVs-frgt'!Z1,'AEO 49'!1:1,0))*'Calculations Etc'!$B$25/'Calculations Etc'!$B$29</f>
        <v>1.6375995218964772E-3</v>
      </c>
      <c r="AA2" s="15">
        <f>INDEX('AEO 49'!$197:$197,MATCH('BNVFE-HDVs-frgt'!AA1,'AEO 49'!1:1,0))*'Calculations Etc'!$B$25/'Calculations Etc'!$B$29</f>
        <v>1.6372409442544575E-3</v>
      </c>
      <c r="AB2" s="15">
        <f>INDEX('AEO 49'!$197:$197,MATCH('BNVFE-HDVs-frgt'!AB1,'AEO 49'!1:1,0))*'Calculations Etc'!$B$25/'Calculations Etc'!$B$29</f>
        <v>1.6369057405624355E-3</v>
      </c>
      <c r="AC2" s="15">
        <f>INDEX('AEO 49'!$197:$197,MATCH('BNVFE-HDVs-frgt'!AC1,'AEO 49'!1:1,0))*'Calculations Etc'!$B$25/'Calculations Etc'!$B$29</f>
        <v>1.6365855440087652E-3</v>
      </c>
      <c r="AD2" s="15">
        <f>INDEX('AEO 49'!$197:$197,MATCH('BNVFE-HDVs-frgt'!AD1,'AEO 49'!1:1,0))*'Calculations Etc'!$B$25/'Calculations Etc'!$B$29</f>
        <v>1.6362796905607755E-3</v>
      </c>
      <c r="AE2" s="15">
        <f>INDEX('AEO 49'!$197:$197,MATCH('BNVFE-HDVs-frgt'!AE1,'AEO 49'!1:1,0))*'Calculations Etc'!$B$25/'Calculations Etc'!$B$29</f>
        <v>1.6359895082838076E-3</v>
      </c>
      <c r="AF2" s="15">
        <f>INDEX('AEO 49'!$197:$197,MATCH('BNVFE-HDVs-frgt'!AF1,'AEO 49'!1:1,0))*'Calculations Etc'!$B$25/'Calculations Etc'!$B$29</f>
        <v>1.6357134034994522E-3</v>
      </c>
      <c r="AG2" s="4"/>
      <c r="AH2" s="4"/>
      <c r="AI2" s="4"/>
    </row>
    <row r="3" spans="1:35">
      <c r="A3" t="s">
        <v>113</v>
      </c>
      <c r="B3" s="15">
        <f>INDEX('SYFAFE-freight'!$B$3:$H$3,MATCH($A3,'SYFAFE-freight'!$B$1:$H$1,0))*'AEO 49'!H$201/'AEO 49 (2020)'!$F$201*('AEO 49'!$G$201/'AEO 49'!$G$130)</f>
        <v>4.9961543882058763E-4</v>
      </c>
      <c r="C3" s="15">
        <f>$B3*'AEO 49'!H$201/'AEO 49'!$G$201</f>
        <v>5.064441795780537E-4</v>
      </c>
      <c r="D3" s="15">
        <f>$B3*'AEO 49'!I$201/'AEO 49'!$G$201</f>
        <v>5.1439954598548774E-4</v>
      </c>
      <c r="E3" s="15">
        <f>$B3*'AEO 49'!J$201/'AEO 49'!$G$201</f>
        <v>5.2422242814962586E-4</v>
      </c>
      <c r="F3" s="15">
        <f>$B3*'AEO 49'!K$201/'AEO 49'!$G$201</f>
        <v>5.3638367734317285E-4</v>
      </c>
      <c r="G3" s="15">
        <f>$B3*'AEO 49'!L$201/'AEO 49'!$G$201</f>
        <v>5.504330425356417E-4</v>
      </c>
      <c r="H3" s="15">
        <f>$B3*'AEO 49'!M$201/'AEO 49'!$G$201</f>
        <v>5.6561262644358153E-4</v>
      </c>
      <c r="I3" s="15">
        <f>$B3*'AEO 49'!N$201/'AEO 49'!$G$201</f>
        <v>5.813006690431581E-4</v>
      </c>
      <c r="J3" s="15">
        <f>$B3*'AEO 49'!O$201/'AEO 49'!$G$201</f>
        <v>5.892930041023238E-4</v>
      </c>
      <c r="K3" s="15">
        <f>$B3*'AEO 49'!P$201/'AEO 49'!$G$201</f>
        <v>6.0097637558396034E-4</v>
      </c>
      <c r="L3" s="15">
        <f>$B3*'AEO 49'!Q$201/'AEO 49'!$G$201</f>
        <v>6.1088293625137036E-4</v>
      </c>
      <c r="M3" s="15">
        <f>$B3*'AEO 49'!R$201/'AEO 49'!$G$201</f>
        <v>6.1968355135693038E-4</v>
      </c>
      <c r="N3" s="15">
        <f>$B3*'AEO 49'!S$201/'AEO 49'!$G$201</f>
        <v>6.2490946551641967E-4</v>
      </c>
      <c r="O3" s="15">
        <f>$B3*'AEO 49'!T$201/'AEO 49'!$G$201</f>
        <v>6.2555909175937769E-4</v>
      </c>
      <c r="P3" s="15">
        <f>$B3*'AEO 49'!U$201/'AEO 49'!$G$201</f>
        <v>6.2605525418240389E-4</v>
      </c>
      <c r="Q3" s="15">
        <f>$B3*'AEO 49'!V$201/'AEO 49'!$G$201</f>
        <v>6.2610747340104882E-4</v>
      </c>
      <c r="R3" s="15">
        <f>$B3*'AEO 49'!W$201/'AEO 49'!$G$201</f>
        <v>6.2635818952726414E-4</v>
      </c>
      <c r="S3" s="15">
        <f>$B3*'AEO 49'!X$201/'AEO 49'!$G$201</f>
        <v>6.2656538963794229E-4</v>
      </c>
      <c r="T3" s="15">
        <f>$B3*'AEO 49'!Y$201/'AEO 49'!$G$201</f>
        <v>6.2661896623688814E-4</v>
      </c>
      <c r="U3" s="15">
        <f>$B3*'AEO 49'!Z$201/'AEO 49'!$G$201</f>
        <v>6.2654502893342472E-4</v>
      </c>
      <c r="V3" s="15">
        <f>$B3*'AEO 49'!AA$201/'AEO 49'!$G$201</f>
        <v>6.2654095679252116E-4</v>
      </c>
      <c r="W3" s="15">
        <f>$B3*'AEO 49'!AB$201/'AEO 49'!$G$201</f>
        <v>6.2654526847112483E-4</v>
      </c>
      <c r="X3" s="15">
        <f>$B3*'AEO 49'!AC$201/'AEO 49'!$G$201</f>
        <v>6.2655053830052939E-4</v>
      </c>
      <c r="Y3" s="15">
        <f>$B3*'AEO 49'!AD$201/'AEO 49'!$G$201</f>
        <v>6.2651301072749711E-4</v>
      </c>
      <c r="Z3" s="15">
        <f>$B3*'AEO 49'!AE$201/'AEO 49'!$G$201</f>
        <v>6.2655157629723035E-4</v>
      </c>
      <c r="AA3" s="15">
        <f>$B3*'AEO 49'!AF$201/'AEO 49'!$G$201</f>
        <v>6.2665106428871572E-4</v>
      </c>
      <c r="AB3" s="15">
        <f>$B3*'AEO 49'!AG$201/'AEO 49'!$G$201</f>
        <v>6.2664531538391083E-4</v>
      </c>
      <c r="AC3" s="15">
        <f>$B3*'AEO 49'!AH$201/'AEO 49'!$G$201</f>
        <v>6.2681426930845602E-4</v>
      </c>
      <c r="AD3" s="15">
        <f>$B3*'AEO 49'!AI$201/'AEO 49'!$G$201</f>
        <v>6.2707895846718332E-4</v>
      </c>
      <c r="AE3" s="15">
        <f>$B3*'AEO 49'!AJ$201/'AEO 49'!$G$201</f>
        <v>6.2737750228753983E-4</v>
      </c>
      <c r="AF3" s="15">
        <f>$B3*'AEO 49'!AK$201/'AEO 49'!$G$201</f>
        <v>6.2771556982843025E-4</v>
      </c>
      <c r="AG3" s="4"/>
      <c r="AH3" s="4"/>
      <c r="AI3" s="4"/>
    </row>
    <row r="4" spans="1:35">
      <c r="A4" s="8" t="s">
        <v>114</v>
      </c>
      <c r="B4" s="15">
        <f>INDEX('SYFAFE-freight'!$B$3:$H$3,MATCH($A4,'SYFAFE-freight'!$B$1:$H$1,0))*'AEO 49'!H$201/'AEO 49 (2020)'!$F$201*('AEO 49'!$G$201/'AEO 49'!$G$130)</f>
        <v>7.1576826677045109E-3</v>
      </c>
      <c r="C4" s="15">
        <f>$B4*'AEO 49'!H$201/'AEO 49'!$G$201</f>
        <v>7.2555138305631806E-3</v>
      </c>
      <c r="D4" s="15">
        <f>$B4*'AEO 49'!I$201/'AEO 49'!$G$201</f>
        <v>7.3694854651951049E-3</v>
      </c>
      <c r="E4" s="15">
        <f>$B4*'AEO 49'!J$201/'AEO 49'!$G$201</f>
        <v>7.5102118478287761E-3</v>
      </c>
      <c r="F4" s="15">
        <f>$B4*'AEO 49'!K$201/'AEO 49'!$G$201</f>
        <v>7.6844385746404455E-3</v>
      </c>
      <c r="G4" s="15">
        <f>$B4*'AEO 49'!L$201/'AEO 49'!$G$201</f>
        <v>7.8857151764359645E-3</v>
      </c>
      <c r="H4" s="15">
        <f>$B4*'AEO 49'!M$201/'AEO 49'!$G$201</f>
        <v>8.1031837256411547E-3</v>
      </c>
      <c r="I4" s="15">
        <f>$B4*'AEO 49'!N$201/'AEO 49'!$G$201</f>
        <v>8.3279366493503888E-3</v>
      </c>
      <c r="J4" s="15">
        <f>$B4*'AEO 49'!O$201/'AEO 49'!$G$201</f>
        <v>8.4424379110858584E-3</v>
      </c>
      <c r="K4" s="15">
        <f>$B4*'AEO 49'!P$201/'AEO 49'!$G$201</f>
        <v>8.6098183782545128E-3</v>
      </c>
      <c r="L4" s="15">
        <f>$B4*'AEO 49'!Q$201/'AEO 49'!$G$201</f>
        <v>8.7517435712651075E-3</v>
      </c>
      <c r="M4" s="15">
        <f>$B4*'AEO 49'!R$201/'AEO 49'!$G$201</f>
        <v>8.8778245633875843E-3</v>
      </c>
      <c r="N4" s="15">
        <f>$B4*'AEO 49'!S$201/'AEO 49'!$G$201</f>
        <v>8.952693016793644E-3</v>
      </c>
      <c r="O4" s="15">
        <f>$B4*'AEO 49'!T$201/'AEO 49'!$G$201</f>
        <v>8.961999811857229E-3</v>
      </c>
      <c r="P4" s="15">
        <f>$B4*'AEO 49'!U$201/'AEO 49'!$G$201</f>
        <v>8.9691080252944384E-3</v>
      </c>
      <c r="Q4" s="15">
        <f>$B4*'AEO 49'!V$201/'AEO 49'!$G$201</f>
        <v>8.9698561378769824E-3</v>
      </c>
      <c r="R4" s="15">
        <f>$B4*'AEO 49'!W$201/'AEO 49'!$G$201</f>
        <v>8.9734479933956234E-3</v>
      </c>
      <c r="S4" s="15">
        <f>$B4*'AEO 49'!X$201/'AEO 49'!$G$201</f>
        <v>8.9764164217621435E-3</v>
      </c>
      <c r="T4" s="15">
        <f>$B4*'AEO 49'!Y$201/'AEO 49'!$G$201</f>
        <v>8.9771839806962218E-3</v>
      </c>
      <c r="U4" s="15">
        <f>$B4*'AEO 49'!Z$201/'AEO 49'!$G$201</f>
        <v>8.976124726489133E-3</v>
      </c>
      <c r="V4" s="15">
        <f>$B4*'AEO 49'!AA$201/'AEO 49'!$G$201</f>
        <v>8.9760663874345302E-3</v>
      </c>
      <c r="W4" s="15">
        <f>$B4*'AEO 49'!AB$201/'AEO 49'!$G$201</f>
        <v>8.9761281581982252E-3</v>
      </c>
      <c r="X4" s="15">
        <f>$B4*'AEO 49'!AC$201/'AEO 49'!$G$201</f>
        <v>8.9762036557982997E-3</v>
      </c>
      <c r="Y4" s="15">
        <f>$B4*'AEO 49'!AD$201/'AEO 49'!$G$201</f>
        <v>8.9756660213735351E-3</v>
      </c>
      <c r="Z4" s="15">
        <f>$B4*'AEO 49'!AE$201/'AEO 49'!$G$201</f>
        <v>8.9762185265377086E-3</v>
      </c>
      <c r="AA4" s="15">
        <f>$B4*'AEO 49'!AF$201/'AEO 49'!$G$201</f>
        <v>8.9776438297148511E-3</v>
      </c>
      <c r="AB4" s="15">
        <f>$B4*'AEO 49'!AG$201/'AEO 49'!$G$201</f>
        <v>8.9775614686965887E-3</v>
      </c>
      <c r="AC4" s="15">
        <f>$B4*'AEO 49'!AH$201/'AEO 49'!$G$201</f>
        <v>8.9799819675110606E-3</v>
      </c>
      <c r="AD4" s="15">
        <f>$B4*'AEO 49'!AI$201/'AEO 49'!$G$201</f>
        <v>8.9837740060601991E-3</v>
      </c>
      <c r="AE4" s="15">
        <f>$B4*'AEO 49'!AJ$201/'AEO 49'!$G$201</f>
        <v>8.9880510594946578E-3</v>
      </c>
      <c r="AF4" s="15">
        <f>$B4*'AEO 49'!AK$201/'AEO 49'!$G$201</f>
        <v>8.992894344929666E-3</v>
      </c>
      <c r="AG4" s="15"/>
      <c r="AH4" s="4"/>
      <c r="AI4" s="4"/>
    </row>
    <row r="5" spans="1:35" s="8" customFormat="1">
      <c r="A5" s="8" t="s">
        <v>115</v>
      </c>
      <c r="B5" s="15">
        <f>INDEX('SYFAFE-freight'!$B$3:$H$3,MATCH($A5,'SYFAFE-freight'!$B$1:$H$1,0))*'AEO 49'!H$201/'AEO 49 (2020)'!$F$201*('AEO 49'!$G$201/'AEO 49'!$G$130)</f>
        <v>7.2928093510090471E-4</v>
      </c>
      <c r="C5" s="15">
        <f>$B5*'AEO 49'!H$201/'AEO 49'!$G$201</f>
        <v>7.3924874245474208E-4</v>
      </c>
      <c r="D5" s="15">
        <f>$B5*'AEO 49'!I$201/'AEO 49'!$G$201</f>
        <v>7.508610678592162E-4</v>
      </c>
      <c r="E5" s="15">
        <f>$B5*'AEO 49'!J$201/'AEO 49'!$G$201</f>
        <v>7.6519937715357957E-4</v>
      </c>
      <c r="F5" s="15">
        <f>$B5*'AEO 49'!K$201/'AEO 49'!$G$201</f>
        <v>7.8295096466416878E-4</v>
      </c>
      <c r="G5" s="15">
        <f>$B5*'AEO 49'!L$201/'AEO 49'!$G$201</f>
        <v>8.0345860591986078E-4</v>
      </c>
      <c r="H5" s="15">
        <f>$B5*'AEO 49'!M$201/'AEO 49'!$G$201</f>
        <v>8.2561600996837806E-4</v>
      </c>
      <c r="I5" s="15">
        <f>$B5*'AEO 49'!N$201/'AEO 49'!$G$201</f>
        <v>8.4851560331147032E-4</v>
      </c>
      <c r="J5" s="15">
        <f>$B5*'AEO 49'!O$201/'AEO 49'!$G$201</f>
        <v>8.6018189128557194E-4</v>
      </c>
      <c r="K5" s="15">
        <f>$B5*'AEO 49'!P$201/'AEO 49'!$G$201</f>
        <v>8.7723592808510082E-4</v>
      </c>
      <c r="L5" s="15">
        <f>$B5*'AEO 49'!Q$201/'AEO 49'!$G$201</f>
        <v>8.9169638159754131E-4</v>
      </c>
      <c r="M5" s="15">
        <f>$B5*'AEO 49'!R$201/'AEO 49'!$G$201</f>
        <v>9.0454250346438524E-4</v>
      </c>
      <c r="N5" s="15">
        <f>$B5*'AEO 49'!S$201/'AEO 49'!$G$201</f>
        <v>9.1217068960288046E-4</v>
      </c>
      <c r="O5" s="15">
        <f>$B5*'AEO 49'!T$201/'AEO 49'!$G$201</f>
        <v>9.1311893899054719E-4</v>
      </c>
      <c r="P5" s="15">
        <f>$B5*'AEO 49'!U$201/'AEO 49'!$G$201</f>
        <v>9.1384317961185513E-4</v>
      </c>
      <c r="Q5" s="15">
        <f>$B5*'AEO 49'!V$201/'AEO 49'!$G$201</f>
        <v>9.1391940319832696E-4</v>
      </c>
      <c r="R5" s="15">
        <f>$B5*'AEO 49'!W$201/'AEO 49'!$G$201</f>
        <v>9.1428536965325259E-4</v>
      </c>
      <c r="S5" s="15">
        <f>$B5*'AEO 49'!X$201/'AEO 49'!$G$201</f>
        <v>9.1458781645278495E-4</v>
      </c>
      <c r="T5" s="15">
        <f>$B5*'AEO 49'!Y$201/'AEO 49'!$G$201</f>
        <v>9.1466602138630556E-4</v>
      </c>
      <c r="U5" s="15">
        <f>$B5*'AEO 49'!Z$201/'AEO 49'!$G$201</f>
        <v>9.1455809624705047E-4</v>
      </c>
      <c r="V5" s="15">
        <f>$B5*'AEO 49'!AA$201/'AEO 49'!$G$201</f>
        <v>9.145521522059036E-4</v>
      </c>
      <c r="W5" s="15">
        <f>$B5*'AEO 49'!AB$201/'AEO 49'!$G$201</f>
        <v>9.1455844589652965E-4</v>
      </c>
      <c r="X5" s="15">
        <f>$B5*'AEO 49'!AC$201/'AEO 49'!$G$201</f>
        <v>9.1456613818507277E-4</v>
      </c>
      <c r="Y5" s="15">
        <f>$B5*'AEO 49'!AD$201/'AEO 49'!$G$201</f>
        <v>9.1451135976666027E-4</v>
      </c>
      <c r="Z5" s="15">
        <f>$B5*'AEO 49'!AE$201/'AEO 49'!$G$201</f>
        <v>9.1456765333281604E-4</v>
      </c>
      <c r="AA5" s="15">
        <f>$B5*'AEO 49'!AF$201/'AEO 49'!$G$201</f>
        <v>9.1471287441652219E-4</v>
      </c>
      <c r="AB5" s="15">
        <f>$B5*'AEO 49'!AG$201/'AEO 49'!$G$201</f>
        <v>9.147044828290207E-4</v>
      </c>
      <c r="AC5" s="15">
        <f>$B5*'AEO 49'!AH$201/'AEO 49'!$G$201</f>
        <v>9.1495110226170301E-4</v>
      </c>
      <c r="AD5" s="15">
        <f>$B5*'AEO 49'!AI$201/'AEO 49'!$G$201</f>
        <v>9.153374649362501E-4</v>
      </c>
      <c r="AE5" s="15">
        <f>$B5*'AEO 49'!AJ$201/'AEO 49'!$G$201</f>
        <v>9.1577324473719485E-4</v>
      </c>
      <c r="AF5" s="15">
        <f>$B5*'AEO 49'!AK$201/'AEO 49'!$G$201</f>
        <v>9.1626671670221223E-4</v>
      </c>
      <c r="AG5" s="15"/>
      <c r="AH5" s="15"/>
      <c r="AI5" s="15"/>
    </row>
    <row r="6" spans="1:35">
      <c r="A6" t="s">
        <v>116</v>
      </c>
      <c r="B6" s="15">
        <f>INDEX('SYFAFE-freight'!$B$3:$H$3,MATCH($A6,'SYFAFE-freight'!$B$1:$H$1,0))*'AEO 49'!H$201/'AEO 49 (2020)'!$F$201*('AEO 49'!$G$201/'AEO 49'!$G$130)</f>
        <v>1.1466008681806548E-3</v>
      </c>
      <c r="C6" s="15">
        <f>$B6*'AEO 49'!H$201/'AEO 49'!$G$201</f>
        <v>1.1622726018235836E-3</v>
      </c>
      <c r="D6" s="15">
        <f>$B6*'AEO 49'!I$201/'AEO 49'!$G$201</f>
        <v>1.1805299039818033E-3</v>
      </c>
      <c r="E6" s="15">
        <f>$B6*'AEO 49'!J$201/'AEO 49'!$G$201</f>
        <v>1.203073092887304E-3</v>
      </c>
      <c r="F6" s="15">
        <f>$B6*'AEO 49'!K$201/'AEO 49'!$G$201</f>
        <v>1.2309827566006578E-3</v>
      </c>
      <c r="G6" s="15">
        <f>$B6*'AEO 49'!L$201/'AEO 49'!$G$201</f>
        <v>1.2632255839342154E-3</v>
      </c>
      <c r="H6" s="15">
        <f>$B6*'AEO 49'!M$201/'AEO 49'!$G$201</f>
        <v>1.2980622257492715E-3</v>
      </c>
      <c r="I6" s="15">
        <f>$B6*'AEO 49'!N$201/'AEO 49'!$G$201</f>
        <v>1.3340657634045381E-3</v>
      </c>
      <c r="J6" s="15">
        <f>$B6*'AEO 49'!O$201/'AEO 49'!$G$201</f>
        <v>1.3524079073928485E-3</v>
      </c>
      <c r="K6" s="15">
        <f>$B6*'AEO 49'!P$201/'AEO 49'!$G$201</f>
        <v>1.3792208576006023E-3</v>
      </c>
      <c r="L6" s="15">
        <f>$B6*'AEO 49'!Q$201/'AEO 49'!$G$201</f>
        <v>1.4019560858968914E-3</v>
      </c>
      <c r="M6" s="15">
        <f>$B6*'AEO 49'!R$201/'AEO 49'!$G$201</f>
        <v>1.4221532057945064E-3</v>
      </c>
      <c r="N6" s="15">
        <f>$B6*'AEO 49'!S$201/'AEO 49'!$G$201</f>
        <v>1.4341465055341081E-3</v>
      </c>
      <c r="O6" s="15">
        <f>$B6*'AEO 49'!T$201/'AEO 49'!$G$201</f>
        <v>1.4356373762244275E-3</v>
      </c>
      <c r="P6" s="15">
        <f>$B6*'AEO 49'!U$201/'AEO 49'!$G$201</f>
        <v>1.4367760525358388E-3</v>
      </c>
      <c r="Q6" s="15">
        <f>$B6*'AEO 49'!V$201/'AEO 49'!$G$201</f>
        <v>1.4368958939113884E-3</v>
      </c>
      <c r="R6" s="15">
        <f>$B6*'AEO 49'!W$201/'AEO 49'!$G$201</f>
        <v>1.4374712791089795E-3</v>
      </c>
      <c r="S6" s="15">
        <f>$B6*'AEO 49'!X$201/'AEO 49'!$G$201</f>
        <v>1.4379467964936131E-3</v>
      </c>
      <c r="T6" s="15">
        <f>$B6*'AEO 49'!Y$201/'AEO 49'!$G$201</f>
        <v>1.438069753011952E-3</v>
      </c>
      <c r="U6" s="15">
        <f>$B6*'AEO 49'!Z$201/'AEO 49'!$G$201</f>
        <v>1.4379000693517704E-3</v>
      </c>
      <c r="V6" s="15">
        <f>$B6*'AEO 49'!AA$201/'AEO 49'!$G$201</f>
        <v>1.437890723923402E-3</v>
      </c>
      <c r="W6" s="15">
        <f>$B6*'AEO 49'!AB$201/'AEO 49'!$G$201</f>
        <v>1.4379006190828509E-3</v>
      </c>
      <c r="X6" s="15">
        <f>$B6*'AEO 49'!AC$201/'AEO 49'!$G$201</f>
        <v>1.4379127131666219E-3</v>
      </c>
      <c r="Y6" s="15">
        <f>$B6*'AEO 49'!AD$201/'AEO 49'!$G$201</f>
        <v>1.4378265886306769E-3</v>
      </c>
      <c r="Z6" s="15">
        <f>$B6*'AEO 49'!AE$201/'AEO 49'!$G$201</f>
        <v>1.4379150953346374E-3</v>
      </c>
      <c r="AA6" s="15">
        <f>$B6*'AEO 49'!AF$201/'AEO 49'!$G$201</f>
        <v>1.438143416976739E-3</v>
      </c>
      <c r="AB6" s="15">
        <f>$B6*'AEO 49'!AG$201/'AEO 49'!$G$201</f>
        <v>1.438130223430807E-3</v>
      </c>
      <c r="AC6" s="15">
        <f>$B6*'AEO 49'!AH$201/'AEO 49'!$G$201</f>
        <v>1.4385179670862538E-3</v>
      </c>
      <c r="AD6" s="15">
        <f>$B6*'AEO 49'!AI$201/'AEO 49'!$G$201</f>
        <v>1.4391254199302077E-3</v>
      </c>
      <c r="AE6" s="15">
        <f>$B6*'AEO 49'!AJ$201/'AEO 49'!$G$201</f>
        <v>1.4398105681002059E-3</v>
      </c>
      <c r="AF6" s="15">
        <f>$B6*'AEO 49'!AK$201/'AEO 49'!$G$201</f>
        <v>1.4405864218984864E-3</v>
      </c>
      <c r="AG6" s="4"/>
      <c r="AH6" s="4"/>
      <c r="AI6" s="4"/>
    </row>
    <row r="7" spans="1:35">
      <c r="A7" t="s">
        <v>853</v>
      </c>
      <c r="B7" s="15">
        <f>INDEX('SYFAFE-freight'!$B$3:$H$3,MATCH($A7,'SYFAFE-freight'!$B$1:$H$1,0))*'AEO 49'!H$201/'AEO 49 (2020)'!$F$201*('AEO 49'!$G$201/'AEO 49'!$G$130)</f>
        <v>3.092059196585414E-3</v>
      </c>
      <c r="C7" s="15">
        <f>$B7*'AEO 49'!H$201/'AEO 49'!$G$201</f>
        <v>3.1343214427443106E-3</v>
      </c>
      <c r="D7" s="15">
        <f>$B7*'AEO 49'!I$201/'AEO 49'!$G$201</f>
        <v>3.1835562380508383E-3</v>
      </c>
      <c r="E7" s="15">
        <f>$B7*'AEO 49'!J$201/'AEO 49'!$G$201</f>
        <v>3.2443488612818134E-3</v>
      </c>
      <c r="F7" s="15">
        <f>$B7*'AEO 49'!K$201/'AEO 49'!$G$201</f>
        <v>3.319613353707512E-3</v>
      </c>
      <c r="G7" s="15">
        <f>$B7*'AEO 49'!L$201/'AEO 49'!$G$201</f>
        <v>3.4065631664517097E-3</v>
      </c>
      <c r="H7" s="15">
        <f>$B7*'AEO 49'!M$201/'AEO 49'!$G$201</f>
        <v>3.5005077653890138E-3</v>
      </c>
      <c r="I7" s="15">
        <f>$B7*'AEO 49'!N$201/'AEO 49'!$G$201</f>
        <v>3.5975991533392245E-3</v>
      </c>
      <c r="J7" s="15">
        <f>$B7*'AEO 49'!O$201/'AEO 49'!$G$201</f>
        <v>3.6470627431358558E-3</v>
      </c>
      <c r="K7" s="15">
        <f>$B7*'AEO 49'!P$201/'AEO 49'!$G$201</f>
        <v>3.719369708513462E-3</v>
      </c>
      <c r="L7" s="15">
        <f>$B7*'AEO 49'!Q$201/'AEO 49'!$G$201</f>
        <v>3.780680207825707E-3</v>
      </c>
      <c r="M7" s="15">
        <f>$B7*'AEO 49'!R$201/'AEO 49'!$G$201</f>
        <v>3.8351461445409402E-3</v>
      </c>
      <c r="N7" s="15">
        <f>$B7*'AEO 49'!S$201/'AEO 49'!$G$201</f>
        <v>3.8674886917920014E-3</v>
      </c>
      <c r="O7" s="15">
        <f>$B7*'AEO 49'!T$201/'AEO 49'!$G$201</f>
        <v>3.871509149613768E-3</v>
      </c>
      <c r="P7" s="15">
        <f>$B7*'AEO 49'!U$201/'AEO 49'!$G$201</f>
        <v>3.8745798385154957E-3</v>
      </c>
      <c r="Q7" s="15">
        <f>$B7*'AEO 49'!V$201/'AEO 49'!$G$201</f>
        <v>3.8749030169097235E-3</v>
      </c>
      <c r="R7" s="15">
        <f>$B7*'AEO 49'!W$201/'AEO 49'!$G$201</f>
        <v>3.8764546685272688E-3</v>
      </c>
      <c r="S7" s="15">
        <f>$B7*'AEO 49'!X$201/'AEO 49'!$G$201</f>
        <v>3.8777370048162911E-3</v>
      </c>
      <c r="T7" s="15">
        <f>$B7*'AEO 49'!Y$201/'AEO 49'!$G$201</f>
        <v>3.8780685838721426E-3</v>
      </c>
      <c r="U7" s="15">
        <f>$B7*'AEO 49'!Z$201/'AEO 49'!$G$201</f>
        <v>3.8776109948919363E-3</v>
      </c>
      <c r="V7" s="15">
        <f>$B7*'AEO 49'!AA$201/'AEO 49'!$G$201</f>
        <v>3.8775857929070653E-3</v>
      </c>
      <c r="W7" s="15">
        <f>$B7*'AEO 49'!AB$201/'AEO 49'!$G$201</f>
        <v>3.8776124773616341E-3</v>
      </c>
      <c r="X7" s="15">
        <f>$B7*'AEO 49'!AC$201/'AEO 49'!$G$201</f>
        <v>3.8776450916949974E-3</v>
      </c>
      <c r="Y7" s="15">
        <f>$B7*'AEO 49'!AD$201/'AEO 49'!$G$201</f>
        <v>3.877412838108931E-3</v>
      </c>
      <c r="Z7" s="15">
        <f>$B7*'AEO 49'!AE$201/'AEO 49'!$G$201</f>
        <v>3.8776515157303566E-3</v>
      </c>
      <c r="AA7" s="15">
        <f>$B7*'AEO 49'!AF$201/'AEO 49'!$G$201</f>
        <v>3.8782672348117134E-3</v>
      </c>
      <c r="AB7" s="15">
        <f>$B7*'AEO 49'!AG$201/'AEO 49'!$G$201</f>
        <v>3.8782316555389541E-3</v>
      </c>
      <c r="AC7" s="15">
        <f>$B7*'AEO 49'!AH$201/'AEO 49'!$G$201</f>
        <v>3.8792772908328157E-3</v>
      </c>
      <c r="AD7" s="15">
        <f>$B7*'AEO 49'!AI$201/'AEO 49'!$G$201</f>
        <v>3.8809154198494282E-3</v>
      </c>
      <c r="AE7" s="15">
        <f>$B7*'AEO 49'!AJ$201/'AEO 49'!$G$201</f>
        <v>3.8827630712500658E-3</v>
      </c>
      <c r="AF7" s="15">
        <f>$B7*'AEO 49'!AK$201/'AEO 49'!$G$201</f>
        <v>3.8848553301509209E-3</v>
      </c>
      <c r="AG7" s="4"/>
      <c r="AH7" s="4"/>
      <c r="AI7" s="4"/>
    </row>
    <row r="8" spans="1:35">
      <c r="A8" t="s">
        <v>854</v>
      </c>
      <c r="B8" s="15">
        <f>INDEX('SYFAFE-freight'!$B$3:$H$3,MATCH($A8,'SYFAFE-freight'!$B$1:$H$1,0))*'AEO 49'!H$201/'AEO 49 (2020)'!$F$201*('AEO 49'!$G$201/'AEO 49'!$G$130)</f>
        <v>2.9126393532984403E-3</v>
      </c>
      <c r="C8" s="15">
        <f>$B8*'AEO 49'!H$201/'AEO 49'!$G$201</f>
        <v>2.9524492901383042E-3</v>
      </c>
      <c r="D8" s="15">
        <f>$B8*'AEO 49'!I$201/'AEO 49'!$G$201</f>
        <v>2.9988271869521004E-3</v>
      </c>
      <c r="E8" s="15">
        <f>$B8*'AEO 49'!J$201/'AEO 49'!$G$201</f>
        <v>3.0560922571061006E-3</v>
      </c>
      <c r="F8" s="15">
        <f>$B8*'AEO 49'!K$201/'AEO 49'!$G$201</f>
        <v>3.1269894516964252E-3</v>
      </c>
      <c r="G8" s="15">
        <f>$B8*'AEO 49'!L$201/'AEO 49'!$G$201</f>
        <v>3.2088939141466754E-3</v>
      </c>
      <c r="H8" s="15">
        <f>$B8*'AEO 49'!M$201/'AEO 49'!$G$201</f>
        <v>3.2973872832894133E-3</v>
      </c>
      <c r="I8" s="15">
        <f>$B8*'AEO 49'!N$201/'AEO 49'!$G$201</f>
        <v>3.38884484584916E-3</v>
      </c>
      <c r="J8" s="15">
        <f>$B8*'AEO 49'!O$201/'AEO 49'!$G$201</f>
        <v>3.4354382611227665E-3</v>
      </c>
      <c r="K8" s="15">
        <f>$B8*'AEO 49'!P$201/'AEO 49'!$G$201</f>
        <v>3.5035495421451273E-3</v>
      </c>
      <c r="L8" s="15">
        <f>$B8*'AEO 49'!Q$201/'AEO 49'!$G$201</f>
        <v>3.5613024381001678E-3</v>
      </c>
      <c r="M8" s="15">
        <f>$B8*'AEO 49'!R$201/'AEO 49'!$G$201</f>
        <v>3.6126079340836328E-3</v>
      </c>
      <c r="N8" s="15">
        <f>$B8*'AEO 49'!S$201/'AEO 49'!$G$201</f>
        <v>3.6430737725169282E-3</v>
      </c>
      <c r="O8" s="15">
        <f>$B8*'AEO 49'!T$201/'AEO 49'!$G$201</f>
        <v>3.6468609392318746E-3</v>
      </c>
      <c r="P8" s="15">
        <f>$B8*'AEO 49'!U$201/'AEO 49'!$G$201</f>
        <v>3.6497534483231585E-3</v>
      </c>
      <c r="Q8" s="15">
        <f>$B8*'AEO 49'!V$201/'AEO 49'!$G$201</f>
        <v>3.6500578739661737E-3</v>
      </c>
      <c r="R8" s="15">
        <f>$B8*'AEO 49'!W$201/'AEO 49'!$G$201</f>
        <v>3.6515194894387567E-3</v>
      </c>
      <c r="S8" s="15">
        <f>$B8*'AEO 49'!X$201/'AEO 49'!$G$201</f>
        <v>3.6527274168754935E-3</v>
      </c>
      <c r="T8" s="15">
        <f>$B8*'AEO 49'!Y$201/'AEO 49'!$G$201</f>
        <v>3.6530397557232967E-3</v>
      </c>
      <c r="U8" s="15">
        <f>$B8*'AEO 49'!Z$201/'AEO 49'!$G$201</f>
        <v>3.6526087188036753E-3</v>
      </c>
      <c r="V8" s="15">
        <f>$B8*'AEO 49'!AA$201/'AEO 49'!$G$201</f>
        <v>3.6525849791893121E-3</v>
      </c>
      <c r="W8" s="15">
        <f>$B8*'AEO 49'!AB$201/'AEO 49'!$G$201</f>
        <v>3.6526101152515788E-3</v>
      </c>
      <c r="X8" s="15">
        <f>$B8*'AEO 49'!AC$201/'AEO 49'!$G$201</f>
        <v>3.6526408371054613E-3</v>
      </c>
      <c r="Y8" s="15">
        <f>$B8*'AEO 49'!AD$201/'AEO 49'!$G$201</f>
        <v>3.6524220602672085E-3</v>
      </c>
      <c r="Z8" s="15">
        <f>$B8*'AEO 49'!AE$201/'AEO 49'!$G$201</f>
        <v>3.6526468883797108E-3</v>
      </c>
      <c r="AA8" s="15">
        <f>$B8*'AEO 49'!AF$201/'AEO 49'!$G$201</f>
        <v>3.6532268797423982E-3</v>
      </c>
      <c r="AB8" s="15">
        <f>$B8*'AEO 49'!AG$201/'AEO 49'!$G$201</f>
        <v>3.6531933649927083E-3</v>
      </c>
      <c r="AC8" s="15">
        <f>$B8*'AEO 49'!AH$201/'AEO 49'!$G$201</f>
        <v>3.6541783262474805E-3</v>
      </c>
      <c r="AD8" s="15">
        <f>$B8*'AEO 49'!AI$201/'AEO 49'!$G$201</f>
        <v>3.655721401181115E-3</v>
      </c>
      <c r="AE8" s="15">
        <f>$B8*'AEO 49'!AJ$201/'AEO 49'!$G$201</f>
        <v>3.6574618407518118E-3</v>
      </c>
      <c r="AF8" s="15">
        <f>$B8*'AEO 49'!AK$201/'AEO 49'!$G$201</f>
        <v>3.6594326942266261E-3</v>
      </c>
      <c r="AG8" s="4"/>
      <c r="AH8" s="4"/>
      <c r="AI8" s="4"/>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I8"/>
  <sheetViews>
    <sheetView workbookViewId="0">
      <selection activeCell="C5" sqref="C5"/>
    </sheetView>
  </sheetViews>
  <sheetFormatPr defaultRowHeight="14.5"/>
  <cols>
    <col min="1" max="1" width="31.08984375" customWidth="1"/>
  </cols>
  <sheetData>
    <row r="1" spans="1:35">
      <c r="A1" s="1" t="s">
        <v>856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5">
      <c r="A2" t="s">
        <v>112</v>
      </c>
      <c r="B2" s="15">
        <f>B$5/(1-'Calculations Etc'!$B$17)</f>
        <v>1.4980235812240234E-3</v>
      </c>
      <c r="C2" s="15">
        <f>C$5/(1-'Calculations Etc'!$B$17)</f>
        <v>1.5231644537335698E-3</v>
      </c>
      <c r="D2" s="15">
        <f>D$5/(1-'Calculations Etc'!$B$17)</f>
        <v>1.5304275172800137E-3</v>
      </c>
      <c r="E2" s="15">
        <f>E$5/(1-'Calculations Etc'!$B$17)</f>
        <v>1.5412712423030443E-3</v>
      </c>
      <c r="F2" s="15">
        <f>F$5/(1-'Calculations Etc'!$B$17)</f>
        <v>1.5576490945925607E-3</v>
      </c>
      <c r="G2" s="15">
        <f>G$5/(1-'Calculations Etc'!$B$17)</f>
        <v>1.5699908781437811E-3</v>
      </c>
      <c r="H2" s="15">
        <f>H$5/(1-'Calculations Etc'!$B$17)</f>
        <v>1.5806683889015623E-3</v>
      </c>
      <c r="I2" s="15">
        <f>I$5/(1-'Calculations Etc'!$B$17)</f>
        <v>1.5909098534806817E-3</v>
      </c>
      <c r="J2" s="15">
        <f>J$5/(1-'Calculations Etc'!$B$17)</f>
        <v>1.6012077984306095E-3</v>
      </c>
      <c r="K2" s="15">
        <f>K$5/(1-'Calculations Etc'!$B$17)</f>
        <v>1.611298486993707E-3</v>
      </c>
      <c r="L2" s="15">
        <f>L$5/(1-'Calculations Etc'!$B$17)</f>
        <v>1.6219407555186202E-3</v>
      </c>
      <c r="M2" s="15">
        <f>M$5/(1-'Calculations Etc'!$B$17)</f>
        <v>1.6329881937237401E-3</v>
      </c>
      <c r="N2" s="15">
        <f>N$5/(1-'Calculations Etc'!$B$17)</f>
        <v>1.6447141978177234E-3</v>
      </c>
      <c r="O2" s="15">
        <f>O$5/(1-'Calculations Etc'!$B$17)</f>
        <v>1.6570786747516877E-3</v>
      </c>
      <c r="P2" s="15">
        <f>P$5/(1-'Calculations Etc'!$B$17)</f>
        <v>1.6697670596523698E-3</v>
      </c>
      <c r="Q2" s="15">
        <f>Q$5/(1-'Calculations Etc'!$B$17)</f>
        <v>1.6829627766366171E-3</v>
      </c>
      <c r="R2" s="15">
        <f>R$5/(1-'Calculations Etc'!$B$17)</f>
        <v>1.6961396808909308E-3</v>
      </c>
      <c r="S2" s="15">
        <f>S$5/(1-'Calculations Etc'!$B$17)</f>
        <v>1.7093091823781967E-3</v>
      </c>
      <c r="T2" s="15">
        <f>T$5/(1-'Calculations Etc'!$B$17)</f>
        <v>1.722308926395473E-3</v>
      </c>
      <c r="U2" s="15">
        <f>U$5/(1-'Calculations Etc'!$B$17)</f>
        <v>1.7349202255025392E-3</v>
      </c>
      <c r="V2" s="15">
        <f>V$5/(1-'Calculations Etc'!$B$17)</f>
        <v>1.7473289503147547E-3</v>
      </c>
      <c r="W2" s="15">
        <f>W$5/(1-'Calculations Etc'!$B$17)</f>
        <v>1.7596425780425883E-3</v>
      </c>
      <c r="X2" s="15">
        <f>X$5/(1-'Calculations Etc'!$B$17)</f>
        <v>1.7719576610152265E-3</v>
      </c>
      <c r="Y2" s="15">
        <f>Y$5/(1-'Calculations Etc'!$B$17)</f>
        <v>1.7844069217769168E-3</v>
      </c>
      <c r="Z2" s="15">
        <f>Z$5/(1-'Calculations Etc'!$B$17)</f>
        <v>1.7964568338376173E-3</v>
      </c>
      <c r="AA2" s="15">
        <f>AA$5/(1-'Calculations Etc'!$B$17)</f>
        <v>1.8081574027832825E-3</v>
      </c>
      <c r="AB2" s="15">
        <f>AB$5/(1-'Calculations Etc'!$B$17)</f>
        <v>1.8196558614251941E-3</v>
      </c>
      <c r="AC2" s="15">
        <f>AC$5/(1-'Calculations Etc'!$B$17)</f>
        <v>1.8309308450823857E-3</v>
      </c>
      <c r="AD2" s="15">
        <f>AD$5/(1-'Calculations Etc'!$B$17)</f>
        <v>1.8426753455487357E-3</v>
      </c>
      <c r="AE2" s="15">
        <f>AE$5/(1-'Calculations Etc'!$B$17)</f>
        <v>1.8543062314678332E-3</v>
      </c>
      <c r="AF2" s="15">
        <f>AF$5/(1-'Calculations Etc'!$B$17)</f>
        <v>1.8658766298202847E-3</v>
      </c>
      <c r="AG2" s="15"/>
      <c r="AH2" s="15"/>
      <c r="AI2" s="15"/>
    </row>
    <row r="3" spans="1:35">
      <c r="A3" t="s">
        <v>113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5">
      <c r="A4" t="s">
        <v>114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5">
      <c r="A5" t="s">
        <v>115</v>
      </c>
      <c r="B5" s="4">
        <f>'SYFAFE-passenger'!E4*('AEO 7'!C49/'AEO 7 (2020)'!C49)*'Calculations Etc'!B8*('AEO 7'!C49/'AEO 7'!$C$49)</f>
        <v>4.6616941125958422E-4</v>
      </c>
      <c r="C5" s="4">
        <f>$B$5*('AEO 7'!D49/'AEO 7'!$C$49)</f>
        <v>4.7399299019600609E-4</v>
      </c>
      <c r="D5" s="4">
        <f>$B$5*('AEO 7'!E49/'AEO 7'!$C$49)</f>
        <v>4.7625318028902199E-4</v>
      </c>
      <c r="E5" s="4">
        <f>$B$5*('AEO 7'!F49/'AEO 7'!$C$49)</f>
        <v>4.7962763511951036E-4</v>
      </c>
      <c r="F5" s="4">
        <f>$B$5*('AEO 7'!G49/'AEO 7'!$C$49)</f>
        <v>4.8472425299335046E-4</v>
      </c>
      <c r="G5" s="4">
        <f>$B$5*('AEO 7'!H49/'AEO 7'!$C$49)</f>
        <v>4.8856488811023198E-4</v>
      </c>
      <c r="H5" s="4">
        <f>$B$5*('AEO 7'!I49/'AEO 7'!$C$49)</f>
        <v>4.9188761878420821E-4</v>
      </c>
      <c r="I5" s="4">
        <f>$B$5*('AEO 7'!J49/'AEO 7'!$C$49)</f>
        <v>4.9507465640706257E-4</v>
      </c>
      <c r="J5" s="4">
        <f>$B$5*('AEO 7'!K49/'AEO 7'!$C$49)</f>
        <v>4.9827927013588579E-4</v>
      </c>
      <c r="K5" s="4">
        <f>$B$5*('AEO 7'!L49/'AEO 7'!$C$49)</f>
        <v>5.0141938782536798E-4</v>
      </c>
      <c r="L5" s="4">
        <f>$B$5*('AEO 7'!M49/'AEO 7'!$C$49)</f>
        <v>5.0473115148176617E-4</v>
      </c>
      <c r="M5" s="4">
        <f>$B$5*('AEO 7'!N49/'AEO 7'!$C$49)</f>
        <v>5.0816899974300608E-4</v>
      </c>
      <c r="N5" s="4">
        <f>$B$5*('AEO 7'!O49/'AEO 7'!$C$49)</f>
        <v>5.1181801067543291E-4</v>
      </c>
      <c r="O5" s="4">
        <f>$B$5*('AEO 7'!P49/'AEO 7'!$C$49)</f>
        <v>5.1566570773780435E-4</v>
      </c>
      <c r="P5" s="4">
        <f>$B$5*('AEO 7'!Q49/'AEO 7'!$C$49)</f>
        <v>5.1961420160206843E-4</v>
      </c>
      <c r="Q5" s="4">
        <f>$B$5*('AEO 7'!R49/'AEO 7'!$C$49)</f>
        <v>5.2372057195217224E-4</v>
      </c>
      <c r="R5" s="4">
        <f>$B$5*('AEO 7'!S49/'AEO 7'!$C$49)</f>
        <v>5.2782108797571725E-4</v>
      </c>
      <c r="S5" s="4">
        <f>$B$5*('AEO 7'!T49/'AEO 7'!$C$49)</f>
        <v>5.3191930033488766E-4</v>
      </c>
      <c r="T5" s="4">
        <f>$B$5*('AEO 7'!U49/'AEO 7'!$C$49)</f>
        <v>5.3596468592895642E-4</v>
      </c>
      <c r="U5" s="4">
        <f>$B$5*('AEO 7'!V49/'AEO 7'!$C$49)</f>
        <v>5.3988919149325191E-4</v>
      </c>
      <c r="V5" s="4">
        <f>$B$5*('AEO 7'!W49/'AEO 7'!$C$49)</f>
        <v>5.4375065803669985E-4</v>
      </c>
      <c r="W5" s="4">
        <f>$B$5*('AEO 7'!X49/'AEO 7'!$C$49)</f>
        <v>5.4758253135318239E-4</v>
      </c>
      <c r="X5" s="4">
        <f>$B$5*('AEO 7'!Y49/'AEO 7'!$C$49)</f>
        <v>5.5141485752676429E-4</v>
      </c>
      <c r="Y5" s="4">
        <f>$B$5*('AEO 7'!Z49/'AEO 7'!$C$49)</f>
        <v>5.5528893843752823E-4</v>
      </c>
      <c r="Z5" s="4">
        <f>$B$5*('AEO 7'!AA49/'AEO 7'!$C$49)</f>
        <v>5.5903874617184749E-4</v>
      </c>
      <c r="AA5" s="4">
        <f>$B$5*('AEO 7'!AB49/'AEO 7'!$C$49)</f>
        <v>5.6267984194975651E-4</v>
      </c>
      <c r="AB5" s="4">
        <f>$B$5*('AEO 7'!AC49/'AEO 7'!$C$49)</f>
        <v>5.6625804309603806E-4</v>
      </c>
      <c r="AC5" s="4">
        <f>$B$5*('AEO 7'!AD49/'AEO 7'!$C$49)</f>
        <v>5.6976670114342325E-4</v>
      </c>
      <c r="AD5" s="4">
        <f>$B$5*('AEO 7'!AE49/'AEO 7'!$C$49)</f>
        <v>5.7342146795521316E-4</v>
      </c>
      <c r="AE5" s="4">
        <f>$B$5*('AEO 7'!AF49/'AEO 7'!$C$49)</f>
        <v>5.770408790975283E-4</v>
      </c>
      <c r="AF5" s="4">
        <f>$B$5*('AEO 7'!AG49/'AEO 7'!$C$49)</f>
        <v>5.8064146713606509E-4</v>
      </c>
      <c r="AG5" s="4"/>
      <c r="AH5" s="4"/>
      <c r="AI5" s="4"/>
    </row>
    <row r="6" spans="1:35">
      <c r="A6" t="s">
        <v>116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5">
      <c r="A7" t="s">
        <v>853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5">
      <c r="A8" t="s">
        <v>854</v>
      </c>
      <c r="B8" s="4">
        <f>B$5*'Calculations Etc'!$B$35</f>
        <v>1.3985082337787526E-3</v>
      </c>
      <c r="C8" s="4">
        <f>C$5*'Calculations Etc'!$B$35</f>
        <v>1.4219789705880181E-3</v>
      </c>
      <c r="D8" s="4">
        <f>D$5*'Calculations Etc'!$B$35</f>
        <v>1.4287595408670657E-3</v>
      </c>
      <c r="E8" s="4">
        <f>E$5*'Calculations Etc'!$B$35</f>
        <v>1.4388829053585308E-3</v>
      </c>
      <c r="F8" s="4">
        <f>F$5*'Calculations Etc'!$B$35</f>
        <v>1.4541727589800512E-3</v>
      </c>
      <c r="G8" s="4">
        <f>G$5*'Calculations Etc'!$B$35</f>
        <v>1.4656946643306957E-3</v>
      </c>
      <c r="H8" s="4">
        <f>H$5*'Calculations Etc'!$B$35</f>
        <v>1.4756628563526244E-3</v>
      </c>
      <c r="I8" s="4">
        <f>I$5*'Calculations Etc'!$B$35</f>
        <v>1.4852239692211874E-3</v>
      </c>
      <c r="J8" s="4">
        <f>J$5*'Calculations Etc'!$B$35</f>
        <v>1.4948378104076572E-3</v>
      </c>
      <c r="K8" s="4">
        <f>K$5*'Calculations Etc'!$B$35</f>
        <v>1.5042581634761036E-3</v>
      </c>
      <c r="L8" s="4">
        <f>L$5*'Calculations Etc'!$B$35</f>
        <v>1.5141934544452983E-3</v>
      </c>
      <c r="M8" s="4">
        <f>M$5*'Calculations Etc'!$B$35</f>
        <v>1.524506999229018E-3</v>
      </c>
      <c r="N8" s="4">
        <f>N$5*'Calculations Etc'!$B$35</f>
        <v>1.5354540320262984E-3</v>
      </c>
      <c r="O8" s="4">
        <f>O$5*'Calculations Etc'!$B$35</f>
        <v>1.5469971232134128E-3</v>
      </c>
      <c r="P8" s="4">
        <f>P$5*'Calculations Etc'!$B$35</f>
        <v>1.5588426048062051E-3</v>
      </c>
      <c r="Q8" s="4">
        <f>Q$5*'Calculations Etc'!$B$35</f>
        <v>1.5711617158565164E-3</v>
      </c>
      <c r="R8" s="4">
        <f>R$5*'Calculations Etc'!$B$35</f>
        <v>1.5834632639271514E-3</v>
      </c>
      <c r="S8" s="4">
        <f>S$5*'Calculations Etc'!$B$35</f>
        <v>1.5957579010046628E-3</v>
      </c>
      <c r="T8" s="4">
        <f>T$5*'Calculations Etc'!$B$35</f>
        <v>1.6078940577868689E-3</v>
      </c>
      <c r="U8" s="4">
        <f>U$5*'Calculations Etc'!$B$35</f>
        <v>1.6196675744797554E-3</v>
      </c>
      <c r="V8" s="4">
        <f>V$5*'Calculations Etc'!$B$35</f>
        <v>1.6312519741100992E-3</v>
      </c>
      <c r="W8" s="4">
        <f>W$5*'Calculations Etc'!$B$35</f>
        <v>1.642747594059547E-3</v>
      </c>
      <c r="X8" s="4">
        <f>X$5*'Calculations Etc'!$B$35</f>
        <v>1.6542445725802927E-3</v>
      </c>
      <c r="Y8" s="4">
        <f>Y$5*'Calculations Etc'!$B$35</f>
        <v>1.6658668153125844E-3</v>
      </c>
      <c r="Z8" s="4">
        <f>Z$5*'Calculations Etc'!$B$35</f>
        <v>1.6771162385155421E-3</v>
      </c>
      <c r="AA8" s="4">
        <f>AA$5*'Calculations Etc'!$B$35</f>
        <v>1.6880395258492692E-3</v>
      </c>
      <c r="AB8" s="4">
        <f>AB$5*'Calculations Etc'!$B$35</f>
        <v>1.698774129288114E-3</v>
      </c>
      <c r="AC8" s="4">
        <f>AC$5*'Calculations Etc'!$B$35</f>
        <v>1.7093001034302695E-3</v>
      </c>
      <c r="AD8" s="4">
        <f>AD$5*'Calculations Etc'!$B$35</f>
        <v>1.7202644038656393E-3</v>
      </c>
      <c r="AE8" s="4">
        <f>AE$5*'Calculations Etc'!$B$35</f>
        <v>1.7311226372925847E-3</v>
      </c>
      <c r="AF8" s="4">
        <f>AF$5*'Calculations Etc'!$B$35</f>
        <v>1.741924401408195E-3</v>
      </c>
      <c r="AG8" s="4"/>
      <c r="AH8" s="4"/>
      <c r="AI8" s="4"/>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I8"/>
  <sheetViews>
    <sheetView workbookViewId="0">
      <selection activeCell="B5" sqref="B5"/>
    </sheetView>
  </sheetViews>
  <sheetFormatPr defaultRowHeight="14.5"/>
  <cols>
    <col min="1" max="1" width="31.08984375" customWidth="1"/>
  </cols>
  <sheetData>
    <row r="1" spans="1:35">
      <c r="A1" s="1"/>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5">
      <c r="A2" t="s">
        <v>112</v>
      </c>
      <c r="B2" s="15">
        <f>B$5/(1-'Calculations Etc'!$B$17)</f>
        <v>3.8569771061435794E-4</v>
      </c>
      <c r="C2" s="15">
        <f>C$5/(1-'Calculations Etc'!$B$17)</f>
        <v>3.9217075756189419E-4</v>
      </c>
      <c r="D2" s="15">
        <f>D$5/(1-'Calculations Etc'!$B$17)</f>
        <v>3.9404078618962861E-4</v>
      </c>
      <c r="E2" s="15">
        <f>E$5/(1-'Calculations Etc'!$B$17)</f>
        <v>3.9683273150232986E-4</v>
      </c>
      <c r="F2" s="15">
        <f>F$5/(1-'Calculations Etc'!$B$17)</f>
        <v>4.0104955439618917E-4</v>
      </c>
      <c r="G2" s="15">
        <f>G$5/(1-'Calculations Etc'!$B$17)</f>
        <v>4.0422720641733706E-4</v>
      </c>
      <c r="H2" s="15">
        <f>H$5/(1-'Calculations Etc'!$B$17)</f>
        <v>4.069763563679482E-4</v>
      </c>
      <c r="I2" s="15">
        <f>I$5/(1-'Calculations Etc'!$B$17)</f>
        <v>4.0961323704927693E-4</v>
      </c>
      <c r="J2" s="15">
        <f>J$5/(1-'Calculations Etc'!$B$17)</f>
        <v>4.1226465979121696E-4</v>
      </c>
      <c r="K2" s="15">
        <f>K$5/(1-'Calculations Etc'!$B$17)</f>
        <v>4.148627200127584E-4</v>
      </c>
      <c r="L2" s="15">
        <f>L$5/(1-'Calculations Etc'!$B$17)</f>
        <v>4.1760279610852203E-4</v>
      </c>
      <c r="M2" s="15">
        <f>M$5/(1-'Calculations Etc'!$B$17)</f>
        <v>4.2044719166896229E-4</v>
      </c>
      <c r="N2" s="15">
        <f>N$5/(1-'Calculations Etc'!$B$17)</f>
        <v>4.2346629830412516E-4</v>
      </c>
      <c r="O2" s="15">
        <f>O$5/(1-'Calculations Etc'!$B$17)</f>
        <v>4.2664979321445059E-4</v>
      </c>
      <c r="P2" s="15">
        <f>P$5/(1-'Calculations Etc'!$B$17)</f>
        <v>4.2991668505041756E-4</v>
      </c>
      <c r="Q2" s="15">
        <f>Q$5/(1-'Calculations Etc'!$B$17)</f>
        <v>4.3331420021274928E-4</v>
      </c>
      <c r="R2" s="15">
        <f>R$5/(1-'Calculations Etc'!$B$17)</f>
        <v>4.3670687164167358E-4</v>
      </c>
      <c r="S2" s="15">
        <f>S$5/(1-'Calculations Etc'!$B$17)</f>
        <v>4.4009763707236223E-4</v>
      </c>
      <c r="T2" s="15">
        <f>T$5/(1-'Calculations Etc'!$B$17)</f>
        <v>4.4344469486830111E-4</v>
      </c>
      <c r="U2" s="15">
        <f>U$5/(1-'Calculations Etc'!$B$17)</f>
        <v>4.4669173934372511E-4</v>
      </c>
      <c r="V2" s="15">
        <f>V$5/(1-'Calculations Etc'!$B$17)</f>
        <v>4.498866268019081E-4</v>
      </c>
      <c r="W2" s="15">
        <f>W$5/(1-'Calculations Etc'!$B$17)</f>
        <v>4.5305702951352783E-4</v>
      </c>
      <c r="X2" s="15">
        <f>X$5/(1-'Calculations Etc'!$B$17)</f>
        <v>4.5622780690856147E-4</v>
      </c>
      <c r="Y2" s="15">
        <f>Y$5/(1-'Calculations Etc'!$B$17)</f>
        <v>4.5943313120038717E-4</v>
      </c>
      <c r="Z2" s="15">
        <f>Z$5/(1-'Calculations Etc'!$B$17)</f>
        <v>4.6253563476119156E-4</v>
      </c>
      <c r="AA2" s="15">
        <f>AA$5/(1-'Calculations Etc'!$B$17)</f>
        <v>4.6554819258190429E-4</v>
      </c>
      <c r="AB2" s="15">
        <f>AB$5/(1-'Calculations Etc'!$B$17)</f>
        <v>4.6850871284965303E-4</v>
      </c>
      <c r="AC2" s="15">
        <f>AC$5/(1-'Calculations Etc'!$B$17)</f>
        <v>4.7141169477750731E-4</v>
      </c>
      <c r="AD2" s="15">
        <f>AD$5/(1-'Calculations Etc'!$B$17)</f>
        <v>4.7443556369316164E-4</v>
      </c>
      <c r="AE2" s="15">
        <f>AE$5/(1-'Calculations Etc'!$B$17)</f>
        <v>4.7743018015156688E-4</v>
      </c>
      <c r="AF2" s="15">
        <f>AF$5/(1-'Calculations Etc'!$B$17)</f>
        <v>4.8040922281242433E-4</v>
      </c>
      <c r="AG2" s="15"/>
      <c r="AH2" s="15"/>
      <c r="AI2" s="15"/>
    </row>
    <row r="3" spans="1:35">
      <c r="A3" t="s">
        <v>113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5">
      <c r="A4" t="s">
        <v>114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5">
      <c r="A5" t="s">
        <v>115</v>
      </c>
      <c r="B5" s="4">
        <f>'SYFAFE-freight'!E4*('AEO 7'!C49/'AEO 7 (2020)'!C49)*'Calculations Etc'!B8*('AEO 7'!C49/'AEO 7'!$C$49)</f>
        <v>1.2002512973417359E-4</v>
      </c>
      <c r="C5" s="4">
        <f>$B$5*('AEO 7'!D49/'AEO 7'!$C$49)</f>
        <v>1.2203947485023846E-4</v>
      </c>
      <c r="D5" s="4">
        <f>$B$5*('AEO 7'!E49/'AEO 7'!$C$49)</f>
        <v>1.2262140837608938E-4</v>
      </c>
      <c r="E5" s="4">
        <f>$B$5*('AEO 7'!F49/'AEO 7'!$C$49)</f>
        <v>1.2349023281851067E-4</v>
      </c>
      <c r="F5" s="4">
        <f>$B$5*('AEO 7'!G49/'AEO 7'!$C$49)</f>
        <v>1.2480246439513921E-4</v>
      </c>
      <c r="G5" s="4">
        <f>$B$5*('AEO 7'!H49/'AEO 7'!$C$49)</f>
        <v>1.2579131676732679E-4</v>
      </c>
      <c r="H5" s="4">
        <f>$B$5*('AEO 7'!I49/'AEO 7'!$C$49)</f>
        <v>1.2664682373664536E-4</v>
      </c>
      <c r="I5" s="4">
        <f>$B$5*('AEO 7'!J49/'AEO 7'!$C$49)</f>
        <v>1.2746739367304943E-4</v>
      </c>
      <c r="J5" s="4">
        <f>$B$5*('AEO 7'!K49/'AEO 7'!$C$49)</f>
        <v>1.282924889479853E-4</v>
      </c>
      <c r="K5" s="4">
        <f>$B$5*('AEO 7'!L49/'AEO 7'!$C$49)</f>
        <v>1.2910097835968289E-4</v>
      </c>
      <c r="L5" s="4">
        <f>$B$5*('AEO 7'!M49/'AEO 7'!$C$49)</f>
        <v>1.2995366163942465E-4</v>
      </c>
      <c r="M5" s="4">
        <f>$B$5*('AEO 7'!N49/'AEO 7'!$C$49)</f>
        <v>1.3083880805528838E-4</v>
      </c>
      <c r="N5" s="4">
        <f>$B$5*('AEO 7'!O49/'AEO 7'!$C$49)</f>
        <v>1.3177832274670185E-4</v>
      </c>
      <c r="O5" s="4">
        <f>$B$5*('AEO 7'!P49/'AEO 7'!$C$49)</f>
        <v>1.3276899336543915E-4</v>
      </c>
      <c r="P5" s="4">
        <f>$B$5*('AEO 7'!Q49/'AEO 7'!$C$49)</f>
        <v>1.3378561624301569E-4</v>
      </c>
      <c r="Q5" s="4">
        <f>$B$5*('AEO 7'!R49/'AEO 7'!$C$49)</f>
        <v>1.3484288774582846E-4</v>
      </c>
      <c r="R5" s="4">
        <f>$B$5*('AEO 7'!S49/'AEO 7'!$C$49)</f>
        <v>1.3589865192901079E-4</v>
      </c>
      <c r="S5" s="4">
        <f>$B$5*('AEO 7'!T49/'AEO 7'!$C$49)</f>
        <v>1.3695382298529812E-4</v>
      </c>
      <c r="T5" s="4">
        <f>$B$5*('AEO 7'!U49/'AEO 7'!$C$49)</f>
        <v>1.3799539267868687E-4</v>
      </c>
      <c r="U5" s="4">
        <f>$B$5*('AEO 7'!V49/'AEO 7'!$C$49)</f>
        <v>1.3900583926338301E-4</v>
      </c>
      <c r="V5" s="4">
        <f>$B$5*('AEO 7'!W49/'AEO 7'!$C$49)</f>
        <v>1.4000005512492829E-4</v>
      </c>
      <c r="W5" s="4">
        <f>$B$5*('AEO 7'!X49/'AEO 7'!$C$49)</f>
        <v>1.409866515871308E-4</v>
      </c>
      <c r="X5" s="4">
        <f>$B$5*('AEO 7'!Y49/'AEO 7'!$C$49)</f>
        <v>1.4197336464692809E-4</v>
      </c>
      <c r="Y5" s="4">
        <f>$B$5*('AEO 7'!Z49/'AEO 7'!$C$49)</f>
        <v>1.4297082834292379E-4</v>
      </c>
      <c r="Z5" s="4">
        <f>$B$5*('AEO 7'!AA49/'AEO 7'!$C$49)</f>
        <v>1.4393629529317647E-4</v>
      </c>
      <c r="AA5" s="4">
        <f>$B$5*('AEO 7'!AB49/'AEO 7'!$C$49)</f>
        <v>1.4487377206141239E-4</v>
      </c>
      <c r="AB5" s="4">
        <f>$B$5*('AEO 7'!AC49/'AEO 7'!$C$49)</f>
        <v>1.4579505528254221E-4</v>
      </c>
      <c r="AC5" s="4">
        <f>$B$5*('AEO 7'!AD49/'AEO 7'!$C$49)</f>
        <v>1.4669843316868957E-4</v>
      </c>
      <c r="AD5" s="4">
        <f>$B$5*('AEO 7'!AE49/'AEO 7'!$C$49)</f>
        <v>1.4763942983243028E-4</v>
      </c>
      <c r="AE5" s="4">
        <f>$B$5*('AEO 7'!AF49/'AEO 7'!$C$49)</f>
        <v>1.4857132343468077E-4</v>
      </c>
      <c r="AF5" s="4">
        <f>$B$5*('AEO 7'!AG49/'AEO 7'!$C$49)</f>
        <v>1.494983706325589E-4</v>
      </c>
      <c r="AG5" s="4"/>
      <c r="AH5" s="4"/>
      <c r="AI5" s="4"/>
    </row>
    <row r="6" spans="1:35">
      <c r="A6" t="s">
        <v>116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5">
      <c r="A7" t="s">
        <v>853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5">
      <c r="A8" t="s">
        <v>854</v>
      </c>
      <c r="B8" s="4">
        <f>B$5*'Calculations Etc'!$B$35</f>
        <v>3.600753892025207E-4</v>
      </c>
      <c r="C8" s="4">
        <f>C$5*'Calculations Etc'!$B$35</f>
        <v>3.6611842455071535E-4</v>
      </c>
      <c r="D8" s="4">
        <f>D$5*'Calculations Etc'!$B$35</f>
        <v>3.6786422512826805E-4</v>
      </c>
      <c r="E8" s="4">
        <f>E$5*'Calculations Etc'!$B$35</f>
        <v>3.7047069845553193E-4</v>
      </c>
      <c r="F8" s="4">
        <f>F$5*'Calculations Etc'!$B$35</f>
        <v>3.7440739318541754E-4</v>
      </c>
      <c r="G8" s="4">
        <f>G$5*'Calculations Etc'!$B$35</f>
        <v>3.773739503019803E-4</v>
      </c>
      <c r="H8" s="4">
        <f>H$5*'Calculations Etc'!$B$35</f>
        <v>3.7994047120993603E-4</v>
      </c>
      <c r="I8" s="4">
        <f>I$5*'Calculations Etc'!$B$35</f>
        <v>3.8240218101914824E-4</v>
      </c>
      <c r="J8" s="4">
        <f>J$5*'Calculations Etc'!$B$35</f>
        <v>3.8487746684395585E-4</v>
      </c>
      <c r="K8" s="4">
        <f>K$5*'Calculations Etc'!$B$35</f>
        <v>3.873029350790486E-4</v>
      </c>
      <c r="L8" s="4">
        <f>L$5*'Calculations Etc'!$B$35</f>
        <v>3.898609849182739E-4</v>
      </c>
      <c r="M8" s="4">
        <f>M$5*'Calculations Etc'!$B$35</f>
        <v>3.9251642416586506E-4</v>
      </c>
      <c r="N8" s="4">
        <f>N$5*'Calculations Etc'!$B$35</f>
        <v>3.953349682401055E-4</v>
      </c>
      <c r="O8" s="4">
        <f>O$5*'Calculations Etc'!$B$35</f>
        <v>3.9830698009631738E-4</v>
      </c>
      <c r="P8" s="4">
        <f>P$5*'Calculations Etc'!$B$35</f>
        <v>4.0135684872904701E-4</v>
      </c>
      <c r="Q8" s="4">
        <f>Q$5*'Calculations Etc'!$B$35</f>
        <v>4.045286632374853E-4</v>
      </c>
      <c r="R8" s="4">
        <f>R$5*'Calculations Etc'!$B$35</f>
        <v>4.0769595578703233E-4</v>
      </c>
      <c r="S8" s="4">
        <f>S$5*'Calculations Etc'!$B$35</f>
        <v>4.1086146895589429E-4</v>
      </c>
      <c r="T8" s="4">
        <f>T$5*'Calculations Etc'!$B$35</f>
        <v>4.1398617803606053E-4</v>
      </c>
      <c r="U8" s="4">
        <f>U$5*'Calculations Etc'!$B$35</f>
        <v>4.1701751779014897E-4</v>
      </c>
      <c r="V8" s="4">
        <f>V$5*'Calculations Etc'!$B$35</f>
        <v>4.2000016537478479E-4</v>
      </c>
      <c r="W8" s="4">
        <f>W$5*'Calculations Etc'!$B$35</f>
        <v>4.2295995476139233E-4</v>
      </c>
      <c r="X8" s="4">
        <f>X$5*'Calculations Etc'!$B$35</f>
        <v>4.2592009394078423E-4</v>
      </c>
      <c r="Y8" s="4">
        <f>Y$5*'Calculations Etc'!$B$35</f>
        <v>4.2891248502877131E-4</v>
      </c>
      <c r="Z8" s="4">
        <f>Z$5*'Calculations Etc'!$B$35</f>
        <v>4.3180888587952934E-4</v>
      </c>
      <c r="AA8" s="4">
        <f>AA$5*'Calculations Etc'!$B$35</f>
        <v>4.346213161842371E-4</v>
      </c>
      <c r="AB8" s="4">
        <f>AB$5*'Calculations Etc'!$B$35</f>
        <v>4.3738516584762658E-4</v>
      </c>
      <c r="AC8" s="4">
        <f>AC$5*'Calculations Etc'!$B$35</f>
        <v>4.4009529950606865E-4</v>
      </c>
      <c r="AD8" s="4">
        <f>AD$5*'Calculations Etc'!$B$35</f>
        <v>4.4291828949729077E-4</v>
      </c>
      <c r="AE8" s="4">
        <f>AE$5*'Calculations Etc'!$B$35</f>
        <v>4.4571397030404223E-4</v>
      </c>
      <c r="AF8" s="4">
        <f>AF$5*'Calculations Etc'!$B$35</f>
        <v>4.4849511189767665E-4</v>
      </c>
      <c r="AG8" s="4"/>
      <c r="AH8" s="4"/>
      <c r="AI8" s="4"/>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I10"/>
  <sheetViews>
    <sheetView workbookViewId="0">
      <selection activeCell="B5" sqref="B5"/>
    </sheetView>
  </sheetViews>
  <sheetFormatPr defaultRowHeight="14.5"/>
  <cols>
    <col min="1" max="1" width="31.08984375" customWidth="1"/>
  </cols>
  <sheetData>
    <row r="1" spans="1:35">
      <c r="A1" s="1" t="s">
        <v>856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5">
      <c r="A2" t="s">
        <v>112</v>
      </c>
      <c r="B2" s="15">
        <f>'Calculations Etc'!E68</f>
        <v>1.2490429545241593E-3</v>
      </c>
      <c r="C2" s="15">
        <f>'Calculations Etc'!F68</f>
        <v>1.2479838852561889E-3</v>
      </c>
      <c r="D2" s="15">
        <f>'Calculations Etc'!G68</f>
        <v>1.2471665685815224E-3</v>
      </c>
      <c r="E2" s="15">
        <f>'Calculations Etc'!H68</f>
        <v>1.2466464519590526E-3</v>
      </c>
      <c r="F2" s="15">
        <f>'Calculations Etc'!I68</f>
        <v>1.2461776274382624E-3</v>
      </c>
      <c r="G2" s="15">
        <f>'Calculations Etc'!J68</f>
        <v>1.2458210503215087E-3</v>
      </c>
      <c r="H2" s="15">
        <f>'Calculations Etc'!K68</f>
        <v>1.2454261907779705E-3</v>
      </c>
      <c r="I2" s="15">
        <f>'Calculations Etc'!L68</f>
        <v>1.2450097660041024E-3</v>
      </c>
      <c r="J2" s="15">
        <f>'Calculations Etc'!M68</f>
        <v>1.2449523012062393E-3</v>
      </c>
      <c r="K2" s="15">
        <f>'Calculations Etc'!N68</f>
        <v>1.2448581170389291E-3</v>
      </c>
      <c r="L2" s="15">
        <f>'Calculations Etc'!O68</f>
        <v>1.244492708563932E-3</v>
      </c>
      <c r="M2" s="15">
        <f>'Calculations Etc'!P68</f>
        <v>1.2445150475500222E-3</v>
      </c>
      <c r="N2" s="15">
        <f>'Calculations Etc'!Q68</f>
        <v>1.244362963786191E-3</v>
      </c>
      <c r="O2" s="15">
        <f>'Calculations Etc'!R68</f>
        <v>1.2442462668418766E-3</v>
      </c>
      <c r="P2" s="15">
        <f>'Calculations Etc'!S68</f>
        <v>1.2440271982043711E-3</v>
      </c>
      <c r="Q2" s="15">
        <f>'Calculations Etc'!T68</f>
        <v>1.2439416368347936E-3</v>
      </c>
      <c r="R2" s="15">
        <f>'Calculations Etc'!U68</f>
        <v>1.2436776543099449E-3</v>
      </c>
      <c r="S2" s="15">
        <f>'Calculations Etc'!V68</f>
        <v>1.2434044966707469E-3</v>
      </c>
      <c r="T2" s="15">
        <f>'Calculations Etc'!W68</f>
        <v>1.2431106233009778E-3</v>
      </c>
      <c r="U2" s="15">
        <f>'Calculations Etc'!X68</f>
        <v>1.242818522097998E-3</v>
      </c>
      <c r="V2" s="15">
        <f>'Calculations Etc'!Y68</f>
        <v>1.2424141228640053E-3</v>
      </c>
      <c r="W2" s="15">
        <f>'Calculations Etc'!Z68</f>
        <v>1.2420321636298346E-3</v>
      </c>
      <c r="X2" s="15">
        <f>'Calculations Etc'!AA68</f>
        <v>1.241620319407161E-3</v>
      </c>
      <c r="Y2" s="15">
        <f>'Calculations Etc'!AB68</f>
        <v>1.2411620718582406E-3</v>
      </c>
      <c r="Z2" s="15">
        <f>'Calculations Etc'!AC68</f>
        <v>1.240669038843074E-3</v>
      </c>
      <c r="AA2" s="15">
        <f>'Calculations Etc'!AD68</f>
        <v>1.2401023941352315E-3</v>
      </c>
      <c r="AB2" s="15">
        <f>'Calculations Etc'!AE68</f>
        <v>1.2395514545691941E-3</v>
      </c>
      <c r="AC2" s="15">
        <f>'Calculations Etc'!AF68</f>
        <v>1.2389760811407262E-3</v>
      </c>
      <c r="AD2" s="15">
        <f>'Calculations Etc'!AG68</f>
        <v>1.2383487405617649E-3</v>
      </c>
      <c r="AE2" s="15">
        <f>'Calculations Etc'!AH68</f>
        <v>1.2375986561341948E-3</v>
      </c>
      <c r="AF2" s="15">
        <f>'Calculations Etc'!AI68</f>
        <v>1.236792153822779E-3</v>
      </c>
      <c r="AG2" s="15"/>
      <c r="AH2" s="15"/>
      <c r="AI2" s="15"/>
    </row>
    <row r="3" spans="1:35">
      <c r="A3" t="s">
        <v>113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5">
      <c r="A4" t="s">
        <v>114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5" s="59" customFormat="1">
      <c r="A5" s="59" t="s">
        <v>115</v>
      </c>
      <c r="B5" s="40">
        <f>'Calculations Etc'!E69</f>
        <v>3.8868922094850749E-4</v>
      </c>
      <c r="C5" s="40">
        <f>'Calculations Etc'!F69</f>
        <v>3.8835964956971156E-4</v>
      </c>
      <c r="D5" s="40">
        <f>'Calculations Etc'!G69</f>
        <v>3.8810530909215343E-4</v>
      </c>
      <c r="E5" s="40">
        <f>'Calculations Etc'!H69</f>
        <v>3.8794345419032003E-4</v>
      </c>
      <c r="F5" s="40">
        <f>'Calculations Etc'!I69</f>
        <v>3.8779756085887974E-4</v>
      </c>
      <c r="G5" s="40">
        <f>'Calculations Etc'!J69</f>
        <v>3.8768659775611613E-4</v>
      </c>
      <c r="H5" s="40">
        <f>'Calculations Etc'!K69</f>
        <v>3.8756372155893972E-4</v>
      </c>
      <c r="I5" s="40">
        <f>'Calculations Etc'!L69</f>
        <v>3.8743413448561116E-4</v>
      </c>
      <c r="J5" s="40">
        <f>'Calculations Etc'!M69</f>
        <v>3.8741625203614658E-4</v>
      </c>
      <c r="K5" s="40">
        <f>'Calculations Etc'!N69</f>
        <v>3.8738694289951122E-4</v>
      </c>
      <c r="L5" s="40">
        <f>'Calculations Etc'!O69</f>
        <v>3.8727323156960051E-4</v>
      </c>
      <c r="M5" s="40">
        <f>'Calculations Etc'!P69</f>
        <v>3.872801832305252E-4</v>
      </c>
      <c r="N5" s="40">
        <f>'Calculations Etc'!Q69</f>
        <v>3.8723285633958973E-4</v>
      </c>
      <c r="O5" s="40">
        <f>'Calculations Etc'!R69</f>
        <v>3.8719654146009873E-4</v>
      </c>
      <c r="P5" s="40">
        <f>'Calculations Etc'!S69</f>
        <v>3.8712836957078314E-4</v>
      </c>
      <c r="Q5" s="40">
        <f>'Calculations Etc'!T69</f>
        <v>3.8710174375942578E-4</v>
      </c>
      <c r="R5" s="40">
        <f>'Calculations Etc'!U69</f>
        <v>3.8701959513390749E-4</v>
      </c>
      <c r="S5" s="40">
        <f>'Calculations Etc'!V69</f>
        <v>3.8693459130790495E-4</v>
      </c>
      <c r="T5" s="40">
        <f>'Calculations Etc'!W69</f>
        <v>3.8684314096127021E-4</v>
      </c>
      <c r="U5" s="40">
        <f>'Calculations Etc'!X69</f>
        <v>3.8675224209457141E-4</v>
      </c>
      <c r="V5" s="40">
        <f>'Calculations Etc'!Y69</f>
        <v>3.8662639724460569E-4</v>
      </c>
      <c r="W5" s="40">
        <f>'Calculations Etc'!Z69</f>
        <v>3.8650753548999096E-4</v>
      </c>
      <c r="X5" s="40">
        <f>'Calculations Etc'!AA69</f>
        <v>3.8637937383671609E-4</v>
      </c>
      <c r="Y5" s="40">
        <f>'Calculations Etc'!AB69</f>
        <v>3.8623677194928995E-4</v>
      </c>
      <c r="Z5" s="40">
        <f>'Calculations Etc'!AC69</f>
        <v>3.8608334518532407E-4</v>
      </c>
      <c r="AA5" s="40">
        <f>'Calculations Etc'!AD69</f>
        <v>3.8590701122559256E-4</v>
      </c>
      <c r="AB5" s="40">
        <f>'Calculations Etc'!AE69</f>
        <v>3.8573556454320505E-4</v>
      </c>
      <c r="AC5" s="40">
        <f>'Calculations Etc'!AF69</f>
        <v>3.8555651429608934E-4</v>
      </c>
      <c r="AD5" s="40">
        <f>'Calculations Etc'!AG69</f>
        <v>3.8536129241038667E-4</v>
      </c>
      <c r="AE5" s="40">
        <f>'Calculations Etc'!AH69</f>
        <v>3.8512787391125356E-4</v>
      </c>
      <c r="AF5" s="40">
        <f>'Calculations Etc'!AI69</f>
        <v>3.8487689875144672E-4</v>
      </c>
      <c r="AG5" s="40"/>
      <c r="AH5" s="40"/>
      <c r="AI5" s="40"/>
    </row>
    <row r="6" spans="1:35">
      <c r="A6" t="s">
        <v>116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5">
      <c r="A7" t="s">
        <v>853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5">
      <c r="A8" t="s">
        <v>854</v>
      </c>
      <c r="B8" s="4">
        <f>B$5*'Calculations Etc'!$B$35</f>
        <v>1.1660676628455222E-3</v>
      </c>
      <c r="C8" s="4">
        <f>C$5*'Calculations Etc'!$B$35</f>
        <v>1.1650789487091344E-3</v>
      </c>
      <c r="D8" s="4">
        <f>D$5*'Calculations Etc'!$B$35</f>
        <v>1.16431592727646E-3</v>
      </c>
      <c r="E8" s="4">
        <f>E$5*'Calculations Etc'!$B$35</f>
        <v>1.1638303625709598E-3</v>
      </c>
      <c r="F8" s="4">
        <f>F$5*'Calculations Etc'!$B$35</f>
        <v>1.1633926825766389E-3</v>
      </c>
      <c r="G8" s="4">
        <f>G$5*'Calculations Etc'!$B$35</f>
        <v>1.1630597932683483E-3</v>
      </c>
      <c r="H8" s="4">
        <f>H$5*'Calculations Etc'!$B$35</f>
        <v>1.162691164676819E-3</v>
      </c>
      <c r="I8" s="4">
        <f>I$5*'Calculations Etc'!$B$35</f>
        <v>1.1623024034568333E-3</v>
      </c>
      <c r="J8" s="4">
        <f>J$5*'Calculations Etc'!$B$35</f>
        <v>1.1622487561084396E-3</v>
      </c>
      <c r="K8" s="4">
        <f>K$5*'Calculations Etc'!$B$35</f>
        <v>1.1621608286985334E-3</v>
      </c>
      <c r="L8" s="4">
        <f>L$5*'Calculations Etc'!$B$35</f>
        <v>1.1618196947088013E-3</v>
      </c>
      <c r="M8" s="4">
        <f>M$5*'Calculations Etc'!$B$35</f>
        <v>1.1618405496915754E-3</v>
      </c>
      <c r="N8" s="4">
        <f>N$5*'Calculations Etc'!$B$35</f>
        <v>1.161698569018769E-3</v>
      </c>
      <c r="O8" s="4">
        <f>O$5*'Calculations Etc'!$B$35</f>
        <v>1.1615896243802959E-3</v>
      </c>
      <c r="P8" s="4">
        <f>P$5*'Calculations Etc'!$B$35</f>
        <v>1.1613851087123493E-3</v>
      </c>
      <c r="Q8" s="4">
        <f>Q$5*'Calculations Etc'!$B$35</f>
        <v>1.1613052312782772E-3</v>
      </c>
      <c r="R8" s="4">
        <f>R$5*'Calculations Etc'!$B$35</f>
        <v>1.1610587854017224E-3</v>
      </c>
      <c r="S8" s="4">
        <f>S$5*'Calculations Etc'!$B$35</f>
        <v>1.1608037739237146E-3</v>
      </c>
      <c r="T8" s="4">
        <f>T$5*'Calculations Etc'!$B$35</f>
        <v>1.1605294228838104E-3</v>
      </c>
      <c r="U8" s="4">
        <f>U$5*'Calculations Etc'!$B$35</f>
        <v>1.1602567262837141E-3</v>
      </c>
      <c r="V8" s="4">
        <f>V$5*'Calculations Etc'!$B$35</f>
        <v>1.1598791917338169E-3</v>
      </c>
      <c r="W8" s="4">
        <f>W$5*'Calculations Etc'!$B$35</f>
        <v>1.1595226064699726E-3</v>
      </c>
      <c r="X8" s="4">
        <f>X$5*'Calculations Etc'!$B$35</f>
        <v>1.1591381215101482E-3</v>
      </c>
      <c r="Y8" s="4">
        <f>Y$5*'Calculations Etc'!$B$35</f>
        <v>1.1587103158478696E-3</v>
      </c>
      <c r="Z8" s="4">
        <f>Z$5*'Calculations Etc'!$B$35</f>
        <v>1.158250035555972E-3</v>
      </c>
      <c r="AA8" s="4">
        <f>AA$5*'Calculations Etc'!$B$35</f>
        <v>1.1577210336767775E-3</v>
      </c>
      <c r="AB8" s="4">
        <f>AB$5*'Calculations Etc'!$B$35</f>
        <v>1.1572066936296149E-3</v>
      </c>
      <c r="AC8" s="4">
        <f>AC$5*'Calculations Etc'!$B$35</f>
        <v>1.1566695428882679E-3</v>
      </c>
      <c r="AD8" s="4">
        <f>AD$5*'Calculations Etc'!$B$35</f>
        <v>1.1560838772311599E-3</v>
      </c>
      <c r="AE8" s="4">
        <f>AE$5*'Calculations Etc'!$B$35</f>
        <v>1.1553836217337605E-3</v>
      </c>
      <c r="AF8" s="4">
        <f>AF$5*'Calculations Etc'!$B$35</f>
        <v>1.15463069625434E-3</v>
      </c>
      <c r="AG8" s="4"/>
      <c r="AH8" s="4"/>
      <c r="AI8" s="4"/>
    </row>
    <row r="10" spans="1:35">
      <c r="B10" s="64"/>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I12"/>
  <sheetViews>
    <sheetView workbookViewId="0">
      <selection activeCell="B5" sqref="B5"/>
    </sheetView>
  </sheetViews>
  <sheetFormatPr defaultRowHeight="14.5"/>
  <cols>
    <col min="1" max="1" width="31.08984375" customWidth="1"/>
    <col min="3" max="3" width="10.7265625" bestFit="1" customWidth="1"/>
    <col min="6" max="6" width="10.7265625" bestFit="1" customWidth="1"/>
  </cols>
  <sheetData>
    <row r="1" spans="1:35">
      <c r="A1" s="1" t="s">
        <v>856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5">
      <c r="A2" t="s">
        <v>112</v>
      </c>
      <c r="B2" s="15">
        <f>B$5/(1-'Calculations Etc'!$B$17)</f>
        <v>1.1213005219530657E-2</v>
      </c>
      <c r="C2" s="15">
        <f>C$5/(1-'Calculations Etc'!$B$17)</f>
        <v>1.1285732577592732E-2</v>
      </c>
      <c r="D2" s="15">
        <f>D$5/(1-'Calculations Etc'!$B$17)</f>
        <v>1.1358932316426948E-2</v>
      </c>
      <c r="E2" s="15">
        <f>E$5/(1-'Calculations Etc'!$B$17)</f>
        <v>1.1432610862982587E-2</v>
      </c>
      <c r="F2" s="15">
        <f>F$5/(1-'Calculations Etc'!$B$17)</f>
        <v>1.150676179031037E-2</v>
      </c>
      <c r="G2" s="15">
        <f>G$5/(1-'Calculations Etc'!$B$17)</f>
        <v>1.1581394738834218E-2</v>
      </c>
      <c r="H2" s="15">
        <f>H$5/(1-'Calculations Etc'!$B$17)</f>
        <v>1.1656512922028765E-2</v>
      </c>
      <c r="I2" s="15">
        <f>I$5/(1-'Calculations Etc'!$B$17)</f>
        <v>1.1732119553368661E-2</v>
      </c>
      <c r="J2" s="15">
        <f>J$5/(1-'Calculations Etc'!$B$17)</f>
        <v>1.1808214632853897E-2</v>
      </c>
      <c r="K2" s="15">
        <f>K$5/(1-'Calculations Etc'!$B$17)</f>
        <v>1.188480458743376E-2</v>
      </c>
      <c r="L2" s="15">
        <f>L$5/(1-'Calculations Etc'!$B$17)</f>
        <v>1.1961889417108251E-2</v>
      </c>
      <c r="M2" s="15">
        <f>M$5/(1-'Calculations Etc'!$B$17)</f>
        <v>1.2039475548826646E-2</v>
      </c>
      <c r="N2" s="15">
        <f>N$5/(1-'Calculations Etc'!$B$17)</f>
        <v>1.2117562982588948E-2</v>
      </c>
      <c r="O2" s="15">
        <f>O$5/(1-'Calculations Etc'!$B$17)</f>
        <v>1.2196158145344435E-2</v>
      </c>
      <c r="P2" s="15">
        <f>P$5/(1-'Calculations Etc'!$B$17)</f>
        <v>1.2275264250567752E-2</v>
      </c>
      <c r="Q2" s="15">
        <f>Q$5/(1-'Calculations Etc'!$B$17)</f>
        <v>1.2354884511733534E-2</v>
      </c>
      <c r="R2" s="15">
        <f>R$5/(1-'Calculations Etc'!$B$17)</f>
        <v>1.2435018928841786E-2</v>
      </c>
      <c r="S2" s="15">
        <f>S$5/(1-'Calculations Etc'!$B$17)</f>
        <v>1.2515673928841786E-2</v>
      </c>
      <c r="T2" s="15">
        <f>T$5/(1-'Calculations Etc'!$B$17)</f>
        <v>1.2596849511733533E-2</v>
      </c>
      <c r="U2" s="15">
        <f>U$5/(1-'Calculations Etc'!$B$17)</f>
        <v>1.2678555317940952E-2</v>
      </c>
      <c r="V2" s="15">
        <f>V$5/(1-'Calculations Etc'!$B$17)</f>
        <v>1.2760788133989403E-2</v>
      </c>
      <c r="W2" s="15">
        <f>W$5/(1-'Calculations Etc'!$B$17)</f>
        <v>1.2843557600302801E-2</v>
      </c>
      <c r="X2" s="15">
        <f>X$5/(1-'Calculations Etc'!$B$17)</f>
        <v>1.2926860503406511E-2</v>
      </c>
      <c r="Y2" s="15">
        <f>Y$5/(1-'Calculations Etc'!$B$17)</f>
        <v>1.3010706483724453E-2</v>
      </c>
      <c r="Z2" s="15">
        <f>Z$5/(1-'Calculations Etc'!$B$17)</f>
        <v>1.3095095541256624E-2</v>
      </c>
      <c r="AA2" s="15">
        <f>AA$5/(1-'Calculations Etc'!$B$17)</f>
        <v>1.3180030889477667E-2</v>
      </c>
      <c r="AB2" s="15">
        <f>AB$5/(1-'Calculations Etc'!$B$17)</f>
        <v>1.3265515741862226E-2</v>
      </c>
      <c r="AC2" s="15">
        <f>AC$5/(1-'Calculations Etc'!$B$17)</f>
        <v>1.3351556525359576E-2</v>
      </c>
      <c r="AD2" s="15">
        <f>AD$5/(1-'Calculations Etc'!$B$17)</f>
        <v>1.343815645344436E-2</v>
      </c>
      <c r="AE2" s="15">
        <f>AE$5/(1-'Calculations Etc'!$B$17)</f>
        <v>1.3525318739591218E-2</v>
      </c>
      <c r="AF2" s="15">
        <f>AF$5/(1-'Calculations Etc'!$B$17)</f>
        <v>1.361304338380015E-2</v>
      </c>
      <c r="AG2" s="15"/>
      <c r="AH2" s="15"/>
      <c r="AI2" s="15"/>
    </row>
    <row r="3" spans="1:35">
      <c r="A3" t="s">
        <v>113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5">
      <c r="A4" t="s">
        <v>114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5" s="59" customFormat="1">
      <c r="A5" s="59" t="s">
        <v>115</v>
      </c>
      <c r="B5" s="40">
        <f>INDEX('AEO 7'!$C$51:$AJ$51,MATCH(B$1,'AEO 7'!$C$1:$AJ$1,0))/10^3</f>
        <v>3.4893709999999998E-3</v>
      </c>
      <c r="C5" s="40">
        <f>INDEX('AEO 7'!$C$51:$AJ$51,MATCH(C$1,'AEO 7'!$C$1:$AJ$1,0))/10^3</f>
        <v>3.5120030000000001E-3</v>
      </c>
      <c r="D5" s="40">
        <f>INDEX('AEO 7'!$C$51:$AJ$51,MATCH(D$1,'AEO 7'!$C$1:$AJ$1,0))/10^3</f>
        <v>3.5347819999999998E-3</v>
      </c>
      <c r="E5" s="40">
        <f>INDEX('AEO 7'!$C$51:$AJ$51,MATCH(E$1,'AEO 7'!$C$1:$AJ$1,0))/10^3</f>
        <v>3.55771E-3</v>
      </c>
      <c r="F5" s="40">
        <f>INDEX('AEO 7'!$C$51:$AJ$51,MATCH(F$1,'AEO 7'!$C$1:$AJ$1,0))/10^3</f>
        <v>3.580785E-3</v>
      </c>
      <c r="G5" s="40">
        <f>INDEX('AEO 7'!$C$51:$AJ$51,MATCH(G$1,'AEO 7'!$C$1:$AJ$1,0))/10^3</f>
        <v>3.6040100000000004E-3</v>
      </c>
      <c r="H5" s="40">
        <f>INDEX('AEO 7'!$C$51:$AJ$51,MATCH(H$1,'AEO 7'!$C$1:$AJ$1,0))/10^3</f>
        <v>3.6273859999999998E-3</v>
      </c>
      <c r="I5" s="40">
        <f>INDEX('AEO 7'!$C$51:$AJ$51,MATCH(I$1,'AEO 7'!$C$1:$AJ$1,0))/10^3</f>
        <v>3.6509140000000003E-3</v>
      </c>
      <c r="J5" s="40">
        <f>INDEX('AEO 7'!$C$51:$AJ$51,MATCH(J$1,'AEO 7'!$C$1:$AJ$1,0))/10^3</f>
        <v>3.6745939999999998E-3</v>
      </c>
      <c r="K5" s="40">
        <f>INDEX('AEO 7'!$C$51:$AJ$51,MATCH(K$1,'AEO 7'!$C$1:$AJ$1,0))/10^3</f>
        <v>3.6984279999999997E-3</v>
      </c>
      <c r="L5" s="40">
        <f>INDEX('AEO 7'!$C$51:$AJ$51,MATCH(L$1,'AEO 7'!$C$1:$AJ$1,0))/10^3</f>
        <v>3.7224160000000001E-3</v>
      </c>
      <c r="M5" s="40">
        <f>INDEX('AEO 7'!$C$51:$AJ$51,MATCH(M$1,'AEO 7'!$C$1:$AJ$1,0))/10^3</f>
        <v>3.7465599999999999E-3</v>
      </c>
      <c r="N5" s="40">
        <f>INDEX('AEO 7'!$C$51:$AJ$51,MATCH(N$1,'AEO 7'!$C$1:$AJ$1,0))/10^3</f>
        <v>3.77086E-3</v>
      </c>
      <c r="O5" s="40">
        <f>INDEX('AEO 7'!$C$51:$AJ$51,MATCH(O$1,'AEO 7'!$C$1:$AJ$1,0))/10^3</f>
        <v>3.7953179999999998E-3</v>
      </c>
      <c r="P5" s="40">
        <f>INDEX('AEO 7'!$C$51:$AJ$51,MATCH(P$1,'AEO 7'!$C$1:$AJ$1,0))/10^3</f>
        <v>3.819935E-3</v>
      </c>
      <c r="Q5" s="40">
        <f>INDEX('AEO 7'!$C$51:$AJ$51,MATCH(Q$1,'AEO 7'!$C$1:$AJ$1,0))/10^3</f>
        <v>3.8447119999999997E-3</v>
      </c>
      <c r="R5" s="40">
        <f>INDEX('AEO 7'!$C$51:$AJ$51,MATCH(R$1,'AEO 7'!$C$1:$AJ$1,0))/10^3</f>
        <v>3.8696489999999997E-3</v>
      </c>
      <c r="S5" s="40">
        <f>INDEX('AEO 7'!$C$51:$AJ$51,MATCH(S$1,'AEO 7'!$C$1:$AJ$1,0))/10^3</f>
        <v>3.894748E-3</v>
      </c>
      <c r="T5" s="40">
        <f>INDEX('AEO 7'!$C$51:$AJ$51,MATCH(T$1,'AEO 7'!$C$1:$AJ$1,0))/10^3</f>
        <v>3.9200089999999995E-3</v>
      </c>
      <c r="U5" s="40">
        <f>INDEX('AEO 7'!$C$51:$AJ$51,MATCH(U$1,'AEO 7'!$C$1:$AJ$1,0))/10^3</f>
        <v>3.9454349999999997E-3</v>
      </c>
      <c r="V5" s="40">
        <f>INDEX('AEO 7'!$C$51:$AJ$51,MATCH(V$1,'AEO 7'!$C$1:$AJ$1,0))/10^3</f>
        <v>3.9710250000000004E-3</v>
      </c>
      <c r="W5" s="40">
        <f>INDEX('AEO 7'!$C$51:$AJ$51,MATCH(W$1,'AEO 7'!$C$1:$AJ$1,0))/10^3</f>
        <v>3.9967819999999999E-3</v>
      </c>
      <c r="X5" s="40">
        <f>INDEX('AEO 7'!$C$51:$AJ$51,MATCH(X$1,'AEO 7'!$C$1:$AJ$1,0))/10^3</f>
        <v>4.0227050000000006E-3</v>
      </c>
      <c r="Y5" s="40">
        <f>INDEX('AEO 7'!$C$51:$AJ$51,MATCH(Y$1,'AEO 7'!$C$1:$AJ$1,0))/10^3</f>
        <v>4.0487970000000007E-3</v>
      </c>
      <c r="Z5" s="40">
        <f>INDEX('AEO 7'!$C$51:$AJ$51,MATCH(Z$1,'AEO 7'!$C$1:$AJ$1,0))/10^3</f>
        <v>4.0750580000000003E-3</v>
      </c>
      <c r="AA5" s="40">
        <f>INDEX('AEO 7'!$C$51:$AJ$51,MATCH(AA$1,'AEO 7'!$C$1:$AJ$1,0))/10^3</f>
        <v>4.1014889999999998E-3</v>
      </c>
      <c r="AB5" s="40">
        <f>INDEX('AEO 7'!$C$51:$AJ$51,MATCH(AB$1,'AEO 7'!$C$1:$AJ$1,0))/10^3</f>
        <v>4.1280910000000004E-3</v>
      </c>
      <c r="AC5" s="40">
        <f>INDEX('AEO 7'!$C$51:$AJ$51,MATCH(AC$1,'AEO 7'!$C$1:$AJ$1,0))/10^3</f>
        <v>4.1548660000000001E-3</v>
      </c>
      <c r="AD5" s="40">
        <f>INDEX('AEO 7'!$C$51:$AJ$51,MATCH(AD$1,'AEO 7'!$C$1:$AJ$1,0))/10^3</f>
        <v>4.1818150000000002E-3</v>
      </c>
      <c r="AE5" s="40">
        <f>INDEX('AEO 7'!$C$51:$AJ$51,MATCH(AE$1,'AEO 7'!$C$1:$AJ$1,0))/10^3</f>
        <v>4.2089390000000001E-3</v>
      </c>
      <c r="AF5" s="40">
        <f>INDEX('AEO 7'!$C$51:$AJ$51,MATCH(AF$1,'AEO 7'!$C$1:$AJ$1,0))/10^3</f>
        <v>4.2362379999999998E-3</v>
      </c>
      <c r="AG5" s="40"/>
      <c r="AH5" s="40"/>
      <c r="AI5" s="40"/>
    </row>
    <row r="6" spans="1:35">
      <c r="A6" t="s">
        <v>116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5">
      <c r="A7" t="s">
        <v>853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5">
      <c r="A8" t="s">
        <v>854</v>
      </c>
      <c r="B8" s="4">
        <f>B$5*'Calculations Etc'!$B$35</f>
        <v>1.0468112999999998E-2</v>
      </c>
      <c r="C8" s="4">
        <f>C$5*'Calculations Etc'!$B$35</f>
        <v>1.0536008999999999E-2</v>
      </c>
      <c r="D8" s="4">
        <f>D$5*'Calculations Etc'!$B$35</f>
        <v>1.0604345999999997E-2</v>
      </c>
      <c r="E8" s="4">
        <f>E$5*'Calculations Etc'!$B$35</f>
        <v>1.0673129999999998E-2</v>
      </c>
      <c r="F8" s="4">
        <f>F$5*'Calculations Etc'!$B$35</f>
        <v>1.0742354999999999E-2</v>
      </c>
      <c r="G8" s="4">
        <f>G$5*'Calculations Etc'!$B$35</f>
        <v>1.081203E-2</v>
      </c>
      <c r="H8" s="4">
        <f>H$5*'Calculations Etc'!$B$35</f>
        <v>1.0882157999999998E-2</v>
      </c>
      <c r="I8" s="4">
        <f>I$5*'Calculations Etc'!$B$35</f>
        <v>1.0952742E-2</v>
      </c>
      <c r="J8" s="4">
        <f>J$5*'Calculations Etc'!$B$35</f>
        <v>1.1023781999999998E-2</v>
      </c>
      <c r="K8" s="4">
        <f>K$5*'Calculations Etc'!$B$35</f>
        <v>1.1095283999999997E-2</v>
      </c>
      <c r="L8" s="4">
        <f>L$5*'Calculations Etc'!$B$35</f>
        <v>1.1167247999999999E-2</v>
      </c>
      <c r="M8" s="4">
        <f>M$5*'Calculations Etc'!$B$35</f>
        <v>1.1239679999999998E-2</v>
      </c>
      <c r="N8" s="4">
        <f>N$5*'Calculations Etc'!$B$35</f>
        <v>1.1312579999999999E-2</v>
      </c>
      <c r="O8" s="4">
        <f>O$5*'Calculations Etc'!$B$35</f>
        <v>1.1385953999999998E-2</v>
      </c>
      <c r="P8" s="4">
        <f>P$5*'Calculations Etc'!$B$35</f>
        <v>1.1459804999999998E-2</v>
      </c>
      <c r="Q8" s="4">
        <f>Q$5*'Calculations Etc'!$B$35</f>
        <v>1.1534135999999997E-2</v>
      </c>
      <c r="R8" s="4">
        <f>R$5*'Calculations Etc'!$B$35</f>
        <v>1.1608946999999998E-2</v>
      </c>
      <c r="S8" s="4">
        <f>S$5*'Calculations Etc'!$B$35</f>
        <v>1.1684243999999998E-2</v>
      </c>
      <c r="T8" s="4">
        <f>T$5*'Calculations Etc'!$B$35</f>
        <v>1.1760026999999996E-2</v>
      </c>
      <c r="U8" s="4">
        <f>U$5*'Calculations Etc'!$B$35</f>
        <v>1.1836304999999997E-2</v>
      </c>
      <c r="V8" s="4">
        <f>V$5*'Calculations Etc'!$B$35</f>
        <v>1.1913074999999999E-2</v>
      </c>
      <c r="W8" s="4">
        <f>W$5*'Calculations Etc'!$B$35</f>
        <v>1.1990345999999997E-2</v>
      </c>
      <c r="X8" s="4">
        <f>X$5*'Calculations Etc'!$B$35</f>
        <v>1.2068114999999999E-2</v>
      </c>
      <c r="Y8" s="4">
        <f>Y$5*'Calculations Etc'!$B$35</f>
        <v>1.2146390999999999E-2</v>
      </c>
      <c r="Z8" s="4">
        <f>Z$5*'Calculations Etc'!$B$35</f>
        <v>1.2225173999999998E-2</v>
      </c>
      <c r="AA8" s="4">
        <f>AA$5*'Calculations Etc'!$B$35</f>
        <v>1.2304466999999998E-2</v>
      </c>
      <c r="AB8" s="4">
        <f>AB$5*'Calculations Etc'!$B$35</f>
        <v>1.2384272999999999E-2</v>
      </c>
      <c r="AC8" s="4">
        <f>AC$5*'Calculations Etc'!$B$35</f>
        <v>1.2464597999999999E-2</v>
      </c>
      <c r="AD8" s="4">
        <f>AD$5*'Calculations Etc'!$B$35</f>
        <v>1.2545444999999999E-2</v>
      </c>
      <c r="AE8" s="4">
        <f>AE$5*'Calculations Etc'!$B$35</f>
        <v>1.2626816999999999E-2</v>
      </c>
      <c r="AF8" s="4">
        <f>AF$5*'Calculations Etc'!$B$35</f>
        <v>1.2708713999999998E-2</v>
      </c>
      <c r="AG8" s="4"/>
      <c r="AH8" s="4"/>
      <c r="AI8" s="4"/>
    </row>
    <row r="11" spans="1:35">
      <c r="B11" s="4"/>
    </row>
    <row r="12" spans="1:35">
      <c r="D12" s="1"/>
    </row>
  </sheetData>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J9"/>
  <sheetViews>
    <sheetView workbookViewId="0">
      <selection activeCell="B4" sqref="B4"/>
    </sheetView>
  </sheetViews>
  <sheetFormatPr defaultRowHeight="14.5"/>
  <cols>
    <col min="1" max="1" width="31.08984375" customWidth="1"/>
    <col min="2" max="2" width="11.6328125" bestFit="1" customWidth="1"/>
  </cols>
  <sheetData>
    <row r="1" spans="1:36">
      <c r="A1" s="1" t="s">
        <v>856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6">
      <c r="A2" t="s">
        <v>112</v>
      </c>
      <c r="B2" s="15">
        <f t="array" ref="B2:B8">TRANSPOSE('SYFAFE-passenger'!B6:H6)</f>
        <v>3.2293482418666772E-5</v>
      </c>
      <c r="C2" s="15">
        <f>B2</f>
        <v>3.2293482418666772E-5</v>
      </c>
      <c r="D2" s="15">
        <f t="shared" ref="D2:AF8" si="0">C2</f>
        <v>3.2293482418666772E-5</v>
      </c>
      <c r="E2" s="15">
        <f t="shared" si="0"/>
        <v>3.2293482418666772E-5</v>
      </c>
      <c r="F2" s="15">
        <f t="shared" si="0"/>
        <v>3.2293482418666772E-5</v>
      </c>
      <c r="G2" s="15">
        <f t="shared" si="0"/>
        <v>3.2293482418666772E-5</v>
      </c>
      <c r="H2" s="15">
        <f t="shared" si="0"/>
        <v>3.2293482418666772E-5</v>
      </c>
      <c r="I2" s="15">
        <f t="shared" si="0"/>
        <v>3.2293482418666772E-5</v>
      </c>
      <c r="J2" s="15">
        <f t="shared" si="0"/>
        <v>3.2293482418666772E-5</v>
      </c>
      <c r="K2" s="15">
        <f t="shared" si="0"/>
        <v>3.2293482418666772E-5</v>
      </c>
      <c r="L2" s="15">
        <f t="shared" si="0"/>
        <v>3.2293482418666772E-5</v>
      </c>
      <c r="M2" s="15">
        <f t="shared" si="0"/>
        <v>3.2293482418666772E-5</v>
      </c>
      <c r="N2" s="15">
        <f t="shared" si="0"/>
        <v>3.2293482418666772E-5</v>
      </c>
      <c r="O2" s="15">
        <f t="shared" si="0"/>
        <v>3.2293482418666772E-5</v>
      </c>
      <c r="P2" s="15">
        <f t="shared" si="0"/>
        <v>3.2293482418666772E-5</v>
      </c>
      <c r="Q2" s="15">
        <f t="shared" si="0"/>
        <v>3.2293482418666772E-5</v>
      </c>
      <c r="R2" s="15">
        <f t="shared" si="0"/>
        <v>3.2293482418666772E-5</v>
      </c>
      <c r="S2" s="15">
        <f t="shared" si="0"/>
        <v>3.2293482418666772E-5</v>
      </c>
      <c r="T2" s="15">
        <f t="shared" si="0"/>
        <v>3.2293482418666772E-5</v>
      </c>
      <c r="U2" s="15">
        <f t="shared" si="0"/>
        <v>3.2293482418666772E-5</v>
      </c>
      <c r="V2" s="15">
        <f t="shared" si="0"/>
        <v>3.2293482418666772E-5</v>
      </c>
      <c r="W2" s="15">
        <f t="shared" si="0"/>
        <v>3.2293482418666772E-5</v>
      </c>
      <c r="X2" s="15">
        <f t="shared" si="0"/>
        <v>3.2293482418666772E-5</v>
      </c>
      <c r="Y2" s="15">
        <f t="shared" si="0"/>
        <v>3.2293482418666772E-5</v>
      </c>
      <c r="Z2" s="15">
        <f t="shared" si="0"/>
        <v>3.2293482418666772E-5</v>
      </c>
      <c r="AA2" s="15">
        <f t="shared" si="0"/>
        <v>3.2293482418666772E-5</v>
      </c>
      <c r="AB2" s="15">
        <f t="shared" si="0"/>
        <v>3.2293482418666772E-5</v>
      </c>
      <c r="AC2" s="15">
        <f t="shared" si="0"/>
        <v>3.2293482418666772E-5</v>
      </c>
      <c r="AD2" s="15">
        <f t="shared" si="0"/>
        <v>3.2293482418666772E-5</v>
      </c>
      <c r="AE2" s="15">
        <f t="shared" si="0"/>
        <v>3.2293482418666772E-5</v>
      </c>
      <c r="AF2" s="15">
        <f t="shared" si="0"/>
        <v>3.2293482418666772E-5</v>
      </c>
      <c r="AG2" s="15"/>
      <c r="AH2" s="15"/>
      <c r="AI2" s="15"/>
    </row>
    <row r="3" spans="1:36">
      <c r="A3" t="s">
        <v>113</v>
      </c>
      <c r="B3">
        <v>0</v>
      </c>
      <c r="C3" s="15">
        <f t="shared" ref="C3:R8" si="1">B3</f>
        <v>0</v>
      </c>
      <c r="D3" s="15">
        <f t="shared" si="1"/>
        <v>0</v>
      </c>
      <c r="E3" s="15">
        <f t="shared" si="1"/>
        <v>0</v>
      </c>
      <c r="F3" s="15">
        <f t="shared" si="1"/>
        <v>0</v>
      </c>
      <c r="G3" s="15">
        <f t="shared" si="1"/>
        <v>0</v>
      </c>
      <c r="H3" s="15">
        <f t="shared" si="1"/>
        <v>0</v>
      </c>
      <c r="I3" s="15">
        <f t="shared" si="1"/>
        <v>0</v>
      </c>
      <c r="J3" s="15">
        <f t="shared" si="1"/>
        <v>0</v>
      </c>
      <c r="K3" s="15">
        <f t="shared" si="1"/>
        <v>0</v>
      </c>
      <c r="L3" s="15">
        <f t="shared" si="1"/>
        <v>0</v>
      </c>
      <c r="M3" s="15">
        <f t="shared" si="1"/>
        <v>0</v>
      </c>
      <c r="N3" s="15">
        <f t="shared" si="1"/>
        <v>0</v>
      </c>
      <c r="O3" s="15">
        <f t="shared" si="1"/>
        <v>0</v>
      </c>
      <c r="P3" s="15">
        <f t="shared" si="1"/>
        <v>0</v>
      </c>
      <c r="Q3" s="15">
        <f t="shared" si="1"/>
        <v>0</v>
      </c>
      <c r="R3" s="15">
        <f t="shared" si="1"/>
        <v>0</v>
      </c>
      <c r="S3" s="15">
        <f t="shared" si="0"/>
        <v>0</v>
      </c>
      <c r="T3" s="15">
        <f t="shared" si="0"/>
        <v>0</v>
      </c>
      <c r="U3" s="15">
        <f t="shared" si="0"/>
        <v>0</v>
      </c>
      <c r="V3" s="15">
        <f t="shared" si="0"/>
        <v>0</v>
      </c>
      <c r="W3" s="15">
        <f t="shared" si="0"/>
        <v>0</v>
      </c>
      <c r="X3" s="15">
        <f t="shared" si="0"/>
        <v>0</v>
      </c>
      <c r="Y3" s="15">
        <f t="shared" si="0"/>
        <v>0</v>
      </c>
      <c r="Z3" s="15">
        <f t="shared" si="0"/>
        <v>0</v>
      </c>
      <c r="AA3" s="15">
        <f t="shared" si="0"/>
        <v>0</v>
      </c>
      <c r="AB3" s="15">
        <f t="shared" si="0"/>
        <v>0</v>
      </c>
      <c r="AC3" s="15">
        <f t="shared" si="0"/>
        <v>0</v>
      </c>
      <c r="AD3" s="15">
        <f t="shared" si="0"/>
        <v>0</v>
      </c>
      <c r="AE3" s="15">
        <f t="shared" si="0"/>
        <v>0</v>
      </c>
      <c r="AF3" s="15">
        <f t="shared" si="0"/>
        <v>0</v>
      </c>
    </row>
    <row r="4" spans="1:36">
      <c r="A4" t="s">
        <v>114</v>
      </c>
      <c r="B4" s="4">
        <v>1.0049397002369564E-5</v>
      </c>
      <c r="C4" s="15">
        <f t="shared" si="1"/>
        <v>1.0049397002369564E-5</v>
      </c>
      <c r="D4" s="15">
        <f t="shared" si="0"/>
        <v>1.0049397002369564E-5</v>
      </c>
      <c r="E4" s="15">
        <f t="shared" si="0"/>
        <v>1.0049397002369564E-5</v>
      </c>
      <c r="F4" s="15">
        <f t="shared" si="0"/>
        <v>1.0049397002369564E-5</v>
      </c>
      <c r="G4" s="15">
        <f t="shared" si="0"/>
        <v>1.0049397002369564E-5</v>
      </c>
      <c r="H4" s="15">
        <f t="shared" si="0"/>
        <v>1.0049397002369564E-5</v>
      </c>
      <c r="I4" s="15">
        <f t="shared" si="0"/>
        <v>1.0049397002369564E-5</v>
      </c>
      <c r="J4" s="15">
        <f t="shared" si="0"/>
        <v>1.0049397002369564E-5</v>
      </c>
      <c r="K4" s="15">
        <f t="shared" si="0"/>
        <v>1.0049397002369564E-5</v>
      </c>
      <c r="L4" s="15">
        <f t="shared" si="0"/>
        <v>1.0049397002369564E-5</v>
      </c>
      <c r="M4" s="15">
        <f t="shared" si="0"/>
        <v>1.0049397002369564E-5</v>
      </c>
      <c r="N4" s="15">
        <f t="shared" si="0"/>
        <v>1.0049397002369564E-5</v>
      </c>
      <c r="O4" s="15">
        <f t="shared" si="0"/>
        <v>1.0049397002369564E-5</v>
      </c>
      <c r="P4" s="15">
        <f t="shared" si="0"/>
        <v>1.0049397002369564E-5</v>
      </c>
      <c r="Q4" s="15">
        <f t="shared" si="0"/>
        <v>1.0049397002369564E-5</v>
      </c>
      <c r="R4" s="15">
        <f t="shared" si="0"/>
        <v>1.0049397002369564E-5</v>
      </c>
      <c r="S4" s="15">
        <f t="shared" si="0"/>
        <v>1.0049397002369564E-5</v>
      </c>
      <c r="T4" s="15">
        <f t="shared" si="0"/>
        <v>1.0049397002369564E-5</v>
      </c>
      <c r="U4" s="15">
        <f t="shared" si="0"/>
        <v>1.0049397002369564E-5</v>
      </c>
      <c r="V4" s="15">
        <f t="shared" si="0"/>
        <v>1.0049397002369564E-5</v>
      </c>
      <c r="W4" s="15">
        <f t="shared" si="0"/>
        <v>1.0049397002369564E-5</v>
      </c>
      <c r="X4" s="15">
        <f t="shared" si="0"/>
        <v>1.0049397002369564E-5</v>
      </c>
      <c r="Y4" s="15">
        <f t="shared" si="0"/>
        <v>1.0049397002369564E-5</v>
      </c>
      <c r="Z4" s="15">
        <f t="shared" si="0"/>
        <v>1.0049397002369564E-5</v>
      </c>
      <c r="AA4" s="15">
        <f t="shared" si="0"/>
        <v>1.0049397002369564E-5</v>
      </c>
      <c r="AB4" s="15">
        <f t="shared" si="0"/>
        <v>1.0049397002369564E-5</v>
      </c>
      <c r="AC4" s="15">
        <f t="shared" si="0"/>
        <v>1.0049397002369564E-5</v>
      </c>
      <c r="AD4" s="15">
        <f t="shared" si="0"/>
        <v>1.0049397002369564E-5</v>
      </c>
      <c r="AE4" s="15">
        <f t="shared" si="0"/>
        <v>1.0049397002369564E-5</v>
      </c>
      <c r="AF4" s="15">
        <f t="shared" si="0"/>
        <v>1.0049397002369564E-5</v>
      </c>
    </row>
    <row r="5" spans="1:36">
      <c r="A5" t="s">
        <v>115</v>
      </c>
      <c r="B5" s="4">
        <v>1.0049397002369565E-5</v>
      </c>
      <c r="C5" s="15">
        <f t="shared" si="1"/>
        <v>1.0049397002369565E-5</v>
      </c>
      <c r="D5" s="15">
        <f t="shared" si="0"/>
        <v>1.0049397002369565E-5</v>
      </c>
      <c r="E5" s="15">
        <f t="shared" si="0"/>
        <v>1.0049397002369565E-5</v>
      </c>
      <c r="F5" s="15">
        <f t="shared" si="0"/>
        <v>1.0049397002369565E-5</v>
      </c>
      <c r="G5" s="15">
        <f t="shared" si="0"/>
        <v>1.0049397002369565E-5</v>
      </c>
      <c r="H5" s="15">
        <f t="shared" si="0"/>
        <v>1.0049397002369565E-5</v>
      </c>
      <c r="I5" s="15">
        <f t="shared" si="0"/>
        <v>1.0049397002369565E-5</v>
      </c>
      <c r="J5" s="15">
        <f t="shared" si="0"/>
        <v>1.0049397002369565E-5</v>
      </c>
      <c r="K5" s="15">
        <f t="shared" si="0"/>
        <v>1.0049397002369565E-5</v>
      </c>
      <c r="L5" s="15">
        <f t="shared" si="0"/>
        <v>1.0049397002369565E-5</v>
      </c>
      <c r="M5" s="15">
        <f t="shared" si="0"/>
        <v>1.0049397002369565E-5</v>
      </c>
      <c r="N5" s="15">
        <f t="shared" si="0"/>
        <v>1.0049397002369565E-5</v>
      </c>
      <c r="O5" s="15">
        <f t="shared" si="0"/>
        <v>1.0049397002369565E-5</v>
      </c>
      <c r="P5" s="15">
        <f t="shared" si="0"/>
        <v>1.0049397002369565E-5</v>
      </c>
      <c r="Q5" s="15">
        <f t="shared" si="0"/>
        <v>1.0049397002369565E-5</v>
      </c>
      <c r="R5" s="15">
        <f t="shared" si="0"/>
        <v>1.0049397002369565E-5</v>
      </c>
      <c r="S5" s="15">
        <f t="shared" si="0"/>
        <v>1.0049397002369565E-5</v>
      </c>
      <c r="T5" s="15">
        <f t="shared" si="0"/>
        <v>1.0049397002369565E-5</v>
      </c>
      <c r="U5" s="15">
        <f t="shared" si="0"/>
        <v>1.0049397002369565E-5</v>
      </c>
      <c r="V5" s="15">
        <f t="shared" si="0"/>
        <v>1.0049397002369565E-5</v>
      </c>
      <c r="W5" s="15">
        <f t="shared" si="0"/>
        <v>1.0049397002369565E-5</v>
      </c>
      <c r="X5" s="15">
        <f t="shared" si="0"/>
        <v>1.0049397002369565E-5</v>
      </c>
      <c r="Y5" s="15">
        <f t="shared" si="0"/>
        <v>1.0049397002369565E-5</v>
      </c>
      <c r="Z5" s="15">
        <f t="shared" si="0"/>
        <v>1.0049397002369565E-5</v>
      </c>
      <c r="AA5" s="15">
        <f t="shared" si="0"/>
        <v>1.0049397002369565E-5</v>
      </c>
      <c r="AB5" s="15">
        <f t="shared" si="0"/>
        <v>1.0049397002369565E-5</v>
      </c>
      <c r="AC5" s="15">
        <f t="shared" si="0"/>
        <v>1.0049397002369565E-5</v>
      </c>
      <c r="AD5" s="15">
        <f t="shared" si="0"/>
        <v>1.0049397002369565E-5</v>
      </c>
      <c r="AE5" s="15">
        <f t="shared" si="0"/>
        <v>1.0049397002369565E-5</v>
      </c>
      <c r="AF5" s="15">
        <f t="shared" si="0"/>
        <v>1.0049397002369565E-5</v>
      </c>
      <c r="AG5" s="4"/>
      <c r="AH5" s="4"/>
      <c r="AI5" s="4"/>
    </row>
    <row r="6" spans="1:36">
      <c r="A6" t="s">
        <v>116</v>
      </c>
      <c r="B6">
        <v>0</v>
      </c>
      <c r="C6" s="15">
        <f t="shared" si="1"/>
        <v>0</v>
      </c>
      <c r="D6" s="15">
        <f t="shared" si="0"/>
        <v>0</v>
      </c>
      <c r="E6" s="15">
        <f t="shared" si="0"/>
        <v>0</v>
      </c>
      <c r="F6" s="15">
        <f t="shared" si="0"/>
        <v>0</v>
      </c>
      <c r="G6" s="15">
        <f t="shared" si="0"/>
        <v>0</v>
      </c>
      <c r="H6" s="15">
        <f t="shared" si="0"/>
        <v>0</v>
      </c>
      <c r="I6" s="15">
        <f t="shared" si="0"/>
        <v>0</v>
      </c>
      <c r="J6" s="15">
        <f t="shared" si="0"/>
        <v>0</v>
      </c>
      <c r="K6" s="15">
        <f t="shared" si="0"/>
        <v>0</v>
      </c>
      <c r="L6" s="15">
        <f t="shared" si="0"/>
        <v>0</v>
      </c>
      <c r="M6" s="15">
        <f t="shared" si="0"/>
        <v>0</v>
      </c>
      <c r="N6" s="15">
        <f t="shared" si="0"/>
        <v>0</v>
      </c>
      <c r="O6" s="15">
        <f t="shared" si="0"/>
        <v>0</v>
      </c>
      <c r="P6" s="15">
        <f t="shared" si="0"/>
        <v>0</v>
      </c>
      <c r="Q6" s="15">
        <f t="shared" si="0"/>
        <v>0</v>
      </c>
      <c r="R6" s="15">
        <f t="shared" si="0"/>
        <v>0</v>
      </c>
      <c r="S6" s="15">
        <f t="shared" si="0"/>
        <v>0</v>
      </c>
      <c r="T6" s="15">
        <f t="shared" si="0"/>
        <v>0</v>
      </c>
      <c r="U6" s="15">
        <f t="shared" si="0"/>
        <v>0</v>
      </c>
      <c r="V6" s="15">
        <f t="shared" si="0"/>
        <v>0</v>
      </c>
      <c r="W6" s="15">
        <f t="shared" si="0"/>
        <v>0</v>
      </c>
      <c r="X6" s="15">
        <f t="shared" si="0"/>
        <v>0</v>
      </c>
      <c r="Y6" s="15">
        <f t="shared" si="0"/>
        <v>0</v>
      </c>
      <c r="Z6" s="15">
        <f t="shared" si="0"/>
        <v>0</v>
      </c>
      <c r="AA6" s="15">
        <f t="shared" si="0"/>
        <v>0</v>
      </c>
      <c r="AB6" s="15">
        <f t="shared" si="0"/>
        <v>0</v>
      </c>
      <c r="AC6" s="15">
        <f t="shared" si="0"/>
        <v>0</v>
      </c>
      <c r="AD6" s="15">
        <f t="shared" si="0"/>
        <v>0</v>
      </c>
      <c r="AE6" s="15">
        <f t="shared" si="0"/>
        <v>0</v>
      </c>
      <c r="AF6" s="15">
        <f t="shared" si="0"/>
        <v>0</v>
      </c>
    </row>
    <row r="7" spans="1:36">
      <c r="A7" t="s">
        <v>853</v>
      </c>
      <c r="B7">
        <v>0</v>
      </c>
      <c r="C7" s="15">
        <f t="shared" si="1"/>
        <v>0</v>
      </c>
      <c r="D7" s="15">
        <f t="shared" si="0"/>
        <v>0</v>
      </c>
      <c r="E7" s="15">
        <f t="shared" si="0"/>
        <v>0</v>
      </c>
      <c r="F7" s="15">
        <f t="shared" si="0"/>
        <v>0</v>
      </c>
      <c r="G7" s="15">
        <f t="shared" si="0"/>
        <v>0</v>
      </c>
      <c r="H7" s="15">
        <f t="shared" si="0"/>
        <v>0</v>
      </c>
      <c r="I7" s="15">
        <f t="shared" si="0"/>
        <v>0</v>
      </c>
      <c r="J7" s="15">
        <f t="shared" si="0"/>
        <v>0</v>
      </c>
      <c r="K7" s="15">
        <f t="shared" si="0"/>
        <v>0</v>
      </c>
      <c r="L7" s="15">
        <f t="shared" si="0"/>
        <v>0</v>
      </c>
      <c r="M7" s="15">
        <f t="shared" si="0"/>
        <v>0</v>
      </c>
      <c r="N7" s="15">
        <f t="shared" si="0"/>
        <v>0</v>
      </c>
      <c r="O7" s="15">
        <f t="shared" si="0"/>
        <v>0</v>
      </c>
      <c r="P7" s="15">
        <f t="shared" si="0"/>
        <v>0</v>
      </c>
      <c r="Q7" s="15">
        <f t="shared" si="0"/>
        <v>0</v>
      </c>
      <c r="R7" s="15">
        <f t="shared" si="0"/>
        <v>0</v>
      </c>
      <c r="S7" s="15">
        <f t="shared" si="0"/>
        <v>0</v>
      </c>
      <c r="T7" s="15">
        <f t="shared" si="0"/>
        <v>0</v>
      </c>
      <c r="U7" s="15">
        <f t="shared" si="0"/>
        <v>0</v>
      </c>
      <c r="V7" s="15">
        <f t="shared" si="0"/>
        <v>0</v>
      </c>
      <c r="W7" s="15">
        <f t="shared" si="0"/>
        <v>0</v>
      </c>
      <c r="X7" s="15">
        <f t="shared" si="0"/>
        <v>0</v>
      </c>
      <c r="Y7" s="15">
        <f t="shared" si="0"/>
        <v>0</v>
      </c>
      <c r="Z7" s="15">
        <f t="shared" si="0"/>
        <v>0</v>
      </c>
      <c r="AA7" s="15">
        <f t="shared" si="0"/>
        <v>0</v>
      </c>
      <c r="AB7" s="15">
        <f t="shared" si="0"/>
        <v>0</v>
      </c>
      <c r="AC7" s="15">
        <f t="shared" si="0"/>
        <v>0</v>
      </c>
      <c r="AD7" s="15">
        <f t="shared" si="0"/>
        <v>0</v>
      </c>
      <c r="AE7" s="15">
        <f t="shared" si="0"/>
        <v>0</v>
      </c>
      <c r="AF7" s="15">
        <f t="shared" si="0"/>
        <v>0</v>
      </c>
    </row>
    <row r="8" spans="1:36">
      <c r="A8" t="s">
        <v>854</v>
      </c>
      <c r="B8" s="4">
        <v>3.0148191007108693E-5</v>
      </c>
      <c r="C8" s="15">
        <f t="shared" si="1"/>
        <v>3.0148191007108693E-5</v>
      </c>
      <c r="D8" s="15">
        <f t="shared" si="0"/>
        <v>3.0148191007108693E-5</v>
      </c>
      <c r="E8" s="15">
        <f t="shared" si="0"/>
        <v>3.0148191007108693E-5</v>
      </c>
      <c r="F8" s="15">
        <f t="shared" si="0"/>
        <v>3.0148191007108693E-5</v>
      </c>
      <c r="G8" s="15">
        <f t="shared" si="0"/>
        <v>3.0148191007108693E-5</v>
      </c>
      <c r="H8" s="15">
        <f t="shared" si="0"/>
        <v>3.0148191007108693E-5</v>
      </c>
      <c r="I8" s="15">
        <f t="shared" si="0"/>
        <v>3.0148191007108693E-5</v>
      </c>
      <c r="J8" s="15">
        <f t="shared" si="0"/>
        <v>3.0148191007108693E-5</v>
      </c>
      <c r="K8" s="15">
        <f t="shared" si="0"/>
        <v>3.0148191007108693E-5</v>
      </c>
      <c r="L8" s="15">
        <f t="shared" si="0"/>
        <v>3.0148191007108693E-5</v>
      </c>
      <c r="M8" s="15">
        <f t="shared" si="0"/>
        <v>3.0148191007108693E-5</v>
      </c>
      <c r="N8" s="15">
        <f t="shared" si="0"/>
        <v>3.0148191007108693E-5</v>
      </c>
      <c r="O8" s="15">
        <f t="shared" si="0"/>
        <v>3.0148191007108693E-5</v>
      </c>
      <c r="P8" s="15">
        <f t="shared" si="0"/>
        <v>3.0148191007108693E-5</v>
      </c>
      <c r="Q8" s="15">
        <f t="shared" si="0"/>
        <v>3.0148191007108693E-5</v>
      </c>
      <c r="R8" s="15">
        <f t="shared" si="0"/>
        <v>3.0148191007108693E-5</v>
      </c>
      <c r="S8" s="15">
        <f t="shared" si="0"/>
        <v>3.0148191007108693E-5</v>
      </c>
      <c r="T8" s="15">
        <f t="shared" si="0"/>
        <v>3.0148191007108693E-5</v>
      </c>
      <c r="U8" s="15">
        <f t="shared" si="0"/>
        <v>3.0148191007108693E-5</v>
      </c>
      <c r="V8" s="15">
        <f t="shared" si="0"/>
        <v>3.0148191007108693E-5</v>
      </c>
      <c r="W8" s="15">
        <f t="shared" si="0"/>
        <v>3.0148191007108693E-5</v>
      </c>
      <c r="X8" s="15">
        <f t="shared" si="0"/>
        <v>3.0148191007108693E-5</v>
      </c>
      <c r="Y8" s="15">
        <f t="shared" si="0"/>
        <v>3.0148191007108693E-5</v>
      </c>
      <c r="Z8" s="15">
        <f t="shared" si="0"/>
        <v>3.0148191007108693E-5</v>
      </c>
      <c r="AA8" s="15">
        <f t="shared" si="0"/>
        <v>3.0148191007108693E-5</v>
      </c>
      <c r="AB8" s="15">
        <f t="shared" si="0"/>
        <v>3.0148191007108693E-5</v>
      </c>
      <c r="AC8" s="15">
        <f t="shared" si="0"/>
        <v>3.0148191007108693E-5</v>
      </c>
      <c r="AD8" s="15">
        <f t="shared" si="0"/>
        <v>3.0148191007108693E-5</v>
      </c>
      <c r="AE8" s="15">
        <f t="shared" si="0"/>
        <v>3.0148191007108693E-5</v>
      </c>
      <c r="AF8" s="15">
        <f t="shared" si="0"/>
        <v>3.0148191007108693E-5</v>
      </c>
      <c r="AG8" s="4"/>
      <c r="AH8" s="4"/>
      <c r="AI8" s="4"/>
    </row>
    <row r="9" spans="1:36">
      <c r="AJ9" s="4"/>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K9"/>
  <sheetViews>
    <sheetView workbookViewId="0">
      <selection activeCell="B5" sqref="B5"/>
    </sheetView>
  </sheetViews>
  <sheetFormatPr defaultRowHeight="14.5"/>
  <cols>
    <col min="1" max="1" width="31.08984375" customWidth="1"/>
  </cols>
  <sheetData>
    <row r="1" spans="1:37">
      <c r="A1" s="1" t="s">
        <v>856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7">
      <c r="A2" t="s">
        <v>112</v>
      </c>
      <c r="B2" s="15">
        <f>B$5/(1-'Calculations Etc'!$B$17)</f>
        <v>1.5975871779246573E-2</v>
      </c>
      <c r="C2" s="15">
        <f>C$5/(1-'Calculations Etc'!$B$17)</f>
        <v>1.5975871779246573E-2</v>
      </c>
      <c r="D2" s="15">
        <f>D$5/(1-'Calculations Etc'!$B$17)</f>
        <v>1.5975871779246573E-2</v>
      </c>
      <c r="E2" s="15">
        <f>E$5/(1-'Calculations Etc'!$B$17)</f>
        <v>1.5975871779246573E-2</v>
      </c>
      <c r="F2" s="15">
        <f>F$5/(1-'Calculations Etc'!$B$17)</f>
        <v>1.5975871779246573E-2</v>
      </c>
      <c r="G2" s="15">
        <f>G$5/(1-'Calculations Etc'!$B$17)</f>
        <v>1.5975871779246573E-2</v>
      </c>
      <c r="H2" s="15">
        <f>H$5/(1-'Calculations Etc'!$B$17)</f>
        <v>1.5975871779246573E-2</v>
      </c>
      <c r="I2" s="15">
        <f>I$5/(1-'Calculations Etc'!$B$17)</f>
        <v>1.5975871779246573E-2</v>
      </c>
      <c r="J2" s="15">
        <f>J$5/(1-'Calculations Etc'!$B$17)</f>
        <v>1.5975871779246573E-2</v>
      </c>
      <c r="K2" s="15">
        <f>K$5/(1-'Calculations Etc'!$B$17)</f>
        <v>1.5975871779246573E-2</v>
      </c>
      <c r="L2" s="15">
        <f>L$5/(1-'Calculations Etc'!$B$17)</f>
        <v>1.5975871779246573E-2</v>
      </c>
      <c r="M2" s="15">
        <f>M$5/(1-'Calculations Etc'!$B$17)</f>
        <v>1.5975871779246573E-2</v>
      </c>
      <c r="N2" s="15">
        <f>N$5/(1-'Calculations Etc'!$B$17)</f>
        <v>1.5975871779246573E-2</v>
      </c>
      <c r="O2" s="15">
        <f>O$5/(1-'Calculations Etc'!$B$17)</f>
        <v>1.5975871779246573E-2</v>
      </c>
      <c r="P2" s="15">
        <f>P$5/(1-'Calculations Etc'!$B$17)</f>
        <v>1.5975871779246573E-2</v>
      </c>
      <c r="Q2" s="15">
        <f>Q$5/(1-'Calculations Etc'!$B$17)</f>
        <v>1.5975871779246573E-2</v>
      </c>
      <c r="R2" s="15">
        <f>R$5/(1-'Calculations Etc'!$B$17)</f>
        <v>1.5975871779246573E-2</v>
      </c>
      <c r="S2" s="15">
        <f>S$5/(1-'Calculations Etc'!$B$17)</f>
        <v>1.5975871779246573E-2</v>
      </c>
      <c r="T2" s="15">
        <f>T$5/(1-'Calculations Etc'!$B$17)</f>
        <v>1.5975871779246573E-2</v>
      </c>
      <c r="U2" s="15">
        <f>U$5/(1-'Calculations Etc'!$B$17)</f>
        <v>1.5975871779246573E-2</v>
      </c>
      <c r="V2" s="15">
        <f>V$5/(1-'Calculations Etc'!$B$17)</f>
        <v>1.5975871779246573E-2</v>
      </c>
      <c r="W2" s="15">
        <f>W$5/(1-'Calculations Etc'!$B$17)</f>
        <v>1.5975871779246573E-2</v>
      </c>
      <c r="X2" s="15">
        <f>X$5/(1-'Calculations Etc'!$B$17)</f>
        <v>1.5975871779246573E-2</v>
      </c>
      <c r="Y2" s="15">
        <f>Y$5/(1-'Calculations Etc'!$B$17)</f>
        <v>1.5975871779246573E-2</v>
      </c>
      <c r="Z2" s="15">
        <f>Z$5/(1-'Calculations Etc'!$B$17)</f>
        <v>1.5975871779246573E-2</v>
      </c>
      <c r="AA2" s="15">
        <f>AA$5/(1-'Calculations Etc'!$B$17)</f>
        <v>1.5975871779246573E-2</v>
      </c>
      <c r="AB2" s="15">
        <f>AB$5/(1-'Calculations Etc'!$B$17)</f>
        <v>1.5975871779246573E-2</v>
      </c>
      <c r="AC2" s="15">
        <f>AC$5/(1-'Calculations Etc'!$B$17)</f>
        <v>1.5975871779246573E-2</v>
      </c>
      <c r="AD2" s="15">
        <f>AD$5/(1-'Calculations Etc'!$B$17)</f>
        <v>1.5975871779246573E-2</v>
      </c>
      <c r="AE2" s="15">
        <f>AE$5/(1-'Calculations Etc'!$B$17)</f>
        <v>1.5975871779246573E-2</v>
      </c>
      <c r="AF2" s="15">
        <f>AF$5/(1-'Calculations Etc'!$B$17)</f>
        <v>1.5975871779246573E-2</v>
      </c>
      <c r="AG2" s="15"/>
      <c r="AH2" s="15"/>
      <c r="AI2" s="15"/>
    </row>
    <row r="3" spans="1:37">
      <c r="A3" t="s">
        <v>113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7">
      <c r="A4" t="s">
        <v>114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7">
      <c r="A5" t="s">
        <v>115</v>
      </c>
      <c r="B5" s="4">
        <f>INDEX('AEO 7'!$C$52:$AJ$52,MATCH(B$1,'AEO 7'!$C$1:$AJ$1,0))/10^3*'Calculations Etc'!$B$8</f>
        <v>4.9715257056265547E-3</v>
      </c>
      <c r="C5" s="4">
        <f>B5</f>
        <v>4.9715257056265547E-3</v>
      </c>
      <c r="D5" s="4">
        <f t="shared" ref="D5:AF5" si="0">C5</f>
        <v>4.9715257056265547E-3</v>
      </c>
      <c r="E5" s="4">
        <f t="shared" si="0"/>
        <v>4.9715257056265547E-3</v>
      </c>
      <c r="F5" s="4">
        <f t="shared" si="0"/>
        <v>4.9715257056265547E-3</v>
      </c>
      <c r="G5" s="4">
        <f t="shared" si="0"/>
        <v>4.9715257056265547E-3</v>
      </c>
      <c r="H5" s="4">
        <f t="shared" si="0"/>
        <v>4.9715257056265547E-3</v>
      </c>
      <c r="I5" s="4">
        <f t="shared" si="0"/>
        <v>4.9715257056265547E-3</v>
      </c>
      <c r="J5" s="4">
        <f t="shared" si="0"/>
        <v>4.9715257056265547E-3</v>
      </c>
      <c r="K5" s="4">
        <f t="shared" si="0"/>
        <v>4.9715257056265547E-3</v>
      </c>
      <c r="L5" s="4">
        <f t="shared" si="0"/>
        <v>4.9715257056265547E-3</v>
      </c>
      <c r="M5" s="4">
        <f t="shared" si="0"/>
        <v>4.9715257056265547E-3</v>
      </c>
      <c r="N5" s="4">
        <f t="shared" si="0"/>
        <v>4.9715257056265547E-3</v>
      </c>
      <c r="O5" s="4">
        <f t="shared" si="0"/>
        <v>4.9715257056265547E-3</v>
      </c>
      <c r="P5" s="4">
        <f t="shared" si="0"/>
        <v>4.9715257056265547E-3</v>
      </c>
      <c r="Q5" s="4">
        <f t="shared" si="0"/>
        <v>4.9715257056265547E-3</v>
      </c>
      <c r="R5" s="4">
        <f t="shared" si="0"/>
        <v>4.9715257056265547E-3</v>
      </c>
      <c r="S5" s="4">
        <f t="shared" si="0"/>
        <v>4.9715257056265547E-3</v>
      </c>
      <c r="T5" s="4">
        <f t="shared" si="0"/>
        <v>4.9715257056265547E-3</v>
      </c>
      <c r="U5" s="4">
        <f t="shared" si="0"/>
        <v>4.9715257056265547E-3</v>
      </c>
      <c r="V5" s="4">
        <f t="shared" si="0"/>
        <v>4.9715257056265547E-3</v>
      </c>
      <c r="W5" s="4">
        <f t="shared" si="0"/>
        <v>4.9715257056265547E-3</v>
      </c>
      <c r="X5" s="4">
        <f t="shared" si="0"/>
        <v>4.9715257056265547E-3</v>
      </c>
      <c r="Y5" s="4">
        <f t="shared" si="0"/>
        <v>4.9715257056265547E-3</v>
      </c>
      <c r="Z5" s="4">
        <f t="shared" si="0"/>
        <v>4.9715257056265547E-3</v>
      </c>
      <c r="AA5" s="4">
        <f t="shared" si="0"/>
        <v>4.9715257056265547E-3</v>
      </c>
      <c r="AB5" s="4">
        <f t="shared" si="0"/>
        <v>4.9715257056265547E-3</v>
      </c>
      <c r="AC5" s="4">
        <f t="shared" si="0"/>
        <v>4.9715257056265547E-3</v>
      </c>
      <c r="AD5" s="4">
        <f t="shared" si="0"/>
        <v>4.9715257056265547E-3</v>
      </c>
      <c r="AE5" s="4">
        <f t="shared" si="0"/>
        <v>4.9715257056265547E-3</v>
      </c>
      <c r="AF5" s="4">
        <f t="shared" si="0"/>
        <v>4.9715257056265547E-3</v>
      </c>
      <c r="AG5" s="4"/>
      <c r="AH5" s="4"/>
      <c r="AI5" s="4"/>
    </row>
    <row r="6" spans="1:37">
      <c r="A6" t="s">
        <v>116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7">
      <c r="A7" t="s">
        <v>853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7">
      <c r="A8" t="s">
        <v>854</v>
      </c>
      <c r="B8" s="4">
        <f>B$5*'Calculations Etc'!$B$35</f>
        <v>1.4914577116879662E-2</v>
      </c>
      <c r="C8" s="4">
        <f>C$5*'Calculations Etc'!$B$35</f>
        <v>1.4914577116879662E-2</v>
      </c>
      <c r="D8" s="4">
        <f>D$5*'Calculations Etc'!$B$35</f>
        <v>1.4914577116879662E-2</v>
      </c>
      <c r="E8" s="4">
        <f>E$5*'Calculations Etc'!$B$35</f>
        <v>1.4914577116879662E-2</v>
      </c>
      <c r="F8" s="4">
        <f>F$5*'Calculations Etc'!$B$35</f>
        <v>1.4914577116879662E-2</v>
      </c>
      <c r="G8" s="4">
        <f>G$5*'Calculations Etc'!$B$35</f>
        <v>1.4914577116879662E-2</v>
      </c>
      <c r="H8" s="4">
        <f>H$5*'Calculations Etc'!$B$35</f>
        <v>1.4914577116879662E-2</v>
      </c>
      <c r="I8" s="4">
        <f>I$5*'Calculations Etc'!$B$35</f>
        <v>1.4914577116879662E-2</v>
      </c>
      <c r="J8" s="4">
        <f>J$5*'Calculations Etc'!$B$35</f>
        <v>1.4914577116879662E-2</v>
      </c>
      <c r="K8" s="4">
        <f>K$5*'Calculations Etc'!$B$35</f>
        <v>1.4914577116879662E-2</v>
      </c>
      <c r="L8" s="4">
        <f>L$5*'Calculations Etc'!$B$35</f>
        <v>1.4914577116879662E-2</v>
      </c>
      <c r="M8" s="4">
        <f>M$5*'Calculations Etc'!$B$35</f>
        <v>1.4914577116879662E-2</v>
      </c>
      <c r="N8" s="4">
        <f>N$5*'Calculations Etc'!$B$35</f>
        <v>1.4914577116879662E-2</v>
      </c>
      <c r="O8" s="4">
        <f>O$5*'Calculations Etc'!$B$35</f>
        <v>1.4914577116879662E-2</v>
      </c>
      <c r="P8" s="4">
        <f>P$5*'Calculations Etc'!$B$35</f>
        <v>1.4914577116879662E-2</v>
      </c>
      <c r="Q8" s="4">
        <f>Q$5*'Calculations Etc'!$B$35</f>
        <v>1.4914577116879662E-2</v>
      </c>
      <c r="R8" s="4">
        <f>R$5*'Calculations Etc'!$B$35</f>
        <v>1.4914577116879662E-2</v>
      </c>
      <c r="S8" s="4">
        <f>S$5*'Calculations Etc'!$B$35</f>
        <v>1.4914577116879662E-2</v>
      </c>
      <c r="T8" s="4">
        <f>T$5*'Calculations Etc'!$B$35</f>
        <v>1.4914577116879662E-2</v>
      </c>
      <c r="U8" s="4">
        <f>U$5*'Calculations Etc'!$B$35</f>
        <v>1.4914577116879662E-2</v>
      </c>
      <c r="V8" s="4">
        <f>V$5*'Calculations Etc'!$B$35</f>
        <v>1.4914577116879662E-2</v>
      </c>
      <c r="W8" s="4">
        <f>W$5*'Calculations Etc'!$B$35</f>
        <v>1.4914577116879662E-2</v>
      </c>
      <c r="X8" s="4">
        <f>X$5*'Calculations Etc'!$B$35</f>
        <v>1.4914577116879662E-2</v>
      </c>
      <c r="Y8" s="4">
        <f>Y$5*'Calculations Etc'!$B$35</f>
        <v>1.4914577116879662E-2</v>
      </c>
      <c r="Z8" s="4">
        <f>Z$5*'Calculations Etc'!$B$35</f>
        <v>1.4914577116879662E-2</v>
      </c>
      <c r="AA8" s="4">
        <f>AA$5*'Calculations Etc'!$B$35</f>
        <v>1.4914577116879662E-2</v>
      </c>
      <c r="AB8" s="4">
        <f>AB$5*'Calculations Etc'!$B$35</f>
        <v>1.4914577116879662E-2</v>
      </c>
      <c r="AC8" s="4">
        <f>AC$5*'Calculations Etc'!$B$35</f>
        <v>1.4914577116879662E-2</v>
      </c>
      <c r="AD8" s="4">
        <f>AD$5*'Calculations Etc'!$B$35</f>
        <v>1.4914577116879662E-2</v>
      </c>
      <c r="AE8" s="4">
        <f>AE$5*'Calculations Etc'!$B$35</f>
        <v>1.4914577116879662E-2</v>
      </c>
      <c r="AF8" s="4">
        <f>AF$5*'Calculations Etc'!$B$35</f>
        <v>1.4914577116879662E-2</v>
      </c>
      <c r="AG8" s="4"/>
      <c r="AH8" s="4"/>
      <c r="AI8" s="4"/>
    </row>
    <row r="9" spans="1:37">
      <c r="AJ9" s="4"/>
      <c r="AK9" s="4"/>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3"/>
  </sheetPr>
  <dimension ref="A1:AJ15"/>
  <sheetViews>
    <sheetView workbookViewId="0">
      <selection activeCell="B4" sqref="B4"/>
    </sheetView>
  </sheetViews>
  <sheetFormatPr defaultRowHeight="14.5"/>
  <cols>
    <col min="1" max="1" width="31.08984375" customWidth="1"/>
  </cols>
  <sheetData>
    <row r="1" spans="1:36">
      <c r="A1" s="1" t="s">
        <v>856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6">
      <c r="A2" t="s">
        <v>112</v>
      </c>
      <c r="B2" s="4">
        <f>B$4/(1-'Calculations Etc'!$B$16)</f>
        <v>3.5367364645723983E-3</v>
      </c>
      <c r="C2" s="4">
        <f>C$4/(1-'Calculations Etc'!$B$16)</f>
        <v>3.5367364645723983E-3</v>
      </c>
      <c r="D2" s="4">
        <f>D$4/(1-'Calculations Etc'!$B$16)</f>
        <v>3.5367364645723983E-3</v>
      </c>
      <c r="E2" s="4">
        <f>E$4/(1-'Calculations Etc'!$B$16)</f>
        <v>3.5367364645723983E-3</v>
      </c>
      <c r="F2" s="4">
        <f>F$4/(1-'Calculations Etc'!$B$16)</f>
        <v>3.5367364645723983E-3</v>
      </c>
      <c r="G2" s="4">
        <f>G$4/(1-'Calculations Etc'!$B$16)</f>
        <v>3.5367364645723983E-3</v>
      </c>
      <c r="H2" s="4">
        <f>H$4/(1-'Calculations Etc'!$B$16)</f>
        <v>3.5367364645723983E-3</v>
      </c>
      <c r="I2" s="4">
        <f>I$4/(1-'Calculations Etc'!$B$16)</f>
        <v>3.5367364645723983E-3</v>
      </c>
      <c r="J2" s="4">
        <f>J$4/(1-'Calculations Etc'!$B$16)</f>
        <v>3.5367364645723983E-3</v>
      </c>
      <c r="K2" s="4">
        <f>K$4/(1-'Calculations Etc'!$B$16)</f>
        <v>3.5367364645723983E-3</v>
      </c>
      <c r="L2" s="4">
        <f>L$4/(1-'Calculations Etc'!$B$16)</f>
        <v>3.5367364645723983E-3</v>
      </c>
      <c r="M2" s="4">
        <f>M$4/(1-'Calculations Etc'!$B$16)</f>
        <v>3.5367364645723983E-3</v>
      </c>
      <c r="N2" s="4">
        <f>N$4/(1-'Calculations Etc'!$B$16)</f>
        <v>3.5367364645723983E-3</v>
      </c>
      <c r="O2" s="4">
        <f>O$4/(1-'Calculations Etc'!$B$16)</f>
        <v>3.5367364645723983E-3</v>
      </c>
      <c r="P2" s="4">
        <f>P$4/(1-'Calculations Etc'!$B$16)</f>
        <v>3.5367364645723983E-3</v>
      </c>
      <c r="Q2" s="4">
        <f>Q$4/(1-'Calculations Etc'!$B$16)</f>
        <v>3.5367364645723983E-3</v>
      </c>
      <c r="R2" s="4">
        <f>R$4/(1-'Calculations Etc'!$B$16)</f>
        <v>3.5367364645723983E-3</v>
      </c>
      <c r="S2" s="4">
        <f>S$4/(1-'Calculations Etc'!$B$16)</f>
        <v>3.5367364645723983E-3</v>
      </c>
      <c r="T2" s="4">
        <f>T$4/(1-'Calculations Etc'!$B$16)</f>
        <v>3.5367364645723983E-3</v>
      </c>
      <c r="U2" s="4">
        <f>U$4/(1-'Calculations Etc'!$B$16)</f>
        <v>3.5367364645723983E-3</v>
      </c>
      <c r="V2" s="4">
        <f>V$4/(1-'Calculations Etc'!$B$16)</f>
        <v>3.5367364645723983E-3</v>
      </c>
      <c r="W2" s="4">
        <f>W$4/(1-'Calculations Etc'!$B$16)</f>
        <v>3.5367364645723983E-3</v>
      </c>
      <c r="X2" s="4">
        <f>X$4/(1-'Calculations Etc'!$B$16)</f>
        <v>3.5367364645723983E-3</v>
      </c>
      <c r="Y2" s="4">
        <f>Y$4/(1-'Calculations Etc'!$B$16)</f>
        <v>3.5367364645723983E-3</v>
      </c>
      <c r="Z2" s="4">
        <f>Z$4/(1-'Calculations Etc'!$B$16)</f>
        <v>3.5367364645723983E-3</v>
      </c>
      <c r="AA2" s="4">
        <f>AA$4/(1-'Calculations Etc'!$B$16)</f>
        <v>3.5367364645723983E-3</v>
      </c>
      <c r="AB2" s="4">
        <f>AB$4/(1-'Calculations Etc'!$B$16)</f>
        <v>3.5367364645723983E-3</v>
      </c>
      <c r="AC2" s="4">
        <f>AC$4/(1-'Calculations Etc'!$B$16)</f>
        <v>3.5367364645723983E-3</v>
      </c>
      <c r="AD2" s="4">
        <f>AD$4/(1-'Calculations Etc'!$B$16)</f>
        <v>3.5367364645723983E-3</v>
      </c>
      <c r="AE2" s="4">
        <f>AE$4/(1-'Calculations Etc'!$B$16)</f>
        <v>3.5367364645723983E-3</v>
      </c>
      <c r="AF2" s="4">
        <f>AF$4/(1-'Calculations Etc'!$B$16)</f>
        <v>3.5367364645723983E-3</v>
      </c>
      <c r="AG2" s="4"/>
      <c r="AH2" s="4"/>
      <c r="AI2" s="4"/>
      <c r="AJ2" s="4"/>
    </row>
    <row r="3" spans="1:36">
      <c r="A3" t="s">
        <v>113</v>
      </c>
      <c r="B3" s="4">
        <f>B$4</f>
        <v>1.110710625237613E-3</v>
      </c>
      <c r="C3" s="4">
        <f t="shared" ref="C3:AF3" si="0">C$4</f>
        <v>1.110710625237613E-3</v>
      </c>
      <c r="D3" s="4">
        <f t="shared" si="0"/>
        <v>1.110710625237613E-3</v>
      </c>
      <c r="E3" s="4">
        <f t="shared" si="0"/>
        <v>1.110710625237613E-3</v>
      </c>
      <c r="F3" s="4">
        <f t="shared" si="0"/>
        <v>1.110710625237613E-3</v>
      </c>
      <c r="G3" s="4">
        <f t="shared" si="0"/>
        <v>1.110710625237613E-3</v>
      </c>
      <c r="H3" s="4">
        <f t="shared" si="0"/>
        <v>1.110710625237613E-3</v>
      </c>
      <c r="I3" s="4">
        <f t="shared" si="0"/>
        <v>1.110710625237613E-3</v>
      </c>
      <c r="J3" s="4">
        <f t="shared" si="0"/>
        <v>1.110710625237613E-3</v>
      </c>
      <c r="K3" s="4">
        <f t="shared" si="0"/>
        <v>1.110710625237613E-3</v>
      </c>
      <c r="L3" s="4">
        <f t="shared" si="0"/>
        <v>1.110710625237613E-3</v>
      </c>
      <c r="M3" s="4">
        <f t="shared" si="0"/>
        <v>1.110710625237613E-3</v>
      </c>
      <c r="N3" s="4">
        <f t="shared" si="0"/>
        <v>1.110710625237613E-3</v>
      </c>
      <c r="O3" s="4">
        <f t="shared" si="0"/>
        <v>1.110710625237613E-3</v>
      </c>
      <c r="P3" s="4">
        <f t="shared" si="0"/>
        <v>1.110710625237613E-3</v>
      </c>
      <c r="Q3" s="4">
        <f t="shared" si="0"/>
        <v>1.110710625237613E-3</v>
      </c>
      <c r="R3" s="4">
        <f t="shared" si="0"/>
        <v>1.110710625237613E-3</v>
      </c>
      <c r="S3" s="4">
        <f t="shared" si="0"/>
        <v>1.110710625237613E-3</v>
      </c>
      <c r="T3" s="4">
        <f t="shared" si="0"/>
        <v>1.110710625237613E-3</v>
      </c>
      <c r="U3" s="4">
        <f t="shared" si="0"/>
        <v>1.110710625237613E-3</v>
      </c>
      <c r="V3" s="4">
        <f t="shared" si="0"/>
        <v>1.110710625237613E-3</v>
      </c>
      <c r="W3" s="4">
        <f t="shared" si="0"/>
        <v>1.110710625237613E-3</v>
      </c>
      <c r="X3" s="4">
        <f t="shared" si="0"/>
        <v>1.110710625237613E-3</v>
      </c>
      <c r="Y3" s="4">
        <f t="shared" si="0"/>
        <v>1.110710625237613E-3</v>
      </c>
      <c r="Z3" s="4">
        <f t="shared" si="0"/>
        <v>1.110710625237613E-3</v>
      </c>
      <c r="AA3" s="4">
        <f t="shared" si="0"/>
        <v>1.110710625237613E-3</v>
      </c>
      <c r="AB3" s="4">
        <f t="shared" si="0"/>
        <v>1.110710625237613E-3</v>
      </c>
      <c r="AC3" s="4">
        <f t="shared" si="0"/>
        <v>1.110710625237613E-3</v>
      </c>
      <c r="AD3" s="4">
        <f t="shared" si="0"/>
        <v>1.110710625237613E-3</v>
      </c>
      <c r="AE3" s="4">
        <f t="shared" si="0"/>
        <v>1.110710625237613E-3</v>
      </c>
      <c r="AF3" s="4">
        <f t="shared" si="0"/>
        <v>1.110710625237613E-3</v>
      </c>
      <c r="AG3" s="4"/>
      <c r="AH3" s="4"/>
      <c r="AI3" s="4"/>
      <c r="AJ3" s="4"/>
    </row>
    <row r="4" spans="1:36">
      <c r="A4" t="s">
        <v>114</v>
      </c>
      <c r="B4" s="40">
        <f>'SYFAFE-passenger'!D7</f>
        <v>1.110710625237613E-3</v>
      </c>
      <c r="C4" s="40">
        <f>$B$4</f>
        <v>1.110710625237613E-3</v>
      </c>
      <c r="D4" s="40">
        <f t="shared" ref="D4:AF4" si="1">$B$4</f>
        <v>1.110710625237613E-3</v>
      </c>
      <c r="E4" s="40">
        <f t="shared" si="1"/>
        <v>1.110710625237613E-3</v>
      </c>
      <c r="F4" s="40">
        <f t="shared" si="1"/>
        <v>1.110710625237613E-3</v>
      </c>
      <c r="G4" s="40">
        <f t="shared" si="1"/>
        <v>1.110710625237613E-3</v>
      </c>
      <c r="H4" s="40">
        <f t="shared" si="1"/>
        <v>1.110710625237613E-3</v>
      </c>
      <c r="I4" s="40">
        <f t="shared" si="1"/>
        <v>1.110710625237613E-3</v>
      </c>
      <c r="J4" s="40">
        <f t="shared" si="1"/>
        <v>1.110710625237613E-3</v>
      </c>
      <c r="K4" s="40">
        <f t="shared" si="1"/>
        <v>1.110710625237613E-3</v>
      </c>
      <c r="L4" s="40">
        <f t="shared" si="1"/>
        <v>1.110710625237613E-3</v>
      </c>
      <c r="M4" s="40">
        <f t="shared" si="1"/>
        <v>1.110710625237613E-3</v>
      </c>
      <c r="N4" s="40">
        <f t="shared" si="1"/>
        <v>1.110710625237613E-3</v>
      </c>
      <c r="O4" s="40">
        <f t="shared" si="1"/>
        <v>1.110710625237613E-3</v>
      </c>
      <c r="P4" s="40">
        <f t="shared" si="1"/>
        <v>1.110710625237613E-3</v>
      </c>
      <c r="Q4" s="40">
        <f t="shared" si="1"/>
        <v>1.110710625237613E-3</v>
      </c>
      <c r="R4" s="40">
        <f t="shared" si="1"/>
        <v>1.110710625237613E-3</v>
      </c>
      <c r="S4" s="40">
        <f t="shared" si="1"/>
        <v>1.110710625237613E-3</v>
      </c>
      <c r="T4" s="40">
        <f t="shared" si="1"/>
        <v>1.110710625237613E-3</v>
      </c>
      <c r="U4" s="40">
        <f t="shared" si="1"/>
        <v>1.110710625237613E-3</v>
      </c>
      <c r="V4" s="40">
        <f t="shared" si="1"/>
        <v>1.110710625237613E-3</v>
      </c>
      <c r="W4" s="40">
        <f t="shared" si="1"/>
        <v>1.110710625237613E-3</v>
      </c>
      <c r="X4" s="40">
        <f t="shared" si="1"/>
        <v>1.110710625237613E-3</v>
      </c>
      <c r="Y4" s="40">
        <f t="shared" si="1"/>
        <v>1.110710625237613E-3</v>
      </c>
      <c r="Z4" s="40">
        <f t="shared" si="1"/>
        <v>1.110710625237613E-3</v>
      </c>
      <c r="AA4" s="40">
        <f t="shared" si="1"/>
        <v>1.110710625237613E-3</v>
      </c>
      <c r="AB4" s="40">
        <f t="shared" si="1"/>
        <v>1.110710625237613E-3</v>
      </c>
      <c r="AC4" s="40">
        <f t="shared" si="1"/>
        <v>1.110710625237613E-3</v>
      </c>
      <c r="AD4" s="40">
        <f t="shared" si="1"/>
        <v>1.110710625237613E-3</v>
      </c>
      <c r="AE4" s="40">
        <f t="shared" si="1"/>
        <v>1.110710625237613E-3</v>
      </c>
      <c r="AF4" s="40">
        <f t="shared" si="1"/>
        <v>1.110710625237613E-3</v>
      </c>
      <c r="AG4" s="4"/>
      <c r="AH4" s="4"/>
      <c r="AI4" s="4"/>
      <c r="AJ4" s="4"/>
    </row>
    <row r="5" spans="1:36">
      <c r="A5" t="s">
        <v>115</v>
      </c>
      <c r="B5" s="4">
        <f>B$4</f>
        <v>1.110710625237613E-3</v>
      </c>
      <c r="C5" s="4">
        <f t="shared" ref="C5:AF5" si="2">C$4</f>
        <v>1.110710625237613E-3</v>
      </c>
      <c r="D5" s="4">
        <f t="shared" si="2"/>
        <v>1.110710625237613E-3</v>
      </c>
      <c r="E5" s="4">
        <f t="shared" si="2"/>
        <v>1.110710625237613E-3</v>
      </c>
      <c r="F5" s="4">
        <f t="shared" si="2"/>
        <v>1.110710625237613E-3</v>
      </c>
      <c r="G5" s="4">
        <f t="shared" si="2"/>
        <v>1.110710625237613E-3</v>
      </c>
      <c r="H5" s="4">
        <f t="shared" si="2"/>
        <v>1.110710625237613E-3</v>
      </c>
      <c r="I5" s="4">
        <f t="shared" si="2"/>
        <v>1.110710625237613E-3</v>
      </c>
      <c r="J5" s="4">
        <f t="shared" si="2"/>
        <v>1.110710625237613E-3</v>
      </c>
      <c r="K5" s="4">
        <f t="shared" si="2"/>
        <v>1.110710625237613E-3</v>
      </c>
      <c r="L5" s="4">
        <f t="shared" si="2"/>
        <v>1.110710625237613E-3</v>
      </c>
      <c r="M5" s="4">
        <f t="shared" si="2"/>
        <v>1.110710625237613E-3</v>
      </c>
      <c r="N5" s="4">
        <f t="shared" si="2"/>
        <v>1.110710625237613E-3</v>
      </c>
      <c r="O5" s="4">
        <f t="shared" si="2"/>
        <v>1.110710625237613E-3</v>
      </c>
      <c r="P5" s="4">
        <f t="shared" si="2"/>
        <v>1.110710625237613E-3</v>
      </c>
      <c r="Q5" s="4">
        <f t="shared" si="2"/>
        <v>1.110710625237613E-3</v>
      </c>
      <c r="R5" s="4">
        <f t="shared" si="2"/>
        <v>1.110710625237613E-3</v>
      </c>
      <c r="S5" s="4">
        <f t="shared" si="2"/>
        <v>1.110710625237613E-3</v>
      </c>
      <c r="T5" s="4">
        <f t="shared" si="2"/>
        <v>1.110710625237613E-3</v>
      </c>
      <c r="U5" s="4">
        <f t="shared" si="2"/>
        <v>1.110710625237613E-3</v>
      </c>
      <c r="V5" s="4">
        <f t="shared" si="2"/>
        <v>1.110710625237613E-3</v>
      </c>
      <c r="W5" s="4">
        <f t="shared" si="2"/>
        <v>1.110710625237613E-3</v>
      </c>
      <c r="X5" s="4">
        <f t="shared" si="2"/>
        <v>1.110710625237613E-3</v>
      </c>
      <c r="Y5" s="4">
        <f t="shared" si="2"/>
        <v>1.110710625237613E-3</v>
      </c>
      <c r="Z5" s="4">
        <f t="shared" si="2"/>
        <v>1.110710625237613E-3</v>
      </c>
      <c r="AA5" s="4">
        <f t="shared" si="2"/>
        <v>1.110710625237613E-3</v>
      </c>
      <c r="AB5" s="4">
        <f t="shared" si="2"/>
        <v>1.110710625237613E-3</v>
      </c>
      <c r="AC5" s="4">
        <f t="shared" si="2"/>
        <v>1.110710625237613E-3</v>
      </c>
      <c r="AD5" s="4">
        <f t="shared" si="2"/>
        <v>1.110710625237613E-3</v>
      </c>
      <c r="AE5" s="4">
        <f t="shared" si="2"/>
        <v>1.110710625237613E-3</v>
      </c>
      <c r="AF5" s="4">
        <f t="shared" si="2"/>
        <v>1.110710625237613E-3</v>
      </c>
      <c r="AG5" s="4"/>
      <c r="AH5" s="4"/>
      <c r="AI5" s="4"/>
      <c r="AJ5" s="4"/>
    </row>
    <row r="6" spans="1:36">
      <c r="A6" t="s">
        <v>116</v>
      </c>
      <c r="B6" s="4">
        <f>B$4/(1-'Calculations Etc'!$B$16)*'Calculations Etc'!$B$20+B$4*(1-'Calculations Etc'!$B$20)</f>
        <v>2.4450248368717451E-3</v>
      </c>
      <c r="C6" s="4">
        <f>C$4/(1-'Calculations Etc'!$B$16)*'Calculations Etc'!$B$20+C$4*(1-'Calculations Etc'!$B$20)</f>
        <v>2.4450248368717451E-3</v>
      </c>
      <c r="D6" s="4">
        <f>D$4/(1-'Calculations Etc'!$B$16)*'Calculations Etc'!$B$20+D$4*(1-'Calculations Etc'!$B$20)</f>
        <v>2.4450248368717451E-3</v>
      </c>
      <c r="E6" s="4">
        <f>E$4/(1-'Calculations Etc'!$B$16)*'Calculations Etc'!$B$20+E$4*(1-'Calculations Etc'!$B$20)</f>
        <v>2.4450248368717451E-3</v>
      </c>
      <c r="F6" s="4">
        <f>F$4/(1-'Calculations Etc'!$B$16)*'Calculations Etc'!$B$20+F$4*(1-'Calculations Etc'!$B$20)</f>
        <v>2.4450248368717451E-3</v>
      </c>
      <c r="G6" s="4">
        <f>G$4/(1-'Calculations Etc'!$B$16)*'Calculations Etc'!$B$20+G$4*(1-'Calculations Etc'!$B$20)</f>
        <v>2.4450248368717451E-3</v>
      </c>
      <c r="H6" s="4">
        <f>H$4/(1-'Calculations Etc'!$B$16)*'Calculations Etc'!$B$20+H$4*(1-'Calculations Etc'!$B$20)</f>
        <v>2.4450248368717451E-3</v>
      </c>
      <c r="I6" s="4">
        <f>I$4/(1-'Calculations Etc'!$B$16)*'Calculations Etc'!$B$20+I$4*(1-'Calculations Etc'!$B$20)</f>
        <v>2.4450248368717451E-3</v>
      </c>
      <c r="J6" s="4">
        <f>J$4/(1-'Calculations Etc'!$B$16)*'Calculations Etc'!$B$20+J$4*(1-'Calculations Etc'!$B$20)</f>
        <v>2.4450248368717451E-3</v>
      </c>
      <c r="K6" s="4">
        <f>K$4/(1-'Calculations Etc'!$B$16)*'Calculations Etc'!$B$20+K$4*(1-'Calculations Etc'!$B$20)</f>
        <v>2.4450248368717451E-3</v>
      </c>
      <c r="L6" s="4">
        <f>L$4/(1-'Calculations Etc'!$B$16)*'Calculations Etc'!$B$20+L$4*(1-'Calculations Etc'!$B$20)</f>
        <v>2.4450248368717451E-3</v>
      </c>
      <c r="M6" s="4">
        <f>M$4/(1-'Calculations Etc'!$B$16)*'Calculations Etc'!$B$20+M$4*(1-'Calculations Etc'!$B$20)</f>
        <v>2.4450248368717451E-3</v>
      </c>
      <c r="N6" s="4">
        <f>N$4/(1-'Calculations Etc'!$B$16)*'Calculations Etc'!$B$20+N$4*(1-'Calculations Etc'!$B$20)</f>
        <v>2.4450248368717451E-3</v>
      </c>
      <c r="O6" s="4">
        <f>O$4/(1-'Calculations Etc'!$B$16)*'Calculations Etc'!$B$20+O$4*(1-'Calculations Etc'!$B$20)</f>
        <v>2.4450248368717451E-3</v>
      </c>
      <c r="P6" s="4">
        <f>P$4/(1-'Calculations Etc'!$B$16)*'Calculations Etc'!$B$20+P$4*(1-'Calculations Etc'!$B$20)</f>
        <v>2.4450248368717451E-3</v>
      </c>
      <c r="Q6" s="4">
        <f>Q$4/(1-'Calculations Etc'!$B$16)*'Calculations Etc'!$B$20+Q$4*(1-'Calculations Etc'!$B$20)</f>
        <v>2.4450248368717451E-3</v>
      </c>
      <c r="R6" s="4">
        <f>R$4/(1-'Calculations Etc'!$B$16)*'Calculations Etc'!$B$20+R$4*(1-'Calculations Etc'!$B$20)</f>
        <v>2.4450248368717451E-3</v>
      </c>
      <c r="S6" s="4">
        <f>S$4/(1-'Calculations Etc'!$B$16)*'Calculations Etc'!$B$20+S$4*(1-'Calculations Etc'!$B$20)</f>
        <v>2.4450248368717451E-3</v>
      </c>
      <c r="T6" s="4">
        <f>T$4/(1-'Calculations Etc'!$B$16)*'Calculations Etc'!$B$20+T$4*(1-'Calculations Etc'!$B$20)</f>
        <v>2.4450248368717451E-3</v>
      </c>
      <c r="U6" s="4">
        <f>U$4/(1-'Calculations Etc'!$B$16)*'Calculations Etc'!$B$20+U$4*(1-'Calculations Etc'!$B$20)</f>
        <v>2.4450248368717451E-3</v>
      </c>
      <c r="V6" s="4">
        <f>V$4/(1-'Calculations Etc'!$B$16)*'Calculations Etc'!$B$20+V$4*(1-'Calculations Etc'!$B$20)</f>
        <v>2.4450248368717451E-3</v>
      </c>
      <c r="W6" s="4">
        <f>W$4/(1-'Calculations Etc'!$B$16)*'Calculations Etc'!$B$20+W$4*(1-'Calculations Etc'!$B$20)</f>
        <v>2.4450248368717451E-3</v>
      </c>
      <c r="X6" s="4">
        <f>X$4/(1-'Calculations Etc'!$B$16)*'Calculations Etc'!$B$20+X$4*(1-'Calculations Etc'!$B$20)</f>
        <v>2.4450248368717451E-3</v>
      </c>
      <c r="Y6" s="4">
        <f>Y$4/(1-'Calculations Etc'!$B$16)*'Calculations Etc'!$B$20+Y$4*(1-'Calculations Etc'!$B$20)</f>
        <v>2.4450248368717451E-3</v>
      </c>
      <c r="Z6" s="4">
        <f>Z$4/(1-'Calculations Etc'!$B$16)*'Calculations Etc'!$B$20+Z$4*(1-'Calculations Etc'!$B$20)</f>
        <v>2.4450248368717451E-3</v>
      </c>
      <c r="AA6" s="4">
        <f>AA$4/(1-'Calculations Etc'!$B$16)*'Calculations Etc'!$B$20+AA$4*(1-'Calculations Etc'!$B$20)</f>
        <v>2.4450248368717451E-3</v>
      </c>
      <c r="AB6" s="4">
        <f>AB$4/(1-'Calculations Etc'!$B$16)*'Calculations Etc'!$B$20+AB$4*(1-'Calculations Etc'!$B$20)</f>
        <v>2.4450248368717451E-3</v>
      </c>
      <c r="AC6" s="4">
        <f>AC$4/(1-'Calculations Etc'!$B$16)*'Calculations Etc'!$B$20+AC$4*(1-'Calculations Etc'!$B$20)</f>
        <v>2.4450248368717451E-3</v>
      </c>
      <c r="AD6" s="4">
        <f>AD$4/(1-'Calculations Etc'!$B$16)*'Calculations Etc'!$B$20+AD$4*(1-'Calculations Etc'!$B$20)</f>
        <v>2.4450248368717451E-3</v>
      </c>
      <c r="AE6" s="4">
        <f>AE$4/(1-'Calculations Etc'!$B$16)*'Calculations Etc'!$B$20+AE$4*(1-'Calculations Etc'!$B$20)</f>
        <v>2.4450248368717451E-3</v>
      </c>
      <c r="AF6" s="4">
        <f>AF$4/(1-'Calculations Etc'!$B$16)*'Calculations Etc'!$B$20+AF$4*(1-'Calculations Etc'!$B$20)</f>
        <v>2.4450248368717451E-3</v>
      </c>
      <c r="AG6" s="4"/>
      <c r="AH6" s="4"/>
      <c r="AI6" s="4"/>
      <c r="AJ6" s="4"/>
    </row>
    <row r="7" spans="1:36">
      <c r="A7" t="s">
        <v>853</v>
      </c>
      <c r="B7" s="4">
        <f>B4*'Calculations Etc'!$B$39</f>
        <v>8.6080073455915005E-4</v>
      </c>
      <c r="C7" s="4">
        <f>C4*'Calculations Etc'!$B$39</f>
        <v>8.6080073455915005E-4</v>
      </c>
      <c r="D7" s="4">
        <f>D4*'Calculations Etc'!$B$39</f>
        <v>8.6080073455915005E-4</v>
      </c>
      <c r="E7" s="4">
        <f>E4*'Calculations Etc'!$B$39</f>
        <v>8.6080073455915005E-4</v>
      </c>
      <c r="F7" s="4">
        <f>F4*'Calculations Etc'!$B$39</f>
        <v>8.6080073455915005E-4</v>
      </c>
      <c r="G7" s="4">
        <f>G4*'Calculations Etc'!$B$39</f>
        <v>8.6080073455915005E-4</v>
      </c>
      <c r="H7" s="4">
        <f>H4*'Calculations Etc'!$B$39</f>
        <v>8.6080073455915005E-4</v>
      </c>
      <c r="I7" s="4">
        <f>I4*'Calculations Etc'!$B$39</f>
        <v>8.6080073455915005E-4</v>
      </c>
      <c r="J7" s="4">
        <f>J4*'Calculations Etc'!$B$39</f>
        <v>8.6080073455915005E-4</v>
      </c>
      <c r="K7" s="4">
        <f>K4*'Calculations Etc'!$B$39</f>
        <v>8.6080073455915005E-4</v>
      </c>
      <c r="L7" s="4">
        <f>L4*'Calculations Etc'!$B$39</f>
        <v>8.6080073455915005E-4</v>
      </c>
      <c r="M7" s="4">
        <f>M4*'Calculations Etc'!$B$39</f>
        <v>8.6080073455915005E-4</v>
      </c>
      <c r="N7" s="4">
        <f>N4*'Calculations Etc'!$B$39</f>
        <v>8.6080073455915005E-4</v>
      </c>
      <c r="O7" s="4">
        <f>O4*'Calculations Etc'!$B$39</f>
        <v>8.6080073455915005E-4</v>
      </c>
      <c r="P7" s="4">
        <f>P4*'Calculations Etc'!$B$39</f>
        <v>8.6080073455915005E-4</v>
      </c>
      <c r="Q7" s="4">
        <f>Q4*'Calculations Etc'!$B$39</f>
        <v>8.6080073455915005E-4</v>
      </c>
      <c r="R7" s="4">
        <f>R4*'Calculations Etc'!$B$39</f>
        <v>8.6080073455915005E-4</v>
      </c>
      <c r="S7" s="4">
        <f>S4*'Calculations Etc'!$B$39</f>
        <v>8.6080073455915005E-4</v>
      </c>
      <c r="T7" s="4">
        <f>T4*'Calculations Etc'!$B$39</f>
        <v>8.6080073455915005E-4</v>
      </c>
      <c r="U7" s="4">
        <f>U4*'Calculations Etc'!$B$39</f>
        <v>8.6080073455915005E-4</v>
      </c>
      <c r="V7" s="4">
        <f>V4*'Calculations Etc'!$B$39</f>
        <v>8.6080073455915005E-4</v>
      </c>
      <c r="W7" s="4">
        <f>W4*'Calculations Etc'!$B$39</f>
        <v>8.6080073455915005E-4</v>
      </c>
      <c r="X7" s="4">
        <f>X4*'Calculations Etc'!$B$39</f>
        <v>8.6080073455915005E-4</v>
      </c>
      <c r="Y7" s="4">
        <f>Y4*'Calculations Etc'!$B$39</f>
        <v>8.6080073455915005E-4</v>
      </c>
      <c r="Z7" s="4">
        <f>Z4*'Calculations Etc'!$B$39</f>
        <v>8.6080073455915005E-4</v>
      </c>
      <c r="AA7" s="4">
        <f>AA4*'Calculations Etc'!$B$39</f>
        <v>8.6080073455915005E-4</v>
      </c>
      <c r="AB7" s="4">
        <f>AB4*'Calculations Etc'!$B$39</f>
        <v>8.6080073455915005E-4</v>
      </c>
      <c r="AC7" s="4">
        <f>AC4*'Calculations Etc'!$B$39</f>
        <v>8.6080073455915005E-4</v>
      </c>
      <c r="AD7" s="4">
        <f>AD4*'Calculations Etc'!$B$39</f>
        <v>8.6080073455915005E-4</v>
      </c>
      <c r="AE7" s="4">
        <f>AE4*'Calculations Etc'!$B$39</f>
        <v>8.6080073455915005E-4</v>
      </c>
      <c r="AF7" s="4">
        <f>AF4*'Calculations Etc'!$B$39</f>
        <v>8.6080073455915005E-4</v>
      </c>
      <c r="AG7" s="4"/>
      <c r="AH7" s="4"/>
      <c r="AI7" s="4"/>
    </row>
    <row r="8" spans="1:36">
      <c r="A8" t="s">
        <v>854</v>
      </c>
      <c r="B8" s="4">
        <f>B4*'Calculations Etc'!$B$35</f>
        <v>3.3321318757128385E-3</v>
      </c>
      <c r="C8" s="4">
        <f>C4*'Calculations Etc'!$B$35</f>
        <v>3.3321318757128385E-3</v>
      </c>
      <c r="D8" s="4">
        <f>D4*'Calculations Etc'!$B$35</f>
        <v>3.3321318757128385E-3</v>
      </c>
      <c r="E8" s="4">
        <f>E4*'Calculations Etc'!$B$35</f>
        <v>3.3321318757128385E-3</v>
      </c>
      <c r="F8" s="4">
        <f>F4*'Calculations Etc'!$B$35</f>
        <v>3.3321318757128385E-3</v>
      </c>
      <c r="G8" s="4">
        <f>G4*'Calculations Etc'!$B$35</f>
        <v>3.3321318757128385E-3</v>
      </c>
      <c r="H8" s="4">
        <f>H4*'Calculations Etc'!$B$35</f>
        <v>3.3321318757128385E-3</v>
      </c>
      <c r="I8" s="4">
        <f>I4*'Calculations Etc'!$B$35</f>
        <v>3.3321318757128385E-3</v>
      </c>
      <c r="J8" s="4">
        <f>J4*'Calculations Etc'!$B$35</f>
        <v>3.3321318757128385E-3</v>
      </c>
      <c r="K8" s="4">
        <f>K4*'Calculations Etc'!$B$35</f>
        <v>3.3321318757128385E-3</v>
      </c>
      <c r="L8" s="4">
        <f>L4*'Calculations Etc'!$B$35</f>
        <v>3.3321318757128385E-3</v>
      </c>
      <c r="M8" s="4">
        <f>M4*'Calculations Etc'!$B$35</f>
        <v>3.3321318757128385E-3</v>
      </c>
      <c r="N8" s="4">
        <f>N4*'Calculations Etc'!$B$35</f>
        <v>3.3321318757128385E-3</v>
      </c>
      <c r="O8" s="4">
        <f>O4*'Calculations Etc'!$B$35</f>
        <v>3.3321318757128385E-3</v>
      </c>
      <c r="P8" s="4">
        <f>P4*'Calculations Etc'!$B$35</f>
        <v>3.3321318757128385E-3</v>
      </c>
      <c r="Q8" s="4">
        <f>Q4*'Calculations Etc'!$B$35</f>
        <v>3.3321318757128385E-3</v>
      </c>
      <c r="R8" s="4">
        <f>R4*'Calculations Etc'!$B$35</f>
        <v>3.3321318757128385E-3</v>
      </c>
      <c r="S8" s="4">
        <f>S4*'Calculations Etc'!$B$35</f>
        <v>3.3321318757128385E-3</v>
      </c>
      <c r="T8" s="4">
        <f>T4*'Calculations Etc'!$B$35</f>
        <v>3.3321318757128385E-3</v>
      </c>
      <c r="U8" s="4">
        <f>U4*'Calculations Etc'!$B$35</f>
        <v>3.3321318757128385E-3</v>
      </c>
      <c r="V8" s="4">
        <f>V4*'Calculations Etc'!$B$35</f>
        <v>3.3321318757128385E-3</v>
      </c>
      <c r="W8" s="4">
        <f>W4*'Calculations Etc'!$B$35</f>
        <v>3.3321318757128385E-3</v>
      </c>
      <c r="X8" s="4">
        <f>X4*'Calculations Etc'!$B$35</f>
        <v>3.3321318757128385E-3</v>
      </c>
      <c r="Y8" s="4">
        <f>Y4*'Calculations Etc'!$B$35</f>
        <v>3.3321318757128385E-3</v>
      </c>
      <c r="Z8" s="4">
        <f>Z4*'Calculations Etc'!$B$35</f>
        <v>3.3321318757128385E-3</v>
      </c>
      <c r="AA8" s="4">
        <f>AA4*'Calculations Etc'!$B$35</f>
        <v>3.3321318757128385E-3</v>
      </c>
      <c r="AB8" s="4">
        <f>AB4*'Calculations Etc'!$B$35</f>
        <v>3.3321318757128385E-3</v>
      </c>
      <c r="AC8" s="4">
        <f>AC4*'Calculations Etc'!$B$35</f>
        <v>3.3321318757128385E-3</v>
      </c>
      <c r="AD8" s="4">
        <f>AD4*'Calculations Etc'!$B$35</f>
        <v>3.3321318757128385E-3</v>
      </c>
      <c r="AE8" s="4">
        <f>AE4*'Calculations Etc'!$B$35</f>
        <v>3.3321318757128385E-3</v>
      </c>
      <c r="AF8" s="4">
        <f>AF4*'Calculations Etc'!$B$35</f>
        <v>3.3321318757128385E-3</v>
      </c>
      <c r="AG8" s="4"/>
      <c r="AH8" s="4"/>
      <c r="AI8" s="4"/>
    </row>
    <row r="14" spans="1:36">
      <c r="B14" s="14"/>
    </row>
    <row r="15" spans="1:36">
      <c r="B15" s="4"/>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J8"/>
  <sheetViews>
    <sheetView workbookViewId="0"/>
  </sheetViews>
  <sheetFormatPr defaultRowHeight="14.5"/>
  <cols>
    <col min="1" max="1" width="31.08984375" customWidth="1"/>
  </cols>
  <sheetData>
    <row r="1" spans="1:36">
      <c r="A1" s="1" t="s">
        <v>856</v>
      </c>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112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113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114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115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116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853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row r="8" spans="1:36">
      <c r="A8" t="s">
        <v>854</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K45"/>
  <sheetViews>
    <sheetView topLeftCell="I1" workbookViewId="0">
      <selection activeCell="P18" sqref="P18"/>
    </sheetView>
  </sheetViews>
  <sheetFormatPr defaultRowHeight="14.5"/>
  <cols>
    <col min="3" max="3" width="24.6328125" customWidth="1"/>
  </cols>
  <sheetData>
    <row r="1" spans="1:37">
      <c r="A1" s="1" t="s">
        <v>861</v>
      </c>
      <c r="B1" s="1" t="s">
        <v>862</v>
      </c>
      <c r="C1" s="1"/>
      <c r="D1">
        <v>2020</v>
      </c>
      <c r="E1">
        <v>2021</v>
      </c>
      <c r="F1">
        <v>2022</v>
      </c>
      <c r="G1">
        <v>2023</v>
      </c>
      <c r="H1">
        <v>2024</v>
      </c>
      <c r="I1">
        <v>2025</v>
      </c>
      <c r="J1">
        <v>2026</v>
      </c>
      <c r="K1">
        <v>2027</v>
      </c>
      <c r="L1">
        <v>2028</v>
      </c>
      <c r="M1">
        <v>2029</v>
      </c>
      <c r="N1">
        <v>2030</v>
      </c>
      <c r="O1">
        <v>2031</v>
      </c>
      <c r="P1">
        <v>2032</v>
      </c>
      <c r="Q1">
        <v>2033</v>
      </c>
      <c r="R1">
        <v>2034</v>
      </c>
      <c r="S1">
        <v>2035</v>
      </c>
      <c r="T1">
        <v>2036</v>
      </c>
      <c r="U1">
        <v>2037</v>
      </c>
      <c r="V1">
        <v>2038</v>
      </c>
      <c r="W1">
        <v>2039</v>
      </c>
      <c r="X1">
        <v>2040</v>
      </c>
      <c r="Y1">
        <v>2041</v>
      </c>
      <c r="Z1">
        <v>2042</v>
      </c>
      <c r="AA1">
        <v>2043</v>
      </c>
      <c r="AB1">
        <v>2044</v>
      </c>
      <c r="AC1">
        <v>2045</v>
      </c>
      <c r="AD1">
        <v>2046</v>
      </c>
      <c r="AE1">
        <v>2047</v>
      </c>
      <c r="AF1">
        <v>2048</v>
      </c>
      <c r="AG1">
        <v>2049</v>
      </c>
      <c r="AH1">
        <v>2050</v>
      </c>
    </row>
    <row r="2" spans="1:37">
      <c r="A2" t="s">
        <v>863</v>
      </c>
      <c r="B2" t="s">
        <v>864</v>
      </c>
      <c r="C2" t="s">
        <v>114</v>
      </c>
      <c r="D2" s="4">
        <f>'BNVFE-LDVs-psgr'!B4</f>
        <v>3.7068404566156505E-4</v>
      </c>
      <c r="E2" s="4">
        <f>'BNVFE-LDVs-psgr'!C4</f>
        <v>3.8286968063361244E-4</v>
      </c>
      <c r="F2" s="4">
        <f>'BNVFE-LDVs-psgr'!D4</f>
        <v>3.8999540362380768E-4</v>
      </c>
      <c r="G2" s="4">
        <f>'BNVFE-LDVs-psgr'!E4</f>
        <v>3.9439145706872869E-4</v>
      </c>
      <c r="H2" s="4">
        <f>'BNVFE-LDVs-psgr'!F4</f>
        <v>3.9758791642567675E-4</v>
      </c>
      <c r="I2" s="4">
        <f>'BNVFE-LDVs-psgr'!G4</f>
        <v>4.1670440259151796E-4</v>
      </c>
      <c r="J2" s="4">
        <f>'BNVFE-LDVs-psgr'!H4</f>
        <v>4.5449874343080136E-4</v>
      </c>
      <c r="K2" s="4">
        <f>'BNVFE-LDVs-psgr'!I4</f>
        <v>4.5571840174311271E-4</v>
      </c>
      <c r="L2" s="4">
        <f>'BNVFE-LDVs-psgr'!J4</f>
        <v>4.5632492494806224E-4</v>
      </c>
      <c r="M2" s="4">
        <f>'BNVFE-LDVs-psgr'!K4</f>
        <v>4.5682343934192723E-4</v>
      </c>
      <c r="N2" s="4">
        <f>'BNVFE-LDVs-psgr'!L4</f>
        <v>4.5864796428233097E-4</v>
      </c>
      <c r="O2" s="4">
        <f>'BNVFE-LDVs-psgr'!M4</f>
        <v>4.5942511490356416E-4</v>
      </c>
      <c r="P2" s="4">
        <f>'BNVFE-LDVs-psgr'!N4</f>
        <v>4.6038567019040524E-4</v>
      </c>
      <c r="Q2" s="4">
        <f>'BNVFE-LDVs-psgr'!O4</f>
        <v>4.6137990440500237E-4</v>
      </c>
      <c r="R2" s="4">
        <f>'BNVFE-LDVs-psgr'!P4</f>
        <v>4.627584500454361E-4</v>
      </c>
      <c r="S2" s="4">
        <f>'BNVFE-LDVs-psgr'!Q4</f>
        <v>4.6332164296180965E-4</v>
      </c>
      <c r="T2" s="4">
        <f>'BNVFE-LDVs-psgr'!R4</f>
        <v>4.6388593065941057E-4</v>
      </c>
      <c r="U2" s="4">
        <f>'BNVFE-LDVs-psgr'!S4</f>
        <v>4.6479081055883617E-4</v>
      </c>
      <c r="V2" s="4">
        <f>'BNVFE-LDVs-psgr'!T4</f>
        <v>4.6598088096797761E-4</v>
      </c>
      <c r="W2" s="4">
        <f>'BNVFE-LDVs-psgr'!U4</f>
        <v>4.6672534660756901E-4</v>
      </c>
      <c r="X2" s="4">
        <f>'BNVFE-LDVs-psgr'!V4</f>
        <v>4.6768413007742366E-4</v>
      </c>
      <c r="Y2" s="4">
        <f>'BNVFE-LDVs-psgr'!W4</f>
        <v>4.6835837126328925E-4</v>
      </c>
      <c r="Z2" s="4">
        <f>'BNVFE-LDVs-psgr'!X4</f>
        <v>4.6888408232764332E-4</v>
      </c>
      <c r="AA2" s="4">
        <f>'BNVFE-LDVs-psgr'!Y4</f>
        <v>4.6949898925199146E-4</v>
      </c>
      <c r="AB2" s="4">
        <f>'BNVFE-LDVs-psgr'!Z4</f>
        <v>4.7032072339820558E-4</v>
      </c>
      <c r="AC2" s="4">
        <f>'BNVFE-LDVs-psgr'!AA4</f>
        <v>4.7135545011319722E-4</v>
      </c>
      <c r="AD2" s="4">
        <f>'BNVFE-LDVs-psgr'!AB4</f>
        <v>4.7215508696463892E-4</v>
      </c>
      <c r="AE2" s="4">
        <f>'BNVFE-LDVs-psgr'!AC4</f>
        <v>4.730119981602886E-4</v>
      </c>
      <c r="AF2" s="4">
        <f>'BNVFE-LDVs-psgr'!AD4</f>
        <v>4.737905892831368E-4</v>
      </c>
      <c r="AG2" s="4">
        <f>'BNVFE-LDVs-psgr'!AE4</f>
        <v>4.7491927991846777E-4</v>
      </c>
      <c r="AH2" s="4">
        <f>'BNVFE-LDVs-psgr'!AF4</f>
        <v>4.7615242132589445E-4</v>
      </c>
      <c r="AI2" s="4"/>
      <c r="AJ2" s="4"/>
      <c r="AK2" s="4"/>
    </row>
    <row r="3" spans="1:37">
      <c r="A3" t="s">
        <v>863</v>
      </c>
      <c r="B3" t="s">
        <v>865</v>
      </c>
      <c r="C3" t="s">
        <v>114</v>
      </c>
      <c r="D3" s="4">
        <f>'BNVFE-LDVs-frgt'!B4</f>
        <v>1.157863591831631E-4</v>
      </c>
      <c r="E3" s="4">
        <f>'BNVFE-LDVs-frgt'!C4</f>
        <v>1.1589922337335911E-4</v>
      </c>
      <c r="F3" s="4">
        <f>'BNVFE-LDVs-frgt'!D4</f>
        <v>1.1538533736033749E-4</v>
      </c>
      <c r="G3" s="4">
        <f>'BNVFE-LDVs-frgt'!E4</f>
        <v>1.1535674989351573E-4</v>
      </c>
      <c r="H3" s="4">
        <f>'BNVFE-LDVs-frgt'!F4</f>
        <v>1.1555682727052541E-4</v>
      </c>
      <c r="I3" s="4">
        <f>'BNVFE-LDVs-frgt'!G4</f>
        <v>1.1619447640903485E-4</v>
      </c>
      <c r="J3" s="4">
        <f>'BNVFE-LDVs-frgt'!H4</f>
        <v>1.1675875263243092E-4</v>
      </c>
      <c r="K3" s="4">
        <f>'BNVFE-LDVs-frgt'!I4</f>
        <v>1.170886675606406E-4</v>
      </c>
      <c r="L3" s="4">
        <f>'BNVFE-LDVs-frgt'!J4</f>
        <v>1.1617580985063572E-4</v>
      </c>
      <c r="M3" s="4">
        <f>'BNVFE-LDVs-frgt'!K4</f>
        <v>1.1591329821118029E-4</v>
      </c>
      <c r="N3" s="4">
        <f>'BNVFE-LDVs-frgt'!L4</f>
        <v>1.1553838100461461E-4</v>
      </c>
      <c r="O3" s="4">
        <f>'BNVFE-LDVs-frgt'!M4</f>
        <v>1.1496830903628264E-4</v>
      </c>
      <c r="P3" s="4">
        <f>'BNVFE-LDVs-frgt'!N4</f>
        <v>1.1417779457660161E-4</v>
      </c>
      <c r="Q3" s="4">
        <f>'BNVFE-LDVs-frgt'!O4</f>
        <v>1.1321126528769265E-4</v>
      </c>
      <c r="R3" s="4">
        <f>'BNVFE-LDVs-frgt'!P4</f>
        <v>1.1235905420307894E-4</v>
      </c>
      <c r="S3" s="4">
        <f>'BNVFE-LDVs-frgt'!Q4</f>
        <v>1.113973304748738E-4</v>
      </c>
      <c r="T3" s="4">
        <f>'BNVFE-LDVs-frgt'!R4</f>
        <v>1.1073582017040977E-4</v>
      </c>
      <c r="U3" s="4">
        <f>'BNVFE-LDVs-frgt'!S4</f>
        <v>1.099531339020346E-4</v>
      </c>
      <c r="V3" s="4">
        <f>'BNVFE-LDVs-frgt'!T4</f>
        <v>1.0948773622007766E-4</v>
      </c>
      <c r="W3" s="4">
        <f>'BNVFE-LDVs-frgt'!U4</f>
        <v>1.0913516582552083E-4</v>
      </c>
      <c r="X3" s="4">
        <f>'BNVFE-LDVs-frgt'!V4</f>
        <v>1.0884247723484658E-4</v>
      </c>
      <c r="Y3" s="4">
        <f>'BNVFE-LDVs-frgt'!W4</f>
        <v>1.085933825763662E-4</v>
      </c>
      <c r="Z3" s="4">
        <f>'BNVFE-LDVs-frgt'!X4</f>
        <v>1.083443267474224E-4</v>
      </c>
      <c r="AA3" s="4">
        <f>'BNVFE-LDVs-frgt'!Y4</f>
        <v>1.0815629409531245E-4</v>
      </c>
      <c r="AB3" s="4">
        <f>'BNVFE-LDVs-frgt'!Z4</f>
        <v>1.0799885128162017E-4</v>
      </c>
      <c r="AC3" s="4">
        <f>'BNVFE-LDVs-frgt'!AA4</f>
        <v>1.078432358858381E-4</v>
      </c>
      <c r="AD3" s="4">
        <f>'BNVFE-LDVs-frgt'!AB4</f>
        <v>1.0772424981274788E-4</v>
      </c>
      <c r="AE3" s="4">
        <f>'BNVFE-LDVs-frgt'!AC4</f>
        <v>1.0749204222981193E-4</v>
      </c>
      <c r="AF3" s="4">
        <f>'BNVFE-LDVs-frgt'!AD4</f>
        <v>1.0725768900406794E-4</v>
      </c>
      <c r="AG3" s="4">
        <f>'BNVFE-LDVs-frgt'!AE4</f>
        <v>1.0704107117361582E-4</v>
      </c>
      <c r="AH3" s="4">
        <f>'BNVFE-LDVs-frgt'!AF4</f>
        <v>1.0682755170917861E-4</v>
      </c>
      <c r="AI3" s="4"/>
      <c r="AJ3" s="4"/>
      <c r="AK3" s="4"/>
    </row>
    <row r="4" spans="1:37">
      <c r="A4" t="s">
        <v>475</v>
      </c>
      <c r="B4" t="s">
        <v>864</v>
      </c>
      <c r="C4" t="s">
        <v>115</v>
      </c>
      <c r="D4" s="4">
        <f>'BNVFE-HDVs-psgr'!B5</f>
        <v>9.8533458931645266E-4</v>
      </c>
      <c r="E4" s="4">
        <f>'BNVFE-HDVs-psgr'!C5</f>
        <v>9.988021364476826E-4</v>
      </c>
      <c r="F4" s="4">
        <f>'BNVFE-HDVs-psgr'!D5</f>
        <v>1.0144915989479513E-3</v>
      </c>
      <c r="G4" s="4">
        <f>'BNVFE-HDVs-psgr'!E5</f>
        <v>1.0338641499362739E-3</v>
      </c>
      <c r="H4" s="4">
        <f>'BNVFE-HDVs-psgr'!F5</f>
        <v>1.0578483957153595E-3</v>
      </c>
      <c r="I4" s="4">
        <f>'BNVFE-HDVs-psgr'!G5</f>
        <v>1.0855563574924357E-3</v>
      </c>
      <c r="J4" s="4">
        <f>'BNVFE-HDVs-psgr'!H5</f>
        <v>1.1154933208321449E-3</v>
      </c>
      <c r="K4" s="4">
        <f>'BNVFE-HDVs-psgr'!I5</f>
        <v>1.146433059300843E-3</v>
      </c>
      <c r="L4" s="4">
        <f>'BNVFE-HDVs-psgr'!J5</f>
        <v>1.162195430859642E-3</v>
      </c>
      <c r="M4" s="4">
        <f>'BNVFE-HDVs-psgr'!K5</f>
        <v>1.1852372128907688E-3</v>
      </c>
      <c r="N4" s="4">
        <f>'BNVFE-HDVs-psgr'!L5</f>
        <v>1.2047747934543398E-3</v>
      </c>
      <c r="O4" s="4">
        <f>'BNVFE-HDVs-psgr'!M5</f>
        <v>1.2221312436297778E-3</v>
      </c>
      <c r="P4" s="4">
        <f>'BNVFE-HDVs-psgr'!N5</f>
        <v>1.2324377185343545E-3</v>
      </c>
      <c r="Q4" s="4">
        <f>'BNVFE-HDVs-psgr'!O5</f>
        <v>1.2337189023360906E-3</v>
      </c>
      <c r="R4" s="4">
        <f>'BNVFE-HDVs-psgr'!P5</f>
        <v>1.2346974269358923E-3</v>
      </c>
      <c r="S4" s="4">
        <f>'BNVFE-HDVs-psgr'!Q5</f>
        <v>1.2348004129494538E-3</v>
      </c>
      <c r="T4" s="4">
        <f>'BNVFE-HDVs-psgr'!R5</f>
        <v>1.2352948717913239E-3</v>
      </c>
      <c r="U4" s="4">
        <f>'BNVFE-HDVs-psgr'!S5</f>
        <v>1.2357035089552255E-3</v>
      </c>
      <c r="V4" s="4">
        <f>'BNVFE-HDVs-psgr'!T5</f>
        <v>1.2358091719752555E-3</v>
      </c>
      <c r="W4" s="4">
        <f>'BNVFE-HDVs-psgr'!U5</f>
        <v>1.2356633538581946E-3</v>
      </c>
      <c r="X4" s="4">
        <f>'BNVFE-HDVs-psgr'!V5</f>
        <v>1.2356553228387885E-3</v>
      </c>
      <c r="Y4" s="4">
        <f>'BNVFE-HDVs-psgr'!W5</f>
        <v>1.2356638262711007E-3</v>
      </c>
      <c r="Z4" s="4">
        <f>'BNVFE-HDVs-psgr'!X5</f>
        <v>1.2356742193550382E-3</v>
      </c>
      <c r="AA4" s="4">
        <f>'BNVFE-HDVs-psgr'!Y5</f>
        <v>1.2356002079997265E-3</v>
      </c>
      <c r="AB4" s="4">
        <f>'BNVFE-HDVs-psgr'!Z5</f>
        <v>1.2356762664776318E-3</v>
      </c>
      <c r="AC4" s="4">
        <f>'BNVFE-HDVs-psgr'!AA5</f>
        <v>1.2358724753046924E-3</v>
      </c>
      <c r="AD4" s="4">
        <f>'BNVFE-HDVs-psgr'!AB5</f>
        <v>1.2358611373949426E-3</v>
      </c>
      <c r="AE4" s="4">
        <f>'BNVFE-HDVs-psgr'!AC5</f>
        <v>1.236194345964814E-3</v>
      </c>
      <c r="AF4" s="4">
        <f>'BNVFE-HDVs-psgr'!AD5</f>
        <v>1.2367163622262144E-3</v>
      </c>
      <c r="AG4" s="4">
        <f>'BNVFE-HDVs-psgr'!AE5</f>
        <v>1.2373051461783645E-3</v>
      </c>
      <c r="AH4" s="4">
        <f>'BNVFE-HDVs-psgr'!AF5</f>
        <v>1.2379718782600448E-3</v>
      </c>
      <c r="AI4" s="4"/>
      <c r="AJ4" s="4"/>
      <c r="AK4" s="4"/>
    </row>
    <row r="5" spans="1:37">
      <c r="A5" t="s">
        <v>475</v>
      </c>
      <c r="B5" t="s">
        <v>865</v>
      </c>
      <c r="C5" t="s">
        <v>115</v>
      </c>
      <c r="D5" s="4">
        <f>'BNVFE-HDVs-frgt'!B5</f>
        <v>7.2928093510090471E-4</v>
      </c>
      <c r="E5" s="4">
        <f>'BNVFE-HDVs-frgt'!C5</f>
        <v>7.3924874245474208E-4</v>
      </c>
      <c r="F5" s="4">
        <f>'BNVFE-HDVs-frgt'!D5</f>
        <v>7.508610678592162E-4</v>
      </c>
      <c r="G5" s="4">
        <f>'BNVFE-HDVs-frgt'!E5</f>
        <v>7.6519937715357957E-4</v>
      </c>
      <c r="H5" s="4">
        <f>'BNVFE-HDVs-frgt'!F5</f>
        <v>7.8295096466416878E-4</v>
      </c>
      <c r="I5" s="4">
        <f>'BNVFE-HDVs-frgt'!G5</f>
        <v>8.0345860591986078E-4</v>
      </c>
      <c r="J5" s="4">
        <f>'BNVFE-HDVs-frgt'!H5</f>
        <v>8.2561600996837806E-4</v>
      </c>
      <c r="K5" s="4">
        <f>'BNVFE-HDVs-frgt'!I5</f>
        <v>8.4851560331147032E-4</v>
      </c>
      <c r="L5" s="4">
        <f>'BNVFE-HDVs-frgt'!J5</f>
        <v>8.6018189128557194E-4</v>
      </c>
      <c r="M5" s="4">
        <f>'BNVFE-HDVs-frgt'!K5</f>
        <v>8.7723592808510082E-4</v>
      </c>
      <c r="N5" s="4">
        <f>'BNVFE-HDVs-frgt'!L5</f>
        <v>8.9169638159754131E-4</v>
      </c>
      <c r="O5" s="4">
        <f>'BNVFE-HDVs-frgt'!M5</f>
        <v>9.0454250346438524E-4</v>
      </c>
      <c r="P5" s="4">
        <f>'BNVFE-HDVs-frgt'!N5</f>
        <v>9.1217068960288046E-4</v>
      </c>
      <c r="Q5" s="4">
        <f>'BNVFE-HDVs-frgt'!O5</f>
        <v>9.1311893899054719E-4</v>
      </c>
      <c r="R5" s="4">
        <f>'BNVFE-HDVs-frgt'!P5</f>
        <v>9.1384317961185513E-4</v>
      </c>
      <c r="S5" s="4">
        <f>'BNVFE-HDVs-frgt'!Q5</f>
        <v>9.1391940319832696E-4</v>
      </c>
      <c r="T5" s="4">
        <f>'BNVFE-HDVs-frgt'!R5</f>
        <v>9.1428536965325259E-4</v>
      </c>
      <c r="U5" s="4">
        <f>'BNVFE-HDVs-frgt'!S5</f>
        <v>9.1458781645278495E-4</v>
      </c>
      <c r="V5" s="4">
        <f>'BNVFE-HDVs-frgt'!T5</f>
        <v>9.1466602138630556E-4</v>
      </c>
      <c r="W5" s="4">
        <f>'BNVFE-HDVs-frgt'!U5</f>
        <v>9.1455809624705047E-4</v>
      </c>
      <c r="X5" s="4">
        <f>'BNVFE-HDVs-frgt'!V5</f>
        <v>9.145521522059036E-4</v>
      </c>
      <c r="Y5" s="4">
        <f>'BNVFE-HDVs-frgt'!W5</f>
        <v>9.1455844589652965E-4</v>
      </c>
      <c r="Z5" s="4">
        <f>'BNVFE-HDVs-frgt'!X5</f>
        <v>9.1456613818507277E-4</v>
      </c>
      <c r="AA5" s="4">
        <f>'BNVFE-HDVs-frgt'!Y5</f>
        <v>9.1451135976666027E-4</v>
      </c>
      <c r="AB5" s="4">
        <f>'BNVFE-HDVs-frgt'!Z5</f>
        <v>9.1456765333281604E-4</v>
      </c>
      <c r="AC5" s="4">
        <f>'BNVFE-HDVs-frgt'!AA5</f>
        <v>9.1471287441652219E-4</v>
      </c>
      <c r="AD5" s="4">
        <f>'BNVFE-HDVs-frgt'!AB5</f>
        <v>9.147044828290207E-4</v>
      </c>
      <c r="AE5" s="4">
        <f>'BNVFE-HDVs-frgt'!AC5</f>
        <v>9.1495110226170301E-4</v>
      </c>
      <c r="AF5" s="4">
        <f>'BNVFE-HDVs-frgt'!AD5</f>
        <v>9.153374649362501E-4</v>
      </c>
      <c r="AG5" s="4">
        <f>'BNVFE-HDVs-frgt'!AE5</f>
        <v>9.1577324473719485E-4</v>
      </c>
      <c r="AH5" s="4">
        <f>'BNVFE-HDVs-frgt'!AF5</f>
        <v>9.1626671670221223E-4</v>
      </c>
      <c r="AI5" s="4"/>
      <c r="AJ5" s="4"/>
      <c r="AK5" s="4"/>
    </row>
    <row r="6" spans="1:37">
      <c r="A6" t="s">
        <v>472</v>
      </c>
      <c r="B6" t="s">
        <v>864</v>
      </c>
      <c r="C6" t="s">
        <v>115</v>
      </c>
      <c r="D6" s="4">
        <f>'BNVFE-aircraft-psgr'!B5</f>
        <v>4.6616941125958422E-4</v>
      </c>
      <c r="E6" s="4">
        <f>'BNVFE-aircraft-psgr'!C5</f>
        <v>4.7399299019600609E-4</v>
      </c>
      <c r="F6" s="4">
        <f>'BNVFE-aircraft-psgr'!D5</f>
        <v>4.7625318028902199E-4</v>
      </c>
      <c r="G6" s="4">
        <f>'BNVFE-aircraft-psgr'!E5</f>
        <v>4.7962763511951036E-4</v>
      </c>
      <c r="H6" s="4">
        <f>'BNVFE-aircraft-psgr'!F5</f>
        <v>4.8472425299335046E-4</v>
      </c>
      <c r="I6" s="4">
        <f>'BNVFE-aircraft-psgr'!G5</f>
        <v>4.8856488811023198E-4</v>
      </c>
      <c r="J6" s="4">
        <f>'BNVFE-aircraft-psgr'!H5</f>
        <v>4.9188761878420821E-4</v>
      </c>
      <c r="K6" s="4">
        <f>'BNVFE-aircraft-psgr'!I5</f>
        <v>4.9507465640706257E-4</v>
      </c>
      <c r="L6" s="4">
        <f>'BNVFE-aircraft-psgr'!J5</f>
        <v>4.9827927013588579E-4</v>
      </c>
      <c r="M6" s="4">
        <f>'BNVFE-aircraft-psgr'!K5</f>
        <v>5.0141938782536798E-4</v>
      </c>
      <c r="N6" s="4">
        <f>'BNVFE-aircraft-psgr'!L5</f>
        <v>5.0473115148176617E-4</v>
      </c>
      <c r="O6" s="4">
        <f>'BNVFE-aircraft-psgr'!M5</f>
        <v>5.0816899974300608E-4</v>
      </c>
      <c r="P6" s="4">
        <f>'BNVFE-aircraft-psgr'!N5</f>
        <v>5.1181801067543291E-4</v>
      </c>
      <c r="Q6" s="4">
        <f>'BNVFE-aircraft-psgr'!O5</f>
        <v>5.1566570773780435E-4</v>
      </c>
      <c r="R6" s="4">
        <f>'BNVFE-aircraft-psgr'!P5</f>
        <v>5.1961420160206843E-4</v>
      </c>
      <c r="S6" s="4">
        <f>'BNVFE-aircraft-psgr'!Q5</f>
        <v>5.2372057195217224E-4</v>
      </c>
      <c r="T6" s="4">
        <f>'BNVFE-aircraft-psgr'!R5</f>
        <v>5.2782108797571725E-4</v>
      </c>
      <c r="U6" s="4">
        <f>'BNVFE-aircraft-psgr'!S5</f>
        <v>5.3191930033488766E-4</v>
      </c>
      <c r="V6" s="4">
        <f>'BNVFE-aircraft-psgr'!T5</f>
        <v>5.3596468592895642E-4</v>
      </c>
      <c r="W6" s="4">
        <f>'BNVFE-aircraft-psgr'!U5</f>
        <v>5.3988919149325191E-4</v>
      </c>
      <c r="X6" s="4">
        <f>'BNVFE-aircraft-psgr'!V5</f>
        <v>5.4375065803669985E-4</v>
      </c>
      <c r="Y6" s="4">
        <f>'BNVFE-aircraft-psgr'!W5</f>
        <v>5.4758253135318239E-4</v>
      </c>
      <c r="Z6" s="4">
        <f>'BNVFE-aircraft-psgr'!X5</f>
        <v>5.5141485752676429E-4</v>
      </c>
      <c r="AA6" s="4">
        <f>'BNVFE-aircraft-psgr'!Y5</f>
        <v>5.5528893843752823E-4</v>
      </c>
      <c r="AB6" s="4">
        <f>'BNVFE-aircraft-psgr'!Z5</f>
        <v>5.5903874617184749E-4</v>
      </c>
      <c r="AC6" s="4">
        <f>'BNVFE-aircraft-psgr'!AA5</f>
        <v>5.6267984194975651E-4</v>
      </c>
      <c r="AD6" s="4">
        <f>'BNVFE-aircraft-psgr'!AB5</f>
        <v>5.6625804309603806E-4</v>
      </c>
      <c r="AE6" s="4">
        <f>'BNVFE-aircraft-psgr'!AC5</f>
        <v>5.6976670114342325E-4</v>
      </c>
      <c r="AF6" s="4">
        <f>'BNVFE-aircraft-psgr'!AD5</f>
        <v>5.7342146795521316E-4</v>
      </c>
      <c r="AG6" s="4">
        <f>'BNVFE-aircraft-psgr'!AE5</f>
        <v>5.770408790975283E-4</v>
      </c>
      <c r="AH6" s="4">
        <f>'BNVFE-aircraft-psgr'!AF5</f>
        <v>5.8064146713606509E-4</v>
      </c>
      <c r="AI6" s="4"/>
      <c r="AJ6" s="4"/>
      <c r="AK6" s="4"/>
    </row>
    <row r="7" spans="1:37">
      <c r="A7" t="s">
        <v>472</v>
      </c>
      <c r="B7" t="s">
        <v>865</v>
      </c>
      <c r="C7" t="s">
        <v>115</v>
      </c>
      <c r="D7" s="4">
        <f>'BNVFE-aircraft-frgt'!B5</f>
        <v>1.2002512973417359E-4</v>
      </c>
      <c r="E7" s="4">
        <f>'BNVFE-aircraft-frgt'!C5</f>
        <v>1.2203947485023846E-4</v>
      </c>
      <c r="F7" s="4">
        <f>'BNVFE-aircraft-frgt'!D5</f>
        <v>1.2262140837608938E-4</v>
      </c>
      <c r="G7" s="4">
        <f>'BNVFE-aircraft-frgt'!E5</f>
        <v>1.2349023281851067E-4</v>
      </c>
      <c r="H7" s="4">
        <f>'BNVFE-aircraft-frgt'!F5</f>
        <v>1.2480246439513921E-4</v>
      </c>
      <c r="I7" s="4">
        <f>'BNVFE-aircraft-frgt'!G5</f>
        <v>1.2579131676732679E-4</v>
      </c>
      <c r="J7" s="4">
        <f>'BNVFE-aircraft-frgt'!H5</f>
        <v>1.2664682373664536E-4</v>
      </c>
      <c r="K7" s="4">
        <f>'BNVFE-aircraft-frgt'!I5</f>
        <v>1.2746739367304943E-4</v>
      </c>
      <c r="L7" s="4">
        <f>'BNVFE-aircraft-frgt'!J5</f>
        <v>1.282924889479853E-4</v>
      </c>
      <c r="M7" s="4">
        <f>'BNVFE-aircraft-frgt'!K5</f>
        <v>1.2910097835968289E-4</v>
      </c>
      <c r="N7" s="4">
        <f>'BNVFE-aircraft-frgt'!L5</f>
        <v>1.2995366163942465E-4</v>
      </c>
      <c r="O7" s="4">
        <f>'BNVFE-aircraft-frgt'!M5</f>
        <v>1.3083880805528838E-4</v>
      </c>
      <c r="P7" s="4">
        <f>'BNVFE-aircraft-frgt'!N5</f>
        <v>1.3177832274670185E-4</v>
      </c>
      <c r="Q7" s="4">
        <f>'BNVFE-aircraft-frgt'!O5</f>
        <v>1.3276899336543915E-4</v>
      </c>
      <c r="R7" s="4">
        <f>'BNVFE-aircraft-frgt'!P5</f>
        <v>1.3378561624301569E-4</v>
      </c>
      <c r="S7" s="4">
        <f>'BNVFE-aircraft-frgt'!Q5</f>
        <v>1.3484288774582846E-4</v>
      </c>
      <c r="T7" s="4">
        <f>'BNVFE-aircraft-frgt'!R5</f>
        <v>1.3589865192901079E-4</v>
      </c>
      <c r="U7" s="4">
        <f>'BNVFE-aircraft-frgt'!S5</f>
        <v>1.3695382298529812E-4</v>
      </c>
      <c r="V7" s="4">
        <f>'BNVFE-aircraft-frgt'!T5</f>
        <v>1.3799539267868687E-4</v>
      </c>
      <c r="W7" s="4">
        <f>'BNVFE-aircraft-frgt'!U5</f>
        <v>1.3900583926338301E-4</v>
      </c>
      <c r="X7" s="4">
        <f>'BNVFE-aircraft-frgt'!V5</f>
        <v>1.4000005512492829E-4</v>
      </c>
      <c r="Y7" s="4">
        <f>'BNVFE-aircraft-frgt'!W5</f>
        <v>1.409866515871308E-4</v>
      </c>
      <c r="Z7" s="4">
        <f>'BNVFE-aircraft-frgt'!X5</f>
        <v>1.4197336464692809E-4</v>
      </c>
      <c r="AA7" s="4">
        <f>'BNVFE-aircraft-frgt'!Y5</f>
        <v>1.4297082834292379E-4</v>
      </c>
      <c r="AB7" s="4">
        <f>'BNVFE-aircraft-frgt'!Z5</f>
        <v>1.4393629529317647E-4</v>
      </c>
      <c r="AC7" s="4">
        <f>'BNVFE-aircraft-frgt'!AA5</f>
        <v>1.4487377206141239E-4</v>
      </c>
      <c r="AD7" s="4">
        <f>'BNVFE-aircraft-frgt'!AB5</f>
        <v>1.4579505528254221E-4</v>
      </c>
      <c r="AE7" s="4">
        <f>'BNVFE-aircraft-frgt'!AC5</f>
        <v>1.4669843316868957E-4</v>
      </c>
      <c r="AF7" s="4">
        <f>'BNVFE-aircraft-frgt'!AD5</f>
        <v>1.4763942983243028E-4</v>
      </c>
      <c r="AG7" s="4">
        <f>'BNVFE-aircraft-frgt'!AE5</f>
        <v>1.4857132343468077E-4</v>
      </c>
      <c r="AH7" s="4">
        <f>'BNVFE-aircraft-frgt'!AF5</f>
        <v>1.494983706325589E-4</v>
      </c>
      <c r="AI7" s="4"/>
      <c r="AJ7" s="4"/>
      <c r="AK7" s="4"/>
    </row>
    <row r="8" spans="1:37">
      <c r="A8" t="s">
        <v>866</v>
      </c>
      <c r="B8" t="s">
        <v>864</v>
      </c>
      <c r="C8" t="s">
        <v>115</v>
      </c>
      <c r="D8" s="4">
        <f>'BNVFE-rail-psgr'!B5</f>
        <v>3.8868922094850749E-4</v>
      </c>
      <c r="E8" s="4">
        <f>'BNVFE-rail-psgr'!C5</f>
        <v>3.8835964956971156E-4</v>
      </c>
      <c r="F8" s="4">
        <f>'BNVFE-rail-psgr'!D5</f>
        <v>3.8810530909215343E-4</v>
      </c>
      <c r="G8" s="4">
        <f>'BNVFE-rail-psgr'!E5</f>
        <v>3.8794345419032003E-4</v>
      </c>
      <c r="H8" s="4">
        <f>'BNVFE-rail-psgr'!F5</f>
        <v>3.8779756085887974E-4</v>
      </c>
      <c r="I8" s="4">
        <f>'BNVFE-rail-psgr'!G5</f>
        <v>3.8768659775611613E-4</v>
      </c>
      <c r="J8" s="4">
        <f>'BNVFE-rail-psgr'!H5</f>
        <v>3.8756372155893972E-4</v>
      </c>
      <c r="K8" s="4">
        <f>'BNVFE-rail-psgr'!I5</f>
        <v>3.8743413448561116E-4</v>
      </c>
      <c r="L8" s="4">
        <f>'BNVFE-rail-psgr'!J5</f>
        <v>3.8741625203614658E-4</v>
      </c>
      <c r="M8" s="4">
        <f>'BNVFE-rail-psgr'!K5</f>
        <v>3.8738694289951122E-4</v>
      </c>
      <c r="N8" s="4">
        <f>'BNVFE-rail-psgr'!L5</f>
        <v>3.8727323156960051E-4</v>
      </c>
      <c r="O8" s="4">
        <f>'BNVFE-rail-psgr'!M5</f>
        <v>3.872801832305252E-4</v>
      </c>
      <c r="P8" s="4">
        <f>'BNVFE-rail-psgr'!N5</f>
        <v>3.8723285633958973E-4</v>
      </c>
      <c r="Q8" s="4">
        <f>'BNVFE-rail-psgr'!O5</f>
        <v>3.8719654146009873E-4</v>
      </c>
      <c r="R8" s="4">
        <f>'BNVFE-rail-psgr'!P5</f>
        <v>3.8712836957078314E-4</v>
      </c>
      <c r="S8" s="4">
        <f>'BNVFE-rail-psgr'!Q5</f>
        <v>3.8710174375942578E-4</v>
      </c>
      <c r="T8" s="4">
        <f>'BNVFE-rail-psgr'!R5</f>
        <v>3.8701959513390749E-4</v>
      </c>
      <c r="U8" s="4">
        <f>'BNVFE-rail-psgr'!S5</f>
        <v>3.8693459130790495E-4</v>
      </c>
      <c r="V8" s="4">
        <f>'BNVFE-rail-psgr'!T5</f>
        <v>3.8684314096127021E-4</v>
      </c>
      <c r="W8" s="4">
        <f>'BNVFE-rail-psgr'!U5</f>
        <v>3.8675224209457141E-4</v>
      </c>
      <c r="X8" s="4">
        <f>'BNVFE-rail-psgr'!V5</f>
        <v>3.8662639724460569E-4</v>
      </c>
      <c r="Y8" s="4">
        <f>'BNVFE-rail-psgr'!W5</f>
        <v>3.8650753548999096E-4</v>
      </c>
      <c r="Z8" s="4">
        <f>'BNVFE-rail-psgr'!X5</f>
        <v>3.8637937383671609E-4</v>
      </c>
      <c r="AA8" s="4">
        <f>'BNVFE-rail-psgr'!Y5</f>
        <v>3.8623677194928995E-4</v>
      </c>
      <c r="AB8" s="4">
        <f>'BNVFE-rail-psgr'!Z5</f>
        <v>3.8608334518532407E-4</v>
      </c>
      <c r="AC8" s="4">
        <f>'BNVFE-rail-psgr'!AA5</f>
        <v>3.8590701122559256E-4</v>
      </c>
      <c r="AD8" s="4">
        <f>'BNVFE-rail-psgr'!AB5</f>
        <v>3.8573556454320505E-4</v>
      </c>
      <c r="AE8" s="4">
        <f>'BNVFE-rail-psgr'!AC5</f>
        <v>3.8555651429608934E-4</v>
      </c>
      <c r="AF8" s="4">
        <f>'BNVFE-rail-psgr'!AD5</f>
        <v>3.8536129241038667E-4</v>
      </c>
      <c r="AG8" s="4">
        <f>'BNVFE-rail-psgr'!AE5</f>
        <v>3.8512787391125356E-4</v>
      </c>
      <c r="AH8" s="4">
        <f>'BNVFE-rail-psgr'!AF5</f>
        <v>3.8487689875144672E-4</v>
      </c>
      <c r="AI8" s="4"/>
      <c r="AJ8" s="4"/>
      <c r="AK8" s="4"/>
    </row>
    <row r="9" spans="1:37">
      <c r="A9" t="s">
        <v>866</v>
      </c>
      <c r="B9" t="s">
        <v>864</v>
      </c>
      <c r="C9" t="s">
        <v>112</v>
      </c>
      <c r="D9" s="4">
        <f>'BNVFE-rail-psgr'!B2</f>
        <v>1.2490429545241593E-3</v>
      </c>
      <c r="E9" s="4">
        <f>'BNVFE-rail-psgr'!C2</f>
        <v>1.2479838852561889E-3</v>
      </c>
      <c r="F9" s="4">
        <f>'BNVFE-rail-psgr'!D2</f>
        <v>1.2471665685815224E-3</v>
      </c>
      <c r="G9" s="4">
        <f>'BNVFE-rail-psgr'!E2</f>
        <v>1.2466464519590526E-3</v>
      </c>
      <c r="H9" s="4">
        <f>'BNVFE-rail-psgr'!F2</f>
        <v>1.2461776274382624E-3</v>
      </c>
      <c r="I9" s="4">
        <f>'BNVFE-rail-psgr'!G2</f>
        <v>1.2458210503215087E-3</v>
      </c>
      <c r="J9" s="4">
        <f>'BNVFE-rail-psgr'!H2</f>
        <v>1.2454261907779705E-3</v>
      </c>
      <c r="K9" s="4">
        <f>'BNVFE-rail-psgr'!I2</f>
        <v>1.2450097660041024E-3</v>
      </c>
      <c r="L9" s="4">
        <f>'BNVFE-rail-psgr'!J2</f>
        <v>1.2449523012062393E-3</v>
      </c>
      <c r="M9" s="4">
        <f>'BNVFE-rail-psgr'!K2</f>
        <v>1.2448581170389291E-3</v>
      </c>
      <c r="N9" s="4">
        <f>'BNVFE-rail-psgr'!L2</f>
        <v>1.244492708563932E-3</v>
      </c>
      <c r="O9" s="4">
        <f>'BNVFE-rail-psgr'!M2</f>
        <v>1.2445150475500222E-3</v>
      </c>
      <c r="P9" s="4">
        <f>'BNVFE-rail-psgr'!N2</f>
        <v>1.244362963786191E-3</v>
      </c>
      <c r="Q9" s="4">
        <f>'BNVFE-rail-psgr'!O2</f>
        <v>1.2442462668418766E-3</v>
      </c>
      <c r="R9" s="4">
        <f>'BNVFE-rail-psgr'!P2</f>
        <v>1.2440271982043711E-3</v>
      </c>
      <c r="S9" s="4">
        <f>'BNVFE-rail-psgr'!Q2</f>
        <v>1.2439416368347936E-3</v>
      </c>
      <c r="T9" s="4">
        <f>'BNVFE-rail-psgr'!R2</f>
        <v>1.2436776543099449E-3</v>
      </c>
      <c r="U9" s="4">
        <f>'BNVFE-rail-psgr'!S2</f>
        <v>1.2434044966707469E-3</v>
      </c>
      <c r="V9" s="4">
        <f>'BNVFE-rail-psgr'!T2</f>
        <v>1.2431106233009778E-3</v>
      </c>
      <c r="W9" s="4">
        <f>'BNVFE-rail-psgr'!U2</f>
        <v>1.242818522097998E-3</v>
      </c>
      <c r="X9" s="4">
        <f>'BNVFE-rail-psgr'!V2</f>
        <v>1.2424141228640053E-3</v>
      </c>
      <c r="Y9" s="4">
        <f>'BNVFE-rail-psgr'!W2</f>
        <v>1.2420321636298346E-3</v>
      </c>
      <c r="Z9" s="4">
        <f>'BNVFE-rail-psgr'!X2</f>
        <v>1.241620319407161E-3</v>
      </c>
      <c r="AA9" s="4">
        <f>'BNVFE-rail-psgr'!Y2</f>
        <v>1.2411620718582406E-3</v>
      </c>
      <c r="AB9" s="4">
        <f>'BNVFE-rail-psgr'!Z2</f>
        <v>1.240669038843074E-3</v>
      </c>
      <c r="AC9" s="4">
        <f>'BNVFE-rail-psgr'!AA2</f>
        <v>1.2401023941352315E-3</v>
      </c>
      <c r="AD9" s="4">
        <f>'BNVFE-rail-psgr'!AB2</f>
        <v>1.2395514545691941E-3</v>
      </c>
      <c r="AE9" s="4">
        <f>'BNVFE-rail-psgr'!AC2</f>
        <v>1.2389760811407262E-3</v>
      </c>
      <c r="AF9" s="4">
        <f>'BNVFE-rail-psgr'!AD2</f>
        <v>1.2383487405617649E-3</v>
      </c>
      <c r="AG9" s="4">
        <f>'BNVFE-rail-psgr'!AE2</f>
        <v>1.2375986561341948E-3</v>
      </c>
      <c r="AH9" s="4">
        <f>'BNVFE-rail-psgr'!AF2</f>
        <v>1.236792153822779E-3</v>
      </c>
      <c r="AI9" s="4"/>
      <c r="AJ9" s="4"/>
      <c r="AK9" s="4"/>
    </row>
    <row r="10" spans="1:37">
      <c r="A10" t="s">
        <v>866</v>
      </c>
      <c r="B10" t="s">
        <v>865</v>
      </c>
      <c r="C10" t="s">
        <v>115</v>
      </c>
      <c r="D10" s="4">
        <f>'BNVFE-rail-frgt'!B5</f>
        <v>3.4893709999999998E-3</v>
      </c>
      <c r="E10" s="4">
        <f>'BNVFE-rail-frgt'!C5</f>
        <v>3.5120030000000001E-3</v>
      </c>
      <c r="F10" s="4">
        <f>'BNVFE-rail-frgt'!D5</f>
        <v>3.5347819999999998E-3</v>
      </c>
      <c r="G10" s="4">
        <f>'BNVFE-rail-frgt'!E5</f>
        <v>3.55771E-3</v>
      </c>
      <c r="H10" s="4">
        <f>'BNVFE-rail-frgt'!F5</f>
        <v>3.580785E-3</v>
      </c>
      <c r="I10" s="4">
        <f>'BNVFE-rail-frgt'!G5</f>
        <v>3.6040100000000004E-3</v>
      </c>
      <c r="J10" s="4">
        <f>'BNVFE-rail-frgt'!H5</f>
        <v>3.6273859999999998E-3</v>
      </c>
      <c r="K10" s="4">
        <f>'BNVFE-rail-frgt'!I5</f>
        <v>3.6509140000000003E-3</v>
      </c>
      <c r="L10" s="4">
        <f>'BNVFE-rail-frgt'!J5</f>
        <v>3.6745939999999998E-3</v>
      </c>
      <c r="M10" s="4">
        <f>'BNVFE-rail-frgt'!K5</f>
        <v>3.6984279999999997E-3</v>
      </c>
      <c r="N10" s="4">
        <f>'BNVFE-rail-frgt'!L5</f>
        <v>3.7224160000000001E-3</v>
      </c>
      <c r="O10" s="4">
        <f>'BNVFE-rail-frgt'!M5</f>
        <v>3.7465599999999999E-3</v>
      </c>
      <c r="P10" s="4">
        <f>'BNVFE-rail-frgt'!N5</f>
        <v>3.77086E-3</v>
      </c>
      <c r="Q10" s="4">
        <f>'BNVFE-rail-frgt'!O5</f>
        <v>3.7953179999999998E-3</v>
      </c>
      <c r="R10" s="4">
        <f>'BNVFE-rail-frgt'!P5</f>
        <v>3.819935E-3</v>
      </c>
      <c r="S10" s="4">
        <f>'BNVFE-rail-frgt'!Q5</f>
        <v>3.8447119999999997E-3</v>
      </c>
      <c r="T10" s="4">
        <f>'BNVFE-rail-frgt'!R5</f>
        <v>3.8696489999999997E-3</v>
      </c>
      <c r="U10" s="4">
        <f>'BNVFE-rail-frgt'!S5</f>
        <v>3.894748E-3</v>
      </c>
      <c r="V10" s="4">
        <f>'BNVFE-rail-frgt'!T5</f>
        <v>3.9200089999999995E-3</v>
      </c>
      <c r="W10" s="4">
        <f>'BNVFE-rail-frgt'!U5</f>
        <v>3.9454349999999997E-3</v>
      </c>
      <c r="X10" s="4">
        <f>'BNVFE-rail-frgt'!V5</f>
        <v>3.9710250000000004E-3</v>
      </c>
      <c r="Y10" s="4">
        <f>'BNVFE-rail-frgt'!W5</f>
        <v>3.9967819999999999E-3</v>
      </c>
      <c r="Z10" s="4">
        <f>'BNVFE-rail-frgt'!X5</f>
        <v>4.0227050000000006E-3</v>
      </c>
      <c r="AA10" s="4">
        <f>'BNVFE-rail-frgt'!Y5</f>
        <v>4.0487970000000007E-3</v>
      </c>
      <c r="AB10" s="4">
        <f>'BNVFE-rail-frgt'!Z5</f>
        <v>4.0750580000000003E-3</v>
      </c>
      <c r="AC10" s="4">
        <f>'BNVFE-rail-frgt'!AA5</f>
        <v>4.1014889999999998E-3</v>
      </c>
      <c r="AD10" s="4">
        <f>'BNVFE-rail-frgt'!AB5</f>
        <v>4.1280910000000004E-3</v>
      </c>
      <c r="AE10" s="4">
        <f>'BNVFE-rail-frgt'!AC5</f>
        <v>4.1548660000000001E-3</v>
      </c>
      <c r="AF10" s="4">
        <f>'BNVFE-rail-frgt'!AD5</f>
        <v>4.1818150000000002E-3</v>
      </c>
      <c r="AG10" s="4">
        <f>'BNVFE-rail-frgt'!AE5</f>
        <v>4.2089390000000001E-3</v>
      </c>
      <c r="AH10" s="4">
        <f>'BNVFE-rail-frgt'!AF5</f>
        <v>4.2362379999999998E-3</v>
      </c>
      <c r="AI10" s="4"/>
      <c r="AJ10" s="4"/>
      <c r="AK10" s="4"/>
    </row>
    <row r="11" spans="1:37">
      <c r="A11" t="s">
        <v>867</v>
      </c>
      <c r="B11" t="s">
        <v>864</v>
      </c>
      <c r="C11" t="s">
        <v>115</v>
      </c>
      <c r="D11" s="4">
        <f>'BNVFE-ships-psgr'!B5</f>
        <v>1.0049397002369565E-5</v>
      </c>
      <c r="E11" s="4">
        <f>'BNVFE-ships-psgr'!C5</f>
        <v>1.0049397002369565E-5</v>
      </c>
      <c r="F11" s="4">
        <f>'BNVFE-ships-psgr'!D5</f>
        <v>1.0049397002369565E-5</v>
      </c>
      <c r="G11" s="4">
        <f>'BNVFE-ships-psgr'!E5</f>
        <v>1.0049397002369565E-5</v>
      </c>
      <c r="H11" s="4">
        <f>'BNVFE-ships-psgr'!F5</f>
        <v>1.0049397002369565E-5</v>
      </c>
      <c r="I11" s="4">
        <f>'BNVFE-ships-psgr'!G5</f>
        <v>1.0049397002369565E-5</v>
      </c>
      <c r="J11" s="4">
        <f>'BNVFE-ships-psgr'!H5</f>
        <v>1.0049397002369565E-5</v>
      </c>
      <c r="K11" s="4">
        <f>'BNVFE-ships-psgr'!I5</f>
        <v>1.0049397002369565E-5</v>
      </c>
      <c r="L11" s="4">
        <f>'BNVFE-ships-psgr'!J5</f>
        <v>1.0049397002369565E-5</v>
      </c>
      <c r="M11" s="4">
        <f>'BNVFE-ships-psgr'!K5</f>
        <v>1.0049397002369565E-5</v>
      </c>
      <c r="N11" s="4">
        <f>'BNVFE-ships-psgr'!L5</f>
        <v>1.0049397002369565E-5</v>
      </c>
      <c r="O11" s="4">
        <f>'BNVFE-ships-psgr'!M5</f>
        <v>1.0049397002369565E-5</v>
      </c>
      <c r="P11" s="4">
        <f>'BNVFE-ships-psgr'!N5</f>
        <v>1.0049397002369565E-5</v>
      </c>
      <c r="Q11" s="4">
        <f>'BNVFE-ships-psgr'!O5</f>
        <v>1.0049397002369565E-5</v>
      </c>
      <c r="R11" s="4">
        <f>'BNVFE-ships-psgr'!P5</f>
        <v>1.0049397002369565E-5</v>
      </c>
      <c r="S11" s="4">
        <f>'BNVFE-ships-psgr'!Q5</f>
        <v>1.0049397002369565E-5</v>
      </c>
      <c r="T11" s="4">
        <f>'BNVFE-ships-psgr'!R5</f>
        <v>1.0049397002369565E-5</v>
      </c>
      <c r="U11" s="4">
        <f>'BNVFE-ships-psgr'!S5</f>
        <v>1.0049397002369565E-5</v>
      </c>
      <c r="V11" s="4">
        <f>'BNVFE-ships-psgr'!T5</f>
        <v>1.0049397002369565E-5</v>
      </c>
      <c r="W11" s="4">
        <f>'BNVFE-ships-psgr'!U5</f>
        <v>1.0049397002369565E-5</v>
      </c>
      <c r="X11" s="4">
        <f>'BNVFE-ships-psgr'!V5</f>
        <v>1.0049397002369565E-5</v>
      </c>
      <c r="Y11" s="4">
        <f>'BNVFE-ships-psgr'!W5</f>
        <v>1.0049397002369565E-5</v>
      </c>
      <c r="Z11" s="4">
        <f>'BNVFE-ships-psgr'!X5</f>
        <v>1.0049397002369565E-5</v>
      </c>
      <c r="AA11" s="4">
        <f>'BNVFE-ships-psgr'!Y5</f>
        <v>1.0049397002369565E-5</v>
      </c>
      <c r="AB11" s="4">
        <f>'BNVFE-ships-psgr'!Z5</f>
        <v>1.0049397002369565E-5</v>
      </c>
      <c r="AC11" s="4">
        <f>'BNVFE-ships-psgr'!AA5</f>
        <v>1.0049397002369565E-5</v>
      </c>
      <c r="AD11" s="4">
        <f>'BNVFE-ships-psgr'!AB5</f>
        <v>1.0049397002369565E-5</v>
      </c>
      <c r="AE11" s="4">
        <f>'BNVFE-ships-psgr'!AC5</f>
        <v>1.0049397002369565E-5</v>
      </c>
      <c r="AF11" s="4">
        <f>'BNVFE-ships-psgr'!AD5</f>
        <v>1.0049397002369565E-5</v>
      </c>
      <c r="AG11" s="4">
        <f>'BNVFE-ships-psgr'!AE5</f>
        <v>1.0049397002369565E-5</v>
      </c>
      <c r="AH11" s="4">
        <f>'BNVFE-ships-psgr'!AF5</f>
        <v>1.0049397002369565E-5</v>
      </c>
      <c r="AI11" s="4"/>
      <c r="AJ11" s="4"/>
      <c r="AK11" s="4"/>
    </row>
    <row r="12" spans="1:37">
      <c r="A12" t="s">
        <v>867</v>
      </c>
      <c r="B12" t="s">
        <v>865</v>
      </c>
      <c r="C12" t="s">
        <v>115</v>
      </c>
      <c r="D12" s="4">
        <f>'BNVFE-ships-frgt'!B5</f>
        <v>4.9715257056265547E-3</v>
      </c>
      <c r="E12" s="4">
        <f>'BNVFE-ships-frgt'!C5</f>
        <v>4.9715257056265547E-3</v>
      </c>
      <c r="F12" s="4">
        <f>'BNVFE-ships-frgt'!D5</f>
        <v>4.9715257056265547E-3</v>
      </c>
      <c r="G12" s="4">
        <f>'BNVFE-ships-frgt'!E5</f>
        <v>4.9715257056265547E-3</v>
      </c>
      <c r="H12" s="4">
        <f>'BNVFE-ships-frgt'!F5</f>
        <v>4.9715257056265547E-3</v>
      </c>
      <c r="I12" s="4">
        <f>'BNVFE-ships-frgt'!G5</f>
        <v>4.9715257056265547E-3</v>
      </c>
      <c r="J12" s="4">
        <f>'BNVFE-ships-frgt'!H5</f>
        <v>4.9715257056265547E-3</v>
      </c>
      <c r="K12" s="4">
        <f>'BNVFE-ships-frgt'!I5</f>
        <v>4.9715257056265547E-3</v>
      </c>
      <c r="L12" s="4">
        <f>'BNVFE-ships-frgt'!J5</f>
        <v>4.9715257056265547E-3</v>
      </c>
      <c r="M12" s="4">
        <f>'BNVFE-ships-frgt'!K5</f>
        <v>4.9715257056265547E-3</v>
      </c>
      <c r="N12" s="4">
        <f>'BNVFE-ships-frgt'!L5</f>
        <v>4.9715257056265547E-3</v>
      </c>
      <c r="O12" s="4">
        <f>'BNVFE-ships-frgt'!M5</f>
        <v>4.9715257056265547E-3</v>
      </c>
      <c r="P12" s="4">
        <f>'BNVFE-ships-frgt'!N5</f>
        <v>4.9715257056265547E-3</v>
      </c>
      <c r="Q12" s="4">
        <f>'BNVFE-ships-frgt'!O5</f>
        <v>4.9715257056265547E-3</v>
      </c>
      <c r="R12" s="4">
        <f>'BNVFE-ships-frgt'!P5</f>
        <v>4.9715257056265547E-3</v>
      </c>
      <c r="S12" s="4">
        <f>'BNVFE-ships-frgt'!Q5</f>
        <v>4.9715257056265547E-3</v>
      </c>
      <c r="T12" s="4">
        <f>'BNVFE-ships-frgt'!R5</f>
        <v>4.9715257056265547E-3</v>
      </c>
      <c r="U12" s="4">
        <f>'BNVFE-ships-frgt'!S5</f>
        <v>4.9715257056265547E-3</v>
      </c>
      <c r="V12" s="4">
        <f>'BNVFE-ships-frgt'!T5</f>
        <v>4.9715257056265547E-3</v>
      </c>
      <c r="W12" s="4">
        <f>'BNVFE-ships-frgt'!U5</f>
        <v>4.9715257056265547E-3</v>
      </c>
      <c r="X12" s="4">
        <f>'BNVFE-ships-frgt'!V5</f>
        <v>4.9715257056265547E-3</v>
      </c>
      <c r="Y12" s="4">
        <f>'BNVFE-ships-frgt'!W5</f>
        <v>4.9715257056265547E-3</v>
      </c>
      <c r="Z12" s="4">
        <f>'BNVFE-ships-frgt'!X5</f>
        <v>4.9715257056265547E-3</v>
      </c>
      <c r="AA12" s="4">
        <f>'BNVFE-ships-frgt'!Y5</f>
        <v>4.9715257056265547E-3</v>
      </c>
      <c r="AB12" s="4">
        <f>'BNVFE-ships-frgt'!Z5</f>
        <v>4.9715257056265547E-3</v>
      </c>
      <c r="AC12" s="4">
        <f>'BNVFE-ships-frgt'!AA5</f>
        <v>4.9715257056265547E-3</v>
      </c>
      <c r="AD12" s="4">
        <f>'BNVFE-ships-frgt'!AB5</f>
        <v>4.9715257056265547E-3</v>
      </c>
      <c r="AE12" s="4">
        <f>'BNVFE-ships-frgt'!AC5</f>
        <v>4.9715257056265547E-3</v>
      </c>
      <c r="AF12" s="4">
        <f>'BNVFE-ships-frgt'!AD5</f>
        <v>4.9715257056265547E-3</v>
      </c>
      <c r="AG12" s="4">
        <f>'BNVFE-ships-frgt'!AE5</f>
        <v>4.9715257056265547E-3</v>
      </c>
      <c r="AH12" s="4">
        <f>'BNVFE-ships-frgt'!AF5</f>
        <v>4.9715257056265547E-3</v>
      </c>
      <c r="AI12" s="4"/>
      <c r="AJ12" s="4"/>
      <c r="AK12" s="4"/>
    </row>
    <row r="13" spans="1:37">
      <c r="A13" t="s">
        <v>868</v>
      </c>
      <c r="B13" t="s">
        <v>864</v>
      </c>
      <c r="C13" t="s">
        <v>114</v>
      </c>
      <c r="D13" s="4">
        <f>'BNVFE-motorbikes-psgr'!B4</f>
        <v>1.110710625237613E-3</v>
      </c>
      <c r="E13" s="4">
        <f>'BNVFE-motorbikes-psgr'!C4</f>
        <v>1.110710625237613E-3</v>
      </c>
      <c r="F13" s="4">
        <f>'BNVFE-motorbikes-psgr'!D4</f>
        <v>1.110710625237613E-3</v>
      </c>
      <c r="G13" s="4">
        <f>'BNVFE-motorbikes-psgr'!E4</f>
        <v>1.110710625237613E-3</v>
      </c>
      <c r="H13" s="4">
        <f>'BNVFE-motorbikes-psgr'!F4</f>
        <v>1.110710625237613E-3</v>
      </c>
      <c r="I13" s="4">
        <f>'BNVFE-motorbikes-psgr'!G4</f>
        <v>1.110710625237613E-3</v>
      </c>
      <c r="J13" s="4">
        <f>'BNVFE-motorbikes-psgr'!H4</f>
        <v>1.110710625237613E-3</v>
      </c>
      <c r="K13" s="4">
        <f>'BNVFE-motorbikes-psgr'!I4</f>
        <v>1.110710625237613E-3</v>
      </c>
      <c r="L13" s="4">
        <f>'BNVFE-motorbikes-psgr'!J4</f>
        <v>1.110710625237613E-3</v>
      </c>
      <c r="M13" s="4">
        <f>'BNVFE-motorbikes-psgr'!K4</f>
        <v>1.110710625237613E-3</v>
      </c>
      <c r="N13" s="4">
        <f>'BNVFE-motorbikes-psgr'!L4</f>
        <v>1.110710625237613E-3</v>
      </c>
      <c r="O13" s="4">
        <f>'BNVFE-motorbikes-psgr'!M4</f>
        <v>1.110710625237613E-3</v>
      </c>
      <c r="P13" s="4">
        <f>'BNVFE-motorbikes-psgr'!N4</f>
        <v>1.110710625237613E-3</v>
      </c>
      <c r="Q13" s="4">
        <f>'BNVFE-motorbikes-psgr'!O4</f>
        <v>1.110710625237613E-3</v>
      </c>
      <c r="R13" s="4">
        <f>'BNVFE-motorbikes-psgr'!P4</f>
        <v>1.110710625237613E-3</v>
      </c>
      <c r="S13" s="4">
        <f>'BNVFE-motorbikes-psgr'!Q4</f>
        <v>1.110710625237613E-3</v>
      </c>
      <c r="T13" s="4">
        <f>'BNVFE-motorbikes-psgr'!R4</f>
        <v>1.110710625237613E-3</v>
      </c>
      <c r="U13" s="4">
        <f>'BNVFE-motorbikes-psgr'!S4</f>
        <v>1.110710625237613E-3</v>
      </c>
      <c r="V13" s="4">
        <f>'BNVFE-motorbikes-psgr'!T4</f>
        <v>1.110710625237613E-3</v>
      </c>
      <c r="W13" s="4">
        <f>'BNVFE-motorbikes-psgr'!U4</f>
        <v>1.110710625237613E-3</v>
      </c>
      <c r="X13" s="4">
        <f>'BNVFE-motorbikes-psgr'!V4</f>
        <v>1.110710625237613E-3</v>
      </c>
      <c r="Y13" s="4">
        <f>'BNVFE-motorbikes-psgr'!W4</f>
        <v>1.110710625237613E-3</v>
      </c>
      <c r="Z13" s="4">
        <f>'BNVFE-motorbikes-psgr'!X4</f>
        <v>1.110710625237613E-3</v>
      </c>
      <c r="AA13" s="4">
        <f>'BNVFE-motorbikes-psgr'!Y4</f>
        <v>1.110710625237613E-3</v>
      </c>
      <c r="AB13" s="4">
        <f>'BNVFE-motorbikes-psgr'!Z4</f>
        <v>1.110710625237613E-3</v>
      </c>
      <c r="AC13" s="4">
        <f>'BNVFE-motorbikes-psgr'!AA4</f>
        <v>1.110710625237613E-3</v>
      </c>
      <c r="AD13" s="4">
        <f>'BNVFE-motorbikes-psgr'!AB4</f>
        <v>1.110710625237613E-3</v>
      </c>
      <c r="AE13" s="4">
        <f>'BNVFE-motorbikes-psgr'!AC4</f>
        <v>1.110710625237613E-3</v>
      </c>
      <c r="AF13" s="4">
        <f>'BNVFE-motorbikes-psgr'!AD4</f>
        <v>1.110710625237613E-3</v>
      </c>
      <c r="AG13" s="4">
        <f>'BNVFE-motorbikes-psgr'!AE4</f>
        <v>1.110710625237613E-3</v>
      </c>
      <c r="AH13" s="4">
        <f>'BNVFE-motorbikes-psgr'!AF4</f>
        <v>1.110710625237613E-3</v>
      </c>
      <c r="AI13" s="4"/>
      <c r="AJ13" s="4"/>
      <c r="AK13" s="4"/>
    </row>
    <row r="14" spans="1:37">
      <c r="A14" t="s">
        <v>868</v>
      </c>
      <c r="B14" t="s">
        <v>865</v>
      </c>
      <c r="C14" t="s">
        <v>114</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c r="AF14">
        <f>'BNVFE-motorbikes-frgt'!AD4</f>
        <v>0</v>
      </c>
      <c r="AG14">
        <f>'BNVFE-motorbikes-frgt'!AE4</f>
        <v>0</v>
      </c>
      <c r="AH14">
        <f>'BNVFE-motorbikes-frgt'!AF4</f>
        <v>0</v>
      </c>
    </row>
    <row r="30" spans="4:8">
      <c r="D30" s="64"/>
      <c r="E30" s="64"/>
      <c r="F30" s="64"/>
      <c r="G30" s="64"/>
      <c r="H30" s="64"/>
    </row>
    <row r="31" spans="4:8">
      <c r="D31" s="64"/>
      <c r="E31" s="64"/>
      <c r="F31" s="64"/>
      <c r="G31" s="64"/>
      <c r="H31" s="64"/>
    </row>
    <row r="32" spans="4:8">
      <c r="D32" s="64"/>
      <c r="E32" s="64"/>
      <c r="F32" s="64"/>
      <c r="G32" s="64"/>
      <c r="H32" s="64"/>
    </row>
    <row r="33" spans="3:8">
      <c r="D33" s="64"/>
      <c r="E33" s="64"/>
      <c r="F33" s="64"/>
      <c r="G33" s="64"/>
      <c r="H33" s="64"/>
    </row>
    <row r="34" spans="3:8">
      <c r="C34" s="122"/>
      <c r="D34" s="123"/>
      <c r="E34" s="123"/>
      <c r="F34" s="123"/>
      <c r="G34" s="123"/>
      <c r="H34" s="123"/>
    </row>
    <row r="35" spans="3:8">
      <c r="C35" s="59"/>
      <c r="D35" s="120"/>
      <c r="E35" s="120"/>
      <c r="F35" s="120"/>
      <c r="G35" s="120"/>
      <c r="H35" s="120"/>
    </row>
    <row r="36" spans="3:8">
      <c r="D36" s="64"/>
      <c r="E36" s="64"/>
      <c r="F36" s="64"/>
      <c r="G36" s="64"/>
      <c r="H36" s="64"/>
    </row>
    <row r="37" spans="3:8">
      <c r="D37" s="64"/>
      <c r="E37" s="64"/>
      <c r="F37" s="64"/>
      <c r="G37" s="64"/>
      <c r="H37" s="64"/>
    </row>
    <row r="38" spans="3:8">
      <c r="D38" s="64"/>
      <c r="E38" s="64"/>
      <c r="F38" s="64"/>
      <c r="G38" s="64"/>
      <c r="H38" s="64"/>
    </row>
    <row r="39" spans="3:8">
      <c r="D39" s="64"/>
      <c r="E39" s="64"/>
      <c r="F39" s="64"/>
      <c r="G39" s="64"/>
      <c r="H39" s="64"/>
    </row>
    <row r="40" spans="3:8">
      <c r="D40" s="64"/>
      <c r="E40" s="64"/>
      <c r="F40" s="64"/>
      <c r="G40" s="64"/>
      <c r="H40" s="64"/>
    </row>
    <row r="41" spans="3:8">
      <c r="D41" s="64"/>
    </row>
    <row r="42" spans="3:8">
      <c r="D42" s="64"/>
    </row>
    <row r="43" spans="3:8">
      <c r="D43" s="64"/>
    </row>
    <row r="44" spans="3:8">
      <c r="D44" s="64"/>
    </row>
    <row r="45" spans="3:8">
      <c r="D45" s="64"/>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23D878-71B5-40EA-B470-F1581FC762BB}"/>
</file>

<file path=customXml/itemProps2.xml><?xml version="1.0" encoding="utf-8"?>
<ds:datastoreItem xmlns:ds="http://schemas.openxmlformats.org/officeDocument/2006/customXml" ds:itemID="{B5A797A8-BE26-49A4-A578-5EAA5A38B8B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23</vt:i4>
      </vt:variant>
    </vt:vector>
  </HeadingPairs>
  <TitlesOfParts>
    <vt:vector size="56" baseType="lpstr">
      <vt:lpstr>About</vt:lpstr>
      <vt:lpstr>AEO 7</vt:lpstr>
      <vt:lpstr>AEO 7 (2020)</vt:lpstr>
      <vt:lpstr>AEO 35</vt:lpstr>
      <vt:lpstr>AEO 36</vt:lpstr>
      <vt:lpstr>AEO 38</vt:lpstr>
      <vt:lpstr>AEO 40</vt:lpstr>
      <vt:lpstr>AEO 44</vt:lpstr>
      <vt:lpstr>AEO 47</vt:lpstr>
      <vt:lpstr>AEO 48</vt:lpstr>
      <vt:lpstr>AEO 49</vt:lpstr>
      <vt:lpstr>AEO 49 (2020)</vt:lpstr>
      <vt:lpstr>psgr LDVs</vt:lpstr>
      <vt:lpstr>NTS 1-40</vt:lpstr>
      <vt:lpstr>NRBS 40</vt:lpstr>
      <vt:lpstr>NAP F28</vt:lpstr>
      <vt:lpstr>SYFAFE-passenger</vt:lpstr>
      <vt:lpstr>SYFAFE-freight</vt:lpstr>
      <vt:lpstr>Fuel Economy Stds</vt:lpstr>
      <vt:lpstr>Calculations Etc</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Diesel_FE_2024</vt:lpstr>
      <vt:lpstr>Diesel_Sales_2024</vt:lpstr>
      <vt:lpstr>EV_FE_2024</vt:lpstr>
      <vt:lpstr>EV_Sales_2024</vt:lpstr>
      <vt:lpstr>Fuel_Economies</vt:lpstr>
      <vt:lpstr>Gasoline_Sales_2024</vt:lpstr>
      <vt:lpstr>Hydg_FE_2024</vt:lpstr>
      <vt:lpstr>Hydg_Sales_2024</vt:lpstr>
      <vt:lpstr>LPG_FE_2024</vt:lpstr>
      <vt:lpstr>LPG_Sales_2024</vt:lpstr>
      <vt:lpstr>NG_FE_2024</vt:lpstr>
      <vt:lpstr>NG_Sales_2024</vt:lpstr>
      <vt:lpstr>NTS_YR</vt:lpstr>
      <vt:lpstr>PHEV_FE_2024</vt:lpstr>
      <vt:lpstr>PHEV_Sales_2024</vt:lpstr>
      <vt:lpstr>Sales</vt:lpstr>
      <vt:lpstr>Sales_2024</vt:lpstr>
      <vt:lpstr>Sales_2025</vt:lpstr>
      <vt:lpstr>Sales_2026</vt:lpstr>
      <vt:lpstr>Sales_2027</vt:lpstr>
      <vt:lpstr>Sales_2028</vt:lpstr>
      <vt:lpstr>Sales_2029</vt:lpstr>
      <vt:lpstr>Standards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Megan Mahajan</cp:lastModifiedBy>
  <dcterms:created xsi:type="dcterms:W3CDTF">2017-06-26T22:04:22Z</dcterms:created>
  <dcterms:modified xsi:type="dcterms:W3CDTF">2022-06-15T17:32:06Z</dcterms:modified>
</cp:coreProperties>
</file>