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geoeng/0 New to v3/DACD/"/>
    </mc:Choice>
  </mc:AlternateContent>
  <xr:revisionPtr revIDLastSave="1" documentId="13_ncr:1_{71B4DA15-A5FF-4D91-BA4E-A5CD251C9157}" xr6:coauthVersionLast="47" xr6:coauthVersionMax="47" xr10:uidLastSave="{06188A16-48D8-C344-821A-785111223F1C}"/>
  <bookViews>
    <workbookView xWindow="29020" yWindow="500" windowWidth="28800" windowHeight="17500" xr2:uid="{00000000-000D-0000-FFFF-FFFF00000000}"/>
  </bookViews>
  <sheets>
    <sheet name="About" sheetId="1" r:id="rId1"/>
    <sheet name="CDR potential" sheetId="7" r:id="rId2"/>
    <sheet name="Data" sheetId="2" r:id="rId3"/>
    <sheet name="DACD-potential" sheetId="3" r:id="rId4"/>
    <sheet name="DACD-energyintensity" sheetId="5" r:id="rId5"/>
    <sheet name="DACD-cape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5" l="1"/>
  <c r="C34" i="2"/>
  <c r="C35" i="2"/>
  <c r="B35" i="2"/>
  <c r="B34" i="2"/>
  <c r="Z2" i="3" l="1" a="1"/>
  <c r="Z2" i="3" s="1"/>
  <c r="AA2" i="3" a="1"/>
  <c r="AA2" i="3" s="1"/>
  <c r="AB2" i="3" a="1"/>
  <c r="AB2" i="3" s="1"/>
  <c r="AC2" i="3" a="1"/>
  <c r="AC2" i="3" s="1"/>
  <c r="AD2" i="3" a="1"/>
  <c r="AD2" i="3" s="1"/>
  <c r="AE2" i="3" a="1"/>
  <c r="AE2" i="3" s="1"/>
  <c r="AF2" i="3" a="1"/>
  <c r="AF2" i="3" s="1"/>
  <c r="AG2" i="3" a="1"/>
  <c r="AG2" i="3" s="1"/>
  <c r="AH2" i="3" a="1"/>
  <c r="AH2" i="3" s="1"/>
  <c r="AI2" i="3" a="1"/>
  <c r="AI2" i="3" s="1"/>
  <c r="Y2" i="3" a="1"/>
  <c r="Y2" i="3" s="1"/>
  <c r="P2" i="3" a="1"/>
  <c r="P2" i="3" s="1"/>
  <c r="Q2" i="3" a="1"/>
  <c r="Q2" i="3" s="1"/>
  <c r="R2" i="3" a="1"/>
  <c r="R2" i="3" s="1"/>
  <c r="S2" i="3" a="1"/>
  <c r="S2" i="3"/>
  <c r="T2" i="3" a="1"/>
  <c r="T2" i="3" s="1"/>
  <c r="U2" i="3" a="1"/>
  <c r="U2" i="3" s="1"/>
  <c r="V2" i="3" a="1"/>
  <c r="V2" i="3" s="1"/>
  <c r="W2" i="3" a="1"/>
  <c r="W2" i="3"/>
  <c r="X2" i="3" a="1"/>
  <c r="X2" i="3" s="1"/>
  <c r="O2" i="3" a="1"/>
  <c r="O2" i="3" s="1"/>
  <c r="C2" i="3" a="1"/>
  <c r="C2" i="3"/>
  <c r="D2" i="3" a="1"/>
  <c r="D2" i="3" s="1"/>
  <c r="E2" i="3" a="1"/>
  <c r="E2" i="3"/>
  <c r="F2" i="3" a="1"/>
  <c r="F2" i="3" s="1"/>
  <c r="G2" i="3" a="1"/>
  <c r="G2" i="3"/>
  <c r="H2" i="3" a="1"/>
  <c r="H2" i="3" s="1"/>
  <c r="I2" i="3" a="1"/>
  <c r="I2" i="3"/>
  <c r="J2" i="3" a="1"/>
  <c r="J2" i="3" s="1"/>
  <c r="K2" i="3" a="1"/>
  <c r="K2" i="3"/>
  <c r="L2" i="3" a="1"/>
  <c r="L2" i="3" s="1"/>
  <c r="M2" i="3" a="1"/>
  <c r="M2" i="3" s="1"/>
  <c r="N2" i="3" a="1"/>
  <c r="N2" i="3" s="1"/>
  <c r="B2" i="3" a="1"/>
  <c r="B2" i="3" s="1"/>
  <c r="E17" i="7"/>
  <c r="D17" i="7"/>
  <c r="B6" i="7"/>
  <c r="B7" i="7"/>
  <c r="D3" i="5" l="1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C3" i="5"/>
  <c r="C5" i="5"/>
  <c r="C6" i="5"/>
  <c r="C7" i="5"/>
  <c r="C8" i="5"/>
  <c r="C9" i="5"/>
  <c r="C10" i="5"/>
  <c r="C11" i="5"/>
  <c r="K2" i="5" l="1"/>
  <c r="S2" i="5"/>
  <c r="AA2" i="5"/>
  <c r="AI2" i="5"/>
  <c r="F2" i="5"/>
  <c r="N2" i="5"/>
  <c r="V2" i="5"/>
  <c r="W2" i="5"/>
  <c r="D2" i="5"/>
  <c r="L2" i="5"/>
  <c r="T2" i="5"/>
  <c r="AB2" i="5"/>
  <c r="C2" i="5"/>
  <c r="AD2" i="5"/>
  <c r="G2" i="5"/>
  <c r="AE2" i="5"/>
  <c r="Q2" i="5"/>
  <c r="R2" i="5"/>
  <c r="E2" i="5"/>
  <c r="M2" i="5"/>
  <c r="U2" i="5"/>
  <c r="AC2" i="5"/>
  <c r="O2" i="5"/>
  <c r="Y2" i="5"/>
  <c r="Z2" i="5"/>
  <c r="J2" i="5"/>
  <c r="AH2" i="5"/>
  <c r="H2" i="5"/>
  <c r="P2" i="5"/>
  <c r="X2" i="5"/>
  <c r="AF2" i="5"/>
  <c r="I2" i="5"/>
  <c r="AG2" i="5"/>
  <c r="B2" i="6"/>
  <c r="K4" i="5" l="1"/>
  <c r="S4" i="5"/>
  <c r="AA4" i="5"/>
  <c r="AI4" i="5"/>
  <c r="F4" i="5"/>
  <c r="W4" i="5"/>
  <c r="AH4" i="5"/>
  <c r="D4" i="5"/>
  <c r="L4" i="5"/>
  <c r="T4" i="5"/>
  <c r="AB4" i="5"/>
  <c r="N4" i="5"/>
  <c r="O4" i="5"/>
  <c r="J4" i="5"/>
  <c r="E4" i="5"/>
  <c r="M4" i="5"/>
  <c r="U4" i="5"/>
  <c r="AC4" i="5"/>
  <c r="C4" i="5"/>
  <c r="V4" i="5"/>
  <c r="G4" i="5"/>
  <c r="AD4" i="5"/>
  <c r="AE4" i="5"/>
  <c r="Q4" i="5"/>
  <c r="Z4" i="5"/>
  <c r="H4" i="5"/>
  <c r="P4" i="5"/>
  <c r="X4" i="5"/>
  <c r="AF4" i="5"/>
  <c r="I4" i="5"/>
  <c r="Y4" i="5"/>
  <c r="AG4" i="5"/>
  <c r="R4" i="5"/>
  <c r="D2" i="6"/>
  <c r="L2" i="6"/>
  <c r="T2" i="6"/>
  <c r="AB2" i="6"/>
  <c r="C2" i="6"/>
  <c r="O2" i="6"/>
  <c r="X2" i="6"/>
  <c r="AA2" i="6"/>
  <c r="E2" i="6"/>
  <c r="M2" i="6"/>
  <c r="U2" i="6"/>
  <c r="AC2" i="6"/>
  <c r="AE2" i="6"/>
  <c r="P2" i="6"/>
  <c r="S2" i="6"/>
  <c r="F2" i="6"/>
  <c r="N2" i="6"/>
  <c r="V2" i="6"/>
  <c r="AD2" i="6"/>
  <c r="W2" i="6"/>
  <c r="H2" i="6"/>
  <c r="K2" i="6"/>
  <c r="G2" i="6"/>
  <c r="AF2" i="6"/>
  <c r="I2" i="6"/>
  <c r="Q2" i="6"/>
  <c r="Y2" i="6"/>
  <c r="AG2" i="6"/>
  <c r="J2" i="6"/>
  <c r="R2" i="6"/>
  <c r="Z2" i="6"/>
  <c r="AH2" i="6"/>
  <c r="AI2" i="6"/>
  <c r="B85" i="2"/>
  <c r="B76" i="2"/>
  <c r="C76" i="2"/>
  <c r="D76" i="2"/>
  <c r="E76" i="2"/>
  <c r="F76" i="2"/>
  <c r="G76" i="2"/>
  <c r="H76" i="2"/>
  <c r="C75" i="2"/>
  <c r="C89" i="2" s="1"/>
  <c r="C94" i="2" s="1"/>
  <c r="D75" i="2"/>
  <c r="E75" i="2"/>
  <c r="F75" i="2"/>
  <c r="G75" i="2"/>
  <c r="H75" i="2"/>
  <c r="B75" i="2"/>
  <c r="E90" i="2" l="1"/>
  <c r="E95" i="2" s="1"/>
  <c r="D89" i="2"/>
  <c r="D94" i="2" s="1"/>
  <c r="D90" i="2"/>
  <c r="D95" i="2" s="1"/>
  <c r="B90" i="2"/>
  <c r="B95" i="2" s="1"/>
  <c r="C90" i="2"/>
  <c r="C95" i="2" s="1"/>
  <c r="F89" i="2"/>
  <c r="F94" i="2" s="1"/>
  <c r="E89" i="2"/>
  <c r="E94" i="2" s="1"/>
  <c r="H90" i="2"/>
  <c r="H95" i="2" s="1"/>
  <c r="B89" i="2"/>
  <c r="B94" i="2" s="1"/>
  <c r="G90" i="2"/>
  <c r="G95" i="2" s="1"/>
  <c r="H89" i="2"/>
  <c r="H94" i="2" s="1"/>
  <c r="F90" i="2"/>
  <c r="F95" i="2" s="1"/>
  <c r="G89" i="2"/>
  <c r="G9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<sst xmlns="http://schemas.openxmlformats.org/spreadsheetml/2006/main" count="124" uniqueCount="106">
  <si>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</si>
  <si>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</si>
  <si>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</si>
  <si>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</si>
  <si>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</si>
  <si>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</si>
  <si>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</si>
  <si>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</si>
  <si>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</si>
  <si>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</si>
  <si>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</si>
  <si>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</si>
  <si>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</si>
  <si>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</si>
  <si>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</si>
  <si>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</si>
  <si>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</si>
  <si>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</si>
  <si>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</si>
  <si>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</si>
  <si>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</si>
  <si>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</si>
  <si>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</si>
  <si>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</si>
  <si>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</si>
  <si>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</si>
  <si>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</si>
  <si>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</si>
  <si>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</si>
  <si>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</si>
  <si>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</si>
  <si>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</si>
  <si>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</si>
  <si>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</si>
  <si>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</si>
  <si>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</si>
  <si>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</si>
  <si>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</si>
  <si>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</si>
  <si>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</si>
  <si>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</si>
  <si>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</si>
  <si>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</si>
  <si>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</si>
  <si>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</si>
  <si>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</si>
  <si>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</si>
  <si>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</si>
  <si>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</si>
  <si>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</si>
  <si>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</si>
  <si>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</si>
  <si>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</si>
  <si>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</si>
  <si>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</si>
  <si>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</si>
  <si>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</si>
  <si>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</si>
  <si>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</si>
  <si>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</si>
  <si>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</si>
  <si>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</si>
  <si>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</si>
  <si>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</si>
  <si>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</si>
  <si>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</si>
  <si>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</si>
  <si>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</si>
  <si>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</si>
  <si>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</si>
  <si>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</si>
  <si>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</si>
  <si>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</si>
  <si>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</si>
  <si>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</si>
  <si>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</si>
  <si>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</si>
  <si>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</si>
  <si>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Department of State</t>
  </si>
  <si>
    <t>The Long-Term Strategy of the United States: Pathways to Net-Zero Greenhouse Gas Emissions by 2050</t>
  </si>
  <si>
    <t>https://www.whitehouse.gov/wp-content/uploads/2021/10/US-Long-Term-Strategy.pdf</t>
  </si>
  <si>
    <t>Figure 17</t>
  </si>
  <si>
    <t>pixels per 1.25 Gt</t>
  </si>
  <si>
    <t>2050 potential (Gt)</t>
  </si>
  <si>
    <t xml:space="preserve">*To be conservative, we choose to measure </t>
  </si>
  <si>
    <t>to the upper range of the CDR range. CDR</t>
  </si>
  <si>
    <t>in this report includes DAC as well as several</t>
  </si>
  <si>
    <t xml:space="preserve">other potential forms of geoengineering, </t>
  </si>
  <si>
    <t>meaning it is best to report the conservative</t>
  </si>
  <si>
    <t>potential.</t>
  </si>
  <si>
    <t>Potential</t>
  </si>
  <si>
    <t>Energy Intensity and CapEx Data</t>
  </si>
  <si>
    <t xml:space="preserve">We use the US Long-Term Strategy to project DAC potential and a </t>
  </si>
  <si>
    <t xml:space="preserve">separate source for energy intensity and CapEx calculations. </t>
  </si>
  <si>
    <t>pixels to upper range, 2050</t>
  </si>
  <si>
    <t>pixels to upper range, 2030</t>
  </si>
  <si>
    <t>pixels to upper range, 2040</t>
  </si>
  <si>
    <t>2040 potential (Gt)</t>
  </si>
  <si>
    <t>potential</t>
  </si>
  <si>
    <t>see: https://www.wri.org/insights/direct-air-capture-resource-considerations-and-costs-carbon-removal, Status of the Leading DAC Companies.</t>
  </si>
  <si>
    <t>However, the largest currently operating DAC facilities use solid sorbent systems and utilize non-fossil resources at low heat (80-120 C),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</si>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</sst>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wrapText="1"/>
    </xf>
    <xf numFmtId="166" fontId="0" fillId="0" borderId="0" xfId="0" applyNumberFormat="1"/>
    <xf numFmtId="0" fontId="1" fillId="0" borderId="0" xfId="0" applyFont="1" applyAlignment="1">
      <alignment wrapText="1"/>
    </xf>
    <xf numFmtId="9" fontId="0" fillId="0" borderId="0" xfId="2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69850</xdr:rowOff>
    </xdr:from>
    <xdr:to>
      <xdr:col>9</xdr:col>
      <xdr:colOff>431800</xdr:colOff>
      <xdr:row>13</xdr:row>
      <xdr:rowOff>39843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C0E2F-CA4E-E532-7415-0FCBA5E2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3900" y="69850"/>
          <a:ext cx="3676650" cy="2916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87608"/>
          <a:ext cx="5002696" cy="3414851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7066" y="7567130"/>
          <a:ext cx="782430" cy="50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hitehouse.gov/wp-content/uploads/2021/10/US-Long-Term-Strategy.pdf" TargetMode="External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11.1640625" customWidth="1"/>
    <col min="2" max="2" width="47.1640625" customWidth="1"/>
  </cols>
  <sheetData>
    <row r="1" spans="1:2" x14ac:dyDescent="0.2">
      <c r="A1" s="1" t="s">
        <v>70</v>
      </c>
    </row>
    <row r="2" spans="1:2" x14ac:dyDescent="0.2">
      <c r="A2" s="1" t="s">
        <v>71</v>
      </c>
    </row>
    <row r="3" spans="1:2" x14ac:dyDescent="0.2">
      <c r="A3" s="1" t="s">
        <v>74</v>
      </c>
    </row>
    <row r="5" spans="1:2" x14ac:dyDescent="0.2">
      <c r="A5" s="1" t="s">
        <v>0</v>
      </c>
      <c r="B5" s="4" t="s">
        <v>90</v>
      </c>
    </row>
    <row r="6" spans="1:2" x14ac:dyDescent="0.2">
      <c r="B6" t="s">
        <v>78</v>
      </c>
    </row>
    <row r="7" spans="1:2" x14ac:dyDescent="0.2">
      <c r="B7" s="6">
        <v>2021</v>
      </c>
    </row>
    <row r="8" spans="1:2" ht="32" x14ac:dyDescent="0.2">
      <c r="B8" s="15" t="s">
        <v>79</v>
      </c>
    </row>
    <row r="9" spans="1:2" x14ac:dyDescent="0.2">
      <c r="B9" s="5" t="s">
        <v>80</v>
      </c>
    </row>
    <row r="10" spans="1:2" x14ac:dyDescent="0.2">
      <c r="B10" t="s">
        <v>81</v>
      </c>
    </row>
    <row r="12" spans="1:2" x14ac:dyDescent="0.2">
      <c r="B12" s="4" t="s">
        <v>91</v>
      </c>
    </row>
    <row r="13" spans="1:2" x14ac:dyDescent="0.2">
      <c r="B13" t="s">
        <v>14</v>
      </c>
    </row>
    <row r="14" spans="1:2" x14ac:dyDescent="0.2">
      <c r="B14" s="6">
        <v>2019</v>
      </c>
    </row>
    <row r="15" spans="1:2" x14ac:dyDescent="0.2">
      <c r="B15" t="s">
        <v>16</v>
      </c>
    </row>
    <row r="16" spans="1:2" x14ac:dyDescent="0.2">
      <c r="B16" s="5" t="s">
        <v>15</v>
      </c>
    </row>
    <row r="17" spans="1:2" x14ac:dyDescent="0.2">
      <c r="B17" t="s">
        <v>17</v>
      </c>
    </row>
    <row r="18" spans="1:2" x14ac:dyDescent="0.2">
      <c r="B18" s="5" t="s">
        <v>18</v>
      </c>
    </row>
    <row r="19" spans="1:2" x14ac:dyDescent="0.2">
      <c r="B19" t="s">
        <v>19</v>
      </c>
    </row>
    <row r="21" spans="1:2" x14ac:dyDescent="0.2">
      <c r="A21" s="1" t="s">
        <v>58</v>
      </c>
    </row>
    <row r="22" spans="1:2" x14ac:dyDescent="0.2">
      <c r="A22" t="s">
        <v>92</v>
      </c>
    </row>
    <row r="23" spans="1:2" x14ac:dyDescent="0.2">
      <c r="A23" t="s">
        <v>93</v>
      </c>
    </row>
    <row r="25" spans="1:2" x14ac:dyDescent="0.2">
      <c r="A25" s="1" t="s">
        <v>77</v>
      </c>
    </row>
    <row r="26" spans="1:2" x14ac:dyDescent="0.2">
      <c r="A26" t="s">
        <v>75</v>
      </c>
    </row>
    <row r="27" spans="1:2" x14ac:dyDescent="0.2">
      <c r="A27" t="s">
        <v>76</v>
      </c>
    </row>
  </sheetData>
  <hyperlinks>
    <hyperlink ref="B16" r:id="rId1" xr:uid="{1B7B203B-1F27-4F66-8D85-059A5F09A136}"/>
    <hyperlink ref="B18" r:id="rId2" xr:uid="{1148D792-FF18-4C25-9D22-BDCFE3F34969}"/>
    <hyperlink ref="B9" r:id="rId3" xr:uid="{A392B649-0E84-AF42-9195-16E27B3C3451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6B8D-FB10-40CA-B025-270C2E82347D}">
  <dimension ref="A1:E17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20.33203125" customWidth="1"/>
    <col min="4" max="5" width="11.83203125" bestFit="1" customWidth="1"/>
  </cols>
  <sheetData>
    <row r="1" spans="1:5" x14ac:dyDescent="0.2">
      <c r="A1" t="s">
        <v>82</v>
      </c>
      <c r="B1">
        <v>56</v>
      </c>
    </row>
    <row r="2" spans="1:5" ht="32" x14ac:dyDescent="0.2">
      <c r="A2" s="15" t="s">
        <v>95</v>
      </c>
      <c r="B2">
        <v>0</v>
      </c>
    </row>
    <row r="3" spans="1:5" ht="32" x14ac:dyDescent="0.2">
      <c r="A3" s="15" t="s">
        <v>96</v>
      </c>
      <c r="B3">
        <v>4</v>
      </c>
    </row>
    <row r="4" spans="1:5" ht="32" x14ac:dyDescent="0.2">
      <c r="A4" s="15" t="s">
        <v>94</v>
      </c>
      <c r="B4">
        <v>16</v>
      </c>
    </row>
    <row r="6" spans="1:5" ht="16" x14ac:dyDescent="0.2">
      <c r="A6" s="15" t="s">
        <v>97</v>
      </c>
      <c r="B6">
        <f>B3/B1*1.25</f>
        <v>8.9285714285714274E-2</v>
      </c>
    </row>
    <row r="7" spans="1:5" x14ac:dyDescent="0.2">
      <c r="A7" t="s">
        <v>83</v>
      </c>
      <c r="B7">
        <f>B4/B1*1.25</f>
        <v>0.3571428571428571</v>
      </c>
    </row>
    <row r="9" spans="1:5" x14ac:dyDescent="0.2">
      <c r="A9" t="s">
        <v>84</v>
      </c>
    </row>
    <row r="10" spans="1:5" x14ac:dyDescent="0.2">
      <c r="A10" t="s">
        <v>85</v>
      </c>
    </row>
    <row r="11" spans="1:5" x14ac:dyDescent="0.2">
      <c r="A11" t="s">
        <v>86</v>
      </c>
    </row>
    <row r="12" spans="1:5" x14ac:dyDescent="0.2">
      <c r="A12" t="s">
        <v>87</v>
      </c>
    </row>
    <row r="13" spans="1:5" x14ac:dyDescent="0.2">
      <c r="A13" t="s">
        <v>88</v>
      </c>
    </row>
    <row r="14" spans="1:5" x14ac:dyDescent="0.2">
      <c r="A14" t="s">
        <v>89</v>
      </c>
    </row>
    <row r="16" spans="1:5" x14ac:dyDescent="0.2">
      <c r="B16">
        <v>2020</v>
      </c>
      <c r="C16">
        <v>2030</v>
      </c>
      <c r="D16">
        <v>2040</v>
      </c>
      <c r="E16">
        <v>2050</v>
      </c>
    </row>
    <row r="17" spans="1:5" x14ac:dyDescent="0.2">
      <c r="A17" t="s">
        <v>98</v>
      </c>
      <c r="B17">
        <v>0</v>
      </c>
      <c r="C17">
        <v>0</v>
      </c>
      <c r="D17">
        <f>B6*10^9</f>
        <v>89285714.285714269</v>
      </c>
      <c r="E17">
        <f>B7*10^9</f>
        <v>357142857.14285707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4" zoomScale="115" zoomScaleNormal="115" workbookViewId="0">
      <selection activeCell="A36" sqref="A36:XFD38"/>
    </sheetView>
  </sheetViews>
  <sheetFormatPr baseColWidth="10" defaultColWidth="8.83203125" defaultRowHeight="15" x14ac:dyDescent="0.2"/>
  <cols>
    <col min="1" max="1" width="33.33203125" customWidth="1"/>
    <col min="2" max="8" width="11.5" customWidth="1"/>
  </cols>
  <sheetData>
    <row r="1" spans="1:7" x14ac:dyDescent="0.2">
      <c r="A1" s="1" t="s">
        <v>13</v>
      </c>
    </row>
    <row r="2" spans="1:7" x14ac:dyDescent="0.2">
      <c r="A2" t="s">
        <v>12</v>
      </c>
    </row>
    <row r="3" spans="1:7" x14ac:dyDescent="0.2">
      <c r="A3" t="s">
        <v>11</v>
      </c>
    </row>
    <row r="5" spans="1:7" x14ac:dyDescent="0.2">
      <c r="A5" t="s">
        <v>24</v>
      </c>
    </row>
    <row r="6" spans="1:7" x14ac:dyDescent="0.2">
      <c r="A6" t="s">
        <v>100</v>
      </c>
    </row>
    <row r="7" spans="1:7" x14ac:dyDescent="0.2">
      <c r="A7" t="s">
        <v>99</v>
      </c>
    </row>
    <row r="8" spans="1:7" x14ac:dyDescent="0.2">
      <c r="A8" t="s">
        <v>101</v>
      </c>
    </row>
    <row r="9" spans="1:7" x14ac:dyDescent="0.2">
      <c r="A9" t="s">
        <v>102</v>
      </c>
    </row>
    <row r="11" spans="1:7" x14ac:dyDescent="0.2">
      <c r="A11" s="1" t="s">
        <v>7</v>
      </c>
    </row>
    <row r="12" spans="1:7" x14ac:dyDescent="0.2">
      <c r="A12" s="13" t="s">
        <v>73</v>
      </c>
      <c r="B12" s="14"/>
      <c r="C12" s="14"/>
      <c r="D12" s="14"/>
      <c r="E12" s="14"/>
      <c r="F12" s="14"/>
      <c r="G12" s="14"/>
    </row>
    <row r="13" spans="1:7" x14ac:dyDescent="0.2">
      <c r="A13" s="2" t="s">
        <v>6</v>
      </c>
      <c r="B13" s="3" t="s">
        <v>4</v>
      </c>
      <c r="C13" s="3" t="s">
        <v>5</v>
      </c>
    </row>
    <row r="14" spans="1:7" x14ac:dyDescent="0.2">
      <c r="A14" s="1" t="s">
        <v>1</v>
      </c>
      <c r="B14">
        <v>300</v>
      </c>
      <c r="C14">
        <v>350</v>
      </c>
    </row>
    <row r="15" spans="1:7" x14ac:dyDescent="0.2">
      <c r="A15" s="1" t="s">
        <v>2</v>
      </c>
      <c r="B15">
        <v>180</v>
      </c>
      <c r="C15">
        <v>200</v>
      </c>
    </row>
    <row r="16" spans="1:7" x14ac:dyDescent="0.2">
      <c r="A16" s="1" t="s">
        <v>3</v>
      </c>
      <c r="B16">
        <v>100</v>
      </c>
      <c r="C16">
        <v>50</v>
      </c>
    </row>
    <row r="18" spans="1:4" x14ac:dyDescent="0.2">
      <c r="A18" s="1" t="s">
        <v>8</v>
      </c>
    </row>
    <row r="19" spans="1:4" x14ac:dyDescent="0.2">
      <c r="A19" s="2" t="s">
        <v>9</v>
      </c>
      <c r="B19" s="3" t="s">
        <v>4</v>
      </c>
      <c r="C19" s="3" t="s">
        <v>5</v>
      </c>
    </row>
    <row r="20" spans="1:4" x14ac:dyDescent="0.2">
      <c r="A20" s="1" t="s">
        <v>1</v>
      </c>
      <c r="B20">
        <v>1.8</v>
      </c>
      <c r="C20">
        <v>1.1000000000000001</v>
      </c>
    </row>
    <row r="21" spans="1:4" x14ac:dyDescent="0.2">
      <c r="A21" s="1" t="s">
        <v>2</v>
      </c>
      <c r="B21">
        <v>1.3</v>
      </c>
      <c r="C21">
        <v>0.6</v>
      </c>
    </row>
    <row r="22" spans="1:4" x14ac:dyDescent="0.2">
      <c r="A22" s="1" t="s">
        <v>3</v>
      </c>
    </row>
    <row r="24" spans="1:4" x14ac:dyDescent="0.2">
      <c r="A24" s="1" t="s">
        <v>10</v>
      </c>
    </row>
    <row r="25" spans="1:4" x14ac:dyDescent="0.2">
      <c r="A25" s="2" t="s">
        <v>9</v>
      </c>
      <c r="B25" s="3" t="s">
        <v>4</v>
      </c>
      <c r="C25" s="3" t="s">
        <v>5</v>
      </c>
    </row>
    <row r="26" spans="1:4" x14ac:dyDescent="0.2">
      <c r="A26" s="1" t="s">
        <v>1</v>
      </c>
      <c r="B26">
        <v>8.1</v>
      </c>
      <c r="C26">
        <v>7.2</v>
      </c>
    </row>
    <row r="27" spans="1:4" x14ac:dyDescent="0.2">
      <c r="A27" s="1" t="s">
        <v>2</v>
      </c>
      <c r="B27">
        <v>5.3</v>
      </c>
      <c r="C27">
        <v>4.4000000000000004</v>
      </c>
    </row>
    <row r="28" spans="1:4" x14ac:dyDescent="0.2">
      <c r="A28" s="1" t="s">
        <v>3</v>
      </c>
    </row>
    <row r="29" spans="1:4" x14ac:dyDescent="0.2">
      <c r="A29" s="1"/>
    </row>
    <row r="30" spans="1:4" ht="32" x14ac:dyDescent="0.2">
      <c r="A30" s="17" t="s">
        <v>103</v>
      </c>
      <c r="B30" s="18">
        <v>0.67</v>
      </c>
      <c r="D30" t="s">
        <v>104</v>
      </c>
    </row>
    <row r="31" spans="1:4" x14ac:dyDescent="0.2">
      <c r="A31" s="1"/>
    </row>
    <row r="32" spans="1:4" x14ac:dyDescent="0.2">
      <c r="A32" s="1" t="s">
        <v>105</v>
      </c>
    </row>
    <row r="33" spans="1:3" x14ac:dyDescent="0.2">
      <c r="A33" s="2" t="s">
        <v>9</v>
      </c>
      <c r="B33" s="3" t="s">
        <v>4</v>
      </c>
      <c r="C33" s="3" t="s">
        <v>5</v>
      </c>
    </row>
    <row r="34" spans="1:3" x14ac:dyDescent="0.2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">
      <c r="A37" s="1" t="s">
        <v>20</v>
      </c>
    </row>
    <row r="38" spans="1:3" x14ac:dyDescent="0.2">
      <c r="A38" t="s">
        <v>21</v>
      </c>
    </row>
    <row r="39" spans="1:3" x14ac:dyDescent="0.2">
      <c r="A39" t="s">
        <v>22</v>
      </c>
    </row>
    <row r="40" spans="1:3" x14ac:dyDescent="0.2">
      <c r="A40" t="s">
        <v>23</v>
      </c>
    </row>
    <row r="62" spans="1:8" x14ac:dyDescent="0.2">
      <c r="A62" s="4" t="s">
        <v>43</v>
      </c>
      <c r="B62" s="9"/>
      <c r="C62" s="9"/>
      <c r="D62" s="9"/>
      <c r="E62" s="9"/>
      <c r="F62" s="9"/>
      <c r="G62" s="9"/>
      <c r="H62" s="9"/>
    </row>
    <row r="63" spans="1:8" x14ac:dyDescent="0.2">
      <c r="A63" t="s">
        <v>25</v>
      </c>
    </row>
    <row r="64" spans="1:8" x14ac:dyDescent="0.2">
      <c r="A64" t="s">
        <v>26</v>
      </c>
    </row>
    <row r="65" spans="1:8" x14ac:dyDescent="0.2">
      <c r="A65" t="s">
        <v>27</v>
      </c>
    </row>
    <row r="66" spans="1:8" x14ac:dyDescent="0.2">
      <c r="A66" t="s">
        <v>28</v>
      </c>
    </row>
    <row r="68" spans="1:8" x14ac:dyDescent="0.2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">
      <c r="A69" t="s">
        <v>29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">
      <c r="A70" t="s">
        <v>30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">
      <c r="A72" t="s">
        <v>31</v>
      </c>
      <c r="B72">
        <v>420</v>
      </c>
    </row>
    <row r="74" spans="1:8" x14ac:dyDescent="0.2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">
      <c r="A75" t="s">
        <v>32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">
      <c r="A76" t="s">
        <v>33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">
      <c r="A78" s="1" t="s">
        <v>34</v>
      </c>
    </row>
    <row r="79" spans="1:8" x14ac:dyDescent="0.2">
      <c r="A79" t="s">
        <v>35</v>
      </c>
    </row>
    <row r="80" spans="1:8" x14ac:dyDescent="0.2">
      <c r="A80" t="s">
        <v>36</v>
      </c>
    </row>
    <row r="81" spans="1:8" x14ac:dyDescent="0.2">
      <c r="A81" t="s">
        <v>37</v>
      </c>
    </row>
    <row r="83" spans="1:8" x14ac:dyDescent="0.2">
      <c r="A83" t="s">
        <v>38</v>
      </c>
      <c r="B83">
        <v>19.39</v>
      </c>
      <c r="C83" t="s">
        <v>40</v>
      </c>
      <c r="D83">
        <v>2017</v>
      </c>
    </row>
    <row r="84" spans="1:8" x14ac:dyDescent="0.2">
      <c r="A84" t="s">
        <v>39</v>
      </c>
      <c r="B84">
        <v>80</v>
      </c>
      <c r="C84" t="s">
        <v>41</v>
      </c>
      <c r="D84">
        <v>2017</v>
      </c>
    </row>
    <row r="85" spans="1:8" x14ac:dyDescent="0.2">
      <c r="A85" t="s">
        <v>42</v>
      </c>
      <c r="B85" s="8">
        <f>B83/B84</f>
        <v>0.24237500000000001</v>
      </c>
    </row>
    <row r="87" spans="1:8" x14ac:dyDescent="0.2">
      <c r="A87" s="4" t="s">
        <v>44</v>
      </c>
      <c r="B87" s="9"/>
      <c r="C87" s="9"/>
      <c r="D87" s="9"/>
      <c r="E87" s="9"/>
      <c r="F87" s="9"/>
      <c r="G87" s="9"/>
      <c r="H87" s="9"/>
    </row>
    <row r="88" spans="1:8" x14ac:dyDescent="0.2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">
      <c r="A89" t="s">
        <v>32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">
      <c r="A90" t="s">
        <v>33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">
      <c r="A92" t="s">
        <v>45</v>
      </c>
    </row>
    <row r="93" spans="1:8" x14ac:dyDescent="0.2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">
      <c r="A94" t="s">
        <v>46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">
      <c r="A95" t="s">
        <v>47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">
      <c r="A97" s="4" t="s">
        <v>51</v>
      </c>
    </row>
    <row r="98" spans="1:2" x14ac:dyDescent="0.2">
      <c r="A98" t="s">
        <v>49</v>
      </c>
    </row>
    <row r="99" spans="1:2" x14ac:dyDescent="0.2">
      <c r="A99" t="s">
        <v>50</v>
      </c>
    </row>
    <row r="100" spans="1:2" x14ac:dyDescent="0.2">
      <c r="A100" t="s">
        <v>52</v>
      </c>
    </row>
    <row r="101" spans="1:2" x14ac:dyDescent="0.2">
      <c r="A101" t="s">
        <v>53</v>
      </c>
    </row>
    <row r="103" spans="1:2" x14ac:dyDescent="0.2">
      <c r="A103" t="s">
        <v>54</v>
      </c>
      <c r="B103">
        <v>947086</v>
      </c>
    </row>
    <row r="105" spans="1:2" x14ac:dyDescent="0.2">
      <c r="A105" t="s">
        <v>72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workbookViewId="0">
      <selection activeCell="AI2" sqref="B2:AI2"/>
    </sheetView>
  </sheetViews>
  <sheetFormatPr baseColWidth="10" defaultColWidth="8.83203125" defaultRowHeight="15" x14ac:dyDescent="0.2"/>
  <cols>
    <col min="1" max="1" width="19.83203125" customWidth="1"/>
    <col min="2" max="2" width="9.1640625" customWidth="1"/>
    <col min="3" max="24" width="9.33203125" bestFit="1" customWidth="1"/>
    <col min="25" max="25" width="10.83203125" bestFit="1" customWidth="1"/>
    <col min="26" max="35" width="9.33203125" bestFit="1" customWidth="1"/>
  </cols>
  <sheetData>
    <row r="1" spans="1:35" x14ac:dyDescent="0.2">
      <c r="A1" s="2" t="s">
        <v>48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69</v>
      </c>
      <c r="B2" s="16" cm="1">
        <f t="array" ref="B2">TREND('CDR potential'!$B$17:$C$17,'CDR potential'!$B$16:$C$16,'DACD-potential'!B1)</f>
        <v>0</v>
      </c>
      <c r="C2" s="16" cm="1">
        <f t="array" ref="C2">TREND('CDR potential'!$B$17:$C$17,'CDR potential'!$B$16:$C$16,'DACD-potential'!C1)</f>
        <v>0</v>
      </c>
      <c r="D2" s="16" cm="1">
        <f t="array" ref="D2">TREND('CDR potential'!$B$17:$C$17,'CDR potential'!$B$16:$C$16,'DACD-potential'!D1)</f>
        <v>0</v>
      </c>
      <c r="E2" s="16" cm="1">
        <f t="array" ref="E2">TREND('CDR potential'!$B$17:$C$17,'CDR potential'!$B$16:$C$16,'DACD-potential'!E1)</f>
        <v>0</v>
      </c>
      <c r="F2" s="16" cm="1">
        <f t="array" ref="F2">TREND('CDR potential'!$B$17:$C$17,'CDR potential'!$B$16:$C$16,'DACD-potential'!F1)</f>
        <v>0</v>
      </c>
      <c r="G2" s="16" cm="1">
        <f t="array" ref="G2">TREND('CDR potential'!$B$17:$C$17,'CDR potential'!$B$16:$C$16,'DACD-potential'!G1)</f>
        <v>0</v>
      </c>
      <c r="H2" s="16" cm="1">
        <f t="array" ref="H2">TREND('CDR potential'!$B$17:$C$17,'CDR potential'!$B$16:$C$16,'DACD-potential'!H1)</f>
        <v>0</v>
      </c>
      <c r="I2" s="16" cm="1">
        <f t="array" ref="I2">TREND('CDR potential'!$B$17:$C$17,'CDR potential'!$B$16:$C$16,'DACD-potential'!I1)</f>
        <v>0</v>
      </c>
      <c r="J2" s="16" cm="1">
        <f t="array" ref="J2">TREND('CDR potential'!$B$17:$C$17,'CDR potential'!$B$16:$C$16,'DACD-potential'!J1)</f>
        <v>0</v>
      </c>
      <c r="K2" s="16" cm="1">
        <f t="array" ref="K2">TREND('CDR potential'!$B$17:$C$17,'CDR potential'!$B$16:$C$16,'DACD-potential'!K1)</f>
        <v>0</v>
      </c>
      <c r="L2" s="16" cm="1">
        <f t="array" ref="L2">TREND('CDR potential'!$B$17:$C$17,'CDR potential'!$B$16:$C$16,'DACD-potential'!L1)</f>
        <v>0</v>
      </c>
      <c r="M2" s="16" cm="1">
        <f t="array" ref="M2">TREND('CDR potential'!$B$17:$C$17,'CDR potential'!$B$16:$C$16,'DACD-potential'!M1)</f>
        <v>0</v>
      </c>
      <c r="N2" s="16" cm="1">
        <f t="array" ref="N2">TREND('CDR potential'!$B$17:$C$17,'CDR potential'!$B$16:$C$16,'DACD-potential'!N1)</f>
        <v>0</v>
      </c>
      <c r="O2" s="16" cm="1">
        <f t="array" ref="O2">TREND('CDR potential'!$C$17:$D$17,'CDR potential'!$C$16:$D$16,'DACD-potential'!O1)</f>
        <v>0</v>
      </c>
      <c r="P2" s="16" cm="1">
        <f t="array" ref="P2">TREND('CDR potential'!$C$17:$D$17,'CDR potential'!$C$16:$D$16,'DACD-potential'!P1)</f>
        <v>8928571.4285736084</v>
      </c>
      <c r="Q2" s="16" cm="1">
        <f t="array" ref="Q2">TREND('CDR potential'!$C$17:$D$17,'CDR potential'!$C$16:$D$16,'DACD-potential'!Q1)</f>
        <v>17857142.857143402</v>
      </c>
      <c r="R2" s="16" cm="1">
        <f t="array" ref="R2">TREND('CDR potential'!$C$17:$D$17,'CDR potential'!$C$16:$D$16,'DACD-potential'!R1)</f>
        <v>26785714.28571701</v>
      </c>
      <c r="S2" s="16" cm="1">
        <f t="array" ref="S2">TREND('CDR potential'!$C$17:$D$17,'CDR potential'!$C$16:$D$16,'DACD-potential'!S1)</f>
        <v>35714285.714286804</v>
      </c>
      <c r="T2" s="16" cm="1">
        <f t="array" ref="T2">TREND('CDR potential'!$C$17:$D$17,'CDR potential'!$C$16:$D$16,'DACD-potential'!T1)</f>
        <v>44642857.142856598</v>
      </c>
      <c r="U2" s="16" cm="1">
        <f t="array" ref="U2">TREND('CDR potential'!$C$17:$D$17,'CDR potential'!$C$16:$D$16,'DACD-potential'!U1)</f>
        <v>53571428.571430206</v>
      </c>
      <c r="V2" s="16" cm="1">
        <f t="array" ref="V2">TREND('CDR potential'!$C$17:$D$17,'CDR potential'!$C$16:$D$16,'DACD-potential'!V1)</f>
        <v>62500000</v>
      </c>
      <c r="W2" s="16" cm="1">
        <f t="array" ref="W2">TREND('CDR potential'!$C$17:$D$17,'CDR potential'!$C$16:$D$16,'DACD-potential'!W1)</f>
        <v>71428571.428573608</v>
      </c>
      <c r="X2" s="16" cm="1">
        <f t="array" ref="X2">TREND('CDR potential'!$C$17:$D$17,'CDR potential'!$C$16:$D$16,'DACD-potential'!X1)</f>
        <v>80357142.857143402</v>
      </c>
      <c r="Y2" s="16" cm="1">
        <f t="array" ref="Y2">TREND('CDR potential'!$D$17:$E$17,'CDR potential'!$D$16:$E$16,'DACD-potential'!Y1)</f>
        <v>89285714.285713196</v>
      </c>
      <c r="Z2" s="16" cm="1">
        <f t="array" ref="Z2">TREND('CDR potential'!$D$17:$E$17,'CDR potential'!$D$16:$E$16,'DACD-potential'!Z1)</f>
        <v>116071428.57142639</v>
      </c>
      <c r="AA2" s="16" cm="1">
        <f t="array" ref="AA2">TREND('CDR potential'!$D$17:$E$17,'CDR potential'!$D$16:$E$16,'DACD-potential'!AA1)</f>
        <v>142857142.85713959</v>
      </c>
      <c r="AB2" s="16" cm="1">
        <f t="array" ref="AB2">TREND('CDR potential'!$D$17:$E$17,'CDR potential'!$D$16:$E$16,'DACD-potential'!AB1)</f>
        <v>169642857.14285278</v>
      </c>
      <c r="AC2" s="16" cm="1">
        <f t="array" ref="AC2">TREND('CDR potential'!$D$17:$E$17,'CDR potential'!$D$16:$E$16,'DACD-potential'!AC1)</f>
        <v>196428571.42856598</v>
      </c>
      <c r="AD2" s="16" cm="1">
        <f t="array" ref="AD2">TREND('CDR potential'!$D$17:$E$17,'CDR potential'!$D$16:$E$16,'DACD-potential'!AD1)</f>
        <v>223214285.7142868</v>
      </c>
      <c r="AE2" s="16" cm="1">
        <f t="array" ref="AE2">TREND('CDR potential'!$D$17:$E$17,'CDR potential'!$D$16:$E$16,'DACD-potential'!AE1)</f>
        <v>250000000</v>
      </c>
      <c r="AF2" s="16" cm="1">
        <f t="array" ref="AF2">TREND('CDR potential'!$D$17:$E$17,'CDR potential'!$D$16:$E$16,'DACD-potential'!AF1)</f>
        <v>276785714.2857132</v>
      </c>
      <c r="AG2" s="16" cm="1">
        <f t="array" ref="AG2">TREND('CDR potential'!$D$17:$E$17,'CDR potential'!$D$16:$E$16,'DACD-potential'!AG1)</f>
        <v>303571428.57142639</v>
      </c>
      <c r="AH2" s="16" cm="1">
        <f t="array" ref="AH2">TREND('CDR potential'!$D$17:$E$17,'CDR potential'!$D$16:$E$16,'DACD-potential'!AH1)</f>
        <v>330357142.85713959</v>
      </c>
      <c r="AI2" s="16" cm="1">
        <f t="array" ref="AI2">TREND('CDR potential'!$D$17:$E$17,'CDR potential'!$D$16:$E$16,'DACD-potential'!AI1)</f>
        <v>357142857.14285278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24.6640625" customWidth="1"/>
    <col min="2" max="2" width="9.1640625" customWidth="1"/>
  </cols>
  <sheetData>
    <row r="1" spans="1:35" x14ac:dyDescent="0.2">
      <c r="A1" s="2" t="s">
        <v>55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59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">
      <c r="A3" t="s">
        <v>60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">
      <c r="A4" t="s">
        <v>61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">
      <c r="A5" t="s">
        <v>62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">
      <c r="A6" t="s">
        <v>63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">
      <c r="A7" t="s">
        <v>64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">
      <c r="A8" t="s">
        <v>65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">
      <c r="A9" t="s">
        <v>66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">
      <c r="A10" t="s">
        <v>67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D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">
      <c r="A11" t="s">
        <v>68</v>
      </c>
      <c r="B11">
        <v>0</v>
      </c>
      <c r="C11" s="12">
        <f t="shared" si="1"/>
        <v>0</v>
      </c>
      <c r="D11" s="12">
        <f t="shared" si="2"/>
        <v>0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0</v>
      </c>
      <c r="I11" s="12">
        <f t="shared" si="2"/>
        <v>0</v>
      </c>
      <c r="J11" s="12">
        <f t="shared" si="2"/>
        <v>0</v>
      </c>
      <c r="K11" s="12">
        <f t="shared" si="2"/>
        <v>0</v>
      </c>
      <c r="L11" s="12">
        <f t="shared" si="2"/>
        <v>0</v>
      </c>
      <c r="M11" s="12">
        <f t="shared" si="2"/>
        <v>0</v>
      </c>
      <c r="N11" s="12">
        <f t="shared" si="2"/>
        <v>0</v>
      </c>
      <c r="O11" s="12">
        <f t="shared" si="2"/>
        <v>0</v>
      </c>
      <c r="P11" s="12">
        <f t="shared" si="2"/>
        <v>0</v>
      </c>
      <c r="Q11" s="12">
        <f t="shared" si="2"/>
        <v>0</v>
      </c>
      <c r="R11" s="12">
        <f t="shared" si="2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/>
  </sheetViews>
  <sheetFormatPr baseColWidth="10" defaultColWidth="8.83203125" defaultRowHeight="15" x14ac:dyDescent="0.2"/>
  <cols>
    <col min="1" max="1" width="24.6640625" customWidth="1"/>
    <col min="2" max="2" width="9.1640625" customWidth="1"/>
  </cols>
  <sheetData>
    <row r="1" spans="1:35" x14ac:dyDescent="0.2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57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2D5A1F-2613-4CCB-B00C-0B3A7EB1B6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152B76-1B1B-4FF6-B23E-7324CF3EB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CDR potential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Harriet Tsang</cp:lastModifiedBy>
  <dcterms:created xsi:type="dcterms:W3CDTF">2019-12-04T00:52:30Z</dcterms:created>
  <dcterms:modified xsi:type="dcterms:W3CDTF">2023-08-21T02:34:10Z</dcterms:modified>
</cp:coreProperties>
</file>