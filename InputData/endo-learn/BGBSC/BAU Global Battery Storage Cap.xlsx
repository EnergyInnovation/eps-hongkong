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robbie\Dropbox (Energy Innovation)\My Documents\Energy Policy Solutions\US\Models\eps-us\InputData\endo-learn\BGBSC\"/>
    </mc:Choice>
  </mc:AlternateContent>
  <xr:revisionPtr revIDLastSave="0" documentId="13_ncr:9_{008D9D4E-A250-406B-A4A4-9DDC8AD5605F}" xr6:coauthVersionLast="47" xr6:coauthVersionMax="47" xr10:uidLastSave="{00000000-0000-0000-0000-000000000000}"/>
  <bookViews>
    <workbookView xWindow="-120" yWindow="-120" windowWidth="57840" windowHeight="23640" xr2:uid="{00000000-000D-0000-FFFF-FFFF00000000}"/>
  </bookViews>
  <sheets>
    <sheet name="About" sheetId="1" r:id="rId1"/>
    <sheet name="Grid Battery Storage" sheetId="8" r:id="rId2"/>
    <sheet name="EV Batteries" sheetId="5" r:id="rId3"/>
    <sheet name="EV Sigmoid Fitting" sheetId="10" r:id="rId4"/>
    <sheet name="Calculations" sheetId="7" r:id="rId5"/>
    <sheet name="BGBSC" sheetId="6" r:id="rId6"/>
  </sheets>
  <externalReferences>
    <externalReference r:id="rId7"/>
    <externalReference r:id="rId8"/>
  </externalReference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7" l="1"/>
  <c r="B17" i="7"/>
  <c r="AG14" i="7"/>
  <c r="AF14" i="7"/>
  <c r="AE14" i="7"/>
  <c r="AD14" i="7"/>
  <c r="AC14" i="7"/>
  <c r="AB14" i="7"/>
  <c r="AA14" i="7"/>
  <c r="Z14" i="7"/>
  <c r="Y14" i="7"/>
  <c r="X14" i="7"/>
  <c r="W13" i="7"/>
  <c r="V13" i="7"/>
  <c r="U13" i="7"/>
  <c r="T13" i="7"/>
  <c r="S13" i="7"/>
  <c r="R13" i="7"/>
  <c r="Q13" i="7"/>
  <c r="P13" i="7"/>
  <c r="O13" i="7"/>
  <c r="N13" i="7"/>
  <c r="M12" i="7"/>
  <c r="L12" i="7"/>
  <c r="K12" i="7"/>
  <c r="J12" i="7"/>
  <c r="I12" i="7"/>
  <c r="H12" i="7"/>
  <c r="G12" i="7"/>
  <c r="F12" i="7"/>
  <c r="E12" i="7"/>
  <c r="D12" i="7"/>
  <c r="E17" i="7" s="1"/>
  <c r="C12" i="7"/>
  <c r="D17" i="7" s="1"/>
  <c r="B12"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B6"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B2" i="6" l="1"/>
  <c r="C6" i="8"/>
  <c r="D6" i="8"/>
  <c r="E6" i="8"/>
  <c r="F6" i="8"/>
  <c r="G6" i="8"/>
  <c r="H6" i="8"/>
  <c r="B6" i="8"/>
  <c r="G2" i="10" l="1" a="1"/>
  <c r="C2" i="6"/>
  <c r="D2" i="6" l="1"/>
  <c r="G2" i="10"/>
  <c r="G11" i="10"/>
  <c r="G4" i="10"/>
  <c r="G13" i="10"/>
  <c r="G3" i="10"/>
  <c r="G9" i="10"/>
  <c r="G10" i="10"/>
  <c r="G6" i="10"/>
  <c r="G12" i="10"/>
  <c r="G5" i="10"/>
  <c r="G8" i="10"/>
  <c r="G7" i="10"/>
  <c r="E2" i="6" l="1"/>
  <c r="F2" i="6" l="1"/>
  <c r="B7" i="10"/>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 r="AF2" i="6" l="1"/>
  <c r="AG2" i="6" l="1"/>
</calcChain>
</file>

<file path=xl/sharedStrings.xml><?xml version="1.0" encoding="utf-8"?>
<sst xmlns="http://schemas.openxmlformats.org/spreadsheetml/2006/main" count="71" uniqueCount="68">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</sst>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5">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'[2]EV Batteries'!$B$9:$Y$9</c:f>
              <c:numCache>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Cache>
            </c:numRef>
          </c:xVal>
          <c:yVal>
            <c:numRef>
              <c:f>'[2]EV Batteries'!$B$13:$Y$13</c:f>
              <c:numCache>
                <c:formatCode>General</c:formatCode>
                <c:ptCount val="24"/>
                <c:pt idx="0">
                  <c:v>1210000</c:v>
                </c:pt>
                <c:pt idx="5">
                  <c:v>10600000</c:v>
                </c:pt>
                <c:pt idx="8">
                  <c:v>21000000</c:v>
                </c:pt>
                <c:pt idx="13">
                  <c:v>40000000</c:v>
                </c:pt>
                <c:pt idx="18">
                  <c:v>55000000</c:v>
                </c:pt>
                <c:pt idx="23">
                  <c:v>72000000</c:v>
                </c:pt>
              </c:numCache>
            </c:numRef>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A34B-4D6D-B9E2-A842BF8A7B23}"/>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C4AE-470A-89B2-A28B6FEFCED5}"/>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[2]Calculations!$A$12</c:f>
              <c:strCache>
                <c:ptCount val="1"/>
                <c:pt idx="0">
                  <c:v>EV battery new sales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[2]Calculations!$B$12:$AG$12</c:f>
              <c:numCache>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Cache>
            </c:numRef>
          </c:yVal>
          <c:smooth val="1"/>
          <c:extLst>
            <c:ext xmlns:c16="http://schemas.microsoft.com/office/drawing/2014/chart" uri="{C3380CC4-5D6E-409C-BE32-E72D297353CC}">
              <c16:uniqueId val="{00000000-0FD3-452F-A783-E1902130501E}"/>
            </c:ext>
          </c:extLst>
        </c:ser>
        <c:ser>
          <c:idx val="1"/>
          <c:order val="1"/>
          <c:tx>
            <c:strRef>
              <c:f>[2]Calculations!$A$13</c:f>
              <c:strCache>
                <c:ptCount val="1"/>
                <c:pt idx="0">
                  <c:v>EV battery new sales, extrapolated 2031-2040 (GWh)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[2]Calculations!$B$13:$AK$13</c:f>
              <c:numCache>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Cache>
            </c:numRef>
          </c:yVal>
          <c:smooth val="1"/>
          <c:extLst>
            <c:ext xmlns:c16="http://schemas.microsoft.com/office/drawing/2014/chart" uri="{C3380CC4-5D6E-409C-BE32-E72D297353CC}">
              <c16:uniqueId val="{00000001-0FD3-452F-A783-E1902130501E}"/>
            </c:ext>
          </c:extLst>
        </c:ser>
        <c:ser>
          <c:idx val="2"/>
          <c:order val="2"/>
          <c:tx>
            <c:strRef>
              <c:f>[2]Calculations!$A$14</c:f>
              <c:strCache>
                <c:ptCount val="1"/>
                <c:pt idx="0">
                  <c:v>EV battery new sales, extrapolated 2041-2050 (GWh)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[2]Calculations!$B$14:$AK$14</c:f>
              <c:numCache>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Cache>
            </c:numRef>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[2]Calculations!$A$17</c:f>
              <c:strCache>
                <c:ptCount val="1"/>
                <c:pt idx="0">
                  <c:v>EV battery cap, cumulative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[2]Calculations!$C$16:$AH$16</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[2]Calculations!$C$17:$AH$17</c:f>
              <c:numCache>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Cache>
            </c:numRef>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ganM/Downloads/ExcelSolver_Sigmoi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robbie\AppData\Local\Microsoft\Windows\INetCache\Content.Outlook\3CFUU3TW\LR%20check.xlsx" TargetMode="External"/><Relationship Id="rId1" Type="http://schemas.openxmlformats.org/officeDocument/2006/relationships/externalLinkPath" Target="/Users/robbie/AppData/Local/Microsoft/Windows/INetCache/Content.Outlook/3CFUU3TW/LR%20che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G1" t="str">
            <v>y</v>
          </cell>
          <cell r="H1" t="str">
            <v>ycalc</v>
          </cell>
        </row>
        <row r="2">
          <cell r="F2">
            <v>2019</v>
          </cell>
          <cell r="G2">
            <v>2375000</v>
          </cell>
          <cell r="H2">
            <v>1389132.164056371</v>
          </cell>
        </row>
        <row r="3">
          <cell r="F3">
            <v>2020</v>
          </cell>
          <cell r="G3">
            <v>1750000</v>
          </cell>
          <cell r="H3">
            <v>2021843.2718926258</v>
          </cell>
        </row>
        <row r="4">
          <cell r="F4">
            <v>2021</v>
          </cell>
          <cell r="G4">
            <v>2500000</v>
          </cell>
          <cell r="H4">
            <v>2835096.85528416</v>
          </cell>
        </row>
        <row r="5">
          <cell r="F5">
            <v>2022</v>
          </cell>
          <cell r="G5">
            <v>3875000</v>
          </cell>
          <cell r="H5">
            <v>3872186.6405841364</v>
          </cell>
        </row>
        <row r="6">
          <cell r="F6">
            <v>2023</v>
          </cell>
          <cell r="G6">
            <v>5375000</v>
          </cell>
          <cell r="H6">
            <v>5181480.7302558515</v>
          </cell>
        </row>
        <row r="7">
          <cell r="F7">
            <v>2024</v>
          </cell>
          <cell r="G7">
            <v>7000000</v>
          </cell>
          <cell r="H7">
            <v>6813588.8256108928</v>
          </cell>
        </row>
        <row r="8">
          <cell r="F8">
            <v>2025</v>
          </cell>
          <cell r="G8">
            <v>8500000</v>
          </cell>
          <cell r="H8">
            <v>8816233.2840826623</v>
          </cell>
        </row>
        <row r="9">
          <cell r="F9">
            <v>2026</v>
          </cell>
          <cell r="G9">
            <v>10375000</v>
          </cell>
          <cell r="H9">
            <v>11226473.258701244</v>
          </cell>
        </row>
        <row r="10">
          <cell r="F10">
            <v>2027</v>
          </cell>
          <cell r="G10">
            <v>13625000</v>
          </cell>
          <cell r="H10">
            <v>14060660.844756193</v>
          </cell>
        </row>
        <row r="11">
          <cell r="F11">
            <v>2028</v>
          </cell>
          <cell r="G11">
            <v>17125000</v>
          </cell>
          <cell r="H11">
            <v>17303745.690459114</v>
          </cell>
        </row>
        <row r="12">
          <cell r="F12">
            <v>2029</v>
          </cell>
          <cell r="G12">
            <v>21000000</v>
          </cell>
          <cell r="H12">
            <v>20900972.172630183</v>
          </cell>
        </row>
        <row r="13">
          <cell r="F13">
            <v>2030</v>
          </cell>
          <cell r="G13">
            <v>25500000</v>
          </cell>
          <cell r="H13">
            <v>24755807.045043826</v>
          </cell>
        </row>
        <row r="14">
          <cell r="F14">
            <v>2031</v>
          </cell>
          <cell r="G14">
            <v>29250000</v>
          </cell>
          <cell r="H14">
            <v>28737059.300076034</v>
          </cell>
        </row>
        <row r="15">
          <cell r="F15">
            <v>2032</v>
          </cell>
          <cell r="G15">
            <v>33375000</v>
          </cell>
          <cell r="H15">
            <v>32695224.467196576</v>
          </cell>
        </row>
        <row r="16">
          <cell r="F16">
            <v>2033</v>
          </cell>
          <cell r="G16">
            <v>36625000</v>
          </cell>
          <cell r="H16">
            <v>36484206.532142162</v>
          </cell>
        </row>
        <row r="17">
          <cell r="F17">
            <v>2034</v>
          </cell>
          <cell r="G17">
            <v>39750000</v>
          </cell>
          <cell r="H17">
            <v>39982014.338317864</v>
          </cell>
        </row>
        <row r="18">
          <cell r="F18">
            <v>2035</v>
          </cell>
          <cell r="G18">
            <v>42625000</v>
          </cell>
          <cell r="H18">
            <v>43104531.090709515</v>
          </cell>
        </row>
        <row r="19">
          <cell r="F19">
            <v>2036</v>
          </cell>
          <cell r="G19">
            <v>45250000</v>
          </cell>
          <cell r="H19">
            <v>45809663.601785377</v>
          </cell>
        </row>
        <row r="20">
          <cell r="F20">
            <v>2037</v>
          </cell>
          <cell r="G20">
            <v>47375000</v>
          </cell>
          <cell r="H20">
            <v>48092978.656097099</v>
          </cell>
        </row>
        <row r="21">
          <cell r="F21">
            <v>2038</v>
          </cell>
          <cell r="G21">
            <v>49375000</v>
          </cell>
          <cell r="H21">
            <v>49978278.595441304</v>
          </cell>
        </row>
        <row r="22">
          <cell r="F22">
            <v>2039</v>
          </cell>
          <cell r="G22">
            <v>51625000</v>
          </cell>
          <cell r="H22">
            <v>51506844.678802423</v>
          </cell>
        </row>
        <row r="23">
          <cell r="F23">
            <v>2040</v>
          </cell>
          <cell r="G23">
            <v>54125000</v>
          </cell>
          <cell r="H23">
            <v>52727977.781544022</v>
          </cell>
        </row>
        <row r="24">
          <cell r="F24">
            <v>2041</v>
          </cell>
          <cell r="H24">
            <v>53692031.914074436</v>
          </cell>
        </row>
        <row r="25">
          <cell r="F25">
            <v>2042</v>
          </cell>
          <cell r="H25">
            <v>54446041.034588695</v>
          </cell>
        </row>
        <row r="26">
          <cell r="F26">
            <v>2043</v>
          </cell>
          <cell r="H26">
            <v>55031465.127539933</v>
          </cell>
        </row>
        <row r="27">
          <cell r="F27">
            <v>2044</v>
          </cell>
          <cell r="H27">
            <v>55483417.471983574</v>
          </cell>
        </row>
        <row r="28">
          <cell r="F28">
            <v>2045</v>
          </cell>
          <cell r="H28">
            <v>55830797.702772141</v>
          </cell>
        </row>
        <row r="29">
          <cell r="F29">
            <v>2046</v>
          </cell>
          <cell r="H29">
            <v>56096900.262841031</v>
          </cell>
        </row>
        <row r="30">
          <cell r="F30">
            <v>2047</v>
          </cell>
          <cell r="H30">
            <v>56300214.433481641</v>
          </cell>
        </row>
        <row r="31">
          <cell r="F31">
            <v>2048</v>
          </cell>
          <cell r="H31">
            <v>56455248.150785372</v>
          </cell>
        </row>
        <row r="32">
          <cell r="F32">
            <v>2049</v>
          </cell>
          <cell r="H32">
            <v>56573288.007629298</v>
          </cell>
        </row>
        <row r="33">
          <cell r="F33">
            <v>2050</v>
          </cell>
          <cell r="H33">
            <v>56663058.09199407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Grid Battery Storage"/>
      <sheetName val="EV Sigmoid Fitting"/>
      <sheetName val="EV Batteries"/>
      <sheetName val="Calculations"/>
      <sheetName val="BGBSC BNEF 2022 historical data"/>
      <sheetName val="BGBSC BNEF 2023 projection"/>
      <sheetName val="BGBSC DOE 2022 historical data"/>
      <sheetName val="BGBSC BNEF 2022 historic 18.9%"/>
    </sheetNames>
    <sheetDataSet>
      <sheetData sheetId="0" refreshError="1"/>
      <sheetData sheetId="1">
        <row r="4">
          <cell r="B4">
            <v>2020</v>
          </cell>
          <cell r="C4">
            <v>2025</v>
          </cell>
          <cell r="D4">
            <v>2030</v>
          </cell>
          <cell r="E4">
            <v>2035</v>
          </cell>
          <cell r="F4">
            <v>2040</v>
          </cell>
          <cell r="G4">
            <v>2045</v>
          </cell>
          <cell r="H4">
            <v>2050</v>
          </cell>
        </row>
        <row r="6">
          <cell r="B6">
            <v>23809.523809523806</v>
          </cell>
          <cell r="C6">
            <v>154761.90476190476</v>
          </cell>
          <cell r="D6">
            <v>571428.57142857148</v>
          </cell>
          <cell r="E6">
            <v>1142857.142857143</v>
          </cell>
          <cell r="F6">
            <v>2023809.5238095236</v>
          </cell>
          <cell r="G6">
            <v>3214285.7142857141</v>
          </cell>
          <cell r="H6">
            <v>4345238.0952380942</v>
          </cell>
        </row>
        <row r="8">
          <cell r="C8">
            <v>2020</v>
          </cell>
          <cell r="D8">
            <v>2021</v>
          </cell>
          <cell r="E8">
            <v>2022</v>
          </cell>
          <cell r="F8">
            <v>2023</v>
          </cell>
          <cell r="G8">
            <v>2024</v>
          </cell>
          <cell r="H8">
            <v>2025</v>
          </cell>
          <cell r="I8">
            <v>2026</v>
          </cell>
          <cell r="J8">
            <v>2027</v>
          </cell>
          <cell r="K8">
            <v>2028</v>
          </cell>
          <cell r="L8">
            <v>2029</v>
          </cell>
          <cell r="M8">
            <v>2030</v>
          </cell>
          <cell r="N8">
            <v>2031</v>
          </cell>
          <cell r="O8">
            <v>2032</v>
          </cell>
          <cell r="P8">
            <v>2033</v>
          </cell>
          <cell r="Q8">
            <v>2034</v>
          </cell>
          <cell r="R8">
            <v>2035</v>
          </cell>
          <cell r="S8">
            <v>2036</v>
          </cell>
          <cell r="T8">
            <v>2037</v>
          </cell>
          <cell r="U8">
            <v>2038</v>
          </cell>
          <cell r="V8">
            <v>2039</v>
          </cell>
          <cell r="W8">
            <v>2040</v>
          </cell>
          <cell r="X8">
            <v>2041</v>
          </cell>
          <cell r="Y8">
            <v>2042</v>
          </cell>
          <cell r="Z8">
            <v>2043</v>
          </cell>
          <cell r="AA8">
            <v>2044</v>
          </cell>
          <cell r="AB8">
            <v>2045</v>
          </cell>
          <cell r="AC8">
            <v>2046</v>
          </cell>
          <cell r="AD8">
            <v>2047</v>
          </cell>
          <cell r="AE8">
            <v>2048</v>
          </cell>
          <cell r="AF8">
            <v>2049</v>
          </cell>
          <cell r="AG8">
            <v>2050</v>
          </cell>
        </row>
      </sheetData>
      <sheetData sheetId="2" refreshError="1"/>
      <sheetData sheetId="3">
        <row r="9">
          <cell r="B9">
            <v>2017</v>
          </cell>
          <cell r="C9">
            <v>2018</v>
          </cell>
          <cell r="D9">
            <v>2019</v>
          </cell>
          <cell r="E9">
            <v>2020</v>
          </cell>
          <cell r="F9">
            <v>2021</v>
          </cell>
          <cell r="G9">
            <v>2022</v>
          </cell>
          <cell r="H9">
            <v>2023</v>
          </cell>
          <cell r="I9">
            <v>2024</v>
          </cell>
          <cell r="J9">
            <v>2025</v>
          </cell>
          <cell r="K9">
            <v>2026</v>
          </cell>
          <cell r="L9">
            <v>2027</v>
          </cell>
          <cell r="M9">
            <v>2028</v>
          </cell>
          <cell r="N9">
            <v>2029</v>
          </cell>
          <cell r="O9">
            <v>2030</v>
          </cell>
          <cell r="P9">
            <v>2031</v>
          </cell>
          <cell r="Q9">
            <v>2032</v>
          </cell>
          <cell r="R9">
            <v>2033</v>
          </cell>
          <cell r="S9">
            <v>2034</v>
          </cell>
          <cell r="T9">
            <v>2035</v>
          </cell>
          <cell r="U9">
            <v>2036</v>
          </cell>
          <cell r="V9">
            <v>2037</v>
          </cell>
          <cell r="W9">
            <v>2038</v>
          </cell>
          <cell r="X9">
            <v>2039</v>
          </cell>
          <cell r="Y9">
            <v>2040</v>
          </cell>
        </row>
        <row r="10">
          <cell r="D10">
            <v>230</v>
          </cell>
          <cell r="E10">
            <v>490.90909090909093</v>
          </cell>
          <cell r="F10">
            <v>751.81818181818187</v>
          </cell>
          <cell r="G10">
            <v>1012.7272727272727</v>
          </cell>
          <cell r="H10">
            <v>1273.6363636363637</v>
          </cell>
          <cell r="I10">
            <v>1534.5454545454547</v>
          </cell>
          <cell r="J10">
            <v>1795.4545454545457</v>
          </cell>
          <cell r="K10">
            <v>2056.3636363636365</v>
          </cell>
          <cell r="L10">
            <v>2317.2727272727275</v>
          </cell>
          <cell r="M10">
            <v>2578.1818181818185</v>
          </cell>
          <cell r="N10">
            <v>2839.0909090909095</v>
          </cell>
          <cell r="O10">
            <v>3100</v>
          </cell>
          <cell r="P10">
            <v>3424.7905975175636</v>
          </cell>
          <cell r="Q10">
            <v>3746.5013723235993</v>
          </cell>
          <cell r="R10">
            <v>4059.9053441759856</v>
          </cell>
          <cell r="S10">
            <v>4360.3138003408822</v>
          </cell>
          <cell r="T10">
            <v>4643.8345503812225</v>
          </cell>
          <cell r="U10">
            <v>4907.5316444603686</v>
          </cell>
          <cell r="V10">
            <v>5149.4794152991608</v>
          </cell>
          <cell r="W10">
            <v>5368.7217605243968</v>
          </cell>
          <cell r="X10">
            <v>5565.1598514983398</v>
          </cell>
          <cell r="Y10">
            <v>5739.3964545208837</v>
          </cell>
          <cell r="Z10">
            <v>5892.5636833218095</v>
          </cell>
          <cell r="AA10">
            <v>6026.1555256387583</v>
          </cell>
          <cell r="AB10">
            <v>6141.8793779363323</v>
          </cell>
          <cell r="AC10">
            <v>6241.5340085637208</v>
          </cell>
          <cell r="AD10">
            <v>6326.9159508593248</v>
          </cell>
          <cell r="AE10">
            <v>6399.7526614421795</v>
          </cell>
          <cell r="AF10">
            <v>6461.6587298551603</v>
          </cell>
          <cell r="AG10">
            <v>6514.1106231518088</v>
          </cell>
          <cell r="AH10">
            <v>6558.4354749555841</v>
          </cell>
          <cell r="AI10">
            <v>6595.8099219990681</v>
          </cell>
        </row>
        <row r="13">
          <cell r="B13">
            <v>1210000</v>
          </cell>
          <cell r="G13">
            <v>10600000</v>
          </cell>
          <cell r="J13">
            <v>21000000</v>
          </cell>
          <cell r="O13">
            <v>40000000</v>
          </cell>
          <cell r="T13">
            <v>55000000</v>
          </cell>
          <cell r="Y13">
            <v>72000000</v>
          </cell>
        </row>
      </sheetData>
      <sheetData sheetId="4">
        <row r="11">
          <cell r="B11">
            <v>2019</v>
          </cell>
          <cell r="C11">
            <v>2020</v>
          </cell>
          <cell r="D11">
            <v>2021</v>
          </cell>
          <cell r="E11">
            <v>2022</v>
          </cell>
          <cell r="F11">
            <v>2023</v>
          </cell>
          <cell r="G11">
            <v>2024</v>
          </cell>
          <cell r="H11">
            <v>2025</v>
          </cell>
          <cell r="I11">
            <v>2026</v>
          </cell>
          <cell r="J11">
            <v>2027</v>
          </cell>
          <cell r="K11">
            <v>2028</v>
          </cell>
          <cell r="L11">
            <v>2029</v>
          </cell>
          <cell r="M11">
            <v>2030</v>
          </cell>
          <cell r="N11">
            <v>2031</v>
          </cell>
          <cell r="O11">
            <v>2032</v>
          </cell>
          <cell r="P11">
            <v>2033</v>
          </cell>
          <cell r="Q11">
            <v>2034</v>
          </cell>
          <cell r="R11">
            <v>2035</v>
          </cell>
          <cell r="S11">
            <v>2036</v>
          </cell>
          <cell r="T11">
            <v>2037</v>
          </cell>
          <cell r="U11">
            <v>2038</v>
          </cell>
          <cell r="V11">
            <v>2039</v>
          </cell>
          <cell r="W11">
            <v>2040</v>
          </cell>
          <cell r="X11">
            <v>2041</v>
          </cell>
          <cell r="Y11">
            <v>2042</v>
          </cell>
          <cell r="Z11">
            <v>2043</v>
          </cell>
          <cell r="AA11">
            <v>2044</v>
          </cell>
          <cell r="AB11">
            <v>2045</v>
          </cell>
          <cell r="AC11">
            <v>2046</v>
          </cell>
          <cell r="AD11">
            <v>2047</v>
          </cell>
          <cell r="AE11">
            <v>2048</v>
          </cell>
          <cell r="AF11">
            <v>2049</v>
          </cell>
          <cell r="AG11">
            <v>2050</v>
          </cell>
        </row>
        <row r="12">
          <cell r="A12" t="str">
            <v>EV battery new sales (MWh)</v>
          </cell>
          <cell r="B12">
            <v>230000</v>
          </cell>
          <cell r="C12">
            <v>490909.09090909094</v>
          </cell>
          <cell r="D12">
            <v>751818.18181818188</v>
          </cell>
          <cell r="E12">
            <v>1012727.2727272727</v>
          </cell>
          <cell r="F12">
            <v>1273636.3636363638</v>
          </cell>
          <cell r="G12">
            <v>1534545.4545454548</v>
          </cell>
          <cell r="H12">
            <v>1795454.5454545456</v>
          </cell>
          <cell r="I12">
            <v>2056363.6363636365</v>
          </cell>
          <cell r="J12">
            <v>2317272.7272727275</v>
          </cell>
          <cell r="K12">
            <v>2578181.8181818184</v>
          </cell>
          <cell r="L12">
            <v>2839090.9090909096</v>
          </cell>
          <cell r="M12">
            <v>3100000</v>
          </cell>
        </row>
        <row r="13">
          <cell r="A13" t="str">
            <v>EV battery new sales, extrapolated 2031-2040 (GWh)</v>
          </cell>
          <cell r="N13">
            <v>3424790.5975175635</v>
          </cell>
          <cell r="O13">
            <v>3746501.3723235992</v>
          </cell>
          <cell r="P13">
            <v>4059905.3441759855</v>
          </cell>
          <cell r="Q13">
            <v>4360313.8003408825</v>
          </cell>
          <cell r="R13">
            <v>4643834.5503812227</v>
          </cell>
          <cell r="S13">
            <v>4907531.6444603689</v>
          </cell>
          <cell r="T13">
            <v>5149479.4152991604</v>
          </cell>
          <cell r="U13">
            <v>5368721.7605243968</v>
          </cell>
          <cell r="V13">
            <v>5565159.8514983393</v>
          </cell>
          <cell r="W13">
            <v>5739396.454520884</v>
          </cell>
        </row>
        <row r="14">
          <cell r="A14" t="str">
            <v>EV battery new sales, extrapolated 2041-2050 (GWh)</v>
          </cell>
          <cell r="X14">
            <v>5892563.6833218094</v>
          </cell>
          <cell r="Y14">
            <v>6026155.5256387582</v>
          </cell>
          <cell r="Z14">
            <v>6141879.3779363325</v>
          </cell>
          <cell r="AA14">
            <v>6241534.0085637206</v>
          </cell>
          <cell r="AB14">
            <v>6326915.950859325</v>
          </cell>
          <cell r="AC14">
            <v>6399752.6614421792</v>
          </cell>
          <cell r="AD14">
            <v>6461658.7298551602</v>
          </cell>
          <cell r="AE14">
            <v>6514110.623151809</v>
          </cell>
          <cell r="AF14">
            <v>6558435.4749555839</v>
          </cell>
          <cell r="AG14">
            <v>6595809.921999068</v>
          </cell>
        </row>
        <row r="16">
          <cell r="C16">
            <v>2019</v>
          </cell>
          <cell r="D16">
            <v>2020</v>
          </cell>
          <cell r="E16">
            <v>2021</v>
          </cell>
          <cell r="F16">
            <v>2022</v>
          </cell>
          <cell r="G16">
            <v>2023</v>
          </cell>
          <cell r="H16">
            <v>2024</v>
          </cell>
          <cell r="I16">
            <v>2025</v>
          </cell>
          <cell r="J16">
            <v>2026</v>
          </cell>
          <cell r="K16">
            <v>2027</v>
          </cell>
          <cell r="L16">
            <v>2028</v>
          </cell>
          <cell r="M16">
            <v>2029</v>
          </cell>
          <cell r="N16">
            <v>2030</v>
          </cell>
          <cell r="O16">
            <v>2031</v>
          </cell>
          <cell r="P16">
            <v>2032</v>
          </cell>
          <cell r="Q16">
            <v>2033</v>
          </cell>
          <cell r="R16">
            <v>2034</v>
          </cell>
          <cell r="S16">
            <v>2035</v>
          </cell>
          <cell r="T16">
            <v>2036</v>
          </cell>
          <cell r="U16">
            <v>2037</v>
          </cell>
          <cell r="V16">
            <v>2038</v>
          </cell>
          <cell r="W16">
            <v>2039</v>
          </cell>
          <cell r="X16">
            <v>2040</v>
          </cell>
          <cell r="Y16">
            <v>2041</v>
          </cell>
          <cell r="Z16">
            <v>2042</v>
          </cell>
          <cell r="AA16">
            <v>2043</v>
          </cell>
          <cell r="AB16">
            <v>2044</v>
          </cell>
          <cell r="AC16">
            <v>2045</v>
          </cell>
          <cell r="AD16">
            <v>2046</v>
          </cell>
          <cell r="AE16">
            <v>2047</v>
          </cell>
          <cell r="AF16">
            <v>2048</v>
          </cell>
          <cell r="AG16">
            <v>2049</v>
          </cell>
          <cell r="AH16">
            <v>2050</v>
          </cell>
        </row>
        <row r="17">
          <cell r="A17" t="str">
            <v>EV battery cap, cumulative (MWh)</v>
          </cell>
          <cell r="C17">
            <v>2730000</v>
          </cell>
          <cell r="D17">
            <v>3220909.0909090908</v>
          </cell>
          <cell r="E17">
            <v>3972727.2727272725</v>
          </cell>
          <cell r="F17">
            <v>4985454.5454545449</v>
          </cell>
          <cell r="G17">
            <v>6259090.9090909082</v>
          </cell>
          <cell r="H17">
            <v>7793636.3636363633</v>
          </cell>
          <cell r="I17">
            <v>9589090.9090909082</v>
          </cell>
          <cell r="J17">
            <v>11645454.545454545</v>
          </cell>
          <cell r="K17">
            <v>13962727.272727273</v>
          </cell>
          <cell r="L17">
            <v>16540909.090909092</v>
          </cell>
          <cell r="M17">
            <v>19380000</v>
          </cell>
          <cell r="N17">
            <v>22480000</v>
          </cell>
          <cell r="O17">
            <v>25904790.597517565</v>
          </cell>
          <cell r="P17">
            <v>29651291.969841164</v>
          </cell>
          <cell r="Q17">
            <v>33711197.314017147</v>
          </cell>
          <cell r="R17">
            <v>38071511.11435803</v>
          </cell>
          <cell r="S17">
            <v>42715345.664739251</v>
          </cell>
          <cell r="T17">
            <v>47622877.309199616</v>
          </cell>
          <cell r="U17">
            <v>52772356.724498779</v>
          </cell>
          <cell r="V17">
            <v>58141078.485023178</v>
          </cell>
          <cell r="W17">
            <v>63706238.336521521</v>
          </cell>
          <cell r="X17">
            <v>69445634.791042402</v>
          </cell>
          <cell r="Y17">
            <v>75338198.474364206</v>
          </cell>
          <cell r="Z17">
            <v>81364354.000002965</v>
          </cell>
          <cell r="AA17">
            <v>87506233.377939299</v>
          </cell>
          <cell r="AB17">
            <v>93747767.386503026</v>
          </cell>
          <cell r="AC17">
            <v>100074683.33736235</v>
          </cell>
          <cell r="AD17">
            <v>106474435.99880452</v>
          </cell>
          <cell r="AE17">
            <v>112936094.72865969</v>
          </cell>
          <cell r="AF17">
            <v>119450205.3518115</v>
          </cell>
          <cell r="AG17">
            <v>126008640.82676709</v>
          </cell>
          <cell r="AH17">
            <v>132604450.74876615</v>
          </cell>
        </row>
      </sheetData>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workbookViewId="0">
      <selection activeCell="B29" sqref="B29"/>
    </sheetView>
  </sheetViews>
  <sheetFormatPr defaultRowHeight="15" x14ac:dyDescent="0.25"/>
  <cols>
    <col min="2" max="2" width="60.85546875" customWidth="1"/>
  </cols>
  <sheetData>
    <row r="1" spans="1:2" x14ac:dyDescent="0.25">
      <c r="A1" s="1" t="s">
        <v>0</v>
      </c>
    </row>
    <row r="3" spans="1:2" x14ac:dyDescent="0.25">
      <c r="A3" s="1" t="s">
        <v>1</v>
      </c>
      <c r="B3" s="2" t="s">
        <v>58</v>
      </c>
    </row>
    <row r="4" spans="1:2" x14ac:dyDescent="0.25">
      <c r="B4" t="s">
        <v>8</v>
      </c>
    </row>
    <row r="5" spans="1:2" x14ac:dyDescent="0.25">
      <c r="B5" s="11">
        <v>2020</v>
      </c>
    </row>
    <row r="6" spans="1:2" x14ac:dyDescent="0.25">
      <c r="B6" t="s">
        <v>50</v>
      </c>
    </row>
    <row r="7" spans="1:2" x14ac:dyDescent="0.25">
      <c r="B7" t="s">
        <v>54</v>
      </c>
    </row>
    <row r="8" spans="1:2" x14ac:dyDescent="0.25">
      <c r="B8" s="12" t="s">
        <v>51</v>
      </c>
    </row>
    <row r="9" spans="1:2" x14ac:dyDescent="0.25">
      <c r="B9" s="12" t="s">
        <v>52</v>
      </c>
    </row>
    <row r="11" spans="1:2" x14ac:dyDescent="0.25">
      <c r="B11" s="2" t="s">
        <v>53</v>
      </c>
    </row>
    <row r="12" spans="1:2" x14ac:dyDescent="0.25">
      <c r="B12" t="s">
        <v>8</v>
      </c>
    </row>
    <row r="13" spans="1:2" x14ac:dyDescent="0.25">
      <c r="B13" s="11">
        <v>2020</v>
      </c>
    </row>
    <row r="14" spans="1:2" x14ac:dyDescent="0.25">
      <c r="B14" s="12" t="s">
        <v>56</v>
      </c>
    </row>
    <row r="15" spans="1:2" x14ac:dyDescent="0.25">
      <c r="B15" s="12" t="s">
        <v>57</v>
      </c>
    </row>
    <row r="16" spans="1:2"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f>'[2]Grid Battery Storage'!B6</f>
        <v>23809.523809523806</v>
      </c>
      <c r="C6">
        <f>TREND('[2]Grid Battery Storage'!$B$6:$C$6,'[2]Grid Battery Storage'!$B$4:$C$4,'[2]Grid Battery Storage'!C8)</f>
        <v>23809.52380952239</v>
      </c>
      <c r="D6">
        <f>TREND('[2]Grid Battery Storage'!$B$6:$C$6,'[2]Grid Battery Storage'!$B$4:$C$4,'[2]Grid Battery Storage'!D8)</f>
        <v>50000</v>
      </c>
      <c r="E6">
        <f>TREND('[2]Grid Battery Storage'!$B$6:$C$6,'[2]Grid Battery Storage'!$B$4:$C$4,'[2]Grid Battery Storage'!E8)</f>
        <v>76190.47619047761</v>
      </c>
      <c r="F6">
        <f>TREND('[2]Grid Battery Storage'!$B$6:$C$6,'[2]Grid Battery Storage'!$B$4:$C$4,'[2]Grid Battery Storage'!F8)</f>
        <v>102380.95238095522</v>
      </c>
      <c r="G6">
        <f>TREND('[2]Grid Battery Storage'!$B$6:$C$6,'[2]Grid Battery Storage'!$B$4:$C$4,'[2]Grid Battery Storage'!G8)</f>
        <v>128571.42857143283</v>
      </c>
      <c r="H6">
        <f>TREND('[2]Grid Battery Storage'!$B$6:$C$6,'[2]Grid Battery Storage'!$B$4:$C$4,'[2]Grid Battery Storage'!H8)</f>
        <v>154761.90476190299</v>
      </c>
      <c r="I6">
        <f>TREND('[2]Grid Battery Storage'!$C$6:$D$6,'[2]Grid Battery Storage'!$C$4:$D$4,'[2]Grid Battery Storage'!I8)</f>
        <v>238095.2380952239</v>
      </c>
      <c r="J6">
        <f>TREND('[2]Grid Battery Storage'!$C$6:$D$6,'[2]Grid Battery Storage'!$C$4:$D$4,'[2]Grid Battery Storage'!J8)</f>
        <v>321428.57142856717</v>
      </c>
      <c r="K6">
        <f>TREND('[2]Grid Battery Storage'!$C$6:$D$6,'[2]Grid Battery Storage'!$C$4:$D$4,'[2]Grid Battery Storage'!K8)</f>
        <v>404761.90476191044</v>
      </c>
      <c r="L6">
        <f>TREND('[2]Grid Battery Storage'!$C$6:$D$6,'[2]Grid Battery Storage'!$C$4:$D$4,'[2]Grid Battery Storage'!L8)</f>
        <v>488095.2380952239</v>
      </c>
      <c r="M6">
        <f>TREND('[2]Grid Battery Storage'!$C$6:$D$6,'[2]Grid Battery Storage'!$C$4:$D$4,'[2]Grid Battery Storage'!M8)</f>
        <v>571428.57142856717</v>
      </c>
      <c r="N6">
        <f>TREND('[2]Grid Battery Storage'!$D$6:$E$6,'[2]Grid Battery Storage'!$D$4:$E$4,'[2]Grid Battery Storage'!N8)</f>
        <v>685714.28571429849</v>
      </c>
      <c r="O6">
        <f>TREND('[2]Grid Battery Storage'!$D$6:$E$6,'[2]Grid Battery Storage'!$D$4:$E$4,'[2]Grid Battery Storage'!O8)</f>
        <v>800000</v>
      </c>
      <c r="P6">
        <f>TREND('[2]Grid Battery Storage'!$D$6:$E$6,'[2]Grid Battery Storage'!$D$4:$E$4,'[2]Grid Battery Storage'!P8)</f>
        <v>914285.71428573132</v>
      </c>
      <c r="Q6">
        <f>TREND('[2]Grid Battery Storage'!$D$6:$E$6,'[2]Grid Battery Storage'!$D$4:$E$4,'[2]Grid Battery Storage'!Q8)</f>
        <v>1028571.4285714328</v>
      </c>
      <c r="R6">
        <f>TREND('[2]Grid Battery Storage'!$D$6:$E$6,'[2]Grid Battery Storage'!$D$4:$E$4,'[2]Grid Battery Storage'!R8)</f>
        <v>1142857.1428571343</v>
      </c>
      <c r="S6">
        <f>TREND('[2]Grid Battery Storage'!$E$6:$F$6,'[2]Grid Battery Storage'!$E$4:$F$4,'[2]Grid Battery Storage'!S8)</f>
        <v>1319047.6190475821</v>
      </c>
      <c r="T6">
        <f>TREND('[2]Grid Battery Storage'!$E$6:$F$6,'[2]Grid Battery Storage'!$E$4:$F$4,'[2]Grid Battery Storage'!T8)</f>
        <v>1495238.0952380896</v>
      </c>
      <c r="U6">
        <f>TREND('[2]Grid Battery Storage'!$E$6:$F$6,'[2]Grid Battery Storage'!$E$4:$F$4,'[2]Grid Battery Storage'!U8)</f>
        <v>1671428.5714285374</v>
      </c>
      <c r="V6">
        <f>TREND('[2]Grid Battery Storage'!$E$6:$F$6,'[2]Grid Battery Storage'!$E$4:$F$4,'[2]Grid Battery Storage'!V8)</f>
        <v>1847619.0476190448</v>
      </c>
      <c r="W6">
        <f>TREND('[2]Grid Battery Storage'!$E$6:$F$6,'[2]Grid Battery Storage'!$E$4:$F$4,'[2]Grid Battery Storage'!W8)</f>
        <v>2023809.5238094926</v>
      </c>
      <c r="X6">
        <f>TREND('[2]Grid Battery Storage'!$F$6:$G$6,'[2]Grid Battery Storage'!$F$4:$G$4,'[2]Grid Battery Storage'!X8)</f>
        <v>2261904.7619047761</v>
      </c>
      <c r="Y6">
        <f>TREND('[2]Grid Battery Storage'!$F$6:$G$6,'[2]Grid Battery Storage'!$F$4:$G$4,'[2]Grid Battery Storage'!Y8)</f>
        <v>2500000.0000000596</v>
      </c>
      <c r="Z6">
        <f>TREND('[2]Grid Battery Storage'!$F$6:$G$6,'[2]Grid Battery Storage'!$F$4:$G$4,'[2]Grid Battery Storage'!Z8)</f>
        <v>2738095.2380952835</v>
      </c>
      <c r="AA6">
        <f>TREND('[2]Grid Battery Storage'!$F$6:$G$6,'[2]Grid Battery Storage'!$F$4:$G$4,'[2]Grid Battery Storage'!AA8)</f>
        <v>2976190.4761905074</v>
      </c>
      <c r="AB6">
        <f>TREND('[2]Grid Battery Storage'!$F$6:$G$6,'[2]Grid Battery Storage'!$F$4:$G$4,'[2]Grid Battery Storage'!AB8)</f>
        <v>3214285.7142857313</v>
      </c>
      <c r="AC6">
        <f>TREND('[2]Grid Battery Storage'!$G$6:$H$6,'[2]Grid Battery Storage'!$G$4:$H$4,'[2]Grid Battery Storage'!AC8)</f>
        <v>3440476.1904761791</v>
      </c>
      <c r="AD6">
        <f>TREND('[2]Grid Battery Storage'!$G$6:$H$6,'[2]Grid Battery Storage'!$G$4:$H$4,'[2]Grid Battery Storage'!AD8)</f>
        <v>3666666.6666666865</v>
      </c>
      <c r="AE6">
        <f>TREND('[2]Grid Battery Storage'!$G$6:$H$6,'[2]Grid Battery Storage'!$G$4:$H$4,'[2]Grid Battery Storage'!AE8)</f>
        <v>3892857.1428571343</v>
      </c>
      <c r="AF6">
        <f>TREND('[2]Grid Battery Storage'!$G$6:$H$6,'[2]Grid Battery Storage'!$G$4:$H$4,'[2]Grid Battery Storage'!AF8)</f>
        <v>4119047.6190475821</v>
      </c>
      <c r="AG6">
        <f>TREND('[2]Grid Battery Storage'!$G$6:$H$6,'[2]Grid Battery Storage'!$G$4:$H$4,'[2]Grid Battery Storage'!AG8)</f>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f>('[2]EV Batteries'!D10)*(1000)</f>
        <v>230000</v>
      </c>
      <c r="C12">
        <f>('[2]EV Batteries'!E10)*(1000)</f>
        <v>490909.09090909094</v>
      </c>
      <c r="D12">
        <f>('[2]EV Batteries'!F10)*(1000)</f>
        <v>751818.18181818188</v>
      </c>
      <c r="E12">
        <f>('[2]EV Batteries'!G10)*(1000)</f>
        <v>1012727.2727272727</v>
      </c>
      <c r="F12">
        <f>('[2]EV Batteries'!H10)*(1000)</f>
        <v>1273636.3636363638</v>
      </c>
      <c r="G12">
        <f>('[2]EV Batteries'!I10)*(1000)</f>
        <v>1534545.4545454548</v>
      </c>
      <c r="H12">
        <f>('[2]EV Batteries'!J10)*(1000)</f>
        <v>1795454.5454545456</v>
      </c>
      <c r="I12">
        <f>('[2]EV Batteries'!K10)*(1000)</f>
        <v>2056363.6363636365</v>
      </c>
      <c r="J12">
        <f>('[2]EV Batteries'!L10)*(1000)</f>
        <v>2317272.7272727275</v>
      </c>
      <c r="K12">
        <f>('[2]EV Batteries'!M10)*(1000)</f>
        <v>2578181.8181818184</v>
      </c>
      <c r="L12">
        <f>('[2]EV Batteries'!N10)*(1000)</f>
        <v>2839090.9090909096</v>
      </c>
      <c r="M12">
        <f>('[2]EV Batteries'!O10)*(1000)</f>
        <v>3100000</v>
      </c>
    </row>
    <row r="13" spans="1:34" x14ac:dyDescent="0.25">
      <c r="A13" t="s">
        <v>9</v>
      </c>
      <c r="N13">
        <f>('[2]EV Batteries'!P10)*(1000)</f>
        <v>3424790.5975175635</v>
      </c>
      <c r="O13">
        <f>('[2]EV Batteries'!Q10)*(1000)</f>
        <v>3746501.3723235992</v>
      </c>
      <c r="P13">
        <f>('[2]EV Batteries'!R10)*(1000)</f>
        <v>4059905.3441759855</v>
      </c>
      <c r="Q13">
        <f>('[2]EV Batteries'!S10)*(1000)</f>
        <v>4360313.8003408825</v>
      </c>
      <c r="R13">
        <f>('[2]EV Batteries'!T10)*(1000)</f>
        <v>4643834.5503812227</v>
      </c>
      <c r="S13">
        <f>('[2]EV Batteries'!U10)*(1000)</f>
        <v>4907531.6444603689</v>
      </c>
      <c r="T13">
        <f>('[2]EV Batteries'!V10)*(1000)</f>
        <v>5149479.4152991604</v>
      </c>
      <c r="U13">
        <f>('[2]EV Batteries'!W10)*(1000)</f>
        <v>5368721.7605243968</v>
      </c>
      <c r="V13">
        <f>('[2]EV Batteries'!X10)*(1000)</f>
        <v>5565159.8514983393</v>
      </c>
      <c r="W13">
        <f>('[2]EV Batteries'!Y10)*(1000)</f>
        <v>5739396.454520884</v>
      </c>
    </row>
    <row r="14" spans="1:34" x14ac:dyDescent="0.25">
      <c r="A14" t="s">
        <v>10</v>
      </c>
      <c r="X14">
        <f>('[2]EV Batteries'!Z10)*(1000)</f>
        <v>5892563.6833218094</v>
      </c>
      <c r="Y14">
        <f>('[2]EV Batteries'!AA10)*(1000)</f>
        <v>6026155.5256387582</v>
      </c>
      <c r="Z14">
        <f>('[2]EV Batteries'!AB10)*(1000)</f>
        <v>6141879.3779363325</v>
      </c>
      <c r="AA14">
        <f>('[2]EV Batteries'!AC10)*(1000)</f>
        <v>6241534.0085637206</v>
      </c>
      <c r="AB14">
        <f>('[2]EV Batteries'!AD10)*(1000)</f>
        <v>6326915.950859325</v>
      </c>
      <c r="AC14">
        <f>('[2]EV Batteries'!AE10)*(1000)</f>
        <v>6399752.6614421792</v>
      </c>
      <c r="AD14">
        <f>('[2]EV Batteries'!AF10)*(1000)</f>
        <v>6461658.7298551602</v>
      </c>
      <c r="AE14">
        <f>('[2]EV Batteries'!AG10)*(1000)</f>
        <v>6514110.623151809</v>
      </c>
      <c r="AF14">
        <f>('[2]EV Batteries'!AH10)*(1000)</f>
        <v>6558435.4749555839</v>
      </c>
      <c r="AG14">
        <f>('[2]EV Batteries'!AI10)*(1000)</f>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G2"/>
  <sheetViews>
    <sheetView workbookViewId="0">
      <selection activeCell="M2" sqref="M2"/>
    </sheetView>
  </sheetViews>
  <sheetFormatPr defaultRowHeight="15" x14ac:dyDescent="0.25"/>
  <cols>
    <col min="1" max="1" width="26.7109375" customWidth="1"/>
    <col min="2" max="2" width="9.7109375" bestFit="1" customWidth="1"/>
    <col min="3" max="13" width="9.5703125" bestFit="1" customWidth="1"/>
    <col min="14" max="35" width="10.5703125" bestFit="1" customWidth="1"/>
  </cols>
  <sheetData>
    <row r="1" spans="1:33" x14ac:dyDescent="0.25">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6</v>
      </c>
      <c r="B2" s="10">
        <f>Calculations!B6+Calculations!C17</f>
        <v>2753809.5238095238</v>
      </c>
      <c r="C2" s="10">
        <f>Calculations!C6+Calculations!D17</f>
        <v>3244718.6147186132</v>
      </c>
      <c r="D2" s="10">
        <f>Calculations!D6+Calculations!E17</f>
        <v>4022727.2727272725</v>
      </c>
      <c r="E2" s="10">
        <f>Calculations!E6+Calculations!F17</f>
        <v>5061645.0216450226</v>
      </c>
      <c r="F2" s="10">
        <f>Calculations!F6+Calculations!G17</f>
        <v>6361471.8614718635</v>
      </c>
      <c r="G2" s="10">
        <f>Calculations!G6+Calculations!H17</f>
        <v>7922207.7922077961</v>
      </c>
      <c r="H2" s="10">
        <f>Calculations!H6+Calculations!I17</f>
        <v>9743852.8138528112</v>
      </c>
      <c r="I2" s="10">
        <f>Calculations!I6+Calculations!J17</f>
        <v>11883549.783549769</v>
      </c>
      <c r="J2" s="10">
        <f>Calculations!J6+Calculations!K17</f>
        <v>14284155.844155841</v>
      </c>
      <c r="K2" s="10">
        <f>Calculations!K6+Calculations!L17</f>
        <v>16945670.995671004</v>
      </c>
      <c r="L2" s="10">
        <f>Calculations!L6+Calculations!M17</f>
        <v>19868095.238095224</v>
      </c>
      <c r="M2" s="10">
        <f>Calculations!M6+Calculations!N17</f>
        <v>23051428.571428567</v>
      </c>
      <c r="N2" s="10">
        <f>Calculations!N6+Calculations!O17</f>
        <v>26590504.883231863</v>
      </c>
      <c r="O2" s="10">
        <f>Calculations!O6+Calculations!P17</f>
        <v>30451291.969841164</v>
      </c>
      <c r="P2" s="10">
        <f>Calculations!P6+Calculations!Q17</f>
        <v>34625483.028302878</v>
      </c>
      <c r="Q2" s="10">
        <f>Calculations!Q6+Calculations!R17</f>
        <v>39100082.542929463</v>
      </c>
      <c r="R2" s="10">
        <f>Calculations!R6+Calculations!S17</f>
        <v>43858202.807596385</v>
      </c>
      <c r="S2" s="10">
        <f>Calculations!S6+Calculations!T17</f>
        <v>48941924.928247198</v>
      </c>
      <c r="T2" s="10">
        <f>Calculations!T6+Calculations!U17</f>
        <v>54267594.819736868</v>
      </c>
      <c r="U2" s="10">
        <f>Calculations!U6+Calculations!V17</f>
        <v>59812507.056451716</v>
      </c>
      <c r="V2" s="10">
        <f>Calculations!V6+Calculations!W17</f>
        <v>65553857.384140566</v>
      </c>
      <c r="W2" s="10">
        <f>Calculations!W6+Calculations!X17</f>
        <v>71469444.314851895</v>
      </c>
      <c r="X2" s="10">
        <f>Calculations!X6+Calculations!Y17</f>
        <v>77600103.236268982</v>
      </c>
      <c r="Y2" s="10">
        <f>Calculations!Y6+Calculations!Z17</f>
        <v>83864354.000003025</v>
      </c>
      <c r="Z2" s="10">
        <f>Calculations!Z6+Calculations!AA17</f>
        <v>90244328.616034582</v>
      </c>
      <c r="AA2" s="10">
        <f>Calculations!AA6+Calculations!AB17</f>
        <v>96723957.862693533</v>
      </c>
      <c r="AB2" s="10">
        <f>Calculations!AB6+Calculations!AC17</f>
        <v>103288969.05164808</v>
      </c>
      <c r="AC2" s="10">
        <f>Calculations!AC6+Calculations!AD17</f>
        <v>109914912.1892807</v>
      </c>
      <c r="AD2" s="10">
        <f>Calculations!AD6+Calculations!AE17</f>
        <v>116602761.39532638</v>
      </c>
      <c r="AE2" s="10">
        <f>Calculations!AE6+Calculations!AF17</f>
        <v>123343062.49466863</v>
      </c>
      <c r="AF2" s="10">
        <f>Calculations!AF6+Calculations!AG17</f>
        <v>130127688.44581467</v>
      </c>
      <c r="AG2" s="10">
        <f>Calculations!AG6+Calculations!AH17</f>
        <v>136949688.84400424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726EBE-3825-4D75-A05D-19CDEE3AB148}"/>
</file>

<file path=customXml/itemProps2.xml><?xml version="1.0" encoding="utf-8"?>
<ds:datastoreItem xmlns:ds="http://schemas.openxmlformats.org/officeDocument/2006/customXml" ds:itemID="{286532DE-CA3D-47A3-914E-353E4566B2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About</vt:lpstr>
      <vt:lpstr>Grid Battery Storage</vt:lpstr>
      <vt:lpstr>EV Batteries</vt:lpstr>
      <vt:lpstr>EV Sigmoid Fitting</vt:lpstr>
      <vt:lpstr>Calculations</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2018-04-25T01:32:28Z</dcterms:created>
  <dcterms:modified xsi:type="dcterms:W3CDTF">2023-05-01T20:26:05Z</dcterms:modified>
</cp:coreProperties>
</file>