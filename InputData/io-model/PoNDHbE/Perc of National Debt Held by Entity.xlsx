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Repositories\eps-us\InputData\io-model\PoNDHbE\"/>
    </mc:Choice>
  </mc:AlternateContent>
  <xr:revisionPtr revIDLastSave="0" documentId="13_ncr:1_{9920A425-351B-4BCC-BB21-C89452DDEA92}" xr6:coauthVersionLast="46" xr6:coauthVersionMax="46" xr10:uidLastSave="{00000000-0000-0000-0000-000000000000}"/>
  <bookViews>
    <workbookView xWindow="9150" yWindow="690" windowWidth="29520" windowHeight="21060" xr2:uid="{451D0B24-AF55-4E31-8A85-DA035DBAD1DC}"/>
  </bookViews>
  <sheets>
    <sheet name="About" sheetId="1" r:id="rId1"/>
    <sheet name="SIFMA Data" sheetId="2" r:id="rId2"/>
    <sheet name="Calcs" sheetId="3" r:id="rId3"/>
    <sheet name="PoNDHbE" sheetId="4" r:id="rId4"/>
  </sheets>
  <definedNames>
    <definedName name="_xlnm.Print_Area" localSheetId="1">'SIFMA Data'!$A$1:$K$60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D9" i="3"/>
  <c r="D8" i="3"/>
  <c r="D3" i="3"/>
  <c r="D4" i="3"/>
  <c r="D5" i="3"/>
  <c r="D2" i="3"/>
  <c r="C10" i="3" a="1"/>
  <c r="C10" i="3" s="1"/>
  <c r="C9" i="3" a="1"/>
  <c r="C9" i="3" s="1"/>
  <c r="C8" i="3" a="1"/>
  <c r="C8" i="3" s="1"/>
  <c r="C7" i="3" a="1"/>
  <c r="C7" i="3" s="1"/>
  <c r="C6" i="3" a="1"/>
  <c r="C6" i="3" s="1"/>
  <c r="C5" i="3" a="1"/>
  <c r="C5" i="3" s="1"/>
  <c r="C4" i="3" a="1"/>
  <c r="C4" i="3" s="1"/>
  <c r="C3" i="3" a="1"/>
  <c r="C3" i="3" s="1"/>
  <c r="C2" i="3" a="1"/>
  <c r="C2" i="3" s="1"/>
  <c r="B1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<sst xmlns="http://schemas.openxmlformats.org/spreadsheetml/2006/main" count="73" uniqueCount="60">
  <si>
    <t>PoNDHbE Percent of National Debt Held by Entity</t>
  </si>
  <si>
    <t>Source:</t>
  </si>
  <si>
    <r>
      <t>Holders of U.S. Treasury Securities</t>
    </r>
    <r>
      <rPr>
        <b/>
        <vertAlign val="superscript"/>
        <sz val="20"/>
        <rFont val="Times New Roman"/>
        <family val="1"/>
      </rPr>
      <t>1</t>
    </r>
  </si>
  <si>
    <t>USD Billions</t>
  </si>
  <si>
    <r>
      <t xml:space="preserve"> Individuals</t>
    </r>
    <r>
      <rPr>
        <vertAlign val="superscript"/>
        <sz val="9"/>
        <rFont val="Times New Roman"/>
        <family val="1"/>
      </rPr>
      <t>2</t>
    </r>
  </si>
  <si>
    <r>
      <t>Mutual Funds</t>
    </r>
    <r>
      <rPr>
        <vertAlign val="superscript"/>
        <sz val="9"/>
        <rFont val="Times New Roman"/>
        <family val="1"/>
      </rPr>
      <t>3</t>
    </r>
  </si>
  <si>
    <r>
      <t>Banking Institutions</t>
    </r>
    <r>
      <rPr>
        <vertAlign val="superscript"/>
        <sz val="9"/>
        <rFont val="Times New Roman"/>
        <family val="1"/>
      </rPr>
      <t>4</t>
    </r>
  </si>
  <si>
    <r>
      <t xml:space="preserve">   Insurance Companies</t>
    </r>
    <r>
      <rPr>
        <vertAlign val="superscript"/>
        <sz val="9"/>
        <rFont val="Times New Roman"/>
        <family val="1"/>
      </rPr>
      <t>5</t>
    </r>
  </si>
  <si>
    <t>Monetary Authority</t>
  </si>
  <si>
    <t xml:space="preserve"> State &amp; Local Governments</t>
  </si>
  <si>
    <t xml:space="preserve">  Foreign and International</t>
  </si>
  <si>
    <r>
      <t>Pension Funds</t>
    </r>
    <r>
      <rPr>
        <vertAlign val="superscript"/>
        <sz val="9"/>
        <rFont val="Times New Roman"/>
        <family val="1"/>
      </rPr>
      <t>6</t>
    </r>
  </si>
  <si>
    <r>
      <t xml:space="preserve">   Other</t>
    </r>
    <r>
      <rPr>
        <vertAlign val="superscript"/>
        <sz val="9"/>
        <rFont val="Times New Roman"/>
        <family val="1"/>
      </rPr>
      <t>7</t>
    </r>
  </si>
  <si>
    <t xml:space="preserve">Total </t>
  </si>
  <si>
    <r>
      <t>Discrepancy</t>
    </r>
    <r>
      <rPr>
        <vertAlign val="superscript"/>
        <sz val="9"/>
        <rFont val="Times New Roman"/>
        <family val="1"/>
      </rPr>
      <t>8</t>
    </r>
  </si>
  <si>
    <t>Q1</t>
  </si>
  <si>
    <t>Q2</t>
  </si>
  <si>
    <t>Q3</t>
  </si>
  <si>
    <t>Q4</t>
  </si>
  <si>
    <t>1 Includes all public debt securities except for savings bonds and state and local government series.</t>
  </si>
  <si>
    <t>2 Includes households and nonprofit organizations</t>
  </si>
  <si>
    <t>3 Includes mutual funds, money market funds, close-end funds and exchange-traded funds.</t>
  </si>
  <si>
    <t>4 Includes commercial banks, savings institutions, credit unions, broker dealers and holding companies.</t>
  </si>
  <si>
    <t>5 Includes property-casualty and life insurance companies.</t>
  </si>
  <si>
    <t>6 Includes private pension funds, state and local govt. and federal govt. retirement funds.</t>
  </si>
  <si>
    <t>7 Includes nonfinancial corporate institutions, nonfinancial noncorporate institutions, government-sponsored enterprises, abs issuers.</t>
  </si>
  <si>
    <t>8 The accumulated valuation difference between issuance and holdings.</t>
  </si>
  <si>
    <t>Sources: Federal Reserve System, Financial Accounts of the United States</t>
  </si>
  <si>
    <t>Securities Industry and Financial Markets Association</t>
  </si>
  <si>
    <t>Holders of U.S. Treasury Securities</t>
  </si>
  <si>
    <t>https://www.sifma.org/resources/research/us-treasury-securities-holders/</t>
  </si>
  <si>
    <t>Notes</t>
  </si>
  <si>
    <t>Mutual Funds</t>
  </si>
  <si>
    <t>Banking Institutions</t>
  </si>
  <si>
    <t>Pension Funds</t>
  </si>
  <si>
    <t>Other</t>
  </si>
  <si>
    <t>Foreign and International</t>
  </si>
  <si>
    <t>State &amp; Local Governments</t>
  </si>
  <si>
    <t>Insurance Companies</t>
  </si>
  <si>
    <t>Individuals</t>
  </si>
  <si>
    <t>SIFMA Category</t>
  </si>
  <si>
    <t>labor and consumers</t>
  </si>
  <si>
    <t>EPS Cash Flow Entity</t>
  </si>
  <si>
    <t>nonenergy industries</t>
  </si>
  <si>
    <t>government</t>
  </si>
  <si>
    <t>foreign entities</t>
  </si>
  <si>
    <t>Average % of Debt Held</t>
  </si>
  <si>
    <t>Average % of Debt Held Excl. Gov and Other</t>
  </si>
  <si>
    <t>Share of Debt Held</t>
  </si>
  <si>
    <t>Unit: dimensionless (% of debt held)</t>
  </si>
  <si>
    <t>(e.g. government debt held by various government agencies, programs like</t>
  </si>
  <si>
    <t>social security, or other tiers of government, such as state or local governments).</t>
  </si>
  <si>
    <t>The percentages here should reflect only debt held by the public, also called</t>
  </si>
  <si>
    <t>"marketable debt."  This is because the EPS treats "government" as a single</t>
  </si>
  <si>
    <t>entity, and if government engages in increased deficit spending, it must</t>
  </si>
  <si>
    <t>obtain that money from somewhere (not just transfer it between various</t>
  </si>
  <si>
    <t>government departments or tiers), so we assume that incremental deficit spending</t>
  </si>
  <si>
    <t>caused by policy packages in the EPS is funded by debt held by the public.</t>
  </si>
  <si>
    <r>
      <t xml:space="preserve">The percentages in this variable should </t>
    </r>
    <r>
      <rPr>
        <b/>
        <sz val="11"/>
        <color theme="1"/>
        <rFont val="Calibri"/>
        <family val="2"/>
        <scheme val="minor"/>
      </rPr>
      <t>exclude all intra-governmental debt</t>
    </r>
  </si>
  <si>
    <t>domestic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</si>
</sst>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General_)"/>
    <numFmt numFmtId="166" formatCode="#,##0.0"/>
    <numFmt numFmtId="167" formatCode="#,###.0,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Times New Roman"/>
      <family val="1"/>
    </font>
    <font>
      <b/>
      <vertAlign val="superscript"/>
      <sz val="2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vertAlign val="superscript"/>
      <sz val="9"/>
      <name val="Times New Roman"/>
      <family val="1"/>
    </font>
    <font>
      <sz val="10"/>
      <name val="Courier"/>
      <family val="3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5" fontId="8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1" fontId="3" fillId="2" borderId="0" xfId="1" applyNumberFormat="1" applyFont="1" applyFill="1" applyAlignment="1">
      <alignment horizontal="left"/>
    </xf>
    <xf numFmtId="0" fontId="5" fillId="2" borderId="0" xfId="1" applyFont="1" applyFill="1" applyAlignment="1">
      <alignment horizontal="center"/>
    </xf>
    <xf numFmtId="164" fontId="5" fillId="2" borderId="0" xfId="1" applyNumberFormat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5" fillId="2" borderId="0" xfId="1" applyFont="1" applyFill="1"/>
    <xf numFmtId="0" fontId="6" fillId="2" borderId="0" xfId="1" applyFont="1" applyFill="1"/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wrapText="1"/>
    </xf>
    <xf numFmtId="0" fontId="6" fillId="2" borderId="1" xfId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166" fontId="5" fillId="2" borderId="0" xfId="2" applyNumberFormat="1" applyFont="1" applyFill="1" applyAlignment="1">
      <alignment horizontal="center"/>
    </xf>
    <xf numFmtId="166" fontId="6" fillId="2" borderId="0" xfId="2" applyNumberFormat="1" applyFont="1" applyFill="1" applyAlignment="1">
      <alignment horizontal="center"/>
    </xf>
    <xf numFmtId="165" fontId="5" fillId="2" borderId="0" xfId="2" applyFont="1" applyFill="1"/>
    <xf numFmtId="165" fontId="5" fillId="2" borderId="0" xfId="1" applyNumberFormat="1" applyFont="1" applyFill="1" applyAlignment="1">
      <alignment horizontal="center"/>
    </xf>
    <xf numFmtId="167" fontId="5" fillId="2" borderId="0" xfId="1" applyNumberFormat="1" applyFont="1" applyFill="1"/>
    <xf numFmtId="0" fontId="5" fillId="2" borderId="0" xfId="2" applyNumberFormat="1" applyFont="1" applyFill="1" applyAlignment="1">
      <alignment horizontal="left"/>
    </xf>
    <xf numFmtId="166" fontId="5" fillId="2" borderId="0" xfId="2" applyNumberFormat="1" applyFont="1" applyFill="1" applyAlignment="1">
      <alignment horizontal="left"/>
    </xf>
    <xf numFmtId="164" fontId="5" fillId="2" borderId="0" xfId="1" applyNumberFormat="1" applyFont="1" applyFill="1"/>
    <xf numFmtId="166" fontId="5" fillId="2" borderId="0" xfId="1" applyNumberFormat="1" applyFont="1" applyFill="1"/>
    <xf numFmtId="165" fontId="5" fillId="2" borderId="0" xfId="1" applyNumberFormat="1" applyFont="1" applyFill="1"/>
    <xf numFmtId="167" fontId="6" fillId="2" borderId="0" xfId="2" applyNumberFormat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0" fontId="5" fillId="2" borderId="0" xfId="2" applyNumberFormat="1" applyFont="1" applyFill="1"/>
    <xf numFmtId="165" fontId="5" fillId="2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9" fillId="0" borderId="0" xfId="3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3" borderId="0" xfId="0" applyFill="1"/>
    <xf numFmtId="0" fontId="1" fillId="0" borderId="0" xfId="0" applyFont="1" applyAlignment="1">
      <alignment horizontal="right"/>
    </xf>
    <xf numFmtId="0" fontId="10" fillId="0" borderId="0" xfId="0" applyFont="1"/>
  </cellXfs>
  <cellStyles count="4">
    <cellStyle name="Hyperlink" xfId="3" builtinId="8"/>
    <cellStyle name="Normal" xfId="0" builtinId="0"/>
    <cellStyle name="Normal 2" xfId="1" xr:uid="{00B5581E-B353-45CF-825C-BCADC57BBDF5}"/>
    <cellStyle name="Normal_tsyhold96" xfId="2" xr:uid="{5D465815-6F6E-4E1B-9539-BC95CB9663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0</xdr:row>
      <xdr:rowOff>28575</xdr:rowOff>
    </xdr:from>
    <xdr:to>
      <xdr:col>9</xdr:col>
      <xdr:colOff>485775</xdr:colOff>
      <xdr:row>1</xdr:row>
      <xdr:rowOff>381000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ADCF6AA-6AC9-4549-AF2A-AE1CC41EF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28575"/>
          <a:ext cx="17049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209550</xdr:colOff>
      <xdr:row>0</xdr:row>
      <xdr:rowOff>28575</xdr:rowOff>
    </xdr:from>
    <xdr:to>
      <xdr:col>9</xdr:col>
      <xdr:colOff>485775</xdr:colOff>
      <xdr:row>1</xdr:row>
      <xdr:rowOff>381000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071FBA-D902-416D-A46B-72AEED7A0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28575"/>
          <a:ext cx="17049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fma.org/resources/research/us-treasury-securities-holde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1D97-709F-4BD1-B350-8CFE7D780BAB}">
  <dimension ref="A1:B17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28</v>
      </c>
    </row>
    <row r="4" spans="1:2" x14ac:dyDescent="0.25">
      <c r="B4" s="26">
        <v>2020</v>
      </c>
    </row>
    <row r="5" spans="1:2" x14ac:dyDescent="0.25">
      <c r="B5" t="s">
        <v>29</v>
      </c>
    </row>
    <row r="6" spans="1:2" x14ac:dyDescent="0.25">
      <c r="B6" s="27" t="s">
        <v>30</v>
      </c>
    </row>
    <row r="8" spans="1:2" x14ac:dyDescent="0.25">
      <c r="A8" s="1" t="s">
        <v>31</v>
      </c>
    </row>
    <row r="9" spans="1:2" x14ac:dyDescent="0.25">
      <c r="A9" t="s">
        <v>58</v>
      </c>
    </row>
    <row r="10" spans="1:2" x14ac:dyDescent="0.25">
      <c r="A10" t="s">
        <v>50</v>
      </c>
    </row>
    <row r="11" spans="1:2" x14ac:dyDescent="0.25">
      <c r="A11" t="s">
        <v>51</v>
      </c>
    </row>
    <row r="12" spans="1:2" x14ac:dyDescent="0.25">
      <c r="A12" t="s">
        <v>52</v>
      </c>
    </row>
    <row r="13" spans="1:2" x14ac:dyDescent="0.25">
      <c r="A13" t="s">
        <v>53</v>
      </c>
    </row>
    <row r="14" spans="1:2" x14ac:dyDescent="0.25">
      <c r="A14" t="s">
        <v>54</v>
      </c>
    </row>
    <row r="15" spans="1:2" x14ac:dyDescent="0.25">
      <c r="A15" t="s">
        <v>55</v>
      </c>
    </row>
    <row r="16" spans="1:2" x14ac:dyDescent="0.25">
      <c r="A16" t="s">
        <v>56</v>
      </c>
    </row>
    <row r="17" spans="1:1" x14ac:dyDescent="0.25">
      <c r="A17" t="s">
        <v>57</v>
      </c>
    </row>
  </sheetData>
  <hyperlinks>
    <hyperlink ref="B6" r:id="rId1" xr:uid="{EC1B0FFC-EE38-4900-841F-D4BBFEC214D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21BE8-BE5A-4D8C-90D1-902196D27903}">
  <sheetPr>
    <pageSetUpPr fitToPage="1"/>
  </sheetPr>
  <dimension ref="A1:R58"/>
  <sheetViews>
    <sheetView zoomScaleNormal="100" zoomScaleSheetLayoutView="100" workbookViewId="0">
      <pane ySplit="5" topLeftCell="A6" activePane="bottomLeft" state="frozen"/>
      <selection pane="bottomLeft"/>
    </sheetView>
  </sheetViews>
  <sheetFormatPr defaultRowHeight="12" x14ac:dyDescent="0.2"/>
  <cols>
    <col min="1" max="1" width="8" style="6" bestFit="1" customWidth="1"/>
    <col min="2" max="10" width="10.7109375" style="6" customWidth="1"/>
    <col min="11" max="11" width="10.7109375" style="7" customWidth="1"/>
    <col min="12" max="12" width="9.140625" style="6"/>
    <col min="13" max="13" width="10.7109375" style="6" customWidth="1"/>
    <col min="14" max="256" width="9.140625" style="6"/>
    <col min="257" max="257" width="8" style="6" bestFit="1" customWidth="1"/>
    <col min="258" max="267" width="10.7109375" style="6" customWidth="1"/>
    <col min="268" max="268" width="9.140625" style="6"/>
    <col min="269" max="269" width="10.7109375" style="6" customWidth="1"/>
    <col min="270" max="512" width="9.140625" style="6"/>
    <col min="513" max="513" width="8" style="6" bestFit="1" customWidth="1"/>
    <col min="514" max="523" width="10.7109375" style="6" customWidth="1"/>
    <col min="524" max="524" width="9.140625" style="6"/>
    <col min="525" max="525" width="10.7109375" style="6" customWidth="1"/>
    <col min="526" max="768" width="9.140625" style="6"/>
    <col min="769" max="769" width="8" style="6" bestFit="1" customWidth="1"/>
    <col min="770" max="779" width="10.7109375" style="6" customWidth="1"/>
    <col min="780" max="780" width="9.140625" style="6"/>
    <col min="781" max="781" width="10.7109375" style="6" customWidth="1"/>
    <col min="782" max="1024" width="9.140625" style="6"/>
    <col min="1025" max="1025" width="8" style="6" bestFit="1" customWidth="1"/>
    <col min="1026" max="1035" width="10.7109375" style="6" customWidth="1"/>
    <col min="1036" max="1036" width="9.140625" style="6"/>
    <col min="1037" max="1037" width="10.7109375" style="6" customWidth="1"/>
    <col min="1038" max="1280" width="9.140625" style="6"/>
    <col min="1281" max="1281" width="8" style="6" bestFit="1" customWidth="1"/>
    <col min="1282" max="1291" width="10.7109375" style="6" customWidth="1"/>
    <col min="1292" max="1292" width="9.140625" style="6"/>
    <col min="1293" max="1293" width="10.7109375" style="6" customWidth="1"/>
    <col min="1294" max="1536" width="9.140625" style="6"/>
    <col min="1537" max="1537" width="8" style="6" bestFit="1" customWidth="1"/>
    <col min="1538" max="1547" width="10.7109375" style="6" customWidth="1"/>
    <col min="1548" max="1548" width="9.140625" style="6"/>
    <col min="1549" max="1549" width="10.7109375" style="6" customWidth="1"/>
    <col min="1550" max="1792" width="9.140625" style="6"/>
    <col min="1793" max="1793" width="8" style="6" bestFit="1" customWidth="1"/>
    <col min="1794" max="1803" width="10.7109375" style="6" customWidth="1"/>
    <col min="1804" max="1804" width="9.140625" style="6"/>
    <col min="1805" max="1805" width="10.7109375" style="6" customWidth="1"/>
    <col min="1806" max="2048" width="9.140625" style="6"/>
    <col min="2049" max="2049" width="8" style="6" bestFit="1" customWidth="1"/>
    <col min="2050" max="2059" width="10.7109375" style="6" customWidth="1"/>
    <col min="2060" max="2060" width="9.140625" style="6"/>
    <col min="2061" max="2061" width="10.7109375" style="6" customWidth="1"/>
    <col min="2062" max="2304" width="9.140625" style="6"/>
    <col min="2305" max="2305" width="8" style="6" bestFit="1" customWidth="1"/>
    <col min="2306" max="2315" width="10.7109375" style="6" customWidth="1"/>
    <col min="2316" max="2316" width="9.140625" style="6"/>
    <col min="2317" max="2317" width="10.7109375" style="6" customWidth="1"/>
    <col min="2318" max="2560" width="9.140625" style="6"/>
    <col min="2561" max="2561" width="8" style="6" bestFit="1" customWidth="1"/>
    <col min="2562" max="2571" width="10.7109375" style="6" customWidth="1"/>
    <col min="2572" max="2572" width="9.140625" style="6"/>
    <col min="2573" max="2573" width="10.7109375" style="6" customWidth="1"/>
    <col min="2574" max="2816" width="9.140625" style="6"/>
    <col min="2817" max="2817" width="8" style="6" bestFit="1" customWidth="1"/>
    <col min="2818" max="2827" width="10.7109375" style="6" customWidth="1"/>
    <col min="2828" max="2828" width="9.140625" style="6"/>
    <col min="2829" max="2829" width="10.7109375" style="6" customWidth="1"/>
    <col min="2830" max="3072" width="9.140625" style="6"/>
    <col min="3073" max="3073" width="8" style="6" bestFit="1" customWidth="1"/>
    <col min="3074" max="3083" width="10.7109375" style="6" customWidth="1"/>
    <col min="3084" max="3084" width="9.140625" style="6"/>
    <col min="3085" max="3085" width="10.7109375" style="6" customWidth="1"/>
    <col min="3086" max="3328" width="9.140625" style="6"/>
    <col min="3329" max="3329" width="8" style="6" bestFit="1" customWidth="1"/>
    <col min="3330" max="3339" width="10.7109375" style="6" customWidth="1"/>
    <col min="3340" max="3340" width="9.140625" style="6"/>
    <col min="3341" max="3341" width="10.7109375" style="6" customWidth="1"/>
    <col min="3342" max="3584" width="9.140625" style="6"/>
    <col min="3585" max="3585" width="8" style="6" bestFit="1" customWidth="1"/>
    <col min="3586" max="3595" width="10.7109375" style="6" customWidth="1"/>
    <col min="3596" max="3596" width="9.140625" style="6"/>
    <col min="3597" max="3597" width="10.7109375" style="6" customWidth="1"/>
    <col min="3598" max="3840" width="9.140625" style="6"/>
    <col min="3841" max="3841" width="8" style="6" bestFit="1" customWidth="1"/>
    <col min="3842" max="3851" width="10.7109375" style="6" customWidth="1"/>
    <col min="3852" max="3852" width="9.140625" style="6"/>
    <col min="3853" max="3853" width="10.7109375" style="6" customWidth="1"/>
    <col min="3854" max="4096" width="9.140625" style="6"/>
    <col min="4097" max="4097" width="8" style="6" bestFit="1" customWidth="1"/>
    <col min="4098" max="4107" width="10.7109375" style="6" customWidth="1"/>
    <col min="4108" max="4108" width="9.140625" style="6"/>
    <col min="4109" max="4109" width="10.7109375" style="6" customWidth="1"/>
    <col min="4110" max="4352" width="9.140625" style="6"/>
    <col min="4353" max="4353" width="8" style="6" bestFit="1" customWidth="1"/>
    <col min="4354" max="4363" width="10.7109375" style="6" customWidth="1"/>
    <col min="4364" max="4364" width="9.140625" style="6"/>
    <col min="4365" max="4365" width="10.7109375" style="6" customWidth="1"/>
    <col min="4366" max="4608" width="9.140625" style="6"/>
    <col min="4609" max="4609" width="8" style="6" bestFit="1" customWidth="1"/>
    <col min="4610" max="4619" width="10.7109375" style="6" customWidth="1"/>
    <col min="4620" max="4620" width="9.140625" style="6"/>
    <col min="4621" max="4621" width="10.7109375" style="6" customWidth="1"/>
    <col min="4622" max="4864" width="9.140625" style="6"/>
    <col min="4865" max="4865" width="8" style="6" bestFit="1" customWidth="1"/>
    <col min="4866" max="4875" width="10.7109375" style="6" customWidth="1"/>
    <col min="4876" max="4876" width="9.140625" style="6"/>
    <col min="4877" max="4877" width="10.7109375" style="6" customWidth="1"/>
    <col min="4878" max="5120" width="9.140625" style="6"/>
    <col min="5121" max="5121" width="8" style="6" bestFit="1" customWidth="1"/>
    <col min="5122" max="5131" width="10.7109375" style="6" customWidth="1"/>
    <col min="5132" max="5132" width="9.140625" style="6"/>
    <col min="5133" max="5133" width="10.7109375" style="6" customWidth="1"/>
    <col min="5134" max="5376" width="9.140625" style="6"/>
    <col min="5377" max="5377" width="8" style="6" bestFit="1" customWidth="1"/>
    <col min="5378" max="5387" width="10.7109375" style="6" customWidth="1"/>
    <col min="5388" max="5388" width="9.140625" style="6"/>
    <col min="5389" max="5389" width="10.7109375" style="6" customWidth="1"/>
    <col min="5390" max="5632" width="9.140625" style="6"/>
    <col min="5633" max="5633" width="8" style="6" bestFit="1" customWidth="1"/>
    <col min="5634" max="5643" width="10.7109375" style="6" customWidth="1"/>
    <col min="5644" max="5644" width="9.140625" style="6"/>
    <col min="5645" max="5645" width="10.7109375" style="6" customWidth="1"/>
    <col min="5646" max="5888" width="9.140625" style="6"/>
    <col min="5889" max="5889" width="8" style="6" bestFit="1" customWidth="1"/>
    <col min="5890" max="5899" width="10.7109375" style="6" customWidth="1"/>
    <col min="5900" max="5900" width="9.140625" style="6"/>
    <col min="5901" max="5901" width="10.7109375" style="6" customWidth="1"/>
    <col min="5902" max="6144" width="9.140625" style="6"/>
    <col min="6145" max="6145" width="8" style="6" bestFit="1" customWidth="1"/>
    <col min="6146" max="6155" width="10.7109375" style="6" customWidth="1"/>
    <col min="6156" max="6156" width="9.140625" style="6"/>
    <col min="6157" max="6157" width="10.7109375" style="6" customWidth="1"/>
    <col min="6158" max="6400" width="9.140625" style="6"/>
    <col min="6401" max="6401" width="8" style="6" bestFit="1" customWidth="1"/>
    <col min="6402" max="6411" width="10.7109375" style="6" customWidth="1"/>
    <col min="6412" max="6412" width="9.140625" style="6"/>
    <col min="6413" max="6413" width="10.7109375" style="6" customWidth="1"/>
    <col min="6414" max="6656" width="9.140625" style="6"/>
    <col min="6657" max="6657" width="8" style="6" bestFit="1" customWidth="1"/>
    <col min="6658" max="6667" width="10.7109375" style="6" customWidth="1"/>
    <col min="6668" max="6668" width="9.140625" style="6"/>
    <col min="6669" max="6669" width="10.7109375" style="6" customWidth="1"/>
    <col min="6670" max="6912" width="9.140625" style="6"/>
    <col min="6913" max="6913" width="8" style="6" bestFit="1" customWidth="1"/>
    <col min="6914" max="6923" width="10.7109375" style="6" customWidth="1"/>
    <col min="6924" max="6924" width="9.140625" style="6"/>
    <col min="6925" max="6925" width="10.7109375" style="6" customWidth="1"/>
    <col min="6926" max="7168" width="9.140625" style="6"/>
    <col min="7169" max="7169" width="8" style="6" bestFit="1" customWidth="1"/>
    <col min="7170" max="7179" width="10.7109375" style="6" customWidth="1"/>
    <col min="7180" max="7180" width="9.140625" style="6"/>
    <col min="7181" max="7181" width="10.7109375" style="6" customWidth="1"/>
    <col min="7182" max="7424" width="9.140625" style="6"/>
    <col min="7425" max="7425" width="8" style="6" bestFit="1" customWidth="1"/>
    <col min="7426" max="7435" width="10.7109375" style="6" customWidth="1"/>
    <col min="7436" max="7436" width="9.140625" style="6"/>
    <col min="7437" max="7437" width="10.7109375" style="6" customWidth="1"/>
    <col min="7438" max="7680" width="9.140625" style="6"/>
    <col min="7681" max="7681" width="8" style="6" bestFit="1" customWidth="1"/>
    <col min="7682" max="7691" width="10.7109375" style="6" customWidth="1"/>
    <col min="7692" max="7692" width="9.140625" style="6"/>
    <col min="7693" max="7693" width="10.7109375" style="6" customWidth="1"/>
    <col min="7694" max="7936" width="9.140625" style="6"/>
    <col min="7937" max="7937" width="8" style="6" bestFit="1" customWidth="1"/>
    <col min="7938" max="7947" width="10.7109375" style="6" customWidth="1"/>
    <col min="7948" max="7948" width="9.140625" style="6"/>
    <col min="7949" max="7949" width="10.7109375" style="6" customWidth="1"/>
    <col min="7950" max="8192" width="9.140625" style="6"/>
    <col min="8193" max="8193" width="8" style="6" bestFit="1" customWidth="1"/>
    <col min="8194" max="8203" width="10.7109375" style="6" customWidth="1"/>
    <col min="8204" max="8204" width="9.140625" style="6"/>
    <col min="8205" max="8205" width="10.7109375" style="6" customWidth="1"/>
    <col min="8206" max="8448" width="9.140625" style="6"/>
    <col min="8449" max="8449" width="8" style="6" bestFit="1" customWidth="1"/>
    <col min="8450" max="8459" width="10.7109375" style="6" customWidth="1"/>
    <col min="8460" max="8460" width="9.140625" style="6"/>
    <col min="8461" max="8461" width="10.7109375" style="6" customWidth="1"/>
    <col min="8462" max="8704" width="9.140625" style="6"/>
    <col min="8705" max="8705" width="8" style="6" bestFit="1" customWidth="1"/>
    <col min="8706" max="8715" width="10.7109375" style="6" customWidth="1"/>
    <col min="8716" max="8716" width="9.140625" style="6"/>
    <col min="8717" max="8717" width="10.7109375" style="6" customWidth="1"/>
    <col min="8718" max="8960" width="9.140625" style="6"/>
    <col min="8961" max="8961" width="8" style="6" bestFit="1" customWidth="1"/>
    <col min="8962" max="8971" width="10.7109375" style="6" customWidth="1"/>
    <col min="8972" max="8972" width="9.140625" style="6"/>
    <col min="8973" max="8973" width="10.7109375" style="6" customWidth="1"/>
    <col min="8974" max="9216" width="9.140625" style="6"/>
    <col min="9217" max="9217" width="8" style="6" bestFit="1" customWidth="1"/>
    <col min="9218" max="9227" width="10.7109375" style="6" customWidth="1"/>
    <col min="9228" max="9228" width="9.140625" style="6"/>
    <col min="9229" max="9229" width="10.7109375" style="6" customWidth="1"/>
    <col min="9230" max="9472" width="9.140625" style="6"/>
    <col min="9473" max="9473" width="8" style="6" bestFit="1" customWidth="1"/>
    <col min="9474" max="9483" width="10.7109375" style="6" customWidth="1"/>
    <col min="9484" max="9484" width="9.140625" style="6"/>
    <col min="9485" max="9485" width="10.7109375" style="6" customWidth="1"/>
    <col min="9486" max="9728" width="9.140625" style="6"/>
    <col min="9729" max="9729" width="8" style="6" bestFit="1" customWidth="1"/>
    <col min="9730" max="9739" width="10.7109375" style="6" customWidth="1"/>
    <col min="9740" max="9740" width="9.140625" style="6"/>
    <col min="9741" max="9741" width="10.7109375" style="6" customWidth="1"/>
    <col min="9742" max="9984" width="9.140625" style="6"/>
    <col min="9985" max="9985" width="8" style="6" bestFit="1" customWidth="1"/>
    <col min="9986" max="9995" width="10.7109375" style="6" customWidth="1"/>
    <col min="9996" max="9996" width="9.140625" style="6"/>
    <col min="9997" max="9997" width="10.7109375" style="6" customWidth="1"/>
    <col min="9998" max="10240" width="9.140625" style="6"/>
    <col min="10241" max="10241" width="8" style="6" bestFit="1" customWidth="1"/>
    <col min="10242" max="10251" width="10.7109375" style="6" customWidth="1"/>
    <col min="10252" max="10252" width="9.140625" style="6"/>
    <col min="10253" max="10253" width="10.7109375" style="6" customWidth="1"/>
    <col min="10254" max="10496" width="9.140625" style="6"/>
    <col min="10497" max="10497" width="8" style="6" bestFit="1" customWidth="1"/>
    <col min="10498" max="10507" width="10.7109375" style="6" customWidth="1"/>
    <col min="10508" max="10508" width="9.140625" style="6"/>
    <col min="10509" max="10509" width="10.7109375" style="6" customWidth="1"/>
    <col min="10510" max="10752" width="9.140625" style="6"/>
    <col min="10753" max="10753" width="8" style="6" bestFit="1" customWidth="1"/>
    <col min="10754" max="10763" width="10.7109375" style="6" customWidth="1"/>
    <col min="10764" max="10764" width="9.140625" style="6"/>
    <col min="10765" max="10765" width="10.7109375" style="6" customWidth="1"/>
    <col min="10766" max="11008" width="9.140625" style="6"/>
    <col min="11009" max="11009" width="8" style="6" bestFit="1" customWidth="1"/>
    <col min="11010" max="11019" width="10.7109375" style="6" customWidth="1"/>
    <col min="11020" max="11020" width="9.140625" style="6"/>
    <col min="11021" max="11021" width="10.7109375" style="6" customWidth="1"/>
    <col min="11022" max="11264" width="9.140625" style="6"/>
    <col min="11265" max="11265" width="8" style="6" bestFit="1" customWidth="1"/>
    <col min="11266" max="11275" width="10.7109375" style="6" customWidth="1"/>
    <col min="11276" max="11276" width="9.140625" style="6"/>
    <col min="11277" max="11277" width="10.7109375" style="6" customWidth="1"/>
    <col min="11278" max="11520" width="9.140625" style="6"/>
    <col min="11521" max="11521" width="8" style="6" bestFit="1" customWidth="1"/>
    <col min="11522" max="11531" width="10.7109375" style="6" customWidth="1"/>
    <col min="11532" max="11532" width="9.140625" style="6"/>
    <col min="11533" max="11533" width="10.7109375" style="6" customWidth="1"/>
    <col min="11534" max="11776" width="9.140625" style="6"/>
    <col min="11777" max="11777" width="8" style="6" bestFit="1" customWidth="1"/>
    <col min="11778" max="11787" width="10.7109375" style="6" customWidth="1"/>
    <col min="11788" max="11788" width="9.140625" style="6"/>
    <col min="11789" max="11789" width="10.7109375" style="6" customWidth="1"/>
    <col min="11790" max="12032" width="9.140625" style="6"/>
    <col min="12033" max="12033" width="8" style="6" bestFit="1" customWidth="1"/>
    <col min="12034" max="12043" width="10.7109375" style="6" customWidth="1"/>
    <col min="12044" max="12044" width="9.140625" style="6"/>
    <col min="12045" max="12045" width="10.7109375" style="6" customWidth="1"/>
    <col min="12046" max="12288" width="9.140625" style="6"/>
    <col min="12289" max="12289" width="8" style="6" bestFit="1" customWidth="1"/>
    <col min="12290" max="12299" width="10.7109375" style="6" customWidth="1"/>
    <col min="12300" max="12300" width="9.140625" style="6"/>
    <col min="12301" max="12301" width="10.7109375" style="6" customWidth="1"/>
    <col min="12302" max="12544" width="9.140625" style="6"/>
    <col min="12545" max="12545" width="8" style="6" bestFit="1" customWidth="1"/>
    <col min="12546" max="12555" width="10.7109375" style="6" customWidth="1"/>
    <col min="12556" max="12556" width="9.140625" style="6"/>
    <col min="12557" max="12557" width="10.7109375" style="6" customWidth="1"/>
    <col min="12558" max="12800" width="9.140625" style="6"/>
    <col min="12801" max="12801" width="8" style="6" bestFit="1" customWidth="1"/>
    <col min="12802" max="12811" width="10.7109375" style="6" customWidth="1"/>
    <col min="12812" max="12812" width="9.140625" style="6"/>
    <col min="12813" max="12813" width="10.7109375" style="6" customWidth="1"/>
    <col min="12814" max="13056" width="9.140625" style="6"/>
    <col min="13057" max="13057" width="8" style="6" bestFit="1" customWidth="1"/>
    <col min="13058" max="13067" width="10.7109375" style="6" customWidth="1"/>
    <col min="13068" max="13068" width="9.140625" style="6"/>
    <col min="13069" max="13069" width="10.7109375" style="6" customWidth="1"/>
    <col min="13070" max="13312" width="9.140625" style="6"/>
    <col min="13313" max="13313" width="8" style="6" bestFit="1" customWidth="1"/>
    <col min="13314" max="13323" width="10.7109375" style="6" customWidth="1"/>
    <col min="13324" max="13324" width="9.140625" style="6"/>
    <col min="13325" max="13325" width="10.7109375" style="6" customWidth="1"/>
    <col min="13326" max="13568" width="9.140625" style="6"/>
    <col min="13569" max="13569" width="8" style="6" bestFit="1" customWidth="1"/>
    <col min="13570" max="13579" width="10.7109375" style="6" customWidth="1"/>
    <col min="13580" max="13580" width="9.140625" style="6"/>
    <col min="13581" max="13581" width="10.7109375" style="6" customWidth="1"/>
    <col min="13582" max="13824" width="9.140625" style="6"/>
    <col min="13825" max="13825" width="8" style="6" bestFit="1" customWidth="1"/>
    <col min="13826" max="13835" width="10.7109375" style="6" customWidth="1"/>
    <col min="13836" max="13836" width="9.140625" style="6"/>
    <col min="13837" max="13837" width="10.7109375" style="6" customWidth="1"/>
    <col min="13838" max="14080" width="9.140625" style="6"/>
    <col min="14081" max="14081" width="8" style="6" bestFit="1" customWidth="1"/>
    <col min="14082" max="14091" width="10.7109375" style="6" customWidth="1"/>
    <col min="14092" max="14092" width="9.140625" style="6"/>
    <col min="14093" max="14093" width="10.7109375" style="6" customWidth="1"/>
    <col min="14094" max="14336" width="9.140625" style="6"/>
    <col min="14337" max="14337" width="8" style="6" bestFit="1" customWidth="1"/>
    <col min="14338" max="14347" width="10.7109375" style="6" customWidth="1"/>
    <col min="14348" max="14348" width="9.140625" style="6"/>
    <col min="14349" max="14349" width="10.7109375" style="6" customWidth="1"/>
    <col min="14350" max="14592" width="9.140625" style="6"/>
    <col min="14593" max="14593" width="8" style="6" bestFit="1" customWidth="1"/>
    <col min="14594" max="14603" width="10.7109375" style="6" customWidth="1"/>
    <col min="14604" max="14604" width="9.140625" style="6"/>
    <col min="14605" max="14605" width="10.7109375" style="6" customWidth="1"/>
    <col min="14606" max="14848" width="9.140625" style="6"/>
    <col min="14849" max="14849" width="8" style="6" bestFit="1" customWidth="1"/>
    <col min="14850" max="14859" width="10.7109375" style="6" customWidth="1"/>
    <col min="14860" max="14860" width="9.140625" style="6"/>
    <col min="14861" max="14861" width="10.7109375" style="6" customWidth="1"/>
    <col min="14862" max="15104" width="9.140625" style="6"/>
    <col min="15105" max="15105" width="8" style="6" bestFit="1" customWidth="1"/>
    <col min="15106" max="15115" width="10.7109375" style="6" customWidth="1"/>
    <col min="15116" max="15116" width="9.140625" style="6"/>
    <col min="15117" max="15117" width="10.7109375" style="6" customWidth="1"/>
    <col min="15118" max="15360" width="9.140625" style="6"/>
    <col min="15361" max="15361" width="8" style="6" bestFit="1" customWidth="1"/>
    <col min="15362" max="15371" width="10.7109375" style="6" customWidth="1"/>
    <col min="15372" max="15372" width="9.140625" style="6"/>
    <col min="15373" max="15373" width="10.7109375" style="6" customWidth="1"/>
    <col min="15374" max="15616" width="9.140625" style="6"/>
    <col min="15617" max="15617" width="8" style="6" bestFit="1" customWidth="1"/>
    <col min="15618" max="15627" width="10.7109375" style="6" customWidth="1"/>
    <col min="15628" max="15628" width="9.140625" style="6"/>
    <col min="15629" max="15629" width="10.7109375" style="6" customWidth="1"/>
    <col min="15630" max="15872" width="9.140625" style="6"/>
    <col min="15873" max="15873" width="8" style="6" bestFit="1" customWidth="1"/>
    <col min="15874" max="15883" width="10.7109375" style="6" customWidth="1"/>
    <col min="15884" max="15884" width="9.140625" style="6"/>
    <col min="15885" max="15885" width="10.7109375" style="6" customWidth="1"/>
    <col min="15886" max="16128" width="9.140625" style="6"/>
    <col min="16129" max="16129" width="8" style="6" bestFit="1" customWidth="1"/>
    <col min="16130" max="16139" width="10.7109375" style="6" customWidth="1"/>
    <col min="16140" max="16140" width="9.140625" style="6"/>
    <col min="16141" max="16141" width="10.7109375" style="6" customWidth="1"/>
    <col min="16142" max="16384" width="9.140625" style="6"/>
  </cols>
  <sheetData>
    <row r="1" spans="1:16" s="3" customFormat="1" ht="30" customHeight="1" x14ac:dyDescent="0.35">
      <c r="A1" s="2" t="s">
        <v>2</v>
      </c>
      <c r="C1" s="4"/>
      <c r="K1" s="5"/>
    </row>
    <row r="2" spans="1:16" s="3" customFormat="1" ht="32.25" customHeight="1" x14ac:dyDescent="0.35">
      <c r="A2" s="2" t="s">
        <v>3</v>
      </c>
      <c r="C2" s="4"/>
      <c r="K2" s="5"/>
    </row>
    <row r="3" spans="1:16" x14ac:dyDescent="0.2">
      <c r="B3" s="3"/>
      <c r="C3" s="3"/>
      <c r="D3" s="3"/>
      <c r="E3" s="3"/>
      <c r="F3" s="3"/>
      <c r="G3" s="3"/>
      <c r="H3" s="3"/>
      <c r="I3" s="3"/>
      <c r="J3" s="3"/>
      <c r="M3" s="3"/>
    </row>
    <row r="4" spans="1:16" x14ac:dyDescent="0.2">
      <c r="B4" s="3"/>
      <c r="C4" s="3"/>
      <c r="D4" s="3"/>
      <c r="E4" s="3"/>
      <c r="F4" s="3"/>
      <c r="G4" s="3"/>
      <c r="H4" s="3"/>
      <c r="I4" s="3"/>
      <c r="J4" s="3"/>
      <c r="M4" s="3"/>
    </row>
    <row r="5" spans="1:16" ht="25.5" x14ac:dyDescent="0.2">
      <c r="B5" s="8" t="s">
        <v>4</v>
      </c>
      <c r="C5" s="9" t="s">
        <v>5</v>
      </c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8" t="s">
        <v>12</v>
      </c>
      <c r="K5" s="10" t="s">
        <v>13</v>
      </c>
      <c r="M5" s="8" t="s">
        <v>14</v>
      </c>
    </row>
    <row r="6" spans="1:16" x14ac:dyDescent="0.2">
      <c r="A6" s="11">
        <v>1996</v>
      </c>
      <c r="B6" s="12">
        <v>888.01599999999996</v>
      </c>
      <c r="C6" s="12">
        <v>218.05199999999999</v>
      </c>
      <c r="D6" s="12">
        <v>203.148</v>
      </c>
      <c r="E6" s="12">
        <v>218.91399999999999</v>
      </c>
      <c r="F6" s="12">
        <v>390.90699999999998</v>
      </c>
      <c r="G6" s="12">
        <v>259.072</v>
      </c>
      <c r="H6" s="12">
        <v>1121.0440000000001</v>
      </c>
      <c r="I6" s="12">
        <v>913.95399999999995</v>
      </c>
      <c r="J6" s="12">
        <v>94.405000000000001</v>
      </c>
      <c r="K6" s="13">
        <v>4307.5119999999997</v>
      </c>
      <c r="L6" s="14"/>
      <c r="M6" s="12">
        <v>8.9559999999999995</v>
      </c>
      <c r="N6" s="14"/>
      <c r="O6" s="14"/>
      <c r="P6" s="14"/>
    </row>
    <row r="7" spans="1:16" x14ac:dyDescent="0.2">
      <c r="A7" s="11">
        <v>1997</v>
      </c>
      <c r="B7" s="12">
        <v>806.072</v>
      </c>
      <c r="C7" s="12">
        <v>227.56899999999999</v>
      </c>
      <c r="D7" s="12">
        <v>200.33699999999999</v>
      </c>
      <c r="E7" s="12">
        <v>183.28800000000001</v>
      </c>
      <c r="F7" s="12">
        <v>430.73599999999999</v>
      </c>
      <c r="G7" s="12">
        <v>241.14400000000001</v>
      </c>
      <c r="H7" s="12">
        <v>1248.2860000000001</v>
      </c>
      <c r="I7" s="12">
        <v>964.26800000000003</v>
      </c>
      <c r="J7" s="12">
        <v>84.96</v>
      </c>
      <c r="K7" s="13">
        <v>4386.66</v>
      </c>
      <c r="L7" s="14"/>
      <c r="M7" s="12">
        <v>-6.694</v>
      </c>
      <c r="N7" s="14"/>
      <c r="O7" s="14"/>
      <c r="P7" s="14"/>
    </row>
    <row r="8" spans="1:16" x14ac:dyDescent="0.2">
      <c r="A8" s="11">
        <v>1998</v>
      </c>
      <c r="B8" s="12">
        <v>774.03399999999999</v>
      </c>
      <c r="C8" s="12">
        <v>241.61</v>
      </c>
      <c r="D8" s="12">
        <v>168.45400000000001</v>
      </c>
      <c r="E8" s="12">
        <v>150.58099999999999</v>
      </c>
      <c r="F8" s="12">
        <v>452.14100000000002</v>
      </c>
      <c r="G8" s="12">
        <v>285.71100000000001</v>
      </c>
      <c r="H8" s="12">
        <v>1251.039</v>
      </c>
      <c r="I8" s="12">
        <v>987.85400000000004</v>
      </c>
      <c r="J8" s="12">
        <v>86.747</v>
      </c>
      <c r="K8" s="13">
        <v>4398.1710000000003</v>
      </c>
      <c r="L8" s="14"/>
      <c r="M8" s="12">
        <v>-31.585999999999999</v>
      </c>
      <c r="N8" s="14"/>
      <c r="O8" s="14"/>
      <c r="P8" s="14"/>
    </row>
    <row r="9" spans="1:16" x14ac:dyDescent="0.2">
      <c r="A9" s="11">
        <v>1999</v>
      </c>
      <c r="B9" s="12">
        <v>699.71199999999999</v>
      </c>
      <c r="C9" s="12">
        <v>215.39500000000001</v>
      </c>
      <c r="D9" s="12">
        <v>111.70699999999999</v>
      </c>
      <c r="E9" s="12">
        <v>128.374</v>
      </c>
      <c r="F9" s="12">
        <v>477.96300000000002</v>
      </c>
      <c r="G9" s="12">
        <v>310.53100000000001</v>
      </c>
      <c r="H9" s="12">
        <v>1152.8679999999999</v>
      </c>
      <c r="I9" s="12">
        <v>1034.665</v>
      </c>
      <c r="J9" s="12">
        <v>87.548000000000002</v>
      </c>
      <c r="K9" s="13">
        <v>4218.7629999999999</v>
      </c>
      <c r="L9" s="14"/>
      <c r="M9" s="12">
        <v>117.953</v>
      </c>
      <c r="N9" s="14"/>
      <c r="O9" s="14"/>
      <c r="P9" s="14"/>
    </row>
    <row r="10" spans="1:16" x14ac:dyDescent="0.2">
      <c r="A10" s="11">
        <v>2000</v>
      </c>
      <c r="B10" s="12">
        <v>535.846</v>
      </c>
      <c r="C10" s="12">
        <v>214.48099999999999</v>
      </c>
      <c r="D10" s="12">
        <v>104.29600000000001</v>
      </c>
      <c r="E10" s="12">
        <v>119.40900000000001</v>
      </c>
      <c r="F10" s="12">
        <v>511.70299999999997</v>
      </c>
      <c r="G10" s="12">
        <v>316.93799999999999</v>
      </c>
      <c r="H10" s="12">
        <v>1115.4549999999999</v>
      </c>
      <c r="I10" s="12">
        <v>1028.52</v>
      </c>
      <c r="J10" s="12">
        <v>71.656999999999996</v>
      </c>
      <c r="K10" s="13">
        <v>4018.3050000000003</v>
      </c>
      <c r="L10" s="14"/>
      <c r="M10" s="12">
        <v>44.393999999999998</v>
      </c>
      <c r="N10" s="14"/>
      <c r="O10" s="14"/>
      <c r="P10" s="14"/>
    </row>
    <row r="11" spans="1:16" x14ac:dyDescent="0.2">
      <c r="A11" s="11">
        <v>2001</v>
      </c>
      <c r="B11" s="12">
        <v>405.40199999999999</v>
      </c>
      <c r="C11" s="12">
        <v>255.608</v>
      </c>
      <c r="D11" s="12">
        <v>87.614999999999995</v>
      </c>
      <c r="E11" s="12">
        <v>120.60599999999999</v>
      </c>
      <c r="F11" s="12">
        <v>551.67499999999995</v>
      </c>
      <c r="G11" s="12">
        <v>336.42099999999999</v>
      </c>
      <c r="H11" s="12">
        <v>1199.038</v>
      </c>
      <c r="I11" s="12">
        <v>1064.7149999999999</v>
      </c>
      <c r="J11" s="12">
        <v>73.347999999999999</v>
      </c>
      <c r="K11" s="13">
        <v>4094.4279999999999</v>
      </c>
      <c r="L11" s="14"/>
      <c r="M11" s="12">
        <v>24.032</v>
      </c>
      <c r="N11" s="14"/>
      <c r="O11" s="14"/>
      <c r="P11" s="14"/>
    </row>
    <row r="12" spans="1:16" x14ac:dyDescent="0.2">
      <c r="A12" s="11">
        <v>2002</v>
      </c>
      <c r="B12" s="12">
        <v>310.74400000000003</v>
      </c>
      <c r="C12" s="12">
        <v>274.24200000000002</v>
      </c>
      <c r="D12" s="12">
        <v>102.274</v>
      </c>
      <c r="E12" s="12">
        <v>170.77799999999999</v>
      </c>
      <c r="F12" s="12">
        <v>629.40599999999995</v>
      </c>
      <c r="G12" s="12">
        <v>363.55900000000003</v>
      </c>
      <c r="H12" s="12">
        <v>1402.1969999999999</v>
      </c>
      <c r="I12" s="12">
        <v>1083.0070000000001</v>
      </c>
      <c r="J12" s="12">
        <v>100.733</v>
      </c>
      <c r="K12" s="13">
        <v>4436.9400000000005</v>
      </c>
      <c r="L12" s="14"/>
      <c r="M12" s="12">
        <v>-36.887</v>
      </c>
      <c r="N12" s="14"/>
      <c r="O12" s="14"/>
      <c r="P12" s="14"/>
    </row>
    <row r="13" spans="1:16" x14ac:dyDescent="0.2">
      <c r="A13" s="11">
        <v>2003</v>
      </c>
      <c r="B13" s="12">
        <v>383.07100000000003</v>
      </c>
      <c r="C13" s="12">
        <v>275.05900000000003</v>
      </c>
      <c r="D13" s="12">
        <v>158.005</v>
      </c>
      <c r="E13" s="12">
        <v>172.935</v>
      </c>
      <c r="F13" s="12">
        <v>666.66499999999996</v>
      </c>
      <c r="G13" s="12">
        <v>384.27300000000002</v>
      </c>
      <c r="H13" s="12">
        <v>1546.9359999999999</v>
      </c>
      <c r="I13" s="12">
        <v>1123.9280000000001</v>
      </c>
      <c r="J13" s="12">
        <v>94.135000000000005</v>
      </c>
      <c r="K13" s="13">
        <v>4805.0070000000005</v>
      </c>
      <c r="L13" s="14"/>
      <c r="M13" s="12">
        <v>18.161999999999999</v>
      </c>
      <c r="N13" s="14"/>
      <c r="O13" s="14"/>
      <c r="P13" s="14"/>
    </row>
    <row r="14" spans="1:16" x14ac:dyDescent="0.2">
      <c r="A14" s="11">
        <v>2004</v>
      </c>
      <c r="B14" s="12">
        <v>409.01900000000001</v>
      </c>
      <c r="C14" s="12">
        <v>268.38200000000001</v>
      </c>
      <c r="D14" s="12">
        <v>53.185000000000002</v>
      </c>
      <c r="E14" s="12">
        <v>195.39599999999999</v>
      </c>
      <c r="F14" s="12">
        <v>717.81899999999996</v>
      </c>
      <c r="G14" s="12">
        <v>408.64800000000002</v>
      </c>
      <c r="H14" s="12">
        <v>1841.278</v>
      </c>
      <c r="I14" s="12">
        <v>1177.663</v>
      </c>
      <c r="J14" s="12">
        <v>104.623</v>
      </c>
      <c r="K14" s="13">
        <v>5176.012999999999</v>
      </c>
      <c r="L14" s="14"/>
      <c r="M14" s="12">
        <v>50.609000000000002</v>
      </c>
      <c r="N14" s="14"/>
      <c r="O14" s="14"/>
      <c r="P14" s="14"/>
    </row>
    <row r="15" spans="1:16" x14ac:dyDescent="0.2">
      <c r="A15" s="11">
        <v>2005</v>
      </c>
      <c r="B15" s="12">
        <v>283.16899999999998</v>
      </c>
      <c r="C15" s="12">
        <v>279.39100000000002</v>
      </c>
      <c r="D15" s="12">
        <v>25.033999999999999</v>
      </c>
      <c r="E15" s="12">
        <v>209.24799999999999</v>
      </c>
      <c r="F15" s="12">
        <v>744.21500000000003</v>
      </c>
      <c r="G15" s="12">
        <v>538.36300000000006</v>
      </c>
      <c r="H15" s="12">
        <v>2012.2339999999999</v>
      </c>
      <c r="I15" s="12">
        <v>1224.8820000000001</v>
      </c>
      <c r="J15" s="12">
        <v>148.32</v>
      </c>
      <c r="K15" s="13">
        <v>5464.8559999999998</v>
      </c>
      <c r="L15" s="14"/>
      <c r="M15" s="12">
        <v>96.084000000000003</v>
      </c>
      <c r="N15" s="14"/>
      <c r="O15" s="14"/>
      <c r="P15" s="14"/>
    </row>
    <row r="16" spans="1:16" x14ac:dyDescent="0.2">
      <c r="A16" s="11">
        <v>2006</v>
      </c>
      <c r="B16" s="12">
        <v>181.49</v>
      </c>
      <c r="C16" s="12">
        <v>278.38900000000001</v>
      </c>
      <c r="D16" s="12">
        <v>21.271000000000001</v>
      </c>
      <c r="E16" s="12">
        <v>201.989</v>
      </c>
      <c r="F16" s="12">
        <v>778.91499999999996</v>
      </c>
      <c r="G16" s="12">
        <v>600.74199999999996</v>
      </c>
      <c r="H16" s="12">
        <v>2152.973</v>
      </c>
      <c r="I16" s="12">
        <v>1283.778</v>
      </c>
      <c r="J16" s="12">
        <v>166.553</v>
      </c>
      <c r="K16" s="13">
        <v>5666.1</v>
      </c>
      <c r="L16" s="14"/>
      <c r="M16" s="12">
        <v>114.31399999999999</v>
      </c>
      <c r="N16" s="14"/>
      <c r="O16" s="14"/>
      <c r="P16" s="14"/>
    </row>
    <row r="17" spans="1:18" x14ac:dyDescent="0.2">
      <c r="A17" s="11">
        <v>2007</v>
      </c>
      <c r="B17" s="12">
        <v>139.62100000000001</v>
      </c>
      <c r="C17" s="12">
        <v>394.40100000000001</v>
      </c>
      <c r="D17" s="12">
        <v>14.733000000000001</v>
      </c>
      <c r="E17" s="12">
        <v>148.54400000000001</v>
      </c>
      <c r="F17" s="12">
        <v>740.61099999999999</v>
      </c>
      <c r="G17" s="12">
        <v>676.45100000000002</v>
      </c>
      <c r="H17" s="12">
        <v>2406.8449999999998</v>
      </c>
      <c r="I17" s="12">
        <v>1329.6120000000001</v>
      </c>
      <c r="J17" s="12">
        <v>191.381</v>
      </c>
      <c r="K17" s="13">
        <v>6042.1990000000005</v>
      </c>
      <c r="L17" s="14"/>
      <c r="M17" s="12">
        <v>8.9770000000000003</v>
      </c>
      <c r="N17" s="14"/>
      <c r="O17" s="14"/>
      <c r="P17" s="14"/>
    </row>
    <row r="18" spans="1:18" x14ac:dyDescent="0.2">
      <c r="A18" s="11">
        <v>2008</v>
      </c>
      <c r="B18" s="12">
        <v>358.05</v>
      </c>
      <c r="C18" s="12">
        <v>823.84400000000005</v>
      </c>
      <c r="D18" s="12">
        <v>260.58800000000002</v>
      </c>
      <c r="E18" s="12">
        <v>188.44800000000001</v>
      </c>
      <c r="F18" s="12">
        <v>475.92099999999999</v>
      </c>
      <c r="G18" s="12">
        <v>608.16399999999999</v>
      </c>
      <c r="H18" s="12">
        <v>3288.482</v>
      </c>
      <c r="I18" s="12">
        <v>1421.5239999999999</v>
      </c>
      <c r="J18" s="12">
        <v>166.68100000000001</v>
      </c>
      <c r="K18" s="13">
        <v>7591.7020000000002</v>
      </c>
      <c r="L18" s="14"/>
      <c r="M18" s="12">
        <v>-238.23099999999999</v>
      </c>
      <c r="N18" s="14"/>
      <c r="O18" s="14"/>
      <c r="P18" s="14"/>
    </row>
    <row r="19" spans="1:18" x14ac:dyDescent="0.2">
      <c r="A19" s="11">
        <v>2009</v>
      </c>
      <c r="B19" s="12">
        <v>787.70799999999997</v>
      </c>
      <c r="C19" s="12">
        <v>749.66800000000001</v>
      </c>
      <c r="D19" s="12">
        <v>268.56200000000001</v>
      </c>
      <c r="E19" s="12">
        <v>226.489</v>
      </c>
      <c r="F19" s="12">
        <v>776.58799999999997</v>
      </c>
      <c r="G19" s="12">
        <v>616.20299999999997</v>
      </c>
      <c r="H19" s="12">
        <v>3728.0650000000001</v>
      </c>
      <c r="I19" s="12">
        <v>1504.058</v>
      </c>
      <c r="J19" s="12">
        <v>177.71</v>
      </c>
      <c r="K19" s="13">
        <v>8835.0509999999995</v>
      </c>
      <c r="L19" s="14"/>
      <c r="M19" s="12">
        <v>24.099</v>
      </c>
      <c r="N19" s="14"/>
      <c r="O19" s="14"/>
      <c r="P19" s="14"/>
    </row>
    <row r="20" spans="1:18" x14ac:dyDescent="0.2">
      <c r="A20" s="11">
        <v>2010</v>
      </c>
      <c r="B20" s="12">
        <v>1092.0809999999999</v>
      </c>
      <c r="C20" s="12">
        <v>817.59500000000003</v>
      </c>
      <c r="D20" s="12">
        <v>352.89600000000002</v>
      </c>
      <c r="E20" s="12">
        <v>258.017</v>
      </c>
      <c r="F20" s="12">
        <v>1021.4930000000001</v>
      </c>
      <c r="G20" s="12">
        <v>635.19399999999996</v>
      </c>
      <c r="H20" s="12">
        <v>4519.7669999999998</v>
      </c>
      <c r="I20" s="12">
        <v>1633.02</v>
      </c>
      <c r="J20" s="12">
        <v>217.46</v>
      </c>
      <c r="K20" s="13">
        <v>10547.522999999999</v>
      </c>
      <c r="M20" s="12">
        <v>-43.122</v>
      </c>
    </row>
    <row r="21" spans="1:18" x14ac:dyDescent="0.2">
      <c r="A21" s="11">
        <v>2011</v>
      </c>
      <c r="B21" s="12">
        <v>956.46900000000005</v>
      </c>
      <c r="C21" s="12">
        <v>990.48699999999997</v>
      </c>
      <c r="D21" s="12">
        <v>402.81700000000001</v>
      </c>
      <c r="E21" s="12">
        <v>305.017</v>
      </c>
      <c r="F21" s="12">
        <v>1663.4459999999999</v>
      </c>
      <c r="G21" s="12">
        <v>602.17100000000005</v>
      </c>
      <c r="H21" s="12">
        <v>5064.835</v>
      </c>
      <c r="I21" s="12">
        <v>1765.8789999999999</v>
      </c>
      <c r="J21" s="12">
        <v>220.643</v>
      </c>
      <c r="K21" s="13">
        <v>11971.763999999999</v>
      </c>
      <c r="M21" s="12">
        <v>-329.78199999999998</v>
      </c>
    </row>
    <row r="22" spans="1:18" x14ac:dyDescent="0.2">
      <c r="A22" s="11">
        <v>2012</v>
      </c>
      <c r="B22" s="12">
        <v>1095.5630000000001</v>
      </c>
      <c r="C22" s="12">
        <v>1096.152</v>
      </c>
      <c r="D22" s="12">
        <v>520.44600000000003</v>
      </c>
      <c r="E22" s="12">
        <v>298.04300000000001</v>
      </c>
      <c r="F22" s="12">
        <v>1974.3150000000001</v>
      </c>
      <c r="G22" s="12">
        <v>630.76700000000005</v>
      </c>
      <c r="H22" s="12">
        <v>5648.0829999999996</v>
      </c>
      <c r="I22" s="12">
        <v>1907.546</v>
      </c>
      <c r="J22" s="12">
        <v>184.04</v>
      </c>
      <c r="K22" s="13">
        <v>13354.955</v>
      </c>
      <c r="M22" s="12">
        <v>-532.00599999999997</v>
      </c>
    </row>
    <row r="23" spans="1:18" x14ac:dyDescent="0.2">
      <c r="A23" s="11">
        <v>2013</v>
      </c>
      <c r="B23" s="12">
        <v>934.91899999999998</v>
      </c>
      <c r="C23" s="12">
        <v>1039.0260000000001</v>
      </c>
      <c r="D23" s="12">
        <v>389.48700000000002</v>
      </c>
      <c r="E23" s="12">
        <v>274.52800000000002</v>
      </c>
      <c r="F23" s="12">
        <v>2341.3359999999998</v>
      </c>
      <c r="G23" s="12">
        <v>632.42100000000005</v>
      </c>
      <c r="H23" s="12">
        <v>5861.1689999999999</v>
      </c>
      <c r="I23" s="12">
        <v>1998.4760000000001</v>
      </c>
      <c r="J23" s="12">
        <v>174.79499999999999</v>
      </c>
      <c r="K23" s="13">
        <v>13646.157000000001</v>
      </c>
      <c r="M23" s="12">
        <v>34.482999999999997</v>
      </c>
    </row>
    <row r="24" spans="1:18" x14ac:dyDescent="0.2">
      <c r="A24" s="11">
        <v>2014</v>
      </c>
      <c r="B24" s="12">
        <v>769.93399999999997</v>
      </c>
      <c r="C24" s="12">
        <v>1189.3109999999999</v>
      </c>
      <c r="D24" s="12">
        <v>519.15</v>
      </c>
      <c r="E24" s="12">
        <v>310.46100000000001</v>
      </c>
      <c r="F24" s="12">
        <v>2736.2930000000001</v>
      </c>
      <c r="G24" s="12">
        <v>654.51800000000003</v>
      </c>
      <c r="H24" s="12">
        <v>6215.7650000000003</v>
      </c>
      <c r="I24" s="12">
        <v>2127.498</v>
      </c>
      <c r="J24" s="12">
        <v>190.37899999999999</v>
      </c>
      <c r="K24" s="13">
        <v>14713.309000000001</v>
      </c>
      <c r="M24" s="12">
        <v>-296.62900000000002</v>
      </c>
    </row>
    <row r="25" spans="1:18" x14ac:dyDescent="0.2">
      <c r="A25" s="11">
        <v>2015</v>
      </c>
      <c r="B25" s="12">
        <v>1068.605</v>
      </c>
      <c r="C25" s="12">
        <v>1398.6510000000001</v>
      </c>
      <c r="D25" s="12">
        <v>545.16300000000001</v>
      </c>
      <c r="E25" s="12">
        <v>310.14100000000002</v>
      </c>
      <c r="F25" s="12">
        <v>2675.9090000000001</v>
      </c>
      <c r="G25" s="12">
        <v>680.38699999999994</v>
      </c>
      <c r="H25" s="12">
        <v>6217.17</v>
      </c>
      <c r="I25" s="12">
        <v>2176.06</v>
      </c>
      <c r="J25" s="12">
        <v>215.018</v>
      </c>
      <c r="K25" s="13">
        <v>15287.104000000001</v>
      </c>
      <c r="M25" s="12">
        <v>-146.03200000000001</v>
      </c>
    </row>
    <row r="26" spans="1:18" x14ac:dyDescent="0.2">
      <c r="A26" s="11">
        <v>2016</v>
      </c>
      <c r="B26" s="12">
        <v>1162.77</v>
      </c>
      <c r="C26" s="12">
        <v>1800.0309999999999</v>
      </c>
      <c r="D26" s="12">
        <v>667.39599999999996</v>
      </c>
      <c r="E26" s="12">
        <v>334.23899999999998</v>
      </c>
      <c r="F26" s="12">
        <v>2640.7060000000001</v>
      </c>
      <c r="G26" s="12">
        <v>744.24900000000002</v>
      </c>
      <c r="H26" s="12">
        <v>6096.8459999999995</v>
      </c>
      <c r="I26" s="12">
        <v>2337.319</v>
      </c>
      <c r="J26" s="12">
        <v>226.459</v>
      </c>
      <c r="K26" s="13">
        <v>16010.014999999999</v>
      </c>
      <c r="M26" s="12">
        <v>-26.183</v>
      </c>
    </row>
    <row r="27" spans="1:18" x14ac:dyDescent="0.2">
      <c r="A27" s="11">
        <v>2017</v>
      </c>
      <c r="B27" s="12">
        <v>1203.7470000000001</v>
      </c>
      <c r="C27" s="12">
        <v>1919.5909999999999</v>
      </c>
      <c r="D27" s="12">
        <v>660.48800000000006</v>
      </c>
      <c r="E27" s="12">
        <v>377.89</v>
      </c>
      <c r="F27" s="12">
        <v>2633.0079999999998</v>
      </c>
      <c r="G27" s="12">
        <v>732.33100000000002</v>
      </c>
      <c r="H27" s="12">
        <v>6308.68</v>
      </c>
      <c r="I27" s="12">
        <v>2370.4470000000001</v>
      </c>
      <c r="J27" s="12">
        <v>251.995</v>
      </c>
      <c r="K27" s="13">
        <v>16458.177</v>
      </c>
      <c r="M27" s="12">
        <v>-27.311</v>
      </c>
    </row>
    <row r="28" spans="1:18" x14ac:dyDescent="0.2">
      <c r="A28" s="11">
        <v>2018</v>
      </c>
      <c r="B28" s="12">
        <v>1758.9380000000001</v>
      </c>
      <c r="C28" s="12">
        <v>2202.0439999999999</v>
      </c>
      <c r="D28" s="12">
        <v>897.35500000000002</v>
      </c>
      <c r="E28" s="12">
        <v>360.50299999999999</v>
      </c>
      <c r="F28" s="12">
        <v>2337.9940000000001</v>
      </c>
      <c r="G28" s="12">
        <v>693.02099999999996</v>
      </c>
      <c r="H28" s="12">
        <v>6390.4340000000002</v>
      </c>
      <c r="I28" s="12">
        <v>2817.9490000000001</v>
      </c>
      <c r="J28" s="12">
        <v>258.87900000000002</v>
      </c>
      <c r="K28" s="13">
        <v>17717.117000000002</v>
      </c>
      <c r="M28" s="12">
        <v>124.96899999999999</v>
      </c>
    </row>
    <row r="29" spans="1:18" x14ac:dyDescent="0.2">
      <c r="A29" s="11">
        <v>2019</v>
      </c>
      <c r="B29" s="12">
        <v>1960.6679999999999</v>
      </c>
      <c r="C29" s="12">
        <v>2576.5920000000001</v>
      </c>
      <c r="D29" s="12">
        <v>1040.636</v>
      </c>
      <c r="E29" s="12">
        <v>358.43599999999998</v>
      </c>
      <c r="F29" s="12">
        <v>2543.91</v>
      </c>
      <c r="G29" s="12">
        <v>662.673</v>
      </c>
      <c r="H29" s="12">
        <v>6819.0069999999996</v>
      </c>
      <c r="I29" s="12">
        <v>3036.6190000000001</v>
      </c>
      <c r="J29" s="12">
        <v>309.81</v>
      </c>
      <c r="K29" s="13">
        <v>19308.351000000002</v>
      </c>
      <c r="M29" s="12">
        <v>-289.66399999999999</v>
      </c>
    </row>
    <row r="30" spans="1:18" x14ac:dyDescent="0.2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13"/>
      <c r="M30" s="12"/>
    </row>
    <row r="31" spans="1:18" x14ac:dyDescent="0.2">
      <c r="A31" s="11">
        <v>2018</v>
      </c>
      <c r="B31" s="12"/>
      <c r="C31" s="12"/>
      <c r="D31" s="12"/>
      <c r="E31" s="12"/>
      <c r="F31" s="12"/>
      <c r="G31" s="12"/>
      <c r="H31" s="12"/>
      <c r="I31" s="12"/>
      <c r="J31" s="12"/>
      <c r="K31" s="13"/>
      <c r="M31" s="12"/>
      <c r="N31" s="14"/>
      <c r="O31" s="14"/>
      <c r="P31" s="14"/>
      <c r="Q31" s="14"/>
      <c r="R31" s="14"/>
    </row>
    <row r="32" spans="1:18" x14ac:dyDescent="0.2">
      <c r="A32" s="11" t="s">
        <v>15</v>
      </c>
      <c r="B32" s="12">
        <v>1446.9749999999999</v>
      </c>
      <c r="C32" s="12">
        <v>2108.3029999999999</v>
      </c>
      <c r="D32" s="12">
        <v>621.17700000000002</v>
      </c>
      <c r="E32" s="12">
        <v>366.875</v>
      </c>
      <c r="F32" s="12">
        <v>2555.7220000000002</v>
      </c>
      <c r="G32" s="12">
        <v>712.88499999999999</v>
      </c>
      <c r="H32" s="12">
        <v>6320.4790000000003</v>
      </c>
      <c r="I32" s="12">
        <v>2553.4949999999999</v>
      </c>
      <c r="J32" s="12">
        <v>253.982</v>
      </c>
      <c r="K32" s="13">
        <v>16939.893</v>
      </c>
      <c r="M32" s="12">
        <v>106.062</v>
      </c>
      <c r="N32" s="14"/>
      <c r="O32" s="14"/>
      <c r="P32" s="14"/>
      <c r="Q32" s="14"/>
      <c r="R32" s="14"/>
    </row>
    <row r="33" spans="1:18" x14ac:dyDescent="0.2">
      <c r="A33" s="11" t="s">
        <v>16</v>
      </c>
      <c r="B33" s="12">
        <v>1523.3219999999999</v>
      </c>
      <c r="C33" s="12">
        <v>1990.0940000000001</v>
      </c>
      <c r="D33" s="12">
        <v>676.35</v>
      </c>
      <c r="E33" s="12">
        <v>360.05</v>
      </c>
      <c r="F33" s="12">
        <v>2495.04</v>
      </c>
      <c r="G33" s="12">
        <v>727.25</v>
      </c>
      <c r="H33" s="12">
        <v>6332.7790000000005</v>
      </c>
      <c r="I33" s="12">
        <v>2585.9929999999999</v>
      </c>
      <c r="J33" s="12">
        <v>259.64100000000002</v>
      </c>
      <c r="K33" s="13">
        <v>16950.519</v>
      </c>
      <c r="L33" s="16"/>
      <c r="M33" s="12">
        <v>140.166</v>
      </c>
      <c r="N33" s="14"/>
      <c r="O33" s="14"/>
      <c r="P33" s="14"/>
      <c r="Q33" s="14"/>
      <c r="R33" s="14"/>
    </row>
    <row r="34" spans="1:18" x14ac:dyDescent="0.2">
      <c r="A34" s="3" t="s">
        <v>17</v>
      </c>
      <c r="B34" s="12">
        <v>1756.018</v>
      </c>
      <c r="C34" s="12">
        <v>2050.413</v>
      </c>
      <c r="D34" s="12">
        <v>660.21799999999996</v>
      </c>
      <c r="E34" s="12">
        <v>360.89499999999998</v>
      </c>
      <c r="F34" s="12">
        <v>2395.1419999999998</v>
      </c>
      <c r="G34" s="12">
        <v>722.16099999999994</v>
      </c>
      <c r="H34" s="12">
        <v>6339.31</v>
      </c>
      <c r="I34" s="12">
        <v>2638.0819999999999</v>
      </c>
      <c r="J34" s="12">
        <v>258.91500000000002</v>
      </c>
      <c r="K34" s="13">
        <v>17181.153999999999</v>
      </c>
      <c r="M34" s="12">
        <v>236.64500000000001</v>
      </c>
    </row>
    <row r="35" spans="1:18" x14ac:dyDescent="0.2">
      <c r="A35" s="15" t="s">
        <v>18</v>
      </c>
      <c r="B35" s="12">
        <v>1758.9380000000001</v>
      </c>
      <c r="C35" s="12">
        <v>2202.0439999999999</v>
      </c>
      <c r="D35" s="12">
        <v>897.35500000000002</v>
      </c>
      <c r="E35" s="12">
        <v>360.50299999999999</v>
      </c>
      <c r="F35" s="12">
        <v>2337.9940000000001</v>
      </c>
      <c r="G35" s="12">
        <v>693.02099999999996</v>
      </c>
      <c r="H35" s="12">
        <v>6390.4340000000002</v>
      </c>
      <c r="I35" s="12">
        <v>2817.9490000000001</v>
      </c>
      <c r="J35" s="12">
        <v>258.87900000000002</v>
      </c>
      <c r="K35" s="13">
        <v>17717.116999999998</v>
      </c>
      <c r="M35" s="12">
        <v>124.96899999999999</v>
      </c>
    </row>
    <row r="36" spans="1:18" x14ac:dyDescent="0.2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13"/>
      <c r="M36" s="12"/>
    </row>
    <row r="37" spans="1:18" x14ac:dyDescent="0.2">
      <c r="A37" s="11">
        <v>2019</v>
      </c>
      <c r="B37" s="12"/>
      <c r="C37" s="12"/>
      <c r="D37" s="12"/>
      <c r="E37" s="12"/>
      <c r="F37" s="12"/>
      <c r="G37" s="12"/>
      <c r="H37" s="12"/>
      <c r="I37" s="12"/>
      <c r="J37" s="12"/>
      <c r="K37" s="13"/>
      <c r="M37" s="12"/>
      <c r="N37" s="14"/>
      <c r="O37" s="14"/>
      <c r="P37" s="14"/>
      <c r="Q37" s="14"/>
      <c r="R37" s="14"/>
    </row>
    <row r="38" spans="1:18" x14ac:dyDescent="0.2">
      <c r="A38" s="11" t="s">
        <v>15</v>
      </c>
      <c r="B38" s="12">
        <v>1912.5450000000001</v>
      </c>
      <c r="C38" s="12">
        <v>2251.3589999999999</v>
      </c>
      <c r="D38" s="12">
        <v>879.31899999999996</v>
      </c>
      <c r="E38" s="12">
        <v>359.52</v>
      </c>
      <c r="F38" s="12">
        <v>2330.1579999999999</v>
      </c>
      <c r="G38" s="12">
        <v>691.78800000000001</v>
      </c>
      <c r="H38" s="12">
        <v>6601.299</v>
      </c>
      <c r="I38" s="12">
        <v>2617.1529999999998</v>
      </c>
      <c r="J38" s="12">
        <v>276.49400000000003</v>
      </c>
      <c r="K38" s="13">
        <v>17919.634999999998</v>
      </c>
      <c r="M38" s="12">
        <v>-13.37</v>
      </c>
      <c r="N38" s="14"/>
      <c r="O38" s="14"/>
      <c r="P38" s="14"/>
      <c r="Q38" s="14"/>
      <c r="R38" s="14"/>
    </row>
    <row r="39" spans="1:18" x14ac:dyDescent="0.2">
      <c r="A39" s="11" t="s">
        <v>16</v>
      </c>
      <c r="B39" s="12">
        <v>1993.922</v>
      </c>
      <c r="C39" s="12">
        <v>2144.4960000000001</v>
      </c>
      <c r="D39" s="12">
        <v>914.3</v>
      </c>
      <c r="E39" s="12">
        <v>360.98399999999998</v>
      </c>
      <c r="F39" s="12">
        <v>2315.0059999999999</v>
      </c>
      <c r="G39" s="12">
        <v>674.53099999999995</v>
      </c>
      <c r="H39" s="12">
        <v>6765.9390000000003</v>
      </c>
      <c r="I39" s="12">
        <v>2577.4569999999999</v>
      </c>
      <c r="J39" s="12">
        <v>287.66199999999998</v>
      </c>
      <c r="K39" s="13">
        <v>18034.296999999999</v>
      </c>
      <c r="L39" s="16"/>
      <c r="M39" s="12">
        <v>-220.00899999999999</v>
      </c>
      <c r="N39" s="14"/>
      <c r="O39" s="14"/>
      <c r="P39" s="14"/>
      <c r="Q39" s="14"/>
      <c r="R39" s="14"/>
    </row>
    <row r="40" spans="1:18" x14ac:dyDescent="0.2">
      <c r="A40" s="3" t="s">
        <v>17</v>
      </c>
      <c r="B40" s="12">
        <v>2002.732</v>
      </c>
      <c r="C40" s="12">
        <v>2400.2739999999999</v>
      </c>
      <c r="D40" s="12">
        <v>990.86699999999996</v>
      </c>
      <c r="E40" s="12">
        <v>362.96100000000001</v>
      </c>
      <c r="F40" s="12">
        <v>2366.4569999999999</v>
      </c>
      <c r="G40" s="12">
        <v>676.69</v>
      </c>
      <c r="H40" s="12">
        <v>6907.2579999999998</v>
      </c>
      <c r="I40" s="12">
        <v>2942.277</v>
      </c>
      <c r="J40" s="12">
        <v>301.733</v>
      </c>
      <c r="K40" s="13">
        <v>18951.249</v>
      </c>
      <c r="M40" s="12">
        <v>-379.56799999999998</v>
      </c>
    </row>
    <row r="41" spans="1:18" x14ac:dyDescent="0.2">
      <c r="A41" s="15" t="s">
        <v>18</v>
      </c>
      <c r="B41" s="12">
        <v>1960.6679999999999</v>
      </c>
      <c r="C41" s="12">
        <v>2576.5920000000001</v>
      </c>
      <c r="D41" s="12">
        <v>1040.636</v>
      </c>
      <c r="E41" s="12">
        <v>358.43599999999998</v>
      </c>
      <c r="F41" s="12">
        <v>2543.91</v>
      </c>
      <c r="G41" s="12">
        <v>662.673</v>
      </c>
      <c r="H41" s="12">
        <v>6819.0069999999996</v>
      </c>
      <c r="I41" s="12">
        <v>3036.6190000000001</v>
      </c>
      <c r="J41" s="12">
        <v>309.81</v>
      </c>
      <c r="K41" s="13">
        <v>19308.350999999999</v>
      </c>
      <c r="M41" s="12">
        <v>-289.66399999999999</v>
      </c>
    </row>
    <row r="42" spans="1:18" x14ac:dyDescent="0.2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13"/>
      <c r="M42" s="12"/>
    </row>
    <row r="43" spans="1:18" x14ac:dyDescent="0.2">
      <c r="A43" s="15">
        <v>2020</v>
      </c>
      <c r="B43" s="12"/>
      <c r="C43" s="12"/>
      <c r="D43" s="12"/>
      <c r="E43" s="12"/>
      <c r="F43" s="12"/>
      <c r="G43" s="12"/>
      <c r="H43" s="12"/>
      <c r="I43" s="12"/>
      <c r="J43" s="12"/>
      <c r="K43" s="13"/>
      <c r="M43" s="12"/>
    </row>
    <row r="44" spans="1:18" x14ac:dyDescent="0.2">
      <c r="A44" s="15" t="s">
        <v>15</v>
      </c>
      <c r="B44" s="12">
        <v>1462.7</v>
      </c>
      <c r="C44" s="12">
        <v>2766.7</v>
      </c>
      <c r="D44" s="12">
        <v>1090.5</v>
      </c>
      <c r="E44" s="12">
        <v>412</v>
      </c>
      <c r="F44" s="12">
        <v>3757.4</v>
      </c>
      <c r="G44" s="12">
        <v>724.3</v>
      </c>
      <c r="H44" s="12">
        <v>6929.6</v>
      </c>
      <c r="I44" s="12">
        <v>3111.6</v>
      </c>
      <c r="J44" s="12">
        <v>364.5</v>
      </c>
      <c r="K44" s="13">
        <v>20619.2</v>
      </c>
      <c r="M44" s="12">
        <v>-1100.8</v>
      </c>
    </row>
    <row r="45" spans="1:18" x14ac:dyDescent="0.2">
      <c r="A45" s="15"/>
      <c r="B45" s="17"/>
      <c r="C45" s="18"/>
      <c r="D45" s="19"/>
      <c r="E45" s="20"/>
      <c r="F45" s="21"/>
      <c r="G45" s="19"/>
      <c r="H45" s="21"/>
      <c r="I45" s="20"/>
      <c r="J45" s="19"/>
      <c r="K45" s="22"/>
      <c r="M45" s="19"/>
    </row>
    <row r="46" spans="1:18" x14ac:dyDescent="0.2">
      <c r="A46" s="23" t="s">
        <v>19</v>
      </c>
      <c r="B46" s="24"/>
      <c r="C46" s="24"/>
      <c r="D46" s="21"/>
      <c r="E46" s="21"/>
      <c r="F46" s="21"/>
      <c r="G46" s="21"/>
      <c r="H46" s="21"/>
      <c r="K46" s="22"/>
    </row>
    <row r="47" spans="1:18" x14ac:dyDescent="0.2">
      <c r="A47" s="6" t="s">
        <v>20</v>
      </c>
      <c r="B47" s="24"/>
      <c r="C47" s="24"/>
      <c r="D47" s="21"/>
      <c r="E47" s="21"/>
      <c r="F47" s="21"/>
      <c r="G47" s="21"/>
      <c r="H47" s="21"/>
      <c r="K47" s="22"/>
    </row>
    <row r="48" spans="1:18" x14ac:dyDescent="0.2">
      <c r="A48" s="25" t="s">
        <v>21</v>
      </c>
      <c r="B48" s="17"/>
      <c r="C48" s="17"/>
      <c r="D48" s="21"/>
      <c r="E48" s="21"/>
      <c r="F48" s="21"/>
      <c r="G48" s="21"/>
      <c r="H48" s="21"/>
      <c r="K48" s="22"/>
    </row>
    <row r="49" spans="1:8" x14ac:dyDescent="0.2">
      <c r="A49" s="23" t="s">
        <v>22</v>
      </c>
      <c r="B49" s="17"/>
      <c r="C49" s="17"/>
      <c r="D49" s="21"/>
      <c r="E49" s="21"/>
      <c r="F49" s="21"/>
      <c r="G49" s="21"/>
      <c r="H49" s="21"/>
    </row>
    <row r="50" spans="1:8" x14ac:dyDescent="0.2">
      <c r="A50" s="6" t="s">
        <v>23</v>
      </c>
      <c r="B50" s="24"/>
      <c r="C50" s="24"/>
      <c r="D50" s="21"/>
      <c r="E50" s="21"/>
      <c r="F50" s="21"/>
      <c r="G50" s="21"/>
      <c r="H50" s="21"/>
    </row>
    <row r="51" spans="1:8" x14ac:dyDescent="0.2">
      <c r="A51" s="21" t="s">
        <v>24</v>
      </c>
      <c r="B51" s="21"/>
      <c r="C51" s="21"/>
    </row>
    <row r="52" spans="1:8" x14ac:dyDescent="0.2">
      <c r="A52" s="6" t="s">
        <v>25</v>
      </c>
      <c r="B52" s="21"/>
      <c r="C52" s="21"/>
    </row>
    <row r="53" spans="1:8" x14ac:dyDescent="0.2">
      <c r="A53" s="6" t="s">
        <v>26</v>
      </c>
      <c r="B53" s="21"/>
      <c r="C53" s="21"/>
    </row>
    <row r="54" spans="1:8" x14ac:dyDescent="0.2">
      <c r="B54" s="21"/>
      <c r="C54" s="21"/>
    </row>
    <row r="55" spans="1:8" x14ac:dyDescent="0.2">
      <c r="A55" s="6" t="s">
        <v>27</v>
      </c>
      <c r="B55" s="21"/>
      <c r="C55" s="21"/>
    </row>
    <row r="56" spans="1:8" x14ac:dyDescent="0.2">
      <c r="B56" s="21"/>
      <c r="C56" s="21"/>
    </row>
    <row r="57" spans="1:8" x14ac:dyDescent="0.2">
      <c r="B57" s="21"/>
      <c r="C57" s="21"/>
    </row>
    <row r="58" spans="1:8" x14ac:dyDescent="0.2">
      <c r="B58" s="21"/>
      <c r="C58" s="21"/>
    </row>
  </sheetData>
  <pageMargins left="0.75" right="0.75" top="1" bottom="0.75" header="0.5" footer="0.5"/>
  <pageSetup scale="86" orientation="landscape" horizontalDpi="1200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F47B2-2197-46D3-B563-3A87E9D3C5BA}">
  <dimension ref="A1:D10"/>
  <sheetViews>
    <sheetView workbookViewId="0"/>
  </sheetViews>
  <sheetFormatPr defaultRowHeight="15" x14ac:dyDescent="0.25"/>
  <cols>
    <col min="1" max="1" width="31.7109375" customWidth="1"/>
    <col min="2" max="2" width="24.5703125" customWidth="1"/>
    <col min="3" max="3" width="14.85546875" customWidth="1"/>
    <col min="4" max="4" width="23.7109375" customWidth="1"/>
  </cols>
  <sheetData>
    <row r="1" spans="1:4" ht="30" x14ac:dyDescent="0.25">
      <c r="A1" s="29" t="s">
        <v>40</v>
      </c>
      <c r="B1" s="29" t="s">
        <v>42</v>
      </c>
      <c r="C1" s="30" t="s">
        <v>46</v>
      </c>
      <c r="D1" s="30" t="s">
        <v>47</v>
      </c>
    </row>
    <row r="2" spans="1:4" x14ac:dyDescent="0.25">
      <c r="A2" s="28" t="s">
        <v>39</v>
      </c>
      <c r="B2" t="s">
        <v>41</v>
      </c>
      <c r="C2" cm="1">
        <f t="array" ref="C2">SUMPRODUCT('SIFMA Data'!$B$6:$B$29,1/'SIFMA Data'!$K$6:$K$29)/COUNT('SIFMA Data'!$B$6:$B$29)</f>
        <v>9.329082640733409E-2</v>
      </c>
      <c r="D2">
        <f>C2/SUM(C$2:C$5,C$8:C$9)</f>
        <v>0.11897165305428475</v>
      </c>
    </row>
    <row r="3" spans="1:4" x14ac:dyDescent="0.25">
      <c r="A3" s="28" t="s">
        <v>32</v>
      </c>
      <c r="B3" t="s">
        <v>43</v>
      </c>
      <c r="C3" cm="1">
        <f t="array" ref="C3">SUMPRODUCT('SIFMA Data'!$C$6:$C$29,1/'SIFMA Data'!$K$6:$K$29)/COUNT('SIFMA Data'!$C$6:$C$29)</f>
        <v>7.6320578502313288E-2</v>
      </c>
      <c r="D3">
        <f t="shared" ref="D3:D5" si="0">C3/SUM(C$2:C$5,C$8:C$9)</f>
        <v>9.7329884793106447E-2</v>
      </c>
    </row>
    <row r="4" spans="1:4" x14ac:dyDescent="0.25">
      <c r="A4" s="28" t="s">
        <v>33</v>
      </c>
      <c r="B4" t="s">
        <v>43</v>
      </c>
      <c r="C4" cm="1">
        <f t="array" ref="C4">SUMPRODUCT('SIFMA Data'!$D$6:$D$29,1/'SIFMA Data'!$K$6:$K$29)/COUNT('SIFMA Data'!$D$6:$D$29)</f>
        <v>3.0774785068639218E-2</v>
      </c>
      <c r="D4">
        <f t="shared" si="0"/>
        <v>3.9246378159626755E-2</v>
      </c>
    </row>
    <row r="5" spans="1:4" x14ac:dyDescent="0.25">
      <c r="A5" s="28" t="s">
        <v>38</v>
      </c>
      <c r="B5" t="s">
        <v>43</v>
      </c>
      <c r="C5" cm="1">
        <f t="array" ref="C5">SUMPRODUCT('SIFMA Data'!$E$6:$E$29,1/'SIFMA Data'!$K$6:$K$29)/COUNT('SIFMA Data'!$E$6:$E$29)</f>
        <v>2.892365686734541E-2</v>
      </c>
      <c r="D5">
        <f t="shared" si="0"/>
        <v>3.6885676785177193E-2</v>
      </c>
    </row>
    <row r="6" spans="1:4" x14ac:dyDescent="0.25">
      <c r="A6" s="28" t="s">
        <v>8</v>
      </c>
      <c r="B6" s="31" t="s">
        <v>44</v>
      </c>
      <c r="C6" s="31" cm="1">
        <f t="array" ref="C6">SUMPRODUCT('SIFMA Data'!$F$6:$F$29,1/'SIFMA Data'!$K$6:$K$29)/COUNT('SIFMA Data'!$F$6:$F$29)</f>
        <v>0.13075297028876784</v>
      </c>
      <c r="D6" s="31">
        <v>0</v>
      </c>
    </row>
    <row r="7" spans="1:4" x14ac:dyDescent="0.25">
      <c r="A7" s="28" t="s">
        <v>37</v>
      </c>
      <c r="B7" s="31" t="s">
        <v>44</v>
      </c>
      <c r="C7" s="31" cm="1">
        <f t="array" ref="C7">SUMPRODUCT('SIFMA Data'!$G$6:$G$29,1/'SIFMA Data'!$K$6:$K$29)/COUNT('SIFMA Data'!$G$6:$G$29)</f>
        <v>6.5810046617076665E-2</v>
      </c>
      <c r="D7" s="31">
        <v>0</v>
      </c>
    </row>
    <row r="8" spans="1:4" x14ac:dyDescent="0.25">
      <c r="A8" s="28" t="s">
        <v>36</v>
      </c>
      <c r="B8" t="s">
        <v>45</v>
      </c>
      <c r="C8" cm="1">
        <f t="array" ref="C8">SUMPRODUCT('SIFMA Data'!$H$6:$H$29,1/'SIFMA Data'!$K$6:$K$29)/COUNT('SIFMA Data'!$H$6:$H$29)</f>
        <v>0.36164521224976132</v>
      </c>
      <c r="D8">
        <f t="shared" ref="D8:D9" si="1">C8/SUM(C$2:C$5,C$8:C$9)</f>
        <v>0.46119785168008015</v>
      </c>
    </row>
    <row r="9" spans="1:4" x14ac:dyDescent="0.25">
      <c r="A9" s="28" t="s">
        <v>34</v>
      </c>
      <c r="B9" t="s">
        <v>43</v>
      </c>
      <c r="C9" cm="1">
        <f t="array" ref="C9">SUMPRODUCT('SIFMA Data'!$I$6:$I$29,1/'SIFMA Data'!$K$6:$K$29)/COUNT('SIFMA Data'!$I$6:$I$29)</f>
        <v>0.19318825582322063</v>
      </c>
      <c r="D9">
        <f t="shared" si="1"/>
        <v>0.24636855552772466</v>
      </c>
    </row>
    <row r="10" spans="1:4" x14ac:dyDescent="0.25">
      <c r="A10" s="28" t="s">
        <v>35</v>
      </c>
      <c r="B10" s="31" t="e">
        <f>NA()</f>
        <v>#N/A</v>
      </c>
      <c r="C10" s="31" cm="1">
        <f t="array" ref="C10">SUMPRODUCT('SIFMA Data'!$J$6:$J$29,1/'SIFMA Data'!$K$6:$K$29)/COUNT('SIFMA Data'!$J$6:$J$29)</f>
        <v>1.9293668175541508E-2</v>
      </c>
      <c r="D10" s="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32AA-58E6-48D4-826D-C6ADF161AB87}">
  <sheetPr>
    <tabColor theme="4" tint="-0.249977111117893"/>
  </sheetPr>
  <dimension ref="A1:B5"/>
  <sheetViews>
    <sheetView workbookViewId="0"/>
  </sheetViews>
  <sheetFormatPr defaultRowHeight="15" x14ac:dyDescent="0.25"/>
  <cols>
    <col min="1" max="1" width="36.85546875" customWidth="1"/>
    <col min="2" max="2" width="22.42578125" customWidth="1"/>
  </cols>
  <sheetData>
    <row r="1" spans="1:2" x14ac:dyDescent="0.25">
      <c r="A1" s="33" t="s">
        <v>49</v>
      </c>
      <c r="B1" s="32" t="s">
        <v>48</v>
      </c>
    </row>
    <row r="2" spans="1:2" x14ac:dyDescent="0.25">
      <c r="A2" t="s">
        <v>44</v>
      </c>
      <c r="B2">
        <v>0</v>
      </c>
    </row>
    <row r="3" spans="1:2" x14ac:dyDescent="0.25">
      <c r="A3" t="s">
        <v>59</v>
      </c>
      <c r="B3">
        <f>SUM(Calcs!D3:D5,Calcs!D9)</f>
        <v>0.4198304952656351</v>
      </c>
    </row>
    <row r="4" spans="1:2" x14ac:dyDescent="0.25">
      <c r="A4" t="s">
        <v>41</v>
      </c>
      <c r="B4">
        <f>Calcs!D2</f>
        <v>0.11897165305428475</v>
      </c>
    </row>
    <row r="5" spans="1:2" x14ac:dyDescent="0.25">
      <c r="A5" t="s">
        <v>45</v>
      </c>
      <c r="B5">
        <f>Calcs!D8</f>
        <v>0.46119785168008015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7B0D64-9139-4F5F-8FCE-0BFF927A4468}"/>
</file>

<file path=customXml/itemProps2.xml><?xml version="1.0" encoding="utf-8"?>
<ds:datastoreItem xmlns:ds="http://schemas.openxmlformats.org/officeDocument/2006/customXml" ds:itemID="{00372B67-373F-42AD-A8D6-598C91C10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About</vt:lpstr>
      <vt:lpstr>SIFMA Data</vt:lpstr>
      <vt:lpstr>Calcs</vt:lpstr>
      <vt:lpstr>PoNDHbE</vt:lpstr>
      <vt:lpstr>'SIFMA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2020-08-13T22:09:43Z</dcterms:created>
  <dcterms:modified xsi:type="dcterms:W3CDTF">2021-03-09T01:00:45Z</dcterms:modified>
</cp:coreProperties>
</file>