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wingtsang/Desktop/0 OH NO/"/>
    </mc:Choice>
  </mc:AlternateContent>
  <xr:revisionPtr revIDLastSave="0" documentId="13_ncr:1_{57970C07-1678-734C-A67A-AB4FED230D0E}" xr6:coauthVersionLast="47" xr6:coauthVersionMax="47" xr10:uidLastSave="{00000000-0000-0000-0000-000000000000}"/>
  <bookViews>
    <workbookView xWindow="5380" yWindow="740" windowWidth="23420" windowHeight="16120" xr2:uid="{00000000-000D-0000-FFFF-FFFF00000000}"/>
  </bookViews>
  <sheets>
    <sheet name="About" sheetId="1" r:id="rId1"/>
    <sheet name="OECD Data" sheetId="3" r:id="rId2"/>
    <sheet name="BGDP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4" i="2"/>
  <c r="B3" i="2"/>
  <c r="B2" i="2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5" i="1"/>
  <c r="G6" i="1"/>
  <c r="G7" i="1"/>
  <c r="G8" i="1"/>
  <c r="G9" i="1"/>
  <c r="G10" i="1"/>
  <c r="G11" i="1"/>
  <c r="G4" i="1"/>
  <c r="E39" i="1" l="1"/>
  <c r="E4" i="1"/>
  <c r="E5" i="1" s="1"/>
  <c r="E6" i="1" l="1"/>
  <c r="E7" i="1" l="1"/>
  <c r="E8" i="1" l="1"/>
  <c r="E9" i="1" l="1"/>
  <c r="E10" i="1" l="1"/>
  <c r="E11" i="1" s="1"/>
  <c r="E12" i="1" l="1"/>
  <c r="E13" i="1" l="1"/>
  <c r="E14" i="1" l="1"/>
  <c r="E15" i="1" l="1"/>
  <c r="E16" i="1" l="1"/>
  <c r="E17" i="1" l="1"/>
  <c r="E18" i="1" l="1"/>
  <c r="E19" i="1" l="1"/>
  <c r="E20" i="1" l="1"/>
  <c r="E21" i="1" l="1"/>
  <c r="E22" i="1" l="1"/>
  <c r="E23" i="1" l="1"/>
  <c r="E24" i="1" l="1"/>
  <c r="E25" i="1" l="1"/>
  <c r="E26" i="1" l="1"/>
  <c r="E27" i="1" l="1"/>
  <c r="E28" i="1" l="1"/>
  <c r="E29" i="1" l="1"/>
  <c r="E30" i="1" l="1"/>
  <c r="E31" i="1" l="1"/>
  <c r="E32" i="1" l="1"/>
  <c r="E33" i="1" l="1"/>
  <c r="E34" i="1" l="1"/>
  <c r="E35" i="1" l="1"/>
  <c r="E36" i="1" l="1"/>
  <c r="E37" i="1" l="1"/>
</calcChain>
</file>

<file path=xl/sharedStrings.xml><?xml version="1.0" encoding="utf-8"?>
<sst xmlns="http://schemas.openxmlformats.org/spreadsheetml/2006/main" count="201" uniqueCount="29">
  <si>
    <t>BGDP BAU Gross Domestic Product</t>
  </si>
  <si>
    <t>Source:</t>
  </si>
  <si>
    <t>Real GDP long-term forecast</t>
  </si>
  <si>
    <t>Notes</t>
  </si>
  <si>
    <t>LOCATION</t>
  </si>
  <si>
    <t>INDICATOR</t>
  </si>
  <si>
    <t>SUBJECT</t>
  </si>
  <si>
    <t>MEASURE</t>
  </si>
  <si>
    <t>FREQUENCY</t>
  </si>
  <si>
    <t>TIME</t>
  </si>
  <si>
    <t>Value</t>
  </si>
  <si>
    <t>GDPLTFORECAST</t>
  </si>
  <si>
    <t>TOT</t>
  </si>
  <si>
    <t>MLN_USD</t>
  </si>
  <si>
    <t>A</t>
  </si>
  <si>
    <t>GDP</t>
  </si>
  <si>
    <t>Unit: 2012 USD</t>
  </si>
  <si>
    <t>Hong Kong</t>
    <phoneticPr fontId="5" type="noConversion"/>
  </si>
  <si>
    <t>≈</t>
    <phoneticPr fontId="5" type="noConversion"/>
  </si>
  <si>
    <t>Year-on-year change</t>
  </si>
  <si>
    <t>HK$ million</t>
  </si>
  <si>
    <t>2016^1</t>
  </si>
  <si>
    <t>Hong Kong Census</t>
    <phoneticPr fontId="5" type="noConversion"/>
  </si>
  <si>
    <t>https://www.censtatd.gov.hk/en/web_table.html?id=31#</t>
  </si>
  <si>
    <t>Table 310-31001 : Gross Domestic Product (GDP), implicit price deflator of GDP and per capita GDP</t>
    <phoneticPr fontId="5" type="noConversion"/>
  </si>
  <si>
    <t>GDP forecast  2.5% for 2014, (ii) 2% for 2015 (i.e. mid-point of the 1-3% government forecast), (iii) 3.5% for 2016-19, and (iv) 3.5% for 2020-21, 3% for 2022-25 and 2.5% for 2026-41</t>
  </si>
  <si>
    <t>https://www.hk2030plus.hk/document/Review%20of%20Land%20Requirement%20for%20Grade%20A%20Offices_Business%20and%20Industrial%20Uses(Eng)_FCR.pdf</t>
  </si>
  <si>
    <t>currency</t>
  </si>
  <si>
    <t>HK$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</si>
</sst>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5" fontId="0" fillId="2" borderId="1" xfId="3" applyNumberFormat="1" applyFont="1" applyFill="1" applyBorder="1"/>
    <xf numFmtId="165" fontId="0" fillId="3" borderId="1" xfId="3" applyNumberFormat="1" applyFont="1" applyFill="1" applyBorder="1"/>
    <xf numFmtId="165" fontId="0" fillId="2" borderId="2" xfId="3" applyNumberFormat="1" applyFont="1" applyFill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0" fillId="3" borderId="0" xfId="2" applyNumberFormat="1" applyFont="1" applyFill="1" applyBorder="1" applyAlignment="1"/>
    <xf numFmtId="166" fontId="0" fillId="4" borderId="5" xfId="2" applyNumberFormat="1" applyFont="1" applyFill="1" applyBorder="1" applyAlignment="1"/>
    <xf numFmtId="0" fontId="2" fillId="0" borderId="0" xfId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5" fontId="0" fillId="0" borderId="0" xfId="0" applyNumberFormat="1"/>
  </cellXfs>
  <cellStyles count="4">
    <cellStyle name="Comma 2" xfId="3" xr:uid="{75569FB3-641E-E841-906D-052129B9ED80}"/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vicexchangeorg.sharepoint.com/sites/HongKong2050isNowTeamsite/Shared%20Documents/02%20HK2050isNOW%20Data,%20Model%20&amp;%20Rpt/Policy%20Concept%20model%20(PCM)%202020330%20WORKING%20COPY.xlsm" TargetMode="External"/><Relationship Id="rId1" Type="http://schemas.openxmlformats.org/officeDocument/2006/relationships/externalLinkPath" Target="https://civicexchangeorg.sharepoint.com/sites/HongKong2050isNowTeamsite/Shared%20Documents/02%20HK2050isNOW%20Data,%20Model%20&amp;%20Rpt/Policy%20Concept%20model%20(PCM)%202020330%20WORKING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AMEWORK"/>
      <sheetName val="GHG &amp; Energy rpt"/>
      <sheetName val="Results summary rpt"/>
      <sheetName val="Result Report"/>
      <sheetName val="Key parameters rpt"/>
      <sheetName val="Sheet4"/>
      <sheetName val="Pivot_Table"/>
      <sheetName val="2016 Data Source"/>
      <sheetName val="Transport"/>
      <sheetName val="Population and GDP"/>
      <sheetName val="Population and GDP (1)"/>
      <sheetName val="Sheet3"/>
      <sheetName val="Building"/>
      <sheetName val="Sheet5"/>
      <sheetName val="Transport-1"/>
      <sheetName val="Transport-2"/>
      <sheetName val="Electricity"/>
      <sheetName val="Waste"/>
      <sheetName val="PMC ref file ---&gt;"/>
      <sheetName val="Trans rough work"/>
      <sheetName val="Trans analysis"/>
      <sheetName val="EF-1"/>
      <sheetName val="Commerical demand"/>
      <sheetName val="Elc"/>
      <sheetName val="Housing demand"/>
      <sheetName val="Elderly &amp; Children pax trips"/>
      <sheetName val="Marine VKM"/>
      <sheetName val="Sheet1"/>
      <sheetName val="Sheet2"/>
      <sheetName val="data demand"/>
    </sheetNames>
    <sheetDataSet>
      <sheetData sheetId="0"/>
      <sheetData sheetId="1"/>
      <sheetData sheetId="2"/>
      <sheetData sheetId="3"/>
      <sheetData sheetId="4">
        <row r="3">
          <cell r="G3">
            <v>2050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A8" workbookViewId="0">
      <selection activeCell="G4" sqref="G4"/>
    </sheetView>
  </sheetViews>
  <sheetFormatPr baseColWidth="10" defaultColWidth="9" defaultRowHeight="15" x14ac:dyDescent="0.2"/>
  <cols>
    <col min="2" max="2" width="77.6640625" customWidth="1"/>
    <col min="7" max="7" width="13.6640625" bestFit="1" customWidth="1"/>
  </cols>
  <sheetData>
    <row r="1" spans="1:18" x14ac:dyDescent="0.2">
      <c r="A1" s="1" t="s">
        <v>0</v>
      </c>
      <c r="E1" s="15" t="s">
        <v>18</v>
      </c>
      <c r="F1" s="16"/>
    </row>
    <row r="2" spans="1:18" x14ac:dyDescent="0.2">
      <c r="E2" s="10" t="s">
        <v>15</v>
      </c>
      <c r="F2" s="17" t="s">
        <v>19</v>
      </c>
      <c r="G2" t="s">
        <v>15</v>
      </c>
    </row>
    <row r="3" spans="1:18" x14ac:dyDescent="0.2">
      <c r="A3" s="1" t="s">
        <v>1</v>
      </c>
      <c r="B3" t="s">
        <v>22</v>
      </c>
      <c r="E3" s="11" t="s">
        <v>20</v>
      </c>
      <c r="F3" s="17"/>
      <c r="G3" t="s">
        <v>28</v>
      </c>
      <c r="I3">
        <v>2012</v>
      </c>
    </row>
    <row r="4" spans="1:18" x14ac:dyDescent="0.2">
      <c r="B4" s="2">
        <v>2022</v>
      </c>
      <c r="D4" s="4" t="s">
        <v>21</v>
      </c>
      <c r="E4" s="7">
        <f>+'[1]Key parameters rpt'!G3</f>
        <v>2050</v>
      </c>
      <c r="F4" s="12">
        <v>6.8000000000000005E-2</v>
      </c>
      <c r="G4" s="19">
        <f>E4*1000000</f>
        <v>2050000000</v>
      </c>
      <c r="H4" t="s">
        <v>27</v>
      </c>
      <c r="I4">
        <v>7.8</v>
      </c>
    </row>
    <row r="5" spans="1:18" x14ac:dyDescent="0.2">
      <c r="B5" t="s">
        <v>24</v>
      </c>
      <c r="D5">
        <v>2017</v>
      </c>
      <c r="E5" s="8">
        <f>E4*(1+F4)</f>
        <v>2189.4</v>
      </c>
      <c r="F5" s="12">
        <v>6.6000000000000003E-2</v>
      </c>
      <c r="G5" s="19">
        <f t="shared" ref="G5:G38" si="0">E5*1000000</f>
        <v>2189400000</v>
      </c>
    </row>
    <row r="6" spans="1:18" x14ac:dyDescent="0.2">
      <c r="B6" s="3" t="s">
        <v>23</v>
      </c>
      <c r="D6">
        <v>2018</v>
      </c>
      <c r="E6" s="8">
        <f t="shared" ref="E6:E37" si="1">E5*(1+F5)</f>
        <v>2333.9004000000004</v>
      </c>
      <c r="F6" s="12">
        <v>3.0000000000000001E-3</v>
      </c>
      <c r="G6" s="19">
        <f t="shared" si="0"/>
        <v>2333900400.0000005</v>
      </c>
    </row>
    <row r="7" spans="1:18" x14ac:dyDescent="0.2">
      <c r="B7" t="s">
        <v>2</v>
      </c>
      <c r="D7">
        <v>2019</v>
      </c>
      <c r="E7" s="8">
        <f>E6*(1+F6)</f>
        <v>2340.9021012000003</v>
      </c>
      <c r="F7" s="12">
        <v>-5.8999999999999997E-2</v>
      </c>
      <c r="G7" s="19">
        <f t="shared" si="0"/>
        <v>2340902101.2000003</v>
      </c>
    </row>
    <row r="8" spans="1:18" x14ac:dyDescent="0.2">
      <c r="D8">
        <v>2020</v>
      </c>
      <c r="E8" s="8">
        <f t="shared" si="1"/>
        <v>2202.7888772292004</v>
      </c>
      <c r="F8" s="12">
        <v>7.1999999999999995E-2</v>
      </c>
      <c r="G8" s="19">
        <f t="shared" si="0"/>
        <v>2202788877.2292004</v>
      </c>
    </row>
    <row r="9" spans="1:18" x14ac:dyDescent="0.2">
      <c r="A9" s="1" t="s">
        <v>3</v>
      </c>
      <c r="D9">
        <v>2021</v>
      </c>
      <c r="E9" s="8">
        <f t="shared" si="1"/>
        <v>2361.3896763897028</v>
      </c>
      <c r="F9" s="12">
        <v>-1.7000000000000001E-2</v>
      </c>
      <c r="G9" s="19">
        <f t="shared" si="0"/>
        <v>2361389676.3897028</v>
      </c>
    </row>
    <row r="10" spans="1:18" x14ac:dyDescent="0.2">
      <c r="D10">
        <v>2022</v>
      </c>
      <c r="E10" s="8">
        <f t="shared" si="1"/>
        <v>2321.246051891078</v>
      </c>
      <c r="F10" s="12">
        <v>0.03</v>
      </c>
      <c r="G10" s="19">
        <f t="shared" si="0"/>
        <v>2321246051.891078</v>
      </c>
    </row>
    <row r="11" spans="1:18" ht="14" customHeight="1" x14ac:dyDescent="0.2">
      <c r="A11" t="s">
        <v>25</v>
      </c>
      <c r="B11" t="s">
        <v>26</v>
      </c>
      <c r="D11">
        <v>2023</v>
      </c>
      <c r="E11" s="8">
        <f>E10*(1+F10)</f>
        <v>2390.8834334478101</v>
      </c>
      <c r="F11" s="12">
        <v>0.03</v>
      </c>
      <c r="G11" s="19">
        <f t="shared" si="0"/>
        <v>2390883433.4478102</v>
      </c>
      <c r="I11" s="18"/>
      <c r="J11" s="18"/>
      <c r="K11" s="18"/>
      <c r="L11" s="18"/>
      <c r="M11" s="14"/>
      <c r="N11" s="14"/>
      <c r="O11" s="14"/>
      <c r="P11" s="14"/>
      <c r="Q11" s="14"/>
      <c r="R11" s="14"/>
    </row>
    <row r="12" spans="1:18" x14ac:dyDescent="0.2">
      <c r="D12">
        <v>2024</v>
      </c>
      <c r="E12" s="8">
        <f>E11*(1+F11)</f>
        <v>2462.6099364512447</v>
      </c>
      <c r="F12" s="12">
        <v>0.03</v>
      </c>
      <c r="G12" s="19">
        <f t="shared" si="0"/>
        <v>2462609936.4512448</v>
      </c>
    </row>
    <row r="13" spans="1:18" x14ac:dyDescent="0.2">
      <c r="D13">
        <v>2025</v>
      </c>
      <c r="E13" s="8">
        <f t="shared" si="1"/>
        <v>2536.4882345447822</v>
      </c>
      <c r="F13" s="12">
        <v>0.03</v>
      </c>
      <c r="G13" s="19">
        <f t="shared" si="0"/>
        <v>2536488234.5447822</v>
      </c>
    </row>
    <row r="14" spans="1:18" x14ac:dyDescent="0.2">
      <c r="D14">
        <v>2026</v>
      </c>
      <c r="E14" s="8">
        <f t="shared" si="1"/>
        <v>2612.582881581126</v>
      </c>
      <c r="F14" s="12">
        <v>2.5000000000000001E-2</v>
      </c>
      <c r="G14" s="19">
        <f t="shared" si="0"/>
        <v>2612582881.5811262</v>
      </c>
    </row>
    <row r="15" spans="1:18" x14ac:dyDescent="0.2">
      <c r="D15">
        <v>2027</v>
      </c>
      <c r="E15" s="8">
        <f t="shared" si="1"/>
        <v>2677.8974536206538</v>
      </c>
      <c r="F15" s="12">
        <v>2.5000000000000001E-2</v>
      </c>
      <c r="G15" s="19">
        <f t="shared" si="0"/>
        <v>2677897453.6206536</v>
      </c>
    </row>
    <row r="16" spans="1:18" x14ac:dyDescent="0.2">
      <c r="D16">
        <v>2028</v>
      </c>
      <c r="E16" s="8">
        <f t="shared" si="1"/>
        <v>2744.8448899611699</v>
      </c>
      <c r="F16" s="12">
        <v>2.5000000000000001E-2</v>
      </c>
      <c r="G16" s="19">
        <f t="shared" si="0"/>
        <v>2744844889.9611697</v>
      </c>
    </row>
    <row r="17" spans="4:7" x14ac:dyDescent="0.2">
      <c r="D17">
        <v>2029</v>
      </c>
      <c r="E17" s="8">
        <f t="shared" si="1"/>
        <v>2813.4660122101991</v>
      </c>
      <c r="F17" s="12">
        <v>2.5000000000000001E-2</v>
      </c>
      <c r="G17" s="19">
        <f t="shared" si="0"/>
        <v>2813466012.2101989</v>
      </c>
    </row>
    <row r="18" spans="4:7" x14ac:dyDescent="0.2">
      <c r="D18">
        <v>2030</v>
      </c>
      <c r="E18" s="8">
        <f t="shared" si="1"/>
        <v>2883.8026625154539</v>
      </c>
      <c r="F18" s="12">
        <v>2.5000000000000001E-2</v>
      </c>
      <c r="G18" s="19">
        <f t="shared" si="0"/>
        <v>2883802662.5154538</v>
      </c>
    </row>
    <row r="19" spans="4:7" x14ac:dyDescent="0.2">
      <c r="D19">
        <v>2031</v>
      </c>
      <c r="E19" s="8">
        <f t="shared" si="1"/>
        <v>2955.89772907834</v>
      </c>
      <c r="F19" s="12">
        <v>2.5000000000000001E-2</v>
      </c>
      <c r="G19" s="19">
        <f t="shared" si="0"/>
        <v>2955897729.0783401</v>
      </c>
    </row>
    <row r="20" spans="4:7" x14ac:dyDescent="0.2">
      <c r="D20">
        <v>2032</v>
      </c>
      <c r="E20" s="8">
        <f t="shared" si="1"/>
        <v>3029.7951723052984</v>
      </c>
      <c r="F20" s="12">
        <v>2.5000000000000001E-2</v>
      </c>
      <c r="G20" s="19">
        <f t="shared" si="0"/>
        <v>3029795172.3052983</v>
      </c>
    </row>
    <row r="21" spans="4:7" x14ac:dyDescent="0.2">
      <c r="D21">
        <v>2033</v>
      </c>
      <c r="E21" s="8">
        <f t="shared" si="1"/>
        <v>3105.5400516129307</v>
      </c>
      <c r="F21" s="12">
        <v>2.5000000000000001E-2</v>
      </c>
      <c r="G21" s="19">
        <f t="shared" si="0"/>
        <v>3105540051.6129308</v>
      </c>
    </row>
    <row r="22" spans="4:7" x14ac:dyDescent="0.2">
      <c r="D22">
        <v>2034</v>
      </c>
      <c r="E22" s="8">
        <f t="shared" si="1"/>
        <v>3183.1785529032536</v>
      </c>
      <c r="F22" s="12">
        <v>2.5000000000000001E-2</v>
      </c>
      <c r="G22" s="19">
        <f t="shared" si="0"/>
        <v>3183178552.9032536</v>
      </c>
    </row>
    <row r="23" spans="4:7" x14ac:dyDescent="0.2">
      <c r="D23">
        <v>2035</v>
      </c>
      <c r="E23" s="8">
        <f t="shared" si="1"/>
        <v>3262.7580167258348</v>
      </c>
      <c r="F23" s="12">
        <v>2.5000000000000001E-2</v>
      </c>
      <c r="G23" s="19">
        <f t="shared" si="0"/>
        <v>3262758016.7258348</v>
      </c>
    </row>
    <row r="24" spans="4:7" x14ac:dyDescent="0.2">
      <c r="D24">
        <v>2036</v>
      </c>
      <c r="E24" s="8">
        <f t="shared" si="1"/>
        <v>3344.3269671439803</v>
      </c>
      <c r="F24" s="12">
        <v>2.5000000000000001E-2</v>
      </c>
      <c r="G24" s="19">
        <f t="shared" si="0"/>
        <v>3344326967.14398</v>
      </c>
    </row>
    <row r="25" spans="4:7" x14ac:dyDescent="0.2">
      <c r="D25">
        <v>2037</v>
      </c>
      <c r="E25" s="8">
        <f t="shared" si="1"/>
        <v>3427.9351413225795</v>
      </c>
      <c r="F25" s="12">
        <v>2.5000000000000001E-2</v>
      </c>
      <c r="G25" s="19">
        <f t="shared" si="0"/>
        <v>3427935141.3225794</v>
      </c>
    </row>
    <row r="26" spans="4:7" x14ac:dyDescent="0.2">
      <c r="D26">
        <v>2038</v>
      </c>
      <c r="E26" s="8">
        <f t="shared" si="1"/>
        <v>3513.6335198556435</v>
      </c>
      <c r="F26" s="12">
        <v>2.5000000000000001E-2</v>
      </c>
      <c r="G26" s="19">
        <f t="shared" si="0"/>
        <v>3513633519.8556433</v>
      </c>
    </row>
    <row r="27" spans="4:7" x14ac:dyDescent="0.2">
      <c r="D27">
        <v>2039</v>
      </c>
      <c r="E27" s="8">
        <f t="shared" si="1"/>
        <v>3601.4743578520342</v>
      </c>
      <c r="F27" s="12">
        <v>2.5000000000000001E-2</v>
      </c>
      <c r="G27" s="19">
        <f t="shared" si="0"/>
        <v>3601474357.8520341</v>
      </c>
    </row>
    <row r="28" spans="4:7" x14ac:dyDescent="0.2">
      <c r="D28">
        <v>2040</v>
      </c>
      <c r="E28" s="8">
        <f t="shared" si="1"/>
        <v>3691.5112167983348</v>
      </c>
      <c r="F28" s="12">
        <v>2.5000000000000001E-2</v>
      </c>
      <c r="G28" s="19">
        <f t="shared" si="0"/>
        <v>3691511216.7983346</v>
      </c>
    </row>
    <row r="29" spans="4:7" x14ac:dyDescent="0.2">
      <c r="D29">
        <v>2041</v>
      </c>
      <c r="E29" s="8">
        <f t="shared" si="1"/>
        <v>3783.7989972182927</v>
      </c>
      <c r="F29" s="12">
        <v>2.5000000000000001E-2</v>
      </c>
      <c r="G29" s="19">
        <f t="shared" si="0"/>
        <v>3783798997.2182927</v>
      </c>
    </row>
    <row r="30" spans="4:7" x14ac:dyDescent="0.2">
      <c r="D30">
        <v>2042</v>
      </c>
      <c r="E30" s="8">
        <f t="shared" si="1"/>
        <v>3878.3939721487495</v>
      </c>
      <c r="F30" s="12">
        <v>2.5000000000000001E-2</v>
      </c>
      <c r="G30" s="19">
        <f t="shared" si="0"/>
        <v>3878393972.1487494</v>
      </c>
    </row>
    <row r="31" spans="4:7" x14ac:dyDescent="0.2">
      <c r="D31">
        <v>2043</v>
      </c>
      <c r="E31" s="8">
        <f t="shared" si="1"/>
        <v>3975.3538214524679</v>
      </c>
      <c r="F31" s="12">
        <v>2.5000000000000001E-2</v>
      </c>
      <c r="G31" s="19">
        <f t="shared" si="0"/>
        <v>3975353821.4524679</v>
      </c>
    </row>
    <row r="32" spans="4:7" x14ac:dyDescent="0.2">
      <c r="D32">
        <v>2044</v>
      </c>
      <c r="E32" s="8">
        <f t="shared" si="1"/>
        <v>4074.737666988779</v>
      </c>
      <c r="F32" s="12">
        <v>2.5000000000000001E-2</v>
      </c>
      <c r="G32" s="19">
        <f t="shared" si="0"/>
        <v>4074737666.9887791</v>
      </c>
    </row>
    <row r="33" spans="4:7" x14ac:dyDescent="0.2">
      <c r="D33">
        <v>2045</v>
      </c>
      <c r="E33" s="8">
        <f t="shared" si="1"/>
        <v>4176.6061086634982</v>
      </c>
      <c r="F33" s="12">
        <v>2.5000000000000001E-2</v>
      </c>
      <c r="G33" s="19">
        <f t="shared" si="0"/>
        <v>4176606108.6634979</v>
      </c>
    </row>
    <row r="34" spans="4:7" x14ac:dyDescent="0.2">
      <c r="D34">
        <v>2046</v>
      </c>
      <c r="E34" s="8">
        <f t="shared" si="1"/>
        <v>4281.021261380085</v>
      </c>
      <c r="F34" s="12">
        <v>2.5000000000000001E-2</v>
      </c>
      <c r="G34" s="19">
        <f t="shared" si="0"/>
        <v>4281021261.380085</v>
      </c>
    </row>
    <row r="35" spans="4:7" x14ac:dyDescent="0.2">
      <c r="D35">
        <v>2047</v>
      </c>
      <c r="E35" s="8">
        <f t="shared" si="1"/>
        <v>4388.0467929145871</v>
      </c>
      <c r="F35" s="12">
        <v>2.5000000000000001E-2</v>
      </c>
      <c r="G35" s="19">
        <f t="shared" si="0"/>
        <v>4388046792.914587</v>
      </c>
    </row>
    <row r="36" spans="4:7" x14ac:dyDescent="0.2">
      <c r="D36">
        <v>2048</v>
      </c>
      <c r="E36" s="8">
        <f t="shared" si="1"/>
        <v>4497.7479627374514</v>
      </c>
      <c r="F36" s="12">
        <v>2.5000000000000001E-2</v>
      </c>
      <c r="G36" s="19">
        <f t="shared" si="0"/>
        <v>4497747962.7374516</v>
      </c>
    </row>
    <row r="37" spans="4:7" x14ac:dyDescent="0.2">
      <c r="D37">
        <v>2049</v>
      </c>
      <c r="E37" s="8">
        <f t="shared" si="1"/>
        <v>4610.1916618058876</v>
      </c>
      <c r="F37" s="12">
        <v>2.5000000000000001E-2</v>
      </c>
      <c r="G37" s="19">
        <f t="shared" si="0"/>
        <v>4610191661.8058872</v>
      </c>
    </row>
    <row r="38" spans="4:7" x14ac:dyDescent="0.2">
      <c r="D38">
        <v>2050</v>
      </c>
      <c r="E38" s="8">
        <v>6232620.9488792457</v>
      </c>
      <c r="F38" s="12">
        <v>2.5000000000000001E-2</v>
      </c>
      <c r="G38" s="19">
        <f t="shared" si="0"/>
        <v>6232620948879.2461</v>
      </c>
    </row>
    <row r="39" spans="4:7" ht="16" thickBot="1" x14ac:dyDescent="0.25">
      <c r="D39">
        <v>2050</v>
      </c>
      <c r="E39" s="9">
        <f>'[1]Key parameters rpt'!R3</f>
        <v>0</v>
      </c>
      <c r="F39" s="13">
        <v>2.5000000000000001E-2</v>
      </c>
    </row>
  </sheetData>
  <mergeCells count="4">
    <mergeCell ref="M11:R11"/>
    <mergeCell ref="E1:F1"/>
    <mergeCell ref="F2:F3"/>
    <mergeCell ref="I11:L1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zoomScale="127" zoomScaleNormal="127" workbookViewId="0">
      <selection activeCell="G2" sqref="G2"/>
    </sheetView>
  </sheetViews>
  <sheetFormatPr baseColWidth="10" defaultColWidth="9" defaultRowHeight="15" x14ac:dyDescent="0.2"/>
  <cols>
    <col min="1" max="1" width="13.1640625" customWidth="1"/>
    <col min="2" max="2" width="21" customWidth="1"/>
    <col min="3" max="3" width="10.83203125" customWidth="1"/>
    <col min="4" max="4" width="13" customWidth="1"/>
    <col min="5" max="5" width="13.1640625" customWidth="1"/>
    <col min="7" max="7" width="17.1640625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s="4" t="s">
        <v>9</v>
      </c>
      <c r="G1" s="4" t="s">
        <v>10</v>
      </c>
    </row>
    <row r="2" spans="1:7" x14ac:dyDescent="0.2">
      <c r="A2" t="s">
        <v>17</v>
      </c>
      <c r="B2" t="s">
        <v>11</v>
      </c>
      <c r="C2" t="s">
        <v>12</v>
      </c>
      <c r="D2" t="s">
        <v>13</v>
      </c>
      <c r="E2" t="s">
        <v>14</v>
      </c>
      <c r="F2">
        <v>2016</v>
      </c>
      <c r="G2">
        <v>2490617</v>
      </c>
    </row>
    <row r="3" spans="1:7" x14ac:dyDescent="0.2">
      <c r="A3" t="s">
        <v>17</v>
      </c>
      <c r="B3" t="s">
        <v>11</v>
      </c>
      <c r="C3" t="s">
        <v>12</v>
      </c>
      <c r="D3" t="s">
        <v>13</v>
      </c>
      <c r="E3" t="s">
        <v>14</v>
      </c>
      <c r="F3">
        <v>2017</v>
      </c>
      <c r="G3">
        <v>2659978.9560000002</v>
      </c>
    </row>
    <row r="4" spans="1:7" x14ac:dyDescent="0.2">
      <c r="A4" t="s">
        <v>17</v>
      </c>
      <c r="B4" t="s">
        <v>11</v>
      </c>
      <c r="C4" t="s">
        <v>12</v>
      </c>
      <c r="D4" t="s">
        <v>13</v>
      </c>
      <c r="E4" t="s">
        <v>14</v>
      </c>
      <c r="F4">
        <v>2018</v>
      </c>
      <c r="G4">
        <v>2835537.5670960005</v>
      </c>
    </row>
    <row r="5" spans="1:7" x14ac:dyDescent="0.2">
      <c r="A5" t="s">
        <v>17</v>
      </c>
      <c r="B5" t="s">
        <v>11</v>
      </c>
      <c r="C5" t="s">
        <v>12</v>
      </c>
      <c r="D5" t="s">
        <v>13</v>
      </c>
      <c r="E5" t="s">
        <v>14</v>
      </c>
      <c r="F5">
        <v>2019</v>
      </c>
      <c r="G5">
        <v>2844044.179797288</v>
      </c>
    </row>
    <row r="6" spans="1:7" x14ac:dyDescent="0.2">
      <c r="A6" t="s">
        <v>17</v>
      </c>
      <c r="B6" t="s">
        <v>11</v>
      </c>
      <c r="C6" t="s">
        <v>12</v>
      </c>
      <c r="D6" t="s">
        <v>13</v>
      </c>
      <c r="E6" t="s">
        <v>14</v>
      </c>
      <c r="F6">
        <v>2020</v>
      </c>
      <c r="G6">
        <v>2676245.5731892483</v>
      </c>
    </row>
    <row r="7" spans="1:7" x14ac:dyDescent="0.2">
      <c r="A7" t="s">
        <v>17</v>
      </c>
      <c r="B7" t="s">
        <v>11</v>
      </c>
      <c r="C7" t="s">
        <v>12</v>
      </c>
      <c r="D7" t="s">
        <v>13</v>
      </c>
      <c r="E7" t="s">
        <v>14</v>
      </c>
      <c r="F7">
        <v>2021</v>
      </c>
      <c r="G7">
        <v>2868935.2544588745</v>
      </c>
    </row>
    <row r="8" spans="1:7" x14ac:dyDescent="0.2">
      <c r="A8" t="s">
        <v>17</v>
      </c>
      <c r="B8" t="s">
        <v>11</v>
      </c>
      <c r="C8" t="s">
        <v>12</v>
      </c>
      <c r="D8" t="s">
        <v>13</v>
      </c>
      <c r="E8" t="s">
        <v>14</v>
      </c>
      <c r="F8">
        <v>2022</v>
      </c>
      <c r="G8">
        <v>2820163.3551330734</v>
      </c>
    </row>
    <row r="9" spans="1:7" x14ac:dyDescent="0.2">
      <c r="A9" t="s">
        <v>17</v>
      </c>
      <c r="B9" t="s">
        <v>11</v>
      </c>
      <c r="C9" t="s">
        <v>12</v>
      </c>
      <c r="D9" t="s">
        <v>13</v>
      </c>
      <c r="E9" t="s">
        <v>14</v>
      </c>
      <c r="F9">
        <v>2023</v>
      </c>
      <c r="G9">
        <v>2904768.2557870657</v>
      </c>
    </row>
    <row r="10" spans="1:7" x14ac:dyDescent="0.2">
      <c r="A10" t="s">
        <v>17</v>
      </c>
      <c r="B10" t="s">
        <v>11</v>
      </c>
      <c r="C10" t="s">
        <v>12</v>
      </c>
      <c r="D10" t="s">
        <v>13</v>
      </c>
      <c r="E10" t="s">
        <v>14</v>
      </c>
      <c r="F10">
        <v>2024</v>
      </c>
      <c r="G10">
        <v>2991911.3034606776</v>
      </c>
    </row>
    <row r="11" spans="1:7" x14ac:dyDescent="0.2">
      <c r="A11" t="s">
        <v>17</v>
      </c>
      <c r="B11" t="s">
        <v>11</v>
      </c>
      <c r="C11" t="s">
        <v>12</v>
      </c>
      <c r="D11" t="s">
        <v>13</v>
      </c>
      <c r="E11" t="s">
        <v>14</v>
      </c>
      <c r="F11">
        <v>2025</v>
      </c>
      <c r="G11">
        <v>3081668.6425644979</v>
      </c>
    </row>
    <row r="12" spans="1:7" x14ac:dyDescent="0.2">
      <c r="A12" t="s">
        <v>17</v>
      </c>
      <c r="B12" t="s">
        <v>11</v>
      </c>
      <c r="C12" t="s">
        <v>12</v>
      </c>
      <c r="D12" t="s">
        <v>13</v>
      </c>
      <c r="E12" t="s">
        <v>14</v>
      </c>
      <c r="F12">
        <v>2026</v>
      </c>
      <c r="G12">
        <v>3174118.7018414331</v>
      </c>
    </row>
    <row r="13" spans="1:7" x14ac:dyDescent="0.2">
      <c r="A13" t="s">
        <v>17</v>
      </c>
      <c r="B13" t="s">
        <v>11</v>
      </c>
      <c r="C13" t="s">
        <v>12</v>
      </c>
      <c r="D13" t="s">
        <v>13</v>
      </c>
      <c r="E13" t="s">
        <v>14</v>
      </c>
      <c r="F13">
        <v>2027</v>
      </c>
      <c r="G13">
        <v>3253471.6693874686</v>
      </c>
    </row>
    <row r="14" spans="1:7" x14ac:dyDescent="0.2">
      <c r="A14" t="s">
        <v>17</v>
      </c>
      <c r="B14" t="s">
        <v>11</v>
      </c>
      <c r="C14" t="s">
        <v>12</v>
      </c>
      <c r="D14" t="s">
        <v>13</v>
      </c>
      <c r="E14" t="s">
        <v>14</v>
      </c>
      <c r="F14">
        <v>2028</v>
      </c>
      <c r="G14">
        <v>3334808.4611221552</v>
      </c>
    </row>
    <row r="15" spans="1:7" x14ac:dyDescent="0.2">
      <c r="A15" t="s">
        <v>17</v>
      </c>
      <c r="B15" t="s">
        <v>11</v>
      </c>
      <c r="C15" t="s">
        <v>12</v>
      </c>
      <c r="D15" t="s">
        <v>13</v>
      </c>
      <c r="E15" t="s">
        <v>14</v>
      </c>
      <c r="F15">
        <v>2029</v>
      </c>
      <c r="G15">
        <v>3418178.6726502087</v>
      </c>
    </row>
    <row r="16" spans="1:7" x14ac:dyDescent="0.2">
      <c r="A16" t="s">
        <v>17</v>
      </c>
      <c r="B16" t="s">
        <v>11</v>
      </c>
      <c r="C16" t="s">
        <v>12</v>
      </c>
      <c r="D16" t="s">
        <v>13</v>
      </c>
      <c r="E16" t="s">
        <v>14</v>
      </c>
      <c r="F16">
        <v>2030</v>
      </c>
      <c r="G16">
        <v>3503633.1394664636</v>
      </c>
    </row>
    <row r="17" spans="1:7" x14ac:dyDescent="0.2">
      <c r="A17" t="s">
        <v>17</v>
      </c>
      <c r="B17" t="s">
        <v>11</v>
      </c>
      <c r="C17" t="s">
        <v>12</v>
      </c>
      <c r="D17" t="s">
        <v>13</v>
      </c>
      <c r="E17" t="s">
        <v>14</v>
      </c>
      <c r="F17">
        <v>2031</v>
      </c>
      <c r="G17">
        <v>3591223.967953125</v>
      </c>
    </row>
    <row r="18" spans="1:7" x14ac:dyDescent="0.2">
      <c r="A18" t="s">
        <v>17</v>
      </c>
      <c r="B18" t="s">
        <v>11</v>
      </c>
      <c r="C18" t="s">
        <v>12</v>
      </c>
      <c r="D18" t="s">
        <v>13</v>
      </c>
      <c r="E18" t="s">
        <v>14</v>
      </c>
      <c r="F18">
        <v>2032</v>
      </c>
      <c r="G18">
        <v>3681004.567151953</v>
      </c>
    </row>
    <row r="19" spans="1:7" x14ac:dyDescent="0.2">
      <c r="A19" t="s">
        <v>17</v>
      </c>
      <c r="B19" t="s">
        <v>11</v>
      </c>
      <c r="C19" t="s">
        <v>12</v>
      </c>
      <c r="D19" t="s">
        <v>13</v>
      </c>
      <c r="E19" t="s">
        <v>14</v>
      </c>
      <c r="F19">
        <v>2033</v>
      </c>
      <c r="G19">
        <v>3773029.6813307516</v>
      </c>
    </row>
    <row r="20" spans="1:7" x14ac:dyDescent="0.2">
      <c r="A20" t="s">
        <v>17</v>
      </c>
      <c r="B20" t="s">
        <v>11</v>
      </c>
      <c r="C20" t="s">
        <v>12</v>
      </c>
      <c r="D20" t="s">
        <v>13</v>
      </c>
      <c r="E20" t="s">
        <v>14</v>
      </c>
      <c r="F20">
        <v>2034</v>
      </c>
      <c r="G20">
        <v>3867355.42336402</v>
      </c>
    </row>
    <row r="21" spans="1:7" x14ac:dyDescent="0.2">
      <c r="A21" t="s">
        <v>17</v>
      </c>
      <c r="B21" t="s">
        <v>11</v>
      </c>
      <c r="C21" t="s">
        <v>12</v>
      </c>
      <c r="D21" t="s">
        <v>13</v>
      </c>
      <c r="E21" t="s">
        <v>14</v>
      </c>
      <c r="F21">
        <v>2035</v>
      </c>
      <c r="G21">
        <v>3964039.3089481201</v>
      </c>
    </row>
    <row r="22" spans="1:7" x14ac:dyDescent="0.2">
      <c r="A22" t="s">
        <v>17</v>
      </c>
      <c r="B22" t="s">
        <v>11</v>
      </c>
      <c r="C22" t="s">
        <v>12</v>
      </c>
      <c r="D22" t="s">
        <v>13</v>
      </c>
      <c r="E22" t="s">
        <v>14</v>
      </c>
      <c r="F22">
        <v>2036</v>
      </c>
      <c r="G22">
        <v>4063140.2916718228</v>
      </c>
    </row>
    <row r="23" spans="1:7" x14ac:dyDescent="0.2">
      <c r="A23" t="s">
        <v>17</v>
      </c>
      <c r="B23" t="s">
        <v>11</v>
      </c>
      <c r="C23" t="s">
        <v>12</v>
      </c>
      <c r="D23" t="s">
        <v>13</v>
      </c>
      <c r="E23" t="s">
        <v>14</v>
      </c>
      <c r="F23">
        <v>2037</v>
      </c>
      <c r="G23">
        <v>4164718.798963618</v>
      </c>
    </row>
    <row r="24" spans="1:7" x14ac:dyDescent="0.2">
      <c r="A24" t="s">
        <v>17</v>
      </c>
      <c r="B24" t="s">
        <v>11</v>
      </c>
      <c r="C24" t="s">
        <v>12</v>
      </c>
      <c r="D24" t="s">
        <v>13</v>
      </c>
      <c r="E24" t="s">
        <v>14</v>
      </c>
      <c r="F24">
        <v>2038</v>
      </c>
      <c r="G24">
        <v>4268836.7689377079</v>
      </c>
    </row>
    <row r="25" spans="1:7" x14ac:dyDescent="0.2">
      <c r="A25" t="s">
        <v>17</v>
      </c>
      <c r="B25" t="s">
        <v>11</v>
      </c>
      <c r="C25" t="s">
        <v>12</v>
      </c>
      <c r="D25" t="s">
        <v>13</v>
      </c>
      <c r="E25" t="s">
        <v>14</v>
      </c>
      <c r="F25">
        <v>2039</v>
      </c>
      <c r="G25">
        <v>4375557.6881611506</v>
      </c>
    </row>
    <row r="26" spans="1:7" x14ac:dyDescent="0.2">
      <c r="A26" t="s">
        <v>17</v>
      </c>
      <c r="B26" t="s">
        <v>11</v>
      </c>
      <c r="C26" t="s">
        <v>12</v>
      </c>
      <c r="D26" t="s">
        <v>13</v>
      </c>
      <c r="E26" t="s">
        <v>14</v>
      </c>
      <c r="F26">
        <v>2040</v>
      </c>
      <c r="G26">
        <v>4484946.6303651789</v>
      </c>
    </row>
    <row r="27" spans="1:7" x14ac:dyDescent="0.2">
      <c r="A27" t="s">
        <v>17</v>
      </c>
      <c r="B27" t="s">
        <v>11</v>
      </c>
      <c r="C27" t="s">
        <v>12</v>
      </c>
      <c r="D27" t="s">
        <v>13</v>
      </c>
      <c r="E27" t="s">
        <v>14</v>
      </c>
      <c r="F27">
        <v>2041</v>
      </c>
      <c r="G27">
        <v>4597070.2961243084</v>
      </c>
    </row>
    <row r="28" spans="1:7" x14ac:dyDescent="0.2">
      <c r="A28" t="s">
        <v>17</v>
      </c>
      <c r="B28" t="s">
        <v>11</v>
      </c>
      <c r="C28" t="s">
        <v>12</v>
      </c>
      <c r="D28" t="s">
        <v>13</v>
      </c>
      <c r="E28" t="s">
        <v>14</v>
      </c>
      <c r="F28">
        <v>2042</v>
      </c>
      <c r="G28">
        <v>4711997.0535274157</v>
      </c>
    </row>
    <row r="29" spans="1:7" x14ac:dyDescent="0.2">
      <c r="A29" t="s">
        <v>17</v>
      </c>
      <c r="B29" t="s">
        <v>11</v>
      </c>
      <c r="C29" t="s">
        <v>12</v>
      </c>
      <c r="D29" t="s">
        <v>13</v>
      </c>
      <c r="E29" t="s">
        <v>14</v>
      </c>
      <c r="F29">
        <v>2043</v>
      </c>
      <c r="G29">
        <v>4829796.9798656004</v>
      </c>
    </row>
    <row r="30" spans="1:7" x14ac:dyDescent="0.2">
      <c r="A30" t="s">
        <v>17</v>
      </c>
      <c r="B30" t="s">
        <v>11</v>
      </c>
      <c r="C30" t="s">
        <v>12</v>
      </c>
      <c r="D30" t="s">
        <v>13</v>
      </c>
      <c r="E30" t="s">
        <v>14</v>
      </c>
      <c r="F30">
        <v>2044</v>
      </c>
      <c r="G30">
        <v>4950541.9043622399</v>
      </c>
    </row>
    <row r="31" spans="1:7" x14ac:dyDescent="0.2">
      <c r="A31" t="s">
        <v>17</v>
      </c>
      <c r="B31" t="s">
        <v>11</v>
      </c>
      <c r="C31" t="s">
        <v>12</v>
      </c>
      <c r="D31" t="s">
        <v>13</v>
      </c>
      <c r="E31" t="s">
        <v>14</v>
      </c>
      <c r="F31">
        <v>2045</v>
      </c>
      <c r="G31">
        <v>5074305.4519712953</v>
      </c>
    </row>
    <row r="32" spans="1:7" x14ac:dyDescent="0.2">
      <c r="A32" t="s">
        <v>17</v>
      </c>
      <c r="B32" t="s">
        <v>11</v>
      </c>
      <c r="C32" t="s">
        <v>12</v>
      </c>
      <c r="D32" t="s">
        <v>13</v>
      </c>
      <c r="E32" t="s">
        <v>14</v>
      </c>
      <c r="F32">
        <v>2046</v>
      </c>
      <c r="G32">
        <v>5201163.0882705776</v>
      </c>
    </row>
    <row r="33" spans="1:7" x14ac:dyDescent="0.2">
      <c r="A33" t="s">
        <v>17</v>
      </c>
      <c r="B33" t="s">
        <v>11</v>
      </c>
      <c r="C33" t="s">
        <v>12</v>
      </c>
      <c r="D33" t="s">
        <v>13</v>
      </c>
      <c r="E33" t="s">
        <v>14</v>
      </c>
      <c r="F33">
        <v>2047</v>
      </c>
      <c r="G33">
        <v>5331192.165477342</v>
      </c>
    </row>
    <row r="34" spans="1:7" x14ac:dyDescent="0.2">
      <c r="A34" t="s">
        <v>17</v>
      </c>
      <c r="B34" t="s">
        <v>11</v>
      </c>
      <c r="C34" t="s">
        <v>12</v>
      </c>
      <c r="D34" t="s">
        <v>13</v>
      </c>
      <c r="E34" t="s">
        <v>14</v>
      </c>
      <c r="F34">
        <v>2048</v>
      </c>
      <c r="G34">
        <v>5464471.9696142748</v>
      </c>
    </row>
    <row r="35" spans="1:7" x14ac:dyDescent="0.2">
      <c r="A35" t="s">
        <v>17</v>
      </c>
      <c r="B35" t="s">
        <v>11</v>
      </c>
      <c r="C35" t="s">
        <v>12</v>
      </c>
      <c r="D35" t="s">
        <v>13</v>
      </c>
      <c r="E35" t="s">
        <v>14</v>
      </c>
      <c r="F35">
        <v>2049</v>
      </c>
      <c r="G35">
        <v>5601083.7688546311</v>
      </c>
    </row>
    <row r="36" spans="1:7" x14ac:dyDescent="0.2">
      <c r="A36" t="s">
        <v>17</v>
      </c>
      <c r="B36" t="s">
        <v>11</v>
      </c>
      <c r="C36" t="s">
        <v>12</v>
      </c>
      <c r="D36" t="s">
        <v>13</v>
      </c>
      <c r="E36" t="s">
        <v>14</v>
      </c>
      <c r="F36">
        <v>2050</v>
      </c>
      <c r="G36">
        <v>6232620.9488792457</v>
      </c>
    </row>
    <row r="37" spans="1:7" x14ac:dyDescent="0.2">
      <c r="G37">
        <v>6232620.9488792457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36"/>
  <sheetViews>
    <sheetView topLeftCell="A3" zoomScale="69" workbookViewId="0">
      <selection activeCell="B28" sqref="B28"/>
    </sheetView>
  </sheetViews>
  <sheetFormatPr baseColWidth="10" defaultColWidth="9" defaultRowHeight="15" x14ac:dyDescent="0.2"/>
  <cols>
    <col min="1" max="1" width="17.83203125" customWidth="1"/>
    <col min="2" max="2" width="15.1640625" customWidth="1"/>
  </cols>
  <sheetData>
    <row r="1" spans="1:2" x14ac:dyDescent="0.2">
      <c r="A1" s="6" t="s">
        <v>16</v>
      </c>
      <c r="B1" s="5" t="s">
        <v>15</v>
      </c>
    </row>
    <row r="2" spans="1:2" x14ac:dyDescent="0.2">
      <c r="A2">
        <v>2016</v>
      </c>
      <c r="B2">
        <f>About!G4/About!$I$4</f>
        <v>262820512.82051283</v>
      </c>
    </row>
    <row r="3" spans="1:2" x14ac:dyDescent="0.2">
      <c r="A3">
        <v>2017</v>
      </c>
      <c r="B3">
        <f>About!G5/About!$I$4</f>
        <v>280692307.69230771</v>
      </c>
    </row>
    <row r="4" spans="1:2" x14ac:dyDescent="0.2">
      <c r="A4">
        <v>2018</v>
      </c>
      <c r="B4">
        <f>About!G6/About!$I$4</f>
        <v>299218000.00000006</v>
      </c>
    </row>
    <row r="5" spans="1:2" x14ac:dyDescent="0.2">
      <c r="A5">
        <v>2019</v>
      </c>
      <c r="B5">
        <f>About!G7/About!$I$4</f>
        <v>300115654.00000006</v>
      </c>
    </row>
    <row r="6" spans="1:2" x14ac:dyDescent="0.2">
      <c r="A6">
        <v>2020</v>
      </c>
      <c r="B6">
        <f>About!G8/About!$I$4</f>
        <v>282408830.41400003</v>
      </c>
    </row>
    <row r="7" spans="1:2" x14ac:dyDescent="0.2">
      <c r="A7">
        <v>2021</v>
      </c>
      <c r="B7">
        <f>About!G9/About!$I$4</f>
        <v>302742266.20380807</v>
      </c>
    </row>
    <row r="8" spans="1:2" x14ac:dyDescent="0.2">
      <c r="A8">
        <v>2022</v>
      </c>
      <c r="B8">
        <f>About!G10/About!$I$4</f>
        <v>297595647.67834336</v>
      </c>
    </row>
    <row r="9" spans="1:2" x14ac:dyDescent="0.2">
      <c r="A9">
        <v>2023</v>
      </c>
      <c r="B9">
        <f>About!G11/About!$I$4</f>
        <v>306523517.1086936</v>
      </c>
    </row>
    <row r="10" spans="1:2" x14ac:dyDescent="0.2">
      <c r="A10">
        <v>2024</v>
      </c>
      <c r="B10">
        <f>About!G12/About!$I$4</f>
        <v>315719222.6219545</v>
      </c>
    </row>
    <row r="11" spans="1:2" x14ac:dyDescent="0.2">
      <c r="A11">
        <v>2025</v>
      </c>
      <c r="B11">
        <f>About!G13/About!$I$4</f>
        <v>325190799.30061311</v>
      </c>
    </row>
    <row r="12" spans="1:2" x14ac:dyDescent="0.2">
      <c r="A12">
        <v>2026</v>
      </c>
      <c r="B12">
        <f>About!G14/About!$I$4</f>
        <v>334946523.27963156</v>
      </c>
    </row>
    <row r="13" spans="1:2" x14ac:dyDescent="0.2">
      <c r="A13">
        <v>2027</v>
      </c>
      <c r="B13">
        <f>About!G15/About!$I$4</f>
        <v>343320186.36162227</v>
      </c>
    </row>
    <row r="14" spans="1:2" x14ac:dyDescent="0.2">
      <c r="A14">
        <v>2028</v>
      </c>
      <c r="B14">
        <f>About!G16/About!$I$4</f>
        <v>351903191.02066278</v>
      </c>
    </row>
    <row r="15" spans="1:2" x14ac:dyDescent="0.2">
      <c r="A15">
        <v>2029</v>
      </c>
      <c r="B15">
        <f>About!G17/About!$I$4</f>
        <v>360700770.79617935</v>
      </c>
    </row>
    <row r="16" spans="1:2" x14ac:dyDescent="0.2">
      <c r="A16">
        <v>2030</v>
      </c>
      <c r="B16">
        <f>About!G18/About!$I$4</f>
        <v>369718290.06608385</v>
      </c>
    </row>
    <row r="17" spans="1:2" x14ac:dyDescent="0.2">
      <c r="A17">
        <v>2031</v>
      </c>
      <c r="B17">
        <f>About!G19/About!$I$4</f>
        <v>378961247.31773591</v>
      </c>
    </row>
    <row r="18" spans="1:2" x14ac:dyDescent="0.2">
      <c r="A18">
        <v>2032</v>
      </c>
      <c r="B18">
        <f>About!G20/About!$I$4</f>
        <v>388435278.50067925</v>
      </c>
    </row>
    <row r="19" spans="1:2" x14ac:dyDescent="0.2">
      <c r="A19">
        <v>2033</v>
      </c>
      <c r="B19">
        <f>About!G21/About!$I$4</f>
        <v>398146160.46319628</v>
      </c>
    </row>
    <row r="20" spans="1:2" x14ac:dyDescent="0.2">
      <c r="A20">
        <v>2034</v>
      </c>
      <c r="B20">
        <f>About!G22/About!$I$4</f>
        <v>408099814.47477609</v>
      </c>
    </row>
    <row r="21" spans="1:2" x14ac:dyDescent="0.2">
      <c r="A21">
        <v>2035</v>
      </c>
      <c r="B21">
        <f>About!G23/About!$I$4</f>
        <v>418302309.83664548</v>
      </c>
    </row>
    <row r="22" spans="1:2" x14ac:dyDescent="0.2">
      <c r="A22">
        <v>2036</v>
      </c>
      <c r="B22">
        <f>About!G24/About!$I$4</f>
        <v>428759867.58256155</v>
      </c>
    </row>
    <row r="23" spans="1:2" x14ac:dyDescent="0.2">
      <c r="A23">
        <v>2037</v>
      </c>
      <c r="B23">
        <f>About!G25/About!$I$4</f>
        <v>439478864.2721256</v>
      </c>
    </row>
    <row r="24" spans="1:2" x14ac:dyDescent="0.2">
      <c r="A24">
        <v>2038</v>
      </c>
      <c r="B24">
        <f>About!G26/About!$I$4</f>
        <v>450465835.87892866</v>
      </c>
    </row>
    <row r="25" spans="1:2" x14ac:dyDescent="0.2">
      <c r="A25">
        <v>2039</v>
      </c>
      <c r="B25">
        <f>About!G27/About!$I$4</f>
        <v>461727481.77590179</v>
      </c>
    </row>
    <row r="26" spans="1:2" x14ac:dyDescent="0.2">
      <c r="A26">
        <v>2040</v>
      </c>
      <c r="B26">
        <f>About!G28/About!$I$4</f>
        <v>473270668.82029933</v>
      </c>
    </row>
    <row r="27" spans="1:2" x14ac:dyDescent="0.2">
      <c r="A27">
        <v>2041</v>
      </c>
      <c r="B27">
        <f>About!G29/About!$I$4</f>
        <v>485102435.54080677</v>
      </c>
    </row>
    <row r="28" spans="1:2" x14ac:dyDescent="0.2">
      <c r="A28">
        <v>2042</v>
      </c>
      <c r="B28">
        <f>About!G30/About!$I$4</f>
        <v>497229996.42932683</v>
      </c>
    </row>
    <row r="29" spans="1:2" x14ac:dyDescent="0.2">
      <c r="A29">
        <v>2043</v>
      </c>
      <c r="B29">
        <f>About!G31/About!$I$4</f>
        <v>509660746.34006</v>
      </c>
    </row>
    <row r="30" spans="1:2" x14ac:dyDescent="0.2">
      <c r="A30">
        <v>2044</v>
      </c>
      <c r="B30">
        <f>About!G32/About!$I$4</f>
        <v>522402264.99856144</v>
      </c>
    </row>
    <row r="31" spans="1:2" x14ac:dyDescent="0.2">
      <c r="A31">
        <v>2045</v>
      </c>
      <c r="B31">
        <f>About!G33/About!$I$4</f>
        <v>535462321.62352538</v>
      </c>
    </row>
    <row r="32" spans="1:2" x14ac:dyDescent="0.2">
      <c r="A32">
        <v>2046</v>
      </c>
      <c r="B32">
        <f>About!G34/About!$I$4</f>
        <v>548848879.66411352</v>
      </c>
    </row>
    <row r="33" spans="1:2" x14ac:dyDescent="0.2">
      <c r="A33">
        <v>2047</v>
      </c>
      <c r="B33">
        <f>About!G35/About!$I$4</f>
        <v>562570101.6557163</v>
      </c>
    </row>
    <row r="34" spans="1:2" x14ac:dyDescent="0.2">
      <c r="A34">
        <v>2048</v>
      </c>
      <c r="B34">
        <f>About!G36/About!$I$4</f>
        <v>576634354.19710922</v>
      </c>
    </row>
    <row r="35" spans="1:2" x14ac:dyDescent="0.2">
      <c r="A35">
        <v>2049</v>
      </c>
      <c r="B35">
        <f>About!G37/About!$I$4</f>
        <v>591050213.05203688</v>
      </c>
    </row>
    <row r="36" spans="1:2" x14ac:dyDescent="0.2">
      <c r="A36">
        <v>2050</v>
      </c>
      <c r="B36">
        <f>About!G38/About!$I$4</f>
        <v>799053967805.03162</v>
      </c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24F2BD-53FC-4C8F-B869-83022228A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F39D95-A985-4652-A50A-B59FE4D249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OECD Data</vt:lpstr>
      <vt:lpstr>BGDP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2019-12-02T22:49:06Z</dcterms:created>
  <dcterms:modified xsi:type="dcterms:W3CDTF">2024-01-18T08:00:28Z</dcterms:modified>
</cp:coreProperties>
</file>