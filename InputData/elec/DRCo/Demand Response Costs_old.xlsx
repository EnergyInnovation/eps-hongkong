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elec\DRCo\"/>
    </mc:Choice>
  </mc:AlternateContent>
  <bookViews>
    <workbookView xWindow="0" yWindow="0" windowWidth="21000" windowHeight="12570"/>
  </bookViews>
  <sheets>
    <sheet name="About" sheetId="4" r:id="rId1"/>
    <sheet name="Demand Response_States" sheetId="1" r:id="rId2"/>
    <sheet name="Calculations" sheetId="6" r:id="rId3"/>
    <sheet name="DRCo-ACpUDRC" sheetId="5" r:id="rId4"/>
    <sheet name="DRCo-SoDRbP" sheetId="7" r:id="rId5"/>
  </sheets>
  <definedNames>
    <definedName name="_xlnm._FilterDatabase" localSheetId="1" hidden="1">'Demand Response_States'!$A$3:$AM$430</definedName>
    <definedName name="_xlnm.Print_Titles" localSheetId="1">'Demand Response_States'!$1:$3</definedName>
  </definedNames>
  <calcPr calcId="162913"/>
</workbook>
</file>

<file path=xl/calcChain.xml><?xml version="1.0" encoding="utf-8"?>
<calcChain xmlns="http://schemas.openxmlformats.org/spreadsheetml/2006/main">
  <c r="B7" i="5" l="1"/>
  <c r="B8" i="5"/>
  <c r="B9" i="5"/>
  <c r="B10" i="5"/>
  <c r="B6" i="5"/>
  <c r="C3" i="6" l="1"/>
  <c r="C11" i="6" s="1"/>
  <c r="B3" i="7" s="1"/>
  <c r="C4" i="6"/>
  <c r="C2" i="6"/>
  <c r="C10" i="6" s="1"/>
  <c r="B4" i="7" s="1"/>
  <c r="E5" i="1" l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E367" i="1"/>
  <c r="F367" i="1"/>
  <c r="G367" i="1"/>
  <c r="H367" i="1"/>
  <c r="E368" i="1"/>
  <c r="F368" i="1"/>
  <c r="G368" i="1"/>
  <c r="H368" i="1"/>
  <c r="E369" i="1"/>
  <c r="F369" i="1"/>
  <c r="G369" i="1"/>
  <c r="H369" i="1"/>
  <c r="E370" i="1"/>
  <c r="F370" i="1"/>
  <c r="G370" i="1"/>
  <c r="H370" i="1"/>
  <c r="E371" i="1"/>
  <c r="F371" i="1"/>
  <c r="G371" i="1"/>
  <c r="H371" i="1"/>
  <c r="E372" i="1"/>
  <c r="F372" i="1"/>
  <c r="G372" i="1"/>
  <c r="H372" i="1"/>
  <c r="E373" i="1"/>
  <c r="F373" i="1"/>
  <c r="G373" i="1"/>
  <c r="H373" i="1"/>
  <c r="E374" i="1"/>
  <c r="F374" i="1"/>
  <c r="G374" i="1"/>
  <c r="H374" i="1"/>
  <c r="E375" i="1"/>
  <c r="F375" i="1"/>
  <c r="G375" i="1"/>
  <c r="H375" i="1"/>
  <c r="E376" i="1"/>
  <c r="F376" i="1"/>
  <c r="G376" i="1"/>
  <c r="H376" i="1"/>
  <c r="E377" i="1"/>
  <c r="F377" i="1"/>
  <c r="G377" i="1"/>
  <c r="H377" i="1"/>
  <c r="E378" i="1"/>
  <c r="F378" i="1"/>
  <c r="G378" i="1"/>
  <c r="H378" i="1"/>
  <c r="E379" i="1"/>
  <c r="F379" i="1"/>
  <c r="G379" i="1"/>
  <c r="H379" i="1"/>
  <c r="E380" i="1"/>
  <c r="F380" i="1"/>
  <c r="G380" i="1"/>
  <c r="H380" i="1"/>
  <c r="E381" i="1"/>
  <c r="F381" i="1"/>
  <c r="G381" i="1"/>
  <c r="H381" i="1"/>
  <c r="E382" i="1"/>
  <c r="F382" i="1"/>
  <c r="G382" i="1"/>
  <c r="H382" i="1"/>
  <c r="E383" i="1"/>
  <c r="F383" i="1"/>
  <c r="G383" i="1"/>
  <c r="H383" i="1"/>
  <c r="E384" i="1"/>
  <c r="F384" i="1"/>
  <c r="G384" i="1"/>
  <c r="H384" i="1"/>
  <c r="E385" i="1"/>
  <c r="F385" i="1"/>
  <c r="G385" i="1"/>
  <c r="H385" i="1"/>
  <c r="E386" i="1"/>
  <c r="F386" i="1"/>
  <c r="G386" i="1"/>
  <c r="H386" i="1"/>
  <c r="E387" i="1"/>
  <c r="F387" i="1"/>
  <c r="G387" i="1"/>
  <c r="H387" i="1"/>
  <c r="E388" i="1"/>
  <c r="F388" i="1"/>
  <c r="G388" i="1"/>
  <c r="H388" i="1"/>
  <c r="E389" i="1"/>
  <c r="F389" i="1"/>
  <c r="G389" i="1"/>
  <c r="H389" i="1"/>
  <c r="E390" i="1"/>
  <c r="F390" i="1"/>
  <c r="G390" i="1"/>
  <c r="H390" i="1"/>
  <c r="E391" i="1"/>
  <c r="F391" i="1"/>
  <c r="G391" i="1"/>
  <c r="H391" i="1"/>
  <c r="E392" i="1"/>
  <c r="F392" i="1"/>
  <c r="G392" i="1"/>
  <c r="H392" i="1"/>
  <c r="E393" i="1"/>
  <c r="F393" i="1"/>
  <c r="G393" i="1"/>
  <c r="H393" i="1"/>
  <c r="E394" i="1"/>
  <c r="F394" i="1"/>
  <c r="G394" i="1"/>
  <c r="H394" i="1"/>
  <c r="E395" i="1"/>
  <c r="F395" i="1"/>
  <c r="G395" i="1"/>
  <c r="H395" i="1"/>
  <c r="E396" i="1"/>
  <c r="F396" i="1"/>
  <c r="G396" i="1"/>
  <c r="H396" i="1"/>
  <c r="E397" i="1"/>
  <c r="F397" i="1"/>
  <c r="G397" i="1"/>
  <c r="H397" i="1"/>
  <c r="E398" i="1"/>
  <c r="F398" i="1"/>
  <c r="G398" i="1"/>
  <c r="H398" i="1"/>
  <c r="E399" i="1"/>
  <c r="F399" i="1"/>
  <c r="G399" i="1"/>
  <c r="H399" i="1"/>
  <c r="E400" i="1"/>
  <c r="F400" i="1"/>
  <c r="G400" i="1"/>
  <c r="H400" i="1"/>
  <c r="E401" i="1"/>
  <c r="F401" i="1"/>
  <c r="G401" i="1"/>
  <c r="H401" i="1"/>
  <c r="E402" i="1"/>
  <c r="F402" i="1"/>
  <c r="G402" i="1"/>
  <c r="H402" i="1"/>
  <c r="E403" i="1"/>
  <c r="F403" i="1"/>
  <c r="G403" i="1"/>
  <c r="H403" i="1"/>
  <c r="E404" i="1"/>
  <c r="F404" i="1"/>
  <c r="G404" i="1"/>
  <c r="H404" i="1"/>
  <c r="E405" i="1"/>
  <c r="F405" i="1"/>
  <c r="G405" i="1"/>
  <c r="H405" i="1"/>
  <c r="E406" i="1"/>
  <c r="F406" i="1"/>
  <c r="G406" i="1"/>
  <c r="H406" i="1"/>
  <c r="E407" i="1"/>
  <c r="F407" i="1"/>
  <c r="G407" i="1"/>
  <c r="H407" i="1"/>
  <c r="E408" i="1"/>
  <c r="F408" i="1"/>
  <c r="G408" i="1"/>
  <c r="H408" i="1"/>
  <c r="E409" i="1"/>
  <c r="F409" i="1"/>
  <c r="G409" i="1"/>
  <c r="H409" i="1"/>
  <c r="E410" i="1"/>
  <c r="F410" i="1"/>
  <c r="G410" i="1"/>
  <c r="H410" i="1"/>
  <c r="E411" i="1"/>
  <c r="F411" i="1"/>
  <c r="G411" i="1"/>
  <c r="H411" i="1"/>
  <c r="E412" i="1"/>
  <c r="F412" i="1"/>
  <c r="G412" i="1"/>
  <c r="H412" i="1"/>
  <c r="E413" i="1"/>
  <c r="F413" i="1"/>
  <c r="G413" i="1"/>
  <c r="H413" i="1"/>
  <c r="E414" i="1"/>
  <c r="F414" i="1"/>
  <c r="G414" i="1"/>
  <c r="H414" i="1"/>
  <c r="E415" i="1"/>
  <c r="F415" i="1"/>
  <c r="G415" i="1"/>
  <c r="H415" i="1"/>
  <c r="E416" i="1"/>
  <c r="F416" i="1"/>
  <c r="G416" i="1"/>
  <c r="H416" i="1"/>
  <c r="E417" i="1"/>
  <c r="F417" i="1"/>
  <c r="G417" i="1"/>
  <c r="H417" i="1"/>
  <c r="E418" i="1"/>
  <c r="F418" i="1"/>
  <c r="G418" i="1"/>
  <c r="H418" i="1"/>
  <c r="E419" i="1"/>
  <c r="F419" i="1"/>
  <c r="G419" i="1"/>
  <c r="H419" i="1"/>
  <c r="E420" i="1"/>
  <c r="F420" i="1"/>
  <c r="G420" i="1"/>
  <c r="H420" i="1"/>
  <c r="E421" i="1"/>
  <c r="F421" i="1"/>
  <c r="G421" i="1"/>
  <c r="H421" i="1"/>
  <c r="E422" i="1"/>
  <c r="F422" i="1"/>
  <c r="G422" i="1"/>
  <c r="H422" i="1"/>
  <c r="E423" i="1"/>
  <c r="F423" i="1"/>
  <c r="G423" i="1"/>
  <c r="H423" i="1"/>
  <c r="E424" i="1"/>
  <c r="F424" i="1"/>
  <c r="G424" i="1"/>
  <c r="H424" i="1"/>
  <c r="E425" i="1"/>
  <c r="F425" i="1"/>
  <c r="G425" i="1"/>
  <c r="H425" i="1"/>
  <c r="E426" i="1"/>
  <c r="F426" i="1"/>
  <c r="G426" i="1"/>
  <c r="H426" i="1"/>
  <c r="E427" i="1"/>
  <c r="F427" i="1"/>
  <c r="G427" i="1"/>
  <c r="H427" i="1"/>
  <c r="E428" i="1"/>
  <c r="F428" i="1"/>
  <c r="G428" i="1"/>
  <c r="H428" i="1"/>
  <c r="E429" i="1"/>
  <c r="F429" i="1"/>
  <c r="G429" i="1"/>
  <c r="H429" i="1"/>
  <c r="E430" i="1"/>
  <c r="F430" i="1"/>
  <c r="G430" i="1"/>
  <c r="H430" i="1"/>
  <c r="F4" i="1"/>
  <c r="B3" i="6" s="1"/>
  <c r="G4" i="1"/>
  <c r="H4" i="1"/>
  <c r="E4" i="1"/>
  <c r="B2" i="6" l="1"/>
  <c r="B10" i="6" s="1"/>
  <c r="B4" i="5" s="1"/>
  <c r="B4" i="6"/>
  <c r="B11" i="6" s="1"/>
  <c r="B2" i="5" l="1"/>
  <c r="B3" i="5"/>
</calcChain>
</file>

<file path=xl/sharedStrings.xml><?xml version="1.0" encoding="utf-8"?>
<sst xmlns="http://schemas.openxmlformats.org/spreadsheetml/2006/main" count="1297" uniqueCount="510">
  <si>
    <t>Utility Characteristics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</si>
  <si>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</si>
  <si>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</si>
  <si>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</si>
  <si>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</si>
  <si>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</si>
  <si>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</si>
  <si>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</si>
  <si>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</si>
  <si>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</si>
  <si>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</si>
  <si>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</si>
  <si>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</si>
  <si>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</si>
  <si>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</si>
  <si>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</si>
  <si>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Residential</t>
  </si>
  <si>
    <t>Commercial</t>
  </si>
  <si>
    <t>Industrial</t>
  </si>
  <si>
    <t>Transportation</t>
  </si>
  <si>
    <t>Total</t>
  </si>
  <si>
    <t>Water Heater</t>
  </si>
  <si>
    <t>A &amp; N Electric Coop</t>
  </si>
  <si>
    <t>MD</t>
  </si>
  <si>
    <t>.</t>
  </si>
  <si>
    <t>VA</t>
  </si>
  <si>
    <t>Adams Electric Coop</t>
  </si>
  <si>
    <t>IL</t>
  </si>
  <si>
    <t>Adams-Columbia Electric Coop</t>
  </si>
  <si>
    <t>WI</t>
  </si>
  <si>
    <t>PowerSouth Energy Cooperative</t>
  </si>
  <si>
    <t>AL</t>
  </si>
  <si>
    <t>Alabama Power Co</t>
  </si>
  <si>
    <t>Alaska Electric Light&amp;Power Co</t>
  </si>
  <si>
    <t>AK</t>
  </si>
  <si>
    <t>City of Alexandria - (MN)</t>
  </si>
  <si>
    <t>MN</t>
  </si>
  <si>
    <t>Allamakee-Clayton El Coop, Inc</t>
  </si>
  <si>
    <t>IA</t>
  </si>
  <si>
    <t>Altamaha Electric Member Corp</t>
  </si>
  <si>
    <t>GA</t>
  </si>
  <si>
    <t>City of Anaheim - (CA)</t>
  </si>
  <si>
    <t>CA</t>
  </si>
  <si>
    <t>Appalachian Power Co</t>
  </si>
  <si>
    <t>WV</t>
  </si>
  <si>
    <t>Arizona Public Service Co</t>
  </si>
  <si>
    <t>AZ</t>
  </si>
  <si>
    <t>Arkansas Electric Coop Corp</t>
  </si>
  <si>
    <t>AR</t>
  </si>
  <si>
    <t>Entergy Arkansas Inc</t>
  </si>
  <si>
    <t>City of Arlington - (MN)</t>
  </si>
  <si>
    <t>Atlantic City Electric Co</t>
  </si>
  <si>
    <t>NJ</t>
  </si>
  <si>
    <t>Atlantic Municipal Utilities</t>
  </si>
  <si>
    <t>City of Austin - (MN)</t>
  </si>
  <si>
    <t>Austin Energy</t>
  </si>
  <si>
    <t>TX</t>
  </si>
  <si>
    <t>Baltimore Gas &amp; Electric Co</t>
  </si>
  <si>
    <t>City of Barnesville - (MN)</t>
  </si>
  <si>
    <t>Barron Electric Coop</t>
  </si>
  <si>
    <t>Bayfield Electric Coop, Inc</t>
  </si>
  <si>
    <t>Beltrami Electric Coop, Inc</t>
  </si>
  <si>
    <t>City of Benson - (MN)</t>
  </si>
  <si>
    <t>Berkeley Electric Coop Inc</t>
  </si>
  <si>
    <t>SC</t>
  </si>
  <si>
    <t>Black Hills Electric Coop, Inc</t>
  </si>
  <si>
    <t>SD</t>
  </si>
  <si>
    <t>Blue Earth Light &amp; Water</t>
  </si>
  <si>
    <t>City of Breckenridge- (MN)</t>
  </si>
  <si>
    <t>Bremen Electric Light &amp; Power Co</t>
  </si>
  <si>
    <t>IN</t>
  </si>
  <si>
    <t>Burt County Public Power Dist</t>
  </si>
  <si>
    <t>NE</t>
  </si>
  <si>
    <t>Butler Rural El Coop Assn, Inc - (KS)</t>
  </si>
  <si>
    <t>KS</t>
  </si>
  <si>
    <t>Butler Public Power District - (NE)</t>
  </si>
  <si>
    <t>Butte Electric Coop, Inc</t>
  </si>
  <si>
    <t>C &amp; L Electric Coop Corp</t>
  </si>
  <si>
    <t>Capital Electric Coop, Inc</t>
  </si>
  <si>
    <t>ND</t>
  </si>
  <si>
    <t>Duke Energy Progress - (NC)</t>
  </si>
  <si>
    <t>NC</t>
  </si>
  <si>
    <t>Carroll Electric Member Corp - (GA)</t>
  </si>
  <si>
    <t>Cedar Falls Utilities</t>
  </si>
  <si>
    <t>Cedar-Knox Public Power Dist</t>
  </si>
  <si>
    <t>Central Alabama Electric Coop</t>
  </si>
  <si>
    <t>Central Georgia El Member Corp</t>
  </si>
  <si>
    <t>Central Hudson Gas &amp; Elec Corp</t>
  </si>
  <si>
    <t>NY</t>
  </si>
  <si>
    <t>Central Iowa Power Cooperative</t>
  </si>
  <si>
    <t>AEP Texas Central Company</t>
  </si>
  <si>
    <t>Central Power Elec Coop, Inc</t>
  </si>
  <si>
    <t>Central Wisconsin Elec Coop</t>
  </si>
  <si>
    <t>Borough of Chambersburg</t>
  </si>
  <si>
    <t>PA</t>
  </si>
  <si>
    <t>Cimarron Electric Coop</t>
  </si>
  <si>
    <t>OK</t>
  </si>
  <si>
    <t>Chippewa Valley Electric Coop</t>
  </si>
  <si>
    <t>Choctawhatche Elec Coop, Inc</t>
  </si>
  <si>
    <t>FL</t>
  </si>
  <si>
    <t>Choptank Electric Coop, Inc</t>
  </si>
  <si>
    <t>Duke Energy Ohio Inc</t>
  </si>
  <si>
    <t>OH</t>
  </si>
  <si>
    <t>Clark Electric Coop - (WI)</t>
  </si>
  <si>
    <t>Cleveland Electric Illum Co</t>
  </si>
  <si>
    <t>Clay Electric Cooperative, Inc</t>
  </si>
  <si>
    <t>Clearwater-Polk Elec Coop Inc</t>
  </si>
  <si>
    <t>Coastal Electric Coop, Inc</t>
  </si>
  <si>
    <t>Coles-Moultrie Electric Coop</t>
  </si>
  <si>
    <t>City of Colorado Springs - (CO)</t>
  </si>
  <si>
    <t>CO</t>
  </si>
  <si>
    <t>City of Columbia - (MO)</t>
  </si>
  <si>
    <t>MO</t>
  </si>
  <si>
    <t>City of Columbus - (OH)</t>
  </si>
  <si>
    <t>Commonwealth Edison Co</t>
  </si>
  <si>
    <t>Community Electric Coop</t>
  </si>
  <si>
    <t>Town of Concord - (MA)</t>
  </si>
  <si>
    <t>MA</t>
  </si>
  <si>
    <t>Connecticut Light &amp; Power Co</t>
  </si>
  <si>
    <t>CT</t>
  </si>
  <si>
    <t>Consolidated Edison Co-NY Inc</t>
  </si>
  <si>
    <t>Consumers Energy Co</t>
  </si>
  <si>
    <t>MI</t>
  </si>
  <si>
    <t>Corn Belt Energy Corporation</t>
  </si>
  <si>
    <t>Corn Belt Power Coop</t>
  </si>
  <si>
    <t>Covington Electric Coop, Inc</t>
  </si>
  <si>
    <t>Coweta-Fayette El Member Corp</t>
  </si>
  <si>
    <t>Craighead Electric Coop Corp</t>
  </si>
  <si>
    <t>Crisp County Power Comm</t>
  </si>
  <si>
    <t>Cuivre River Electric Coop Inc</t>
  </si>
  <si>
    <t>DS&amp;O Electric Cooperative, Inc.</t>
  </si>
  <si>
    <t>City of Danville - (VA)</t>
  </si>
  <si>
    <t>Dawson Power District</t>
  </si>
  <si>
    <t>Delmarva Power</t>
  </si>
  <si>
    <t>DE</t>
  </si>
  <si>
    <t>City of Denison - (IA)</t>
  </si>
  <si>
    <t>Delaware Electric Cooperative</t>
  </si>
  <si>
    <t>Denton County Elec Coop, Inc</t>
  </si>
  <si>
    <t>DTE Electric Company</t>
  </si>
  <si>
    <t>City of Detroit Lakes - (MN)</t>
  </si>
  <si>
    <t>City of Dover - (DE)</t>
  </si>
  <si>
    <t>City of Dover - (OH)</t>
  </si>
  <si>
    <t>Duke Energy Carolinas, LLC</t>
  </si>
  <si>
    <t>Dunn County Electric Coop</t>
  </si>
  <si>
    <t>Town of Danvers</t>
  </si>
  <si>
    <t>East River Elec Pwr Coop, Inc</t>
  </si>
  <si>
    <t>City of East Grand Forks - (MN)</t>
  </si>
  <si>
    <t>East Kentucky Power Coop, Inc</t>
  </si>
  <si>
    <t>KY</t>
  </si>
  <si>
    <t>Eau Claire Electric Coop</t>
  </si>
  <si>
    <t>El Paso Electric Co</t>
  </si>
  <si>
    <t>NM</t>
  </si>
  <si>
    <t>Elkhorn Rural Public Pwr Dist</t>
  </si>
  <si>
    <t>Empire District Electric Co</t>
  </si>
  <si>
    <t>Energy Coop of New York, Inc</t>
  </si>
  <si>
    <t>Excelsior Electric Member Corp</t>
  </si>
  <si>
    <t>Escambia River Elec Coop, Inc</t>
  </si>
  <si>
    <t>Fairmont Public Utilities Comm</t>
  </si>
  <si>
    <t>Fall River Rural Elec Coop Inc</t>
  </si>
  <si>
    <t>ID</t>
  </si>
  <si>
    <t>Farmers Electric Coop, Inc - (MO)</t>
  </si>
  <si>
    <t>First Electric Coop Corp</t>
  </si>
  <si>
    <t>Flathead Electric Coop Inc</t>
  </si>
  <si>
    <t>MT</t>
  </si>
  <si>
    <t>Flint Electric Membership Corp</t>
  </si>
  <si>
    <t>Flint Hills Rural E C A, Inc</t>
  </si>
  <si>
    <t>Florida Keys El Coop Assn, Inc</t>
  </si>
  <si>
    <t>Florida Power &amp; Light Co</t>
  </si>
  <si>
    <t>Duke Energy Florida, LLC</t>
  </si>
  <si>
    <t>City of Fort Collins - (CO)</t>
  </si>
  <si>
    <t>Four County Elec Member Corp</t>
  </si>
  <si>
    <t>Freeborn-Mower Coop Services</t>
  </si>
  <si>
    <t>City of Garland - (TX)</t>
  </si>
  <si>
    <t>Buckeye Power, Inc</t>
  </si>
  <si>
    <t>GreyStone Power Corporation</t>
  </si>
  <si>
    <t>Georgia Power Co</t>
  </si>
  <si>
    <t>City of Glendale - (CA)</t>
  </si>
  <si>
    <t>Golden Spread Electric Cooperative, Inc</t>
  </si>
  <si>
    <t>Grand Rapids Public Util Comm</t>
  </si>
  <si>
    <t>Grand River Dam Authority</t>
  </si>
  <si>
    <t>Great River Energy</t>
  </si>
  <si>
    <t>Green Mountain Power Corp</t>
  </si>
  <si>
    <t>VT</t>
  </si>
  <si>
    <t>City of Greenville - (TX)</t>
  </si>
  <si>
    <t>Grundy Electric Coop, Inc</t>
  </si>
  <si>
    <t>Gulf Coast Electric Coop, Inc</t>
  </si>
  <si>
    <t>Gulf Power Co</t>
  </si>
  <si>
    <t>City of Hamilton - (OH)</t>
  </si>
  <si>
    <t>Harrison County Rural E M C</t>
  </si>
  <si>
    <t>Hart Electric Member Corp</t>
  </si>
  <si>
    <t>City of Hawarden - (IA)</t>
  </si>
  <si>
    <t>Hawkeye Tri-County El Coop Inc</t>
  </si>
  <si>
    <t>Heartland Power Coop</t>
  </si>
  <si>
    <t>Haywood Electric Member Corp</t>
  </si>
  <si>
    <t>Highline Electric Assn</t>
  </si>
  <si>
    <t>Jackson Electric Coop, Inc - (WI)</t>
  </si>
  <si>
    <t>Horry Electric Coop Inc</t>
  </si>
  <si>
    <t>CenterPoint Energy</t>
  </si>
  <si>
    <t>Howard Greeley Rural P P D</t>
  </si>
  <si>
    <t>Idaho Power Co</t>
  </si>
  <si>
    <t>OR</t>
  </si>
  <si>
    <t>Illinois Rural Electric Coop</t>
  </si>
  <si>
    <t>City of Independence - (MO)</t>
  </si>
  <si>
    <t>Hoosier Energy R E C, Inc</t>
  </si>
  <si>
    <t>Indianapolis Power &amp; Light Co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</si>
  <si>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</si>
  <si>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</si>
  <si>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</si>
  <si>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</si>
  <si>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</si>
  <si>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</si>
  <si>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</si>
  <si>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Jersey Central Power &amp; Lt Co</t>
  </si>
  <si>
    <t>Jo-Carroll Energy Coop Inc</t>
  </si>
  <si>
    <t>Johnson County Rural E M C</t>
  </si>
  <si>
    <t>Jump River Electric Coop Inc</t>
  </si>
  <si>
    <t>City of Kansas City - (KS)</t>
  </si>
  <si>
    <t>Kansas City Power &amp; Light Co</t>
  </si>
  <si>
    <t>Kansas Gas &amp; Electric Co</t>
  </si>
  <si>
    <t>KBR Rural Public Power District</t>
  </si>
  <si>
    <t>Kentucky Utilities Co</t>
  </si>
  <si>
    <t>LaCreek Electric Assn, Inc</t>
  </si>
  <si>
    <t>City of Lake City - (MN)</t>
  </si>
  <si>
    <t>City of Lake Crystal - (MN)</t>
  </si>
  <si>
    <t>Laurens Electric Coop, Inc</t>
  </si>
  <si>
    <t>Lee County Electric Coop, Inc</t>
  </si>
  <si>
    <t>Litchfield Public Utilities</t>
  </si>
  <si>
    <t>Long Island Power Authority</t>
  </si>
  <si>
    <t>Los Angeles Department of Water &amp; Power</t>
  </si>
  <si>
    <t>Louisville Gas &amp; Electric Co</t>
  </si>
  <si>
    <t>Loup River Public Power Dist</t>
  </si>
  <si>
    <t>Lower Valley Energy Inc</t>
  </si>
  <si>
    <t>WY</t>
  </si>
  <si>
    <t>Lumbee River Elec Member Corp</t>
  </si>
  <si>
    <t>Lyon Rural Electric Coop</t>
  </si>
  <si>
    <t>City of Madison - (SD)</t>
  </si>
  <si>
    <t>Madison Gas &amp; Electric Co</t>
  </si>
  <si>
    <t>Magic Valley Electric Coop Inc</t>
  </si>
  <si>
    <t>City of Manassas - (VA)</t>
  </si>
  <si>
    <t>City of Manning</t>
  </si>
  <si>
    <t>City of Marshall - (MN)</t>
  </si>
  <si>
    <t>Town of Massena - (NY)</t>
  </si>
  <si>
    <t>Maui Electric Co Ltd</t>
  </si>
  <si>
    <t>HI</t>
  </si>
  <si>
    <t>McLean Electric Coop, Inc</t>
  </si>
  <si>
    <t>Montana-Dakota Utilities Co</t>
  </si>
  <si>
    <t>City of McPherson - (KS)</t>
  </si>
  <si>
    <t>Mecklenburg Electric Cooperative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</si>
  <si>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</si>
  <si>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</si>
  <si>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</si>
  <si>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</si>
  <si>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</si>
  <si>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</si>
  <si>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Mid-Yellowstone Elec Coop, Inc</t>
  </si>
  <si>
    <t>Middle Georgia El Member Corp</t>
  </si>
  <si>
    <t>Midwest Energy Inc</t>
  </si>
  <si>
    <t>Midwest Electric Member Corp</t>
  </si>
  <si>
    <t>City of Milton-Freewater- (OR)</t>
  </si>
  <si>
    <t>ALLETE, Inc.</t>
  </si>
  <si>
    <t>Village of Minster - (OH)</t>
  </si>
  <si>
    <t>Mississippi County Electric Co</t>
  </si>
  <si>
    <t>Mississippi Power Co</t>
  </si>
  <si>
    <t>MS</t>
  </si>
  <si>
    <t>KCP&amp;L Greater Missouri Operations Co.</t>
  </si>
  <si>
    <t>Modesto Irrigation District</t>
  </si>
  <si>
    <t>Monongahela Power Co</t>
  </si>
  <si>
    <t>City of Moorhead - (MN)</t>
  </si>
  <si>
    <t>City of Mora - (MN)</t>
  </si>
  <si>
    <t>Moreau-Grand Electric Coop Inc</t>
  </si>
  <si>
    <t>Mountain View Elec Assn, Inc</t>
  </si>
  <si>
    <t>Nebraska Public Power District</t>
  </si>
  <si>
    <t>Nevada Power Co</t>
  </si>
  <si>
    <t>NV</t>
  </si>
  <si>
    <t>Entergy New Orleans Inc</t>
  </si>
  <si>
    <t>LA</t>
  </si>
  <si>
    <t>New Prague Utilities Comm</t>
  </si>
  <si>
    <t>New Smyrna Beach City of</t>
  </si>
  <si>
    <t>New York State Elec &amp; Gas Corp</t>
  </si>
  <si>
    <t>Niagara Mohawk Power Corp.</t>
  </si>
  <si>
    <t>Niobrara Valley El Member Corp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</si>
  <si>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</si>
  <si>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</si>
  <si>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</si>
  <si>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</si>
  <si>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</si>
  <si>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</si>
  <si>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MO Elec Coop Inc</t>
  </si>
  <si>
    <t>North Central Public Pwr Dist</t>
  </si>
  <si>
    <t>City of North Platte</t>
  </si>
  <si>
    <t>Northern Neck Elec Coop, Inc</t>
  </si>
  <si>
    <t>Northern States Power Co</t>
  </si>
  <si>
    <t>Northern States Power Co - Minnesota</t>
  </si>
  <si>
    <t>Northwest Iowa Power Coop</t>
  </si>
  <si>
    <t>Northwest Rural Pub Pwr Dist</t>
  </si>
  <si>
    <t>Northwestern Wisconsin Elec Co</t>
  </si>
  <si>
    <t>Northfork Electric Coop, Inc</t>
  </si>
  <si>
    <t>City of Norwood - (MA)</t>
  </si>
  <si>
    <t>Oakdale Electric Coop</t>
  </si>
  <si>
    <t>Ohio Edison Co</t>
  </si>
  <si>
    <t>Ohio Power Co</t>
  </si>
  <si>
    <t>Oklahoma Gas &amp; Electric Co</t>
  </si>
  <si>
    <t>Omaha Public Power District</t>
  </si>
  <si>
    <t>Orange &amp; Rockland Utils Inc</t>
  </si>
  <si>
    <t>Tri-County Electric Coop, Inc</t>
  </si>
  <si>
    <t>P K M Electric Coop, Inc</t>
  </si>
  <si>
    <t>City of Osage - (IA)</t>
  </si>
  <si>
    <t>Osceola Electric Coop, Inc</t>
  </si>
  <si>
    <t>Otter Tail Power Co</t>
  </si>
  <si>
    <t>City of Owatonna - (MN)</t>
  </si>
  <si>
    <t>Owen Electric Coop Inc</t>
  </si>
  <si>
    <t>Pacific Gas &amp; Electric Co</t>
  </si>
  <si>
    <t>PacifiCorp</t>
  </si>
  <si>
    <t>UT</t>
  </si>
  <si>
    <t>Palmetto Electric Coop Inc</t>
  </si>
  <si>
    <t>Panhandle Rural El Member Assn</t>
  </si>
  <si>
    <t>People's Cooperative Services</t>
  </si>
  <si>
    <t>Pee Dee Electric Coop, Inc</t>
  </si>
  <si>
    <t>Pennsylvania Power Co</t>
  </si>
  <si>
    <t>Pee Dee Electric Member Corp</t>
  </si>
  <si>
    <t>PECO Energy Co</t>
  </si>
  <si>
    <t>Piedmont Electric Member Corp</t>
  </si>
  <si>
    <t>Pierce-Pepin Coop Services</t>
  </si>
  <si>
    <t>Portland General Electric Co</t>
  </si>
  <si>
    <t>Potomac Electric Power Co</t>
  </si>
  <si>
    <t>DC</t>
  </si>
  <si>
    <t>New York Power Authority</t>
  </si>
  <si>
    <t>Polk-Burnett Electric Coop</t>
  </si>
  <si>
    <t>Price Electric Coop Inc</t>
  </si>
  <si>
    <t>Princeton Public Utils Comm</t>
  </si>
  <si>
    <t>Prince George Electric Coop</t>
  </si>
  <si>
    <t>Public Service Co of Colorado</t>
  </si>
  <si>
    <t>Duke Energy Indiana, LLC</t>
  </si>
  <si>
    <t>Public Service Co of NM</t>
  </si>
  <si>
    <t>Public Service Co of Oklahoma</t>
  </si>
  <si>
    <t>Public Service Elec &amp; Gas Co</t>
  </si>
  <si>
    <t>City of Radford - (VA)</t>
  </si>
  <si>
    <t>Randolph Electric Member Corp</t>
  </si>
  <si>
    <t>Rayle Electric Membership Corp</t>
  </si>
  <si>
    <t>Red River Valley Rrl Elec Assn</t>
  </si>
  <si>
    <t>Town of Reading - (MA)</t>
  </si>
  <si>
    <t>Riverland Energy Cooperative</t>
  </si>
  <si>
    <t>Rochester Public Utilities</t>
  </si>
  <si>
    <t>Rochester Gas &amp; Electric Corp</t>
  </si>
  <si>
    <t>Rolling Hills Electric Coop</t>
  </si>
  <si>
    <t>Roseau Electric Coop, Inc</t>
  </si>
  <si>
    <t>City of Roseville - (CA)</t>
  </si>
  <si>
    <t>Rutherford Elec Member Corp</t>
  </si>
  <si>
    <t>Sacramento Municipal Util Dist</t>
  </si>
  <si>
    <t>Salt River Project</t>
  </si>
  <si>
    <t>City of San Antonio - (TX)</t>
  </si>
  <si>
    <t>Santee Electric Coop, Inc</t>
  </si>
  <si>
    <t>San Diego Gas &amp; Electric Co</t>
  </si>
  <si>
    <t>San Patricio Electric Coop Inc</t>
  </si>
  <si>
    <t>Satilla Rural Elec Member Corporation</t>
  </si>
  <si>
    <t>Scenic Rivers Energy Coop</t>
  </si>
  <si>
    <t>SEMO Electric Cooperative</t>
  </si>
  <si>
    <t>Heartland Rural Elec Coop, Inc</t>
  </si>
  <si>
    <t>Sawnee Electric Membership Corporation</t>
  </si>
  <si>
    <t>Sedgwick County El Coop Assn Inc</t>
  </si>
  <si>
    <t>City of Sergeant Bluff - (IA)</t>
  </si>
  <si>
    <t>Shakopee Public Utilities Comm</t>
  </si>
  <si>
    <t>Sharyland Utilities LP</t>
  </si>
  <si>
    <t>Shelby Electric Coop, Inc</t>
  </si>
  <si>
    <t>Shenandoah Valley Elec Coop</t>
  </si>
  <si>
    <t>Sierra Pacific Power Co</t>
  </si>
  <si>
    <t>Singing River Elec Pwr Assn</t>
  </si>
  <si>
    <t>City of Sioux Center</t>
  </si>
  <si>
    <t>South Carolina Electric&amp;Gas Company</t>
  </si>
  <si>
    <t>South Carolina Public Service Authority</t>
  </si>
  <si>
    <t>South Central Public Pwr Dist</t>
  </si>
  <si>
    <t>South Plains Electric Coop Inc</t>
  </si>
  <si>
    <t>South River Elec Member Corp</t>
  </si>
  <si>
    <t>City of South Sioux City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</si>
  <si>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</si>
  <si>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</si>
  <si>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</si>
  <si>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</si>
  <si>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</si>
  <si>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</si>
  <si>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</si>
  <si>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</si>
  <si>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</si>
  <si>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St Croix Electric Coop</t>
  </si>
  <si>
    <t>City of St James - (MN)</t>
  </si>
  <si>
    <t>City of Saint Peter</t>
  </si>
  <si>
    <t>Stanton County Public Pwr Dist</t>
  </si>
  <si>
    <t>Town of Sterling - (MA)</t>
  </si>
  <si>
    <t>Stillwater Utilities Authority</t>
  </si>
  <si>
    <t>Tallapoosa River Elec Coop Inc</t>
  </si>
  <si>
    <t>Sulphur Springs Valley E C Inc</t>
  </si>
  <si>
    <t>Sumter Electric Coop, Inc</t>
  </si>
  <si>
    <t>Taylor Electric Coop - (WI)</t>
  </si>
  <si>
    <t>City of Tallahassee - (FL)</t>
  </si>
  <si>
    <t>Tampa Electric Co</t>
  </si>
  <si>
    <t>City of Taunton</t>
  </si>
  <si>
    <t>Tennessee Valley Authority</t>
  </si>
  <si>
    <t>TN</t>
  </si>
  <si>
    <t>City of Thief River Falls</t>
  </si>
  <si>
    <t>Tri-County Elec Member Corp</t>
  </si>
  <si>
    <t>The Toledo Edison Co</t>
  </si>
  <si>
    <t>Tri-County Electric Coop</t>
  </si>
  <si>
    <t>Trico Electric Cooperative Inc</t>
  </si>
  <si>
    <t>TXU Energy Retail Co LP</t>
  </si>
  <si>
    <t>Duke Energy Kentucky</t>
  </si>
  <si>
    <t>United Electric Coop Service Inc - (TX)</t>
  </si>
  <si>
    <t>United Power, Inc</t>
  </si>
  <si>
    <t>Hawaiian Electric Co Inc</t>
  </si>
  <si>
    <t>City of Valley City</t>
  </si>
  <si>
    <t>UNS Electric, Inc</t>
  </si>
  <si>
    <t>City of Vermillion - (SD)</t>
  </si>
  <si>
    <t>Verendrye Electric Coop Inc</t>
  </si>
  <si>
    <t>Vernon Electric Coop</t>
  </si>
  <si>
    <t>Victory Electric Coop Assn Inc</t>
  </si>
  <si>
    <t>Virginia Electric &amp; Power Co</t>
  </si>
  <si>
    <t>City of Wadena - (MN)</t>
  </si>
  <si>
    <t>City of Wadsworth - (OH)</t>
  </si>
  <si>
    <t>City of Wahoo - (NE)</t>
  </si>
  <si>
    <t>Wake Electric Membership Corp</t>
  </si>
  <si>
    <t>City of Waseca - (MN)</t>
  </si>
  <si>
    <t>West Penn Power Company</t>
  </si>
  <si>
    <t>West River Electric Assn Inc</t>
  </si>
  <si>
    <t>AEP Texas North Company</t>
  </si>
  <si>
    <t>Western Farmers Elec Coop, Inc</t>
  </si>
  <si>
    <t>Western Massachusetts Electric Company</t>
  </si>
  <si>
    <t>Twin Valleys Public Power Dist</t>
  </si>
  <si>
    <t>Wharton County Elec Coop, Inc</t>
  </si>
  <si>
    <t>Wheeling Power Co</t>
  </si>
  <si>
    <t>Wild Rice Electric Coop, Inc</t>
  </si>
  <si>
    <t>Willmar Municipal Utilities</t>
  </si>
  <si>
    <t>Winner Municipal Utility</t>
  </si>
  <si>
    <t>Wiregrass Electric Coop, Inc</t>
  </si>
  <si>
    <t>Wisconsin Electric Power Co</t>
  </si>
  <si>
    <t>Wisconsin Power &amp; Light Co</t>
  </si>
  <si>
    <t>Wisconsin Public Service Corp</t>
  </si>
  <si>
    <t>Woodruff Electric Coop Corp</t>
  </si>
  <si>
    <t>York Electric Coop Inc</t>
  </si>
  <si>
    <t>City of Worthington - (MN)</t>
  </si>
  <si>
    <t>Perennial Public Power Dist</t>
  </si>
  <si>
    <t>Southside Electric Coop, Inc</t>
  </si>
  <si>
    <t>EnergyUnited Elec Member Corp</t>
  </si>
  <si>
    <t>Kentucky Power Co</t>
  </si>
  <si>
    <t>Westar Energy Inc</t>
  </si>
  <si>
    <t>Bluestem Electric Coop Inc</t>
  </si>
  <si>
    <t>Tucson Electric Power Co</t>
  </si>
  <si>
    <t>Cass County Elec Coop Inc</t>
  </si>
  <si>
    <t>Western Indiana Energy REMC</t>
  </si>
  <si>
    <t>Little Ocmulgee El Member Corp</t>
  </si>
  <si>
    <t>Red Lake Electric Coop, Inc</t>
  </si>
  <si>
    <t>Red River Valley Coop Pwr Assn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</si>
  <si>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</si>
  <si>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</si>
  <si>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</si>
  <si>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</si>
  <si>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</si>
  <si>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Oncor Electric Delivery Company LLC</t>
  </si>
  <si>
    <t>City of Moreno Valley - (CA)</t>
  </si>
  <si>
    <t>Entergy Texas Inc.</t>
  </si>
  <si>
    <t>CKenergy Electric Cooperative</t>
  </si>
  <si>
    <t>Cost Calculations</t>
  </si>
  <si>
    <t>Residential Avg Cost ($/MW)</t>
  </si>
  <si>
    <t>Commercial Avg Cost ($/MW)</t>
  </si>
  <si>
    <t>Industrial Avg Cost ($/MW)</t>
  </si>
  <si>
    <t>Transportation Avg Cost ($/MW)</t>
  </si>
  <si>
    <t>Source:</t>
  </si>
  <si>
    <t>EIA</t>
  </si>
  <si>
    <t>Form 861 with data from 2016</t>
  </si>
  <si>
    <t>https://www.eia.gov/electricity/data/eia861/</t>
  </si>
  <si>
    <t>Demand_Response_2016.xlsx</t>
  </si>
  <si>
    <t>Notes</t>
  </si>
  <si>
    <t>government</t>
  </si>
  <si>
    <t>Average Cost ($/MW-yr)</t>
  </si>
  <si>
    <t>residential</t>
  </si>
  <si>
    <t>commercial</t>
  </si>
  <si>
    <t>industrial</t>
  </si>
  <si>
    <t>Share of DR</t>
  </si>
  <si>
    <t>Provider</t>
  </si>
  <si>
    <t>In the EPS, the "industry" cash flow entity encompasses both industrial</t>
  </si>
  <si>
    <t>facilities and commercial buildings, so we combine these into a single</t>
  </si>
  <si>
    <t>entry:</t>
  </si>
  <si>
    <t>commercial &amp; industrial</t>
  </si>
  <si>
    <t>DRC Annual Cost per Unit Demand Response Capacity</t>
  </si>
  <si>
    <t>DRC Share of DR by Provider</t>
  </si>
  <si>
    <t>share</t>
  </si>
  <si>
    <t>Utilities pay to procure DR services.  They often pay energy service companies (ESCOs),</t>
  </si>
  <si>
    <t>who themselves pass most of the payments on to the electricity consumers who are the</t>
  </si>
  <si>
    <t>suppliers of the DR.  Other utilities may not use ESCOs and may pay the DR providers</t>
  </si>
  <si>
    <t>directly.</t>
  </si>
  <si>
    <t>Our data source provides the ultimate suppliers of the DR and the cost of that DR, but</t>
  </si>
  <si>
    <t>doesn't deal with the share taken by ESCOs.  We do not model any share of the money</t>
  </si>
  <si>
    <t>taken by ESCOs and assign all of the cash flows from utilities to the ultimate DR providers</t>
  </si>
  <si>
    <t>commercial buildings, so we calculate accordingly in this spreadsheet.</t>
  </si>
  <si>
    <t>We do not have any data on DR services provided by government buildings, so we</t>
  </si>
  <si>
    <t>assign them a 0% share.  We assign them a cost identical to that assigned to the</t>
  </si>
  <si>
    <t>"industry" actor (e.g. industrial and commercial buildings).</t>
  </si>
  <si>
    <t>We base DR amounts on the "potential peak savings," which utilities must pay for</t>
  </si>
  <si>
    <t>(to have available), not the "actual peak savings," which is based on the amount of</t>
  </si>
  <si>
    <t>demand shifting they called upon.</t>
  </si>
  <si>
    <t>In the EPS, the "nonenergy industries" cash flow entity encompasses both industrial facilities and</t>
  </si>
  <si>
    <t>(the "nonenergy industries" or "consumers" cash flow entities in the EPS).</t>
  </si>
  <si>
    <t>nonenergy industries</t>
  </si>
  <si>
    <t>labor and consumers</t>
  </si>
  <si>
    <t>foreign entities</t>
  </si>
  <si>
    <t>electricity suppliers</t>
  </si>
  <si>
    <t>coal suppliers</t>
  </si>
  <si>
    <t>natural gas and petroleum suppliers</t>
  </si>
  <si>
    <t>biomass and biofuel suppliers</t>
  </si>
  <si>
    <t>other energy suppliers</t>
  </si>
  <si>
    <t>Cost ($/MW)</t>
  </si>
  <si>
    <t>% of DR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</si>
</sst>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%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53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3" fontId="19" fillId="37" borderId="10" xfId="0" applyNumberFormat="1" applyFont="1" applyFill="1" applyBorder="1" applyAlignment="1" applyProtection="1">
      <alignment horizontal="center" vertical="center" wrapText="1"/>
    </xf>
    <xf numFmtId="164" fontId="19" fillId="35" borderId="10" xfId="0" applyNumberFormat="1" applyFont="1" applyFill="1" applyBorder="1" applyAlignment="1" applyProtection="1">
      <alignment horizontal="center" vertical="center" wrapText="1"/>
    </xf>
    <xf numFmtId="164" fontId="19" fillId="37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3" fontId="19" fillId="38" borderId="10" xfId="0" applyNumberFormat="1" applyFont="1" applyFill="1" applyBorder="1" applyAlignment="1" applyProtection="1">
      <alignment horizontal="center" vertical="center" wrapText="1"/>
    </xf>
    <xf numFmtId="3" fontId="19" fillId="34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3" fontId="18" fillId="37" borderId="10" xfId="0" applyNumberFormat="1" applyFont="1" applyFill="1" applyBorder="1" applyAlignment="1" applyProtection="1">
      <alignment horizontal="right" wrapText="1"/>
    </xf>
    <xf numFmtId="164" fontId="18" fillId="35" borderId="10" xfId="0" applyNumberFormat="1" applyFont="1" applyFill="1" applyBorder="1" applyAlignment="1" applyProtection="1">
      <alignment horizontal="right" wrapText="1"/>
    </xf>
    <xf numFmtId="164" fontId="18" fillId="37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3" fontId="18" fillId="38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11" fillId="6" borderId="4" xfId="11" applyNumberFormat="1" applyAlignment="1" applyProtection="1"/>
    <xf numFmtId="3" fontId="11" fillId="6" borderId="4" xfId="11" applyNumberFormat="1" applyAlignment="1" applyProtection="1">
      <alignment horizontal="center" vertical="center" wrapText="1"/>
    </xf>
    <xf numFmtId="3" fontId="11" fillId="6" borderId="4" xfId="11" applyNumberFormat="1" applyAlignment="1" applyProtection="1">
      <alignment horizontal="left" wrapText="1"/>
    </xf>
    <xf numFmtId="0" fontId="16" fillId="0" borderId="0" xfId="0" applyFont="1"/>
    <xf numFmtId="0" fontId="0" fillId="0" borderId="0" xfId="0" applyAlignment="1">
      <alignment horizontal="left"/>
    </xf>
    <xf numFmtId="0" fontId="20" fillId="0" borderId="0" xfId="43"/>
    <xf numFmtId="0" fontId="0" fillId="0" borderId="0" xfId="0" applyAlignment="1">
      <alignment horizontal="right"/>
    </xf>
    <xf numFmtId="165" fontId="0" fillId="0" borderId="0" xfId="42" applyNumberFormat="1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 applyAlignment="1">
      <alignment horizontal="right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7" borderId="11" xfId="0" applyNumberFormat="1" applyFont="1" applyFill="1" applyBorder="1" applyAlignment="1" applyProtection="1">
      <alignment horizontal="center" vertical="center" wrapText="1"/>
    </xf>
    <xf numFmtId="0" fontId="19" fillId="37" borderId="13" xfId="0" applyNumberFormat="1" applyFont="1" applyFill="1" applyBorder="1" applyAlignment="1" applyProtection="1">
      <alignment horizontal="center" vertical="center" wrapText="1"/>
    </xf>
    <xf numFmtId="0" fontId="19" fillId="37" borderId="12" xfId="0" applyNumberFormat="1" applyFont="1" applyFill="1" applyBorder="1" applyAlignment="1" applyProtection="1">
      <alignment horizontal="center" vertical="center" wrapText="1"/>
    </xf>
    <xf numFmtId="0" fontId="19" fillId="38" borderId="11" xfId="0" applyNumberFormat="1" applyFont="1" applyFill="1" applyBorder="1" applyAlignment="1" applyProtection="1">
      <alignment horizontal="center" vertical="center" wrapText="1"/>
    </xf>
    <xf numFmtId="0" fontId="19" fillId="38" borderId="13" xfId="0" applyNumberFormat="1" applyFont="1" applyFill="1" applyBorder="1" applyAlignment="1" applyProtection="1">
      <alignment horizontal="center" vertical="center" wrapText="1"/>
    </xf>
    <xf numFmtId="0" fontId="19" fillId="38" borderId="12" xfId="0" applyNumberFormat="1" applyFont="1" applyFill="1" applyBorder="1" applyAlignment="1" applyProtection="1">
      <alignment horizontal="center" vertical="center" wrapText="1"/>
    </xf>
    <xf numFmtId="0" fontId="11" fillId="6" borderId="14" xfId="11" applyNumberFormat="1" applyBorder="1" applyAlignment="1" applyProtection="1">
      <alignment horizontal="center" vertical="center" wrapText="1"/>
    </xf>
    <xf numFmtId="0" fontId="11" fillId="6" borderId="15" xfId="11" applyNumberFormat="1" applyBorder="1" applyAlignment="1" applyProtection="1">
      <alignment horizontal="center" vertical="center" wrapText="1"/>
    </xf>
    <xf numFmtId="0" fontId="11" fillId="6" borderId="16" xfId="11" applyNumberFormat="1" applyBorder="1" applyAlignment="1" applyProtection="1">
      <alignment horizontal="center" vertical="center" wrapText="1"/>
    </xf>
    <xf numFmtId="0" fontId="11" fillId="6" borderId="17" xfId="11" applyNumberFormat="1" applyBorder="1" applyAlignment="1" applyProtection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7" sqref="B7"/>
    </sheetView>
  </sheetViews>
  <sheetFormatPr defaultRowHeight="15" x14ac:dyDescent="0.25"/>
  <cols>
    <col min="2" max="2" width="49.28515625" customWidth="1"/>
  </cols>
  <sheetData>
    <row r="1" spans="1:2" x14ac:dyDescent="0.25">
      <c r="A1" s="23" t="s">
        <v>481</v>
      </c>
    </row>
    <row r="2" spans="1:2" x14ac:dyDescent="0.25">
      <c r="A2" s="23" t="s">
        <v>482</v>
      </c>
    </row>
    <row r="4" spans="1:2" x14ac:dyDescent="0.25">
      <c r="A4" s="23" t="s">
        <v>464</v>
      </c>
      <c r="B4" t="s">
        <v>465</v>
      </c>
    </row>
    <row r="5" spans="1:2" x14ac:dyDescent="0.25">
      <c r="B5" s="24">
        <v>2018</v>
      </c>
    </row>
    <row r="6" spans="1:2" x14ac:dyDescent="0.25">
      <c r="B6" t="s">
        <v>466</v>
      </c>
    </row>
    <row r="7" spans="1:2" x14ac:dyDescent="0.25">
      <c r="B7" s="25" t="s">
        <v>467</v>
      </c>
    </row>
    <row r="8" spans="1:2" x14ac:dyDescent="0.25">
      <c r="B8" t="s">
        <v>468</v>
      </c>
    </row>
    <row r="10" spans="1:2" x14ac:dyDescent="0.25">
      <c r="A10" s="23" t="s">
        <v>469</v>
      </c>
    </row>
    <row r="11" spans="1:2" x14ac:dyDescent="0.25">
      <c r="A11" t="s">
        <v>484</v>
      </c>
    </row>
    <row r="12" spans="1:2" x14ac:dyDescent="0.25">
      <c r="A12" t="s">
        <v>485</v>
      </c>
    </row>
    <row r="13" spans="1:2" x14ac:dyDescent="0.25">
      <c r="A13" t="s">
        <v>486</v>
      </c>
    </row>
    <row r="14" spans="1:2" x14ac:dyDescent="0.25">
      <c r="A14" t="s">
        <v>487</v>
      </c>
    </row>
    <row r="16" spans="1:2" x14ac:dyDescent="0.25">
      <c r="A16" t="s">
        <v>488</v>
      </c>
    </row>
    <row r="17" spans="1:1" x14ac:dyDescent="0.25">
      <c r="A17" t="s">
        <v>489</v>
      </c>
    </row>
    <row r="18" spans="1:1" x14ac:dyDescent="0.25">
      <c r="A18" t="s">
        <v>490</v>
      </c>
    </row>
    <row r="19" spans="1:1" x14ac:dyDescent="0.25">
      <c r="A19" t="s">
        <v>499</v>
      </c>
    </row>
    <row r="21" spans="1:1" x14ac:dyDescent="0.25">
      <c r="A21" t="s">
        <v>498</v>
      </c>
    </row>
    <row r="22" spans="1:1" x14ac:dyDescent="0.25">
      <c r="A22" t="s">
        <v>491</v>
      </c>
    </row>
    <row r="24" spans="1:1" x14ac:dyDescent="0.25">
      <c r="A24" t="s">
        <v>492</v>
      </c>
    </row>
    <row r="25" spans="1:1" x14ac:dyDescent="0.25">
      <c r="A25" t="s">
        <v>493</v>
      </c>
    </row>
    <row r="26" spans="1:1" x14ac:dyDescent="0.25">
      <c r="A26" t="s">
        <v>494</v>
      </c>
    </row>
    <row r="28" spans="1:1" x14ac:dyDescent="0.25">
      <c r="A28" t="s">
        <v>495</v>
      </c>
    </row>
    <row r="29" spans="1:1" x14ac:dyDescent="0.25">
      <c r="A29" t="s">
        <v>496</v>
      </c>
    </row>
    <row r="30" spans="1:1" x14ac:dyDescent="0.25">
      <c r="A30" t="s">
        <v>497</v>
      </c>
    </row>
  </sheetData>
  <hyperlinks>
    <hyperlink ref="B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30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3" sqref="E1:E1048576"/>
    </sheetView>
  </sheetViews>
  <sheetFormatPr defaultRowHeight="15" x14ac:dyDescent="0.25"/>
  <cols>
    <col min="1" max="1" width="6.85546875" style="1" bestFit="1" customWidth="1"/>
    <col min="2" max="2" width="10.28515625" style="1" bestFit="1" customWidth="1"/>
    <col min="3" max="3" width="41.140625" style="1" bestFit="1" customWidth="1"/>
    <col min="4" max="4" width="10.28515625" style="1" bestFit="1" customWidth="1"/>
    <col min="5" max="5" width="10.28515625" style="20" customWidth="1"/>
    <col min="6" max="6" width="13.140625" style="20" customWidth="1"/>
    <col min="7" max="7" width="10.28515625" style="20" customWidth="1"/>
    <col min="8" max="8" width="14.85546875" style="20" customWidth="1"/>
    <col min="9" max="11" width="13.7109375" style="1" bestFit="1" customWidth="1"/>
    <col min="12" max="12" width="15.42578125" style="1" bestFit="1" customWidth="1"/>
    <col min="13" max="16" width="13.7109375" style="1" bestFit="1" customWidth="1"/>
    <col min="17" max="17" width="15.42578125" style="1" bestFit="1" customWidth="1"/>
    <col min="18" max="21" width="13.7109375" style="1" bestFit="1" customWidth="1"/>
    <col min="22" max="22" width="15.42578125" style="1" bestFit="1" customWidth="1"/>
    <col min="23" max="26" width="13.7109375" style="1" bestFit="1" customWidth="1"/>
    <col min="27" max="27" width="15.42578125" style="1" bestFit="1" customWidth="1"/>
    <col min="28" max="31" width="13.7109375" style="1" bestFit="1" customWidth="1"/>
    <col min="32" max="32" width="15.42578125" style="1" bestFit="1" customWidth="1"/>
    <col min="33" max="36" width="13.7109375" style="1" bestFit="1" customWidth="1"/>
    <col min="37" max="37" width="15.42578125" style="1" bestFit="1" customWidth="1"/>
    <col min="38" max="38" width="13.7109375" style="1" bestFit="1" customWidth="1"/>
    <col min="39" max="39" width="15.42578125" style="1" bestFit="1" customWidth="1"/>
    <col min="40" max="16384" width="9.140625" style="1"/>
  </cols>
  <sheetData>
    <row r="1" spans="1:39" ht="30" customHeight="1" x14ac:dyDescent="0.25">
      <c r="A1" s="34" t="s">
        <v>0</v>
      </c>
      <c r="B1" s="35"/>
      <c r="C1" s="35"/>
      <c r="D1" s="36"/>
      <c r="E1" s="49" t="s">
        <v>459</v>
      </c>
      <c r="F1" s="50"/>
      <c r="G1" s="50"/>
      <c r="H1" s="50"/>
      <c r="I1" s="37" t="s">
        <v>1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9"/>
      <c r="AC1" s="40" t="s">
        <v>2</v>
      </c>
      <c r="AD1" s="41"/>
      <c r="AE1" s="41"/>
      <c r="AF1" s="41"/>
      <c r="AG1" s="41"/>
      <c r="AH1" s="41"/>
      <c r="AI1" s="41"/>
      <c r="AJ1" s="41"/>
      <c r="AK1" s="41"/>
      <c r="AL1" s="42"/>
      <c r="AM1" s="2" t="s">
        <v>3</v>
      </c>
    </row>
    <row r="2" spans="1:39" x14ac:dyDescent="0.25">
      <c r="A2" s="34" t="s">
        <v>4</v>
      </c>
      <c r="B2" s="35"/>
      <c r="C2" s="35"/>
      <c r="D2" s="36"/>
      <c r="E2" s="51"/>
      <c r="F2" s="52"/>
      <c r="G2" s="52"/>
      <c r="H2" s="52"/>
      <c r="I2" s="37" t="s">
        <v>5</v>
      </c>
      <c r="J2" s="38"/>
      <c r="K2" s="38"/>
      <c r="L2" s="38"/>
      <c r="M2" s="39"/>
      <c r="N2" s="43" t="s">
        <v>6</v>
      </c>
      <c r="O2" s="44"/>
      <c r="P2" s="44"/>
      <c r="Q2" s="44"/>
      <c r="R2" s="45"/>
      <c r="S2" s="37" t="s">
        <v>7</v>
      </c>
      <c r="T2" s="38"/>
      <c r="U2" s="38"/>
      <c r="V2" s="38"/>
      <c r="W2" s="39"/>
      <c r="X2" s="43" t="s">
        <v>8</v>
      </c>
      <c r="Y2" s="44"/>
      <c r="Z2" s="44"/>
      <c r="AA2" s="44"/>
      <c r="AB2" s="45"/>
      <c r="AC2" s="40" t="s">
        <v>9</v>
      </c>
      <c r="AD2" s="41"/>
      <c r="AE2" s="41"/>
      <c r="AF2" s="41"/>
      <c r="AG2" s="42"/>
      <c r="AH2" s="46" t="s">
        <v>10</v>
      </c>
      <c r="AI2" s="47"/>
      <c r="AJ2" s="47"/>
      <c r="AK2" s="47"/>
      <c r="AL2" s="48"/>
      <c r="AM2" s="2" t="s">
        <v>11</v>
      </c>
    </row>
    <row r="3" spans="1:39" ht="60" x14ac:dyDescent="0.25">
      <c r="A3" s="2" t="s">
        <v>12</v>
      </c>
      <c r="B3" s="2" t="s">
        <v>13</v>
      </c>
      <c r="C3" s="2" t="s">
        <v>14</v>
      </c>
      <c r="D3" s="2" t="s">
        <v>15</v>
      </c>
      <c r="E3" s="21" t="s">
        <v>460</v>
      </c>
      <c r="F3" s="21" t="s">
        <v>461</v>
      </c>
      <c r="G3" s="21" t="s">
        <v>462</v>
      </c>
      <c r="H3" s="21" t="s">
        <v>463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5" t="s">
        <v>16</v>
      </c>
      <c r="T3" s="5" t="s">
        <v>17</v>
      </c>
      <c r="U3" s="5" t="s">
        <v>18</v>
      </c>
      <c r="V3" s="5" t="s">
        <v>19</v>
      </c>
      <c r="W3" s="5" t="s">
        <v>20</v>
      </c>
      <c r="X3" s="6" t="s">
        <v>16</v>
      </c>
      <c r="Y3" s="6" t="s">
        <v>17</v>
      </c>
      <c r="Z3" s="6" t="s">
        <v>18</v>
      </c>
      <c r="AA3" s="6" t="s">
        <v>19</v>
      </c>
      <c r="AB3" s="6" t="s">
        <v>20</v>
      </c>
      <c r="AC3" s="7" t="s">
        <v>16</v>
      </c>
      <c r="AD3" s="7" t="s">
        <v>17</v>
      </c>
      <c r="AE3" s="7" t="s">
        <v>18</v>
      </c>
      <c r="AF3" s="7" t="s">
        <v>19</v>
      </c>
      <c r="AG3" s="7" t="s">
        <v>20</v>
      </c>
      <c r="AH3" s="8" t="s">
        <v>16</v>
      </c>
      <c r="AI3" s="8" t="s">
        <v>17</v>
      </c>
      <c r="AJ3" s="8" t="s">
        <v>18</v>
      </c>
      <c r="AK3" s="8" t="s">
        <v>19</v>
      </c>
      <c r="AL3" s="8" t="s">
        <v>20</v>
      </c>
      <c r="AM3" s="9" t="s">
        <v>21</v>
      </c>
    </row>
    <row r="4" spans="1:39" x14ac:dyDescent="0.25">
      <c r="A4" s="10">
        <v>2016</v>
      </c>
      <c r="B4" s="11">
        <v>84</v>
      </c>
      <c r="C4" s="12" t="s">
        <v>22</v>
      </c>
      <c r="D4" s="12" t="s">
        <v>23</v>
      </c>
      <c r="E4" s="22">
        <f>IFERROR(SUM(AC4,AH4)*10^3/S4,"")</f>
        <v>2000</v>
      </c>
      <c r="F4" s="22" t="str">
        <f t="shared" ref="F4:H4" si="0">IFERROR(SUM(AD4,AI4)*10^3/T4,"")</f>
        <v/>
      </c>
      <c r="G4" s="22" t="str">
        <f t="shared" si="0"/>
        <v/>
      </c>
      <c r="H4" s="22" t="str">
        <f t="shared" si="0"/>
        <v/>
      </c>
      <c r="I4" s="13">
        <v>35</v>
      </c>
      <c r="J4" s="13">
        <v>0</v>
      </c>
      <c r="K4" s="13">
        <v>0</v>
      </c>
      <c r="L4" s="13">
        <v>0</v>
      </c>
      <c r="M4" s="13">
        <v>35</v>
      </c>
      <c r="N4" s="14">
        <v>1</v>
      </c>
      <c r="O4" s="14">
        <v>0</v>
      </c>
      <c r="P4" s="14">
        <v>0</v>
      </c>
      <c r="Q4" s="14">
        <v>0</v>
      </c>
      <c r="R4" s="14">
        <v>1</v>
      </c>
      <c r="S4" s="15">
        <v>0.5</v>
      </c>
      <c r="T4" s="15">
        <v>0</v>
      </c>
      <c r="U4" s="15">
        <v>0</v>
      </c>
      <c r="V4" s="15">
        <v>0</v>
      </c>
      <c r="W4" s="15">
        <v>0.5</v>
      </c>
      <c r="X4" s="16">
        <v>0.4</v>
      </c>
      <c r="Y4" s="16">
        <v>0</v>
      </c>
      <c r="Z4" s="16">
        <v>0</v>
      </c>
      <c r="AA4" s="16">
        <v>0</v>
      </c>
      <c r="AB4" s="16">
        <v>0.4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8">
        <v>1</v>
      </c>
      <c r="AI4" s="18">
        <v>0</v>
      </c>
      <c r="AJ4" s="18">
        <v>0</v>
      </c>
      <c r="AK4" s="18">
        <v>0</v>
      </c>
      <c r="AL4" s="18">
        <v>1</v>
      </c>
      <c r="AM4" s="19" t="s">
        <v>24</v>
      </c>
    </row>
    <row r="5" spans="1:39" x14ac:dyDescent="0.25">
      <c r="A5" s="10">
        <v>2016</v>
      </c>
      <c r="B5" s="11">
        <v>84</v>
      </c>
      <c r="C5" s="12" t="s">
        <v>22</v>
      </c>
      <c r="D5" s="12" t="s">
        <v>25</v>
      </c>
      <c r="E5" s="22">
        <f t="shared" ref="E5:E68" si="1">IFERROR(SUM(AC5,AH5)*10^3/S5,"")</f>
        <v>7500</v>
      </c>
      <c r="F5" s="22" t="str">
        <f t="shared" ref="F5:F68" si="2">IFERROR(SUM(AD5,AI5)*10^3/T5,"")</f>
        <v/>
      </c>
      <c r="G5" s="22" t="str">
        <f t="shared" ref="G5:G68" si="3">IFERROR(SUM(AE5,AJ5)*10^3/U5,"")</f>
        <v/>
      </c>
      <c r="H5" s="22" t="str">
        <f t="shared" ref="H5:H68" si="4">IFERROR(SUM(AF5,AK5)*10^3/V5,"")</f>
        <v/>
      </c>
      <c r="I5" s="13">
        <v>2471</v>
      </c>
      <c r="J5" s="13">
        <v>0</v>
      </c>
      <c r="K5" s="13">
        <v>0</v>
      </c>
      <c r="L5" s="13">
        <v>0</v>
      </c>
      <c r="M5" s="13">
        <v>2471</v>
      </c>
      <c r="N5" s="14">
        <v>110</v>
      </c>
      <c r="O5" s="14">
        <v>0</v>
      </c>
      <c r="P5" s="14">
        <v>0</v>
      </c>
      <c r="Q5" s="14">
        <v>0</v>
      </c>
      <c r="R5" s="14">
        <v>110</v>
      </c>
      <c r="S5" s="15">
        <v>2</v>
      </c>
      <c r="T5" s="15">
        <v>0</v>
      </c>
      <c r="U5" s="15">
        <v>0</v>
      </c>
      <c r="V5" s="15">
        <v>0</v>
      </c>
      <c r="W5" s="15">
        <v>2</v>
      </c>
      <c r="X5" s="16">
        <v>1</v>
      </c>
      <c r="Y5" s="16">
        <v>0</v>
      </c>
      <c r="Z5" s="16">
        <v>0</v>
      </c>
      <c r="AA5" s="16">
        <v>0</v>
      </c>
      <c r="AB5" s="16">
        <v>1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8">
        <v>15</v>
      </c>
      <c r="AI5" s="18">
        <v>0</v>
      </c>
      <c r="AJ5" s="18">
        <v>0</v>
      </c>
      <c r="AK5" s="18">
        <v>0</v>
      </c>
      <c r="AL5" s="18">
        <v>15</v>
      </c>
      <c r="AM5" s="19" t="s">
        <v>24</v>
      </c>
    </row>
    <row r="6" spans="1:39" x14ac:dyDescent="0.25">
      <c r="A6" s="10">
        <v>2016</v>
      </c>
      <c r="B6" s="11">
        <v>97</v>
      </c>
      <c r="C6" s="12" t="s">
        <v>26</v>
      </c>
      <c r="D6" s="12" t="s">
        <v>27</v>
      </c>
      <c r="E6" s="22">
        <f t="shared" si="1"/>
        <v>19250</v>
      </c>
      <c r="F6" s="22">
        <f t="shared" si="2"/>
        <v>0</v>
      </c>
      <c r="G6" s="22" t="str">
        <f t="shared" si="3"/>
        <v/>
      </c>
      <c r="H6" s="22" t="str">
        <f t="shared" si="4"/>
        <v/>
      </c>
      <c r="I6" s="13">
        <v>4263</v>
      </c>
      <c r="J6" s="13">
        <v>67</v>
      </c>
      <c r="K6" s="13">
        <v>0</v>
      </c>
      <c r="L6" s="13">
        <v>0</v>
      </c>
      <c r="M6" s="13">
        <v>4330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5">
        <v>4</v>
      </c>
      <c r="T6" s="15">
        <v>4</v>
      </c>
      <c r="U6" s="15">
        <v>0</v>
      </c>
      <c r="V6" s="15">
        <v>0</v>
      </c>
      <c r="W6" s="15">
        <v>8</v>
      </c>
      <c r="X6" s="16">
        <v>4</v>
      </c>
      <c r="Y6" s="16">
        <v>0</v>
      </c>
      <c r="Z6" s="16">
        <v>0</v>
      </c>
      <c r="AA6" s="16">
        <v>0</v>
      </c>
      <c r="AB6" s="16">
        <v>4</v>
      </c>
      <c r="AC6" s="17">
        <v>68</v>
      </c>
      <c r="AD6" s="17">
        <v>0</v>
      </c>
      <c r="AE6" s="17">
        <v>0</v>
      </c>
      <c r="AF6" s="17">
        <v>0</v>
      </c>
      <c r="AG6" s="17">
        <v>68</v>
      </c>
      <c r="AH6" s="18">
        <v>9</v>
      </c>
      <c r="AI6" s="18">
        <v>0</v>
      </c>
      <c r="AJ6" s="18">
        <v>0</v>
      </c>
      <c r="AK6" s="18">
        <v>0</v>
      </c>
      <c r="AL6" s="18">
        <v>9</v>
      </c>
      <c r="AM6" s="19">
        <v>43</v>
      </c>
    </row>
    <row r="7" spans="1:39" x14ac:dyDescent="0.25">
      <c r="A7" s="10">
        <v>2016</v>
      </c>
      <c r="B7" s="11">
        <v>108</v>
      </c>
      <c r="C7" s="12" t="s">
        <v>28</v>
      </c>
      <c r="D7" s="12" t="s">
        <v>29</v>
      </c>
      <c r="E7" s="22">
        <f t="shared" si="1"/>
        <v>18071.065989847717</v>
      </c>
      <c r="F7" s="22" t="str">
        <f t="shared" si="2"/>
        <v/>
      </c>
      <c r="G7" s="22">
        <f t="shared" si="3"/>
        <v>1537.2168284789645</v>
      </c>
      <c r="H7" s="22" t="str">
        <f t="shared" si="4"/>
        <v/>
      </c>
      <c r="I7" s="13">
        <v>3906</v>
      </c>
      <c r="J7" s="13">
        <v>0</v>
      </c>
      <c r="K7" s="13">
        <v>951</v>
      </c>
      <c r="L7" s="13">
        <v>0</v>
      </c>
      <c r="M7" s="13">
        <v>4857</v>
      </c>
      <c r="N7" s="14">
        <v>1400</v>
      </c>
      <c r="O7" s="14">
        <v>0</v>
      </c>
      <c r="P7" s="14">
        <v>14681</v>
      </c>
      <c r="Q7" s="14">
        <v>0</v>
      </c>
      <c r="R7" s="14">
        <v>16081</v>
      </c>
      <c r="S7" s="15">
        <v>19.7</v>
      </c>
      <c r="T7" s="15">
        <v>0</v>
      </c>
      <c r="U7" s="15">
        <v>61.8</v>
      </c>
      <c r="V7" s="15">
        <v>0</v>
      </c>
      <c r="W7" s="15">
        <v>81.5</v>
      </c>
      <c r="X7" s="16">
        <v>5.9</v>
      </c>
      <c r="Y7" s="16">
        <v>0</v>
      </c>
      <c r="Z7" s="16">
        <v>9.9</v>
      </c>
      <c r="AA7" s="16">
        <v>0</v>
      </c>
      <c r="AB7" s="16">
        <v>15.8</v>
      </c>
      <c r="AC7" s="17">
        <v>295</v>
      </c>
      <c r="AD7" s="17">
        <v>0</v>
      </c>
      <c r="AE7" s="17">
        <v>1</v>
      </c>
      <c r="AF7" s="17">
        <v>0</v>
      </c>
      <c r="AG7" s="17">
        <v>296</v>
      </c>
      <c r="AH7" s="18">
        <v>61</v>
      </c>
      <c r="AI7" s="18">
        <v>0</v>
      </c>
      <c r="AJ7" s="18">
        <v>94</v>
      </c>
      <c r="AK7" s="18">
        <v>0</v>
      </c>
      <c r="AL7" s="18">
        <v>155</v>
      </c>
      <c r="AM7" s="19">
        <v>0</v>
      </c>
    </row>
    <row r="8" spans="1:39" x14ac:dyDescent="0.25">
      <c r="A8" s="10">
        <v>2016</v>
      </c>
      <c r="B8" s="11">
        <v>189</v>
      </c>
      <c r="C8" s="12" t="s">
        <v>30</v>
      </c>
      <c r="D8" s="12" t="s">
        <v>31</v>
      </c>
      <c r="E8" s="22">
        <f t="shared" si="1"/>
        <v>35933.333333333336</v>
      </c>
      <c r="F8" s="22" t="str">
        <f t="shared" si="2"/>
        <v/>
      </c>
      <c r="G8" s="22" t="str">
        <f t="shared" si="3"/>
        <v/>
      </c>
      <c r="H8" s="22" t="str">
        <f t="shared" si="4"/>
        <v/>
      </c>
      <c r="I8" s="13">
        <v>17284</v>
      </c>
      <c r="J8" s="13">
        <v>0</v>
      </c>
      <c r="K8" s="13">
        <v>0</v>
      </c>
      <c r="L8" s="13">
        <v>0</v>
      </c>
      <c r="M8" s="13">
        <v>17284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5">
        <v>15</v>
      </c>
      <c r="T8" s="15">
        <v>0</v>
      </c>
      <c r="U8" s="15">
        <v>0</v>
      </c>
      <c r="V8" s="15">
        <v>0</v>
      </c>
      <c r="W8" s="15">
        <v>15</v>
      </c>
      <c r="X8" s="16">
        <v>15</v>
      </c>
      <c r="Y8" s="16">
        <v>0</v>
      </c>
      <c r="Z8" s="16">
        <v>0</v>
      </c>
      <c r="AA8" s="16">
        <v>0</v>
      </c>
      <c r="AB8" s="16">
        <v>15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8">
        <v>539</v>
      </c>
      <c r="AI8" s="18">
        <v>0</v>
      </c>
      <c r="AJ8" s="18">
        <v>0</v>
      </c>
      <c r="AK8" s="18">
        <v>0</v>
      </c>
      <c r="AL8" s="18">
        <v>539</v>
      </c>
      <c r="AM8" s="19">
        <v>2259</v>
      </c>
    </row>
    <row r="9" spans="1:39" x14ac:dyDescent="0.25">
      <c r="A9" s="10">
        <v>2016</v>
      </c>
      <c r="B9" s="11">
        <v>195</v>
      </c>
      <c r="C9" s="12" t="s">
        <v>32</v>
      </c>
      <c r="D9" s="12" t="s">
        <v>31</v>
      </c>
      <c r="E9" s="22">
        <f t="shared" si="1"/>
        <v>5986.0465116279074</v>
      </c>
      <c r="F9" s="22">
        <f t="shared" si="2"/>
        <v>219428.57142857142</v>
      </c>
      <c r="G9" s="22">
        <f t="shared" si="3"/>
        <v>16704.205274411976</v>
      </c>
      <c r="H9" s="22" t="str">
        <f t="shared" si="4"/>
        <v/>
      </c>
      <c r="I9" s="13">
        <v>12232</v>
      </c>
      <c r="J9" s="13">
        <v>63</v>
      </c>
      <c r="K9" s="13">
        <v>168</v>
      </c>
      <c r="L9" s="13">
        <v>0</v>
      </c>
      <c r="M9" s="13">
        <v>12463</v>
      </c>
      <c r="N9" s="14">
        <v>316</v>
      </c>
      <c r="O9" s="14">
        <v>2621</v>
      </c>
      <c r="P9" s="14">
        <v>2230</v>
      </c>
      <c r="Q9" s="14">
        <v>0</v>
      </c>
      <c r="R9" s="14">
        <v>5167</v>
      </c>
      <c r="S9" s="15">
        <v>215</v>
      </c>
      <c r="T9" s="15">
        <v>7</v>
      </c>
      <c r="U9" s="15">
        <v>1403</v>
      </c>
      <c r="V9" s="15">
        <v>0</v>
      </c>
      <c r="W9" s="15">
        <v>1625</v>
      </c>
      <c r="X9" s="16">
        <v>6.6</v>
      </c>
      <c r="Y9" s="16">
        <v>6</v>
      </c>
      <c r="Z9" s="16">
        <v>21.9</v>
      </c>
      <c r="AA9" s="16">
        <v>0</v>
      </c>
      <c r="AB9" s="16">
        <v>34.5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8">
        <v>1287</v>
      </c>
      <c r="AI9" s="18">
        <v>1536</v>
      </c>
      <c r="AJ9" s="18">
        <v>23436</v>
      </c>
      <c r="AK9" s="18">
        <v>0</v>
      </c>
      <c r="AL9" s="18">
        <v>26259</v>
      </c>
      <c r="AM9" s="19" t="s">
        <v>24</v>
      </c>
    </row>
    <row r="10" spans="1:39" x14ac:dyDescent="0.25">
      <c r="A10" s="10">
        <v>2016</v>
      </c>
      <c r="B10" s="11">
        <v>213</v>
      </c>
      <c r="C10" s="12" t="s">
        <v>33</v>
      </c>
      <c r="D10" s="12" t="s">
        <v>34</v>
      </c>
      <c r="E10" s="22">
        <f t="shared" si="1"/>
        <v>19200</v>
      </c>
      <c r="F10" s="22">
        <f t="shared" si="2"/>
        <v>76.92307692307692</v>
      </c>
      <c r="G10" s="22">
        <f t="shared" si="3"/>
        <v>0</v>
      </c>
      <c r="H10" s="22" t="str">
        <f t="shared" si="4"/>
        <v/>
      </c>
      <c r="I10" s="13">
        <v>2358</v>
      </c>
      <c r="J10" s="13">
        <v>44</v>
      </c>
      <c r="K10" s="13">
        <v>1</v>
      </c>
      <c r="L10" s="13">
        <v>0</v>
      </c>
      <c r="M10" s="13">
        <v>2403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5">
        <v>5</v>
      </c>
      <c r="T10" s="15">
        <v>13</v>
      </c>
      <c r="U10" s="15">
        <v>9</v>
      </c>
      <c r="V10" s="15">
        <v>0</v>
      </c>
      <c r="W10" s="15">
        <v>27</v>
      </c>
      <c r="X10" s="16">
        <v>0</v>
      </c>
      <c r="Y10" s="16">
        <v>13</v>
      </c>
      <c r="Z10" s="16">
        <v>9</v>
      </c>
      <c r="AA10" s="16">
        <v>0</v>
      </c>
      <c r="AB10" s="16">
        <v>22</v>
      </c>
      <c r="AC10" s="17">
        <v>65</v>
      </c>
      <c r="AD10" s="17">
        <v>1</v>
      </c>
      <c r="AE10" s="17">
        <v>0</v>
      </c>
      <c r="AF10" s="17">
        <v>0</v>
      </c>
      <c r="AG10" s="17">
        <v>66</v>
      </c>
      <c r="AH10" s="18">
        <v>31</v>
      </c>
      <c r="AI10" s="18">
        <v>0</v>
      </c>
      <c r="AJ10" s="18">
        <v>0</v>
      </c>
      <c r="AK10" s="18">
        <v>0</v>
      </c>
      <c r="AL10" s="18">
        <v>31</v>
      </c>
      <c r="AM10" s="19">
        <v>0</v>
      </c>
    </row>
    <row r="11" spans="1:39" x14ac:dyDescent="0.25">
      <c r="A11" s="10">
        <v>2016</v>
      </c>
      <c r="B11" s="11">
        <v>295</v>
      </c>
      <c r="C11" s="12" t="s">
        <v>35</v>
      </c>
      <c r="D11" s="12" t="s">
        <v>36</v>
      </c>
      <c r="E11" s="22">
        <f t="shared" si="1"/>
        <v>4777.7777777777774</v>
      </c>
      <c r="F11" s="22" t="str">
        <f t="shared" si="2"/>
        <v/>
      </c>
      <c r="G11" s="22" t="str">
        <f t="shared" si="3"/>
        <v/>
      </c>
      <c r="H11" s="22" t="str">
        <f t="shared" si="4"/>
        <v/>
      </c>
      <c r="I11" s="13">
        <v>2816</v>
      </c>
      <c r="J11" s="13">
        <v>0</v>
      </c>
      <c r="K11" s="13">
        <v>0</v>
      </c>
      <c r="L11" s="13">
        <v>0</v>
      </c>
      <c r="M11" s="13">
        <v>2816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5">
        <v>9</v>
      </c>
      <c r="T11" s="15">
        <v>0</v>
      </c>
      <c r="U11" s="15">
        <v>0</v>
      </c>
      <c r="V11" s="15">
        <v>0</v>
      </c>
      <c r="W11" s="15">
        <v>9</v>
      </c>
      <c r="X11" s="16">
        <v>3.7</v>
      </c>
      <c r="Y11" s="16">
        <v>0</v>
      </c>
      <c r="Z11" s="16">
        <v>0</v>
      </c>
      <c r="AA11" s="16">
        <v>0</v>
      </c>
      <c r="AB11" s="16">
        <v>3.7</v>
      </c>
      <c r="AC11" s="17">
        <v>5</v>
      </c>
      <c r="AD11" s="17">
        <v>0</v>
      </c>
      <c r="AE11" s="17">
        <v>0</v>
      </c>
      <c r="AF11" s="17">
        <v>0</v>
      </c>
      <c r="AG11" s="17">
        <v>5</v>
      </c>
      <c r="AH11" s="18">
        <v>38</v>
      </c>
      <c r="AI11" s="18">
        <v>0</v>
      </c>
      <c r="AJ11" s="18">
        <v>0</v>
      </c>
      <c r="AK11" s="18">
        <v>0</v>
      </c>
      <c r="AL11" s="18">
        <v>38</v>
      </c>
      <c r="AM11" s="19">
        <v>12</v>
      </c>
    </row>
    <row r="12" spans="1:39" x14ac:dyDescent="0.25">
      <c r="A12" s="10">
        <v>2016</v>
      </c>
      <c r="B12" s="11">
        <v>329</v>
      </c>
      <c r="C12" s="12" t="s">
        <v>37</v>
      </c>
      <c r="D12" s="12" t="s">
        <v>38</v>
      </c>
      <c r="E12" s="22">
        <f t="shared" si="1"/>
        <v>87142.85714285713</v>
      </c>
      <c r="F12" s="22">
        <f t="shared" si="2"/>
        <v>89444.444444444438</v>
      </c>
      <c r="G12" s="22" t="str">
        <f t="shared" si="3"/>
        <v/>
      </c>
      <c r="H12" s="22" t="str">
        <f t="shared" si="4"/>
        <v/>
      </c>
      <c r="I12" s="13">
        <v>2659</v>
      </c>
      <c r="J12" s="13">
        <v>163</v>
      </c>
      <c r="K12" s="13">
        <v>0</v>
      </c>
      <c r="L12" s="13">
        <v>0</v>
      </c>
      <c r="M12" s="13">
        <v>2822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5">
        <v>4.9000000000000004</v>
      </c>
      <c r="T12" s="15">
        <v>1.8</v>
      </c>
      <c r="U12" s="15">
        <v>0</v>
      </c>
      <c r="V12" s="15">
        <v>0</v>
      </c>
      <c r="W12" s="15">
        <v>6.7</v>
      </c>
      <c r="X12" s="16">
        <v>2.6</v>
      </c>
      <c r="Y12" s="16">
        <v>1</v>
      </c>
      <c r="Z12" s="16">
        <v>0</v>
      </c>
      <c r="AA12" s="16">
        <v>0</v>
      </c>
      <c r="AB12" s="16">
        <v>3.6</v>
      </c>
      <c r="AC12" s="17">
        <v>314</v>
      </c>
      <c r="AD12" s="17">
        <v>118</v>
      </c>
      <c r="AE12" s="17">
        <v>0</v>
      </c>
      <c r="AF12" s="17">
        <v>0</v>
      </c>
      <c r="AG12" s="17">
        <v>432</v>
      </c>
      <c r="AH12" s="18">
        <v>113</v>
      </c>
      <c r="AI12" s="18">
        <v>43</v>
      </c>
      <c r="AJ12" s="18">
        <v>0</v>
      </c>
      <c r="AK12" s="18">
        <v>0</v>
      </c>
      <c r="AL12" s="18">
        <v>156</v>
      </c>
      <c r="AM12" s="19" t="s">
        <v>24</v>
      </c>
    </row>
    <row r="13" spans="1:39" x14ac:dyDescent="0.25">
      <c r="A13" s="10">
        <v>2016</v>
      </c>
      <c r="B13" s="11">
        <v>407</v>
      </c>
      <c r="C13" s="12" t="s">
        <v>39</v>
      </c>
      <c r="D13" s="12" t="s">
        <v>40</v>
      </c>
      <c r="E13" s="22" t="str">
        <f t="shared" si="1"/>
        <v/>
      </c>
      <c r="F13" s="22" t="str">
        <f t="shared" si="2"/>
        <v/>
      </c>
      <c r="G13" s="22">
        <f t="shared" si="3"/>
        <v>2027.0270270270269</v>
      </c>
      <c r="H13" s="22" t="str">
        <f t="shared" si="4"/>
        <v/>
      </c>
      <c r="I13" s="13">
        <v>0</v>
      </c>
      <c r="J13" s="13">
        <v>0</v>
      </c>
      <c r="K13" s="13">
        <v>203</v>
      </c>
      <c r="L13" s="13">
        <v>0</v>
      </c>
      <c r="M13" s="13">
        <v>203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5">
        <v>0</v>
      </c>
      <c r="T13" s="15">
        <v>0</v>
      </c>
      <c r="U13" s="15">
        <v>14.8</v>
      </c>
      <c r="V13" s="15">
        <v>0</v>
      </c>
      <c r="W13" s="15">
        <v>14.8</v>
      </c>
      <c r="X13" s="16">
        <v>0</v>
      </c>
      <c r="Y13" s="16">
        <v>0</v>
      </c>
      <c r="Z13" s="16">
        <v>14.8</v>
      </c>
      <c r="AA13" s="16">
        <v>0</v>
      </c>
      <c r="AB13" s="16">
        <v>14.8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8">
        <v>0</v>
      </c>
      <c r="AI13" s="18">
        <v>0</v>
      </c>
      <c r="AJ13" s="18">
        <v>30</v>
      </c>
      <c r="AK13" s="18">
        <v>0</v>
      </c>
      <c r="AL13" s="18">
        <v>30</v>
      </c>
      <c r="AM13" s="19" t="s">
        <v>24</v>
      </c>
    </row>
    <row r="14" spans="1:39" x14ac:dyDescent="0.25">
      <c r="A14" s="10">
        <v>2016</v>
      </c>
      <c r="B14" s="11">
        <v>590</v>
      </c>
      <c r="C14" s="12" t="s">
        <v>41</v>
      </c>
      <c r="D14" s="12" t="s">
        <v>42</v>
      </c>
      <c r="E14" s="22" t="str">
        <f t="shared" si="1"/>
        <v/>
      </c>
      <c r="F14" s="22">
        <f t="shared" si="2"/>
        <v>0</v>
      </c>
      <c r="G14" s="22">
        <f t="shared" si="3"/>
        <v>0</v>
      </c>
      <c r="H14" s="22" t="str">
        <f t="shared" si="4"/>
        <v/>
      </c>
      <c r="I14" s="13">
        <v>0</v>
      </c>
      <c r="J14" s="13">
        <v>3</v>
      </c>
      <c r="K14" s="13">
        <v>11</v>
      </c>
      <c r="L14" s="13">
        <v>0</v>
      </c>
      <c r="M14" s="13">
        <v>14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5">
        <v>0</v>
      </c>
      <c r="T14" s="15">
        <v>5</v>
      </c>
      <c r="U14" s="15">
        <v>8</v>
      </c>
      <c r="V14" s="15">
        <v>0</v>
      </c>
      <c r="W14" s="15">
        <v>13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9" t="s">
        <v>24</v>
      </c>
    </row>
    <row r="15" spans="1:39" x14ac:dyDescent="0.25">
      <c r="A15" s="10">
        <v>2016</v>
      </c>
      <c r="B15" s="11">
        <v>733</v>
      </c>
      <c r="C15" s="12" t="s">
        <v>43</v>
      </c>
      <c r="D15" s="12" t="s">
        <v>25</v>
      </c>
      <c r="E15" s="22">
        <f t="shared" si="1"/>
        <v>0</v>
      </c>
      <c r="F15" s="22" t="str">
        <f t="shared" si="2"/>
        <v/>
      </c>
      <c r="G15" s="22">
        <f t="shared" si="3"/>
        <v>0</v>
      </c>
      <c r="H15" s="22" t="str">
        <f t="shared" si="4"/>
        <v/>
      </c>
      <c r="I15" s="13">
        <v>3406</v>
      </c>
      <c r="J15" s="13">
        <v>0</v>
      </c>
      <c r="K15" s="13">
        <v>5</v>
      </c>
      <c r="L15" s="13">
        <v>0</v>
      </c>
      <c r="M15" s="13">
        <v>3411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5">
        <v>3.4</v>
      </c>
      <c r="T15" s="15">
        <v>0</v>
      </c>
      <c r="U15" s="15">
        <v>33.5</v>
      </c>
      <c r="V15" s="15">
        <v>0</v>
      </c>
      <c r="W15" s="15">
        <v>36.9</v>
      </c>
      <c r="X15" s="16">
        <v>3.4</v>
      </c>
      <c r="Y15" s="16">
        <v>0</v>
      </c>
      <c r="Z15" s="16">
        <v>0</v>
      </c>
      <c r="AA15" s="16">
        <v>0</v>
      </c>
      <c r="AB15" s="16">
        <v>3.4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9" t="s">
        <v>24</v>
      </c>
    </row>
    <row r="16" spans="1:39" x14ac:dyDescent="0.25">
      <c r="A16" s="10">
        <v>2016</v>
      </c>
      <c r="B16" s="11">
        <v>733</v>
      </c>
      <c r="C16" s="12" t="s">
        <v>43</v>
      </c>
      <c r="D16" s="12" t="s">
        <v>44</v>
      </c>
      <c r="E16" s="22">
        <f t="shared" si="1"/>
        <v>0</v>
      </c>
      <c r="F16" s="22" t="str">
        <f t="shared" si="2"/>
        <v/>
      </c>
      <c r="G16" s="22">
        <f t="shared" si="3"/>
        <v>0</v>
      </c>
      <c r="H16" s="22" t="str">
        <f t="shared" si="4"/>
        <v/>
      </c>
      <c r="I16" s="13">
        <v>1420</v>
      </c>
      <c r="J16" s="13">
        <v>0</v>
      </c>
      <c r="K16" s="13">
        <v>5</v>
      </c>
      <c r="L16" s="13">
        <v>0</v>
      </c>
      <c r="M16" s="13">
        <v>1425</v>
      </c>
      <c r="N16" s="14">
        <v>1</v>
      </c>
      <c r="O16" s="14">
        <v>0</v>
      </c>
      <c r="P16" s="14">
        <v>0</v>
      </c>
      <c r="Q16" s="14">
        <v>0</v>
      </c>
      <c r="R16" s="14">
        <v>1</v>
      </c>
      <c r="S16" s="15">
        <v>1.4</v>
      </c>
      <c r="T16" s="15">
        <v>0</v>
      </c>
      <c r="U16" s="15">
        <v>93.7</v>
      </c>
      <c r="V16" s="15">
        <v>0</v>
      </c>
      <c r="W16" s="15">
        <v>95.1</v>
      </c>
      <c r="X16" s="16">
        <v>1.4</v>
      </c>
      <c r="Y16" s="16">
        <v>0</v>
      </c>
      <c r="Z16" s="16">
        <v>0</v>
      </c>
      <c r="AA16" s="16">
        <v>0</v>
      </c>
      <c r="AB16" s="16">
        <v>1.4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24</v>
      </c>
    </row>
    <row r="17" spans="1:39" x14ac:dyDescent="0.25">
      <c r="A17" s="10">
        <v>2016</v>
      </c>
      <c r="B17" s="11">
        <v>803</v>
      </c>
      <c r="C17" s="12" t="s">
        <v>45</v>
      </c>
      <c r="D17" s="12" t="s">
        <v>46</v>
      </c>
      <c r="E17" s="22">
        <f t="shared" si="1"/>
        <v>10313.024035774175</v>
      </c>
      <c r="F17" s="22">
        <f t="shared" si="2"/>
        <v>0</v>
      </c>
      <c r="G17" s="22" t="str">
        <f t="shared" si="3"/>
        <v/>
      </c>
      <c r="H17" s="22" t="str">
        <f t="shared" si="4"/>
        <v/>
      </c>
      <c r="I17" s="13">
        <v>573415</v>
      </c>
      <c r="J17" s="13">
        <v>903</v>
      </c>
      <c r="K17" s="13">
        <v>0</v>
      </c>
      <c r="L17" s="13">
        <v>0</v>
      </c>
      <c r="M17" s="13">
        <v>574318</v>
      </c>
      <c r="N17" s="14">
        <v>791576</v>
      </c>
      <c r="O17" s="14">
        <v>121808</v>
      </c>
      <c r="P17" s="14">
        <v>0</v>
      </c>
      <c r="Q17" s="14">
        <v>0</v>
      </c>
      <c r="R17" s="14">
        <v>913384</v>
      </c>
      <c r="S17" s="15">
        <v>178.9</v>
      </c>
      <c r="T17" s="15">
        <v>27.8</v>
      </c>
      <c r="U17" s="15">
        <v>0</v>
      </c>
      <c r="V17" s="15">
        <v>0</v>
      </c>
      <c r="W17" s="15">
        <v>206.7</v>
      </c>
      <c r="X17" s="16">
        <v>178.9</v>
      </c>
      <c r="Y17" s="16">
        <v>27.8</v>
      </c>
      <c r="Z17" s="16">
        <v>0</v>
      </c>
      <c r="AA17" s="16">
        <v>0</v>
      </c>
      <c r="AB17" s="16">
        <v>206.7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8">
        <v>1845</v>
      </c>
      <c r="AI17" s="18">
        <v>0</v>
      </c>
      <c r="AJ17" s="18">
        <v>0</v>
      </c>
      <c r="AK17" s="18">
        <v>0</v>
      </c>
      <c r="AL17" s="18">
        <v>1845</v>
      </c>
      <c r="AM17" s="19" t="s">
        <v>24</v>
      </c>
    </row>
    <row r="18" spans="1:39" x14ac:dyDescent="0.25">
      <c r="A18" s="10">
        <v>2016</v>
      </c>
      <c r="B18" s="11">
        <v>807</v>
      </c>
      <c r="C18" s="12" t="s">
        <v>47</v>
      </c>
      <c r="D18" s="12" t="s">
        <v>48</v>
      </c>
      <c r="E18" s="22" t="str">
        <f t="shared" si="1"/>
        <v/>
      </c>
      <c r="F18" s="22">
        <f t="shared" si="2"/>
        <v>43804.140127388535</v>
      </c>
      <c r="G18" s="22" t="str">
        <f t="shared" si="3"/>
        <v/>
      </c>
      <c r="H18" s="22" t="str">
        <f t="shared" si="4"/>
        <v/>
      </c>
      <c r="I18" s="13">
        <v>0</v>
      </c>
      <c r="J18" s="13">
        <v>8</v>
      </c>
      <c r="K18" s="13">
        <v>0</v>
      </c>
      <c r="L18" s="13">
        <v>0</v>
      </c>
      <c r="M18" s="13">
        <v>8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5">
        <v>0</v>
      </c>
      <c r="T18" s="15">
        <v>628</v>
      </c>
      <c r="U18" s="15">
        <v>0</v>
      </c>
      <c r="V18" s="15">
        <v>0</v>
      </c>
      <c r="W18" s="15">
        <v>628</v>
      </c>
      <c r="X18" s="16">
        <v>0</v>
      </c>
      <c r="Y18" s="16">
        <v>80</v>
      </c>
      <c r="Z18" s="16">
        <v>0</v>
      </c>
      <c r="AA18" s="16">
        <v>0</v>
      </c>
      <c r="AB18" s="16">
        <v>80</v>
      </c>
      <c r="AC18" s="17">
        <v>0</v>
      </c>
      <c r="AD18" s="17">
        <v>27509</v>
      </c>
      <c r="AE18" s="17">
        <v>0</v>
      </c>
      <c r="AF18" s="17">
        <v>0</v>
      </c>
      <c r="AG18" s="17">
        <v>27509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9" t="s">
        <v>24</v>
      </c>
    </row>
    <row r="19" spans="1:39" x14ac:dyDescent="0.25">
      <c r="A19" s="10">
        <v>2016</v>
      </c>
      <c r="B19" s="11">
        <v>814</v>
      </c>
      <c r="C19" s="12" t="s">
        <v>49</v>
      </c>
      <c r="D19" s="12" t="s">
        <v>48</v>
      </c>
      <c r="E19" s="22">
        <f t="shared" si="1"/>
        <v>133451.95729537366</v>
      </c>
      <c r="F19" s="22" t="str">
        <f t="shared" si="2"/>
        <v/>
      </c>
      <c r="G19" s="22">
        <f t="shared" si="3"/>
        <v>210529.41176470587</v>
      </c>
      <c r="H19" s="22" t="str">
        <f t="shared" si="4"/>
        <v/>
      </c>
      <c r="I19" s="13">
        <v>23613</v>
      </c>
      <c r="J19" s="13">
        <v>0</v>
      </c>
      <c r="K19" s="13">
        <v>1547</v>
      </c>
      <c r="L19" s="13">
        <v>0</v>
      </c>
      <c r="M19" s="13">
        <v>25160</v>
      </c>
      <c r="N19" s="14">
        <v>52172</v>
      </c>
      <c r="O19" s="14">
        <v>0</v>
      </c>
      <c r="P19" s="14">
        <v>0</v>
      </c>
      <c r="Q19" s="14">
        <v>0</v>
      </c>
      <c r="R19" s="14">
        <v>52172</v>
      </c>
      <c r="S19" s="15">
        <v>28.1</v>
      </c>
      <c r="T19" s="15">
        <v>0</v>
      </c>
      <c r="U19" s="15">
        <v>17</v>
      </c>
      <c r="V19" s="15">
        <v>0</v>
      </c>
      <c r="W19" s="15">
        <v>45.1</v>
      </c>
      <c r="X19" s="16">
        <v>28.1</v>
      </c>
      <c r="Y19" s="16">
        <v>0</v>
      </c>
      <c r="Z19" s="16">
        <v>17</v>
      </c>
      <c r="AA19" s="16">
        <v>0</v>
      </c>
      <c r="AB19" s="16">
        <v>45.1</v>
      </c>
      <c r="AC19" s="17">
        <v>764</v>
      </c>
      <c r="AD19" s="17">
        <v>0</v>
      </c>
      <c r="AE19" s="17">
        <v>331</v>
      </c>
      <c r="AF19" s="17">
        <v>0</v>
      </c>
      <c r="AG19" s="17">
        <v>1095</v>
      </c>
      <c r="AH19" s="18">
        <v>2986</v>
      </c>
      <c r="AI19" s="18">
        <v>0</v>
      </c>
      <c r="AJ19" s="18">
        <v>3248</v>
      </c>
      <c r="AK19" s="18">
        <v>0</v>
      </c>
      <c r="AL19" s="18">
        <v>6234</v>
      </c>
      <c r="AM19" s="19" t="s">
        <v>24</v>
      </c>
    </row>
    <row r="20" spans="1:39" x14ac:dyDescent="0.25">
      <c r="A20" s="10">
        <v>2016</v>
      </c>
      <c r="B20" s="11">
        <v>828</v>
      </c>
      <c r="C20" s="12" t="s">
        <v>50</v>
      </c>
      <c r="D20" s="12" t="s">
        <v>36</v>
      </c>
      <c r="E20" s="22" t="str">
        <f t="shared" si="1"/>
        <v/>
      </c>
      <c r="F20" s="22" t="str">
        <f t="shared" si="2"/>
        <v/>
      </c>
      <c r="G20" s="22" t="str">
        <f t="shared" si="3"/>
        <v/>
      </c>
      <c r="H20" s="22" t="str">
        <f t="shared" si="4"/>
        <v/>
      </c>
      <c r="I20" s="13">
        <v>444</v>
      </c>
      <c r="J20" s="13">
        <v>33</v>
      </c>
      <c r="K20" s="13">
        <v>0</v>
      </c>
      <c r="L20" s="13">
        <v>0</v>
      </c>
      <c r="M20" s="13">
        <v>477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7">
        <v>11</v>
      </c>
      <c r="AD20" s="17">
        <v>1</v>
      </c>
      <c r="AE20" s="17">
        <v>0</v>
      </c>
      <c r="AF20" s="17">
        <v>0</v>
      </c>
      <c r="AG20" s="17">
        <v>12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24</v>
      </c>
    </row>
    <row r="21" spans="1:39" x14ac:dyDescent="0.25">
      <c r="A21" s="10">
        <v>2016</v>
      </c>
      <c r="B21" s="11">
        <v>963</v>
      </c>
      <c r="C21" s="12" t="s">
        <v>51</v>
      </c>
      <c r="D21" s="12" t="s">
        <v>52</v>
      </c>
      <c r="E21" s="22">
        <f t="shared" si="1"/>
        <v>39316.40625</v>
      </c>
      <c r="F21" s="22" t="str">
        <f t="shared" si="2"/>
        <v/>
      </c>
      <c r="G21" s="22" t="str">
        <f t="shared" si="3"/>
        <v/>
      </c>
      <c r="H21" s="22" t="str">
        <f t="shared" si="4"/>
        <v/>
      </c>
      <c r="I21" s="13">
        <v>46449</v>
      </c>
      <c r="J21" s="13">
        <v>0</v>
      </c>
      <c r="K21" s="13">
        <v>0</v>
      </c>
      <c r="L21" s="13">
        <v>0</v>
      </c>
      <c r="M21" s="13">
        <v>46449</v>
      </c>
      <c r="N21" s="14">
        <v>205</v>
      </c>
      <c r="O21" s="14">
        <v>0</v>
      </c>
      <c r="P21" s="14">
        <v>0</v>
      </c>
      <c r="Q21" s="14">
        <v>0</v>
      </c>
      <c r="R21" s="14">
        <v>205</v>
      </c>
      <c r="S21" s="15">
        <v>51.2</v>
      </c>
      <c r="T21" s="15">
        <v>0</v>
      </c>
      <c r="U21" s="15">
        <v>0</v>
      </c>
      <c r="V21" s="15">
        <v>0</v>
      </c>
      <c r="W21" s="15">
        <v>51.2</v>
      </c>
      <c r="X21" s="16">
        <v>51.2</v>
      </c>
      <c r="Y21" s="16">
        <v>0</v>
      </c>
      <c r="Z21" s="16">
        <v>0</v>
      </c>
      <c r="AA21" s="16">
        <v>0</v>
      </c>
      <c r="AB21" s="16">
        <v>51.2</v>
      </c>
      <c r="AC21" s="17">
        <v>145</v>
      </c>
      <c r="AD21" s="17">
        <v>0</v>
      </c>
      <c r="AE21" s="17">
        <v>0</v>
      </c>
      <c r="AF21" s="17">
        <v>0</v>
      </c>
      <c r="AG21" s="17">
        <v>145</v>
      </c>
      <c r="AH21" s="18">
        <v>1868</v>
      </c>
      <c r="AI21" s="18">
        <v>0</v>
      </c>
      <c r="AJ21" s="18">
        <v>0</v>
      </c>
      <c r="AK21" s="18">
        <v>0</v>
      </c>
      <c r="AL21" s="18">
        <v>1868</v>
      </c>
      <c r="AM21" s="19" t="s">
        <v>24</v>
      </c>
    </row>
    <row r="22" spans="1:39" x14ac:dyDescent="0.25">
      <c r="A22" s="10">
        <v>2016</v>
      </c>
      <c r="B22" s="11">
        <v>965</v>
      </c>
      <c r="C22" s="12" t="s">
        <v>53</v>
      </c>
      <c r="D22" s="12" t="s">
        <v>38</v>
      </c>
      <c r="E22" s="22">
        <f t="shared" si="1"/>
        <v>26000</v>
      </c>
      <c r="F22" s="22">
        <f t="shared" si="2"/>
        <v>10000</v>
      </c>
      <c r="G22" s="22" t="str">
        <f t="shared" si="3"/>
        <v/>
      </c>
      <c r="H22" s="22" t="str">
        <f t="shared" si="4"/>
        <v/>
      </c>
      <c r="I22" s="13">
        <v>327</v>
      </c>
      <c r="J22" s="13">
        <v>33</v>
      </c>
      <c r="K22" s="13">
        <v>0</v>
      </c>
      <c r="L22" s="13">
        <v>0</v>
      </c>
      <c r="M22" s="13">
        <v>360</v>
      </c>
      <c r="N22" s="14">
        <v>25</v>
      </c>
      <c r="O22" s="14">
        <v>14</v>
      </c>
      <c r="P22" s="14">
        <v>0</v>
      </c>
      <c r="Q22" s="14">
        <v>0</v>
      </c>
      <c r="R22" s="14">
        <v>39</v>
      </c>
      <c r="S22" s="15">
        <v>0.5</v>
      </c>
      <c r="T22" s="15">
        <v>0.1</v>
      </c>
      <c r="U22" s="15">
        <v>0</v>
      </c>
      <c r="V22" s="15">
        <v>0</v>
      </c>
      <c r="W22" s="15">
        <v>0.6</v>
      </c>
      <c r="X22" s="16">
        <v>0.5</v>
      </c>
      <c r="Y22" s="16">
        <v>0.1</v>
      </c>
      <c r="Z22" s="16">
        <v>0</v>
      </c>
      <c r="AA22" s="16">
        <v>0</v>
      </c>
      <c r="AB22" s="16">
        <v>0.6</v>
      </c>
      <c r="AC22" s="17">
        <v>8</v>
      </c>
      <c r="AD22" s="17">
        <v>1</v>
      </c>
      <c r="AE22" s="17">
        <v>0</v>
      </c>
      <c r="AF22" s="17">
        <v>0</v>
      </c>
      <c r="AG22" s="17">
        <v>9</v>
      </c>
      <c r="AH22" s="18">
        <v>5</v>
      </c>
      <c r="AI22" s="18">
        <v>0</v>
      </c>
      <c r="AJ22" s="18">
        <v>0</v>
      </c>
      <c r="AK22" s="18">
        <v>0</v>
      </c>
      <c r="AL22" s="18">
        <v>5</v>
      </c>
      <c r="AM22" s="19" t="s">
        <v>24</v>
      </c>
    </row>
    <row r="23" spans="1:39" x14ac:dyDescent="0.25">
      <c r="A23" s="10">
        <v>2016</v>
      </c>
      <c r="B23" s="11">
        <v>1009</v>
      </c>
      <c r="C23" s="12" t="s">
        <v>54</v>
      </c>
      <c r="D23" s="12" t="s">
        <v>36</v>
      </c>
      <c r="E23" s="22">
        <f t="shared" si="1"/>
        <v>0</v>
      </c>
      <c r="F23" s="22">
        <f t="shared" si="2"/>
        <v>42500</v>
      </c>
      <c r="G23" s="22" t="str">
        <f t="shared" si="3"/>
        <v/>
      </c>
      <c r="H23" s="22" t="str">
        <f t="shared" si="4"/>
        <v/>
      </c>
      <c r="I23" s="13">
        <v>6542</v>
      </c>
      <c r="J23" s="13">
        <v>2</v>
      </c>
      <c r="K23" s="13">
        <v>0</v>
      </c>
      <c r="L23" s="13">
        <v>0</v>
      </c>
      <c r="M23" s="13">
        <v>6544</v>
      </c>
      <c r="N23" s="14">
        <v>304</v>
      </c>
      <c r="O23" s="14">
        <v>6</v>
      </c>
      <c r="P23" s="14">
        <v>0</v>
      </c>
      <c r="Q23" s="14">
        <v>0</v>
      </c>
      <c r="R23" s="14">
        <v>310</v>
      </c>
      <c r="S23" s="15">
        <v>3.5</v>
      </c>
      <c r="T23" s="15">
        <v>0.4</v>
      </c>
      <c r="U23" s="15">
        <v>0</v>
      </c>
      <c r="V23" s="15">
        <v>0</v>
      </c>
      <c r="W23" s="15">
        <v>3.9</v>
      </c>
      <c r="X23" s="16">
        <v>3.5</v>
      </c>
      <c r="Y23" s="16">
        <v>0.4</v>
      </c>
      <c r="Z23" s="16">
        <v>0</v>
      </c>
      <c r="AA23" s="16">
        <v>0</v>
      </c>
      <c r="AB23" s="16">
        <v>3.9</v>
      </c>
      <c r="AC23" s="17">
        <v>0</v>
      </c>
      <c r="AD23" s="17">
        <v>17</v>
      </c>
      <c r="AE23" s="17">
        <v>0</v>
      </c>
      <c r="AF23" s="17">
        <v>0</v>
      </c>
      <c r="AG23" s="17">
        <v>17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9" t="s">
        <v>24</v>
      </c>
    </row>
    <row r="24" spans="1:39" x14ac:dyDescent="0.25">
      <c r="A24" s="10">
        <v>2016</v>
      </c>
      <c r="B24" s="11">
        <v>1015</v>
      </c>
      <c r="C24" s="12" t="s">
        <v>55</v>
      </c>
      <c r="D24" s="12" t="s">
        <v>56</v>
      </c>
      <c r="E24" s="22">
        <f t="shared" si="1"/>
        <v>39359.605911330051</v>
      </c>
      <c r="F24" s="22">
        <f t="shared" si="2"/>
        <v>28257.425742574258</v>
      </c>
      <c r="G24" s="22">
        <f t="shared" si="3"/>
        <v>29141.104294478526</v>
      </c>
      <c r="H24" s="22" t="str">
        <f t="shared" si="4"/>
        <v/>
      </c>
      <c r="I24" s="13">
        <v>128501</v>
      </c>
      <c r="J24" s="13">
        <v>8825</v>
      </c>
      <c r="K24" s="13">
        <v>2942</v>
      </c>
      <c r="L24" s="13">
        <v>0</v>
      </c>
      <c r="M24" s="13">
        <v>140268</v>
      </c>
      <c r="N24" s="14">
        <v>61</v>
      </c>
      <c r="O24" s="14">
        <v>205</v>
      </c>
      <c r="P24" s="14">
        <v>68</v>
      </c>
      <c r="Q24" s="14">
        <v>0</v>
      </c>
      <c r="R24" s="14">
        <v>334</v>
      </c>
      <c r="S24" s="15">
        <v>60.9</v>
      </c>
      <c r="T24" s="15">
        <v>50.5</v>
      </c>
      <c r="U24" s="15">
        <v>16.3</v>
      </c>
      <c r="V24" s="15">
        <v>0</v>
      </c>
      <c r="W24" s="15">
        <v>127.7</v>
      </c>
      <c r="X24" s="16">
        <v>35.299999999999997</v>
      </c>
      <c r="Y24" s="16">
        <v>35.4</v>
      </c>
      <c r="Z24" s="16">
        <v>11.2</v>
      </c>
      <c r="AA24" s="16">
        <v>0</v>
      </c>
      <c r="AB24" s="16">
        <v>81.900000000000006</v>
      </c>
      <c r="AC24" s="17">
        <v>1383</v>
      </c>
      <c r="AD24" s="17">
        <v>357</v>
      </c>
      <c r="AE24" s="17">
        <v>119</v>
      </c>
      <c r="AF24" s="17">
        <v>0</v>
      </c>
      <c r="AG24" s="17">
        <v>1859</v>
      </c>
      <c r="AH24" s="18">
        <v>1014</v>
      </c>
      <c r="AI24" s="18">
        <v>1070</v>
      </c>
      <c r="AJ24" s="18">
        <v>356</v>
      </c>
      <c r="AK24" s="18">
        <v>0</v>
      </c>
      <c r="AL24" s="18">
        <v>2440</v>
      </c>
      <c r="AM24" s="19">
        <v>1973</v>
      </c>
    </row>
    <row r="25" spans="1:39" x14ac:dyDescent="0.25">
      <c r="A25" s="10">
        <v>2016</v>
      </c>
      <c r="B25" s="11">
        <v>1167</v>
      </c>
      <c r="C25" s="12" t="s">
        <v>57</v>
      </c>
      <c r="D25" s="12" t="s">
        <v>23</v>
      </c>
      <c r="E25" s="22">
        <f t="shared" si="1"/>
        <v>90851.401374933906</v>
      </c>
      <c r="F25" s="22" t="str">
        <f t="shared" si="2"/>
        <v/>
      </c>
      <c r="G25" s="22" t="str">
        <f t="shared" si="3"/>
        <v/>
      </c>
      <c r="H25" s="22" t="str">
        <f t="shared" si="4"/>
        <v/>
      </c>
      <c r="I25" s="13">
        <v>332684</v>
      </c>
      <c r="J25" s="13">
        <v>0</v>
      </c>
      <c r="K25" s="13">
        <v>0</v>
      </c>
      <c r="L25" s="13">
        <v>0</v>
      </c>
      <c r="M25" s="13">
        <v>332684</v>
      </c>
      <c r="N25" s="14">
        <v>2302</v>
      </c>
      <c r="O25" s="14">
        <v>0</v>
      </c>
      <c r="P25" s="14">
        <v>0</v>
      </c>
      <c r="Q25" s="14">
        <v>0</v>
      </c>
      <c r="R25" s="14">
        <v>2302</v>
      </c>
      <c r="S25" s="15">
        <v>378.2</v>
      </c>
      <c r="T25" s="15">
        <v>0</v>
      </c>
      <c r="U25" s="15">
        <v>0</v>
      </c>
      <c r="V25" s="15">
        <v>0</v>
      </c>
      <c r="W25" s="15">
        <v>378.2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7">
        <v>23366</v>
      </c>
      <c r="AD25" s="17">
        <v>0</v>
      </c>
      <c r="AE25" s="17">
        <v>0</v>
      </c>
      <c r="AF25" s="17">
        <v>0</v>
      </c>
      <c r="AG25" s="17">
        <v>23366</v>
      </c>
      <c r="AH25" s="18">
        <v>10994</v>
      </c>
      <c r="AI25" s="18">
        <v>0</v>
      </c>
      <c r="AJ25" s="18">
        <v>0</v>
      </c>
      <c r="AK25" s="18">
        <v>0</v>
      </c>
      <c r="AL25" s="18">
        <v>10994</v>
      </c>
      <c r="AM25" s="19" t="s">
        <v>24</v>
      </c>
    </row>
    <row r="26" spans="1:39" x14ac:dyDescent="0.25">
      <c r="A26" s="10">
        <v>2016</v>
      </c>
      <c r="B26" s="11">
        <v>1233</v>
      </c>
      <c r="C26" s="12" t="s">
        <v>58</v>
      </c>
      <c r="D26" s="12" t="s">
        <v>36</v>
      </c>
      <c r="E26" s="22">
        <f t="shared" si="1"/>
        <v>21000</v>
      </c>
      <c r="F26" s="22" t="str">
        <f t="shared" si="2"/>
        <v/>
      </c>
      <c r="G26" s="22" t="str">
        <f t="shared" si="3"/>
        <v/>
      </c>
      <c r="H26" s="22" t="str">
        <f t="shared" si="4"/>
        <v/>
      </c>
      <c r="I26" s="13">
        <v>872</v>
      </c>
      <c r="J26" s="13">
        <v>60</v>
      </c>
      <c r="K26" s="13">
        <v>0</v>
      </c>
      <c r="L26" s="13">
        <v>0</v>
      </c>
      <c r="M26" s="13">
        <v>932</v>
      </c>
      <c r="N26" s="14">
        <v>9</v>
      </c>
      <c r="O26" s="14">
        <v>0</v>
      </c>
      <c r="P26" s="14">
        <v>0</v>
      </c>
      <c r="Q26" s="14">
        <v>0</v>
      </c>
      <c r="R26" s="14">
        <v>9</v>
      </c>
      <c r="S26" s="15">
        <v>1</v>
      </c>
      <c r="T26" s="15">
        <v>0</v>
      </c>
      <c r="U26" s="15">
        <v>0</v>
      </c>
      <c r="V26" s="15">
        <v>0</v>
      </c>
      <c r="W26" s="15">
        <v>1</v>
      </c>
      <c r="X26" s="16">
        <v>1</v>
      </c>
      <c r="Y26" s="16">
        <v>0</v>
      </c>
      <c r="Z26" s="16">
        <v>0</v>
      </c>
      <c r="AA26" s="16">
        <v>0</v>
      </c>
      <c r="AB26" s="16">
        <v>1</v>
      </c>
      <c r="AC26" s="17">
        <v>11</v>
      </c>
      <c r="AD26" s="17">
        <v>0</v>
      </c>
      <c r="AE26" s="17">
        <v>0</v>
      </c>
      <c r="AF26" s="17">
        <v>0</v>
      </c>
      <c r="AG26" s="17">
        <v>11</v>
      </c>
      <c r="AH26" s="18">
        <v>10</v>
      </c>
      <c r="AI26" s="18">
        <v>0</v>
      </c>
      <c r="AJ26" s="18">
        <v>0</v>
      </c>
      <c r="AK26" s="18">
        <v>0</v>
      </c>
      <c r="AL26" s="18">
        <v>10</v>
      </c>
      <c r="AM26" s="19" t="s">
        <v>24</v>
      </c>
    </row>
    <row r="27" spans="1:39" x14ac:dyDescent="0.25">
      <c r="A27" s="10">
        <v>2016</v>
      </c>
      <c r="B27" s="11">
        <v>1251</v>
      </c>
      <c r="C27" s="12" t="s">
        <v>59</v>
      </c>
      <c r="D27" s="12" t="s">
        <v>29</v>
      </c>
      <c r="E27" s="22">
        <f t="shared" si="1"/>
        <v>8571.4285714285706</v>
      </c>
      <c r="F27" s="22">
        <f t="shared" si="2"/>
        <v>8518.5185185185182</v>
      </c>
      <c r="G27" s="22" t="str">
        <f t="shared" si="3"/>
        <v/>
      </c>
      <c r="H27" s="22" t="str">
        <f t="shared" si="4"/>
        <v/>
      </c>
      <c r="I27" s="13">
        <v>6067</v>
      </c>
      <c r="J27" s="13">
        <v>359</v>
      </c>
      <c r="K27" s="13">
        <v>0</v>
      </c>
      <c r="L27" s="13">
        <v>0</v>
      </c>
      <c r="M27" s="13">
        <v>6426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5">
        <v>3.5</v>
      </c>
      <c r="T27" s="15">
        <v>10.8</v>
      </c>
      <c r="U27" s="15">
        <v>0</v>
      </c>
      <c r="V27" s="15">
        <v>0</v>
      </c>
      <c r="W27" s="15">
        <v>14.3</v>
      </c>
      <c r="X27" s="16">
        <v>1.6</v>
      </c>
      <c r="Y27" s="16">
        <v>4.9000000000000004</v>
      </c>
      <c r="Z27" s="16">
        <v>0</v>
      </c>
      <c r="AA27" s="16">
        <v>0</v>
      </c>
      <c r="AB27" s="16">
        <v>6.5</v>
      </c>
      <c r="AC27" s="17">
        <v>8</v>
      </c>
      <c r="AD27" s="17">
        <v>24</v>
      </c>
      <c r="AE27" s="17">
        <v>0</v>
      </c>
      <c r="AF27" s="17">
        <v>0</v>
      </c>
      <c r="AG27" s="17">
        <v>32</v>
      </c>
      <c r="AH27" s="18">
        <v>22</v>
      </c>
      <c r="AI27" s="18">
        <v>68</v>
      </c>
      <c r="AJ27" s="18">
        <v>0</v>
      </c>
      <c r="AK27" s="18">
        <v>0</v>
      </c>
      <c r="AL27" s="18">
        <v>90</v>
      </c>
      <c r="AM27" s="19" t="s">
        <v>24</v>
      </c>
    </row>
    <row r="28" spans="1:39" x14ac:dyDescent="0.25">
      <c r="A28" s="10">
        <v>2016</v>
      </c>
      <c r="B28" s="11">
        <v>1367</v>
      </c>
      <c r="C28" s="12" t="s">
        <v>60</v>
      </c>
      <c r="D28" s="12" t="s">
        <v>29</v>
      </c>
      <c r="E28" s="22">
        <f t="shared" si="1"/>
        <v>26500</v>
      </c>
      <c r="F28" s="22" t="str">
        <f t="shared" si="2"/>
        <v/>
      </c>
      <c r="G28" s="22" t="str">
        <f t="shared" si="3"/>
        <v/>
      </c>
      <c r="H28" s="22" t="str">
        <f t="shared" si="4"/>
        <v/>
      </c>
      <c r="I28" s="13">
        <v>1201</v>
      </c>
      <c r="J28" s="13">
        <v>6</v>
      </c>
      <c r="K28" s="13">
        <v>0</v>
      </c>
      <c r="L28" s="13">
        <v>0</v>
      </c>
      <c r="M28" s="13">
        <v>1207</v>
      </c>
      <c r="N28" s="14">
        <v>398</v>
      </c>
      <c r="O28" s="14">
        <v>0</v>
      </c>
      <c r="P28" s="14">
        <v>0</v>
      </c>
      <c r="Q28" s="14">
        <v>0</v>
      </c>
      <c r="R28" s="14">
        <v>398</v>
      </c>
      <c r="S28" s="15">
        <v>2</v>
      </c>
      <c r="T28" s="15">
        <v>0</v>
      </c>
      <c r="U28" s="15">
        <v>0</v>
      </c>
      <c r="V28" s="15">
        <v>0</v>
      </c>
      <c r="W28" s="15">
        <v>2</v>
      </c>
      <c r="X28" s="16">
        <v>2</v>
      </c>
      <c r="Y28" s="16">
        <v>0</v>
      </c>
      <c r="Z28" s="16">
        <v>0</v>
      </c>
      <c r="AA28" s="16">
        <v>0</v>
      </c>
      <c r="AB28" s="16">
        <v>2</v>
      </c>
      <c r="AC28" s="17">
        <v>44</v>
      </c>
      <c r="AD28" s="17">
        <v>0</v>
      </c>
      <c r="AE28" s="17">
        <v>0</v>
      </c>
      <c r="AF28" s="17">
        <v>0</v>
      </c>
      <c r="AG28" s="17">
        <v>44</v>
      </c>
      <c r="AH28" s="18">
        <v>9</v>
      </c>
      <c r="AI28" s="18">
        <v>0</v>
      </c>
      <c r="AJ28" s="18">
        <v>0</v>
      </c>
      <c r="AK28" s="18">
        <v>0</v>
      </c>
      <c r="AL28" s="18">
        <v>9</v>
      </c>
      <c r="AM28" s="19" t="s">
        <v>24</v>
      </c>
    </row>
    <row r="29" spans="1:39" x14ac:dyDescent="0.25">
      <c r="A29" s="10">
        <v>2016</v>
      </c>
      <c r="B29" s="11">
        <v>1529</v>
      </c>
      <c r="C29" s="12" t="s">
        <v>61</v>
      </c>
      <c r="D29" s="12" t="s">
        <v>36</v>
      </c>
      <c r="E29" s="22">
        <f t="shared" si="1"/>
        <v>1383.5060838215411</v>
      </c>
      <c r="F29" s="22">
        <f t="shared" si="2"/>
        <v>0</v>
      </c>
      <c r="G29" s="22" t="str">
        <f t="shared" si="3"/>
        <v/>
      </c>
      <c r="H29" s="22" t="str">
        <f t="shared" si="4"/>
        <v/>
      </c>
      <c r="I29" s="13">
        <v>7760</v>
      </c>
      <c r="J29" s="13">
        <v>28</v>
      </c>
      <c r="K29" s="13">
        <v>0</v>
      </c>
      <c r="L29" s="13">
        <v>0</v>
      </c>
      <c r="M29" s="13">
        <v>7788</v>
      </c>
      <c r="N29" s="14">
        <v>5002</v>
      </c>
      <c r="O29" s="14">
        <v>0</v>
      </c>
      <c r="P29" s="14">
        <v>0</v>
      </c>
      <c r="Q29" s="14">
        <v>0</v>
      </c>
      <c r="R29" s="14">
        <v>5002</v>
      </c>
      <c r="S29" s="15">
        <v>221.9</v>
      </c>
      <c r="T29" s="15">
        <v>3.9</v>
      </c>
      <c r="U29" s="15">
        <v>0</v>
      </c>
      <c r="V29" s="15">
        <v>0</v>
      </c>
      <c r="W29" s="15">
        <v>225.8</v>
      </c>
      <c r="X29" s="16">
        <v>27.4</v>
      </c>
      <c r="Y29" s="16">
        <v>3.9</v>
      </c>
      <c r="Z29" s="16">
        <v>0</v>
      </c>
      <c r="AA29" s="16">
        <v>0</v>
      </c>
      <c r="AB29" s="16">
        <v>31.3</v>
      </c>
      <c r="AC29" s="17">
        <v>35</v>
      </c>
      <c r="AD29" s="17">
        <v>0</v>
      </c>
      <c r="AE29" s="17">
        <v>0</v>
      </c>
      <c r="AF29" s="17">
        <v>0</v>
      </c>
      <c r="AG29" s="17">
        <v>35</v>
      </c>
      <c r="AH29" s="18">
        <v>272</v>
      </c>
      <c r="AI29" s="18">
        <v>0</v>
      </c>
      <c r="AJ29" s="18">
        <v>0</v>
      </c>
      <c r="AK29" s="18">
        <v>0</v>
      </c>
      <c r="AL29" s="18">
        <v>272</v>
      </c>
      <c r="AM29" s="19">
        <v>0</v>
      </c>
    </row>
    <row r="30" spans="1:39" x14ac:dyDescent="0.25">
      <c r="A30" s="10">
        <v>2016</v>
      </c>
      <c r="B30" s="11">
        <v>1573</v>
      </c>
      <c r="C30" s="12" t="s">
        <v>62</v>
      </c>
      <c r="D30" s="12" t="s">
        <v>36</v>
      </c>
      <c r="E30" s="22">
        <f t="shared" si="1"/>
        <v>2941.1764705882356</v>
      </c>
      <c r="F30" s="22">
        <f t="shared" si="2"/>
        <v>0</v>
      </c>
      <c r="G30" s="22" t="str">
        <f t="shared" si="3"/>
        <v/>
      </c>
      <c r="H30" s="22" t="str">
        <f t="shared" si="4"/>
        <v/>
      </c>
      <c r="I30" s="13">
        <v>966</v>
      </c>
      <c r="J30" s="13">
        <v>35</v>
      </c>
      <c r="K30" s="13">
        <v>0</v>
      </c>
      <c r="L30" s="13">
        <v>0</v>
      </c>
      <c r="M30" s="13">
        <v>1001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5">
        <v>3.4</v>
      </c>
      <c r="T30" s="15">
        <v>0.4</v>
      </c>
      <c r="U30" s="15">
        <v>0</v>
      </c>
      <c r="V30" s="15">
        <v>0</v>
      </c>
      <c r="W30" s="15">
        <v>3.8</v>
      </c>
      <c r="X30" s="16">
        <v>2.6</v>
      </c>
      <c r="Y30" s="16">
        <v>0.4</v>
      </c>
      <c r="Z30" s="16">
        <v>0</v>
      </c>
      <c r="AA30" s="16">
        <v>0</v>
      </c>
      <c r="AB30" s="16">
        <v>3</v>
      </c>
      <c r="AC30" s="17">
        <v>2</v>
      </c>
      <c r="AD30" s="17">
        <v>0</v>
      </c>
      <c r="AE30" s="17">
        <v>0</v>
      </c>
      <c r="AF30" s="17">
        <v>0</v>
      </c>
      <c r="AG30" s="17">
        <v>2</v>
      </c>
      <c r="AH30" s="18">
        <v>8</v>
      </c>
      <c r="AI30" s="18">
        <v>0</v>
      </c>
      <c r="AJ30" s="18">
        <v>0</v>
      </c>
      <c r="AK30" s="18">
        <v>0</v>
      </c>
      <c r="AL30" s="18">
        <v>8</v>
      </c>
      <c r="AM30" s="19" t="s">
        <v>24</v>
      </c>
    </row>
    <row r="31" spans="1:39" x14ac:dyDescent="0.25">
      <c r="A31" s="10">
        <v>2016</v>
      </c>
      <c r="B31" s="11">
        <v>1613</v>
      </c>
      <c r="C31" s="12" t="s">
        <v>63</v>
      </c>
      <c r="D31" s="12" t="s">
        <v>64</v>
      </c>
      <c r="E31" s="22">
        <f t="shared" si="1"/>
        <v>5098.7654320987658</v>
      </c>
      <c r="F31" s="22" t="str">
        <f t="shared" si="2"/>
        <v/>
      </c>
      <c r="G31" s="22" t="str">
        <f t="shared" si="3"/>
        <v/>
      </c>
      <c r="H31" s="22" t="str">
        <f t="shared" si="4"/>
        <v/>
      </c>
      <c r="I31" s="13">
        <v>18250</v>
      </c>
      <c r="J31" s="13">
        <v>0</v>
      </c>
      <c r="K31" s="13">
        <v>0</v>
      </c>
      <c r="L31" s="13">
        <v>0</v>
      </c>
      <c r="M31" s="13">
        <v>18250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5">
        <v>81</v>
      </c>
      <c r="T31" s="15">
        <v>0</v>
      </c>
      <c r="U31" s="15">
        <v>0</v>
      </c>
      <c r="V31" s="15">
        <v>0</v>
      </c>
      <c r="W31" s="15">
        <v>81</v>
      </c>
      <c r="X31" s="16">
        <v>16.2</v>
      </c>
      <c r="Y31" s="16">
        <v>0</v>
      </c>
      <c r="Z31" s="16">
        <v>0</v>
      </c>
      <c r="AA31" s="16">
        <v>0</v>
      </c>
      <c r="AB31" s="16">
        <v>16.2</v>
      </c>
      <c r="AC31" s="17">
        <v>154</v>
      </c>
      <c r="AD31" s="17">
        <v>0</v>
      </c>
      <c r="AE31" s="17">
        <v>0</v>
      </c>
      <c r="AF31" s="17">
        <v>0</v>
      </c>
      <c r="AG31" s="17">
        <v>154</v>
      </c>
      <c r="AH31" s="18">
        <v>259</v>
      </c>
      <c r="AI31" s="18">
        <v>0</v>
      </c>
      <c r="AJ31" s="18">
        <v>0</v>
      </c>
      <c r="AK31" s="18">
        <v>0</v>
      </c>
      <c r="AL31" s="18">
        <v>259</v>
      </c>
      <c r="AM31" s="19" t="s">
        <v>24</v>
      </c>
    </row>
    <row r="32" spans="1:39" x14ac:dyDescent="0.25">
      <c r="A32" s="10">
        <v>2016</v>
      </c>
      <c r="B32" s="11">
        <v>1769</v>
      </c>
      <c r="C32" s="12" t="s">
        <v>65</v>
      </c>
      <c r="D32" s="12" t="s">
        <v>66</v>
      </c>
      <c r="E32" s="22" t="str">
        <f t="shared" si="1"/>
        <v/>
      </c>
      <c r="F32" s="22" t="str">
        <f t="shared" si="2"/>
        <v/>
      </c>
      <c r="G32" s="22" t="str">
        <f t="shared" si="3"/>
        <v/>
      </c>
      <c r="H32" s="22" t="str">
        <f t="shared" si="4"/>
        <v/>
      </c>
      <c r="I32" s="13">
        <v>183</v>
      </c>
      <c r="J32" s="13">
        <v>8</v>
      </c>
      <c r="K32" s="13">
        <v>0</v>
      </c>
      <c r="L32" s="13">
        <v>0</v>
      </c>
      <c r="M32" s="13">
        <v>191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9" t="s">
        <v>24</v>
      </c>
    </row>
    <row r="33" spans="1:39" x14ac:dyDescent="0.25">
      <c r="A33" s="10">
        <v>2016</v>
      </c>
      <c r="B33" s="11">
        <v>1883</v>
      </c>
      <c r="C33" s="12" t="s">
        <v>67</v>
      </c>
      <c r="D33" s="12" t="s">
        <v>36</v>
      </c>
      <c r="E33" s="22">
        <f t="shared" si="1"/>
        <v>9500</v>
      </c>
      <c r="F33" s="22" t="str">
        <f t="shared" si="2"/>
        <v/>
      </c>
      <c r="G33" s="22" t="str">
        <f t="shared" si="3"/>
        <v/>
      </c>
      <c r="H33" s="22" t="str">
        <f t="shared" si="4"/>
        <v/>
      </c>
      <c r="I33" s="13">
        <v>508</v>
      </c>
      <c r="J33" s="13">
        <v>0</v>
      </c>
      <c r="K33" s="13">
        <v>0</v>
      </c>
      <c r="L33" s="13">
        <v>0</v>
      </c>
      <c r="M33" s="13">
        <v>508</v>
      </c>
      <c r="N33" s="14">
        <v>27</v>
      </c>
      <c r="O33" s="14">
        <v>0</v>
      </c>
      <c r="P33" s="14">
        <v>0</v>
      </c>
      <c r="Q33" s="14">
        <v>0</v>
      </c>
      <c r="R33" s="14">
        <v>27</v>
      </c>
      <c r="S33" s="15">
        <v>4</v>
      </c>
      <c r="T33" s="15">
        <v>0</v>
      </c>
      <c r="U33" s="15">
        <v>0</v>
      </c>
      <c r="V33" s="15">
        <v>0</v>
      </c>
      <c r="W33" s="15">
        <v>4</v>
      </c>
      <c r="X33" s="16">
        <v>1</v>
      </c>
      <c r="Y33" s="16">
        <v>0</v>
      </c>
      <c r="Z33" s="16">
        <v>0</v>
      </c>
      <c r="AA33" s="16">
        <v>0</v>
      </c>
      <c r="AB33" s="16">
        <v>1</v>
      </c>
      <c r="AC33" s="17">
        <v>38</v>
      </c>
      <c r="AD33" s="17">
        <v>0</v>
      </c>
      <c r="AE33" s="17">
        <v>0</v>
      </c>
      <c r="AF33" s="17">
        <v>0</v>
      </c>
      <c r="AG33" s="17">
        <v>38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9" t="s">
        <v>24</v>
      </c>
    </row>
    <row r="34" spans="1:39" x14ac:dyDescent="0.25">
      <c r="A34" s="10">
        <v>2016</v>
      </c>
      <c r="B34" s="11">
        <v>2182</v>
      </c>
      <c r="C34" s="12" t="s">
        <v>68</v>
      </c>
      <c r="D34" s="12" t="s">
        <v>36</v>
      </c>
      <c r="E34" s="22">
        <f t="shared" si="1"/>
        <v>8000</v>
      </c>
      <c r="F34" s="22">
        <f t="shared" si="2"/>
        <v>22000</v>
      </c>
      <c r="G34" s="22" t="str">
        <f t="shared" si="3"/>
        <v/>
      </c>
      <c r="H34" s="22" t="str">
        <f t="shared" si="4"/>
        <v/>
      </c>
      <c r="I34" s="13">
        <v>652</v>
      </c>
      <c r="J34" s="13">
        <v>90</v>
      </c>
      <c r="K34" s="13">
        <v>0</v>
      </c>
      <c r="L34" s="13">
        <v>0</v>
      </c>
      <c r="M34" s="13">
        <v>742</v>
      </c>
      <c r="N34" s="14">
        <v>1</v>
      </c>
      <c r="O34" s="14">
        <v>1</v>
      </c>
      <c r="P34" s="14">
        <v>0</v>
      </c>
      <c r="Q34" s="14">
        <v>0</v>
      </c>
      <c r="R34" s="14">
        <v>2</v>
      </c>
      <c r="S34" s="15">
        <v>1</v>
      </c>
      <c r="T34" s="15">
        <v>1</v>
      </c>
      <c r="U34" s="15">
        <v>0</v>
      </c>
      <c r="V34" s="15">
        <v>0</v>
      </c>
      <c r="W34" s="15">
        <v>2</v>
      </c>
      <c r="X34" s="16">
        <v>1</v>
      </c>
      <c r="Y34" s="16">
        <v>1</v>
      </c>
      <c r="Z34" s="16">
        <v>0</v>
      </c>
      <c r="AA34" s="16">
        <v>0</v>
      </c>
      <c r="AB34" s="16">
        <v>2</v>
      </c>
      <c r="AC34" s="17">
        <v>8</v>
      </c>
      <c r="AD34" s="17">
        <v>22</v>
      </c>
      <c r="AE34" s="17">
        <v>0</v>
      </c>
      <c r="AF34" s="17">
        <v>0</v>
      </c>
      <c r="AG34" s="17">
        <v>30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9" t="s">
        <v>24</v>
      </c>
    </row>
    <row r="35" spans="1:39" x14ac:dyDescent="0.25">
      <c r="A35" s="10">
        <v>2016</v>
      </c>
      <c r="B35" s="11">
        <v>2192</v>
      </c>
      <c r="C35" s="12" t="s">
        <v>69</v>
      </c>
      <c r="D35" s="12" t="s">
        <v>70</v>
      </c>
      <c r="E35" s="22" t="str">
        <f t="shared" si="1"/>
        <v/>
      </c>
      <c r="F35" s="22" t="str">
        <f t="shared" si="2"/>
        <v/>
      </c>
      <c r="G35" s="22">
        <f t="shared" si="3"/>
        <v>10000</v>
      </c>
      <c r="H35" s="22" t="str">
        <f t="shared" si="4"/>
        <v/>
      </c>
      <c r="I35" s="13">
        <v>0</v>
      </c>
      <c r="J35" s="13">
        <v>0</v>
      </c>
      <c r="K35" s="13">
        <v>1</v>
      </c>
      <c r="L35" s="13">
        <v>0</v>
      </c>
      <c r="M35" s="13">
        <v>1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5">
        <v>0</v>
      </c>
      <c r="T35" s="15">
        <v>0</v>
      </c>
      <c r="U35" s="15">
        <v>4.2</v>
      </c>
      <c r="V35" s="15">
        <v>0</v>
      </c>
      <c r="W35" s="15">
        <v>4.2</v>
      </c>
      <c r="X35" s="16">
        <v>0</v>
      </c>
      <c r="Y35" s="16">
        <v>0</v>
      </c>
      <c r="Z35" s="16">
        <v>3.5</v>
      </c>
      <c r="AA35" s="16">
        <v>0</v>
      </c>
      <c r="AB35" s="16">
        <v>3.5</v>
      </c>
      <c r="AC35" s="17">
        <v>0</v>
      </c>
      <c r="AD35" s="17">
        <v>0</v>
      </c>
      <c r="AE35" s="17">
        <v>42</v>
      </c>
      <c r="AF35" s="17">
        <v>0</v>
      </c>
      <c r="AG35" s="17">
        <v>42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9" t="s">
        <v>24</v>
      </c>
    </row>
    <row r="36" spans="1:39" x14ac:dyDescent="0.25">
      <c r="A36" s="10">
        <v>2016</v>
      </c>
      <c r="B36" s="11">
        <v>2599</v>
      </c>
      <c r="C36" s="12" t="s">
        <v>71</v>
      </c>
      <c r="D36" s="12" t="s">
        <v>72</v>
      </c>
      <c r="E36" s="22" t="str">
        <f t="shared" si="1"/>
        <v/>
      </c>
      <c r="F36" s="22" t="str">
        <f t="shared" si="2"/>
        <v/>
      </c>
      <c r="G36" s="22">
        <f t="shared" si="3"/>
        <v>266.66666666666669</v>
      </c>
      <c r="H36" s="22" t="str">
        <f t="shared" si="4"/>
        <v/>
      </c>
      <c r="I36" s="13">
        <v>0</v>
      </c>
      <c r="J36" s="13">
        <v>0</v>
      </c>
      <c r="K36" s="13">
        <v>359</v>
      </c>
      <c r="L36" s="13">
        <v>0</v>
      </c>
      <c r="M36" s="13">
        <v>359</v>
      </c>
      <c r="N36" s="14">
        <v>0</v>
      </c>
      <c r="O36" s="14">
        <v>0</v>
      </c>
      <c r="P36" s="14">
        <v>215</v>
      </c>
      <c r="Q36" s="14">
        <v>0</v>
      </c>
      <c r="R36" s="14">
        <v>215</v>
      </c>
      <c r="S36" s="15">
        <v>0</v>
      </c>
      <c r="T36" s="15">
        <v>0</v>
      </c>
      <c r="U36" s="15">
        <v>15</v>
      </c>
      <c r="V36" s="15">
        <v>0</v>
      </c>
      <c r="W36" s="15">
        <v>15</v>
      </c>
      <c r="X36" s="16">
        <v>0</v>
      </c>
      <c r="Y36" s="16">
        <v>0</v>
      </c>
      <c r="Z36" s="16">
        <v>3</v>
      </c>
      <c r="AA36" s="16">
        <v>0</v>
      </c>
      <c r="AB36" s="16">
        <v>3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8">
        <v>0</v>
      </c>
      <c r="AI36" s="18">
        <v>0</v>
      </c>
      <c r="AJ36" s="18">
        <v>4</v>
      </c>
      <c r="AK36" s="18">
        <v>0</v>
      </c>
      <c r="AL36" s="18">
        <v>4</v>
      </c>
      <c r="AM36" s="19" t="s">
        <v>24</v>
      </c>
    </row>
    <row r="37" spans="1:39" x14ac:dyDescent="0.25">
      <c r="A37" s="10">
        <v>2016</v>
      </c>
      <c r="B37" s="11">
        <v>2641</v>
      </c>
      <c r="C37" s="12" t="s">
        <v>73</v>
      </c>
      <c r="D37" s="12" t="s">
        <v>74</v>
      </c>
      <c r="E37" s="22">
        <f t="shared" si="1"/>
        <v>0</v>
      </c>
      <c r="F37" s="22">
        <f t="shared" si="2"/>
        <v>0</v>
      </c>
      <c r="G37" s="22">
        <f t="shared" si="3"/>
        <v>0</v>
      </c>
      <c r="H37" s="22" t="str">
        <f t="shared" si="4"/>
        <v/>
      </c>
      <c r="I37" s="13">
        <v>6585</v>
      </c>
      <c r="J37" s="13">
        <v>776</v>
      </c>
      <c r="K37" s="13">
        <v>4</v>
      </c>
      <c r="L37" s="13">
        <v>0</v>
      </c>
      <c r="M37" s="13">
        <v>7365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5">
        <v>2.6</v>
      </c>
      <c r="T37" s="15">
        <v>0.4</v>
      </c>
      <c r="U37" s="15">
        <v>1</v>
      </c>
      <c r="V37" s="15">
        <v>0</v>
      </c>
      <c r="W37" s="15">
        <v>4</v>
      </c>
      <c r="X37" s="16">
        <v>1.8</v>
      </c>
      <c r="Y37" s="16">
        <v>0.2</v>
      </c>
      <c r="Z37" s="16">
        <v>0.5</v>
      </c>
      <c r="AA37" s="16">
        <v>0</v>
      </c>
      <c r="AB37" s="16">
        <v>2.5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9" t="s">
        <v>24</v>
      </c>
    </row>
    <row r="38" spans="1:39" x14ac:dyDescent="0.25">
      <c r="A38" s="10">
        <v>2016</v>
      </c>
      <c r="B38" s="11">
        <v>2643</v>
      </c>
      <c r="C38" s="12" t="s">
        <v>75</v>
      </c>
      <c r="D38" s="12" t="s">
        <v>72</v>
      </c>
      <c r="E38" s="22" t="str">
        <f t="shared" si="1"/>
        <v/>
      </c>
      <c r="F38" s="22" t="str">
        <f t="shared" si="2"/>
        <v/>
      </c>
      <c r="G38" s="22">
        <f t="shared" si="3"/>
        <v>224.71910112359549</v>
      </c>
      <c r="H38" s="22" t="str">
        <f t="shared" si="4"/>
        <v/>
      </c>
      <c r="I38" s="13">
        <v>0</v>
      </c>
      <c r="J38" s="13">
        <v>0</v>
      </c>
      <c r="K38" s="13">
        <v>741</v>
      </c>
      <c r="L38" s="13">
        <v>0</v>
      </c>
      <c r="M38" s="13">
        <v>741</v>
      </c>
      <c r="N38" s="14">
        <v>0</v>
      </c>
      <c r="O38" s="14">
        <v>0</v>
      </c>
      <c r="P38" s="14">
        <v>993</v>
      </c>
      <c r="Q38" s="14">
        <v>0</v>
      </c>
      <c r="R38" s="14">
        <v>993</v>
      </c>
      <c r="S38" s="15">
        <v>0</v>
      </c>
      <c r="T38" s="15">
        <v>0</v>
      </c>
      <c r="U38" s="15">
        <v>17.8</v>
      </c>
      <c r="V38" s="15">
        <v>0</v>
      </c>
      <c r="W38" s="15">
        <v>17.8</v>
      </c>
      <c r="X38" s="16">
        <v>0</v>
      </c>
      <c r="Y38" s="16">
        <v>0</v>
      </c>
      <c r="Z38" s="16">
        <v>8.3000000000000007</v>
      </c>
      <c r="AA38" s="16">
        <v>0</v>
      </c>
      <c r="AB38" s="16">
        <v>8.3000000000000007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8">
        <v>0</v>
      </c>
      <c r="AI38" s="18">
        <v>0</v>
      </c>
      <c r="AJ38" s="18">
        <v>4</v>
      </c>
      <c r="AK38" s="18">
        <v>0</v>
      </c>
      <c r="AL38" s="18">
        <v>4</v>
      </c>
      <c r="AM38" s="19" t="s">
        <v>24</v>
      </c>
    </row>
    <row r="39" spans="1:39" x14ac:dyDescent="0.25">
      <c r="A39" s="10">
        <v>2016</v>
      </c>
      <c r="B39" s="11">
        <v>2655</v>
      </c>
      <c r="C39" s="12" t="s">
        <v>76</v>
      </c>
      <c r="D39" s="12" t="s">
        <v>66</v>
      </c>
      <c r="E39" s="22">
        <f t="shared" si="1"/>
        <v>1375</v>
      </c>
      <c r="F39" s="22" t="str">
        <f t="shared" si="2"/>
        <v/>
      </c>
      <c r="G39" s="22" t="str">
        <f t="shared" si="3"/>
        <v/>
      </c>
      <c r="H39" s="22" t="str">
        <f t="shared" si="4"/>
        <v/>
      </c>
      <c r="I39" s="13">
        <v>1438</v>
      </c>
      <c r="J39" s="13">
        <v>0</v>
      </c>
      <c r="K39" s="13">
        <v>0</v>
      </c>
      <c r="L39" s="13">
        <v>0</v>
      </c>
      <c r="M39" s="13">
        <v>1438</v>
      </c>
      <c r="N39" s="14">
        <v>948</v>
      </c>
      <c r="O39" s="14">
        <v>0</v>
      </c>
      <c r="P39" s="14">
        <v>0</v>
      </c>
      <c r="Q39" s="14">
        <v>0</v>
      </c>
      <c r="R39" s="14">
        <v>948</v>
      </c>
      <c r="S39" s="15">
        <v>8</v>
      </c>
      <c r="T39" s="15">
        <v>0</v>
      </c>
      <c r="U39" s="15">
        <v>0</v>
      </c>
      <c r="V39" s="15">
        <v>0</v>
      </c>
      <c r="W39" s="15">
        <v>8</v>
      </c>
      <c r="X39" s="16">
        <v>3</v>
      </c>
      <c r="Y39" s="16">
        <v>0</v>
      </c>
      <c r="Z39" s="16">
        <v>0</v>
      </c>
      <c r="AA39" s="16">
        <v>0</v>
      </c>
      <c r="AB39" s="16">
        <v>3</v>
      </c>
      <c r="AC39" s="17">
        <v>3</v>
      </c>
      <c r="AD39" s="17">
        <v>0</v>
      </c>
      <c r="AE39" s="17">
        <v>0</v>
      </c>
      <c r="AF39" s="17">
        <v>0</v>
      </c>
      <c r="AG39" s="17">
        <v>3</v>
      </c>
      <c r="AH39" s="18">
        <v>8</v>
      </c>
      <c r="AI39" s="18">
        <v>0</v>
      </c>
      <c r="AJ39" s="18">
        <v>0</v>
      </c>
      <c r="AK39" s="18">
        <v>0</v>
      </c>
      <c r="AL39" s="18">
        <v>8</v>
      </c>
      <c r="AM39" s="19">
        <v>1438</v>
      </c>
    </row>
    <row r="40" spans="1:39" x14ac:dyDescent="0.25">
      <c r="A40" s="10">
        <v>2016</v>
      </c>
      <c r="B40" s="11">
        <v>2678</v>
      </c>
      <c r="C40" s="12" t="s">
        <v>77</v>
      </c>
      <c r="D40" s="12" t="s">
        <v>48</v>
      </c>
      <c r="E40" s="22" t="str">
        <f t="shared" si="1"/>
        <v/>
      </c>
      <c r="F40" s="22">
        <f t="shared" si="2"/>
        <v>17000</v>
      </c>
      <c r="G40" s="22" t="str">
        <f t="shared" si="3"/>
        <v/>
      </c>
      <c r="H40" s="22" t="str">
        <f t="shared" si="4"/>
        <v/>
      </c>
      <c r="I40" s="13">
        <v>0</v>
      </c>
      <c r="J40" s="13">
        <v>83</v>
      </c>
      <c r="K40" s="13">
        <v>0</v>
      </c>
      <c r="L40" s="13">
        <v>0</v>
      </c>
      <c r="M40" s="13">
        <v>83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5">
        <v>0</v>
      </c>
      <c r="T40" s="15">
        <v>2</v>
      </c>
      <c r="U40" s="15">
        <v>0</v>
      </c>
      <c r="V40" s="15">
        <v>0</v>
      </c>
      <c r="W40" s="15">
        <v>2</v>
      </c>
      <c r="X40" s="16">
        <v>0</v>
      </c>
      <c r="Y40" s="16">
        <v>1</v>
      </c>
      <c r="Z40" s="16">
        <v>0</v>
      </c>
      <c r="AA40" s="16">
        <v>0</v>
      </c>
      <c r="AB40" s="16">
        <v>1</v>
      </c>
      <c r="AC40" s="17">
        <v>0</v>
      </c>
      <c r="AD40" s="17">
        <v>32</v>
      </c>
      <c r="AE40" s="17">
        <v>0</v>
      </c>
      <c r="AF40" s="17">
        <v>0</v>
      </c>
      <c r="AG40" s="17">
        <v>32</v>
      </c>
      <c r="AH40" s="18">
        <v>0</v>
      </c>
      <c r="AI40" s="18">
        <v>2</v>
      </c>
      <c r="AJ40" s="18">
        <v>0</v>
      </c>
      <c r="AK40" s="18">
        <v>0</v>
      </c>
      <c r="AL40" s="18">
        <v>2</v>
      </c>
      <c r="AM40" s="19" t="s">
        <v>24</v>
      </c>
    </row>
    <row r="41" spans="1:39" x14ac:dyDescent="0.25">
      <c r="A41" s="10">
        <v>2016</v>
      </c>
      <c r="B41" s="11">
        <v>2985</v>
      </c>
      <c r="C41" s="12" t="s">
        <v>78</v>
      </c>
      <c r="D41" s="12" t="s">
        <v>79</v>
      </c>
      <c r="E41" s="22">
        <f t="shared" si="1"/>
        <v>268750</v>
      </c>
      <c r="F41" s="22" t="str">
        <f t="shared" si="2"/>
        <v/>
      </c>
      <c r="G41" s="22">
        <f t="shared" si="3"/>
        <v>48750</v>
      </c>
      <c r="H41" s="22" t="str">
        <f t="shared" si="4"/>
        <v/>
      </c>
      <c r="I41" s="13">
        <v>836</v>
      </c>
      <c r="J41" s="13">
        <v>10</v>
      </c>
      <c r="K41" s="13">
        <v>21</v>
      </c>
      <c r="L41" s="13">
        <v>0</v>
      </c>
      <c r="M41" s="13">
        <v>867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5">
        <v>0.8</v>
      </c>
      <c r="T41" s="15">
        <v>0</v>
      </c>
      <c r="U41" s="15">
        <v>1.6</v>
      </c>
      <c r="V41" s="15">
        <v>0</v>
      </c>
      <c r="W41" s="15">
        <v>2.4</v>
      </c>
      <c r="X41" s="16">
        <v>0.7</v>
      </c>
      <c r="Y41" s="16">
        <v>0</v>
      </c>
      <c r="Z41" s="16">
        <v>1.6</v>
      </c>
      <c r="AA41" s="16">
        <v>0</v>
      </c>
      <c r="AB41" s="16">
        <v>2.2999999999999998</v>
      </c>
      <c r="AC41" s="17">
        <v>44</v>
      </c>
      <c r="AD41" s="17">
        <v>1</v>
      </c>
      <c r="AE41" s="17">
        <v>74</v>
      </c>
      <c r="AF41" s="17">
        <v>0</v>
      </c>
      <c r="AG41" s="17">
        <v>119</v>
      </c>
      <c r="AH41" s="18">
        <v>171</v>
      </c>
      <c r="AI41" s="18">
        <v>2</v>
      </c>
      <c r="AJ41" s="18">
        <v>4</v>
      </c>
      <c r="AK41" s="18">
        <v>0</v>
      </c>
      <c r="AL41" s="18">
        <v>177</v>
      </c>
      <c r="AM41" s="19" t="s">
        <v>24</v>
      </c>
    </row>
    <row r="42" spans="1:39" x14ac:dyDescent="0.25">
      <c r="A42" s="10">
        <v>2016</v>
      </c>
      <c r="B42" s="11">
        <v>3046</v>
      </c>
      <c r="C42" s="12" t="s">
        <v>80</v>
      </c>
      <c r="D42" s="12" t="s">
        <v>81</v>
      </c>
      <c r="E42" s="22">
        <f t="shared" si="1"/>
        <v>957961.1650485436</v>
      </c>
      <c r="F42" s="22">
        <f t="shared" si="2"/>
        <v>60625</v>
      </c>
      <c r="G42" s="22">
        <f t="shared" si="3"/>
        <v>0</v>
      </c>
      <c r="H42" s="22" t="str">
        <f t="shared" si="4"/>
        <v/>
      </c>
      <c r="I42" s="13">
        <v>7252</v>
      </c>
      <c r="J42" s="13">
        <v>50</v>
      </c>
      <c r="K42" s="13">
        <v>52</v>
      </c>
      <c r="L42" s="13">
        <v>0</v>
      </c>
      <c r="M42" s="13">
        <v>7354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5">
        <v>10.3</v>
      </c>
      <c r="T42" s="15">
        <v>19.2</v>
      </c>
      <c r="U42" s="15">
        <v>140.6</v>
      </c>
      <c r="V42" s="15">
        <v>0</v>
      </c>
      <c r="W42" s="15">
        <v>170.1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7">
        <v>3096</v>
      </c>
      <c r="AD42" s="17">
        <v>767</v>
      </c>
      <c r="AE42" s="17">
        <v>0</v>
      </c>
      <c r="AF42" s="17">
        <v>0</v>
      </c>
      <c r="AG42" s="17">
        <v>3863</v>
      </c>
      <c r="AH42" s="18">
        <v>6771</v>
      </c>
      <c r="AI42" s="18">
        <v>397</v>
      </c>
      <c r="AJ42" s="18">
        <v>0</v>
      </c>
      <c r="AK42" s="18">
        <v>0</v>
      </c>
      <c r="AL42" s="18">
        <v>7168</v>
      </c>
      <c r="AM42" s="19" t="s">
        <v>24</v>
      </c>
    </row>
    <row r="43" spans="1:39" x14ac:dyDescent="0.25">
      <c r="A43" s="10">
        <v>2016</v>
      </c>
      <c r="B43" s="11">
        <v>3046</v>
      </c>
      <c r="C43" s="12" t="s">
        <v>80</v>
      </c>
      <c r="D43" s="12" t="s">
        <v>64</v>
      </c>
      <c r="E43" s="22" t="str">
        <f t="shared" si="1"/>
        <v/>
      </c>
      <c r="F43" s="22">
        <f t="shared" si="2"/>
        <v>1015000</v>
      </c>
      <c r="G43" s="22">
        <f t="shared" si="3"/>
        <v>0</v>
      </c>
      <c r="H43" s="22" t="str">
        <f t="shared" si="4"/>
        <v/>
      </c>
      <c r="I43" s="13">
        <v>0</v>
      </c>
      <c r="J43" s="13">
        <v>1</v>
      </c>
      <c r="K43" s="13">
        <v>20</v>
      </c>
      <c r="L43" s="13">
        <v>0</v>
      </c>
      <c r="M43" s="13">
        <v>21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5">
        <v>0</v>
      </c>
      <c r="T43" s="15">
        <v>0.2</v>
      </c>
      <c r="U43" s="15">
        <v>90.7</v>
      </c>
      <c r="V43" s="15">
        <v>0</v>
      </c>
      <c r="W43" s="15">
        <v>90.9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7">
        <v>540</v>
      </c>
      <c r="AD43" s="17">
        <v>134</v>
      </c>
      <c r="AE43" s="17">
        <v>0</v>
      </c>
      <c r="AF43" s="17">
        <v>0</v>
      </c>
      <c r="AG43" s="17">
        <v>674</v>
      </c>
      <c r="AH43" s="18">
        <v>1181</v>
      </c>
      <c r="AI43" s="18">
        <v>69</v>
      </c>
      <c r="AJ43" s="18">
        <v>0</v>
      </c>
      <c r="AK43" s="18">
        <v>0</v>
      </c>
      <c r="AL43" s="18">
        <v>1250</v>
      </c>
      <c r="AM43" s="19" t="s">
        <v>24</v>
      </c>
    </row>
    <row r="44" spans="1:39" x14ac:dyDescent="0.25">
      <c r="A44" s="10">
        <v>2016</v>
      </c>
      <c r="B44" s="11">
        <v>3081</v>
      </c>
      <c r="C44" s="12" t="s">
        <v>82</v>
      </c>
      <c r="D44" s="12" t="s">
        <v>40</v>
      </c>
      <c r="E44" s="22">
        <f t="shared" si="1"/>
        <v>78571.42857142858</v>
      </c>
      <c r="F44" s="22" t="str">
        <f t="shared" si="2"/>
        <v/>
      </c>
      <c r="G44" s="22">
        <f t="shared" si="3"/>
        <v>63000</v>
      </c>
      <c r="H44" s="22" t="str">
        <f t="shared" si="4"/>
        <v/>
      </c>
      <c r="I44" s="13">
        <v>4466</v>
      </c>
      <c r="J44" s="13">
        <v>0</v>
      </c>
      <c r="K44" s="13">
        <v>29</v>
      </c>
      <c r="L44" s="13">
        <v>0</v>
      </c>
      <c r="M44" s="13">
        <v>4495</v>
      </c>
      <c r="N44" s="14">
        <v>18</v>
      </c>
      <c r="O44" s="14">
        <v>0</v>
      </c>
      <c r="P44" s="14">
        <v>324</v>
      </c>
      <c r="Q44" s="14">
        <v>0</v>
      </c>
      <c r="R44" s="14">
        <v>342</v>
      </c>
      <c r="S44" s="15">
        <v>0.7</v>
      </c>
      <c r="T44" s="15">
        <v>0</v>
      </c>
      <c r="U44" s="15">
        <v>12</v>
      </c>
      <c r="V44" s="15">
        <v>0</v>
      </c>
      <c r="W44" s="15">
        <v>12.7</v>
      </c>
      <c r="X44" s="16">
        <v>0.7</v>
      </c>
      <c r="Y44" s="16">
        <v>0</v>
      </c>
      <c r="Z44" s="16">
        <v>12</v>
      </c>
      <c r="AA44" s="16">
        <v>0</v>
      </c>
      <c r="AB44" s="16">
        <v>12.7</v>
      </c>
      <c r="AC44" s="17">
        <v>55</v>
      </c>
      <c r="AD44" s="17">
        <v>0</v>
      </c>
      <c r="AE44" s="17">
        <v>756</v>
      </c>
      <c r="AF44" s="17">
        <v>0</v>
      </c>
      <c r="AG44" s="17">
        <v>811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9" t="s">
        <v>24</v>
      </c>
    </row>
    <row r="45" spans="1:39" x14ac:dyDescent="0.25">
      <c r="A45" s="10">
        <v>2016</v>
      </c>
      <c r="B45" s="11">
        <v>3203</v>
      </c>
      <c r="C45" s="12" t="s">
        <v>83</v>
      </c>
      <c r="D45" s="12" t="s">
        <v>38</v>
      </c>
      <c r="E45" s="22" t="str">
        <f t="shared" si="1"/>
        <v/>
      </c>
      <c r="F45" s="22" t="str">
        <f t="shared" si="2"/>
        <v/>
      </c>
      <c r="G45" s="22" t="str">
        <f t="shared" si="3"/>
        <v/>
      </c>
      <c r="H45" s="22" t="str">
        <f t="shared" si="4"/>
        <v/>
      </c>
      <c r="I45" s="13">
        <v>485</v>
      </c>
      <c r="J45" s="13">
        <v>1</v>
      </c>
      <c r="K45" s="13">
        <v>0</v>
      </c>
      <c r="L45" s="13">
        <v>0</v>
      </c>
      <c r="M45" s="13">
        <v>486</v>
      </c>
      <c r="N45" s="14">
        <v>9</v>
      </c>
      <c r="O45" s="14">
        <v>7</v>
      </c>
      <c r="P45" s="14">
        <v>0</v>
      </c>
      <c r="Q45" s="14">
        <v>0</v>
      </c>
      <c r="R45" s="14">
        <v>16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7">
        <v>0</v>
      </c>
      <c r="AD45" s="17">
        <v>1</v>
      </c>
      <c r="AE45" s="17">
        <v>0</v>
      </c>
      <c r="AF45" s="17">
        <v>0</v>
      </c>
      <c r="AG45" s="17">
        <v>1</v>
      </c>
      <c r="AH45" s="18">
        <v>6</v>
      </c>
      <c r="AI45" s="18">
        <v>1</v>
      </c>
      <c r="AJ45" s="18">
        <v>0</v>
      </c>
      <c r="AK45" s="18">
        <v>0</v>
      </c>
      <c r="AL45" s="18">
        <v>7</v>
      </c>
      <c r="AM45" s="19" t="s">
        <v>24</v>
      </c>
    </row>
    <row r="46" spans="1:39" x14ac:dyDescent="0.25">
      <c r="A46" s="10">
        <v>2016</v>
      </c>
      <c r="B46" s="11">
        <v>3205</v>
      </c>
      <c r="C46" s="12" t="s">
        <v>84</v>
      </c>
      <c r="D46" s="12" t="s">
        <v>72</v>
      </c>
      <c r="E46" s="22" t="str">
        <f t="shared" si="1"/>
        <v/>
      </c>
      <c r="F46" s="22" t="str">
        <f t="shared" si="2"/>
        <v/>
      </c>
      <c r="G46" s="22" t="str">
        <f t="shared" si="3"/>
        <v/>
      </c>
      <c r="H46" s="22" t="str">
        <f t="shared" si="4"/>
        <v/>
      </c>
      <c r="I46" s="13">
        <v>148</v>
      </c>
      <c r="J46" s="13">
        <v>86</v>
      </c>
      <c r="K46" s="13">
        <v>0</v>
      </c>
      <c r="L46" s="13">
        <v>0</v>
      </c>
      <c r="M46" s="13">
        <v>234</v>
      </c>
      <c r="N46" s="14">
        <v>2855</v>
      </c>
      <c r="O46" s="14">
        <v>3271</v>
      </c>
      <c r="P46" s="14">
        <v>0</v>
      </c>
      <c r="Q46" s="14">
        <v>0</v>
      </c>
      <c r="R46" s="14">
        <v>6126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7">
        <v>15</v>
      </c>
      <c r="AD46" s="17">
        <v>4</v>
      </c>
      <c r="AE46" s="17">
        <v>0</v>
      </c>
      <c r="AF46" s="17">
        <v>0</v>
      </c>
      <c r="AG46" s="17">
        <v>19</v>
      </c>
      <c r="AH46" s="18">
        <v>7</v>
      </c>
      <c r="AI46" s="18">
        <v>7</v>
      </c>
      <c r="AJ46" s="18">
        <v>0</v>
      </c>
      <c r="AK46" s="18">
        <v>0</v>
      </c>
      <c r="AL46" s="18">
        <v>14</v>
      </c>
      <c r="AM46" s="19" t="s">
        <v>24</v>
      </c>
    </row>
    <row r="47" spans="1:39" x14ac:dyDescent="0.25">
      <c r="A47" s="10">
        <v>2016</v>
      </c>
      <c r="B47" s="11">
        <v>3222</v>
      </c>
      <c r="C47" s="12" t="s">
        <v>85</v>
      </c>
      <c r="D47" s="12" t="s">
        <v>31</v>
      </c>
      <c r="E47" s="22">
        <f t="shared" si="1"/>
        <v>7272.727272727273</v>
      </c>
      <c r="F47" s="22" t="str">
        <f t="shared" si="2"/>
        <v/>
      </c>
      <c r="G47" s="22" t="str">
        <f t="shared" si="3"/>
        <v/>
      </c>
      <c r="H47" s="22" t="str">
        <f t="shared" si="4"/>
        <v/>
      </c>
      <c r="I47" s="13">
        <v>534</v>
      </c>
      <c r="J47" s="13">
        <v>0</v>
      </c>
      <c r="K47" s="13">
        <v>0</v>
      </c>
      <c r="L47" s="13">
        <v>0</v>
      </c>
      <c r="M47" s="13">
        <v>534</v>
      </c>
      <c r="N47" s="14">
        <v>6</v>
      </c>
      <c r="O47" s="14">
        <v>0</v>
      </c>
      <c r="P47" s="14">
        <v>0</v>
      </c>
      <c r="Q47" s="14">
        <v>0</v>
      </c>
      <c r="R47" s="14">
        <v>6</v>
      </c>
      <c r="S47" s="15">
        <v>5.5</v>
      </c>
      <c r="T47" s="15">
        <v>0</v>
      </c>
      <c r="U47" s="15">
        <v>0</v>
      </c>
      <c r="V47" s="15">
        <v>0</v>
      </c>
      <c r="W47" s="15">
        <v>5.5</v>
      </c>
      <c r="X47" s="16">
        <v>4.9000000000000004</v>
      </c>
      <c r="Y47" s="16">
        <v>0</v>
      </c>
      <c r="Z47" s="16">
        <v>0</v>
      </c>
      <c r="AA47" s="16">
        <v>0</v>
      </c>
      <c r="AB47" s="16">
        <v>4.9000000000000004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8">
        <v>40</v>
      </c>
      <c r="AI47" s="18">
        <v>0</v>
      </c>
      <c r="AJ47" s="18">
        <v>0</v>
      </c>
      <c r="AK47" s="18">
        <v>0</v>
      </c>
      <c r="AL47" s="18">
        <v>40</v>
      </c>
      <c r="AM47" s="19" t="s">
        <v>24</v>
      </c>
    </row>
    <row r="48" spans="1:39" x14ac:dyDescent="0.25">
      <c r="A48" s="10">
        <v>2016</v>
      </c>
      <c r="B48" s="11">
        <v>3248</v>
      </c>
      <c r="C48" s="12" t="s">
        <v>86</v>
      </c>
      <c r="D48" s="12" t="s">
        <v>40</v>
      </c>
      <c r="E48" s="22">
        <f t="shared" si="1"/>
        <v>26200</v>
      </c>
      <c r="F48" s="22" t="str">
        <f t="shared" si="2"/>
        <v/>
      </c>
      <c r="G48" s="22" t="str">
        <f t="shared" si="3"/>
        <v/>
      </c>
      <c r="H48" s="22" t="str">
        <f t="shared" si="4"/>
        <v/>
      </c>
      <c r="I48" s="13">
        <v>4272</v>
      </c>
      <c r="J48" s="13">
        <v>0</v>
      </c>
      <c r="K48" s="13">
        <v>0</v>
      </c>
      <c r="L48" s="13">
        <v>0</v>
      </c>
      <c r="M48" s="13">
        <v>4272</v>
      </c>
      <c r="N48" s="14">
        <v>210</v>
      </c>
      <c r="O48" s="14">
        <v>0</v>
      </c>
      <c r="P48" s="14">
        <v>0</v>
      </c>
      <c r="Q48" s="14">
        <v>0</v>
      </c>
      <c r="R48" s="14">
        <v>210</v>
      </c>
      <c r="S48" s="15">
        <v>5</v>
      </c>
      <c r="T48" s="15">
        <v>0</v>
      </c>
      <c r="U48" s="15">
        <v>0</v>
      </c>
      <c r="V48" s="15">
        <v>0</v>
      </c>
      <c r="W48" s="15">
        <v>5</v>
      </c>
      <c r="X48" s="16">
        <v>3</v>
      </c>
      <c r="Y48" s="16">
        <v>0</v>
      </c>
      <c r="Z48" s="16">
        <v>0</v>
      </c>
      <c r="AA48" s="16">
        <v>0</v>
      </c>
      <c r="AB48" s="16">
        <v>3</v>
      </c>
      <c r="AC48" s="17">
        <v>89</v>
      </c>
      <c r="AD48" s="17">
        <v>0</v>
      </c>
      <c r="AE48" s="17">
        <v>0</v>
      </c>
      <c r="AF48" s="17">
        <v>0</v>
      </c>
      <c r="AG48" s="17">
        <v>89</v>
      </c>
      <c r="AH48" s="18">
        <v>42</v>
      </c>
      <c r="AI48" s="18">
        <v>0</v>
      </c>
      <c r="AJ48" s="18">
        <v>0</v>
      </c>
      <c r="AK48" s="18">
        <v>0</v>
      </c>
      <c r="AL48" s="18">
        <v>42</v>
      </c>
      <c r="AM48" s="19">
        <v>10</v>
      </c>
    </row>
    <row r="49" spans="1:39" x14ac:dyDescent="0.25">
      <c r="A49" s="10">
        <v>2016</v>
      </c>
      <c r="B49" s="11">
        <v>3249</v>
      </c>
      <c r="C49" s="12" t="s">
        <v>87</v>
      </c>
      <c r="D49" s="12" t="s">
        <v>88</v>
      </c>
      <c r="E49" s="22">
        <f t="shared" si="1"/>
        <v>0</v>
      </c>
      <c r="F49" s="22">
        <f t="shared" si="2"/>
        <v>0</v>
      </c>
      <c r="G49" s="22">
        <f t="shared" si="3"/>
        <v>0</v>
      </c>
      <c r="H49" s="22" t="str">
        <f t="shared" si="4"/>
        <v/>
      </c>
      <c r="I49" s="13">
        <v>1395</v>
      </c>
      <c r="J49" s="13">
        <v>160</v>
      </c>
      <c r="K49" s="13">
        <v>18</v>
      </c>
      <c r="L49" s="13">
        <v>0</v>
      </c>
      <c r="M49" s="13">
        <v>1573</v>
      </c>
      <c r="N49" s="14">
        <v>9</v>
      </c>
      <c r="O49" s="14">
        <v>1</v>
      </c>
      <c r="P49" s="14">
        <v>130</v>
      </c>
      <c r="Q49" s="14">
        <v>0</v>
      </c>
      <c r="R49" s="14">
        <v>140</v>
      </c>
      <c r="S49" s="15">
        <v>1.9</v>
      </c>
      <c r="T49" s="15">
        <v>0.2</v>
      </c>
      <c r="U49" s="15">
        <v>7.7</v>
      </c>
      <c r="V49" s="15">
        <v>0</v>
      </c>
      <c r="W49" s="15">
        <v>9.8000000000000007</v>
      </c>
      <c r="X49" s="16">
        <v>1.2</v>
      </c>
      <c r="Y49" s="16">
        <v>0.1</v>
      </c>
      <c r="Z49" s="16">
        <v>7.7</v>
      </c>
      <c r="AA49" s="16">
        <v>0</v>
      </c>
      <c r="AB49" s="16">
        <v>9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9" t="s">
        <v>24</v>
      </c>
    </row>
    <row r="50" spans="1:39" x14ac:dyDescent="0.25">
      <c r="A50" s="10">
        <v>2016</v>
      </c>
      <c r="B50" s="11">
        <v>3258</v>
      </c>
      <c r="C50" s="12" t="s">
        <v>89</v>
      </c>
      <c r="D50" s="12" t="s">
        <v>38</v>
      </c>
      <c r="E50" s="22" t="str">
        <f t="shared" si="1"/>
        <v/>
      </c>
      <c r="F50" s="22">
        <f t="shared" si="2"/>
        <v>0</v>
      </c>
      <c r="G50" s="22">
        <f t="shared" si="3"/>
        <v>0</v>
      </c>
      <c r="H50" s="22" t="str">
        <f t="shared" si="4"/>
        <v/>
      </c>
      <c r="I50" s="13">
        <v>0</v>
      </c>
      <c r="J50" s="13">
        <v>7</v>
      </c>
      <c r="K50" s="13">
        <v>10</v>
      </c>
      <c r="L50" s="13">
        <v>0</v>
      </c>
      <c r="M50" s="13">
        <v>17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5">
        <v>0</v>
      </c>
      <c r="T50" s="15">
        <v>5</v>
      </c>
      <c r="U50" s="15">
        <v>4.5999999999999996</v>
      </c>
      <c r="V50" s="15">
        <v>0</v>
      </c>
      <c r="W50" s="15">
        <v>9.6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24</v>
      </c>
    </row>
    <row r="51" spans="1:39" x14ac:dyDescent="0.25">
      <c r="A51" s="10">
        <v>2016</v>
      </c>
      <c r="B51" s="11">
        <v>3278</v>
      </c>
      <c r="C51" s="12" t="s">
        <v>90</v>
      </c>
      <c r="D51" s="12" t="s">
        <v>56</v>
      </c>
      <c r="E51" s="22" t="str">
        <f t="shared" si="1"/>
        <v/>
      </c>
      <c r="F51" s="22">
        <f t="shared" si="2"/>
        <v>0</v>
      </c>
      <c r="G51" s="22" t="str">
        <f t="shared" si="3"/>
        <v/>
      </c>
      <c r="H51" s="22" t="str">
        <f t="shared" si="4"/>
        <v/>
      </c>
      <c r="I51" s="13">
        <v>0</v>
      </c>
      <c r="J51" s="13">
        <v>42</v>
      </c>
      <c r="K51" s="13">
        <v>0</v>
      </c>
      <c r="L51" s="13">
        <v>0</v>
      </c>
      <c r="M51" s="13">
        <v>42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5">
        <v>0</v>
      </c>
      <c r="T51" s="15">
        <v>17.600000000000001</v>
      </c>
      <c r="U51" s="15">
        <v>0</v>
      </c>
      <c r="V51" s="15">
        <v>0</v>
      </c>
      <c r="W51" s="15">
        <v>17.600000000000001</v>
      </c>
      <c r="X51" s="16">
        <v>0</v>
      </c>
      <c r="Y51" s="16">
        <v>10.7</v>
      </c>
      <c r="Z51" s="16">
        <v>0</v>
      </c>
      <c r="AA51" s="16">
        <v>0</v>
      </c>
      <c r="AB51" s="16">
        <v>10.7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9" t="s">
        <v>24</v>
      </c>
    </row>
    <row r="52" spans="1:39" x14ac:dyDescent="0.25">
      <c r="A52" s="10">
        <v>2016</v>
      </c>
      <c r="B52" s="11">
        <v>3279</v>
      </c>
      <c r="C52" s="12" t="s">
        <v>91</v>
      </c>
      <c r="D52" s="12" t="s">
        <v>79</v>
      </c>
      <c r="E52" s="22">
        <f t="shared" si="1"/>
        <v>18955.223880597016</v>
      </c>
      <c r="F52" s="22">
        <f t="shared" si="2"/>
        <v>30526.315789473683</v>
      </c>
      <c r="G52" s="22" t="str">
        <f t="shared" si="3"/>
        <v/>
      </c>
      <c r="H52" s="22" t="str">
        <f t="shared" si="4"/>
        <v/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>
        <v>1400</v>
      </c>
      <c r="O52" s="14">
        <v>2329</v>
      </c>
      <c r="P52" s="14">
        <v>0</v>
      </c>
      <c r="Q52" s="14">
        <v>0</v>
      </c>
      <c r="R52" s="14">
        <v>3729</v>
      </c>
      <c r="S52" s="15">
        <v>6.7</v>
      </c>
      <c r="T52" s="15">
        <v>5.7</v>
      </c>
      <c r="U52" s="15">
        <v>0</v>
      </c>
      <c r="V52" s="15">
        <v>0</v>
      </c>
      <c r="W52" s="15">
        <v>12.4</v>
      </c>
      <c r="X52" s="16">
        <v>6.7</v>
      </c>
      <c r="Y52" s="16">
        <v>5.7</v>
      </c>
      <c r="Z52" s="16">
        <v>0</v>
      </c>
      <c r="AA52" s="16">
        <v>0</v>
      </c>
      <c r="AB52" s="16">
        <v>12.4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8">
        <v>127</v>
      </c>
      <c r="AI52" s="18">
        <v>174</v>
      </c>
      <c r="AJ52" s="18">
        <v>14</v>
      </c>
      <c r="AK52" s="18">
        <v>0</v>
      </c>
      <c r="AL52" s="18">
        <v>315</v>
      </c>
      <c r="AM52" s="19" t="s">
        <v>24</v>
      </c>
    </row>
    <row r="53" spans="1:39" x14ac:dyDescent="0.25">
      <c r="A53" s="10">
        <v>2016</v>
      </c>
      <c r="B53" s="11">
        <v>3293</v>
      </c>
      <c r="C53" s="12" t="s">
        <v>92</v>
      </c>
      <c r="D53" s="12" t="s">
        <v>29</v>
      </c>
      <c r="E53" s="22">
        <f t="shared" si="1"/>
        <v>58500</v>
      </c>
      <c r="F53" s="22">
        <f t="shared" si="2"/>
        <v>41800</v>
      </c>
      <c r="G53" s="22" t="str">
        <f t="shared" si="3"/>
        <v/>
      </c>
      <c r="H53" s="22" t="str">
        <f t="shared" si="4"/>
        <v/>
      </c>
      <c r="I53" s="13">
        <v>1699</v>
      </c>
      <c r="J53" s="13">
        <v>132</v>
      </c>
      <c r="K53" s="13">
        <v>0</v>
      </c>
      <c r="L53" s="13">
        <v>0</v>
      </c>
      <c r="M53" s="13">
        <v>1831</v>
      </c>
      <c r="N53" s="14">
        <v>400</v>
      </c>
      <c r="O53" s="14">
        <v>300</v>
      </c>
      <c r="P53" s="14">
        <v>0</v>
      </c>
      <c r="Q53" s="14">
        <v>0</v>
      </c>
      <c r="R53" s="14">
        <v>700</v>
      </c>
      <c r="S53" s="15">
        <v>4</v>
      </c>
      <c r="T53" s="15">
        <v>5</v>
      </c>
      <c r="U53" s="15">
        <v>0</v>
      </c>
      <c r="V53" s="15">
        <v>0</v>
      </c>
      <c r="W53" s="15">
        <v>9</v>
      </c>
      <c r="X53" s="16">
        <v>2</v>
      </c>
      <c r="Y53" s="16">
        <v>2</v>
      </c>
      <c r="Z53" s="16">
        <v>0</v>
      </c>
      <c r="AA53" s="16">
        <v>0</v>
      </c>
      <c r="AB53" s="16">
        <v>4</v>
      </c>
      <c r="AC53" s="17">
        <v>234</v>
      </c>
      <c r="AD53" s="17">
        <v>209</v>
      </c>
      <c r="AE53" s="17">
        <v>0</v>
      </c>
      <c r="AF53" s="17">
        <v>0</v>
      </c>
      <c r="AG53" s="17">
        <v>443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9" t="s">
        <v>24</v>
      </c>
    </row>
    <row r="54" spans="1:39" x14ac:dyDescent="0.25">
      <c r="A54" s="10">
        <v>2016</v>
      </c>
      <c r="B54" s="11">
        <v>3329</v>
      </c>
      <c r="C54" s="12" t="s">
        <v>93</v>
      </c>
      <c r="D54" s="12" t="s">
        <v>94</v>
      </c>
      <c r="E54" s="22" t="str">
        <f t="shared" si="1"/>
        <v/>
      </c>
      <c r="F54" s="22" t="str">
        <f t="shared" si="2"/>
        <v/>
      </c>
      <c r="G54" s="22">
        <f t="shared" si="3"/>
        <v>4690000</v>
      </c>
      <c r="H54" s="22" t="str">
        <f t="shared" si="4"/>
        <v/>
      </c>
      <c r="I54" s="13">
        <v>0</v>
      </c>
      <c r="J54" s="13">
        <v>0</v>
      </c>
      <c r="K54" s="13">
        <v>5</v>
      </c>
      <c r="L54" s="13">
        <v>0</v>
      </c>
      <c r="M54" s="13">
        <v>5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5">
        <v>0</v>
      </c>
      <c r="T54" s="15">
        <v>0</v>
      </c>
      <c r="U54" s="15">
        <v>0.3</v>
      </c>
      <c r="V54" s="15">
        <v>0</v>
      </c>
      <c r="W54" s="15">
        <v>0.3</v>
      </c>
      <c r="X54" s="16">
        <v>0</v>
      </c>
      <c r="Y54" s="16">
        <v>0</v>
      </c>
      <c r="Z54" s="16">
        <v>0.3</v>
      </c>
      <c r="AA54" s="16">
        <v>0</v>
      </c>
      <c r="AB54" s="16">
        <v>0.3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8">
        <v>0</v>
      </c>
      <c r="AI54" s="18">
        <v>0</v>
      </c>
      <c r="AJ54" s="18">
        <v>1407</v>
      </c>
      <c r="AK54" s="18">
        <v>0</v>
      </c>
      <c r="AL54" s="18">
        <v>1407</v>
      </c>
      <c r="AM54" s="19" t="s">
        <v>24</v>
      </c>
    </row>
    <row r="55" spans="1:39" x14ac:dyDescent="0.25">
      <c r="A55" s="10">
        <v>2016</v>
      </c>
      <c r="B55" s="11">
        <v>3478</v>
      </c>
      <c r="C55" s="12" t="s">
        <v>95</v>
      </c>
      <c r="D55" s="12" t="s">
        <v>96</v>
      </c>
      <c r="E55" s="22" t="str">
        <f t="shared" si="1"/>
        <v/>
      </c>
      <c r="F55" s="22">
        <f t="shared" si="2"/>
        <v>1000000</v>
      </c>
      <c r="G55" s="22" t="str">
        <f t="shared" si="3"/>
        <v/>
      </c>
      <c r="H55" s="22" t="str">
        <f t="shared" si="4"/>
        <v/>
      </c>
      <c r="I55" s="13">
        <v>0</v>
      </c>
      <c r="J55" s="13">
        <v>300</v>
      </c>
      <c r="K55" s="13">
        <v>0</v>
      </c>
      <c r="L55" s="13">
        <v>0</v>
      </c>
      <c r="M55" s="13">
        <v>300</v>
      </c>
      <c r="N55" s="14">
        <v>0</v>
      </c>
      <c r="O55" s="14">
        <v>1</v>
      </c>
      <c r="P55" s="14">
        <v>0</v>
      </c>
      <c r="Q55" s="14">
        <v>0</v>
      </c>
      <c r="R55" s="14">
        <v>1</v>
      </c>
      <c r="S55" s="15">
        <v>0</v>
      </c>
      <c r="T55" s="15">
        <v>0.5</v>
      </c>
      <c r="U55" s="15">
        <v>0</v>
      </c>
      <c r="V55" s="15">
        <v>0</v>
      </c>
      <c r="W55" s="15">
        <v>0.5</v>
      </c>
      <c r="X55" s="16">
        <v>0</v>
      </c>
      <c r="Y55" s="16">
        <v>0.1</v>
      </c>
      <c r="Z55" s="16">
        <v>0</v>
      </c>
      <c r="AA55" s="16">
        <v>0</v>
      </c>
      <c r="AB55" s="16">
        <v>0.1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8">
        <v>0</v>
      </c>
      <c r="AI55" s="18">
        <v>500</v>
      </c>
      <c r="AJ55" s="18">
        <v>0</v>
      </c>
      <c r="AK55" s="18">
        <v>0</v>
      </c>
      <c r="AL55" s="18">
        <v>500</v>
      </c>
      <c r="AM55" s="19" t="s">
        <v>24</v>
      </c>
    </row>
    <row r="56" spans="1:39" x14ac:dyDescent="0.25">
      <c r="A56" s="10">
        <v>2016</v>
      </c>
      <c r="B56" s="11">
        <v>3498</v>
      </c>
      <c r="C56" s="12" t="s">
        <v>97</v>
      </c>
      <c r="D56" s="12" t="s">
        <v>29</v>
      </c>
      <c r="E56" s="22">
        <f t="shared" si="1"/>
        <v>61250</v>
      </c>
      <c r="F56" s="22" t="str">
        <f t="shared" si="2"/>
        <v/>
      </c>
      <c r="G56" s="22" t="str">
        <f t="shared" si="3"/>
        <v/>
      </c>
      <c r="H56" s="22" t="str">
        <f t="shared" si="4"/>
        <v/>
      </c>
      <c r="I56" s="13">
        <v>3846</v>
      </c>
      <c r="J56" s="13">
        <v>51</v>
      </c>
      <c r="K56" s="13">
        <v>0</v>
      </c>
      <c r="L56" s="13">
        <v>0</v>
      </c>
      <c r="M56" s="13">
        <v>3897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5">
        <v>8</v>
      </c>
      <c r="T56" s="15">
        <v>0</v>
      </c>
      <c r="U56" s="15">
        <v>0</v>
      </c>
      <c r="V56" s="15">
        <v>0</v>
      </c>
      <c r="W56" s="15">
        <v>8</v>
      </c>
      <c r="X56" s="16">
        <v>4</v>
      </c>
      <c r="Y56" s="16">
        <v>0</v>
      </c>
      <c r="Z56" s="16">
        <v>0</v>
      </c>
      <c r="AA56" s="16">
        <v>0</v>
      </c>
      <c r="AB56" s="16">
        <v>4</v>
      </c>
      <c r="AC56" s="17">
        <v>437</v>
      </c>
      <c r="AD56" s="17">
        <v>1</v>
      </c>
      <c r="AE56" s="17">
        <v>0</v>
      </c>
      <c r="AF56" s="17">
        <v>0</v>
      </c>
      <c r="AG56" s="17">
        <v>438</v>
      </c>
      <c r="AH56" s="18">
        <v>53</v>
      </c>
      <c r="AI56" s="18">
        <v>0</v>
      </c>
      <c r="AJ56" s="18">
        <v>0</v>
      </c>
      <c r="AK56" s="18">
        <v>0</v>
      </c>
      <c r="AL56" s="18">
        <v>53</v>
      </c>
      <c r="AM56" s="19">
        <v>8</v>
      </c>
    </row>
    <row r="57" spans="1:39" x14ac:dyDescent="0.25">
      <c r="A57" s="10">
        <v>2016</v>
      </c>
      <c r="B57" s="11">
        <v>3502</v>
      </c>
      <c r="C57" s="12" t="s">
        <v>98</v>
      </c>
      <c r="D57" s="12" t="s">
        <v>99</v>
      </c>
      <c r="E57" s="22">
        <f t="shared" si="1"/>
        <v>1375</v>
      </c>
      <c r="F57" s="22">
        <f t="shared" si="2"/>
        <v>100</v>
      </c>
      <c r="G57" s="22" t="str">
        <f t="shared" si="3"/>
        <v/>
      </c>
      <c r="H57" s="22" t="str">
        <f t="shared" si="4"/>
        <v/>
      </c>
      <c r="I57" s="13">
        <v>42629</v>
      </c>
      <c r="J57" s="13">
        <v>6044</v>
      </c>
      <c r="K57" s="13">
        <v>0</v>
      </c>
      <c r="L57" s="13">
        <v>0</v>
      </c>
      <c r="M57" s="13">
        <v>48673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5">
        <v>32</v>
      </c>
      <c r="T57" s="15">
        <v>10</v>
      </c>
      <c r="U57" s="15">
        <v>0</v>
      </c>
      <c r="V57" s="15">
        <v>0</v>
      </c>
      <c r="W57" s="15">
        <v>42</v>
      </c>
      <c r="X57" s="16">
        <v>32</v>
      </c>
      <c r="Y57" s="16">
        <v>10</v>
      </c>
      <c r="Z57" s="16">
        <v>0</v>
      </c>
      <c r="AA57" s="16">
        <v>0</v>
      </c>
      <c r="AB57" s="16">
        <v>42</v>
      </c>
      <c r="AC57" s="17">
        <v>39</v>
      </c>
      <c r="AD57" s="17">
        <v>0</v>
      </c>
      <c r="AE57" s="17">
        <v>0</v>
      </c>
      <c r="AF57" s="17">
        <v>0</v>
      </c>
      <c r="AG57" s="17">
        <v>39</v>
      </c>
      <c r="AH57" s="18">
        <v>5</v>
      </c>
      <c r="AI57" s="18">
        <v>1</v>
      </c>
      <c r="AJ57" s="18">
        <v>0</v>
      </c>
      <c r="AK57" s="18">
        <v>0</v>
      </c>
      <c r="AL57" s="18">
        <v>6</v>
      </c>
      <c r="AM57" s="19">
        <v>553</v>
      </c>
    </row>
    <row r="58" spans="1:39" x14ac:dyDescent="0.25">
      <c r="A58" s="10">
        <v>2016</v>
      </c>
      <c r="B58" s="11">
        <v>3503</v>
      </c>
      <c r="C58" s="12" t="s">
        <v>100</v>
      </c>
      <c r="D58" s="12" t="s">
        <v>23</v>
      </c>
      <c r="E58" s="22" t="str">
        <f t="shared" si="1"/>
        <v/>
      </c>
      <c r="F58" s="22">
        <f t="shared" si="2"/>
        <v>162.16216216216216</v>
      </c>
      <c r="G58" s="22">
        <f t="shared" si="3"/>
        <v>0</v>
      </c>
      <c r="H58" s="22" t="str">
        <f t="shared" si="4"/>
        <v/>
      </c>
      <c r="I58" s="13">
        <v>0</v>
      </c>
      <c r="J58" s="13">
        <v>235</v>
      </c>
      <c r="K58" s="13">
        <v>9</v>
      </c>
      <c r="L58" s="13">
        <v>0</v>
      </c>
      <c r="M58" s="13">
        <v>244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5">
        <v>0</v>
      </c>
      <c r="T58" s="15">
        <v>55.5</v>
      </c>
      <c r="U58" s="15">
        <v>50.7</v>
      </c>
      <c r="V58" s="15">
        <v>0</v>
      </c>
      <c r="W58" s="15">
        <v>106.2</v>
      </c>
      <c r="X58" s="16">
        <v>0</v>
      </c>
      <c r="Y58" s="16">
        <v>34.6</v>
      </c>
      <c r="Z58" s="16">
        <v>38.5</v>
      </c>
      <c r="AA58" s="16">
        <v>0</v>
      </c>
      <c r="AB58" s="16">
        <v>73.099999999999994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8">
        <v>0</v>
      </c>
      <c r="AI58" s="18">
        <v>9</v>
      </c>
      <c r="AJ58" s="18">
        <v>0</v>
      </c>
      <c r="AK58" s="18">
        <v>0</v>
      </c>
      <c r="AL58" s="18">
        <v>9</v>
      </c>
      <c r="AM58" s="19">
        <v>0</v>
      </c>
    </row>
    <row r="59" spans="1:39" x14ac:dyDescent="0.25">
      <c r="A59" s="10">
        <v>2016</v>
      </c>
      <c r="B59" s="11">
        <v>3542</v>
      </c>
      <c r="C59" s="12" t="s">
        <v>101</v>
      </c>
      <c r="D59" s="12" t="s">
        <v>102</v>
      </c>
      <c r="E59" s="22">
        <f t="shared" si="1"/>
        <v>15752.212389380531</v>
      </c>
      <c r="F59" s="22">
        <f t="shared" si="2"/>
        <v>112334.63035019455</v>
      </c>
      <c r="G59" s="22">
        <f t="shared" si="3"/>
        <v>0</v>
      </c>
      <c r="H59" s="22" t="str">
        <f t="shared" si="4"/>
        <v/>
      </c>
      <c r="I59" s="13">
        <v>45509</v>
      </c>
      <c r="J59" s="13">
        <v>21</v>
      </c>
      <c r="K59" s="13">
        <v>19</v>
      </c>
      <c r="L59" s="13">
        <v>0</v>
      </c>
      <c r="M59" s="13">
        <v>45549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5">
        <v>67.8</v>
      </c>
      <c r="T59" s="15">
        <v>25.7</v>
      </c>
      <c r="U59" s="15">
        <v>32.799999999999997</v>
      </c>
      <c r="V59" s="15">
        <v>0</v>
      </c>
      <c r="W59" s="15">
        <v>126.3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7">
        <v>490</v>
      </c>
      <c r="AD59" s="17">
        <v>2887</v>
      </c>
      <c r="AE59" s="17">
        <v>0</v>
      </c>
      <c r="AF59" s="17">
        <v>0</v>
      </c>
      <c r="AG59" s="17">
        <v>3377</v>
      </c>
      <c r="AH59" s="18">
        <v>578</v>
      </c>
      <c r="AI59" s="18">
        <v>0</v>
      </c>
      <c r="AJ59" s="18">
        <v>0</v>
      </c>
      <c r="AK59" s="18">
        <v>0</v>
      </c>
      <c r="AL59" s="18">
        <v>578</v>
      </c>
      <c r="AM59" s="19" t="s">
        <v>24</v>
      </c>
    </row>
    <row r="60" spans="1:39" x14ac:dyDescent="0.25">
      <c r="A60" s="10">
        <v>2016</v>
      </c>
      <c r="B60" s="11">
        <v>3701</v>
      </c>
      <c r="C60" s="12" t="s">
        <v>103</v>
      </c>
      <c r="D60" s="12" t="s">
        <v>29</v>
      </c>
      <c r="E60" s="22">
        <f t="shared" si="1"/>
        <v>89000</v>
      </c>
      <c r="F60" s="22">
        <f t="shared" si="2"/>
        <v>85333.333333333328</v>
      </c>
      <c r="G60" s="22" t="str">
        <f t="shared" si="3"/>
        <v/>
      </c>
      <c r="H60" s="22" t="str">
        <f t="shared" si="4"/>
        <v/>
      </c>
      <c r="I60" s="13">
        <v>2337</v>
      </c>
      <c r="J60" s="13">
        <v>426</v>
      </c>
      <c r="K60" s="13">
        <v>0</v>
      </c>
      <c r="L60" s="13">
        <v>0</v>
      </c>
      <c r="M60" s="13">
        <v>2763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5">
        <v>1</v>
      </c>
      <c r="T60" s="15">
        <v>1.5</v>
      </c>
      <c r="U60" s="15">
        <v>0</v>
      </c>
      <c r="V60" s="15">
        <v>0</v>
      </c>
      <c r="W60" s="15">
        <v>2.5</v>
      </c>
      <c r="X60" s="16">
        <v>0.9</v>
      </c>
      <c r="Y60" s="16">
        <v>1.5</v>
      </c>
      <c r="Z60" s="16">
        <v>0</v>
      </c>
      <c r="AA60" s="16">
        <v>0</v>
      </c>
      <c r="AB60" s="16">
        <v>2.4</v>
      </c>
      <c r="AC60" s="17">
        <v>78</v>
      </c>
      <c r="AD60" s="17">
        <v>120</v>
      </c>
      <c r="AE60" s="17">
        <v>0</v>
      </c>
      <c r="AF60" s="17">
        <v>0</v>
      </c>
      <c r="AG60" s="17">
        <v>198</v>
      </c>
      <c r="AH60" s="18">
        <v>11</v>
      </c>
      <c r="AI60" s="18">
        <v>8</v>
      </c>
      <c r="AJ60" s="18">
        <v>0</v>
      </c>
      <c r="AK60" s="18">
        <v>0</v>
      </c>
      <c r="AL60" s="18">
        <v>19</v>
      </c>
      <c r="AM60" s="19" t="s">
        <v>24</v>
      </c>
    </row>
    <row r="61" spans="1:39" x14ac:dyDescent="0.25">
      <c r="A61" s="10">
        <v>2016</v>
      </c>
      <c r="B61" s="11">
        <v>3755</v>
      </c>
      <c r="C61" s="12" t="s">
        <v>104</v>
      </c>
      <c r="D61" s="12" t="s">
        <v>102</v>
      </c>
      <c r="E61" s="22">
        <f t="shared" si="1"/>
        <v>118666.66666666667</v>
      </c>
      <c r="F61" s="22" t="str">
        <f t="shared" si="2"/>
        <v/>
      </c>
      <c r="G61" s="22">
        <f t="shared" si="3"/>
        <v>47.443331576172909</v>
      </c>
      <c r="H61" s="22" t="str">
        <f t="shared" si="4"/>
        <v/>
      </c>
      <c r="I61" s="13">
        <v>7090</v>
      </c>
      <c r="J61" s="13">
        <v>0</v>
      </c>
      <c r="K61" s="13">
        <v>4</v>
      </c>
      <c r="L61" s="13">
        <v>0</v>
      </c>
      <c r="M61" s="13">
        <v>7094</v>
      </c>
      <c r="N61" s="14">
        <v>36</v>
      </c>
      <c r="O61" s="14">
        <v>0</v>
      </c>
      <c r="P61" s="14">
        <v>0</v>
      </c>
      <c r="Q61" s="14">
        <v>0</v>
      </c>
      <c r="R61" s="14">
        <v>36</v>
      </c>
      <c r="S61" s="15">
        <v>4.5</v>
      </c>
      <c r="T61" s="15">
        <v>0</v>
      </c>
      <c r="U61" s="15">
        <v>189.7</v>
      </c>
      <c r="V61" s="15">
        <v>0</v>
      </c>
      <c r="W61" s="15">
        <v>194.2</v>
      </c>
      <c r="X61" s="16">
        <v>4.4000000000000004</v>
      </c>
      <c r="Y61" s="16">
        <v>0</v>
      </c>
      <c r="Z61" s="16">
        <v>0</v>
      </c>
      <c r="AA61" s="16">
        <v>0</v>
      </c>
      <c r="AB61" s="16">
        <v>4.4000000000000004</v>
      </c>
      <c r="AC61" s="17">
        <v>78</v>
      </c>
      <c r="AD61" s="17">
        <v>0</v>
      </c>
      <c r="AE61" s="17">
        <v>9</v>
      </c>
      <c r="AF61" s="17">
        <v>0</v>
      </c>
      <c r="AG61" s="17">
        <v>87</v>
      </c>
      <c r="AH61" s="18">
        <v>456</v>
      </c>
      <c r="AI61" s="18">
        <v>0</v>
      </c>
      <c r="AJ61" s="18">
        <v>0</v>
      </c>
      <c r="AK61" s="18">
        <v>0</v>
      </c>
      <c r="AL61" s="18">
        <v>456</v>
      </c>
      <c r="AM61" s="19">
        <v>0</v>
      </c>
    </row>
    <row r="62" spans="1:39" x14ac:dyDescent="0.25">
      <c r="A62" s="10">
        <v>2016</v>
      </c>
      <c r="B62" s="11">
        <v>3757</v>
      </c>
      <c r="C62" s="12" t="s">
        <v>105</v>
      </c>
      <c r="D62" s="12" t="s">
        <v>99</v>
      </c>
      <c r="E62" s="22" t="str">
        <f t="shared" si="1"/>
        <v/>
      </c>
      <c r="F62" s="22" t="str">
        <f t="shared" si="2"/>
        <v/>
      </c>
      <c r="G62" s="22" t="str">
        <f t="shared" si="3"/>
        <v/>
      </c>
      <c r="H62" s="22" t="str">
        <f t="shared" si="4"/>
        <v/>
      </c>
      <c r="I62" s="13">
        <v>0</v>
      </c>
      <c r="J62" s="13">
        <v>4</v>
      </c>
      <c r="K62" s="13">
        <v>0</v>
      </c>
      <c r="L62" s="13">
        <v>0</v>
      </c>
      <c r="M62" s="13">
        <v>4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9" t="s">
        <v>24</v>
      </c>
    </row>
    <row r="63" spans="1:39" x14ac:dyDescent="0.25">
      <c r="A63" s="10">
        <v>2016</v>
      </c>
      <c r="B63" s="11">
        <v>3764</v>
      </c>
      <c r="C63" s="12" t="s">
        <v>106</v>
      </c>
      <c r="D63" s="12" t="s">
        <v>36</v>
      </c>
      <c r="E63" s="22">
        <f t="shared" si="1"/>
        <v>25000</v>
      </c>
      <c r="F63" s="22">
        <f t="shared" si="2"/>
        <v>0</v>
      </c>
      <c r="G63" s="22" t="str">
        <f t="shared" si="3"/>
        <v/>
      </c>
      <c r="H63" s="22" t="str">
        <f t="shared" si="4"/>
        <v/>
      </c>
      <c r="I63" s="13">
        <v>1768</v>
      </c>
      <c r="J63" s="13">
        <v>6</v>
      </c>
      <c r="K63" s="13">
        <v>0</v>
      </c>
      <c r="L63" s="13">
        <v>0</v>
      </c>
      <c r="M63" s="13">
        <v>1774</v>
      </c>
      <c r="N63" s="14">
        <v>242</v>
      </c>
      <c r="O63" s="14">
        <v>13</v>
      </c>
      <c r="P63" s="14">
        <v>0</v>
      </c>
      <c r="Q63" s="14">
        <v>0</v>
      </c>
      <c r="R63" s="14">
        <v>255</v>
      </c>
      <c r="S63" s="15">
        <v>33</v>
      </c>
      <c r="T63" s="15">
        <v>0.5</v>
      </c>
      <c r="U63" s="15">
        <v>0</v>
      </c>
      <c r="V63" s="15">
        <v>0</v>
      </c>
      <c r="W63" s="15">
        <v>33.5</v>
      </c>
      <c r="X63" s="16">
        <v>8.9</v>
      </c>
      <c r="Y63" s="16">
        <v>0.5</v>
      </c>
      <c r="Z63" s="16">
        <v>0</v>
      </c>
      <c r="AA63" s="16">
        <v>0</v>
      </c>
      <c r="AB63" s="16">
        <v>9.4</v>
      </c>
      <c r="AC63" s="17">
        <v>814</v>
      </c>
      <c r="AD63" s="17">
        <v>0</v>
      </c>
      <c r="AE63" s="17">
        <v>0</v>
      </c>
      <c r="AF63" s="17">
        <v>0</v>
      </c>
      <c r="AG63" s="17">
        <v>814</v>
      </c>
      <c r="AH63" s="18">
        <v>11</v>
      </c>
      <c r="AI63" s="18">
        <v>0</v>
      </c>
      <c r="AJ63" s="18">
        <v>0</v>
      </c>
      <c r="AK63" s="18">
        <v>0</v>
      </c>
      <c r="AL63" s="18">
        <v>11</v>
      </c>
      <c r="AM63" s="19">
        <v>0</v>
      </c>
    </row>
    <row r="64" spans="1:39" x14ac:dyDescent="0.25">
      <c r="A64" s="10">
        <v>2016</v>
      </c>
      <c r="B64" s="11">
        <v>3844</v>
      </c>
      <c r="C64" s="12" t="s">
        <v>107</v>
      </c>
      <c r="D64" s="12" t="s">
        <v>64</v>
      </c>
      <c r="E64" s="22">
        <f t="shared" si="1"/>
        <v>8571.4285714285725</v>
      </c>
      <c r="F64" s="22" t="str">
        <f t="shared" si="2"/>
        <v/>
      </c>
      <c r="G64" s="22" t="str">
        <f t="shared" si="3"/>
        <v/>
      </c>
      <c r="H64" s="22" t="str">
        <f t="shared" si="4"/>
        <v/>
      </c>
      <c r="I64" s="13">
        <v>815</v>
      </c>
      <c r="J64" s="13">
        <v>0</v>
      </c>
      <c r="K64" s="13">
        <v>0</v>
      </c>
      <c r="L64" s="13">
        <v>0</v>
      </c>
      <c r="M64" s="13">
        <v>815</v>
      </c>
      <c r="N64" s="14">
        <v>8</v>
      </c>
      <c r="O64" s="14">
        <v>0</v>
      </c>
      <c r="P64" s="14">
        <v>0</v>
      </c>
      <c r="Q64" s="14">
        <v>0</v>
      </c>
      <c r="R64" s="14">
        <v>8</v>
      </c>
      <c r="S64" s="15">
        <v>0.7</v>
      </c>
      <c r="T64" s="15">
        <v>0</v>
      </c>
      <c r="U64" s="15">
        <v>0</v>
      </c>
      <c r="V64" s="15">
        <v>0</v>
      </c>
      <c r="W64" s="15">
        <v>0.7</v>
      </c>
      <c r="X64" s="16">
        <v>0.7</v>
      </c>
      <c r="Y64" s="16">
        <v>0</v>
      </c>
      <c r="Z64" s="16">
        <v>0</v>
      </c>
      <c r="AA64" s="16">
        <v>0</v>
      </c>
      <c r="AB64" s="16">
        <v>0.7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8">
        <v>6</v>
      </c>
      <c r="AI64" s="18">
        <v>0</v>
      </c>
      <c r="AJ64" s="18">
        <v>0</v>
      </c>
      <c r="AK64" s="18">
        <v>0</v>
      </c>
      <c r="AL64" s="18">
        <v>6</v>
      </c>
      <c r="AM64" s="19">
        <v>10</v>
      </c>
    </row>
    <row r="65" spans="1:39" x14ac:dyDescent="0.25">
      <c r="A65" s="10">
        <v>2016</v>
      </c>
      <c r="B65" s="11">
        <v>3931</v>
      </c>
      <c r="C65" s="12" t="s">
        <v>108</v>
      </c>
      <c r="D65" s="12" t="s">
        <v>27</v>
      </c>
      <c r="E65" s="22">
        <f t="shared" si="1"/>
        <v>0</v>
      </c>
      <c r="F65" s="22">
        <f t="shared" si="2"/>
        <v>0</v>
      </c>
      <c r="G65" s="22">
        <f t="shared" si="3"/>
        <v>0</v>
      </c>
      <c r="H65" s="22" t="str">
        <f t="shared" si="4"/>
        <v/>
      </c>
      <c r="I65" s="13">
        <v>4593</v>
      </c>
      <c r="J65" s="13">
        <v>103</v>
      </c>
      <c r="K65" s="13">
        <v>8</v>
      </c>
      <c r="L65" s="13">
        <v>0</v>
      </c>
      <c r="M65" s="13">
        <v>4704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5">
        <v>0.5</v>
      </c>
      <c r="T65" s="15">
        <v>0.5</v>
      </c>
      <c r="U65" s="15">
        <v>0.5</v>
      </c>
      <c r="V65" s="15">
        <v>0</v>
      </c>
      <c r="W65" s="15">
        <v>1.5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9" t="s">
        <v>24</v>
      </c>
    </row>
    <row r="66" spans="1:39" x14ac:dyDescent="0.25">
      <c r="A66" s="10">
        <v>2016</v>
      </c>
      <c r="B66" s="11">
        <v>3989</v>
      </c>
      <c r="C66" s="12" t="s">
        <v>109</v>
      </c>
      <c r="D66" s="12" t="s">
        <v>110</v>
      </c>
      <c r="E66" s="22">
        <f t="shared" si="1"/>
        <v>395714.28571428574</v>
      </c>
      <c r="F66" s="22" t="str">
        <f t="shared" si="2"/>
        <v/>
      </c>
      <c r="G66" s="22" t="str">
        <f t="shared" si="3"/>
        <v/>
      </c>
      <c r="H66" s="22" t="str">
        <f t="shared" si="4"/>
        <v/>
      </c>
      <c r="I66" s="13">
        <v>1205</v>
      </c>
      <c r="J66" s="13">
        <v>0</v>
      </c>
      <c r="K66" s="13">
        <v>0</v>
      </c>
      <c r="L66" s="13">
        <v>0</v>
      </c>
      <c r="M66" s="13">
        <v>1205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5">
        <v>0.7</v>
      </c>
      <c r="T66" s="15">
        <v>0</v>
      </c>
      <c r="U66" s="15">
        <v>0</v>
      </c>
      <c r="V66" s="15">
        <v>0</v>
      </c>
      <c r="W66" s="15">
        <v>0.7</v>
      </c>
      <c r="X66" s="16">
        <v>0.2</v>
      </c>
      <c r="Y66" s="16">
        <v>0</v>
      </c>
      <c r="Z66" s="16">
        <v>0</v>
      </c>
      <c r="AA66" s="16">
        <v>0</v>
      </c>
      <c r="AB66" s="16">
        <v>0.2</v>
      </c>
      <c r="AC66" s="17">
        <v>11</v>
      </c>
      <c r="AD66" s="17">
        <v>0</v>
      </c>
      <c r="AE66" s="17">
        <v>0</v>
      </c>
      <c r="AF66" s="17">
        <v>0</v>
      </c>
      <c r="AG66" s="17">
        <v>11</v>
      </c>
      <c r="AH66" s="18">
        <v>266</v>
      </c>
      <c r="AI66" s="18">
        <v>0</v>
      </c>
      <c r="AJ66" s="18">
        <v>0</v>
      </c>
      <c r="AK66" s="18">
        <v>0</v>
      </c>
      <c r="AL66" s="18">
        <v>266</v>
      </c>
      <c r="AM66" s="19" t="s">
        <v>24</v>
      </c>
    </row>
    <row r="67" spans="1:39" x14ac:dyDescent="0.25">
      <c r="A67" s="10">
        <v>2016</v>
      </c>
      <c r="B67" s="11">
        <v>4045</v>
      </c>
      <c r="C67" s="12" t="s">
        <v>111</v>
      </c>
      <c r="D67" s="12" t="s">
        <v>112</v>
      </c>
      <c r="E67" s="22">
        <f t="shared" si="1"/>
        <v>8125</v>
      </c>
      <c r="F67" s="22">
        <f t="shared" si="2"/>
        <v>12000</v>
      </c>
      <c r="G67" s="22">
        <f t="shared" si="3"/>
        <v>0</v>
      </c>
      <c r="H67" s="22" t="str">
        <f t="shared" si="4"/>
        <v/>
      </c>
      <c r="I67" s="13">
        <v>14387</v>
      </c>
      <c r="J67" s="13">
        <v>734</v>
      </c>
      <c r="K67" s="13">
        <v>11</v>
      </c>
      <c r="L67" s="13">
        <v>0</v>
      </c>
      <c r="M67" s="13">
        <v>15132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5">
        <v>24</v>
      </c>
      <c r="T67" s="15">
        <v>4</v>
      </c>
      <c r="U67" s="15">
        <v>3.4</v>
      </c>
      <c r="V67" s="15">
        <v>0</v>
      </c>
      <c r="W67" s="15">
        <v>31.4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7">
        <v>195</v>
      </c>
      <c r="AD67" s="17">
        <v>48</v>
      </c>
      <c r="AE67" s="17">
        <v>0</v>
      </c>
      <c r="AF67" s="17">
        <v>0</v>
      </c>
      <c r="AG67" s="17">
        <v>243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9" t="s">
        <v>24</v>
      </c>
    </row>
    <row r="68" spans="1:39" x14ac:dyDescent="0.25">
      <c r="A68" s="10">
        <v>2016</v>
      </c>
      <c r="B68" s="11">
        <v>4065</v>
      </c>
      <c r="C68" s="12" t="s">
        <v>113</v>
      </c>
      <c r="D68" s="12" t="s">
        <v>102</v>
      </c>
      <c r="E68" s="22" t="str">
        <f t="shared" si="1"/>
        <v/>
      </c>
      <c r="F68" s="22">
        <f t="shared" si="2"/>
        <v>0</v>
      </c>
      <c r="G68" s="22">
        <f t="shared" si="3"/>
        <v>0</v>
      </c>
      <c r="H68" s="22" t="str">
        <f t="shared" si="4"/>
        <v/>
      </c>
      <c r="I68" s="13">
        <v>0</v>
      </c>
      <c r="J68" s="13">
        <v>3</v>
      </c>
      <c r="K68" s="13">
        <v>14</v>
      </c>
      <c r="L68" s="13">
        <v>0</v>
      </c>
      <c r="M68" s="13">
        <v>17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5">
        <v>0</v>
      </c>
      <c r="T68" s="15">
        <v>0.6</v>
      </c>
      <c r="U68" s="15">
        <v>12.3</v>
      </c>
      <c r="V68" s="15">
        <v>0</v>
      </c>
      <c r="W68" s="15">
        <v>12.9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24</v>
      </c>
    </row>
    <row r="69" spans="1:39" x14ac:dyDescent="0.25">
      <c r="A69" s="10">
        <v>2016</v>
      </c>
      <c r="B69" s="11">
        <v>4110</v>
      </c>
      <c r="C69" s="12" t="s">
        <v>114</v>
      </c>
      <c r="D69" s="12" t="s">
        <v>27</v>
      </c>
      <c r="E69" s="22">
        <f t="shared" ref="E69:E132" si="5">IFERROR(SUM(AC69,AH69)*10^3/S69,"")</f>
        <v>55887.61174968072</v>
      </c>
      <c r="F69" s="22">
        <f t="shared" ref="F69:F132" si="6">IFERROR(SUM(AD69,AI69)*10^3/T69,"")</f>
        <v>155.68862275449101</v>
      </c>
      <c r="G69" s="22">
        <f t="shared" ref="G69:G132" si="7">IFERROR(SUM(AE69,AJ69)*10^3/U69,"")</f>
        <v>65.138721351025325</v>
      </c>
      <c r="H69" s="22" t="str">
        <f t="shared" ref="H69:H132" si="8">IFERROR(SUM(AF69,AK69)*10^3/V69,"")</f>
        <v/>
      </c>
      <c r="I69" s="13">
        <v>78300</v>
      </c>
      <c r="J69" s="13">
        <v>1740</v>
      </c>
      <c r="K69" s="13">
        <v>1460</v>
      </c>
      <c r="L69" s="13">
        <v>0</v>
      </c>
      <c r="M69" s="13">
        <v>81500</v>
      </c>
      <c r="N69" s="14">
        <v>157</v>
      </c>
      <c r="O69" s="14">
        <v>0</v>
      </c>
      <c r="P69" s="14">
        <v>0</v>
      </c>
      <c r="Q69" s="14">
        <v>0</v>
      </c>
      <c r="R69" s="14">
        <v>157</v>
      </c>
      <c r="S69" s="15">
        <v>78.3</v>
      </c>
      <c r="T69" s="15">
        <v>334</v>
      </c>
      <c r="U69" s="15">
        <v>829</v>
      </c>
      <c r="V69" s="15">
        <v>0</v>
      </c>
      <c r="W69" s="15">
        <v>1241.3</v>
      </c>
      <c r="X69" s="16">
        <v>78.3</v>
      </c>
      <c r="Y69" s="16">
        <v>0</v>
      </c>
      <c r="Z69" s="16">
        <v>0</v>
      </c>
      <c r="AA69" s="16">
        <v>0</v>
      </c>
      <c r="AB69" s="16">
        <v>78.3</v>
      </c>
      <c r="AC69" s="17">
        <v>2576</v>
      </c>
      <c r="AD69" s="17">
        <v>0</v>
      </c>
      <c r="AE69" s="17">
        <v>0</v>
      </c>
      <c r="AF69" s="17">
        <v>0</v>
      </c>
      <c r="AG69" s="17">
        <v>2576</v>
      </c>
      <c r="AH69" s="18">
        <v>1800</v>
      </c>
      <c r="AI69" s="18">
        <v>52</v>
      </c>
      <c r="AJ69" s="18">
        <v>54</v>
      </c>
      <c r="AK69" s="18">
        <v>0</v>
      </c>
      <c r="AL69" s="18">
        <v>1906</v>
      </c>
      <c r="AM69" s="19" t="s">
        <v>24</v>
      </c>
    </row>
    <row r="70" spans="1:39" x14ac:dyDescent="0.25">
      <c r="A70" s="10">
        <v>2016</v>
      </c>
      <c r="B70" s="11">
        <v>4117</v>
      </c>
      <c r="C70" s="12" t="s">
        <v>115</v>
      </c>
      <c r="D70" s="12" t="s">
        <v>25</v>
      </c>
      <c r="E70" s="22">
        <f t="shared" si="5"/>
        <v>28333.333333333332</v>
      </c>
      <c r="F70" s="22" t="str">
        <f t="shared" si="6"/>
        <v/>
      </c>
      <c r="G70" s="22">
        <f t="shared" si="7"/>
        <v>26666.666666666668</v>
      </c>
      <c r="H70" s="22" t="str">
        <f t="shared" si="8"/>
        <v/>
      </c>
      <c r="I70" s="13">
        <v>1571</v>
      </c>
      <c r="J70" s="13">
        <v>0</v>
      </c>
      <c r="K70" s="13">
        <v>3</v>
      </c>
      <c r="L70" s="13">
        <v>0</v>
      </c>
      <c r="M70" s="13">
        <v>1574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5">
        <v>1.8</v>
      </c>
      <c r="T70" s="15">
        <v>0</v>
      </c>
      <c r="U70" s="15">
        <v>3</v>
      </c>
      <c r="V70" s="15">
        <v>0</v>
      </c>
      <c r="W70" s="15">
        <v>4.8</v>
      </c>
      <c r="X70" s="16">
        <v>1</v>
      </c>
      <c r="Y70" s="16">
        <v>0</v>
      </c>
      <c r="Z70" s="16">
        <v>3</v>
      </c>
      <c r="AA70" s="16">
        <v>0</v>
      </c>
      <c r="AB70" s="16">
        <v>4</v>
      </c>
      <c r="AC70" s="17">
        <v>38</v>
      </c>
      <c r="AD70" s="17">
        <v>0</v>
      </c>
      <c r="AE70" s="17">
        <v>78</v>
      </c>
      <c r="AF70" s="17">
        <v>0</v>
      </c>
      <c r="AG70" s="17">
        <v>116</v>
      </c>
      <c r="AH70" s="18">
        <v>13</v>
      </c>
      <c r="AI70" s="18">
        <v>0</v>
      </c>
      <c r="AJ70" s="18">
        <v>2</v>
      </c>
      <c r="AK70" s="18">
        <v>0</v>
      </c>
      <c r="AL70" s="18">
        <v>15</v>
      </c>
      <c r="AM70" s="19">
        <v>0</v>
      </c>
    </row>
    <row r="71" spans="1:39" x14ac:dyDescent="0.25">
      <c r="A71" s="10">
        <v>2016</v>
      </c>
      <c r="B71" s="11">
        <v>4147</v>
      </c>
      <c r="C71" s="12" t="s">
        <v>116</v>
      </c>
      <c r="D71" s="12" t="s">
        <v>117</v>
      </c>
      <c r="E71" s="22">
        <f t="shared" si="5"/>
        <v>294.11764705882354</v>
      </c>
      <c r="F71" s="22">
        <f t="shared" si="6"/>
        <v>0</v>
      </c>
      <c r="G71" s="22" t="str">
        <f t="shared" si="7"/>
        <v/>
      </c>
      <c r="H71" s="22" t="str">
        <f t="shared" si="8"/>
        <v/>
      </c>
      <c r="I71" s="13">
        <v>490</v>
      </c>
      <c r="J71" s="13">
        <v>6</v>
      </c>
      <c r="K71" s="13">
        <v>0</v>
      </c>
      <c r="L71" s="13">
        <v>0</v>
      </c>
      <c r="M71" s="13">
        <v>496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5">
        <v>6.8</v>
      </c>
      <c r="T71" s="15">
        <v>1</v>
      </c>
      <c r="U71" s="15">
        <v>0</v>
      </c>
      <c r="V71" s="15">
        <v>0</v>
      </c>
      <c r="W71" s="15">
        <v>7.8</v>
      </c>
      <c r="X71" s="16">
        <v>6.8</v>
      </c>
      <c r="Y71" s="16">
        <v>1</v>
      </c>
      <c r="Z71" s="16">
        <v>0</v>
      </c>
      <c r="AA71" s="16">
        <v>0</v>
      </c>
      <c r="AB71" s="16">
        <v>7.8</v>
      </c>
      <c r="AC71" s="17">
        <v>2</v>
      </c>
      <c r="AD71" s="17">
        <v>0</v>
      </c>
      <c r="AE71" s="17">
        <v>0</v>
      </c>
      <c r="AF71" s="17">
        <v>0</v>
      </c>
      <c r="AG71" s="17">
        <v>2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9">
        <v>5</v>
      </c>
    </row>
    <row r="72" spans="1:39" x14ac:dyDescent="0.25">
      <c r="A72" s="10">
        <v>2016</v>
      </c>
      <c r="B72" s="11">
        <v>4176</v>
      </c>
      <c r="C72" s="12" t="s">
        <v>118</v>
      </c>
      <c r="D72" s="12" t="s">
        <v>119</v>
      </c>
      <c r="E72" s="22" t="str">
        <f t="shared" si="5"/>
        <v/>
      </c>
      <c r="F72" s="22">
        <f t="shared" si="6"/>
        <v>42233.009708737867</v>
      </c>
      <c r="G72" s="22">
        <f t="shared" si="7"/>
        <v>16159.217877094974</v>
      </c>
      <c r="H72" s="22" t="str">
        <f t="shared" si="8"/>
        <v/>
      </c>
      <c r="I72" s="13">
        <v>0</v>
      </c>
      <c r="J72" s="13">
        <v>66</v>
      </c>
      <c r="K72" s="13">
        <v>47</v>
      </c>
      <c r="L72" s="13">
        <v>0</v>
      </c>
      <c r="M72" s="13">
        <v>113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5">
        <v>0</v>
      </c>
      <c r="T72" s="15">
        <v>30.9</v>
      </c>
      <c r="U72" s="15">
        <v>71.599999999999994</v>
      </c>
      <c r="V72" s="15">
        <v>0</v>
      </c>
      <c r="W72" s="15">
        <v>102.5</v>
      </c>
      <c r="X72" s="16">
        <v>0</v>
      </c>
      <c r="Y72" s="16">
        <v>19.100000000000001</v>
      </c>
      <c r="Z72" s="16">
        <v>17</v>
      </c>
      <c r="AA72" s="16">
        <v>0</v>
      </c>
      <c r="AB72" s="16">
        <v>36.1</v>
      </c>
      <c r="AC72" s="17">
        <v>0</v>
      </c>
      <c r="AD72" s="17">
        <v>792</v>
      </c>
      <c r="AE72" s="17">
        <v>702</v>
      </c>
      <c r="AF72" s="17">
        <v>0</v>
      </c>
      <c r="AG72" s="17">
        <v>1494</v>
      </c>
      <c r="AH72" s="18">
        <v>859</v>
      </c>
      <c r="AI72" s="18">
        <v>513</v>
      </c>
      <c r="AJ72" s="18">
        <v>455</v>
      </c>
      <c r="AK72" s="18">
        <v>0</v>
      </c>
      <c r="AL72" s="18">
        <v>1827</v>
      </c>
      <c r="AM72" s="19">
        <v>0</v>
      </c>
    </row>
    <row r="73" spans="1:39" x14ac:dyDescent="0.25">
      <c r="A73" s="10">
        <v>2016</v>
      </c>
      <c r="B73" s="11">
        <v>4226</v>
      </c>
      <c r="C73" s="12" t="s">
        <v>120</v>
      </c>
      <c r="D73" s="12" t="s">
        <v>88</v>
      </c>
      <c r="E73" s="22">
        <f t="shared" si="5"/>
        <v>295285.71428571426</v>
      </c>
      <c r="F73" s="22">
        <f t="shared" si="6"/>
        <v>229846.15384615384</v>
      </c>
      <c r="G73" s="22" t="str">
        <f t="shared" si="7"/>
        <v/>
      </c>
      <c r="H73" s="22" t="str">
        <f t="shared" si="8"/>
        <v/>
      </c>
      <c r="I73" s="13">
        <v>25920</v>
      </c>
      <c r="J73" s="13">
        <v>1078</v>
      </c>
      <c r="K73" s="13">
        <v>0</v>
      </c>
      <c r="L73" s="13">
        <v>0</v>
      </c>
      <c r="M73" s="13">
        <v>26998</v>
      </c>
      <c r="N73" s="14">
        <v>603</v>
      </c>
      <c r="O73" s="14">
        <v>2622</v>
      </c>
      <c r="P73" s="14">
        <v>0</v>
      </c>
      <c r="Q73" s="14">
        <v>0</v>
      </c>
      <c r="R73" s="14">
        <v>3225</v>
      </c>
      <c r="S73" s="15">
        <v>35</v>
      </c>
      <c r="T73" s="15">
        <v>195</v>
      </c>
      <c r="U73" s="15">
        <v>0</v>
      </c>
      <c r="V73" s="15">
        <v>0</v>
      </c>
      <c r="W73" s="15">
        <v>230</v>
      </c>
      <c r="X73" s="16">
        <v>25</v>
      </c>
      <c r="Y73" s="16">
        <v>180</v>
      </c>
      <c r="Z73" s="16">
        <v>0</v>
      </c>
      <c r="AA73" s="16">
        <v>0</v>
      </c>
      <c r="AB73" s="16">
        <v>205</v>
      </c>
      <c r="AC73" s="17">
        <v>348</v>
      </c>
      <c r="AD73" s="17">
        <v>43474</v>
      </c>
      <c r="AE73" s="17">
        <v>0</v>
      </c>
      <c r="AF73" s="17">
        <v>0</v>
      </c>
      <c r="AG73" s="17">
        <v>43822</v>
      </c>
      <c r="AH73" s="18">
        <v>9987</v>
      </c>
      <c r="AI73" s="18">
        <v>1346</v>
      </c>
      <c r="AJ73" s="18">
        <v>0</v>
      </c>
      <c r="AK73" s="18">
        <v>0</v>
      </c>
      <c r="AL73" s="18">
        <v>11333</v>
      </c>
      <c r="AM73" s="19" t="s">
        <v>24</v>
      </c>
    </row>
    <row r="74" spans="1:39" x14ac:dyDescent="0.25">
      <c r="A74" s="10">
        <v>2016</v>
      </c>
      <c r="B74" s="11">
        <v>4254</v>
      </c>
      <c r="C74" s="12" t="s">
        <v>121</v>
      </c>
      <c r="D74" s="12" t="s">
        <v>122</v>
      </c>
      <c r="E74" s="22" t="str">
        <f t="shared" si="5"/>
        <v/>
      </c>
      <c r="F74" s="22" t="str">
        <f t="shared" si="6"/>
        <v/>
      </c>
      <c r="G74" s="22">
        <f t="shared" si="7"/>
        <v>60032.154340836008</v>
      </c>
      <c r="H74" s="22" t="str">
        <f t="shared" si="8"/>
        <v/>
      </c>
      <c r="I74" s="13">
        <v>1545</v>
      </c>
      <c r="J74" s="13">
        <v>0</v>
      </c>
      <c r="K74" s="13">
        <v>17</v>
      </c>
      <c r="L74" s="13">
        <v>0</v>
      </c>
      <c r="M74" s="13">
        <v>1562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5">
        <v>0</v>
      </c>
      <c r="T74" s="15">
        <v>0</v>
      </c>
      <c r="U74" s="15">
        <v>62.2</v>
      </c>
      <c r="V74" s="15">
        <v>0</v>
      </c>
      <c r="W74" s="15">
        <v>62.2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7">
        <v>59</v>
      </c>
      <c r="AD74" s="17">
        <v>0</v>
      </c>
      <c r="AE74" s="17">
        <v>3734</v>
      </c>
      <c r="AF74" s="17">
        <v>0</v>
      </c>
      <c r="AG74" s="17">
        <v>3793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9" t="s">
        <v>24</v>
      </c>
    </row>
    <row r="75" spans="1:39" x14ac:dyDescent="0.25">
      <c r="A75" s="10">
        <v>2016</v>
      </c>
      <c r="B75" s="11">
        <v>4362</v>
      </c>
      <c r="C75" s="12" t="s">
        <v>123</v>
      </c>
      <c r="D75" s="12" t="s">
        <v>27</v>
      </c>
      <c r="E75" s="22" t="str">
        <f t="shared" si="5"/>
        <v/>
      </c>
      <c r="F75" s="22">
        <f t="shared" si="6"/>
        <v>239333.33333333334</v>
      </c>
      <c r="G75" s="22" t="str">
        <f t="shared" si="7"/>
        <v/>
      </c>
      <c r="H75" s="22" t="str">
        <f t="shared" si="8"/>
        <v/>
      </c>
      <c r="I75" s="13">
        <v>0</v>
      </c>
      <c r="J75" s="13">
        <v>59</v>
      </c>
      <c r="K75" s="13">
        <v>0</v>
      </c>
      <c r="L75" s="13">
        <v>0</v>
      </c>
      <c r="M75" s="13">
        <v>59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5">
        <v>0</v>
      </c>
      <c r="T75" s="15">
        <v>4.5</v>
      </c>
      <c r="U75" s="15">
        <v>0</v>
      </c>
      <c r="V75" s="15">
        <v>0</v>
      </c>
      <c r="W75" s="15">
        <v>4.5</v>
      </c>
      <c r="X75" s="16">
        <v>0</v>
      </c>
      <c r="Y75" s="16">
        <v>4.5</v>
      </c>
      <c r="Z75" s="16">
        <v>0</v>
      </c>
      <c r="AA75" s="16">
        <v>0</v>
      </c>
      <c r="AB75" s="16">
        <v>4.5</v>
      </c>
      <c r="AC75" s="17">
        <v>0</v>
      </c>
      <c r="AD75" s="17">
        <v>1077</v>
      </c>
      <c r="AE75" s="17">
        <v>0</v>
      </c>
      <c r="AF75" s="17">
        <v>0</v>
      </c>
      <c r="AG75" s="17">
        <v>1077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9" t="s">
        <v>24</v>
      </c>
    </row>
    <row r="76" spans="1:39" x14ac:dyDescent="0.25">
      <c r="A76" s="10">
        <v>2016</v>
      </c>
      <c r="B76" s="11">
        <v>4363</v>
      </c>
      <c r="C76" s="12" t="s">
        <v>124</v>
      </c>
      <c r="D76" s="12" t="s">
        <v>38</v>
      </c>
      <c r="E76" s="22">
        <f t="shared" si="5"/>
        <v>0</v>
      </c>
      <c r="F76" s="22" t="str">
        <f t="shared" si="6"/>
        <v/>
      </c>
      <c r="G76" s="22">
        <f t="shared" si="7"/>
        <v>0</v>
      </c>
      <c r="H76" s="22" t="str">
        <f t="shared" si="8"/>
        <v/>
      </c>
      <c r="I76" s="13">
        <v>5888</v>
      </c>
      <c r="J76" s="13">
        <v>0</v>
      </c>
      <c r="K76" s="13">
        <v>3</v>
      </c>
      <c r="L76" s="13">
        <v>0</v>
      </c>
      <c r="M76" s="13">
        <v>5891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5">
        <v>67</v>
      </c>
      <c r="T76" s="15">
        <v>0</v>
      </c>
      <c r="U76" s="15">
        <v>42</v>
      </c>
      <c r="V76" s="15">
        <v>0</v>
      </c>
      <c r="W76" s="15">
        <v>109</v>
      </c>
      <c r="X76" s="16">
        <v>60.4</v>
      </c>
      <c r="Y76" s="16">
        <v>0</v>
      </c>
      <c r="Z76" s="16">
        <v>24.7</v>
      </c>
      <c r="AA76" s="16">
        <v>0</v>
      </c>
      <c r="AB76" s="16">
        <v>85.1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9">
        <v>292</v>
      </c>
    </row>
    <row r="77" spans="1:39" x14ac:dyDescent="0.25">
      <c r="A77" s="10">
        <v>2016</v>
      </c>
      <c r="B77" s="11">
        <v>4430</v>
      </c>
      <c r="C77" s="12" t="s">
        <v>125</v>
      </c>
      <c r="D77" s="12" t="s">
        <v>31</v>
      </c>
      <c r="E77" s="22">
        <f t="shared" si="5"/>
        <v>0</v>
      </c>
      <c r="F77" s="22" t="str">
        <f t="shared" si="6"/>
        <v/>
      </c>
      <c r="G77" s="22" t="str">
        <f t="shared" si="7"/>
        <v/>
      </c>
      <c r="H77" s="22" t="str">
        <f t="shared" si="8"/>
        <v/>
      </c>
      <c r="I77" s="13">
        <v>1954</v>
      </c>
      <c r="J77" s="13">
        <v>0</v>
      </c>
      <c r="K77" s="13">
        <v>0</v>
      </c>
      <c r="L77" s="13">
        <v>0</v>
      </c>
      <c r="M77" s="13">
        <v>1954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5">
        <v>1</v>
      </c>
      <c r="T77" s="15">
        <v>0</v>
      </c>
      <c r="U77" s="15">
        <v>0</v>
      </c>
      <c r="V77" s="15">
        <v>0</v>
      </c>
      <c r="W77" s="15">
        <v>1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9">
        <v>225</v>
      </c>
    </row>
    <row r="78" spans="1:39" x14ac:dyDescent="0.25">
      <c r="A78" s="10">
        <v>2016</v>
      </c>
      <c r="B78" s="11">
        <v>4432</v>
      </c>
      <c r="C78" s="12" t="s">
        <v>126</v>
      </c>
      <c r="D78" s="12" t="s">
        <v>40</v>
      </c>
      <c r="E78" s="22">
        <f t="shared" si="5"/>
        <v>7733.333333333333</v>
      </c>
      <c r="F78" s="22" t="str">
        <f t="shared" si="6"/>
        <v/>
      </c>
      <c r="G78" s="22" t="str">
        <f t="shared" si="7"/>
        <v/>
      </c>
      <c r="H78" s="22" t="str">
        <f t="shared" si="8"/>
        <v/>
      </c>
      <c r="I78" s="13">
        <v>11610</v>
      </c>
      <c r="J78" s="13">
        <v>0</v>
      </c>
      <c r="K78" s="13">
        <v>0</v>
      </c>
      <c r="L78" s="13">
        <v>0</v>
      </c>
      <c r="M78" s="13">
        <v>11610</v>
      </c>
      <c r="N78" s="14">
        <v>277</v>
      </c>
      <c r="O78" s="14">
        <v>0</v>
      </c>
      <c r="P78" s="14">
        <v>0</v>
      </c>
      <c r="Q78" s="14">
        <v>0</v>
      </c>
      <c r="R78" s="14">
        <v>277</v>
      </c>
      <c r="S78" s="15">
        <v>15</v>
      </c>
      <c r="T78" s="15">
        <v>0</v>
      </c>
      <c r="U78" s="15">
        <v>0</v>
      </c>
      <c r="V78" s="15">
        <v>0</v>
      </c>
      <c r="W78" s="15">
        <v>15</v>
      </c>
      <c r="X78" s="16">
        <v>8</v>
      </c>
      <c r="Y78" s="16">
        <v>0</v>
      </c>
      <c r="Z78" s="16">
        <v>0</v>
      </c>
      <c r="AA78" s="16">
        <v>0</v>
      </c>
      <c r="AB78" s="16">
        <v>8</v>
      </c>
      <c r="AC78" s="17">
        <v>116</v>
      </c>
      <c r="AD78" s="17">
        <v>0</v>
      </c>
      <c r="AE78" s="17">
        <v>0</v>
      </c>
      <c r="AF78" s="17">
        <v>0</v>
      </c>
      <c r="AG78" s="17">
        <v>116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24</v>
      </c>
    </row>
    <row r="79" spans="1:39" x14ac:dyDescent="0.25">
      <c r="A79" s="10">
        <v>2016</v>
      </c>
      <c r="B79" s="11">
        <v>4509</v>
      </c>
      <c r="C79" s="12" t="s">
        <v>127</v>
      </c>
      <c r="D79" s="12" t="s">
        <v>48</v>
      </c>
      <c r="E79" s="22" t="str">
        <f t="shared" si="5"/>
        <v/>
      </c>
      <c r="F79" s="22">
        <f t="shared" si="6"/>
        <v>30408.163265306121</v>
      </c>
      <c r="G79" s="22">
        <f t="shared" si="7"/>
        <v>27500</v>
      </c>
      <c r="H79" s="22" t="str">
        <f t="shared" si="8"/>
        <v/>
      </c>
      <c r="I79" s="13">
        <v>0</v>
      </c>
      <c r="J79" s="13">
        <v>600</v>
      </c>
      <c r="K79" s="13">
        <v>48</v>
      </c>
      <c r="L79" s="13">
        <v>0</v>
      </c>
      <c r="M79" s="13">
        <v>648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5">
        <v>0</v>
      </c>
      <c r="T79" s="15">
        <v>19.600000000000001</v>
      </c>
      <c r="U79" s="15">
        <v>1.2</v>
      </c>
      <c r="V79" s="15">
        <v>0</v>
      </c>
      <c r="W79" s="15">
        <v>20.8</v>
      </c>
      <c r="X79" s="16">
        <v>0</v>
      </c>
      <c r="Y79" s="16">
        <v>7.5</v>
      </c>
      <c r="Z79" s="16">
        <v>1.2</v>
      </c>
      <c r="AA79" s="16">
        <v>0</v>
      </c>
      <c r="AB79" s="16">
        <v>8.6999999999999993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8">
        <v>0</v>
      </c>
      <c r="AI79" s="18">
        <v>596</v>
      </c>
      <c r="AJ79" s="18">
        <v>33</v>
      </c>
      <c r="AK79" s="18">
        <v>0</v>
      </c>
      <c r="AL79" s="18">
        <v>629</v>
      </c>
      <c r="AM79" s="19" t="s">
        <v>24</v>
      </c>
    </row>
    <row r="80" spans="1:39" x14ac:dyDescent="0.25">
      <c r="A80" s="10">
        <v>2016</v>
      </c>
      <c r="B80" s="11">
        <v>4538</v>
      </c>
      <c r="C80" s="12" t="s">
        <v>128</v>
      </c>
      <c r="D80" s="12" t="s">
        <v>40</v>
      </c>
      <c r="E80" s="22" t="str">
        <f t="shared" si="5"/>
        <v/>
      </c>
      <c r="F80" s="22" t="str">
        <f t="shared" si="6"/>
        <v/>
      </c>
      <c r="G80" s="22">
        <f t="shared" si="7"/>
        <v>0</v>
      </c>
      <c r="H80" s="22" t="str">
        <f t="shared" si="8"/>
        <v/>
      </c>
      <c r="I80" s="13">
        <v>0</v>
      </c>
      <c r="J80" s="13">
        <v>0</v>
      </c>
      <c r="K80" s="13">
        <v>2</v>
      </c>
      <c r="L80" s="13">
        <v>0</v>
      </c>
      <c r="M80" s="13">
        <v>2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5">
        <v>0</v>
      </c>
      <c r="T80" s="15">
        <v>0</v>
      </c>
      <c r="U80" s="15">
        <v>12</v>
      </c>
      <c r="V80" s="15">
        <v>0</v>
      </c>
      <c r="W80" s="15">
        <v>12</v>
      </c>
      <c r="X80" s="16">
        <v>0</v>
      </c>
      <c r="Y80" s="16">
        <v>0</v>
      </c>
      <c r="Z80" s="16">
        <v>10</v>
      </c>
      <c r="AA80" s="16">
        <v>0</v>
      </c>
      <c r="AB80" s="16">
        <v>10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9" t="s">
        <v>24</v>
      </c>
    </row>
    <row r="81" spans="1:39" x14ac:dyDescent="0.25">
      <c r="A81" s="10">
        <v>2016</v>
      </c>
      <c r="B81" s="11">
        <v>4675</v>
      </c>
      <c r="C81" s="12" t="s">
        <v>129</v>
      </c>
      <c r="D81" s="12" t="s">
        <v>112</v>
      </c>
      <c r="E81" s="22">
        <f t="shared" si="5"/>
        <v>23000</v>
      </c>
      <c r="F81" s="22">
        <f t="shared" si="6"/>
        <v>0</v>
      </c>
      <c r="G81" s="22" t="str">
        <f t="shared" si="7"/>
        <v/>
      </c>
      <c r="H81" s="22" t="str">
        <f t="shared" si="8"/>
        <v/>
      </c>
      <c r="I81" s="13">
        <v>432</v>
      </c>
      <c r="J81" s="13">
        <v>24</v>
      </c>
      <c r="K81" s="13">
        <v>0</v>
      </c>
      <c r="L81" s="13">
        <v>0</v>
      </c>
      <c r="M81" s="13">
        <v>456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5">
        <v>1</v>
      </c>
      <c r="T81" s="15">
        <v>8.8000000000000007</v>
      </c>
      <c r="U81" s="15">
        <v>0</v>
      </c>
      <c r="V81" s="15">
        <v>0</v>
      </c>
      <c r="W81" s="15">
        <v>9.8000000000000007</v>
      </c>
      <c r="X81" s="16">
        <v>1</v>
      </c>
      <c r="Y81" s="16">
        <v>5.9</v>
      </c>
      <c r="Z81" s="16">
        <v>0</v>
      </c>
      <c r="AA81" s="16">
        <v>0</v>
      </c>
      <c r="AB81" s="16">
        <v>6.9</v>
      </c>
      <c r="AC81" s="17">
        <v>20</v>
      </c>
      <c r="AD81" s="17">
        <v>0</v>
      </c>
      <c r="AE81" s="17">
        <v>0</v>
      </c>
      <c r="AF81" s="17">
        <v>0</v>
      </c>
      <c r="AG81" s="17">
        <v>20</v>
      </c>
      <c r="AH81" s="18">
        <v>3</v>
      </c>
      <c r="AI81" s="18">
        <v>0</v>
      </c>
      <c r="AJ81" s="18">
        <v>0</v>
      </c>
      <c r="AK81" s="18">
        <v>0</v>
      </c>
      <c r="AL81" s="18">
        <v>3</v>
      </c>
      <c r="AM81" s="19" t="s">
        <v>24</v>
      </c>
    </row>
    <row r="82" spans="1:39" x14ac:dyDescent="0.25">
      <c r="A82" s="10">
        <v>2016</v>
      </c>
      <c r="B82" s="11">
        <v>4704</v>
      </c>
      <c r="C82" s="12" t="s">
        <v>130</v>
      </c>
      <c r="D82" s="12" t="s">
        <v>74</v>
      </c>
      <c r="E82" s="22">
        <f t="shared" si="5"/>
        <v>50000</v>
      </c>
      <c r="F82" s="22">
        <f t="shared" si="6"/>
        <v>18888.888888888887</v>
      </c>
      <c r="G82" s="22" t="str">
        <f t="shared" si="7"/>
        <v/>
      </c>
      <c r="H82" s="22" t="str">
        <f t="shared" si="8"/>
        <v/>
      </c>
      <c r="I82" s="13">
        <v>124</v>
      </c>
      <c r="J82" s="13">
        <v>45</v>
      </c>
      <c r="K82" s="13">
        <v>0</v>
      </c>
      <c r="L82" s="13">
        <v>0</v>
      </c>
      <c r="M82" s="13">
        <v>169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5">
        <v>0.3</v>
      </c>
      <c r="T82" s="15">
        <v>1.8</v>
      </c>
      <c r="U82" s="15">
        <v>0</v>
      </c>
      <c r="V82" s="15">
        <v>0</v>
      </c>
      <c r="W82" s="15">
        <v>2.1</v>
      </c>
      <c r="X82" s="16">
        <v>0.3</v>
      </c>
      <c r="Y82" s="16">
        <v>1.5</v>
      </c>
      <c r="Z82" s="16">
        <v>0</v>
      </c>
      <c r="AA82" s="16">
        <v>0</v>
      </c>
      <c r="AB82" s="16">
        <v>1.8</v>
      </c>
      <c r="AC82" s="17">
        <v>5</v>
      </c>
      <c r="AD82" s="17">
        <v>24</v>
      </c>
      <c r="AE82" s="17">
        <v>0</v>
      </c>
      <c r="AF82" s="17">
        <v>0</v>
      </c>
      <c r="AG82" s="17">
        <v>29</v>
      </c>
      <c r="AH82" s="18">
        <v>10</v>
      </c>
      <c r="AI82" s="18">
        <v>10</v>
      </c>
      <c r="AJ82" s="18">
        <v>0</v>
      </c>
      <c r="AK82" s="18">
        <v>0</v>
      </c>
      <c r="AL82" s="18">
        <v>20</v>
      </c>
      <c r="AM82" s="19" t="s">
        <v>24</v>
      </c>
    </row>
    <row r="83" spans="1:39" x14ac:dyDescent="0.25">
      <c r="A83" s="10">
        <v>2016</v>
      </c>
      <c r="B83" s="11">
        <v>4794</v>
      </c>
      <c r="C83" s="12" t="s">
        <v>131</v>
      </c>
      <c r="D83" s="12" t="s">
        <v>25</v>
      </c>
      <c r="E83" s="22" t="str">
        <f t="shared" si="5"/>
        <v/>
      </c>
      <c r="F83" s="22">
        <f t="shared" si="6"/>
        <v>11578.947368421053</v>
      </c>
      <c r="G83" s="22">
        <f t="shared" si="7"/>
        <v>11333.333333333334</v>
      </c>
      <c r="H83" s="22" t="str">
        <f t="shared" si="8"/>
        <v/>
      </c>
      <c r="I83" s="13">
        <v>0</v>
      </c>
      <c r="J83" s="13">
        <v>3</v>
      </c>
      <c r="K83" s="13">
        <v>2</v>
      </c>
      <c r="L83" s="13">
        <v>0</v>
      </c>
      <c r="M83" s="13">
        <v>5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5">
        <v>0</v>
      </c>
      <c r="T83" s="15">
        <v>1.9</v>
      </c>
      <c r="U83" s="15">
        <v>3</v>
      </c>
      <c r="V83" s="15">
        <v>0</v>
      </c>
      <c r="W83" s="15">
        <v>4.9000000000000004</v>
      </c>
      <c r="X83" s="16">
        <v>0</v>
      </c>
      <c r="Y83" s="16">
        <v>1.5</v>
      </c>
      <c r="Z83" s="16">
        <v>2.6</v>
      </c>
      <c r="AA83" s="16">
        <v>0</v>
      </c>
      <c r="AB83" s="16">
        <v>4.0999999999999996</v>
      </c>
      <c r="AC83" s="17">
        <v>0</v>
      </c>
      <c r="AD83" s="17">
        <v>22</v>
      </c>
      <c r="AE83" s="17">
        <v>34</v>
      </c>
      <c r="AF83" s="17">
        <v>0</v>
      </c>
      <c r="AG83" s="17">
        <v>56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9" t="s">
        <v>24</v>
      </c>
    </row>
    <row r="84" spans="1:39" x14ac:dyDescent="0.25">
      <c r="A84" s="10">
        <v>2016</v>
      </c>
      <c r="B84" s="11">
        <v>4911</v>
      </c>
      <c r="C84" s="12" t="s">
        <v>132</v>
      </c>
      <c r="D84" s="12" t="s">
        <v>72</v>
      </c>
      <c r="E84" s="22" t="str">
        <f t="shared" si="5"/>
        <v/>
      </c>
      <c r="F84" s="22" t="str">
        <f t="shared" si="6"/>
        <v/>
      </c>
      <c r="G84" s="22">
        <f t="shared" si="7"/>
        <v>1653.2721010332953</v>
      </c>
      <c r="H84" s="22" t="str">
        <f t="shared" si="8"/>
        <v/>
      </c>
      <c r="I84" s="13">
        <v>0</v>
      </c>
      <c r="J84" s="13">
        <v>0</v>
      </c>
      <c r="K84" s="13">
        <v>4449</v>
      </c>
      <c r="L84" s="13">
        <v>0</v>
      </c>
      <c r="M84" s="13">
        <v>4449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5">
        <v>0</v>
      </c>
      <c r="T84" s="15">
        <v>0</v>
      </c>
      <c r="U84" s="15">
        <v>87.1</v>
      </c>
      <c r="V84" s="15">
        <v>0</v>
      </c>
      <c r="W84" s="15">
        <v>87.1</v>
      </c>
      <c r="X84" s="16">
        <v>0</v>
      </c>
      <c r="Y84" s="16">
        <v>0</v>
      </c>
      <c r="Z84" s="16">
        <v>59.1</v>
      </c>
      <c r="AA84" s="16">
        <v>0</v>
      </c>
      <c r="AB84" s="16">
        <v>59.1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8">
        <v>0</v>
      </c>
      <c r="AI84" s="18">
        <v>0</v>
      </c>
      <c r="AJ84" s="18">
        <v>144</v>
      </c>
      <c r="AK84" s="18">
        <v>0</v>
      </c>
      <c r="AL84" s="18">
        <v>144</v>
      </c>
      <c r="AM84" s="19" t="s">
        <v>24</v>
      </c>
    </row>
    <row r="85" spans="1:39" x14ac:dyDescent="0.25">
      <c r="A85" s="10">
        <v>2016</v>
      </c>
      <c r="B85" s="11">
        <v>5027</v>
      </c>
      <c r="C85" s="12" t="s">
        <v>133</v>
      </c>
      <c r="D85" s="12" t="s">
        <v>134</v>
      </c>
      <c r="E85" s="22">
        <f t="shared" si="5"/>
        <v>132281.10599078343</v>
      </c>
      <c r="F85" s="22" t="str">
        <f t="shared" si="6"/>
        <v/>
      </c>
      <c r="G85" s="22" t="str">
        <f t="shared" si="7"/>
        <v/>
      </c>
      <c r="H85" s="22" t="str">
        <f t="shared" si="8"/>
        <v/>
      </c>
      <c r="I85" s="13">
        <v>248000</v>
      </c>
      <c r="J85" s="13">
        <v>0</v>
      </c>
      <c r="K85" s="13">
        <v>0</v>
      </c>
      <c r="L85" s="13">
        <v>0</v>
      </c>
      <c r="M85" s="13">
        <v>248000</v>
      </c>
      <c r="N85" s="14">
        <v>2083</v>
      </c>
      <c r="O85" s="14">
        <v>0</v>
      </c>
      <c r="P85" s="14">
        <v>0</v>
      </c>
      <c r="Q85" s="14">
        <v>0</v>
      </c>
      <c r="R85" s="14">
        <v>2083</v>
      </c>
      <c r="S85" s="15">
        <v>43.4</v>
      </c>
      <c r="T85" s="15">
        <v>0</v>
      </c>
      <c r="U85" s="15">
        <v>0</v>
      </c>
      <c r="V85" s="15">
        <v>0</v>
      </c>
      <c r="W85" s="15">
        <v>43.4</v>
      </c>
      <c r="X85" s="16">
        <v>43.4</v>
      </c>
      <c r="Y85" s="16">
        <v>0</v>
      </c>
      <c r="Z85" s="16">
        <v>0</v>
      </c>
      <c r="AA85" s="16">
        <v>0</v>
      </c>
      <c r="AB85" s="16">
        <v>43.4</v>
      </c>
      <c r="AC85" s="17">
        <v>575</v>
      </c>
      <c r="AD85" s="17">
        <v>0</v>
      </c>
      <c r="AE85" s="17">
        <v>0</v>
      </c>
      <c r="AF85" s="17">
        <v>0</v>
      </c>
      <c r="AG85" s="17">
        <v>575</v>
      </c>
      <c r="AH85" s="18">
        <v>5166</v>
      </c>
      <c r="AI85" s="18">
        <v>0</v>
      </c>
      <c r="AJ85" s="18">
        <v>0</v>
      </c>
      <c r="AK85" s="18">
        <v>0</v>
      </c>
      <c r="AL85" s="18">
        <v>5166</v>
      </c>
      <c r="AM85" s="19" t="s">
        <v>24</v>
      </c>
    </row>
    <row r="86" spans="1:39" x14ac:dyDescent="0.25">
      <c r="A86" s="10">
        <v>2016</v>
      </c>
      <c r="B86" s="11">
        <v>5027</v>
      </c>
      <c r="C86" s="12" t="s">
        <v>133</v>
      </c>
      <c r="D86" s="12" t="s">
        <v>23</v>
      </c>
      <c r="E86" s="22">
        <f t="shared" si="5"/>
        <v>136878.78787878787</v>
      </c>
      <c r="F86" s="22">
        <f t="shared" si="6"/>
        <v>100851.06382978724</v>
      </c>
      <c r="G86" s="22" t="str">
        <f t="shared" si="7"/>
        <v/>
      </c>
      <c r="H86" s="22" t="str">
        <f t="shared" si="8"/>
        <v/>
      </c>
      <c r="I86" s="13">
        <v>165000</v>
      </c>
      <c r="J86" s="13">
        <v>755</v>
      </c>
      <c r="K86" s="13">
        <v>0</v>
      </c>
      <c r="L86" s="13">
        <v>0</v>
      </c>
      <c r="M86" s="13">
        <v>165755</v>
      </c>
      <c r="N86" s="14">
        <v>3780</v>
      </c>
      <c r="O86" s="14">
        <v>224</v>
      </c>
      <c r="P86" s="14">
        <v>0</v>
      </c>
      <c r="Q86" s="14">
        <v>0</v>
      </c>
      <c r="R86" s="14">
        <v>4004</v>
      </c>
      <c r="S86" s="15">
        <v>33</v>
      </c>
      <c r="T86" s="15">
        <v>4.7</v>
      </c>
      <c r="U86" s="15">
        <v>0</v>
      </c>
      <c r="V86" s="15">
        <v>0</v>
      </c>
      <c r="W86" s="15">
        <v>37.700000000000003</v>
      </c>
      <c r="X86" s="16">
        <v>33</v>
      </c>
      <c r="Y86" s="16">
        <v>4.7</v>
      </c>
      <c r="Z86" s="16">
        <v>0</v>
      </c>
      <c r="AA86" s="16">
        <v>0</v>
      </c>
      <c r="AB86" s="16">
        <v>37.700000000000003</v>
      </c>
      <c r="AC86" s="17">
        <v>1878</v>
      </c>
      <c r="AD86" s="17">
        <v>207</v>
      </c>
      <c r="AE86" s="17">
        <v>0</v>
      </c>
      <c r="AF86" s="17">
        <v>0</v>
      </c>
      <c r="AG86" s="17">
        <v>2085</v>
      </c>
      <c r="AH86" s="18">
        <v>2639</v>
      </c>
      <c r="AI86" s="18">
        <v>267</v>
      </c>
      <c r="AJ86" s="18">
        <v>0</v>
      </c>
      <c r="AK86" s="18">
        <v>0</v>
      </c>
      <c r="AL86" s="18">
        <v>2906</v>
      </c>
      <c r="AM86" s="19" t="s">
        <v>24</v>
      </c>
    </row>
    <row r="87" spans="1:39" x14ac:dyDescent="0.25">
      <c r="A87" s="10">
        <v>2016</v>
      </c>
      <c r="B87" s="11">
        <v>5056</v>
      </c>
      <c r="C87" s="12" t="s">
        <v>135</v>
      </c>
      <c r="D87" s="12" t="s">
        <v>38</v>
      </c>
      <c r="E87" s="22">
        <f t="shared" si="5"/>
        <v>54000</v>
      </c>
      <c r="F87" s="22">
        <f t="shared" si="6"/>
        <v>26666.666666666668</v>
      </c>
      <c r="G87" s="22" t="str">
        <f t="shared" si="7"/>
        <v/>
      </c>
      <c r="H87" s="22" t="str">
        <f t="shared" si="8"/>
        <v/>
      </c>
      <c r="I87" s="13">
        <v>2431</v>
      </c>
      <c r="J87" s="13">
        <v>156</v>
      </c>
      <c r="K87" s="13">
        <v>19</v>
      </c>
      <c r="L87" s="13">
        <v>0</v>
      </c>
      <c r="M87" s="13">
        <v>2606</v>
      </c>
      <c r="N87" s="14">
        <v>27</v>
      </c>
      <c r="O87" s="14">
        <v>9</v>
      </c>
      <c r="P87" s="14">
        <v>0</v>
      </c>
      <c r="Q87" s="14">
        <v>0</v>
      </c>
      <c r="R87" s="14">
        <v>36</v>
      </c>
      <c r="S87" s="15">
        <v>1.5</v>
      </c>
      <c r="T87" s="15">
        <v>0.3</v>
      </c>
      <c r="U87" s="15">
        <v>0</v>
      </c>
      <c r="V87" s="15">
        <v>0</v>
      </c>
      <c r="W87" s="15">
        <v>1.8</v>
      </c>
      <c r="X87" s="16">
        <v>1.5</v>
      </c>
      <c r="Y87" s="16">
        <v>0.3</v>
      </c>
      <c r="Z87" s="16">
        <v>0</v>
      </c>
      <c r="AA87" s="16">
        <v>0</v>
      </c>
      <c r="AB87" s="16">
        <v>1.8</v>
      </c>
      <c r="AC87" s="17">
        <v>78</v>
      </c>
      <c r="AD87" s="17">
        <v>7</v>
      </c>
      <c r="AE87" s="17">
        <v>21</v>
      </c>
      <c r="AF87" s="17">
        <v>0</v>
      </c>
      <c r="AG87" s="17">
        <v>106</v>
      </c>
      <c r="AH87" s="18">
        <v>3</v>
      </c>
      <c r="AI87" s="18">
        <v>1</v>
      </c>
      <c r="AJ87" s="18">
        <v>2</v>
      </c>
      <c r="AK87" s="18">
        <v>0</v>
      </c>
      <c r="AL87" s="18">
        <v>6</v>
      </c>
      <c r="AM87" s="19" t="s">
        <v>24</v>
      </c>
    </row>
    <row r="88" spans="1:39" x14ac:dyDescent="0.25">
      <c r="A88" s="10">
        <v>2016</v>
      </c>
      <c r="B88" s="11">
        <v>5070</v>
      </c>
      <c r="C88" s="12" t="s">
        <v>136</v>
      </c>
      <c r="D88" s="12" t="s">
        <v>134</v>
      </c>
      <c r="E88" s="22">
        <f t="shared" si="5"/>
        <v>39915.254237288136</v>
      </c>
      <c r="F88" s="22">
        <f t="shared" si="6"/>
        <v>0</v>
      </c>
      <c r="G88" s="22" t="str">
        <f t="shared" si="7"/>
        <v/>
      </c>
      <c r="H88" s="22" t="str">
        <f t="shared" si="8"/>
        <v/>
      </c>
      <c r="I88" s="13">
        <v>21862</v>
      </c>
      <c r="J88" s="13">
        <v>1117</v>
      </c>
      <c r="K88" s="13">
        <v>0</v>
      </c>
      <c r="L88" s="13">
        <v>0</v>
      </c>
      <c r="M88" s="13">
        <v>22979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5">
        <v>11.8</v>
      </c>
      <c r="T88" s="15">
        <v>15.2</v>
      </c>
      <c r="U88" s="15">
        <v>0</v>
      </c>
      <c r="V88" s="15">
        <v>0</v>
      </c>
      <c r="W88" s="15">
        <v>27</v>
      </c>
      <c r="X88" s="16">
        <v>9.8000000000000007</v>
      </c>
      <c r="Y88" s="16">
        <v>14.2</v>
      </c>
      <c r="Z88" s="16">
        <v>0</v>
      </c>
      <c r="AA88" s="16">
        <v>0</v>
      </c>
      <c r="AB88" s="16">
        <v>24</v>
      </c>
      <c r="AC88" s="17">
        <v>433</v>
      </c>
      <c r="AD88" s="17">
        <v>0</v>
      </c>
      <c r="AE88" s="17">
        <v>0</v>
      </c>
      <c r="AF88" s="17">
        <v>0</v>
      </c>
      <c r="AG88" s="17">
        <v>433</v>
      </c>
      <c r="AH88" s="18">
        <v>38</v>
      </c>
      <c r="AI88" s="18">
        <v>0</v>
      </c>
      <c r="AJ88" s="18">
        <v>0</v>
      </c>
      <c r="AK88" s="18">
        <v>0</v>
      </c>
      <c r="AL88" s="18">
        <v>38</v>
      </c>
      <c r="AM88" s="19" t="s">
        <v>24</v>
      </c>
    </row>
    <row r="89" spans="1:39" x14ac:dyDescent="0.25">
      <c r="A89" s="10">
        <v>2016</v>
      </c>
      <c r="B89" s="11">
        <v>5078</v>
      </c>
      <c r="C89" s="12" t="s">
        <v>137</v>
      </c>
      <c r="D89" s="12" t="s">
        <v>56</v>
      </c>
      <c r="E89" s="22">
        <f t="shared" si="5"/>
        <v>87846.153846153844</v>
      </c>
      <c r="F89" s="22" t="str">
        <f t="shared" si="6"/>
        <v/>
      </c>
      <c r="G89" s="22" t="str">
        <f t="shared" si="7"/>
        <v/>
      </c>
      <c r="H89" s="22" t="str">
        <f t="shared" si="8"/>
        <v/>
      </c>
      <c r="I89" s="13">
        <v>5802</v>
      </c>
      <c r="J89" s="13">
        <v>0</v>
      </c>
      <c r="K89" s="13">
        <v>0</v>
      </c>
      <c r="L89" s="13">
        <v>0</v>
      </c>
      <c r="M89" s="13">
        <v>5802</v>
      </c>
      <c r="N89" s="14">
        <v>16</v>
      </c>
      <c r="O89" s="14">
        <v>0</v>
      </c>
      <c r="P89" s="14">
        <v>0</v>
      </c>
      <c r="Q89" s="14">
        <v>0</v>
      </c>
      <c r="R89" s="14">
        <v>16</v>
      </c>
      <c r="S89" s="15">
        <v>13</v>
      </c>
      <c r="T89" s="15">
        <v>0</v>
      </c>
      <c r="U89" s="15">
        <v>0</v>
      </c>
      <c r="V89" s="15">
        <v>0</v>
      </c>
      <c r="W89" s="15">
        <v>13</v>
      </c>
      <c r="X89" s="16">
        <v>8</v>
      </c>
      <c r="Y89" s="16">
        <v>0</v>
      </c>
      <c r="Z89" s="16">
        <v>0</v>
      </c>
      <c r="AA89" s="16">
        <v>0</v>
      </c>
      <c r="AB89" s="16">
        <v>8</v>
      </c>
      <c r="AC89" s="17">
        <v>887</v>
      </c>
      <c r="AD89" s="17">
        <v>0</v>
      </c>
      <c r="AE89" s="17">
        <v>0</v>
      </c>
      <c r="AF89" s="17">
        <v>0</v>
      </c>
      <c r="AG89" s="17">
        <v>887</v>
      </c>
      <c r="AH89" s="18">
        <v>255</v>
      </c>
      <c r="AI89" s="18">
        <v>0</v>
      </c>
      <c r="AJ89" s="18">
        <v>0</v>
      </c>
      <c r="AK89" s="18">
        <v>0</v>
      </c>
      <c r="AL89" s="18">
        <v>255</v>
      </c>
      <c r="AM89" s="19" t="s">
        <v>24</v>
      </c>
    </row>
    <row r="90" spans="1:39" x14ac:dyDescent="0.25">
      <c r="A90" s="10">
        <v>2016</v>
      </c>
      <c r="B90" s="11">
        <v>5109</v>
      </c>
      <c r="C90" s="12" t="s">
        <v>138</v>
      </c>
      <c r="D90" s="12" t="s">
        <v>122</v>
      </c>
      <c r="E90" s="22">
        <f t="shared" si="5"/>
        <v>2721.0884353741499</v>
      </c>
      <c r="F90" s="22">
        <f t="shared" si="6"/>
        <v>0</v>
      </c>
      <c r="G90" s="22">
        <f t="shared" si="7"/>
        <v>0</v>
      </c>
      <c r="H90" s="22" t="str">
        <f t="shared" si="8"/>
        <v/>
      </c>
      <c r="I90" s="13">
        <v>326492</v>
      </c>
      <c r="J90" s="13">
        <v>2169</v>
      </c>
      <c r="K90" s="13">
        <v>272</v>
      </c>
      <c r="L90" s="13">
        <v>0</v>
      </c>
      <c r="M90" s="13">
        <v>328933</v>
      </c>
      <c r="N90" s="14">
        <v>180</v>
      </c>
      <c r="O90" s="14">
        <v>0</v>
      </c>
      <c r="P90" s="14">
        <v>0</v>
      </c>
      <c r="Q90" s="14">
        <v>0</v>
      </c>
      <c r="R90" s="14">
        <v>180</v>
      </c>
      <c r="S90" s="15">
        <v>147</v>
      </c>
      <c r="T90" s="15">
        <v>156</v>
      </c>
      <c r="U90" s="15">
        <v>342</v>
      </c>
      <c r="V90" s="15">
        <v>0</v>
      </c>
      <c r="W90" s="15">
        <v>645</v>
      </c>
      <c r="X90" s="16">
        <v>60</v>
      </c>
      <c r="Y90" s="16">
        <v>0</v>
      </c>
      <c r="Z90" s="16">
        <v>0</v>
      </c>
      <c r="AA90" s="16">
        <v>0</v>
      </c>
      <c r="AB90" s="16">
        <v>60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8">
        <v>400</v>
      </c>
      <c r="AI90" s="18">
        <v>0</v>
      </c>
      <c r="AJ90" s="18">
        <v>0</v>
      </c>
      <c r="AK90" s="18">
        <v>0</v>
      </c>
      <c r="AL90" s="18">
        <v>400</v>
      </c>
      <c r="AM90" s="19" t="s">
        <v>24</v>
      </c>
    </row>
    <row r="91" spans="1:39" x14ac:dyDescent="0.25">
      <c r="A91" s="10">
        <v>2016</v>
      </c>
      <c r="B91" s="11">
        <v>5111</v>
      </c>
      <c r="C91" s="12" t="s">
        <v>139</v>
      </c>
      <c r="D91" s="12" t="s">
        <v>36</v>
      </c>
      <c r="E91" s="22">
        <f t="shared" si="5"/>
        <v>232000</v>
      </c>
      <c r="F91" s="22">
        <f t="shared" si="6"/>
        <v>455000</v>
      </c>
      <c r="G91" s="22" t="str">
        <f t="shared" si="7"/>
        <v/>
      </c>
      <c r="H91" s="22" t="str">
        <f t="shared" si="8"/>
        <v/>
      </c>
      <c r="I91" s="13">
        <v>1051</v>
      </c>
      <c r="J91" s="13">
        <v>100</v>
      </c>
      <c r="K91" s="13">
        <v>11</v>
      </c>
      <c r="L91" s="13">
        <v>0</v>
      </c>
      <c r="M91" s="13">
        <v>1162</v>
      </c>
      <c r="N91" s="14">
        <v>251</v>
      </c>
      <c r="O91" s="14">
        <v>3</v>
      </c>
      <c r="P91" s="14">
        <v>0</v>
      </c>
      <c r="Q91" s="14">
        <v>0</v>
      </c>
      <c r="R91" s="14">
        <v>254</v>
      </c>
      <c r="S91" s="15">
        <v>1.5</v>
      </c>
      <c r="T91" s="15">
        <v>0.2</v>
      </c>
      <c r="U91" s="15">
        <v>0</v>
      </c>
      <c r="V91" s="15">
        <v>0</v>
      </c>
      <c r="W91" s="15">
        <v>1.7</v>
      </c>
      <c r="X91" s="16">
        <v>0.3</v>
      </c>
      <c r="Y91" s="16">
        <v>0</v>
      </c>
      <c r="Z91" s="16">
        <v>0</v>
      </c>
      <c r="AA91" s="16">
        <v>0</v>
      </c>
      <c r="AB91" s="16">
        <v>0.3</v>
      </c>
      <c r="AC91" s="17">
        <v>250</v>
      </c>
      <c r="AD91" s="17">
        <v>80</v>
      </c>
      <c r="AE91" s="17">
        <v>8</v>
      </c>
      <c r="AF91" s="17">
        <v>0</v>
      </c>
      <c r="AG91" s="17">
        <v>338</v>
      </c>
      <c r="AH91" s="18">
        <v>98</v>
      </c>
      <c r="AI91" s="18">
        <v>11</v>
      </c>
      <c r="AJ91" s="18">
        <v>1</v>
      </c>
      <c r="AK91" s="18">
        <v>0</v>
      </c>
      <c r="AL91" s="18">
        <v>110</v>
      </c>
      <c r="AM91" s="19" t="s">
        <v>24</v>
      </c>
    </row>
    <row r="92" spans="1:39" x14ac:dyDescent="0.25">
      <c r="A92" s="10">
        <v>2016</v>
      </c>
      <c r="B92" s="11">
        <v>5335</v>
      </c>
      <c r="C92" s="12" t="s">
        <v>140</v>
      </c>
      <c r="D92" s="12" t="s">
        <v>134</v>
      </c>
      <c r="E92" s="22" t="str">
        <f t="shared" si="5"/>
        <v/>
      </c>
      <c r="F92" s="22">
        <f t="shared" si="6"/>
        <v>12666.666666666666</v>
      </c>
      <c r="G92" s="22">
        <f t="shared" si="7"/>
        <v>29000</v>
      </c>
      <c r="H92" s="22" t="str">
        <f t="shared" si="8"/>
        <v/>
      </c>
      <c r="I92" s="13">
        <v>0</v>
      </c>
      <c r="J92" s="13">
        <v>2</v>
      </c>
      <c r="K92" s="13">
        <v>2</v>
      </c>
      <c r="L92" s="13">
        <v>0</v>
      </c>
      <c r="M92" s="13">
        <v>4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5">
        <v>0</v>
      </c>
      <c r="T92" s="15">
        <v>3</v>
      </c>
      <c r="U92" s="15">
        <v>4</v>
      </c>
      <c r="V92" s="15">
        <v>0</v>
      </c>
      <c r="W92" s="15">
        <v>7</v>
      </c>
      <c r="X92" s="16">
        <v>0</v>
      </c>
      <c r="Y92" s="16">
        <v>2</v>
      </c>
      <c r="Z92" s="16">
        <v>3</v>
      </c>
      <c r="AA92" s="16">
        <v>0</v>
      </c>
      <c r="AB92" s="16">
        <v>5</v>
      </c>
      <c r="AC92" s="17">
        <v>0</v>
      </c>
      <c r="AD92" s="17">
        <v>38</v>
      </c>
      <c r="AE92" s="17">
        <v>116</v>
      </c>
      <c r="AF92" s="17">
        <v>0</v>
      </c>
      <c r="AG92" s="17">
        <v>154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9" t="s">
        <v>24</v>
      </c>
    </row>
    <row r="93" spans="1:39" x14ac:dyDescent="0.25">
      <c r="A93" s="10">
        <v>2016</v>
      </c>
      <c r="B93" s="11">
        <v>5336</v>
      </c>
      <c r="C93" s="12" t="s">
        <v>141</v>
      </c>
      <c r="D93" s="12" t="s">
        <v>102</v>
      </c>
      <c r="E93" s="22" t="str">
        <f t="shared" si="5"/>
        <v/>
      </c>
      <c r="F93" s="22" t="str">
        <f t="shared" si="6"/>
        <v/>
      </c>
      <c r="G93" s="22">
        <f t="shared" si="7"/>
        <v>19333.333333333332</v>
      </c>
      <c r="H93" s="22" t="str">
        <f t="shared" si="8"/>
        <v/>
      </c>
      <c r="I93" s="13">
        <v>0</v>
      </c>
      <c r="J93" s="13">
        <v>0</v>
      </c>
      <c r="K93" s="13">
        <v>8</v>
      </c>
      <c r="L93" s="13">
        <v>0</v>
      </c>
      <c r="M93" s="13">
        <v>8</v>
      </c>
      <c r="N93" s="14">
        <v>0</v>
      </c>
      <c r="O93" s="14">
        <v>0</v>
      </c>
      <c r="P93" s="14">
        <v>3</v>
      </c>
      <c r="Q93" s="14">
        <v>0</v>
      </c>
      <c r="R93" s="14">
        <v>3</v>
      </c>
      <c r="S93" s="15">
        <v>0</v>
      </c>
      <c r="T93" s="15">
        <v>0</v>
      </c>
      <c r="U93" s="15">
        <v>3</v>
      </c>
      <c r="V93" s="15">
        <v>0</v>
      </c>
      <c r="W93" s="15">
        <v>3</v>
      </c>
      <c r="X93" s="16">
        <v>0</v>
      </c>
      <c r="Y93" s="16">
        <v>0</v>
      </c>
      <c r="Z93" s="16">
        <v>3</v>
      </c>
      <c r="AA93" s="16">
        <v>0</v>
      </c>
      <c r="AB93" s="16">
        <v>3</v>
      </c>
      <c r="AC93" s="17">
        <v>0</v>
      </c>
      <c r="AD93" s="17">
        <v>0</v>
      </c>
      <c r="AE93" s="17">
        <v>58</v>
      </c>
      <c r="AF93" s="17">
        <v>0</v>
      </c>
      <c r="AG93" s="17">
        <v>58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9" t="s">
        <v>24</v>
      </c>
    </row>
    <row r="94" spans="1:39" x14ac:dyDescent="0.25">
      <c r="A94" s="10">
        <v>2016</v>
      </c>
      <c r="B94" s="11">
        <v>5416</v>
      </c>
      <c r="C94" s="12" t="s">
        <v>142</v>
      </c>
      <c r="D94" s="12" t="s">
        <v>81</v>
      </c>
      <c r="E94" s="22">
        <f t="shared" si="5"/>
        <v>32202.072538860102</v>
      </c>
      <c r="F94" s="22">
        <f t="shared" si="6"/>
        <v>138288.77005347595</v>
      </c>
      <c r="G94" s="22">
        <f t="shared" si="7"/>
        <v>0</v>
      </c>
      <c r="H94" s="22" t="str">
        <f t="shared" si="8"/>
        <v/>
      </c>
      <c r="I94" s="13">
        <v>140018</v>
      </c>
      <c r="J94" s="13">
        <v>83</v>
      </c>
      <c r="K94" s="13">
        <v>114</v>
      </c>
      <c r="L94" s="13">
        <v>0</v>
      </c>
      <c r="M94" s="13">
        <v>140215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5">
        <v>308.8</v>
      </c>
      <c r="T94" s="15">
        <v>74.8</v>
      </c>
      <c r="U94" s="15">
        <v>250</v>
      </c>
      <c r="V94" s="15">
        <v>0</v>
      </c>
      <c r="W94" s="15">
        <v>633.6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7">
        <v>4464</v>
      </c>
      <c r="AD94" s="17">
        <v>9783</v>
      </c>
      <c r="AE94" s="17">
        <v>0</v>
      </c>
      <c r="AF94" s="17">
        <v>0</v>
      </c>
      <c r="AG94" s="17">
        <v>14247</v>
      </c>
      <c r="AH94" s="18">
        <v>5480</v>
      </c>
      <c r="AI94" s="18">
        <v>561</v>
      </c>
      <c r="AJ94" s="18">
        <v>0</v>
      </c>
      <c r="AK94" s="18">
        <v>0</v>
      </c>
      <c r="AL94" s="18">
        <v>6041</v>
      </c>
      <c r="AM94" s="19" t="s">
        <v>24</v>
      </c>
    </row>
    <row r="95" spans="1:39" x14ac:dyDescent="0.25">
      <c r="A95" s="10">
        <v>2016</v>
      </c>
      <c r="B95" s="11">
        <v>5416</v>
      </c>
      <c r="C95" s="12" t="s">
        <v>142</v>
      </c>
      <c r="D95" s="12" t="s">
        <v>64</v>
      </c>
      <c r="E95" s="22">
        <f t="shared" si="5"/>
        <v>33105.31053105311</v>
      </c>
      <c r="F95" s="22">
        <f t="shared" si="6"/>
        <v>185728.15533980582</v>
      </c>
      <c r="G95" s="22">
        <f t="shared" si="7"/>
        <v>0</v>
      </c>
      <c r="H95" s="22" t="str">
        <f t="shared" si="8"/>
        <v/>
      </c>
      <c r="I95" s="13">
        <v>49318</v>
      </c>
      <c r="J95" s="13">
        <v>16</v>
      </c>
      <c r="K95" s="13">
        <v>42</v>
      </c>
      <c r="L95" s="13">
        <v>0</v>
      </c>
      <c r="M95" s="13">
        <v>49376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5">
        <v>111.1</v>
      </c>
      <c r="T95" s="15">
        <v>20.6</v>
      </c>
      <c r="U95" s="15">
        <v>134.5</v>
      </c>
      <c r="V95" s="15">
        <v>0</v>
      </c>
      <c r="W95" s="15">
        <v>266.2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7">
        <v>1651</v>
      </c>
      <c r="AD95" s="17">
        <v>3618</v>
      </c>
      <c r="AE95" s="17">
        <v>0</v>
      </c>
      <c r="AF95" s="17">
        <v>0</v>
      </c>
      <c r="AG95" s="17">
        <v>5269</v>
      </c>
      <c r="AH95" s="18">
        <v>2027</v>
      </c>
      <c r="AI95" s="18">
        <v>208</v>
      </c>
      <c r="AJ95" s="18">
        <v>0</v>
      </c>
      <c r="AK95" s="18">
        <v>0</v>
      </c>
      <c r="AL95" s="18">
        <v>2235</v>
      </c>
      <c r="AM95" s="19" t="s">
        <v>24</v>
      </c>
    </row>
    <row r="96" spans="1:39" x14ac:dyDescent="0.25">
      <c r="A96" s="10">
        <v>2016</v>
      </c>
      <c r="B96" s="11">
        <v>5417</v>
      </c>
      <c r="C96" s="12" t="s">
        <v>143</v>
      </c>
      <c r="D96" s="12" t="s">
        <v>29</v>
      </c>
      <c r="E96" s="22">
        <f t="shared" si="5"/>
        <v>14117.64705882353</v>
      </c>
      <c r="F96" s="22">
        <f t="shared" si="6"/>
        <v>14335.664335664334</v>
      </c>
      <c r="G96" s="22" t="str">
        <f t="shared" si="7"/>
        <v/>
      </c>
      <c r="H96" s="22" t="str">
        <f t="shared" si="8"/>
        <v/>
      </c>
      <c r="I96" s="13">
        <v>3553</v>
      </c>
      <c r="J96" s="13">
        <v>361</v>
      </c>
      <c r="K96" s="13">
        <v>0</v>
      </c>
      <c r="L96" s="13">
        <v>0</v>
      </c>
      <c r="M96" s="13">
        <v>3914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5">
        <v>1.7</v>
      </c>
      <c r="T96" s="15">
        <v>14.3</v>
      </c>
      <c r="U96" s="15">
        <v>0</v>
      </c>
      <c r="V96" s="15">
        <v>0</v>
      </c>
      <c r="W96" s="15">
        <v>16</v>
      </c>
      <c r="X96" s="16">
        <v>0.7</v>
      </c>
      <c r="Y96" s="16">
        <v>5.5</v>
      </c>
      <c r="Z96" s="16">
        <v>0</v>
      </c>
      <c r="AA96" s="16">
        <v>0</v>
      </c>
      <c r="AB96" s="16">
        <v>6.2</v>
      </c>
      <c r="AC96" s="17">
        <v>13</v>
      </c>
      <c r="AD96" s="17">
        <v>113</v>
      </c>
      <c r="AE96" s="17">
        <v>0</v>
      </c>
      <c r="AF96" s="17">
        <v>0</v>
      </c>
      <c r="AG96" s="17">
        <v>126</v>
      </c>
      <c r="AH96" s="18">
        <v>11</v>
      </c>
      <c r="AI96" s="18">
        <v>92</v>
      </c>
      <c r="AJ96" s="18">
        <v>0</v>
      </c>
      <c r="AK96" s="18">
        <v>0</v>
      </c>
      <c r="AL96" s="18">
        <v>103</v>
      </c>
      <c r="AM96" s="19">
        <v>0</v>
      </c>
    </row>
    <row r="97" spans="1:39" x14ac:dyDescent="0.25">
      <c r="A97" s="10">
        <v>2016</v>
      </c>
      <c r="B97" s="11">
        <v>5480</v>
      </c>
      <c r="C97" s="12" t="s">
        <v>144</v>
      </c>
      <c r="D97" s="12" t="s">
        <v>117</v>
      </c>
      <c r="E97" s="22">
        <f t="shared" si="5"/>
        <v>103333.33333333334</v>
      </c>
      <c r="F97" s="22">
        <f t="shared" si="6"/>
        <v>71428.571428571435</v>
      </c>
      <c r="G97" s="22">
        <f t="shared" si="7"/>
        <v>140000</v>
      </c>
      <c r="H97" s="22" t="str">
        <f t="shared" si="8"/>
        <v/>
      </c>
      <c r="I97" s="13">
        <v>1230</v>
      </c>
      <c r="J97" s="13">
        <v>74</v>
      </c>
      <c r="K97" s="13">
        <v>5</v>
      </c>
      <c r="L97" s="13">
        <v>0</v>
      </c>
      <c r="M97" s="13">
        <v>1309</v>
      </c>
      <c r="N97" s="14">
        <v>3</v>
      </c>
      <c r="O97" s="14">
        <v>4</v>
      </c>
      <c r="P97" s="14">
        <v>1</v>
      </c>
      <c r="Q97" s="14">
        <v>0</v>
      </c>
      <c r="R97" s="14">
        <v>8</v>
      </c>
      <c r="S97" s="15">
        <v>0.3</v>
      </c>
      <c r="T97" s="15">
        <v>0.7</v>
      </c>
      <c r="U97" s="15">
        <v>0.2</v>
      </c>
      <c r="V97" s="15">
        <v>0</v>
      </c>
      <c r="W97" s="15">
        <v>1.2</v>
      </c>
      <c r="X97" s="16">
        <v>0.3</v>
      </c>
      <c r="Y97" s="16">
        <v>0.7</v>
      </c>
      <c r="Z97" s="16">
        <v>0.2</v>
      </c>
      <c r="AA97" s="16">
        <v>0</v>
      </c>
      <c r="AB97" s="16">
        <v>1.2</v>
      </c>
      <c r="AC97" s="17">
        <v>29</v>
      </c>
      <c r="AD97" s="17">
        <v>0</v>
      </c>
      <c r="AE97" s="17">
        <v>14</v>
      </c>
      <c r="AF97" s="17">
        <v>0</v>
      </c>
      <c r="AG97" s="17">
        <v>43</v>
      </c>
      <c r="AH97" s="18">
        <v>2</v>
      </c>
      <c r="AI97" s="18">
        <v>50</v>
      </c>
      <c r="AJ97" s="18">
        <v>14</v>
      </c>
      <c r="AK97" s="18">
        <v>0</v>
      </c>
      <c r="AL97" s="18">
        <v>66</v>
      </c>
      <c r="AM97" s="19" t="s">
        <v>24</v>
      </c>
    </row>
    <row r="98" spans="1:39" x14ac:dyDescent="0.25">
      <c r="A98" s="10">
        <v>2016</v>
      </c>
      <c r="B98" s="11">
        <v>5552</v>
      </c>
      <c r="C98" s="12" t="s">
        <v>145</v>
      </c>
      <c r="D98" s="12" t="s">
        <v>66</v>
      </c>
      <c r="E98" s="22">
        <f t="shared" si="5"/>
        <v>41617.647058823532</v>
      </c>
      <c r="F98" s="22" t="str">
        <f t="shared" si="6"/>
        <v/>
      </c>
      <c r="G98" s="22">
        <f t="shared" si="7"/>
        <v>8428.5714285714294</v>
      </c>
      <c r="H98" s="22" t="str">
        <f t="shared" si="8"/>
        <v/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5">
        <v>34</v>
      </c>
      <c r="T98" s="15">
        <v>0</v>
      </c>
      <c r="U98" s="15">
        <v>42</v>
      </c>
      <c r="V98" s="15">
        <v>0</v>
      </c>
      <c r="W98" s="15">
        <v>76</v>
      </c>
      <c r="X98" s="16">
        <v>34</v>
      </c>
      <c r="Y98" s="16">
        <v>0</v>
      </c>
      <c r="Z98" s="16">
        <v>42</v>
      </c>
      <c r="AA98" s="16">
        <v>0</v>
      </c>
      <c r="AB98" s="16">
        <v>76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8">
        <v>1415</v>
      </c>
      <c r="AI98" s="18">
        <v>0</v>
      </c>
      <c r="AJ98" s="18">
        <v>354</v>
      </c>
      <c r="AK98" s="18">
        <v>0</v>
      </c>
      <c r="AL98" s="18">
        <v>1769</v>
      </c>
      <c r="AM98" s="19">
        <v>609</v>
      </c>
    </row>
    <row r="99" spans="1:39" x14ac:dyDescent="0.25">
      <c r="A99" s="10">
        <v>2016</v>
      </c>
      <c r="B99" s="11">
        <v>5575</v>
      </c>
      <c r="C99" s="12" t="s">
        <v>146</v>
      </c>
      <c r="D99" s="12" t="s">
        <v>36</v>
      </c>
      <c r="E99" s="22">
        <f t="shared" si="5"/>
        <v>16000</v>
      </c>
      <c r="F99" s="22">
        <f t="shared" si="6"/>
        <v>12500</v>
      </c>
      <c r="G99" s="22" t="str">
        <f t="shared" si="7"/>
        <v/>
      </c>
      <c r="H99" s="22" t="str">
        <f t="shared" si="8"/>
        <v/>
      </c>
      <c r="I99" s="13">
        <v>861</v>
      </c>
      <c r="J99" s="13">
        <v>68</v>
      </c>
      <c r="K99" s="13">
        <v>0</v>
      </c>
      <c r="L99" s="13">
        <v>0</v>
      </c>
      <c r="M99" s="13">
        <v>929</v>
      </c>
      <c r="N99" s="14">
        <v>785</v>
      </c>
      <c r="O99" s="14">
        <v>1185</v>
      </c>
      <c r="P99" s="14">
        <v>0</v>
      </c>
      <c r="Q99" s="14">
        <v>0</v>
      </c>
      <c r="R99" s="14">
        <v>1970</v>
      </c>
      <c r="S99" s="15">
        <v>4</v>
      </c>
      <c r="T99" s="15">
        <v>2</v>
      </c>
      <c r="U99" s="15">
        <v>0</v>
      </c>
      <c r="V99" s="15">
        <v>0</v>
      </c>
      <c r="W99" s="15">
        <v>6</v>
      </c>
      <c r="X99" s="16">
        <v>2</v>
      </c>
      <c r="Y99" s="16">
        <v>2</v>
      </c>
      <c r="Z99" s="16">
        <v>0</v>
      </c>
      <c r="AA99" s="16">
        <v>0</v>
      </c>
      <c r="AB99" s="16">
        <v>4</v>
      </c>
      <c r="AC99" s="17">
        <v>41</v>
      </c>
      <c r="AD99" s="17">
        <v>2</v>
      </c>
      <c r="AE99" s="17">
        <v>0</v>
      </c>
      <c r="AF99" s="17">
        <v>0</v>
      </c>
      <c r="AG99" s="17">
        <v>43</v>
      </c>
      <c r="AH99" s="18">
        <v>23</v>
      </c>
      <c r="AI99" s="18">
        <v>23</v>
      </c>
      <c r="AJ99" s="18">
        <v>0</v>
      </c>
      <c r="AK99" s="18">
        <v>0</v>
      </c>
      <c r="AL99" s="18">
        <v>46</v>
      </c>
      <c r="AM99" s="19" t="s">
        <v>24</v>
      </c>
    </row>
    <row r="100" spans="1:39" x14ac:dyDescent="0.25">
      <c r="A100" s="10">
        <v>2016</v>
      </c>
      <c r="B100" s="11">
        <v>5580</v>
      </c>
      <c r="C100" s="12" t="s">
        <v>147</v>
      </c>
      <c r="D100" s="12" t="s">
        <v>148</v>
      </c>
      <c r="E100" s="22">
        <f t="shared" si="5"/>
        <v>1032352.9411764706</v>
      </c>
      <c r="F100" s="22" t="str">
        <f t="shared" si="6"/>
        <v/>
      </c>
      <c r="G100" s="22">
        <f t="shared" si="7"/>
        <v>61842.1052631579</v>
      </c>
      <c r="H100" s="22" t="str">
        <f t="shared" si="8"/>
        <v/>
      </c>
      <c r="I100" s="13">
        <v>2282</v>
      </c>
      <c r="J100" s="13">
        <v>0</v>
      </c>
      <c r="K100" s="13">
        <v>2</v>
      </c>
      <c r="L100" s="13">
        <v>0</v>
      </c>
      <c r="M100" s="13">
        <v>2284</v>
      </c>
      <c r="N100" s="14">
        <v>16</v>
      </c>
      <c r="O100" s="14">
        <v>0</v>
      </c>
      <c r="P100" s="14">
        <v>0</v>
      </c>
      <c r="Q100" s="14">
        <v>0</v>
      </c>
      <c r="R100" s="14">
        <v>16</v>
      </c>
      <c r="S100" s="15">
        <v>1.7</v>
      </c>
      <c r="T100" s="15">
        <v>0</v>
      </c>
      <c r="U100" s="15">
        <v>7.6</v>
      </c>
      <c r="V100" s="15">
        <v>0</v>
      </c>
      <c r="W100" s="15">
        <v>9.3000000000000007</v>
      </c>
      <c r="X100" s="16">
        <v>1.7</v>
      </c>
      <c r="Y100" s="16">
        <v>0</v>
      </c>
      <c r="Z100" s="16">
        <v>7.6</v>
      </c>
      <c r="AA100" s="16">
        <v>0</v>
      </c>
      <c r="AB100" s="16">
        <v>9.3000000000000007</v>
      </c>
      <c r="AC100" s="17">
        <v>580</v>
      </c>
      <c r="AD100" s="17">
        <v>0</v>
      </c>
      <c r="AE100" s="17">
        <v>470</v>
      </c>
      <c r="AF100" s="17">
        <v>0</v>
      </c>
      <c r="AG100" s="17">
        <v>1050</v>
      </c>
      <c r="AH100" s="18">
        <v>1175</v>
      </c>
      <c r="AI100" s="18">
        <v>0</v>
      </c>
      <c r="AJ100" s="18">
        <v>0</v>
      </c>
      <c r="AK100" s="18">
        <v>0</v>
      </c>
      <c r="AL100" s="18">
        <v>1175</v>
      </c>
      <c r="AM100" s="19">
        <v>865</v>
      </c>
    </row>
    <row r="101" spans="1:39" x14ac:dyDescent="0.25">
      <c r="A101" s="10">
        <v>2016</v>
      </c>
      <c r="B101" s="11">
        <v>5632</v>
      </c>
      <c r="C101" s="12" t="s">
        <v>149</v>
      </c>
      <c r="D101" s="12" t="s">
        <v>29</v>
      </c>
      <c r="E101" s="22">
        <f t="shared" si="5"/>
        <v>54800</v>
      </c>
      <c r="F101" s="22">
        <f t="shared" si="6"/>
        <v>55851.063829787228</v>
      </c>
      <c r="G101" s="22" t="str">
        <f t="shared" si="7"/>
        <v/>
      </c>
      <c r="H101" s="22" t="str">
        <f t="shared" si="8"/>
        <v/>
      </c>
      <c r="I101" s="13">
        <v>5274</v>
      </c>
      <c r="J101" s="13">
        <v>181</v>
      </c>
      <c r="K101" s="13">
        <v>0</v>
      </c>
      <c r="L101" s="13">
        <v>0</v>
      </c>
      <c r="M101" s="13">
        <v>5455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5">
        <v>2.5</v>
      </c>
      <c r="T101" s="15">
        <v>9.4</v>
      </c>
      <c r="U101" s="15">
        <v>0</v>
      </c>
      <c r="V101" s="15">
        <v>0</v>
      </c>
      <c r="W101" s="15">
        <v>11.9</v>
      </c>
      <c r="X101" s="16">
        <v>1.2</v>
      </c>
      <c r="Y101" s="16">
        <v>4.7</v>
      </c>
      <c r="Z101" s="16">
        <v>0</v>
      </c>
      <c r="AA101" s="16">
        <v>0</v>
      </c>
      <c r="AB101" s="16">
        <v>5.9</v>
      </c>
      <c r="AC101" s="17">
        <v>121</v>
      </c>
      <c r="AD101" s="17">
        <v>463</v>
      </c>
      <c r="AE101" s="17">
        <v>0</v>
      </c>
      <c r="AF101" s="17">
        <v>0</v>
      </c>
      <c r="AG101" s="17">
        <v>584</v>
      </c>
      <c r="AH101" s="18">
        <v>16</v>
      </c>
      <c r="AI101" s="18">
        <v>62</v>
      </c>
      <c r="AJ101" s="18">
        <v>0</v>
      </c>
      <c r="AK101" s="18">
        <v>0</v>
      </c>
      <c r="AL101" s="18">
        <v>78</v>
      </c>
      <c r="AM101" s="19">
        <v>37</v>
      </c>
    </row>
    <row r="102" spans="1:39" x14ac:dyDescent="0.25">
      <c r="A102" s="10">
        <v>2016</v>
      </c>
      <c r="B102" s="11">
        <v>5701</v>
      </c>
      <c r="C102" s="12" t="s">
        <v>150</v>
      </c>
      <c r="D102" s="12" t="s">
        <v>151</v>
      </c>
      <c r="E102" s="22" t="str">
        <f t="shared" si="5"/>
        <v/>
      </c>
      <c r="F102" s="22" t="str">
        <f t="shared" si="6"/>
        <v/>
      </c>
      <c r="G102" s="22" t="str">
        <f t="shared" si="7"/>
        <v/>
      </c>
      <c r="H102" s="22" t="str">
        <f t="shared" si="8"/>
        <v/>
      </c>
      <c r="I102" s="13">
        <v>0</v>
      </c>
      <c r="J102" s="13">
        <v>0</v>
      </c>
      <c r="K102" s="13">
        <v>3</v>
      </c>
      <c r="L102" s="13">
        <v>0</v>
      </c>
      <c r="M102" s="13">
        <v>3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9" t="s">
        <v>24</v>
      </c>
    </row>
    <row r="103" spans="1:39" x14ac:dyDescent="0.25">
      <c r="A103" s="10">
        <v>2016</v>
      </c>
      <c r="B103" s="11">
        <v>5701</v>
      </c>
      <c r="C103" s="12" t="s">
        <v>150</v>
      </c>
      <c r="D103" s="12" t="s">
        <v>56</v>
      </c>
      <c r="E103" s="22" t="str">
        <f t="shared" si="5"/>
        <v/>
      </c>
      <c r="F103" s="22">
        <f t="shared" si="6"/>
        <v>46250</v>
      </c>
      <c r="G103" s="22">
        <f t="shared" si="7"/>
        <v>40000</v>
      </c>
      <c r="H103" s="22" t="str">
        <f t="shared" si="8"/>
        <v/>
      </c>
      <c r="I103" s="13">
        <v>0</v>
      </c>
      <c r="J103" s="13">
        <v>5</v>
      </c>
      <c r="K103" s="13">
        <v>12</v>
      </c>
      <c r="L103" s="13">
        <v>0</v>
      </c>
      <c r="M103" s="13">
        <v>17</v>
      </c>
      <c r="N103" s="14">
        <v>0</v>
      </c>
      <c r="O103" s="14">
        <v>10</v>
      </c>
      <c r="P103" s="14">
        <v>13</v>
      </c>
      <c r="Q103" s="14">
        <v>0</v>
      </c>
      <c r="R103" s="14">
        <v>23</v>
      </c>
      <c r="S103" s="15">
        <v>0</v>
      </c>
      <c r="T103" s="15">
        <v>3.2</v>
      </c>
      <c r="U103" s="15">
        <v>4.4000000000000004</v>
      </c>
      <c r="V103" s="15">
        <v>0</v>
      </c>
      <c r="W103" s="15">
        <v>7.6</v>
      </c>
      <c r="X103" s="16">
        <v>0</v>
      </c>
      <c r="Y103" s="16">
        <v>3.2</v>
      </c>
      <c r="Z103" s="16">
        <v>4.4000000000000004</v>
      </c>
      <c r="AA103" s="16">
        <v>0</v>
      </c>
      <c r="AB103" s="16">
        <v>7.6</v>
      </c>
      <c r="AC103" s="17">
        <v>0</v>
      </c>
      <c r="AD103" s="17">
        <v>148</v>
      </c>
      <c r="AE103" s="17">
        <v>176</v>
      </c>
      <c r="AF103" s="17">
        <v>0</v>
      </c>
      <c r="AG103" s="17">
        <v>324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9" t="s">
        <v>24</v>
      </c>
    </row>
    <row r="104" spans="1:39" x14ac:dyDescent="0.25">
      <c r="A104" s="10">
        <v>2016</v>
      </c>
      <c r="B104" s="11">
        <v>5780</v>
      </c>
      <c r="C104" s="12" t="s">
        <v>152</v>
      </c>
      <c r="D104" s="12" t="s">
        <v>72</v>
      </c>
      <c r="E104" s="22" t="str">
        <f t="shared" si="5"/>
        <v/>
      </c>
      <c r="F104" s="22" t="str">
        <f t="shared" si="6"/>
        <v/>
      </c>
      <c r="G104" s="22">
        <f t="shared" si="7"/>
        <v>3679.7752808988762</v>
      </c>
      <c r="H104" s="22" t="str">
        <f t="shared" si="8"/>
        <v/>
      </c>
      <c r="I104" s="13">
        <v>0</v>
      </c>
      <c r="J104" s="13">
        <v>0</v>
      </c>
      <c r="K104" s="13">
        <v>1258</v>
      </c>
      <c r="L104" s="13">
        <v>0</v>
      </c>
      <c r="M104" s="13">
        <v>1258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5">
        <v>0</v>
      </c>
      <c r="T104" s="15">
        <v>0</v>
      </c>
      <c r="U104" s="15">
        <v>35.6</v>
      </c>
      <c r="V104" s="15">
        <v>0</v>
      </c>
      <c r="W104" s="15">
        <v>35.6</v>
      </c>
      <c r="X104" s="16">
        <v>0</v>
      </c>
      <c r="Y104" s="16">
        <v>0</v>
      </c>
      <c r="Z104" s="16">
        <v>35.6</v>
      </c>
      <c r="AA104" s="16">
        <v>0</v>
      </c>
      <c r="AB104" s="16">
        <v>35.6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8">
        <v>0</v>
      </c>
      <c r="AI104" s="18">
        <v>0</v>
      </c>
      <c r="AJ104" s="18">
        <v>131</v>
      </c>
      <c r="AK104" s="18">
        <v>0</v>
      </c>
      <c r="AL104" s="18">
        <v>131</v>
      </c>
      <c r="AM104" s="19" t="s">
        <v>24</v>
      </c>
    </row>
    <row r="105" spans="1:39" x14ac:dyDescent="0.25">
      <c r="A105" s="10">
        <v>2016</v>
      </c>
      <c r="B105" s="11">
        <v>5860</v>
      </c>
      <c r="C105" s="12" t="s">
        <v>153</v>
      </c>
      <c r="D105" s="12" t="s">
        <v>112</v>
      </c>
      <c r="E105" s="22" t="str">
        <f t="shared" si="5"/>
        <v/>
      </c>
      <c r="F105" s="22" t="str">
        <f t="shared" si="6"/>
        <v/>
      </c>
      <c r="G105" s="22">
        <f t="shared" si="7"/>
        <v>15000</v>
      </c>
      <c r="H105" s="22" t="str">
        <f t="shared" si="8"/>
        <v/>
      </c>
      <c r="I105" s="13">
        <v>0</v>
      </c>
      <c r="J105" s="13">
        <v>0</v>
      </c>
      <c r="K105" s="13">
        <v>2</v>
      </c>
      <c r="L105" s="13">
        <v>0</v>
      </c>
      <c r="M105" s="13">
        <v>2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5">
        <v>0</v>
      </c>
      <c r="T105" s="15">
        <v>0</v>
      </c>
      <c r="U105" s="15">
        <v>0.8</v>
      </c>
      <c r="V105" s="15">
        <v>0</v>
      </c>
      <c r="W105" s="15">
        <v>0.8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7">
        <v>0</v>
      </c>
      <c r="AD105" s="17">
        <v>0</v>
      </c>
      <c r="AE105" s="17">
        <v>12</v>
      </c>
      <c r="AF105" s="17">
        <v>0</v>
      </c>
      <c r="AG105" s="17">
        <v>12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9" t="s">
        <v>24</v>
      </c>
    </row>
    <row r="106" spans="1:39" x14ac:dyDescent="0.25">
      <c r="A106" s="10">
        <v>2016</v>
      </c>
      <c r="B106" s="11">
        <v>5880</v>
      </c>
      <c r="C106" s="12" t="s">
        <v>154</v>
      </c>
      <c r="D106" s="12" t="s">
        <v>88</v>
      </c>
      <c r="E106" s="22" t="str">
        <f t="shared" si="5"/>
        <v/>
      </c>
      <c r="F106" s="22">
        <f t="shared" si="6"/>
        <v>0</v>
      </c>
      <c r="G106" s="22" t="str">
        <f t="shared" si="7"/>
        <v/>
      </c>
      <c r="H106" s="22" t="str">
        <f t="shared" si="8"/>
        <v/>
      </c>
      <c r="I106" s="13">
        <v>0</v>
      </c>
      <c r="J106" s="13">
        <v>3</v>
      </c>
      <c r="K106" s="13">
        <v>0</v>
      </c>
      <c r="L106" s="13">
        <v>0</v>
      </c>
      <c r="M106" s="13">
        <v>3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5">
        <v>0</v>
      </c>
      <c r="T106" s="15">
        <v>9.5</v>
      </c>
      <c r="U106" s="15">
        <v>0</v>
      </c>
      <c r="V106" s="15">
        <v>0</v>
      </c>
      <c r="W106" s="15">
        <v>9.5</v>
      </c>
      <c r="X106" s="16">
        <v>0</v>
      </c>
      <c r="Y106" s="16">
        <v>9.5</v>
      </c>
      <c r="Z106" s="16">
        <v>0</v>
      </c>
      <c r="AA106" s="16">
        <v>0</v>
      </c>
      <c r="AB106" s="16">
        <v>9.5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9" t="s">
        <v>24</v>
      </c>
    </row>
    <row r="107" spans="1:39" x14ac:dyDescent="0.25">
      <c r="A107" s="10">
        <v>2016</v>
      </c>
      <c r="B107" s="11">
        <v>5905</v>
      </c>
      <c r="C107" s="12" t="s">
        <v>155</v>
      </c>
      <c r="D107" s="12" t="s">
        <v>40</v>
      </c>
      <c r="E107" s="22">
        <f t="shared" si="5"/>
        <v>0</v>
      </c>
      <c r="F107" s="22" t="str">
        <f t="shared" si="6"/>
        <v/>
      </c>
      <c r="G107" s="22">
        <f t="shared" si="7"/>
        <v>1777.7777777777778</v>
      </c>
      <c r="H107" s="22" t="str">
        <f t="shared" si="8"/>
        <v/>
      </c>
      <c r="I107" s="13">
        <v>330</v>
      </c>
      <c r="J107" s="13">
        <v>0</v>
      </c>
      <c r="K107" s="13">
        <v>222</v>
      </c>
      <c r="L107" s="13">
        <v>0</v>
      </c>
      <c r="M107" s="13">
        <v>552</v>
      </c>
      <c r="N107" s="14">
        <v>13</v>
      </c>
      <c r="O107" s="14">
        <v>0</v>
      </c>
      <c r="P107" s="14">
        <v>157</v>
      </c>
      <c r="Q107" s="14">
        <v>0</v>
      </c>
      <c r="R107" s="14">
        <v>170</v>
      </c>
      <c r="S107" s="15">
        <v>0.7</v>
      </c>
      <c r="T107" s="15">
        <v>0</v>
      </c>
      <c r="U107" s="15">
        <v>9</v>
      </c>
      <c r="V107" s="15">
        <v>0</v>
      </c>
      <c r="W107" s="15">
        <v>9.6999999999999993</v>
      </c>
      <c r="X107" s="16">
        <v>0.2</v>
      </c>
      <c r="Y107" s="16">
        <v>0</v>
      </c>
      <c r="Z107" s="16">
        <v>2.2000000000000002</v>
      </c>
      <c r="AA107" s="16">
        <v>0</v>
      </c>
      <c r="AB107" s="16">
        <v>2.4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8">
        <v>0</v>
      </c>
      <c r="AI107" s="18">
        <v>0</v>
      </c>
      <c r="AJ107" s="18">
        <v>16</v>
      </c>
      <c r="AK107" s="18">
        <v>0</v>
      </c>
      <c r="AL107" s="18">
        <v>16</v>
      </c>
      <c r="AM107" s="19" t="s">
        <v>24</v>
      </c>
    </row>
    <row r="108" spans="1:39" x14ac:dyDescent="0.25">
      <c r="A108" s="10">
        <v>2016</v>
      </c>
      <c r="B108" s="11">
        <v>5964</v>
      </c>
      <c r="C108" s="12" t="s">
        <v>156</v>
      </c>
      <c r="D108" s="12" t="s">
        <v>99</v>
      </c>
      <c r="E108" s="22">
        <f t="shared" si="5"/>
        <v>62333.333333333336</v>
      </c>
      <c r="F108" s="22" t="str">
        <f t="shared" si="6"/>
        <v/>
      </c>
      <c r="G108" s="22" t="str">
        <f t="shared" si="7"/>
        <v/>
      </c>
      <c r="H108" s="22" t="str">
        <f t="shared" si="8"/>
        <v/>
      </c>
      <c r="I108" s="13">
        <v>740</v>
      </c>
      <c r="J108" s="13">
        <v>0</v>
      </c>
      <c r="K108" s="13">
        <v>0</v>
      </c>
      <c r="L108" s="13">
        <v>0</v>
      </c>
      <c r="M108" s="13">
        <v>740</v>
      </c>
      <c r="N108" s="14">
        <v>75</v>
      </c>
      <c r="O108" s="14">
        <v>0</v>
      </c>
      <c r="P108" s="14">
        <v>0</v>
      </c>
      <c r="Q108" s="14">
        <v>0</v>
      </c>
      <c r="R108" s="14">
        <v>75</v>
      </c>
      <c r="S108" s="15">
        <v>3</v>
      </c>
      <c r="T108" s="15">
        <v>0</v>
      </c>
      <c r="U108" s="15">
        <v>0</v>
      </c>
      <c r="V108" s="15">
        <v>0</v>
      </c>
      <c r="W108" s="15">
        <v>3</v>
      </c>
      <c r="X108" s="16">
        <v>2</v>
      </c>
      <c r="Y108" s="16">
        <v>0</v>
      </c>
      <c r="Z108" s="16">
        <v>0</v>
      </c>
      <c r="AA108" s="16">
        <v>0</v>
      </c>
      <c r="AB108" s="16">
        <v>2</v>
      </c>
      <c r="AC108" s="17">
        <v>88</v>
      </c>
      <c r="AD108" s="17">
        <v>0</v>
      </c>
      <c r="AE108" s="17">
        <v>0</v>
      </c>
      <c r="AF108" s="17">
        <v>0</v>
      </c>
      <c r="AG108" s="17">
        <v>88</v>
      </c>
      <c r="AH108" s="18">
        <v>99</v>
      </c>
      <c r="AI108" s="18">
        <v>0</v>
      </c>
      <c r="AJ108" s="18">
        <v>0</v>
      </c>
      <c r="AK108" s="18">
        <v>0</v>
      </c>
      <c r="AL108" s="18">
        <v>99</v>
      </c>
      <c r="AM108" s="19" t="s">
        <v>24</v>
      </c>
    </row>
    <row r="109" spans="1:39" x14ac:dyDescent="0.25">
      <c r="A109" s="10">
        <v>2016</v>
      </c>
      <c r="B109" s="11">
        <v>6151</v>
      </c>
      <c r="C109" s="12" t="s">
        <v>157</v>
      </c>
      <c r="D109" s="12" t="s">
        <v>36</v>
      </c>
      <c r="E109" s="22">
        <f t="shared" si="5"/>
        <v>769.23076923076917</v>
      </c>
      <c r="F109" s="22">
        <f t="shared" si="6"/>
        <v>3333.3333333333335</v>
      </c>
      <c r="G109" s="22">
        <f t="shared" si="7"/>
        <v>20000</v>
      </c>
      <c r="H109" s="22" t="str">
        <f t="shared" si="8"/>
        <v/>
      </c>
      <c r="I109" s="13">
        <v>3120</v>
      </c>
      <c r="J109" s="13">
        <v>812</v>
      </c>
      <c r="K109" s="13">
        <v>1</v>
      </c>
      <c r="L109" s="13">
        <v>0</v>
      </c>
      <c r="M109" s="13">
        <v>3933</v>
      </c>
      <c r="N109" s="14">
        <v>36</v>
      </c>
      <c r="O109" s="14">
        <v>9</v>
      </c>
      <c r="P109" s="14">
        <v>0</v>
      </c>
      <c r="Q109" s="14">
        <v>0</v>
      </c>
      <c r="R109" s="14">
        <v>45</v>
      </c>
      <c r="S109" s="15">
        <v>1.3</v>
      </c>
      <c r="T109" s="15">
        <v>0.3</v>
      </c>
      <c r="U109" s="15">
        <v>0.1</v>
      </c>
      <c r="V109" s="15">
        <v>0</v>
      </c>
      <c r="W109" s="15">
        <v>1.7</v>
      </c>
      <c r="X109" s="16">
        <v>0.4</v>
      </c>
      <c r="Y109" s="16">
        <v>0.3</v>
      </c>
      <c r="Z109" s="16">
        <v>0</v>
      </c>
      <c r="AA109" s="16">
        <v>0</v>
      </c>
      <c r="AB109" s="16">
        <v>0.7</v>
      </c>
      <c r="AC109" s="17">
        <v>0</v>
      </c>
      <c r="AD109" s="17">
        <v>0</v>
      </c>
      <c r="AE109" s="17">
        <v>1</v>
      </c>
      <c r="AF109" s="17">
        <v>0</v>
      </c>
      <c r="AG109" s="17">
        <v>1</v>
      </c>
      <c r="AH109" s="18">
        <v>1</v>
      </c>
      <c r="AI109" s="18">
        <v>1</v>
      </c>
      <c r="AJ109" s="18">
        <v>1</v>
      </c>
      <c r="AK109" s="18">
        <v>0</v>
      </c>
      <c r="AL109" s="18">
        <v>3</v>
      </c>
      <c r="AM109" s="19">
        <v>0</v>
      </c>
    </row>
    <row r="110" spans="1:39" x14ac:dyDescent="0.25">
      <c r="A110" s="10">
        <v>2016</v>
      </c>
      <c r="B110" s="11">
        <v>6169</v>
      </c>
      <c r="C110" s="12" t="s">
        <v>158</v>
      </c>
      <c r="D110" s="12" t="s">
        <v>159</v>
      </c>
      <c r="E110" s="22" t="str">
        <f t="shared" si="5"/>
        <v/>
      </c>
      <c r="F110" s="22">
        <f t="shared" si="6"/>
        <v>1964.2857142857144</v>
      </c>
      <c r="G110" s="22" t="str">
        <f t="shared" si="7"/>
        <v/>
      </c>
      <c r="H110" s="22" t="str">
        <f t="shared" si="8"/>
        <v/>
      </c>
      <c r="I110" s="13">
        <v>0</v>
      </c>
      <c r="J110" s="13">
        <v>9</v>
      </c>
      <c r="K110" s="13">
        <v>0</v>
      </c>
      <c r="L110" s="13">
        <v>0</v>
      </c>
      <c r="M110" s="13">
        <v>9</v>
      </c>
      <c r="N110" s="14">
        <v>0</v>
      </c>
      <c r="O110" s="14">
        <v>11</v>
      </c>
      <c r="P110" s="14">
        <v>0</v>
      </c>
      <c r="Q110" s="14">
        <v>0</v>
      </c>
      <c r="R110" s="14">
        <v>11</v>
      </c>
      <c r="S110" s="15">
        <v>0</v>
      </c>
      <c r="T110" s="15">
        <v>5.6</v>
      </c>
      <c r="U110" s="15">
        <v>0</v>
      </c>
      <c r="V110" s="15">
        <v>0</v>
      </c>
      <c r="W110" s="15">
        <v>5.6</v>
      </c>
      <c r="X110" s="16">
        <v>0</v>
      </c>
      <c r="Y110" s="16">
        <v>2.8</v>
      </c>
      <c r="Z110" s="16">
        <v>0</v>
      </c>
      <c r="AA110" s="16">
        <v>0</v>
      </c>
      <c r="AB110" s="16">
        <v>2.8</v>
      </c>
      <c r="AC110" s="17">
        <v>0</v>
      </c>
      <c r="AD110" s="17">
        <v>4</v>
      </c>
      <c r="AE110" s="17">
        <v>0</v>
      </c>
      <c r="AF110" s="17">
        <v>0</v>
      </c>
      <c r="AG110" s="17">
        <v>4</v>
      </c>
      <c r="AH110" s="18">
        <v>0</v>
      </c>
      <c r="AI110" s="18">
        <v>7</v>
      </c>
      <c r="AJ110" s="18">
        <v>0</v>
      </c>
      <c r="AK110" s="18">
        <v>0</v>
      </c>
      <c r="AL110" s="18">
        <v>7</v>
      </c>
      <c r="AM110" s="19" t="s">
        <v>24</v>
      </c>
    </row>
    <row r="111" spans="1:39" x14ac:dyDescent="0.25">
      <c r="A111" s="10">
        <v>2016</v>
      </c>
      <c r="B111" s="11">
        <v>6181</v>
      </c>
      <c r="C111" s="12" t="s">
        <v>160</v>
      </c>
      <c r="D111" s="12" t="s">
        <v>112</v>
      </c>
      <c r="E111" s="22">
        <f t="shared" si="5"/>
        <v>6346.1538461538457</v>
      </c>
      <c r="F111" s="22">
        <f t="shared" si="6"/>
        <v>1000</v>
      </c>
      <c r="G111" s="22">
        <f t="shared" si="7"/>
        <v>0</v>
      </c>
      <c r="H111" s="22" t="str">
        <f t="shared" si="8"/>
        <v/>
      </c>
      <c r="I111" s="13">
        <v>3933</v>
      </c>
      <c r="J111" s="13">
        <v>24</v>
      </c>
      <c r="K111" s="13">
        <v>1</v>
      </c>
      <c r="L111" s="13">
        <v>0</v>
      </c>
      <c r="M111" s="13">
        <v>3958</v>
      </c>
      <c r="N111" s="14">
        <v>272</v>
      </c>
      <c r="O111" s="14">
        <v>15</v>
      </c>
      <c r="P111" s="14">
        <v>0</v>
      </c>
      <c r="Q111" s="14">
        <v>0</v>
      </c>
      <c r="R111" s="14">
        <v>287</v>
      </c>
      <c r="S111" s="15">
        <v>5.2</v>
      </c>
      <c r="T111" s="15">
        <v>1</v>
      </c>
      <c r="U111" s="15">
        <v>1</v>
      </c>
      <c r="V111" s="15">
        <v>0</v>
      </c>
      <c r="W111" s="15">
        <v>7.2</v>
      </c>
      <c r="X111" s="16">
        <v>3.9</v>
      </c>
      <c r="Y111" s="16">
        <v>0</v>
      </c>
      <c r="Z111" s="16">
        <v>0</v>
      </c>
      <c r="AA111" s="16">
        <v>0</v>
      </c>
      <c r="AB111" s="16">
        <v>3.9</v>
      </c>
      <c r="AC111" s="17">
        <v>16</v>
      </c>
      <c r="AD111" s="17">
        <v>0</v>
      </c>
      <c r="AE111" s="17">
        <v>0</v>
      </c>
      <c r="AF111" s="17">
        <v>0</v>
      </c>
      <c r="AG111" s="17">
        <v>16</v>
      </c>
      <c r="AH111" s="18">
        <v>17</v>
      </c>
      <c r="AI111" s="18">
        <v>1</v>
      </c>
      <c r="AJ111" s="18">
        <v>0</v>
      </c>
      <c r="AK111" s="18">
        <v>0</v>
      </c>
      <c r="AL111" s="18">
        <v>18</v>
      </c>
      <c r="AM111" s="19">
        <v>0</v>
      </c>
    </row>
    <row r="112" spans="1:39" x14ac:dyDescent="0.25">
      <c r="A112" s="10">
        <v>2016</v>
      </c>
      <c r="B112" s="11">
        <v>6342</v>
      </c>
      <c r="C112" s="12" t="s">
        <v>161</v>
      </c>
      <c r="D112" s="12" t="s">
        <v>48</v>
      </c>
      <c r="E112" s="22">
        <f t="shared" si="5"/>
        <v>30000</v>
      </c>
      <c r="F112" s="22" t="str">
        <f t="shared" si="6"/>
        <v/>
      </c>
      <c r="G112" s="22">
        <f t="shared" si="7"/>
        <v>48366.197183098593</v>
      </c>
      <c r="H112" s="22" t="str">
        <f t="shared" si="8"/>
        <v/>
      </c>
      <c r="I112" s="13">
        <v>6233</v>
      </c>
      <c r="J112" s="13">
        <v>0</v>
      </c>
      <c r="K112" s="13">
        <v>611</v>
      </c>
      <c r="L112" s="13">
        <v>0</v>
      </c>
      <c r="M112" s="13">
        <v>6844</v>
      </c>
      <c r="N112" s="14">
        <v>117</v>
      </c>
      <c r="O112" s="14">
        <v>0</v>
      </c>
      <c r="P112" s="14">
        <v>727</v>
      </c>
      <c r="Q112" s="14">
        <v>0</v>
      </c>
      <c r="R112" s="14">
        <v>844</v>
      </c>
      <c r="S112" s="15">
        <v>6</v>
      </c>
      <c r="T112" s="15">
        <v>0</v>
      </c>
      <c r="U112" s="15">
        <v>71</v>
      </c>
      <c r="V112" s="15">
        <v>0</v>
      </c>
      <c r="W112" s="15">
        <v>77</v>
      </c>
      <c r="X112" s="16">
        <v>2</v>
      </c>
      <c r="Y112" s="16">
        <v>0</v>
      </c>
      <c r="Z112" s="16">
        <v>12</v>
      </c>
      <c r="AA112" s="16">
        <v>0</v>
      </c>
      <c r="AB112" s="16">
        <v>14</v>
      </c>
      <c r="AC112" s="17">
        <v>175</v>
      </c>
      <c r="AD112" s="17">
        <v>0</v>
      </c>
      <c r="AE112" s="17">
        <v>3429</v>
      </c>
      <c r="AF112" s="17">
        <v>0</v>
      </c>
      <c r="AG112" s="17">
        <v>3604</v>
      </c>
      <c r="AH112" s="18">
        <v>5</v>
      </c>
      <c r="AI112" s="18">
        <v>0</v>
      </c>
      <c r="AJ112" s="18">
        <v>5</v>
      </c>
      <c r="AK112" s="18">
        <v>0</v>
      </c>
      <c r="AL112" s="18">
        <v>10</v>
      </c>
      <c r="AM112" s="19" t="s">
        <v>24</v>
      </c>
    </row>
    <row r="113" spans="1:39" x14ac:dyDescent="0.25">
      <c r="A113" s="10">
        <v>2016</v>
      </c>
      <c r="B113" s="11">
        <v>6395</v>
      </c>
      <c r="C113" s="12" t="s">
        <v>162</v>
      </c>
      <c r="D113" s="12" t="s">
        <v>163</v>
      </c>
      <c r="E113" s="22">
        <f t="shared" si="5"/>
        <v>23301.886792452831</v>
      </c>
      <c r="F113" s="22" t="str">
        <f t="shared" si="6"/>
        <v/>
      </c>
      <c r="G113" s="22" t="str">
        <f t="shared" si="7"/>
        <v/>
      </c>
      <c r="H113" s="22" t="str">
        <f t="shared" si="8"/>
        <v/>
      </c>
      <c r="I113" s="13">
        <v>1250</v>
      </c>
      <c r="J113" s="13">
        <v>0</v>
      </c>
      <c r="K113" s="13">
        <v>0</v>
      </c>
      <c r="L113" s="13">
        <v>0</v>
      </c>
      <c r="M113" s="13">
        <v>1250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5">
        <v>10.6</v>
      </c>
      <c r="T113" s="15">
        <v>0</v>
      </c>
      <c r="U113" s="15">
        <v>0</v>
      </c>
      <c r="V113" s="15">
        <v>0</v>
      </c>
      <c r="W113" s="15">
        <v>10.6</v>
      </c>
      <c r="X113" s="16">
        <v>2.8</v>
      </c>
      <c r="Y113" s="16">
        <v>0</v>
      </c>
      <c r="Z113" s="16">
        <v>0</v>
      </c>
      <c r="AA113" s="16">
        <v>0</v>
      </c>
      <c r="AB113" s="16">
        <v>2.8</v>
      </c>
      <c r="AC113" s="17">
        <v>51</v>
      </c>
      <c r="AD113" s="17">
        <v>0</v>
      </c>
      <c r="AE113" s="17">
        <v>0</v>
      </c>
      <c r="AF113" s="17">
        <v>0</v>
      </c>
      <c r="AG113" s="17">
        <v>51</v>
      </c>
      <c r="AH113" s="18">
        <v>196</v>
      </c>
      <c r="AI113" s="18">
        <v>0</v>
      </c>
      <c r="AJ113" s="18">
        <v>0</v>
      </c>
      <c r="AK113" s="18">
        <v>0</v>
      </c>
      <c r="AL113" s="18">
        <v>196</v>
      </c>
      <c r="AM113" s="19" t="s">
        <v>24</v>
      </c>
    </row>
    <row r="114" spans="1:39" x14ac:dyDescent="0.25">
      <c r="A114" s="10">
        <v>2016</v>
      </c>
      <c r="B114" s="11">
        <v>6411</v>
      </c>
      <c r="C114" s="12" t="s">
        <v>164</v>
      </c>
      <c r="D114" s="12" t="s">
        <v>40</v>
      </c>
      <c r="E114" s="22">
        <f t="shared" si="5"/>
        <v>41666.666666666664</v>
      </c>
      <c r="F114" s="22">
        <f t="shared" si="6"/>
        <v>6666.666666666667</v>
      </c>
      <c r="G114" s="22">
        <f t="shared" si="7"/>
        <v>3677.4193548387098</v>
      </c>
      <c r="H114" s="22" t="str">
        <f t="shared" si="8"/>
        <v/>
      </c>
      <c r="I114" s="13">
        <v>21062</v>
      </c>
      <c r="J114" s="13">
        <v>404</v>
      </c>
      <c r="K114" s="13">
        <v>546</v>
      </c>
      <c r="L114" s="13">
        <v>0</v>
      </c>
      <c r="M114" s="13">
        <v>22012</v>
      </c>
      <c r="N114" s="14">
        <v>337</v>
      </c>
      <c r="O114" s="14">
        <v>17</v>
      </c>
      <c r="P114" s="14">
        <v>708</v>
      </c>
      <c r="Q114" s="14">
        <v>0</v>
      </c>
      <c r="R114" s="14">
        <v>1062</v>
      </c>
      <c r="S114" s="15">
        <v>15</v>
      </c>
      <c r="T114" s="15">
        <v>0.6</v>
      </c>
      <c r="U114" s="15">
        <v>31</v>
      </c>
      <c r="V114" s="15">
        <v>0</v>
      </c>
      <c r="W114" s="15">
        <v>46.6</v>
      </c>
      <c r="X114" s="16">
        <v>5.7</v>
      </c>
      <c r="Y114" s="16">
        <v>0.3</v>
      </c>
      <c r="Z114" s="16">
        <v>12</v>
      </c>
      <c r="AA114" s="16">
        <v>0</v>
      </c>
      <c r="AB114" s="16">
        <v>18</v>
      </c>
      <c r="AC114" s="17">
        <v>330</v>
      </c>
      <c r="AD114" s="17">
        <v>2</v>
      </c>
      <c r="AE114" s="17">
        <v>103</v>
      </c>
      <c r="AF114" s="17">
        <v>0</v>
      </c>
      <c r="AG114" s="17">
        <v>435</v>
      </c>
      <c r="AH114" s="18">
        <v>295</v>
      </c>
      <c r="AI114" s="18">
        <v>2</v>
      </c>
      <c r="AJ114" s="18">
        <v>11</v>
      </c>
      <c r="AK114" s="18">
        <v>0</v>
      </c>
      <c r="AL114" s="18">
        <v>308</v>
      </c>
      <c r="AM114" s="19" t="s">
        <v>24</v>
      </c>
    </row>
    <row r="115" spans="1:39" x14ac:dyDescent="0.25">
      <c r="A115" s="10">
        <v>2016</v>
      </c>
      <c r="B115" s="11">
        <v>6431</v>
      </c>
      <c r="C115" s="12" t="s">
        <v>165</v>
      </c>
      <c r="D115" s="12" t="s">
        <v>74</v>
      </c>
      <c r="E115" s="22">
        <f t="shared" si="5"/>
        <v>50000</v>
      </c>
      <c r="F115" s="22">
        <f t="shared" si="6"/>
        <v>66666.666666666672</v>
      </c>
      <c r="G115" s="22">
        <f t="shared" si="7"/>
        <v>70000</v>
      </c>
      <c r="H115" s="22" t="str">
        <f t="shared" si="8"/>
        <v/>
      </c>
      <c r="I115" s="13">
        <v>324</v>
      </c>
      <c r="J115" s="13">
        <v>28</v>
      </c>
      <c r="K115" s="13">
        <v>15</v>
      </c>
      <c r="L115" s="13">
        <v>0</v>
      </c>
      <c r="M115" s="13">
        <v>367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5">
        <v>0.4</v>
      </c>
      <c r="T115" s="15">
        <v>0.3</v>
      </c>
      <c r="U115" s="15">
        <v>0.3</v>
      </c>
      <c r="V115" s="15">
        <v>0</v>
      </c>
      <c r="W115" s="15">
        <v>1</v>
      </c>
      <c r="X115" s="16">
        <v>0.4</v>
      </c>
      <c r="Y115" s="16">
        <v>0.3</v>
      </c>
      <c r="Z115" s="16">
        <v>0.3</v>
      </c>
      <c r="AA115" s="16">
        <v>0</v>
      </c>
      <c r="AB115" s="16">
        <v>1</v>
      </c>
      <c r="AC115" s="17">
        <v>18</v>
      </c>
      <c r="AD115" s="17">
        <v>18</v>
      </c>
      <c r="AE115" s="17">
        <v>20</v>
      </c>
      <c r="AF115" s="17">
        <v>0</v>
      </c>
      <c r="AG115" s="17">
        <v>56</v>
      </c>
      <c r="AH115" s="18">
        <v>2</v>
      </c>
      <c r="AI115" s="18">
        <v>2</v>
      </c>
      <c r="AJ115" s="18">
        <v>1</v>
      </c>
      <c r="AK115" s="18">
        <v>0</v>
      </c>
      <c r="AL115" s="18">
        <v>5</v>
      </c>
      <c r="AM115" s="19" t="s">
        <v>24</v>
      </c>
    </row>
    <row r="116" spans="1:39" x14ac:dyDescent="0.25">
      <c r="A116" s="10">
        <v>2016</v>
      </c>
      <c r="B116" s="11">
        <v>6443</v>
      </c>
      <c r="C116" s="12" t="s">
        <v>166</v>
      </c>
      <c r="D116" s="12" t="s">
        <v>99</v>
      </c>
      <c r="E116" s="22" t="str">
        <f t="shared" si="5"/>
        <v/>
      </c>
      <c r="F116" s="22" t="str">
        <f t="shared" si="6"/>
        <v/>
      </c>
      <c r="G116" s="22" t="str">
        <f t="shared" si="7"/>
        <v/>
      </c>
      <c r="H116" s="22" t="str">
        <f t="shared" si="8"/>
        <v/>
      </c>
      <c r="I116" s="13">
        <v>2383</v>
      </c>
      <c r="J116" s="13">
        <v>1187</v>
      </c>
      <c r="K116" s="13">
        <v>0</v>
      </c>
      <c r="L116" s="13">
        <v>0</v>
      </c>
      <c r="M116" s="13">
        <v>3570</v>
      </c>
      <c r="N116" s="14">
        <v>2</v>
      </c>
      <c r="O116" s="14">
        <v>1</v>
      </c>
      <c r="P116" s="14">
        <v>0</v>
      </c>
      <c r="Q116" s="14">
        <v>0</v>
      </c>
      <c r="R116" s="14">
        <v>3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7">
        <v>70</v>
      </c>
      <c r="AD116" s="17">
        <v>35</v>
      </c>
      <c r="AE116" s="17">
        <v>0</v>
      </c>
      <c r="AF116" s="17">
        <v>0</v>
      </c>
      <c r="AG116" s="17">
        <v>105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9" t="s">
        <v>24</v>
      </c>
    </row>
    <row r="117" spans="1:39" x14ac:dyDescent="0.25">
      <c r="A117" s="10">
        <v>2016</v>
      </c>
      <c r="B117" s="11">
        <v>6452</v>
      </c>
      <c r="C117" s="12" t="s">
        <v>167</v>
      </c>
      <c r="D117" s="12" t="s">
        <v>99</v>
      </c>
      <c r="E117" s="22">
        <f t="shared" si="5"/>
        <v>57496.651785714283</v>
      </c>
      <c r="F117" s="22">
        <f t="shared" si="6"/>
        <v>83818.742293464864</v>
      </c>
      <c r="G117" s="22" t="str">
        <f t="shared" si="7"/>
        <v/>
      </c>
      <c r="H117" s="22" t="str">
        <f t="shared" si="8"/>
        <v/>
      </c>
      <c r="I117" s="13">
        <v>785068</v>
      </c>
      <c r="J117" s="13">
        <v>21826</v>
      </c>
      <c r="K117" s="13">
        <v>0</v>
      </c>
      <c r="L117" s="13">
        <v>0</v>
      </c>
      <c r="M117" s="13">
        <v>806894</v>
      </c>
      <c r="N117" s="14">
        <v>1092</v>
      </c>
      <c r="O117" s="14">
        <v>6331</v>
      </c>
      <c r="P117" s="14">
        <v>0</v>
      </c>
      <c r="Q117" s="14">
        <v>0</v>
      </c>
      <c r="R117" s="14">
        <v>7423</v>
      </c>
      <c r="S117" s="15">
        <v>896</v>
      </c>
      <c r="T117" s="15">
        <v>811</v>
      </c>
      <c r="U117" s="15">
        <v>0</v>
      </c>
      <c r="V117" s="15">
        <v>0</v>
      </c>
      <c r="W117" s="15">
        <v>1707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7">
        <v>36083</v>
      </c>
      <c r="AD117" s="17">
        <v>62518</v>
      </c>
      <c r="AE117" s="17">
        <v>0</v>
      </c>
      <c r="AF117" s="17">
        <v>0</v>
      </c>
      <c r="AG117" s="17">
        <v>98601</v>
      </c>
      <c r="AH117" s="18">
        <v>15434</v>
      </c>
      <c r="AI117" s="18">
        <v>5459</v>
      </c>
      <c r="AJ117" s="18">
        <v>0</v>
      </c>
      <c r="AK117" s="18">
        <v>0</v>
      </c>
      <c r="AL117" s="18">
        <v>20893</v>
      </c>
      <c r="AM117" s="19" t="s">
        <v>24</v>
      </c>
    </row>
    <row r="118" spans="1:39" x14ac:dyDescent="0.25">
      <c r="A118" s="10">
        <v>2016</v>
      </c>
      <c r="B118" s="11">
        <v>6455</v>
      </c>
      <c r="C118" s="12" t="s">
        <v>168</v>
      </c>
      <c r="D118" s="12" t="s">
        <v>99</v>
      </c>
      <c r="E118" s="22">
        <f t="shared" si="5"/>
        <v>70271.875</v>
      </c>
      <c r="F118" s="22">
        <f t="shared" si="6"/>
        <v>117219.58456973294</v>
      </c>
      <c r="G118" s="22" t="str">
        <f t="shared" si="7"/>
        <v/>
      </c>
      <c r="H118" s="22" t="str">
        <f t="shared" si="8"/>
        <v/>
      </c>
      <c r="I118" s="13">
        <v>411685</v>
      </c>
      <c r="J118" s="13">
        <v>638</v>
      </c>
      <c r="K118" s="13">
        <v>0</v>
      </c>
      <c r="L118" s="13">
        <v>0</v>
      </c>
      <c r="M118" s="13">
        <v>412323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5">
        <v>640</v>
      </c>
      <c r="T118" s="15">
        <v>337</v>
      </c>
      <c r="U118" s="15">
        <v>0</v>
      </c>
      <c r="V118" s="15">
        <v>0</v>
      </c>
      <c r="W118" s="15">
        <v>977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7">
        <v>23941</v>
      </c>
      <c r="AD118" s="17">
        <v>39069</v>
      </c>
      <c r="AE118" s="17">
        <v>0</v>
      </c>
      <c r="AF118" s="17">
        <v>0</v>
      </c>
      <c r="AG118" s="17">
        <v>63010</v>
      </c>
      <c r="AH118" s="18">
        <v>21033</v>
      </c>
      <c r="AI118" s="18">
        <v>434</v>
      </c>
      <c r="AJ118" s="18">
        <v>0</v>
      </c>
      <c r="AK118" s="18">
        <v>0</v>
      </c>
      <c r="AL118" s="18">
        <v>21467</v>
      </c>
      <c r="AM118" s="19" t="s">
        <v>24</v>
      </c>
    </row>
    <row r="119" spans="1:39" x14ac:dyDescent="0.25">
      <c r="A119" s="10">
        <v>2016</v>
      </c>
      <c r="B119" s="11">
        <v>6604</v>
      </c>
      <c r="C119" s="12" t="s">
        <v>169</v>
      </c>
      <c r="D119" s="12" t="s">
        <v>110</v>
      </c>
      <c r="E119" s="22">
        <f t="shared" si="5"/>
        <v>174210.5263157895</v>
      </c>
      <c r="F119" s="22" t="str">
        <f t="shared" si="6"/>
        <v/>
      </c>
      <c r="G119" s="22" t="str">
        <f t="shared" si="7"/>
        <v/>
      </c>
      <c r="H119" s="22" t="str">
        <f t="shared" si="8"/>
        <v/>
      </c>
      <c r="I119" s="13">
        <v>4448</v>
      </c>
      <c r="J119" s="13">
        <v>0</v>
      </c>
      <c r="K119" s="13">
        <v>0</v>
      </c>
      <c r="L119" s="13">
        <v>0</v>
      </c>
      <c r="M119" s="13">
        <v>4448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5">
        <v>3.8</v>
      </c>
      <c r="T119" s="15">
        <v>0</v>
      </c>
      <c r="U119" s="15">
        <v>0</v>
      </c>
      <c r="V119" s="15">
        <v>0</v>
      </c>
      <c r="W119" s="15">
        <v>3.8</v>
      </c>
      <c r="X119" s="16">
        <v>2.2000000000000002</v>
      </c>
      <c r="Y119" s="16">
        <v>0</v>
      </c>
      <c r="Z119" s="16">
        <v>0</v>
      </c>
      <c r="AA119" s="16">
        <v>0</v>
      </c>
      <c r="AB119" s="16">
        <v>2.2000000000000002</v>
      </c>
      <c r="AC119" s="17">
        <v>113</v>
      </c>
      <c r="AD119" s="17">
        <v>0</v>
      </c>
      <c r="AE119" s="17">
        <v>0</v>
      </c>
      <c r="AF119" s="17">
        <v>0</v>
      </c>
      <c r="AG119" s="17">
        <v>113</v>
      </c>
      <c r="AH119" s="18">
        <v>549</v>
      </c>
      <c r="AI119" s="18">
        <v>0</v>
      </c>
      <c r="AJ119" s="18">
        <v>0</v>
      </c>
      <c r="AK119" s="18">
        <v>0</v>
      </c>
      <c r="AL119" s="18">
        <v>549</v>
      </c>
      <c r="AM119" s="19" t="s">
        <v>24</v>
      </c>
    </row>
    <row r="120" spans="1:39" x14ac:dyDescent="0.25">
      <c r="A120" s="10">
        <v>2016</v>
      </c>
      <c r="B120" s="11">
        <v>6640</v>
      </c>
      <c r="C120" s="12" t="s">
        <v>170</v>
      </c>
      <c r="D120" s="12" t="s">
        <v>81</v>
      </c>
      <c r="E120" s="22" t="str">
        <f t="shared" si="5"/>
        <v/>
      </c>
      <c r="F120" s="22" t="str">
        <f t="shared" si="6"/>
        <v/>
      </c>
      <c r="G120" s="22">
        <f t="shared" si="7"/>
        <v>23942.857142857141</v>
      </c>
      <c r="H120" s="22" t="str">
        <f t="shared" si="8"/>
        <v/>
      </c>
      <c r="I120" s="13">
        <v>0</v>
      </c>
      <c r="J120" s="13">
        <v>0</v>
      </c>
      <c r="K120" s="13">
        <v>4</v>
      </c>
      <c r="L120" s="13">
        <v>0</v>
      </c>
      <c r="M120" s="13">
        <v>4</v>
      </c>
      <c r="N120" s="14">
        <v>0</v>
      </c>
      <c r="O120" s="14">
        <v>0</v>
      </c>
      <c r="P120" s="14">
        <v>620</v>
      </c>
      <c r="Q120" s="14">
        <v>0</v>
      </c>
      <c r="R120" s="14">
        <v>620</v>
      </c>
      <c r="S120" s="15">
        <v>0</v>
      </c>
      <c r="T120" s="15">
        <v>0</v>
      </c>
      <c r="U120" s="15">
        <v>70</v>
      </c>
      <c r="V120" s="15">
        <v>0</v>
      </c>
      <c r="W120" s="15">
        <v>70</v>
      </c>
      <c r="X120" s="16">
        <v>0</v>
      </c>
      <c r="Y120" s="16">
        <v>0</v>
      </c>
      <c r="Z120" s="16">
        <v>32</v>
      </c>
      <c r="AA120" s="16">
        <v>0</v>
      </c>
      <c r="AB120" s="16">
        <v>32</v>
      </c>
      <c r="AC120" s="17">
        <v>0</v>
      </c>
      <c r="AD120" s="17">
        <v>0</v>
      </c>
      <c r="AE120" s="17">
        <v>1676</v>
      </c>
      <c r="AF120" s="17">
        <v>0</v>
      </c>
      <c r="AG120" s="17">
        <v>1676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9" t="s">
        <v>24</v>
      </c>
    </row>
    <row r="121" spans="1:39" x14ac:dyDescent="0.25">
      <c r="A121" s="10">
        <v>2016</v>
      </c>
      <c r="B121" s="11">
        <v>6782</v>
      </c>
      <c r="C121" s="12" t="s">
        <v>171</v>
      </c>
      <c r="D121" s="12" t="s">
        <v>36</v>
      </c>
      <c r="E121" s="22">
        <f t="shared" si="5"/>
        <v>23142.857142857141</v>
      </c>
      <c r="F121" s="22">
        <f t="shared" si="6"/>
        <v>23417.721518987342</v>
      </c>
      <c r="G121" s="22" t="str">
        <f t="shared" si="7"/>
        <v/>
      </c>
      <c r="H121" s="22" t="str">
        <f t="shared" si="8"/>
        <v/>
      </c>
      <c r="I121" s="13">
        <v>1709</v>
      </c>
      <c r="J121" s="13">
        <v>34</v>
      </c>
      <c r="K121" s="13">
        <v>0</v>
      </c>
      <c r="L121" s="13">
        <v>0</v>
      </c>
      <c r="M121" s="13">
        <v>1743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5">
        <v>3.5</v>
      </c>
      <c r="T121" s="15">
        <v>7.9</v>
      </c>
      <c r="U121" s="15">
        <v>0</v>
      </c>
      <c r="V121" s="15">
        <v>0</v>
      </c>
      <c r="W121" s="15">
        <v>11.4</v>
      </c>
      <c r="X121" s="16">
        <v>1.6</v>
      </c>
      <c r="Y121" s="16">
        <v>3.6</v>
      </c>
      <c r="Z121" s="16">
        <v>0</v>
      </c>
      <c r="AA121" s="16">
        <v>0</v>
      </c>
      <c r="AB121" s="16">
        <v>5.2</v>
      </c>
      <c r="AC121" s="17">
        <v>62</v>
      </c>
      <c r="AD121" s="17">
        <v>142</v>
      </c>
      <c r="AE121" s="17">
        <v>0</v>
      </c>
      <c r="AF121" s="17">
        <v>0</v>
      </c>
      <c r="AG121" s="17">
        <v>204</v>
      </c>
      <c r="AH121" s="18">
        <v>19</v>
      </c>
      <c r="AI121" s="18">
        <v>43</v>
      </c>
      <c r="AJ121" s="18">
        <v>0</v>
      </c>
      <c r="AK121" s="18">
        <v>0</v>
      </c>
      <c r="AL121" s="18">
        <v>62</v>
      </c>
      <c r="AM121" s="19">
        <v>0</v>
      </c>
    </row>
    <row r="122" spans="1:39" x14ac:dyDescent="0.25">
      <c r="A122" s="10">
        <v>2016</v>
      </c>
      <c r="B122" s="11">
        <v>6958</v>
      </c>
      <c r="C122" s="12" t="s">
        <v>172</v>
      </c>
      <c r="D122" s="12" t="s">
        <v>56</v>
      </c>
      <c r="E122" s="22" t="str">
        <f t="shared" si="5"/>
        <v/>
      </c>
      <c r="F122" s="22">
        <f t="shared" si="6"/>
        <v>40090.909090909088</v>
      </c>
      <c r="G122" s="22" t="str">
        <f t="shared" si="7"/>
        <v/>
      </c>
      <c r="H122" s="22" t="str">
        <f t="shared" si="8"/>
        <v/>
      </c>
      <c r="I122" s="13">
        <v>0</v>
      </c>
      <c r="J122" s="13">
        <v>5</v>
      </c>
      <c r="K122" s="13">
        <v>0</v>
      </c>
      <c r="L122" s="13">
        <v>0</v>
      </c>
      <c r="M122" s="13">
        <v>5</v>
      </c>
      <c r="N122" s="14">
        <v>0</v>
      </c>
      <c r="O122" s="14">
        <v>7</v>
      </c>
      <c r="P122" s="14">
        <v>0</v>
      </c>
      <c r="Q122" s="14">
        <v>0</v>
      </c>
      <c r="R122" s="14">
        <v>7</v>
      </c>
      <c r="S122" s="15">
        <v>0</v>
      </c>
      <c r="T122" s="15">
        <v>11</v>
      </c>
      <c r="U122" s="15">
        <v>0</v>
      </c>
      <c r="V122" s="15">
        <v>0</v>
      </c>
      <c r="W122" s="15">
        <v>11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7">
        <v>0</v>
      </c>
      <c r="AD122" s="17">
        <v>441</v>
      </c>
      <c r="AE122" s="17">
        <v>0</v>
      </c>
      <c r="AF122" s="17">
        <v>0</v>
      </c>
      <c r="AG122" s="17">
        <v>441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9" t="s">
        <v>24</v>
      </c>
    </row>
    <row r="123" spans="1:39" x14ac:dyDescent="0.25">
      <c r="A123" s="10">
        <v>2016</v>
      </c>
      <c r="B123" s="11">
        <v>7004</v>
      </c>
      <c r="C123" s="12" t="s">
        <v>173</v>
      </c>
      <c r="D123" s="12" t="s">
        <v>102</v>
      </c>
      <c r="E123" s="22">
        <f t="shared" si="5"/>
        <v>7024.5398773006136</v>
      </c>
      <c r="F123" s="22">
        <f t="shared" si="6"/>
        <v>0</v>
      </c>
      <c r="G123" s="22" t="str">
        <f t="shared" si="7"/>
        <v/>
      </c>
      <c r="H123" s="22" t="str">
        <f t="shared" si="8"/>
        <v/>
      </c>
      <c r="I123" s="13">
        <v>119296</v>
      </c>
      <c r="J123" s="13">
        <v>40</v>
      </c>
      <c r="K123" s="13">
        <v>0</v>
      </c>
      <c r="L123" s="13">
        <v>0</v>
      </c>
      <c r="M123" s="13">
        <v>119336</v>
      </c>
      <c r="N123" s="14">
        <v>2280</v>
      </c>
      <c r="O123" s="14">
        <v>492</v>
      </c>
      <c r="P123" s="14">
        <v>0</v>
      </c>
      <c r="Q123" s="14">
        <v>0</v>
      </c>
      <c r="R123" s="14">
        <v>2772</v>
      </c>
      <c r="S123" s="15">
        <v>32.6</v>
      </c>
      <c r="T123" s="15">
        <v>6</v>
      </c>
      <c r="U123" s="15">
        <v>0</v>
      </c>
      <c r="V123" s="15">
        <v>0</v>
      </c>
      <c r="W123" s="15">
        <v>38.6</v>
      </c>
      <c r="X123" s="16">
        <v>32.6</v>
      </c>
      <c r="Y123" s="16">
        <v>6</v>
      </c>
      <c r="Z123" s="16">
        <v>0</v>
      </c>
      <c r="AA123" s="16">
        <v>0</v>
      </c>
      <c r="AB123" s="16">
        <v>38.6</v>
      </c>
      <c r="AC123" s="17">
        <v>169</v>
      </c>
      <c r="AD123" s="17">
        <v>0</v>
      </c>
      <c r="AE123" s="17">
        <v>0</v>
      </c>
      <c r="AF123" s="17">
        <v>0</v>
      </c>
      <c r="AG123" s="17">
        <v>169</v>
      </c>
      <c r="AH123" s="18">
        <v>60</v>
      </c>
      <c r="AI123" s="18">
        <v>0</v>
      </c>
      <c r="AJ123" s="18">
        <v>0</v>
      </c>
      <c r="AK123" s="18">
        <v>0</v>
      </c>
      <c r="AL123" s="18">
        <v>60</v>
      </c>
      <c r="AM123" s="19" t="s">
        <v>24</v>
      </c>
    </row>
    <row r="124" spans="1:39" x14ac:dyDescent="0.25">
      <c r="A124" s="10">
        <v>2016</v>
      </c>
      <c r="B124" s="11">
        <v>7090</v>
      </c>
      <c r="C124" s="12" t="s">
        <v>174</v>
      </c>
      <c r="D124" s="12" t="s">
        <v>40</v>
      </c>
      <c r="E124" s="22" t="str">
        <f t="shared" si="5"/>
        <v/>
      </c>
      <c r="F124" s="22">
        <f t="shared" si="6"/>
        <v>0</v>
      </c>
      <c r="G124" s="22">
        <f t="shared" si="7"/>
        <v>0</v>
      </c>
      <c r="H124" s="22" t="str">
        <f t="shared" si="8"/>
        <v/>
      </c>
      <c r="I124" s="13">
        <v>0</v>
      </c>
      <c r="J124" s="13">
        <v>22</v>
      </c>
      <c r="K124" s="13">
        <v>38</v>
      </c>
      <c r="L124" s="13">
        <v>0</v>
      </c>
      <c r="M124" s="13">
        <v>60</v>
      </c>
      <c r="N124" s="14">
        <v>0</v>
      </c>
      <c r="O124" s="14">
        <v>16</v>
      </c>
      <c r="P124" s="14">
        <v>189</v>
      </c>
      <c r="Q124" s="14">
        <v>0</v>
      </c>
      <c r="R124" s="14">
        <v>205</v>
      </c>
      <c r="S124" s="15">
        <v>0</v>
      </c>
      <c r="T124" s="15">
        <v>0.8</v>
      </c>
      <c r="U124" s="15">
        <v>9.4</v>
      </c>
      <c r="V124" s="15">
        <v>0</v>
      </c>
      <c r="W124" s="15">
        <v>10.199999999999999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9" t="s">
        <v>24</v>
      </c>
    </row>
    <row r="125" spans="1:39" x14ac:dyDescent="0.25">
      <c r="A125" s="10">
        <v>2016</v>
      </c>
      <c r="B125" s="11">
        <v>7140</v>
      </c>
      <c r="C125" s="12" t="s">
        <v>175</v>
      </c>
      <c r="D125" s="12" t="s">
        <v>40</v>
      </c>
      <c r="E125" s="22">
        <f t="shared" si="5"/>
        <v>11343.137254901962</v>
      </c>
      <c r="F125" s="22">
        <f t="shared" si="6"/>
        <v>23833.333333333332</v>
      </c>
      <c r="G125" s="22">
        <f t="shared" si="7"/>
        <v>37925.438596491229</v>
      </c>
      <c r="H125" s="22" t="str">
        <f t="shared" si="8"/>
        <v/>
      </c>
      <c r="I125" s="13">
        <v>52040</v>
      </c>
      <c r="J125" s="13">
        <v>8</v>
      </c>
      <c r="K125" s="13">
        <v>55</v>
      </c>
      <c r="L125" s="13">
        <v>0</v>
      </c>
      <c r="M125" s="13">
        <v>52103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5">
        <v>102</v>
      </c>
      <c r="T125" s="15">
        <v>6</v>
      </c>
      <c r="U125" s="15">
        <v>228</v>
      </c>
      <c r="V125" s="15">
        <v>0</v>
      </c>
      <c r="W125" s="15">
        <v>336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7">
        <v>0</v>
      </c>
      <c r="AD125" s="17">
        <v>131</v>
      </c>
      <c r="AE125" s="17">
        <v>8571</v>
      </c>
      <c r="AF125" s="17">
        <v>0</v>
      </c>
      <c r="AG125" s="17">
        <v>8702</v>
      </c>
      <c r="AH125" s="18">
        <v>1157</v>
      </c>
      <c r="AI125" s="18">
        <v>12</v>
      </c>
      <c r="AJ125" s="18">
        <v>76</v>
      </c>
      <c r="AK125" s="18">
        <v>0</v>
      </c>
      <c r="AL125" s="18">
        <v>1245</v>
      </c>
      <c r="AM125" s="19" t="s">
        <v>24</v>
      </c>
    </row>
    <row r="126" spans="1:39" x14ac:dyDescent="0.25">
      <c r="A126" s="10">
        <v>2016</v>
      </c>
      <c r="B126" s="11">
        <v>7294</v>
      </c>
      <c r="C126" s="12" t="s">
        <v>176</v>
      </c>
      <c r="D126" s="12" t="s">
        <v>42</v>
      </c>
      <c r="E126" s="22">
        <f t="shared" si="5"/>
        <v>6097.5609756097565</v>
      </c>
      <c r="F126" s="22" t="str">
        <f t="shared" si="6"/>
        <v/>
      </c>
      <c r="G126" s="22" t="str">
        <f t="shared" si="7"/>
        <v/>
      </c>
      <c r="H126" s="22" t="str">
        <f t="shared" si="8"/>
        <v/>
      </c>
      <c r="I126" s="13">
        <v>40000</v>
      </c>
      <c r="J126" s="13">
        <v>0</v>
      </c>
      <c r="K126" s="13">
        <v>0</v>
      </c>
      <c r="L126" s="13">
        <v>0</v>
      </c>
      <c r="M126" s="13">
        <v>40000</v>
      </c>
      <c r="N126" s="14">
        <v>34</v>
      </c>
      <c r="O126" s="14">
        <v>0</v>
      </c>
      <c r="P126" s="14">
        <v>0</v>
      </c>
      <c r="Q126" s="14">
        <v>0</v>
      </c>
      <c r="R126" s="14">
        <v>34</v>
      </c>
      <c r="S126" s="15">
        <v>8.1999999999999993</v>
      </c>
      <c r="T126" s="15">
        <v>0</v>
      </c>
      <c r="U126" s="15">
        <v>0</v>
      </c>
      <c r="V126" s="15">
        <v>0</v>
      </c>
      <c r="W126" s="15">
        <v>8.1999999999999993</v>
      </c>
      <c r="X126" s="16">
        <v>8.1999999999999993</v>
      </c>
      <c r="Y126" s="16">
        <v>0</v>
      </c>
      <c r="Z126" s="16">
        <v>0</v>
      </c>
      <c r="AA126" s="16">
        <v>0</v>
      </c>
      <c r="AB126" s="16">
        <v>8.1999999999999993</v>
      </c>
      <c r="AC126" s="17">
        <v>50</v>
      </c>
      <c r="AD126" s="17">
        <v>0</v>
      </c>
      <c r="AE126" s="17">
        <v>0</v>
      </c>
      <c r="AF126" s="17">
        <v>0</v>
      </c>
      <c r="AG126" s="17">
        <v>50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9">
        <v>0</v>
      </c>
    </row>
    <row r="127" spans="1:39" x14ac:dyDescent="0.25">
      <c r="A127" s="10">
        <v>2016</v>
      </c>
      <c r="B127" s="11">
        <v>7349</v>
      </c>
      <c r="C127" s="12" t="s">
        <v>177</v>
      </c>
      <c r="D127" s="12" t="s">
        <v>96</v>
      </c>
      <c r="E127" s="22" t="str">
        <f t="shared" si="5"/>
        <v/>
      </c>
      <c r="F127" s="22">
        <f t="shared" si="6"/>
        <v>44500</v>
      </c>
      <c r="G127" s="22" t="str">
        <f t="shared" si="7"/>
        <v/>
      </c>
      <c r="H127" s="22" t="str">
        <f t="shared" si="8"/>
        <v/>
      </c>
      <c r="I127" s="13">
        <v>0</v>
      </c>
      <c r="J127" s="13">
        <v>1</v>
      </c>
      <c r="K127" s="13">
        <v>0</v>
      </c>
      <c r="L127" s="13">
        <v>0</v>
      </c>
      <c r="M127" s="13">
        <v>1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5">
        <v>0</v>
      </c>
      <c r="T127" s="15">
        <v>2</v>
      </c>
      <c r="U127" s="15">
        <v>0</v>
      </c>
      <c r="V127" s="15">
        <v>0</v>
      </c>
      <c r="W127" s="15">
        <v>2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7">
        <v>0</v>
      </c>
      <c r="AD127" s="17">
        <v>89</v>
      </c>
      <c r="AE127" s="17">
        <v>0</v>
      </c>
      <c r="AF127" s="17">
        <v>0</v>
      </c>
      <c r="AG127" s="17">
        <v>89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9" t="s">
        <v>24</v>
      </c>
    </row>
    <row r="128" spans="1:39" x14ac:dyDescent="0.25">
      <c r="A128" s="10">
        <v>2016</v>
      </c>
      <c r="B128" s="11">
        <v>7349</v>
      </c>
      <c r="C128" s="12" t="s">
        <v>177</v>
      </c>
      <c r="D128" s="12" t="s">
        <v>56</v>
      </c>
      <c r="E128" s="22" t="str">
        <f t="shared" si="5"/>
        <v/>
      </c>
      <c r="F128" s="22" t="str">
        <f t="shared" si="6"/>
        <v/>
      </c>
      <c r="G128" s="22">
        <f t="shared" si="7"/>
        <v>44448.669201520912</v>
      </c>
      <c r="H128" s="22" t="str">
        <f t="shared" si="8"/>
        <v/>
      </c>
      <c r="I128" s="13">
        <v>0</v>
      </c>
      <c r="J128" s="13">
        <v>0</v>
      </c>
      <c r="K128" s="13">
        <v>3773</v>
      </c>
      <c r="L128" s="13">
        <v>0</v>
      </c>
      <c r="M128" s="13">
        <v>3773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5">
        <v>0</v>
      </c>
      <c r="T128" s="15">
        <v>0</v>
      </c>
      <c r="U128" s="15">
        <v>52.6</v>
      </c>
      <c r="V128" s="15">
        <v>0</v>
      </c>
      <c r="W128" s="15">
        <v>52.6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7">
        <v>0</v>
      </c>
      <c r="AD128" s="17">
        <v>0</v>
      </c>
      <c r="AE128" s="17">
        <v>2328</v>
      </c>
      <c r="AF128" s="17">
        <v>0</v>
      </c>
      <c r="AG128" s="17">
        <v>2328</v>
      </c>
      <c r="AH128" s="18">
        <v>0</v>
      </c>
      <c r="AI128" s="18">
        <v>0</v>
      </c>
      <c r="AJ128" s="18">
        <v>10</v>
      </c>
      <c r="AK128" s="18">
        <v>0</v>
      </c>
      <c r="AL128" s="18">
        <v>10</v>
      </c>
      <c r="AM128" s="19" t="s">
        <v>24</v>
      </c>
    </row>
    <row r="129" spans="1:39" x14ac:dyDescent="0.25">
      <c r="A129" s="10">
        <v>2016</v>
      </c>
      <c r="B129" s="11">
        <v>7489</v>
      </c>
      <c r="C129" s="12" t="s">
        <v>178</v>
      </c>
      <c r="D129" s="12" t="s">
        <v>36</v>
      </c>
      <c r="E129" s="22">
        <f t="shared" si="5"/>
        <v>8627.4509803921574</v>
      </c>
      <c r="F129" s="22">
        <f t="shared" si="6"/>
        <v>769.23076923076917</v>
      </c>
      <c r="G129" s="22" t="str">
        <f t="shared" si="7"/>
        <v/>
      </c>
      <c r="H129" s="22" t="str">
        <f t="shared" si="8"/>
        <v/>
      </c>
      <c r="I129" s="13">
        <v>1013</v>
      </c>
      <c r="J129" s="13">
        <v>58</v>
      </c>
      <c r="K129" s="13">
        <v>0</v>
      </c>
      <c r="L129" s="13">
        <v>0</v>
      </c>
      <c r="M129" s="13">
        <v>1071</v>
      </c>
      <c r="N129" s="14">
        <v>6</v>
      </c>
      <c r="O129" s="14">
        <v>2</v>
      </c>
      <c r="P129" s="14">
        <v>0</v>
      </c>
      <c r="Q129" s="14">
        <v>0</v>
      </c>
      <c r="R129" s="14">
        <v>8</v>
      </c>
      <c r="S129" s="15">
        <v>5.0999999999999996</v>
      </c>
      <c r="T129" s="15">
        <v>1.3</v>
      </c>
      <c r="U129" s="15">
        <v>0</v>
      </c>
      <c r="V129" s="15">
        <v>0</v>
      </c>
      <c r="W129" s="15">
        <v>6.4</v>
      </c>
      <c r="X129" s="16">
        <v>2.1</v>
      </c>
      <c r="Y129" s="16">
        <v>0.6</v>
      </c>
      <c r="Z129" s="16">
        <v>0</v>
      </c>
      <c r="AA129" s="16">
        <v>0</v>
      </c>
      <c r="AB129" s="16">
        <v>2.7</v>
      </c>
      <c r="AC129" s="17">
        <v>42</v>
      </c>
      <c r="AD129" s="17">
        <v>1</v>
      </c>
      <c r="AE129" s="17">
        <v>0</v>
      </c>
      <c r="AF129" s="17">
        <v>0</v>
      </c>
      <c r="AG129" s="17">
        <v>43</v>
      </c>
      <c r="AH129" s="18">
        <v>2</v>
      </c>
      <c r="AI129" s="18">
        <v>0</v>
      </c>
      <c r="AJ129" s="18">
        <v>0</v>
      </c>
      <c r="AK129" s="18">
        <v>0</v>
      </c>
      <c r="AL129" s="18">
        <v>2</v>
      </c>
      <c r="AM129" s="19">
        <v>0</v>
      </c>
    </row>
    <row r="130" spans="1:39" x14ac:dyDescent="0.25">
      <c r="A130" s="10">
        <v>2016</v>
      </c>
      <c r="B130" s="11">
        <v>7490</v>
      </c>
      <c r="C130" s="12" t="s">
        <v>179</v>
      </c>
      <c r="D130" s="12" t="s">
        <v>96</v>
      </c>
      <c r="E130" s="22" t="str">
        <f t="shared" si="5"/>
        <v/>
      </c>
      <c r="F130" s="22" t="str">
        <f t="shared" si="6"/>
        <v/>
      </c>
      <c r="G130" s="22">
        <f t="shared" si="7"/>
        <v>0</v>
      </c>
      <c r="H130" s="22" t="str">
        <f t="shared" si="8"/>
        <v/>
      </c>
      <c r="I130" s="13">
        <v>0</v>
      </c>
      <c r="J130" s="13">
        <v>0</v>
      </c>
      <c r="K130" s="13">
        <v>1</v>
      </c>
      <c r="L130" s="13">
        <v>0</v>
      </c>
      <c r="M130" s="13">
        <v>1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5">
        <v>0</v>
      </c>
      <c r="T130" s="15">
        <v>0</v>
      </c>
      <c r="U130" s="15">
        <v>14.5</v>
      </c>
      <c r="V130" s="15">
        <v>0</v>
      </c>
      <c r="W130" s="15">
        <v>14.5</v>
      </c>
      <c r="X130" s="16">
        <v>0</v>
      </c>
      <c r="Y130" s="16">
        <v>0</v>
      </c>
      <c r="Z130" s="16">
        <v>12</v>
      </c>
      <c r="AA130" s="16">
        <v>0</v>
      </c>
      <c r="AB130" s="16">
        <v>12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9" t="s">
        <v>24</v>
      </c>
    </row>
    <row r="131" spans="1:39" x14ac:dyDescent="0.25">
      <c r="A131" s="10">
        <v>2016</v>
      </c>
      <c r="B131" s="11">
        <v>7570</v>
      </c>
      <c r="C131" s="12" t="s">
        <v>180</v>
      </c>
      <c r="D131" s="12" t="s">
        <v>36</v>
      </c>
      <c r="E131" s="22">
        <f t="shared" si="5"/>
        <v>31043.010752688173</v>
      </c>
      <c r="F131" s="22">
        <f t="shared" si="6"/>
        <v>3406.8627450980393</v>
      </c>
      <c r="G131" s="22" t="str">
        <f t="shared" si="7"/>
        <v/>
      </c>
      <c r="H131" s="22" t="str">
        <f t="shared" si="8"/>
        <v/>
      </c>
      <c r="I131" s="13">
        <v>286404</v>
      </c>
      <c r="J131" s="13">
        <v>5197</v>
      </c>
      <c r="K131" s="13">
        <v>0</v>
      </c>
      <c r="L131" s="13">
        <v>0</v>
      </c>
      <c r="M131" s="13">
        <v>291601</v>
      </c>
      <c r="N131" s="14">
        <v>17006</v>
      </c>
      <c r="O131" s="14">
        <v>5574</v>
      </c>
      <c r="P131" s="14">
        <v>0</v>
      </c>
      <c r="Q131" s="14">
        <v>0</v>
      </c>
      <c r="R131" s="14">
        <v>22580</v>
      </c>
      <c r="S131" s="15">
        <v>186</v>
      </c>
      <c r="T131" s="15">
        <v>204</v>
      </c>
      <c r="U131" s="15">
        <v>0</v>
      </c>
      <c r="V131" s="15">
        <v>0</v>
      </c>
      <c r="W131" s="15">
        <v>390</v>
      </c>
      <c r="X131" s="16">
        <v>176</v>
      </c>
      <c r="Y131" s="16">
        <v>204</v>
      </c>
      <c r="Z131" s="16">
        <v>0</v>
      </c>
      <c r="AA131" s="16">
        <v>0</v>
      </c>
      <c r="AB131" s="16">
        <v>380</v>
      </c>
      <c r="AC131" s="17">
        <v>943</v>
      </c>
      <c r="AD131" s="17">
        <v>193</v>
      </c>
      <c r="AE131" s="17">
        <v>0</v>
      </c>
      <c r="AF131" s="17">
        <v>0</v>
      </c>
      <c r="AG131" s="17">
        <v>1136</v>
      </c>
      <c r="AH131" s="18">
        <v>4831</v>
      </c>
      <c r="AI131" s="18">
        <v>502</v>
      </c>
      <c r="AJ131" s="18">
        <v>0</v>
      </c>
      <c r="AK131" s="18">
        <v>0</v>
      </c>
      <c r="AL131" s="18">
        <v>5333</v>
      </c>
      <c r="AM131" s="19">
        <v>974</v>
      </c>
    </row>
    <row r="132" spans="1:39" x14ac:dyDescent="0.25">
      <c r="A132" s="10">
        <v>2016</v>
      </c>
      <c r="B132" s="11">
        <v>7601</v>
      </c>
      <c r="C132" s="12" t="s">
        <v>181</v>
      </c>
      <c r="D132" s="12" t="s">
        <v>182</v>
      </c>
      <c r="E132" s="22">
        <f t="shared" si="5"/>
        <v>95000</v>
      </c>
      <c r="F132" s="22">
        <f t="shared" si="6"/>
        <v>20600</v>
      </c>
      <c r="G132" s="22">
        <f t="shared" si="7"/>
        <v>20300</v>
      </c>
      <c r="H132" s="22" t="str">
        <f t="shared" si="8"/>
        <v/>
      </c>
      <c r="I132" s="13">
        <v>15209</v>
      </c>
      <c r="J132" s="13">
        <v>329</v>
      </c>
      <c r="K132" s="13">
        <v>1</v>
      </c>
      <c r="L132" s="13">
        <v>0</v>
      </c>
      <c r="M132" s="13">
        <v>15539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5">
        <v>4</v>
      </c>
      <c r="T132" s="15">
        <v>5</v>
      </c>
      <c r="U132" s="15">
        <v>10</v>
      </c>
      <c r="V132" s="15">
        <v>0</v>
      </c>
      <c r="W132" s="15">
        <v>19</v>
      </c>
      <c r="X132" s="16">
        <v>4</v>
      </c>
      <c r="Y132" s="16">
        <v>3</v>
      </c>
      <c r="Z132" s="16">
        <v>8</v>
      </c>
      <c r="AA132" s="16">
        <v>0</v>
      </c>
      <c r="AB132" s="16">
        <v>15</v>
      </c>
      <c r="AC132" s="17">
        <v>380</v>
      </c>
      <c r="AD132" s="17">
        <v>103</v>
      </c>
      <c r="AE132" s="17">
        <v>203</v>
      </c>
      <c r="AF132" s="17">
        <v>0</v>
      </c>
      <c r="AG132" s="17">
        <v>686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9" t="s">
        <v>24</v>
      </c>
    </row>
    <row r="133" spans="1:39" x14ac:dyDescent="0.25">
      <c r="A133" s="10">
        <v>2016</v>
      </c>
      <c r="B133" s="11">
        <v>7634</v>
      </c>
      <c r="C133" s="12" t="s">
        <v>183</v>
      </c>
      <c r="D133" s="12" t="s">
        <v>56</v>
      </c>
      <c r="E133" s="22" t="str">
        <f t="shared" ref="E133:E196" si="9">IFERROR(SUM(AC133,AH133)*10^3/S133,"")</f>
        <v/>
      </c>
      <c r="F133" s="22" t="str">
        <f t="shared" ref="F133:F196" si="10">IFERROR(SUM(AD133,AI133)*10^3/T133,"")</f>
        <v/>
      </c>
      <c r="G133" s="22" t="str">
        <f t="shared" ref="G133:G196" si="11">IFERROR(SUM(AE133,AJ133)*10^3/U133,"")</f>
        <v/>
      </c>
      <c r="H133" s="22" t="str">
        <f t="shared" ref="H133:H196" si="12">IFERROR(SUM(AF133,AK133)*10^3/V133,"")</f>
        <v/>
      </c>
      <c r="I133" s="13">
        <v>0</v>
      </c>
      <c r="J133" s="13">
        <v>2</v>
      </c>
      <c r="K133" s="13">
        <v>0</v>
      </c>
      <c r="L133" s="13">
        <v>0</v>
      </c>
      <c r="M133" s="13">
        <v>2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9" t="s">
        <v>24</v>
      </c>
    </row>
    <row r="134" spans="1:39" x14ac:dyDescent="0.25">
      <c r="A134" s="10">
        <v>2016</v>
      </c>
      <c r="B134" s="11">
        <v>7720</v>
      </c>
      <c r="C134" s="12" t="s">
        <v>184</v>
      </c>
      <c r="D134" s="12" t="s">
        <v>112</v>
      </c>
      <c r="E134" s="22">
        <f t="shared" si="9"/>
        <v>12666.666666666666</v>
      </c>
      <c r="F134" s="22">
        <f t="shared" si="10"/>
        <v>4000</v>
      </c>
      <c r="G134" s="22" t="str">
        <f t="shared" si="11"/>
        <v/>
      </c>
      <c r="H134" s="22" t="str">
        <f t="shared" si="12"/>
        <v/>
      </c>
      <c r="I134" s="13">
        <v>2300</v>
      </c>
      <c r="J134" s="13">
        <v>190</v>
      </c>
      <c r="K134" s="13">
        <v>0</v>
      </c>
      <c r="L134" s="13">
        <v>0</v>
      </c>
      <c r="M134" s="13">
        <v>2490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5">
        <v>1.5</v>
      </c>
      <c r="T134" s="15">
        <v>0.5</v>
      </c>
      <c r="U134" s="15">
        <v>0</v>
      </c>
      <c r="V134" s="15">
        <v>0</v>
      </c>
      <c r="W134" s="15">
        <v>2</v>
      </c>
      <c r="X134" s="16">
        <v>0.8</v>
      </c>
      <c r="Y134" s="16">
        <v>0.2</v>
      </c>
      <c r="Z134" s="16">
        <v>0</v>
      </c>
      <c r="AA134" s="16">
        <v>0</v>
      </c>
      <c r="AB134" s="16">
        <v>1</v>
      </c>
      <c r="AC134" s="17">
        <v>14</v>
      </c>
      <c r="AD134" s="17">
        <v>0</v>
      </c>
      <c r="AE134" s="17">
        <v>0</v>
      </c>
      <c r="AF134" s="17">
        <v>0</v>
      </c>
      <c r="AG134" s="17">
        <v>14</v>
      </c>
      <c r="AH134" s="18">
        <v>5</v>
      </c>
      <c r="AI134" s="18">
        <v>2</v>
      </c>
      <c r="AJ134" s="18">
        <v>0</v>
      </c>
      <c r="AK134" s="18">
        <v>0</v>
      </c>
      <c r="AL134" s="18">
        <v>7</v>
      </c>
      <c r="AM134" s="19" t="s">
        <v>24</v>
      </c>
    </row>
    <row r="135" spans="1:39" x14ac:dyDescent="0.25">
      <c r="A135" s="10">
        <v>2016</v>
      </c>
      <c r="B135" s="11">
        <v>7785</v>
      </c>
      <c r="C135" s="12" t="s">
        <v>185</v>
      </c>
      <c r="D135" s="12" t="s">
        <v>99</v>
      </c>
      <c r="E135" s="22">
        <f t="shared" si="9"/>
        <v>909.09090909090901</v>
      </c>
      <c r="F135" s="22" t="str">
        <f t="shared" si="10"/>
        <v/>
      </c>
      <c r="G135" s="22" t="str">
        <f t="shared" si="11"/>
        <v/>
      </c>
      <c r="H135" s="22" t="str">
        <f t="shared" si="12"/>
        <v/>
      </c>
      <c r="I135" s="13">
        <v>815</v>
      </c>
      <c r="J135" s="13">
        <v>0</v>
      </c>
      <c r="K135" s="13">
        <v>0</v>
      </c>
      <c r="L135" s="13">
        <v>0</v>
      </c>
      <c r="M135" s="13">
        <v>815</v>
      </c>
      <c r="N135" s="14">
        <v>1</v>
      </c>
      <c r="O135" s="14">
        <v>0</v>
      </c>
      <c r="P135" s="14">
        <v>0</v>
      </c>
      <c r="Q135" s="14">
        <v>0</v>
      </c>
      <c r="R135" s="14">
        <v>1</v>
      </c>
      <c r="S135" s="15">
        <v>1.1000000000000001</v>
      </c>
      <c r="T135" s="15">
        <v>0</v>
      </c>
      <c r="U135" s="15">
        <v>0</v>
      </c>
      <c r="V135" s="15">
        <v>0</v>
      </c>
      <c r="W135" s="15">
        <v>1.1000000000000001</v>
      </c>
      <c r="X135" s="16">
        <v>1.1000000000000001</v>
      </c>
      <c r="Y135" s="16">
        <v>0</v>
      </c>
      <c r="Z135" s="16">
        <v>0</v>
      </c>
      <c r="AA135" s="16">
        <v>0</v>
      </c>
      <c r="AB135" s="16">
        <v>1.1000000000000001</v>
      </c>
      <c r="AC135" s="17">
        <v>1</v>
      </c>
      <c r="AD135" s="17">
        <v>0</v>
      </c>
      <c r="AE135" s="17">
        <v>0</v>
      </c>
      <c r="AF135" s="17">
        <v>0</v>
      </c>
      <c r="AG135" s="17">
        <v>1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9" t="s">
        <v>24</v>
      </c>
    </row>
    <row r="136" spans="1:39" x14ac:dyDescent="0.25">
      <c r="A136" s="10">
        <v>2016</v>
      </c>
      <c r="B136" s="11">
        <v>7801</v>
      </c>
      <c r="C136" s="12" t="s">
        <v>186</v>
      </c>
      <c r="D136" s="12" t="s">
        <v>99</v>
      </c>
      <c r="E136" s="22">
        <f t="shared" si="9"/>
        <v>310970.14925373136</v>
      </c>
      <c r="F136" s="22">
        <f t="shared" si="10"/>
        <v>21260.945709281961</v>
      </c>
      <c r="G136" s="22">
        <f t="shared" si="11"/>
        <v>0</v>
      </c>
      <c r="H136" s="22" t="str">
        <f t="shared" si="12"/>
        <v/>
      </c>
      <c r="I136" s="13">
        <v>17720</v>
      </c>
      <c r="J136" s="13">
        <v>68</v>
      </c>
      <c r="K136" s="13">
        <v>65</v>
      </c>
      <c r="L136" s="13">
        <v>0</v>
      </c>
      <c r="M136" s="13">
        <v>17853</v>
      </c>
      <c r="N136" s="14">
        <v>12258</v>
      </c>
      <c r="O136" s="14">
        <v>0</v>
      </c>
      <c r="P136" s="14">
        <v>0</v>
      </c>
      <c r="Q136" s="14">
        <v>0</v>
      </c>
      <c r="R136" s="14">
        <v>12258</v>
      </c>
      <c r="S136" s="15">
        <v>26.8</v>
      </c>
      <c r="T136" s="15">
        <v>57.1</v>
      </c>
      <c r="U136" s="15">
        <v>266.5</v>
      </c>
      <c r="V136" s="15">
        <v>0</v>
      </c>
      <c r="W136" s="15">
        <v>350.4</v>
      </c>
      <c r="X136" s="16">
        <v>26.8</v>
      </c>
      <c r="Y136" s="16">
        <v>57.1</v>
      </c>
      <c r="Z136" s="16">
        <v>266.5</v>
      </c>
      <c r="AA136" s="16">
        <v>0</v>
      </c>
      <c r="AB136" s="16">
        <v>350.4</v>
      </c>
      <c r="AC136" s="17">
        <v>453</v>
      </c>
      <c r="AD136" s="17">
        <v>10</v>
      </c>
      <c r="AE136" s="17">
        <v>0</v>
      </c>
      <c r="AF136" s="17">
        <v>0</v>
      </c>
      <c r="AG136" s="17">
        <v>463</v>
      </c>
      <c r="AH136" s="18">
        <v>7881</v>
      </c>
      <c r="AI136" s="18">
        <v>1204</v>
      </c>
      <c r="AJ136" s="18">
        <v>0</v>
      </c>
      <c r="AK136" s="18">
        <v>0</v>
      </c>
      <c r="AL136" s="18">
        <v>9085</v>
      </c>
      <c r="AM136" s="19" t="s">
        <v>24</v>
      </c>
    </row>
    <row r="137" spans="1:39" x14ac:dyDescent="0.25">
      <c r="A137" s="10">
        <v>2016</v>
      </c>
      <c r="B137" s="11">
        <v>7977</v>
      </c>
      <c r="C137" s="12" t="s">
        <v>187</v>
      </c>
      <c r="D137" s="12" t="s">
        <v>102</v>
      </c>
      <c r="E137" s="22" t="str">
        <f t="shared" si="9"/>
        <v/>
      </c>
      <c r="F137" s="22">
        <f t="shared" si="10"/>
        <v>0</v>
      </c>
      <c r="G137" s="22" t="str">
        <f t="shared" si="11"/>
        <v/>
      </c>
      <c r="H137" s="22" t="str">
        <f t="shared" si="12"/>
        <v/>
      </c>
      <c r="I137" s="13">
        <v>0</v>
      </c>
      <c r="J137" s="13">
        <v>2</v>
      </c>
      <c r="K137" s="13">
        <v>0</v>
      </c>
      <c r="L137" s="13">
        <v>0</v>
      </c>
      <c r="M137" s="13">
        <v>2</v>
      </c>
      <c r="N137" s="14">
        <v>0</v>
      </c>
      <c r="O137" s="14">
        <v>2</v>
      </c>
      <c r="P137" s="14">
        <v>0</v>
      </c>
      <c r="Q137" s="14">
        <v>0</v>
      </c>
      <c r="R137" s="14">
        <v>2</v>
      </c>
      <c r="S137" s="15">
        <v>0</v>
      </c>
      <c r="T137" s="15">
        <v>1.3</v>
      </c>
      <c r="U137" s="15">
        <v>0</v>
      </c>
      <c r="V137" s="15">
        <v>0</v>
      </c>
      <c r="W137" s="15">
        <v>1.3</v>
      </c>
      <c r="X137" s="16">
        <v>0</v>
      </c>
      <c r="Y137" s="16">
        <v>1.3</v>
      </c>
      <c r="Z137" s="16">
        <v>0</v>
      </c>
      <c r="AA137" s="16">
        <v>0</v>
      </c>
      <c r="AB137" s="16">
        <v>1.3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9" t="s">
        <v>24</v>
      </c>
    </row>
    <row r="138" spans="1:39" x14ac:dyDescent="0.25">
      <c r="A138" s="10">
        <v>2016</v>
      </c>
      <c r="B138" s="11">
        <v>8179</v>
      </c>
      <c r="C138" s="12" t="s">
        <v>188</v>
      </c>
      <c r="D138" s="12" t="s">
        <v>70</v>
      </c>
      <c r="E138" s="22">
        <f t="shared" si="9"/>
        <v>0</v>
      </c>
      <c r="F138" s="22" t="str">
        <f t="shared" si="10"/>
        <v/>
      </c>
      <c r="G138" s="22" t="str">
        <f t="shared" si="11"/>
        <v/>
      </c>
      <c r="H138" s="22" t="str">
        <f t="shared" si="12"/>
        <v/>
      </c>
      <c r="I138" s="13">
        <v>105</v>
      </c>
      <c r="J138" s="13">
        <v>11</v>
      </c>
      <c r="K138" s="13">
        <v>0</v>
      </c>
      <c r="L138" s="13">
        <v>0</v>
      </c>
      <c r="M138" s="13">
        <v>116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5">
        <v>1</v>
      </c>
      <c r="T138" s="15">
        <v>0</v>
      </c>
      <c r="U138" s="15">
        <v>0</v>
      </c>
      <c r="V138" s="15">
        <v>0</v>
      </c>
      <c r="W138" s="15">
        <v>1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9">
        <v>1</v>
      </c>
    </row>
    <row r="139" spans="1:39" x14ac:dyDescent="0.25">
      <c r="A139" s="10">
        <v>2016</v>
      </c>
      <c r="B139" s="11">
        <v>8210</v>
      </c>
      <c r="C139" s="12" t="s">
        <v>189</v>
      </c>
      <c r="D139" s="12" t="s">
        <v>40</v>
      </c>
      <c r="E139" s="22">
        <f t="shared" si="9"/>
        <v>0</v>
      </c>
      <c r="F139" s="22">
        <f t="shared" si="10"/>
        <v>0</v>
      </c>
      <c r="G139" s="22" t="str">
        <f t="shared" si="11"/>
        <v/>
      </c>
      <c r="H139" s="22" t="str">
        <f t="shared" si="12"/>
        <v/>
      </c>
      <c r="I139" s="13">
        <v>28081</v>
      </c>
      <c r="J139" s="13">
        <v>7618</v>
      </c>
      <c r="K139" s="13">
        <v>0</v>
      </c>
      <c r="L139" s="13">
        <v>0</v>
      </c>
      <c r="M139" s="13">
        <v>35699</v>
      </c>
      <c r="N139" s="14">
        <v>156</v>
      </c>
      <c r="O139" s="14">
        <v>39</v>
      </c>
      <c r="P139" s="14">
        <v>0</v>
      </c>
      <c r="Q139" s="14">
        <v>0</v>
      </c>
      <c r="R139" s="14">
        <v>195</v>
      </c>
      <c r="S139" s="15">
        <v>2.4</v>
      </c>
      <c r="T139" s="15">
        <v>0.6</v>
      </c>
      <c r="U139" s="15">
        <v>0</v>
      </c>
      <c r="V139" s="15">
        <v>0</v>
      </c>
      <c r="W139" s="15">
        <v>3</v>
      </c>
      <c r="X139" s="16">
        <v>2.4</v>
      </c>
      <c r="Y139" s="16">
        <v>0.6</v>
      </c>
      <c r="Z139" s="16">
        <v>0</v>
      </c>
      <c r="AA139" s="16">
        <v>0</v>
      </c>
      <c r="AB139" s="16">
        <v>3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9" t="s">
        <v>24</v>
      </c>
    </row>
    <row r="140" spans="1:39" x14ac:dyDescent="0.25">
      <c r="A140" s="10">
        <v>2016</v>
      </c>
      <c r="B140" s="11">
        <v>8288</v>
      </c>
      <c r="C140" s="12" t="s">
        <v>190</v>
      </c>
      <c r="D140" s="12" t="s">
        <v>38</v>
      </c>
      <c r="E140" s="22">
        <f t="shared" si="9"/>
        <v>3000</v>
      </c>
      <c r="F140" s="22" t="str">
        <f t="shared" si="10"/>
        <v/>
      </c>
      <c r="G140" s="22" t="str">
        <f t="shared" si="11"/>
        <v/>
      </c>
      <c r="H140" s="22" t="str">
        <f t="shared" si="12"/>
        <v/>
      </c>
      <c r="I140" s="13">
        <v>223</v>
      </c>
      <c r="J140" s="13">
        <v>0</v>
      </c>
      <c r="K140" s="13">
        <v>0</v>
      </c>
      <c r="L140" s="13">
        <v>0</v>
      </c>
      <c r="M140" s="13">
        <v>223</v>
      </c>
      <c r="N140" s="14">
        <v>1</v>
      </c>
      <c r="O140" s="14">
        <v>0</v>
      </c>
      <c r="P140" s="14">
        <v>0</v>
      </c>
      <c r="Q140" s="14">
        <v>0</v>
      </c>
      <c r="R140" s="14">
        <v>1</v>
      </c>
      <c r="S140" s="15">
        <v>1</v>
      </c>
      <c r="T140" s="15">
        <v>0</v>
      </c>
      <c r="U140" s="15">
        <v>0</v>
      </c>
      <c r="V140" s="15">
        <v>0</v>
      </c>
      <c r="W140" s="15">
        <v>1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3</v>
      </c>
      <c r="AI140" s="18">
        <v>0</v>
      </c>
      <c r="AJ140" s="18">
        <v>0</v>
      </c>
      <c r="AK140" s="18">
        <v>0</v>
      </c>
      <c r="AL140" s="18">
        <v>3</v>
      </c>
      <c r="AM140" s="19" t="s">
        <v>24</v>
      </c>
    </row>
    <row r="141" spans="1:39" x14ac:dyDescent="0.25">
      <c r="A141" s="10">
        <v>2016</v>
      </c>
      <c r="B141" s="11">
        <v>8298</v>
      </c>
      <c r="C141" s="12" t="s">
        <v>191</v>
      </c>
      <c r="D141" s="12" t="s">
        <v>38</v>
      </c>
      <c r="E141" s="22">
        <f t="shared" si="9"/>
        <v>68333.333333333343</v>
      </c>
      <c r="F141" s="22">
        <f t="shared" si="10"/>
        <v>67727.272727272721</v>
      </c>
      <c r="G141" s="22" t="str">
        <f t="shared" si="11"/>
        <v/>
      </c>
      <c r="H141" s="22" t="str">
        <f t="shared" si="12"/>
        <v/>
      </c>
      <c r="I141" s="13">
        <v>2768</v>
      </c>
      <c r="J141" s="13">
        <v>265</v>
      </c>
      <c r="K141" s="13">
        <v>0</v>
      </c>
      <c r="L141" s="13">
        <v>0</v>
      </c>
      <c r="M141" s="13">
        <v>3033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5">
        <v>1.2</v>
      </c>
      <c r="T141" s="15">
        <v>4.4000000000000004</v>
      </c>
      <c r="U141" s="15">
        <v>0</v>
      </c>
      <c r="V141" s="15">
        <v>0</v>
      </c>
      <c r="W141" s="15">
        <v>5.6</v>
      </c>
      <c r="X141" s="16">
        <v>0.8</v>
      </c>
      <c r="Y141" s="16">
        <v>2.8</v>
      </c>
      <c r="Z141" s="16">
        <v>0</v>
      </c>
      <c r="AA141" s="16">
        <v>0</v>
      </c>
      <c r="AB141" s="16">
        <v>3.6</v>
      </c>
      <c r="AC141" s="17">
        <v>37</v>
      </c>
      <c r="AD141" s="17">
        <v>136</v>
      </c>
      <c r="AE141" s="17">
        <v>0</v>
      </c>
      <c r="AF141" s="17">
        <v>0</v>
      </c>
      <c r="AG141" s="17">
        <v>173</v>
      </c>
      <c r="AH141" s="18">
        <v>45</v>
      </c>
      <c r="AI141" s="18">
        <v>162</v>
      </c>
      <c r="AJ141" s="18">
        <v>0</v>
      </c>
      <c r="AK141" s="18">
        <v>0</v>
      </c>
      <c r="AL141" s="18">
        <v>207</v>
      </c>
      <c r="AM141" s="19">
        <v>0</v>
      </c>
    </row>
    <row r="142" spans="1:39" x14ac:dyDescent="0.25">
      <c r="A142" s="10">
        <v>2016</v>
      </c>
      <c r="B142" s="11">
        <v>8319</v>
      </c>
      <c r="C142" s="12" t="s">
        <v>192</v>
      </c>
      <c r="D142" s="12" t="s">
        <v>38</v>
      </c>
      <c r="E142" s="22">
        <f t="shared" si="9"/>
        <v>7500</v>
      </c>
      <c r="F142" s="22">
        <f t="shared" si="10"/>
        <v>8039.2156862745105</v>
      </c>
      <c r="G142" s="22">
        <f t="shared" si="11"/>
        <v>10000</v>
      </c>
      <c r="H142" s="22" t="str">
        <f t="shared" si="12"/>
        <v/>
      </c>
      <c r="I142" s="13">
        <v>2842</v>
      </c>
      <c r="J142" s="13">
        <v>101</v>
      </c>
      <c r="K142" s="13">
        <v>1</v>
      </c>
      <c r="L142" s="13">
        <v>0</v>
      </c>
      <c r="M142" s="13">
        <v>2944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5">
        <v>1.2</v>
      </c>
      <c r="T142" s="15">
        <v>10.199999999999999</v>
      </c>
      <c r="U142" s="15">
        <v>0.1</v>
      </c>
      <c r="V142" s="15">
        <v>0</v>
      </c>
      <c r="W142" s="15">
        <v>11.5</v>
      </c>
      <c r="X142" s="16">
        <v>1.1000000000000001</v>
      </c>
      <c r="Y142" s="16">
        <v>9.9</v>
      </c>
      <c r="Z142" s="16">
        <v>0.1</v>
      </c>
      <c r="AA142" s="16">
        <v>0</v>
      </c>
      <c r="AB142" s="16">
        <v>11.1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9</v>
      </c>
      <c r="AI142" s="18">
        <v>82</v>
      </c>
      <c r="AJ142" s="18">
        <v>1</v>
      </c>
      <c r="AK142" s="18">
        <v>0</v>
      </c>
      <c r="AL142" s="18">
        <v>92</v>
      </c>
      <c r="AM142" s="19">
        <v>0</v>
      </c>
    </row>
    <row r="143" spans="1:39" x14ac:dyDescent="0.25">
      <c r="A143" s="10">
        <v>2016</v>
      </c>
      <c r="B143" s="11">
        <v>8333</v>
      </c>
      <c r="C143" s="12" t="s">
        <v>193</v>
      </c>
      <c r="D143" s="12" t="s">
        <v>81</v>
      </c>
      <c r="E143" s="22">
        <f t="shared" si="9"/>
        <v>3587000</v>
      </c>
      <c r="F143" s="22" t="str">
        <f t="shared" si="10"/>
        <v/>
      </c>
      <c r="G143" s="22" t="str">
        <f t="shared" si="11"/>
        <v/>
      </c>
      <c r="H143" s="22" t="str">
        <f t="shared" si="12"/>
        <v/>
      </c>
      <c r="I143" s="13">
        <v>2132</v>
      </c>
      <c r="J143" s="13">
        <v>0</v>
      </c>
      <c r="K143" s="13">
        <v>0</v>
      </c>
      <c r="L143" s="13">
        <v>0</v>
      </c>
      <c r="M143" s="13">
        <v>2132</v>
      </c>
      <c r="N143" s="14">
        <v>1</v>
      </c>
      <c r="O143" s="14">
        <v>0</v>
      </c>
      <c r="P143" s="14">
        <v>0</v>
      </c>
      <c r="Q143" s="14">
        <v>0</v>
      </c>
      <c r="R143" s="14">
        <v>1</v>
      </c>
      <c r="S143" s="15">
        <v>1</v>
      </c>
      <c r="T143" s="15">
        <v>0</v>
      </c>
      <c r="U143" s="15">
        <v>0</v>
      </c>
      <c r="V143" s="15">
        <v>0</v>
      </c>
      <c r="W143" s="15">
        <v>1</v>
      </c>
      <c r="X143" s="16">
        <v>1</v>
      </c>
      <c r="Y143" s="16">
        <v>0</v>
      </c>
      <c r="Z143" s="16">
        <v>0</v>
      </c>
      <c r="AA143" s="16">
        <v>0</v>
      </c>
      <c r="AB143" s="16">
        <v>1</v>
      </c>
      <c r="AC143" s="17">
        <v>3587</v>
      </c>
      <c r="AD143" s="17">
        <v>0</v>
      </c>
      <c r="AE143" s="17">
        <v>0</v>
      </c>
      <c r="AF143" s="17">
        <v>0</v>
      </c>
      <c r="AG143" s="17">
        <v>3587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9" t="s">
        <v>24</v>
      </c>
    </row>
    <row r="144" spans="1:39" x14ac:dyDescent="0.25">
      <c r="A144" s="10">
        <v>2016</v>
      </c>
      <c r="B144" s="11">
        <v>8570</v>
      </c>
      <c r="C144" s="12" t="s">
        <v>194</v>
      </c>
      <c r="D144" s="12" t="s">
        <v>110</v>
      </c>
      <c r="E144" s="22" t="str">
        <f t="shared" si="9"/>
        <v/>
      </c>
      <c r="F144" s="22" t="str">
        <f t="shared" si="10"/>
        <v/>
      </c>
      <c r="G144" s="22">
        <f t="shared" si="11"/>
        <v>13135.593220338982</v>
      </c>
      <c r="H144" s="22" t="str">
        <f t="shared" si="12"/>
        <v/>
      </c>
      <c r="I144" s="13">
        <v>0</v>
      </c>
      <c r="J144" s="13">
        <v>0</v>
      </c>
      <c r="K144" s="13">
        <v>190</v>
      </c>
      <c r="L144" s="13">
        <v>0</v>
      </c>
      <c r="M144" s="13">
        <v>190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5">
        <v>0</v>
      </c>
      <c r="T144" s="15">
        <v>0</v>
      </c>
      <c r="U144" s="15">
        <v>11.8</v>
      </c>
      <c r="V144" s="15">
        <v>0</v>
      </c>
      <c r="W144" s="15">
        <v>11.8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7">
        <v>0</v>
      </c>
      <c r="AD144" s="17">
        <v>0</v>
      </c>
      <c r="AE144" s="17">
        <v>119</v>
      </c>
      <c r="AF144" s="17">
        <v>0</v>
      </c>
      <c r="AG144" s="17">
        <v>119</v>
      </c>
      <c r="AH144" s="18">
        <v>0</v>
      </c>
      <c r="AI144" s="18">
        <v>0</v>
      </c>
      <c r="AJ144" s="18">
        <v>36</v>
      </c>
      <c r="AK144" s="18">
        <v>0</v>
      </c>
      <c r="AL144" s="18">
        <v>36</v>
      </c>
      <c r="AM144" s="19" t="s">
        <v>24</v>
      </c>
    </row>
    <row r="145" spans="1:39" x14ac:dyDescent="0.25">
      <c r="A145" s="10">
        <v>2016</v>
      </c>
      <c r="B145" s="11">
        <v>8570</v>
      </c>
      <c r="C145" s="12" t="s">
        <v>194</v>
      </c>
      <c r="D145" s="12" t="s">
        <v>72</v>
      </c>
      <c r="E145" s="22" t="str">
        <f t="shared" si="9"/>
        <v/>
      </c>
      <c r="F145" s="22" t="str">
        <f t="shared" si="10"/>
        <v/>
      </c>
      <c r="G145" s="22">
        <f t="shared" si="11"/>
        <v>13101.604278074867</v>
      </c>
      <c r="H145" s="22" t="str">
        <f t="shared" si="12"/>
        <v/>
      </c>
      <c r="I145" s="13">
        <v>0</v>
      </c>
      <c r="J145" s="13">
        <v>0</v>
      </c>
      <c r="K145" s="13">
        <v>216</v>
      </c>
      <c r="L145" s="13">
        <v>0</v>
      </c>
      <c r="M145" s="13">
        <v>216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5">
        <v>0</v>
      </c>
      <c r="T145" s="15">
        <v>0</v>
      </c>
      <c r="U145" s="15">
        <v>18.7</v>
      </c>
      <c r="V145" s="15">
        <v>0</v>
      </c>
      <c r="W145" s="15">
        <v>18.7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7">
        <v>0</v>
      </c>
      <c r="AD145" s="17">
        <v>0</v>
      </c>
      <c r="AE145" s="17">
        <v>189</v>
      </c>
      <c r="AF145" s="17">
        <v>0</v>
      </c>
      <c r="AG145" s="17">
        <v>189</v>
      </c>
      <c r="AH145" s="18">
        <v>0</v>
      </c>
      <c r="AI145" s="18">
        <v>0</v>
      </c>
      <c r="AJ145" s="18">
        <v>56</v>
      </c>
      <c r="AK145" s="18">
        <v>0</v>
      </c>
      <c r="AL145" s="18">
        <v>56</v>
      </c>
      <c r="AM145" s="19" t="s">
        <v>24</v>
      </c>
    </row>
    <row r="146" spans="1:39" x14ac:dyDescent="0.25">
      <c r="A146" s="10">
        <v>2016</v>
      </c>
      <c r="B146" s="11">
        <v>8574</v>
      </c>
      <c r="C146" s="12" t="s">
        <v>195</v>
      </c>
      <c r="D146" s="12" t="s">
        <v>29</v>
      </c>
      <c r="E146" s="22">
        <f t="shared" si="9"/>
        <v>250434.78260869568</v>
      </c>
      <c r="F146" s="22">
        <f t="shared" si="10"/>
        <v>2596.1538461538462</v>
      </c>
      <c r="G146" s="22" t="str">
        <f t="shared" si="11"/>
        <v/>
      </c>
      <c r="H146" s="22" t="str">
        <f t="shared" si="12"/>
        <v/>
      </c>
      <c r="I146" s="13">
        <v>5058</v>
      </c>
      <c r="J146" s="13">
        <v>232</v>
      </c>
      <c r="K146" s="13">
        <v>0</v>
      </c>
      <c r="L146" s="13">
        <v>0</v>
      </c>
      <c r="M146" s="13">
        <v>5290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5">
        <v>2.2999999999999998</v>
      </c>
      <c r="T146" s="15">
        <v>10.4</v>
      </c>
      <c r="U146" s="15">
        <v>0</v>
      </c>
      <c r="V146" s="15">
        <v>0</v>
      </c>
      <c r="W146" s="15">
        <v>12.7</v>
      </c>
      <c r="X146" s="16">
        <v>1.4</v>
      </c>
      <c r="Y146" s="16">
        <v>6.4</v>
      </c>
      <c r="Z146" s="16">
        <v>0</v>
      </c>
      <c r="AA146" s="16">
        <v>0</v>
      </c>
      <c r="AB146" s="16">
        <v>7.8</v>
      </c>
      <c r="AC146" s="17">
        <v>494</v>
      </c>
      <c r="AD146" s="17">
        <v>23</v>
      </c>
      <c r="AE146" s="17">
        <v>0</v>
      </c>
      <c r="AF146" s="17">
        <v>0</v>
      </c>
      <c r="AG146" s="17">
        <v>517</v>
      </c>
      <c r="AH146" s="18">
        <v>82</v>
      </c>
      <c r="AI146" s="18">
        <v>4</v>
      </c>
      <c r="AJ146" s="18">
        <v>0</v>
      </c>
      <c r="AK146" s="18">
        <v>0</v>
      </c>
      <c r="AL146" s="18">
        <v>86</v>
      </c>
      <c r="AM146" s="19" t="s">
        <v>24</v>
      </c>
    </row>
    <row r="147" spans="1:39" x14ac:dyDescent="0.25">
      <c r="A147" s="10">
        <v>2016</v>
      </c>
      <c r="B147" s="11">
        <v>8786</v>
      </c>
      <c r="C147" s="12" t="s">
        <v>196</v>
      </c>
      <c r="D147" s="12" t="s">
        <v>64</v>
      </c>
      <c r="E147" s="22">
        <f t="shared" si="9"/>
        <v>190000</v>
      </c>
      <c r="F147" s="22" t="str">
        <f t="shared" si="10"/>
        <v/>
      </c>
      <c r="G147" s="22" t="str">
        <f t="shared" si="11"/>
        <v/>
      </c>
      <c r="H147" s="22" t="str">
        <f t="shared" si="12"/>
        <v/>
      </c>
      <c r="I147" s="13">
        <v>5585</v>
      </c>
      <c r="J147" s="13">
        <v>0</v>
      </c>
      <c r="K147" s="13">
        <v>0</v>
      </c>
      <c r="L147" s="13">
        <v>0</v>
      </c>
      <c r="M147" s="13">
        <v>5585</v>
      </c>
      <c r="N147" s="14">
        <v>47</v>
      </c>
      <c r="O147" s="14">
        <v>0</v>
      </c>
      <c r="P147" s="14">
        <v>0</v>
      </c>
      <c r="Q147" s="14">
        <v>0</v>
      </c>
      <c r="R147" s="14">
        <v>47</v>
      </c>
      <c r="S147" s="15">
        <v>0.2</v>
      </c>
      <c r="T147" s="15">
        <v>0</v>
      </c>
      <c r="U147" s="15">
        <v>0</v>
      </c>
      <c r="V147" s="15">
        <v>0</v>
      </c>
      <c r="W147" s="15">
        <v>0.2</v>
      </c>
      <c r="X147" s="16">
        <v>0.2</v>
      </c>
      <c r="Y147" s="16">
        <v>0</v>
      </c>
      <c r="Z147" s="16">
        <v>0</v>
      </c>
      <c r="AA147" s="16">
        <v>0</v>
      </c>
      <c r="AB147" s="16">
        <v>0.2</v>
      </c>
      <c r="AC147" s="17">
        <v>19</v>
      </c>
      <c r="AD147" s="17">
        <v>0</v>
      </c>
      <c r="AE147" s="17">
        <v>0</v>
      </c>
      <c r="AF147" s="17">
        <v>0</v>
      </c>
      <c r="AG147" s="17">
        <v>19</v>
      </c>
      <c r="AH147" s="18">
        <v>19</v>
      </c>
      <c r="AI147" s="18">
        <v>0</v>
      </c>
      <c r="AJ147" s="18">
        <v>0</v>
      </c>
      <c r="AK147" s="18">
        <v>0</v>
      </c>
      <c r="AL147" s="18">
        <v>19</v>
      </c>
      <c r="AM147" s="19">
        <v>154</v>
      </c>
    </row>
    <row r="148" spans="1:39" x14ac:dyDescent="0.25">
      <c r="A148" s="10">
        <v>2016</v>
      </c>
      <c r="B148" s="11">
        <v>8901</v>
      </c>
      <c r="C148" s="12" t="s">
        <v>197</v>
      </c>
      <c r="D148" s="12" t="s">
        <v>56</v>
      </c>
      <c r="E148" s="22">
        <f t="shared" si="9"/>
        <v>38036.809815950917</v>
      </c>
      <c r="F148" s="22">
        <f t="shared" si="10"/>
        <v>35444.330949948926</v>
      </c>
      <c r="G148" s="22" t="str">
        <f t="shared" si="11"/>
        <v/>
      </c>
      <c r="H148" s="22" t="str">
        <f t="shared" si="12"/>
        <v/>
      </c>
      <c r="I148" s="13">
        <v>10875</v>
      </c>
      <c r="J148" s="13">
        <v>226</v>
      </c>
      <c r="K148" s="13">
        <v>0</v>
      </c>
      <c r="L148" s="13">
        <v>0</v>
      </c>
      <c r="M148" s="13">
        <v>11101</v>
      </c>
      <c r="N148" s="14">
        <v>67</v>
      </c>
      <c r="O148" s="14">
        <v>655</v>
      </c>
      <c r="P148" s="14">
        <v>0</v>
      </c>
      <c r="Q148" s="14">
        <v>0</v>
      </c>
      <c r="R148" s="14">
        <v>722</v>
      </c>
      <c r="S148" s="15">
        <v>16.3</v>
      </c>
      <c r="T148" s="15">
        <v>97.9</v>
      </c>
      <c r="U148" s="15">
        <v>0</v>
      </c>
      <c r="V148" s="15">
        <v>0</v>
      </c>
      <c r="W148" s="15">
        <v>114.2</v>
      </c>
      <c r="X148" s="16">
        <v>11.1</v>
      </c>
      <c r="Y148" s="16">
        <v>109.1</v>
      </c>
      <c r="Z148" s="16">
        <v>0</v>
      </c>
      <c r="AA148" s="16">
        <v>0</v>
      </c>
      <c r="AB148" s="16">
        <v>120.2</v>
      </c>
      <c r="AC148" s="17">
        <v>543</v>
      </c>
      <c r="AD148" s="17">
        <v>3106</v>
      </c>
      <c r="AE148" s="17">
        <v>0</v>
      </c>
      <c r="AF148" s="17">
        <v>0</v>
      </c>
      <c r="AG148" s="17">
        <v>3649</v>
      </c>
      <c r="AH148" s="18">
        <v>77</v>
      </c>
      <c r="AI148" s="18">
        <v>364</v>
      </c>
      <c r="AJ148" s="18">
        <v>0</v>
      </c>
      <c r="AK148" s="18">
        <v>0</v>
      </c>
      <c r="AL148" s="18">
        <v>441</v>
      </c>
      <c r="AM148" s="19" t="s">
        <v>24</v>
      </c>
    </row>
    <row r="149" spans="1:39" x14ac:dyDescent="0.25">
      <c r="A149" s="10">
        <v>2016</v>
      </c>
      <c r="B149" s="11">
        <v>8924</v>
      </c>
      <c r="C149" s="12" t="s">
        <v>198</v>
      </c>
      <c r="D149" s="12" t="s">
        <v>72</v>
      </c>
      <c r="E149" s="22" t="str">
        <f t="shared" si="9"/>
        <v/>
      </c>
      <c r="F149" s="22" t="str">
        <f t="shared" si="10"/>
        <v/>
      </c>
      <c r="G149" s="22">
        <f t="shared" si="11"/>
        <v>0</v>
      </c>
      <c r="H149" s="22" t="str">
        <f t="shared" si="12"/>
        <v/>
      </c>
      <c r="I149" s="13">
        <v>0</v>
      </c>
      <c r="J149" s="13">
        <v>0</v>
      </c>
      <c r="K149" s="13">
        <v>1230</v>
      </c>
      <c r="L149" s="13">
        <v>0</v>
      </c>
      <c r="M149" s="13">
        <v>1230</v>
      </c>
      <c r="N149" s="14">
        <v>0</v>
      </c>
      <c r="O149" s="14">
        <v>0</v>
      </c>
      <c r="P149" s="14">
        <v>50</v>
      </c>
      <c r="Q149" s="14">
        <v>0</v>
      </c>
      <c r="R149" s="14">
        <v>50</v>
      </c>
      <c r="S149" s="15">
        <v>0</v>
      </c>
      <c r="T149" s="15">
        <v>0</v>
      </c>
      <c r="U149" s="15">
        <v>20.100000000000001</v>
      </c>
      <c r="V149" s="15">
        <v>0</v>
      </c>
      <c r="W149" s="15">
        <v>20.100000000000001</v>
      </c>
      <c r="X149" s="16">
        <v>0</v>
      </c>
      <c r="Y149" s="16">
        <v>0</v>
      </c>
      <c r="Z149" s="16">
        <v>11.9</v>
      </c>
      <c r="AA149" s="16">
        <v>0</v>
      </c>
      <c r="AB149" s="16">
        <v>11.9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9" t="s">
        <v>24</v>
      </c>
    </row>
    <row r="150" spans="1:39" x14ac:dyDescent="0.25">
      <c r="A150" s="10">
        <v>2016</v>
      </c>
      <c r="B150" s="11">
        <v>9191</v>
      </c>
      <c r="C150" s="12" t="s">
        <v>199</v>
      </c>
      <c r="D150" s="12" t="s">
        <v>159</v>
      </c>
      <c r="E150" s="22">
        <f t="shared" si="9"/>
        <v>32151.515151515152</v>
      </c>
      <c r="F150" s="22">
        <f t="shared" si="10"/>
        <v>17931.03448275862</v>
      </c>
      <c r="G150" s="22">
        <f t="shared" si="11"/>
        <v>25010.169491525423</v>
      </c>
      <c r="H150" s="22" t="str">
        <f t="shared" si="12"/>
        <v/>
      </c>
      <c r="I150" s="13">
        <v>27947</v>
      </c>
      <c r="J150" s="13">
        <v>128</v>
      </c>
      <c r="K150" s="13">
        <v>2236</v>
      </c>
      <c r="L150" s="13">
        <v>0</v>
      </c>
      <c r="M150" s="13">
        <v>30311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5">
        <v>33</v>
      </c>
      <c r="T150" s="15">
        <v>29</v>
      </c>
      <c r="U150" s="15">
        <v>295</v>
      </c>
      <c r="V150" s="15">
        <v>0</v>
      </c>
      <c r="W150" s="15">
        <v>357</v>
      </c>
      <c r="X150" s="16">
        <v>0</v>
      </c>
      <c r="Y150" s="16">
        <v>18.5</v>
      </c>
      <c r="Z150" s="16">
        <v>0</v>
      </c>
      <c r="AA150" s="16">
        <v>0</v>
      </c>
      <c r="AB150" s="16">
        <v>18.5</v>
      </c>
      <c r="AC150" s="17">
        <v>419</v>
      </c>
      <c r="AD150" s="17">
        <v>398</v>
      </c>
      <c r="AE150" s="17">
        <v>6242</v>
      </c>
      <c r="AF150" s="17">
        <v>0</v>
      </c>
      <c r="AG150" s="17">
        <v>7059</v>
      </c>
      <c r="AH150" s="18">
        <v>642</v>
      </c>
      <c r="AI150" s="18">
        <v>122</v>
      </c>
      <c r="AJ150" s="18">
        <v>1136</v>
      </c>
      <c r="AK150" s="18">
        <v>0</v>
      </c>
      <c r="AL150" s="18">
        <v>1900</v>
      </c>
      <c r="AM150" s="19" t="s">
        <v>24</v>
      </c>
    </row>
    <row r="151" spans="1:39" x14ac:dyDescent="0.25">
      <c r="A151" s="10">
        <v>2016</v>
      </c>
      <c r="B151" s="11">
        <v>9191</v>
      </c>
      <c r="C151" s="12" t="s">
        <v>199</v>
      </c>
      <c r="D151" s="12" t="s">
        <v>200</v>
      </c>
      <c r="E151" s="22">
        <f t="shared" si="9"/>
        <v>105000</v>
      </c>
      <c r="F151" s="22">
        <f t="shared" si="10"/>
        <v>19147.286821705427</v>
      </c>
      <c r="G151" s="22">
        <f t="shared" si="11"/>
        <v>30273.972602739726</v>
      </c>
      <c r="H151" s="22" t="str">
        <f t="shared" si="12"/>
        <v/>
      </c>
      <c r="I151" s="13">
        <v>368</v>
      </c>
      <c r="J151" s="13">
        <v>9</v>
      </c>
      <c r="K151" s="13">
        <v>50</v>
      </c>
      <c r="L151" s="13">
        <v>0</v>
      </c>
      <c r="M151" s="13">
        <v>427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5">
        <v>0.4</v>
      </c>
      <c r="T151" s="15">
        <v>12.9</v>
      </c>
      <c r="U151" s="15">
        <v>7.3</v>
      </c>
      <c r="V151" s="15">
        <v>0</v>
      </c>
      <c r="W151" s="15">
        <v>20.6</v>
      </c>
      <c r="X151" s="16">
        <v>0</v>
      </c>
      <c r="Y151" s="16">
        <v>8.3000000000000007</v>
      </c>
      <c r="Z151" s="16">
        <v>0</v>
      </c>
      <c r="AA151" s="16">
        <v>0</v>
      </c>
      <c r="AB151" s="16">
        <v>8.3000000000000007</v>
      </c>
      <c r="AC151" s="17">
        <v>6</v>
      </c>
      <c r="AD151" s="17">
        <v>241</v>
      </c>
      <c r="AE151" s="17">
        <v>164</v>
      </c>
      <c r="AF151" s="17">
        <v>0</v>
      </c>
      <c r="AG151" s="17">
        <v>411</v>
      </c>
      <c r="AH151" s="18">
        <v>36</v>
      </c>
      <c r="AI151" s="18">
        <v>6</v>
      </c>
      <c r="AJ151" s="18">
        <v>57</v>
      </c>
      <c r="AK151" s="18">
        <v>0</v>
      </c>
      <c r="AL151" s="18">
        <v>99</v>
      </c>
      <c r="AM151" s="19" t="s">
        <v>24</v>
      </c>
    </row>
    <row r="152" spans="1:39" x14ac:dyDescent="0.25">
      <c r="A152" s="10">
        <v>2016</v>
      </c>
      <c r="B152" s="11">
        <v>9209</v>
      </c>
      <c r="C152" s="12" t="s">
        <v>201</v>
      </c>
      <c r="D152" s="12" t="s">
        <v>27</v>
      </c>
      <c r="E152" s="22" t="str">
        <f t="shared" si="9"/>
        <v/>
      </c>
      <c r="F152" s="22">
        <f t="shared" si="10"/>
        <v>5000</v>
      </c>
      <c r="G152" s="22" t="str">
        <f t="shared" si="11"/>
        <v/>
      </c>
      <c r="H152" s="22" t="str">
        <f t="shared" si="12"/>
        <v/>
      </c>
      <c r="I152" s="13">
        <v>0</v>
      </c>
      <c r="J152" s="13">
        <v>174</v>
      </c>
      <c r="K152" s="13">
        <v>0</v>
      </c>
      <c r="L152" s="13">
        <v>0</v>
      </c>
      <c r="M152" s="13">
        <v>174</v>
      </c>
      <c r="N152" s="14">
        <v>0</v>
      </c>
      <c r="O152" s="14">
        <v>4</v>
      </c>
      <c r="P152" s="14">
        <v>0</v>
      </c>
      <c r="Q152" s="14">
        <v>0</v>
      </c>
      <c r="R152" s="14">
        <v>4</v>
      </c>
      <c r="S152" s="15">
        <v>0</v>
      </c>
      <c r="T152" s="15">
        <v>4</v>
      </c>
      <c r="U152" s="15">
        <v>0</v>
      </c>
      <c r="V152" s="15">
        <v>0</v>
      </c>
      <c r="W152" s="15">
        <v>4</v>
      </c>
      <c r="X152" s="16">
        <v>0</v>
      </c>
      <c r="Y152" s="16">
        <v>4</v>
      </c>
      <c r="Z152" s="16">
        <v>0</v>
      </c>
      <c r="AA152" s="16">
        <v>0</v>
      </c>
      <c r="AB152" s="16">
        <v>4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8">
        <v>0</v>
      </c>
      <c r="AI152" s="18">
        <v>20</v>
      </c>
      <c r="AJ152" s="18">
        <v>0</v>
      </c>
      <c r="AK152" s="18">
        <v>0</v>
      </c>
      <c r="AL152" s="18">
        <v>20</v>
      </c>
      <c r="AM152" s="19" t="s">
        <v>24</v>
      </c>
    </row>
    <row r="153" spans="1:39" x14ac:dyDescent="0.25">
      <c r="A153" s="10">
        <v>2016</v>
      </c>
      <c r="B153" s="11">
        <v>9231</v>
      </c>
      <c r="C153" s="12" t="s">
        <v>202</v>
      </c>
      <c r="D153" s="12" t="s">
        <v>112</v>
      </c>
      <c r="E153" s="22" t="str">
        <f t="shared" si="9"/>
        <v/>
      </c>
      <c r="F153" s="22" t="str">
        <f t="shared" si="10"/>
        <v/>
      </c>
      <c r="G153" s="22">
        <f t="shared" si="11"/>
        <v>0</v>
      </c>
      <c r="H153" s="22" t="str">
        <f t="shared" si="12"/>
        <v/>
      </c>
      <c r="I153" s="13">
        <v>0</v>
      </c>
      <c r="J153" s="13">
        <v>0</v>
      </c>
      <c r="K153" s="13">
        <v>2</v>
      </c>
      <c r="L153" s="13">
        <v>0</v>
      </c>
      <c r="M153" s="13">
        <v>2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5">
        <v>0</v>
      </c>
      <c r="T153" s="15">
        <v>0</v>
      </c>
      <c r="U153" s="15">
        <v>2</v>
      </c>
      <c r="V153" s="15">
        <v>0</v>
      </c>
      <c r="W153" s="15">
        <v>2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9" t="s">
        <v>24</v>
      </c>
    </row>
    <row r="154" spans="1:39" x14ac:dyDescent="0.25">
      <c r="A154" s="10">
        <v>2016</v>
      </c>
      <c r="B154" s="11">
        <v>9267</v>
      </c>
      <c r="C154" s="12" t="s">
        <v>203</v>
      </c>
      <c r="D154" s="12" t="s">
        <v>70</v>
      </c>
      <c r="E154" s="22">
        <f t="shared" si="9"/>
        <v>9333.3333333333339</v>
      </c>
      <c r="F154" s="22" t="str">
        <f t="shared" si="10"/>
        <v/>
      </c>
      <c r="G154" s="22" t="str">
        <f t="shared" si="11"/>
        <v/>
      </c>
      <c r="H154" s="22" t="str">
        <f t="shared" si="12"/>
        <v/>
      </c>
      <c r="I154" s="13">
        <v>16380</v>
      </c>
      <c r="J154" s="13">
        <v>0</v>
      </c>
      <c r="K154" s="13">
        <v>0</v>
      </c>
      <c r="L154" s="13">
        <v>0</v>
      </c>
      <c r="M154" s="13">
        <v>16380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5">
        <v>12</v>
      </c>
      <c r="T154" s="15">
        <v>0</v>
      </c>
      <c r="U154" s="15">
        <v>0</v>
      </c>
      <c r="V154" s="15">
        <v>0</v>
      </c>
      <c r="W154" s="15">
        <v>12</v>
      </c>
      <c r="X154" s="16">
        <v>12</v>
      </c>
      <c r="Y154" s="16">
        <v>0</v>
      </c>
      <c r="Z154" s="16">
        <v>0</v>
      </c>
      <c r="AA154" s="16">
        <v>0</v>
      </c>
      <c r="AB154" s="16">
        <v>12</v>
      </c>
      <c r="AC154" s="17">
        <v>112</v>
      </c>
      <c r="AD154" s="17">
        <v>0</v>
      </c>
      <c r="AE154" s="17">
        <v>0</v>
      </c>
      <c r="AF154" s="17">
        <v>0</v>
      </c>
      <c r="AG154" s="17">
        <v>112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9" t="s">
        <v>24</v>
      </c>
    </row>
    <row r="155" spans="1:39" x14ac:dyDescent="0.25">
      <c r="A155" s="10">
        <v>2016</v>
      </c>
      <c r="B155" s="11">
        <v>9273</v>
      </c>
      <c r="C155" s="12" t="s">
        <v>204</v>
      </c>
      <c r="D155" s="12" t="s">
        <v>70</v>
      </c>
      <c r="E155" s="22">
        <f t="shared" si="9"/>
        <v>62098.765432098771</v>
      </c>
      <c r="F155" s="22">
        <f t="shared" si="10"/>
        <v>39333.333333333336</v>
      </c>
      <c r="G155" s="22">
        <f t="shared" si="11"/>
        <v>5000</v>
      </c>
      <c r="H155" s="22" t="str">
        <f t="shared" si="12"/>
        <v/>
      </c>
      <c r="I155" s="13">
        <v>45478</v>
      </c>
      <c r="J155" s="13">
        <v>87</v>
      </c>
      <c r="K155" s="13">
        <v>1</v>
      </c>
      <c r="L155" s="13">
        <v>0</v>
      </c>
      <c r="M155" s="13">
        <v>45566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5">
        <v>32.4</v>
      </c>
      <c r="T155" s="15">
        <v>1.5</v>
      </c>
      <c r="U155" s="15">
        <v>1.2</v>
      </c>
      <c r="V155" s="15">
        <v>0</v>
      </c>
      <c r="W155" s="15">
        <v>35.1</v>
      </c>
      <c r="X155" s="16">
        <v>30</v>
      </c>
      <c r="Y155" s="16">
        <v>1</v>
      </c>
      <c r="Z155" s="16">
        <v>0</v>
      </c>
      <c r="AA155" s="16">
        <v>0</v>
      </c>
      <c r="AB155" s="16">
        <v>31</v>
      </c>
      <c r="AC155" s="17">
        <v>921</v>
      </c>
      <c r="AD155" s="17">
        <v>15</v>
      </c>
      <c r="AE155" s="17">
        <v>6</v>
      </c>
      <c r="AF155" s="17">
        <v>0</v>
      </c>
      <c r="AG155" s="17">
        <v>942</v>
      </c>
      <c r="AH155" s="18">
        <v>1091</v>
      </c>
      <c r="AI155" s="18">
        <v>44</v>
      </c>
      <c r="AJ155" s="18">
        <v>0</v>
      </c>
      <c r="AK155" s="18">
        <v>0</v>
      </c>
      <c r="AL155" s="18">
        <v>1135</v>
      </c>
      <c r="AM155" s="19" t="s">
        <v>24</v>
      </c>
    </row>
    <row r="156" spans="1:39" x14ac:dyDescent="0.25">
      <c r="A156" s="10">
        <v>2016</v>
      </c>
      <c r="B156" s="11">
        <v>9324</v>
      </c>
      <c r="C156" s="12" t="s">
        <v>205</v>
      </c>
      <c r="D156" s="12" t="s">
        <v>70</v>
      </c>
      <c r="E156" s="22">
        <f t="shared" si="9"/>
        <v>0</v>
      </c>
      <c r="F156" s="22">
        <f t="shared" si="10"/>
        <v>0</v>
      </c>
      <c r="G156" s="22">
        <f t="shared" si="11"/>
        <v>0</v>
      </c>
      <c r="H156" s="22" t="str">
        <f t="shared" si="12"/>
        <v/>
      </c>
      <c r="I156" s="13">
        <v>7440</v>
      </c>
      <c r="J156" s="13">
        <v>115</v>
      </c>
      <c r="K156" s="13">
        <v>8</v>
      </c>
      <c r="L156" s="13">
        <v>0</v>
      </c>
      <c r="M156" s="13">
        <v>7563</v>
      </c>
      <c r="N156" s="14">
        <v>88</v>
      </c>
      <c r="O156" s="14">
        <v>0</v>
      </c>
      <c r="P156" s="14">
        <v>0</v>
      </c>
      <c r="Q156" s="14">
        <v>0</v>
      </c>
      <c r="R156" s="14">
        <v>88</v>
      </c>
      <c r="S156" s="15">
        <v>7.4</v>
      </c>
      <c r="T156" s="15">
        <v>57</v>
      </c>
      <c r="U156" s="15">
        <v>162.6</v>
      </c>
      <c r="V156" s="15">
        <v>0</v>
      </c>
      <c r="W156" s="15">
        <v>227</v>
      </c>
      <c r="X156" s="16">
        <v>4.5999999999999996</v>
      </c>
      <c r="Y156" s="16">
        <v>0</v>
      </c>
      <c r="Z156" s="16">
        <v>0</v>
      </c>
      <c r="AA156" s="16">
        <v>0</v>
      </c>
      <c r="AB156" s="16">
        <v>4.5999999999999996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9" t="s">
        <v>24</v>
      </c>
    </row>
    <row r="157" spans="1:39" x14ac:dyDescent="0.25">
      <c r="A157" s="10">
        <v>2016</v>
      </c>
      <c r="B157" s="11">
        <v>9417</v>
      </c>
      <c r="C157" s="12" t="s">
        <v>206</v>
      </c>
      <c r="D157" s="12" t="s">
        <v>38</v>
      </c>
      <c r="E157" s="22">
        <f t="shared" si="9"/>
        <v>52624.113475177306</v>
      </c>
      <c r="F157" s="22">
        <f t="shared" si="10"/>
        <v>84873.294346978568</v>
      </c>
      <c r="G157" s="22">
        <f t="shared" si="11"/>
        <v>84272.727272727279</v>
      </c>
      <c r="H157" s="22" t="str">
        <f t="shared" si="12"/>
        <v/>
      </c>
      <c r="I157" s="13">
        <v>51986</v>
      </c>
      <c r="J157" s="13">
        <v>84</v>
      </c>
      <c r="K157" s="13">
        <v>86</v>
      </c>
      <c r="L157" s="13">
        <v>0</v>
      </c>
      <c r="M157" s="13">
        <v>52156</v>
      </c>
      <c r="N157" s="14">
        <v>66</v>
      </c>
      <c r="O157" s="14">
        <v>195</v>
      </c>
      <c r="P157" s="14">
        <v>676</v>
      </c>
      <c r="Q157" s="14">
        <v>0</v>
      </c>
      <c r="R157" s="14">
        <v>937</v>
      </c>
      <c r="S157" s="15">
        <v>42.3</v>
      </c>
      <c r="T157" s="15">
        <v>51.3</v>
      </c>
      <c r="U157" s="15">
        <v>220</v>
      </c>
      <c r="V157" s="15">
        <v>0</v>
      </c>
      <c r="W157" s="15">
        <v>313.60000000000002</v>
      </c>
      <c r="X157" s="16">
        <v>15.9</v>
      </c>
      <c r="Y157" s="16">
        <v>23.4</v>
      </c>
      <c r="Z157" s="16">
        <v>81.8</v>
      </c>
      <c r="AA157" s="16">
        <v>0</v>
      </c>
      <c r="AB157" s="16">
        <v>121.1</v>
      </c>
      <c r="AC157" s="17">
        <v>1687</v>
      </c>
      <c r="AD157" s="17">
        <v>4311</v>
      </c>
      <c r="AE157" s="17">
        <v>18496</v>
      </c>
      <c r="AF157" s="17">
        <v>0</v>
      </c>
      <c r="AG157" s="17">
        <v>24494</v>
      </c>
      <c r="AH157" s="18">
        <v>539</v>
      </c>
      <c r="AI157" s="18">
        <v>43</v>
      </c>
      <c r="AJ157" s="18">
        <v>44</v>
      </c>
      <c r="AK157" s="18">
        <v>0</v>
      </c>
      <c r="AL157" s="18">
        <v>626</v>
      </c>
      <c r="AM157" s="19">
        <v>0</v>
      </c>
    </row>
    <row r="158" spans="1:39" x14ac:dyDescent="0.25">
      <c r="A158" s="10">
        <v>2016</v>
      </c>
      <c r="B158" s="11">
        <v>9431</v>
      </c>
      <c r="C158" s="12" t="s">
        <v>207</v>
      </c>
      <c r="D158" s="12" t="s">
        <v>40</v>
      </c>
      <c r="E158" s="22" t="str">
        <f t="shared" si="9"/>
        <v/>
      </c>
      <c r="F158" s="22" t="str">
        <f t="shared" si="10"/>
        <v/>
      </c>
      <c r="G158" s="22">
        <f t="shared" si="11"/>
        <v>3766.6666666666665</v>
      </c>
      <c r="H158" s="22" t="str">
        <f t="shared" si="12"/>
        <v/>
      </c>
      <c r="I158" s="13">
        <v>0</v>
      </c>
      <c r="J158" s="13">
        <v>0</v>
      </c>
      <c r="K158" s="13">
        <v>500</v>
      </c>
      <c r="L158" s="13">
        <v>0</v>
      </c>
      <c r="M158" s="13">
        <v>500</v>
      </c>
      <c r="N158" s="14">
        <v>0</v>
      </c>
      <c r="O158" s="14">
        <v>0</v>
      </c>
      <c r="P158" s="14">
        <v>315</v>
      </c>
      <c r="Q158" s="14">
        <v>0</v>
      </c>
      <c r="R158" s="14">
        <v>315</v>
      </c>
      <c r="S158" s="15">
        <v>0</v>
      </c>
      <c r="T158" s="15">
        <v>0</v>
      </c>
      <c r="U158" s="15">
        <v>30</v>
      </c>
      <c r="V158" s="15">
        <v>0</v>
      </c>
      <c r="W158" s="15">
        <v>30</v>
      </c>
      <c r="X158" s="16">
        <v>0</v>
      </c>
      <c r="Y158" s="16">
        <v>0</v>
      </c>
      <c r="Z158" s="16">
        <v>15</v>
      </c>
      <c r="AA158" s="16">
        <v>0</v>
      </c>
      <c r="AB158" s="16">
        <v>15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8">
        <v>0</v>
      </c>
      <c r="AI158" s="18">
        <v>0</v>
      </c>
      <c r="AJ158" s="18">
        <v>113</v>
      </c>
      <c r="AK158" s="18">
        <v>0</v>
      </c>
      <c r="AL158" s="18">
        <v>113</v>
      </c>
      <c r="AM158" s="19" t="s">
        <v>24</v>
      </c>
    </row>
    <row r="159" spans="1:39" x14ac:dyDescent="0.25">
      <c r="A159" s="10">
        <v>2016</v>
      </c>
      <c r="B159" s="11">
        <v>9576</v>
      </c>
      <c r="C159" s="12" t="s">
        <v>208</v>
      </c>
      <c r="D159" s="12" t="s">
        <v>70</v>
      </c>
      <c r="E159" s="22">
        <f t="shared" si="9"/>
        <v>62857.142857142862</v>
      </c>
      <c r="F159" s="22" t="str">
        <f t="shared" si="10"/>
        <v/>
      </c>
      <c r="G159" s="22" t="str">
        <f t="shared" si="11"/>
        <v/>
      </c>
      <c r="H159" s="22" t="str">
        <f t="shared" si="12"/>
        <v/>
      </c>
      <c r="I159" s="13">
        <v>128</v>
      </c>
      <c r="J159" s="13">
        <v>0</v>
      </c>
      <c r="K159" s="13">
        <v>0</v>
      </c>
      <c r="L159" s="13">
        <v>0</v>
      </c>
      <c r="M159" s="13">
        <v>128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5">
        <v>0.7</v>
      </c>
      <c r="T159" s="15">
        <v>0</v>
      </c>
      <c r="U159" s="15">
        <v>0</v>
      </c>
      <c r="V159" s="15">
        <v>0</v>
      </c>
      <c r="W159" s="15">
        <v>0.7</v>
      </c>
      <c r="X159" s="16">
        <v>0.1</v>
      </c>
      <c r="Y159" s="16">
        <v>0</v>
      </c>
      <c r="Z159" s="16">
        <v>0</v>
      </c>
      <c r="AA159" s="16">
        <v>0</v>
      </c>
      <c r="AB159" s="16">
        <v>0.1</v>
      </c>
      <c r="AC159" s="17">
        <v>44</v>
      </c>
      <c r="AD159" s="17">
        <v>0</v>
      </c>
      <c r="AE159" s="17">
        <v>0</v>
      </c>
      <c r="AF159" s="17">
        <v>0</v>
      </c>
      <c r="AG159" s="17">
        <v>44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9" t="s">
        <v>24</v>
      </c>
    </row>
    <row r="160" spans="1:39" x14ac:dyDescent="0.25">
      <c r="A160" s="10">
        <v>2016</v>
      </c>
      <c r="B160" s="11">
        <v>9590</v>
      </c>
      <c r="C160" s="12" t="s">
        <v>209</v>
      </c>
      <c r="D160" s="12" t="s">
        <v>56</v>
      </c>
      <c r="E160" s="22" t="str">
        <f t="shared" si="9"/>
        <v/>
      </c>
      <c r="F160" s="22">
        <f t="shared" si="10"/>
        <v>33833.333333333336</v>
      </c>
      <c r="G160" s="22" t="str">
        <f t="shared" si="11"/>
        <v/>
      </c>
      <c r="H160" s="22" t="str">
        <f t="shared" si="12"/>
        <v/>
      </c>
      <c r="I160" s="13">
        <v>0</v>
      </c>
      <c r="J160" s="13">
        <v>9</v>
      </c>
      <c r="K160" s="13">
        <v>0</v>
      </c>
      <c r="L160" s="13">
        <v>0</v>
      </c>
      <c r="M160" s="13">
        <v>9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5">
        <v>0</v>
      </c>
      <c r="T160" s="15">
        <v>48</v>
      </c>
      <c r="U160" s="15">
        <v>0</v>
      </c>
      <c r="V160" s="15">
        <v>0</v>
      </c>
      <c r="W160" s="15">
        <v>48</v>
      </c>
      <c r="X160" s="16">
        <v>0</v>
      </c>
      <c r="Y160" s="16">
        <v>45</v>
      </c>
      <c r="Z160" s="16">
        <v>0</v>
      </c>
      <c r="AA160" s="16">
        <v>0</v>
      </c>
      <c r="AB160" s="16">
        <v>45</v>
      </c>
      <c r="AC160" s="17">
        <v>0</v>
      </c>
      <c r="AD160" s="17">
        <v>1624</v>
      </c>
      <c r="AE160" s="17">
        <v>0</v>
      </c>
      <c r="AF160" s="17">
        <v>0</v>
      </c>
      <c r="AG160" s="17">
        <v>1624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9" t="s">
        <v>24</v>
      </c>
    </row>
    <row r="161" spans="1:39" x14ac:dyDescent="0.25">
      <c r="A161" s="10">
        <v>2016</v>
      </c>
      <c r="B161" s="11">
        <v>9601</v>
      </c>
      <c r="C161" s="12" t="s">
        <v>210</v>
      </c>
      <c r="D161" s="12" t="s">
        <v>40</v>
      </c>
      <c r="E161" s="22">
        <f t="shared" si="9"/>
        <v>36818.181818181816</v>
      </c>
      <c r="F161" s="22">
        <f t="shared" si="10"/>
        <v>45000</v>
      </c>
      <c r="G161" s="22" t="str">
        <f t="shared" si="11"/>
        <v/>
      </c>
      <c r="H161" s="22" t="str">
        <f t="shared" si="12"/>
        <v/>
      </c>
      <c r="I161" s="13">
        <v>23224</v>
      </c>
      <c r="J161" s="13">
        <v>2590</v>
      </c>
      <c r="K161" s="13">
        <v>0</v>
      </c>
      <c r="L161" s="13">
        <v>0</v>
      </c>
      <c r="M161" s="13">
        <v>25814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5">
        <v>11</v>
      </c>
      <c r="T161" s="15">
        <v>1</v>
      </c>
      <c r="U161" s="15">
        <v>0</v>
      </c>
      <c r="V161" s="15">
        <v>0</v>
      </c>
      <c r="W161" s="15">
        <v>12</v>
      </c>
      <c r="X161" s="16">
        <v>11</v>
      </c>
      <c r="Y161" s="16">
        <v>1</v>
      </c>
      <c r="Z161" s="16">
        <v>0</v>
      </c>
      <c r="AA161" s="16">
        <v>0</v>
      </c>
      <c r="AB161" s="16">
        <v>12</v>
      </c>
      <c r="AC161" s="17">
        <v>370</v>
      </c>
      <c r="AD161" s="17">
        <v>41</v>
      </c>
      <c r="AE161" s="17">
        <v>0</v>
      </c>
      <c r="AF161" s="17">
        <v>0</v>
      </c>
      <c r="AG161" s="17">
        <v>411</v>
      </c>
      <c r="AH161" s="18">
        <v>35</v>
      </c>
      <c r="AI161" s="18">
        <v>4</v>
      </c>
      <c r="AJ161" s="18">
        <v>0</v>
      </c>
      <c r="AK161" s="18">
        <v>0</v>
      </c>
      <c r="AL161" s="18">
        <v>39</v>
      </c>
      <c r="AM161" s="19" t="s">
        <v>24</v>
      </c>
    </row>
    <row r="162" spans="1:39" x14ac:dyDescent="0.25">
      <c r="A162" s="10">
        <v>2016</v>
      </c>
      <c r="B162" s="11">
        <v>9617</v>
      </c>
      <c r="C162" s="12" t="s">
        <v>211</v>
      </c>
      <c r="D162" s="12" t="s">
        <v>99</v>
      </c>
      <c r="E162" s="22" t="str">
        <f t="shared" si="9"/>
        <v/>
      </c>
      <c r="F162" s="22">
        <f t="shared" si="10"/>
        <v>87405.622489959846</v>
      </c>
      <c r="G162" s="22" t="str">
        <f t="shared" si="11"/>
        <v/>
      </c>
      <c r="H162" s="22" t="str">
        <f t="shared" si="12"/>
        <v/>
      </c>
      <c r="I162" s="13">
        <v>0</v>
      </c>
      <c r="J162" s="13">
        <v>36</v>
      </c>
      <c r="K162" s="13">
        <v>0</v>
      </c>
      <c r="L162" s="13">
        <v>0</v>
      </c>
      <c r="M162" s="13">
        <v>36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5">
        <v>0</v>
      </c>
      <c r="T162" s="15">
        <v>249</v>
      </c>
      <c r="U162" s="15">
        <v>0</v>
      </c>
      <c r="V162" s="15">
        <v>0</v>
      </c>
      <c r="W162" s="15">
        <v>249</v>
      </c>
      <c r="X162" s="16">
        <v>0</v>
      </c>
      <c r="Y162" s="16">
        <v>164</v>
      </c>
      <c r="Z162" s="16">
        <v>0</v>
      </c>
      <c r="AA162" s="16">
        <v>0</v>
      </c>
      <c r="AB162" s="16">
        <v>164</v>
      </c>
      <c r="AC162" s="17">
        <v>0</v>
      </c>
      <c r="AD162" s="17">
        <v>21764</v>
      </c>
      <c r="AE162" s="17">
        <v>0</v>
      </c>
      <c r="AF162" s="17">
        <v>0</v>
      </c>
      <c r="AG162" s="17">
        <v>21764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9" t="s">
        <v>24</v>
      </c>
    </row>
    <row r="163" spans="1:39" x14ac:dyDescent="0.25">
      <c r="A163" s="10">
        <v>2016</v>
      </c>
      <c r="B163" s="11">
        <v>9726</v>
      </c>
      <c r="C163" s="12" t="s">
        <v>212</v>
      </c>
      <c r="D163" s="12" t="s">
        <v>52</v>
      </c>
      <c r="E163" s="22">
        <f t="shared" si="9"/>
        <v>10062.5</v>
      </c>
      <c r="F163" s="22" t="str">
        <f t="shared" si="10"/>
        <v/>
      </c>
      <c r="G163" s="22" t="str">
        <f t="shared" si="11"/>
        <v/>
      </c>
      <c r="H163" s="22" t="str">
        <f t="shared" si="12"/>
        <v/>
      </c>
      <c r="I163" s="13">
        <v>14609</v>
      </c>
      <c r="J163" s="13">
        <v>0</v>
      </c>
      <c r="K163" s="13">
        <v>0</v>
      </c>
      <c r="L163" s="13">
        <v>0</v>
      </c>
      <c r="M163" s="13">
        <v>14609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5">
        <v>16</v>
      </c>
      <c r="T163" s="15">
        <v>0</v>
      </c>
      <c r="U163" s="15">
        <v>0</v>
      </c>
      <c r="V163" s="15">
        <v>0</v>
      </c>
      <c r="W163" s="15">
        <v>16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8">
        <v>161</v>
      </c>
      <c r="AI163" s="18">
        <v>0</v>
      </c>
      <c r="AJ163" s="18">
        <v>0</v>
      </c>
      <c r="AK163" s="18">
        <v>0</v>
      </c>
      <c r="AL163" s="18">
        <v>161</v>
      </c>
      <c r="AM163" s="19" t="s">
        <v>24</v>
      </c>
    </row>
    <row r="164" spans="1:39" x14ac:dyDescent="0.25">
      <c r="A164" s="10">
        <v>2016</v>
      </c>
      <c r="B164" s="11">
        <v>9750</v>
      </c>
      <c r="C164" s="12" t="s">
        <v>213</v>
      </c>
      <c r="D164" s="12" t="s">
        <v>27</v>
      </c>
      <c r="E164" s="22">
        <f t="shared" si="9"/>
        <v>60454.545454545449</v>
      </c>
      <c r="F164" s="22">
        <f t="shared" si="10"/>
        <v>62500</v>
      </c>
      <c r="G164" s="22">
        <f t="shared" si="11"/>
        <v>30000</v>
      </c>
      <c r="H164" s="22" t="str">
        <f t="shared" si="12"/>
        <v/>
      </c>
      <c r="I164" s="13">
        <v>1831</v>
      </c>
      <c r="J164" s="13">
        <v>3</v>
      </c>
      <c r="K164" s="13">
        <v>1</v>
      </c>
      <c r="L164" s="13">
        <v>0</v>
      </c>
      <c r="M164" s="13">
        <v>1835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5">
        <v>2.2000000000000002</v>
      </c>
      <c r="T164" s="15">
        <v>0.4</v>
      </c>
      <c r="U164" s="15">
        <v>0.1</v>
      </c>
      <c r="V164" s="15">
        <v>0</v>
      </c>
      <c r="W164" s="15">
        <v>2.7</v>
      </c>
      <c r="X164" s="16">
        <v>1.9</v>
      </c>
      <c r="Y164" s="16">
        <v>0.4</v>
      </c>
      <c r="Z164" s="16">
        <v>0.1</v>
      </c>
      <c r="AA164" s="16">
        <v>0</v>
      </c>
      <c r="AB164" s="16">
        <v>2.4</v>
      </c>
      <c r="AC164" s="17">
        <v>121</v>
      </c>
      <c r="AD164" s="17">
        <v>23</v>
      </c>
      <c r="AE164" s="17">
        <v>3</v>
      </c>
      <c r="AF164" s="17">
        <v>0</v>
      </c>
      <c r="AG164" s="17">
        <v>147</v>
      </c>
      <c r="AH164" s="18">
        <v>12</v>
      </c>
      <c r="AI164" s="18">
        <v>2</v>
      </c>
      <c r="AJ164" s="18">
        <v>0</v>
      </c>
      <c r="AK164" s="18">
        <v>0</v>
      </c>
      <c r="AL164" s="18">
        <v>14</v>
      </c>
      <c r="AM164" s="19" t="s">
        <v>24</v>
      </c>
    </row>
    <row r="165" spans="1:39" x14ac:dyDescent="0.25">
      <c r="A165" s="10">
        <v>2016</v>
      </c>
      <c r="B165" s="11">
        <v>9778</v>
      </c>
      <c r="C165" s="12" t="s">
        <v>214</v>
      </c>
      <c r="D165" s="12" t="s">
        <v>70</v>
      </c>
      <c r="E165" s="22" t="str">
        <f t="shared" si="9"/>
        <v/>
      </c>
      <c r="F165" s="22" t="str">
        <f t="shared" si="10"/>
        <v/>
      </c>
      <c r="G165" s="22">
        <f t="shared" si="11"/>
        <v>22307.692307692309</v>
      </c>
      <c r="H165" s="22" t="str">
        <f t="shared" si="12"/>
        <v/>
      </c>
      <c r="I165" s="13">
        <v>0</v>
      </c>
      <c r="J165" s="13">
        <v>0</v>
      </c>
      <c r="K165" s="13">
        <v>2</v>
      </c>
      <c r="L165" s="13">
        <v>0</v>
      </c>
      <c r="M165" s="13">
        <v>2</v>
      </c>
      <c r="N165" s="14">
        <v>0</v>
      </c>
      <c r="O165" s="14">
        <v>0</v>
      </c>
      <c r="P165" s="14">
        <v>31</v>
      </c>
      <c r="Q165" s="14">
        <v>0</v>
      </c>
      <c r="R165" s="14">
        <v>31</v>
      </c>
      <c r="S165" s="15">
        <v>0</v>
      </c>
      <c r="T165" s="15">
        <v>0</v>
      </c>
      <c r="U165" s="15">
        <v>1.3</v>
      </c>
      <c r="V165" s="15">
        <v>0</v>
      </c>
      <c r="W165" s="15">
        <v>1.3</v>
      </c>
      <c r="X165" s="16">
        <v>0</v>
      </c>
      <c r="Y165" s="16">
        <v>0</v>
      </c>
      <c r="Z165" s="16">
        <v>1.3</v>
      </c>
      <c r="AA165" s="16">
        <v>0</v>
      </c>
      <c r="AB165" s="16">
        <v>1.3</v>
      </c>
      <c r="AC165" s="17">
        <v>0</v>
      </c>
      <c r="AD165" s="17">
        <v>0</v>
      </c>
      <c r="AE165" s="17">
        <v>27</v>
      </c>
      <c r="AF165" s="17">
        <v>0</v>
      </c>
      <c r="AG165" s="17">
        <v>27</v>
      </c>
      <c r="AH165" s="18">
        <v>0</v>
      </c>
      <c r="AI165" s="18">
        <v>0</v>
      </c>
      <c r="AJ165" s="18">
        <v>2</v>
      </c>
      <c r="AK165" s="18">
        <v>0</v>
      </c>
      <c r="AL165" s="18">
        <v>2</v>
      </c>
      <c r="AM165" s="19">
        <v>0</v>
      </c>
    </row>
    <row r="166" spans="1:39" x14ac:dyDescent="0.25">
      <c r="A166" s="10">
        <v>2016</v>
      </c>
      <c r="B166" s="11">
        <v>9922</v>
      </c>
      <c r="C166" s="12" t="s">
        <v>215</v>
      </c>
      <c r="D166" s="12" t="s">
        <v>29</v>
      </c>
      <c r="E166" s="22">
        <f t="shared" si="9"/>
        <v>15750</v>
      </c>
      <c r="F166" s="22">
        <f t="shared" si="10"/>
        <v>15714.285714285716</v>
      </c>
      <c r="G166" s="22" t="str">
        <f t="shared" si="11"/>
        <v/>
      </c>
      <c r="H166" s="22" t="str">
        <f t="shared" si="12"/>
        <v/>
      </c>
      <c r="I166" s="13">
        <v>4519</v>
      </c>
      <c r="J166" s="13">
        <v>149</v>
      </c>
      <c r="K166" s="13">
        <v>0</v>
      </c>
      <c r="L166" s="13">
        <v>0</v>
      </c>
      <c r="M166" s="13">
        <v>4668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5">
        <v>8</v>
      </c>
      <c r="T166" s="15">
        <v>0.7</v>
      </c>
      <c r="U166" s="15">
        <v>0</v>
      </c>
      <c r="V166" s="15">
        <v>0</v>
      </c>
      <c r="W166" s="15">
        <v>8.6999999999999993</v>
      </c>
      <c r="X166" s="16">
        <v>3</v>
      </c>
      <c r="Y166" s="16">
        <v>0.3</v>
      </c>
      <c r="Z166" s="16">
        <v>0</v>
      </c>
      <c r="AA166" s="16">
        <v>0</v>
      </c>
      <c r="AB166" s="16">
        <v>3.3</v>
      </c>
      <c r="AC166" s="17">
        <v>72</v>
      </c>
      <c r="AD166" s="17">
        <v>6</v>
      </c>
      <c r="AE166" s="17">
        <v>0</v>
      </c>
      <c r="AF166" s="17">
        <v>0</v>
      </c>
      <c r="AG166" s="17">
        <v>78</v>
      </c>
      <c r="AH166" s="18">
        <v>54</v>
      </c>
      <c r="AI166" s="18">
        <v>5</v>
      </c>
      <c r="AJ166" s="18">
        <v>0</v>
      </c>
      <c r="AK166" s="18">
        <v>0</v>
      </c>
      <c r="AL166" s="18">
        <v>59</v>
      </c>
      <c r="AM166" s="19">
        <v>0</v>
      </c>
    </row>
    <row r="167" spans="1:39" x14ac:dyDescent="0.25">
      <c r="A167" s="10">
        <v>2016</v>
      </c>
      <c r="B167" s="11">
        <v>9996</v>
      </c>
      <c r="C167" s="12" t="s">
        <v>216</v>
      </c>
      <c r="D167" s="12" t="s">
        <v>74</v>
      </c>
      <c r="E167" s="22">
        <f t="shared" si="9"/>
        <v>65000</v>
      </c>
      <c r="F167" s="22" t="str">
        <f t="shared" si="10"/>
        <v/>
      </c>
      <c r="G167" s="22" t="str">
        <f t="shared" si="11"/>
        <v/>
      </c>
      <c r="H167" s="22" t="str">
        <f t="shared" si="12"/>
        <v/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5">
        <v>1</v>
      </c>
      <c r="T167" s="15">
        <v>0</v>
      </c>
      <c r="U167" s="15">
        <v>0</v>
      </c>
      <c r="V167" s="15">
        <v>0</v>
      </c>
      <c r="W167" s="15">
        <v>1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7">
        <v>65</v>
      </c>
      <c r="AD167" s="17">
        <v>0</v>
      </c>
      <c r="AE167" s="17">
        <v>0</v>
      </c>
      <c r="AF167" s="17">
        <v>0</v>
      </c>
      <c r="AG167" s="17">
        <v>65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9" t="s">
        <v>24</v>
      </c>
    </row>
    <row r="168" spans="1:39" x14ac:dyDescent="0.25">
      <c r="A168" s="10">
        <v>2016</v>
      </c>
      <c r="B168" s="11">
        <v>10000</v>
      </c>
      <c r="C168" s="12" t="s">
        <v>217</v>
      </c>
      <c r="D168" s="12" t="s">
        <v>74</v>
      </c>
      <c r="E168" s="22">
        <f t="shared" si="9"/>
        <v>8262.7118644067796</v>
      </c>
      <c r="F168" s="22">
        <f t="shared" si="10"/>
        <v>8750</v>
      </c>
      <c r="G168" s="22" t="str">
        <f t="shared" si="11"/>
        <v/>
      </c>
      <c r="H168" s="22" t="str">
        <f t="shared" si="12"/>
        <v/>
      </c>
      <c r="I168" s="13">
        <v>18741</v>
      </c>
      <c r="J168" s="13">
        <v>670</v>
      </c>
      <c r="K168" s="13">
        <v>0</v>
      </c>
      <c r="L168" s="13">
        <v>0</v>
      </c>
      <c r="M168" s="13">
        <v>19411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5">
        <v>23.6</v>
      </c>
      <c r="T168" s="15">
        <v>0.8</v>
      </c>
      <c r="U168" s="15">
        <v>0</v>
      </c>
      <c r="V168" s="15">
        <v>0</v>
      </c>
      <c r="W168" s="15">
        <v>24.4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8">
        <v>195</v>
      </c>
      <c r="AI168" s="18">
        <v>7</v>
      </c>
      <c r="AJ168" s="18">
        <v>0</v>
      </c>
      <c r="AK168" s="18">
        <v>0</v>
      </c>
      <c r="AL168" s="18">
        <v>202</v>
      </c>
      <c r="AM168" s="19">
        <v>0</v>
      </c>
    </row>
    <row r="169" spans="1:39" x14ac:dyDescent="0.25">
      <c r="A169" s="10">
        <v>2016</v>
      </c>
      <c r="B169" s="11">
        <v>10000</v>
      </c>
      <c r="C169" s="12" t="s">
        <v>217</v>
      </c>
      <c r="D169" s="12" t="s">
        <v>112</v>
      </c>
      <c r="E169" s="22">
        <f t="shared" si="9"/>
        <v>50940.438871473358</v>
      </c>
      <c r="F169" s="22">
        <f t="shared" si="10"/>
        <v>40089.285714285717</v>
      </c>
      <c r="G169" s="22" t="str">
        <f t="shared" si="11"/>
        <v/>
      </c>
      <c r="H169" s="22" t="str">
        <f t="shared" si="12"/>
        <v/>
      </c>
      <c r="I169" s="13">
        <v>25368</v>
      </c>
      <c r="J169" s="13">
        <v>935</v>
      </c>
      <c r="K169" s="13">
        <v>0</v>
      </c>
      <c r="L169" s="13">
        <v>0</v>
      </c>
      <c r="M169" s="13">
        <v>26303</v>
      </c>
      <c r="N169" s="14">
        <v>1493</v>
      </c>
      <c r="O169" s="14">
        <v>6</v>
      </c>
      <c r="P169" s="14">
        <v>0</v>
      </c>
      <c r="Q169" s="14">
        <v>0</v>
      </c>
      <c r="R169" s="14">
        <v>1499</v>
      </c>
      <c r="S169" s="15">
        <v>31.9</v>
      </c>
      <c r="T169" s="15">
        <v>11.2</v>
      </c>
      <c r="U169" s="15">
        <v>0</v>
      </c>
      <c r="V169" s="15">
        <v>0</v>
      </c>
      <c r="W169" s="15">
        <v>43.1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7">
        <v>0</v>
      </c>
      <c r="AD169" s="17">
        <v>336</v>
      </c>
      <c r="AE169" s="17">
        <v>0</v>
      </c>
      <c r="AF169" s="17">
        <v>0</v>
      </c>
      <c r="AG169" s="17">
        <v>336</v>
      </c>
      <c r="AH169" s="18">
        <v>1625</v>
      </c>
      <c r="AI169" s="18">
        <v>113</v>
      </c>
      <c r="AJ169" s="18">
        <v>0</v>
      </c>
      <c r="AK169" s="18">
        <v>0</v>
      </c>
      <c r="AL169" s="18">
        <v>1738</v>
      </c>
      <c r="AM169" s="19">
        <v>0</v>
      </c>
    </row>
    <row r="170" spans="1:39" x14ac:dyDescent="0.25">
      <c r="A170" s="10">
        <v>2016</v>
      </c>
      <c r="B170" s="11">
        <v>10005</v>
      </c>
      <c r="C170" s="12" t="s">
        <v>218</v>
      </c>
      <c r="D170" s="12" t="s">
        <v>74</v>
      </c>
      <c r="E170" s="22" t="str">
        <f t="shared" si="9"/>
        <v/>
      </c>
      <c r="F170" s="22">
        <f t="shared" si="10"/>
        <v>12750</v>
      </c>
      <c r="G170" s="22">
        <f t="shared" si="11"/>
        <v>23951.219512195123</v>
      </c>
      <c r="H170" s="22" t="str">
        <f t="shared" si="12"/>
        <v/>
      </c>
      <c r="I170" s="13">
        <v>26835</v>
      </c>
      <c r="J170" s="13">
        <v>1047</v>
      </c>
      <c r="K170" s="13">
        <v>38</v>
      </c>
      <c r="L170" s="13">
        <v>0</v>
      </c>
      <c r="M170" s="13">
        <v>27920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5">
        <v>0</v>
      </c>
      <c r="T170" s="15">
        <v>8</v>
      </c>
      <c r="U170" s="15">
        <v>164</v>
      </c>
      <c r="V170" s="15">
        <v>0</v>
      </c>
      <c r="W170" s="15">
        <v>172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7">
        <v>0</v>
      </c>
      <c r="AD170" s="17">
        <v>89</v>
      </c>
      <c r="AE170" s="17">
        <v>3928</v>
      </c>
      <c r="AF170" s="17">
        <v>0</v>
      </c>
      <c r="AG170" s="17">
        <v>4017</v>
      </c>
      <c r="AH170" s="18">
        <v>346</v>
      </c>
      <c r="AI170" s="18">
        <v>13</v>
      </c>
      <c r="AJ170" s="18">
        <v>0</v>
      </c>
      <c r="AK170" s="18">
        <v>0</v>
      </c>
      <c r="AL170" s="18">
        <v>359</v>
      </c>
      <c r="AM170" s="19" t="s">
        <v>24</v>
      </c>
    </row>
    <row r="171" spans="1:39" x14ac:dyDescent="0.25">
      <c r="A171" s="10">
        <v>2016</v>
      </c>
      <c r="B171" s="11">
        <v>10065</v>
      </c>
      <c r="C171" s="12" t="s">
        <v>219</v>
      </c>
      <c r="D171" s="12" t="s">
        <v>72</v>
      </c>
      <c r="E171" s="22" t="str">
        <f t="shared" si="9"/>
        <v/>
      </c>
      <c r="F171" s="22" t="str">
        <f t="shared" si="10"/>
        <v/>
      </c>
      <c r="G171" s="22">
        <f t="shared" si="11"/>
        <v>3300</v>
      </c>
      <c r="H171" s="22" t="str">
        <f t="shared" si="12"/>
        <v/>
      </c>
      <c r="I171" s="13">
        <v>0</v>
      </c>
      <c r="J171" s="13">
        <v>0</v>
      </c>
      <c r="K171" s="13">
        <v>500</v>
      </c>
      <c r="L171" s="13">
        <v>0</v>
      </c>
      <c r="M171" s="13">
        <v>500</v>
      </c>
      <c r="N171" s="14">
        <v>0</v>
      </c>
      <c r="O171" s="14">
        <v>0</v>
      </c>
      <c r="P171" s="14">
        <v>250</v>
      </c>
      <c r="Q171" s="14">
        <v>0</v>
      </c>
      <c r="R171" s="14">
        <v>250</v>
      </c>
      <c r="S171" s="15">
        <v>0</v>
      </c>
      <c r="T171" s="15">
        <v>0</v>
      </c>
      <c r="U171" s="15">
        <v>10</v>
      </c>
      <c r="V171" s="15">
        <v>0</v>
      </c>
      <c r="W171" s="15">
        <v>10</v>
      </c>
      <c r="X171" s="16">
        <v>0</v>
      </c>
      <c r="Y171" s="16">
        <v>0</v>
      </c>
      <c r="Z171" s="16">
        <v>4</v>
      </c>
      <c r="AA171" s="16">
        <v>0</v>
      </c>
      <c r="AB171" s="16">
        <v>4</v>
      </c>
      <c r="AC171" s="17">
        <v>0</v>
      </c>
      <c r="AD171" s="17">
        <v>0</v>
      </c>
      <c r="AE171" s="17">
        <v>33</v>
      </c>
      <c r="AF171" s="17">
        <v>0</v>
      </c>
      <c r="AG171" s="17">
        <v>33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9" t="s">
        <v>24</v>
      </c>
    </row>
    <row r="172" spans="1:39" x14ac:dyDescent="0.25">
      <c r="A172" s="10">
        <v>2016</v>
      </c>
      <c r="B172" s="11">
        <v>10171</v>
      </c>
      <c r="C172" s="12" t="s">
        <v>220</v>
      </c>
      <c r="D172" s="12" t="s">
        <v>148</v>
      </c>
      <c r="E172" s="22">
        <f t="shared" si="9"/>
        <v>66779.069767441862</v>
      </c>
      <c r="F172" s="22">
        <f t="shared" si="10"/>
        <v>83000</v>
      </c>
      <c r="G172" s="22" t="str">
        <f t="shared" si="11"/>
        <v/>
      </c>
      <c r="H172" s="22" t="str">
        <f t="shared" si="12"/>
        <v/>
      </c>
      <c r="I172" s="13">
        <v>78532</v>
      </c>
      <c r="J172" s="13">
        <v>1099</v>
      </c>
      <c r="K172" s="13">
        <v>0</v>
      </c>
      <c r="L172" s="13">
        <v>0</v>
      </c>
      <c r="M172" s="13">
        <v>79631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5">
        <v>86</v>
      </c>
      <c r="T172" s="15">
        <v>11</v>
      </c>
      <c r="U172" s="15">
        <v>0</v>
      </c>
      <c r="V172" s="15">
        <v>0</v>
      </c>
      <c r="W172" s="15">
        <v>97</v>
      </c>
      <c r="X172" s="16">
        <v>33</v>
      </c>
      <c r="Y172" s="16">
        <v>9</v>
      </c>
      <c r="Z172" s="16">
        <v>0</v>
      </c>
      <c r="AA172" s="16">
        <v>0</v>
      </c>
      <c r="AB172" s="16">
        <v>42</v>
      </c>
      <c r="AC172" s="17">
        <v>1938</v>
      </c>
      <c r="AD172" s="17">
        <v>288</v>
      </c>
      <c r="AE172" s="17">
        <v>0</v>
      </c>
      <c r="AF172" s="17">
        <v>0</v>
      </c>
      <c r="AG172" s="17">
        <v>2226</v>
      </c>
      <c r="AH172" s="18">
        <v>3805</v>
      </c>
      <c r="AI172" s="18">
        <v>625</v>
      </c>
      <c r="AJ172" s="18">
        <v>0</v>
      </c>
      <c r="AK172" s="18">
        <v>0</v>
      </c>
      <c r="AL172" s="18">
        <v>4430</v>
      </c>
      <c r="AM172" s="19">
        <v>0</v>
      </c>
    </row>
    <row r="173" spans="1:39" x14ac:dyDescent="0.25">
      <c r="A173" s="10">
        <v>2016</v>
      </c>
      <c r="B173" s="11">
        <v>10558</v>
      </c>
      <c r="C173" s="12" t="s">
        <v>221</v>
      </c>
      <c r="D173" s="12" t="s">
        <v>66</v>
      </c>
      <c r="E173" s="22">
        <f t="shared" si="9"/>
        <v>909.09090909090901</v>
      </c>
      <c r="F173" s="22" t="str">
        <f t="shared" si="10"/>
        <v/>
      </c>
      <c r="G173" s="22">
        <f t="shared" si="11"/>
        <v>0</v>
      </c>
      <c r="H173" s="22" t="str">
        <f t="shared" si="12"/>
        <v/>
      </c>
      <c r="I173" s="13">
        <v>378</v>
      </c>
      <c r="J173" s="13">
        <v>0</v>
      </c>
      <c r="K173" s="13">
        <v>88</v>
      </c>
      <c r="L173" s="13">
        <v>0</v>
      </c>
      <c r="M173" s="13">
        <v>466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5">
        <v>2.2000000000000002</v>
      </c>
      <c r="T173" s="15">
        <v>0</v>
      </c>
      <c r="U173" s="15">
        <v>10.3</v>
      </c>
      <c r="V173" s="15">
        <v>0</v>
      </c>
      <c r="W173" s="15">
        <v>12.5</v>
      </c>
      <c r="X173" s="16">
        <v>2.2000000000000002</v>
      </c>
      <c r="Y173" s="16">
        <v>0</v>
      </c>
      <c r="Z173" s="16">
        <v>10.3</v>
      </c>
      <c r="AA173" s="16">
        <v>0</v>
      </c>
      <c r="AB173" s="16">
        <v>12.5</v>
      </c>
      <c r="AC173" s="17">
        <v>1</v>
      </c>
      <c r="AD173" s="17">
        <v>0</v>
      </c>
      <c r="AE173" s="17">
        <v>0</v>
      </c>
      <c r="AF173" s="17">
        <v>0</v>
      </c>
      <c r="AG173" s="17">
        <v>1</v>
      </c>
      <c r="AH173" s="18">
        <v>1</v>
      </c>
      <c r="AI173" s="18">
        <v>0</v>
      </c>
      <c r="AJ173" s="18">
        <v>0</v>
      </c>
      <c r="AK173" s="18">
        <v>0</v>
      </c>
      <c r="AL173" s="18">
        <v>1</v>
      </c>
      <c r="AM173" s="19" t="s">
        <v>24</v>
      </c>
    </row>
    <row r="174" spans="1:39" x14ac:dyDescent="0.25">
      <c r="A174" s="10">
        <v>2016</v>
      </c>
      <c r="B174" s="11">
        <v>10595</v>
      </c>
      <c r="C174" s="12" t="s">
        <v>222</v>
      </c>
      <c r="D174" s="12" t="s">
        <v>36</v>
      </c>
      <c r="E174" s="22" t="str">
        <f t="shared" si="9"/>
        <v/>
      </c>
      <c r="F174" s="22" t="str">
        <f t="shared" si="10"/>
        <v/>
      </c>
      <c r="G174" s="22">
        <f t="shared" si="11"/>
        <v>0</v>
      </c>
      <c r="H174" s="22" t="str">
        <f t="shared" si="12"/>
        <v/>
      </c>
      <c r="I174" s="13">
        <v>0</v>
      </c>
      <c r="J174" s="13">
        <v>0</v>
      </c>
      <c r="K174" s="13">
        <v>3</v>
      </c>
      <c r="L174" s="13">
        <v>0</v>
      </c>
      <c r="M174" s="13">
        <v>3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5">
        <v>0</v>
      </c>
      <c r="T174" s="15">
        <v>0</v>
      </c>
      <c r="U174" s="15">
        <v>5</v>
      </c>
      <c r="V174" s="15">
        <v>0</v>
      </c>
      <c r="W174" s="15">
        <v>5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9" t="s">
        <v>24</v>
      </c>
    </row>
    <row r="175" spans="1:39" x14ac:dyDescent="0.25">
      <c r="A175" s="10">
        <v>2016</v>
      </c>
      <c r="B175" s="11">
        <v>10596</v>
      </c>
      <c r="C175" s="12" t="s">
        <v>223</v>
      </c>
      <c r="D175" s="12" t="s">
        <v>36</v>
      </c>
      <c r="E175" s="22" t="str">
        <f t="shared" si="9"/>
        <v/>
      </c>
      <c r="F175" s="22" t="str">
        <f t="shared" si="10"/>
        <v/>
      </c>
      <c r="G175" s="22" t="str">
        <f t="shared" si="11"/>
        <v/>
      </c>
      <c r="H175" s="22" t="str">
        <f t="shared" si="12"/>
        <v/>
      </c>
      <c r="I175" s="13">
        <v>160</v>
      </c>
      <c r="J175" s="13">
        <v>0</v>
      </c>
      <c r="K175" s="13">
        <v>0</v>
      </c>
      <c r="L175" s="13">
        <v>0</v>
      </c>
      <c r="M175" s="13">
        <v>160</v>
      </c>
      <c r="N175" s="14">
        <v>1</v>
      </c>
      <c r="O175" s="14">
        <v>0</v>
      </c>
      <c r="P175" s="14">
        <v>0</v>
      </c>
      <c r="Q175" s="14">
        <v>0</v>
      </c>
      <c r="R175" s="14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7">
        <v>3</v>
      </c>
      <c r="AD175" s="17">
        <v>0</v>
      </c>
      <c r="AE175" s="17">
        <v>0</v>
      </c>
      <c r="AF175" s="17">
        <v>0</v>
      </c>
      <c r="AG175" s="17">
        <v>3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9" t="s">
        <v>24</v>
      </c>
    </row>
    <row r="176" spans="1:39" x14ac:dyDescent="0.25">
      <c r="A176" s="10">
        <v>2016</v>
      </c>
      <c r="B176" s="11">
        <v>10768</v>
      </c>
      <c r="C176" s="12" t="s">
        <v>224</v>
      </c>
      <c r="D176" s="12" t="s">
        <v>64</v>
      </c>
      <c r="E176" s="22">
        <f t="shared" si="9"/>
        <v>0</v>
      </c>
      <c r="F176" s="22" t="str">
        <f t="shared" si="10"/>
        <v/>
      </c>
      <c r="G176" s="22">
        <f t="shared" si="11"/>
        <v>0</v>
      </c>
      <c r="H176" s="22" t="str">
        <f t="shared" si="12"/>
        <v/>
      </c>
      <c r="I176" s="13">
        <v>4379</v>
      </c>
      <c r="J176" s="13">
        <v>0</v>
      </c>
      <c r="K176" s="13">
        <v>2</v>
      </c>
      <c r="L176" s="13">
        <v>0</v>
      </c>
      <c r="M176" s="13">
        <v>4381</v>
      </c>
      <c r="N176" s="14">
        <v>10</v>
      </c>
      <c r="O176" s="14">
        <v>0</v>
      </c>
      <c r="P176" s="14">
        <v>4</v>
      </c>
      <c r="Q176" s="14">
        <v>0</v>
      </c>
      <c r="R176" s="14">
        <v>14</v>
      </c>
      <c r="S176" s="15">
        <v>6</v>
      </c>
      <c r="T176" s="15">
        <v>0</v>
      </c>
      <c r="U176" s="15">
        <v>3</v>
      </c>
      <c r="V176" s="15">
        <v>0</v>
      </c>
      <c r="W176" s="15">
        <v>9</v>
      </c>
      <c r="X176" s="16">
        <v>5</v>
      </c>
      <c r="Y176" s="16">
        <v>0</v>
      </c>
      <c r="Z176" s="16">
        <v>2</v>
      </c>
      <c r="AA176" s="16">
        <v>0</v>
      </c>
      <c r="AB176" s="16">
        <v>7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9" t="s">
        <v>24</v>
      </c>
    </row>
    <row r="177" spans="1:39" x14ac:dyDescent="0.25">
      <c r="A177" s="10">
        <v>2016</v>
      </c>
      <c r="B177" s="11">
        <v>10857</v>
      </c>
      <c r="C177" s="12" t="s">
        <v>225</v>
      </c>
      <c r="D177" s="12" t="s">
        <v>99</v>
      </c>
      <c r="E177" s="22">
        <f t="shared" si="9"/>
        <v>121463.41463414635</v>
      </c>
      <c r="F177" s="22">
        <f t="shared" si="10"/>
        <v>34727.272727272728</v>
      </c>
      <c r="G177" s="22" t="str">
        <f t="shared" si="11"/>
        <v/>
      </c>
      <c r="H177" s="22" t="str">
        <f t="shared" si="12"/>
        <v/>
      </c>
      <c r="I177" s="13">
        <v>19097</v>
      </c>
      <c r="J177" s="13">
        <v>45</v>
      </c>
      <c r="K177" s="13">
        <v>0</v>
      </c>
      <c r="L177" s="13">
        <v>0</v>
      </c>
      <c r="M177" s="13">
        <v>19142</v>
      </c>
      <c r="N177" s="14">
        <v>165</v>
      </c>
      <c r="O177" s="14">
        <v>682</v>
      </c>
      <c r="P177" s="14">
        <v>0</v>
      </c>
      <c r="Q177" s="14">
        <v>0</v>
      </c>
      <c r="R177" s="14">
        <v>847</v>
      </c>
      <c r="S177" s="15">
        <v>8.1999999999999993</v>
      </c>
      <c r="T177" s="15">
        <v>27.5</v>
      </c>
      <c r="U177" s="15">
        <v>0</v>
      </c>
      <c r="V177" s="15">
        <v>0</v>
      </c>
      <c r="W177" s="15">
        <v>35.700000000000003</v>
      </c>
      <c r="X177" s="16">
        <v>8.1999999999999993</v>
      </c>
      <c r="Y177" s="16">
        <v>16.2</v>
      </c>
      <c r="Z177" s="16">
        <v>0</v>
      </c>
      <c r="AA177" s="16">
        <v>0</v>
      </c>
      <c r="AB177" s="16">
        <v>24.4</v>
      </c>
      <c r="AC177" s="17">
        <v>891</v>
      </c>
      <c r="AD177" s="17">
        <v>854</v>
      </c>
      <c r="AE177" s="17">
        <v>0</v>
      </c>
      <c r="AF177" s="17">
        <v>0</v>
      </c>
      <c r="AG177" s="17">
        <v>1745</v>
      </c>
      <c r="AH177" s="18">
        <v>105</v>
      </c>
      <c r="AI177" s="18">
        <v>101</v>
      </c>
      <c r="AJ177" s="18">
        <v>0</v>
      </c>
      <c r="AK177" s="18">
        <v>0</v>
      </c>
      <c r="AL177" s="18">
        <v>206</v>
      </c>
      <c r="AM177" s="19" t="s">
        <v>24</v>
      </c>
    </row>
    <row r="178" spans="1:39" x14ac:dyDescent="0.25">
      <c r="A178" s="10">
        <v>2016</v>
      </c>
      <c r="B178" s="11">
        <v>11064</v>
      </c>
      <c r="C178" s="12" t="s">
        <v>226</v>
      </c>
      <c r="D178" s="12" t="s">
        <v>36</v>
      </c>
      <c r="E178" s="22">
        <f t="shared" si="9"/>
        <v>17000</v>
      </c>
      <c r="F178" s="22" t="str">
        <f t="shared" si="10"/>
        <v/>
      </c>
      <c r="G178" s="22">
        <f t="shared" si="11"/>
        <v>2000</v>
      </c>
      <c r="H178" s="22" t="str">
        <f t="shared" si="12"/>
        <v/>
      </c>
      <c r="I178" s="13">
        <v>1948</v>
      </c>
      <c r="J178" s="13">
        <v>266</v>
      </c>
      <c r="K178" s="13">
        <v>1</v>
      </c>
      <c r="L178" s="13">
        <v>0</v>
      </c>
      <c r="M178" s="13">
        <v>2215</v>
      </c>
      <c r="N178" s="14">
        <v>31</v>
      </c>
      <c r="O178" s="14">
        <v>3</v>
      </c>
      <c r="P178" s="14">
        <v>0</v>
      </c>
      <c r="Q178" s="14">
        <v>0</v>
      </c>
      <c r="R178" s="14">
        <v>34</v>
      </c>
      <c r="S178" s="15">
        <v>1</v>
      </c>
      <c r="T178" s="15">
        <v>0</v>
      </c>
      <c r="U178" s="15">
        <v>1</v>
      </c>
      <c r="V178" s="15">
        <v>0</v>
      </c>
      <c r="W178" s="15">
        <v>2</v>
      </c>
      <c r="X178" s="16">
        <v>1</v>
      </c>
      <c r="Y178" s="16">
        <v>0</v>
      </c>
      <c r="Z178" s="16">
        <v>0</v>
      </c>
      <c r="AA178" s="16">
        <v>0</v>
      </c>
      <c r="AB178" s="16">
        <v>1</v>
      </c>
      <c r="AC178" s="17">
        <v>0</v>
      </c>
      <c r="AD178" s="17">
        <v>0</v>
      </c>
      <c r="AE178" s="17">
        <v>2</v>
      </c>
      <c r="AF178" s="17">
        <v>0</v>
      </c>
      <c r="AG178" s="17">
        <v>2</v>
      </c>
      <c r="AH178" s="18">
        <v>17</v>
      </c>
      <c r="AI178" s="18">
        <v>2</v>
      </c>
      <c r="AJ178" s="18">
        <v>0</v>
      </c>
      <c r="AK178" s="18">
        <v>0</v>
      </c>
      <c r="AL178" s="18">
        <v>19</v>
      </c>
      <c r="AM178" s="19" t="s">
        <v>24</v>
      </c>
    </row>
    <row r="179" spans="1:39" x14ac:dyDescent="0.25">
      <c r="A179" s="10">
        <v>2016</v>
      </c>
      <c r="B179" s="11">
        <v>11171</v>
      </c>
      <c r="C179" s="12" t="s">
        <v>227</v>
      </c>
      <c r="D179" s="12" t="s">
        <v>88</v>
      </c>
      <c r="E179" s="22">
        <f t="shared" si="9"/>
        <v>55762.711864406774</v>
      </c>
      <c r="F179" s="22">
        <f t="shared" si="10"/>
        <v>56000</v>
      </c>
      <c r="G179" s="22" t="str">
        <f t="shared" si="11"/>
        <v/>
      </c>
      <c r="H179" s="22" t="str">
        <f t="shared" si="12"/>
        <v/>
      </c>
      <c r="I179" s="13">
        <v>18513</v>
      </c>
      <c r="J179" s="13">
        <v>4706</v>
      </c>
      <c r="K179" s="13">
        <v>0</v>
      </c>
      <c r="L179" s="13">
        <v>0</v>
      </c>
      <c r="M179" s="13">
        <v>23219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5">
        <v>23.6</v>
      </c>
      <c r="T179" s="15">
        <v>6</v>
      </c>
      <c r="U179" s="15">
        <v>0</v>
      </c>
      <c r="V179" s="15">
        <v>0</v>
      </c>
      <c r="W179" s="15">
        <v>29.6</v>
      </c>
      <c r="X179" s="16">
        <v>18.3</v>
      </c>
      <c r="Y179" s="16">
        <v>5.6</v>
      </c>
      <c r="Z179" s="16">
        <v>0</v>
      </c>
      <c r="AA179" s="16">
        <v>0</v>
      </c>
      <c r="AB179" s="16">
        <v>23.9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8">
        <v>1316</v>
      </c>
      <c r="AI179" s="18">
        <v>336</v>
      </c>
      <c r="AJ179" s="18">
        <v>0</v>
      </c>
      <c r="AK179" s="18">
        <v>0</v>
      </c>
      <c r="AL179" s="18">
        <v>1652</v>
      </c>
      <c r="AM179" s="19" t="s">
        <v>24</v>
      </c>
    </row>
    <row r="180" spans="1:39" x14ac:dyDescent="0.25">
      <c r="A180" s="10">
        <v>2016</v>
      </c>
      <c r="B180" s="11">
        <v>11208</v>
      </c>
      <c r="C180" s="12" t="s">
        <v>228</v>
      </c>
      <c r="D180" s="12" t="s">
        <v>42</v>
      </c>
      <c r="E180" s="22" t="str">
        <f t="shared" si="9"/>
        <v/>
      </c>
      <c r="F180" s="22">
        <f t="shared" si="10"/>
        <v>975.60975609756088</v>
      </c>
      <c r="G180" s="22">
        <f t="shared" si="11"/>
        <v>993.78881987577631</v>
      </c>
      <c r="H180" s="22" t="str">
        <f t="shared" si="12"/>
        <v/>
      </c>
      <c r="I180" s="13">
        <v>0</v>
      </c>
      <c r="J180" s="13">
        <v>4</v>
      </c>
      <c r="K180" s="13">
        <v>3</v>
      </c>
      <c r="L180" s="13">
        <v>0</v>
      </c>
      <c r="M180" s="13">
        <v>7</v>
      </c>
      <c r="N180" s="14">
        <v>0</v>
      </c>
      <c r="O180" s="14">
        <v>74</v>
      </c>
      <c r="P180" s="14">
        <v>193</v>
      </c>
      <c r="Q180" s="14">
        <v>0</v>
      </c>
      <c r="R180" s="14">
        <v>267</v>
      </c>
      <c r="S180" s="15">
        <v>0</v>
      </c>
      <c r="T180" s="15">
        <v>12.3</v>
      </c>
      <c r="U180" s="15">
        <v>32.200000000000003</v>
      </c>
      <c r="V180" s="15">
        <v>0</v>
      </c>
      <c r="W180" s="15">
        <v>44.5</v>
      </c>
      <c r="X180" s="16">
        <v>0</v>
      </c>
      <c r="Y180" s="16">
        <v>6.2</v>
      </c>
      <c r="Z180" s="16">
        <v>16</v>
      </c>
      <c r="AA180" s="16">
        <v>0</v>
      </c>
      <c r="AB180" s="16">
        <v>22.2</v>
      </c>
      <c r="AC180" s="17">
        <v>0</v>
      </c>
      <c r="AD180" s="17">
        <v>12</v>
      </c>
      <c r="AE180" s="17">
        <v>32</v>
      </c>
      <c r="AF180" s="17">
        <v>0</v>
      </c>
      <c r="AG180" s="17">
        <v>44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9" t="s">
        <v>24</v>
      </c>
    </row>
    <row r="181" spans="1:39" x14ac:dyDescent="0.25">
      <c r="A181" s="10">
        <v>2016</v>
      </c>
      <c r="B181" s="11">
        <v>11249</v>
      </c>
      <c r="C181" s="12" t="s">
        <v>229</v>
      </c>
      <c r="D181" s="12" t="s">
        <v>148</v>
      </c>
      <c r="E181" s="22">
        <f t="shared" si="9"/>
        <v>51406.945681211044</v>
      </c>
      <c r="F181" s="22">
        <f t="shared" si="10"/>
        <v>103764.70588235294</v>
      </c>
      <c r="G181" s="22" t="str">
        <f t="shared" si="11"/>
        <v/>
      </c>
      <c r="H181" s="22" t="str">
        <f t="shared" si="12"/>
        <v/>
      </c>
      <c r="I181" s="13">
        <v>103183</v>
      </c>
      <c r="J181" s="13">
        <v>1130</v>
      </c>
      <c r="K181" s="13">
        <v>0</v>
      </c>
      <c r="L181" s="13">
        <v>0</v>
      </c>
      <c r="M181" s="13">
        <v>104313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5">
        <v>112.3</v>
      </c>
      <c r="T181" s="15">
        <v>8.5</v>
      </c>
      <c r="U181" s="15">
        <v>0</v>
      </c>
      <c r="V181" s="15">
        <v>0</v>
      </c>
      <c r="W181" s="15">
        <v>120.8</v>
      </c>
      <c r="X181" s="16">
        <v>43.8</v>
      </c>
      <c r="Y181" s="16">
        <v>6</v>
      </c>
      <c r="Z181" s="16">
        <v>0</v>
      </c>
      <c r="AA181" s="16">
        <v>0</v>
      </c>
      <c r="AB181" s="16">
        <v>49.8</v>
      </c>
      <c r="AC181" s="17">
        <v>2249</v>
      </c>
      <c r="AD181" s="17">
        <v>195</v>
      </c>
      <c r="AE181" s="17">
        <v>0</v>
      </c>
      <c r="AF181" s="17">
        <v>0</v>
      </c>
      <c r="AG181" s="17">
        <v>2444</v>
      </c>
      <c r="AH181" s="18">
        <v>3524</v>
      </c>
      <c r="AI181" s="18">
        <v>687</v>
      </c>
      <c r="AJ181" s="18">
        <v>0</v>
      </c>
      <c r="AK181" s="18">
        <v>0</v>
      </c>
      <c r="AL181" s="18">
        <v>4211</v>
      </c>
      <c r="AM181" s="19">
        <v>0</v>
      </c>
    </row>
    <row r="182" spans="1:39" x14ac:dyDescent="0.25">
      <c r="A182" s="10">
        <v>2016</v>
      </c>
      <c r="B182" s="11">
        <v>11251</v>
      </c>
      <c r="C182" s="12" t="s">
        <v>230</v>
      </c>
      <c r="D182" s="12" t="s">
        <v>72</v>
      </c>
      <c r="E182" s="22" t="str">
        <f t="shared" si="9"/>
        <v/>
      </c>
      <c r="F182" s="22">
        <f t="shared" si="10"/>
        <v>1750</v>
      </c>
      <c r="G182" s="22" t="str">
        <f t="shared" si="11"/>
        <v/>
      </c>
      <c r="H182" s="22" t="str">
        <f t="shared" si="12"/>
        <v/>
      </c>
      <c r="I182" s="13">
        <v>0</v>
      </c>
      <c r="J182" s="13">
        <v>487</v>
      </c>
      <c r="K182" s="13">
        <v>0</v>
      </c>
      <c r="L182" s="13">
        <v>0</v>
      </c>
      <c r="M182" s="13">
        <v>487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5">
        <v>0</v>
      </c>
      <c r="T182" s="15">
        <v>24</v>
      </c>
      <c r="U182" s="15">
        <v>0</v>
      </c>
      <c r="V182" s="15">
        <v>0</v>
      </c>
      <c r="W182" s="15">
        <v>24</v>
      </c>
      <c r="X182" s="16">
        <v>0</v>
      </c>
      <c r="Y182" s="16">
        <v>18</v>
      </c>
      <c r="Z182" s="16">
        <v>0</v>
      </c>
      <c r="AA182" s="16">
        <v>0</v>
      </c>
      <c r="AB182" s="16">
        <v>18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8">
        <v>0</v>
      </c>
      <c r="AI182" s="18">
        <v>42</v>
      </c>
      <c r="AJ182" s="18">
        <v>0</v>
      </c>
      <c r="AK182" s="18">
        <v>0</v>
      </c>
      <c r="AL182" s="18">
        <v>42</v>
      </c>
      <c r="AM182" s="19" t="s">
        <v>24</v>
      </c>
    </row>
    <row r="183" spans="1:39" x14ac:dyDescent="0.25">
      <c r="A183" s="10">
        <v>2016</v>
      </c>
      <c r="B183" s="11">
        <v>11273</v>
      </c>
      <c r="C183" s="12" t="s">
        <v>231</v>
      </c>
      <c r="D183" s="12" t="s">
        <v>159</v>
      </c>
      <c r="E183" s="22" t="str">
        <f t="shared" si="9"/>
        <v/>
      </c>
      <c r="F183" s="22" t="str">
        <f t="shared" si="10"/>
        <v/>
      </c>
      <c r="G183" s="22" t="str">
        <f t="shared" si="11"/>
        <v/>
      </c>
      <c r="H183" s="22" t="str">
        <f t="shared" si="12"/>
        <v/>
      </c>
      <c r="I183" s="13">
        <v>9</v>
      </c>
      <c r="J183" s="13">
        <v>0</v>
      </c>
      <c r="K183" s="13">
        <v>0</v>
      </c>
      <c r="L183" s="13">
        <v>0</v>
      </c>
      <c r="M183" s="13">
        <v>9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7">
        <v>1</v>
      </c>
      <c r="AD183" s="17">
        <v>0</v>
      </c>
      <c r="AE183" s="17">
        <v>0</v>
      </c>
      <c r="AF183" s="17">
        <v>0</v>
      </c>
      <c r="AG183" s="17">
        <v>1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9" t="s">
        <v>24</v>
      </c>
    </row>
    <row r="184" spans="1:39" x14ac:dyDescent="0.25">
      <c r="A184" s="10">
        <v>2016</v>
      </c>
      <c r="B184" s="11">
        <v>11273</v>
      </c>
      <c r="C184" s="12" t="s">
        <v>231</v>
      </c>
      <c r="D184" s="12" t="s">
        <v>232</v>
      </c>
      <c r="E184" s="22">
        <f t="shared" si="9"/>
        <v>26086.956521739132</v>
      </c>
      <c r="F184" s="22" t="str">
        <f t="shared" si="10"/>
        <v/>
      </c>
      <c r="G184" s="22" t="str">
        <f t="shared" si="11"/>
        <v/>
      </c>
      <c r="H184" s="22" t="str">
        <f t="shared" si="12"/>
        <v/>
      </c>
      <c r="I184" s="13">
        <v>499</v>
      </c>
      <c r="J184" s="13">
        <v>0</v>
      </c>
      <c r="K184" s="13">
        <v>0</v>
      </c>
      <c r="L184" s="13">
        <v>0</v>
      </c>
      <c r="M184" s="13">
        <v>499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5">
        <v>2.2999999999999998</v>
      </c>
      <c r="T184" s="15">
        <v>0</v>
      </c>
      <c r="U184" s="15">
        <v>0</v>
      </c>
      <c r="V184" s="15">
        <v>0</v>
      </c>
      <c r="W184" s="15">
        <v>2.2999999999999998</v>
      </c>
      <c r="X184" s="16">
        <v>1.1000000000000001</v>
      </c>
      <c r="Y184" s="16">
        <v>0</v>
      </c>
      <c r="Z184" s="16">
        <v>0</v>
      </c>
      <c r="AA184" s="16">
        <v>0</v>
      </c>
      <c r="AB184" s="16">
        <v>1.1000000000000001</v>
      </c>
      <c r="AC184" s="17">
        <v>60</v>
      </c>
      <c r="AD184" s="17">
        <v>0</v>
      </c>
      <c r="AE184" s="17">
        <v>0</v>
      </c>
      <c r="AF184" s="17">
        <v>0</v>
      </c>
      <c r="AG184" s="17">
        <v>60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9">
        <v>0</v>
      </c>
    </row>
    <row r="185" spans="1:39" x14ac:dyDescent="0.25">
      <c r="A185" s="10">
        <v>2016</v>
      </c>
      <c r="B185" s="11">
        <v>11291</v>
      </c>
      <c r="C185" s="12" t="s">
        <v>233</v>
      </c>
      <c r="D185" s="12" t="s">
        <v>81</v>
      </c>
      <c r="E185" s="22" t="str">
        <f t="shared" si="9"/>
        <v/>
      </c>
      <c r="F185" s="22">
        <f t="shared" si="10"/>
        <v>0</v>
      </c>
      <c r="G185" s="22" t="str">
        <f t="shared" si="11"/>
        <v/>
      </c>
      <c r="H185" s="22" t="str">
        <f t="shared" si="12"/>
        <v/>
      </c>
      <c r="I185" s="13">
        <v>0</v>
      </c>
      <c r="J185" s="13">
        <v>3</v>
      </c>
      <c r="K185" s="13">
        <v>0</v>
      </c>
      <c r="L185" s="13">
        <v>0</v>
      </c>
      <c r="M185" s="13">
        <v>3</v>
      </c>
      <c r="N185" s="14">
        <v>0</v>
      </c>
      <c r="O185" s="14">
        <v>1</v>
      </c>
      <c r="P185" s="14">
        <v>0</v>
      </c>
      <c r="Q185" s="14">
        <v>0</v>
      </c>
      <c r="R185" s="14">
        <v>1</v>
      </c>
      <c r="S185" s="15">
        <v>0</v>
      </c>
      <c r="T185" s="15">
        <v>0.4</v>
      </c>
      <c r="U185" s="15">
        <v>0</v>
      </c>
      <c r="V185" s="15">
        <v>0</v>
      </c>
      <c r="W185" s="15">
        <v>0.4</v>
      </c>
      <c r="X185" s="16">
        <v>0</v>
      </c>
      <c r="Y185" s="16">
        <v>0.4</v>
      </c>
      <c r="Z185" s="16">
        <v>0</v>
      </c>
      <c r="AA185" s="16">
        <v>0</v>
      </c>
      <c r="AB185" s="16">
        <v>0.4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9" t="s">
        <v>24</v>
      </c>
    </row>
    <row r="186" spans="1:39" x14ac:dyDescent="0.25">
      <c r="A186" s="10">
        <v>2016</v>
      </c>
      <c r="B186" s="11">
        <v>11298</v>
      </c>
      <c r="C186" s="12" t="s">
        <v>234</v>
      </c>
      <c r="D186" s="12" t="s">
        <v>38</v>
      </c>
      <c r="E186" s="22">
        <f t="shared" si="9"/>
        <v>83720.930232558138</v>
      </c>
      <c r="F186" s="22" t="str">
        <f t="shared" si="10"/>
        <v/>
      </c>
      <c r="G186" s="22" t="str">
        <f t="shared" si="11"/>
        <v/>
      </c>
      <c r="H186" s="22" t="str">
        <f t="shared" si="12"/>
        <v/>
      </c>
      <c r="I186" s="13">
        <v>957</v>
      </c>
      <c r="J186" s="13">
        <v>0</v>
      </c>
      <c r="K186" s="13">
        <v>0</v>
      </c>
      <c r="L186" s="13">
        <v>0</v>
      </c>
      <c r="M186" s="13">
        <v>957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5">
        <v>4.3</v>
      </c>
      <c r="T186" s="15">
        <v>0</v>
      </c>
      <c r="U186" s="15">
        <v>0</v>
      </c>
      <c r="V186" s="15">
        <v>0</v>
      </c>
      <c r="W186" s="15">
        <v>4.3</v>
      </c>
      <c r="X186" s="16">
        <v>0.5</v>
      </c>
      <c r="Y186" s="16">
        <v>0</v>
      </c>
      <c r="Z186" s="16">
        <v>0</v>
      </c>
      <c r="AA186" s="16">
        <v>0</v>
      </c>
      <c r="AB186" s="16">
        <v>0.5</v>
      </c>
      <c r="AC186" s="17">
        <v>360</v>
      </c>
      <c r="AD186" s="17">
        <v>0</v>
      </c>
      <c r="AE186" s="17">
        <v>0</v>
      </c>
      <c r="AF186" s="17">
        <v>0</v>
      </c>
      <c r="AG186" s="17">
        <v>360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9">
        <v>30</v>
      </c>
    </row>
    <row r="187" spans="1:39" x14ac:dyDescent="0.25">
      <c r="A187" s="10">
        <v>2016</v>
      </c>
      <c r="B187" s="11">
        <v>11475</v>
      </c>
      <c r="C187" s="12" t="s">
        <v>235</v>
      </c>
      <c r="D187" s="12" t="s">
        <v>66</v>
      </c>
      <c r="E187" s="22">
        <f t="shared" si="9"/>
        <v>13133.333333333334</v>
      </c>
      <c r="F187" s="22" t="str">
        <f t="shared" si="10"/>
        <v/>
      </c>
      <c r="G187" s="22" t="str">
        <f t="shared" si="11"/>
        <v/>
      </c>
      <c r="H187" s="22" t="str">
        <f t="shared" si="12"/>
        <v/>
      </c>
      <c r="I187" s="13">
        <v>2019</v>
      </c>
      <c r="J187" s="13">
        <v>0</v>
      </c>
      <c r="K187" s="13">
        <v>0</v>
      </c>
      <c r="L187" s="13">
        <v>0</v>
      </c>
      <c r="M187" s="13">
        <v>2019</v>
      </c>
      <c r="N187" s="14">
        <v>93</v>
      </c>
      <c r="O187" s="14">
        <v>0</v>
      </c>
      <c r="P187" s="14">
        <v>0</v>
      </c>
      <c r="Q187" s="14">
        <v>0</v>
      </c>
      <c r="R187" s="14">
        <v>93</v>
      </c>
      <c r="S187" s="15">
        <v>15</v>
      </c>
      <c r="T187" s="15">
        <v>0</v>
      </c>
      <c r="U187" s="15">
        <v>0</v>
      </c>
      <c r="V187" s="15">
        <v>0</v>
      </c>
      <c r="W187" s="15">
        <v>15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7">
        <v>171</v>
      </c>
      <c r="AD187" s="17">
        <v>0</v>
      </c>
      <c r="AE187" s="17">
        <v>0</v>
      </c>
      <c r="AF187" s="17">
        <v>0</v>
      </c>
      <c r="AG187" s="17">
        <v>171</v>
      </c>
      <c r="AH187" s="18">
        <v>26</v>
      </c>
      <c r="AI187" s="18">
        <v>0</v>
      </c>
      <c r="AJ187" s="18">
        <v>0</v>
      </c>
      <c r="AK187" s="18">
        <v>0</v>
      </c>
      <c r="AL187" s="18">
        <v>26</v>
      </c>
      <c r="AM187" s="19" t="s">
        <v>24</v>
      </c>
    </row>
    <row r="188" spans="1:39" x14ac:dyDescent="0.25">
      <c r="A188" s="10">
        <v>2016</v>
      </c>
      <c r="B188" s="11">
        <v>11479</v>
      </c>
      <c r="C188" s="12" t="s">
        <v>236</v>
      </c>
      <c r="D188" s="12" t="s">
        <v>29</v>
      </c>
      <c r="E188" s="22">
        <f t="shared" si="9"/>
        <v>139204.54545454544</v>
      </c>
      <c r="F188" s="22">
        <f t="shared" si="10"/>
        <v>0</v>
      </c>
      <c r="G188" s="22" t="str">
        <f t="shared" si="11"/>
        <v/>
      </c>
      <c r="H188" s="22" t="str">
        <f t="shared" si="12"/>
        <v/>
      </c>
      <c r="I188" s="13">
        <v>14249</v>
      </c>
      <c r="J188" s="13">
        <v>12</v>
      </c>
      <c r="K188" s="13">
        <v>0</v>
      </c>
      <c r="L188" s="13">
        <v>0</v>
      </c>
      <c r="M188" s="13">
        <v>14261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5">
        <v>8.8000000000000007</v>
      </c>
      <c r="T188" s="15">
        <v>24.1</v>
      </c>
      <c r="U188" s="15">
        <v>0</v>
      </c>
      <c r="V188" s="15">
        <v>0</v>
      </c>
      <c r="W188" s="15">
        <v>32.9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7">
        <v>1225</v>
      </c>
      <c r="AD188" s="17">
        <v>0</v>
      </c>
      <c r="AE188" s="17">
        <v>0</v>
      </c>
      <c r="AF188" s="17">
        <v>0</v>
      </c>
      <c r="AG188" s="17">
        <v>1225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9" t="s">
        <v>24</v>
      </c>
    </row>
    <row r="189" spans="1:39" x14ac:dyDescent="0.25">
      <c r="A189" s="10">
        <v>2016</v>
      </c>
      <c r="B189" s="11">
        <v>11501</v>
      </c>
      <c r="C189" s="12" t="s">
        <v>237</v>
      </c>
      <c r="D189" s="12" t="s">
        <v>56</v>
      </c>
      <c r="E189" s="22">
        <f t="shared" si="9"/>
        <v>12000</v>
      </c>
      <c r="F189" s="22" t="str">
        <f t="shared" si="10"/>
        <v/>
      </c>
      <c r="G189" s="22" t="str">
        <f t="shared" si="11"/>
        <v/>
      </c>
      <c r="H189" s="22" t="str">
        <f t="shared" si="12"/>
        <v/>
      </c>
      <c r="I189" s="13">
        <v>850</v>
      </c>
      <c r="J189" s="13">
        <v>0</v>
      </c>
      <c r="K189" s="13">
        <v>0</v>
      </c>
      <c r="L189" s="13">
        <v>0</v>
      </c>
      <c r="M189" s="13">
        <v>850</v>
      </c>
      <c r="N189" s="14">
        <v>5</v>
      </c>
      <c r="O189" s="14">
        <v>0</v>
      </c>
      <c r="P189" s="14">
        <v>0</v>
      </c>
      <c r="Q189" s="14">
        <v>0</v>
      </c>
      <c r="R189" s="14">
        <v>5</v>
      </c>
      <c r="S189" s="15">
        <v>1</v>
      </c>
      <c r="T189" s="15">
        <v>0</v>
      </c>
      <c r="U189" s="15">
        <v>0</v>
      </c>
      <c r="V189" s="15">
        <v>0</v>
      </c>
      <c r="W189" s="15">
        <v>1</v>
      </c>
      <c r="X189" s="16">
        <v>1</v>
      </c>
      <c r="Y189" s="16">
        <v>0</v>
      </c>
      <c r="Z189" s="16">
        <v>0</v>
      </c>
      <c r="AA189" s="16">
        <v>0</v>
      </c>
      <c r="AB189" s="16">
        <v>1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8">
        <v>12</v>
      </c>
      <c r="AI189" s="18">
        <v>0</v>
      </c>
      <c r="AJ189" s="18">
        <v>0</v>
      </c>
      <c r="AK189" s="18">
        <v>0</v>
      </c>
      <c r="AL189" s="18">
        <v>12</v>
      </c>
      <c r="AM189" s="19" t="s">
        <v>24</v>
      </c>
    </row>
    <row r="190" spans="1:39" x14ac:dyDescent="0.25">
      <c r="A190" s="10">
        <v>2016</v>
      </c>
      <c r="B190" s="11">
        <v>11560</v>
      </c>
      <c r="C190" s="12" t="s">
        <v>238</v>
      </c>
      <c r="D190" s="12" t="s">
        <v>25</v>
      </c>
      <c r="E190" s="22">
        <f t="shared" si="9"/>
        <v>360000</v>
      </c>
      <c r="F190" s="22" t="str">
        <f t="shared" si="10"/>
        <v/>
      </c>
      <c r="G190" s="22" t="str">
        <f t="shared" si="11"/>
        <v/>
      </c>
      <c r="H190" s="22" t="str">
        <f t="shared" si="12"/>
        <v/>
      </c>
      <c r="I190" s="13">
        <v>1060</v>
      </c>
      <c r="J190" s="13">
        <v>0</v>
      </c>
      <c r="K190" s="13">
        <v>0</v>
      </c>
      <c r="L190" s="13">
        <v>0</v>
      </c>
      <c r="M190" s="13">
        <v>1060</v>
      </c>
      <c r="N190" s="14">
        <v>5</v>
      </c>
      <c r="O190" s="14">
        <v>0</v>
      </c>
      <c r="P190" s="14">
        <v>0</v>
      </c>
      <c r="Q190" s="14">
        <v>0</v>
      </c>
      <c r="R190" s="14">
        <v>5</v>
      </c>
      <c r="S190" s="15">
        <v>0.4</v>
      </c>
      <c r="T190" s="15">
        <v>0</v>
      </c>
      <c r="U190" s="15">
        <v>0</v>
      </c>
      <c r="V190" s="15">
        <v>0</v>
      </c>
      <c r="W190" s="15">
        <v>0.4</v>
      </c>
      <c r="X190" s="16">
        <v>0.4</v>
      </c>
      <c r="Y190" s="16">
        <v>0</v>
      </c>
      <c r="Z190" s="16">
        <v>0</v>
      </c>
      <c r="AA190" s="16">
        <v>0</v>
      </c>
      <c r="AB190" s="16">
        <v>0.4</v>
      </c>
      <c r="AC190" s="17">
        <v>141</v>
      </c>
      <c r="AD190" s="17">
        <v>0</v>
      </c>
      <c r="AE190" s="17">
        <v>0</v>
      </c>
      <c r="AF190" s="17">
        <v>0</v>
      </c>
      <c r="AG190" s="17">
        <v>141</v>
      </c>
      <c r="AH190" s="18">
        <v>3</v>
      </c>
      <c r="AI190" s="18">
        <v>0</v>
      </c>
      <c r="AJ190" s="18">
        <v>0</v>
      </c>
      <c r="AK190" s="18">
        <v>0</v>
      </c>
      <c r="AL190" s="18">
        <v>3</v>
      </c>
      <c r="AM190" s="19" t="s">
        <v>24</v>
      </c>
    </row>
    <row r="191" spans="1:39" x14ac:dyDescent="0.25">
      <c r="A191" s="10">
        <v>2016</v>
      </c>
      <c r="B191" s="11">
        <v>11581</v>
      </c>
      <c r="C191" s="12" t="s">
        <v>239</v>
      </c>
      <c r="D191" s="12" t="s">
        <v>38</v>
      </c>
      <c r="E191" s="22" t="str">
        <f t="shared" si="9"/>
        <v/>
      </c>
      <c r="F191" s="22" t="str">
        <f t="shared" si="10"/>
        <v/>
      </c>
      <c r="G191" s="22" t="str">
        <f t="shared" si="11"/>
        <v/>
      </c>
      <c r="H191" s="22" t="str">
        <f t="shared" si="12"/>
        <v/>
      </c>
      <c r="I191" s="13">
        <v>214</v>
      </c>
      <c r="J191" s="13">
        <v>5</v>
      </c>
      <c r="K191" s="13">
        <v>0</v>
      </c>
      <c r="L191" s="13">
        <v>0</v>
      </c>
      <c r="M191" s="13">
        <v>219</v>
      </c>
      <c r="N191" s="14">
        <v>3</v>
      </c>
      <c r="O191" s="14">
        <v>0</v>
      </c>
      <c r="P191" s="14">
        <v>0</v>
      </c>
      <c r="Q191" s="14">
        <v>0</v>
      </c>
      <c r="R191" s="14">
        <v>3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8">
        <v>2</v>
      </c>
      <c r="AI191" s="18">
        <v>0</v>
      </c>
      <c r="AJ191" s="18">
        <v>0</v>
      </c>
      <c r="AK191" s="18">
        <v>0</v>
      </c>
      <c r="AL191" s="18">
        <v>2</v>
      </c>
      <c r="AM191" s="19" t="s">
        <v>24</v>
      </c>
    </row>
    <row r="192" spans="1:39" x14ac:dyDescent="0.25">
      <c r="A192" s="10">
        <v>2016</v>
      </c>
      <c r="B192" s="11">
        <v>11731</v>
      </c>
      <c r="C192" s="12" t="s">
        <v>240</v>
      </c>
      <c r="D192" s="12" t="s">
        <v>36</v>
      </c>
      <c r="E192" s="22">
        <f t="shared" si="9"/>
        <v>35588.23529411765</v>
      </c>
      <c r="F192" s="22">
        <f t="shared" si="10"/>
        <v>145750</v>
      </c>
      <c r="G192" s="22">
        <f t="shared" si="11"/>
        <v>148461.53846153847</v>
      </c>
      <c r="H192" s="22" t="str">
        <f t="shared" si="12"/>
        <v/>
      </c>
      <c r="I192" s="13">
        <v>3701</v>
      </c>
      <c r="J192" s="13">
        <v>456</v>
      </c>
      <c r="K192" s="13">
        <v>131</v>
      </c>
      <c r="L192" s="13">
        <v>0</v>
      </c>
      <c r="M192" s="13">
        <v>4288</v>
      </c>
      <c r="N192" s="14">
        <v>685</v>
      </c>
      <c r="O192" s="14">
        <v>3470</v>
      </c>
      <c r="P192" s="14">
        <v>401</v>
      </c>
      <c r="Q192" s="14">
        <v>0</v>
      </c>
      <c r="R192" s="14">
        <v>4556</v>
      </c>
      <c r="S192" s="15">
        <v>3.4</v>
      </c>
      <c r="T192" s="15">
        <v>4</v>
      </c>
      <c r="U192" s="15">
        <v>1.3</v>
      </c>
      <c r="V192" s="15">
        <v>0</v>
      </c>
      <c r="W192" s="15">
        <v>8.6999999999999993</v>
      </c>
      <c r="X192" s="16">
        <v>3.4</v>
      </c>
      <c r="Y192" s="16">
        <v>4</v>
      </c>
      <c r="Z192" s="16">
        <v>1.3</v>
      </c>
      <c r="AA192" s="16">
        <v>0</v>
      </c>
      <c r="AB192" s="16">
        <v>8.6999999999999993</v>
      </c>
      <c r="AC192" s="17">
        <v>97</v>
      </c>
      <c r="AD192" s="17">
        <v>570</v>
      </c>
      <c r="AE192" s="17">
        <v>189</v>
      </c>
      <c r="AF192" s="17">
        <v>0</v>
      </c>
      <c r="AG192" s="17">
        <v>856</v>
      </c>
      <c r="AH192" s="18">
        <v>24</v>
      </c>
      <c r="AI192" s="18">
        <v>13</v>
      </c>
      <c r="AJ192" s="18">
        <v>4</v>
      </c>
      <c r="AK192" s="18">
        <v>0</v>
      </c>
      <c r="AL192" s="18">
        <v>41</v>
      </c>
      <c r="AM192" s="19">
        <v>18</v>
      </c>
    </row>
    <row r="193" spans="1:39" x14ac:dyDescent="0.25">
      <c r="A193" s="10">
        <v>2016</v>
      </c>
      <c r="B193" s="11">
        <v>11811</v>
      </c>
      <c r="C193" s="12" t="s">
        <v>241</v>
      </c>
      <c r="D193" s="12" t="s">
        <v>88</v>
      </c>
      <c r="E193" s="22">
        <f t="shared" si="9"/>
        <v>13500</v>
      </c>
      <c r="F193" s="22" t="str">
        <f t="shared" si="10"/>
        <v/>
      </c>
      <c r="G193" s="22" t="str">
        <f t="shared" si="11"/>
        <v/>
      </c>
      <c r="H193" s="22" t="str">
        <f t="shared" si="12"/>
        <v/>
      </c>
      <c r="I193" s="13">
        <v>759</v>
      </c>
      <c r="J193" s="13">
        <v>1</v>
      </c>
      <c r="K193" s="13">
        <v>0</v>
      </c>
      <c r="L193" s="13">
        <v>0</v>
      </c>
      <c r="M193" s="13">
        <v>760</v>
      </c>
      <c r="N193" s="14">
        <v>4</v>
      </c>
      <c r="O193" s="14">
        <v>1</v>
      </c>
      <c r="P193" s="14">
        <v>0</v>
      </c>
      <c r="Q193" s="14">
        <v>0</v>
      </c>
      <c r="R193" s="14">
        <v>5</v>
      </c>
      <c r="S193" s="15">
        <v>2</v>
      </c>
      <c r="T193" s="15">
        <v>0</v>
      </c>
      <c r="U193" s="15">
        <v>0</v>
      </c>
      <c r="V193" s="15">
        <v>0</v>
      </c>
      <c r="W193" s="15">
        <v>2</v>
      </c>
      <c r="X193" s="16">
        <v>1</v>
      </c>
      <c r="Y193" s="16">
        <v>0</v>
      </c>
      <c r="Z193" s="16">
        <v>0</v>
      </c>
      <c r="AA193" s="16">
        <v>0</v>
      </c>
      <c r="AB193" s="16">
        <v>1</v>
      </c>
      <c r="AC193" s="17">
        <v>18</v>
      </c>
      <c r="AD193" s="17">
        <v>14</v>
      </c>
      <c r="AE193" s="17">
        <v>0</v>
      </c>
      <c r="AF193" s="17">
        <v>0</v>
      </c>
      <c r="AG193" s="17">
        <v>32</v>
      </c>
      <c r="AH193" s="18">
        <v>9</v>
      </c>
      <c r="AI193" s="18">
        <v>2</v>
      </c>
      <c r="AJ193" s="18">
        <v>0</v>
      </c>
      <c r="AK193" s="18">
        <v>0</v>
      </c>
      <c r="AL193" s="18">
        <v>11</v>
      </c>
      <c r="AM193" s="19">
        <v>1</v>
      </c>
    </row>
    <row r="194" spans="1:39" x14ac:dyDescent="0.25">
      <c r="A194" s="10">
        <v>2016</v>
      </c>
      <c r="B194" s="11">
        <v>11843</v>
      </c>
      <c r="C194" s="12" t="s">
        <v>242</v>
      </c>
      <c r="D194" s="12" t="s">
        <v>243</v>
      </c>
      <c r="E194" s="22" t="str">
        <f t="shared" si="9"/>
        <v/>
      </c>
      <c r="F194" s="22">
        <f t="shared" si="10"/>
        <v>45000</v>
      </c>
      <c r="G194" s="22" t="str">
        <f t="shared" si="11"/>
        <v/>
      </c>
      <c r="H194" s="22" t="str">
        <f t="shared" si="12"/>
        <v/>
      </c>
      <c r="I194" s="13">
        <v>0</v>
      </c>
      <c r="J194" s="13">
        <v>4</v>
      </c>
      <c r="K194" s="13">
        <v>0</v>
      </c>
      <c r="L194" s="13">
        <v>0</v>
      </c>
      <c r="M194" s="13">
        <v>4</v>
      </c>
      <c r="N194" s="14">
        <v>0</v>
      </c>
      <c r="O194" s="14">
        <v>2</v>
      </c>
      <c r="P194" s="14">
        <v>0</v>
      </c>
      <c r="Q194" s="14">
        <v>0</v>
      </c>
      <c r="R194" s="14">
        <v>2</v>
      </c>
      <c r="S194" s="15">
        <v>0</v>
      </c>
      <c r="T194" s="15">
        <v>0.2</v>
      </c>
      <c r="U194" s="15">
        <v>0</v>
      </c>
      <c r="V194" s="15">
        <v>0</v>
      </c>
      <c r="W194" s="15">
        <v>0.2</v>
      </c>
      <c r="X194" s="16">
        <v>0</v>
      </c>
      <c r="Y194" s="16">
        <v>0.2</v>
      </c>
      <c r="Z194" s="16">
        <v>0</v>
      </c>
      <c r="AA194" s="16">
        <v>0</v>
      </c>
      <c r="AB194" s="16">
        <v>0.2</v>
      </c>
      <c r="AC194" s="17">
        <v>0</v>
      </c>
      <c r="AD194" s="17">
        <v>9</v>
      </c>
      <c r="AE194" s="17">
        <v>0</v>
      </c>
      <c r="AF194" s="17">
        <v>0</v>
      </c>
      <c r="AG194" s="17">
        <v>9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9">
        <v>0</v>
      </c>
    </row>
    <row r="195" spans="1:39" x14ac:dyDescent="0.25">
      <c r="A195" s="10">
        <v>2016</v>
      </c>
      <c r="B195" s="11">
        <v>12090</v>
      </c>
      <c r="C195" s="12" t="s">
        <v>244</v>
      </c>
      <c r="D195" s="12" t="s">
        <v>79</v>
      </c>
      <c r="E195" s="22" t="str">
        <f t="shared" si="9"/>
        <v/>
      </c>
      <c r="F195" s="22" t="str">
        <f t="shared" si="10"/>
        <v/>
      </c>
      <c r="G195" s="22" t="str">
        <f t="shared" si="11"/>
        <v/>
      </c>
      <c r="H195" s="22" t="str">
        <f t="shared" si="12"/>
        <v/>
      </c>
      <c r="I195" s="13">
        <v>604</v>
      </c>
      <c r="J195" s="13">
        <v>0</v>
      </c>
      <c r="K195" s="13">
        <v>54</v>
      </c>
      <c r="L195" s="13">
        <v>0</v>
      </c>
      <c r="M195" s="13">
        <v>658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9" t="s">
        <v>24</v>
      </c>
    </row>
    <row r="196" spans="1:39" x14ac:dyDescent="0.25">
      <c r="A196" s="10">
        <v>2016</v>
      </c>
      <c r="B196" s="11">
        <v>12199</v>
      </c>
      <c r="C196" s="12" t="s">
        <v>245</v>
      </c>
      <c r="D196" s="12" t="s">
        <v>163</v>
      </c>
      <c r="E196" s="22" t="str">
        <f t="shared" si="9"/>
        <v/>
      </c>
      <c r="F196" s="22" t="str">
        <f t="shared" si="10"/>
        <v/>
      </c>
      <c r="G196" s="22">
        <f t="shared" si="11"/>
        <v>52750</v>
      </c>
      <c r="H196" s="22" t="str">
        <f t="shared" si="12"/>
        <v/>
      </c>
      <c r="I196" s="13">
        <v>0</v>
      </c>
      <c r="J196" s="13">
        <v>2</v>
      </c>
      <c r="K196" s="13">
        <v>3</v>
      </c>
      <c r="L196" s="13">
        <v>0</v>
      </c>
      <c r="M196" s="13">
        <v>5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5">
        <v>0</v>
      </c>
      <c r="T196" s="15">
        <v>0</v>
      </c>
      <c r="U196" s="15">
        <v>4</v>
      </c>
      <c r="V196" s="15">
        <v>0</v>
      </c>
      <c r="W196" s="15">
        <v>4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7">
        <v>0</v>
      </c>
      <c r="AD196" s="17">
        <v>8</v>
      </c>
      <c r="AE196" s="17">
        <v>148</v>
      </c>
      <c r="AF196" s="17">
        <v>0</v>
      </c>
      <c r="AG196" s="17">
        <v>156</v>
      </c>
      <c r="AH196" s="18">
        <v>0</v>
      </c>
      <c r="AI196" s="18">
        <v>4</v>
      </c>
      <c r="AJ196" s="18">
        <v>63</v>
      </c>
      <c r="AK196" s="18">
        <v>0</v>
      </c>
      <c r="AL196" s="18">
        <v>67</v>
      </c>
      <c r="AM196" s="19" t="s">
        <v>24</v>
      </c>
    </row>
    <row r="197" spans="1:39" x14ac:dyDescent="0.25">
      <c r="A197" s="10">
        <v>2016</v>
      </c>
      <c r="B197" s="11">
        <v>12199</v>
      </c>
      <c r="C197" s="12" t="s">
        <v>245</v>
      </c>
      <c r="D197" s="12" t="s">
        <v>79</v>
      </c>
      <c r="E197" s="22" t="str">
        <f t="shared" ref="E197:E260" si="13">IFERROR(SUM(AC197,AH197)*10^3/S197,"")</f>
        <v/>
      </c>
      <c r="F197" s="22">
        <f t="shared" ref="F197:F260" si="14">IFERROR(SUM(AD197,AI197)*10^3/T197,"")</f>
        <v>46750</v>
      </c>
      <c r="G197" s="22">
        <f t="shared" ref="G197:G260" si="15">IFERROR(SUM(AE197,AJ197)*10^3/U197,"")</f>
        <v>50916.666666666664</v>
      </c>
      <c r="H197" s="22" t="str">
        <f t="shared" ref="H197:H260" si="16">IFERROR(SUM(AF197,AK197)*10^3/V197,"")</f>
        <v/>
      </c>
      <c r="I197" s="13">
        <v>0</v>
      </c>
      <c r="J197" s="13">
        <v>24</v>
      </c>
      <c r="K197" s="13">
        <v>5</v>
      </c>
      <c r="L197" s="13">
        <v>0</v>
      </c>
      <c r="M197" s="13">
        <v>29</v>
      </c>
      <c r="N197" s="14">
        <v>0</v>
      </c>
      <c r="O197" s="14">
        <v>5</v>
      </c>
      <c r="P197" s="14">
        <v>6</v>
      </c>
      <c r="Q197" s="14">
        <v>0</v>
      </c>
      <c r="R197" s="14">
        <v>11</v>
      </c>
      <c r="S197" s="15">
        <v>0</v>
      </c>
      <c r="T197" s="15">
        <v>8</v>
      </c>
      <c r="U197" s="15">
        <v>12</v>
      </c>
      <c r="V197" s="15">
        <v>0</v>
      </c>
      <c r="W197" s="15">
        <v>20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7">
        <v>0</v>
      </c>
      <c r="AD197" s="17">
        <v>327</v>
      </c>
      <c r="AE197" s="17">
        <v>563</v>
      </c>
      <c r="AF197" s="17">
        <v>0</v>
      </c>
      <c r="AG197" s="17">
        <v>890</v>
      </c>
      <c r="AH197" s="18">
        <v>0</v>
      </c>
      <c r="AI197" s="18">
        <v>47</v>
      </c>
      <c r="AJ197" s="18">
        <v>48</v>
      </c>
      <c r="AK197" s="18">
        <v>0</v>
      </c>
      <c r="AL197" s="18">
        <v>95</v>
      </c>
      <c r="AM197" s="19" t="s">
        <v>24</v>
      </c>
    </row>
    <row r="198" spans="1:39" x14ac:dyDescent="0.25">
      <c r="A198" s="10">
        <v>2016</v>
      </c>
      <c r="B198" s="11">
        <v>12199</v>
      </c>
      <c r="C198" s="12" t="s">
        <v>245</v>
      </c>
      <c r="D198" s="12" t="s">
        <v>66</v>
      </c>
      <c r="E198" s="22" t="str">
        <f t="shared" si="13"/>
        <v/>
      </c>
      <c r="F198" s="22">
        <f t="shared" si="14"/>
        <v>20000</v>
      </c>
      <c r="G198" s="22" t="str">
        <f t="shared" si="15"/>
        <v/>
      </c>
      <c r="H198" s="22" t="str">
        <f t="shared" si="16"/>
        <v/>
      </c>
      <c r="I198" s="13">
        <v>0</v>
      </c>
      <c r="J198" s="13">
        <v>1</v>
      </c>
      <c r="K198" s="13">
        <v>0</v>
      </c>
      <c r="L198" s="13">
        <v>0</v>
      </c>
      <c r="M198" s="13">
        <v>1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5">
        <v>0</v>
      </c>
      <c r="T198" s="15">
        <v>0.1</v>
      </c>
      <c r="U198" s="15">
        <v>0</v>
      </c>
      <c r="V198" s="15">
        <v>0</v>
      </c>
      <c r="W198" s="15">
        <v>0.1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7">
        <v>0</v>
      </c>
      <c r="AD198" s="17">
        <v>1</v>
      </c>
      <c r="AE198" s="17">
        <v>0</v>
      </c>
      <c r="AF198" s="17">
        <v>0</v>
      </c>
      <c r="AG198" s="17">
        <v>1</v>
      </c>
      <c r="AH198" s="18">
        <v>0</v>
      </c>
      <c r="AI198" s="18">
        <v>1</v>
      </c>
      <c r="AJ198" s="18">
        <v>0</v>
      </c>
      <c r="AK198" s="18">
        <v>0</v>
      </c>
      <c r="AL198" s="18">
        <v>1</v>
      </c>
      <c r="AM198" s="19" t="s">
        <v>24</v>
      </c>
    </row>
    <row r="199" spans="1:39" x14ac:dyDescent="0.25">
      <c r="A199" s="10">
        <v>2016</v>
      </c>
      <c r="B199" s="11">
        <v>12199</v>
      </c>
      <c r="C199" s="12" t="s">
        <v>245</v>
      </c>
      <c r="D199" s="12" t="s">
        <v>232</v>
      </c>
      <c r="E199" s="22">
        <f t="shared" si="13"/>
        <v>12500</v>
      </c>
      <c r="F199" s="22" t="str">
        <f t="shared" si="14"/>
        <v/>
      </c>
      <c r="G199" s="22" t="str">
        <f t="shared" si="15"/>
        <v/>
      </c>
      <c r="H199" s="22" t="str">
        <f t="shared" si="16"/>
        <v/>
      </c>
      <c r="I199" s="13">
        <v>729</v>
      </c>
      <c r="J199" s="13">
        <v>0</v>
      </c>
      <c r="K199" s="13">
        <v>0</v>
      </c>
      <c r="L199" s="13">
        <v>0</v>
      </c>
      <c r="M199" s="13">
        <v>729</v>
      </c>
      <c r="N199" s="14">
        <v>65</v>
      </c>
      <c r="O199" s="14">
        <v>0</v>
      </c>
      <c r="P199" s="14">
        <v>0</v>
      </c>
      <c r="Q199" s="14">
        <v>0</v>
      </c>
      <c r="R199" s="14">
        <v>65</v>
      </c>
      <c r="S199" s="15">
        <v>16</v>
      </c>
      <c r="T199" s="15">
        <v>0</v>
      </c>
      <c r="U199" s="15">
        <v>0</v>
      </c>
      <c r="V199" s="15">
        <v>0</v>
      </c>
      <c r="W199" s="15">
        <v>16</v>
      </c>
      <c r="X199" s="16">
        <v>3</v>
      </c>
      <c r="Y199" s="16">
        <v>0</v>
      </c>
      <c r="Z199" s="16">
        <v>0</v>
      </c>
      <c r="AA199" s="16">
        <v>0</v>
      </c>
      <c r="AB199" s="16">
        <v>3</v>
      </c>
      <c r="AC199" s="17">
        <v>200</v>
      </c>
      <c r="AD199" s="17">
        <v>0</v>
      </c>
      <c r="AE199" s="17">
        <v>0</v>
      </c>
      <c r="AF199" s="17">
        <v>0</v>
      </c>
      <c r="AG199" s="17">
        <v>200</v>
      </c>
      <c r="AH199" s="18">
        <v>0</v>
      </c>
      <c r="AI199" s="18">
        <v>0</v>
      </c>
      <c r="AJ199" s="18">
        <v>0</v>
      </c>
      <c r="AK199" s="18">
        <v>0</v>
      </c>
      <c r="AL199" s="18">
        <v>0</v>
      </c>
      <c r="AM199" s="19" t="s">
        <v>24</v>
      </c>
    </row>
    <row r="200" spans="1:39" x14ac:dyDescent="0.25">
      <c r="A200" s="10">
        <v>2016</v>
      </c>
      <c r="B200" s="11">
        <v>12208</v>
      </c>
      <c r="C200" s="12" t="s">
        <v>246</v>
      </c>
      <c r="D200" s="12" t="s">
        <v>74</v>
      </c>
      <c r="E200" s="22" t="str">
        <f t="shared" si="13"/>
        <v/>
      </c>
      <c r="F200" s="22">
        <f t="shared" si="14"/>
        <v>44000</v>
      </c>
      <c r="G200" s="22">
        <f t="shared" si="15"/>
        <v>50000</v>
      </c>
      <c r="H200" s="22" t="str">
        <f t="shared" si="16"/>
        <v/>
      </c>
      <c r="I200" s="13">
        <v>0</v>
      </c>
      <c r="J200" s="13">
        <v>20</v>
      </c>
      <c r="K200" s="13">
        <v>2</v>
      </c>
      <c r="L200" s="13">
        <v>0</v>
      </c>
      <c r="M200" s="13">
        <v>22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5">
        <v>0</v>
      </c>
      <c r="T200" s="15">
        <v>0.5</v>
      </c>
      <c r="U200" s="15">
        <v>0.5</v>
      </c>
      <c r="V200" s="15">
        <v>0</v>
      </c>
      <c r="W200" s="15">
        <v>1</v>
      </c>
      <c r="X200" s="16">
        <v>0</v>
      </c>
      <c r="Y200" s="16">
        <v>0.5</v>
      </c>
      <c r="Z200" s="16">
        <v>0.5</v>
      </c>
      <c r="AA200" s="16">
        <v>0</v>
      </c>
      <c r="AB200" s="16">
        <v>1</v>
      </c>
      <c r="AC200" s="17">
        <v>0</v>
      </c>
      <c r="AD200" s="17">
        <v>21</v>
      </c>
      <c r="AE200" s="17">
        <v>24</v>
      </c>
      <c r="AF200" s="17">
        <v>0</v>
      </c>
      <c r="AG200" s="17">
        <v>45</v>
      </c>
      <c r="AH200" s="18">
        <v>0</v>
      </c>
      <c r="AI200" s="18">
        <v>1</v>
      </c>
      <c r="AJ200" s="18">
        <v>1</v>
      </c>
      <c r="AK200" s="18">
        <v>0</v>
      </c>
      <c r="AL200" s="18">
        <v>2</v>
      </c>
      <c r="AM200" s="19" t="s">
        <v>24</v>
      </c>
    </row>
    <row r="201" spans="1:39" x14ac:dyDescent="0.25">
      <c r="A201" s="10">
        <v>2016</v>
      </c>
      <c r="B201" s="11">
        <v>12260</v>
      </c>
      <c r="C201" s="12" t="s">
        <v>247</v>
      </c>
      <c r="D201" s="12" t="s">
        <v>25</v>
      </c>
      <c r="E201" s="22" t="str">
        <f t="shared" si="13"/>
        <v/>
      </c>
      <c r="F201" s="22">
        <f t="shared" si="14"/>
        <v>2000</v>
      </c>
      <c r="G201" s="22" t="str">
        <f t="shared" si="15"/>
        <v/>
      </c>
      <c r="H201" s="22" t="str">
        <f t="shared" si="16"/>
        <v/>
      </c>
      <c r="I201" s="13">
        <v>0</v>
      </c>
      <c r="J201" s="13">
        <v>5</v>
      </c>
      <c r="K201" s="13">
        <v>0</v>
      </c>
      <c r="L201" s="13">
        <v>0</v>
      </c>
      <c r="M201" s="13">
        <v>5</v>
      </c>
      <c r="N201" s="14">
        <v>0</v>
      </c>
      <c r="O201" s="14">
        <v>180</v>
      </c>
      <c r="P201" s="14">
        <v>0</v>
      </c>
      <c r="Q201" s="14">
        <v>0</v>
      </c>
      <c r="R201" s="14">
        <v>180</v>
      </c>
      <c r="S201" s="15">
        <v>0</v>
      </c>
      <c r="T201" s="15">
        <v>5</v>
      </c>
      <c r="U201" s="15">
        <v>0</v>
      </c>
      <c r="V201" s="15">
        <v>0</v>
      </c>
      <c r="W201" s="15">
        <v>5</v>
      </c>
      <c r="X201" s="16">
        <v>0</v>
      </c>
      <c r="Y201" s="16">
        <v>2</v>
      </c>
      <c r="Z201" s="16">
        <v>0</v>
      </c>
      <c r="AA201" s="16">
        <v>0</v>
      </c>
      <c r="AB201" s="16">
        <v>2</v>
      </c>
      <c r="AC201" s="17">
        <v>0</v>
      </c>
      <c r="AD201" s="17">
        <v>10</v>
      </c>
      <c r="AE201" s="17">
        <v>0</v>
      </c>
      <c r="AF201" s="17">
        <v>0</v>
      </c>
      <c r="AG201" s="17">
        <v>10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9" t="s">
        <v>24</v>
      </c>
    </row>
    <row r="202" spans="1:39" x14ac:dyDescent="0.25">
      <c r="A202" s="10">
        <v>2016</v>
      </c>
      <c r="B202" s="11">
        <v>12268</v>
      </c>
      <c r="C202" s="12" t="s">
        <v>248</v>
      </c>
      <c r="D202" s="12" t="s">
        <v>56</v>
      </c>
      <c r="E202" s="22" t="str">
        <f t="shared" si="13"/>
        <v/>
      </c>
      <c r="F202" s="22" t="str">
        <f t="shared" si="14"/>
        <v/>
      </c>
      <c r="G202" s="22">
        <f t="shared" si="15"/>
        <v>191.08280254777071</v>
      </c>
      <c r="H202" s="22" t="str">
        <f t="shared" si="16"/>
        <v/>
      </c>
      <c r="I202" s="13">
        <v>0</v>
      </c>
      <c r="J202" s="13">
        <v>0</v>
      </c>
      <c r="K202" s="13">
        <v>789</v>
      </c>
      <c r="L202" s="13">
        <v>0</v>
      </c>
      <c r="M202" s="13">
        <v>789</v>
      </c>
      <c r="N202" s="14">
        <v>0</v>
      </c>
      <c r="O202" s="14">
        <v>0</v>
      </c>
      <c r="P202" s="14">
        <v>674</v>
      </c>
      <c r="Q202" s="14">
        <v>0</v>
      </c>
      <c r="R202" s="14">
        <v>674</v>
      </c>
      <c r="S202" s="15">
        <v>0</v>
      </c>
      <c r="T202" s="15">
        <v>0</v>
      </c>
      <c r="U202" s="15">
        <v>78.5</v>
      </c>
      <c r="V202" s="15">
        <v>0</v>
      </c>
      <c r="W202" s="15">
        <v>78.5</v>
      </c>
      <c r="X202" s="16">
        <v>0</v>
      </c>
      <c r="Y202" s="16">
        <v>0</v>
      </c>
      <c r="Z202" s="16">
        <v>21.7</v>
      </c>
      <c r="AA202" s="16">
        <v>0</v>
      </c>
      <c r="AB202" s="16">
        <v>21.7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8">
        <v>0</v>
      </c>
      <c r="AI202" s="18">
        <v>0</v>
      </c>
      <c r="AJ202" s="18">
        <v>15</v>
      </c>
      <c r="AK202" s="18">
        <v>0</v>
      </c>
      <c r="AL202" s="18">
        <v>15</v>
      </c>
      <c r="AM202" s="19" t="s">
        <v>24</v>
      </c>
    </row>
    <row r="203" spans="1:39" x14ac:dyDescent="0.25">
      <c r="A203" s="10">
        <v>2016</v>
      </c>
      <c r="B203" s="11">
        <v>12301</v>
      </c>
      <c r="C203" s="12" t="s">
        <v>249</v>
      </c>
      <c r="D203" s="12" t="s">
        <v>79</v>
      </c>
      <c r="E203" s="22">
        <f t="shared" si="13"/>
        <v>1580.4195804195804</v>
      </c>
      <c r="F203" s="22" t="str">
        <f t="shared" si="14"/>
        <v/>
      </c>
      <c r="G203" s="22">
        <f t="shared" si="15"/>
        <v>0</v>
      </c>
      <c r="H203" s="22" t="str">
        <f t="shared" si="16"/>
        <v/>
      </c>
      <c r="I203" s="13">
        <v>5615</v>
      </c>
      <c r="J203" s="13">
        <v>0</v>
      </c>
      <c r="K203" s="13">
        <v>292</v>
      </c>
      <c r="L203" s="13">
        <v>0</v>
      </c>
      <c r="M203" s="13">
        <v>5907</v>
      </c>
      <c r="N203" s="14">
        <v>18372</v>
      </c>
      <c r="O203" s="14">
        <v>0</v>
      </c>
      <c r="P203" s="14">
        <v>453</v>
      </c>
      <c r="Q203" s="14">
        <v>0</v>
      </c>
      <c r="R203" s="14">
        <v>18825</v>
      </c>
      <c r="S203" s="15">
        <v>143</v>
      </c>
      <c r="T203" s="15">
        <v>0</v>
      </c>
      <c r="U203" s="15">
        <v>61.6</v>
      </c>
      <c r="V203" s="15">
        <v>0</v>
      </c>
      <c r="W203" s="15">
        <v>204.6</v>
      </c>
      <c r="X203" s="16">
        <v>53.4</v>
      </c>
      <c r="Y203" s="16">
        <v>0</v>
      </c>
      <c r="Z203" s="16">
        <v>27.8</v>
      </c>
      <c r="AA203" s="16">
        <v>0</v>
      </c>
      <c r="AB203" s="16">
        <v>81.2</v>
      </c>
      <c r="AC203" s="17">
        <v>31</v>
      </c>
      <c r="AD203" s="17">
        <v>0</v>
      </c>
      <c r="AE203" s="17">
        <v>0</v>
      </c>
      <c r="AF203" s="17">
        <v>0</v>
      </c>
      <c r="AG203" s="17">
        <v>31</v>
      </c>
      <c r="AH203" s="18">
        <v>195</v>
      </c>
      <c r="AI203" s="18">
        <v>0</v>
      </c>
      <c r="AJ203" s="18">
        <v>0</v>
      </c>
      <c r="AK203" s="18">
        <v>0</v>
      </c>
      <c r="AL203" s="18">
        <v>195</v>
      </c>
      <c r="AM203" s="19" t="s">
        <v>24</v>
      </c>
    </row>
    <row r="204" spans="1:39" x14ac:dyDescent="0.25">
      <c r="A204" s="10">
        <v>2016</v>
      </c>
      <c r="B204" s="11">
        <v>12341</v>
      </c>
      <c r="C204" s="12" t="s">
        <v>250</v>
      </c>
      <c r="D204" s="12" t="s">
        <v>38</v>
      </c>
      <c r="E204" s="22">
        <f t="shared" si="13"/>
        <v>90137.741046831958</v>
      </c>
      <c r="F204" s="22">
        <f t="shared" si="14"/>
        <v>47700.65075921909</v>
      </c>
      <c r="G204" s="22">
        <f t="shared" si="15"/>
        <v>47636.711281070748</v>
      </c>
      <c r="H204" s="22" t="str">
        <f t="shared" si="16"/>
        <v/>
      </c>
      <c r="I204" s="13">
        <v>63766</v>
      </c>
      <c r="J204" s="13">
        <v>48</v>
      </c>
      <c r="K204" s="13">
        <v>66</v>
      </c>
      <c r="L204" s="13">
        <v>0</v>
      </c>
      <c r="M204" s="13">
        <v>63880</v>
      </c>
      <c r="N204" s="14">
        <v>178</v>
      </c>
      <c r="O204" s="14">
        <v>34</v>
      </c>
      <c r="P204" s="14">
        <v>190</v>
      </c>
      <c r="Q204" s="14">
        <v>0</v>
      </c>
      <c r="R204" s="14">
        <v>402</v>
      </c>
      <c r="S204" s="15">
        <v>36.299999999999997</v>
      </c>
      <c r="T204" s="15">
        <v>46.1</v>
      </c>
      <c r="U204" s="15">
        <v>261.5</v>
      </c>
      <c r="V204" s="15">
        <v>0</v>
      </c>
      <c r="W204" s="15">
        <v>343.9</v>
      </c>
      <c r="X204" s="16">
        <v>36.299999999999997</v>
      </c>
      <c r="Y204" s="16">
        <v>46.1</v>
      </c>
      <c r="Z204" s="16">
        <v>261.5</v>
      </c>
      <c r="AA204" s="16">
        <v>0</v>
      </c>
      <c r="AB204" s="16">
        <v>343.9</v>
      </c>
      <c r="AC204" s="17">
        <v>1916</v>
      </c>
      <c r="AD204" s="17">
        <v>2114</v>
      </c>
      <c r="AE204" s="17">
        <v>11978</v>
      </c>
      <c r="AF204" s="17">
        <v>0</v>
      </c>
      <c r="AG204" s="17">
        <v>16008</v>
      </c>
      <c r="AH204" s="18">
        <v>1356</v>
      </c>
      <c r="AI204" s="18">
        <v>85</v>
      </c>
      <c r="AJ204" s="18">
        <v>479</v>
      </c>
      <c r="AK204" s="18">
        <v>0</v>
      </c>
      <c r="AL204" s="18">
        <v>1920</v>
      </c>
      <c r="AM204" s="19" t="s">
        <v>24</v>
      </c>
    </row>
    <row r="205" spans="1:39" x14ac:dyDescent="0.25">
      <c r="A205" s="10">
        <v>2016</v>
      </c>
      <c r="B205" s="11">
        <v>12341</v>
      </c>
      <c r="C205" s="12" t="s">
        <v>250</v>
      </c>
      <c r="D205" s="12" t="s">
        <v>27</v>
      </c>
      <c r="E205" s="22">
        <f t="shared" si="13"/>
        <v>78000</v>
      </c>
      <c r="F205" s="22">
        <f t="shared" si="14"/>
        <v>42222.222222222219</v>
      </c>
      <c r="G205" s="22">
        <f t="shared" si="15"/>
        <v>42935.323383084571</v>
      </c>
      <c r="H205" s="22" t="str">
        <f t="shared" si="16"/>
        <v/>
      </c>
      <c r="I205" s="13">
        <v>3382</v>
      </c>
      <c r="J205" s="13">
        <v>2</v>
      </c>
      <c r="K205" s="13">
        <v>3</v>
      </c>
      <c r="L205" s="13">
        <v>0</v>
      </c>
      <c r="M205" s="13">
        <v>3387</v>
      </c>
      <c r="N205" s="14">
        <v>10</v>
      </c>
      <c r="O205" s="14">
        <v>0</v>
      </c>
      <c r="P205" s="14">
        <v>0</v>
      </c>
      <c r="Q205" s="14">
        <v>0</v>
      </c>
      <c r="R205" s="14">
        <v>10</v>
      </c>
      <c r="S205" s="15">
        <v>2</v>
      </c>
      <c r="T205" s="15">
        <v>3.6</v>
      </c>
      <c r="U205" s="15">
        <v>20.100000000000001</v>
      </c>
      <c r="V205" s="15">
        <v>0</v>
      </c>
      <c r="W205" s="15">
        <v>25.7</v>
      </c>
      <c r="X205" s="16">
        <v>2</v>
      </c>
      <c r="Y205" s="16">
        <v>3.6</v>
      </c>
      <c r="Z205" s="16">
        <v>20.100000000000001</v>
      </c>
      <c r="AA205" s="16">
        <v>0</v>
      </c>
      <c r="AB205" s="16">
        <v>25.7</v>
      </c>
      <c r="AC205" s="17">
        <v>102</v>
      </c>
      <c r="AD205" s="17">
        <v>148</v>
      </c>
      <c r="AE205" s="17">
        <v>840</v>
      </c>
      <c r="AF205" s="17">
        <v>0</v>
      </c>
      <c r="AG205" s="17">
        <v>1090</v>
      </c>
      <c r="AH205" s="18">
        <v>54</v>
      </c>
      <c r="AI205" s="18">
        <v>4</v>
      </c>
      <c r="AJ205" s="18">
        <v>23</v>
      </c>
      <c r="AK205" s="18">
        <v>0</v>
      </c>
      <c r="AL205" s="18">
        <v>81</v>
      </c>
      <c r="AM205" s="19" t="s">
        <v>24</v>
      </c>
    </row>
    <row r="206" spans="1:39" x14ac:dyDescent="0.25">
      <c r="A206" s="10">
        <v>2016</v>
      </c>
      <c r="B206" s="11">
        <v>12341</v>
      </c>
      <c r="C206" s="12" t="s">
        <v>250</v>
      </c>
      <c r="D206" s="12" t="s">
        <v>66</v>
      </c>
      <c r="E206" s="22">
        <f t="shared" si="13"/>
        <v>170000</v>
      </c>
      <c r="F206" s="22" t="str">
        <f t="shared" si="14"/>
        <v/>
      </c>
      <c r="G206" s="22" t="str">
        <f t="shared" si="15"/>
        <v/>
      </c>
      <c r="H206" s="22" t="str">
        <f t="shared" si="16"/>
        <v/>
      </c>
      <c r="I206" s="13">
        <v>239</v>
      </c>
      <c r="J206" s="13">
        <v>0</v>
      </c>
      <c r="K206" s="13">
        <v>0</v>
      </c>
      <c r="L206" s="13">
        <v>0</v>
      </c>
      <c r="M206" s="13">
        <v>239</v>
      </c>
      <c r="N206" s="14">
        <v>1</v>
      </c>
      <c r="O206" s="14">
        <v>0</v>
      </c>
      <c r="P206" s="14">
        <v>0</v>
      </c>
      <c r="Q206" s="14">
        <v>0</v>
      </c>
      <c r="R206" s="14">
        <v>1</v>
      </c>
      <c r="S206" s="15">
        <v>0.1</v>
      </c>
      <c r="T206" s="15">
        <v>0</v>
      </c>
      <c r="U206" s="15">
        <v>0</v>
      </c>
      <c r="V206" s="15">
        <v>0</v>
      </c>
      <c r="W206" s="15">
        <v>0.1</v>
      </c>
      <c r="X206" s="16">
        <v>0.1</v>
      </c>
      <c r="Y206" s="16">
        <v>0</v>
      </c>
      <c r="Z206" s="16">
        <v>0</v>
      </c>
      <c r="AA206" s="16">
        <v>0</v>
      </c>
      <c r="AB206" s="16">
        <v>0.1</v>
      </c>
      <c r="AC206" s="17">
        <v>7</v>
      </c>
      <c r="AD206" s="17">
        <v>0</v>
      </c>
      <c r="AE206" s="17">
        <v>0</v>
      </c>
      <c r="AF206" s="17">
        <v>0</v>
      </c>
      <c r="AG206" s="17">
        <v>7</v>
      </c>
      <c r="AH206" s="18">
        <v>10</v>
      </c>
      <c r="AI206" s="18">
        <v>0</v>
      </c>
      <c r="AJ206" s="18">
        <v>0</v>
      </c>
      <c r="AK206" s="18">
        <v>0</v>
      </c>
      <c r="AL206" s="18">
        <v>10</v>
      </c>
      <c r="AM206" s="19" t="s">
        <v>24</v>
      </c>
    </row>
    <row r="207" spans="1:39" x14ac:dyDescent="0.25">
      <c r="A207" s="10">
        <v>2016</v>
      </c>
      <c r="B207" s="11">
        <v>12377</v>
      </c>
      <c r="C207" s="12" t="s">
        <v>251</v>
      </c>
      <c r="D207" s="12" t="s">
        <v>122</v>
      </c>
      <c r="E207" s="22">
        <f t="shared" si="13"/>
        <v>27125</v>
      </c>
      <c r="F207" s="22">
        <f t="shared" si="14"/>
        <v>29150</v>
      </c>
      <c r="G207" s="22" t="str">
        <f t="shared" si="15"/>
        <v/>
      </c>
      <c r="H207" s="22" t="str">
        <f t="shared" si="16"/>
        <v/>
      </c>
      <c r="I207" s="13">
        <v>3072</v>
      </c>
      <c r="J207" s="13">
        <v>68</v>
      </c>
      <c r="K207" s="13">
        <v>0</v>
      </c>
      <c r="L207" s="13">
        <v>0</v>
      </c>
      <c r="M207" s="13">
        <v>3140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5">
        <v>8</v>
      </c>
      <c r="T207" s="15">
        <v>20</v>
      </c>
      <c r="U207" s="15">
        <v>0</v>
      </c>
      <c r="V207" s="15">
        <v>0</v>
      </c>
      <c r="W207" s="15">
        <v>28</v>
      </c>
      <c r="X207" s="16">
        <v>6</v>
      </c>
      <c r="Y207" s="16">
        <v>10</v>
      </c>
      <c r="Z207" s="16">
        <v>0</v>
      </c>
      <c r="AA207" s="16">
        <v>0</v>
      </c>
      <c r="AB207" s="16">
        <v>16</v>
      </c>
      <c r="AC207" s="17">
        <v>217</v>
      </c>
      <c r="AD207" s="17">
        <v>583</v>
      </c>
      <c r="AE207" s="17">
        <v>0</v>
      </c>
      <c r="AF207" s="17">
        <v>0</v>
      </c>
      <c r="AG207" s="17">
        <v>800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9" t="s">
        <v>24</v>
      </c>
    </row>
    <row r="208" spans="1:39" x14ac:dyDescent="0.25">
      <c r="A208" s="10">
        <v>2016</v>
      </c>
      <c r="B208" s="11">
        <v>12390</v>
      </c>
      <c r="C208" s="12" t="s">
        <v>252</v>
      </c>
      <c r="D208" s="12" t="s">
        <v>94</v>
      </c>
      <c r="E208" s="22" t="str">
        <f t="shared" si="13"/>
        <v/>
      </c>
      <c r="F208" s="22" t="str">
        <f t="shared" si="14"/>
        <v/>
      </c>
      <c r="G208" s="22" t="str">
        <f t="shared" si="15"/>
        <v/>
      </c>
      <c r="H208" s="22" t="str">
        <f t="shared" si="16"/>
        <v/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8">
        <v>0</v>
      </c>
      <c r="AI208" s="18">
        <v>12</v>
      </c>
      <c r="AJ208" s="18">
        <v>111</v>
      </c>
      <c r="AK208" s="18">
        <v>0</v>
      </c>
      <c r="AL208" s="18">
        <v>123</v>
      </c>
      <c r="AM208" s="19" t="s">
        <v>24</v>
      </c>
    </row>
    <row r="209" spans="1:39" x14ac:dyDescent="0.25">
      <c r="A209" s="10">
        <v>2016</v>
      </c>
      <c r="B209" s="11">
        <v>12395</v>
      </c>
      <c r="C209" s="12" t="s">
        <v>253</v>
      </c>
      <c r="D209" s="12" t="s">
        <v>27</v>
      </c>
      <c r="E209" s="22">
        <f t="shared" si="13"/>
        <v>25000</v>
      </c>
      <c r="F209" s="22">
        <f t="shared" si="14"/>
        <v>0</v>
      </c>
      <c r="G209" s="22">
        <f t="shared" si="15"/>
        <v>489.79591836734693</v>
      </c>
      <c r="H209" s="22" t="str">
        <f t="shared" si="16"/>
        <v/>
      </c>
      <c r="I209" s="13">
        <v>1360</v>
      </c>
      <c r="J209" s="13">
        <v>19</v>
      </c>
      <c r="K209" s="13">
        <v>1203</v>
      </c>
      <c r="L209" s="13">
        <v>0</v>
      </c>
      <c r="M209" s="13">
        <v>2582</v>
      </c>
      <c r="N209" s="14">
        <v>28</v>
      </c>
      <c r="O209" s="14">
        <v>0</v>
      </c>
      <c r="P209" s="14">
        <v>158</v>
      </c>
      <c r="Q209" s="14">
        <v>0</v>
      </c>
      <c r="R209" s="14">
        <v>186</v>
      </c>
      <c r="S209" s="15">
        <v>2</v>
      </c>
      <c r="T209" s="15">
        <v>8</v>
      </c>
      <c r="U209" s="15">
        <v>49</v>
      </c>
      <c r="V209" s="15">
        <v>0</v>
      </c>
      <c r="W209" s="15">
        <v>59</v>
      </c>
      <c r="X209" s="16">
        <v>1</v>
      </c>
      <c r="Y209" s="16">
        <v>0</v>
      </c>
      <c r="Z209" s="16">
        <v>12</v>
      </c>
      <c r="AA209" s="16">
        <v>0</v>
      </c>
      <c r="AB209" s="16">
        <v>13</v>
      </c>
      <c r="AC209" s="17">
        <v>50</v>
      </c>
      <c r="AD209" s="17">
        <v>0</v>
      </c>
      <c r="AE209" s="17">
        <v>0</v>
      </c>
      <c r="AF209" s="17">
        <v>0</v>
      </c>
      <c r="AG209" s="17">
        <v>50</v>
      </c>
      <c r="AH209" s="18">
        <v>0</v>
      </c>
      <c r="AI209" s="18">
        <v>0</v>
      </c>
      <c r="AJ209" s="18">
        <v>24</v>
      </c>
      <c r="AK209" s="18">
        <v>0</v>
      </c>
      <c r="AL209" s="18">
        <v>24</v>
      </c>
      <c r="AM209" s="19">
        <v>0</v>
      </c>
    </row>
    <row r="210" spans="1:39" x14ac:dyDescent="0.25">
      <c r="A210" s="10">
        <v>2016</v>
      </c>
      <c r="B210" s="11">
        <v>12463</v>
      </c>
      <c r="C210" s="12" t="s">
        <v>254</v>
      </c>
      <c r="D210" s="12" t="s">
        <v>163</v>
      </c>
      <c r="E210" s="22">
        <f t="shared" si="13"/>
        <v>0</v>
      </c>
      <c r="F210" s="22" t="str">
        <f t="shared" si="14"/>
        <v/>
      </c>
      <c r="G210" s="22" t="str">
        <f t="shared" si="15"/>
        <v/>
      </c>
      <c r="H210" s="22" t="str">
        <f t="shared" si="16"/>
        <v/>
      </c>
      <c r="I210" s="13">
        <v>33</v>
      </c>
      <c r="J210" s="13">
        <v>0</v>
      </c>
      <c r="K210" s="13">
        <v>0</v>
      </c>
      <c r="L210" s="13">
        <v>0</v>
      </c>
      <c r="M210" s="13">
        <v>33</v>
      </c>
      <c r="N210" s="14">
        <v>96</v>
      </c>
      <c r="O210" s="14">
        <v>0</v>
      </c>
      <c r="P210" s="14">
        <v>0</v>
      </c>
      <c r="Q210" s="14">
        <v>0</v>
      </c>
      <c r="R210" s="14">
        <v>96</v>
      </c>
      <c r="S210" s="15">
        <v>0.2</v>
      </c>
      <c r="T210" s="15">
        <v>0</v>
      </c>
      <c r="U210" s="15">
        <v>0</v>
      </c>
      <c r="V210" s="15">
        <v>0</v>
      </c>
      <c r="W210" s="15">
        <v>0.2</v>
      </c>
      <c r="X210" s="16">
        <v>0.2</v>
      </c>
      <c r="Y210" s="16">
        <v>0</v>
      </c>
      <c r="Z210" s="16">
        <v>0</v>
      </c>
      <c r="AA210" s="16">
        <v>0</v>
      </c>
      <c r="AB210" s="16">
        <v>0.2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9" t="s">
        <v>24</v>
      </c>
    </row>
    <row r="211" spans="1:39" x14ac:dyDescent="0.25">
      <c r="A211" s="10">
        <v>2016</v>
      </c>
      <c r="B211" s="11">
        <v>12472</v>
      </c>
      <c r="C211" s="12" t="s">
        <v>255</v>
      </c>
      <c r="D211" s="12" t="s">
        <v>40</v>
      </c>
      <c r="E211" s="22" t="str">
        <f t="shared" si="13"/>
        <v/>
      </c>
      <c r="F211" s="22" t="str">
        <f t="shared" si="14"/>
        <v/>
      </c>
      <c r="G211" s="22">
        <f t="shared" si="15"/>
        <v>277.77777777777777</v>
      </c>
      <c r="H211" s="22" t="str">
        <f t="shared" si="16"/>
        <v/>
      </c>
      <c r="I211" s="13">
        <v>0</v>
      </c>
      <c r="J211" s="13">
        <v>0</v>
      </c>
      <c r="K211" s="13">
        <v>553</v>
      </c>
      <c r="L211" s="13">
        <v>0</v>
      </c>
      <c r="M211" s="13">
        <v>553</v>
      </c>
      <c r="N211" s="14">
        <v>0</v>
      </c>
      <c r="O211" s="14">
        <v>0</v>
      </c>
      <c r="P211" s="14">
        <v>288</v>
      </c>
      <c r="Q211" s="14">
        <v>0</v>
      </c>
      <c r="R211" s="14">
        <v>288</v>
      </c>
      <c r="S211" s="15">
        <v>0</v>
      </c>
      <c r="T211" s="15">
        <v>0</v>
      </c>
      <c r="U211" s="15">
        <v>36</v>
      </c>
      <c r="V211" s="15">
        <v>0</v>
      </c>
      <c r="W211" s="15">
        <v>36</v>
      </c>
      <c r="X211" s="16">
        <v>0</v>
      </c>
      <c r="Y211" s="16">
        <v>0</v>
      </c>
      <c r="Z211" s="16">
        <v>16</v>
      </c>
      <c r="AA211" s="16">
        <v>0</v>
      </c>
      <c r="AB211" s="16">
        <v>16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8">
        <v>0</v>
      </c>
      <c r="AI211" s="18">
        <v>0</v>
      </c>
      <c r="AJ211" s="18">
        <v>10</v>
      </c>
      <c r="AK211" s="18">
        <v>0</v>
      </c>
      <c r="AL211" s="18">
        <v>10</v>
      </c>
      <c r="AM211" s="19" t="s">
        <v>24</v>
      </c>
    </row>
    <row r="212" spans="1:39" x14ac:dyDescent="0.25">
      <c r="A212" s="10">
        <v>2016</v>
      </c>
      <c r="B212" s="11">
        <v>12524</v>
      </c>
      <c r="C212" s="12" t="s">
        <v>256</v>
      </c>
      <c r="D212" s="12" t="s">
        <v>74</v>
      </c>
      <c r="E212" s="22" t="str">
        <f t="shared" si="13"/>
        <v/>
      </c>
      <c r="F212" s="22">
        <f t="shared" si="14"/>
        <v>48600</v>
      </c>
      <c r="G212" s="22">
        <f t="shared" si="15"/>
        <v>55451.612903225803</v>
      </c>
      <c r="H212" s="22" t="str">
        <f t="shared" si="16"/>
        <v/>
      </c>
      <c r="I212" s="13">
        <v>0</v>
      </c>
      <c r="J212" s="13">
        <v>12</v>
      </c>
      <c r="K212" s="13">
        <v>666</v>
      </c>
      <c r="L212" s="13">
        <v>0</v>
      </c>
      <c r="M212" s="13">
        <v>678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5">
        <v>0</v>
      </c>
      <c r="T212" s="15">
        <v>5</v>
      </c>
      <c r="U212" s="15">
        <v>31</v>
      </c>
      <c r="V212" s="15">
        <v>0</v>
      </c>
      <c r="W212" s="15">
        <v>36</v>
      </c>
      <c r="X212" s="16">
        <v>0</v>
      </c>
      <c r="Y212" s="16">
        <v>3</v>
      </c>
      <c r="Z212" s="16">
        <v>26</v>
      </c>
      <c r="AA212" s="16">
        <v>0</v>
      </c>
      <c r="AB212" s="16">
        <v>29</v>
      </c>
      <c r="AC212" s="17">
        <v>0</v>
      </c>
      <c r="AD212" s="17">
        <v>243</v>
      </c>
      <c r="AE212" s="17">
        <v>834</v>
      </c>
      <c r="AF212" s="17">
        <v>0</v>
      </c>
      <c r="AG212" s="17">
        <v>1077</v>
      </c>
      <c r="AH212" s="18">
        <v>0</v>
      </c>
      <c r="AI212" s="18">
        <v>0</v>
      </c>
      <c r="AJ212" s="18">
        <v>885</v>
      </c>
      <c r="AK212" s="18">
        <v>0</v>
      </c>
      <c r="AL212" s="18">
        <v>885</v>
      </c>
      <c r="AM212" s="19" t="s">
        <v>24</v>
      </c>
    </row>
    <row r="213" spans="1:39" x14ac:dyDescent="0.25">
      <c r="A213" s="10">
        <v>2016</v>
      </c>
      <c r="B213" s="11">
        <v>12539</v>
      </c>
      <c r="C213" s="12" t="s">
        <v>257</v>
      </c>
      <c r="D213" s="12" t="s">
        <v>72</v>
      </c>
      <c r="E213" s="22" t="str">
        <f t="shared" si="13"/>
        <v/>
      </c>
      <c r="F213" s="22" t="str">
        <f t="shared" si="14"/>
        <v/>
      </c>
      <c r="G213" s="22">
        <f t="shared" si="15"/>
        <v>11544.401544401544</v>
      </c>
      <c r="H213" s="22" t="str">
        <f t="shared" si="16"/>
        <v/>
      </c>
      <c r="I213" s="13">
        <v>0</v>
      </c>
      <c r="J213" s="13">
        <v>0</v>
      </c>
      <c r="K213" s="13">
        <v>1448</v>
      </c>
      <c r="L213" s="13">
        <v>0</v>
      </c>
      <c r="M213" s="13">
        <v>1448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5">
        <v>0</v>
      </c>
      <c r="T213" s="15">
        <v>0</v>
      </c>
      <c r="U213" s="15">
        <v>77.7</v>
      </c>
      <c r="V213" s="15">
        <v>0</v>
      </c>
      <c r="W213" s="15">
        <v>77.7</v>
      </c>
      <c r="X213" s="16">
        <v>0</v>
      </c>
      <c r="Y213" s="16">
        <v>0</v>
      </c>
      <c r="Z213" s="16">
        <v>13.2</v>
      </c>
      <c r="AA213" s="16">
        <v>0</v>
      </c>
      <c r="AB213" s="16">
        <v>13.2</v>
      </c>
      <c r="AC213" s="17">
        <v>0</v>
      </c>
      <c r="AD213" s="17">
        <v>0</v>
      </c>
      <c r="AE213" s="17">
        <v>897</v>
      </c>
      <c r="AF213" s="17">
        <v>0</v>
      </c>
      <c r="AG213" s="17">
        <v>897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9" t="s">
        <v>24</v>
      </c>
    </row>
    <row r="214" spans="1:39" x14ac:dyDescent="0.25">
      <c r="A214" s="10">
        <v>2016</v>
      </c>
      <c r="B214" s="11">
        <v>12615</v>
      </c>
      <c r="C214" s="12" t="s">
        <v>258</v>
      </c>
      <c r="D214" s="12" t="s">
        <v>200</v>
      </c>
      <c r="E214" s="22">
        <f t="shared" si="13"/>
        <v>8250</v>
      </c>
      <c r="F214" s="22" t="str">
        <f t="shared" si="14"/>
        <v/>
      </c>
      <c r="G214" s="22" t="str">
        <f t="shared" si="15"/>
        <v/>
      </c>
      <c r="H214" s="22" t="str">
        <f t="shared" si="16"/>
        <v/>
      </c>
      <c r="I214" s="13">
        <v>701</v>
      </c>
      <c r="J214" s="13">
        <v>63</v>
      </c>
      <c r="K214" s="13">
        <v>82</v>
      </c>
      <c r="L214" s="13">
        <v>0</v>
      </c>
      <c r="M214" s="13">
        <v>846</v>
      </c>
      <c r="N214" s="14">
        <v>148</v>
      </c>
      <c r="O214" s="14">
        <v>12</v>
      </c>
      <c r="P214" s="14">
        <v>18</v>
      </c>
      <c r="Q214" s="14">
        <v>0</v>
      </c>
      <c r="R214" s="14">
        <v>178</v>
      </c>
      <c r="S214" s="15">
        <v>4</v>
      </c>
      <c r="T214" s="15">
        <v>0</v>
      </c>
      <c r="U214" s="15">
        <v>0</v>
      </c>
      <c r="V214" s="15">
        <v>0</v>
      </c>
      <c r="W214" s="15">
        <v>4</v>
      </c>
      <c r="X214" s="16">
        <v>3</v>
      </c>
      <c r="Y214" s="16">
        <v>0</v>
      </c>
      <c r="Z214" s="16">
        <v>0</v>
      </c>
      <c r="AA214" s="16">
        <v>0</v>
      </c>
      <c r="AB214" s="16">
        <v>3</v>
      </c>
      <c r="AC214" s="17">
        <v>33</v>
      </c>
      <c r="AD214" s="17">
        <v>3</v>
      </c>
      <c r="AE214" s="17">
        <v>4</v>
      </c>
      <c r="AF214" s="17">
        <v>0</v>
      </c>
      <c r="AG214" s="17">
        <v>40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9">
        <v>0</v>
      </c>
    </row>
    <row r="215" spans="1:39" x14ac:dyDescent="0.25">
      <c r="A215" s="10">
        <v>2016</v>
      </c>
      <c r="B215" s="11">
        <v>12647</v>
      </c>
      <c r="C215" s="12" t="s">
        <v>259</v>
      </c>
      <c r="D215" s="12" t="s">
        <v>36</v>
      </c>
      <c r="E215" s="22">
        <f t="shared" si="13"/>
        <v>6720</v>
      </c>
      <c r="F215" s="22">
        <f t="shared" si="14"/>
        <v>17500</v>
      </c>
      <c r="G215" s="22">
        <f t="shared" si="15"/>
        <v>5370.1923076923076</v>
      </c>
      <c r="H215" s="22" t="str">
        <f t="shared" si="16"/>
        <v/>
      </c>
      <c r="I215" s="13">
        <v>7471</v>
      </c>
      <c r="J215" s="13">
        <v>536</v>
      </c>
      <c r="K215" s="13">
        <v>10</v>
      </c>
      <c r="L215" s="13">
        <v>0</v>
      </c>
      <c r="M215" s="13">
        <v>8017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5">
        <v>25</v>
      </c>
      <c r="T215" s="15">
        <v>4</v>
      </c>
      <c r="U215" s="15">
        <v>208</v>
      </c>
      <c r="V215" s="15">
        <v>0</v>
      </c>
      <c r="W215" s="15">
        <v>237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7">
        <v>168</v>
      </c>
      <c r="AD215" s="17">
        <v>70</v>
      </c>
      <c r="AE215" s="17">
        <v>1117</v>
      </c>
      <c r="AF215" s="17">
        <v>0</v>
      </c>
      <c r="AG215" s="17">
        <v>1355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9" t="s">
        <v>24</v>
      </c>
    </row>
    <row r="216" spans="1:39" x14ac:dyDescent="0.25">
      <c r="A216" s="10">
        <v>2016</v>
      </c>
      <c r="B216" s="11">
        <v>12660</v>
      </c>
      <c r="C216" s="12" t="s">
        <v>260</v>
      </c>
      <c r="D216" s="12" t="s">
        <v>102</v>
      </c>
      <c r="E216" s="22" t="str">
        <f t="shared" si="13"/>
        <v/>
      </c>
      <c r="F216" s="22" t="str">
        <f t="shared" si="14"/>
        <v/>
      </c>
      <c r="G216" s="22">
        <f t="shared" si="15"/>
        <v>17500</v>
      </c>
      <c r="H216" s="22" t="str">
        <f t="shared" si="16"/>
        <v/>
      </c>
      <c r="I216" s="13">
        <v>0</v>
      </c>
      <c r="J216" s="13">
        <v>0</v>
      </c>
      <c r="K216" s="13">
        <v>1</v>
      </c>
      <c r="L216" s="13">
        <v>0</v>
      </c>
      <c r="M216" s="13">
        <v>1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5">
        <v>0</v>
      </c>
      <c r="T216" s="15">
        <v>0</v>
      </c>
      <c r="U216" s="15">
        <v>0.4</v>
      </c>
      <c r="V216" s="15">
        <v>0</v>
      </c>
      <c r="W216" s="15">
        <v>0.4</v>
      </c>
      <c r="X216" s="16">
        <v>0</v>
      </c>
      <c r="Y216" s="16">
        <v>0</v>
      </c>
      <c r="Z216" s="16">
        <v>0.4</v>
      </c>
      <c r="AA216" s="16">
        <v>0</v>
      </c>
      <c r="AB216" s="16">
        <v>0.4</v>
      </c>
      <c r="AC216" s="17">
        <v>0</v>
      </c>
      <c r="AD216" s="17">
        <v>0</v>
      </c>
      <c r="AE216" s="17">
        <v>7</v>
      </c>
      <c r="AF216" s="17">
        <v>0</v>
      </c>
      <c r="AG216" s="17">
        <v>7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9">
        <v>0</v>
      </c>
    </row>
    <row r="217" spans="1:39" x14ac:dyDescent="0.25">
      <c r="A217" s="10">
        <v>2016</v>
      </c>
      <c r="B217" s="11">
        <v>12681</v>
      </c>
      <c r="C217" s="12" t="s">
        <v>261</v>
      </c>
      <c r="D217" s="12" t="s">
        <v>48</v>
      </c>
      <c r="E217" s="22" t="str">
        <f t="shared" si="13"/>
        <v/>
      </c>
      <c r="F217" s="22" t="str">
        <f t="shared" si="14"/>
        <v/>
      </c>
      <c r="G217" s="22">
        <f t="shared" si="15"/>
        <v>155000</v>
      </c>
      <c r="H217" s="22" t="str">
        <f t="shared" si="16"/>
        <v/>
      </c>
      <c r="I217" s="13">
        <v>0</v>
      </c>
      <c r="J217" s="13">
        <v>0</v>
      </c>
      <c r="K217" s="13">
        <v>728</v>
      </c>
      <c r="L217" s="13">
        <v>0</v>
      </c>
      <c r="M217" s="13">
        <v>728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5">
        <v>0</v>
      </c>
      <c r="T217" s="15">
        <v>0</v>
      </c>
      <c r="U217" s="15">
        <v>3</v>
      </c>
      <c r="V217" s="15">
        <v>0</v>
      </c>
      <c r="W217" s="15">
        <v>3</v>
      </c>
      <c r="X217" s="16">
        <v>0</v>
      </c>
      <c r="Y217" s="16">
        <v>0</v>
      </c>
      <c r="Z217" s="16">
        <v>2</v>
      </c>
      <c r="AA217" s="16">
        <v>0</v>
      </c>
      <c r="AB217" s="16">
        <v>2</v>
      </c>
      <c r="AC217" s="17">
        <v>0</v>
      </c>
      <c r="AD217" s="17">
        <v>0</v>
      </c>
      <c r="AE217" s="17">
        <v>350</v>
      </c>
      <c r="AF217" s="17">
        <v>0</v>
      </c>
      <c r="AG217" s="17">
        <v>350</v>
      </c>
      <c r="AH217" s="18">
        <v>0</v>
      </c>
      <c r="AI217" s="18">
        <v>0</v>
      </c>
      <c r="AJ217" s="18">
        <v>115</v>
      </c>
      <c r="AK217" s="18">
        <v>0</v>
      </c>
      <c r="AL217" s="18">
        <v>115</v>
      </c>
      <c r="AM217" s="19" t="s">
        <v>24</v>
      </c>
    </row>
    <row r="218" spans="1:39" x14ac:dyDescent="0.25">
      <c r="A218" s="10">
        <v>2016</v>
      </c>
      <c r="B218" s="11">
        <v>12686</v>
      </c>
      <c r="C218" s="12" t="s">
        <v>262</v>
      </c>
      <c r="D218" s="12" t="s">
        <v>263</v>
      </c>
      <c r="E218" s="22" t="str">
        <f t="shared" si="13"/>
        <v/>
      </c>
      <c r="F218" s="22">
        <f t="shared" si="14"/>
        <v>18720</v>
      </c>
      <c r="G218" s="22">
        <f t="shared" si="15"/>
        <v>10586.158192090395</v>
      </c>
      <c r="H218" s="22" t="str">
        <f t="shared" si="16"/>
        <v/>
      </c>
      <c r="I218" s="13">
        <v>0</v>
      </c>
      <c r="J218" s="13">
        <v>7</v>
      </c>
      <c r="K218" s="13">
        <v>12</v>
      </c>
      <c r="L218" s="13">
        <v>0</v>
      </c>
      <c r="M218" s="13">
        <v>19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5">
        <v>0</v>
      </c>
      <c r="T218" s="15">
        <v>25</v>
      </c>
      <c r="U218" s="15">
        <v>141.6</v>
      </c>
      <c r="V218" s="15">
        <v>0</v>
      </c>
      <c r="W218" s="15">
        <v>166.6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7">
        <v>0</v>
      </c>
      <c r="AD218" s="17">
        <v>468</v>
      </c>
      <c r="AE218" s="17">
        <v>1499</v>
      </c>
      <c r="AF218" s="17">
        <v>0</v>
      </c>
      <c r="AG218" s="17">
        <v>1967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9" t="s">
        <v>24</v>
      </c>
    </row>
    <row r="219" spans="1:39" x14ac:dyDescent="0.25">
      <c r="A219" s="10">
        <v>2016</v>
      </c>
      <c r="B219" s="11">
        <v>12698</v>
      </c>
      <c r="C219" s="12" t="s">
        <v>264</v>
      </c>
      <c r="D219" s="12" t="s">
        <v>112</v>
      </c>
      <c r="E219" s="22">
        <f t="shared" si="13"/>
        <v>58833.333333333336</v>
      </c>
      <c r="F219" s="22">
        <f t="shared" si="14"/>
        <v>52857.142857142855</v>
      </c>
      <c r="G219" s="22" t="str">
        <f t="shared" si="15"/>
        <v/>
      </c>
      <c r="H219" s="22" t="str">
        <f t="shared" si="16"/>
        <v/>
      </c>
      <c r="I219" s="13">
        <v>19260</v>
      </c>
      <c r="J219" s="13">
        <v>429</v>
      </c>
      <c r="K219" s="13">
        <v>0</v>
      </c>
      <c r="L219" s="13">
        <v>0</v>
      </c>
      <c r="M219" s="13">
        <v>19689</v>
      </c>
      <c r="N219" s="14">
        <v>1186</v>
      </c>
      <c r="O219" s="14">
        <v>3</v>
      </c>
      <c r="P219" s="14">
        <v>0</v>
      </c>
      <c r="Q219" s="14">
        <v>0</v>
      </c>
      <c r="R219" s="14">
        <v>1189</v>
      </c>
      <c r="S219" s="15">
        <v>24</v>
      </c>
      <c r="T219" s="15">
        <v>21</v>
      </c>
      <c r="U219" s="15">
        <v>0</v>
      </c>
      <c r="V219" s="15">
        <v>0</v>
      </c>
      <c r="W219" s="15">
        <v>45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7">
        <v>0</v>
      </c>
      <c r="AD219" s="17">
        <v>693</v>
      </c>
      <c r="AE219" s="17">
        <v>0</v>
      </c>
      <c r="AF219" s="17">
        <v>0</v>
      </c>
      <c r="AG219" s="17">
        <v>693</v>
      </c>
      <c r="AH219" s="18">
        <v>1412</v>
      </c>
      <c r="AI219" s="18">
        <v>417</v>
      </c>
      <c r="AJ219" s="18">
        <v>0</v>
      </c>
      <c r="AK219" s="18">
        <v>0</v>
      </c>
      <c r="AL219" s="18">
        <v>1829</v>
      </c>
      <c r="AM219" s="19">
        <v>0</v>
      </c>
    </row>
    <row r="220" spans="1:39" x14ac:dyDescent="0.25">
      <c r="A220" s="10">
        <v>2016</v>
      </c>
      <c r="B220" s="11">
        <v>12745</v>
      </c>
      <c r="C220" s="12" t="s">
        <v>265</v>
      </c>
      <c r="D220" s="12" t="s">
        <v>42</v>
      </c>
      <c r="E220" s="22">
        <f t="shared" si="13"/>
        <v>30888.888888888891</v>
      </c>
      <c r="F220" s="22">
        <f t="shared" si="14"/>
        <v>46000</v>
      </c>
      <c r="G220" s="22">
        <f t="shared" si="15"/>
        <v>19665.071770334929</v>
      </c>
      <c r="H220" s="22" t="str">
        <f t="shared" si="16"/>
        <v/>
      </c>
      <c r="I220" s="13">
        <v>12338</v>
      </c>
      <c r="J220" s="13">
        <v>67</v>
      </c>
      <c r="K220" s="13">
        <v>9</v>
      </c>
      <c r="L220" s="13">
        <v>0</v>
      </c>
      <c r="M220" s="13">
        <v>12414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5">
        <v>9</v>
      </c>
      <c r="T220" s="15">
        <v>1</v>
      </c>
      <c r="U220" s="15">
        <v>20.9</v>
      </c>
      <c r="V220" s="15">
        <v>0</v>
      </c>
      <c r="W220" s="15">
        <v>30.9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7">
        <v>245</v>
      </c>
      <c r="AD220" s="17">
        <v>15</v>
      </c>
      <c r="AE220" s="17">
        <v>380</v>
      </c>
      <c r="AF220" s="17">
        <v>0</v>
      </c>
      <c r="AG220" s="17">
        <v>640</v>
      </c>
      <c r="AH220" s="18">
        <v>33</v>
      </c>
      <c r="AI220" s="18">
        <v>31</v>
      </c>
      <c r="AJ220" s="18">
        <v>31</v>
      </c>
      <c r="AK220" s="18">
        <v>0</v>
      </c>
      <c r="AL220" s="18">
        <v>95</v>
      </c>
      <c r="AM220" s="19" t="s">
        <v>24</v>
      </c>
    </row>
    <row r="221" spans="1:39" x14ac:dyDescent="0.25">
      <c r="A221" s="10">
        <v>2016</v>
      </c>
      <c r="B221" s="11">
        <v>12796</v>
      </c>
      <c r="C221" s="12" t="s">
        <v>266</v>
      </c>
      <c r="D221" s="12" t="s">
        <v>44</v>
      </c>
      <c r="E221" s="22" t="str">
        <f t="shared" si="13"/>
        <v/>
      </c>
      <c r="F221" s="22" t="str">
        <f t="shared" si="14"/>
        <v/>
      </c>
      <c r="G221" s="22">
        <f t="shared" si="15"/>
        <v>0</v>
      </c>
      <c r="H221" s="22" t="str">
        <f t="shared" si="16"/>
        <v/>
      </c>
      <c r="I221" s="13">
        <v>0</v>
      </c>
      <c r="J221" s="13">
        <v>0</v>
      </c>
      <c r="K221" s="13">
        <v>1</v>
      </c>
      <c r="L221" s="13">
        <v>0</v>
      </c>
      <c r="M221" s="13">
        <v>1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5">
        <v>0</v>
      </c>
      <c r="T221" s="15">
        <v>0</v>
      </c>
      <c r="U221" s="15">
        <v>50</v>
      </c>
      <c r="V221" s="15">
        <v>0</v>
      </c>
      <c r="W221" s="15">
        <v>50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9" t="s">
        <v>24</v>
      </c>
    </row>
    <row r="222" spans="1:39" x14ac:dyDescent="0.25">
      <c r="A222" s="10">
        <v>2016</v>
      </c>
      <c r="B222" s="11">
        <v>12894</v>
      </c>
      <c r="C222" s="12" t="s">
        <v>267</v>
      </c>
      <c r="D222" s="12" t="s">
        <v>36</v>
      </c>
      <c r="E222" s="22">
        <f t="shared" si="13"/>
        <v>24545.454545454544</v>
      </c>
      <c r="F222" s="22">
        <f t="shared" si="14"/>
        <v>15142.857142857143</v>
      </c>
      <c r="G222" s="22" t="str">
        <f t="shared" si="15"/>
        <v/>
      </c>
      <c r="H222" s="22" t="str">
        <f t="shared" si="16"/>
        <v/>
      </c>
      <c r="I222" s="13">
        <v>2238</v>
      </c>
      <c r="J222" s="13">
        <v>60</v>
      </c>
      <c r="K222" s="13">
        <v>0</v>
      </c>
      <c r="L222" s="13">
        <v>0</v>
      </c>
      <c r="M222" s="13">
        <v>2298</v>
      </c>
      <c r="N222" s="14">
        <v>531</v>
      </c>
      <c r="O222" s="14">
        <v>173</v>
      </c>
      <c r="P222" s="14">
        <v>0</v>
      </c>
      <c r="Q222" s="14">
        <v>0</v>
      </c>
      <c r="R222" s="14">
        <v>704</v>
      </c>
      <c r="S222" s="15">
        <v>11</v>
      </c>
      <c r="T222" s="15">
        <v>7</v>
      </c>
      <c r="U222" s="15">
        <v>0</v>
      </c>
      <c r="V222" s="15">
        <v>0</v>
      </c>
      <c r="W222" s="15">
        <v>18</v>
      </c>
      <c r="X222" s="16">
        <v>9</v>
      </c>
      <c r="Y222" s="16">
        <v>3</v>
      </c>
      <c r="Z222" s="16">
        <v>0</v>
      </c>
      <c r="AA222" s="16">
        <v>0</v>
      </c>
      <c r="AB222" s="16">
        <v>12</v>
      </c>
      <c r="AC222" s="17">
        <v>156</v>
      </c>
      <c r="AD222" s="17">
        <v>106</v>
      </c>
      <c r="AE222" s="17">
        <v>0</v>
      </c>
      <c r="AF222" s="17">
        <v>0</v>
      </c>
      <c r="AG222" s="17">
        <v>262</v>
      </c>
      <c r="AH222" s="18">
        <v>114</v>
      </c>
      <c r="AI222" s="18">
        <v>0</v>
      </c>
      <c r="AJ222" s="18">
        <v>0</v>
      </c>
      <c r="AK222" s="18">
        <v>0</v>
      </c>
      <c r="AL222" s="18">
        <v>114</v>
      </c>
      <c r="AM222" s="19">
        <v>257</v>
      </c>
    </row>
    <row r="223" spans="1:39" x14ac:dyDescent="0.25">
      <c r="A223" s="10">
        <v>2016</v>
      </c>
      <c r="B223" s="11">
        <v>12900</v>
      </c>
      <c r="C223" s="12" t="s">
        <v>268</v>
      </c>
      <c r="D223" s="12" t="s">
        <v>36</v>
      </c>
      <c r="E223" s="22" t="str">
        <f t="shared" si="13"/>
        <v/>
      </c>
      <c r="F223" s="22">
        <f t="shared" si="14"/>
        <v>15000</v>
      </c>
      <c r="G223" s="22" t="str">
        <f t="shared" si="15"/>
        <v/>
      </c>
      <c r="H223" s="22" t="str">
        <f t="shared" si="16"/>
        <v/>
      </c>
      <c r="I223" s="13">
        <v>0</v>
      </c>
      <c r="J223" s="13">
        <v>1</v>
      </c>
      <c r="K223" s="13">
        <v>0</v>
      </c>
      <c r="L223" s="13">
        <v>0</v>
      </c>
      <c r="M223" s="13">
        <v>1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5">
        <v>0</v>
      </c>
      <c r="T223" s="15">
        <v>0.2</v>
      </c>
      <c r="U223" s="15">
        <v>0</v>
      </c>
      <c r="V223" s="15">
        <v>0</v>
      </c>
      <c r="W223" s="15">
        <v>0.2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7">
        <v>0</v>
      </c>
      <c r="AD223" s="17">
        <v>2</v>
      </c>
      <c r="AE223" s="17">
        <v>0</v>
      </c>
      <c r="AF223" s="17">
        <v>0</v>
      </c>
      <c r="AG223" s="17">
        <v>2</v>
      </c>
      <c r="AH223" s="18">
        <v>0</v>
      </c>
      <c r="AI223" s="18">
        <v>1</v>
      </c>
      <c r="AJ223" s="18">
        <v>0</v>
      </c>
      <c r="AK223" s="18">
        <v>0</v>
      </c>
      <c r="AL223" s="18">
        <v>1</v>
      </c>
      <c r="AM223" s="19">
        <v>0</v>
      </c>
    </row>
    <row r="224" spans="1:39" x14ac:dyDescent="0.25">
      <c r="A224" s="10">
        <v>2016</v>
      </c>
      <c r="B224" s="11">
        <v>12915</v>
      </c>
      <c r="C224" s="12" t="s">
        <v>269</v>
      </c>
      <c r="D224" s="12" t="s">
        <v>66</v>
      </c>
      <c r="E224" s="22">
        <f t="shared" si="13"/>
        <v>179166.66666666666</v>
      </c>
      <c r="F224" s="22" t="str">
        <f t="shared" si="14"/>
        <v/>
      </c>
      <c r="G224" s="22" t="str">
        <f t="shared" si="15"/>
        <v/>
      </c>
      <c r="H224" s="22" t="str">
        <f t="shared" si="16"/>
        <v/>
      </c>
      <c r="I224" s="13">
        <v>469</v>
      </c>
      <c r="J224" s="13">
        <v>0</v>
      </c>
      <c r="K224" s="13">
        <v>0</v>
      </c>
      <c r="L224" s="13">
        <v>0</v>
      </c>
      <c r="M224" s="13">
        <v>469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5">
        <v>6</v>
      </c>
      <c r="T224" s="15">
        <v>0</v>
      </c>
      <c r="U224" s="15">
        <v>0</v>
      </c>
      <c r="V224" s="15">
        <v>0</v>
      </c>
      <c r="W224" s="15">
        <v>6</v>
      </c>
      <c r="X224" s="16">
        <v>6</v>
      </c>
      <c r="Y224" s="16">
        <v>0</v>
      </c>
      <c r="Z224" s="16">
        <v>0</v>
      </c>
      <c r="AA224" s="16">
        <v>0</v>
      </c>
      <c r="AB224" s="16">
        <v>6</v>
      </c>
      <c r="AC224" s="17">
        <v>1075</v>
      </c>
      <c r="AD224" s="17">
        <v>0</v>
      </c>
      <c r="AE224" s="17">
        <v>0</v>
      </c>
      <c r="AF224" s="17">
        <v>0</v>
      </c>
      <c r="AG224" s="17">
        <v>1075</v>
      </c>
      <c r="AH224" s="18">
        <v>0</v>
      </c>
      <c r="AI224" s="18">
        <v>0</v>
      </c>
      <c r="AJ224" s="18">
        <v>0</v>
      </c>
      <c r="AK224" s="18">
        <v>0</v>
      </c>
      <c r="AL224" s="18">
        <v>0</v>
      </c>
      <c r="AM224" s="19">
        <v>17</v>
      </c>
    </row>
    <row r="225" spans="1:39" x14ac:dyDescent="0.25">
      <c r="A225" s="10">
        <v>2016</v>
      </c>
      <c r="B225" s="11">
        <v>13058</v>
      </c>
      <c r="C225" s="12" t="s">
        <v>270</v>
      </c>
      <c r="D225" s="12" t="s">
        <v>110</v>
      </c>
      <c r="E225" s="22">
        <f t="shared" si="13"/>
        <v>11200</v>
      </c>
      <c r="F225" s="22">
        <f t="shared" si="14"/>
        <v>3000</v>
      </c>
      <c r="G225" s="22" t="str">
        <f t="shared" si="15"/>
        <v/>
      </c>
      <c r="H225" s="22" t="str">
        <f t="shared" si="16"/>
        <v/>
      </c>
      <c r="I225" s="13">
        <v>1686</v>
      </c>
      <c r="J225" s="13">
        <v>66</v>
      </c>
      <c r="K225" s="13">
        <v>0</v>
      </c>
      <c r="L225" s="13">
        <v>0</v>
      </c>
      <c r="M225" s="13">
        <v>1752</v>
      </c>
      <c r="N225" s="14">
        <v>19</v>
      </c>
      <c r="O225" s="14">
        <v>1</v>
      </c>
      <c r="P225" s="14">
        <v>0</v>
      </c>
      <c r="Q225" s="14">
        <v>0</v>
      </c>
      <c r="R225" s="14">
        <v>20</v>
      </c>
      <c r="S225" s="15">
        <v>5</v>
      </c>
      <c r="T225" s="15">
        <v>1</v>
      </c>
      <c r="U225" s="15">
        <v>0</v>
      </c>
      <c r="V225" s="15">
        <v>0</v>
      </c>
      <c r="W225" s="15">
        <v>6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7">
        <v>9</v>
      </c>
      <c r="AD225" s="17">
        <v>1</v>
      </c>
      <c r="AE225" s="17">
        <v>0</v>
      </c>
      <c r="AF225" s="17">
        <v>0</v>
      </c>
      <c r="AG225" s="17">
        <v>10</v>
      </c>
      <c r="AH225" s="18">
        <v>47</v>
      </c>
      <c r="AI225" s="18">
        <v>2</v>
      </c>
      <c r="AJ225" s="18">
        <v>0</v>
      </c>
      <c r="AK225" s="18">
        <v>0</v>
      </c>
      <c r="AL225" s="18">
        <v>49</v>
      </c>
      <c r="AM225" s="19" t="s">
        <v>24</v>
      </c>
    </row>
    <row r="226" spans="1:39" x14ac:dyDescent="0.25">
      <c r="A226" s="10">
        <v>2016</v>
      </c>
      <c r="B226" s="11">
        <v>13337</v>
      </c>
      <c r="C226" s="12" t="s">
        <v>271</v>
      </c>
      <c r="D226" s="12" t="s">
        <v>72</v>
      </c>
      <c r="E226" s="22" t="str">
        <f t="shared" si="13"/>
        <v/>
      </c>
      <c r="F226" s="22">
        <f t="shared" si="14"/>
        <v>64285.714285714283</v>
      </c>
      <c r="G226" s="22">
        <f t="shared" si="15"/>
        <v>15000</v>
      </c>
      <c r="H226" s="22" t="str">
        <f t="shared" si="16"/>
        <v/>
      </c>
      <c r="I226" s="13">
        <v>0</v>
      </c>
      <c r="J226" s="13">
        <v>308</v>
      </c>
      <c r="K226" s="13">
        <v>5</v>
      </c>
      <c r="L226" s="13">
        <v>0</v>
      </c>
      <c r="M226" s="13">
        <v>313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5">
        <v>0</v>
      </c>
      <c r="T226" s="15">
        <v>7</v>
      </c>
      <c r="U226" s="15">
        <v>60</v>
      </c>
      <c r="V226" s="15">
        <v>0</v>
      </c>
      <c r="W226" s="15">
        <v>67</v>
      </c>
      <c r="X226" s="16">
        <v>0</v>
      </c>
      <c r="Y226" s="16">
        <v>5</v>
      </c>
      <c r="Z226" s="16">
        <v>55</v>
      </c>
      <c r="AA226" s="16">
        <v>0</v>
      </c>
      <c r="AB226" s="16">
        <v>60</v>
      </c>
      <c r="AC226" s="17">
        <v>0</v>
      </c>
      <c r="AD226" s="17">
        <v>410</v>
      </c>
      <c r="AE226" s="17">
        <v>900</v>
      </c>
      <c r="AF226" s="17">
        <v>0</v>
      </c>
      <c r="AG226" s="17">
        <v>1310</v>
      </c>
      <c r="AH226" s="18">
        <v>0</v>
      </c>
      <c r="AI226" s="18">
        <v>40</v>
      </c>
      <c r="AJ226" s="18">
        <v>0</v>
      </c>
      <c r="AK226" s="18">
        <v>0</v>
      </c>
      <c r="AL226" s="18">
        <v>40</v>
      </c>
      <c r="AM226" s="19" t="s">
        <v>24</v>
      </c>
    </row>
    <row r="227" spans="1:39" x14ac:dyDescent="0.25">
      <c r="A227" s="10">
        <v>2016</v>
      </c>
      <c r="B227" s="11">
        <v>13407</v>
      </c>
      <c r="C227" s="12" t="s">
        <v>272</v>
      </c>
      <c r="D227" s="12" t="s">
        <v>273</v>
      </c>
      <c r="E227" s="22">
        <f t="shared" si="13"/>
        <v>54555.555555555555</v>
      </c>
      <c r="F227" s="22">
        <f t="shared" si="14"/>
        <v>130664.20664206642</v>
      </c>
      <c r="G227" s="22" t="str">
        <f t="shared" si="15"/>
        <v/>
      </c>
      <c r="H227" s="22" t="str">
        <f t="shared" si="16"/>
        <v/>
      </c>
      <c r="I227" s="13">
        <v>74452</v>
      </c>
      <c r="J227" s="13">
        <v>1878</v>
      </c>
      <c r="K227" s="13">
        <v>0</v>
      </c>
      <c r="L227" s="13">
        <v>0</v>
      </c>
      <c r="M227" s="13">
        <v>76330</v>
      </c>
      <c r="N227" s="14">
        <v>21996</v>
      </c>
      <c r="O227" s="14">
        <v>4148</v>
      </c>
      <c r="P227" s="14">
        <v>0</v>
      </c>
      <c r="Q227" s="14">
        <v>0</v>
      </c>
      <c r="R227" s="14">
        <v>26144</v>
      </c>
      <c r="S227" s="15">
        <v>189</v>
      </c>
      <c r="T227" s="15">
        <v>27.1</v>
      </c>
      <c r="U227" s="15">
        <v>0</v>
      </c>
      <c r="V227" s="15">
        <v>0</v>
      </c>
      <c r="W227" s="15">
        <v>216.1</v>
      </c>
      <c r="X227" s="16">
        <v>122.3</v>
      </c>
      <c r="Y227" s="16">
        <v>13</v>
      </c>
      <c r="Z227" s="16">
        <v>0</v>
      </c>
      <c r="AA227" s="16">
        <v>0</v>
      </c>
      <c r="AB227" s="16">
        <v>135.30000000000001</v>
      </c>
      <c r="AC227" s="17">
        <v>1585</v>
      </c>
      <c r="AD227" s="17">
        <v>743</v>
      </c>
      <c r="AE227" s="17">
        <v>0</v>
      </c>
      <c r="AF227" s="17">
        <v>0</v>
      </c>
      <c r="AG227" s="17">
        <v>2328</v>
      </c>
      <c r="AH227" s="18">
        <v>8726</v>
      </c>
      <c r="AI227" s="18">
        <v>2798</v>
      </c>
      <c r="AJ227" s="18">
        <v>0</v>
      </c>
      <c r="AK227" s="18">
        <v>0</v>
      </c>
      <c r="AL227" s="18">
        <v>11524</v>
      </c>
      <c r="AM227" s="19" t="s">
        <v>24</v>
      </c>
    </row>
    <row r="228" spans="1:39" x14ac:dyDescent="0.25">
      <c r="A228" s="10">
        <v>2016</v>
      </c>
      <c r="B228" s="11">
        <v>13478</v>
      </c>
      <c r="C228" s="12" t="s">
        <v>274</v>
      </c>
      <c r="D228" s="12" t="s">
        <v>275</v>
      </c>
      <c r="E228" s="22">
        <f t="shared" si="13"/>
        <v>62714.285714285717</v>
      </c>
      <c r="F228" s="22" t="str">
        <f t="shared" si="14"/>
        <v/>
      </c>
      <c r="G228" s="22" t="str">
        <f t="shared" si="15"/>
        <v/>
      </c>
      <c r="H228" s="22" t="str">
        <f t="shared" si="16"/>
        <v/>
      </c>
      <c r="I228" s="13">
        <v>318</v>
      </c>
      <c r="J228" s="13">
        <v>0</v>
      </c>
      <c r="K228" s="13">
        <v>0</v>
      </c>
      <c r="L228" s="13">
        <v>0</v>
      </c>
      <c r="M228" s="13">
        <v>318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5">
        <v>7</v>
      </c>
      <c r="T228" s="15">
        <v>0</v>
      </c>
      <c r="U228" s="15">
        <v>0</v>
      </c>
      <c r="V228" s="15">
        <v>0</v>
      </c>
      <c r="W228" s="15">
        <v>7</v>
      </c>
      <c r="X228" s="16">
        <v>7</v>
      </c>
      <c r="Y228" s="16">
        <v>0</v>
      </c>
      <c r="Z228" s="16">
        <v>0</v>
      </c>
      <c r="AA228" s="16">
        <v>0</v>
      </c>
      <c r="AB228" s="16">
        <v>7</v>
      </c>
      <c r="AC228" s="17">
        <v>13</v>
      </c>
      <c r="AD228" s="17">
        <v>0</v>
      </c>
      <c r="AE228" s="17">
        <v>0</v>
      </c>
      <c r="AF228" s="17">
        <v>0</v>
      </c>
      <c r="AG228" s="17">
        <v>13</v>
      </c>
      <c r="AH228" s="18">
        <v>426</v>
      </c>
      <c r="AI228" s="18">
        <v>0</v>
      </c>
      <c r="AJ228" s="18">
        <v>0</v>
      </c>
      <c r="AK228" s="18">
        <v>0</v>
      </c>
      <c r="AL228" s="18">
        <v>426</v>
      </c>
      <c r="AM228" s="19" t="s">
        <v>24</v>
      </c>
    </row>
    <row r="229" spans="1:39" x14ac:dyDescent="0.25">
      <c r="A229" s="10">
        <v>2016</v>
      </c>
      <c r="B229" s="11">
        <v>13480</v>
      </c>
      <c r="C229" s="12" t="s">
        <v>276</v>
      </c>
      <c r="D229" s="12" t="s">
        <v>36</v>
      </c>
      <c r="E229" s="22" t="str">
        <f t="shared" si="13"/>
        <v/>
      </c>
      <c r="F229" s="22" t="str">
        <f t="shared" si="14"/>
        <v/>
      </c>
      <c r="G229" s="22" t="str">
        <f t="shared" si="15"/>
        <v/>
      </c>
      <c r="H229" s="22" t="str">
        <f t="shared" si="16"/>
        <v/>
      </c>
      <c r="I229" s="13">
        <v>862</v>
      </c>
      <c r="J229" s="13">
        <v>3</v>
      </c>
      <c r="K229" s="13">
        <v>0</v>
      </c>
      <c r="L229" s="13">
        <v>0</v>
      </c>
      <c r="M229" s="13">
        <v>865</v>
      </c>
      <c r="N229" s="14">
        <v>7</v>
      </c>
      <c r="O229" s="14">
        <v>0</v>
      </c>
      <c r="P229" s="14">
        <v>0</v>
      </c>
      <c r="Q229" s="14">
        <v>0</v>
      </c>
      <c r="R229" s="14">
        <v>7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7">
        <v>18</v>
      </c>
      <c r="AD229" s="17">
        <v>1</v>
      </c>
      <c r="AE229" s="17">
        <v>0</v>
      </c>
      <c r="AF229" s="17">
        <v>0</v>
      </c>
      <c r="AG229" s="17">
        <v>19</v>
      </c>
      <c r="AH229" s="18">
        <v>1</v>
      </c>
      <c r="AI229" s="18">
        <v>1</v>
      </c>
      <c r="AJ229" s="18">
        <v>0</v>
      </c>
      <c r="AK229" s="18">
        <v>0</v>
      </c>
      <c r="AL229" s="18">
        <v>2</v>
      </c>
      <c r="AM229" s="19">
        <v>0</v>
      </c>
    </row>
    <row r="230" spans="1:39" x14ac:dyDescent="0.25">
      <c r="A230" s="10">
        <v>2016</v>
      </c>
      <c r="B230" s="11">
        <v>13485</v>
      </c>
      <c r="C230" s="12" t="s">
        <v>277</v>
      </c>
      <c r="D230" s="12" t="s">
        <v>99</v>
      </c>
      <c r="E230" s="22">
        <f t="shared" si="13"/>
        <v>50000</v>
      </c>
      <c r="F230" s="22" t="str">
        <f t="shared" si="14"/>
        <v/>
      </c>
      <c r="G230" s="22" t="str">
        <f t="shared" si="15"/>
        <v/>
      </c>
      <c r="H230" s="22" t="str">
        <f t="shared" si="16"/>
        <v/>
      </c>
      <c r="I230" s="13">
        <v>3149</v>
      </c>
      <c r="J230" s="13">
        <v>0</v>
      </c>
      <c r="K230" s="13">
        <v>0</v>
      </c>
      <c r="L230" s="13">
        <v>0</v>
      </c>
      <c r="M230" s="13">
        <v>3149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5">
        <v>4</v>
      </c>
      <c r="T230" s="15">
        <v>0</v>
      </c>
      <c r="U230" s="15">
        <v>0</v>
      </c>
      <c r="V230" s="15">
        <v>0</v>
      </c>
      <c r="W230" s="15">
        <v>4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7">
        <v>200</v>
      </c>
      <c r="AD230" s="17">
        <v>0</v>
      </c>
      <c r="AE230" s="17">
        <v>0</v>
      </c>
      <c r="AF230" s="17">
        <v>0</v>
      </c>
      <c r="AG230" s="17">
        <v>200</v>
      </c>
      <c r="AH230" s="18">
        <v>0</v>
      </c>
      <c r="AI230" s="18">
        <v>0</v>
      </c>
      <c r="AJ230" s="18">
        <v>0</v>
      </c>
      <c r="AK230" s="18">
        <v>0</v>
      </c>
      <c r="AL230" s="18">
        <v>0</v>
      </c>
      <c r="AM230" s="19" t="s">
        <v>24</v>
      </c>
    </row>
    <row r="231" spans="1:39" x14ac:dyDescent="0.25">
      <c r="A231" s="10">
        <v>2016</v>
      </c>
      <c r="B231" s="11">
        <v>13511</v>
      </c>
      <c r="C231" s="12" t="s">
        <v>278</v>
      </c>
      <c r="D231" s="12" t="s">
        <v>88</v>
      </c>
      <c r="E231" s="22" t="str">
        <f t="shared" si="13"/>
        <v/>
      </c>
      <c r="F231" s="22">
        <f t="shared" si="14"/>
        <v>722.89156626506031</v>
      </c>
      <c r="G231" s="22">
        <f t="shared" si="15"/>
        <v>23876.651982378855</v>
      </c>
      <c r="H231" s="22" t="str">
        <f t="shared" si="16"/>
        <v/>
      </c>
      <c r="I231" s="13">
        <v>0</v>
      </c>
      <c r="J231" s="13">
        <v>46</v>
      </c>
      <c r="K231" s="13">
        <v>11</v>
      </c>
      <c r="L231" s="13">
        <v>0</v>
      </c>
      <c r="M231" s="13">
        <v>57</v>
      </c>
      <c r="N231" s="14">
        <v>0</v>
      </c>
      <c r="O231" s="14">
        <v>14</v>
      </c>
      <c r="P231" s="14">
        <v>220</v>
      </c>
      <c r="Q231" s="14">
        <v>0</v>
      </c>
      <c r="R231" s="14">
        <v>234</v>
      </c>
      <c r="S231" s="15">
        <v>0</v>
      </c>
      <c r="T231" s="15">
        <v>24.9</v>
      </c>
      <c r="U231" s="15">
        <v>45.4</v>
      </c>
      <c r="V231" s="15">
        <v>0</v>
      </c>
      <c r="W231" s="15">
        <v>70.3</v>
      </c>
      <c r="X231" s="16">
        <v>0</v>
      </c>
      <c r="Y231" s="16">
        <v>3.4</v>
      </c>
      <c r="Z231" s="16">
        <v>44.9</v>
      </c>
      <c r="AA231" s="16">
        <v>0</v>
      </c>
      <c r="AB231" s="16">
        <v>48.3</v>
      </c>
      <c r="AC231" s="17">
        <v>0</v>
      </c>
      <c r="AD231" s="17">
        <v>15</v>
      </c>
      <c r="AE231" s="17">
        <v>995</v>
      </c>
      <c r="AF231" s="17">
        <v>0</v>
      </c>
      <c r="AG231" s="17">
        <v>1010</v>
      </c>
      <c r="AH231" s="18">
        <v>0</v>
      </c>
      <c r="AI231" s="18">
        <v>3</v>
      </c>
      <c r="AJ231" s="18">
        <v>89</v>
      </c>
      <c r="AK231" s="18">
        <v>0</v>
      </c>
      <c r="AL231" s="18">
        <v>92</v>
      </c>
      <c r="AM231" s="19" t="s">
        <v>24</v>
      </c>
    </row>
    <row r="232" spans="1:39" x14ac:dyDescent="0.25">
      <c r="A232" s="10">
        <v>2016</v>
      </c>
      <c r="B232" s="11">
        <v>13573</v>
      </c>
      <c r="C232" s="12" t="s">
        <v>279</v>
      </c>
      <c r="D232" s="12" t="s">
        <v>88</v>
      </c>
      <c r="E232" s="22">
        <f t="shared" si="13"/>
        <v>696666.66666666674</v>
      </c>
      <c r="F232" s="22">
        <f t="shared" si="14"/>
        <v>3783.7837837837842</v>
      </c>
      <c r="G232" s="22">
        <f t="shared" si="15"/>
        <v>3689.4315146890494</v>
      </c>
      <c r="H232" s="22" t="str">
        <f t="shared" si="16"/>
        <v/>
      </c>
      <c r="I232" s="13">
        <v>750</v>
      </c>
      <c r="J232" s="13">
        <v>104</v>
      </c>
      <c r="K232" s="13">
        <v>40</v>
      </c>
      <c r="L232" s="13">
        <v>0</v>
      </c>
      <c r="M232" s="13">
        <v>894</v>
      </c>
      <c r="N232" s="14">
        <v>3</v>
      </c>
      <c r="O232" s="14">
        <v>755</v>
      </c>
      <c r="P232" s="14">
        <v>8387</v>
      </c>
      <c r="Q232" s="14">
        <v>0</v>
      </c>
      <c r="R232" s="14">
        <v>9145</v>
      </c>
      <c r="S232" s="15">
        <v>0.6</v>
      </c>
      <c r="T232" s="15">
        <v>51.8</v>
      </c>
      <c r="U232" s="15">
        <v>524.20000000000005</v>
      </c>
      <c r="V232" s="15">
        <v>0</v>
      </c>
      <c r="W232" s="15">
        <v>576.6</v>
      </c>
      <c r="X232" s="16">
        <v>0.6</v>
      </c>
      <c r="Y232" s="16">
        <v>51.8</v>
      </c>
      <c r="Z232" s="16">
        <v>524.20000000000005</v>
      </c>
      <c r="AA232" s="16">
        <v>0</v>
      </c>
      <c r="AB232" s="16">
        <v>576.6</v>
      </c>
      <c r="AC232" s="17">
        <v>59</v>
      </c>
      <c r="AD232" s="17">
        <v>191</v>
      </c>
      <c r="AE232" s="17">
        <v>1929</v>
      </c>
      <c r="AF232" s="17">
        <v>0</v>
      </c>
      <c r="AG232" s="17">
        <v>2179</v>
      </c>
      <c r="AH232" s="18">
        <v>359</v>
      </c>
      <c r="AI232" s="18">
        <v>5</v>
      </c>
      <c r="AJ232" s="18">
        <v>5</v>
      </c>
      <c r="AK232" s="18">
        <v>0</v>
      </c>
      <c r="AL232" s="18">
        <v>369</v>
      </c>
      <c r="AM232" s="19" t="s">
        <v>24</v>
      </c>
    </row>
    <row r="233" spans="1:39" x14ac:dyDescent="0.25">
      <c r="A233" s="10">
        <v>2016</v>
      </c>
      <c r="B233" s="11">
        <v>13610</v>
      </c>
      <c r="C233" s="12" t="s">
        <v>280</v>
      </c>
      <c r="D233" s="12" t="s">
        <v>72</v>
      </c>
      <c r="E233" s="22" t="str">
        <f t="shared" si="13"/>
        <v/>
      </c>
      <c r="F233" s="22" t="str">
        <f t="shared" si="14"/>
        <v/>
      </c>
      <c r="G233" s="22">
        <f t="shared" si="15"/>
        <v>470.58823529411762</v>
      </c>
      <c r="H233" s="22" t="str">
        <f t="shared" si="16"/>
        <v/>
      </c>
      <c r="I233" s="13">
        <v>0</v>
      </c>
      <c r="J233" s="13">
        <v>0</v>
      </c>
      <c r="K233" s="13">
        <v>717</v>
      </c>
      <c r="L233" s="13">
        <v>0</v>
      </c>
      <c r="M233" s="13">
        <v>717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5">
        <v>0</v>
      </c>
      <c r="T233" s="15">
        <v>0</v>
      </c>
      <c r="U233" s="15">
        <v>8.5</v>
      </c>
      <c r="V233" s="15">
        <v>0</v>
      </c>
      <c r="W233" s="15">
        <v>8.5</v>
      </c>
      <c r="X233" s="16">
        <v>0</v>
      </c>
      <c r="Y233" s="16">
        <v>0</v>
      </c>
      <c r="Z233" s="16">
        <v>7.5</v>
      </c>
      <c r="AA233" s="16">
        <v>0</v>
      </c>
      <c r="AB233" s="16">
        <v>7.5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8">
        <v>0</v>
      </c>
      <c r="AI233" s="18">
        <v>0</v>
      </c>
      <c r="AJ233" s="18">
        <v>4</v>
      </c>
      <c r="AK233" s="18">
        <v>0</v>
      </c>
      <c r="AL233" s="18">
        <v>4</v>
      </c>
      <c r="AM233" s="19" t="s">
        <v>24</v>
      </c>
    </row>
    <row r="234" spans="1:39" x14ac:dyDescent="0.25">
      <c r="A234" s="10">
        <v>2016</v>
      </c>
      <c r="B234" s="11">
        <v>13630</v>
      </c>
      <c r="C234" s="12" t="s">
        <v>281</v>
      </c>
      <c r="D234" s="12" t="s">
        <v>81</v>
      </c>
      <c r="E234" s="22">
        <f t="shared" si="13"/>
        <v>0</v>
      </c>
      <c r="F234" s="22">
        <f t="shared" si="14"/>
        <v>0</v>
      </c>
      <c r="G234" s="22">
        <f t="shared" si="15"/>
        <v>0</v>
      </c>
      <c r="H234" s="22" t="str">
        <f t="shared" si="16"/>
        <v/>
      </c>
      <c r="I234" s="13">
        <v>0</v>
      </c>
      <c r="J234" s="13">
        <v>72</v>
      </c>
      <c r="K234" s="13">
        <v>19</v>
      </c>
      <c r="L234" s="13">
        <v>0</v>
      </c>
      <c r="M234" s="13">
        <v>91</v>
      </c>
      <c r="N234" s="14">
        <v>80</v>
      </c>
      <c r="O234" s="14">
        <v>3955</v>
      </c>
      <c r="P234" s="14">
        <v>4044</v>
      </c>
      <c r="Q234" s="14">
        <v>0</v>
      </c>
      <c r="R234" s="14">
        <v>8079</v>
      </c>
      <c r="S234" s="15">
        <v>1</v>
      </c>
      <c r="T234" s="15">
        <v>71</v>
      </c>
      <c r="U234" s="15">
        <v>74</v>
      </c>
      <c r="V234" s="15">
        <v>0</v>
      </c>
      <c r="W234" s="15">
        <v>146</v>
      </c>
      <c r="X234" s="16">
        <v>1</v>
      </c>
      <c r="Y234" s="16">
        <v>56</v>
      </c>
      <c r="Z234" s="16">
        <v>65</v>
      </c>
      <c r="AA234" s="16">
        <v>0</v>
      </c>
      <c r="AB234" s="16">
        <v>122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9" t="s">
        <v>24</v>
      </c>
    </row>
    <row r="235" spans="1:39" x14ac:dyDescent="0.25">
      <c r="A235" s="10">
        <v>2016</v>
      </c>
      <c r="B235" s="11">
        <v>13640</v>
      </c>
      <c r="C235" s="12" t="s">
        <v>282</v>
      </c>
      <c r="D235" s="12" t="s">
        <v>25</v>
      </c>
      <c r="E235" s="22">
        <f t="shared" si="13"/>
        <v>36533.333333333336</v>
      </c>
      <c r="F235" s="22">
        <f t="shared" si="14"/>
        <v>0</v>
      </c>
      <c r="G235" s="22">
        <f t="shared" si="15"/>
        <v>79906.542056074773</v>
      </c>
      <c r="H235" s="22" t="str">
        <f t="shared" si="16"/>
        <v/>
      </c>
      <c r="I235" s="13">
        <v>33466</v>
      </c>
      <c r="J235" s="13">
        <v>88</v>
      </c>
      <c r="K235" s="13">
        <v>10</v>
      </c>
      <c r="L235" s="13">
        <v>0</v>
      </c>
      <c r="M235" s="13">
        <v>33564</v>
      </c>
      <c r="N235" s="14">
        <v>120</v>
      </c>
      <c r="O235" s="14">
        <v>424</v>
      </c>
      <c r="P235" s="14">
        <v>188</v>
      </c>
      <c r="Q235" s="14">
        <v>0</v>
      </c>
      <c r="R235" s="14">
        <v>732</v>
      </c>
      <c r="S235" s="15">
        <v>7.5</v>
      </c>
      <c r="T235" s="15">
        <v>9</v>
      </c>
      <c r="U235" s="15">
        <v>10.7</v>
      </c>
      <c r="V235" s="15">
        <v>0</v>
      </c>
      <c r="W235" s="15">
        <v>27.2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7">
        <v>0</v>
      </c>
      <c r="AD235" s="17">
        <v>0</v>
      </c>
      <c r="AE235" s="17">
        <v>855</v>
      </c>
      <c r="AF235" s="17">
        <v>0</v>
      </c>
      <c r="AG235" s="17">
        <v>855</v>
      </c>
      <c r="AH235" s="18">
        <v>274</v>
      </c>
      <c r="AI235" s="18">
        <v>0</v>
      </c>
      <c r="AJ235" s="18">
        <v>0</v>
      </c>
      <c r="AK235" s="18">
        <v>0</v>
      </c>
      <c r="AL235" s="18">
        <v>274</v>
      </c>
      <c r="AM235" s="19" t="s">
        <v>24</v>
      </c>
    </row>
    <row r="236" spans="1:39" x14ac:dyDescent="0.25">
      <c r="A236" s="10">
        <v>2016</v>
      </c>
      <c r="B236" s="11">
        <v>13664</v>
      </c>
      <c r="C236" s="12" t="s">
        <v>283</v>
      </c>
      <c r="D236" s="12" t="s">
        <v>72</v>
      </c>
      <c r="E236" s="22">
        <f t="shared" si="13"/>
        <v>31428.571428571428</v>
      </c>
      <c r="F236" s="22">
        <f t="shared" si="14"/>
        <v>28000</v>
      </c>
      <c r="G236" s="22">
        <f t="shared" si="15"/>
        <v>2260</v>
      </c>
      <c r="H236" s="22" t="str">
        <f t="shared" si="16"/>
        <v/>
      </c>
      <c r="I236" s="13">
        <v>2195</v>
      </c>
      <c r="J236" s="13">
        <v>2</v>
      </c>
      <c r="K236" s="13">
        <v>1128</v>
      </c>
      <c r="L236" s="13">
        <v>0</v>
      </c>
      <c r="M236" s="13">
        <v>3325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5">
        <v>2.1</v>
      </c>
      <c r="T236" s="15">
        <v>0.5</v>
      </c>
      <c r="U236" s="15">
        <v>50</v>
      </c>
      <c r="V236" s="15">
        <v>0</v>
      </c>
      <c r="W236" s="15">
        <v>52.6</v>
      </c>
      <c r="X236" s="16">
        <v>1</v>
      </c>
      <c r="Y236" s="16">
        <v>0.3</v>
      </c>
      <c r="Z236" s="16">
        <v>22</v>
      </c>
      <c r="AA236" s="16">
        <v>0</v>
      </c>
      <c r="AB236" s="16">
        <v>23.3</v>
      </c>
      <c r="AC236" s="17">
        <v>52</v>
      </c>
      <c r="AD236" s="17">
        <v>0</v>
      </c>
      <c r="AE236" s="17">
        <v>0</v>
      </c>
      <c r="AF236" s="17">
        <v>0</v>
      </c>
      <c r="AG236" s="17">
        <v>52</v>
      </c>
      <c r="AH236" s="18">
        <v>14</v>
      </c>
      <c r="AI236" s="18">
        <v>14</v>
      </c>
      <c r="AJ236" s="18">
        <v>113</v>
      </c>
      <c r="AK236" s="18">
        <v>0</v>
      </c>
      <c r="AL236" s="18">
        <v>141</v>
      </c>
      <c r="AM236" s="19" t="s">
        <v>24</v>
      </c>
    </row>
    <row r="237" spans="1:39" x14ac:dyDescent="0.25">
      <c r="A237" s="10">
        <v>2016</v>
      </c>
      <c r="B237" s="11">
        <v>13676</v>
      </c>
      <c r="C237" s="12" t="s">
        <v>284</v>
      </c>
      <c r="D237" s="12" t="s">
        <v>48</v>
      </c>
      <c r="E237" s="22">
        <f t="shared" si="13"/>
        <v>43777.777777777781</v>
      </c>
      <c r="F237" s="22" t="str">
        <f t="shared" si="14"/>
        <v/>
      </c>
      <c r="G237" s="22" t="str">
        <f t="shared" si="15"/>
        <v/>
      </c>
      <c r="H237" s="22" t="str">
        <f t="shared" si="16"/>
        <v/>
      </c>
      <c r="I237" s="13">
        <v>8517</v>
      </c>
      <c r="J237" s="13">
        <v>0</v>
      </c>
      <c r="K237" s="13">
        <v>0</v>
      </c>
      <c r="L237" s="13">
        <v>0</v>
      </c>
      <c r="M237" s="13">
        <v>8517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5">
        <v>4.5</v>
      </c>
      <c r="T237" s="15">
        <v>0</v>
      </c>
      <c r="U237" s="15">
        <v>0</v>
      </c>
      <c r="V237" s="15">
        <v>0</v>
      </c>
      <c r="W237" s="15">
        <v>4.5</v>
      </c>
      <c r="X237" s="16">
        <v>4.5</v>
      </c>
      <c r="Y237" s="16">
        <v>0</v>
      </c>
      <c r="Z237" s="16">
        <v>0</v>
      </c>
      <c r="AA237" s="16">
        <v>0</v>
      </c>
      <c r="AB237" s="16">
        <v>4.5</v>
      </c>
      <c r="AC237" s="17">
        <v>197</v>
      </c>
      <c r="AD237" s="17">
        <v>0</v>
      </c>
      <c r="AE237" s="17">
        <v>0</v>
      </c>
      <c r="AF237" s="17">
        <v>0</v>
      </c>
      <c r="AG237" s="17">
        <v>197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9" t="s">
        <v>24</v>
      </c>
    </row>
    <row r="238" spans="1:39" x14ac:dyDescent="0.25">
      <c r="A238" s="10">
        <v>2016</v>
      </c>
      <c r="B238" s="11">
        <v>13683</v>
      </c>
      <c r="C238" s="12" t="s">
        <v>285</v>
      </c>
      <c r="D238" s="12" t="s">
        <v>81</v>
      </c>
      <c r="E238" s="22">
        <f t="shared" si="13"/>
        <v>0</v>
      </c>
      <c r="F238" s="22" t="str">
        <f t="shared" si="14"/>
        <v/>
      </c>
      <c r="G238" s="22">
        <f t="shared" si="15"/>
        <v>0</v>
      </c>
      <c r="H238" s="22" t="str">
        <f t="shared" si="16"/>
        <v/>
      </c>
      <c r="I238" s="13">
        <v>631</v>
      </c>
      <c r="J238" s="13">
        <v>0</v>
      </c>
      <c r="K238" s="13">
        <v>2</v>
      </c>
      <c r="L238" s="13">
        <v>0</v>
      </c>
      <c r="M238" s="13">
        <v>633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5">
        <v>0.9</v>
      </c>
      <c r="T238" s="15">
        <v>0</v>
      </c>
      <c r="U238" s="15">
        <v>2.4</v>
      </c>
      <c r="V238" s="15">
        <v>0</v>
      </c>
      <c r="W238" s="15">
        <v>3.3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9" t="s">
        <v>24</v>
      </c>
    </row>
    <row r="239" spans="1:39" x14ac:dyDescent="0.25">
      <c r="A239" s="10">
        <v>2016</v>
      </c>
      <c r="B239" s="11">
        <v>13687</v>
      </c>
      <c r="C239" s="12" t="s">
        <v>286</v>
      </c>
      <c r="D239" s="12" t="s">
        <v>81</v>
      </c>
      <c r="E239" s="22">
        <f t="shared" si="13"/>
        <v>78210.526315789481</v>
      </c>
      <c r="F239" s="22">
        <f t="shared" si="14"/>
        <v>11393.442622950819</v>
      </c>
      <c r="G239" s="22">
        <f t="shared" si="15"/>
        <v>1880.1652892561983</v>
      </c>
      <c r="H239" s="22" t="str">
        <f t="shared" si="16"/>
        <v/>
      </c>
      <c r="I239" s="13">
        <v>137717</v>
      </c>
      <c r="J239" s="13">
        <v>182</v>
      </c>
      <c r="K239" s="13">
        <v>273</v>
      </c>
      <c r="L239" s="13">
        <v>0</v>
      </c>
      <c r="M239" s="13">
        <v>138172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5">
        <v>57</v>
      </c>
      <c r="T239" s="15">
        <v>61</v>
      </c>
      <c r="U239" s="15">
        <v>242</v>
      </c>
      <c r="V239" s="15">
        <v>0</v>
      </c>
      <c r="W239" s="15">
        <v>360</v>
      </c>
      <c r="X239" s="16">
        <v>51</v>
      </c>
      <c r="Y239" s="16">
        <v>52</v>
      </c>
      <c r="Z239" s="16">
        <v>217</v>
      </c>
      <c r="AA239" s="16">
        <v>0</v>
      </c>
      <c r="AB239" s="16">
        <v>320</v>
      </c>
      <c r="AC239" s="17">
        <v>3268</v>
      </c>
      <c r="AD239" s="17">
        <v>625</v>
      </c>
      <c r="AE239" s="17">
        <v>315</v>
      </c>
      <c r="AF239" s="17">
        <v>0</v>
      </c>
      <c r="AG239" s="17">
        <v>4208</v>
      </c>
      <c r="AH239" s="18">
        <v>1190</v>
      </c>
      <c r="AI239" s="18">
        <v>70</v>
      </c>
      <c r="AJ239" s="18">
        <v>140</v>
      </c>
      <c r="AK239" s="18">
        <v>0</v>
      </c>
      <c r="AL239" s="18">
        <v>1400</v>
      </c>
      <c r="AM239" s="19" t="s">
        <v>24</v>
      </c>
    </row>
    <row r="240" spans="1:39" x14ac:dyDescent="0.25">
      <c r="A240" s="10">
        <v>2016</v>
      </c>
      <c r="B240" s="11">
        <v>13690</v>
      </c>
      <c r="C240" s="12" t="s">
        <v>287</v>
      </c>
      <c r="D240" s="12" t="s">
        <v>112</v>
      </c>
      <c r="E240" s="22">
        <f t="shared" si="13"/>
        <v>38333.333333333336</v>
      </c>
      <c r="F240" s="22" t="str">
        <f t="shared" si="14"/>
        <v/>
      </c>
      <c r="G240" s="22" t="str">
        <f t="shared" si="15"/>
        <v/>
      </c>
      <c r="H240" s="22" t="str">
        <f t="shared" si="16"/>
        <v/>
      </c>
      <c r="I240" s="13">
        <v>2501</v>
      </c>
      <c r="J240" s="13">
        <v>93</v>
      </c>
      <c r="K240" s="13">
        <v>0</v>
      </c>
      <c r="L240" s="13">
        <v>0</v>
      </c>
      <c r="M240" s="13">
        <v>2594</v>
      </c>
      <c r="N240" s="14">
        <v>1</v>
      </c>
      <c r="O240" s="14">
        <v>0</v>
      </c>
      <c r="P240" s="14">
        <v>0</v>
      </c>
      <c r="Q240" s="14">
        <v>0</v>
      </c>
      <c r="R240" s="14">
        <v>1</v>
      </c>
      <c r="S240" s="15">
        <v>3</v>
      </c>
      <c r="T240" s="15">
        <v>0</v>
      </c>
      <c r="U240" s="15">
        <v>0</v>
      </c>
      <c r="V240" s="15">
        <v>0</v>
      </c>
      <c r="W240" s="15">
        <v>3</v>
      </c>
      <c r="X240" s="16">
        <v>2</v>
      </c>
      <c r="Y240" s="16">
        <v>0</v>
      </c>
      <c r="Z240" s="16">
        <v>0</v>
      </c>
      <c r="AA240" s="16">
        <v>0</v>
      </c>
      <c r="AB240" s="16">
        <v>2</v>
      </c>
      <c r="AC240" s="17">
        <v>70</v>
      </c>
      <c r="AD240" s="17">
        <v>0</v>
      </c>
      <c r="AE240" s="17">
        <v>0</v>
      </c>
      <c r="AF240" s="17">
        <v>0</v>
      </c>
      <c r="AG240" s="17">
        <v>70</v>
      </c>
      <c r="AH240" s="18">
        <v>45</v>
      </c>
      <c r="AI240" s="18">
        <v>0</v>
      </c>
      <c r="AJ240" s="18">
        <v>0</v>
      </c>
      <c r="AK240" s="18">
        <v>0</v>
      </c>
      <c r="AL240" s="18">
        <v>45</v>
      </c>
      <c r="AM240" s="19">
        <v>7</v>
      </c>
    </row>
    <row r="241" spans="1:39" x14ac:dyDescent="0.25">
      <c r="A241" s="10">
        <v>2016</v>
      </c>
      <c r="B241" s="11">
        <v>13698</v>
      </c>
      <c r="C241" s="12" t="s">
        <v>288</v>
      </c>
      <c r="D241" s="12" t="s">
        <v>72</v>
      </c>
      <c r="E241" s="22" t="str">
        <f t="shared" si="13"/>
        <v/>
      </c>
      <c r="F241" s="22" t="str">
        <f t="shared" si="14"/>
        <v/>
      </c>
      <c r="G241" s="22">
        <f t="shared" si="15"/>
        <v>3552.6315789473683</v>
      </c>
      <c r="H241" s="22" t="str">
        <f t="shared" si="16"/>
        <v/>
      </c>
      <c r="I241" s="13">
        <v>0</v>
      </c>
      <c r="J241" s="13">
        <v>0</v>
      </c>
      <c r="K241" s="13">
        <v>876</v>
      </c>
      <c r="L241" s="13">
        <v>0</v>
      </c>
      <c r="M241" s="13">
        <v>876</v>
      </c>
      <c r="N241" s="14">
        <v>0</v>
      </c>
      <c r="O241" s="14">
        <v>0</v>
      </c>
      <c r="P241" s="14">
        <v>2000</v>
      </c>
      <c r="Q241" s="14">
        <v>0</v>
      </c>
      <c r="R241" s="14">
        <v>2000</v>
      </c>
      <c r="S241" s="15">
        <v>0</v>
      </c>
      <c r="T241" s="15">
        <v>0</v>
      </c>
      <c r="U241" s="15">
        <v>38</v>
      </c>
      <c r="V241" s="15">
        <v>0</v>
      </c>
      <c r="W241" s="15">
        <v>38</v>
      </c>
      <c r="X241" s="16">
        <v>0</v>
      </c>
      <c r="Y241" s="16">
        <v>0</v>
      </c>
      <c r="Z241" s="16">
        <v>16</v>
      </c>
      <c r="AA241" s="16">
        <v>0</v>
      </c>
      <c r="AB241" s="16">
        <v>16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8">
        <v>0</v>
      </c>
      <c r="AI241" s="18">
        <v>0</v>
      </c>
      <c r="AJ241" s="18">
        <v>135</v>
      </c>
      <c r="AK241" s="18">
        <v>0</v>
      </c>
      <c r="AL241" s="18">
        <v>135</v>
      </c>
      <c r="AM241" s="19" t="s">
        <v>24</v>
      </c>
    </row>
    <row r="242" spans="1:39" x14ac:dyDescent="0.25">
      <c r="A242" s="10">
        <v>2016</v>
      </c>
      <c r="B242" s="11">
        <v>13725</v>
      </c>
      <c r="C242" s="12" t="s">
        <v>289</v>
      </c>
      <c r="D242" s="12" t="s">
        <v>72</v>
      </c>
      <c r="E242" s="22">
        <f t="shared" si="13"/>
        <v>3076.9230769230767</v>
      </c>
      <c r="F242" s="22">
        <f t="shared" si="14"/>
        <v>98750</v>
      </c>
      <c r="G242" s="22">
        <f t="shared" si="15"/>
        <v>25000</v>
      </c>
      <c r="H242" s="22" t="str">
        <f t="shared" si="16"/>
        <v/>
      </c>
      <c r="I242" s="13">
        <v>1075</v>
      </c>
      <c r="J242" s="13">
        <v>83</v>
      </c>
      <c r="K242" s="13">
        <v>1</v>
      </c>
      <c r="L242" s="13">
        <v>0</v>
      </c>
      <c r="M242" s="13">
        <v>1159</v>
      </c>
      <c r="N242" s="14">
        <v>2</v>
      </c>
      <c r="O242" s="14">
        <v>1</v>
      </c>
      <c r="P242" s="14">
        <v>1</v>
      </c>
      <c r="Q242" s="14">
        <v>0</v>
      </c>
      <c r="R242" s="14">
        <v>4</v>
      </c>
      <c r="S242" s="15">
        <v>1.3</v>
      </c>
      <c r="T242" s="15">
        <v>0.8</v>
      </c>
      <c r="U242" s="15">
        <v>1</v>
      </c>
      <c r="V242" s="15">
        <v>0</v>
      </c>
      <c r="W242" s="15">
        <v>3.1</v>
      </c>
      <c r="X242" s="16">
        <v>0.5</v>
      </c>
      <c r="Y242" s="16">
        <v>0.3</v>
      </c>
      <c r="Z242" s="16">
        <v>1</v>
      </c>
      <c r="AA242" s="16">
        <v>0</v>
      </c>
      <c r="AB242" s="16">
        <v>1.8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8">
        <v>4</v>
      </c>
      <c r="AI242" s="18">
        <v>79</v>
      </c>
      <c r="AJ242" s="18">
        <v>25</v>
      </c>
      <c r="AK242" s="18">
        <v>0</v>
      </c>
      <c r="AL242" s="18">
        <v>108</v>
      </c>
      <c r="AM242" s="19" t="s">
        <v>24</v>
      </c>
    </row>
    <row r="243" spans="1:39" x14ac:dyDescent="0.25">
      <c r="A243" s="10">
        <v>2016</v>
      </c>
      <c r="B243" s="11">
        <v>13762</v>
      </c>
      <c r="C243" s="12" t="s">
        <v>290</v>
      </c>
      <c r="D243" s="12" t="s">
        <v>25</v>
      </c>
      <c r="E243" s="22">
        <f t="shared" si="13"/>
        <v>6071.4285714285716</v>
      </c>
      <c r="F243" s="22" t="str">
        <f t="shared" si="14"/>
        <v/>
      </c>
      <c r="G243" s="22" t="str">
        <f t="shared" si="15"/>
        <v/>
      </c>
      <c r="H243" s="22" t="str">
        <f t="shared" si="16"/>
        <v/>
      </c>
      <c r="I243" s="13">
        <v>4898</v>
      </c>
      <c r="J243" s="13">
        <v>0</v>
      </c>
      <c r="K243" s="13">
        <v>0</v>
      </c>
      <c r="L243" s="13">
        <v>0</v>
      </c>
      <c r="M243" s="13">
        <v>4898</v>
      </c>
      <c r="N243" s="14">
        <v>99</v>
      </c>
      <c r="O243" s="14">
        <v>0</v>
      </c>
      <c r="P243" s="14">
        <v>0</v>
      </c>
      <c r="Q243" s="14">
        <v>0</v>
      </c>
      <c r="R243" s="14">
        <v>99</v>
      </c>
      <c r="S243" s="15">
        <v>2.8</v>
      </c>
      <c r="T243" s="15">
        <v>0</v>
      </c>
      <c r="U243" s="15">
        <v>0</v>
      </c>
      <c r="V243" s="15">
        <v>0</v>
      </c>
      <c r="W243" s="15">
        <v>2.8</v>
      </c>
      <c r="X243" s="16">
        <v>2.8</v>
      </c>
      <c r="Y243" s="16">
        <v>0</v>
      </c>
      <c r="Z243" s="16">
        <v>0</v>
      </c>
      <c r="AA243" s="16">
        <v>0</v>
      </c>
      <c r="AB243" s="16">
        <v>2.8</v>
      </c>
      <c r="AC243" s="17">
        <v>17</v>
      </c>
      <c r="AD243" s="17">
        <v>0</v>
      </c>
      <c r="AE243" s="17">
        <v>0</v>
      </c>
      <c r="AF243" s="17">
        <v>0</v>
      </c>
      <c r="AG243" s="17">
        <v>17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9" t="s">
        <v>24</v>
      </c>
    </row>
    <row r="244" spans="1:39" x14ac:dyDescent="0.25">
      <c r="A244" s="10">
        <v>2016</v>
      </c>
      <c r="B244" s="11">
        <v>13780</v>
      </c>
      <c r="C244" s="12" t="s">
        <v>291</v>
      </c>
      <c r="D244" s="12" t="s">
        <v>29</v>
      </c>
      <c r="E244" s="22">
        <f t="shared" si="13"/>
        <v>109101.12359550562</v>
      </c>
      <c r="F244" s="22">
        <f t="shared" si="14"/>
        <v>113088.23529411765</v>
      </c>
      <c r="G244" s="22" t="str">
        <f t="shared" si="15"/>
        <v/>
      </c>
      <c r="H244" s="22" t="str">
        <f t="shared" si="16"/>
        <v/>
      </c>
      <c r="I244" s="13">
        <v>17819</v>
      </c>
      <c r="J244" s="13">
        <v>865</v>
      </c>
      <c r="K244" s="13">
        <v>0</v>
      </c>
      <c r="L244" s="13">
        <v>0</v>
      </c>
      <c r="M244" s="13">
        <v>18684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5">
        <v>8.9</v>
      </c>
      <c r="T244" s="15">
        <v>6.8</v>
      </c>
      <c r="U244" s="15">
        <v>0</v>
      </c>
      <c r="V244" s="15">
        <v>0</v>
      </c>
      <c r="W244" s="15">
        <v>15.7</v>
      </c>
      <c r="X244" s="16">
        <v>8.9</v>
      </c>
      <c r="Y244" s="16">
        <v>6.8</v>
      </c>
      <c r="Z244" s="16">
        <v>0</v>
      </c>
      <c r="AA244" s="16">
        <v>0</v>
      </c>
      <c r="AB244" s="16">
        <v>15.7</v>
      </c>
      <c r="AC244" s="17">
        <v>490</v>
      </c>
      <c r="AD244" s="17">
        <v>535</v>
      </c>
      <c r="AE244" s="17">
        <v>0</v>
      </c>
      <c r="AF244" s="17">
        <v>0</v>
      </c>
      <c r="AG244" s="17">
        <v>1025</v>
      </c>
      <c r="AH244" s="18">
        <v>481</v>
      </c>
      <c r="AI244" s="18">
        <v>234</v>
      </c>
      <c r="AJ244" s="18">
        <v>0</v>
      </c>
      <c r="AK244" s="18">
        <v>0</v>
      </c>
      <c r="AL244" s="18">
        <v>715</v>
      </c>
      <c r="AM244" s="19" t="s">
        <v>24</v>
      </c>
    </row>
    <row r="245" spans="1:39" x14ac:dyDescent="0.25">
      <c r="A245" s="10">
        <v>2016</v>
      </c>
      <c r="B245" s="11">
        <v>13781</v>
      </c>
      <c r="C245" s="12" t="s">
        <v>292</v>
      </c>
      <c r="D245" s="12" t="s">
        <v>36</v>
      </c>
      <c r="E245" s="22">
        <f t="shared" si="13"/>
        <v>121798.13401187447</v>
      </c>
      <c r="F245" s="22">
        <f t="shared" si="14"/>
        <v>11333.817126269956</v>
      </c>
      <c r="G245" s="22" t="str">
        <f t="shared" si="15"/>
        <v/>
      </c>
      <c r="H245" s="22" t="str">
        <f t="shared" si="16"/>
        <v/>
      </c>
      <c r="I245" s="13">
        <v>390480</v>
      </c>
      <c r="J245" s="13">
        <v>17958</v>
      </c>
      <c r="K245" s="13">
        <v>0</v>
      </c>
      <c r="L245" s="13">
        <v>0</v>
      </c>
      <c r="M245" s="13">
        <v>408438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5">
        <v>235.8</v>
      </c>
      <c r="T245" s="15">
        <v>689</v>
      </c>
      <c r="U245" s="15">
        <v>0</v>
      </c>
      <c r="V245" s="15">
        <v>0</v>
      </c>
      <c r="W245" s="15">
        <v>924.8</v>
      </c>
      <c r="X245" s="16">
        <v>235.8</v>
      </c>
      <c r="Y245" s="16">
        <v>415.5</v>
      </c>
      <c r="Z245" s="16">
        <v>0</v>
      </c>
      <c r="AA245" s="16">
        <v>0</v>
      </c>
      <c r="AB245" s="16">
        <v>651.29999999999995</v>
      </c>
      <c r="AC245" s="17">
        <v>24941</v>
      </c>
      <c r="AD245" s="17">
        <v>5050</v>
      </c>
      <c r="AE245" s="17">
        <v>0</v>
      </c>
      <c r="AF245" s="17">
        <v>0</v>
      </c>
      <c r="AG245" s="17">
        <v>29991</v>
      </c>
      <c r="AH245" s="18">
        <v>3779</v>
      </c>
      <c r="AI245" s="18">
        <v>2759</v>
      </c>
      <c r="AJ245" s="18">
        <v>0</v>
      </c>
      <c r="AK245" s="18">
        <v>0</v>
      </c>
      <c r="AL245" s="18">
        <v>6538</v>
      </c>
      <c r="AM245" s="19" t="s">
        <v>24</v>
      </c>
    </row>
    <row r="246" spans="1:39" x14ac:dyDescent="0.25">
      <c r="A246" s="10">
        <v>2016</v>
      </c>
      <c r="B246" s="11">
        <v>13781</v>
      </c>
      <c r="C246" s="12" t="s">
        <v>292</v>
      </c>
      <c r="D246" s="12" t="s">
        <v>79</v>
      </c>
      <c r="E246" s="22">
        <f t="shared" si="13"/>
        <v>120757.57575757576</v>
      </c>
      <c r="F246" s="22">
        <f t="shared" si="14"/>
        <v>185454.54545454544</v>
      </c>
      <c r="G246" s="22" t="str">
        <f t="shared" si="15"/>
        <v/>
      </c>
      <c r="H246" s="22" t="str">
        <f t="shared" si="16"/>
        <v/>
      </c>
      <c r="I246" s="13">
        <v>12001</v>
      </c>
      <c r="J246" s="13">
        <v>545</v>
      </c>
      <c r="K246" s="13">
        <v>0</v>
      </c>
      <c r="L246" s="13">
        <v>0</v>
      </c>
      <c r="M246" s="13">
        <v>12546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5">
        <v>6.6</v>
      </c>
      <c r="T246" s="15">
        <v>1.1000000000000001</v>
      </c>
      <c r="U246" s="15">
        <v>0</v>
      </c>
      <c r="V246" s="15">
        <v>0</v>
      </c>
      <c r="W246" s="15">
        <v>7.7</v>
      </c>
      <c r="X246" s="16">
        <v>6.6</v>
      </c>
      <c r="Y246" s="16">
        <v>1.1000000000000001</v>
      </c>
      <c r="Z246" s="16">
        <v>0</v>
      </c>
      <c r="AA246" s="16">
        <v>0</v>
      </c>
      <c r="AB246" s="16">
        <v>7.7</v>
      </c>
      <c r="AC246" s="17">
        <v>721</v>
      </c>
      <c r="AD246" s="17">
        <v>138</v>
      </c>
      <c r="AE246" s="17">
        <v>0</v>
      </c>
      <c r="AF246" s="17">
        <v>0</v>
      </c>
      <c r="AG246" s="17">
        <v>859</v>
      </c>
      <c r="AH246" s="18">
        <v>76</v>
      </c>
      <c r="AI246" s="18">
        <v>66</v>
      </c>
      <c r="AJ246" s="18">
        <v>0</v>
      </c>
      <c r="AK246" s="18">
        <v>0</v>
      </c>
      <c r="AL246" s="18">
        <v>142</v>
      </c>
      <c r="AM246" s="19" t="s">
        <v>24</v>
      </c>
    </row>
    <row r="247" spans="1:39" x14ac:dyDescent="0.25">
      <c r="A247" s="10">
        <v>2016</v>
      </c>
      <c r="B247" s="11">
        <v>13781</v>
      </c>
      <c r="C247" s="12" t="s">
        <v>292</v>
      </c>
      <c r="D247" s="12" t="s">
        <v>66</v>
      </c>
      <c r="E247" s="22">
        <f t="shared" si="13"/>
        <v>151881.1881188119</v>
      </c>
      <c r="F247" s="22">
        <f t="shared" si="14"/>
        <v>162666.66666666666</v>
      </c>
      <c r="G247" s="22" t="str">
        <f t="shared" si="15"/>
        <v/>
      </c>
      <c r="H247" s="22" t="str">
        <f t="shared" si="16"/>
        <v/>
      </c>
      <c r="I247" s="13">
        <v>19008</v>
      </c>
      <c r="J247" s="13">
        <v>672</v>
      </c>
      <c r="K247" s="13">
        <v>0</v>
      </c>
      <c r="L247" s="13">
        <v>0</v>
      </c>
      <c r="M247" s="13">
        <v>19680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5">
        <v>10.1</v>
      </c>
      <c r="T247" s="15">
        <v>1.5</v>
      </c>
      <c r="U247" s="15">
        <v>0</v>
      </c>
      <c r="V247" s="15">
        <v>0</v>
      </c>
      <c r="W247" s="15">
        <v>11.6</v>
      </c>
      <c r="X247" s="16">
        <v>10.1</v>
      </c>
      <c r="Y247" s="16">
        <v>1.5</v>
      </c>
      <c r="Z247" s="16">
        <v>0</v>
      </c>
      <c r="AA247" s="16">
        <v>0</v>
      </c>
      <c r="AB247" s="16">
        <v>11.6</v>
      </c>
      <c r="AC247" s="17">
        <v>1366</v>
      </c>
      <c r="AD247" s="17">
        <v>194</v>
      </c>
      <c r="AE247" s="17">
        <v>0</v>
      </c>
      <c r="AF247" s="17">
        <v>0</v>
      </c>
      <c r="AG247" s="17">
        <v>1560</v>
      </c>
      <c r="AH247" s="18">
        <v>168</v>
      </c>
      <c r="AI247" s="18">
        <v>50</v>
      </c>
      <c r="AJ247" s="18">
        <v>0</v>
      </c>
      <c r="AK247" s="18">
        <v>0</v>
      </c>
      <c r="AL247" s="18">
        <v>218</v>
      </c>
      <c r="AM247" s="19" t="s">
        <v>24</v>
      </c>
    </row>
    <row r="248" spans="1:39" x14ac:dyDescent="0.25">
      <c r="A248" s="10">
        <v>2016</v>
      </c>
      <c r="B248" s="11">
        <v>13798</v>
      </c>
      <c r="C248" s="12" t="s">
        <v>293</v>
      </c>
      <c r="D248" s="12" t="s">
        <v>38</v>
      </c>
      <c r="E248" s="22">
        <f t="shared" si="13"/>
        <v>88112.745098039217</v>
      </c>
      <c r="F248" s="22">
        <f t="shared" si="14"/>
        <v>17903.225806451614</v>
      </c>
      <c r="G248" s="22" t="str">
        <f t="shared" si="15"/>
        <v/>
      </c>
      <c r="H248" s="22" t="str">
        <f t="shared" si="16"/>
        <v/>
      </c>
      <c r="I248" s="13">
        <v>25579</v>
      </c>
      <c r="J248" s="13">
        <v>854</v>
      </c>
      <c r="K248" s="13">
        <v>0</v>
      </c>
      <c r="L248" s="13">
        <v>0</v>
      </c>
      <c r="M248" s="13">
        <v>26433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5">
        <v>40.799999999999997</v>
      </c>
      <c r="T248" s="15">
        <v>6.2</v>
      </c>
      <c r="U248" s="15">
        <v>0</v>
      </c>
      <c r="V248" s="15">
        <v>0</v>
      </c>
      <c r="W248" s="15">
        <v>47</v>
      </c>
      <c r="X248" s="16">
        <v>11.9</v>
      </c>
      <c r="Y248" s="16">
        <v>6.2</v>
      </c>
      <c r="Z248" s="16">
        <v>0</v>
      </c>
      <c r="AA248" s="16">
        <v>0</v>
      </c>
      <c r="AB248" s="16">
        <v>18.100000000000001</v>
      </c>
      <c r="AC248" s="17">
        <v>3311</v>
      </c>
      <c r="AD248" s="17">
        <v>102</v>
      </c>
      <c r="AE248" s="17">
        <v>0</v>
      </c>
      <c r="AF248" s="17">
        <v>0</v>
      </c>
      <c r="AG248" s="17">
        <v>3413</v>
      </c>
      <c r="AH248" s="18">
        <v>284</v>
      </c>
      <c r="AI248" s="18">
        <v>9</v>
      </c>
      <c r="AJ248" s="18">
        <v>0</v>
      </c>
      <c r="AK248" s="18">
        <v>0</v>
      </c>
      <c r="AL248" s="18">
        <v>293</v>
      </c>
      <c r="AM248" s="19" t="s">
        <v>24</v>
      </c>
    </row>
    <row r="249" spans="1:39" x14ac:dyDescent="0.25">
      <c r="A249" s="10">
        <v>2016</v>
      </c>
      <c r="B249" s="11">
        <v>13805</v>
      </c>
      <c r="C249" s="12" t="s">
        <v>294</v>
      </c>
      <c r="D249" s="12" t="s">
        <v>72</v>
      </c>
      <c r="E249" s="22" t="str">
        <f t="shared" si="13"/>
        <v/>
      </c>
      <c r="F249" s="22" t="str">
        <f t="shared" si="14"/>
        <v/>
      </c>
      <c r="G249" s="22">
        <f t="shared" si="15"/>
        <v>72666.666666666672</v>
      </c>
      <c r="H249" s="22" t="str">
        <f t="shared" si="16"/>
        <v/>
      </c>
      <c r="I249" s="13">
        <v>0</v>
      </c>
      <c r="J249" s="13">
        <v>0</v>
      </c>
      <c r="K249" s="13">
        <v>59</v>
      </c>
      <c r="L249" s="13">
        <v>0</v>
      </c>
      <c r="M249" s="13">
        <v>59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5">
        <v>0</v>
      </c>
      <c r="T249" s="15">
        <v>0</v>
      </c>
      <c r="U249" s="15">
        <v>1.5</v>
      </c>
      <c r="V249" s="15">
        <v>0</v>
      </c>
      <c r="W249" s="15">
        <v>1.5</v>
      </c>
      <c r="X249" s="16">
        <v>0</v>
      </c>
      <c r="Y249" s="16">
        <v>0</v>
      </c>
      <c r="Z249" s="16">
        <v>1.5</v>
      </c>
      <c r="AA249" s="16">
        <v>0</v>
      </c>
      <c r="AB249" s="16">
        <v>1.5</v>
      </c>
      <c r="AC249" s="17">
        <v>0</v>
      </c>
      <c r="AD249" s="17">
        <v>0</v>
      </c>
      <c r="AE249" s="17">
        <v>84</v>
      </c>
      <c r="AF249" s="17">
        <v>0</v>
      </c>
      <c r="AG249" s="17">
        <v>84</v>
      </c>
      <c r="AH249" s="18">
        <v>0</v>
      </c>
      <c r="AI249" s="18">
        <v>0</v>
      </c>
      <c r="AJ249" s="18">
        <v>25</v>
      </c>
      <c r="AK249" s="18">
        <v>0</v>
      </c>
      <c r="AL249" s="18">
        <v>25</v>
      </c>
      <c r="AM249" s="19" t="s">
        <v>24</v>
      </c>
    </row>
    <row r="250" spans="1:39" x14ac:dyDescent="0.25">
      <c r="A250" s="10">
        <v>2016</v>
      </c>
      <c r="B250" s="11">
        <v>13815</v>
      </c>
      <c r="C250" s="12" t="s">
        <v>295</v>
      </c>
      <c r="D250" s="12" t="s">
        <v>29</v>
      </c>
      <c r="E250" s="22" t="str">
        <f t="shared" si="13"/>
        <v/>
      </c>
      <c r="F250" s="22" t="str">
        <f t="shared" si="14"/>
        <v/>
      </c>
      <c r="G250" s="22">
        <f t="shared" si="15"/>
        <v>34000</v>
      </c>
      <c r="H250" s="22" t="str">
        <f t="shared" si="16"/>
        <v/>
      </c>
      <c r="I250" s="13">
        <v>0</v>
      </c>
      <c r="J250" s="13">
        <v>0</v>
      </c>
      <c r="K250" s="13">
        <v>1</v>
      </c>
      <c r="L250" s="13">
        <v>0</v>
      </c>
      <c r="M250" s="13">
        <v>1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5">
        <v>0</v>
      </c>
      <c r="T250" s="15">
        <v>0</v>
      </c>
      <c r="U250" s="15">
        <v>1</v>
      </c>
      <c r="V250" s="15">
        <v>0</v>
      </c>
      <c r="W250" s="15">
        <v>1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7">
        <v>0</v>
      </c>
      <c r="AD250" s="17">
        <v>0</v>
      </c>
      <c r="AE250" s="17">
        <v>34</v>
      </c>
      <c r="AF250" s="17">
        <v>0</v>
      </c>
      <c r="AG250" s="17">
        <v>34</v>
      </c>
      <c r="AH250" s="18">
        <v>0</v>
      </c>
      <c r="AI250" s="18">
        <v>0</v>
      </c>
      <c r="AJ250" s="18">
        <v>0</v>
      </c>
      <c r="AK250" s="18">
        <v>0</v>
      </c>
      <c r="AL250" s="18">
        <v>0</v>
      </c>
      <c r="AM250" s="19" t="s">
        <v>24</v>
      </c>
    </row>
    <row r="251" spans="1:39" x14ac:dyDescent="0.25">
      <c r="A251" s="10">
        <v>2016</v>
      </c>
      <c r="B251" s="11">
        <v>13838</v>
      </c>
      <c r="C251" s="12" t="s">
        <v>296</v>
      </c>
      <c r="D251" s="12" t="s">
        <v>96</v>
      </c>
      <c r="E251" s="22" t="str">
        <f t="shared" si="13"/>
        <v/>
      </c>
      <c r="F251" s="22" t="str">
        <f t="shared" si="14"/>
        <v/>
      </c>
      <c r="G251" s="22">
        <f t="shared" si="15"/>
        <v>0</v>
      </c>
      <c r="H251" s="22" t="str">
        <f t="shared" si="16"/>
        <v/>
      </c>
      <c r="I251" s="13">
        <v>0</v>
      </c>
      <c r="J251" s="13">
        <v>4</v>
      </c>
      <c r="K251" s="13">
        <v>89</v>
      </c>
      <c r="L251" s="13">
        <v>0</v>
      </c>
      <c r="M251" s="13">
        <v>93</v>
      </c>
      <c r="N251" s="14">
        <v>0</v>
      </c>
      <c r="O251" s="14">
        <v>0</v>
      </c>
      <c r="P251" s="14">
        <v>36</v>
      </c>
      <c r="Q251" s="14">
        <v>0</v>
      </c>
      <c r="R251" s="14">
        <v>36</v>
      </c>
      <c r="S251" s="15">
        <v>0</v>
      </c>
      <c r="T251" s="15">
        <v>0</v>
      </c>
      <c r="U251" s="15">
        <v>36.299999999999997</v>
      </c>
      <c r="V251" s="15">
        <v>0</v>
      </c>
      <c r="W251" s="15">
        <v>36.299999999999997</v>
      </c>
      <c r="X251" s="16">
        <v>0</v>
      </c>
      <c r="Y251" s="16">
        <v>0</v>
      </c>
      <c r="Z251" s="16">
        <v>36.200000000000003</v>
      </c>
      <c r="AA251" s="16">
        <v>0</v>
      </c>
      <c r="AB251" s="16">
        <v>36.200000000000003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9" t="s">
        <v>24</v>
      </c>
    </row>
    <row r="252" spans="1:39" x14ac:dyDescent="0.25">
      <c r="A252" s="10">
        <v>2016</v>
      </c>
      <c r="B252" s="11">
        <v>13839</v>
      </c>
      <c r="C252" s="12" t="s">
        <v>297</v>
      </c>
      <c r="D252" s="12" t="s">
        <v>117</v>
      </c>
      <c r="E252" s="22">
        <f t="shared" si="13"/>
        <v>6000</v>
      </c>
      <c r="F252" s="22" t="str">
        <f t="shared" si="14"/>
        <v/>
      </c>
      <c r="G252" s="22" t="str">
        <f t="shared" si="15"/>
        <v/>
      </c>
      <c r="H252" s="22" t="str">
        <f t="shared" si="16"/>
        <v/>
      </c>
      <c r="I252" s="13">
        <v>554</v>
      </c>
      <c r="J252" s="13">
        <v>0</v>
      </c>
      <c r="K252" s="13">
        <v>0</v>
      </c>
      <c r="L252" s="13">
        <v>0</v>
      </c>
      <c r="M252" s="13">
        <v>554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5">
        <v>2.5</v>
      </c>
      <c r="T252" s="15">
        <v>0</v>
      </c>
      <c r="U252" s="15">
        <v>0</v>
      </c>
      <c r="V252" s="15">
        <v>0</v>
      </c>
      <c r="W252" s="15">
        <v>2.5</v>
      </c>
      <c r="X252" s="16">
        <v>0.4</v>
      </c>
      <c r="Y252" s="16">
        <v>0</v>
      </c>
      <c r="Z252" s="16">
        <v>0</v>
      </c>
      <c r="AA252" s="16">
        <v>0</v>
      </c>
      <c r="AB252" s="16">
        <v>0.4</v>
      </c>
      <c r="AC252" s="17">
        <v>5</v>
      </c>
      <c r="AD252" s="17">
        <v>0</v>
      </c>
      <c r="AE252" s="17">
        <v>0</v>
      </c>
      <c r="AF252" s="17">
        <v>0</v>
      </c>
      <c r="AG252" s="17">
        <v>5</v>
      </c>
      <c r="AH252" s="18">
        <v>10</v>
      </c>
      <c r="AI252" s="18">
        <v>0</v>
      </c>
      <c r="AJ252" s="18">
        <v>0</v>
      </c>
      <c r="AK252" s="18">
        <v>0</v>
      </c>
      <c r="AL252" s="18">
        <v>10</v>
      </c>
      <c r="AM252" s="19" t="s">
        <v>24</v>
      </c>
    </row>
    <row r="253" spans="1:39" x14ac:dyDescent="0.25">
      <c r="A253" s="10">
        <v>2016</v>
      </c>
      <c r="B253" s="11">
        <v>13936</v>
      </c>
      <c r="C253" s="12" t="s">
        <v>298</v>
      </c>
      <c r="D253" s="12" t="s">
        <v>29</v>
      </c>
      <c r="E253" s="22">
        <f t="shared" si="13"/>
        <v>47826.086956521744</v>
      </c>
      <c r="F253" s="22">
        <f t="shared" si="14"/>
        <v>47017.543859649122</v>
      </c>
      <c r="G253" s="22">
        <f t="shared" si="15"/>
        <v>40000</v>
      </c>
      <c r="H253" s="22" t="str">
        <f t="shared" si="16"/>
        <v/>
      </c>
      <c r="I253" s="13">
        <v>5565</v>
      </c>
      <c r="J253" s="13">
        <v>136</v>
      </c>
      <c r="K253" s="13">
        <v>1</v>
      </c>
      <c r="L253" s="13">
        <v>0</v>
      </c>
      <c r="M253" s="13">
        <v>5702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5">
        <v>2.2999999999999998</v>
      </c>
      <c r="T253" s="15">
        <v>5.7</v>
      </c>
      <c r="U253" s="15">
        <v>0.1</v>
      </c>
      <c r="V253" s="15">
        <v>0</v>
      </c>
      <c r="W253" s="15">
        <v>8.1</v>
      </c>
      <c r="X253" s="16">
        <v>1.1000000000000001</v>
      </c>
      <c r="Y253" s="16">
        <v>2.8</v>
      </c>
      <c r="Z253" s="16">
        <v>0</v>
      </c>
      <c r="AA253" s="16">
        <v>0</v>
      </c>
      <c r="AB253" s="16">
        <v>3.9</v>
      </c>
      <c r="AC253" s="17">
        <v>89</v>
      </c>
      <c r="AD253" s="17">
        <v>217</v>
      </c>
      <c r="AE253" s="17">
        <v>3</v>
      </c>
      <c r="AF253" s="17">
        <v>0</v>
      </c>
      <c r="AG253" s="17">
        <v>309</v>
      </c>
      <c r="AH253" s="18">
        <v>21</v>
      </c>
      <c r="AI253" s="18">
        <v>51</v>
      </c>
      <c r="AJ253" s="18">
        <v>1</v>
      </c>
      <c r="AK253" s="18">
        <v>0</v>
      </c>
      <c r="AL253" s="18">
        <v>73</v>
      </c>
      <c r="AM253" s="19" t="s">
        <v>24</v>
      </c>
    </row>
    <row r="254" spans="1:39" x14ac:dyDescent="0.25">
      <c r="A254" s="10">
        <v>2016</v>
      </c>
      <c r="B254" s="11">
        <v>13998</v>
      </c>
      <c r="C254" s="12" t="s">
        <v>299</v>
      </c>
      <c r="D254" s="12" t="s">
        <v>102</v>
      </c>
      <c r="E254" s="22">
        <f t="shared" si="13"/>
        <v>110379.74683544303</v>
      </c>
      <c r="F254" s="22" t="str">
        <f t="shared" si="14"/>
        <v/>
      </c>
      <c r="G254" s="22">
        <f t="shared" si="15"/>
        <v>36.951501154734409</v>
      </c>
      <c r="H254" s="22" t="str">
        <f t="shared" si="16"/>
        <v/>
      </c>
      <c r="I254" s="13">
        <v>12388</v>
      </c>
      <c r="J254" s="13">
        <v>0</v>
      </c>
      <c r="K254" s="13">
        <v>17</v>
      </c>
      <c r="L254" s="13">
        <v>0</v>
      </c>
      <c r="M254" s="13">
        <v>12405</v>
      </c>
      <c r="N254" s="14">
        <v>62</v>
      </c>
      <c r="O254" s="14">
        <v>0</v>
      </c>
      <c r="P254" s="14">
        <v>0</v>
      </c>
      <c r="Q254" s="14">
        <v>0</v>
      </c>
      <c r="R254" s="14">
        <v>62</v>
      </c>
      <c r="S254" s="15">
        <v>7.9</v>
      </c>
      <c r="T254" s="15">
        <v>0</v>
      </c>
      <c r="U254" s="15">
        <v>216.5</v>
      </c>
      <c r="V254" s="15">
        <v>0</v>
      </c>
      <c r="W254" s="15">
        <v>224.4</v>
      </c>
      <c r="X254" s="16">
        <v>7.8</v>
      </c>
      <c r="Y254" s="16">
        <v>0</v>
      </c>
      <c r="Z254" s="16">
        <v>0</v>
      </c>
      <c r="AA254" s="16">
        <v>0</v>
      </c>
      <c r="AB254" s="16">
        <v>7.8</v>
      </c>
      <c r="AC254" s="17">
        <v>132</v>
      </c>
      <c r="AD254" s="17">
        <v>0</v>
      </c>
      <c r="AE254" s="17">
        <v>8</v>
      </c>
      <c r="AF254" s="17">
        <v>0</v>
      </c>
      <c r="AG254" s="17">
        <v>140</v>
      </c>
      <c r="AH254" s="18">
        <v>740</v>
      </c>
      <c r="AI254" s="18">
        <v>0</v>
      </c>
      <c r="AJ254" s="18">
        <v>0</v>
      </c>
      <c r="AK254" s="18">
        <v>0</v>
      </c>
      <c r="AL254" s="18">
        <v>740</v>
      </c>
      <c r="AM254" s="19" t="s">
        <v>24</v>
      </c>
    </row>
    <row r="255" spans="1:39" x14ac:dyDescent="0.25">
      <c r="A255" s="10">
        <v>2016</v>
      </c>
      <c r="B255" s="11">
        <v>14006</v>
      </c>
      <c r="C255" s="12" t="s">
        <v>300</v>
      </c>
      <c r="D255" s="12" t="s">
        <v>102</v>
      </c>
      <c r="E255" s="22">
        <f t="shared" si="13"/>
        <v>0</v>
      </c>
      <c r="F255" s="22" t="str">
        <f t="shared" si="14"/>
        <v/>
      </c>
      <c r="G255" s="22">
        <f t="shared" si="15"/>
        <v>0</v>
      </c>
      <c r="H255" s="22" t="str">
        <f t="shared" si="16"/>
        <v/>
      </c>
      <c r="I255" s="13">
        <v>1234</v>
      </c>
      <c r="J255" s="13">
        <v>0</v>
      </c>
      <c r="K255" s="13">
        <v>1</v>
      </c>
      <c r="L255" s="13">
        <v>0</v>
      </c>
      <c r="M255" s="13">
        <v>1235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5">
        <v>1.2</v>
      </c>
      <c r="T255" s="15">
        <v>0</v>
      </c>
      <c r="U255" s="15">
        <v>37.799999999999997</v>
      </c>
      <c r="V255" s="15">
        <v>0</v>
      </c>
      <c r="W255" s="15">
        <v>39</v>
      </c>
      <c r="X255" s="16">
        <v>1.2</v>
      </c>
      <c r="Y255" s="16">
        <v>0</v>
      </c>
      <c r="Z255" s="16">
        <v>0</v>
      </c>
      <c r="AA255" s="16">
        <v>0</v>
      </c>
      <c r="AB255" s="16">
        <v>1.2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8">
        <v>0</v>
      </c>
      <c r="AI255" s="18">
        <v>0</v>
      </c>
      <c r="AJ255" s="18">
        <v>0</v>
      </c>
      <c r="AK255" s="18">
        <v>0</v>
      </c>
      <c r="AL255" s="18">
        <v>0</v>
      </c>
      <c r="AM255" s="19" t="s">
        <v>24</v>
      </c>
    </row>
    <row r="256" spans="1:39" x14ac:dyDescent="0.25">
      <c r="A256" s="10">
        <v>2016</v>
      </c>
      <c r="B256" s="11">
        <v>14063</v>
      </c>
      <c r="C256" s="12" t="s">
        <v>301</v>
      </c>
      <c r="D256" s="12" t="s">
        <v>48</v>
      </c>
      <c r="E256" s="22" t="str">
        <f t="shared" si="13"/>
        <v/>
      </c>
      <c r="F256" s="22">
        <f t="shared" si="14"/>
        <v>0</v>
      </c>
      <c r="G256" s="22" t="str">
        <f t="shared" si="15"/>
        <v/>
      </c>
      <c r="H256" s="22" t="str">
        <f t="shared" si="16"/>
        <v/>
      </c>
      <c r="I256" s="13">
        <v>0</v>
      </c>
      <c r="J256" s="13">
        <v>1</v>
      </c>
      <c r="K256" s="13">
        <v>0</v>
      </c>
      <c r="L256" s="13">
        <v>0</v>
      </c>
      <c r="M256" s="13">
        <v>1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5">
        <v>0</v>
      </c>
      <c r="T256" s="15">
        <v>2974</v>
      </c>
      <c r="U256" s="15">
        <v>0</v>
      </c>
      <c r="V256" s="15">
        <v>0</v>
      </c>
      <c r="W256" s="15">
        <v>2974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8">
        <v>0</v>
      </c>
      <c r="AI256" s="18">
        <v>0</v>
      </c>
      <c r="AJ256" s="18">
        <v>0</v>
      </c>
      <c r="AK256" s="18">
        <v>0</v>
      </c>
      <c r="AL256" s="18">
        <v>0</v>
      </c>
      <c r="AM256" s="19" t="s">
        <v>24</v>
      </c>
    </row>
    <row r="257" spans="1:39" x14ac:dyDescent="0.25">
      <c r="A257" s="10">
        <v>2016</v>
      </c>
      <c r="B257" s="11">
        <v>14063</v>
      </c>
      <c r="C257" s="12" t="s">
        <v>301</v>
      </c>
      <c r="D257" s="12" t="s">
        <v>96</v>
      </c>
      <c r="E257" s="22">
        <f t="shared" si="13"/>
        <v>1928500</v>
      </c>
      <c r="F257" s="22">
        <f t="shared" si="14"/>
        <v>1789666.6666666667</v>
      </c>
      <c r="G257" s="22" t="str">
        <f t="shared" si="15"/>
        <v/>
      </c>
      <c r="H257" s="22" t="str">
        <f t="shared" si="16"/>
        <v/>
      </c>
      <c r="I257" s="13">
        <v>10884</v>
      </c>
      <c r="J257" s="13">
        <v>1628</v>
      </c>
      <c r="K257" s="13">
        <v>0</v>
      </c>
      <c r="L257" s="13">
        <v>0</v>
      </c>
      <c r="M257" s="13">
        <v>12512</v>
      </c>
      <c r="N257" s="14">
        <v>2544</v>
      </c>
      <c r="O257" s="14">
        <v>0</v>
      </c>
      <c r="P257" s="14">
        <v>0</v>
      </c>
      <c r="Q257" s="14">
        <v>0</v>
      </c>
      <c r="R257" s="14">
        <v>2544</v>
      </c>
      <c r="S257" s="15">
        <v>4</v>
      </c>
      <c r="T257" s="15">
        <v>3</v>
      </c>
      <c r="U257" s="15">
        <v>0</v>
      </c>
      <c r="V257" s="15">
        <v>0</v>
      </c>
      <c r="W257" s="15">
        <v>7</v>
      </c>
      <c r="X257" s="16">
        <v>4</v>
      </c>
      <c r="Y257" s="16">
        <v>2</v>
      </c>
      <c r="Z257" s="16">
        <v>0</v>
      </c>
      <c r="AA257" s="16">
        <v>0</v>
      </c>
      <c r="AB257" s="16">
        <v>6</v>
      </c>
      <c r="AC257" s="17">
        <v>4407</v>
      </c>
      <c r="AD257" s="17">
        <v>4875</v>
      </c>
      <c r="AE257" s="17">
        <v>0</v>
      </c>
      <c r="AF257" s="17">
        <v>0</v>
      </c>
      <c r="AG257" s="17">
        <v>9282</v>
      </c>
      <c r="AH257" s="18">
        <v>3307</v>
      </c>
      <c r="AI257" s="18">
        <v>494</v>
      </c>
      <c r="AJ257" s="18">
        <v>0</v>
      </c>
      <c r="AK257" s="18">
        <v>0</v>
      </c>
      <c r="AL257" s="18">
        <v>3801</v>
      </c>
      <c r="AM257" s="19" t="s">
        <v>24</v>
      </c>
    </row>
    <row r="258" spans="1:39" x14ac:dyDescent="0.25">
      <c r="A258" s="10">
        <v>2016</v>
      </c>
      <c r="B258" s="11">
        <v>14127</v>
      </c>
      <c r="C258" s="12" t="s">
        <v>302</v>
      </c>
      <c r="D258" s="12" t="s">
        <v>72</v>
      </c>
      <c r="E258" s="22">
        <f t="shared" si="13"/>
        <v>33546.712802768168</v>
      </c>
      <c r="F258" s="22">
        <f t="shared" si="14"/>
        <v>32068.965517241377</v>
      </c>
      <c r="G258" s="22">
        <f t="shared" si="15"/>
        <v>48000</v>
      </c>
      <c r="H258" s="22" t="str">
        <f t="shared" si="16"/>
        <v/>
      </c>
      <c r="I258" s="13">
        <v>40300</v>
      </c>
      <c r="J258" s="13">
        <v>26</v>
      </c>
      <c r="K258" s="13">
        <v>1</v>
      </c>
      <c r="L258" s="13">
        <v>0</v>
      </c>
      <c r="M258" s="13">
        <v>40327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5">
        <v>57.8</v>
      </c>
      <c r="T258" s="15">
        <v>40.6</v>
      </c>
      <c r="U258" s="15">
        <v>12</v>
      </c>
      <c r="V258" s="15">
        <v>0</v>
      </c>
      <c r="W258" s="15">
        <v>110.4</v>
      </c>
      <c r="X258" s="16">
        <v>57.8</v>
      </c>
      <c r="Y258" s="16">
        <v>40.6</v>
      </c>
      <c r="Z258" s="16">
        <v>12</v>
      </c>
      <c r="AA258" s="16">
        <v>0</v>
      </c>
      <c r="AB258" s="16">
        <v>110.4</v>
      </c>
      <c r="AC258" s="17">
        <v>889</v>
      </c>
      <c r="AD258" s="17">
        <v>1224</v>
      </c>
      <c r="AE258" s="17">
        <v>576</v>
      </c>
      <c r="AF258" s="17">
        <v>0</v>
      </c>
      <c r="AG258" s="17">
        <v>2689</v>
      </c>
      <c r="AH258" s="18">
        <v>1050</v>
      </c>
      <c r="AI258" s="18">
        <v>78</v>
      </c>
      <c r="AJ258" s="18">
        <v>0</v>
      </c>
      <c r="AK258" s="18">
        <v>0</v>
      </c>
      <c r="AL258" s="18">
        <v>1128</v>
      </c>
      <c r="AM258" s="19" t="s">
        <v>24</v>
      </c>
    </row>
    <row r="259" spans="1:39" x14ac:dyDescent="0.25">
      <c r="A259" s="10">
        <v>2016</v>
      </c>
      <c r="B259" s="11">
        <v>14154</v>
      </c>
      <c r="C259" s="12" t="s">
        <v>303</v>
      </c>
      <c r="D259" s="12" t="s">
        <v>88</v>
      </c>
      <c r="E259" s="22">
        <f t="shared" si="13"/>
        <v>200000</v>
      </c>
      <c r="F259" s="22">
        <f t="shared" si="14"/>
        <v>19550</v>
      </c>
      <c r="G259" s="22">
        <f t="shared" si="15"/>
        <v>28200</v>
      </c>
      <c r="H259" s="22" t="str">
        <f t="shared" si="16"/>
        <v/>
      </c>
      <c r="I259" s="13">
        <v>1173</v>
      </c>
      <c r="J259" s="13">
        <v>25</v>
      </c>
      <c r="K259" s="13">
        <v>5</v>
      </c>
      <c r="L259" s="13">
        <v>0</v>
      </c>
      <c r="M259" s="13">
        <v>1203</v>
      </c>
      <c r="N259" s="14">
        <v>4</v>
      </c>
      <c r="O259" s="14">
        <v>21</v>
      </c>
      <c r="P259" s="14">
        <v>14</v>
      </c>
      <c r="Q259" s="14">
        <v>0</v>
      </c>
      <c r="R259" s="14">
        <v>39</v>
      </c>
      <c r="S259" s="15">
        <v>1</v>
      </c>
      <c r="T259" s="15">
        <v>20</v>
      </c>
      <c r="U259" s="15">
        <v>5</v>
      </c>
      <c r="V259" s="15">
        <v>0</v>
      </c>
      <c r="W259" s="15">
        <v>26</v>
      </c>
      <c r="X259" s="16">
        <v>1</v>
      </c>
      <c r="Y259" s="16">
        <v>5</v>
      </c>
      <c r="Z259" s="16">
        <v>4</v>
      </c>
      <c r="AA259" s="16">
        <v>0</v>
      </c>
      <c r="AB259" s="16">
        <v>10</v>
      </c>
      <c r="AC259" s="17">
        <v>86</v>
      </c>
      <c r="AD259" s="17">
        <v>260</v>
      </c>
      <c r="AE259" s="17">
        <v>110</v>
      </c>
      <c r="AF259" s="17">
        <v>0</v>
      </c>
      <c r="AG259" s="17">
        <v>456</v>
      </c>
      <c r="AH259" s="18">
        <v>114</v>
      </c>
      <c r="AI259" s="18">
        <v>131</v>
      </c>
      <c r="AJ259" s="18">
        <v>31</v>
      </c>
      <c r="AK259" s="18">
        <v>0</v>
      </c>
      <c r="AL259" s="18">
        <v>276</v>
      </c>
      <c r="AM259" s="19" t="s">
        <v>24</v>
      </c>
    </row>
    <row r="260" spans="1:39" x14ac:dyDescent="0.25">
      <c r="A260" s="10">
        <v>2016</v>
      </c>
      <c r="B260" s="11">
        <v>14175</v>
      </c>
      <c r="C260" s="12" t="s">
        <v>304</v>
      </c>
      <c r="D260" s="12" t="s">
        <v>64</v>
      </c>
      <c r="E260" s="22">
        <f t="shared" si="13"/>
        <v>0</v>
      </c>
      <c r="F260" s="22" t="str">
        <f t="shared" si="14"/>
        <v/>
      </c>
      <c r="G260" s="22" t="str">
        <f t="shared" si="15"/>
        <v/>
      </c>
      <c r="H260" s="22" t="str">
        <f t="shared" si="16"/>
        <v/>
      </c>
      <c r="I260" s="13">
        <v>17170</v>
      </c>
      <c r="J260" s="13">
        <v>0</v>
      </c>
      <c r="K260" s="13">
        <v>0</v>
      </c>
      <c r="L260" s="13">
        <v>0</v>
      </c>
      <c r="M260" s="13">
        <v>17170</v>
      </c>
      <c r="N260" s="14">
        <v>3526</v>
      </c>
      <c r="O260" s="14">
        <v>0</v>
      </c>
      <c r="P260" s="14">
        <v>0</v>
      </c>
      <c r="Q260" s="14">
        <v>0</v>
      </c>
      <c r="R260" s="14">
        <v>3526</v>
      </c>
      <c r="S260" s="15">
        <v>3</v>
      </c>
      <c r="T260" s="15">
        <v>0</v>
      </c>
      <c r="U260" s="15">
        <v>0</v>
      </c>
      <c r="V260" s="15">
        <v>0</v>
      </c>
      <c r="W260" s="15">
        <v>3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8">
        <v>0</v>
      </c>
      <c r="AI260" s="18">
        <v>0</v>
      </c>
      <c r="AJ260" s="18">
        <v>0</v>
      </c>
      <c r="AK260" s="18">
        <v>0</v>
      </c>
      <c r="AL260" s="18">
        <v>0</v>
      </c>
      <c r="AM260" s="19" t="s">
        <v>24</v>
      </c>
    </row>
    <row r="261" spans="1:39" x14ac:dyDescent="0.25">
      <c r="A261" s="10">
        <v>2016</v>
      </c>
      <c r="B261" s="11">
        <v>14178</v>
      </c>
      <c r="C261" s="12" t="s">
        <v>305</v>
      </c>
      <c r="D261" s="12" t="s">
        <v>36</v>
      </c>
      <c r="E261" s="22">
        <f t="shared" ref="E261:E324" si="17">IFERROR(SUM(AC261,AH261)*10^3/S261,"")</f>
        <v>296.2962962962963</v>
      </c>
      <c r="F261" s="22">
        <f t="shared" ref="F261:F324" si="18">IFERROR(SUM(AD261,AI261)*10^3/T261,"")</f>
        <v>500</v>
      </c>
      <c r="G261" s="22" t="str">
        <f t="shared" ref="G261:G324" si="19">IFERROR(SUM(AE261,AJ261)*10^3/U261,"")</f>
        <v/>
      </c>
      <c r="H261" s="22" t="str">
        <f t="shared" ref="H261:H324" si="20">IFERROR(SUM(AF261,AK261)*10^3/V261,"")</f>
        <v/>
      </c>
      <c r="I261" s="13">
        <v>1732</v>
      </c>
      <c r="J261" s="13">
        <v>100</v>
      </c>
      <c r="K261" s="13">
        <v>0</v>
      </c>
      <c r="L261" s="13">
        <v>0</v>
      </c>
      <c r="M261" s="13">
        <v>1832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5">
        <v>27</v>
      </c>
      <c r="T261" s="15">
        <v>4</v>
      </c>
      <c r="U261" s="15">
        <v>0</v>
      </c>
      <c r="V261" s="15">
        <v>0</v>
      </c>
      <c r="W261" s="15">
        <v>31</v>
      </c>
      <c r="X261" s="16">
        <v>23</v>
      </c>
      <c r="Y261" s="16">
        <v>2</v>
      </c>
      <c r="Z261" s="16">
        <v>0</v>
      </c>
      <c r="AA261" s="16">
        <v>0</v>
      </c>
      <c r="AB261" s="16">
        <v>25</v>
      </c>
      <c r="AC261" s="17">
        <v>8</v>
      </c>
      <c r="AD261" s="17">
        <v>2</v>
      </c>
      <c r="AE261" s="17">
        <v>0</v>
      </c>
      <c r="AF261" s="17">
        <v>0</v>
      </c>
      <c r="AG261" s="17">
        <v>10</v>
      </c>
      <c r="AH261" s="18">
        <v>0</v>
      </c>
      <c r="AI261" s="18">
        <v>0</v>
      </c>
      <c r="AJ261" s="18">
        <v>0</v>
      </c>
      <c r="AK261" s="18">
        <v>0</v>
      </c>
      <c r="AL261" s="18">
        <v>0</v>
      </c>
      <c r="AM261" s="19" t="s">
        <v>24</v>
      </c>
    </row>
    <row r="262" spans="1:39" x14ac:dyDescent="0.25">
      <c r="A262" s="10">
        <v>2016</v>
      </c>
      <c r="B262" s="11">
        <v>14201</v>
      </c>
      <c r="C262" s="12" t="s">
        <v>306</v>
      </c>
      <c r="D262" s="12" t="s">
        <v>38</v>
      </c>
      <c r="E262" s="22">
        <f t="shared" si="17"/>
        <v>0</v>
      </c>
      <c r="F262" s="22" t="str">
        <f t="shared" si="18"/>
        <v/>
      </c>
      <c r="G262" s="22" t="str">
        <f t="shared" si="19"/>
        <v/>
      </c>
      <c r="H262" s="22" t="str">
        <f t="shared" si="20"/>
        <v/>
      </c>
      <c r="I262" s="13">
        <v>569</v>
      </c>
      <c r="J262" s="13">
        <v>65</v>
      </c>
      <c r="K262" s="13">
        <v>0</v>
      </c>
      <c r="L262" s="13">
        <v>0</v>
      </c>
      <c r="M262" s="13">
        <v>634</v>
      </c>
      <c r="N262" s="14">
        <v>7</v>
      </c>
      <c r="O262" s="14">
        <v>2</v>
      </c>
      <c r="P262" s="14">
        <v>0</v>
      </c>
      <c r="Q262" s="14">
        <v>0</v>
      </c>
      <c r="R262" s="14">
        <v>9</v>
      </c>
      <c r="S262" s="15">
        <v>1</v>
      </c>
      <c r="T262" s="15">
        <v>0</v>
      </c>
      <c r="U262" s="15">
        <v>0</v>
      </c>
      <c r="V262" s="15">
        <v>0</v>
      </c>
      <c r="W262" s="15">
        <v>1</v>
      </c>
      <c r="X262" s="16">
        <v>1</v>
      </c>
      <c r="Y262" s="16">
        <v>0</v>
      </c>
      <c r="Z262" s="16">
        <v>0</v>
      </c>
      <c r="AA262" s="16">
        <v>0</v>
      </c>
      <c r="AB262" s="16">
        <v>1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9" t="s">
        <v>24</v>
      </c>
    </row>
    <row r="263" spans="1:39" x14ac:dyDescent="0.25">
      <c r="A263" s="10">
        <v>2016</v>
      </c>
      <c r="B263" s="11">
        <v>14202</v>
      </c>
      <c r="C263" s="12" t="s">
        <v>307</v>
      </c>
      <c r="D263" s="12" t="s">
        <v>38</v>
      </c>
      <c r="E263" s="22">
        <f t="shared" si="17"/>
        <v>9333.3333333333339</v>
      </c>
      <c r="F263" s="22" t="str">
        <f t="shared" si="18"/>
        <v/>
      </c>
      <c r="G263" s="22" t="str">
        <f t="shared" si="19"/>
        <v/>
      </c>
      <c r="H263" s="22" t="str">
        <f t="shared" si="20"/>
        <v/>
      </c>
      <c r="I263" s="13">
        <v>632</v>
      </c>
      <c r="J263" s="13">
        <v>0</v>
      </c>
      <c r="K263" s="13">
        <v>0</v>
      </c>
      <c r="L263" s="13">
        <v>0</v>
      </c>
      <c r="M263" s="13">
        <v>632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5">
        <v>3</v>
      </c>
      <c r="T263" s="15">
        <v>0</v>
      </c>
      <c r="U263" s="15">
        <v>0</v>
      </c>
      <c r="V263" s="15">
        <v>0</v>
      </c>
      <c r="W263" s="15">
        <v>3</v>
      </c>
      <c r="X263" s="16">
        <v>3</v>
      </c>
      <c r="Y263" s="16">
        <v>0</v>
      </c>
      <c r="Z263" s="16">
        <v>0</v>
      </c>
      <c r="AA263" s="16">
        <v>0</v>
      </c>
      <c r="AB263" s="16">
        <v>3</v>
      </c>
      <c r="AC263" s="17">
        <v>23</v>
      </c>
      <c r="AD263" s="17">
        <v>0</v>
      </c>
      <c r="AE263" s="17">
        <v>0</v>
      </c>
      <c r="AF263" s="17">
        <v>0</v>
      </c>
      <c r="AG263" s="17">
        <v>23</v>
      </c>
      <c r="AH263" s="18">
        <v>5</v>
      </c>
      <c r="AI263" s="18">
        <v>0</v>
      </c>
      <c r="AJ263" s="18">
        <v>0</v>
      </c>
      <c r="AK263" s="18">
        <v>0</v>
      </c>
      <c r="AL263" s="18">
        <v>5</v>
      </c>
      <c r="AM263" s="19">
        <v>9</v>
      </c>
    </row>
    <row r="264" spans="1:39" x14ac:dyDescent="0.25">
      <c r="A264" s="10">
        <v>2016</v>
      </c>
      <c r="B264" s="11">
        <v>14232</v>
      </c>
      <c r="C264" s="12" t="s">
        <v>308</v>
      </c>
      <c r="D264" s="12" t="s">
        <v>36</v>
      </c>
      <c r="E264" s="22">
        <f t="shared" si="17"/>
        <v>5950</v>
      </c>
      <c r="F264" s="22">
        <f t="shared" si="18"/>
        <v>1360</v>
      </c>
      <c r="G264" s="22">
        <f t="shared" si="19"/>
        <v>2363.6363636363635</v>
      </c>
      <c r="H264" s="22" t="str">
        <f t="shared" si="20"/>
        <v/>
      </c>
      <c r="I264" s="13">
        <v>16770</v>
      </c>
      <c r="J264" s="13">
        <v>2653</v>
      </c>
      <c r="K264" s="13">
        <v>191</v>
      </c>
      <c r="L264" s="13">
        <v>0</v>
      </c>
      <c r="M264" s="13">
        <v>19614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5">
        <v>20</v>
      </c>
      <c r="T264" s="15">
        <v>25</v>
      </c>
      <c r="U264" s="15">
        <v>11</v>
      </c>
      <c r="V264" s="15">
        <v>0</v>
      </c>
      <c r="W264" s="15">
        <v>56</v>
      </c>
      <c r="X264" s="16">
        <v>20</v>
      </c>
      <c r="Y264" s="16">
        <v>25</v>
      </c>
      <c r="Z264" s="16">
        <v>11</v>
      </c>
      <c r="AA264" s="16">
        <v>0</v>
      </c>
      <c r="AB264" s="16">
        <v>56</v>
      </c>
      <c r="AC264" s="17">
        <v>34</v>
      </c>
      <c r="AD264" s="17">
        <v>33</v>
      </c>
      <c r="AE264" s="17">
        <v>7</v>
      </c>
      <c r="AF264" s="17">
        <v>0</v>
      </c>
      <c r="AG264" s="17">
        <v>74</v>
      </c>
      <c r="AH264" s="18">
        <v>85</v>
      </c>
      <c r="AI264" s="18">
        <v>1</v>
      </c>
      <c r="AJ264" s="18">
        <v>19</v>
      </c>
      <c r="AK264" s="18">
        <v>0</v>
      </c>
      <c r="AL264" s="18">
        <v>105</v>
      </c>
      <c r="AM264" s="19" t="s">
        <v>24</v>
      </c>
    </row>
    <row r="265" spans="1:39" x14ac:dyDescent="0.25">
      <c r="A265" s="10">
        <v>2016</v>
      </c>
      <c r="B265" s="11">
        <v>14246</v>
      </c>
      <c r="C265" s="12" t="s">
        <v>309</v>
      </c>
      <c r="D265" s="12" t="s">
        <v>36</v>
      </c>
      <c r="E265" s="22">
        <f t="shared" si="17"/>
        <v>154285.71428571429</v>
      </c>
      <c r="F265" s="22">
        <f t="shared" si="18"/>
        <v>68333.333333333343</v>
      </c>
      <c r="G265" s="22">
        <f t="shared" si="19"/>
        <v>40000</v>
      </c>
      <c r="H265" s="22" t="str">
        <f t="shared" si="20"/>
        <v/>
      </c>
      <c r="I265" s="13">
        <v>6668</v>
      </c>
      <c r="J265" s="13">
        <v>277</v>
      </c>
      <c r="K265" s="13">
        <v>4</v>
      </c>
      <c r="L265" s="13">
        <v>0</v>
      </c>
      <c r="M265" s="13">
        <v>6949</v>
      </c>
      <c r="N265" s="14">
        <v>40</v>
      </c>
      <c r="O265" s="14">
        <v>17</v>
      </c>
      <c r="P265" s="14">
        <v>14</v>
      </c>
      <c r="Q265" s="14">
        <v>0</v>
      </c>
      <c r="R265" s="14">
        <v>71</v>
      </c>
      <c r="S265" s="15">
        <v>2.1</v>
      </c>
      <c r="T265" s="15">
        <v>1.2</v>
      </c>
      <c r="U265" s="15">
        <v>0.9</v>
      </c>
      <c r="V265" s="15">
        <v>0</v>
      </c>
      <c r="W265" s="15">
        <v>4.2</v>
      </c>
      <c r="X265" s="16">
        <v>2.1</v>
      </c>
      <c r="Y265" s="16">
        <v>1.2</v>
      </c>
      <c r="Z265" s="16">
        <v>0.9</v>
      </c>
      <c r="AA265" s="16">
        <v>0</v>
      </c>
      <c r="AB265" s="16">
        <v>4.2</v>
      </c>
      <c r="AC265" s="17">
        <v>318</v>
      </c>
      <c r="AD265" s="17">
        <v>82</v>
      </c>
      <c r="AE265" s="17">
        <v>36</v>
      </c>
      <c r="AF265" s="17">
        <v>0</v>
      </c>
      <c r="AG265" s="17">
        <v>436</v>
      </c>
      <c r="AH265" s="18">
        <v>6</v>
      </c>
      <c r="AI265" s="18">
        <v>0</v>
      </c>
      <c r="AJ265" s="18">
        <v>0</v>
      </c>
      <c r="AK265" s="18">
        <v>0</v>
      </c>
      <c r="AL265" s="18">
        <v>6</v>
      </c>
      <c r="AM265" s="19">
        <v>0</v>
      </c>
    </row>
    <row r="266" spans="1:39" x14ac:dyDescent="0.25">
      <c r="A266" s="10">
        <v>2016</v>
      </c>
      <c r="B266" s="11">
        <v>14251</v>
      </c>
      <c r="C266" s="12" t="s">
        <v>310</v>
      </c>
      <c r="D266" s="12" t="s">
        <v>148</v>
      </c>
      <c r="E266" s="22" t="str">
        <f t="shared" si="17"/>
        <v/>
      </c>
      <c r="F266" s="22" t="str">
        <f t="shared" si="18"/>
        <v/>
      </c>
      <c r="G266" s="22" t="str">
        <f t="shared" si="19"/>
        <v/>
      </c>
      <c r="H266" s="22" t="str">
        <f t="shared" si="20"/>
        <v/>
      </c>
      <c r="I266" s="13">
        <v>2667</v>
      </c>
      <c r="J266" s="13">
        <v>22</v>
      </c>
      <c r="K266" s="13">
        <v>3</v>
      </c>
      <c r="L266" s="13">
        <v>0</v>
      </c>
      <c r="M266" s="13">
        <v>2692</v>
      </c>
      <c r="N266" s="14">
        <v>3899</v>
      </c>
      <c r="O266" s="14">
        <v>3867</v>
      </c>
      <c r="P266" s="14">
        <v>2408</v>
      </c>
      <c r="Q266" s="14">
        <v>0</v>
      </c>
      <c r="R266" s="14">
        <v>10174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7">
        <v>334</v>
      </c>
      <c r="AD266" s="17">
        <v>57</v>
      </c>
      <c r="AE266" s="17">
        <v>32</v>
      </c>
      <c r="AF266" s="17">
        <v>0</v>
      </c>
      <c r="AG266" s="17">
        <v>423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9" t="s">
        <v>24</v>
      </c>
    </row>
    <row r="267" spans="1:39" x14ac:dyDescent="0.25">
      <c r="A267" s="10">
        <v>2016</v>
      </c>
      <c r="B267" s="11">
        <v>14328</v>
      </c>
      <c r="C267" s="12" t="s">
        <v>311</v>
      </c>
      <c r="D267" s="12" t="s">
        <v>42</v>
      </c>
      <c r="E267" s="22">
        <f t="shared" si="17"/>
        <v>104831.16883116883</v>
      </c>
      <c r="F267" s="22">
        <f t="shared" si="18"/>
        <v>158562.87425149701</v>
      </c>
      <c r="G267" s="22">
        <f t="shared" si="19"/>
        <v>28584.482758620688</v>
      </c>
      <c r="H267" s="22" t="str">
        <f t="shared" si="20"/>
        <v/>
      </c>
      <c r="I267" s="13">
        <v>462704</v>
      </c>
      <c r="J267" s="13">
        <v>746197</v>
      </c>
      <c r="K267" s="13">
        <v>13470</v>
      </c>
      <c r="L267" s="13">
        <v>0</v>
      </c>
      <c r="M267" s="13">
        <v>1222371</v>
      </c>
      <c r="N267" s="14">
        <v>4576</v>
      </c>
      <c r="O267" s="14">
        <v>5675</v>
      </c>
      <c r="P267" s="14">
        <v>8586</v>
      </c>
      <c r="Q267" s="14">
        <v>0</v>
      </c>
      <c r="R267" s="14">
        <v>18837</v>
      </c>
      <c r="S267" s="15">
        <v>154</v>
      </c>
      <c r="T267" s="15">
        <v>167</v>
      </c>
      <c r="U267" s="15">
        <v>580</v>
      </c>
      <c r="V267" s="15">
        <v>0</v>
      </c>
      <c r="W267" s="15">
        <v>901</v>
      </c>
      <c r="X267" s="16">
        <v>69</v>
      </c>
      <c r="Y267" s="16">
        <v>49</v>
      </c>
      <c r="Z267" s="16">
        <v>126</v>
      </c>
      <c r="AA267" s="16">
        <v>0</v>
      </c>
      <c r="AB267" s="16">
        <v>244</v>
      </c>
      <c r="AC267" s="17">
        <v>693</v>
      </c>
      <c r="AD267" s="17">
        <v>15410</v>
      </c>
      <c r="AE267" s="17">
        <v>2123</v>
      </c>
      <c r="AF267" s="17">
        <v>0</v>
      </c>
      <c r="AG267" s="17">
        <v>18226</v>
      </c>
      <c r="AH267" s="18">
        <v>15451</v>
      </c>
      <c r="AI267" s="18">
        <v>11070</v>
      </c>
      <c r="AJ267" s="18">
        <v>14456</v>
      </c>
      <c r="AK267" s="18">
        <v>0</v>
      </c>
      <c r="AL267" s="18">
        <v>40977</v>
      </c>
      <c r="AM267" s="19">
        <v>0</v>
      </c>
    </row>
    <row r="268" spans="1:39" x14ac:dyDescent="0.25">
      <c r="A268" s="10">
        <v>2016</v>
      </c>
      <c r="B268" s="11">
        <v>14354</v>
      </c>
      <c r="C268" s="12" t="s">
        <v>312</v>
      </c>
      <c r="D268" s="12" t="s">
        <v>159</v>
      </c>
      <c r="E268" s="22" t="str">
        <f t="shared" si="17"/>
        <v/>
      </c>
      <c r="F268" s="22" t="str">
        <f t="shared" si="18"/>
        <v/>
      </c>
      <c r="G268" s="22">
        <f t="shared" si="19"/>
        <v>16669.260700389106</v>
      </c>
      <c r="H268" s="22" t="str">
        <f t="shared" si="20"/>
        <v/>
      </c>
      <c r="I268" s="13">
        <v>0</v>
      </c>
      <c r="J268" s="13">
        <v>0</v>
      </c>
      <c r="K268" s="13">
        <v>207</v>
      </c>
      <c r="L268" s="13">
        <v>0</v>
      </c>
      <c r="M268" s="13">
        <v>207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5">
        <v>0</v>
      </c>
      <c r="T268" s="15">
        <v>0</v>
      </c>
      <c r="U268" s="15">
        <v>257</v>
      </c>
      <c r="V268" s="15">
        <v>0</v>
      </c>
      <c r="W268" s="15">
        <v>257</v>
      </c>
      <c r="X268" s="16">
        <v>0</v>
      </c>
      <c r="Y268" s="16">
        <v>0</v>
      </c>
      <c r="Z268" s="16">
        <v>146.30000000000001</v>
      </c>
      <c r="AA268" s="16">
        <v>0</v>
      </c>
      <c r="AB268" s="16">
        <v>146.30000000000001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8">
        <v>0</v>
      </c>
      <c r="AI268" s="18">
        <v>0</v>
      </c>
      <c r="AJ268" s="18">
        <v>4284</v>
      </c>
      <c r="AK268" s="18">
        <v>0</v>
      </c>
      <c r="AL268" s="18">
        <v>4284</v>
      </c>
      <c r="AM268" s="19" t="s">
        <v>24</v>
      </c>
    </row>
    <row r="269" spans="1:39" x14ac:dyDescent="0.25">
      <c r="A269" s="10">
        <v>2016</v>
      </c>
      <c r="B269" s="11">
        <v>14354</v>
      </c>
      <c r="C269" s="12" t="s">
        <v>312</v>
      </c>
      <c r="D269" s="12" t="s">
        <v>200</v>
      </c>
      <c r="E269" s="22" t="str">
        <f t="shared" si="17"/>
        <v/>
      </c>
      <c r="F269" s="22" t="str">
        <f t="shared" si="18"/>
        <v/>
      </c>
      <c r="G269" s="22">
        <f t="shared" si="19"/>
        <v>250000</v>
      </c>
      <c r="H269" s="22" t="str">
        <f t="shared" si="20"/>
        <v/>
      </c>
      <c r="I269" s="13">
        <v>0</v>
      </c>
      <c r="J269" s="13">
        <v>0</v>
      </c>
      <c r="K269" s="13">
        <v>3</v>
      </c>
      <c r="L269" s="13">
        <v>0</v>
      </c>
      <c r="M269" s="13">
        <v>3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5">
        <v>0</v>
      </c>
      <c r="T269" s="15">
        <v>0</v>
      </c>
      <c r="U269" s="15">
        <v>0.6</v>
      </c>
      <c r="V269" s="15">
        <v>0</v>
      </c>
      <c r="W269" s="15">
        <v>0.6</v>
      </c>
      <c r="X269" s="16">
        <v>0</v>
      </c>
      <c r="Y269" s="16">
        <v>0</v>
      </c>
      <c r="Z269" s="16">
        <v>0.3</v>
      </c>
      <c r="AA269" s="16">
        <v>0</v>
      </c>
      <c r="AB269" s="16">
        <v>0.3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8">
        <v>0</v>
      </c>
      <c r="AI269" s="18">
        <v>0</v>
      </c>
      <c r="AJ269" s="18">
        <v>150</v>
      </c>
      <c r="AK269" s="18">
        <v>0</v>
      </c>
      <c r="AL269" s="18">
        <v>150</v>
      </c>
      <c r="AM269" s="19" t="s">
        <v>24</v>
      </c>
    </row>
    <row r="270" spans="1:39" x14ac:dyDescent="0.25">
      <c r="A270" s="10">
        <v>2016</v>
      </c>
      <c r="B270" s="11">
        <v>14354</v>
      </c>
      <c r="C270" s="12" t="s">
        <v>312</v>
      </c>
      <c r="D270" s="12" t="s">
        <v>313</v>
      </c>
      <c r="E270" s="22">
        <f t="shared" si="17"/>
        <v>21175.925925925927</v>
      </c>
      <c r="F270" s="22" t="str">
        <f t="shared" si="18"/>
        <v/>
      </c>
      <c r="G270" s="22">
        <f t="shared" si="19"/>
        <v>11513.513513513513</v>
      </c>
      <c r="H270" s="22" t="str">
        <f t="shared" si="20"/>
        <v/>
      </c>
      <c r="I270" s="13">
        <v>108269</v>
      </c>
      <c r="J270" s="13">
        <v>0</v>
      </c>
      <c r="K270" s="13">
        <v>56</v>
      </c>
      <c r="L270" s="13">
        <v>0</v>
      </c>
      <c r="M270" s="13">
        <v>108325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5">
        <v>216</v>
      </c>
      <c r="T270" s="15">
        <v>0</v>
      </c>
      <c r="U270" s="15">
        <v>37</v>
      </c>
      <c r="V270" s="15">
        <v>0</v>
      </c>
      <c r="W270" s="15">
        <v>253</v>
      </c>
      <c r="X270" s="16">
        <v>103.4</v>
      </c>
      <c r="Y270" s="16">
        <v>0</v>
      </c>
      <c r="Z270" s="16">
        <v>12.7</v>
      </c>
      <c r="AA270" s="16">
        <v>0</v>
      </c>
      <c r="AB270" s="16">
        <v>116.1</v>
      </c>
      <c r="AC270" s="17">
        <v>2070</v>
      </c>
      <c r="AD270" s="17">
        <v>0</v>
      </c>
      <c r="AE270" s="17">
        <v>0</v>
      </c>
      <c r="AF270" s="17">
        <v>0</v>
      </c>
      <c r="AG270" s="17">
        <v>2070</v>
      </c>
      <c r="AH270" s="18">
        <v>2504</v>
      </c>
      <c r="AI270" s="18">
        <v>0</v>
      </c>
      <c r="AJ270" s="18">
        <v>426</v>
      </c>
      <c r="AK270" s="18">
        <v>0</v>
      </c>
      <c r="AL270" s="18">
        <v>2930</v>
      </c>
      <c r="AM270" s="19" t="s">
        <v>24</v>
      </c>
    </row>
    <row r="271" spans="1:39" x14ac:dyDescent="0.25">
      <c r="A271" s="10">
        <v>2016</v>
      </c>
      <c r="B271" s="11">
        <v>14398</v>
      </c>
      <c r="C271" s="12" t="s">
        <v>314</v>
      </c>
      <c r="D271" s="12" t="s">
        <v>64</v>
      </c>
      <c r="E271" s="22">
        <f t="shared" si="17"/>
        <v>25608.308605341244</v>
      </c>
      <c r="F271" s="22">
        <f t="shared" si="18"/>
        <v>2400</v>
      </c>
      <c r="G271" s="22">
        <f t="shared" si="19"/>
        <v>645.16129032258061</v>
      </c>
      <c r="H271" s="22" t="str">
        <f t="shared" si="20"/>
        <v/>
      </c>
      <c r="I271" s="13">
        <v>37196</v>
      </c>
      <c r="J271" s="13">
        <v>63</v>
      </c>
      <c r="K271" s="13">
        <v>7</v>
      </c>
      <c r="L271" s="13">
        <v>0</v>
      </c>
      <c r="M271" s="13">
        <v>37266</v>
      </c>
      <c r="N271" s="14">
        <v>171</v>
      </c>
      <c r="O271" s="14">
        <v>0</v>
      </c>
      <c r="P271" s="14">
        <v>0</v>
      </c>
      <c r="Q271" s="14">
        <v>0</v>
      </c>
      <c r="R271" s="14">
        <v>171</v>
      </c>
      <c r="S271" s="15">
        <v>33.700000000000003</v>
      </c>
      <c r="T271" s="15">
        <v>7.5</v>
      </c>
      <c r="U271" s="15">
        <v>3.1</v>
      </c>
      <c r="V271" s="15">
        <v>0</v>
      </c>
      <c r="W271" s="15">
        <v>44.3</v>
      </c>
      <c r="X271" s="16">
        <v>23.6</v>
      </c>
      <c r="Y271" s="16">
        <v>5.7</v>
      </c>
      <c r="Z271" s="16">
        <v>2.4</v>
      </c>
      <c r="AA271" s="16">
        <v>0</v>
      </c>
      <c r="AB271" s="16">
        <v>31.7</v>
      </c>
      <c r="AC271" s="17">
        <v>63</v>
      </c>
      <c r="AD271" s="17">
        <v>0</v>
      </c>
      <c r="AE271" s="17">
        <v>0</v>
      </c>
      <c r="AF271" s="17">
        <v>0</v>
      </c>
      <c r="AG271" s="17">
        <v>63</v>
      </c>
      <c r="AH271" s="18">
        <v>800</v>
      </c>
      <c r="AI271" s="18">
        <v>18</v>
      </c>
      <c r="AJ271" s="18">
        <v>2</v>
      </c>
      <c r="AK271" s="18">
        <v>0</v>
      </c>
      <c r="AL271" s="18">
        <v>820</v>
      </c>
      <c r="AM271" s="19">
        <v>283</v>
      </c>
    </row>
    <row r="272" spans="1:39" x14ac:dyDescent="0.25">
      <c r="A272" s="10">
        <v>2016</v>
      </c>
      <c r="B272" s="11">
        <v>14426</v>
      </c>
      <c r="C272" s="12" t="s">
        <v>315</v>
      </c>
      <c r="D272" s="12" t="s">
        <v>72</v>
      </c>
      <c r="E272" s="22" t="str">
        <f t="shared" si="17"/>
        <v/>
      </c>
      <c r="F272" s="22" t="str">
        <f t="shared" si="18"/>
        <v/>
      </c>
      <c r="G272" s="22" t="str">
        <f t="shared" si="19"/>
        <v/>
      </c>
      <c r="H272" s="22" t="str">
        <f t="shared" si="20"/>
        <v/>
      </c>
      <c r="I272" s="13">
        <v>0</v>
      </c>
      <c r="J272" s="13">
        <v>358</v>
      </c>
      <c r="K272" s="13">
        <v>0</v>
      </c>
      <c r="L272" s="13">
        <v>0</v>
      </c>
      <c r="M272" s="13">
        <v>358</v>
      </c>
      <c r="N272" s="14">
        <v>0</v>
      </c>
      <c r="O272" s="14">
        <v>7</v>
      </c>
      <c r="P272" s="14">
        <v>0</v>
      </c>
      <c r="Q272" s="14">
        <v>0</v>
      </c>
      <c r="R272" s="14">
        <v>7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7">
        <v>0</v>
      </c>
      <c r="AD272" s="17">
        <v>422</v>
      </c>
      <c r="AE272" s="17">
        <v>0</v>
      </c>
      <c r="AF272" s="17">
        <v>0</v>
      </c>
      <c r="AG272" s="17">
        <v>422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9" t="s">
        <v>24</v>
      </c>
    </row>
    <row r="273" spans="1:39" x14ac:dyDescent="0.25">
      <c r="A273" s="10">
        <v>2016</v>
      </c>
      <c r="B273" s="11">
        <v>14468</v>
      </c>
      <c r="C273" s="12" t="s">
        <v>316</v>
      </c>
      <c r="D273" s="12" t="s">
        <v>36</v>
      </c>
      <c r="E273" s="22">
        <f t="shared" si="17"/>
        <v>119444.44444444444</v>
      </c>
      <c r="F273" s="22">
        <f t="shared" si="18"/>
        <v>120000</v>
      </c>
      <c r="G273" s="22">
        <f t="shared" si="19"/>
        <v>125714.28571428572</v>
      </c>
      <c r="H273" s="22" t="str">
        <f t="shared" si="20"/>
        <v/>
      </c>
      <c r="I273" s="13">
        <v>2712</v>
      </c>
      <c r="J273" s="13">
        <v>82</v>
      </c>
      <c r="K273" s="13">
        <v>6</v>
      </c>
      <c r="L273" s="13">
        <v>0</v>
      </c>
      <c r="M273" s="13">
        <v>2800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5">
        <v>1.8</v>
      </c>
      <c r="T273" s="15">
        <v>3.7</v>
      </c>
      <c r="U273" s="15">
        <v>0.7</v>
      </c>
      <c r="V273" s="15">
        <v>0</v>
      </c>
      <c r="W273" s="15">
        <v>6.2</v>
      </c>
      <c r="X273" s="16">
        <v>1.2</v>
      </c>
      <c r="Y273" s="16">
        <v>2.5</v>
      </c>
      <c r="Z273" s="16">
        <v>0.5</v>
      </c>
      <c r="AA273" s="16">
        <v>0</v>
      </c>
      <c r="AB273" s="16">
        <v>4.2</v>
      </c>
      <c r="AC273" s="17">
        <v>183</v>
      </c>
      <c r="AD273" s="17">
        <v>378</v>
      </c>
      <c r="AE273" s="17">
        <v>75</v>
      </c>
      <c r="AF273" s="17">
        <v>0</v>
      </c>
      <c r="AG273" s="17">
        <v>636</v>
      </c>
      <c r="AH273" s="18">
        <v>32</v>
      </c>
      <c r="AI273" s="18">
        <v>66</v>
      </c>
      <c r="AJ273" s="18">
        <v>13</v>
      </c>
      <c r="AK273" s="18">
        <v>0</v>
      </c>
      <c r="AL273" s="18">
        <v>111</v>
      </c>
      <c r="AM273" s="19">
        <v>5</v>
      </c>
    </row>
    <row r="274" spans="1:39" x14ac:dyDescent="0.25">
      <c r="A274" s="10">
        <v>2016</v>
      </c>
      <c r="B274" s="11">
        <v>14557</v>
      </c>
      <c r="C274" s="12" t="s">
        <v>317</v>
      </c>
      <c r="D274" s="12" t="s">
        <v>64</v>
      </c>
      <c r="E274" s="22" t="str">
        <f t="shared" si="17"/>
        <v/>
      </c>
      <c r="F274" s="22" t="str">
        <f t="shared" si="18"/>
        <v/>
      </c>
      <c r="G274" s="22">
        <f t="shared" si="19"/>
        <v>0</v>
      </c>
      <c r="H274" s="22" t="str">
        <f t="shared" si="20"/>
        <v/>
      </c>
      <c r="I274" s="13">
        <v>0</v>
      </c>
      <c r="J274" s="13">
        <v>0</v>
      </c>
      <c r="K274" s="13">
        <v>4</v>
      </c>
      <c r="L274" s="13">
        <v>0</v>
      </c>
      <c r="M274" s="13">
        <v>4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5">
        <v>0</v>
      </c>
      <c r="T274" s="15">
        <v>0</v>
      </c>
      <c r="U274" s="15">
        <v>8.5</v>
      </c>
      <c r="V274" s="15">
        <v>0</v>
      </c>
      <c r="W274" s="15">
        <v>8.5</v>
      </c>
      <c r="X274" s="16">
        <v>0</v>
      </c>
      <c r="Y274" s="16">
        <v>0</v>
      </c>
      <c r="Z274" s="16">
        <v>7.1</v>
      </c>
      <c r="AA274" s="16">
        <v>0</v>
      </c>
      <c r="AB274" s="16">
        <v>7.1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9" t="s">
        <v>24</v>
      </c>
    </row>
    <row r="275" spans="1:39" x14ac:dyDescent="0.25">
      <c r="A275" s="10">
        <v>2016</v>
      </c>
      <c r="B275" s="11">
        <v>14716</v>
      </c>
      <c r="C275" s="12" t="s">
        <v>318</v>
      </c>
      <c r="D275" s="12" t="s">
        <v>94</v>
      </c>
      <c r="E275" s="22" t="str">
        <f t="shared" si="17"/>
        <v/>
      </c>
      <c r="F275" s="22" t="str">
        <f t="shared" si="18"/>
        <v/>
      </c>
      <c r="G275" s="22" t="str">
        <f t="shared" si="19"/>
        <v/>
      </c>
      <c r="H275" s="22" t="str">
        <f t="shared" si="20"/>
        <v/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8">
        <v>0</v>
      </c>
      <c r="AI275" s="18">
        <v>4</v>
      </c>
      <c r="AJ275" s="18">
        <v>40</v>
      </c>
      <c r="AK275" s="18">
        <v>0</v>
      </c>
      <c r="AL275" s="18">
        <v>44</v>
      </c>
      <c r="AM275" s="19" t="s">
        <v>24</v>
      </c>
    </row>
    <row r="276" spans="1:39" x14ac:dyDescent="0.25">
      <c r="A276" s="10">
        <v>2016</v>
      </c>
      <c r="B276" s="11">
        <v>14717</v>
      </c>
      <c r="C276" s="12" t="s">
        <v>319</v>
      </c>
      <c r="D276" s="12" t="s">
        <v>81</v>
      </c>
      <c r="E276" s="22" t="str">
        <f t="shared" si="17"/>
        <v/>
      </c>
      <c r="F276" s="22">
        <f t="shared" si="18"/>
        <v>0</v>
      </c>
      <c r="G276" s="22" t="str">
        <f t="shared" si="19"/>
        <v/>
      </c>
      <c r="H276" s="22" t="str">
        <f t="shared" si="20"/>
        <v/>
      </c>
      <c r="I276" s="13">
        <v>0</v>
      </c>
      <c r="J276" s="13">
        <v>103</v>
      </c>
      <c r="K276" s="13">
        <v>0</v>
      </c>
      <c r="L276" s="13">
        <v>0</v>
      </c>
      <c r="M276" s="13">
        <v>103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5">
        <v>0</v>
      </c>
      <c r="T276" s="15">
        <v>6</v>
      </c>
      <c r="U276" s="15">
        <v>0</v>
      </c>
      <c r="V276" s="15">
        <v>0</v>
      </c>
      <c r="W276" s="15">
        <v>6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9" t="s">
        <v>24</v>
      </c>
    </row>
    <row r="277" spans="1:39" x14ac:dyDescent="0.25">
      <c r="A277" s="10">
        <v>2016</v>
      </c>
      <c r="B277" s="11">
        <v>14940</v>
      </c>
      <c r="C277" s="12" t="s">
        <v>320</v>
      </c>
      <c r="D277" s="12" t="s">
        <v>94</v>
      </c>
      <c r="E277" s="22">
        <f t="shared" si="17"/>
        <v>72370.967741935485</v>
      </c>
      <c r="F277" s="22">
        <f t="shared" si="18"/>
        <v>86500</v>
      </c>
      <c r="G277" s="22" t="str">
        <f t="shared" si="19"/>
        <v/>
      </c>
      <c r="H277" s="22" t="str">
        <f t="shared" si="20"/>
        <v/>
      </c>
      <c r="I277" s="13">
        <v>62388</v>
      </c>
      <c r="J277" s="13">
        <v>1617</v>
      </c>
      <c r="K277" s="13">
        <v>0</v>
      </c>
      <c r="L277" s="13">
        <v>0</v>
      </c>
      <c r="M277" s="13">
        <v>64005</v>
      </c>
      <c r="N277" s="14">
        <v>196</v>
      </c>
      <c r="O277" s="14">
        <v>4</v>
      </c>
      <c r="P277" s="14">
        <v>0</v>
      </c>
      <c r="Q277" s="14">
        <v>0</v>
      </c>
      <c r="R277" s="14">
        <v>200</v>
      </c>
      <c r="S277" s="15">
        <v>62</v>
      </c>
      <c r="T277" s="15">
        <v>2</v>
      </c>
      <c r="U277" s="15">
        <v>0</v>
      </c>
      <c r="V277" s="15">
        <v>0</v>
      </c>
      <c r="W277" s="15">
        <v>64</v>
      </c>
      <c r="X277" s="16">
        <v>61</v>
      </c>
      <c r="Y277" s="16">
        <v>2</v>
      </c>
      <c r="Z277" s="16">
        <v>0</v>
      </c>
      <c r="AA277" s="16">
        <v>0</v>
      </c>
      <c r="AB277" s="16">
        <v>63</v>
      </c>
      <c r="AC277" s="17">
        <v>3032</v>
      </c>
      <c r="AD277" s="17">
        <v>128</v>
      </c>
      <c r="AE277" s="17">
        <v>0</v>
      </c>
      <c r="AF277" s="17">
        <v>0</v>
      </c>
      <c r="AG277" s="17">
        <v>3160</v>
      </c>
      <c r="AH277" s="18">
        <v>1455</v>
      </c>
      <c r="AI277" s="18">
        <v>45</v>
      </c>
      <c r="AJ277" s="18">
        <v>0</v>
      </c>
      <c r="AK277" s="18">
        <v>0</v>
      </c>
      <c r="AL277" s="18">
        <v>1500</v>
      </c>
      <c r="AM277" s="19" t="s">
        <v>24</v>
      </c>
    </row>
    <row r="278" spans="1:39" x14ac:dyDescent="0.25">
      <c r="A278" s="10">
        <v>2016</v>
      </c>
      <c r="B278" s="11">
        <v>15023</v>
      </c>
      <c r="C278" s="12" t="s">
        <v>321</v>
      </c>
      <c r="D278" s="12" t="s">
        <v>81</v>
      </c>
      <c r="E278" s="22">
        <f t="shared" si="17"/>
        <v>28857.142857142859</v>
      </c>
      <c r="F278" s="22" t="str">
        <f t="shared" si="18"/>
        <v/>
      </c>
      <c r="G278" s="22" t="str">
        <f t="shared" si="19"/>
        <v/>
      </c>
      <c r="H278" s="22" t="str">
        <f t="shared" si="20"/>
        <v/>
      </c>
      <c r="I278" s="13">
        <v>6253</v>
      </c>
      <c r="J278" s="13">
        <v>131</v>
      </c>
      <c r="K278" s="13">
        <v>0</v>
      </c>
      <c r="L278" s="13">
        <v>0</v>
      </c>
      <c r="M278" s="13">
        <v>6384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5">
        <v>7</v>
      </c>
      <c r="T278" s="15">
        <v>0</v>
      </c>
      <c r="U278" s="15">
        <v>0</v>
      </c>
      <c r="V278" s="15">
        <v>0</v>
      </c>
      <c r="W278" s="15">
        <v>7</v>
      </c>
      <c r="X278" s="16">
        <v>7</v>
      </c>
      <c r="Y278" s="16">
        <v>0</v>
      </c>
      <c r="Z278" s="16">
        <v>0</v>
      </c>
      <c r="AA278" s="16">
        <v>0</v>
      </c>
      <c r="AB278" s="16">
        <v>7</v>
      </c>
      <c r="AC278" s="17">
        <v>142</v>
      </c>
      <c r="AD278" s="17">
        <v>2</v>
      </c>
      <c r="AE278" s="17">
        <v>0</v>
      </c>
      <c r="AF278" s="17">
        <v>0</v>
      </c>
      <c r="AG278" s="17">
        <v>144</v>
      </c>
      <c r="AH278" s="18">
        <v>60</v>
      </c>
      <c r="AI278" s="18">
        <v>1</v>
      </c>
      <c r="AJ278" s="18">
        <v>0</v>
      </c>
      <c r="AK278" s="18">
        <v>0</v>
      </c>
      <c r="AL278" s="18">
        <v>61</v>
      </c>
      <c r="AM278" s="19" t="s">
        <v>24</v>
      </c>
    </row>
    <row r="279" spans="1:39" x14ac:dyDescent="0.25">
      <c r="A279" s="10">
        <v>2016</v>
      </c>
      <c r="B279" s="11">
        <v>15034</v>
      </c>
      <c r="C279" s="12" t="s">
        <v>322</v>
      </c>
      <c r="D279" s="12" t="s">
        <v>29</v>
      </c>
      <c r="E279" s="22">
        <f t="shared" si="17"/>
        <v>5634.5177664974617</v>
      </c>
      <c r="F279" s="22">
        <f t="shared" si="18"/>
        <v>5625</v>
      </c>
      <c r="G279" s="22" t="str">
        <f t="shared" si="19"/>
        <v/>
      </c>
      <c r="H279" s="22" t="str">
        <f t="shared" si="20"/>
        <v/>
      </c>
      <c r="I279" s="13">
        <v>7144</v>
      </c>
      <c r="J279" s="13">
        <v>376</v>
      </c>
      <c r="K279" s="13">
        <v>0</v>
      </c>
      <c r="L279" s="13">
        <v>0</v>
      </c>
      <c r="M279" s="13">
        <v>7520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5">
        <v>19.7</v>
      </c>
      <c r="T279" s="15">
        <v>3.2</v>
      </c>
      <c r="U279" s="15">
        <v>0</v>
      </c>
      <c r="V279" s="15">
        <v>0</v>
      </c>
      <c r="W279" s="15">
        <v>22.9</v>
      </c>
      <c r="X279" s="16">
        <v>3.4</v>
      </c>
      <c r="Y279" s="16">
        <v>0.6</v>
      </c>
      <c r="Z279" s="16">
        <v>0</v>
      </c>
      <c r="AA279" s="16">
        <v>0</v>
      </c>
      <c r="AB279" s="16">
        <v>4</v>
      </c>
      <c r="AC279" s="17">
        <v>1</v>
      </c>
      <c r="AD279" s="17">
        <v>0</v>
      </c>
      <c r="AE279" s="17">
        <v>0</v>
      </c>
      <c r="AF279" s="17">
        <v>0</v>
      </c>
      <c r="AG279" s="17">
        <v>1</v>
      </c>
      <c r="AH279" s="18">
        <v>110</v>
      </c>
      <c r="AI279" s="18">
        <v>18</v>
      </c>
      <c r="AJ279" s="18">
        <v>0</v>
      </c>
      <c r="AK279" s="18">
        <v>0</v>
      </c>
      <c r="AL279" s="18">
        <v>128</v>
      </c>
      <c r="AM279" s="19" t="s">
        <v>24</v>
      </c>
    </row>
    <row r="280" spans="1:39" x14ac:dyDescent="0.25">
      <c r="A280" s="10">
        <v>2016</v>
      </c>
      <c r="B280" s="11">
        <v>15248</v>
      </c>
      <c r="C280" s="12" t="s">
        <v>323</v>
      </c>
      <c r="D280" s="12" t="s">
        <v>200</v>
      </c>
      <c r="E280" s="22" t="str">
        <f t="shared" si="17"/>
        <v/>
      </c>
      <c r="F280" s="22">
        <f t="shared" si="18"/>
        <v>85636.363636363632</v>
      </c>
      <c r="G280" s="22">
        <f t="shared" si="19"/>
        <v>44500</v>
      </c>
      <c r="H280" s="22" t="str">
        <f t="shared" si="20"/>
        <v/>
      </c>
      <c r="I280" s="13">
        <v>0</v>
      </c>
      <c r="J280" s="13">
        <v>41</v>
      </c>
      <c r="K280" s="13">
        <v>1</v>
      </c>
      <c r="L280" s="13">
        <v>0</v>
      </c>
      <c r="M280" s="13">
        <v>42</v>
      </c>
      <c r="N280" s="14">
        <v>0</v>
      </c>
      <c r="O280" s="14">
        <v>128</v>
      </c>
      <c r="P280" s="14">
        <v>29</v>
      </c>
      <c r="Q280" s="14">
        <v>0</v>
      </c>
      <c r="R280" s="14">
        <v>157</v>
      </c>
      <c r="S280" s="15">
        <v>0</v>
      </c>
      <c r="T280" s="15">
        <v>11</v>
      </c>
      <c r="U280" s="15">
        <v>2</v>
      </c>
      <c r="V280" s="15">
        <v>0</v>
      </c>
      <c r="W280" s="15">
        <v>13</v>
      </c>
      <c r="X280" s="16">
        <v>0</v>
      </c>
      <c r="Y280" s="16">
        <v>9</v>
      </c>
      <c r="Z280" s="16">
        <v>2</v>
      </c>
      <c r="AA280" s="16">
        <v>0</v>
      </c>
      <c r="AB280" s="16">
        <v>11</v>
      </c>
      <c r="AC280" s="17">
        <v>0</v>
      </c>
      <c r="AD280" s="17">
        <v>0</v>
      </c>
      <c r="AE280" s="17">
        <v>69</v>
      </c>
      <c r="AF280" s="17">
        <v>0</v>
      </c>
      <c r="AG280" s="17">
        <v>69</v>
      </c>
      <c r="AH280" s="18">
        <v>0</v>
      </c>
      <c r="AI280" s="18">
        <v>942</v>
      </c>
      <c r="AJ280" s="18">
        <v>20</v>
      </c>
      <c r="AK280" s="18">
        <v>0</v>
      </c>
      <c r="AL280" s="18">
        <v>962</v>
      </c>
      <c r="AM280" s="19" t="s">
        <v>24</v>
      </c>
    </row>
    <row r="281" spans="1:39" x14ac:dyDescent="0.25">
      <c r="A281" s="10">
        <v>2016</v>
      </c>
      <c r="B281" s="11">
        <v>15270</v>
      </c>
      <c r="C281" s="12" t="s">
        <v>324</v>
      </c>
      <c r="D281" s="12" t="s">
        <v>325</v>
      </c>
      <c r="E281" s="22">
        <f t="shared" si="17"/>
        <v>117789.47368421052</v>
      </c>
      <c r="F281" s="22" t="str">
        <f t="shared" si="18"/>
        <v/>
      </c>
      <c r="G281" s="22" t="str">
        <f t="shared" si="19"/>
        <v/>
      </c>
      <c r="H281" s="22" t="str">
        <f t="shared" si="20"/>
        <v/>
      </c>
      <c r="I281" s="13">
        <v>25385</v>
      </c>
      <c r="J281" s="13">
        <v>0</v>
      </c>
      <c r="K281" s="13">
        <v>0</v>
      </c>
      <c r="L281" s="13">
        <v>0</v>
      </c>
      <c r="M281" s="13">
        <v>25385</v>
      </c>
      <c r="N281" s="14">
        <v>133</v>
      </c>
      <c r="O281" s="14">
        <v>0</v>
      </c>
      <c r="P281" s="14">
        <v>0</v>
      </c>
      <c r="Q281" s="14">
        <v>0</v>
      </c>
      <c r="R281" s="14">
        <v>133</v>
      </c>
      <c r="S281" s="15">
        <v>19</v>
      </c>
      <c r="T281" s="15">
        <v>0</v>
      </c>
      <c r="U281" s="15">
        <v>0</v>
      </c>
      <c r="V281" s="15">
        <v>0</v>
      </c>
      <c r="W281" s="15">
        <v>19</v>
      </c>
      <c r="X281" s="16">
        <v>19</v>
      </c>
      <c r="Y281" s="16">
        <v>0</v>
      </c>
      <c r="Z281" s="16">
        <v>0</v>
      </c>
      <c r="AA281" s="16">
        <v>0</v>
      </c>
      <c r="AB281" s="16">
        <v>19</v>
      </c>
      <c r="AC281" s="17">
        <v>999</v>
      </c>
      <c r="AD281" s="17">
        <v>0</v>
      </c>
      <c r="AE281" s="17">
        <v>0</v>
      </c>
      <c r="AF281" s="17">
        <v>0</v>
      </c>
      <c r="AG281" s="17">
        <v>999</v>
      </c>
      <c r="AH281" s="18">
        <v>1239</v>
      </c>
      <c r="AI281" s="18">
        <v>0</v>
      </c>
      <c r="AJ281" s="18">
        <v>0</v>
      </c>
      <c r="AK281" s="18">
        <v>0</v>
      </c>
      <c r="AL281" s="18">
        <v>1239</v>
      </c>
      <c r="AM281" s="19" t="s">
        <v>24</v>
      </c>
    </row>
    <row r="282" spans="1:39" x14ac:dyDescent="0.25">
      <c r="A282" s="10">
        <v>2016</v>
      </c>
      <c r="B282" s="11">
        <v>15270</v>
      </c>
      <c r="C282" s="12" t="s">
        <v>324</v>
      </c>
      <c r="D282" s="12" t="s">
        <v>23</v>
      </c>
      <c r="E282" s="22">
        <f t="shared" si="17"/>
        <v>82914.812460267</v>
      </c>
      <c r="F282" s="22">
        <f t="shared" si="18"/>
        <v>136794.87179487181</v>
      </c>
      <c r="G282" s="22" t="str">
        <f t="shared" si="19"/>
        <v/>
      </c>
      <c r="H282" s="22" t="str">
        <f t="shared" si="20"/>
        <v/>
      </c>
      <c r="I282" s="13">
        <v>490000</v>
      </c>
      <c r="J282" s="13">
        <v>5959</v>
      </c>
      <c r="K282" s="13">
        <v>0</v>
      </c>
      <c r="L282" s="13">
        <v>0</v>
      </c>
      <c r="M282" s="13">
        <v>495959</v>
      </c>
      <c r="N282" s="14">
        <v>27012</v>
      </c>
      <c r="O282" s="14">
        <v>375</v>
      </c>
      <c r="P282" s="14">
        <v>0</v>
      </c>
      <c r="Q282" s="14">
        <v>0</v>
      </c>
      <c r="R282" s="14">
        <v>27387</v>
      </c>
      <c r="S282" s="15">
        <v>314.60000000000002</v>
      </c>
      <c r="T282" s="15">
        <v>7.8</v>
      </c>
      <c r="U282" s="15">
        <v>0</v>
      </c>
      <c r="V282" s="15">
        <v>0</v>
      </c>
      <c r="W282" s="15">
        <v>322.39999999999998</v>
      </c>
      <c r="X282" s="16">
        <v>314.60000000000002</v>
      </c>
      <c r="Y282" s="16">
        <v>7.8</v>
      </c>
      <c r="Z282" s="16">
        <v>0</v>
      </c>
      <c r="AA282" s="16">
        <v>0</v>
      </c>
      <c r="AB282" s="16">
        <v>322.39999999999998</v>
      </c>
      <c r="AC282" s="17">
        <v>13857</v>
      </c>
      <c r="AD282" s="17">
        <v>349</v>
      </c>
      <c r="AE282" s="17">
        <v>0</v>
      </c>
      <c r="AF282" s="17">
        <v>0</v>
      </c>
      <c r="AG282" s="17">
        <v>14206</v>
      </c>
      <c r="AH282" s="18">
        <v>12228</v>
      </c>
      <c r="AI282" s="18">
        <v>718</v>
      </c>
      <c r="AJ282" s="18">
        <v>0</v>
      </c>
      <c r="AK282" s="18">
        <v>0</v>
      </c>
      <c r="AL282" s="18">
        <v>12946</v>
      </c>
      <c r="AM282" s="19" t="s">
        <v>24</v>
      </c>
    </row>
    <row r="283" spans="1:39" x14ac:dyDescent="0.25">
      <c r="A283" s="10">
        <v>2016</v>
      </c>
      <c r="B283" s="11">
        <v>15296</v>
      </c>
      <c r="C283" s="12" t="s">
        <v>326</v>
      </c>
      <c r="D283" s="12" t="s">
        <v>88</v>
      </c>
      <c r="E283" s="22" t="str">
        <f t="shared" si="17"/>
        <v/>
      </c>
      <c r="F283" s="22" t="str">
        <f t="shared" si="18"/>
        <v/>
      </c>
      <c r="G283" s="22" t="str">
        <f t="shared" si="19"/>
        <v/>
      </c>
      <c r="H283" s="22">
        <f t="shared" si="20"/>
        <v>24214.285714285714</v>
      </c>
      <c r="I283" s="13">
        <v>0</v>
      </c>
      <c r="J283" s="13">
        <v>0</v>
      </c>
      <c r="K283" s="13">
        <v>0</v>
      </c>
      <c r="L283" s="13">
        <v>1</v>
      </c>
      <c r="M283" s="13">
        <v>1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5">
        <v>0</v>
      </c>
      <c r="T283" s="15">
        <v>0</v>
      </c>
      <c r="U283" s="15">
        <v>0</v>
      </c>
      <c r="V283" s="15">
        <v>14</v>
      </c>
      <c r="W283" s="15">
        <v>14</v>
      </c>
      <c r="X283" s="16">
        <v>0</v>
      </c>
      <c r="Y283" s="16">
        <v>0</v>
      </c>
      <c r="Z283" s="16">
        <v>0</v>
      </c>
      <c r="AA283" s="16">
        <v>3.7</v>
      </c>
      <c r="AB283" s="16">
        <v>3.7</v>
      </c>
      <c r="AC283" s="17">
        <v>0</v>
      </c>
      <c r="AD283" s="17">
        <v>0</v>
      </c>
      <c r="AE283" s="17">
        <v>0</v>
      </c>
      <c r="AF283" s="17">
        <v>339</v>
      </c>
      <c r="AG283" s="17">
        <v>339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9" t="s">
        <v>24</v>
      </c>
    </row>
    <row r="284" spans="1:39" x14ac:dyDescent="0.25">
      <c r="A284" s="10">
        <v>2016</v>
      </c>
      <c r="B284" s="11">
        <v>15344</v>
      </c>
      <c r="C284" s="12" t="s">
        <v>327</v>
      </c>
      <c r="D284" s="12" t="s">
        <v>29</v>
      </c>
      <c r="E284" s="22">
        <f t="shared" si="17"/>
        <v>813.00813008130081</v>
      </c>
      <c r="F284" s="22">
        <f t="shared" si="18"/>
        <v>1111.1111111111111</v>
      </c>
      <c r="G284" s="22" t="str">
        <f t="shared" si="19"/>
        <v/>
      </c>
      <c r="H284" s="22" t="str">
        <f t="shared" si="20"/>
        <v/>
      </c>
      <c r="I284" s="13">
        <v>6958</v>
      </c>
      <c r="J284" s="13">
        <v>91</v>
      </c>
      <c r="K284" s="13">
        <v>0</v>
      </c>
      <c r="L284" s="13">
        <v>0</v>
      </c>
      <c r="M284" s="13">
        <v>7049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5">
        <v>24.6</v>
      </c>
      <c r="T284" s="15">
        <v>0.9</v>
      </c>
      <c r="U284" s="15">
        <v>0</v>
      </c>
      <c r="V284" s="15">
        <v>0</v>
      </c>
      <c r="W284" s="15">
        <v>25.5</v>
      </c>
      <c r="X284" s="16">
        <v>4.7</v>
      </c>
      <c r="Y284" s="16">
        <v>0.2</v>
      </c>
      <c r="Z284" s="16">
        <v>0</v>
      </c>
      <c r="AA284" s="16">
        <v>0</v>
      </c>
      <c r="AB284" s="16">
        <v>4.9000000000000004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8">
        <v>20</v>
      </c>
      <c r="AI284" s="18">
        <v>1</v>
      </c>
      <c r="AJ284" s="18">
        <v>0</v>
      </c>
      <c r="AK284" s="18">
        <v>0</v>
      </c>
      <c r="AL284" s="18">
        <v>21</v>
      </c>
      <c r="AM284" s="19" t="s">
        <v>24</v>
      </c>
    </row>
    <row r="285" spans="1:39" x14ac:dyDescent="0.25">
      <c r="A285" s="10">
        <v>2016</v>
      </c>
      <c r="B285" s="11">
        <v>15356</v>
      </c>
      <c r="C285" s="12" t="s">
        <v>328</v>
      </c>
      <c r="D285" s="12" t="s">
        <v>29</v>
      </c>
      <c r="E285" s="22">
        <f t="shared" si="17"/>
        <v>52075.471698113208</v>
      </c>
      <c r="F285" s="22">
        <f t="shared" si="18"/>
        <v>51333.333333333336</v>
      </c>
      <c r="G285" s="22" t="str">
        <f t="shared" si="19"/>
        <v/>
      </c>
      <c r="H285" s="22" t="str">
        <f t="shared" si="20"/>
        <v/>
      </c>
      <c r="I285" s="13">
        <v>1813</v>
      </c>
      <c r="J285" s="13">
        <v>18</v>
      </c>
      <c r="K285" s="13">
        <v>0</v>
      </c>
      <c r="L285" s="13">
        <v>0</v>
      </c>
      <c r="M285" s="13">
        <v>1831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5">
        <v>5.3</v>
      </c>
      <c r="T285" s="15">
        <v>1.5</v>
      </c>
      <c r="U285" s="15">
        <v>0</v>
      </c>
      <c r="V285" s="15">
        <v>0</v>
      </c>
      <c r="W285" s="15">
        <v>6.8</v>
      </c>
      <c r="X285" s="16">
        <v>1.2</v>
      </c>
      <c r="Y285" s="16">
        <v>0.3</v>
      </c>
      <c r="Z285" s="16">
        <v>0</v>
      </c>
      <c r="AA285" s="16">
        <v>0</v>
      </c>
      <c r="AB285" s="16">
        <v>1.5</v>
      </c>
      <c r="AC285" s="17">
        <v>268</v>
      </c>
      <c r="AD285" s="17">
        <v>75</v>
      </c>
      <c r="AE285" s="17">
        <v>0</v>
      </c>
      <c r="AF285" s="17">
        <v>0</v>
      </c>
      <c r="AG285" s="17">
        <v>343</v>
      </c>
      <c r="AH285" s="18">
        <v>8</v>
      </c>
      <c r="AI285" s="18">
        <v>2</v>
      </c>
      <c r="AJ285" s="18">
        <v>0</v>
      </c>
      <c r="AK285" s="18">
        <v>0</v>
      </c>
      <c r="AL285" s="18">
        <v>10</v>
      </c>
      <c r="AM285" s="19">
        <v>0</v>
      </c>
    </row>
    <row r="286" spans="1:39" x14ac:dyDescent="0.25">
      <c r="A286" s="10">
        <v>2016</v>
      </c>
      <c r="B286" s="11">
        <v>15387</v>
      </c>
      <c r="C286" s="12" t="s">
        <v>329</v>
      </c>
      <c r="D286" s="12" t="s">
        <v>36</v>
      </c>
      <c r="E286" s="22">
        <f t="shared" si="17"/>
        <v>30000</v>
      </c>
      <c r="F286" s="22" t="str">
        <f t="shared" si="18"/>
        <v/>
      </c>
      <c r="G286" s="22" t="str">
        <f t="shared" si="19"/>
        <v/>
      </c>
      <c r="H286" s="22" t="str">
        <f t="shared" si="20"/>
        <v/>
      </c>
      <c r="I286" s="13">
        <v>444</v>
      </c>
      <c r="J286" s="13">
        <v>0</v>
      </c>
      <c r="K286" s="13">
        <v>0</v>
      </c>
      <c r="L286" s="13">
        <v>0</v>
      </c>
      <c r="M286" s="13">
        <v>444</v>
      </c>
      <c r="N286" s="14">
        <v>4</v>
      </c>
      <c r="O286" s="14">
        <v>0</v>
      </c>
      <c r="P286" s="14">
        <v>0</v>
      </c>
      <c r="Q286" s="14">
        <v>0</v>
      </c>
      <c r="R286" s="14">
        <v>4</v>
      </c>
      <c r="S286" s="15">
        <v>0.1</v>
      </c>
      <c r="T286" s="15">
        <v>0</v>
      </c>
      <c r="U286" s="15">
        <v>0</v>
      </c>
      <c r="V286" s="15">
        <v>0</v>
      </c>
      <c r="W286" s="15">
        <v>0.1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8">
        <v>3</v>
      </c>
      <c r="AI286" s="18">
        <v>0</v>
      </c>
      <c r="AJ286" s="18">
        <v>0</v>
      </c>
      <c r="AK286" s="18">
        <v>0</v>
      </c>
      <c r="AL286" s="18">
        <v>3</v>
      </c>
      <c r="AM286" s="19">
        <v>0</v>
      </c>
    </row>
    <row r="287" spans="1:39" x14ac:dyDescent="0.25">
      <c r="A287" s="10">
        <v>2016</v>
      </c>
      <c r="B287" s="11">
        <v>15410</v>
      </c>
      <c r="C287" s="12" t="s">
        <v>330</v>
      </c>
      <c r="D287" s="12" t="s">
        <v>25</v>
      </c>
      <c r="E287" s="22">
        <f t="shared" si="17"/>
        <v>7000</v>
      </c>
      <c r="F287" s="22" t="str">
        <f t="shared" si="18"/>
        <v/>
      </c>
      <c r="G287" s="22" t="str">
        <f t="shared" si="19"/>
        <v/>
      </c>
      <c r="H287" s="22" t="str">
        <f t="shared" si="20"/>
        <v/>
      </c>
      <c r="I287" s="13">
        <v>840</v>
      </c>
      <c r="J287" s="13">
        <v>0</v>
      </c>
      <c r="K287" s="13">
        <v>0</v>
      </c>
      <c r="L287" s="13">
        <v>0</v>
      </c>
      <c r="M287" s="13">
        <v>840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5">
        <v>1</v>
      </c>
      <c r="T287" s="15">
        <v>0</v>
      </c>
      <c r="U287" s="15">
        <v>0</v>
      </c>
      <c r="V287" s="15">
        <v>0</v>
      </c>
      <c r="W287" s="15">
        <v>1</v>
      </c>
      <c r="X287" s="16">
        <v>1</v>
      </c>
      <c r="Y287" s="16">
        <v>0</v>
      </c>
      <c r="Z287" s="16">
        <v>0</v>
      </c>
      <c r="AA287" s="16">
        <v>0</v>
      </c>
      <c r="AB287" s="16">
        <v>1</v>
      </c>
      <c r="AC287" s="17">
        <v>7</v>
      </c>
      <c r="AD287" s="17">
        <v>0</v>
      </c>
      <c r="AE287" s="17">
        <v>0</v>
      </c>
      <c r="AF287" s="17">
        <v>0</v>
      </c>
      <c r="AG287" s="17">
        <v>7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9" t="s">
        <v>24</v>
      </c>
    </row>
    <row r="288" spans="1:39" x14ac:dyDescent="0.25">
      <c r="A288" s="10">
        <v>2016</v>
      </c>
      <c r="B288" s="11">
        <v>15466</v>
      </c>
      <c r="C288" s="12" t="s">
        <v>331</v>
      </c>
      <c r="D288" s="12" t="s">
        <v>110</v>
      </c>
      <c r="E288" s="22">
        <f t="shared" si="17"/>
        <v>63374.384236453203</v>
      </c>
      <c r="F288" s="22">
        <f t="shared" si="18"/>
        <v>104072.72727272728</v>
      </c>
      <c r="G288" s="22" t="str">
        <f t="shared" si="19"/>
        <v/>
      </c>
      <c r="H288" s="22" t="str">
        <f t="shared" si="20"/>
        <v/>
      </c>
      <c r="I288" s="13">
        <v>9436</v>
      </c>
      <c r="J288" s="13">
        <v>328</v>
      </c>
      <c r="K288" s="13">
        <v>0</v>
      </c>
      <c r="L288" s="13">
        <v>0</v>
      </c>
      <c r="M288" s="13">
        <v>9764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5">
        <v>203</v>
      </c>
      <c r="T288" s="15">
        <v>275</v>
      </c>
      <c r="U288" s="15">
        <v>0</v>
      </c>
      <c r="V288" s="15">
        <v>0</v>
      </c>
      <c r="W288" s="15">
        <v>478</v>
      </c>
      <c r="X288" s="16">
        <v>11</v>
      </c>
      <c r="Y288" s="16">
        <v>1</v>
      </c>
      <c r="Z288" s="16">
        <v>0</v>
      </c>
      <c r="AA288" s="16">
        <v>0</v>
      </c>
      <c r="AB288" s="16">
        <v>12</v>
      </c>
      <c r="AC288" s="17">
        <v>7728</v>
      </c>
      <c r="AD288" s="17">
        <v>25525</v>
      </c>
      <c r="AE288" s="17">
        <v>0</v>
      </c>
      <c r="AF288" s="17">
        <v>0</v>
      </c>
      <c r="AG288" s="17">
        <v>33253</v>
      </c>
      <c r="AH288" s="18">
        <v>5137</v>
      </c>
      <c r="AI288" s="18">
        <v>3095</v>
      </c>
      <c r="AJ288" s="18">
        <v>0</v>
      </c>
      <c r="AK288" s="18">
        <v>0</v>
      </c>
      <c r="AL288" s="18">
        <v>8232</v>
      </c>
      <c r="AM288" s="19" t="s">
        <v>24</v>
      </c>
    </row>
    <row r="289" spans="1:39" x14ac:dyDescent="0.25">
      <c r="A289" s="10">
        <v>2016</v>
      </c>
      <c r="B289" s="11">
        <v>15470</v>
      </c>
      <c r="C289" s="12" t="s">
        <v>332</v>
      </c>
      <c r="D289" s="12" t="s">
        <v>70</v>
      </c>
      <c r="E289" s="22">
        <f t="shared" si="17"/>
        <v>41925.04258943782</v>
      </c>
      <c r="F289" s="22">
        <f t="shared" si="18"/>
        <v>8735.177865612648</v>
      </c>
      <c r="G289" s="22">
        <f t="shared" si="19"/>
        <v>0</v>
      </c>
      <c r="H289" s="22" t="str">
        <f t="shared" si="20"/>
        <v/>
      </c>
      <c r="I289" s="13">
        <v>54834</v>
      </c>
      <c r="J289" s="13">
        <v>35</v>
      </c>
      <c r="K289" s="13">
        <v>76</v>
      </c>
      <c r="L289" s="13">
        <v>0</v>
      </c>
      <c r="M289" s="13">
        <v>54945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5">
        <v>58.7</v>
      </c>
      <c r="T289" s="15">
        <v>50.6</v>
      </c>
      <c r="U289" s="15">
        <v>481.5</v>
      </c>
      <c r="V289" s="15">
        <v>0</v>
      </c>
      <c r="W289" s="15">
        <v>590.79999999999995</v>
      </c>
      <c r="X289" s="16">
        <v>0</v>
      </c>
      <c r="Y289" s="16">
        <v>7</v>
      </c>
      <c r="Z289" s="16">
        <v>138</v>
      </c>
      <c r="AA289" s="16">
        <v>0</v>
      </c>
      <c r="AB289" s="16">
        <v>145</v>
      </c>
      <c r="AC289" s="17">
        <v>524</v>
      </c>
      <c r="AD289" s="17">
        <v>442</v>
      </c>
      <c r="AE289" s="17">
        <v>0</v>
      </c>
      <c r="AF289" s="17">
        <v>0</v>
      </c>
      <c r="AG289" s="17">
        <v>966</v>
      </c>
      <c r="AH289" s="18">
        <v>1937</v>
      </c>
      <c r="AI289" s="18">
        <v>0</v>
      </c>
      <c r="AJ289" s="18">
        <v>0</v>
      </c>
      <c r="AK289" s="18">
        <v>0</v>
      </c>
      <c r="AL289" s="18">
        <v>1937</v>
      </c>
      <c r="AM289" s="19" t="s">
        <v>24</v>
      </c>
    </row>
    <row r="290" spans="1:39" x14ac:dyDescent="0.25">
      <c r="A290" s="10">
        <v>2016</v>
      </c>
      <c r="B290" s="11">
        <v>15473</v>
      </c>
      <c r="C290" s="12" t="s">
        <v>333</v>
      </c>
      <c r="D290" s="12" t="s">
        <v>151</v>
      </c>
      <c r="E290" s="22">
        <f t="shared" si="17"/>
        <v>145139.6648044693</v>
      </c>
      <c r="F290" s="22">
        <f t="shared" si="18"/>
        <v>222400</v>
      </c>
      <c r="G290" s="22">
        <f t="shared" si="19"/>
        <v>23800</v>
      </c>
      <c r="H290" s="22" t="str">
        <f t="shared" si="20"/>
        <v/>
      </c>
      <c r="I290" s="13">
        <v>35065</v>
      </c>
      <c r="J290" s="13">
        <v>6818</v>
      </c>
      <c r="K290" s="13">
        <v>109</v>
      </c>
      <c r="L290" s="13">
        <v>0</v>
      </c>
      <c r="M290" s="13">
        <v>41992</v>
      </c>
      <c r="N290" s="14">
        <v>517</v>
      </c>
      <c r="O290" s="14">
        <v>610</v>
      </c>
      <c r="P290" s="14">
        <v>582</v>
      </c>
      <c r="Q290" s="14">
        <v>0</v>
      </c>
      <c r="R290" s="14">
        <v>1709</v>
      </c>
      <c r="S290" s="15">
        <v>35.799999999999997</v>
      </c>
      <c r="T290" s="15">
        <v>5</v>
      </c>
      <c r="U290" s="15">
        <v>20</v>
      </c>
      <c r="V290" s="15">
        <v>0</v>
      </c>
      <c r="W290" s="15">
        <v>60.8</v>
      </c>
      <c r="X290" s="16">
        <v>35.799999999999997</v>
      </c>
      <c r="Y290" s="16">
        <v>5</v>
      </c>
      <c r="Z290" s="16">
        <v>16</v>
      </c>
      <c r="AA290" s="16">
        <v>0</v>
      </c>
      <c r="AB290" s="16">
        <v>56.8</v>
      </c>
      <c r="AC290" s="17">
        <v>1512</v>
      </c>
      <c r="AD290" s="17">
        <v>404</v>
      </c>
      <c r="AE290" s="17">
        <v>202</v>
      </c>
      <c r="AF290" s="17">
        <v>0</v>
      </c>
      <c r="AG290" s="17">
        <v>2118</v>
      </c>
      <c r="AH290" s="18">
        <v>3684</v>
      </c>
      <c r="AI290" s="18">
        <v>708</v>
      </c>
      <c r="AJ290" s="18">
        <v>274</v>
      </c>
      <c r="AK290" s="18">
        <v>0</v>
      </c>
      <c r="AL290" s="18">
        <v>4666</v>
      </c>
      <c r="AM290" s="19" t="s">
        <v>24</v>
      </c>
    </row>
    <row r="291" spans="1:39" x14ac:dyDescent="0.25">
      <c r="A291" s="10">
        <v>2016</v>
      </c>
      <c r="B291" s="11">
        <v>15474</v>
      </c>
      <c r="C291" s="12" t="s">
        <v>334</v>
      </c>
      <c r="D291" s="12" t="s">
        <v>96</v>
      </c>
      <c r="E291" s="22">
        <f t="shared" si="17"/>
        <v>0</v>
      </c>
      <c r="F291" s="22">
        <f t="shared" si="18"/>
        <v>0</v>
      </c>
      <c r="G291" s="22" t="str">
        <f t="shared" si="19"/>
        <v/>
      </c>
      <c r="H291" s="22" t="str">
        <f t="shared" si="20"/>
        <v/>
      </c>
      <c r="I291" s="13">
        <v>2932</v>
      </c>
      <c r="J291" s="13">
        <v>1221</v>
      </c>
      <c r="K291" s="13">
        <v>0</v>
      </c>
      <c r="L291" s="13">
        <v>0</v>
      </c>
      <c r="M291" s="13">
        <v>4153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5">
        <v>2.9</v>
      </c>
      <c r="T291" s="15">
        <v>53.1</v>
      </c>
      <c r="U291" s="15">
        <v>0</v>
      </c>
      <c r="V291" s="15">
        <v>0</v>
      </c>
      <c r="W291" s="15">
        <v>56</v>
      </c>
      <c r="X291" s="16">
        <v>2.9</v>
      </c>
      <c r="Y291" s="16">
        <v>53.1</v>
      </c>
      <c r="Z291" s="16">
        <v>0</v>
      </c>
      <c r="AA291" s="16">
        <v>0</v>
      </c>
      <c r="AB291" s="16">
        <v>56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9">
        <v>0</v>
      </c>
    </row>
    <row r="292" spans="1:39" x14ac:dyDescent="0.25">
      <c r="A292" s="10">
        <v>2016</v>
      </c>
      <c r="B292" s="11">
        <v>15477</v>
      </c>
      <c r="C292" s="12" t="s">
        <v>335</v>
      </c>
      <c r="D292" s="12" t="s">
        <v>52</v>
      </c>
      <c r="E292" s="22">
        <f t="shared" si="17"/>
        <v>25922.45989304813</v>
      </c>
      <c r="F292" s="22">
        <f t="shared" si="18"/>
        <v>73076.923076923078</v>
      </c>
      <c r="G292" s="22" t="str">
        <f t="shared" si="19"/>
        <v/>
      </c>
      <c r="H292" s="22" t="str">
        <f t="shared" si="20"/>
        <v/>
      </c>
      <c r="I292" s="13">
        <v>103234</v>
      </c>
      <c r="J292" s="13">
        <v>1170</v>
      </c>
      <c r="K292" s="13">
        <v>0</v>
      </c>
      <c r="L292" s="13">
        <v>0</v>
      </c>
      <c r="M292" s="13">
        <v>104404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5">
        <v>74.8</v>
      </c>
      <c r="T292" s="15">
        <v>1.3</v>
      </c>
      <c r="U292" s="15">
        <v>0</v>
      </c>
      <c r="V292" s="15">
        <v>0</v>
      </c>
      <c r="W292" s="15">
        <v>76.099999999999994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7">
        <v>1009</v>
      </c>
      <c r="AD292" s="17">
        <v>36</v>
      </c>
      <c r="AE292" s="17">
        <v>0</v>
      </c>
      <c r="AF292" s="17">
        <v>0</v>
      </c>
      <c r="AG292" s="17">
        <v>1045</v>
      </c>
      <c r="AH292" s="18">
        <v>930</v>
      </c>
      <c r="AI292" s="18">
        <v>59</v>
      </c>
      <c r="AJ292" s="18">
        <v>0</v>
      </c>
      <c r="AK292" s="18">
        <v>0</v>
      </c>
      <c r="AL292" s="18">
        <v>989</v>
      </c>
      <c r="AM292" s="19" t="s">
        <v>24</v>
      </c>
    </row>
    <row r="293" spans="1:39" x14ac:dyDescent="0.25">
      <c r="A293" s="10">
        <v>2016</v>
      </c>
      <c r="B293" s="11">
        <v>15619</v>
      </c>
      <c r="C293" s="12" t="s">
        <v>336</v>
      </c>
      <c r="D293" s="12" t="s">
        <v>25</v>
      </c>
      <c r="E293" s="22" t="str">
        <f t="shared" si="17"/>
        <v/>
      </c>
      <c r="F293" s="22" t="str">
        <f t="shared" si="18"/>
        <v/>
      </c>
      <c r="G293" s="22" t="str">
        <f t="shared" si="19"/>
        <v/>
      </c>
      <c r="H293" s="22" t="str">
        <f t="shared" si="20"/>
        <v/>
      </c>
      <c r="I293" s="13">
        <v>0</v>
      </c>
      <c r="J293" s="13">
        <v>0</v>
      </c>
      <c r="K293" s="13">
        <v>1</v>
      </c>
      <c r="L293" s="13">
        <v>0</v>
      </c>
      <c r="M293" s="13">
        <v>1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9" t="s">
        <v>24</v>
      </c>
    </row>
    <row r="294" spans="1:39" x14ac:dyDescent="0.25">
      <c r="A294" s="10">
        <v>2016</v>
      </c>
      <c r="B294" s="11">
        <v>15671</v>
      </c>
      <c r="C294" s="12" t="s">
        <v>337</v>
      </c>
      <c r="D294" s="12" t="s">
        <v>81</v>
      </c>
      <c r="E294" s="22" t="str">
        <f t="shared" si="17"/>
        <v/>
      </c>
      <c r="F294" s="22">
        <f t="shared" si="18"/>
        <v>35153.846153846156</v>
      </c>
      <c r="G294" s="22" t="str">
        <f t="shared" si="19"/>
        <v/>
      </c>
      <c r="H294" s="22" t="str">
        <f t="shared" si="20"/>
        <v/>
      </c>
      <c r="I294" s="13">
        <v>0</v>
      </c>
      <c r="J294" s="13">
        <v>222</v>
      </c>
      <c r="K294" s="13">
        <v>0</v>
      </c>
      <c r="L294" s="13">
        <v>0</v>
      </c>
      <c r="M294" s="13">
        <v>222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5">
        <v>0</v>
      </c>
      <c r="T294" s="15">
        <v>13</v>
      </c>
      <c r="U294" s="15">
        <v>0</v>
      </c>
      <c r="V294" s="15">
        <v>0</v>
      </c>
      <c r="W294" s="15">
        <v>13</v>
      </c>
      <c r="X294" s="16">
        <v>0</v>
      </c>
      <c r="Y294" s="16">
        <v>9</v>
      </c>
      <c r="Z294" s="16">
        <v>0</v>
      </c>
      <c r="AA294" s="16">
        <v>0</v>
      </c>
      <c r="AB294" s="16">
        <v>9</v>
      </c>
      <c r="AC294" s="17">
        <v>0</v>
      </c>
      <c r="AD294" s="17">
        <v>457</v>
      </c>
      <c r="AE294" s="17">
        <v>0</v>
      </c>
      <c r="AF294" s="17">
        <v>0</v>
      </c>
      <c r="AG294" s="17">
        <v>457</v>
      </c>
      <c r="AH294" s="18">
        <v>0</v>
      </c>
      <c r="AI294" s="18">
        <v>0</v>
      </c>
      <c r="AJ294" s="18">
        <v>0</v>
      </c>
      <c r="AK294" s="18">
        <v>0</v>
      </c>
      <c r="AL294" s="18">
        <v>0</v>
      </c>
      <c r="AM294" s="19" t="s">
        <v>24</v>
      </c>
    </row>
    <row r="295" spans="1:39" x14ac:dyDescent="0.25">
      <c r="A295" s="10">
        <v>2016</v>
      </c>
      <c r="B295" s="11">
        <v>15700</v>
      </c>
      <c r="C295" s="12" t="s">
        <v>338</v>
      </c>
      <c r="D295" s="12" t="s">
        <v>40</v>
      </c>
      <c r="E295" s="22" t="str">
        <f t="shared" si="17"/>
        <v/>
      </c>
      <c r="F295" s="22" t="str">
        <f t="shared" si="18"/>
        <v/>
      </c>
      <c r="G295" s="22">
        <f t="shared" si="19"/>
        <v>0</v>
      </c>
      <c r="H295" s="22" t="str">
        <f t="shared" si="20"/>
        <v/>
      </c>
      <c r="I295" s="13">
        <v>0</v>
      </c>
      <c r="J295" s="13">
        <v>0</v>
      </c>
      <c r="K295" s="13">
        <v>3</v>
      </c>
      <c r="L295" s="13">
        <v>0</v>
      </c>
      <c r="M295" s="13">
        <v>3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5">
        <v>0</v>
      </c>
      <c r="T295" s="15">
        <v>0</v>
      </c>
      <c r="U295" s="15">
        <v>3</v>
      </c>
      <c r="V295" s="15">
        <v>0</v>
      </c>
      <c r="W295" s="15">
        <v>3</v>
      </c>
      <c r="X295" s="16">
        <v>0</v>
      </c>
      <c r="Y295" s="16">
        <v>0</v>
      </c>
      <c r="Z295" s="16">
        <v>1.5</v>
      </c>
      <c r="AA295" s="16">
        <v>0</v>
      </c>
      <c r="AB295" s="16">
        <v>1.5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8">
        <v>0</v>
      </c>
      <c r="AI295" s="18">
        <v>0</v>
      </c>
      <c r="AJ295" s="18">
        <v>0</v>
      </c>
      <c r="AK295" s="18">
        <v>0</v>
      </c>
      <c r="AL295" s="18">
        <v>0</v>
      </c>
      <c r="AM295" s="19" t="s">
        <v>24</v>
      </c>
    </row>
    <row r="296" spans="1:39" x14ac:dyDescent="0.25">
      <c r="A296" s="10">
        <v>2016</v>
      </c>
      <c r="B296" s="11">
        <v>15746</v>
      </c>
      <c r="C296" s="12" t="s">
        <v>339</v>
      </c>
      <c r="D296" s="12" t="s">
        <v>96</v>
      </c>
      <c r="E296" s="22" t="str">
        <f t="shared" si="17"/>
        <v/>
      </c>
      <c r="F296" s="22" t="str">
        <f t="shared" si="18"/>
        <v/>
      </c>
      <c r="G296" s="22">
        <f t="shared" si="19"/>
        <v>96000</v>
      </c>
      <c r="H296" s="22" t="str">
        <f t="shared" si="20"/>
        <v/>
      </c>
      <c r="I296" s="13">
        <v>0</v>
      </c>
      <c r="J296" s="13">
        <v>0</v>
      </c>
      <c r="K296" s="13">
        <v>1</v>
      </c>
      <c r="L296" s="13">
        <v>0</v>
      </c>
      <c r="M296" s="13">
        <v>1</v>
      </c>
      <c r="N296" s="14">
        <v>0</v>
      </c>
      <c r="O296" s="14">
        <v>0</v>
      </c>
      <c r="P296" s="14">
        <v>115</v>
      </c>
      <c r="Q296" s="14">
        <v>0</v>
      </c>
      <c r="R296" s="14">
        <v>115</v>
      </c>
      <c r="S296" s="15">
        <v>0</v>
      </c>
      <c r="T296" s="15">
        <v>0</v>
      </c>
      <c r="U296" s="15">
        <v>5</v>
      </c>
      <c r="V296" s="15">
        <v>0</v>
      </c>
      <c r="W296" s="15">
        <v>5</v>
      </c>
      <c r="X296" s="16">
        <v>0</v>
      </c>
      <c r="Y296" s="16">
        <v>0</v>
      </c>
      <c r="Z296" s="16">
        <v>5</v>
      </c>
      <c r="AA296" s="16">
        <v>0</v>
      </c>
      <c r="AB296" s="16">
        <v>5</v>
      </c>
      <c r="AC296" s="17">
        <v>0</v>
      </c>
      <c r="AD296" s="17">
        <v>0</v>
      </c>
      <c r="AE296" s="17">
        <v>480</v>
      </c>
      <c r="AF296" s="17">
        <v>0</v>
      </c>
      <c r="AG296" s="17">
        <v>480</v>
      </c>
      <c r="AH296" s="18">
        <v>0</v>
      </c>
      <c r="AI296" s="18">
        <v>0</v>
      </c>
      <c r="AJ296" s="18">
        <v>0</v>
      </c>
      <c r="AK296" s="18">
        <v>0</v>
      </c>
      <c r="AL296" s="18">
        <v>0</v>
      </c>
      <c r="AM296" s="19" t="s">
        <v>24</v>
      </c>
    </row>
    <row r="297" spans="1:39" x14ac:dyDescent="0.25">
      <c r="A297" s="10">
        <v>2016</v>
      </c>
      <c r="B297" s="11">
        <v>15748</v>
      </c>
      <c r="C297" s="12" t="s">
        <v>340</v>
      </c>
      <c r="D297" s="12" t="s">
        <v>117</v>
      </c>
      <c r="E297" s="22" t="str">
        <f t="shared" si="17"/>
        <v/>
      </c>
      <c r="F297" s="22" t="str">
        <f t="shared" si="18"/>
        <v/>
      </c>
      <c r="G297" s="22">
        <f t="shared" si="19"/>
        <v>109400</v>
      </c>
      <c r="H297" s="22" t="str">
        <f t="shared" si="20"/>
        <v/>
      </c>
      <c r="I297" s="13">
        <v>0</v>
      </c>
      <c r="J297" s="13">
        <v>0</v>
      </c>
      <c r="K297" s="13">
        <v>14</v>
      </c>
      <c r="L297" s="13">
        <v>0</v>
      </c>
      <c r="M297" s="13">
        <v>14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5">
        <v>0</v>
      </c>
      <c r="T297" s="15">
        <v>0</v>
      </c>
      <c r="U297" s="15">
        <v>5</v>
      </c>
      <c r="V297" s="15">
        <v>0</v>
      </c>
      <c r="W297" s="15">
        <v>5</v>
      </c>
      <c r="X297" s="16">
        <v>0</v>
      </c>
      <c r="Y297" s="16">
        <v>0</v>
      </c>
      <c r="Z297" s="16">
        <v>1.1000000000000001</v>
      </c>
      <c r="AA297" s="16">
        <v>0</v>
      </c>
      <c r="AB297" s="16">
        <v>1.1000000000000001</v>
      </c>
      <c r="AC297" s="17">
        <v>0</v>
      </c>
      <c r="AD297" s="17">
        <v>0</v>
      </c>
      <c r="AE297" s="17">
        <v>325</v>
      </c>
      <c r="AF297" s="17">
        <v>0</v>
      </c>
      <c r="AG297" s="17">
        <v>325</v>
      </c>
      <c r="AH297" s="18">
        <v>0</v>
      </c>
      <c r="AI297" s="18">
        <v>0</v>
      </c>
      <c r="AJ297" s="18">
        <v>222</v>
      </c>
      <c r="AK297" s="18">
        <v>0</v>
      </c>
      <c r="AL297" s="18">
        <v>222</v>
      </c>
      <c r="AM297" s="19" t="s">
        <v>24</v>
      </c>
    </row>
    <row r="298" spans="1:39" x14ac:dyDescent="0.25">
      <c r="A298" s="10">
        <v>2016</v>
      </c>
      <c r="B298" s="11">
        <v>16060</v>
      </c>
      <c r="C298" s="12" t="s">
        <v>341</v>
      </c>
      <c r="D298" s="12" t="s">
        <v>29</v>
      </c>
      <c r="E298" s="22">
        <f t="shared" si="17"/>
        <v>141142.85714285713</v>
      </c>
      <c r="F298" s="22">
        <f t="shared" si="18"/>
        <v>140909.09090909091</v>
      </c>
      <c r="G298" s="22" t="str">
        <f t="shared" si="19"/>
        <v/>
      </c>
      <c r="H298" s="22" t="str">
        <f t="shared" si="20"/>
        <v/>
      </c>
      <c r="I298" s="13">
        <v>7719</v>
      </c>
      <c r="J298" s="13">
        <v>462</v>
      </c>
      <c r="K298" s="13">
        <v>0</v>
      </c>
      <c r="L298" s="13">
        <v>0</v>
      </c>
      <c r="M298" s="13">
        <v>8181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5">
        <v>3.5</v>
      </c>
      <c r="T298" s="15">
        <v>4.4000000000000004</v>
      </c>
      <c r="U298" s="15">
        <v>0</v>
      </c>
      <c r="V298" s="15">
        <v>0</v>
      </c>
      <c r="W298" s="15">
        <v>7.9</v>
      </c>
      <c r="X298" s="16">
        <v>3.5</v>
      </c>
      <c r="Y298" s="16">
        <v>4.4000000000000004</v>
      </c>
      <c r="Z298" s="16">
        <v>0</v>
      </c>
      <c r="AA298" s="16">
        <v>0</v>
      </c>
      <c r="AB298" s="16">
        <v>7.9</v>
      </c>
      <c r="AC298" s="17">
        <v>477</v>
      </c>
      <c r="AD298" s="17">
        <v>599</v>
      </c>
      <c r="AE298" s="17">
        <v>0</v>
      </c>
      <c r="AF298" s="17">
        <v>0</v>
      </c>
      <c r="AG298" s="17">
        <v>1076</v>
      </c>
      <c r="AH298" s="18">
        <v>17</v>
      </c>
      <c r="AI298" s="18">
        <v>21</v>
      </c>
      <c r="AJ298" s="18">
        <v>0</v>
      </c>
      <c r="AK298" s="18">
        <v>0</v>
      </c>
      <c r="AL298" s="18">
        <v>38</v>
      </c>
      <c r="AM298" s="19" t="s">
        <v>24</v>
      </c>
    </row>
    <row r="299" spans="1:39" x14ac:dyDescent="0.25">
      <c r="A299" s="10">
        <v>2016</v>
      </c>
      <c r="B299" s="11">
        <v>16181</v>
      </c>
      <c r="C299" s="12" t="s">
        <v>342</v>
      </c>
      <c r="D299" s="12" t="s">
        <v>36</v>
      </c>
      <c r="E299" s="22">
        <f t="shared" si="17"/>
        <v>52222.222222222219</v>
      </c>
      <c r="F299" s="22">
        <f t="shared" si="18"/>
        <v>120000</v>
      </c>
      <c r="G299" s="22">
        <f t="shared" si="19"/>
        <v>87968.75</v>
      </c>
      <c r="H299" s="22" t="str">
        <f t="shared" si="20"/>
        <v/>
      </c>
      <c r="I299" s="13">
        <v>7817</v>
      </c>
      <c r="J299" s="13">
        <v>101</v>
      </c>
      <c r="K299" s="13">
        <v>11</v>
      </c>
      <c r="L299" s="13">
        <v>0</v>
      </c>
      <c r="M299" s="13">
        <v>7929</v>
      </c>
      <c r="N299" s="14">
        <v>51</v>
      </c>
      <c r="O299" s="14">
        <v>1</v>
      </c>
      <c r="P299" s="14">
        <v>538</v>
      </c>
      <c r="Q299" s="14">
        <v>0</v>
      </c>
      <c r="R299" s="14">
        <v>590</v>
      </c>
      <c r="S299" s="15">
        <v>2.7</v>
      </c>
      <c r="T299" s="15">
        <v>0.1</v>
      </c>
      <c r="U299" s="15">
        <v>6.4</v>
      </c>
      <c r="V299" s="15">
        <v>0</v>
      </c>
      <c r="W299" s="15">
        <v>9.1999999999999993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7">
        <v>141</v>
      </c>
      <c r="AD299" s="17">
        <v>12</v>
      </c>
      <c r="AE299" s="17">
        <v>563</v>
      </c>
      <c r="AF299" s="17">
        <v>0</v>
      </c>
      <c r="AG299" s="17">
        <v>716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9" t="s">
        <v>24</v>
      </c>
    </row>
    <row r="300" spans="1:39" x14ac:dyDescent="0.25">
      <c r="A300" s="10">
        <v>2016</v>
      </c>
      <c r="B300" s="11">
        <v>16183</v>
      </c>
      <c r="C300" s="12" t="s">
        <v>343</v>
      </c>
      <c r="D300" s="12" t="s">
        <v>88</v>
      </c>
      <c r="E300" s="22" t="str">
        <f t="shared" si="17"/>
        <v/>
      </c>
      <c r="F300" s="22">
        <f t="shared" si="18"/>
        <v>0</v>
      </c>
      <c r="G300" s="22" t="str">
        <f t="shared" si="19"/>
        <v/>
      </c>
      <c r="H300" s="22" t="str">
        <f t="shared" si="20"/>
        <v/>
      </c>
      <c r="I300" s="13">
        <v>0</v>
      </c>
      <c r="J300" s="13">
        <v>1</v>
      </c>
      <c r="K300" s="13">
        <v>0</v>
      </c>
      <c r="L300" s="13">
        <v>0</v>
      </c>
      <c r="M300" s="13">
        <v>1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5">
        <v>0</v>
      </c>
      <c r="T300" s="15">
        <v>0.3</v>
      </c>
      <c r="U300" s="15">
        <v>0</v>
      </c>
      <c r="V300" s="15">
        <v>0</v>
      </c>
      <c r="W300" s="15">
        <v>0.3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9" t="s">
        <v>24</v>
      </c>
    </row>
    <row r="301" spans="1:39" x14ac:dyDescent="0.25">
      <c r="A301" s="10">
        <v>2016</v>
      </c>
      <c r="B301" s="11">
        <v>16267</v>
      </c>
      <c r="C301" s="12" t="s">
        <v>344</v>
      </c>
      <c r="D301" s="12" t="s">
        <v>74</v>
      </c>
      <c r="E301" s="22" t="str">
        <f t="shared" si="17"/>
        <v/>
      </c>
      <c r="F301" s="22" t="str">
        <f t="shared" si="18"/>
        <v/>
      </c>
      <c r="G301" s="22">
        <f t="shared" si="19"/>
        <v>23777.777777777777</v>
      </c>
      <c r="H301" s="22" t="str">
        <f t="shared" si="20"/>
        <v/>
      </c>
      <c r="I301" s="13">
        <v>0</v>
      </c>
      <c r="J301" s="13">
        <v>0</v>
      </c>
      <c r="K301" s="13">
        <v>242</v>
      </c>
      <c r="L301" s="13">
        <v>0</v>
      </c>
      <c r="M301" s="13">
        <v>242</v>
      </c>
      <c r="N301" s="14">
        <v>0</v>
      </c>
      <c r="O301" s="14">
        <v>0</v>
      </c>
      <c r="P301" s="14">
        <v>91</v>
      </c>
      <c r="Q301" s="14">
        <v>0</v>
      </c>
      <c r="R301" s="14">
        <v>91</v>
      </c>
      <c r="S301" s="15">
        <v>0</v>
      </c>
      <c r="T301" s="15">
        <v>0</v>
      </c>
      <c r="U301" s="15">
        <v>4.5</v>
      </c>
      <c r="V301" s="15">
        <v>0</v>
      </c>
      <c r="W301" s="15">
        <v>4.5</v>
      </c>
      <c r="X301" s="16">
        <v>0</v>
      </c>
      <c r="Y301" s="16">
        <v>0</v>
      </c>
      <c r="Z301" s="16">
        <v>4.5</v>
      </c>
      <c r="AA301" s="16">
        <v>0</v>
      </c>
      <c r="AB301" s="16">
        <v>4.5</v>
      </c>
      <c r="AC301" s="17">
        <v>0</v>
      </c>
      <c r="AD301" s="17">
        <v>0</v>
      </c>
      <c r="AE301" s="17">
        <v>67</v>
      </c>
      <c r="AF301" s="17">
        <v>0</v>
      </c>
      <c r="AG301" s="17">
        <v>67</v>
      </c>
      <c r="AH301" s="18">
        <v>0</v>
      </c>
      <c r="AI301" s="18">
        <v>0</v>
      </c>
      <c r="AJ301" s="18">
        <v>40</v>
      </c>
      <c r="AK301" s="18">
        <v>0</v>
      </c>
      <c r="AL301" s="18">
        <v>40</v>
      </c>
      <c r="AM301" s="19" t="s">
        <v>24</v>
      </c>
    </row>
    <row r="302" spans="1:39" x14ac:dyDescent="0.25">
      <c r="A302" s="10">
        <v>2016</v>
      </c>
      <c r="B302" s="11">
        <v>16284</v>
      </c>
      <c r="C302" s="12" t="s">
        <v>345</v>
      </c>
      <c r="D302" s="12" t="s">
        <v>36</v>
      </c>
      <c r="E302" s="22">
        <f t="shared" si="17"/>
        <v>7333.333333333333</v>
      </c>
      <c r="F302" s="22" t="str">
        <f t="shared" si="18"/>
        <v/>
      </c>
      <c r="G302" s="22" t="str">
        <f t="shared" si="19"/>
        <v/>
      </c>
      <c r="H302" s="22" t="str">
        <f t="shared" si="20"/>
        <v/>
      </c>
      <c r="I302" s="13">
        <v>3090</v>
      </c>
      <c r="J302" s="13">
        <v>0</v>
      </c>
      <c r="K302" s="13">
        <v>0</v>
      </c>
      <c r="L302" s="13">
        <v>0</v>
      </c>
      <c r="M302" s="13">
        <v>3090</v>
      </c>
      <c r="N302" s="14">
        <v>1</v>
      </c>
      <c r="O302" s="14">
        <v>0</v>
      </c>
      <c r="P302" s="14">
        <v>0</v>
      </c>
      <c r="Q302" s="14">
        <v>0</v>
      </c>
      <c r="R302" s="14">
        <v>1</v>
      </c>
      <c r="S302" s="15">
        <v>42</v>
      </c>
      <c r="T302" s="15">
        <v>0</v>
      </c>
      <c r="U302" s="15">
        <v>0</v>
      </c>
      <c r="V302" s="15">
        <v>0</v>
      </c>
      <c r="W302" s="15">
        <v>42</v>
      </c>
      <c r="X302" s="16">
        <v>21</v>
      </c>
      <c r="Y302" s="16">
        <v>0</v>
      </c>
      <c r="Z302" s="16">
        <v>0</v>
      </c>
      <c r="AA302" s="16">
        <v>0</v>
      </c>
      <c r="AB302" s="16">
        <v>21</v>
      </c>
      <c r="AC302" s="17">
        <v>45</v>
      </c>
      <c r="AD302" s="17">
        <v>0</v>
      </c>
      <c r="AE302" s="17">
        <v>0</v>
      </c>
      <c r="AF302" s="17">
        <v>0</v>
      </c>
      <c r="AG302" s="17">
        <v>45</v>
      </c>
      <c r="AH302" s="18">
        <v>263</v>
      </c>
      <c r="AI302" s="18">
        <v>0</v>
      </c>
      <c r="AJ302" s="18">
        <v>0</v>
      </c>
      <c r="AK302" s="18">
        <v>0</v>
      </c>
      <c r="AL302" s="18">
        <v>263</v>
      </c>
      <c r="AM302" s="19" t="s">
        <v>24</v>
      </c>
    </row>
    <row r="303" spans="1:39" x14ac:dyDescent="0.25">
      <c r="A303" s="10">
        <v>2016</v>
      </c>
      <c r="B303" s="11">
        <v>16295</v>
      </c>
      <c r="C303" s="12" t="s">
        <v>346</v>
      </c>
      <c r="D303" s="12" t="s">
        <v>42</v>
      </c>
      <c r="E303" s="22">
        <f t="shared" si="17"/>
        <v>30000</v>
      </c>
      <c r="F303" s="22" t="str">
        <f t="shared" si="18"/>
        <v/>
      </c>
      <c r="G303" s="22" t="str">
        <f t="shared" si="19"/>
        <v/>
      </c>
      <c r="H303" s="22" t="str">
        <f t="shared" si="20"/>
        <v/>
      </c>
      <c r="I303" s="13">
        <v>3721</v>
      </c>
      <c r="J303" s="13">
        <v>0</v>
      </c>
      <c r="K303" s="13">
        <v>0</v>
      </c>
      <c r="L303" s="13">
        <v>0</v>
      </c>
      <c r="M303" s="13">
        <v>3721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5">
        <v>3.7</v>
      </c>
      <c r="T303" s="15">
        <v>0</v>
      </c>
      <c r="U303" s="15">
        <v>0</v>
      </c>
      <c r="V303" s="15">
        <v>0</v>
      </c>
      <c r="W303" s="15">
        <v>3.7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7">
        <v>37</v>
      </c>
      <c r="AD303" s="17">
        <v>0</v>
      </c>
      <c r="AE303" s="17">
        <v>0</v>
      </c>
      <c r="AF303" s="17">
        <v>0</v>
      </c>
      <c r="AG303" s="17">
        <v>37</v>
      </c>
      <c r="AH303" s="18">
        <v>74</v>
      </c>
      <c r="AI303" s="18">
        <v>0</v>
      </c>
      <c r="AJ303" s="18">
        <v>0</v>
      </c>
      <c r="AK303" s="18">
        <v>0</v>
      </c>
      <c r="AL303" s="18">
        <v>74</v>
      </c>
      <c r="AM303" s="19" t="s">
        <v>24</v>
      </c>
    </row>
    <row r="304" spans="1:39" x14ac:dyDescent="0.25">
      <c r="A304" s="10">
        <v>2016</v>
      </c>
      <c r="B304" s="11">
        <v>16496</v>
      </c>
      <c r="C304" s="12" t="s">
        <v>347</v>
      </c>
      <c r="D304" s="12" t="s">
        <v>81</v>
      </c>
      <c r="E304" s="22">
        <f t="shared" si="17"/>
        <v>54333.333333333336</v>
      </c>
      <c r="F304" s="22" t="str">
        <f t="shared" si="18"/>
        <v/>
      </c>
      <c r="G304" s="22" t="str">
        <f t="shared" si="19"/>
        <v/>
      </c>
      <c r="H304" s="22" t="str">
        <f t="shared" si="20"/>
        <v/>
      </c>
      <c r="I304" s="13">
        <v>7728</v>
      </c>
      <c r="J304" s="13">
        <v>0</v>
      </c>
      <c r="K304" s="13">
        <v>0</v>
      </c>
      <c r="L304" s="13">
        <v>0</v>
      </c>
      <c r="M304" s="13">
        <v>7728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5">
        <v>3</v>
      </c>
      <c r="T304" s="15">
        <v>0</v>
      </c>
      <c r="U304" s="15">
        <v>0</v>
      </c>
      <c r="V304" s="15">
        <v>0</v>
      </c>
      <c r="W304" s="15">
        <v>3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7">
        <v>163</v>
      </c>
      <c r="AD304" s="17">
        <v>0</v>
      </c>
      <c r="AE304" s="17">
        <v>0</v>
      </c>
      <c r="AF304" s="17">
        <v>0</v>
      </c>
      <c r="AG304" s="17">
        <v>163</v>
      </c>
      <c r="AH304" s="18">
        <v>0</v>
      </c>
      <c r="AI304" s="18">
        <v>0</v>
      </c>
      <c r="AJ304" s="18">
        <v>0</v>
      </c>
      <c r="AK304" s="18">
        <v>0</v>
      </c>
      <c r="AL304" s="18">
        <v>0</v>
      </c>
      <c r="AM304" s="19" t="s">
        <v>24</v>
      </c>
    </row>
    <row r="305" spans="1:39" x14ac:dyDescent="0.25">
      <c r="A305" s="10">
        <v>2016</v>
      </c>
      <c r="B305" s="11">
        <v>16534</v>
      </c>
      <c r="C305" s="12" t="s">
        <v>348</v>
      </c>
      <c r="D305" s="12" t="s">
        <v>42</v>
      </c>
      <c r="E305" s="22">
        <f t="shared" si="17"/>
        <v>4690.4761904761908</v>
      </c>
      <c r="F305" s="22">
        <f t="shared" si="18"/>
        <v>211791.04477611941</v>
      </c>
      <c r="G305" s="22">
        <f t="shared" si="19"/>
        <v>42153.846153846156</v>
      </c>
      <c r="H305" s="22" t="str">
        <f t="shared" si="20"/>
        <v/>
      </c>
      <c r="I305" s="13">
        <v>86957</v>
      </c>
      <c r="J305" s="13">
        <v>23</v>
      </c>
      <c r="K305" s="13">
        <v>1</v>
      </c>
      <c r="L305" s="13">
        <v>0</v>
      </c>
      <c r="M305" s="13">
        <v>86981</v>
      </c>
      <c r="N305" s="14">
        <v>0</v>
      </c>
      <c r="O305" s="14">
        <v>37</v>
      </c>
      <c r="P305" s="14">
        <v>0</v>
      </c>
      <c r="Q305" s="14">
        <v>0</v>
      </c>
      <c r="R305" s="14">
        <v>37</v>
      </c>
      <c r="S305" s="15">
        <v>42</v>
      </c>
      <c r="T305" s="15">
        <v>6.7</v>
      </c>
      <c r="U305" s="15">
        <v>6.5</v>
      </c>
      <c r="V305" s="15">
        <v>0</v>
      </c>
      <c r="W305" s="15">
        <v>55.2</v>
      </c>
      <c r="X305" s="16">
        <v>0</v>
      </c>
      <c r="Y305" s="16">
        <v>6.7</v>
      </c>
      <c r="Z305" s="16">
        <v>0</v>
      </c>
      <c r="AA305" s="16">
        <v>0</v>
      </c>
      <c r="AB305" s="16">
        <v>6.7</v>
      </c>
      <c r="AC305" s="17">
        <v>0</v>
      </c>
      <c r="AD305" s="17">
        <v>1055</v>
      </c>
      <c r="AE305" s="17">
        <v>274</v>
      </c>
      <c r="AF305" s="17">
        <v>0</v>
      </c>
      <c r="AG305" s="17">
        <v>1329</v>
      </c>
      <c r="AH305" s="18">
        <v>197</v>
      </c>
      <c r="AI305" s="18">
        <v>364</v>
      </c>
      <c r="AJ305" s="18">
        <v>0</v>
      </c>
      <c r="AK305" s="18">
        <v>0</v>
      </c>
      <c r="AL305" s="18">
        <v>561</v>
      </c>
      <c r="AM305" s="19" t="s">
        <v>24</v>
      </c>
    </row>
    <row r="306" spans="1:39" x14ac:dyDescent="0.25">
      <c r="A306" s="10">
        <v>2016</v>
      </c>
      <c r="B306" s="11">
        <v>16572</v>
      </c>
      <c r="C306" s="12" t="s">
        <v>349</v>
      </c>
      <c r="D306" s="12" t="s">
        <v>46</v>
      </c>
      <c r="E306" s="22">
        <f t="shared" si="17"/>
        <v>104.75651189127973</v>
      </c>
      <c r="F306" s="22" t="str">
        <f t="shared" si="18"/>
        <v/>
      </c>
      <c r="G306" s="22">
        <f t="shared" si="19"/>
        <v>0</v>
      </c>
      <c r="H306" s="22" t="str">
        <f t="shared" si="20"/>
        <v/>
      </c>
      <c r="I306" s="13">
        <v>1766</v>
      </c>
      <c r="J306" s="13">
        <v>0</v>
      </c>
      <c r="K306" s="13">
        <v>3</v>
      </c>
      <c r="L306" s="13">
        <v>0</v>
      </c>
      <c r="M306" s="13">
        <v>1769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5">
        <v>1766</v>
      </c>
      <c r="T306" s="15">
        <v>0</v>
      </c>
      <c r="U306" s="15">
        <v>78</v>
      </c>
      <c r="V306" s="15">
        <v>0</v>
      </c>
      <c r="W306" s="15">
        <v>1844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8">
        <v>185</v>
      </c>
      <c r="AI306" s="18">
        <v>0</v>
      </c>
      <c r="AJ306" s="18">
        <v>0</v>
      </c>
      <c r="AK306" s="18">
        <v>0</v>
      </c>
      <c r="AL306" s="18">
        <v>185</v>
      </c>
      <c r="AM306" s="19" t="s">
        <v>24</v>
      </c>
    </row>
    <row r="307" spans="1:39" x14ac:dyDescent="0.25">
      <c r="A307" s="10">
        <v>2016</v>
      </c>
      <c r="B307" s="11">
        <v>16604</v>
      </c>
      <c r="C307" s="12" t="s">
        <v>350</v>
      </c>
      <c r="D307" s="12" t="s">
        <v>56</v>
      </c>
      <c r="E307" s="22">
        <f t="shared" si="17"/>
        <v>76285.96338273758</v>
      </c>
      <c r="F307" s="22">
        <f t="shared" si="18"/>
        <v>59682.692307692305</v>
      </c>
      <c r="G307" s="22" t="str">
        <f t="shared" si="19"/>
        <v/>
      </c>
      <c r="H307" s="22" t="str">
        <f t="shared" si="20"/>
        <v/>
      </c>
      <c r="I307" s="13">
        <v>131894</v>
      </c>
      <c r="J307" s="13">
        <v>470</v>
      </c>
      <c r="K307" s="13">
        <v>0</v>
      </c>
      <c r="L307" s="13">
        <v>0</v>
      </c>
      <c r="M307" s="13">
        <v>132364</v>
      </c>
      <c r="N307" s="14">
        <v>5639</v>
      </c>
      <c r="O307" s="14">
        <v>2774</v>
      </c>
      <c r="P307" s="14">
        <v>0</v>
      </c>
      <c r="Q307" s="14">
        <v>0</v>
      </c>
      <c r="R307" s="14">
        <v>8413</v>
      </c>
      <c r="S307" s="15">
        <v>114.7</v>
      </c>
      <c r="T307" s="15">
        <v>104</v>
      </c>
      <c r="U307" s="15">
        <v>0</v>
      </c>
      <c r="V307" s="15">
        <v>0</v>
      </c>
      <c r="W307" s="15">
        <v>218.7</v>
      </c>
      <c r="X307" s="16">
        <v>114.7</v>
      </c>
      <c r="Y307" s="16">
        <v>104</v>
      </c>
      <c r="Z307" s="16">
        <v>0</v>
      </c>
      <c r="AA307" s="16">
        <v>0</v>
      </c>
      <c r="AB307" s="16">
        <v>218.7</v>
      </c>
      <c r="AC307" s="17">
        <v>8270</v>
      </c>
      <c r="AD307" s="17">
        <v>5987</v>
      </c>
      <c r="AE307" s="17">
        <v>0</v>
      </c>
      <c r="AF307" s="17">
        <v>0</v>
      </c>
      <c r="AG307" s="17">
        <v>14257</v>
      </c>
      <c r="AH307" s="18">
        <v>480</v>
      </c>
      <c r="AI307" s="18">
        <v>220</v>
      </c>
      <c r="AJ307" s="18">
        <v>0</v>
      </c>
      <c r="AK307" s="18">
        <v>0</v>
      </c>
      <c r="AL307" s="18">
        <v>700</v>
      </c>
      <c r="AM307" s="19" t="s">
        <v>24</v>
      </c>
    </row>
    <row r="308" spans="1:39" x14ac:dyDescent="0.25">
      <c r="A308" s="10">
        <v>2016</v>
      </c>
      <c r="B308" s="11">
        <v>16606</v>
      </c>
      <c r="C308" s="12" t="s">
        <v>351</v>
      </c>
      <c r="D308" s="12" t="s">
        <v>64</v>
      </c>
      <c r="E308" s="22">
        <f t="shared" si="17"/>
        <v>46666.666666666672</v>
      </c>
      <c r="F308" s="22" t="str">
        <f t="shared" si="18"/>
        <v/>
      </c>
      <c r="G308" s="22" t="str">
        <f t="shared" si="19"/>
        <v/>
      </c>
      <c r="H308" s="22" t="str">
        <f t="shared" si="20"/>
        <v/>
      </c>
      <c r="I308" s="13">
        <v>38</v>
      </c>
      <c r="J308" s="13">
        <v>0</v>
      </c>
      <c r="K308" s="13">
        <v>0</v>
      </c>
      <c r="L308" s="13">
        <v>0</v>
      </c>
      <c r="M308" s="13">
        <v>38</v>
      </c>
      <c r="N308" s="14">
        <v>135</v>
      </c>
      <c r="O308" s="14">
        <v>0</v>
      </c>
      <c r="P308" s="14">
        <v>0</v>
      </c>
      <c r="Q308" s="14">
        <v>0</v>
      </c>
      <c r="R308" s="14">
        <v>135</v>
      </c>
      <c r="S308" s="15">
        <v>0.3</v>
      </c>
      <c r="T308" s="15">
        <v>0</v>
      </c>
      <c r="U308" s="15">
        <v>0</v>
      </c>
      <c r="V308" s="15">
        <v>0</v>
      </c>
      <c r="W308" s="15">
        <v>0.3</v>
      </c>
      <c r="X308" s="16">
        <v>0.3</v>
      </c>
      <c r="Y308" s="16">
        <v>0</v>
      </c>
      <c r="Z308" s="16">
        <v>0</v>
      </c>
      <c r="AA308" s="16">
        <v>0</v>
      </c>
      <c r="AB308" s="16">
        <v>0.3</v>
      </c>
      <c r="AC308" s="17">
        <v>8</v>
      </c>
      <c r="AD308" s="17">
        <v>0</v>
      </c>
      <c r="AE308" s="17">
        <v>0</v>
      </c>
      <c r="AF308" s="17">
        <v>0</v>
      </c>
      <c r="AG308" s="17">
        <v>8</v>
      </c>
      <c r="AH308" s="18">
        <v>6</v>
      </c>
      <c r="AI308" s="18">
        <v>0</v>
      </c>
      <c r="AJ308" s="18">
        <v>0</v>
      </c>
      <c r="AK308" s="18">
        <v>0</v>
      </c>
      <c r="AL308" s="18">
        <v>6</v>
      </c>
      <c r="AM308" s="19">
        <v>38</v>
      </c>
    </row>
    <row r="309" spans="1:39" x14ac:dyDescent="0.25">
      <c r="A309" s="10">
        <v>2016</v>
      </c>
      <c r="B309" s="11">
        <v>16609</v>
      </c>
      <c r="C309" s="12" t="s">
        <v>352</v>
      </c>
      <c r="D309" s="12" t="s">
        <v>42</v>
      </c>
      <c r="E309" s="22">
        <f t="shared" si="17"/>
        <v>340842.69662921346</v>
      </c>
      <c r="F309" s="22">
        <f t="shared" si="18"/>
        <v>295359.11602209945</v>
      </c>
      <c r="G309" s="22">
        <f t="shared" si="19"/>
        <v>317857.14285714284</v>
      </c>
      <c r="H309" s="22" t="str">
        <f t="shared" si="20"/>
        <v/>
      </c>
      <c r="I309" s="13">
        <v>102638</v>
      </c>
      <c r="J309" s="13">
        <v>123308</v>
      </c>
      <c r="K309" s="13">
        <v>74</v>
      </c>
      <c r="L309" s="13">
        <v>0</v>
      </c>
      <c r="M309" s="13">
        <v>226020</v>
      </c>
      <c r="N309" s="14">
        <v>223</v>
      </c>
      <c r="O309" s="14">
        <v>340</v>
      </c>
      <c r="P309" s="14">
        <v>81</v>
      </c>
      <c r="Q309" s="14">
        <v>0</v>
      </c>
      <c r="R309" s="14">
        <v>644</v>
      </c>
      <c r="S309" s="15">
        <v>17.8</v>
      </c>
      <c r="T309" s="15">
        <v>36.200000000000003</v>
      </c>
      <c r="U309" s="15">
        <v>8.4</v>
      </c>
      <c r="V309" s="15">
        <v>0</v>
      </c>
      <c r="W309" s="15">
        <v>62.4</v>
      </c>
      <c r="X309" s="16">
        <v>17.8</v>
      </c>
      <c r="Y309" s="16">
        <v>36.200000000000003</v>
      </c>
      <c r="Z309" s="16">
        <v>5.0999999999999996</v>
      </c>
      <c r="AA309" s="16">
        <v>0</v>
      </c>
      <c r="AB309" s="16">
        <v>59.1</v>
      </c>
      <c r="AC309" s="17">
        <v>3423</v>
      </c>
      <c r="AD309" s="17">
        <v>3742</v>
      </c>
      <c r="AE309" s="17">
        <v>684</v>
      </c>
      <c r="AF309" s="17">
        <v>0</v>
      </c>
      <c r="AG309" s="17">
        <v>7849</v>
      </c>
      <c r="AH309" s="18">
        <v>2644</v>
      </c>
      <c r="AI309" s="18">
        <v>6950</v>
      </c>
      <c r="AJ309" s="18">
        <v>1986</v>
      </c>
      <c r="AK309" s="18">
        <v>0</v>
      </c>
      <c r="AL309" s="18">
        <v>11580</v>
      </c>
      <c r="AM309" s="19" t="s">
        <v>24</v>
      </c>
    </row>
    <row r="310" spans="1:39" x14ac:dyDescent="0.25">
      <c r="A310" s="10">
        <v>2016</v>
      </c>
      <c r="B310" s="11">
        <v>16627</v>
      </c>
      <c r="C310" s="12" t="s">
        <v>353</v>
      </c>
      <c r="D310" s="12" t="s">
        <v>56</v>
      </c>
      <c r="E310" s="22" t="str">
        <f t="shared" si="17"/>
        <v/>
      </c>
      <c r="F310" s="22" t="str">
        <f t="shared" si="18"/>
        <v/>
      </c>
      <c r="G310" s="22">
        <f t="shared" si="19"/>
        <v>158666.66666666666</v>
      </c>
      <c r="H310" s="22" t="str">
        <f t="shared" si="20"/>
        <v/>
      </c>
      <c r="I310" s="13">
        <v>0</v>
      </c>
      <c r="J310" s="13">
        <v>6</v>
      </c>
      <c r="K310" s="13">
        <v>6</v>
      </c>
      <c r="L310" s="13">
        <v>0</v>
      </c>
      <c r="M310" s="13">
        <v>12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5">
        <v>0</v>
      </c>
      <c r="T310" s="15">
        <v>0</v>
      </c>
      <c r="U310" s="15">
        <v>13.5</v>
      </c>
      <c r="V310" s="15">
        <v>0</v>
      </c>
      <c r="W310" s="15">
        <v>13.5</v>
      </c>
      <c r="X310" s="16">
        <v>0</v>
      </c>
      <c r="Y310" s="16">
        <v>0</v>
      </c>
      <c r="Z310" s="16">
        <v>13.5</v>
      </c>
      <c r="AA310" s="16">
        <v>0</v>
      </c>
      <c r="AB310" s="16">
        <v>13.5</v>
      </c>
      <c r="AC310" s="17">
        <v>0</v>
      </c>
      <c r="AD310" s="17">
        <v>0</v>
      </c>
      <c r="AE310" s="17">
        <v>2142</v>
      </c>
      <c r="AF310" s="17">
        <v>0</v>
      </c>
      <c r="AG310" s="17">
        <v>2142</v>
      </c>
      <c r="AH310" s="18">
        <v>0</v>
      </c>
      <c r="AI310" s="18">
        <v>0</v>
      </c>
      <c r="AJ310" s="18">
        <v>0</v>
      </c>
      <c r="AK310" s="18">
        <v>0</v>
      </c>
      <c r="AL310" s="18">
        <v>0</v>
      </c>
      <c r="AM310" s="19" t="s">
        <v>24</v>
      </c>
    </row>
    <row r="311" spans="1:39" x14ac:dyDescent="0.25">
      <c r="A311" s="10">
        <v>2016</v>
      </c>
      <c r="B311" s="11">
        <v>16674</v>
      </c>
      <c r="C311" s="12" t="s">
        <v>354</v>
      </c>
      <c r="D311" s="12" t="s">
        <v>40</v>
      </c>
      <c r="E311" s="22" t="str">
        <f t="shared" si="17"/>
        <v/>
      </c>
      <c r="F311" s="22">
        <f t="shared" si="18"/>
        <v>3846.1538461538462</v>
      </c>
      <c r="G311" s="22">
        <f t="shared" si="19"/>
        <v>1562.5</v>
      </c>
      <c r="H311" s="22" t="str">
        <f t="shared" si="20"/>
        <v/>
      </c>
      <c r="I311" s="13">
        <v>0</v>
      </c>
      <c r="J311" s="13">
        <v>712</v>
      </c>
      <c r="K311" s="13">
        <v>22</v>
      </c>
      <c r="L311" s="13">
        <v>0</v>
      </c>
      <c r="M311" s="13">
        <v>734</v>
      </c>
      <c r="N311" s="14">
        <v>0</v>
      </c>
      <c r="O311" s="14">
        <v>6</v>
      </c>
      <c r="P311" s="14">
        <v>5</v>
      </c>
      <c r="Q311" s="14">
        <v>0</v>
      </c>
      <c r="R311" s="14">
        <v>11</v>
      </c>
      <c r="S311" s="15">
        <v>0</v>
      </c>
      <c r="T311" s="15">
        <v>6.5</v>
      </c>
      <c r="U311" s="15">
        <v>16</v>
      </c>
      <c r="V311" s="15">
        <v>0</v>
      </c>
      <c r="W311" s="15">
        <v>22.5</v>
      </c>
      <c r="X311" s="16">
        <v>0</v>
      </c>
      <c r="Y311" s="16">
        <v>2.5</v>
      </c>
      <c r="Z311" s="16">
        <v>10</v>
      </c>
      <c r="AA311" s="16">
        <v>0</v>
      </c>
      <c r="AB311" s="16">
        <v>12.5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8">
        <v>0</v>
      </c>
      <c r="AI311" s="18">
        <v>25</v>
      </c>
      <c r="AJ311" s="18">
        <v>25</v>
      </c>
      <c r="AK311" s="18">
        <v>0</v>
      </c>
      <c r="AL311" s="18">
        <v>50</v>
      </c>
      <c r="AM311" s="19">
        <v>0</v>
      </c>
    </row>
    <row r="312" spans="1:39" x14ac:dyDescent="0.25">
      <c r="A312" s="10">
        <v>2016</v>
      </c>
      <c r="B312" s="11">
        <v>16740</v>
      </c>
      <c r="C312" s="12" t="s">
        <v>355</v>
      </c>
      <c r="D312" s="12" t="s">
        <v>29</v>
      </c>
      <c r="E312" s="22">
        <f t="shared" si="17"/>
        <v>44428.571428571428</v>
      </c>
      <c r="F312" s="22">
        <f t="shared" si="18"/>
        <v>38333.333333333336</v>
      </c>
      <c r="G312" s="22">
        <f t="shared" si="19"/>
        <v>43333.333333333336</v>
      </c>
      <c r="H312" s="22" t="str">
        <f t="shared" si="20"/>
        <v/>
      </c>
      <c r="I312" s="13">
        <v>5795</v>
      </c>
      <c r="J312" s="13">
        <v>5</v>
      </c>
      <c r="K312" s="13">
        <v>777</v>
      </c>
      <c r="L312" s="13">
        <v>0</v>
      </c>
      <c r="M312" s="13">
        <v>6577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5">
        <v>7</v>
      </c>
      <c r="T312" s="15">
        <v>0.6</v>
      </c>
      <c r="U312" s="15">
        <v>0.3</v>
      </c>
      <c r="V312" s="15">
        <v>0</v>
      </c>
      <c r="W312" s="15">
        <v>7.9</v>
      </c>
      <c r="X312" s="16">
        <v>3.5</v>
      </c>
      <c r="Y312" s="16">
        <v>0.3</v>
      </c>
      <c r="Z312" s="16">
        <v>0.2</v>
      </c>
      <c r="AA312" s="16">
        <v>0</v>
      </c>
      <c r="AB312" s="16">
        <v>4</v>
      </c>
      <c r="AC312" s="17">
        <v>279</v>
      </c>
      <c r="AD312" s="17">
        <v>21</v>
      </c>
      <c r="AE312" s="17">
        <v>12</v>
      </c>
      <c r="AF312" s="17">
        <v>0</v>
      </c>
      <c r="AG312" s="17">
        <v>312</v>
      </c>
      <c r="AH312" s="18">
        <v>32</v>
      </c>
      <c r="AI312" s="18">
        <v>2</v>
      </c>
      <c r="AJ312" s="18">
        <v>1</v>
      </c>
      <c r="AK312" s="18">
        <v>0</v>
      </c>
      <c r="AL312" s="18">
        <v>35</v>
      </c>
      <c r="AM312" s="19" t="s">
        <v>24</v>
      </c>
    </row>
    <row r="313" spans="1:39" x14ac:dyDescent="0.25">
      <c r="A313" s="10">
        <v>2016</v>
      </c>
      <c r="B313" s="11">
        <v>16805</v>
      </c>
      <c r="C313" s="12" t="s">
        <v>356</v>
      </c>
      <c r="D313" s="12" t="s">
        <v>112</v>
      </c>
      <c r="E313" s="22" t="str">
        <f t="shared" si="17"/>
        <v/>
      </c>
      <c r="F313" s="22">
        <f t="shared" si="18"/>
        <v>8035.7142857142862</v>
      </c>
      <c r="G313" s="22" t="str">
        <f t="shared" si="19"/>
        <v/>
      </c>
      <c r="H313" s="22" t="str">
        <f t="shared" si="20"/>
        <v/>
      </c>
      <c r="I313" s="13">
        <v>0</v>
      </c>
      <c r="J313" s="13">
        <v>377</v>
      </c>
      <c r="K313" s="13">
        <v>0</v>
      </c>
      <c r="L313" s="13">
        <v>0</v>
      </c>
      <c r="M313" s="13">
        <v>377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5">
        <v>0</v>
      </c>
      <c r="T313" s="15">
        <v>5.6</v>
      </c>
      <c r="U313" s="15">
        <v>0</v>
      </c>
      <c r="V313" s="15">
        <v>0</v>
      </c>
      <c r="W313" s="15">
        <v>5.6</v>
      </c>
      <c r="X313" s="16">
        <v>0</v>
      </c>
      <c r="Y313" s="16">
        <v>1</v>
      </c>
      <c r="Z313" s="16">
        <v>0</v>
      </c>
      <c r="AA313" s="16">
        <v>0</v>
      </c>
      <c r="AB313" s="16">
        <v>1</v>
      </c>
      <c r="AC313" s="17">
        <v>0</v>
      </c>
      <c r="AD313" s="17">
        <v>45</v>
      </c>
      <c r="AE313" s="17">
        <v>0</v>
      </c>
      <c r="AF313" s="17">
        <v>0</v>
      </c>
      <c r="AG313" s="17">
        <v>45</v>
      </c>
      <c r="AH313" s="18">
        <v>0</v>
      </c>
      <c r="AI313" s="18">
        <v>0</v>
      </c>
      <c r="AJ313" s="18">
        <v>0</v>
      </c>
      <c r="AK313" s="18">
        <v>0</v>
      </c>
      <c r="AL313" s="18">
        <v>0</v>
      </c>
      <c r="AM313" s="19" t="s">
        <v>24</v>
      </c>
    </row>
    <row r="314" spans="1:39" x14ac:dyDescent="0.25">
      <c r="A314" s="10">
        <v>2016</v>
      </c>
      <c r="B314" s="11">
        <v>16854</v>
      </c>
      <c r="C314" s="12" t="s">
        <v>357</v>
      </c>
      <c r="D314" s="12" t="s">
        <v>74</v>
      </c>
      <c r="E314" s="22">
        <f t="shared" si="17"/>
        <v>9571.4285714285706</v>
      </c>
      <c r="F314" s="22" t="str">
        <f t="shared" si="18"/>
        <v/>
      </c>
      <c r="G314" s="22" t="str">
        <f t="shared" si="19"/>
        <v/>
      </c>
      <c r="H314" s="22" t="str">
        <f t="shared" si="20"/>
        <v/>
      </c>
      <c r="I314" s="13">
        <v>2365</v>
      </c>
      <c r="J314" s="13">
        <v>37</v>
      </c>
      <c r="K314" s="13">
        <v>0</v>
      </c>
      <c r="L314" s="13">
        <v>0</v>
      </c>
      <c r="M314" s="13">
        <v>2402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5">
        <v>7</v>
      </c>
      <c r="T314" s="15">
        <v>0</v>
      </c>
      <c r="U314" s="15">
        <v>0</v>
      </c>
      <c r="V314" s="15">
        <v>0</v>
      </c>
      <c r="W314" s="15">
        <v>7</v>
      </c>
      <c r="X314" s="16">
        <v>1</v>
      </c>
      <c r="Y314" s="16">
        <v>0</v>
      </c>
      <c r="Z314" s="16">
        <v>0</v>
      </c>
      <c r="AA314" s="16">
        <v>0</v>
      </c>
      <c r="AB314" s="16">
        <v>1</v>
      </c>
      <c r="AC314" s="17">
        <v>44</v>
      </c>
      <c r="AD314" s="17">
        <v>0</v>
      </c>
      <c r="AE314" s="17">
        <v>0</v>
      </c>
      <c r="AF314" s="17">
        <v>0</v>
      </c>
      <c r="AG314" s="17">
        <v>44</v>
      </c>
      <c r="AH314" s="18">
        <v>23</v>
      </c>
      <c r="AI314" s="18">
        <v>0</v>
      </c>
      <c r="AJ314" s="18">
        <v>0</v>
      </c>
      <c r="AK314" s="18">
        <v>0</v>
      </c>
      <c r="AL314" s="18">
        <v>23</v>
      </c>
      <c r="AM314" s="19" t="s">
        <v>24</v>
      </c>
    </row>
    <row r="315" spans="1:39" x14ac:dyDescent="0.25">
      <c r="A315" s="10">
        <v>2016</v>
      </c>
      <c r="B315" s="11">
        <v>16865</v>
      </c>
      <c r="C315" s="12" t="s">
        <v>358</v>
      </c>
      <c r="D315" s="12" t="s">
        <v>40</v>
      </c>
      <c r="E315" s="22">
        <f t="shared" si="17"/>
        <v>266170.21276595746</v>
      </c>
      <c r="F315" s="22">
        <f t="shared" si="18"/>
        <v>270000</v>
      </c>
      <c r="G315" s="22" t="str">
        <f t="shared" si="19"/>
        <v/>
      </c>
      <c r="H315" s="22" t="str">
        <f t="shared" si="20"/>
        <v/>
      </c>
      <c r="I315" s="13">
        <v>3931</v>
      </c>
      <c r="J315" s="13">
        <v>96</v>
      </c>
      <c r="K315" s="13">
        <v>0</v>
      </c>
      <c r="L315" s="13">
        <v>0</v>
      </c>
      <c r="M315" s="13">
        <v>4027</v>
      </c>
      <c r="N315" s="14">
        <v>4</v>
      </c>
      <c r="O315" s="14">
        <v>0</v>
      </c>
      <c r="P315" s="14">
        <v>0</v>
      </c>
      <c r="Q315" s="14">
        <v>0</v>
      </c>
      <c r="R315" s="14">
        <v>4</v>
      </c>
      <c r="S315" s="15">
        <v>9.4</v>
      </c>
      <c r="T315" s="15">
        <v>0.2</v>
      </c>
      <c r="U315" s="15">
        <v>0</v>
      </c>
      <c r="V315" s="15">
        <v>0</v>
      </c>
      <c r="W315" s="15">
        <v>9.6</v>
      </c>
      <c r="X315" s="16">
        <v>3.3</v>
      </c>
      <c r="Y315" s="16">
        <v>0.1</v>
      </c>
      <c r="Z315" s="16">
        <v>0</v>
      </c>
      <c r="AA315" s="16">
        <v>0</v>
      </c>
      <c r="AB315" s="16">
        <v>3.4</v>
      </c>
      <c r="AC315" s="17">
        <v>1571</v>
      </c>
      <c r="AD315" s="17">
        <v>54</v>
      </c>
      <c r="AE315" s="17">
        <v>0</v>
      </c>
      <c r="AF315" s="17">
        <v>0</v>
      </c>
      <c r="AG315" s="17">
        <v>1625</v>
      </c>
      <c r="AH315" s="18">
        <v>931</v>
      </c>
      <c r="AI315" s="18">
        <v>0</v>
      </c>
      <c r="AJ315" s="18">
        <v>0</v>
      </c>
      <c r="AK315" s="18">
        <v>0</v>
      </c>
      <c r="AL315" s="18">
        <v>931</v>
      </c>
      <c r="AM315" s="19" t="s">
        <v>24</v>
      </c>
    </row>
    <row r="316" spans="1:39" x14ac:dyDescent="0.25">
      <c r="A316" s="10">
        <v>2016</v>
      </c>
      <c r="B316" s="11">
        <v>16920</v>
      </c>
      <c r="C316" s="12" t="s">
        <v>359</v>
      </c>
      <c r="D316" s="12" t="s">
        <v>74</v>
      </c>
      <c r="E316" s="22">
        <f t="shared" si="17"/>
        <v>1440</v>
      </c>
      <c r="F316" s="22">
        <f t="shared" si="18"/>
        <v>30666.666666666668</v>
      </c>
      <c r="G316" s="22">
        <f t="shared" si="19"/>
        <v>0</v>
      </c>
      <c r="H316" s="22" t="str">
        <f t="shared" si="20"/>
        <v/>
      </c>
      <c r="I316" s="13">
        <v>0</v>
      </c>
      <c r="J316" s="13">
        <v>43</v>
      </c>
      <c r="K316" s="13">
        <v>0</v>
      </c>
      <c r="L316" s="13">
        <v>0</v>
      </c>
      <c r="M316" s="13">
        <v>43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5">
        <v>25</v>
      </c>
      <c r="T316" s="15">
        <v>1.5</v>
      </c>
      <c r="U316" s="15">
        <v>10</v>
      </c>
      <c r="V316" s="15">
        <v>0</v>
      </c>
      <c r="W316" s="15">
        <v>36.5</v>
      </c>
      <c r="X316" s="16">
        <v>1</v>
      </c>
      <c r="Y316" s="16">
        <v>1</v>
      </c>
      <c r="Z316" s="16">
        <v>1</v>
      </c>
      <c r="AA316" s="16">
        <v>0</v>
      </c>
      <c r="AB316" s="16">
        <v>3</v>
      </c>
      <c r="AC316" s="17">
        <v>0</v>
      </c>
      <c r="AD316" s="17">
        <v>45</v>
      </c>
      <c r="AE316" s="17">
        <v>0</v>
      </c>
      <c r="AF316" s="17">
        <v>0</v>
      </c>
      <c r="AG316" s="17">
        <v>45</v>
      </c>
      <c r="AH316" s="18">
        <v>36</v>
      </c>
      <c r="AI316" s="18">
        <v>1</v>
      </c>
      <c r="AJ316" s="18">
        <v>0</v>
      </c>
      <c r="AK316" s="18">
        <v>0</v>
      </c>
      <c r="AL316" s="18">
        <v>37</v>
      </c>
      <c r="AM316" s="19" t="s">
        <v>24</v>
      </c>
    </row>
    <row r="317" spans="1:39" x14ac:dyDescent="0.25">
      <c r="A317" s="10">
        <v>2016</v>
      </c>
      <c r="B317" s="11">
        <v>16932</v>
      </c>
      <c r="C317" s="12" t="s">
        <v>360</v>
      </c>
      <c r="D317" s="12" t="s">
        <v>38</v>
      </c>
      <c r="E317" s="22" t="str">
        <f t="shared" si="17"/>
        <v/>
      </c>
      <c r="F317" s="22" t="str">
        <f t="shared" si="18"/>
        <v/>
      </c>
      <c r="G317" s="22" t="str">
        <f t="shared" si="19"/>
        <v/>
      </c>
      <c r="H317" s="22" t="str">
        <f t="shared" si="20"/>
        <v/>
      </c>
      <c r="I317" s="13">
        <v>371</v>
      </c>
      <c r="J317" s="13">
        <v>33</v>
      </c>
      <c r="K317" s="13">
        <v>0</v>
      </c>
      <c r="L317" s="13">
        <v>0</v>
      </c>
      <c r="M317" s="13">
        <v>404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8">
        <v>0</v>
      </c>
      <c r="AI317" s="18">
        <v>0</v>
      </c>
      <c r="AJ317" s="18">
        <v>0</v>
      </c>
      <c r="AK317" s="18">
        <v>0</v>
      </c>
      <c r="AL317" s="18">
        <v>0</v>
      </c>
      <c r="AM317" s="19" t="s">
        <v>24</v>
      </c>
    </row>
    <row r="318" spans="1:39" x14ac:dyDescent="0.25">
      <c r="A318" s="10">
        <v>2016</v>
      </c>
      <c r="B318" s="11">
        <v>16971</v>
      </c>
      <c r="C318" s="12" t="s">
        <v>361</v>
      </c>
      <c r="D318" s="12" t="s">
        <v>36</v>
      </c>
      <c r="E318" s="22">
        <f t="shared" si="17"/>
        <v>24000</v>
      </c>
      <c r="F318" s="22" t="str">
        <f t="shared" si="18"/>
        <v/>
      </c>
      <c r="G318" s="22" t="str">
        <f t="shared" si="19"/>
        <v/>
      </c>
      <c r="H318" s="22" t="str">
        <f t="shared" si="20"/>
        <v/>
      </c>
      <c r="I318" s="13">
        <v>1900</v>
      </c>
      <c r="J318" s="13">
        <v>0</v>
      </c>
      <c r="K318" s="13">
        <v>0</v>
      </c>
      <c r="L318" s="13">
        <v>0</v>
      </c>
      <c r="M318" s="13">
        <v>1900</v>
      </c>
      <c r="N318" s="14">
        <v>1</v>
      </c>
      <c r="O318" s="14">
        <v>0</v>
      </c>
      <c r="P318" s="14">
        <v>0</v>
      </c>
      <c r="Q318" s="14">
        <v>0</v>
      </c>
      <c r="R318" s="14">
        <v>1</v>
      </c>
      <c r="S318" s="15">
        <v>2</v>
      </c>
      <c r="T318" s="15">
        <v>0</v>
      </c>
      <c r="U318" s="15">
        <v>0</v>
      </c>
      <c r="V318" s="15">
        <v>0</v>
      </c>
      <c r="W318" s="15">
        <v>2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7">
        <v>23</v>
      </c>
      <c r="AD318" s="17">
        <v>0</v>
      </c>
      <c r="AE318" s="17">
        <v>0</v>
      </c>
      <c r="AF318" s="17">
        <v>0</v>
      </c>
      <c r="AG318" s="17">
        <v>23</v>
      </c>
      <c r="AH318" s="18">
        <v>25</v>
      </c>
      <c r="AI318" s="18">
        <v>0</v>
      </c>
      <c r="AJ318" s="18">
        <v>0</v>
      </c>
      <c r="AK318" s="18">
        <v>0</v>
      </c>
      <c r="AL318" s="18">
        <v>25</v>
      </c>
      <c r="AM318" s="19" t="s">
        <v>24</v>
      </c>
    </row>
    <row r="319" spans="1:39" x14ac:dyDescent="0.25">
      <c r="A319" s="10">
        <v>2016</v>
      </c>
      <c r="B319" s="11">
        <v>17008</v>
      </c>
      <c r="C319" s="12" t="s">
        <v>362</v>
      </c>
      <c r="D319" s="12" t="s">
        <v>56</v>
      </c>
      <c r="E319" s="22" t="str">
        <f t="shared" si="17"/>
        <v/>
      </c>
      <c r="F319" s="22" t="str">
        <f t="shared" si="18"/>
        <v/>
      </c>
      <c r="G319" s="22" t="str">
        <f t="shared" si="19"/>
        <v/>
      </c>
      <c r="H319" s="22" t="str">
        <f t="shared" si="20"/>
        <v/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8">
        <v>0</v>
      </c>
      <c r="AI319" s="18">
        <v>0</v>
      </c>
      <c r="AJ319" s="18">
        <v>3</v>
      </c>
      <c r="AK319" s="18">
        <v>0</v>
      </c>
      <c r="AL319" s="18">
        <v>3</v>
      </c>
      <c r="AM319" s="19" t="s">
        <v>24</v>
      </c>
    </row>
    <row r="320" spans="1:39" x14ac:dyDescent="0.25">
      <c r="A320" s="10">
        <v>2016</v>
      </c>
      <c r="B320" s="11">
        <v>17040</v>
      </c>
      <c r="C320" s="12" t="s">
        <v>363</v>
      </c>
      <c r="D320" s="12" t="s">
        <v>27</v>
      </c>
      <c r="E320" s="22">
        <f t="shared" si="17"/>
        <v>1200</v>
      </c>
      <c r="F320" s="22">
        <f t="shared" si="18"/>
        <v>142.85714285714286</v>
      </c>
      <c r="G320" s="22" t="str">
        <f t="shared" si="19"/>
        <v/>
      </c>
      <c r="H320" s="22" t="str">
        <f t="shared" si="20"/>
        <v/>
      </c>
      <c r="I320" s="13">
        <v>1208</v>
      </c>
      <c r="J320" s="13">
        <v>50</v>
      </c>
      <c r="K320" s="13">
        <v>0</v>
      </c>
      <c r="L320" s="13">
        <v>0</v>
      </c>
      <c r="M320" s="13">
        <v>1258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5">
        <v>5</v>
      </c>
      <c r="T320" s="15">
        <v>7</v>
      </c>
      <c r="U320" s="15">
        <v>0</v>
      </c>
      <c r="V320" s="15">
        <v>0</v>
      </c>
      <c r="W320" s="15">
        <v>12</v>
      </c>
      <c r="X320" s="16">
        <v>2</v>
      </c>
      <c r="Y320" s="16">
        <v>4</v>
      </c>
      <c r="Z320" s="16">
        <v>0</v>
      </c>
      <c r="AA320" s="16">
        <v>0</v>
      </c>
      <c r="AB320" s="16">
        <v>6</v>
      </c>
      <c r="AC320" s="17">
        <v>2</v>
      </c>
      <c r="AD320" s="17">
        <v>0</v>
      </c>
      <c r="AE320" s="17">
        <v>0</v>
      </c>
      <c r="AF320" s="17">
        <v>0</v>
      </c>
      <c r="AG320" s="17">
        <v>2</v>
      </c>
      <c r="AH320" s="18">
        <v>4</v>
      </c>
      <c r="AI320" s="18">
        <v>1</v>
      </c>
      <c r="AJ320" s="18">
        <v>0</v>
      </c>
      <c r="AK320" s="18">
        <v>0</v>
      </c>
      <c r="AL320" s="18">
        <v>5</v>
      </c>
      <c r="AM320" s="19" t="s">
        <v>24</v>
      </c>
    </row>
    <row r="321" spans="1:39" x14ac:dyDescent="0.25">
      <c r="A321" s="10">
        <v>2016</v>
      </c>
      <c r="B321" s="11">
        <v>17066</v>
      </c>
      <c r="C321" s="12" t="s">
        <v>364</v>
      </c>
      <c r="D321" s="12" t="s">
        <v>25</v>
      </c>
      <c r="E321" s="22">
        <f t="shared" si="17"/>
        <v>22711.538461538461</v>
      </c>
      <c r="F321" s="22" t="str">
        <f t="shared" si="18"/>
        <v/>
      </c>
      <c r="G321" s="22" t="str">
        <f t="shared" si="19"/>
        <v/>
      </c>
      <c r="H321" s="22" t="str">
        <f t="shared" si="20"/>
        <v/>
      </c>
      <c r="I321" s="13">
        <v>11527</v>
      </c>
      <c r="J321" s="13">
        <v>0</v>
      </c>
      <c r="K321" s="13">
        <v>0</v>
      </c>
      <c r="L321" s="13">
        <v>0</v>
      </c>
      <c r="M321" s="13">
        <v>11527</v>
      </c>
      <c r="N321" s="14">
        <v>401</v>
      </c>
      <c r="O321" s="14">
        <v>0</v>
      </c>
      <c r="P321" s="14">
        <v>0</v>
      </c>
      <c r="Q321" s="14">
        <v>0</v>
      </c>
      <c r="R321" s="14">
        <v>401</v>
      </c>
      <c r="S321" s="15">
        <v>52</v>
      </c>
      <c r="T321" s="15">
        <v>0</v>
      </c>
      <c r="U321" s="15">
        <v>0</v>
      </c>
      <c r="V321" s="15">
        <v>0</v>
      </c>
      <c r="W321" s="15">
        <v>52</v>
      </c>
      <c r="X321" s="16">
        <v>34.700000000000003</v>
      </c>
      <c r="Y321" s="16">
        <v>0</v>
      </c>
      <c r="Z321" s="16">
        <v>0</v>
      </c>
      <c r="AA321" s="16">
        <v>0</v>
      </c>
      <c r="AB321" s="16">
        <v>34.700000000000003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8">
        <v>1181</v>
      </c>
      <c r="AI321" s="18">
        <v>0</v>
      </c>
      <c r="AJ321" s="18">
        <v>0</v>
      </c>
      <c r="AK321" s="18">
        <v>0</v>
      </c>
      <c r="AL321" s="18">
        <v>1181</v>
      </c>
      <c r="AM321" s="19">
        <v>0</v>
      </c>
    </row>
    <row r="322" spans="1:39" x14ac:dyDescent="0.25">
      <c r="A322" s="10">
        <v>2016</v>
      </c>
      <c r="B322" s="11">
        <v>17166</v>
      </c>
      <c r="C322" s="12" t="s">
        <v>365</v>
      </c>
      <c r="D322" s="12" t="s">
        <v>273</v>
      </c>
      <c r="E322" s="22">
        <f t="shared" si="17"/>
        <v>223378.37837837837</v>
      </c>
      <c r="F322" s="22">
        <f t="shared" si="18"/>
        <v>371176.4705882353</v>
      </c>
      <c r="G322" s="22" t="str">
        <f t="shared" si="19"/>
        <v/>
      </c>
      <c r="H322" s="22" t="str">
        <f t="shared" si="20"/>
        <v/>
      </c>
      <c r="I322" s="13">
        <v>4039</v>
      </c>
      <c r="J322" s="13">
        <v>113</v>
      </c>
      <c r="K322" s="13">
        <v>0</v>
      </c>
      <c r="L322" s="13">
        <v>0</v>
      </c>
      <c r="M322" s="13">
        <v>4152</v>
      </c>
      <c r="N322" s="14">
        <v>1006</v>
      </c>
      <c r="O322" s="14">
        <v>619</v>
      </c>
      <c r="P322" s="14">
        <v>0</v>
      </c>
      <c r="Q322" s="14">
        <v>0</v>
      </c>
      <c r="R322" s="14">
        <v>1625</v>
      </c>
      <c r="S322" s="15">
        <v>7.4</v>
      </c>
      <c r="T322" s="15">
        <v>3.4</v>
      </c>
      <c r="U322" s="15">
        <v>0</v>
      </c>
      <c r="V322" s="15">
        <v>0</v>
      </c>
      <c r="W322" s="15">
        <v>10.8</v>
      </c>
      <c r="X322" s="16">
        <v>5.2</v>
      </c>
      <c r="Y322" s="16">
        <v>2.4</v>
      </c>
      <c r="Z322" s="16">
        <v>0</v>
      </c>
      <c r="AA322" s="16">
        <v>0</v>
      </c>
      <c r="AB322" s="16">
        <v>7.6</v>
      </c>
      <c r="AC322" s="17">
        <v>8</v>
      </c>
      <c r="AD322" s="17">
        <v>100</v>
      </c>
      <c r="AE322" s="17">
        <v>0</v>
      </c>
      <c r="AF322" s="17">
        <v>0</v>
      </c>
      <c r="AG322" s="17">
        <v>108</v>
      </c>
      <c r="AH322" s="18">
        <v>1645</v>
      </c>
      <c r="AI322" s="18">
        <v>1162</v>
      </c>
      <c r="AJ322" s="18">
        <v>0</v>
      </c>
      <c r="AK322" s="18">
        <v>0</v>
      </c>
      <c r="AL322" s="18">
        <v>2807</v>
      </c>
      <c r="AM322" s="19" t="s">
        <v>24</v>
      </c>
    </row>
    <row r="323" spans="1:39" x14ac:dyDescent="0.25">
      <c r="A323" s="10">
        <v>2016</v>
      </c>
      <c r="B323" s="11">
        <v>17252</v>
      </c>
      <c r="C323" s="12" t="s">
        <v>366</v>
      </c>
      <c r="D323" s="12" t="s">
        <v>263</v>
      </c>
      <c r="E323" s="22" t="str">
        <f t="shared" si="17"/>
        <v/>
      </c>
      <c r="F323" s="22">
        <f t="shared" si="18"/>
        <v>247.31182795698925</v>
      </c>
      <c r="G323" s="22">
        <f t="shared" si="19"/>
        <v>272.72727272727275</v>
      </c>
      <c r="H323" s="22" t="str">
        <f t="shared" si="20"/>
        <v/>
      </c>
      <c r="I323" s="13">
        <v>0</v>
      </c>
      <c r="J323" s="13">
        <v>50</v>
      </c>
      <c r="K323" s="13">
        <v>13</v>
      </c>
      <c r="L323" s="13">
        <v>0</v>
      </c>
      <c r="M323" s="13">
        <v>63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5">
        <v>0</v>
      </c>
      <c r="T323" s="15">
        <v>93</v>
      </c>
      <c r="U323" s="15">
        <v>55</v>
      </c>
      <c r="V323" s="15">
        <v>0</v>
      </c>
      <c r="W323" s="15">
        <v>148</v>
      </c>
      <c r="X323" s="16">
        <v>0</v>
      </c>
      <c r="Y323" s="16">
        <v>81</v>
      </c>
      <c r="Z323" s="16">
        <v>42</v>
      </c>
      <c r="AA323" s="16">
        <v>0</v>
      </c>
      <c r="AB323" s="16">
        <v>123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8">
        <v>0</v>
      </c>
      <c r="AI323" s="18">
        <v>23</v>
      </c>
      <c r="AJ323" s="18">
        <v>15</v>
      </c>
      <c r="AK323" s="18">
        <v>0</v>
      </c>
      <c r="AL323" s="18">
        <v>38</v>
      </c>
      <c r="AM323" s="19" t="s">
        <v>24</v>
      </c>
    </row>
    <row r="324" spans="1:39" x14ac:dyDescent="0.25">
      <c r="A324" s="10">
        <v>2016</v>
      </c>
      <c r="B324" s="11">
        <v>17264</v>
      </c>
      <c r="C324" s="12" t="s">
        <v>367</v>
      </c>
      <c r="D324" s="12" t="s">
        <v>38</v>
      </c>
      <c r="E324" s="22">
        <f t="shared" si="17"/>
        <v>2500</v>
      </c>
      <c r="F324" s="22" t="str">
        <f t="shared" si="18"/>
        <v/>
      </c>
      <c r="G324" s="22" t="str">
        <f t="shared" si="19"/>
        <v/>
      </c>
      <c r="H324" s="22" t="str">
        <f t="shared" si="20"/>
        <v/>
      </c>
      <c r="I324" s="13">
        <v>1799</v>
      </c>
      <c r="J324" s="13">
        <v>0</v>
      </c>
      <c r="K324" s="13">
        <v>0</v>
      </c>
      <c r="L324" s="13">
        <v>0</v>
      </c>
      <c r="M324" s="13">
        <v>1799</v>
      </c>
      <c r="N324" s="14">
        <v>22</v>
      </c>
      <c r="O324" s="14">
        <v>0</v>
      </c>
      <c r="P324" s="14">
        <v>0</v>
      </c>
      <c r="Q324" s="14">
        <v>0</v>
      </c>
      <c r="R324" s="14">
        <v>22</v>
      </c>
      <c r="S324" s="15">
        <v>2</v>
      </c>
      <c r="T324" s="15">
        <v>0</v>
      </c>
      <c r="U324" s="15">
        <v>0</v>
      </c>
      <c r="V324" s="15">
        <v>0</v>
      </c>
      <c r="W324" s="15">
        <v>2</v>
      </c>
      <c r="X324" s="16">
        <v>2</v>
      </c>
      <c r="Y324" s="16">
        <v>0</v>
      </c>
      <c r="Z324" s="16">
        <v>0</v>
      </c>
      <c r="AA324" s="16">
        <v>0</v>
      </c>
      <c r="AB324" s="16">
        <v>2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8">
        <v>5</v>
      </c>
      <c r="AI324" s="18">
        <v>0</v>
      </c>
      <c r="AJ324" s="18">
        <v>0</v>
      </c>
      <c r="AK324" s="18">
        <v>0</v>
      </c>
      <c r="AL324" s="18">
        <v>5</v>
      </c>
      <c r="AM324" s="19" t="s">
        <v>24</v>
      </c>
    </row>
    <row r="325" spans="1:39" x14ac:dyDescent="0.25">
      <c r="A325" s="10">
        <v>2016</v>
      </c>
      <c r="B325" s="11">
        <v>17539</v>
      </c>
      <c r="C325" s="12" t="s">
        <v>368</v>
      </c>
      <c r="D325" s="12" t="s">
        <v>64</v>
      </c>
      <c r="E325" s="22" t="str">
        <f t="shared" ref="E325:E388" si="21">IFERROR(SUM(AC325,AH325)*10^3/S325,"")</f>
        <v/>
      </c>
      <c r="F325" s="22">
        <f t="shared" ref="F325:F388" si="22">IFERROR(SUM(AD325,AI325)*10^3/T325,"")</f>
        <v>9343.75</v>
      </c>
      <c r="G325" s="22">
        <f t="shared" ref="G325:G388" si="23">IFERROR(SUM(AE325,AJ325)*10^3/U325,"")</f>
        <v>48864</v>
      </c>
      <c r="H325" s="22" t="str">
        <f t="shared" ref="H325:H388" si="24">IFERROR(SUM(AF325,AK325)*10^3/V325,"")</f>
        <v/>
      </c>
      <c r="I325" s="13">
        <v>0</v>
      </c>
      <c r="J325" s="13">
        <v>12</v>
      </c>
      <c r="K325" s="13">
        <v>27</v>
      </c>
      <c r="L325" s="13">
        <v>0</v>
      </c>
      <c r="M325" s="13">
        <v>39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5">
        <v>0</v>
      </c>
      <c r="T325" s="15">
        <v>32</v>
      </c>
      <c r="U325" s="15">
        <v>125</v>
      </c>
      <c r="V325" s="15">
        <v>0</v>
      </c>
      <c r="W325" s="15">
        <v>157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7">
        <v>0</v>
      </c>
      <c r="AD325" s="17">
        <v>299</v>
      </c>
      <c r="AE325" s="17">
        <v>6108</v>
      </c>
      <c r="AF325" s="17">
        <v>0</v>
      </c>
      <c r="AG325" s="17">
        <v>6407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9" t="s">
        <v>24</v>
      </c>
    </row>
    <row r="326" spans="1:39" x14ac:dyDescent="0.25">
      <c r="A326" s="10">
        <v>2016</v>
      </c>
      <c r="B326" s="11">
        <v>17543</v>
      </c>
      <c r="C326" s="12" t="s">
        <v>369</v>
      </c>
      <c r="D326" s="12" t="s">
        <v>64</v>
      </c>
      <c r="E326" s="22" t="str">
        <f t="shared" si="21"/>
        <v/>
      </c>
      <c r="F326" s="22" t="str">
        <f t="shared" si="22"/>
        <v/>
      </c>
      <c r="G326" s="22">
        <f t="shared" si="23"/>
        <v>157151.3825343147</v>
      </c>
      <c r="H326" s="22" t="str">
        <f t="shared" si="24"/>
        <v/>
      </c>
      <c r="I326" s="13">
        <v>0</v>
      </c>
      <c r="J326" s="13">
        <v>0</v>
      </c>
      <c r="K326" s="13">
        <v>20</v>
      </c>
      <c r="L326" s="13">
        <v>0</v>
      </c>
      <c r="M326" s="13">
        <v>20</v>
      </c>
      <c r="N326" s="14">
        <v>0</v>
      </c>
      <c r="O326" s="14">
        <v>0</v>
      </c>
      <c r="P326" s="14">
        <v>400</v>
      </c>
      <c r="Q326" s="14">
        <v>0</v>
      </c>
      <c r="R326" s="14">
        <v>400</v>
      </c>
      <c r="S326" s="15">
        <v>0</v>
      </c>
      <c r="T326" s="15">
        <v>0</v>
      </c>
      <c r="U326" s="15">
        <v>502.7</v>
      </c>
      <c r="V326" s="15">
        <v>0</v>
      </c>
      <c r="W326" s="15">
        <v>502.7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7">
        <v>0</v>
      </c>
      <c r="AD326" s="17">
        <v>0</v>
      </c>
      <c r="AE326" s="17">
        <v>79000</v>
      </c>
      <c r="AF326" s="17">
        <v>0</v>
      </c>
      <c r="AG326" s="17">
        <v>79000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9" t="s">
        <v>24</v>
      </c>
    </row>
    <row r="327" spans="1:39" x14ac:dyDescent="0.25">
      <c r="A327" s="10">
        <v>2016</v>
      </c>
      <c r="B327" s="11">
        <v>17548</v>
      </c>
      <c r="C327" s="12" t="s">
        <v>370</v>
      </c>
      <c r="D327" s="12" t="s">
        <v>72</v>
      </c>
      <c r="E327" s="22" t="str">
        <f t="shared" si="21"/>
        <v/>
      </c>
      <c r="F327" s="22" t="str">
        <f t="shared" si="22"/>
        <v/>
      </c>
      <c r="G327" s="22">
        <f t="shared" si="23"/>
        <v>50363.63636363636</v>
      </c>
      <c r="H327" s="22" t="str">
        <f t="shared" si="24"/>
        <v/>
      </c>
      <c r="I327" s="13">
        <v>0</v>
      </c>
      <c r="J327" s="13">
        <v>0</v>
      </c>
      <c r="K327" s="13">
        <v>913</v>
      </c>
      <c r="L327" s="13">
        <v>0</v>
      </c>
      <c r="M327" s="13">
        <v>913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5">
        <v>0</v>
      </c>
      <c r="T327" s="15">
        <v>0</v>
      </c>
      <c r="U327" s="15">
        <v>55</v>
      </c>
      <c r="V327" s="15">
        <v>0</v>
      </c>
      <c r="W327" s="15">
        <v>55</v>
      </c>
      <c r="X327" s="16">
        <v>0</v>
      </c>
      <c r="Y327" s="16">
        <v>0</v>
      </c>
      <c r="Z327" s="16">
        <v>42</v>
      </c>
      <c r="AA327" s="16">
        <v>0</v>
      </c>
      <c r="AB327" s="16">
        <v>42</v>
      </c>
      <c r="AC327" s="17">
        <v>0</v>
      </c>
      <c r="AD327" s="17">
        <v>0</v>
      </c>
      <c r="AE327" s="17">
        <v>2550</v>
      </c>
      <c r="AF327" s="17">
        <v>0</v>
      </c>
      <c r="AG327" s="17">
        <v>2550</v>
      </c>
      <c r="AH327" s="18">
        <v>0</v>
      </c>
      <c r="AI327" s="18">
        <v>0</v>
      </c>
      <c r="AJ327" s="18">
        <v>220</v>
      </c>
      <c r="AK327" s="18">
        <v>0</v>
      </c>
      <c r="AL327" s="18">
        <v>220</v>
      </c>
      <c r="AM327" s="19" t="s">
        <v>24</v>
      </c>
    </row>
    <row r="328" spans="1:39" x14ac:dyDescent="0.25">
      <c r="A328" s="10">
        <v>2016</v>
      </c>
      <c r="B328" s="11">
        <v>17561</v>
      </c>
      <c r="C328" s="12" t="s">
        <v>371</v>
      </c>
      <c r="D328" s="12" t="s">
        <v>56</v>
      </c>
      <c r="E328" s="22" t="str">
        <f t="shared" si="21"/>
        <v/>
      </c>
      <c r="F328" s="22" t="str">
        <f t="shared" si="22"/>
        <v/>
      </c>
      <c r="G328" s="22">
        <f t="shared" si="23"/>
        <v>19177.777777777777</v>
      </c>
      <c r="H328" s="22" t="str">
        <f t="shared" si="24"/>
        <v/>
      </c>
      <c r="I328" s="13">
        <v>0</v>
      </c>
      <c r="J328" s="13">
        <v>0</v>
      </c>
      <c r="K328" s="13">
        <v>1702</v>
      </c>
      <c r="L328" s="13">
        <v>0</v>
      </c>
      <c r="M328" s="13">
        <v>1702</v>
      </c>
      <c r="N328" s="14">
        <v>0</v>
      </c>
      <c r="O328" s="14">
        <v>0</v>
      </c>
      <c r="P328" s="14">
        <v>73</v>
      </c>
      <c r="Q328" s="14">
        <v>0</v>
      </c>
      <c r="R328" s="14">
        <v>73</v>
      </c>
      <c r="S328" s="15">
        <v>0</v>
      </c>
      <c r="T328" s="15">
        <v>0</v>
      </c>
      <c r="U328" s="15">
        <v>45</v>
      </c>
      <c r="V328" s="15">
        <v>0</v>
      </c>
      <c r="W328" s="15">
        <v>45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7">
        <v>0</v>
      </c>
      <c r="AD328" s="17">
        <v>0</v>
      </c>
      <c r="AE328" s="17">
        <v>725</v>
      </c>
      <c r="AF328" s="17">
        <v>0</v>
      </c>
      <c r="AG328" s="17">
        <v>725</v>
      </c>
      <c r="AH328" s="18">
        <v>0</v>
      </c>
      <c r="AI328" s="18">
        <v>0</v>
      </c>
      <c r="AJ328" s="18">
        <v>138</v>
      </c>
      <c r="AK328" s="18">
        <v>0</v>
      </c>
      <c r="AL328" s="18">
        <v>138</v>
      </c>
      <c r="AM328" s="19" t="s">
        <v>24</v>
      </c>
    </row>
    <row r="329" spans="1:39" x14ac:dyDescent="0.25">
      <c r="A329" s="10">
        <v>2016</v>
      </c>
      <c r="B329" s="11">
        <v>17572</v>
      </c>
      <c r="C329" s="12" t="s">
        <v>372</v>
      </c>
      <c r="D329" s="12" t="s">
        <v>81</v>
      </c>
      <c r="E329" s="22" t="str">
        <f t="shared" si="21"/>
        <v/>
      </c>
      <c r="F329" s="22">
        <f t="shared" si="22"/>
        <v>54062.5</v>
      </c>
      <c r="G329" s="22" t="str">
        <f t="shared" si="23"/>
        <v/>
      </c>
      <c r="H329" s="22" t="str">
        <f t="shared" si="24"/>
        <v/>
      </c>
      <c r="I329" s="13">
        <v>0</v>
      </c>
      <c r="J329" s="13">
        <v>92</v>
      </c>
      <c r="K329" s="13">
        <v>0</v>
      </c>
      <c r="L329" s="13">
        <v>0</v>
      </c>
      <c r="M329" s="13">
        <v>92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5">
        <v>0</v>
      </c>
      <c r="T329" s="15">
        <v>6.4</v>
      </c>
      <c r="U329" s="15">
        <v>0</v>
      </c>
      <c r="V329" s="15">
        <v>0</v>
      </c>
      <c r="W329" s="15">
        <v>6.4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7">
        <v>0</v>
      </c>
      <c r="AD329" s="17">
        <v>308</v>
      </c>
      <c r="AE329" s="17">
        <v>0</v>
      </c>
      <c r="AF329" s="17">
        <v>0</v>
      </c>
      <c r="AG329" s="17">
        <v>308</v>
      </c>
      <c r="AH329" s="18">
        <v>0</v>
      </c>
      <c r="AI329" s="18">
        <v>38</v>
      </c>
      <c r="AJ329" s="18">
        <v>0</v>
      </c>
      <c r="AK329" s="18">
        <v>0</v>
      </c>
      <c r="AL329" s="18">
        <v>38</v>
      </c>
      <c r="AM329" s="19" t="s">
        <v>24</v>
      </c>
    </row>
    <row r="330" spans="1:39" x14ac:dyDescent="0.25">
      <c r="A330" s="10">
        <v>2016</v>
      </c>
      <c r="B330" s="11">
        <v>17577</v>
      </c>
      <c r="C330" s="12" t="s">
        <v>373</v>
      </c>
      <c r="D330" s="12" t="s">
        <v>72</v>
      </c>
      <c r="E330" s="22" t="str">
        <f t="shared" si="21"/>
        <v/>
      </c>
      <c r="F330" s="22">
        <f t="shared" si="22"/>
        <v>62800</v>
      </c>
      <c r="G330" s="22" t="str">
        <f t="shared" si="23"/>
        <v/>
      </c>
      <c r="H330" s="22" t="str">
        <f t="shared" si="24"/>
        <v/>
      </c>
      <c r="I330" s="13">
        <v>0</v>
      </c>
      <c r="J330" s="13">
        <v>1</v>
      </c>
      <c r="K330" s="13">
        <v>0</v>
      </c>
      <c r="L330" s="13">
        <v>0</v>
      </c>
      <c r="M330" s="13">
        <v>1</v>
      </c>
      <c r="N330" s="14">
        <v>0</v>
      </c>
      <c r="O330" s="14">
        <v>11293</v>
      </c>
      <c r="P330" s="14">
        <v>0</v>
      </c>
      <c r="Q330" s="14">
        <v>0</v>
      </c>
      <c r="R330" s="14">
        <v>11293</v>
      </c>
      <c r="S330" s="15">
        <v>0</v>
      </c>
      <c r="T330" s="15">
        <v>5</v>
      </c>
      <c r="U330" s="15">
        <v>0</v>
      </c>
      <c r="V330" s="15">
        <v>0</v>
      </c>
      <c r="W330" s="15">
        <v>5</v>
      </c>
      <c r="X330" s="16">
        <v>0</v>
      </c>
      <c r="Y330" s="16">
        <v>5</v>
      </c>
      <c r="Z330" s="16">
        <v>0</v>
      </c>
      <c r="AA330" s="16">
        <v>0</v>
      </c>
      <c r="AB330" s="16">
        <v>5</v>
      </c>
      <c r="AC330" s="17">
        <v>0</v>
      </c>
      <c r="AD330" s="17">
        <v>314</v>
      </c>
      <c r="AE330" s="17">
        <v>0</v>
      </c>
      <c r="AF330" s="17">
        <v>0</v>
      </c>
      <c r="AG330" s="17">
        <v>314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9" t="s">
        <v>24</v>
      </c>
    </row>
    <row r="331" spans="1:39" x14ac:dyDescent="0.25">
      <c r="A331" s="10">
        <v>2016</v>
      </c>
      <c r="B331" s="11">
        <v>17609</v>
      </c>
      <c r="C331" s="12" t="s">
        <v>374</v>
      </c>
      <c r="D331" s="12" t="s">
        <v>42</v>
      </c>
      <c r="E331" s="22">
        <f t="shared" si="21"/>
        <v>288014.60520310362</v>
      </c>
      <c r="F331" s="22">
        <f t="shared" si="22"/>
        <v>93542.566709021601</v>
      </c>
      <c r="G331" s="22">
        <f t="shared" si="23"/>
        <v>23111.782477341389</v>
      </c>
      <c r="H331" s="22" t="str">
        <f t="shared" si="24"/>
        <v/>
      </c>
      <c r="I331" s="13">
        <v>671300</v>
      </c>
      <c r="J331" s="13">
        <v>18024</v>
      </c>
      <c r="K331" s="13">
        <v>1831</v>
      </c>
      <c r="L331" s="13">
        <v>0</v>
      </c>
      <c r="M331" s="13">
        <v>691155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5">
        <v>219.1</v>
      </c>
      <c r="T331" s="15">
        <v>1180.5</v>
      </c>
      <c r="U331" s="15">
        <v>165.5</v>
      </c>
      <c r="V331" s="15">
        <v>0</v>
      </c>
      <c r="W331" s="15">
        <v>1565.1</v>
      </c>
      <c r="X331" s="16">
        <v>218.6</v>
      </c>
      <c r="Y331" s="16">
        <v>866</v>
      </c>
      <c r="Z331" s="16">
        <v>70.7</v>
      </c>
      <c r="AA331" s="16">
        <v>0</v>
      </c>
      <c r="AB331" s="16">
        <v>1155.3</v>
      </c>
      <c r="AC331" s="17">
        <v>55692</v>
      </c>
      <c r="AD331" s="17">
        <v>109092</v>
      </c>
      <c r="AE331" s="17">
        <v>3769</v>
      </c>
      <c r="AF331" s="17">
        <v>0</v>
      </c>
      <c r="AG331" s="17">
        <v>168553</v>
      </c>
      <c r="AH331" s="18">
        <v>7412</v>
      </c>
      <c r="AI331" s="18">
        <v>1335</v>
      </c>
      <c r="AJ331" s="18">
        <v>56</v>
      </c>
      <c r="AK331" s="18">
        <v>0</v>
      </c>
      <c r="AL331" s="18">
        <v>8803</v>
      </c>
      <c r="AM331" s="19">
        <v>0</v>
      </c>
    </row>
    <row r="332" spans="1:39" x14ac:dyDescent="0.25">
      <c r="A332" s="10">
        <v>2016</v>
      </c>
      <c r="B332" s="11">
        <v>17612</v>
      </c>
      <c r="C332" s="12" t="s">
        <v>375</v>
      </c>
      <c r="D332" s="12" t="s">
        <v>42</v>
      </c>
      <c r="E332" s="22" t="str">
        <f t="shared" si="21"/>
        <v/>
      </c>
      <c r="F332" s="22">
        <f t="shared" si="22"/>
        <v>0</v>
      </c>
      <c r="G332" s="22" t="str">
        <f t="shared" si="23"/>
        <v/>
      </c>
      <c r="H332" s="22" t="str">
        <f t="shared" si="24"/>
        <v/>
      </c>
      <c r="I332" s="13">
        <v>0</v>
      </c>
      <c r="J332" s="13">
        <v>1</v>
      </c>
      <c r="K332" s="13">
        <v>0</v>
      </c>
      <c r="L332" s="13">
        <v>0</v>
      </c>
      <c r="M332" s="13">
        <v>1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5">
        <v>0</v>
      </c>
      <c r="T332" s="15">
        <v>14</v>
      </c>
      <c r="U332" s="15">
        <v>0</v>
      </c>
      <c r="V332" s="15">
        <v>0</v>
      </c>
      <c r="W332" s="15">
        <v>14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8">
        <v>0</v>
      </c>
      <c r="AI332" s="18">
        <v>0</v>
      </c>
      <c r="AJ332" s="18">
        <v>0</v>
      </c>
      <c r="AK332" s="18">
        <v>0</v>
      </c>
      <c r="AL332" s="18">
        <v>0</v>
      </c>
      <c r="AM332" s="19">
        <v>0</v>
      </c>
    </row>
    <row r="333" spans="1:39" x14ac:dyDescent="0.25">
      <c r="A333" s="10">
        <v>2016</v>
      </c>
      <c r="B333" s="11">
        <v>17633</v>
      </c>
      <c r="C333" s="12" t="s">
        <v>376</v>
      </c>
      <c r="D333" s="12" t="s">
        <v>70</v>
      </c>
      <c r="E333" s="22">
        <f t="shared" si="21"/>
        <v>49895.833333333336</v>
      </c>
      <c r="F333" s="22">
        <f t="shared" si="22"/>
        <v>30909.090909090908</v>
      </c>
      <c r="G333" s="22">
        <f t="shared" si="23"/>
        <v>428.95442359249336</v>
      </c>
      <c r="H333" s="22" t="str">
        <f t="shared" si="24"/>
        <v/>
      </c>
      <c r="I333" s="13">
        <v>22624</v>
      </c>
      <c r="J333" s="13">
        <v>480</v>
      </c>
      <c r="K333" s="13">
        <v>3</v>
      </c>
      <c r="L333" s="13">
        <v>0</v>
      </c>
      <c r="M333" s="13">
        <v>23107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5">
        <v>19.2</v>
      </c>
      <c r="T333" s="15">
        <v>1.1000000000000001</v>
      </c>
      <c r="U333" s="15">
        <v>37.299999999999997</v>
      </c>
      <c r="V333" s="15">
        <v>0</v>
      </c>
      <c r="W333" s="15">
        <v>57.6</v>
      </c>
      <c r="X333" s="16">
        <v>19.2</v>
      </c>
      <c r="Y333" s="16">
        <v>0</v>
      </c>
      <c r="Z333" s="16">
        <v>0</v>
      </c>
      <c r="AA333" s="16">
        <v>0</v>
      </c>
      <c r="AB333" s="16">
        <v>19.2</v>
      </c>
      <c r="AC333" s="17">
        <v>649</v>
      </c>
      <c r="AD333" s="17">
        <v>23</v>
      </c>
      <c r="AE333" s="17">
        <v>11</v>
      </c>
      <c r="AF333" s="17">
        <v>0</v>
      </c>
      <c r="AG333" s="17">
        <v>683</v>
      </c>
      <c r="AH333" s="18">
        <v>309</v>
      </c>
      <c r="AI333" s="18">
        <v>11</v>
      </c>
      <c r="AJ333" s="18">
        <v>5</v>
      </c>
      <c r="AK333" s="18">
        <v>0</v>
      </c>
      <c r="AL333" s="18">
        <v>325</v>
      </c>
      <c r="AM333" s="19" t="s">
        <v>24</v>
      </c>
    </row>
    <row r="334" spans="1:39" x14ac:dyDescent="0.25">
      <c r="A334" s="10">
        <v>2016</v>
      </c>
      <c r="B334" s="11">
        <v>17637</v>
      </c>
      <c r="C334" s="12" t="s">
        <v>377</v>
      </c>
      <c r="D334" s="12" t="s">
        <v>23</v>
      </c>
      <c r="E334" s="22">
        <f t="shared" si="21"/>
        <v>899715.02590673568</v>
      </c>
      <c r="F334" s="22">
        <f t="shared" si="22"/>
        <v>590823.5294117647</v>
      </c>
      <c r="G334" s="22" t="str">
        <f t="shared" si="23"/>
        <v/>
      </c>
      <c r="H334" s="22" t="str">
        <f t="shared" si="24"/>
        <v/>
      </c>
      <c r="I334" s="13">
        <v>45744</v>
      </c>
      <c r="J334" s="13">
        <v>50</v>
      </c>
      <c r="K334" s="13">
        <v>0</v>
      </c>
      <c r="L334" s="13">
        <v>0</v>
      </c>
      <c r="M334" s="13">
        <v>45794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5">
        <v>38.6</v>
      </c>
      <c r="T334" s="15">
        <v>17</v>
      </c>
      <c r="U334" s="15">
        <v>0</v>
      </c>
      <c r="V334" s="15">
        <v>0</v>
      </c>
      <c r="W334" s="15">
        <v>55.6</v>
      </c>
      <c r="X334" s="16">
        <v>38.6</v>
      </c>
      <c r="Y334" s="16">
        <v>17</v>
      </c>
      <c r="Z334" s="16">
        <v>0</v>
      </c>
      <c r="AA334" s="16">
        <v>0</v>
      </c>
      <c r="AB334" s="16">
        <v>55.6</v>
      </c>
      <c r="AC334" s="17">
        <v>9724</v>
      </c>
      <c r="AD334" s="17">
        <v>1707</v>
      </c>
      <c r="AE334" s="17">
        <v>0</v>
      </c>
      <c r="AF334" s="17">
        <v>0</v>
      </c>
      <c r="AG334" s="17">
        <v>11431</v>
      </c>
      <c r="AH334" s="18">
        <v>25005</v>
      </c>
      <c r="AI334" s="18">
        <v>8337</v>
      </c>
      <c r="AJ334" s="18">
        <v>0</v>
      </c>
      <c r="AK334" s="18">
        <v>0</v>
      </c>
      <c r="AL334" s="18">
        <v>33342</v>
      </c>
      <c r="AM334" s="19">
        <v>0</v>
      </c>
    </row>
    <row r="335" spans="1:39" x14ac:dyDescent="0.25">
      <c r="A335" s="10">
        <v>2016</v>
      </c>
      <c r="B335" s="11">
        <v>17671</v>
      </c>
      <c r="C335" s="12" t="s">
        <v>378</v>
      </c>
      <c r="D335" s="12" t="s">
        <v>48</v>
      </c>
      <c r="E335" s="22" t="str">
        <f t="shared" si="21"/>
        <v/>
      </c>
      <c r="F335" s="22" t="str">
        <f t="shared" si="22"/>
        <v/>
      </c>
      <c r="G335" s="22">
        <f t="shared" si="23"/>
        <v>2793.2960893854752</v>
      </c>
      <c r="H335" s="22" t="str">
        <f t="shared" si="24"/>
        <v/>
      </c>
      <c r="I335" s="13">
        <v>0</v>
      </c>
      <c r="J335" s="13">
        <v>0</v>
      </c>
      <c r="K335" s="13">
        <v>4</v>
      </c>
      <c r="L335" s="13">
        <v>0</v>
      </c>
      <c r="M335" s="13">
        <v>4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5">
        <v>0</v>
      </c>
      <c r="T335" s="15">
        <v>0</v>
      </c>
      <c r="U335" s="15">
        <v>35.799999999999997</v>
      </c>
      <c r="V335" s="15">
        <v>0</v>
      </c>
      <c r="W335" s="15">
        <v>35.799999999999997</v>
      </c>
      <c r="X335" s="16">
        <v>0</v>
      </c>
      <c r="Y335" s="16">
        <v>0</v>
      </c>
      <c r="Z335" s="16">
        <v>9.6</v>
      </c>
      <c r="AA335" s="16">
        <v>0</v>
      </c>
      <c r="AB335" s="16">
        <v>9.6</v>
      </c>
      <c r="AC335" s="17">
        <v>0</v>
      </c>
      <c r="AD335" s="17">
        <v>0</v>
      </c>
      <c r="AE335" s="17">
        <v>100</v>
      </c>
      <c r="AF335" s="17">
        <v>0</v>
      </c>
      <c r="AG335" s="17">
        <v>100</v>
      </c>
      <c r="AH335" s="18">
        <v>0</v>
      </c>
      <c r="AI335" s="18">
        <v>0</v>
      </c>
      <c r="AJ335" s="18">
        <v>0</v>
      </c>
      <c r="AK335" s="18">
        <v>0</v>
      </c>
      <c r="AL335" s="18">
        <v>0</v>
      </c>
      <c r="AM335" s="19" t="s">
        <v>24</v>
      </c>
    </row>
    <row r="336" spans="1:39" x14ac:dyDescent="0.25">
      <c r="A336" s="10">
        <v>2016</v>
      </c>
      <c r="B336" s="11">
        <v>17684</v>
      </c>
      <c r="C336" s="12" t="s">
        <v>379</v>
      </c>
      <c r="D336" s="12" t="s">
        <v>275</v>
      </c>
      <c r="E336" s="22" t="str">
        <f t="shared" si="21"/>
        <v/>
      </c>
      <c r="F336" s="22">
        <f t="shared" si="22"/>
        <v>10000</v>
      </c>
      <c r="G336" s="22" t="str">
        <f t="shared" si="23"/>
        <v/>
      </c>
      <c r="H336" s="22" t="str">
        <f t="shared" si="24"/>
        <v/>
      </c>
      <c r="I336" s="13">
        <v>0</v>
      </c>
      <c r="J336" s="13">
        <v>8</v>
      </c>
      <c r="K336" s="13">
        <v>0</v>
      </c>
      <c r="L336" s="13">
        <v>0</v>
      </c>
      <c r="M336" s="13">
        <v>8</v>
      </c>
      <c r="N336" s="14">
        <v>0</v>
      </c>
      <c r="O336" s="14">
        <v>31</v>
      </c>
      <c r="P336" s="14">
        <v>0</v>
      </c>
      <c r="Q336" s="14">
        <v>0</v>
      </c>
      <c r="R336" s="14">
        <v>31</v>
      </c>
      <c r="S336" s="15">
        <v>0</v>
      </c>
      <c r="T336" s="15">
        <v>0.1</v>
      </c>
      <c r="U336" s="15">
        <v>0</v>
      </c>
      <c r="V336" s="15">
        <v>0</v>
      </c>
      <c r="W336" s="15">
        <v>0.1</v>
      </c>
      <c r="X336" s="16">
        <v>0</v>
      </c>
      <c r="Y336" s="16">
        <v>0.1</v>
      </c>
      <c r="Z336" s="16">
        <v>0</v>
      </c>
      <c r="AA336" s="16">
        <v>0</v>
      </c>
      <c r="AB336" s="16">
        <v>0.1</v>
      </c>
      <c r="AC336" s="17">
        <v>0</v>
      </c>
      <c r="AD336" s="17">
        <v>1</v>
      </c>
      <c r="AE336" s="17">
        <v>0</v>
      </c>
      <c r="AF336" s="17">
        <v>0</v>
      </c>
      <c r="AG336" s="17">
        <v>1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9" t="s">
        <v>24</v>
      </c>
    </row>
    <row r="337" spans="1:39" x14ac:dyDescent="0.25">
      <c r="A337" s="10">
        <v>2016</v>
      </c>
      <c r="B337" s="11">
        <v>17692</v>
      </c>
      <c r="C337" s="12" t="s">
        <v>380</v>
      </c>
      <c r="D337" s="12" t="s">
        <v>72</v>
      </c>
      <c r="E337" s="22" t="str">
        <f t="shared" si="21"/>
        <v/>
      </c>
      <c r="F337" s="22" t="str">
        <f t="shared" si="22"/>
        <v/>
      </c>
      <c r="G337" s="22">
        <f t="shared" si="23"/>
        <v>1152.073732718894</v>
      </c>
      <c r="H337" s="22" t="str">
        <f t="shared" si="24"/>
        <v/>
      </c>
      <c r="I337" s="13">
        <v>0</v>
      </c>
      <c r="J337" s="13">
        <v>0</v>
      </c>
      <c r="K337" s="13">
        <v>1049</v>
      </c>
      <c r="L337" s="13">
        <v>0</v>
      </c>
      <c r="M337" s="13">
        <v>1049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5">
        <v>0</v>
      </c>
      <c r="T337" s="15">
        <v>0</v>
      </c>
      <c r="U337" s="15">
        <v>21.7</v>
      </c>
      <c r="V337" s="15">
        <v>0</v>
      </c>
      <c r="W337" s="15">
        <v>21.7</v>
      </c>
      <c r="X337" s="16">
        <v>0</v>
      </c>
      <c r="Y337" s="16">
        <v>0</v>
      </c>
      <c r="Z337" s="16">
        <v>18.5</v>
      </c>
      <c r="AA337" s="16">
        <v>0</v>
      </c>
      <c r="AB337" s="16">
        <v>18.5</v>
      </c>
      <c r="AC337" s="17">
        <v>0</v>
      </c>
      <c r="AD337" s="17">
        <v>0</v>
      </c>
      <c r="AE337" s="17">
        <v>25</v>
      </c>
      <c r="AF337" s="17">
        <v>0</v>
      </c>
      <c r="AG337" s="17">
        <v>25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9" t="s">
        <v>24</v>
      </c>
    </row>
    <row r="338" spans="1:39" x14ac:dyDescent="0.25">
      <c r="A338" s="10">
        <v>2016</v>
      </c>
      <c r="B338" s="11">
        <v>17698</v>
      </c>
      <c r="C338" s="12" t="s">
        <v>381</v>
      </c>
      <c r="D338" s="12" t="s">
        <v>48</v>
      </c>
      <c r="E338" s="22" t="str">
        <f t="shared" si="21"/>
        <v/>
      </c>
      <c r="F338" s="22">
        <f t="shared" si="22"/>
        <v>0</v>
      </c>
      <c r="G338" s="22" t="str">
        <f t="shared" si="23"/>
        <v/>
      </c>
      <c r="H338" s="22" t="str">
        <f t="shared" si="24"/>
        <v/>
      </c>
      <c r="I338" s="13">
        <v>0</v>
      </c>
      <c r="J338" s="13">
        <v>9</v>
      </c>
      <c r="K338" s="13">
        <v>0</v>
      </c>
      <c r="L338" s="13">
        <v>0</v>
      </c>
      <c r="M338" s="13">
        <v>9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5">
        <v>0</v>
      </c>
      <c r="T338" s="15">
        <v>10.6</v>
      </c>
      <c r="U338" s="15">
        <v>0</v>
      </c>
      <c r="V338" s="15">
        <v>0</v>
      </c>
      <c r="W338" s="15">
        <v>10.6</v>
      </c>
      <c r="X338" s="16">
        <v>0</v>
      </c>
      <c r="Y338" s="16">
        <v>9.3000000000000007</v>
      </c>
      <c r="Z338" s="16">
        <v>0</v>
      </c>
      <c r="AA338" s="16">
        <v>0</v>
      </c>
      <c r="AB338" s="16">
        <v>9.3000000000000007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8">
        <v>0</v>
      </c>
      <c r="AI338" s="18">
        <v>0</v>
      </c>
      <c r="AJ338" s="18">
        <v>0</v>
      </c>
      <c r="AK338" s="18">
        <v>0</v>
      </c>
      <c r="AL338" s="18">
        <v>0</v>
      </c>
      <c r="AM338" s="19">
        <v>0</v>
      </c>
    </row>
    <row r="339" spans="1:39" x14ac:dyDescent="0.25">
      <c r="A339" s="10">
        <v>2016</v>
      </c>
      <c r="B339" s="11">
        <v>17698</v>
      </c>
      <c r="C339" s="12" t="s">
        <v>381</v>
      </c>
      <c r="D339" s="12" t="s">
        <v>56</v>
      </c>
      <c r="E339" s="22" t="str">
        <f t="shared" si="21"/>
        <v/>
      </c>
      <c r="F339" s="22">
        <f t="shared" si="22"/>
        <v>0</v>
      </c>
      <c r="G339" s="22" t="str">
        <f t="shared" si="23"/>
        <v/>
      </c>
      <c r="H339" s="22" t="str">
        <f t="shared" si="24"/>
        <v/>
      </c>
      <c r="I339" s="13">
        <v>0</v>
      </c>
      <c r="J339" s="13">
        <v>19</v>
      </c>
      <c r="K339" s="13">
        <v>0</v>
      </c>
      <c r="L339" s="13">
        <v>0</v>
      </c>
      <c r="M339" s="13">
        <v>19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5">
        <v>0</v>
      </c>
      <c r="T339" s="15">
        <v>7.6</v>
      </c>
      <c r="U339" s="15">
        <v>0</v>
      </c>
      <c r="V339" s="15">
        <v>0</v>
      </c>
      <c r="W339" s="15">
        <v>7.6</v>
      </c>
      <c r="X339" s="16">
        <v>0</v>
      </c>
      <c r="Y339" s="16">
        <v>6.4</v>
      </c>
      <c r="Z339" s="16">
        <v>0</v>
      </c>
      <c r="AA339" s="16">
        <v>0</v>
      </c>
      <c r="AB339" s="16">
        <v>6.4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8">
        <v>0</v>
      </c>
      <c r="AI339" s="18">
        <v>0</v>
      </c>
      <c r="AJ339" s="18">
        <v>0</v>
      </c>
      <c r="AK339" s="18">
        <v>0</v>
      </c>
      <c r="AL339" s="18">
        <v>0</v>
      </c>
      <c r="AM339" s="19">
        <v>0</v>
      </c>
    </row>
    <row r="340" spans="1:39" x14ac:dyDescent="0.25">
      <c r="A340" s="10">
        <v>2016</v>
      </c>
      <c r="B340" s="11">
        <v>17718</v>
      </c>
      <c r="C340" s="12" t="s">
        <v>382</v>
      </c>
      <c r="D340" s="12" t="s">
        <v>151</v>
      </c>
      <c r="E340" s="22">
        <f t="shared" si="21"/>
        <v>152926.8292682927</v>
      </c>
      <c r="F340" s="22" t="str">
        <f t="shared" si="22"/>
        <v/>
      </c>
      <c r="G340" s="22" t="str">
        <f t="shared" si="23"/>
        <v/>
      </c>
      <c r="H340" s="22" t="str">
        <f t="shared" si="24"/>
        <v/>
      </c>
      <c r="I340" s="13">
        <v>4100</v>
      </c>
      <c r="J340" s="13">
        <v>0</v>
      </c>
      <c r="K340" s="13">
        <v>0</v>
      </c>
      <c r="L340" s="13">
        <v>0</v>
      </c>
      <c r="M340" s="13">
        <v>4100</v>
      </c>
      <c r="N340" s="14">
        <v>1</v>
      </c>
      <c r="O340" s="14">
        <v>0</v>
      </c>
      <c r="P340" s="14">
        <v>0</v>
      </c>
      <c r="Q340" s="14">
        <v>0</v>
      </c>
      <c r="R340" s="14">
        <v>1</v>
      </c>
      <c r="S340" s="15">
        <v>4.0999999999999996</v>
      </c>
      <c r="T340" s="15">
        <v>0</v>
      </c>
      <c r="U340" s="15">
        <v>0</v>
      </c>
      <c r="V340" s="15">
        <v>0</v>
      </c>
      <c r="W340" s="15">
        <v>4.0999999999999996</v>
      </c>
      <c r="X340" s="16">
        <v>4.0999999999999996</v>
      </c>
      <c r="Y340" s="16">
        <v>0</v>
      </c>
      <c r="Z340" s="16">
        <v>0</v>
      </c>
      <c r="AA340" s="16">
        <v>0</v>
      </c>
      <c r="AB340" s="16">
        <v>4.0999999999999996</v>
      </c>
      <c r="AC340" s="17">
        <v>394</v>
      </c>
      <c r="AD340" s="17">
        <v>0</v>
      </c>
      <c r="AE340" s="17">
        <v>0</v>
      </c>
      <c r="AF340" s="17">
        <v>0</v>
      </c>
      <c r="AG340" s="17">
        <v>394</v>
      </c>
      <c r="AH340" s="18">
        <v>233</v>
      </c>
      <c r="AI340" s="18">
        <v>0</v>
      </c>
      <c r="AJ340" s="18">
        <v>0</v>
      </c>
      <c r="AK340" s="18">
        <v>0</v>
      </c>
      <c r="AL340" s="18">
        <v>233</v>
      </c>
      <c r="AM340" s="19" t="s">
        <v>24</v>
      </c>
    </row>
    <row r="341" spans="1:39" x14ac:dyDescent="0.25">
      <c r="A341" s="10">
        <v>2016</v>
      </c>
      <c r="B341" s="11">
        <v>17718</v>
      </c>
      <c r="C341" s="12" t="s">
        <v>382</v>
      </c>
      <c r="D341" s="12" t="s">
        <v>56</v>
      </c>
      <c r="E341" s="22">
        <f t="shared" si="21"/>
        <v>42461.538461538461</v>
      </c>
      <c r="F341" s="22">
        <f t="shared" si="22"/>
        <v>68000</v>
      </c>
      <c r="G341" s="22" t="str">
        <f t="shared" si="23"/>
        <v/>
      </c>
      <c r="H341" s="22" t="str">
        <f t="shared" si="24"/>
        <v/>
      </c>
      <c r="I341" s="13">
        <v>6900</v>
      </c>
      <c r="J341" s="13">
        <v>261</v>
      </c>
      <c r="K341" s="13">
        <v>0</v>
      </c>
      <c r="L341" s="13">
        <v>0</v>
      </c>
      <c r="M341" s="13">
        <v>7161</v>
      </c>
      <c r="N341" s="14">
        <v>0</v>
      </c>
      <c r="O341" s="14">
        <v>32</v>
      </c>
      <c r="P341" s="14">
        <v>0</v>
      </c>
      <c r="Q341" s="14">
        <v>0</v>
      </c>
      <c r="R341" s="14">
        <v>32</v>
      </c>
      <c r="S341" s="15">
        <v>13</v>
      </c>
      <c r="T341" s="15">
        <v>4</v>
      </c>
      <c r="U341" s="15">
        <v>0</v>
      </c>
      <c r="V341" s="15">
        <v>0</v>
      </c>
      <c r="W341" s="15">
        <v>17</v>
      </c>
      <c r="X341" s="16">
        <v>13</v>
      </c>
      <c r="Y341" s="16">
        <v>4</v>
      </c>
      <c r="Z341" s="16">
        <v>0</v>
      </c>
      <c r="AA341" s="16">
        <v>0</v>
      </c>
      <c r="AB341" s="16">
        <v>17</v>
      </c>
      <c r="AC341" s="17">
        <v>368</v>
      </c>
      <c r="AD341" s="17">
        <v>229</v>
      </c>
      <c r="AE341" s="17">
        <v>0</v>
      </c>
      <c r="AF341" s="17">
        <v>0</v>
      </c>
      <c r="AG341" s="17">
        <v>597</v>
      </c>
      <c r="AH341" s="18">
        <v>184</v>
      </c>
      <c r="AI341" s="18">
        <v>43</v>
      </c>
      <c r="AJ341" s="18">
        <v>0</v>
      </c>
      <c r="AK341" s="18">
        <v>0</v>
      </c>
      <c r="AL341" s="18">
        <v>227</v>
      </c>
      <c r="AM341" s="19" t="s">
        <v>24</v>
      </c>
    </row>
    <row r="342" spans="1:39" x14ac:dyDescent="0.25">
      <c r="A342" s="10">
        <v>2016</v>
      </c>
      <c r="B342" s="11">
        <v>17868</v>
      </c>
      <c r="C342" s="12" t="s">
        <v>383</v>
      </c>
      <c r="D342" s="12" t="s">
        <v>29</v>
      </c>
      <c r="E342" s="22">
        <f t="shared" si="21"/>
        <v>70806.451612903227</v>
      </c>
      <c r="F342" s="22">
        <f t="shared" si="22"/>
        <v>71923.076923076922</v>
      </c>
      <c r="G342" s="22">
        <f t="shared" si="23"/>
        <v>74000</v>
      </c>
      <c r="H342" s="22" t="str">
        <f t="shared" si="24"/>
        <v/>
      </c>
      <c r="I342" s="13">
        <v>3881</v>
      </c>
      <c r="J342" s="13">
        <v>63</v>
      </c>
      <c r="K342" s="13">
        <v>1</v>
      </c>
      <c r="L342" s="13">
        <v>0</v>
      </c>
      <c r="M342" s="13">
        <v>3945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5">
        <v>12.4</v>
      </c>
      <c r="T342" s="15">
        <v>2.6</v>
      </c>
      <c r="U342" s="15">
        <v>0.5</v>
      </c>
      <c r="V342" s="15">
        <v>0</v>
      </c>
      <c r="W342" s="15">
        <v>15.5</v>
      </c>
      <c r="X342" s="16">
        <v>3.8</v>
      </c>
      <c r="Y342" s="16">
        <v>0.8</v>
      </c>
      <c r="Z342" s="16">
        <v>0.2</v>
      </c>
      <c r="AA342" s="16">
        <v>0</v>
      </c>
      <c r="AB342" s="16">
        <v>4.8</v>
      </c>
      <c r="AC342" s="17">
        <v>743</v>
      </c>
      <c r="AD342" s="17">
        <v>158</v>
      </c>
      <c r="AE342" s="17">
        <v>31</v>
      </c>
      <c r="AF342" s="17">
        <v>0</v>
      </c>
      <c r="AG342" s="17">
        <v>932</v>
      </c>
      <c r="AH342" s="18">
        <v>135</v>
      </c>
      <c r="AI342" s="18">
        <v>29</v>
      </c>
      <c r="AJ342" s="18">
        <v>6</v>
      </c>
      <c r="AK342" s="18">
        <v>0</v>
      </c>
      <c r="AL342" s="18">
        <v>170</v>
      </c>
      <c r="AM342" s="19" t="s">
        <v>24</v>
      </c>
    </row>
    <row r="343" spans="1:39" x14ac:dyDescent="0.25">
      <c r="A343" s="10">
        <v>2016</v>
      </c>
      <c r="B343" s="11">
        <v>17876</v>
      </c>
      <c r="C343" s="12" t="s">
        <v>384</v>
      </c>
      <c r="D343" s="12" t="s">
        <v>36</v>
      </c>
      <c r="E343" s="22">
        <f t="shared" si="21"/>
        <v>12000</v>
      </c>
      <c r="F343" s="22">
        <f t="shared" si="22"/>
        <v>500</v>
      </c>
      <c r="G343" s="22" t="str">
        <f t="shared" si="23"/>
        <v/>
      </c>
      <c r="H343" s="22" t="str">
        <f t="shared" si="24"/>
        <v/>
      </c>
      <c r="I343" s="13">
        <v>430</v>
      </c>
      <c r="J343" s="13">
        <v>47</v>
      </c>
      <c r="K343" s="13">
        <v>0</v>
      </c>
      <c r="L343" s="13">
        <v>0</v>
      </c>
      <c r="M343" s="13">
        <v>477</v>
      </c>
      <c r="N343" s="14">
        <v>1</v>
      </c>
      <c r="O343" s="14">
        <v>1</v>
      </c>
      <c r="P343" s="14">
        <v>0</v>
      </c>
      <c r="Q343" s="14">
        <v>0</v>
      </c>
      <c r="R343" s="14">
        <v>2</v>
      </c>
      <c r="S343" s="15">
        <v>1</v>
      </c>
      <c r="T343" s="15">
        <v>2</v>
      </c>
      <c r="U343" s="15">
        <v>0</v>
      </c>
      <c r="V343" s="15">
        <v>0</v>
      </c>
      <c r="W343" s="15">
        <v>3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7">
        <v>12</v>
      </c>
      <c r="AD343" s="17">
        <v>1</v>
      </c>
      <c r="AE343" s="17">
        <v>0</v>
      </c>
      <c r="AF343" s="17">
        <v>0</v>
      </c>
      <c r="AG343" s="17">
        <v>13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9" t="s">
        <v>24</v>
      </c>
    </row>
    <row r="344" spans="1:39" x14ac:dyDescent="0.25">
      <c r="A344" s="10">
        <v>2016</v>
      </c>
      <c r="B344" s="11">
        <v>17900</v>
      </c>
      <c r="C344" s="12" t="s">
        <v>385</v>
      </c>
      <c r="D344" s="12" t="s">
        <v>36</v>
      </c>
      <c r="E344" s="22">
        <f t="shared" si="21"/>
        <v>370000</v>
      </c>
      <c r="F344" s="22" t="str">
        <f t="shared" si="22"/>
        <v/>
      </c>
      <c r="G344" s="22" t="str">
        <f t="shared" si="23"/>
        <v/>
      </c>
      <c r="H344" s="22" t="str">
        <f t="shared" si="24"/>
        <v/>
      </c>
      <c r="I344" s="13">
        <v>1755</v>
      </c>
      <c r="J344" s="13">
        <v>90</v>
      </c>
      <c r="K344" s="13">
        <v>0</v>
      </c>
      <c r="L344" s="13">
        <v>0</v>
      </c>
      <c r="M344" s="13">
        <v>1845</v>
      </c>
      <c r="N344" s="14">
        <v>16</v>
      </c>
      <c r="O344" s="14">
        <v>1</v>
      </c>
      <c r="P344" s="14">
        <v>0</v>
      </c>
      <c r="Q344" s="14">
        <v>0</v>
      </c>
      <c r="R344" s="14">
        <v>17</v>
      </c>
      <c r="S344" s="15">
        <v>0.1</v>
      </c>
      <c r="T344" s="15">
        <v>0</v>
      </c>
      <c r="U344" s="15">
        <v>0</v>
      </c>
      <c r="V344" s="15">
        <v>0</v>
      </c>
      <c r="W344" s="15">
        <v>0.1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7">
        <v>35</v>
      </c>
      <c r="AD344" s="17">
        <v>3</v>
      </c>
      <c r="AE344" s="17">
        <v>0</v>
      </c>
      <c r="AF344" s="17">
        <v>0</v>
      </c>
      <c r="AG344" s="17">
        <v>38</v>
      </c>
      <c r="AH344" s="18">
        <v>2</v>
      </c>
      <c r="AI344" s="18">
        <v>3</v>
      </c>
      <c r="AJ344" s="18">
        <v>0</v>
      </c>
      <c r="AK344" s="18">
        <v>0</v>
      </c>
      <c r="AL344" s="18">
        <v>5</v>
      </c>
      <c r="AM344" s="19">
        <v>0</v>
      </c>
    </row>
    <row r="345" spans="1:39" x14ac:dyDescent="0.25">
      <c r="A345" s="10">
        <v>2016</v>
      </c>
      <c r="B345" s="11">
        <v>17979</v>
      </c>
      <c r="C345" s="12" t="s">
        <v>386</v>
      </c>
      <c r="D345" s="12" t="s">
        <v>72</v>
      </c>
      <c r="E345" s="22" t="str">
        <f t="shared" si="21"/>
        <v/>
      </c>
      <c r="F345" s="22" t="str">
        <f t="shared" si="22"/>
        <v/>
      </c>
      <c r="G345" s="22">
        <f t="shared" si="23"/>
        <v>4561.4035087719294</v>
      </c>
      <c r="H345" s="22" t="str">
        <f t="shared" si="24"/>
        <v/>
      </c>
      <c r="I345" s="13">
        <v>129</v>
      </c>
      <c r="J345" s="13">
        <v>0</v>
      </c>
      <c r="K345" s="13">
        <v>181</v>
      </c>
      <c r="L345" s="13">
        <v>0</v>
      </c>
      <c r="M345" s="13">
        <v>310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5">
        <v>0</v>
      </c>
      <c r="T345" s="15">
        <v>0</v>
      </c>
      <c r="U345" s="15">
        <v>5.7</v>
      </c>
      <c r="V345" s="15">
        <v>0</v>
      </c>
      <c r="W345" s="15">
        <v>5.7</v>
      </c>
      <c r="X345" s="16">
        <v>0</v>
      </c>
      <c r="Y345" s="16">
        <v>0</v>
      </c>
      <c r="Z345" s="16">
        <v>5.7</v>
      </c>
      <c r="AA345" s="16">
        <v>0</v>
      </c>
      <c r="AB345" s="16">
        <v>5.7</v>
      </c>
      <c r="AC345" s="17">
        <v>3</v>
      </c>
      <c r="AD345" s="17">
        <v>0</v>
      </c>
      <c r="AE345" s="17">
        <v>0</v>
      </c>
      <c r="AF345" s="17">
        <v>0</v>
      </c>
      <c r="AG345" s="17">
        <v>3</v>
      </c>
      <c r="AH345" s="18">
        <v>0</v>
      </c>
      <c r="AI345" s="18">
        <v>0</v>
      </c>
      <c r="AJ345" s="18">
        <v>26</v>
      </c>
      <c r="AK345" s="18">
        <v>0</v>
      </c>
      <c r="AL345" s="18">
        <v>26</v>
      </c>
      <c r="AM345" s="19" t="s">
        <v>24</v>
      </c>
    </row>
    <row r="346" spans="1:39" x14ac:dyDescent="0.25">
      <c r="A346" s="10">
        <v>2016</v>
      </c>
      <c r="B346" s="11">
        <v>18087</v>
      </c>
      <c r="C346" s="12" t="s">
        <v>387</v>
      </c>
      <c r="D346" s="12" t="s">
        <v>117</v>
      </c>
      <c r="E346" s="22">
        <f t="shared" si="21"/>
        <v>55000</v>
      </c>
      <c r="F346" s="22">
        <f t="shared" si="22"/>
        <v>13684.21052631579</v>
      </c>
      <c r="G346" s="22" t="str">
        <f t="shared" si="23"/>
        <v/>
      </c>
      <c r="H346" s="22" t="str">
        <f t="shared" si="24"/>
        <v/>
      </c>
      <c r="I346" s="13">
        <v>220</v>
      </c>
      <c r="J346" s="13">
        <v>3</v>
      </c>
      <c r="K346" s="13">
        <v>0</v>
      </c>
      <c r="L346" s="13">
        <v>0</v>
      </c>
      <c r="M346" s="13">
        <v>223</v>
      </c>
      <c r="N346" s="14">
        <v>5</v>
      </c>
      <c r="O346" s="14">
        <v>32</v>
      </c>
      <c r="P346" s="14">
        <v>0</v>
      </c>
      <c r="Q346" s="14">
        <v>0</v>
      </c>
      <c r="R346" s="14">
        <v>37</v>
      </c>
      <c r="S346" s="15">
        <v>0.2</v>
      </c>
      <c r="T346" s="15">
        <v>1.9</v>
      </c>
      <c r="U346" s="15">
        <v>0</v>
      </c>
      <c r="V346" s="15">
        <v>0</v>
      </c>
      <c r="W346" s="15">
        <v>2.1</v>
      </c>
      <c r="X346" s="16">
        <v>0.2</v>
      </c>
      <c r="Y346" s="16">
        <v>1.6</v>
      </c>
      <c r="Z346" s="16">
        <v>0</v>
      </c>
      <c r="AA346" s="16">
        <v>0</v>
      </c>
      <c r="AB346" s="16">
        <v>1.8</v>
      </c>
      <c r="AC346" s="17">
        <v>11</v>
      </c>
      <c r="AD346" s="17">
        <v>26</v>
      </c>
      <c r="AE346" s="17">
        <v>0</v>
      </c>
      <c r="AF346" s="17">
        <v>0</v>
      </c>
      <c r="AG346" s="17">
        <v>37</v>
      </c>
      <c r="AH346" s="18">
        <v>0</v>
      </c>
      <c r="AI346" s="18">
        <v>0</v>
      </c>
      <c r="AJ346" s="18">
        <v>0</v>
      </c>
      <c r="AK346" s="18">
        <v>0</v>
      </c>
      <c r="AL346" s="18">
        <v>0</v>
      </c>
      <c r="AM346" s="19" t="s">
        <v>24</v>
      </c>
    </row>
    <row r="347" spans="1:39" x14ac:dyDescent="0.25">
      <c r="A347" s="10">
        <v>2016</v>
      </c>
      <c r="B347" s="11">
        <v>18125</v>
      </c>
      <c r="C347" s="12" t="s">
        <v>388</v>
      </c>
      <c r="D347" s="12" t="s">
        <v>96</v>
      </c>
      <c r="E347" s="22" t="str">
        <f t="shared" si="21"/>
        <v/>
      </c>
      <c r="F347" s="22">
        <f t="shared" si="22"/>
        <v>19500</v>
      </c>
      <c r="G347" s="22" t="str">
        <f t="shared" si="23"/>
        <v/>
      </c>
      <c r="H347" s="22" t="str">
        <f t="shared" si="24"/>
        <v/>
      </c>
      <c r="I347" s="13">
        <v>0</v>
      </c>
      <c r="J347" s="13">
        <v>1</v>
      </c>
      <c r="K347" s="13">
        <v>0</v>
      </c>
      <c r="L347" s="13">
        <v>0</v>
      </c>
      <c r="M347" s="13">
        <v>1</v>
      </c>
      <c r="N347" s="14">
        <v>0</v>
      </c>
      <c r="O347" s="14">
        <v>848</v>
      </c>
      <c r="P347" s="14">
        <v>0</v>
      </c>
      <c r="Q347" s="14">
        <v>0</v>
      </c>
      <c r="R347" s="14">
        <v>848</v>
      </c>
      <c r="S347" s="15">
        <v>0</v>
      </c>
      <c r="T347" s="15">
        <v>2</v>
      </c>
      <c r="U347" s="15">
        <v>0</v>
      </c>
      <c r="V347" s="15">
        <v>0</v>
      </c>
      <c r="W347" s="15">
        <v>2</v>
      </c>
      <c r="X347" s="16">
        <v>0</v>
      </c>
      <c r="Y347" s="16">
        <v>1</v>
      </c>
      <c r="Z347" s="16">
        <v>0</v>
      </c>
      <c r="AA347" s="16">
        <v>0</v>
      </c>
      <c r="AB347" s="16">
        <v>1</v>
      </c>
      <c r="AC347" s="17">
        <v>0</v>
      </c>
      <c r="AD347" s="17">
        <v>39</v>
      </c>
      <c r="AE347" s="17">
        <v>0</v>
      </c>
      <c r="AF347" s="17">
        <v>0</v>
      </c>
      <c r="AG347" s="17">
        <v>39</v>
      </c>
      <c r="AH347" s="18">
        <v>0</v>
      </c>
      <c r="AI347" s="18">
        <v>0</v>
      </c>
      <c r="AJ347" s="18">
        <v>0</v>
      </c>
      <c r="AK347" s="18">
        <v>0</v>
      </c>
      <c r="AL347" s="18">
        <v>0</v>
      </c>
      <c r="AM347" s="19" t="s">
        <v>24</v>
      </c>
    </row>
    <row r="348" spans="1:39" x14ac:dyDescent="0.25">
      <c r="A348" s="10">
        <v>2016</v>
      </c>
      <c r="B348" s="11">
        <v>18203</v>
      </c>
      <c r="C348" s="12" t="s">
        <v>389</v>
      </c>
      <c r="D348" s="12" t="s">
        <v>31</v>
      </c>
      <c r="E348" s="22" t="str">
        <f t="shared" si="21"/>
        <v/>
      </c>
      <c r="F348" s="22" t="str">
        <f t="shared" si="22"/>
        <v/>
      </c>
      <c r="G348" s="22">
        <f t="shared" si="23"/>
        <v>0</v>
      </c>
      <c r="H348" s="22" t="str">
        <f t="shared" si="24"/>
        <v/>
      </c>
      <c r="I348" s="13">
        <v>0</v>
      </c>
      <c r="J348" s="13">
        <v>0</v>
      </c>
      <c r="K348" s="13">
        <v>1</v>
      </c>
      <c r="L348" s="13">
        <v>0</v>
      </c>
      <c r="M348" s="13">
        <v>1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5">
        <v>0</v>
      </c>
      <c r="T348" s="15">
        <v>0</v>
      </c>
      <c r="U348" s="15">
        <v>3.2</v>
      </c>
      <c r="V348" s="15">
        <v>0</v>
      </c>
      <c r="W348" s="15">
        <v>3.2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8">
        <v>0</v>
      </c>
      <c r="AI348" s="18">
        <v>0</v>
      </c>
      <c r="AJ348" s="18">
        <v>0</v>
      </c>
      <c r="AK348" s="18">
        <v>0</v>
      </c>
      <c r="AL348" s="18">
        <v>0</v>
      </c>
      <c r="AM348" s="19" t="s">
        <v>24</v>
      </c>
    </row>
    <row r="349" spans="1:39" x14ac:dyDescent="0.25">
      <c r="A349" s="10">
        <v>2016</v>
      </c>
      <c r="B349" s="11">
        <v>18280</v>
      </c>
      <c r="C349" s="12" t="s">
        <v>390</v>
      </c>
      <c r="D349" s="12" t="s">
        <v>46</v>
      </c>
      <c r="E349" s="22" t="str">
        <f t="shared" si="21"/>
        <v/>
      </c>
      <c r="F349" s="22" t="str">
        <f t="shared" si="22"/>
        <v/>
      </c>
      <c r="G349" s="22">
        <f t="shared" si="23"/>
        <v>25.773195876288661</v>
      </c>
      <c r="H349" s="22" t="str">
        <f t="shared" si="24"/>
        <v/>
      </c>
      <c r="I349" s="13">
        <v>0</v>
      </c>
      <c r="J349" s="13">
        <v>0</v>
      </c>
      <c r="K349" s="13">
        <v>761</v>
      </c>
      <c r="L349" s="13">
        <v>0</v>
      </c>
      <c r="M349" s="13">
        <v>761</v>
      </c>
      <c r="N349" s="14">
        <v>0</v>
      </c>
      <c r="O349" s="14">
        <v>0</v>
      </c>
      <c r="P349" s="14">
        <v>56</v>
      </c>
      <c r="Q349" s="14">
        <v>0</v>
      </c>
      <c r="R349" s="14">
        <v>56</v>
      </c>
      <c r="S349" s="15">
        <v>0</v>
      </c>
      <c r="T349" s="15">
        <v>0</v>
      </c>
      <c r="U349" s="15">
        <v>77.599999999999994</v>
      </c>
      <c r="V349" s="15">
        <v>0</v>
      </c>
      <c r="W349" s="15">
        <v>77.599999999999994</v>
      </c>
      <c r="X349" s="16">
        <v>0</v>
      </c>
      <c r="Y349" s="16">
        <v>0</v>
      </c>
      <c r="Z349" s="16">
        <v>13</v>
      </c>
      <c r="AA349" s="16">
        <v>0</v>
      </c>
      <c r="AB349" s="16">
        <v>13</v>
      </c>
      <c r="AC349" s="17">
        <v>0</v>
      </c>
      <c r="AD349" s="17">
        <v>0</v>
      </c>
      <c r="AE349" s="17">
        <v>0</v>
      </c>
      <c r="AF349" s="17">
        <v>0</v>
      </c>
      <c r="AG349" s="17">
        <v>0</v>
      </c>
      <c r="AH349" s="18">
        <v>0</v>
      </c>
      <c r="AI349" s="18">
        <v>0</v>
      </c>
      <c r="AJ349" s="18">
        <v>2</v>
      </c>
      <c r="AK349" s="18">
        <v>0</v>
      </c>
      <c r="AL349" s="18">
        <v>2</v>
      </c>
      <c r="AM349" s="19" t="s">
        <v>24</v>
      </c>
    </row>
    <row r="350" spans="1:39" x14ac:dyDescent="0.25">
      <c r="A350" s="10">
        <v>2016</v>
      </c>
      <c r="B350" s="11">
        <v>18304</v>
      </c>
      <c r="C350" s="12" t="s">
        <v>391</v>
      </c>
      <c r="D350" s="12" t="s">
        <v>99</v>
      </c>
      <c r="E350" s="22" t="str">
        <f t="shared" si="21"/>
        <v/>
      </c>
      <c r="F350" s="22">
        <f t="shared" si="22"/>
        <v>14235.294117647059</v>
      </c>
      <c r="G350" s="22" t="str">
        <f t="shared" si="23"/>
        <v/>
      </c>
      <c r="H350" s="22" t="str">
        <f t="shared" si="24"/>
        <v/>
      </c>
      <c r="I350" s="13">
        <v>0</v>
      </c>
      <c r="J350" s="13">
        <v>21</v>
      </c>
      <c r="K350" s="13">
        <v>0</v>
      </c>
      <c r="L350" s="13">
        <v>0</v>
      </c>
      <c r="M350" s="13">
        <v>21</v>
      </c>
      <c r="N350" s="14">
        <v>0</v>
      </c>
      <c r="O350" s="14">
        <v>131</v>
      </c>
      <c r="P350" s="14">
        <v>0</v>
      </c>
      <c r="Q350" s="14">
        <v>0</v>
      </c>
      <c r="R350" s="14">
        <v>131</v>
      </c>
      <c r="S350" s="15">
        <v>0</v>
      </c>
      <c r="T350" s="15">
        <v>17</v>
      </c>
      <c r="U350" s="15">
        <v>0</v>
      </c>
      <c r="V350" s="15">
        <v>0</v>
      </c>
      <c r="W350" s="15">
        <v>17</v>
      </c>
      <c r="X350" s="16">
        <v>0</v>
      </c>
      <c r="Y350" s="16">
        <v>14</v>
      </c>
      <c r="Z350" s="16">
        <v>0</v>
      </c>
      <c r="AA350" s="16">
        <v>0</v>
      </c>
      <c r="AB350" s="16">
        <v>14</v>
      </c>
      <c r="AC350" s="17">
        <v>0</v>
      </c>
      <c r="AD350" s="17">
        <v>0</v>
      </c>
      <c r="AE350" s="17">
        <v>0</v>
      </c>
      <c r="AF350" s="17">
        <v>0</v>
      </c>
      <c r="AG350" s="17">
        <v>0</v>
      </c>
      <c r="AH350" s="18">
        <v>0</v>
      </c>
      <c r="AI350" s="18">
        <v>242</v>
      </c>
      <c r="AJ350" s="18">
        <v>0</v>
      </c>
      <c r="AK350" s="18">
        <v>0</v>
      </c>
      <c r="AL350" s="18">
        <v>242</v>
      </c>
      <c r="AM350" s="19" t="s">
        <v>24</v>
      </c>
    </row>
    <row r="351" spans="1:39" x14ac:dyDescent="0.25">
      <c r="A351" s="10">
        <v>2016</v>
      </c>
      <c r="B351" s="11">
        <v>18383</v>
      </c>
      <c r="C351" s="12" t="s">
        <v>392</v>
      </c>
      <c r="D351" s="12" t="s">
        <v>29</v>
      </c>
      <c r="E351" s="22">
        <f t="shared" si="21"/>
        <v>61250</v>
      </c>
      <c r="F351" s="22">
        <f t="shared" si="22"/>
        <v>59545.454545454544</v>
      </c>
      <c r="G351" s="22" t="str">
        <f t="shared" si="23"/>
        <v/>
      </c>
      <c r="H351" s="22" t="str">
        <f t="shared" si="24"/>
        <v/>
      </c>
      <c r="I351" s="13">
        <v>1977</v>
      </c>
      <c r="J351" s="13">
        <v>135</v>
      </c>
      <c r="K351" s="13">
        <v>0</v>
      </c>
      <c r="L351" s="13">
        <v>0</v>
      </c>
      <c r="M351" s="13">
        <v>2112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5">
        <v>4</v>
      </c>
      <c r="T351" s="15">
        <v>2.2000000000000002</v>
      </c>
      <c r="U351" s="15">
        <v>0</v>
      </c>
      <c r="V351" s="15">
        <v>0</v>
      </c>
      <c r="W351" s="15">
        <v>6.2</v>
      </c>
      <c r="X351" s="16">
        <v>1.5</v>
      </c>
      <c r="Y351" s="16">
        <v>0.8</v>
      </c>
      <c r="Z351" s="16">
        <v>0</v>
      </c>
      <c r="AA351" s="16">
        <v>0</v>
      </c>
      <c r="AB351" s="16">
        <v>2.2999999999999998</v>
      </c>
      <c r="AC351" s="17">
        <v>223</v>
      </c>
      <c r="AD351" s="17">
        <v>119</v>
      </c>
      <c r="AE351" s="17">
        <v>0</v>
      </c>
      <c r="AF351" s="17">
        <v>0</v>
      </c>
      <c r="AG351" s="17">
        <v>342</v>
      </c>
      <c r="AH351" s="18">
        <v>22</v>
      </c>
      <c r="AI351" s="18">
        <v>12</v>
      </c>
      <c r="AJ351" s="18">
        <v>0</v>
      </c>
      <c r="AK351" s="18">
        <v>0</v>
      </c>
      <c r="AL351" s="18">
        <v>34</v>
      </c>
      <c r="AM351" s="19" t="s">
        <v>24</v>
      </c>
    </row>
    <row r="352" spans="1:39" x14ac:dyDescent="0.25">
      <c r="A352" s="10">
        <v>2016</v>
      </c>
      <c r="B352" s="11">
        <v>18445</v>
      </c>
      <c r="C352" s="12" t="s">
        <v>393</v>
      </c>
      <c r="D352" s="12" t="s">
        <v>99</v>
      </c>
      <c r="E352" s="22" t="str">
        <f t="shared" si="21"/>
        <v/>
      </c>
      <c r="F352" s="22">
        <f t="shared" si="22"/>
        <v>131230.42505592841</v>
      </c>
      <c r="G352" s="22" t="str">
        <f t="shared" si="23"/>
        <v/>
      </c>
      <c r="H352" s="22" t="str">
        <f t="shared" si="24"/>
        <v/>
      </c>
      <c r="I352" s="13">
        <v>0</v>
      </c>
      <c r="J352" s="13">
        <v>12</v>
      </c>
      <c r="K352" s="13">
        <v>0</v>
      </c>
      <c r="L352" s="13">
        <v>0</v>
      </c>
      <c r="M352" s="13">
        <v>12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5">
        <v>0</v>
      </c>
      <c r="T352" s="15">
        <v>44.7</v>
      </c>
      <c r="U352" s="15">
        <v>0</v>
      </c>
      <c r="V352" s="15">
        <v>0</v>
      </c>
      <c r="W352" s="15">
        <v>44.7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7">
        <v>0</v>
      </c>
      <c r="AD352" s="17">
        <v>5866</v>
      </c>
      <c r="AE352" s="17">
        <v>0</v>
      </c>
      <c r="AF352" s="17">
        <v>0</v>
      </c>
      <c r="AG352" s="17">
        <v>5866</v>
      </c>
      <c r="AH352" s="18">
        <v>0</v>
      </c>
      <c r="AI352" s="18">
        <v>0</v>
      </c>
      <c r="AJ352" s="18">
        <v>0</v>
      </c>
      <c r="AK352" s="18">
        <v>0</v>
      </c>
      <c r="AL352" s="18">
        <v>0</v>
      </c>
      <c r="AM352" s="19">
        <v>0</v>
      </c>
    </row>
    <row r="353" spans="1:39" x14ac:dyDescent="0.25">
      <c r="A353" s="10">
        <v>2016</v>
      </c>
      <c r="B353" s="11">
        <v>18454</v>
      </c>
      <c r="C353" s="12" t="s">
        <v>394</v>
      </c>
      <c r="D353" s="12" t="s">
        <v>99</v>
      </c>
      <c r="E353" s="22" t="str">
        <f t="shared" si="21"/>
        <v/>
      </c>
      <c r="F353" s="22">
        <f t="shared" si="22"/>
        <v>76482.758620689652</v>
      </c>
      <c r="G353" s="22">
        <f t="shared" si="23"/>
        <v>114956.52173913043</v>
      </c>
      <c r="H353" s="22" t="str">
        <f t="shared" si="24"/>
        <v/>
      </c>
      <c r="I353" s="13">
        <v>0</v>
      </c>
      <c r="J353" s="13">
        <v>218</v>
      </c>
      <c r="K353" s="13">
        <v>34</v>
      </c>
      <c r="L353" s="13">
        <v>0</v>
      </c>
      <c r="M353" s="13">
        <v>252</v>
      </c>
      <c r="N353" s="14">
        <v>0</v>
      </c>
      <c r="O353" s="14">
        <v>8673</v>
      </c>
      <c r="P353" s="14">
        <v>33015</v>
      </c>
      <c r="Q353" s="14">
        <v>0</v>
      </c>
      <c r="R353" s="14">
        <v>41688</v>
      </c>
      <c r="S353" s="15">
        <v>0</v>
      </c>
      <c r="T353" s="15">
        <v>87</v>
      </c>
      <c r="U353" s="15">
        <v>138</v>
      </c>
      <c r="V353" s="15">
        <v>0</v>
      </c>
      <c r="W353" s="15">
        <v>225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7">
        <v>413</v>
      </c>
      <c r="AD353" s="17">
        <v>5205</v>
      </c>
      <c r="AE353" s="17">
        <v>15804</v>
      </c>
      <c r="AF353" s="17">
        <v>0</v>
      </c>
      <c r="AG353" s="17">
        <v>21422</v>
      </c>
      <c r="AH353" s="18">
        <v>1269</v>
      </c>
      <c r="AI353" s="18">
        <v>1449</v>
      </c>
      <c r="AJ353" s="18">
        <v>60</v>
      </c>
      <c r="AK353" s="18">
        <v>0</v>
      </c>
      <c r="AL353" s="18">
        <v>2778</v>
      </c>
      <c r="AM353" s="19" t="s">
        <v>24</v>
      </c>
    </row>
    <row r="354" spans="1:39" x14ac:dyDescent="0.25">
      <c r="A354" s="10">
        <v>2016</v>
      </c>
      <c r="B354" s="11">
        <v>18488</v>
      </c>
      <c r="C354" s="12" t="s">
        <v>395</v>
      </c>
      <c r="D354" s="12" t="s">
        <v>117</v>
      </c>
      <c r="E354" s="22" t="str">
        <f t="shared" si="21"/>
        <v/>
      </c>
      <c r="F354" s="22">
        <f t="shared" si="22"/>
        <v>833.33333333333337</v>
      </c>
      <c r="G354" s="22" t="str">
        <f t="shared" si="23"/>
        <v/>
      </c>
      <c r="H354" s="22" t="str">
        <f t="shared" si="24"/>
        <v/>
      </c>
      <c r="I354" s="13">
        <v>0</v>
      </c>
      <c r="J354" s="13">
        <v>11</v>
      </c>
      <c r="K354" s="13">
        <v>0</v>
      </c>
      <c r="L354" s="13">
        <v>0</v>
      </c>
      <c r="M354" s="13">
        <v>11</v>
      </c>
      <c r="N354" s="14">
        <v>0</v>
      </c>
      <c r="O354" s="14">
        <v>34</v>
      </c>
      <c r="P354" s="14">
        <v>0</v>
      </c>
      <c r="Q354" s="14">
        <v>0</v>
      </c>
      <c r="R354" s="14">
        <v>34</v>
      </c>
      <c r="S354" s="15">
        <v>0</v>
      </c>
      <c r="T354" s="15">
        <v>12</v>
      </c>
      <c r="U354" s="15">
        <v>0</v>
      </c>
      <c r="V354" s="15">
        <v>0</v>
      </c>
      <c r="W354" s="15">
        <v>12</v>
      </c>
      <c r="X354" s="16">
        <v>0</v>
      </c>
      <c r="Y354" s="16">
        <v>9</v>
      </c>
      <c r="Z354" s="16">
        <v>0</v>
      </c>
      <c r="AA354" s="16">
        <v>0</v>
      </c>
      <c r="AB354" s="16">
        <v>9</v>
      </c>
      <c r="AC354" s="17">
        <v>0</v>
      </c>
      <c r="AD354" s="17">
        <v>10</v>
      </c>
      <c r="AE354" s="17">
        <v>0</v>
      </c>
      <c r="AF354" s="17">
        <v>0</v>
      </c>
      <c r="AG354" s="17">
        <v>10</v>
      </c>
      <c r="AH354" s="18">
        <v>0</v>
      </c>
      <c r="AI354" s="18">
        <v>0</v>
      </c>
      <c r="AJ354" s="18">
        <v>0</v>
      </c>
      <c r="AK354" s="18">
        <v>0</v>
      </c>
      <c r="AL354" s="18">
        <v>0</v>
      </c>
      <c r="AM354" s="19" t="s">
        <v>24</v>
      </c>
    </row>
    <row r="355" spans="1:39" x14ac:dyDescent="0.25">
      <c r="A355" s="10">
        <v>2016</v>
      </c>
      <c r="B355" s="11">
        <v>18642</v>
      </c>
      <c r="C355" s="12" t="s">
        <v>396</v>
      </c>
      <c r="D355" s="12" t="s">
        <v>31</v>
      </c>
      <c r="E355" s="22" t="str">
        <f t="shared" si="21"/>
        <v/>
      </c>
      <c r="F355" s="22">
        <f t="shared" si="22"/>
        <v>53500</v>
      </c>
      <c r="G355" s="22">
        <f t="shared" si="23"/>
        <v>50113.425925925927</v>
      </c>
      <c r="H355" s="22" t="str">
        <f t="shared" si="24"/>
        <v/>
      </c>
      <c r="I355" s="13">
        <v>0</v>
      </c>
      <c r="J355" s="13">
        <v>86</v>
      </c>
      <c r="K355" s="13">
        <v>89</v>
      </c>
      <c r="L355" s="13">
        <v>0</v>
      </c>
      <c r="M355" s="13">
        <v>175</v>
      </c>
      <c r="N355" s="14">
        <v>0</v>
      </c>
      <c r="O355" s="14">
        <v>162</v>
      </c>
      <c r="P355" s="14">
        <v>2590</v>
      </c>
      <c r="Q355" s="14">
        <v>0</v>
      </c>
      <c r="R355" s="14">
        <v>2752</v>
      </c>
      <c r="S355" s="15">
        <v>0</v>
      </c>
      <c r="T355" s="15">
        <v>4</v>
      </c>
      <c r="U355" s="15">
        <v>432</v>
      </c>
      <c r="V355" s="15">
        <v>0</v>
      </c>
      <c r="W355" s="15">
        <v>436</v>
      </c>
      <c r="X355" s="16">
        <v>0</v>
      </c>
      <c r="Y355" s="16">
        <v>4</v>
      </c>
      <c r="Z355" s="16">
        <v>312</v>
      </c>
      <c r="AA355" s="16">
        <v>0</v>
      </c>
      <c r="AB355" s="16">
        <v>316</v>
      </c>
      <c r="AC355" s="17">
        <v>0</v>
      </c>
      <c r="AD355" s="17">
        <v>107</v>
      </c>
      <c r="AE355" s="17">
        <v>20966</v>
      </c>
      <c r="AF355" s="17">
        <v>0</v>
      </c>
      <c r="AG355" s="17">
        <v>21073</v>
      </c>
      <c r="AH355" s="18">
        <v>0</v>
      </c>
      <c r="AI355" s="18">
        <v>107</v>
      </c>
      <c r="AJ355" s="18">
        <v>683</v>
      </c>
      <c r="AK355" s="18">
        <v>0</v>
      </c>
      <c r="AL355" s="18">
        <v>790</v>
      </c>
      <c r="AM355" s="19">
        <v>0</v>
      </c>
    </row>
    <row r="356" spans="1:39" x14ac:dyDescent="0.25">
      <c r="A356" s="10">
        <v>2016</v>
      </c>
      <c r="B356" s="11">
        <v>18642</v>
      </c>
      <c r="C356" s="12" t="s">
        <v>396</v>
      </c>
      <c r="D356" s="12" t="s">
        <v>40</v>
      </c>
      <c r="E356" s="22" t="str">
        <f t="shared" si="21"/>
        <v/>
      </c>
      <c r="F356" s="22" t="str">
        <f t="shared" si="22"/>
        <v/>
      </c>
      <c r="G356" s="22">
        <f t="shared" si="23"/>
        <v>46851.851851851854</v>
      </c>
      <c r="H356" s="22" t="str">
        <f t="shared" si="24"/>
        <v/>
      </c>
      <c r="I356" s="13">
        <v>0</v>
      </c>
      <c r="J356" s="13">
        <v>0</v>
      </c>
      <c r="K356" s="13">
        <v>5</v>
      </c>
      <c r="L356" s="13">
        <v>0</v>
      </c>
      <c r="M356" s="13">
        <v>5</v>
      </c>
      <c r="N356" s="14">
        <v>0</v>
      </c>
      <c r="O356" s="14">
        <v>0</v>
      </c>
      <c r="P356" s="14">
        <v>82</v>
      </c>
      <c r="Q356" s="14">
        <v>0</v>
      </c>
      <c r="R356" s="14">
        <v>82</v>
      </c>
      <c r="S356" s="15">
        <v>0</v>
      </c>
      <c r="T356" s="15">
        <v>0</v>
      </c>
      <c r="U356" s="15">
        <v>27</v>
      </c>
      <c r="V356" s="15">
        <v>0</v>
      </c>
      <c r="W356" s="15">
        <v>27</v>
      </c>
      <c r="X356" s="16">
        <v>0</v>
      </c>
      <c r="Y356" s="16">
        <v>0</v>
      </c>
      <c r="Z356" s="16">
        <v>11</v>
      </c>
      <c r="AA356" s="16">
        <v>0</v>
      </c>
      <c r="AB356" s="16">
        <v>11</v>
      </c>
      <c r="AC356" s="17">
        <v>0</v>
      </c>
      <c r="AD356" s="17">
        <v>0</v>
      </c>
      <c r="AE356" s="17">
        <v>1258</v>
      </c>
      <c r="AF356" s="17">
        <v>0</v>
      </c>
      <c r="AG356" s="17">
        <v>1258</v>
      </c>
      <c r="AH356" s="18">
        <v>0</v>
      </c>
      <c r="AI356" s="18">
        <v>0</v>
      </c>
      <c r="AJ356" s="18">
        <v>7</v>
      </c>
      <c r="AK356" s="18">
        <v>0</v>
      </c>
      <c r="AL356" s="18">
        <v>7</v>
      </c>
      <c r="AM356" s="19" t="s">
        <v>24</v>
      </c>
    </row>
    <row r="357" spans="1:39" x14ac:dyDescent="0.25">
      <c r="A357" s="10">
        <v>2016</v>
      </c>
      <c r="B357" s="11">
        <v>18642</v>
      </c>
      <c r="C357" s="12" t="s">
        <v>396</v>
      </c>
      <c r="D357" s="12" t="s">
        <v>148</v>
      </c>
      <c r="E357" s="22" t="str">
        <f t="shared" si="21"/>
        <v/>
      </c>
      <c r="F357" s="22">
        <f t="shared" si="22"/>
        <v>43230.769230769234</v>
      </c>
      <c r="G357" s="22">
        <f t="shared" si="23"/>
        <v>46824.427480916027</v>
      </c>
      <c r="H357" s="22" t="str">
        <f t="shared" si="24"/>
        <v/>
      </c>
      <c r="I357" s="13">
        <v>0</v>
      </c>
      <c r="J357" s="13">
        <v>82</v>
      </c>
      <c r="K357" s="13">
        <v>71</v>
      </c>
      <c r="L357" s="13">
        <v>0</v>
      </c>
      <c r="M357" s="13">
        <v>153</v>
      </c>
      <c r="N357" s="14">
        <v>0</v>
      </c>
      <c r="O357" s="14">
        <v>108</v>
      </c>
      <c r="P357" s="14">
        <v>1267</v>
      </c>
      <c r="Q357" s="14">
        <v>0</v>
      </c>
      <c r="R357" s="14">
        <v>1375</v>
      </c>
      <c r="S357" s="15">
        <v>0</v>
      </c>
      <c r="T357" s="15">
        <v>13</v>
      </c>
      <c r="U357" s="15">
        <v>131</v>
      </c>
      <c r="V357" s="15">
        <v>0</v>
      </c>
      <c r="W357" s="15">
        <v>144</v>
      </c>
      <c r="X357" s="16">
        <v>0</v>
      </c>
      <c r="Y357" s="16">
        <v>3</v>
      </c>
      <c r="Z357" s="16">
        <v>121</v>
      </c>
      <c r="AA357" s="16">
        <v>0</v>
      </c>
      <c r="AB357" s="16">
        <v>124</v>
      </c>
      <c r="AC357" s="17">
        <v>0</v>
      </c>
      <c r="AD357" s="17">
        <v>491</v>
      </c>
      <c r="AE357" s="17">
        <v>5740</v>
      </c>
      <c r="AF357" s="17">
        <v>0</v>
      </c>
      <c r="AG357" s="17">
        <v>6231</v>
      </c>
      <c r="AH357" s="18">
        <v>0</v>
      </c>
      <c r="AI357" s="18">
        <v>71</v>
      </c>
      <c r="AJ357" s="18">
        <v>394</v>
      </c>
      <c r="AK357" s="18">
        <v>0</v>
      </c>
      <c r="AL357" s="18">
        <v>465</v>
      </c>
      <c r="AM357" s="19" t="s">
        <v>24</v>
      </c>
    </row>
    <row r="358" spans="1:39" x14ac:dyDescent="0.25">
      <c r="A358" s="10">
        <v>2016</v>
      </c>
      <c r="B358" s="11">
        <v>18642</v>
      </c>
      <c r="C358" s="12" t="s">
        <v>396</v>
      </c>
      <c r="D358" s="12" t="s">
        <v>263</v>
      </c>
      <c r="E358" s="22" t="str">
        <f t="shared" si="21"/>
        <v/>
      </c>
      <c r="F358" s="22">
        <f t="shared" si="22"/>
        <v>46333.333333333336</v>
      </c>
      <c r="G358" s="22">
        <f t="shared" si="23"/>
        <v>46589.552238805969</v>
      </c>
      <c r="H358" s="22" t="str">
        <f t="shared" si="24"/>
        <v/>
      </c>
      <c r="I358" s="13">
        <v>0</v>
      </c>
      <c r="J358" s="13">
        <v>32</v>
      </c>
      <c r="K358" s="13">
        <v>32</v>
      </c>
      <c r="L358" s="13">
        <v>0</v>
      </c>
      <c r="M358" s="13">
        <v>64</v>
      </c>
      <c r="N358" s="14">
        <v>0</v>
      </c>
      <c r="O358" s="14">
        <v>62</v>
      </c>
      <c r="P358" s="14">
        <v>565</v>
      </c>
      <c r="Q358" s="14">
        <v>0</v>
      </c>
      <c r="R358" s="14">
        <v>627</v>
      </c>
      <c r="S358" s="15">
        <v>0</v>
      </c>
      <c r="T358" s="15">
        <v>3</v>
      </c>
      <c r="U358" s="15">
        <v>402</v>
      </c>
      <c r="V358" s="15">
        <v>0</v>
      </c>
      <c r="W358" s="15">
        <v>405</v>
      </c>
      <c r="X358" s="16">
        <v>0</v>
      </c>
      <c r="Y358" s="16">
        <v>2</v>
      </c>
      <c r="Z358" s="16">
        <v>58</v>
      </c>
      <c r="AA358" s="16">
        <v>0</v>
      </c>
      <c r="AB358" s="16">
        <v>60</v>
      </c>
      <c r="AC358" s="17">
        <v>0</v>
      </c>
      <c r="AD358" s="17">
        <v>98</v>
      </c>
      <c r="AE358" s="17">
        <v>18559</v>
      </c>
      <c r="AF358" s="17">
        <v>0</v>
      </c>
      <c r="AG358" s="17">
        <v>18657</v>
      </c>
      <c r="AH358" s="18">
        <v>0</v>
      </c>
      <c r="AI358" s="18">
        <v>41</v>
      </c>
      <c r="AJ358" s="18">
        <v>170</v>
      </c>
      <c r="AK358" s="18">
        <v>0</v>
      </c>
      <c r="AL358" s="18">
        <v>211</v>
      </c>
      <c r="AM358" s="19" t="s">
        <v>24</v>
      </c>
    </row>
    <row r="359" spans="1:39" x14ac:dyDescent="0.25">
      <c r="A359" s="10">
        <v>2016</v>
      </c>
      <c r="B359" s="11">
        <v>18642</v>
      </c>
      <c r="C359" s="12" t="s">
        <v>396</v>
      </c>
      <c r="D359" s="12" t="s">
        <v>81</v>
      </c>
      <c r="E359" s="22" t="str">
        <f t="shared" si="21"/>
        <v/>
      </c>
      <c r="F359" s="22" t="str">
        <f t="shared" si="22"/>
        <v/>
      </c>
      <c r="G359" s="22" t="str">
        <f t="shared" si="23"/>
        <v/>
      </c>
      <c r="H359" s="22" t="str">
        <f t="shared" si="24"/>
        <v/>
      </c>
      <c r="I359" s="13">
        <v>0</v>
      </c>
      <c r="J359" s="13">
        <v>1</v>
      </c>
      <c r="K359" s="13">
        <v>0</v>
      </c>
      <c r="L359" s="13">
        <v>0</v>
      </c>
      <c r="M359" s="13">
        <v>1</v>
      </c>
      <c r="N359" s="14">
        <v>0</v>
      </c>
      <c r="O359" s="14">
        <v>1</v>
      </c>
      <c r="P359" s="14">
        <v>0</v>
      </c>
      <c r="Q359" s="14">
        <v>0</v>
      </c>
      <c r="R359" s="14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7">
        <v>0</v>
      </c>
      <c r="AD359" s="17">
        <v>1</v>
      </c>
      <c r="AE359" s="17">
        <v>0</v>
      </c>
      <c r="AF359" s="17">
        <v>0</v>
      </c>
      <c r="AG359" s="17">
        <v>1</v>
      </c>
      <c r="AH359" s="18">
        <v>0</v>
      </c>
      <c r="AI359" s="18">
        <v>1</v>
      </c>
      <c r="AJ359" s="18">
        <v>0</v>
      </c>
      <c r="AK359" s="18">
        <v>0</v>
      </c>
      <c r="AL359" s="18">
        <v>1</v>
      </c>
      <c r="AM359" s="19" t="s">
        <v>24</v>
      </c>
    </row>
    <row r="360" spans="1:39" x14ac:dyDescent="0.25">
      <c r="A360" s="10">
        <v>2016</v>
      </c>
      <c r="B360" s="11">
        <v>18642</v>
      </c>
      <c r="C360" s="12" t="s">
        <v>396</v>
      </c>
      <c r="D360" s="12" t="s">
        <v>397</v>
      </c>
      <c r="E360" s="22" t="str">
        <f t="shared" si="21"/>
        <v/>
      </c>
      <c r="F360" s="22">
        <f t="shared" si="22"/>
        <v>48204.081632653062</v>
      </c>
      <c r="G360" s="22">
        <f t="shared" si="23"/>
        <v>42667.229729729726</v>
      </c>
      <c r="H360" s="22" t="str">
        <f t="shared" si="24"/>
        <v/>
      </c>
      <c r="I360" s="13">
        <v>0</v>
      </c>
      <c r="J360" s="13">
        <v>660</v>
      </c>
      <c r="K360" s="13">
        <v>431</v>
      </c>
      <c r="L360" s="13">
        <v>0</v>
      </c>
      <c r="M360" s="13">
        <v>1091</v>
      </c>
      <c r="N360" s="14">
        <v>0</v>
      </c>
      <c r="O360" s="14">
        <v>1198</v>
      </c>
      <c r="P360" s="14">
        <v>4847</v>
      </c>
      <c r="Q360" s="14">
        <v>0</v>
      </c>
      <c r="R360" s="14">
        <v>6045</v>
      </c>
      <c r="S360" s="15">
        <v>0</v>
      </c>
      <c r="T360" s="15">
        <v>49</v>
      </c>
      <c r="U360" s="15">
        <v>592</v>
      </c>
      <c r="V360" s="15">
        <v>0</v>
      </c>
      <c r="W360" s="15">
        <v>641</v>
      </c>
      <c r="X360" s="16">
        <v>0</v>
      </c>
      <c r="Y360" s="16">
        <v>30</v>
      </c>
      <c r="Z360" s="16">
        <v>410</v>
      </c>
      <c r="AA360" s="16">
        <v>0</v>
      </c>
      <c r="AB360" s="16">
        <v>440</v>
      </c>
      <c r="AC360" s="17">
        <v>0</v>
      </c>
      <c r="AD360" s="17">
        <v>1571</v>
      </c>
      <c r="AE360" s="17">
        <v>22834</v>
      </c>
      <c r="AF360" s="17">
        <v>0</v>
      </c>
      <c r="AG360" s="17">
        <v>24405</v>
      </c>
      <c r="AH360" s="18">
        <v>0</v>
      </c>
      <c r="AI360" s="18">
        <v>791</v>
      </c>
      <c r="AJ360" s="18">
        <v>2425</v>
      </c>
      <c r="AK360" s="18">
        <v>0</v>
      </c>
      <c r="AL360" s="18">
        <v>3216</v>
      </c>
      <c r="AM360" s="19" t="s">
        <v>24</v>
      </c>
    </row>
    <row r="361" spans="1:39" x14ac:dyDescent="0.25">
      <c r="A361" s="10">
        <v>2016</v>
      </c>
      <c r="B361" s="11">
        <v>18642</v>
      </c>
      <c r="C361" s="12" t="s">
        <v>396</v>
      </c>
      <c r="D361" s="12" t="s">
        <v>25</v>
      </c>
      <c r="E361" s="22" t="str">
        <f t="shared" si="21"/>
        <v/>
      </c>
      <c r="F361" s="22" t="str">
        <f t="shared" si="22"/>
        <v/>
      </c>
      <c r="G361" s="22" t="str">
        <f t="shared" si="23"/>
        <v/>
      </c>
      <c r="H361" s="22" t="str">
        <f t="shared" si="24"/>
        <v/>
      </c>
      <c r="I361" s="13">
        <v>0</v>
      </c>
      <c r="J361" s="13">
        <v>3</v>
      </c>
      <c r="K361" s="13">
        <v>3</v>
      </c>
      <c r="L361" s="13">
        <v>0</v>
      </c>
      <c r="M361" s="13">
        <v>6</v>
      </c>
      <c r="N361" s="14">
        <v>0</v>
      </c>
      <c r="O361" s="14">
        <v>5</v>
      </c>
      <c r="P361" s="14">
        <v>9</v>
      </c>
      <c r="Q361" s="14">
        <v>0</v>
      </c>
      <c r="R361" s="14">
        <v>14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7">
        <v>0</v>
      </c>
      <c r="AD361" s="17">
        <v>3</v>
      </c>
      <c r="AE361" s="17">
        <v>6</v>
      </c>
      <c r="AF361" s="17">
        <v>0</v>
      </c>
      <c r="AG361" s="17">
        <v>9</v>
      </c>
      <c r="AH361" s="18">
        <v>0</v>
      </c>
      <c r="AI361" s="18">
        <v>3</v>
      </c>
      <c r="AJ361" s="18">
        <v>6</v>
      </c>
      <c r="AK361" s="18">
        <v>0</v>
      </c>
      <c r="AL361" s="18">
        <v>9</v>
      </c>
      <c r="AM361" s="19" t="s">
        <v>24</v>
      </c>
    </row>
    <row r="362" spans="1:39" x14ac:dyDescent="0.25">
      <c r="A362" s="10">
        <v>2016</v>
      </c>
      <c r="B362" s="11">
        <v>18820</v>
      </c>
      <c r="C362" s="12" t="s">
        <v>398</v>
      </c>
      <c r="D362" s="12" t="s">
        <v>36</v>
      </c>
      <c r="E362" s="22">
        <f t="shared" si="21"/>
        <v>22333.333333333332</v>
      </c>
      <c r="F362" s="22">
        <f t="shared" si="22"/>
        <v>11500</v>
      </c>
      <c r="G362" s="22" t="str">
        <f t="shared" si="23"/>
        <v/>
      </c>
      <c r="H362" s="22" t="str">
        <f t="shared" si="24"/>
        <v/>
      </c>
      <c r="I362" s="13">
        <v>423</v>
      </c>
      <c r="J362" s="13">
        <v>66</v>
      </c>
      <c r="K362" s="13">
        <v>0</v>
      </c>
      <c r="L362" s="13">
        <v>0</v>
      </c>
      <c r="M362" s="13">
        <v>489</v>
      </c>
      <c r="N362" s="14">
        <v>51</v>
      </c>
      <c r="O362" s="14">
        <v>18</v>
      </c>
      <c r="P362" s="14">
        <v>0</v>
      </c>
      <c r="Q362" s="14">
        <v>0</v>
      </c>
      <c r="R362" s="14">
        <v>69</v>
      </c>
      <c r="S362" s="15">
        <v>3</v>
      </c>
      <c r="T362" s="15">
        <v>2</v>
      </c>
      <c r="U362" s="15">
        <v>0</v>
      </c>
      <c r="V362" s="15">
        <v>0</v>
      </c>
      <c r="W362" s="15">
        <v>5</v>
      </c>
      <c r="X362" s="16">
        <v>3</v>
      </c>
      <c r="Y362" s="16">
        <v>2</v>
      </c>
      <c r="Z362" s="16">
        <v>0</v>
      </c>
      <c r="AA362" s="16">
        <v>0</v>
      </c>
      <c r="AB362" s="16">
        <v>5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8">
        <v>67</v>
      </c>
      <c r="AI362" s="18">
        <v>23</v>
      </c>
      <c r="AJ362" s="18">
        <v>0</v>
      </c>
      <c r="AK362" s="18">
        <v>0</v>
      </c>
      <c r="AL362" s="18">
        <v>90</v>
      </c>
      <c r="AM362" s="19" t="s">
        <v>24</v>
      </c>
    </row>
    <row r="363" spans="1:39" x14ac:dyDescent="0.25">
      <c r="A363" s="10">
        <v>2016</v>
      </c>
      <c r="B363" s="11">
        <v>18956</v>
      </c>
      <c r="C363" s="12" t="s">
        <v>399</v>
      </c>
      <c r="D363" s="12" t="s">
        <v>40</v>
      </c>
      <c r="E363" s="22">
        <f t="shared" si="21"/>
        <v>29375</v>
      </c>
      <c r="F363" s="22" t="str">
        <f t="shared" si="22"/>
        <v/>
      </c>
      <c r="G363" s="22" t="str">
        <f t="shared" si="23"/>
        <v/>
      </c>
      <c r="H363" s="22" t="str">
        <f t="shared" si="24"/>
        <v/>
      </c>
      <c r="I363" s="13">
        <v>3273</v>
      </c>
      <c r="J363" s="13">
        <v>0</v>
      </c>
      <c r="K363" s="13">
        <v>0</v>
      </c>
      <c r="L363" s="13">
        <v>0</v>
      </c>
      <c r="M363" s="13">
        <v>3273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5">
        <v>3.2</v>
      </c>
      <c r="T363" s="15">
        <v>0</v>
      </c>
      <c r="U363" s="15">
        <v>0</v>
      </c>
      <c r="V363" s="15">
        <v>0</v>
      </c>
      <c r="W363" s="15">
        <v>3.2</v>
      </c>
      <c r="X363" s="16">
        <v>3</v>
      </c>
      <c r="Y363" s="16">
        <v>0</v>
      </c>
      <c r="Z363" s="16">
        <v>0</v>
      </c>
      <c r="AA363" s="16">
        <v>0</v>
      </c>
      <c r="AB363" s="16">
        <v>3</v>
      </c>
      <c r="AC363" s="17">
        <v>82</v>
      </c>
      <c r="AD363" s="17">
        <v>0</v>
      </c>
      <c r="AE363" s="17">
        <v>0</v>
      </c>
      <c r="AF363" s="17">
        <v>0</v>
      </c>
      <c r="AG363" s="17">
        <v>82</v>
      </c>
      <c r="AH363" s="18">
        <v>12</v>
      </c>
      <c r="AI363" s="18">
        <v>0</v>
      </c>
      <c r="AJ363" s="18">
        <v>0</v>
      </c>
      <c r="AK363" s="18">
        <v>0</v>
      </c>
      <c r="AL363" s="18">
        <v>12</v>
      </c>
      <c r="AM363" s="19">
        <v>0</v>
      </c>
    </row>
    <row r="364" spans="1:39" x14ac:dyDescent="0.25">
      <c r="A364" s="10">
        <v>2016</v>
      </c>
      <c r="B364" s="11">
        <v>18997</v>
      </c>
      <c r="C364" s="12" t="s">
        <v>400</v>
      </c>
      <c r="D364" s="12" t="s">
        <v>102</v>
      </c>
      <c r="E364" s="22">
        <f t="shared" si="21"/>
        <v>209999.99999999997</v>
      </c>
      <c r="F364" s="22" t="str">
        <f t="shared" si="22"/>
        <v/>
      </c>
      <c r="G364" s="22">
        <f t="shared" si="23"/>
        <v>62.111801242236027</v>
      </c>
      <c r="H364" s="22" t="str">
        <f t="shared" si="24"/>
        <v/>
      </c>
      <c r="I364" s="13">
        <v>1738</v>
      </c>
      <c r="J364" s="13">
        <v>0</v>
      </c>
      <c r="K364" s="13">
        <v>4</v>
      </c>
      <c r="L364" s="13">
        <v>0</v>
      </c>
      <c r="M364" s="13">
        <v>1742</v>
      </c>
      <c r="N364" s="14">
        <v>8</v>
      </c>
      <c r="O364" s="14">
        <v>0</v>
      </c>
      <c r="P364" s="14">
        <v>0</v>
      </c>
      <c r="Q364" s="14">
        <v>0</v>
      </c>
      <c r="R364" s="14">
        <v>8</v>
      </c>
      <c r="S364" s="15">
        <v>1.1000000000000001</v>
      </c>
      <c r="T364" s="15">
        <v>0</v>
      </c>
      <c r="U364" s="15">
        <v>193.2</v>
      </c>
      <c r="V364" s="15">
        <v>0</v>
      </c>
      <c r="W364" s="15">
        <v>194.3</v>
      </c>
      <c r="X364" s="16">
        <v>1</v>
      </c>
      <c r="Y364" s="16">
        <v>0</v>
      </c>
      <c r="Z364" s="16">
        <v>0</v>
      </c>
      <c r="AA364" s="16">
        <v>0</v>
      </c>
      <c r="AB364" s="16">
        <v>1</v>
      </c>
      <c r="AC364" s="17">
        <v>16</v>
      </c>
      <c r="AD364" s="17">
        <v>0</v>
      </c>
      <c r="AE364" s="17">
        <v>12</v>
      </c>
      <c r="AF364" s="17">
        <v>0</v>
      </c>
      <c r="AG364" s="17">
        <v>28</v>
      </c>
      <c r="AH364" s="18">
        <v>215</v>
      </c>
      <c r="AI364" s="18">
        <v>0</v>
      </c>
      <c r="AJ364" s="18">
        <v>0</v>
      </c>
      <c r="AK364" s="18">
        <v>0</v>
      </c>
      <c r="AL364" s="18">
        <v>215</v>
      </c>
      <c r="AM364" s="19" t="s">
        <v>24</v>
      </c>
    </row>
    <row r="365" spans="1:39" x14ac:dyDescent="0.25">
      <c r="A365" s="10">
        <v>2016</v>
      </c>
      <c r="B365" s="11">
        <v>19157</v>
      </c>
      <c r="C365" s="12" t="s">
        <v>401</v>
      </c>
      <c r="D365" s="12" t="s">
        <v>36</v>
      </c>
      <c r="E365" s="22">
        <f t="shared" si="21"/>
        <v>58750</v>
      </c>
      <c r="F365" s="22">
        <f t="shared" si="22"/>
        <v>58529.411764705881</v>
      </c>
      <c r="G365" s="22">
        <f t="shared" si="23"/>
        <v>60833.333333333336</v>
      </c>
      <c r="H365" s="22" t="str">
        <f t="shared" si="24"/>
        <v/>
      </c>
      <c r="I365" s="13">
        <v>7185</v>
      </c>
      <c r="J365" s="13">
        <v>257</v>
      </c>
      <c r="K365" s="13">
        <v>7</v>
      </c>
      <c r="L365" s="13">
        <v>0</v>
      </c>
      <c r="M365" s="13">
        <v>7449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5">
        <v>3.2</v>
      </c>
      <c r="T365" s="15">
        <v>6.8</v>
      </c>
      <c r="U365" s="15">
        <v>1.2</v>
      </c>
      <c r="V365" s="15">
        <v>0</v>
      </c>
      <c r="W365" s="15">
        <v>11.2</v>
      </c>
      <c r="X365" s="16">
        <v>2.6</v>
      </c>
      <c r="Y365" s="16">
        <v>5.4</v>
      </c>
      <c r="Z365" s="16">
        <v>1</v>
      </c>
      <c r="AA365" s="16">
        <v>0</v>
      </c>
      <c r="AB365" s="16">
        <v>9</v>
      </c>
      <c r="AC365" s="17">
        <v>171</v>
      </c>
      <c r="AD365" s="17">
        <v>362</v>
      </c>
      <c r="AE365" s="17">
        <v>66</v>
      </c>
      <c r="AF365" s="17">
        <v>0</v>
      </c>
      <c r="AG365" s="17">
        <v>599</v>
      </c>
      <c r="AH365" s="18">
        <v>17</v>
      </c>
      <c r="AI365" s="18">
        <v>36</v>
      </c>
      <c r="AJ365" s="18">
        <v>7</v>
      </c>
      <c r="AK365" s="18">
        <v>0</v>
      </c>
      <c r="AL365" s="18">
        <v>60</v>
      </c>
      <c r="AM365" s="19" t="s">
        <v>24</v>
      </c>
    </row>
    <row r="366" spans="1:39" x14ac:dyDescent="0.25">
      <c r="A366" s="10">
        <v>2016</v>
      </c>
      <c r="B366" s="11">
        <v>19160</v>
      </c>
      <c r="C366" s="12" t="s">
        <v>304</v>
      </c>
      <c r="D366" s="12" t="s">
        <v>96</v>
      </c>
      <c r="E366" s="22" t="str">
        <f t="shared" si="21"/>
        <v/>
      </c>
      <c r="F366" s="22" t="str">
        <f t="shared" si="22"/>
        <v/>
      </c>
      <c r="G366" s="22">
        <f t="shared" si="23"/>
        <v>0</v>
      </c>
      <c r="H366" s="22" t="str">
        <f t="shared" si="24"/>
        <v/>
      </c>
      <c r="I366" s="13">
        <v>0</v>
      </c>
      <c r="J366" s="13">
        <v>0</v>
      </c>
      <c r="K366" s="13">
        <v>12</v>
      </c>
      <c r="L366" s="13">
        <v>0</v>
      </c>
      <c r="M366" s="13">
        <v>12</v>
      </c>
      <c r="N366" s="14">
        <v>0</v>
      </c>
      <c r="O366" s="14">
        <v>0</v>
      </c>
      <c r="P366" s="14">
        <v>251</v>
      </c>
      <c r="Q366" s="14">
        <v>0</v>
      </c>
      <c r="R366" s="14">
        <v>251</v>
      </c>
      <c r="S366" s="15">
        <v>0</v>
      </c>
      <c r="T366" s="15">
        <v>0</v>
      </c>
      <c r="U366" s="15">
        <v>537</v>
      </c>
      <c r="V366" s="15">
        <v>0</v>
      </c>
      <c r="W366" s="15">
        <v>537</v>
      </c>
      <c r="X366" s="16">
        <v>0</v>
      </c>
      <c r="Y366" s="16">
        <v>0</v>
      </c>
      <c r="Z366" s="16">
        <v>500</v>
      </c>
      <c r="AA366" s="16">
        <v>0</v>
      </c>
      <c r="AB366" s="16">
        <v>500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9" t="s">
        <v>24</v>
      </c>
    </row>
    <row r="367" spans="1:39" x14ac:dyDescent="0.25">
      <c r="A367" s="10">
        <v>2016</v>
      </c>
      <c r="B367" s="11">
        <v>19189</v>
      </c>
      <c r="C367" s="12" t="s">
        <v>402</v>
      </c>
      <c r="D367" s="12" t="s">
        <v>46</v>
      </c>
      <c r="E367" s="22" t="str">
        <f t="shared" si="21"/>
        <v/>
      </c>
      <c r="F367" s="22" t="str">
        <f t="shared" si="22"/>
        <v/>
      </c>
      <c r="G367" s="22">
        <f t="shared" si="23"/>
        <v>0</v>
      </c>
      <c r="H367" s="22" t="str">
        <f t="shared" si="24"/>
        <v/>
      </c>
      <c r="I367" s="13">
        <v>0</v>
      </c>
      <c r="J367" s="13">
        <v>0</v>
      </c>
      <c r="K367" s="13">
        <v>26</v>
      </c>
      <c r="L367" s="13">
        <v>0</v>
      </c>
      <c r="M367" s="13">
        <v>26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5">
        <v>0</v>
      </c>
      <c r="T367" s="15">
        <v>0</v>
      </c>
      <c r="U367" s="15">
        <v>9.1</v>
      </c>
      <c r="V367" s="15">
        <v>0</v>
      </c>
      <c r="W367" s="15">
        <v>9.1</v>
      </c>
      <c r="X367" s="16">
        <v>0</v>
      </c>
      <c r="Y367" s="16">
        <v>0</v>
      </c>
      <c r="Z367" s="16">
        <v>0.3</v>
      </c>
      <c r="AA367" s="16">
        <v>0</v>
      </c>
      <c r="AB367" s="16">
        <v>0.3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8">
        <v>0</v>
      </c>
      <c r="AI367" s="18">
        <v>0</v>
      </c>
      <c r="AJ367" s="18">
        <v>0</v>
      </c>
      <c r="AK367" s="18">
        <v>0</v>
      </c>
      <c r="AL367" s="18">
        <v>0</v>
      </c>
      <c r="AM367" s="19" t="s">
        <v>24</v>
      </c>
    </row>
    <row r="368" spans="1:39" x14ac:dyDescent="0.25">
      <c r="A368" s="10">
        <v>2016</v>
      </c>
      <c r="B368" s="11">
        <v>19327</v>
      </c>
      <c r="C368" s="12" t="s">
        <v>403</v>
      </c>
      <c r="D368" s="12" t="s">
        <v>56</v>
      </c>
      <c r="E368" s="22" t="str">
        <f t="shared" si="21"/>
        <v/>
      </c>
      <c r="F368" s="22" t="str">
        <f t="shared" si="22"/>
        <v/>
      </c>
      <c r="G368" s="22" t="str">
        <f t="shared" si="23"/>
        <v/>
      </c>
      <c r="H368" s="22" t="str">
        <f t="shared" si="24"/>
        <v/>
      </c>
      <c r="I368" s="13">
        <v>3215</v>
      </c>
      <c r="J368" s="13">
        <v>0</v>
      </c>
      <c r="K368" s="13">
        <v>0</v>
      </c>
      <c r="L368" s="13">
        <v>0</v>
      </c>
      <c r="M368" s="13">
        <v>3215</v>
      </c>
      <c r="N368" s="14">
        <v>33</v>
      </c>
      <c r="O368" s="14">
        <v>0</v>
      </c>
      <c r="P368" s="14">
        <v>0</v>
      </c>
      <c r="Q368" s="14">
        <v>0</v>
      </c>
      <c r="R368" s="14">
        <v>33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8">
        <v>200</v>
      </c>
      <c r="AI368" s="18">
        <v>0</v>
      </c>
      <c r="AJ368" s="18">
        <v>0</v>
      </c>
      <c r="AK368" s="18">
        <v>0</v>
      </c>
      <c r="AL368" s="18">
        <v>200</v>
      </c>
      <c r="AM368" s="19" t="s">
        <v>24</v>
      </c>
    </row>
    <row r="369" spans="1:39" x14ac:dyDescent="0.25">
      <c r="A369" s="10">
        <v>2016</v>
      </c>
      <c r="B369" s="11">
        <v>19396</v>
      </c>
      <c r="C369" s="12" t="s">
        <v>401</v>
      </c>
      <c r="D369" s="12" t="s">
        <v>122</v>
      </c>
      <c r="E369" s="22">
        <f t="shared" si="21"/>
        <v>20239.043824701195</v>
      </c>
      <c r="F369" s="22" t="str">
        <f t="shared" si="22"/>
        <v/>
      </c>
      <c r="G369" s="22" t="str">
        <f t="shared" si="23"/>
        <v/>
      </c>
      <c r="H369" s="22" t="str">
        <f t="shared" si="24"/>
        <v/>
      </c>
      <c r="I369" s="13">
        <v>5964</v>
      </c>
      <c r="J369" s="13">
        <v>0</v>
      </c>
      <c r="K369" s="13">
        <v>0</v>
      </c>
      <c r="L369" s="13">
        <v>0</v>
      </c>
      <c r="M369" s="13">
        <v>5964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5">
        <v>25.1</v>
      </c>
      <c r="T369" s="15">
        <v>0</v>
      </c>
      <c r="U369" s="15">
        <v>0</v>
      </c>
      <c r="V369" s="15">
        <v>0</v>
      </c>
      <c r="W369" s="15">
        <v>25.1</v>
      </c>
      <c r="X369" s="16">
        <v>22</v>
      </c>
      <c r="Y369" s="16">
        <v>0</v>
      </c>
      <c r="Z369" s="16">
        <v>0</v>
      </c>
      <c r="AA369" s="16">
        <v>0</v>
      </c>
      <c r="AB369" s="16">
        <v>22</v>
      </c>
      <c r="AC369" s="17">
        <v>489</v>
      </c>
      <c r="AD369" s="17">
        <v>0</v>
      </c>
      <c r="AE369" s="17">
        <v>0</v>
      </c>
      <c r="AF369" s="17">
        <v>0</v>
      </c>
      <c r="AG369" s="17">
        <v>489</v>
      </c>
      <c r="AH369" s="18">
        <v>19</v>
      </c>
      <c r="AI369" s="18">
        <v>0</v>
      </c>
      <c r="AJ369" s="18">
        <v>0</v>
      </c>
      <c r="AK369" s="18">
        <v>0</v>
      </c>
      <c r="AL369" s="18">
        <v>19</v>
      </c>
      <c r="AM369" s="19">
        <v>98</v>
      </c>
    </row>
    <row r="370" spans="1:39" x14ac:dyDescent="0.25">
      <c r="A370" s="10">
        <v>2016</v>
      </c>
      <c r="B370" s="11">
        <v>19446</v>
      </c>
      <c r="C370" s="12" t="s">
        <v>404</v>
      </c>
      <c r="D370" s="12" t="s">
        <v>148</v>
      </c>
      <c r="E370" s="22">
        <f t="shared" si="21"/>
        <v>53445.378151260506</v>
      </c>
      <c r="F370" s="22">
        <f t="shared" si="22"/>
        <v>100000</v>
      </c>
      <c r="G370" s="22">
        <f t="shared" si="23"/>
        <v>0</v>
      </c>
      <c r="H370" s="22" t="str">
        <f t="shared" si="24"/>
        <v/>
      </c>
      <c r="I370" s="13">
        <v>11121</v>
      </c>
      <c r="J370" s="13">
        <v>8</v>
      </c>
      <c r="K370" s="13">
        <v>6</v>
      </c>
      <c r="L370" s="13">
        <v>0</v>
      </c>
      <c r="M370" s="13">
        <v>11135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5">
        <v>11.9</v>
      </c>
      <c r="T370" s="15">
        <v>6.3</v>
      </c>
      <c r="U370" s="15">
        <v>10.6</v>
      </c>
      <c r="V370" s="15">
        <v>0</v>
      </c>
      <c r="W370" s="15">
        <v>28.8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7">
        <v>96</v>
      </c>
      <c r="AD370" s="17">
        <v>437</v>
      </c>
      <c r="AE370" s="17">
        <v>0</v>
      </c>
      <c r="AF370" s="17">
        <v>0</v>
      </c>
      <c r="AG370" s="17">
        <v>533</v>
      </c>
      <c r="AH370" s="18">
        <v>540</v>
      </c>
      <c r="AI370" s="18">
        <v>193</v>
      </c>
      <c r="AJ370" s="18">
        <v>0</v>
      </c>
      <c r="AK370" s="18">
        <v>0</v>
      </c>
      <c r="AL370" s="18">
        <v>733</v>
      </c>
      <c r="AM370" s="19" t="s">
        <v>24</v>
      </c>
    </row>
    <row r="371" spans="1:39" x14ac:dyDescent="0.25">
      <c r="A371" s="10">
        <v>2016</v>
      </c>
      <c r="B371" s="11">
        <v>19490</v>
      </c>
      <c r="C371" s="12" t="s">
        <v>405</v>
      </c>
      <c r="D371" s="12" t="s">
        <v>56</v>
      </c>
      <c r="E371" s="22">
        <f t="shared" si="21"/>
        <v>15294.117647058823</v>
      </c>
      <c r="F371" s="22">
        <f t="shared" si="22"/>
        <v>0</v>
      </c>
      <c r="G371" s="22" t="str">
        <f t="shared" si="23"/>
        <v/>
      </c>
      <c r="H371" s="22" t="str">
        <f t="shared" si="24"/>
        <v/>
      </c>
      <c r="I371" s="13">
        <v>27291</v>
      </c>
      <c r="J371" s="13">
        <v>5038</v>
      </c>
      <c r="K371" s="13">
        <v>0</v>
      </c>
      <c r="L371" s="13">
        <v>0</v>
      </c>
      <c r="M371" s="13">
        <v>32329</v>
      </c>
      <c r="N371" s="14">
        <v>23</v>
      </c>
      <c r="O371" s="14">
        <v>21</v>
      </c>
      <c r="P371" s="14">
        <v>0</v>
      </c>
      <c r="Q371" s="14">
        <v>0</v>
      </c>
      <c r="R371" s="14">
        <v>44</v>
      </c>
      <c r="S371" s="15">
        <v>1.7</v>
      </c>
      <c r="T371" s="15">
        <v>1.5</v>
      </c>
      <c r="U371" s="15">
        <v>0</v>
      </c>
      <c r="V371" s="15">
        <v>0</v>
      </c>
      <c r="W371" s="15">
        <v>3.2</v>
      </c>
      <c r="X371" s="16">
        <v>1.7</v>
      </c>
      <c r="Y371" s="16">
        <v>1.5</v>
      </c>
      <c r="Z371" s="16">
        <v>0</v>
      </c>
      <c r="AA371" s="16">
        <v>0</v>
      </c>
      <c r="AB371" s="16">
        <v>3.2</v>
      </c>
      <c r="AC371" s="17">
        <v>26</v>
      </c>
      <c r="AD371" s="17">
        <v>0</v>
      </c>
      <c r="AE371" s="17">
        <v>0</v>
      </c>
      <c r="AF371" s="17">
        <v>0</v>
      </c>
      <c r="AG371" s="17">
        <v>26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9" t="s">
        <v>24</v>
      </c>
    </row>
    <row r="372" spans="1:39" x14ac:dyDescent="0.25">
      <c r="A372" s="10">
        <v>2016</v>
      </c>
      <c r="B372" s="11">
        <v>19499</v>
      </c>
      <c r="C372" s="12" t="s">
        <v>406</v>
      </c>
      <c r="D372" s="12" t="s">
        <v>110</v>
      </c>
      <c r="E372" s="22">
        <f t="shared" si="21"/>
        <v>176119.40298507462</v>
      </c>
      <c r="F372" s="22">
        <f t="shared" si="22"/>
        <v>70000</v>
      </c>
      <c r="G372" s="22" t="str">
        <f t="shared" si="23"/>
        <v/>
      </c>
      <c r="H372" s="22" t="str">
        <f t="shared" si="24"/>
        <v/>
      </c>
      <c r="I372" s="13">
        <v>6200</v>
      </c>
      <c r="J372" s="13">
        <v>100</v>
      </c>
      <c r="K372" s="13">
        <v>0</v>
      </c>
      <c r="L372" s="13">
        <v>0</v>
      </c>
      <c r="M372" s="13">
        <v>6300</v>
      </c>
      <c r="N372" s="14">
        <v>1</v>
      </c>
      <c r="O372" s="14">
        <v>1</v>
      </c>
      <c r="P372" s="14">
        <v>0</v>
      </c>
      <c r="Q372" s="14">
        <v>0</v>
      </c>
      <c r="R372" s="14">
        <v>2</v>
      </c>
      <c r="S372" s="15">
        <v>6.7</v>
      </c>
      <c r="T372" s="15">
        <v>0.5</v>
      </c>
      <c r="U372" s="15">
        <v>0</v>
      </c>
      <c r="V372" s="15">
        <v>0</v>
      </c>
      <c r="W372" s="15">
        <v>7.2</v>
      </c>
      <c r="X372" s="16">
        <v>6.7</v>
      </c>
      <c r="Y372" s="16">
        <v>0.5</v>
      </c>
      <c r="Z372" s="16">
        <v>0</v>
      </c>
      <c r="AA372" s="16">
        <v>0</v>
      </c>
      <c r="AB372" s="16">
        <v>7.2</v>
      </c>
      <c r="AC372" s="17">
        <v>180</v>
      </c>
      <c r="AD372" s="17">
        <v>25</v>
      </c>
      <c r="AE372" s="17">
        <v>0</v>
      </c>
      <c r="AF372" s="17">
        <v>0</v>
      </c>
      <c r="AG372" s="17">
        <v>205</v>
      </c>
      <c r="AH372" s="18">
        <v>1000</v>
      </c>
      <c r="AI372" s="18">
        <v>10</v>
      </c>
      <c r="AJ372" s="18">
        <v>0</v>
      </c>
      <c r="AK372" s="18">
        <v>0</v>
      </c>
      <c r="AL372" s="18">
        <v>1010</v>
      </c>
      <c r="AM372" s="19" t="s">
        <v>24</v>
      </c>
    </row>
    <row r="373" spans="1:39" x14ac:dyDescent="0.25">
      <c r="A373" s="10">
        <v>2016</v>
      </c>
      <c r="B373" s="11">
        <v>19547</v>
      </c>
      <c r="C373" s="12" t="s">
        <v>407</v>
      </c>
      <c r="D373" s="12" t="s">
        <v>243</v>
      </c>
      <c r="E373" s="22">
        <f t="shared" si="21"/>
        <v>142905.40540540538</v>
      </c>
      <c r="F373" s="22">
        <f t="shared" si="22"/>
        <v>173945.94594594595</v>
      </c>
      <c r="G373" s="22" t="str">
        <f t="shared" si="23"/>
        <v/>
      </c>
      <c r="H373" s="22" t="str">
        <f t="shared" si="24"/>
        <v/>
      </c>
      <c r="I373" s="13">
        <v>35925</v>
      </c>
      <c r="J373" s="13">
        <v>231</v>
      </c>
      <c r="K373" s="13">
        <v>0</v>
      </c>
      <c r="L373" s="13">
        <v>0</v>
      </c>
      <c r="M373" s="13">
        <v>36156</v>
      </c>
      <c r="N373" s="14">
        <v>348</v>
      </c>
      <c r="O373" s="14">
        <v>241</v>
      </c>
      <c r="P373" s="14">
        <v>0</v>
      </c>
      <c r="Q373" s="14">
        <v>0</v>
      </c>
      <c r="R373" s="14">
        <v>589</v>
      </c>
      <c r="S373" s="15">
        <v>14.8</v>
      </c>
      <c r="T373" s="15">
        <v>18.5</v>
      </c>
      <c r="U373" s="15">
        <v>0</v>
      </c>
      <c r="V373" s="15">
        <v>0</v>
      </c>
      <c r="W373" s="15">
        <v>33.299999999999997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7">
        <v>1382</v>
      </c>
      <c r="AD373" s="17">
        <v>2609</v>
      </c>
      <c r="AE373" s="17">
        <v>0</v>
      </c>
      <c r="AF373" s="17">
        <v>0</v>
      </c>
      <c r="AG373" s="17">
        <v>3991</v>
      </c>
      <c r="AH373" s="18">
        <v>733</v>
      </c>
      <c r="AI373" s="18">
        <v>609</v>
      </c>
      <c r="AJ373" s="18">
        <v>0</v>
      </c>
      <c r="AK373" s="18">
        <v>0</v>
      </c>
      <c r="AL373" s="18">
        <v>1342</v>
      </c>
      <c r="AM373" s="19">
        <v>360</v>
      </c>
    </row>
    <row r="374" spans="1:39" x14ac:dyDescent="0.25">
      <c r="A374" s="10">
        <v>2016</v>
      </c>
      <c r="B374" s="11">
        <v>19687</v>
      </c>
      <c r="C374" s="12" t="s">
        <v>408</v>
      </c>
      <c r="D374" s="12" t="s">
        <v>79</v>
      </c>
      <c r="E374" s="22">
        <f t="shared" si="21"/>
        <v>19500</v>
      </c>
      <c r="F374" s="22">
        <f t="shared" si="22"/>
        <v>32000</v>
      </c>
      <c r="G374" s="22" t="str">
        <f t="shared" si="23"/>
        <v/>
      </c>
      <c r="H374" s="22" t="str">
        <f t="shared" si="24"/>
        <v/>
      </c>
      <c r="I374" s="13">
        <v>312</v>
      </c>
      <c r="J374" s="13">
        <v>102</v>
      </c>
      <c r="K374" s="13">
        <v>0</v>
      </c>
      <c r="L374" s="13">
        <v>0</v>
      </c>
      <c r="M374" s="13">
        <v>414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5">
        <v>4</v>
      </c>
      <c r="T374" s="15">
        <v>3</v>
      </c>
      <c r="U374" s="15">
        <v>0</v>
      </c>
      <c r="V374" s="15">
        <v>0</v>
      </c>
      <c r="W374" s="15">
        <v>7</v>
      </c>
      <c r="X374" s="16">
        <v>3</v>
      </c>
      <c r="Y374" s="16">
        <v>2</v>
      </c>
      <c r="Z374" s="16">
        <v>0</v>
      </c>
      <c r="AA374" s="16">
        <v>0</v>
      </c>
      <c r="AB374" s="16">
        <v>5</v>
      </c>
      <c r="AC374" s="17">
        <v>61</v>
      </c>
      <c r="AD374" s="17">
        <v>96</v>
      </c>
      <c r="AE374" s="17">
        <v>0</v>
      </c>
      <c r="AF374" s="17">
        <v>0</v>
      </c>
      <c r="AG374" s="17">
        <v>157</v>
      </c>
      <c r="AH374" s="18">
        <v>17</v>
      </c>
      <c r="AI374" s="18">
        <v>0</v>
      </c>
      <c r="AJ374" s="18">
        <v>0</v>
      </c>
      <c r="AK374" s="18">
        <v>0</v>
      </c>
      <c r="AL374" s="18">
        <v>17</v>
      </c>
      <c r="AM374" s="19" t="s">
        <v>24</v>
      </c>
    </row>
    <row r="375" spans="1:39" x14ac:dyDescent="0.25">
      <c r="A375" s="10">
        <v>2016</v>
      </c>
      <c r="B375" s="11">
        <v>19728</v>
      </c>
      <c r="C375" s="12" t="s">
        <v>409</v>
      </c>
      <c r="D375" s="12" t="s">
        <v>46</v>
      </c>
      <c r="E375" s="22" t="str">
        <f t="shared" si="21"/>
        <v/>
      </c>
      <c r="F375" s="22">
        <f t="shared" si="22"/>
        <v>21807.22891566265</v>
      </c>
      <c r="G375" s="22" t="str">
        <f t="shared" si="23"/>
        <v/>
      </c>
      <c r="H375" s="22" t="str">
        <f t="shared" si="24"/>
        <v/>
      </c>
      <c r="I375" s="13">
        <v>0</v>
      </c>
      <c r="J375" s="13">
        <v>53</v>
      </c>
      <c r="K375" s="13">
        <v>0</v>
      </c>
      <c r="L375" s="13">
        <v>0</v>
      </c>
      <c r="M375" s="13">
        <v>53</v>
      </c>
      <c r="N375" s="14">
        <v>0</v>
      </c>
      <c r="O375" s="14">
        <v>3601</v>
      </c>
      <c r="P375" s="14">
        <v>0</v>
      </c>
      <c r="Q375" s="14">
        <v>0</v>
      </c>
      <c r="R375" s="14">
        <v>3601</v>
      </c>
      <c r="S375" s="15">
        <v>0</v>
      </c>
      <c r="T375" s="15">
        <v>8.3000000000000007</v>
      </c>
      <c r="U375" s="15">
        <v>0</v>
      </c>
      <c r="V375" s="15">
        <v>0</v>
      </c>
      <c r="W375" s="15">
        <v>8.3000000000000007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8">
        <v>0</v>
      </c>
      <c r="AI375" s="18">
        <v>181</v>
      </c>
      <c r="AJ375" s="18">
        <v>0</v>
      </c>
      <c r="AK375" s="18">
        <v>0</v>
      </c>
      <c r="AL375" s="18">
        <v>181</v>
      </c>
      <c r="AM375" s="19" t="s">
        <v>24</v>
      </c>
    </row>
    <row r="376" spans="1:39" x14ac:dyDescent="0.25">
      <c r="A376" s="10">
        <v>2016</v>
      </c>
      <c r="B376" s="11">
        <v>19788</v>
      </c>
      <c r="C376" s="12" t="s">
        <v>410</v>
      </c>
      <c r="D376" s="12" t="s">
        <v>66</v>
      </c>
      <c r="E376" s="22">
        <f t="shared" si="21"/>
        <v>235.29411764705881</v>
      </c>
      <c r="F376" s="22" t="str">
        <f t="shared" si="22"/>
        <v/>
      </c>
      <c r="G376" s="22" t="str">
        <f t="shared" si="23"/>
        <v/>
      </c>
      <c r="H376" s="22" t="str">
        <f t="shared" si="24"/>
        <v/>
      </c>
      <c r="I376" s="13">
        <v>3655</v>
      </c>
      <c r="J376" s="13">
        <v>0</v>
      </c>
      <c r="K376" s="13">
        <v>0</v>
      </c>
      <c r="L376" s="13">
        <v>0</v>
      </c>
      <c r="M376" s="13">
        <v>3655</v>
      </c>
      <c r="N376" s="14">
        <v>33</v>
      </c>
      <c r="O376" s="14">
        <v>0</v>
      </c>
      <c r="P376" s="14">
        <v>0</v>
      </c>
      <c r="Q376" s="14">
        <v>0</v>
      </c>
      <c r="R376" s="14">
        <v>33</v>
      </c>
      <c r="S376" s="15">
        <v>17</v>
      </c>
      <c r="T376" s="15">
        <v>0</v>
      </c>
      <c r="U376" s="15">
        <v>0</v>
      </c>
      <c r="V376" s="15">
        <v>0</v>
      </c>
      <c r="W376" s="15">
        <v>17</v>
      </c>
      <c r="X376" s="16">
        <v>4</v>
      </c>
      <c r="Y376" s="16">
        <v>0</v>
      </c>
      <c r="Z376" s="16">
        <v>0</v>
      </c>
      <c r="AA376" s="16">
        <v>0</v>
      </c>
      <c r="AB376" s="16">
        <v>4</v>
      </c>
      <c r="AC376" s="17">
        <v>4</v>
      </c>
      <c r="AD376" s="17">
        <v>0</v>
      </c>
      <c r="AE376" s="17">
        <v>0</v>
      </c>
      <c r="AF376" s="17">
        <v>0</v>
      </c>
      <c r="AG376" s="17">
        <v>4</v>
      </c>
      <c r="AH376" s="18">
        <v>0</v>
      </c>
      <c r="AI376" s="18">
        <v>0</v>
      </c>
      <c r="AJ376" s="18">
        <v>0</v>
      </c>
      <c r="AK376" s="18">
        <v>0</v>
      </c>
      <c r="AL376" s="18">
        <v>0</v>
      </c>
      <c r="AM376" s="19" t="s">
        <v>24</v>
      </c>
    </row>
    <row r="377" spans="1:39" x14ac:dyDescent="0.25">
      <c r="A377" s="10">
        <v>2016</v>
      </c>
      <c r="B377" s="11">
        <v>19790</v>
      </c>
      <c r="C377" s="12" t="s">
        <v>411</v>
      </c>
      <c r="D377" s="12" t="s">
        <v>79</v>
      </c>
      <c r="E377" s="22">
        <f t="shared" si="21"/>
        <v>15476.190476190475</v>
      </c>
      <c r="F377" s="22">
        <f t="shared" si="22"/>
        <v>14000</v>
      </c>
      <c r="G377" s="22" t="str">
        <f t="shared" si="23"/>
        <v/>
      </c>
      <c r="H377" s="22" t="str">
        <f t="shared" si="24"/>
        <v/>
      </c>
      <c r="I377" s="13">
        <v>3243</v>
      </c>
      <c r="J377" s="13">
        <v>360</v>
      </c>
      <c r="K377" s="13">
        <v>0</v>
      </c>
      <c r="L377" s="13">
        <v>0</v>
      </c>
      <c r="M377" s="13">
        <v>3603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5">
        <v>8.4</v>
      </c>
      <c r="T377" s="15">
        <v>1</v>
      </c>
      <c r="U377" s="15">
        <v>0</v>
      </c>
      <c r="V377" s="15">
        <v>0</v>
      </c>
      <c r="W377" s="15">
        <v>9.4</v>
      </c>
      <c r="X377" s="16">
        <v>5.8</v>
      </c>
      <c r="Y377" s="16">
        <v>0.6</v>
      </c>
      <c r="Z377" s="16">
        <v>0</v>
      </c>
      <c r="AA377" s="16">
        <v>0</v>
      </c>
      <c r="AB377" s="16">
        <v>6.4</v>
      </c>
      <c r="AC377" s="17">
        <v>101</v>
      </c>
      <c r="AD377" s="17">
        <v>11</v>
      </c>
      <c r="AE377" s="17">
        <v>0</v>
      </c>
      <c r="AF377" s="17">
        <v>0</v>
      </c>
      <c r="AG377" s="17">
        <v>112</v>
      </c>
      <c r="AH377" s="18">
        <v>29</v>
      </c>
      <c r="AI377" s="18">
        <v>3</v>
      </c>
      <c r="AJ377" s="18">
        <v>0</v>
      </c>
      <c r="AK377" s="18">
        <v>0</v>
      </c>
      <c r="AL377" s="18">
        <v>32</v>
      </c>
      <c r="AM377" s="19" t="s">
        <v>24</v>
      </c>
    </row>
    <row r="378" spans="1:39" x14ac:dyDescent="0.25">
      <c r="A378" s="10">
        <v>2016</v>
      </c>
      <c r="B378" s="11">
        <v>19813</v>
      </c>
      <c r="C378" s="12" t="s">
        <v>412</v>
      </c>
      <c r="D378" s="12" t="s">
        <v>29</v>
      </c>
      <c r="E378" s="22">
        <f t="shared" si="21"/>
        <v>36271.186440677964</v>
      </c>
      <c r="F378" s="22">
        <f t="shared" si="22"/>
        <v>36451.612903225803</v>
      </c>
      <c r="G378" s="22" t="str">
        <f t="shared" si="23"/>
        <v/>
      </c>
      <c r="H378" s="22" t="str">
        <f t="shared" si="24"/>
        <v/>
      </c>
      <c r="I378" s="13">
        <v>3631</v>
      </c>
      <c r="J378" s="13">
        <v>201</v>
      </c>
      <c r="K378" s="13">
        <v>0</v>
      </c>
      <c r="L378" s="13">
        <v>0</v>
      </c>
      <c r="M378" s="13">
        <v>3832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5">
        <v>5.9</v>
      </c>
      <c r="T378" s="15">
        <v>3.1</v>
      </c>
      <c r="U378" s="15">
        <v>0</v>
      </c>
      <c r="V378" s="15">
        <v>0</v>
      </c>
      <c r="W378" s="15">
        <v>9</v>
      </c>
      <c r="X378" s="16">
        <v>1.9</v>
      </c>
      <c r="Y378" s="16">
        <v>1</v>
      </c>
      <c r="Z378" s="16">
        <v>0</v>
      </c>
      <c r="AA378" s="16">
        <v>0</v>
      </c>
      <c r="AB378" s="16">
        <v>2.9</v>
      </c>
      <c r="AC378" s="17">
        <v>193</v>
      </c>
      <c r="AD378" s="17">
        <v>102</v>
      </c>
      <c r="AE378" s="17">
        <v>0</v>
      </c>
      <c r="AF378" s="17">
        <v>0</v>
      </c>
      <c r="AG378" s="17">
        <v>295</v>
      </c>
      <c r="AH378" s="18">
        <v>21</v>
      </c>
      <c r="AI378" s="18">
        <v>11</v>
      </c>
      <c r="AJ378" s="18">
        <v>0</v>
      </c>
      <c r="AK378" s="18">
        <v>0</v>
      </c>
      <c r="AL378" s="18">
        <v>32</v>
      </c>
      <c r="AM378" s="19">
        <v>0</v>
      </c>
    </row>
    <row r="379" spans="1:39" x14ac:dyDescent="0.25">
      <c r="A379" s="10">
        <v>2016</v>
      </c>
      <c r="B379" s="11">
        <v>19820</v>
      </c>
      <c r="C379" s="12" t="s">
        <v>413</v>
      </c>
      <c r="D379" s="12" t="s">
        <v>74</v>
      </c>
      <c r="E379" s="22" t="str">
        <f t="shared" si="21"/>
        <v/>
      </c>
      <c r="F379" s="22" t="str">
        <f t="shared" si="22"/>
        <v/>
      </c>
      <c r="G379" s="22">
        <f t="shared" si="23"/>
        <v>37000</v>
      </c>
      <c r="H379" s="22" t="str">
        <f t="shared" si="24"/>
        <v/>
      </c>
      <c r="I379" s="13">
        <v>0</v>
      </c>
      <c r="J379" s="13">
        <v>0</v>
      </c>
      <c r="K379" s="13">
        <v>117</v>
      </c>
      <c r="L379" s="13">
        <v>0</v>
      </c>
      <c r="M379" s="13">
        <v>117</v>
      </c>
      <c r="N379" s="14">
        <v>0</v>
      </c>
      <c r="O379" s="14">
        <v>0</v>
      </c>
      <c r="P379" s="14">
        <v>5</v>
      </c>
      <c r="Q379" s="14">
        <v>0</v>
      </c>
      <c r="R379" s="14">
        <v>5</v>
      </c>
      <c r="S379" s="15">
        <v>0</v>
      </c>
      <c r="T379" s="15">
        <v>0</v>
      </c>
      <c r="U379" s="15">
        <v>9</v>
      </c>
      <c r="V379" s="15">
        <v>0</v>
      </c>
      <c r="W379" s="15">
        <v>9</v>
      </c>
      <c r="X379" s="16">
        <v>0</v>
      </c>
      <c r="Y379" s="16">
        <v>0</v>
      </c>
      <c r="Z379" s="16">
        <v>9</v>
      </c>
      <c r="AA379" s="16">
        <v>0</v>
      </c>
      <c r="AB379" s="16">
        <v>9</v>
      </c>
      <c r="AC379" s="17">
        <v>0</v>
      </c>
      <c r="AD379" s="17">
        <v>0</v>
      </c>
      <c r="AE379" s="17">
        <v>325</v>
      </c>
      <c r="AF379" s="17">
        <v>0</v>
      </c>
      <c r="AG379" s="17">
        <v>325</v>
      </c>
      <c r="AH379" s="18">
        <v>0</v>
      </c>
      <c r="AI379" s="18">
        <v>0</v>
      </c>
      <c r="AJ379" s="18">
        <v>8</v>
      </c>
      <c r="AK379" s="18">
        <v>0</v>
      </c>
      <c r="AL379" s="18">
        <v>8</v>
      </c>
      <c r="AM379" s="19" t="s">
        <v>24</v>
      </c>
    </row>
    <row r="380" spans="1:39" x14ac:dyDescent="0.25">
      <c r="A380" s="10">
        <v>2016</v>
      </c>
      <c r="B380" s="11">
        <v>19876</v>
      </c>
      <c r="C380" s="12" t="s">
        <v>414</v>
      </c>
      <c r="D380" s="12" t="s">
        <v>81</v>
      </c>
      <c r="E380" s="22">
        <f t="shared" si="21"/>
        <v>46666.666666666664</v>
      </c>
      <c r="F380" s="22" t="str">
        <f t="shared" si="22"/>
        <v/>
      </c>
      <c r="G380" s="22" t="str">
        <f t="shared" si="23"/>
        <v/>
      </c>
      <c r="H380" s="22" t="str">
        <f t="shared" si="24"/>
        <v/>
      </c>
      <c r="I380" s="13">
        <v>3720</v>
      </c>
      <c r="J380" s="13">
        <v>0</v>
      </c>
      <c r="K380" s="13">
        <v>0</v>
      </c>
      <c r="L380" s="13">
        <v>0</v>
      </c>
      <c r="M380" s="13">
        <v>3720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5">
        <v>6</v>
      </c>
      <c r="T380" s="15">
        <v>0</v>
      </c>
      <c r="U380" s="15">
        <v>0</v>
      </c>
      <c r="V380" s="15">
        <v>0</v>
      </c>
      <c r="W380" s="15">
        <v>6</v>
      </c>
      <c r="X380" s="16">
        <v>4</v>
      </c>
      <c r="Y380" s="16">
        <v>0</v>
      </c>
      <c r="Z380" s="16">
        <v>0</v>
      </c>
      <c r="AA380" s="16">
        <v>0</v>
      </c>
      <c r="AB380" s="16">
        <v>4</v>
      </c>
      <c r="AC380" s="17">
        <v>143</v>
      </c>
      <c r="AD380" s="17">
        <v>0</v>
      </c>
      <c r="AE380" s="17">
        <v>0</v>
      </c>
      <c r="AF380" s="17">
        <v>0</v>
      </c>
      <c r="AG380" s="17">
        <v>143</v>
      </c>
      <c r="AH380" s="18">
        <v>137</v>
      </c>
      <c r="AI380" s="18">
        <v>0</v>
      </c>
      <c r="AJ380" s="18">
        <v>0</v>
      </c>
      <c r="AK380" s="18">
        <v>0</v>
      </c>
      <c r="AL380" s="18">
        <v>137</v>
      </c>
      <c r="AM380" s="19">
        <v>0</v>
      </c>
    </row>
    <row r="381" spans="1:39" x14ac:dyDescent="0.25">
      <c r="A381" s="10">
        <v>2016</v>
      </c>
      <c r="B381" s="11">
        <v>19876</v>
      </c>
      <c r="C381" s="12" t="s">
        <v>414</v>
      </c>
      <c r="D381" s="12" t="s">
        <v>25</v>
      </c>
      <c r="E381" s="22">
        <f t="shared" si="21"/>
        <v>66979.020979020977</v>
      </c>
      <c r="F381" s="22">
        <f t="shared" si="22"/>
        <v>95500</v>
      </c>
      <c r="G381" s="22" t="str">
        <f t="shared" si="23"/>
        <v/>
      </c>
      <c r="H381" s="22" t="str">
        <f t="shared" si="24"/>
        <v/>
      </c>
      <c r="I381" s="13">
        <v>98088</v>
      </c>
      <c r="J381" s="13">
        <v>7</v>
      </c>
      <c r="K381" s="13">
        <v>0</v>
      </c>
      <c r="L381" s="13">
        <v>0</v>
      </c>
      <c r="M381" s="13">
        <v>98095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5">
        <v>143</v>
      </c>
      <c r="T381" s="15">
        <v>6</v>
      </c>
      <c r="U381" s="15">
        <v>0</v>
      </c>
      <c r="V381" s="15">
        <v>0</v>
      </c>
      <c r="W381" s="15">
        <v>149</v>
      </c>
      <c r="X381" s="16">
        <v>95</v>
      </c>
      <c r="Y381" s="16">
        <v>4.3</v>
      </c>
      <c r="Z381" s="16">
        <v>0</v>
      </c>
      <c r="AA381" s="16">
        <v>0</v>
      </c>
      <c r="AB381" s="16">
        <v>99.3</v>
      </c>
      <c r="AC381" s="17">
        <v>3862</v>
      </c>
      <c r="AD381" s="17">
        <v>424</v>
      </c>
      <c r="AE381" s="17">
        <v>0</v>
      </c>
      <c r="AF381" s="17">
        <v>0</v>
      </c>
      <c r="AG381" s="17">
        <v>4286</v>
      </c>
      <c r="AH381" s="18">
        <v>5716</v>
      </c>
      <c r="AI381" s="18">
        <v>149</v>
      </c>
      <c r="AJ381" s="18">
        <v>0</v>
      </c>
      <c r="AK381" s="18">
        <v>0</v>
      </c>
      <c r="AL381" s="18">
        <v>5865</v>
      </c>
      <c r="AM381" s="19">
        <v>0</v>
      </c>
    </row>
    <row r="382" spans="1:39" x14ac:dyDescent="0.25">
      <c r="A382" s="10">
        <v>2016</v>
      </c>
      <c r="B382" s="11">
        <v>19947</v>
      </c>
      <c r="C382" s="12" t="s">
        <v>415</v>
      </c>
      <c r="D382" s="12" t="s">
        <v>36</v>
      </c>
      <c r="E382" s="22">
        <f t="shared" si="21"/>
        <v>30892.857142857145</v>
      </c>
      <c r="F382" s="22">
        <f t="shared" si="22"/>
        <v>83333.333333333343</v>
      </c>
      <c r="G382" s="22">
        <f t="shared" si="23"/>
        <v>16250</v>
      </c>
      <c r="H382" s="22" t="str">
        <f t="shared" si="24"/>
        <v/>
      </c>
      <c r="I382" s="13">
        <v>543</v>
      </c>
      <c r="J382" s="13">
        <v>42</v>
      </c>
      <c r="K382" s="13">
        <v>26</v>
      </c>
      <c r="L382" s="13">
        <v>0</v>
      </c>
      <c r="M382" s="13">
        <v>611</v>
      </c>
      <c r="N382" s="14">
        <v>290</v>
      </c>
      <c r="O382" s="14">
        <v>30</v>
      </c>
      <c r="P382" s="14">
        <v>57</v>
      </c>
      <c r="Q382" s="14">
        <v>0</v>
      </c>
      <c r="R382" s="14">
        <v>377</v>
      </c>
      <c r="S382" s="15">
        <v>5.6</v>
      </c>
      <c r="T382" s="15">
        <v>0.6</v>
      </c>
      <c r="U382" s="15">
        <v>0.8</v>
      </c>
      <c r="V382" s="15">
        <v>0</v>
      </c>
      <c r="W382" s="15">
        <v>7</v>
      </c>
      <c r="X382" s="16">
        <v>3.1</v>
      </c>
      <c r="Y382" s="16">
        <v>0.3</v>
      </c>
      <c r="Z382" s="16">
        <v>0.4</v>
      </c>
      <c r="AA382" s="16">
        <v>0</v>
      </c>
      <c r="AB382" s="16">
        <v>3.8</v>
      </c>
      <c r="AC382" s="17">
        <v>159</v>
      </c>
      <c r="AD382" s="17">
        <v>49</v>
      </c>
      <c r="AE382" s="17">
        <v>12</v>
      </c>
      <c r="AF382" s="17">
        <v>0</v>
      </c>
      <c r="AG382" s="17">
        <v>220</v>
      </c>
      <c r="AH382" s="18">
        <v>14</v>
      </c>
      <c r="AI382" s="18">
        <v>1</v>
      </c>
      <c r="AJ382" s="18">
        <v>1</v>
      </c>
      <c r="AK382" s="18">
        <v>0</v>
      </c>
      <c r="AL382" s="18">
        <v>16</v>
      </c>
      <c r="AM382" s="19">
        <v>0</v>
      </c>
    </row>
    <row r="383" spans="1:39" x14ac:dyDescent="0.25">
      <c r="A383" s="10">
        <v>2016</v>
      </c>
      <c r="B383" s="11">
        <v>19951</v>
      </c>
      <c r="C383" s="12" t="s">
        <v>416</v>
      </c>
      <c r="D383" s="12" t="s">
        <v>102</v>
      </c>
      <c r="E383" s="22">
        <f t="shared" si="21"/>
        <v>42000</v>
      </c>
      <c r="F383" s="22" t="str">
        <f t="shared" si="22"/>
        <v/>
      </c>
      <c r="G383" s="22" t="str">
        <f t="shared" si="23"/>
        <v/>
      </c>
      <c r="H383" s="22" t="str">
        <f t="shared" si="24"/>
        <v/>
      </c>
      <c r="I383" s="13">
        <v>1044</v>
      </c>
      <c r="J383" s="13">
        <v>2</v>
      </c>
      <c r="K383" s="13">
        <v>0</v>
      </c>
      <c r="L383" s="13">
        <v>0</v>
      </c>
      <c r="M383" s="13">
        <v>1046</v>
      </c>
      <c r="N383" s="14">
        <v>1</v>
      </c>
      <c r="O383" s="14">
        <v>0</v>
      </c>
      <c r="P383" s="14">
        <v>0</v>
      </c>
      <c r="Q383" s="14">
        <v>0</v>
      </c>
      <c r="R383" s="14">
        <v>1</v>
      </c>
      <c r="S383" s="15">
        <v>1</v>
      </c>
      <c r="T383" s="15">
        <v>0</v>
      </c>
      <c r="U383" s="15">
        <v>0</v>
      </c>
      <c r="V383" s="15">
        <v>0</v>
      </c>
      <c r="W383" s="15">
        <v>1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7">
        <v>42</v>
      </c>
      <c r="AD383" s="17">
        <v>0</v>
      </c>
      <c r="AE383" s="17">
        <v>0</v>
      </c>
      <c r="AF383" s="17">
        <v>0</v>
      </c>
      <c r="AG383" s="17">
        <v>42</v>
      </c>
      <c r="AH383" s="18">
        <v>0</v>
      </c>
      <c r="AI383" s="18">
        <v>0</v>
      </c>
      <c r="AJ383" s="18">
        <v>0</v>
      </c>
      <c r="AK383" s="18">
        <v>0</v>
      </c>
      <c r="AL383" s="18">
        <v>0</v>
      </c>
      <c r="AM383" s="19" t="s">
        <v>24</v>
      </c>
    </row>
    <row r="384" spans="1:39" x14ac:dyDescent="0.25">
      <c r="A384" s="10">
        <v>2016</v>
      </c>
      <c r="B384" s="11">
        <v>19968</v>
      </c>
      <c r="C384" s="12" t="s">
        <v>417</v>
      </c>
      <c r="D384" s="12" t="s">
        <v>72</v>
      </c>
      <c r="E384" s="22">
        <f t="shared" si="21"/>
        <v>5000</v>
      </c>
      <c r="F384" s="22">
        <f t="shared" si="22"/>
        <v>0</v>
      </c>
      <c r="G384" s="22" t="str">
        <f t="shared" si="23"/>
        <v/>
      </c>
      <c r="H384" s="22" t="str">
        <f t="shared" si="24"/>
        <v/>
      </c>
      <c r="I384" s="13">
        <v>1800</v>
      </c>
      <c r="J384" s="13">
        <v>13</v>
      </c>
      <c r="K384" s="13">
        <v>0</v>
      </c>
      <c r="L384" s="13">
        <v>0</v>
      </c>
      <c r="M384" s="13">
        <v>1813</v>
      </c>
      <c r="N384" s="14">
        <v>2</v>
      </c>
      <c r="O384" s="14">
        <v>1</v>
      </c>
      <c r="P384" s="14">
        <v>0</v>
      </c>
      <c r="Q384" s="14">
        <v>0</v>
      </c>
      <c r="R384" s="14">
        <v>3</v>
      </c>
      <c r="S384" s="15">
        <v>2</v>
      </c>
      <c r="T384" s="15">
        <v>1</v>
      </c>
      <c r="U384" s="15">
        <v>0</v>
      </c>
      <c r="V384" s="15">
        <v>0</v>
      </c>
      <c r="W384" s="15">
        <v>3</v>
      </c>
      <c r="X384" s="16">
        <v>2</v>
      </c>
      <c r="Y384" s="16">
        <v>1</v>
      </c>
      <c r="Z384" s="16">
        <v>0</v>
      </c>
      <c r="AA384" s="16">
        <v>0</v>
      </c>
      <c r="AB384" s="16">
        <v>3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8">
        <v>10</v>
      </c>
      <c r="AI384" s="18">
        <v>0</v>
      </c>
      <c r="AJ384" s="18">
        <v>0</v>
      </c>
      <c r="AK384" s="18">
        <v>0</v>
      </c>
      <c r="AL384" s="18">
        <v>10</v>
      </c>
      <c r="AM384" s="19" t="s">
        <v>24</v>
      </c>
    </row>
    <row r="385" spans="1:39" x14ac:dyDescent="0.25">
      <c r="A385" s="10">
        <v>2016</v>
      </c>
      <c r="B385" s="11">
        <v>19981</v>
      </c>
      <c r="C385" s="12" t="s">
        <v>418</v>
      </c>
      <c r="D385" s="12" t="s">
        <v>81</v>
      </c>
      <c r="E385" s="22" t="str">
        <f t="shared" si="21"/>
        <v/>
      </c>
      <c r="F385" s="22">
        <f t="shared" si="22"/>
        <v>0</v>
      </c>
      <c r="G385" s="22">
        <f t="shared" si="23"/>
        <v>0</v>
      </c>
      <c r="H385" s="22" t="str">
        <f t="shared" si="24"/>
        <v/>
      </c>
      <c r="I385" s="13">
        <v>0</v>
      </c>
      <c r="J385" s="13">
        <v>2</v>
      </c>
      <c r="K385" s="13">
        <v>1</v>
      </c>
      <c r="L385" s="13">
        <v>0</v>
      </c>
      <c r="M385" s="13">
        <v>3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5">
        <v>0</v>
      </c>
      <c r="T385" s="15">
        <v>2.2999999999999998</v>
      </c>
      <c r="U385" s="15">
        <v>7</v>
      </c>
      <c r="V385" s="15">
        <v>0</v>
      </c>
      <c r="W385" s="15">
        <v>9.3000000000000007</v>
      </c>
      <c r="X385" s="16">
        <v>0</v>
      </c>
      <c r="Y385" s="16">
        <v>0</v>
      </c>
      <c r="Z385" s="16">
        <v>7</v>
      </c>
      <c r="AA385" s="16">
        <v>0</v>
      </c>
      <c r="AB385" s="16">
        <v>7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8">
        <v>0</v>
      </c>
      <c r="AI385" s="18">
        <v>0</v>
      </c>
      <c r="AJ385" s="18">
        <v>0</v>
      </c>
      <c r="AK385" s="18">
        <v>0</v>
      </c>
      <c r="AL385" s="18">
        <v>0</v>
      </c>
      <c r="AM385" s="19" t="s">
        <v>24</v>
      </c>
    </row>
    <row r="386" spans="1:39" x14ac:dyDescent="0.25">
      <c r="A386" s="10">
        <v>2016</v>
      </c>
      <c r="B386" s="11">
        <v>20136</v>
      </c>
      <c r="C386" s="12" t="s">
        <v>419</v>
      </c>
      <c r="D386" s="12" t="s">
        <v>36</v>
      </c>
      <c r="E386" s="22">
        <f t="shared" si="21"/>
        <v>147500</v>
      </c>
      <c r="F386" s="22">
        <f t="shared" si="22"/>
        <v>37500</v>
      </c>
      <c r="G386" s="22" t="str">
        <f t="shared" si="23"/>
        <v/>
      </c>
      <c r="H386" s="22" t="str">
        <f t="shared" si="24"/>
        <v/>
      </c>
      <c r="I386" s="13">
        <v>1480</v>
      </c>
      <c r="J386" s="13">
        <v>113</v>
      </c>
      <c r="K386" s="13">
        <v>0</v>
      </c>
      <c r="L386" s="13">
        <v>0</v>
      </c>
      <c r="M386" s="13">
        <v>1593</v>
      </c>
      <c r="N386" s="14">
        <v>14</v>
      </c>
      <c r="O386" s="14">
        <v>1</v>
      </c>
      <c r="P386" s="14">
        <v>0</v>
      </c>
      <c r="Q386" s="14">
        <v>0</v>
      </c>
      <c r="R386" s="14">
        <v>15</v>
      </c>
      <c r="S386" s="15">
        <v>0.4</v>
      </c>
      <c r="T386" s="15">
        <v>0.4</v>
      </c>
      <c r="U386" s="15">
        <v>0</v>
      </c>
      <c r="V386" s="15">
        <v>0</v>
      </c>
      <c r="W386" s="15">
        <v>0.8</v>
      </c>
      <c r="X386" s="16">
        <v>0.1</v>
      </c>
      <c r="Y386" s="16">
        <v>0</v>
      </c>
      <c r="Z386" s="16">
        <v>0</v>
      </c>
      <c r="AA386" s="16">
        <v>0</v>
      </c>
      <c r="AB386" s="16">
        <v>0.1</v>
      </c>
      <c r="AC386" s="17">
        <v>47</v>
      </c>
      <c r="AD386" s="17">
        <v>13</v>
      </c>
      <c r="AE386" s="17">
        <v>0</v>
      </c>
      <c r="AF386" s="17">
        <v>0</v>
      </c>
      <c r="AG386" s="17">
        <v>60</v>
      </c>
      <c r="AH386" s="18">
        <v>12</v>
      </c>
      <c r="AI386" s="18">
        <v>2</v>
      </c>
      <c r="AJ386" s="18">
        <v>0</v>
      </c>
      <c r="AK386" s="18">
        <v>0</v>
      </c>
      <c r="AL386" s="18">
        <v>14</v>
      </c>
      <c r="AM386" s="19" t="s">
        <v>24</v>
      </c>
    </row>
    <row r="387" spans="1:39" x14ac:dyDescent="0.25">
      <c r="A387" s="10">
        <v>2016</v>
      </c>
      <c r="B387" s="11">
        <v>20387</v>
      </c>
      <c r="C387" s="12" t="s">
        <v>420</v>
      </c>
      <c r="D387" s="12" t="s">
        <v>94</v>
      </c>
      <c r="E387" s="22" t="str">
        <f t="shared" si="21"/>
        <v/>
      </c>
      <c r="F387" s="22" t="str">
        <f t="shared" si="22"/>
        <v/>
      </c>
      <c r="G387" s="22" t="str">
        <f t="shared" si="23"/>
        <v/>
      </c>
      <c r="H387" s="22" t="str">
        <f t="shared" si="24"/>
        <v/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8">
        <v>0</v>
      </c>
      <c r="AI387" s="18">
        <v>15</v>
      </c>
      <c r="AJ387" s="18">
        <v>133</v>
      </c>
      <c r="AK387" s="18">
        <v>0</v>
      </c>
      <c r="AL387" s="18">
        <v>148</v>
      </c>
      <c r="AM387" s="19" t="s">
        <v>24</v>
      </c>
    </row>
    <row r="388" spans="1:39" x14ac:dyDescent="0.25">
      <c r="A388" s="10">
        <v>2016</v>
      </c>
      <c r="B388" s="11">
        <v>20401</v>
      </c>
      <c r="C388" s="12" t="s">
        <v>421</v>
      </c>
      <c r="D388" s="12" t="s">
        <v>66</v>
      </c>
      <c r="E388" s="22">
        <f t="shared" si="21"/>
        <v>6226.4150943396226</v>
      </c>
      <c r="F388" s="22" t="str">
        <f t="shared" si="22"/>
        <v/>
      </c>
      <c r="G388" s="22" t="str">
        <f t="shared" si="23"/>
        <v/>
      </c>
      <c r="H388" s="22" t="str">
        <f t="shared" si="24"/>
        <v/>
      </c>
      <c r="I388" s="13">
        <v>2295</v>
      </c>
      <c r="J388" s="13">
        <v>0</v>
      </c>
      <c r="K388" s="13">
        <v>0</v>
      </c>
      <c r="L388" s="13">
        <v>0</v>
      </c>
      <c r="M388" s="13">
        <v>2295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5">
        <v>21.2</v>
      </c>
      <c r="T388" s="15">
        <v>0</v>
      </c>
      <c r="U388" s="15">
        <v>0</v>
      </c>
      <c r="V388" s="15">
        <v>0</v>
      </c>
      <c r="W388" s="15">
        <v>21.2</v>
      </c>
      <c r="X388" s="16">
        <v>11.1</v>
      </c>
      <c r="Y388" s="16">
        <v>0</v>
      </c>
      <c r="Z388" s="16">
        <v>0</v>
      </c>
      <c r="AA388" s="16">
        <v>0</v>
      </c>
      <c r="AB388" s="16">
        <v>11.1</v>
      </c>
      <c r="AC388" s="17">
        <v>78</v>
      </c>
      <c r="AD388" s="17">
        <v>0</v>
      </c>
      <c r="AE388" s="17">
        <v>0</v>
      </c>
      <c r="AF388" s="17">
        <v>0</v>
      </c>
      <c r="AG388" s="17">
        <v>78</v>
      </c>
      <c r="AH388" s="18">
        <v>54</v>
      </c>
      <c r="AI388" s="18">
        <v>0</v>
      </c>
      <c r="AJ388" s="18">
        <v>0</v>
      </c>
      <c r="AK388" s="18">
        <v>0</v>
      </c>
      <c r="AL388" s="18">
        <v>54</v>
      </c>
      <c r="AM388" s="19" t="s">
        <v>24</v>
      </c>
    </row>
    <row r="389" spans="1:39" x14ac:dyDescent="0.25">
      <c r="A389" s="10">
        <v>2016</v>
      </c>
      <c r="B389" s="11">
        <v>20404</v>
      </c>
      <c r="C389" s="12" t="s">
        <v>422</v>
      </c>
      <c r="D389" s="12" t="s">
        <v>56</v>
      </c>
      <c r="E389" s="22" t="str">
        <f t="shared" ref="E389:E430" si="25">IFERROR(SUM(AC389,AH389)*10^3/S389,"")</f>
        <v/>
      </c>
      <c r="F389" s="22">
        <f t="shared" ref="F389:F430" si="26">IFERROR(SUM(AD389,AI389)*10^3/T389,"")</f>
        <v>0</v>
      </c>
      <c r="G389" s="22" t="str">
        <f t="shared" ref="G389:G430" si="27">IFERROR(SUM(AE389,AJ389)*10^3/U389,"")</f>
        <v/>
      </c>
      <c r="H389" s="22" t="str">
        <f t="shared" ref="H389:H430" si="28">IFERROR(SUM(AF389,AK389)*10^3/V389,"")</f>
        <v/>
      </c>
      <c r="I389" s="13">
        <v>0</v>
      </c>
      <c r="J389" s="13">
        <v>11</v>
      </c>
      <c r="K389" s="13">
        <v>0</v>
      </c>
      <c r="L389" s="13">
        <v>0</v>
      </c>
      <c r="M389" s="13">
        <v>11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5">
        <v>0</v>
      </c>
      <c r="T389" s="15">
        <v>1.2</v>
      </c>
      <c r="U389" s="15">
        <v>0</v>
      </c>
      <c r="V389" s="15">
        <v>0</v>
      </c>
      <c r="W389" s="15">
        <v>1.2</v>
      </c>
      <c r="X389" s="16">
        <v>0</v>
      </c>
      <c r="Y389" s="16">
        <v>1.2</v>
      </c>
      <c r="Z389" s="16">
        <v>0</v>
      </c>
      <c r="AA389" s="16">
        <v>0</v>
      </c>
      <c r="AB389" s="16">
        <v>1.2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9" t="s">
        <v>24</v>
      </c>
    </row>
    <row r="390" spans="1:39" x14ac:dyDescent="0.25">
      <c r="A390" s="10">
        <v>2016</v>
      </c>
      <c r="B390" s="11">
        <v>20447</v>
      </c>
      <c r="C390" s="12" t="s">
        <v>423</v>
      </c>
      <c r="D390" s="12" t="s">
        <v>96</v>
      </c>
      <c r="E390" s="22" t="str">
        <f t="shared" si="25"/>
        <v/>
      </c>
      <c r="F390" s="22">
        <f t="shared" si="26"/>
        <v>23000</v>
      </c>
      <c r="G390" s="22">
        <f t="shared" si="27"/>
        <v>24500</v>
      </c>
      <c r="H390" s="22" t="str">
        <f t="shared" si="28"/>
        <v/>
      </c>
      <c r="I390" s="13">
        <v>0</v>
      </c>
      <c r="J390" s="13">
        <v>1</v>
      </c>
      <c r="K390" s="13">
        <v>4</v>
      </c>
      <c r="L390" s="13">
        <v>0</v>
      </c>
      <c r="M390" s="13">
        <v>5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5">
        <v>0</v>
      </c>
      <c r="T390" s="15">
        <v>1</v>
      </c>
      <c r="U390" s="15">
        <v>10</v>
      </c>
      <c r="V390" s="15">
        <v>0</v>
      </c>
      <c r="W390" s="15">
        <v>11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7">
        <v>0</v>
      </c>
      <c r="AD390" s="17">
        <v>23</v>
      </c>
      <c r="AE390" s="17">
        <v>245</v>
      </c>
      <c r="AF390" s="17">
        <v>0</v>
      </c>
      <c r="AG390" s="17">
        <v>268</v>
      </c>
      <c r="AH390" s="18">
        <v>0</v>
      </c>
      <c r="AI390" s="18">
        <v>0</v>
      </c>
      <c r="AJ390" s="18">
        <v>0</v>
      </c>
      <c r="AK390" s="18">
        <v>0</v>
      </c>
      <c r="AL390" s="18">
        <v>0</v>
      </c>
      <c r="AM390" s="19" t="s">
        <v>24</v>
      </c>
    </row>
    <row r="391" spans="1:39" x14ac:dyDescent="0.25">
      <c r="A391" s="10">
        <v>2016</v>
      </c>
      <c r="B391" s="11">
        <v>20455</v>
      </c>
      <c r="C391" s="12" t="s">
        <v>424</v>
      </c>
      <c r="D391" s="12" t="s">
        <v>117</v>
      </c>
      <c r="E391" s="22" t="str">
        <f t="shared" si="25"/>
        <v/>
      </c>
      <c r="F391" s="22" t="str">
        <f t="shared" si="26"/>
        <v/>
      </c>
      <c r="G391" s="22" t="str">
        <f t="shared" si="27"/>
        <v/>
      </c>
      <c r="H391" s="22" t="str">
        <f t="shared" si="28"/>
        <v/>
      </c>
      <c r="I391" s="13">
        <v>0</v>
      </c>
      <c r="J391" s="13">
        <v>0</v>
      </c>
      <c r="K391" s="13">
        <v>1</v>
      </c>
      <c r="L391" s="13">
        <v>0</v>
      </c>
      <c r="M391" s="13">
        <v>1</v>
      </c>
      <c r="N391" s="14">
        <v>0</v>
      </c>
      <c r="O391" s="14">
        <v>0</v>
      </c>
      <c r="P391" s="14">
        <v>2</v>
      </c>
      <c r="Q391" s="14">
        <v>0</v>
      </c>
      <c r="R391" s="14">
        <v>2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8">
        <v>0</v>
      </c>
      <c r="AI391" s="18">
        <v>0</v>
      </c>
      <c r="AJ391" s="18">
        <v>10</v>
      </c>
      <c r="AK391" s="18">
        <v>0</v>
      </c>
      <c r="AL391" s="18">
        <v>10</v>
      </c>
      <c r="AM391" s="19">
        <v>0</v>
      </c>
    </row>
    <row r="392" spans="1:39" x14ac:dyDescent="0.25">
      <c r="A392" s="10">
        <v>2016</v>
      </c>
      <c r="B392" s="11">
        <v>20456</v>
      </c>
      <c r="C392" s="12" t="s">
        <v>425</v>
      </c>
      <c r="D392" s="12" t="s">
        <v>72</v>
      </c>
      <c r="E392" s="22" t="str">
        <f t="shared" si="25"/>
        <v/>
      </c>
      <c r="F392" s="22" t="str">
        <f t="shared" si="26"/>
        <v/>
      </c>
      <c r="G392" s="22">
        <f t="shared" si="27"/>
        <v>17425.373134328358</v>
      </c>
      <c r="H392" s="22" t="str">
        <f t="shared" si="28"/>
        <v/>
      </c>
      <c r="I392" s="13">
        <v>0</v>
      </c>
      <c r="J392" s="13">
        <v>0</v>
      </c>
      <c r="K392" s="13">
        <v>694</v>
      </c>
      <c r="L392" s="13">
        <v>0</v>
      </c>
      <c r="M392" s="13">
        <v>694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5">
        <v>0</v>
      </c>
      <c r="T392" s="15">
        <v>0</v>
      </c>
      <c r="U392" s="15">
        <v>26.8</v>
      </c>
      <c r="V392" s="15">
        <v>0</v>
      </c>
      <c r="W392" s="15">
        <v>26.8</v>
      </c>
      <c r="X392" s="16">
        <v>0</v>
      </c>
      <c r="Y392" s="16">
        <v>0</v>
      </c>
      <c r="Z392" s="16">
        <v>20.100000000000001</v>
      </c>
      <c r="AA392" s="16">
        <v>0</v>
      </c>
      <c r="AB392" s="16">
        <v>20.100000000000001</v>
      </c>
      <c r="AC392" s="17">
        <v>0</v>
      </c>
      <c r="AD392" s="17">
        <v>0</v>
      </c>
      <c r="AE392" s="17">
        <v>467</v>
      </c>
      <c r="AF392" s="17">
        <v>0</v>
      </c>
      <c r="AG392" s="17">
        <v>467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9" t="s">
        <v>24</v>
      </c>
    </row>
    <row r="393" spans="1:39" x14ac:dyDescent="0.25">
      <c r="A393" s="10">
        <v>2016</v>
      </c>
      <c r="B393" s="11">
        <v>20472</v>
      </c>
      <c r="C393" s="12" t="s">
        <v>426</v>
      </c>
      <c r="D393" s="12" t="s">
        <v>56</v>
      </c>
      <c r="E393" s="22">
        <f t="shared" si="25"/>
        <v>0</v>
      </c>
      <c r="F393" s="22">
        <f t="shared" si="26"/>
        <v>0</v>
      </c>
      <c r="G393" s="22" t="str">
        <f t="shared" si="27"/>
        <v/>
      </c>
      <c r="H393" s="22" t="str">
        <f t="shared" si="28"/>
        <v/>
      </c>
      <c r="I393" s="13">
        <v>600</v>
      </c>
      <c r="J393" s="13">
        <v>32</v>
      </c>
      <c r="K393" s="13">
        <v>0</v>
      </c>
      <c r="L393" s="13">
        <v>0</v>
      </c>
      <c r="M393" s="13">
        <v>632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5">
        <v>1</v>
      </c>
      <c r="T393" s="15">
        <v>7</v>
      </c>
      <c r="U393" s="15">
        <v>0</v>
      </c>
      <c r="V393" s="15">
        <v>0</v>
      </c>
      <c r="W393" s="15">
        <v>8</v>
      </c>
      <c r="X393" s="16">
        <v>1</v>
      </c>
      <c r="Y393" s="16">
        <v>3</v>
      </c>
      <c r="Z393" s="16">
        <v>0</v>
      </c>
      <c r="AA393" s="16">
        <v>0</v>
      </c>
      <c r="AB393" s="16">
        <v>4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9" t="s">
        <v>24</v>
      </c>
    </row>
    <row r="394" spans="1:39" x14ac:dyDescent="0.25">
      <c r="A394" s="10">
        <v>2016</v>
      </c>
      <c r="B394" s="11">
        <v>20521</v>
      </c>
      <c r="C394" s="12" t="s">
        <v>427</v>
      </c>
      <c r="D394" s="12" t="s">
        <v>44</v>
      </c>
      <c r="E394" s="22">
        <f t="shared" si="25"/>
        <v>0</v>
      </c>
      <c r="F394" s="22" t="str">
        <f t="shared" si="26"/>
        <v/>
      </c>
      <c r="G394" s="22" t="str">
        <f t="shared" si="27"/>
        <v/>
      </c>
      <c r="H394" s="22" t="str">
        <f t="shared" si="28"/>
        <v/>
      </c>
      <c r="I394" s="13">
        <v>122</v>
      </c>
      <c r="J394" s="13">
        <v>0</v>
      </c>
      <c r="K394" s="13">
        <v>0</v>
      </c>
      <c r="L394" s="13">
        <v>0</v>
      </c>
      <c r="M394" s="13">
        <v>122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5">
        <v>0.1</v>
      </c>
      <c r="T394" s="15">
        <v>0</v>
      </c>
      <c r="U394" s="15">
        <v>0</v>
      </c>
      <c r="V394" s="15">
        <v>0</v>
      </c>
      <c r="W394" s="15">
        <v>0.1</v>
      </c>
      <c r="X394" s="16">
        <v>0.1</v>
      </c>
      <c r="Y394" s="16">
        <v>0</v>
      </c>
      <c r="Z394" s="16">
        <v>0</v>
      </c>
      <c r="AA394" s="16">
        <v>0</v>
      </c>
      <c r="AB394" s="16">
        <v>0.1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8">
        <v>0</v>
      </c>
      <c r="AI394" s="18">
        <v>0</v>
      </c>
      <c r="AJ394" s="18">
        <v>0</v>
      </c>
      <c r="AK394" s="18">
        <v>0</v>
      </c>
      <c r="AL394" s="18">
        <v>0</v>
      </c>
      <c r="AM394" s="19" t="s">
        <v>24</v>
      </c>
    </row>
    <row r="395" spans="1:39" x14ac:dyDescent="0.25">
      <c r="A395" s="10">
        <v>2016</v>
      </c>
      <c r="B395" s="11">
        <v>20639</v>
      </c>
      <c r="C395" s="12" t="s">
        <v>428</v>
      </c>
      <c r="D395" s="12" t="s">
        <v>36</v>
      </c>
      <c r="E395" s="22">
        <f t="shared" si="25"/>
        <v>35967.741935483871</v>
      </c>
      <c r="F395" s="22">
        <f t="shared" si="26"/>
        <v>166000</v>
      </c>
      <c r="G395" s="22">
        <f t="shared" si="27"/>
        <v>143000</v>
      </c>
      <c r="H395" s="22" t="str">
        <f t="shared" si="28"/>
        <v/>
      </c>
      <c r="I395" s="13">
        <v>4818</v>
      </c>
      <c r="J395" s="13">
        <v>45</v>
      </c>
      <c r="K395" s="13">
        <v>1</v>
      </c>
      <c r="L395" s="13">
        <v>0</v>
      </c>
      <c r="M395" s="13">
        <v>4864</v>
      </c>
      <c r="N395" s="14">
        <v>2169</v>
      </c>
      <c r="O395" s="14">
        <v>127</v>
      </c>
      <c r="P395" s="14">
        <v>19</v>
      </c>
      <c r="Q395" s="14">
        <v>0</v>
      </c>
      <c r="R395" s="14">
        <v>2315</v>
      </c>
      <c r="S395" s="15">
        <v>93</v>
      </c>
      <c r="T395" s="15">
        <v>2</v>
      </c>
      <c r="U395" s="15">
        <v>1</v>
      </c>
      <c r="V395" s="15">
        <v>0</v>
      </c>
      <c r="W395" s="15">
        <v>96</v>
      </c>
      <c r="X395" s="16">
        <v>23.4</v>
      </c>
      <c r="Y395" s="16">
        <v>1</v>
      </c>
      <c r="Z395" s="16">
        <v>0</v>
      </c>
      <c r="AA395" s="16">
        <v>0</v>
      </c>
      <c r="AB395" s="16">
        <v>24.4</v>
      </c>
      <c r="AC395" s="17">
        <v>3117</v>
      </c>
      <c r="AD395" s="17">
        <v>307</v>
      </c>
      <c r="AE395" s="17">
        <v>142</v>
      </c>
      <c r="AF395" s="17">
        <v>0</v>
      </c>
      <c r="AG395" s="17">
        <v>3566</v>
      </c>
      <c r="AH395" s="18">
        <v>228</v>
      </c>
      <c r="AI395" s="18">
        <v>25</v>
      </c>
      <c r="AJ395" s="18">
        <v>1</v>
      </c>
      <c r="AK395" s="18">
        <v>0</v>
      </c>
      <c r="AL395" s="18">
        <v>254</v>
      </c>
      <c r="AM395" s="19" t="s">
        <v>24</v>
      </c>
    </row>
    <row r="396" spans="1:39" x14ac:dyDescent="0.25">
      <c r="A396" s="10">
        <v>2016</v>
      </c>
      <c r="B396" s="11">
        <v>20737</v>
      </c>
      <c r="C396" s="12" t="s">
        <v>429</v>
      </c>
      <c r="D396" s="12" t="s">
        <v>36</v>
      </c>
      <c r="E396" s="22">
        <f t="shared" si="25"/>
        <v>13098.591549295776</v>
      </c>
      <c r="F396" s="22">
        <f t="shared" si="26"/>
        <v>10909.090909090908</v>
      </c>
      <c r="G396" s="22" t="str">
        <f t="shared" si="27"/>
        <v/>
      </c>
      <c r="H396" s="22" t="str">
        <f t="shared" si="28"/>
        <v/>
      </c>
      <c r="I396" s="13">
        <v>2107</v>
      </c>
      <c r="J396" s="13">
        <v>108</v>
      </c>
      <c r="K396" s="13">
        <v>0</v>
      </c>
      <c r="L396" s="13">
        <v>0</v>
      </c>
      <c r="M396" s="13">
        <v>2215</v>
      </c>
      <c r="N396" s="14">
        <v>316</v>
      </c>
      <c r="O396" s="14">
        <v>127</v>
      </c>
      <c r="P396" s="14">
        <v>0</v>
      </c>
      <c r="Q396" s="14">
        <v>0</v>
      </c>
      <c r="R396" s="14">
        <v>443</v>
      </c>
      <c r="S396" s="15">
        <v>7.1</v>
      </c>
      <c r="T396" s="15">
        <v>2.2000000000000002</v>
      </c>
      <c r="U396" s="15">
        <v>0</v>
      </c>
      <c r="V396" s="15">
        <v>0</v>
      </c>
      <c r="W396" s="15">
        <v>9.3000000000000007</v>
      </c>
      <c r="X396" s="16">
        <v>2.1</v>
      </c>
      <c r="Y396" s="16">
        <v>0.8</v>
      </c>
      <c r="Z396" s="16">
        <v>0</v>
      </c>
      <c r="AA396" s="16">
        <v>0</v>
      </c>
      <c r="AB396" s="16">
        <v>2.9</v>
      </c>
      <c r="AC396" s="17">
        <v>53</v>
      </c>
      <c r="AD396" s="17">
        <v>4</v>
      </c>
      <c r="AE396" s="17">
        <v>0</v>
      </c>
      <c r="AF396" s="17">
        <v>0</v>
      </c>
      <c r="AG396" s="17">
        <v>57</v>
      </c>
      <c r="AH396" s="18">
        <v>40</v>
      </c>
      <c r="AI396" s="18">
        <v>20</v>
      </c>
      <c r="AJ396" s="18">
        <v>0</v>
      </c>
      <c r="AK396" s="18">
        <v>0</v>
      </c>
      <c r="AL396" s="18">
        <v>60</v>
      </c>
      <c r="AM396" s="19">
        <v>0</v>
      </c>
    </row>
    <row r="397" spans="1:39" x14ac:dyDescent="0.25">
      <c r="A397" s="10">
        <v>2016</v>
      </c>
      <c r="B397" s="11">
        <v>20823</v>
      </c>
      <c r="C397" s="12" t="s">
        <v>430</v>
      </c>
      <c r="D397" s="12" t="s">
        <v>66</v>
      </c>
      <c r="E397" s="22">
        <f t="shared" si="25"/>
        <v>36000</v>
      </c>
      <c r="F397" s="22" t="str">
        <f t="shared" si="26"/>
        <v/>
      </c>
      <c r="G397" s="22" t="str">
        <f t="shared" si="27"/>
        <v/>
      </c>
      <c r="H397" s="22" t="str">
        <f t="shared" si="28"/>
        <v/>
      </c>
      <c r="I397" s="13">
        <v>474</v>
      </c>
      <c r="J397" s="13">
        <v>52</v>
      </c>
      <c r="K397" s="13">
        <v>0</v>
      </c>
      <c r="L397" s="13">
        <v>0</v>
      </c>
      <c r="M397" s="13">
        <v>526</v>
      </c>
      <c r="N397" s="14">
        <v>1</v>
      </c>
      <c r="O397" s="14">
        <v>0</v>
      </c>
      <c r="P397" s="14">
        <v>0</v>
      </c>
      <c r="Q397" s="14">
        <v>0</v>
      </c>
      <c r="R397" s="14">
        <v>1</v>
      </c>
      <c r="S397" s="15">
        <v>1</v>
      </c>
      <c r="T397" s="15">
        <v>0</v>
      </c>
      <c r="U397" s="15">
        <v>0</v>
      </c>
      <c r="V397" s="15">
        <v>0</v>
      </c>
      <c r="W397" s="15">
        <v>1</v>
      </c>
      <c r="X397" s="16">
        <v>1</v>
      </c>
      <c r="Y397" s="16">
        <v>0</v>
      </c>
      <c r="Z397" s="16">
        <v>0</v>
      </c>
      <c r="AA397" s="16">
        <v>0</v>
      </c>
      <c r="AB397" s="16">
        <v>1</v>
      </c>
      <c r="AC397" s="17">
        <v>34</v>
      </c>
      <c r="AD397" s="17">
        <v>4</v>
      </c>
      <c r="AE397" s="17">
        <v>0</v>
      </c>
      <c r="AF397" s="17">
        <v>0</v>
      </c>
      <c r="AG397" s="17">
        <v>38</v>
      </c>
      <c r="AH397" s="18">
        <v>2</v>
      </c>
      <c r="AI397" s="18">
        <v>0</v>
      </c>
      <c r="AJ397" s="18">
        <v>0</v>
      </c>
      <c r="AK397" s="18">
        <v>0</v>
      </c>
      <c r="AL397" s="18">
        <v>2</v>
      </c>
      <c r="AM397" s="19" t="s">
        <v>24</v>
      </c>
    </row>
    <row r="398" spans="1:39" x14ac:dyDescent="0.25">
      <c r="A398" s="10">
        <v>2016</v>
      </c>
      <c r="B398" s="11">
        <v>20841</v>
      </c>
      <c r="C398" s="12" t="s">
        <v>431</v>
      </c>
      <c r="D398" s="12" t="s">
        <v>31</v>
      </c>
      <c r="E398" s="22">
        <f t="shared" si="25"/>
        <v>68333.333333333328</v>
      </c>
      <c r="F398" s="22" t="str">
        <f t="shared" si="26"/>
        <v/>
      </c>
      <c r="G398" s="22" t="str">
        <f t="shared" si="27"/>
        <v/>
      </c>
      <c r="H398" s="22" t="str">
        <f t="shared" si="28"/>
        <v/>
      </c>
      <c r="I398" s="13">
        <v>2834</v>
      </c>
      <c r="J398" s="13">
        <v>0</v>
      </c>
      <c r="K398" s="13">
        <v>0</v>
      </c>
      <c r="L398" s="13">
        <v>0</v>
      </c>
      <c r="M398" s="13">
        <v>2834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5">
        <v>3</v>
      </c>
      <c r="T398" s="15">
        <v>0</v>
      </c>
      <c r="U398" s="15">
        <v>0</v>
      </c>
      <c r="V398" s="15">
        <v>0</v>
      </c>
      <c r="W398" s="15">
        <v>3</v>
      </c>
      <c r="X398" s="16">
        <v>3</v>
      </c>
      <c r="Y398" s="16">
        <v>0</v>
      </c>
      <c r="Z398" s="16">
        <v>0</v>
      </c>
      <c r="AA398" s="16">
        <v>0</v>
      </c>
      <c r="AB398" s="16">
        <v>3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8">
        <v>205</v>
      </c>
      <c r="AI398" s="18">
        <v>0</v>
      </c>
      <c r="AJ398" s="18">
        <v>0</v>
      </c>
      <c r="AK398" s="18">
        <v>0</v>
      </c>
      <c r="AL398" s="18">
        <v>205</v>
      </c>
      <c r="AM398" s="19">
        <v>200</v>
      </c>
    </row>
    <row r="399" spans="1:39" x14ac:dyDescent="0.25">
      <c r="A399" s="10">
        <v>2016</v>
      </c>
      <c r="B399" s="11">
        <v>20847</v>
      </c>
      <c r="C399" s="12" t="s">
        <v>432</v>
      </c>
      <c r="D399" s="12" t="s">
        <v>122</v>
      </c>
      <c r="E399" s="22" t="str">
        <f t="shared" si="25"/>
        <v/>
      </c>
      <c r="F399" s="22" t="str">
        <f t="shared" si="26"/>
        <v/>
      </c>
      <c r="G399" s="22">
        <f t="shared" si="27"/>
        <v>80444.444444444438</v>
      </c>
      <c r="H399" s="22" t="str">
        <f t="shared" si="28"/>
        <v/>
      </c>
      <c r="I399" s="13">
        <v>0</v>
      </c>
      <c r="J399" s="13">
        <v>0</v>
      </c>
      <c r="K399" s="13">
        <v>2</v>
      </c>
      <c r="L399" s="13">
        <v>0</v>
      </c>
      <c r="M399" s="13">
        <v>2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5">
        <v>0</v>
      </c>
      <c r="T399" s="15">
        <v>0</v>
      </c>
      <c r="U399" s="15">
        <v>4.5</v>
      </c>
      <c r="V399" s="15">
        <v>0</v>
      </c>
      <c r="W399" s="15">
        <v>4.5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7">
        <v>0</v>
      </c>
      <c r="AD399" s="17">
        <v>0</v>
      </c>
      <c r="AE399" s="17">
        <v>362</v>
      </c>
      <c r="AF399" s="17">
        <v>0</v>
      </c>
      <c r="AG399" s="17">
        <v>362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9" t="s">
        <v>24</v>
      </c>
    </row>
    <row r="400" spans="1:39" x14ac:dyDescent="0.25">
      <c r="A400" s="10">
        <v>2016</v>
      </c>
      <c r="B400" s="11">
        <v>20847</v>
      </c>
      <c r="C400" s="12" t="s">
        <v>432</v>
      </c>
      <c r="D400" s="12" t="s">
        <v>29</v>
      </c>
      <c r="E400" s="22" t="str">
        <f t="shared" si="25"/>
        <v/>
      </c>
      <c r="F400" s="22">
        <f t="shared" si="26"/>
        <v>29764.705882352941</v>
      </c>
      <c r="G400" s="22">
        <f t="shared" si="27"/>
        <v>12115.848753016895</v>
      </c>
      <c r="H400" s="22" t="str">
        <f t="shared" si="28"/>
        <v/>
      </c>
      <c r="I400" s="13">
        <v>0</v>
      </c>
      <c r="J400" s="13">
        <v>24</v>
      </c>
      <c r="K400" s="13">
        <v>64</v>
      </c>
      <c r="L400" s="13">
        <v>0</v>
      </c>
      <c r="M400" s="13">
        <v>88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5">
        <v>0</v>
      </c>
      <c r="T400" s="15">
        <v>8.5</v>
      </c>
      <c r="U400" s="15">
        <v>124.3</v>
      </c>
      <c r="V400" s="15">
        <v>0</v>
      </c>
      <c r="W400" s="15">
        <v>132.80000000000001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7">
        <v>0</v>
      </c>
      <c r="AD400" s="17">
        <v>253</v>
      </c>
      <c r="AE400" s="17">
        <v>1506</v>
      </c>
      <c r="AF400" s="17">
        <v>0</v>
      </c>
      <c r="AG400" s="17">
        <v>1759</v>
      </c>
      <c r="AH400" s="18">
        <v>0</v>
      </c>
      <c r="AI400" s="18">
        <v>0</v>
      </c>
      <c r="AJ400" s="18">
        <v>0</v>
      </c>
      <c r="AK400" s="18">
        <v>0</v>
      </c>
      <c r="AL400" s="18">
        <v>0</v>
      </c>
      <c r="AM400" s="19" t="s">
        <v>24</v>
      </c>
    </row>
    <row r="401" spans="1:39" x14ac:dyDescent="0.25">
      <c r="A401" s="10">
        <v>2016</v>
      </c>
      <c r="B401" s="11">
        <v>20856</v>
      </c>
      <c r="C401" s="12" t="s">
        <v>433</v>
      </c>
      <c r="D401" s="12" t="s">
        <v>29</v>
      </c>
      <c r="E401" s="22" t="str">
        <f t="shared" si="25"/>
        <v/>
      </c>
      <c r="F401" s="22">
        <f t="shared" si="26"/>
        <v>73000</v>
      </c>
      <c r="G401" s="22">
        <f t="shared" si="27"/>
        <v>71291.390728476821</v>
      </c>
      <c r="H401" s="22" t="str">
        <f t="shared" si="28"/>
        <v/>
      </c>
      <c r="I401" s="13">
        <v>0</v>
      </c>
      <c r="J401" s="13">
        <v>11</v>
      </c>
      <c r="K401" s="13">
        <v>113</v>
      </c>
      <c r="L401" s="13">
        <v>0</v>
      </c>
      <c r="M401" s="13">
        <v>124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5">
        <v>0</v>
      </c>
      <c r="T401" s="15">
        <v>11</v>
      </c>
      <c r="U401" s="15">
        <v>151</v>
      </c>
      <c r="V401" s="15">
        <v>0</v>
      </c>
      <c r="W401" s="15">
        <v>162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7">
        <v>0</v>
      </c>
      <c r="AD401" s="17">
        <v>803</v>
      </c>
      <c r="AE401" s="17">
        <v>10765</v>
      </c>
      <c r="AF401" s="17">
        <v>0</v>
      </c>
      <c r="AG401" s="17">
        <v>11568</v>
      </c>
      <c r="AH401" s="18">
        <v>0</v>
      </c>
      <c r="AI401" s="18">
        <v>0</v>
      </c>
      <c r="AJ401" s="18">
        <v>0</v>
      </c>
      <c r="AK401" s="18">
        <v>0</v>
      </c>
      <c r="AL401" s="18">
        <v>0</v>
      </c>
      <c r="AM401" s="19" t="s">
        <v>24</v>
      </c>
    </row>
    <row r="402" spans="1:39" x14ac:dyDescent="0.25">
      <c r="A402" s="10">
        <v>2016</v>
      </c>
      <c r="B402" s="11">
        <v>20860</v>
      </c>
      <c r="C402" s="12" t="s">
        <v>434</v>
      </c>
      <c r="D402" s="12" t="s">
        <v>122</v>
      </c>
      <c r="E402" s="22">
        <f t="shared" si="25"/>
        <v>30000</v>
      </c>
      <c r="F402" s="22" t="str">
        <f t="shared" si="26"/>
        <v/>
      </c>
      <c r="G402" s="22">
        <f t="shared" si="27"/>
        <v>62941.176470588238</v>
      </c>
      <c r="H402" s="22" t="str">
        <f t="shared" si="28"/>
        <v/>
      </c>
      <c r="I402" s="13">
        <v>78</v>
      </c>
      <c r="J402" s="13">
        <v>0</v>
      </c>
      <c r="K402" s="13">
        <v>2</v>
      </c>
      <c r="L402" s="13">
        <v>0</v>
      </c>
      <c r="M402" s="13">
        <v>80</v>
      </c>
      <c r="N402" s="14">
        <v>1</v>
      </c>
      <c r="O402" s="14">
        <v>0</v>
      </c>
      <c r="P402" s="14">
        <v>0</v>
      </c>
      <c r="Q402" s="14">
        <v>0</v>
      </c>
      <c r="R402" s="14">
        <v>1</v>
      </c>
      <c r="S402" s="15">
        <v>0.1</v>
      </c>
      <c r="T402" s="15">
        <v>0</v>
      </c>
      <c r="U402" s="15">
        <v>3.4</v>
      </c>
      <c r="V402" s="15">
        <v>0</v>
      </c>
      <c r="W402" s="15">
        <v>3.5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7">
        <v>3</v>
      </c>
      <c r="AD402" s="17">
        <v>0</v>
      </c>
      <c r="AE402" s="17">
        <v>214</v>
      </c>
      <c r="AF402" s="17">
        <v>0</v>
      </c>
      <c r="AG402" s="17">
        <v>217</v>
      </c>
      <c r="AH402" s="18">
        <v>0</v>
      </c>
      <c r="AI402" s="18">
        <v>0</v>
      </c>
      <c r="AJ402" s="18">
        <v>0</v>
      </c>
      <c r="AK402" s="18">
        <v>0</v>
      </c>
      <c r="AL402" s="18">
        <v>0</v>
      </c>
      <c r="AM402" s="19" t="s">
        <v>24</v>
      </c>
    </row>
    <row r="403" spans="1:39" x14ac:dyDescent="0.25">
      <c r="A403" s="10">
        <v>2016</v>
      </c>
      <c r="B403" s="11">
        <v>20860</v>
      </c>
      <c r="C403" s="12" t="s">
        <v>434</v>
      </c>
      <c r="D403" s="12" t="s">
        <v>29</v>
      </c>
      <c r="E403" s="22">
        <f t="shared" si="25"/>
        <v>25766.666666666668</v>
      </c>
      <c r="F403" s="22">
        <f t="shared" si="26"/>
        <v>48565.891472868214</v>
      </c>
      <c r="G403" s="22">
        <f t="shared" si="27"/>
        <v>50410.256410256414</v>
      </c>
      <c r="H403" s="22" t="str">
        <f t="shared" si="28"/>
        <v/>
      </c>
      <c r="I403" s="13">
        <v>23444</v>
      </c>
      <c r="J403" s="13">
        <v>307</v>
      </c>
      <c r="K403" s="13">
        <v>28</v>
      </c>
      <c r="L403" s="13">
        <v>0</v>
      </c>
      <c r="M403" s="13">
        <v>23779</v>
      </c>
      <c r="N403" s="14">
        <v>427</v>
      </c>
      <c r="O403" s="14">
        <v>160</v>
      </c>
      <c r="P403" s="14">
        <v>0</v>
      </c>
      <c r="Q403" s="14">
        <v>0</v>
      </c>
      <c r="R403" s="14">
        <v>587</v>
      </c>
      <c r="S403" s="15">
        <v>30</v>
      </c>
      <c r="T403" s="15">
        <v>25.8</v>
      </c>
      <c r="U403" s="15">
        <v>78</v>
      </c>
      <c r="V403" s="15">
        <v>0</v>
      </c>
      <c r="W403" s="15">
        <v>133.80000000000001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7">
        <v>773</v>
      </c>
      <c r="AD403" s="17">
        <v>1253</v>
      </c>
      <c r="AE403" s="17">
        <v>3932</v>
      </c>
      <c r="AF403" s="17">
        <v>0</v>
      </c>
      <c r="AG403" s="17">
        <v>5958</v>
      </c>
      <c r="AH403" s="18">
        <v>0</v>
      </c>
      <c r="AI403" s="18">
        <v>0</v>
      </c>
      <c r="AJ403" s="18">
        <v>0</v>
      </c>
      <c r="AK403" s="18">
        <v>0</v>
      </c>
      <c r="AL403" s="18">
        <v>0</v>
      </c>
      <c r="AM403" s="19" t="s">
        <v>24</v>
      </c>
    </row>
    <row r="404" spans="1:39" x14ac:dyDescent="0.25">
      <c r="A404" s="10">
        <v>2016</v>
      </c>
      <c r="B404" s="11">
        <v>20963</v>
      </c>
      <c r="C404" s="12" t="s">
        <v>435</v>
      </c>
      <c r="D404" s="12" t="s">
        <v>48</v>
      </c>
      <c r="E404" s="22" t="str">
        <f t="shared" si="25"/>
        <v/>
      </c>
      <c r="F404" s="22" t="str">
        <f t="shared" si="26"/>
        <v/>
      </c>
      <c r="G404" s="22">
        <f t="shared" si="27"/>
        <v>52500</v>
      </c>
      <c r="H404" s="22" t="str">
        <f t="shared" si="28"/>
        <v/>
      </c>
      <c r="I404" s="13">
        <v>0</v>
      </c>
      <c r="J404" s="13">
        <v>0</v>
      </c>
      <c r="K404" s="13">
        <v>3475</v>
      </c>
      <c r="L404" s="13">
        <v>0</v>
      </c>
      <c r="M404" s="13">
        <v>3475</v>
      </c>
      <c r="N404" s="14">
        <v>0</v>
      </c>
      <c r="O404" s="14">
        <v>0</v>
      </c>
      <c r="P404" s="14">
        <v>6840</v>
      </c>
      <c r="Q404" s="14">
        <v>0</v>
      </c>
      <c r="R404" s="14">
        <v>6840</v>
      </c>
      <c r="S404" s="15">
        <v>0</v>
      </c>
      <c r="T404" s="15">
        <v>0</v>
      </c>
      <c r="U404" s="15">
        <v>60</v>
      </c>
      <c r="V404" s="15">
        <v>0</v>
      </c>
      <c r="W404" s="15">
        <v>60</v>
      </c>
      <c r="X404" s="16">
        <v>0</v>
      </c>
      <c r="Y404" s="16">
        <v>0</v>
      </c>
      <c r="Z404" s="16">
        <v>53</v>
      </c>
      <c r="AA404" s="16">
        <v>0</v>
      </c>
      <c r="AB404" s="16">
        <v>53</v>
      </c>
      <c r="AC404" s="17">
        <v>0</v>
      </c>
      <c r="AD404" s="17">
        <v>0</v>
      </c>
      <c r="AE404" s="17">
        <v>3100</v>
      </c>
      <c r="AF404" s="17">
        <v>0</v>
      </c>
      <c r="AG404" s="17">
        <v>3100</v>
      </c>
      <c r="AH404" s="18">
        <v>0</v>
      </c>
      <c r="AI404" s="18">
        <v>0</v>
      </c>
      <c r="AJ404" s="18">
        <v>50</v>
      </c>
      <c r="AK404" s="18">
        <v>0</v>
      </c>
      <c r="AL404" s="18">
        <v>50</v>
      </c>
      <c r="AM404" s="19" t="s">
        <v>24</v>
      </c>
    </row>
    <row r="405" spans="1:39" x14ac:dyDescent="0.25">
      <c r="A405" s="10">
        <v>2016</v>
      </c>
      <c r="B405" s="11">
        <v>21002</v>
      </c>
      <c r="C405" s="12" t="s">
        <v>436</v>
      </c>
      <c r="D405" s="12" t="s">
        <v>64</v>
      </c>
      <c r="E405" s="22">
        <f t="shared" si="25"/>
        <v>49733.333333333336</v>
      </c>
      <c r="F405" s="22" t="str">
        <f t="shared" si="26"/>
        <v/>
      </c>
      <c r="G405" s="22" t="str">
        <f t="shared" si="27"/>
        <v/>
      </c>
      <c r="H405" s="22" t="str">
        <f t="shared" si="28"/>
        <v/>
      </c>
      <c r="I405" s="13">
        <v>4112</v>
      </c>
      <c r="J405" s="13">
        <v>0</v>
      </c>
      <c r="K405" s="13">
        <v>0</v>
      </c>
      <c r="L405" s="13">
        <v>0</v>
      </c>
      <c r="M405" s="13">
        <v>4112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5">
        <v>15</v>
      </c>
      <c r="T405" s="15">
        <v>0</v>
      </c>
      <c r="U405" s="15">
        <v>0</v>
      </c>
      <c r="V405" s="15">
        <v>0</v>
      </c>
      <c r="W405" s="15">
        <v>15</v>
      </c>
      <c r="X405" s="16">
        <v>4</v>
      </c>
      <c r="Y405" s="16">
        <v>0</v>
      </c>
      <c r="Z405" s="16">
        <v>0</v>
      </c>
      <c r="AA405" s="16">
        <v>0</v>
      </c>
      <c r="AB405" s="16">
        <v>4</v>
      </c>
      <c r="AC405" s="17">
        <v>106</v>
      </c>
      <c r="AD405" s="17">
        <v>0</v>
      </c>
      <c r="AE405" s="17">
        <v>0</v>
      </c>
      <c r="AF405" s="17">
        <v>0</v>
      </c>
      <c r="AG405" s="17">
        <v>106</v>
      </c>
      <c r="AH405" s="18">
        <v>640</v>
      </c>
      <c r="AI405" s="18">
        <v>0</v>
      </c>
      <c r="AJ405" s="18">
        <v>0</v>
      </c>
      <c r="AK405" s="18">
        <v>0</v>
      </c>
      <c r="AL405" s="18">
        <v>640</v>
      </c>
      <c r="AM405" s="19">
        <v>0</v>
      </c>
    </row>
    <row r="406" spans="1:39" x14ac:dyDescent="0.25">
      <c r="A406" s="10">
        <v>2016</v>
      </c>
      <c r="B406" s="11">
        <v>21013</v>
      </c>
      <c r="C406" s="12" t="s">
        <v>437</v>
      </c>
      <c r="D406" s="12" t="s">
        <v>36</v>
      </c>
      <c r="E406" s="22">
        <f t="shared" si="25"/>
        <v>5606.060606060606</v>
      </c>
      <c r="F406" s="22" t="str">
        <f t="shared" si="26"/>
        <v/>
      </c>
      <c r="G406" s="22" t="str">
        <f t="shared" si="27"/>
        <v/>
      </c>
      <c r="H406" s="22" t="str">
        <f t="shared" si="28"/>
        <v/>
      </c>
      <c r="I406" s="13">
        <v>2205</v>
      </c>
      <c r="J406" s="13">
        <v>0</v>
      </c>
      <c r="K406" s="13">
        <v>0</v>
      </c>
      <c r="L406" s="13">
        <v>0</v>
      </c>
      <c r="M406" s="13">
        <v>2205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5">
        <v>6.6</v>
      </c>
      <c r="T406" s="15">
        <v>0</v>
      </c>
      <c r="U406" s="15">
        <v>0</v>
      </c>
      <c r="V406" s="15">
        <v>0</v>
      </c>
      <c r="W406" s="15">
        <v>6.6</v>
      </c>
      <c r="X406" s="16">
        <v>2.2000000000000002</v>
      </c>
      <c r="Y406" s="16">
        <v>0</v>
      </c>
      <c r="Z406" s="16">
        <v>0</v>
      </c>
      <c r="AA406" s="16">
        <v>0</v>
      </c>
      <c r="AB406" s="16">
        <v>2.2000000000000002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8">
        <v>37</v>
      </c>
      <c r="AI406" s="18">
        <v>0</v>
      </c>
      <c r="AJ406" s="18">
        <v>0</v>
      </c>
      <c r="AK406" s="18">
        <v>0</v>
      </c>
      <c r="AL406" s="18">
        <v>37</v>
      </c>
      <c r="AM406" s="19" t="s">
        <v>24</v>
      </c>
    </row>
    <row r="407" spans="1:39" x14ac:dyDescent="0.25">
      <c r="A407" s="10">
        <v>2016</v>
      </c>
      <c r="B407" s="11">
        <v>21111</v>
      </c>
      <c r="C407" s="12" t="s">
        <v>438</v>
      </c>
      <c r="D407" s="12" t="s">
        <v>72</v>
      </c>
      <c r="E407" s="22" t="str">
        <f t="shared" si="25"/>
        <v/>
      </c>
      <c r="F407" s="22" t="str">
        <f t="shared" si="26"/>
        <v/>
      </c>
      <c r="G407" s="22">
        <f t="shared" si="27"/>
        <v>0</v>
      </c>
      <c r="H407" s="22" t="str">
        <f t="shared" si="28"/>
        <v/>
      </c>
      <c r="I407" s="13">
        <v>0</v>
      </c>
      <c r="J407" s="13">
        <v>0</v>
      </c>
      <c r="K407" s="13">
        <v>1362</v>
      </c>
      <c r="L407" s="13">
        <v>0</v>
      </c>
      <c r="M407" s="13">
        <v>1362</v>
      </c>
      <c r="N407" s="14">
        <v>0</v>
      </c>
      <c r="O407" s="14">
        <v>0</v>
      </c>
      <c r="P407" s="14">
        <v>1131</v>
      </c>
      <c r="Q407" s="14">
        <v>0</v>
      </c>
      <c r="R407" s="14">
        <v>1131</v>
      </c>
      <c r="S407" s="15">
        <v>0</v>
      </c>
      <c r="T407" s="15">
        <v>0</v>
      </c>
      <c r="U407" s="15">
        <v>72</v>
      </c>
      <c r="V407" s="15">
        <v>0</v>
      </c>
      <c r="W407" s="15">
        <v>72</v>
      </c>
      <c r="X407" s="16">
        <v>0</v>
      </c>
      <c r="Y407" s="16">
        <v>0</v>
      </c>
      <c r="Z407" s="16">
        <v>30</v>
      </c>
      <c r="AA407" s="16">
        <v>0</v>
      </c>
      <c r="AB407" s="16">
        <v>30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8">
        <v>0</v>
      </c>
      <c r="AI407" s="18">
        <v>0</v>
      </c>
      <c r="AJ407" s="18">
        <v>0</v>
      </c>
      <c r="AK407" s="18">
        <v>0</v>
      </c>
      <c r="AL407" s="18">
        <v>0</v>
      </c>
      <c r="AM407" s="19" t="s">
        <v>24</v>
      </c>
    </row>
    <row r="408" spans="1:39" x14ac:dyDescent="0.25">
      <c r="A408" s="10">
        <v>2016</v>
      </c>
      <c r="B408" s="11">
        <v>21244</v>
      </c>
      <c r="C408" s="12" t="s">
        <v>439</v>
      </c>
      <c r="D408" s="12" t="s">
        <v>25</v>
      </c>
      <c r="E408" s="22">
        <f t="shared" si="25"/>
        <v>176000</v>
      </c>
      <c r="F408" s="22" t="str">
        <f t="shared" si="26"/>
        <v/>
      </c>
      <c r="G408" s="22" t="str">
        <f t="shared" si="27"/>
        <v/>
      </c>
      <c r="H408" s="22" t="str">
        <f t="shared" si="28"/>
        <v/>
      </c>
      <c r="I408" s="13">
        <v>1603</v>
      </c>
      <c r="J408" s="13">
        <v>0</v>
      </c>
      <c r="K408" s="13">
        <v>0</v>
      </c>
      <c r="L408" s="13">
        <v>0</v>
      </c>
      <c r="M408" s="13">
        <v>1603</v>
      </c>
      <c r="N408" s="14">
        <v>23</v>
      </c>
      <c r="O408" s="14">
        <v>0</v>
      </c>
      <c r="P408" s="14">
        <v>0</v>
      </c>
      <c r="Q408" s="14">
        <v>0</v>
      </c>
      <c r="R408" s="14">
        <v>23</v>
      </c>
      <c r="S408" s="15">
        <v>1</v>
      </c>
      <c r="T408" s="15">
        <v>0</v>
      </c>
      <c r="U408" s="15">
        <v>0</v>
      </c>
      <c r="V408" s="15">
        <v>0</v>
      </c>
      <c r="W408" s="15">
        <v>1</v>
      </c>
      <c r="X408" s="16">
        <v>0.8</v>
      </c>
      <c r="Y408" s="16">
        <v>0</v>
      </c>
      <c r="Z408" s="16">
        <v>0</v>
      </c>
      <c r="AA408" s="16">
        <v>0</v>
      </c>
      <c r="AB408" s="16">
        <v>0.8</v>
      </c>
      <c r="AC408" s="17">
        <v>4</v>
      </c>
      <c r="AD408" s="17">
        <v>0</v>
      </c>
      <c r="AE408" s="17">
        <v>0</v>
      </c>
      <c r="AF408" s="17">
        <v>0</v>
      </c>
      <c r="AG408" s="17">
        <v>4</v>
      </c>
      <c r="AH408" s="18">
        <v>172</v>
      </c>
      <c r="AI408" s="18">
        <v>0</v>
      </c>
      <c r="AJ408" s="18">
        <v>0</v>
      </c>
      <c r="AK408" s="18">
        <v>0</v>
      </c>
      <c r="AL408" s="18">
        <v>172</v>
      </c>
      <c r="AM408" s="19" t="s">
        <v>24</v>
      </c>
    </row>
    <row r="409" spans="1:39" x14ac:dyDescent="0.25">
      <c r="A409" s="10">
        <v>2016</v>
      </c>
      <c r="B409" s="11">
        <v>21632</v>
      </c>
      <c r="C409" s="12" t="s">
        <v>440</v>
      </c>
      <c r="D409" s="12" t="s">
        <v>81</v>
      </c>
      <c r="E409" s="22">
        <f t="shared" si="25"/>
        <v>0</v>
      </c>
      <c r="F409" s="22">
        <f t="shared" si="26"/>
        <v>0</v>
      </c>
      <c r="G409" s="22">
        <f t="shared" si="27"/>
        <v>0</v>
      </c>
      <c r="H409" s="22" t="str">
        <f t="shared" si="28"/>
        <v/>
      </c>
      <c r="I409" s="13">
        <v>12945</v>
      </c>
      <c r="J409" s="13">
        <v>178</v>
      </c>
      <c r="K409" s="13">
        <v>6</v>
      </c>
      <c r="L409" s="13">
        <v>0</v>
      </c>
      <c r="M409" s="13">
        <v>13129</v>
      </c>
      <c r="N409" s="14">
        <v>223</v>
      </c>
      <c r="O409" s="14">
        <v>113</v>
      </c>
      <c r="P409" s="14">
        <v>102</v>
      </c>
      <c r="Q409" s="14">
        <v>0</v>
      </c>
      <c r="R409" s="14">
        <v>438</v>
      </c>
      <c r="S409" s="15">
        <v>11</v>
      </c>
      <c r="T409" s="15">
        <v>6</v>
      </c>
      <c r="U409" s="15">
        <v>6</v>
      </c>
      <c r="V409" s="15">
        <v>0</v>
      </c>
      <c r="W409" s="15">
        <v>23</v>
      </c>
      <c r="X409" s="16">
        <v>11</v>
      </c>
      <c r="Y409" s="16">
        <v>6</v>
      </c>
      <c r="Z409" s="16">
        <v>5</v>
      </c>
      <c r="AA409" s="16">
        <v>0</v>
      </c>
      <c r="AB409" s="16">
        <v>22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9" t="s">
        <v>24</v>
      </c>
    </row>
    <row r="410" spans="1:39" x14ac:dyDescent="0.25">
      <c r="A410" s="10">
        <v>2016</v>
      </c>
      <c r="B410" s="11">
        <v>22053</v>
      </c>
      <c r="C410" s="12" t="s">
        <v>441</v>
      </c>
      <c r="D410" s="12" t="s">
        <v>148</v>
      </c>
      <c r="E410" s="22" t="str">
        <f t="shared" si="25"/>
        <v/>
      </c>
      <c r="F410" s="22" t="str">
        <f t="shared" si="26"/>
        <v/>
      </c>
      <c r="G410" s="22">
        <f t="shared" si="27"/>
        <v>0</v>
      </c>
      <c r="H410" s="22" t="str">
        <f t="shared" si="28"/>
        <v/>
      </c>
      <c r="I410" s="13">
        <v>0</v>
      </c>
      <c r="J410" s="13">
        <v>0</v>
      </c>
      <c r="K410" s="13">
        <v>2</v>
      </c>
      <c r="L410" s="13">
        <v>0</v>
      </c>
      <c r="M410" s="13">
        <v>2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5">
        <v>0</v>
      </c>
      <c r="T410" s="15">
        <v>0</v>
      </c>
      <c r="U410" s="15">
        <v>1.5</v>
      </c>
      <c r="V410" s="15">
        <v>0</v>
      </c>
      <c r="W410" s="15">
        <v>1.5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9">
        <v>0</v>
      </c>
    </row>
    <row r="411" spans="1:39" x14ac:dyDescent="0.25">
      <c r="A411" s="10">
        <v>2016</v>
      </c>
      <c r="B411" s="11">
        <v>22500</v>
      </c>
      <c r="C411" s="12" t="s">
        <v>442</v>
      </c>
      <c r="D411" s="12" t="s">
        <v>74</v>
      </c>
      <c r="E411" s="22" t="str">
        <f t="shared" si="25"/>
        <v/>
      </c>
      <c r="F411" s="22">
        <f t="shared" si="26"/>
        <v>25000</v>
      </c>
      <c r="G411" s="22">
        <f t="shared" si="27"/>
        <v>22105.263157894737</v>
      </c>
      <c r="H411" s="22" t="str">
        <f t="shared" si="28"/>
        <v/>
      </c>
      <c r="I411" s="13">
        <v>29697</v>
      </c>
      <c r="J411" s="13">
        <v>876</v>
      </c>
      <c r="K411" s="13">
        <v>18</v>
      </c>
      <c r="L411" s="13">
        <v>0</v>
      </c>
      <c r="M411" s="13">
        <v>30591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5">
        <v>0</v>
      </c>
      <c r="T411" s="15">
        <v>8</v>
      </c>
      <c r="U411" s="15">
        <v>57</v>
      </c>
      <c r="V411" s="15">
        <v>0</v>
      </c>
      <c r="W411" s="15">
        <v>65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7">
        <v>0</v>
      </c>
      <c r="AD411" s="17">
        <v>189</v>
      </c>
      <c r="AE411" s="17">
        <v>1260</v>
      </c>
      <c r="AF411" s="17">
        <v>0</v>
      </c>
      <c r="AG411" s="17">
        <v>1449</v>
      </c>
      <c r="AH411" s="18">
        <v>383</v>
      </c>
      <c r="AI411" s="18">
        <v>11</v>
      </c>
      <c r="AJ411" s="18">
        <v>0</v>
      </c>
      <c r="AK411" s="18">
        <v>0</v>
      </c>
      <c r="AL411" s="18">
        <v>394</v>
      </c>
      <c r="AM411" s="19" t="s">
        <v>24</v>
      </c>
    </row>
    <row r="412" spans="1:39" x14ac:dyDescent="0.25">
      <c r="A412" s="10">
        <v>2016</v>
      </c>
      <c r="B412" s="11">
        <v>23826</v>
      </c>
      <c r="C412" s="12" t="s">
        <v>443</v>
      </c>
      <c r="D412" s="12" t="s">
        <v>74</v>
      </c>
      <c r="E412" s="22" t="str">
        <f t="shared" si="25"/>
        <v/>
      </c>
      <c r="F412" s="22">
        <f t="shared" si="26"/>
        <v>500</v>
      </c>
      <c r="G412" s="22" t="str">
        <f t="shared" si="27"/>
        <v/>
      </c>
      <c r="H412" s="22" t="str">
        <f t="shared" si="28"/>
        <v/>
      </c>
      <c r="I412" s="13">
        <v>0</v>
      </c>
      <c r="J412" s="13">
        <v>12</v>
      </c>
      <c r="K412" s="13">
        <v>203</v>
      </c>
      <c r="L412" s="13">
        <v>0</v>
      </c>
      <c r="M412" s="13">
        <v>215</v>
      </c>
      <c r="N412" s="14">
        <v>0</v>
      </c>
      <c r="O412" s="14">
        <v>0</v>
      </c>
      <c r="P412" s="14">
        <v>5</v>
      </c>
      <c r="Q412" s="14">
        <v>0</v>
      </c>
      <c r="R412" s="14">
        <v>5</v>
      </c>
      <c r="S412" s="15">
        <v>0</v>
      </c>
      <c r="T412" s="15">
        <v>4</v>
      </c>
      <c r="U412" s="15">
        <v>0</v>
      </c>
      <c r="V412" s="15">
        <v>0</v>
      </c>
      <c r="W412" s="15">
        <v>4</v>
      </c>
      <c r="X412" s="16">
        <v>0</v>
      </c>
      <c r="Y412" s="16">
        <v>3</v>
      </c>
      <c r="Z412" s="16">
        <v>0</v>
      </c>
      <c r="AA412" s="16">
        <v>0</v>
      </c>
      <c r="AB412" s="16">
        <v>3</v>
      </c>
      <c r="AC412" s="17">
        <v>0</v>
      </c>
      <c r="AD412" s="17">
        <v>0</v>
      </c>
      <c r="AE412" s="17">
        <v>146</v>
      </c>
      <c r="AF412" s="17">
        <v>0</v>
      </c>
      <c r="AG412" s="17">
        <v>146</v>
      </c>
      <c r="AH412" s="18">
        <v>0</v>
      </c>
      <c r="AI412" s="18">
        <v>2</v>
      </c>
      <c r="AJ412" s="18">
        <v>25</v>
      </c>
      <c r="AK412" s="18">
        <v>0</v>
      </c>
      <c r="AL412" s="18">
        <v>27</v>
      </c>
      <c r="AM412" s="19" t="s">
        <v>24</v>
      </c>
    </row>
    <row r="413" spans="1:39" x14ac:dyDescent="0.25">
      <c r="A413" s="10">
        <v>2016</v>
      </c>
      <c r="B413" s="11">
        <v>24211</v>
      </c>
      <c r="C413" s="12" t="s">
        <v>444</v>
      </c>
      <c r="D413" s="12" t="s">
        <v>46</v>
      </c>
      <c r="E413" s="22" t="str">
        <f t="shared" si="25"/>
        <v/>
      </c>
      <c r="F413" s="22">
        <f t="shared" si="26"/>
        <v>15595.667870036101</v>
      </c>
      <c r="G413" s="22" t="str">
        <f t="shared" si="27"/>
        <v/>
      </c>
      <c r="H413" s="22" t="str">
        <f t="shared" si="28"/>
        <v/>
      </c>
      <c r="I413" s="13">
        <v>0</v>
      </c>
      <c r="J413" s="13">
        <v>225</v>
      </c>
      <c r="K413" s="13">
        <v>0</v>
      </c>
      <c r="L413" s="13">
        <v>0</v>
      </c>
      <c r="M413" s="13">
        <v>225</v>
      </c>
      <c r="N413" s="14">
        <v>0</v>
      </c>
      <c r="O413" s="14">
        <v>20235</v>
      </c>
      <c r="P413" s="14">
        <v>0</v>
      </c>
      <c r="Q413" s="14">
        <v>0</v>
      </c>
      <c r="R413" s="14">
        <v>20235</v>
      </c>
      <c r="S413" s="15">
        <v>0</v>
      </c>
      <c r="T413" s="15">
        <v>27.7</v>
      </c>
      <c r="U413" s="15">
        <v>0</v>
      </c>
      <c r="V413" s="15">
        <v>0</v>
      </c>
      <c r="W413" s="15">
        <v>27.7</v>
      </c>
      <c r="X413" s="16">
        <v>0</v>
      </c>
      <c r="Y413" s="16">
        <v>27.7</v>
      </c>
      <c r="Z413" s="16">
        <v>0</v>
      </c>
      <c r="AA413" s="16">
        <v>0</v>
      </c>
      <c r="AB413" s="16">
        <v>27.7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8">
        <v>0</v>
      </c>
      <c r="AI413" s="18">
        <v>432</v>
      </c>
      <c r="AJ413" s="18">
        <v>0</v>
      </c>
      <c r="AK413" s="18">
        <v>0</v>
      </c>
      <c r="AL413" s="18">
        <v>432</v>
      </c>
      <c r="AM413" s="19">
        <v>0</v>
      </c>
    </row>
    <row r="414" spans="1:39" x14ac:dyDescent="0.25">
      <c r="A414" s="10">
        <v>2016</v>
      </c>
      <c r="B414" s="11">
        <v>24949</v>
      </c>
      <c r="C414" s="12" t="s">
        <v>445</v>
      </c>
      <c r="D414" s="12" t="s">
        <v>79</v>
      </c>
      <c r="E414" s="22">
        <f t="shared" si="25"/>
        <v>17866.920152091254</v>
      </c>
      <c r="F414" s="22">
        <f t="shared" si="26"/>
        <v>80605.504587155971</v>
      </c>
      <c r="G414" s="22">
        <f t="shared" si="27"/>
        <v>9277.7777777777774</v>
      </c>
      <c r="H414" s="22" t="str">
        <f t="shared" si="28"/>
        <v/>
      </c>
      <c r="I414" s="13">
        <v>9097</v>
      </c>
      <c r="J414" s="13">
        <v>410</v>
      </c>
      <c r="K414" s="13">
        <v>527</v>
      </c>
      <c r="L414" s="13">
        <v>0</v>
      </c>
      <c r="M414" s="13">
        <v>10034</v>
      </c>
      <c r="N414" s="14">
        <v>2556</v>
      </c>
      <c r="O414" s="14">
        <v>1117</v>
      </c>
      <c r="P414" s="14">
        <v>578</v>
      </c>
      <c r="Q414" s="14">
        <v>0</v>
      </c>
      <c r="R414" s="14">
        <v>4251</v>
      </c>
      <c r="S414" s="15">
        <v>263</v>
      </c>
      <c r="T414" s="15">
        <v>109</v>
      </c>
      <c r="U414" s="15">
        <v>54</v>
      </c>
      <c r="V414" s="15">
        <v>0</v>
      </c>
      <c r="W414" s="15">
        <v>426</v>
      </c>
      <c r="X414" s="16">
        <v>71</v>
      </c>
      <c r="Y414" s="16">
        <v>29</v>
      </c>
      <c r="Z414" s="16">
        <v>15</v>
      </c>
      <c r="AA414" s="16">
        <v>0</v>
      </c>
      <c r="AB414" s="16">
        <v>115</v>
      </c>
      <c r="AC414" s="17">
        <v>4180</v>
      </c>
      <c r="AD414" s="17">
        <v>8763</v>
      </c>
      <c r="AE414" s="17">
        <v>471</v>
      </c>
      <c r="AF414" s="17">
        <v>0</v>
      </c>
      <c r="AG414" s="17">
        <v>13414</v>
      </c>
      <c r="AH414" s="18">
        <v>519</v>
      </c>
      <c r="AI414" s="18">
        <v>23</v>
      </c>
      <c r="AJ414" s="18">
        <v>30</v>
      </c>
      <c r="AK414" s="18">
        <v>0</v>
      </c>
      <c r="AL414" s="18">
        <v>572</v>
      </c>
      <c r="AM414" s="19">
        <v>23</v>
      </c>
    </row>
    <row r="415" spans="1:39" x14ac:dyDescent="0.25">
      <c r="A415" s="10">
        <v>2016</v>
      </c>
      <c r="B415" s="11">
        <v>25295</v>
      </c>
      <c r="C415" s="12" t="s">
        <v>446</v>
      </c>
      <c r="D415" s="12" t="s">
        <v>70</v>
      </c>
      <c r="E415" s="22" t="str">
        <f t="shared" si="25"/>
        <v/>
      </c>
      <c r="F415" s="22">
        <f t="shared" si="26"/>
        <v>8000</v>
      </c>
      <c r="G415" s="22" t="str">
        <f t="shared" si="27"/>
        <v/>
      </c>
      <c r="H415" s="22" t="str">
        <f t="shared" si="28"/>
        <v/>
      </c>
      <c r="I415" s="13">
        <v>0</v>
      </c>
      <c r="J415" s="13">
        <v>10</v>
      </c>
      <c r="K415" s="13">
        <v>0</v>
      </c>
      <c r="L415" s="13">
        <v>0</v>
      </c>
      <c r="M415" s="13">
        <v>10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5">
        <v>0</v>
      </c>
      <c r="T415" s="15">
        <v>0.5</v>
      </c>
      <c r="U415" s="15">
        <v>0</v>
      </c>
      <c r="V415" s="15">
        <v>0</v>
      </c>
      <c r="W415" s="15">
        <v>0.5</v>
      </c>
      <c r="X415" s="16">
        <v>0</v>
      </c>
      <c r="Y415" s="16">
        <v>0.5</v>
      </c>
      <c r="Z415" s="16">
        <v>0</v>
      </c>
      <c r="AA415" s="16">
        <v>0</v>
      </c>
      <c r="AB415" s="16">
        <v>0.5</v>
      </c>
      <c r="AC415" s="17">
        <v>0</v>
      </c>
      <c r="AD415" s="17">
        <v>4</v>
      </c>
      <c r="AE415" s="17">
        <v>0</v>
      </c>
      <c r="AF415" s="17">
        <v>0</v>
      </c>
      <c r="AG415" s="17">
        <v>4</v>
      </c>
      <c r="AH415" s="18">
        <v>0</v>
      </c>
      <c r="AI415" s="18">
        <v>0</v>
      </c>
      <c r="AJ415" s="18">
        <v>0</v>
      </c>
      <c r="AK415" s="18">
        <v>0</v>
      </c>
      <c r="AL415" s="18">
        <v>0</v>
      </c>
      <c r="AM415" s="19" t="s">
        <v>24</v>
      </c>
    </row>
    <row r="416" spans="1:39" x14ac:dyDescent="0.25">
      <c r="A416" s="10">
        <v>2016</v>
      </c>
      <c r="B416" s="11">
        <v>26218</v>
      </c>
      <c r="C416" s="12" t="s">
        <v>447</v>
      </c>
      <c r="D416" s="12" t="s">
        <v>40</v>
      </c>
      <c r="E416" s="22" t="str">
        <f t="shared" si="25"/>
        <v/>
      </c>
      <c r="F416" s="22" t="str">
        <f t="shared" si="26"/>
        <v/>
      </c>
      <c r="G416" s="22">
        <f t="shared" si="27"/>
        <v>5000</v>
      </c>
      <c r="H416" s="22" t="str">
        <f t="shared" si="28"/>
        <v/>
      </c>
      <c r="I416" s="13">
        <v>0</v>
      </c>
      <c r="J416" s="13">
        <v>0</v>
      </c>
      <c r="K416" s="13">
        <v>259</v>
      </c>
      <c r="L416" s="13">
        <v>0</v>
      </c>
      <c r="M416" s="13">
        <v>259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5">
        <v>0</v>
      </c>
      <c r="T416" s="15">
        <v>0</v>
      </c>
      <c r="U416" s="15">
        <v>4</v>
      </c>
      <c r="V416" s="15">
        <v>0</v>
      </c>
      <c r="W416" s="15">
        <v>4</v>
      </c>
      <c r="X416" s="16">
        <v>0</v>
      </c>
      <c r="Y416" s="16">
        <v>0</v>
      </c>
      <c r="Z416" s="16">
        <v>2</v>
      </c>
      <c r="AA416" s="16">
        <v>0</v>
      </c>
      <c r="AB416" s="16">
        <v>2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8">
        <v>0</v>
      </c>
      <c r="AI416" s="18">
        <v>0</v>
      </c>
      <c r="AJ416" s="18">
        <v>20</v>
      </c>
      <c r="AK416" s="18">
        <v>0</v>
      </c>
      <c r="AL416" s="18">
        <v>20</v>
      </c>
      <c r="AM416" s="19" t="s">
        <v>24</v>
      </c>
    </row>
    <row r="417" spans="1:39" x14ac:dyDescent="0.25">
      <c r="A417" s="10">
        <v>2016</v>
      </c>
      <c r="B417" s="11">
        <v>26934</v>
      </c>
      <c r="C417" s="12" t="s">
        <v>448</v>
      </c>
      <c r="D417" s="12" t="s">
        <v>36</v>
      </c>
      <c r="E417" s="22">
        <f t="shared" si="25"/>
        <v>13371.428571428571</v>
      </c>
      <c r="F417" s="22" t="str">
        <f t="shared" si="26"/>
        <v/>
      </c>
      <c r="G417" s="22" t="str">
        <f t="shared" si="27"/>
        <v/>
      </c>
      <c r="H417" s="22" t="str">
        <f t="shared" si="28"/>
        <v/>
      </c>
      <c r="I417" s="13">
        <v>2259</v>
      </c>
      <c r="J417" s="13">
        <v>0</v>
      </c>
      <c r="K417" s="13">
        <v>0</v>
      </c>
      <c r="L417" s="13">
        <v>0</v>
      </c>
      <c r="M417" s="13">
        <v>2259</v>
      </c>
      <c r="N417" s="14">
        <v>784</v>
      </c>
      <c r="O417" s="14">
        <v>0</v>
      </c>
      <c r="P417" s="14">
        <v>0</v>
      </c>
      <c r="Q417" s="14">
        <v>0</v>
      </c>
      <c r="R417" s="14">
        <v>784</v>
      </c>
      <c r="S417" s="15">
        <v>52.5</v>
      </c>
      <c r="T417" s="15">
        <v>0</v>
      </c>
      <c r="U417" s="15">
        <v>0</v>
      </c>
      <c r="V417" s="15">
        <v>0</v>
      </c>
      <c r="W417" s="15">
        <v>52.5</v>
      </c>
      <c r="X417" s="16">
        <v>14</v>
      </c>
      <c r="Y417" s="16">
        <v>0</v>
      </c>
      <c r="Z417" s="16">
        <v>0</v>
      </c>
      <c r="AA417" s="16">
        <v>0</v>
      </c>
      <c r="AB417" s="16">
        <v>14</v>
      </c>
      <c r="AC417" s="17">
        <v>673</v>
      </c>
      <c r="AD417" s="17">
        <v>0</v>
      </c>
      <c r="AE417" s="17">
        <v>0</v>
      </c>
      <c r="AF417" s="17">
        <v>0</v>
      </c>
      <c r="AG417" s="17">
        <v>673</v>
      </c>
      <c r="AH417" s="18">
        <v>29</v>
      </c>
      <c r="AI417" s="18">
        <v>0</v>
      </c>
      <c r="AJ417" s="18">
        <v>0</v>
      </c>
      <c r="AK417" s="18">
        <v>0</v>
      </c>
      <c r="AL417" s="18">
        <v>29</v>
      </c>
      <c r="AM417" s="19" t="s">
        <v>24</v>
      </c>
    </row>
    <row r="418" spans="1:39" x14ac:dyDescent="0.25">
      <c r="A418" s="10">
        <v>2016</v>
      </c>
      <c r="B418" s="11">
        <v>26939</v>
      </c>
      <c r="C418" s="12" t="s">
        <v>449</v>
      </c>
      <c r="D418" s="12" t="s">
        <v>36</v>
      </c>
      <c r="E418" s="22">
        <f t="shared" si="25"/>
        <v>1767.8571428571429</v>
      </c>
      <c r="F418" s="22">
        <f t="shared" si="26"/>
        <v>1000</v>
      </c>
      <c r="G418" s="22" t="str">
        <f t="shared" si="27"/>
        <v/>
      </c>
      <c r="H418" s="22" t="str">
        <f t="shared" si="28"/>
        <v/>
      </c>
      <c r="I418" s="13">
        <v>2205</v>
      </c>
      <c r="J418" s="13">
        <v>36</v>
      </c>
      <c r="K418" s="13">
        <v>0</v>
      </c>
      <c r="L418" s="13">
        <v>0</v>
      </c>
      <c r="M418" s="13">
        <v>2241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5">
        <v>56</v>
      </c>
      <c r="T418" s="15">
        <v>5</v>
      </c>
      <c r="U418" s="15">
        <v>0</v>
      </c>
      <c r="V418" s="15">
        <v>0</v>
      </c>
      <c r="W418" s="15">
        <v>61</v>
      </c>
      <c r="X418" s="16">
        <v>17</v>
      </c>
      <c r="Y418" s="16">
        <v>2</v>
      </c>
      <c r="Z418" s="16">
        <v>0</v>
      </c>
      <c r="AA418" s="16">
        <v>0</v>
      </c>
      <c r="AB418" s="16">
        <v>19</v>
      </c>
      <c r="AC418" s="17">
        <v>13</v>
      </c>
      <c r="AD418" s="17">
        <v>0</v>
      </c>
      <c r="AE418" s="17">
        <v>0</v>
      </c>
      <c r="AF418" s="17">
        <v>0</v>
      </c>
      <c r="AG418" s="17">
        <v>13</v>
      </c>
      <c r="AH418" s="18">
        <v>86</v>
      </c>
      <c r="AI418" s="18">
        <v>5</v>
      </c>
      <c r="AJ418" s="18">
        <v>0</v>
      </c>
      <c r="AK418" s="18">
        <v>0</v>
      </c>
      <c r="AL418" s="18">
        <v>91</v>
      </c>
      <c r="AM418" s="19" t="s">
        <v>24</v>
      </c>
    </row>
    <row r="419" spans="1:39" x14ac:dyDescent="0.25">
      <c r="A419" s="10">
        <v>2016</v>
      </c>
      <c r="B419" s="11">
        <v>40051</v>
      </c>
      <c r="C419" s="12" t="s">
        <v>450</v>
      </c>
      <c r="D419" s="12" t="s">
        <v>56</v>
      </c>
      <c r="E419" s="22" t="str">
        <f t="shared" si="25"/>
        <v/>
      </c>
      <c r="F419" s="22">
        <f t="shared" si="26"/>
        <v>38717.948717948719</v>
      </c>
      <c r="G419" s="22" t="str">
        <f t="shared" si="27"/>
        <v/>
      </c>
      <c r="H419" s="22" t="str">
        <f t="shared" si="28"/>
        <v/>
      </c>
      <c r="I419" s="13">
        <v>0</v>
      </c>
      <c r="J419" s="13">
        <v>95</v>
      </c>
      <c r="K419" s="13">
        <v>0</v>
      </c>
      <c r="L419" s="13">
        <v>0</v>
      </c>
      <c r="M419" s="13">
        <v>95</v>
      </c>
      <c r="N419" s="14">
        <v>0</v>
      </c>
      <c r="O419" s="14">
        <v>6</v>
      </c>
      <c r="P419" s="14">
        <v>0</v>
      </c>
      <c r="Q419" s="14">
        <v>0</v>
      </c>
      <c r="R419" s="14">
        <v>6</v>
      </c>
      <c r="S419" s="15">
        <v>0</v>
      </c>
      <c r="T419" s="15">
        <v>7.8</v>
      </c>
      <c r="U419" s="15">
        <v>0</v>
      </c>
      <c r="V419" s="15">
        <v>0</v>
      </c>
      <c r="W419" s="15">
        <v>7.8</v>
      </c>
      <c r="X419" s="16">
        <v>0</v>
      </c>
      <c r="Y419" s="16">
        <v>5.9</v>
      </c>
      <c r="Z419" s="16">
        <v>0</v>
      </c>
      <c r="AA419" s="16">
        <v>0</v>
      </c>
      <c r="AB419" s="16">
        <v>5.9</v>
      </c>
      <c r="AC419" s="17">
        <v>0</v>
      </c>
      <c r="AD419" s="17">
        <v>267</v>
      </c>
      <c r="AE419" s="17">
        <v>0</v>
      </c>
      <c r="AF419" s="17">
        <v>0</v>
      </c>
      <c r="AG419" s="17">
        <v>267</v>
      </c>
      <c r="AH419" s="18">
        <v>0</v>
      </c>
      <c r="AI419" s="18">
        <v>35</v>
      </c>
      <c r="AJ419" s="18">
        <v>0</v>
      </c>
      <c r="AK419" s="18">
        <v>0</v>
      </c>
      <c r="AL419" s="18">
        <v>35</v>
      </c>
      <c r="AM419" s="19" t="s">
        <v>24</v>
      </c>
    </row>
    <row r="420" spans="1:39" x14ac:dyDescent="0.25">
      <c r="A420" s="10">
        <v>2016</v>
      </c>
      <c r="B420" s="11">
        <v>40165</v>
      </c>
      <c r="C420" s="12" t="s">
        <v>451</v>
      </c>
      <c r="D420" s="12" t="s">
        <v>313</v>
      </c>
      <c r="E420" s="22" t="str">
        <f t="shared" si="25"/>
        <v/>
      </c>
      <c r="F420" s="22">
        <f t="shared" si="26"/>
        <v>33692.307692307695</v>
      </c>
      <c r="G420" s="22" t="str">
        <f t="shared" si="27"/>
        <v/>
      </c>
      <c r="H420" s="22" t="str">
        <f t="shared" si="28"/>
        <v/>
      </c>
      <c r="I420" s="13">
        <v>0</v>
      </c>
      <c r="J420" s="13">
        <v>97</v>
      </c>
      <c r="K420" s="13">
        <v>0</v>
      </c>
      <c r="L420" s="13">
        <v>0</v>
      </c>
      <c r="M420" s="13">
        <v>97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5">
        <v>0</v>
      </c>
      <c r="T420" s="15">
        <v>6.5</v>
      </c>
      <c r="U420" s="15">
        <v>0</v>
      </c>
      <c r="V420" s="15">
        <v>0</v>
      </c>
      <c r="W420" s="15">
        <v>6.5</v>
      </c>
      <c r="X420" s="16">
        <v>0</v>
      </c>
      <c r="Y420" s="16">
        <v>6.5</v>
      </c>
      <c r="Z420" s="16">
        <v>0</v>
      </c>
      <c r="AA420" s="16">
        <v>0</v>
      </c>
      <c r="AB420" s="16">
        <v>6.5</v>
      </c>
      <c r="AC420" s="17">
        <v>0</v>
      </c>
      <c r="AD420" s="17">
        <v>188</v>
      </c>
      <c r="AE420" s="17">
        <v>0</v>
      </c>
      <c r="AF420" s="17">
        <v>0</v>
      </c>
      <c r="AG420" s="17">
        <v>188</v>
      </c>
      <c r="AH420" s="18">
        <v>0</v>
      </c>
      <c r="AI420" s="18">
        <v>31</v>
      </c>
      <c r="AJ420" s="18">
        <v>0</v>
      </c>
      <c r="AK420" s="18">
        <v>0</v>
      </c>
      <c r="AL420" s="18">
        <v>31</v>
      </c>
      <c r="AM420" s="19" t="s">
        <v>24</v>
      </c>
    </row>
    <row r="421" spans="1:39" x14ac:dyDescent="0.25">
      <c r="A421" s="10">
        <v>2016</v>
      </c>
      <c r="B421" s="11">
        <v>40211</v>
      </c>
      <c r="C421" s="12" t="s">
        <v>452</v>
      </c>
      <c r="D421" s="12" t="s">
        <v>27</v>
      </c>
      <c r="E421" s="22">
        <f t="shared" si="25"/>
        <v>77500</v>
      </c>
      <c r="F421" s="22" t="str">
        <f t="shared" si="26"/>
        <v/>
      </c>
      <c r="G421" s="22" t="str">
        <f t="shared" si="27"/>
        <v/>
      </c>
      <c r="H421" s="22" t="str">
        <f t="shared" si="28"/>
        <v/>
      </c>
      <c r="I421" s="13">
        <v>4962</v>
      </c>
      <c r="J421" s="13">
        <v>0</v>
      </c>
      <c r="K421" s="13">
        <v>0</v>
      </c>
      <c r="L421" s="13">
        <v>0</v>
      </c>
      <c r="M421" s="13">
        <v>4962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5">
        <v>10</v>
      </c>
      <c r="T421" s="15">
        <v>0</v>
      </c>
      <c r="U421" s="15">
        <v>0</v>
      </c>
      <c r="V421" s="15">
        <v>0</v>
      </c>
      <c r="W421" s="15">
        <v>10</v>
      </c>
      <c r="X421" s="16">
        <v>8.6</v>
      </c>
      <c r="Y421" s="16">
        <v>0</v>
      </c>
      <c r="Z421" s="16">
        <v>0</v>
      </c>
      <c r="AA421" s="16">
        <v>0</v>
      </c>
      <c r="AB421" s="16">
        <v>8.6</v>
      </c>
      <c r="AC421" s="17">
        <v>482</v>
      </c>
      <c r="AD421" s="17">
        <v>0</v>
      </c>
      <c r="AE421" s="17">
        <v>0</v>
      </c>
      <c r="AF421" s="17">
        <v>0</v>
      </c>
      <c r="AG421" s="17">
        <v>482</v>
      </c>
      <c r="AH421" s="18">
        <v>293</v>
      </c>
      <c r="AI421" s="18">
        <v>0</v>
      </c>
      <c r="AJ421" s="18">
        <v>0</v>
      </c>
      <c r="AK421" s="18">
        <v>0</v>
      </c>
      <c r="AL421" s="18">
        <v>293</v>
      </c>
      <c r="AM421" s="19" t="s">
        <v>24</v>
      </c>
    </row>
    <row r="422" spans="1:39" x14ac:dyDescent="0.25">
      <c r="A422" s="10">
        <v>2016</v>
      </c>
      <c r="B422" s="11">
        <v>40211</v>
      </c>
      <c r="C422" s="12" t="s">
        <v>452</v>
      </c>
      <c r="D422" s="12" t="s">
        <v>70</v>
      </c>
      <c r="E422" s="22">
        <f t="shared" si="25"/>
        <v>48571.428571428572</v>
      </c>
      <c r="F422" s="22" t="str">
        <f t="shared" si="26"/>
        <v/>
      </c>
      <c r="G422" s="22" t="str">
        <f t="shared" si="27"/>
        <v/>
      </c>
      <c r="H422" s="22" t="str">
        <f t="shared" si="28"/>
        <v/>
      </c>
      <c r="I422" s="13">
        <v>81</v>
      </c>
      <c r="J422" s="13">
        <v>0</v>
      </c>
      <c r="K422" s="13">
        <v>0</v>
      </c>
      <c r="L422" s="13">
        <v>0</v>
      </c>
      <c r="M422" s="13">
        <v>81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5">
        <v>2.8</v>
      </c>
      <c r="T422" s="15">
        <v>0</v>
      </c>
      <c r="U422" s="15">
        <v>0</v>
      </c>
      <c r="V422" s="15">
        <v>0</v>
      </c>
      <c r="W422" s="15">
        <v>2.8</v>
      </c>
      <c r="X422" s="16">
        <v>2</v>
      </c>
      <c r="Y422" s="16">
        <v>0</v>
      </c>
      <c r="Z422" s="16">
        <v>0</v>
      </c>
      <c r="AA422" s="16">
        <v>0</v>
      </c>
      <c r="AB422" s="16">
        <v>2</v>
      </c>
      <c r="AC422" s="17">
        <v>135</v>
      </c>
      <c r="AD422" s="17">
        <v>0</v>
      </c>
      <c r="AE422" s="17">
        <v>0</v>
      </c>
      <c r="AF422" s="17">
        <v>0</v>
      </c>
      <c r="AG422" s="17">
        <v>135</v>
      </c>
      <c r="AH422" s="18">
        <v>1</v>
      </c>
      <c r="AI422" s="18">
        <v>0</v>
      </c>
      <c r="AJ422" s="18">
        <v>0</v>
      </c>
      <c r="AK422" s="18">
        <v>0</v>
      </c>
      <c r="AL422" s="18">
        <v>1</v>
      </c>
      <c r="AM422" s="19">
        <v>2</v>
      </c>
    </row>
    <row r="423" spans="1:39" x14ac:dyDescent="0.25">
      <c r="A423" s="10">
        <v>2016</v>
      </c>
      <c r="B423" s="11">
        <v>40211</v>
      </c>
      <c r="C423" s="12" t="s">
        <v>452</v>
      </c>
      <c r="D423" s="12" t="s">
        <v>70</v>
      </c>
      <c r="E423" s="22">
        <f t="shared" si="25"/>
        <v>58660.287081339717</v>
      </c>
      <c r="F423" s="22" t="str">
        <f t="shared" si="26"/>
        <v/>
      </c>
      <c r="G423" s="22" t="str">
        <f t="shared" si="27"/>
        <v/>
      </c>
      <c r="H423" s="22" t="str">
        <f t="shared" si="28"/>
        <v/>
      </c>
      <c r="I423" s="13">
        <v>20521</v>
      </c>
      <c r="J423" s="13">
        <v>0</v>
      </c>
      <c r="K423" s="13">
        <v>0</v>
      </c>
      <c r="L423" s="13">
        <v>0</v>
      </c>
      <c r="M423" s="13">
        <v>20521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5">
        <v>41.8</v>
      </c>
      <c r="T423" s="15">
        <v>0</v>
      </c>
      <c r="U423" s="15">
        <v>0</v>
      </c>
      <c r="V423" s="15">
        <v>0</v>
      </c>
      <c r="W423" s="15">
        <v>41.8</v>
      </c>
      <c r="X423" s="16">
        <v>38.4</v>
      </c>
      <c r="Y423" s="16">
        <v>0</v>
      </c>
      <c r="Z423" s="16">
        <v>0</v>
      </c>
      <c r="AA423" s="16">
        <v>0</v>
      </c>
      <c r="AB423" s="16">
        <v>38.4</v>
      </c>
      <c r="AC423" s="17">
        <v>2016</v>
      </c>
      <c r="AD423" s="17">
        <v>0</v>
      </c>
      <c r="AE423" s="17">
        <v>0</v>
      </c>
      <c r="AF423" s="17">
        <v>0</v>
      </c>
      <c r="AG423" s="17">
        <v>2016</v>
      </c>
      <c r="AH423" s="18">
        <v>436</v>
      </c>
      <c r="AI423" s="18">
        <v>0</v>
      </c>
      <c r="AJ423" s="18">
        <v>0</v>
      </c>
      <c r="AK423" s="18">
        <v>0</v>
      </c>
      <c r="AL423" s="18">
        <v>436</v>
      </c>
      <c r="AM423" s="19">
        <v>0</v>
      </c>
    </row>
    <row r="424" spans="1:39" x14ac:dyDescent="0.25">
      <c r="A424" s="10">
        <v>2016</v>
      </c>
      <c r="B424" s="11">
        <v>40211</v>
      </c>
      <c r="C424" s="12" t="s">
        <v>452</v>
      </c>
      <c r="D424" s="12" t="s">
        <v>112</v>
      </c>
      <c r="E424" s="22">
        <f t="shared" si="25"/>
        <v>11428.571428571429</v>
      </c>
      <c r="F424" s="22" t="str">
        <f t="shared" si="26"/>
        <v/>
      </c>
      <c r="G424" s="22" t="str">
        <f t="shared" si="27"/>
        <v/>
      </c>
      <c r="H424" s="22" t="str">
        <f t="shared" si="28"/>
        <v/>
      </c>
      <c r="I424" s="13">
        <v>87</v>
      </c>
      <c r="J424" s="13">
        <v>0</v>
      </c>
      <c r="K424" s="13">
        <v>0</v>
      </c>
      <c r="L424" s="13">
        <v>0</v>
      </c>
      <c r="M424" s="13">
        <v>87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5">
        <v>0.7</v>
      </c>
      <c r="T424" s="15">
        <v>0</v>
      </c>
      <c r="U424" s="15">
        <v>0</v>
      </c>
      <c r="V424" s="15">
        <v>0</v>
      </c>
      <c r="W424" s="15">
        <v>0.7</v>
      </c>
      <c r="X424" s="16">
        <v>0.7</v>
      </c>
      <c r="Y424" s="16">
        <v>0</v>
      </c>
      <c r="Z424" s="16">
        <v>0</v>
      </c>
      <c r="AA424" s="16">
        <v>0</v>
      </c>
      <c r="AB424" s="16">
        <v>0.7</v>
      </c>
      <c r="AC424" s="17">
        <v>3</v>
      </c>
      <c r="AD424" s="17">
        <v>0</v>
      </c>
      <c r="AE424" s="17">
        <v>0</v>
      </c>
      <c r="AF424" s="17">
        <v>0</v>
      </c>
      <c r="AG424" s="17">
        <v>3</v>
      </c>
      <c r="AH424" s="18">
        <v>5</v>
      </c>
      <c r="AI424" s="18">
        <v>0</v>
      </c>
      <c r="AJ424" s="18">
        <v>0</v>
      </c>
      <c r="AK424" s="18">
        <v>0</v>
      </c>
      <c r="AL424" s="18">
        <v>5</v>
      </c>
      <c r="AM424" s="19">
        <v>8</v>
      </c>
    </row>
    <row r="425" spans="1:39" x14ac:dyDescent="0.25">
      <c r="A425" s="10">
        <v>2016</v>
      </c>
      <c r="B425" s="11">
        <v>40212</v>
      </c>
      <c r="C425" s="12" t="s">
        <v>453</v>
      </c>
      <c r="D425" s="12" t="s">
        <v>40</v>
      </c>
      <c r="E425" s="22" t="str">
        <f t="shared" si="25"/>
        <v/>
      </c>
      <c r="F425" s="22">
        <f t="shared" si="26"/>
        <v>5000</v>
      </c>
      <c r="G425" s="22">
        <f t="shared" si="27"/>
        <v>710.14492753623188</v>
      </c>
      <c r="H425" s="22" t="str">
        <f t="shared" si="28"/>
        <v/>
      </c>
      <c r="I425" s="13">
        <v>0</v>
      </c>
      <c r="J425" s="13">
        <v>8</v>
      </c>
      <c r="K425" s="13">
        <v>1963</v>
      </c>
      <c r="L425" s="13">
        <v>0</v>
      </c>
      <c r="M425" s="13">
        <v>1971</v>
      </c>
      <c r="N425" s="14">
        <v>0</v>
      </c>
      <c r="O425" s="14">
        <v>22</v>
      </c>
      <c r="P425" s="14">
        <v>1787</v>
      </c>
      <c r="Q425" s="14">
        <v>0</v>
      </c>
      <c r="R425" s="14">
        <v>1809</v>
      </c>
      <c r="S425" s="15">
        <v>0</v>
      </c>
      <c r="T425" s="15">
        <v>1</v>
      </c>
      <c r="U425" s="15">
        <v>69</v>
      </c>
      <c r="V425" s="15">
        <v>0</v>
      </c>
      <c r="W425" s="15">
        <v>70</v>
      </c>
      <c r="X425" s="16">
        <v>0</v>
      </c>
      <c r="Y425" s="16">
        <v>1</v>
      </c>
      <c r="Z425" s="16">
        <v>69</v>
      </c>
      <c r="AA425" s="16">
        <v>0</v>
      </c>
      <c r="AB425" s="16">
        <v>70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8">
        <v>0</v>
      </c>
      <c r="AI425" s="18">
        <v>5</v>
      </c>
      <c r="AJ425" s="18">
        <v>49</v>
      </c>
      <c r="AK425" s="18">
        <v>0</v>
      </c>
      <c r="AL425" s="18">
        <v>54</v>
      </c>
      <c r="AM425" s="19" t="s">
        <v>24</v>
      </c>
    </row>
    <row r="426" spans="1:39" x14ac:dyDescent="0.25">
      <c r="A426" s="10">
        <v>2016</v>
      </c>
      <c r="B426" s="11">
        <v>40228</v>
      </c>
      <c r="C426" s="12" t="s">
        <v>454</v>
      </c>
      <c r="D426" s="12" t="s">
        <v>25</v>
      </c>
      <c r="E426" s="22">
        <f t="shared" si="25"/>
        <v>13076.923076923076</v>
      </c>
      <c r="F426" s="22">
        <f t="shared" si="26"/>
        <v>415.38461538461536</v>
      </c>
      <c r="G426" s="22">
        <f t="shared" si="27"/>
        <v>285.71428571428572</v>
      </c>
      <c r="H426" s="22" t="str">
        <f t="shared" si="28"/>
        <v/>
      </c>
      <c r="I426" s="13">
        <v>40296</v>
      </c>
      <c r="J426" s="13">
        <v>10</v>
      </c>
      <c r="K426" s="13">
        <v>18</v>
      </c>
      <c r="L426" s="13">
        <v>0</v>
      </c>
      <c r="M426" s="13">
        <v>40324</v>
      </c>
      <c r="N426" s="14">
        <v>20</v>
      </c>
      <c r="O426" s="14">
        <v>74</v>
      </c>
      <c r="P426" s="14">
        <v>28</v>
      </c>
      <c r="Q426" s="14">
        <v>0</v>
      </c>
      <c r="R426" s="14">
        <v>122</v>
      </c>
      <c r="S426" s="15">
        <v>39</v>
      </c>
      <c r="T426" s="15">
        <v>65</v>
      </c>
      <c r="U426" s="15">
        <v>56</v>
      </c>
      <c r="V426" s="15">
        <v>0</v>
      </c>
      <c r="W426" s="15">
        <v>160</v>
      </c>
      <c r="X426" s="16">
        <v>20</v>
      </c>
      <c r="Y426" s="16">
        <v>41</v>
      </c>
      <c r="Z426" s="16">
        <v>28</v>
      </c>
      <c r="AA426" s="16">
        <v>0</v>
      </c>
      <c r="AB426" s="16">
        <v>89</v>
      </c>
      <c r="AC426" s="17">
        <v>282</v>
      </c>
      <c r="AD426" s="17">
        <v>27</v>
      </c>
      <c r="AE426" s="17">
        <v>16</v>
      </c>
      <c r="AF426" s="17">
        <v>0</v>
      </c>
      <c r="AG426" s="17">
        <v>325</v>
      </c>
      <c r="AH426" s="18">
        <v>228</v>
      </c>
      <c r="AI426" s="18">
        <v>0</v>
      </c>
      <c r="AJ426" s="18">
        <v>0</v>
      </c>
      <c r="AK426" s="18">
        <v>0</v>
      </c>
      <c r="AL426" s="18">
        <v>228</v>
      </c>
      <c r="AM426" s="19">
        <v>0</v>
      </c>
    </row>
    <row r="427" spans="1:39" x14ac:dyDescent="0.25">
      <c r="A427" s="10">
        <v>2016</v>
      </c>
      <c r="B427" s="11">
        <v>44372</v>
      </c>
      <c r="C427" s="12" t="s">
        <v>455</v>
      </c>
      <c r="D427" s="12" t="s">
        <v>56</v>
      </c>
      <c r="E427" s="22">
        <f t="shared" si="25"/>
        <v>43469.387755102034</v>
      </c>
      <c r="F427" s="22">
        <f t="shared" si="26"/>
        <v>43083.333333333336</v>
      </c>
      <c r="G427" s="22" t="str">
        <f t="shared" si="27"/>
        <v/>
      </c>
      <c r="H427" s="22" t="str">
        <f t="shared" si="28"/>
        <v/>
      </c>
      <c r="I427" s="13">
        <v>7062</v>
      </c>
      <c r="J427" s="13">
        <v>161</v>
      </c>
      <c r="K427" s="13">
        <v>0</v>
      </c>
      <c r="L427" s="13">
        <v>0</v>
      </c>
      <c r="M427" s="13">
        <v>7223</v>
      </c>
      <c r="N427" s="14">
        <v>0</v>
      </c>
      <c r="O427" s="14">
        <v>180</v>
      </c>
      <c r="P427" s="14">
        <v>0</v>
      </c>
      <c r="Q427" s="14">
        <v>0</v>
      </c>
      <c r="R427" s="14">
        <v>180</v>
      </c>
      <c r="S427" s="15">
        <v>4.9000000000000004</v>
      </c>
      <c r="T427" s="15">
        <v>60</v>
      </c>
      <c r="U427" s="15">
        <v>0</v>
      </c>
      <c r="V427" s="15">
        <v>0</v>
      </c>
      <c r="W427" s="15">
        <v>64.900000000000006</v>
      </c>
      <c r="X427" s="16">
        <v>4.9000000000000004</v>
      </c>
      <c r="Y427" s="16">
        <v>60</v>
      </c>
      <c r="Z427" s="16">
        <v>0</v>
      </c>
      <c r="AA427" s="16">
        <v>0</v>
      </c>
      <c r="AB427" s="16">
        <v>64.900000000000006</v>
      </c>
      <c r="AC427" s="17">
        <v>184</v>
      </c>
      <c r="AD427" s="17">
        <v>2401</v>
      </c>
      <c r="AE427" s="17">
        <v>0</v>
      </c>
      <c r="AF427" s="17">
        <v>0</v>
      </c>
      <c r="AG427" s="17">
        <v>2585</v>
      </c>
      <c r="AH427" s="18">
        <v>29</v>
      </c>
      <c r="AI427" s="18">
        <v>184</v>
      </c>
      <c r="AJ427" s="18">
        <v>0</v>
      </c>
      <c r="AK427" s="18">
        <v>0</v>
      </c>
      <c r="AL427" s="18">
        <v>213</v>
      </c>
      <c r="AM427" s="19" t="s">
        <v>24</v>
      </c>
    </row>
    <row r="428" spans="1:39" x14ac:dyDescent="0.25">
      <c r="A428" s="10">
        <v>2016</v>
      </c>
      <c r="B428" s="11">
        <v>55787</v>
      </c>
      <c r="C428" s="12" t="s">
        <v>456</v>
      </c>
      <c r="D428" s="12" t="s">
        <v>42</v>
      </c>
      <c r="E428" s="22" t="str">
        <f t="shared" si="25"/>
        <v/>
      </c>
      <c r="F428" s="22">
        <f t="shared" si="26"/>
        <v>4000</v>
      </c>
      <c r="G428" s="22" t="str">
        <f t="shared" si="27"/>
        <v/>
      </c>
      <c r="H428" s="22" t="str">
        <f t="shared" si="28"/>
        <v/>
      </c>
      <c r="I428" s="13">
        <v>15</v>
      </c>
      <c r="J428" s="13">
        <v>13</v>
      </c>
      <c r="K428" s="13">
        <v>0</v>
      </c>
      <c r="L428" s="13">
        <v>0</v>
      </c>
      <c r="M428" s="13">
        <v>28</v>
      </c>
      <c r="N428" s="14">
        <v>0</v>
      </c>
      <c r="O428" s="14">
        <v>34</v>
      </c>
      <c r="P428" s="14">
        <v>0</v>
      </c>
      <c r="Q428" s="14">
        <v>0</v>
      </c>
      <c r="R428" s="14">
        <v>34</v>
      </c>
      <c r="S428" s="15">
        <v>0</v>
      </c>
      <c r="T428" s="15">
        <v>0.5</v>
      </c>
      <c r="U428" s="15">
        <v>0</v>
      </c>
      <c r="V428" s="15">
        <v>0</v>
      </c>
      <c r="W428" s="15">
        <v>0.5</v>
      </c>
      <c r="X428" s="16">
        <v>0</v>
      </c>
      <c r="Y428" s="16">
        <v>0.1</v>
      </c>
      <c r="Z428" s="16">
        <v>0</v>
      </c>
      <c r="AA428" s="16">
        <v>0</v>
      </c>
      <c r="AB428" s="16">
        <v>0.1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8">
        <v>25</v>
      </c>
      <c r="AI428" s="18">
        <v>2</v>
      </c>
      <c r="AJ428" s="18">
        <v>0</v>
      </c>
      <c r="AK428" s="18">
        <v>0</v>
      </c>
      <c r="AL428" s="18">
        <v>27</v>
      </c>
      <c r="AM428" s="19" t="s">
        <v>24</v>
      </c>
    </row>
    <row r="429" spans="1:39" x14ac:dyDescent="0.25">
      <c r="A429" s="10">
        <v>2016</v>
      </c>
      <c r="B429" s="11">
        <v>55937</v>
      </c>
      <c r="C429" s="12" t="s">
        <v>457</v>
      </c>
      <c r="D429" s="12" t="s">
        <v>56</v>
      </c>
      <c r="E429" s="22" t="str">
        <f t="shared" si="25"/>
        <v/>
      </c>
      <c r="F429" s="22">
        <f t="shared" si="26"/>
        <v>37888.888888888891</v>
      </c>
      <c r="G429" s="22" t="str">
        <f t="shared" si="27"/>
        <v/>
      </c>
      <c r="H429" s="22" t="str">
        <f t="shared" si="28"/>
        <v/>
      </c>
      <c r="I429" s="13">
        <v>0</v>
      </c>
      <c r="J429" s="13">
        <v>8</v>
      </c>
      <c r="K429" s="13">
        <v>0</v>
      </c>
      <c r="L429" s="13">
        <v>0</v>
      </c>
      <c r="M429" s="13">
        <v>8</v>
      </c>
      <c r="N429" s="14">
        <v>0</v>
      </c>
      <c r="O429" s="14">
        <v>18</v>
      </c>
      <c r="P429" s="14">
        <v>0</v>
      </c>
      <c r="Q429" s="14">
        <v>0</v>
      </c>
      <c r="R429" s="14">
        <v>18</v>
      </c>
      <c r="S429" s="15">
        <v>0</v>
      </c>
      <c r="T429" s="15">
        <v>9</v>
      </c>
      <c r="U429" s="15">
        <v>0</v>
      </c>
      <c r="V429" s="15">
        <v>0</v>
      </c>
      <c r="W429" s="15">
        <v>9</v>
      </c>
      <c r="X429" s="16">
        <v>0</v>
      </c>
      <c r="Y429" s="16">
        <v>9</v>
      </c>
      <c r="Z429" s="16">
        <v>0</v>
      </c>
      <c r="AA429" s="16">
        <v>0</v>
      </c>
      <c r="AB429" s="16">
        <v>9</v>
      </c>
      <c r="AC429" s="17">
        <v>0</v>
      </c>
      <c r="AD429" s="17">
        <v>279</v>
      </c>
      <c r="AE429" s="17">
        <v>0</v>
      </c>
      <c r="AF429" s="17">
        <v>0</v>
      </c>
      <c r="AG429" s="17">
        <v>279</v>
      </c>
      <c r="AH429" s="18">
        <v>0</v>
      </c>
      <c r="AI429" s="18">
        <v>62</v>
      </c>
      <c r="AJ429" s="18">
        <v>0</v>
      </c>
      <c r="AK429" s="18">
        <v>0</v>
      </c>
      <c r="AL429" s="18">
        <v>62</v>
      </c>
      <c r="AM429" s="19" t="s">
        <v>24</v>
      </c>
    </row>
    <row r="430" spans="1:39" x14ac:dyDescent="0.25">
      <c r="A430" s="10">
        <v>2016</v>
      </c>
      <c r="B430" s="11">
        <v>60482</v>
      </c>
      <c r="C430" s="12" t="s">
        <v>458</v>
      </c>
      <c r="D430" s="12" t="s">
        <v>96</v>
      </c>
      <c r="E430" s="22">
        <f t="shared" si="25"/>
        <v>63333.333333333336</v>
      </c>
      <c r="F430" s="22">
        <f t="shared" si="26"/>
        <v>7777.7777777777774</v>
      </c>
      <c r="G430" s="22">
        <f t="shared" si="27"/>
        <v>9363.636363636364</v>
      </c>
      <c r="H430" s="22" t="str">
        <f t="shared" si="28"/>
        <v/>
      </c>
      <c r="I430" s="13">
        <v>415</v>
      </c>
      <c r="J430" s="13">
        <v>758</v>
      </c>
      <c r="K430" s="13">
        <v>22</v>
      </c>
      <c r="L430" s="13">
        <v>0</v>
      </c>
      <c r="M430" s="13">
        <v>1195</v>
      </c>
      <c r="N430" s="14">
        <v>2</v>
      </c>
      <c r="O430" s="14">
        <v>4</v>
      </c>
      <c r="P430" s="14">
        <v>4</v>
      </c>
      <c r="Q430" s="14">
        <v>0</v>
      </c>
      <c r="R430" s="14">
        <v>10</v>
      </c>
      <c r="S430" s="15">
        <v>12</v>
      </c>
      <c r="T430" s="15">
        <v>45</v>
      </c>
      <c r="U430" s="15">
        <v>22</v>
      </c>
      <c r="V430" s="15">
        <v>0</v>
      </c>
      <c r="W430" s="15">
        <v>79</v>
      </c>
      <c r="X430" s="16">
        <v>2</v>
      </c>
      <c r="Y430" s="16">
        <v>4</v>
      </c>
      <c r="Z430" s="16">
        <v>4.5</v>
      </c>
      <c r="AA430" s="16">
        <v>0</v>
      </c>
      <c r="AB430" s="16">
        <v>10.5</v>
      </c>
      <c r="AC430" s="17">
        <v>0</v>
      </c>
      <c r="AD430" s="17">
        <v>0</v>
      </c>
      <c r="AE430" s="17">
        <v>0</v>
      </c>
      <c r="AF430" s="17">
        <v>0</v>
      </c>
      <c r="AG430" s="17">
        <v>0</v>
      </c>
      <c r="AH430" s="18">
        <v>760</v>
      </c>
      <c r="AI430" s="18">
        <v>350</v>
      </c>
      <c r="AJ430" s="18">
        <v>206</v>
      </c>
      <c r="AK430" s="18">
        <v>0</v>
      </c>
      <c r="AL430" s="18">
        <v>1316</v>
      </c>
      <c r="AM430" s="19" t="s">
        <v>24</v>
      </c>
    </row>
  </sheetData>
  <autoFilter ref="A3:AM430"/>
  <mergeCells count="11">
    <mergeCell ref="A1:D1"/>
    <mergeCell ref="I1:AB1"/>
    <mergeCell ref="AC1:AL1"/>
    <mergeCell ref="A2:D2"/>
    <mergeCell ref="I2:M2"/>
    <mergeCell ref="N2:R2"/>
    <mergeCell ref="S2:W2"/>
    <mergeCell ref="X2:AB2"/>
    <mergeCell ref="AC2:AG2"/>
    <mergeCell ref="AH2:AL2"/>
    <mergeCell ref="E1:H2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1" sqref="B11"/>
    </sheetView>
  </sheetViews>
  <sheetFormatPr defaultRowHeight="15" x14ac:dyDescent="0.25"/>
  <cols>
    <col min="1" max="1" width="24.85546875" customWidth="1"/>
    <col min="2" max="2" width="26.7109375" customWidth="1"/>
    <col min="3" max="3" width="21.140625" customWidth="1"/>
    <col min="4" max="4" width="22" customWidth="1"/>
  </cols>
  <sheetData>
    <row r="1" spans="1:3" s="29" customFormat="1" x14ac:dyDescent="0.25">
      <c r="A1" s="28" t="s">
        <v>476</v>
      </c>
      <c r="B1" s="29" t="s">
        <v>471</v>
      </c>
      <c r="C1" s="29" t="s">
        <v>475</v>
      </c>
    </row>
    <row r="2" spans="1:3" x14ac:dyDescent="0.25">
      <c r="A2" t="s">
        <v>472</v>
      </c>
      <c r="B2" s="30">
        <f>SUMPRODUCT('Demand Response_States'!E4:E430,'Demand Response_States'!S4:S430)/SUM('Demand Response_States'!S4:S430)</f>
        <v>52676.668282897401</v>
      </c>
      <c r="C2" s="27">
        <f>SUM('Demand Response_States'!S4:S430)/SUM('Demand Response_States'!$W4:$W430)</f>
        <v>0.29279230377378984</v>
      </c>
    </row>
    <row r="3" spans="1:3" x14ac:dyDescent="0.25">
      <c r="A3" t="s">
        <v>473</v>
      </c>
      <c r="B3" s="30">
        <f>SUMPRODUCT('Demand Response_States'!F4:F430,'Demand Response_States'!T4:T430)/SUM('Demand Response_States'!T4:T430)</f>
        <v>46486.107466953756</v>
      </c>
      <c r="C3" s="27">
        <f>SUM('Demand Response_States'!T4:T430)/SUM('Demand Response_States'!$W4:$W430)</f>
        <v>0.30766811137926914</v>
      </c>
    </row>
    <row r="4" spans="1:3" x14ac:dyDescent="0.25">
      <c r="A4" t="s">
        <v>474</v>
      </c>
      <c r="B4" s="30">
        <f>SUMPRODUCT('Demand Response_States'!G4:G430,'Demand Response_States'!U4:U430)/SUM('Demand Response_States'!U4:U430)</f>
        <v>24022.776882789014</v>
      </c>
      <c r="C4" s="27">
        <f>SUM('Demand Response_States'!U4:U430)/SUM('Demand Response_States'!$W4:$W430)</f>
        <v>0.39914987431835453</v>
      </c>
    </row>
    <row r="6" spans="1:3" x14ac:dyDescent="0.25">
      <c r="A6" t="s">
        <v>477</v>
      </c>
    </row>
    <row r="7" spans="1:3" x14ac:dyDescent="0.25">
      <c r="A7" t="s">
        <v>478</v>
      </c>
    </row>
    <row r="8" spans="1:3" x14ac:dyDescent="0.25">
      <c r="A8" t="s">
        <v>479</v>
      </c>
    </row>
    <row r="10" spans="1:3" x14ac:dyDescent="0.25">
      <c r="A10" t="s">
        <v>472</v>
      </c>
      <c r="B10" s="30">
        <f>B2</f>
        <v>52676.668282897401</v>
      </c>
      <c r="C10" s="31">
        <f>C2</f>
        <v>0.29279230377378984</v>
      </c>
    </row>
    <row r="11" spans="1:3" x14ac:dyDescent="0.25">
      <c r="A11" t="s">
        <v>480</v>
      </c>
      <c r="B11" s="30">
        <f>(B3*C3+B4*C4)/SUM(C3:C4)</f>
        <v>33800.754574311381</v>
      </c>
      <c r="C11" s="31">
        <f>SUM(C3:C4)</f>
        <v>0.70681798569762366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0"/>
  <sheetViews>
    <sheetView workbookViewId="0"/>
  </sheetViews>
  <sheetFormatPr defaultRowHeight="15" x14ac:dyDescent="0.25"/>
  <cols>
    <col min="1" max="1" width="36.42578125" customWidth="1"/>
    <col min="2" max="2" width="9.140625" customWidth="1"/>
  </cols>
  <sheetData>
    <row r="1" spans="1:2" ht="30" x14ac:dyDescent="0.25">
      <c r="B1" s="33" t="s">
        <v>508</v>
      </c>
    </row>
    <row r="2" spans="1:2" x14ac:dyDescent="0.25">
      <c r="A2" t="s">
        <v>470</v>
      </c>
      <c r="B2" s="30">
        <f>Calculations!B11</f>
        <v>33800.754574311381</v>
      </c>
    </row>
    <row r="3" spans="1:2" x14ac:dyDescent="0.25">
      <c r="A3" t="s">
        <v>500</v>
      </c>
      <c r="B3" s="30">
        <f>Calculations!B11</f>
        <v>33800.754574311381</v>
      </c>
    </row>
    <row r="4" spans="1:2" x14ac:dyDescent="0.25">
      <c r="A4" t="s">
        <v>501</v>
      </c>
      <c r="B4" s="30">
        <f>Calculations!B10</f>
        <v>52676.668282897401</v>
      </c>
    </row>
    <row r="5" spans="1:2" x14ac:dyDescent="0.25">
      <c r="A5" t="s">
        <v>502</v>
      </c>
      <c r="B5">
        <v>0</v>
      </c>
    </row>
    <row r="6" spans="1:2" x14ac:dyDescent="0.25">
      <c r="A6" t="s">
        <v>503</v>
      </c>
      <c r="B6" s="30">
        <f>B$3</f>
        <v>33800.754574311381</v>
      </c>
    </row>
    <row r="7" spans="1:2" x14ac:dyDescent="0.25">
      <c r="A7" t="s">
        <v>504</v>
      </c>
      <c r="B7" s="30">
        <f t="shared" ref="B7:B10" si="0">B$3</f>
        <v>33800.754574311381</v>
      </c>
    </row>
    <row r="8" spans="1:2" x14ac:dyDescent="0.25">
      <c r="A8" t="s">
        <v>505</v>
      </c>
      <c r="B8" s="30">
        <f t="shared" si="0"/>
        <v>33800.754574311381</v>
      </c>
    </row>
    <row r="9" spans="1:2" x14ac:dyDescent="0.25">
      <c r="A9" t="s">
        <v>506</v>
      </c>
      <c r="B9" s="30">
        <f t="shared" si="0"/>
        <v>33800.754574311381</v>
      </c>
    </row>
    <row r="10" spans="1:2" x14ac:dyDescent="0.25">
      <c r="A10" t="s">
        <v>507</v>
      </c>
      <c r="B10" s="30">
        <f t="shared" si="0"/>
        <v>33800.754574311381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0"/>
  <sheetViews>
    <sheetView workbookViewId="0">
      <selection activeCell="A2" sqref="A2"/>
    </sheetView>
  </sheetViews>
  <sheetFormatPr defaultRowHeight="15" x14ac:dyDescent="0.25"/>
  <cols>
    <col min="1" max="1" width="36.28515625" customWidth="1"/>
  </cols>
  <sheetData>
    <row r="1" spans="1:2" x14ac:dyDescent="0.25">
      <c r="A1" t="s">
        <v>509</v>
      </c>
      <c r="B1" s="26" t="s">
        <v>483</v>
      </c>
    </row>
    <row r="2" spans="1:2" x14ac:dyDescent="0.25">
      <c r="A2" t="s">
        <v>470</v>
      </c>
      <c r="B2">
        <v>0</v>
      </c>
    </row>
    <row r="3" spans="1:2" x14ac:dyDescent="0.25">
      <c r="A3" t="s">
        <v>500</v>
      </c>
      <c r="B3" s="32">
        <f>Calculations!C11</f>
        <v>0.70681798569762366</v>
      </c>
    </row>
    <row r="4" spans="1:2" x14ac:dyDescent="0.25">
      <c r="A4" t="s">
        <v>501</v>
      </c>
      <c r="B4" s="32">
        <f>Calculations!C10</f>
        <v>0.29279230377378984</v>
      </c>
    </row>
    <row r="5" spans="1:2" x14ac:dyDescent="0.25">
      <c r="A5" t="s">
        <v>502</v>
      </c>
      <c r="B5">
        <v>0</v>
      </c>
    </row>
    <row r="6" spans="1:2" x14ac:dyDescent="0.25">
      <c r="A6" t="s">
        <v>503</v>
      </c>
      <c r="B6">
        <v>0</v>
      </c>
    </row>
    <row r="7" spans="1:2" x14ac:dyDescent="0.25">
      <c r="A7" t="s">
        <v>504</v>
      </c>
      <c r="B7">
        <v>0</v>
      </c>
    </row>
    <row r="8" spans="1:2" x14ac:dyDescent="0.25">
      <c r="A8" t="s">
        <v>505</v>
      </c>
      <c r="B8">
        <v>0</v>
      </c>
    </row>
    <row r="9" spans="1:2" x14ac:dyDescent="0.25">
      <c r="A9" t="s">
        <v>506</v>
      </c>
      <c r="B9">
        <v>0</v>
      </c>
    </row>
    <row r="10" spans="1:2" x14ac:dyDescent="0.25">
      <c r="A10" t="s">
        <v>507</v>
      </c>
      <c r="B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5BECE212-DF57-4F45-8083-E75EC1564750}"/>
</file>

<file path=customXml/itemProps2.xml><?xml version="1.0" encoding="utf-8"?>
<ds:datastoreItem xmlns:ds="http://schemas.openxmlformats.org/officeDocument/2006/customXml" ds:itemID="{1CDE80C7-71E8-4982-A85C-6179F01243D9}"/>
</file>

<file path=customXml/itemProps3.xml><?xml version="1.0" encoding="utf-8"?>
<ds:datastoreItem xmlns:ds="http://schemas.openxmlformats.org/officeDocument/2006/customXml" ds:itemID="{40BA6450-1EBD-4F4E-B6E5-374E56F49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About</vt:lpstr>
      <vt:lpstr>Demand Response_States</vt:lpstr>
      <vt:lpstr>Calculations</vt:lpstr>
      <vt:lpstr>DRCo-ACpUDRC</vt:lpstr>
      <vt:lpstr>DRCo-SoDRbP</vt:lpstr>
      <vt:lpstr>'Demand Response_States'!Print_Titles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Megan Mahajan</cp:lastModifiedBy>
  <dcterms:created xsi:type="dcterms:W3CDTF">2017-11-03T17:50:06Z</dcterms:created>
  <dcterms:modified xsi:type="dcterms:W3CDTF">2019-08-20T19:58:36Z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