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27"/>
  <workbookPr hidePivotFieldList="1"/>
  <mc:AlternateContent xmlns:mc="http://schemas.openxmlformats.org/markup-compatibility/2006">
    <mc:Choice Requires="x15">
      <x15ac:absPath xmlns:x15ac="http://schemas.microsoft.com/office/spreadsheetml/2010/11/ac" url="https://civicexchangeorg.sharepoint.com/sites/HongKong2050isNowTeamsite/Shared Documents/12 Hong Kong EPS technical note/HK EPS update/eps-us-3.4.7 working/InputData/elec/0 Need to update/PTCF/"/>
    </mc:Choice>
  </mc:AlternateContent>
  <xr:revisionPtr revIDLastSave="124" documentId="8_{7717936A-F6D6-4A42-BD94-03BB97DE3C9A}" xr6:coauthVersionLast="47" xr6:coauthVersionMax="47" xr10:uidLastSave="{DC888A99-5582-D84B-8B31-9E3E56040B2D}"/>
  <bookViews>
    <workbookView xWindow="28800" yWindow="500" windowWidth="38400" windowHeight="20840" activeTab="1" xr2:uid="{00000000-000D-0000-FFFF-FFFF00000000}"/>
  </bookViews>
  <sheets>
    <sheet name="About" sheetId="12" r:id="rId1"/>
    <sheet name="Data" sheetId="23" r:id="rId2"/>
    <sheet name="MISO-Wind" sheetId="39" state="hidden" r:id="rId3"/>
    <sheet name="PTCF" sheetId="21" r:id="rId4"/>
  </sheets>
  <externalReferences>
    <externalReference r:id="rId5"/>
  </externalReferences>
  <definedNames>
    <definedName name="LocalAreaOptions">[1]Lists!$B$11:$B$21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23" l="1"/>
  <c r="D6" i="23" s="1"/>
  <c r="C2" i="23"/>
  <c r="D2" i="23" s="1"/>
  <c r="N7" i="23"/>
  <c r="D9" i="23"/>
  <c r="B6" i="21"/>
  <c r="B7" i="21" l="1"/>
  <c r="B14" i="21"/>
  <c r="G9" i="23" l="1"/>
  <c r="B13" i="21" l="1"/>
</calcChain>
</file>

<file path=xl/sharedStrings.xml><?xml version="1.0" encoding="utf-8"?>
<sst xmlns="http://schemas.openxmlformats.org/spreadsheetml/2006/main" count="64" uniqueCount="52">
  <si>
    <t>PTCF Peak Time Capacity Factors</t>
    <phoneticPr fontId="6" type="noConversion"/>
  </si>
  <si>
    <t>Source:</t>
    <phoneticPr fontId="6" type="noConversion"/>
  </si>
  <si>
    <t>Solar PV&amp;offshore wind&amp;biomass</t>
    <phoneticPr fontId="6" type="noConversion"/>
  </si>
  <si>
    <t>Notes</t>
  </si>
  <si>
    <t>Following the method applied in USA data, peak time capacity factors for sources other than wind, solar and biomass are assumed to be equal to 1.</t>
    <phoneticPr fontId="6" type="noConversion"/>
  </si>
  <si>
    <t>Solar PV</t>
    <phoneticPr fontId="6" type="noConversion"/>
  </si>
  <si>
    <t>Installed capacity(MW)</t>
    <phoneticPr fontId="6" type="noConversion"/>
  </si>
  <si>
    <t>capacity factor</t>
    <phoneticPr fontId="6" type="noConversion"/>
  </si>
  <si>
    <t>capacity(MW)</t>
    <phoneticPr fontId="6" type="noConversion"/>
  </si>
  <si>
    <t>offshore wind</t>
  </si>
  <si>
    <t>biomass</t>
    <phoneticPr fontId="6" type="noConversion"/>
  </si>
  <si>
    <t>Peak time
 electricity demand</t>
    <phoneticPr fontId="6" type="noConversion"/>
  </si>
  <si>
    <t>CLP Power Hong 
Kong Limited(MW)</t>
    <phoneticPr fontId="6" type="noConversion"/>
  </si>
  <si>
    <t>The Hongkong Electric
 Company Limited(MW)</t>
    <phoneticPr fontId="6" type="noConversion"/>
  </si>
  <si>
    <t>Sum(MW)</t>
    <phoneticPr fontId="6" type="noConversion"/>
  </si>
  <si>
    <t>Planning Year</t>
  </si>
  <si>
    <t>Historical Penetration (%)</t>
  </si>
  <si>
    <t>Anuual Historical ELCC (%)</t>
  </si>
  <si>
    <t>MISO Capacity Credit (%)</t>
  </si>
  <si>
    <t>N/A</t>
  </si>
  <si>
    <t>Pending</t>
  </si>
  <si>
    <t>https://www.misoenergy.org/Library/Repository/Report/2016%20Wind%20Capacity%20Report.pdf</t>
  </si>
  <si>
    <t>Peak Time Capacity Factors</t>
  </si>
  <si>
    <t>hard coal</t>
  </si>
  <si>
    <t>natural gas nonpeaker</t>
  </si>
  <si>
    <t>nuclear</t>
  </si>
  <si>
    <t>hydro</t>
  </si>
  <si>
    <t>onshore wind</t>
  </si>
  <si>
    <t>solar pv</t>
  </si>
  <si>
    <t>solar thermal</t>
  </si>
  <si>
    <t>biomass</t>
  </si>
  <si>
    <t xml:space="preserve">geothermal </t>
  </si>
  <si>
    <t>petroleum</t>
  </si>
  <si>
    <t>lignite</t>
  </si>
  <si>
    <t>offshore wind</t>
    <phoneticPr fontId="6" type="noConversion"/>
  </si>
  <si>
    <t>crude oil</t>
  </si>
  <si>
    <t>heavy or residual fuel oil</t>
  </si>
  <si>
    <t>municipal solid waste</t>
  </si>
  <si>
    <t>CLP Annual Report 2022 pg. 79</t>
  </si>
  <si>
    <t>https://www.clpgroup.com/content/dam/clp-group/channels/investor/document/3-3-financial-reports/2022/e_2022Annual%20Report.pdf.coredownload.pdf</t>
  </si>
  <si>
    <t>HKE Annual Report 2022</t>
  </si>
  <si>
    <t>https://www.hkelectric.com/documents/en/InvestorRelations/Documents/Financial%20Reports/2022/ARa/2022_HKEI_ARa_E_Full.pdf</t>
  </si>
  <si>
    <t>HKE</t>
  </si>
  <si>
    <t>CLP</t>
  </si>
  <si>
    <t>https://www.hkelectric.com/documents/en/InvestorRelations/InvestorRelations_GLNCS/Documents/2023/ESR2022%20full%20version.pdf</t>
  </si>
  <si>
    <t xml:space="preserve">Peak time electricity demand + RE capacity </t>
  </si>
  <si>
    <t>NOTE: power output was taken on 21/12/2. Since it is a live reading, it may fluctuate</t>
  </si>
  <si>
    <t>https://www.hkelectric.com/en/our-operations/power-generation/lamma-winds/real-time-operation</t>
  </si>
  <si>
    <t>NOTE: According to the Annual Report 2022, HKE has plans to expand the capacity of solar PV to 2.4MW by the end of 2023. However, as of 21/12/23, there have been no further press releases to substantiate this. Instead, we took the figure from pg. 182, which explains that the total capacity (including solar power systems on company's substations + Lamma Power Station) reached 1.2 MW</t>
  </si>
  <si>
    <t xml:space="preserve">NOTE: According to the Annual Report 2022, HKE also has plans to build a 150MW offshore wind farm southwest of Lamma Island. It's expected that this addition will contribute to 4% of electrcity output. However, as of 12/23, HKE made no mention of the proposed wind farm in their upcoming 5YP </t>
  </si>
  <si>
    <t>NOTE: CLP is in the works of building an offshore wind farm with a proposed capacity of 200-255MW. However, as of 12/23, there has been no official confirmation from CLP's websites nor any additional press release since then</t>
  </si>
  <si>
    <t xml:space="preserve">NOTE: The "Present Power Output" provided by HKE fluctuates greatly between 30kW to roughly 200kW and also changes sporadically.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</si>
</sst>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17" x14ac:knownFonts="1">
    <font>
      <sz val="11"/>
      <color theme="1"/>
      <name val="Calibri"/>
      <family val="2"/>
      <scheme val="minor"/>
    </font>
    <font>
      <b/>
      <sz val="11"/>
      <color theme="1"/>
      <name val="Calibri"/>
      <family val="2"/>
      <scheme val="minor"/>
    </font>
    <font>
      <sz val="11"/>
      <color theme="1"/>
      <name val="Calibri"/>
      <family val="2"/>
      <scheme val="minor"/>
    </font>
    <font>
      <sz val="9"/>
      <color theme="1"/>
      <name val="Calibri"/>
      <family val="2"/>
      <scheme val="minor"/>
    </font>
    <font>
      <b/>
      <sz val="12"/>
      <color theme="4"/>
      <name val="Calibri"/>
      <family val="2"/>
      <scheme val="minor"/>
    </font>
    <font>
      <b/>
      <sz val="9"/>
      <color theme="1"/>
      <name val="Calibri"/>
      <family val="2"/>
      <scheme val="minor"/>
    </font>
    <font>
      <sz val="9"/>
      <name val="Calibri"/>
      <family val="3"/>
      <charset val="134"/>
      <scheme val="minor"/>
    </font>
    <font>
      <sz val="11"/>
      <color theme="1"/>
      <name val="Times New Roman"/>
      <family val="1"/>
    </font>
    <font>
      <sz val="12"/>
      <color theme="1"/>
      <name val="Times New Roman"/>
      <family val="1"/>
    </font>
    <font>
      <sz val="12"/>
      <color rgb="FF000000"/>
      <name val="Times New Roman"/>
      <family val="1"/>
    </font>
    <font>
      <sz val="10"/>
      <color theme="1"/>
      <name val="Times New Roman"/>
      <family val="1"/>
    </font>
    <font>
      <b/>
      <sz val="12"/>
      <color theme="0"/>
      <name val="Times New Roman"/>
      <family val="1"/>
    </font>
    <font>
      <sz val="12"/>
      <color theme="0"/>
      <name val="Times New Roman"/>
      <family val="1"/>
    </font>
    <font>
      <b/>
      <sz val="12"/>
      <color theme="1"/>
      <name val="Times New Roman"/>
      <family val="1"/>
    </font>
    <font>
      <b/>
      <sz val="11"/>
      <color theme="1"/>
      <name val="Calibri"/>
      <family val="3"/>
      <charset val="134"/>
      <scheme val="minor"/>
    </font>
    <font>
      <u/>
      <sz val="11"/>
      <color theme="10"/>
      <name val="Calibri"/>
      <family val="2"/>
      <scheme val="minor"/>
    </font>
    <font>
      <sz val="11"/>
      <color rgb="FF000000"/>
      <name val="Times New Roman"/>
      <family val="1"/>
    </font>
  </fonts>
  <fills count="7">
    <fill>
      <patternFill patternType="none"/>
    </fill>
    <fill>
      <patternFill patternType="gray125"/>
    </fill>
    <fill>
      <patternFill patternType="solid">
        <fgColor theme="0" tint="-0.249977111117893"/>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34998626667073579"/>
        <bgColor indexed="64"/>
      </patternFill>
    </fill>
  </fills>
  <borders count="14">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top style="thin">
        <color indexed="64"/>
      </top>
      <bottom style="medium">
        <color indexed="64"/>
      </bottom>
      <diagonal/>
    </border>
    <border>
      <left/>
      <right/>
      <top/>
      <bottom style="thick">
        <color theme="4"/>
      </bottom>
      <diagonal/>
    </border>
    <border>
      <left/>
      <right/>
      <top/>
      <bottom style="dashed">
        <color theme="0" tint="-0.24994659260841701"/>
      </bottom>
      <diagonal/>
    </border>
  </borders>
  <cellStyleXfs count="8">
    <xf numFmtId="0" fontId="0" fillId="0" borderId="0"/>
    <xf numFmtId="9" fontId="2" fillId="0" borderId="0" applyFont="0" applyFill="0" applyBorder="0" applyAlignment="0" applyProtection="0"/>
    <xf numFmtId="0" fontId="2" fillId="0" borderId="0"/>
    <xf numFmtId="0" fontId="3" fillId="0" borderId="0" applyNumberFormat="0" applyFill="0" applyBorder="0" applyAlignment="0" applyProtection="0"/>
    <xf numFmtId="0" fontId="4" fillId="0" borderId="0" applyNumberFormat="0" applyProtection="0">
      <alignment horizontal="left"/>
    </xf>
    <xf numFmtId="0" fontId="5" fillId="0" borderId="12" applyNumberFormat="0" applyProtection="0">
      <alignment wrapText="1"/>
    </xf>
    <xf numFmtId="0" fontId="3" fillId="0" borderId="13" applyNumberFormat="0" applyFont="0" applyProtection="0">
      <alignment wrapText="1"/>
    </xf>
    <xf numFmtId="0" fontId="15" fillId="0" borderId="0" applyNumberFormat="0" applyFill="0" applyBorder="0" applyAlignment="0" applyProtection="0"/>
  </cellStyleXfs>
  <cellXfs count="53">
    <xf numFmtId="0" fontId="0" fillId="0" borderId="0" xfId="0"/>
    <xf numFmtId="0" fontId="1" fillId="0" borderId="0" xfId="0" applyFont="1"/>
    <xf numFmtId="0" fontId="0" fillId="0" borderId="0" xfId="0" applyAlignment="1">
      <alignment horizontal="left"/>
    </xf>
    <xf numFmtId="164" fontId="0" fillId="0" borderId="0" xfId="0" applyNumberFormat="1"/>
    <xf numFmtId="0" fontId="0" fillId="0" borderId="0" xfId="0" applyAlignment="1">
      <alignment horizontal="right"/>
    </xf>
    <xf numFmtId="9" fontId="0" fillId="0" borderId="0" xfId="0" applyNumberFormat="1"/>
    <xf numFmtId="165" fontId="0" fillId="0" borderId="1" xfId="1" applyNumberFormat="1" applyFont="1" applyBorder="1"/>
    <xf numFmtId="0" fontId="0" fillId="0" borderId="3" xfId="0" applyBorder="1"/>
    <xf numFmtId="0" fontId="0" fillId="0" borderId="4" xfId="0" applyBorder="1"/>
    <xf numFmtId="0" fontId="0" fillId="0" borderId="5" xfId="0" applyBorder="1"/>
    <xf numFmtId="0" fontId="0" fillId="0" borderId="6" xfId="0" applyBorder="1"/>
    <xf numFmtId="165" fontId="0" fillId="0" borderId="7" xfId="1" applyNumberFormat="1" applyFont="1" applyBorder="1"/>
    <xf numFmtId="165" fontId="0" fillId="0" borderId="8" xfId="1" applyNumberFormat="1" applyFont="1" applyBorder="1"/>
    <xf numFmtId="0" fontId="0" fillId="0" borderId="9" xfId="0" applyBorder="1"/>
    <xf numFmtId="165" fontId="0" fillId="0" borderId="10" xfId="1" applyNumberFormat="1" applyFont="1" applyBorder="1" applyAlignment="1">
      <alignment horizontal="right"/>
    </xf>
    <xf numFmtId="165" fontId="0" fillId="0" borderId="11" xfId="1" applyNumberFormat="1" applyFont="1" applyBorder="1" applyAlignment="1">
      <alignment horizontal="right"/>
    </xf>
    <xf numFmtId="165" fontId="1" fillId="0" borderId="2" xfId="0" applyNumberFormat="1" applyFont="1" applyBorder="1" applyAlignment="1">
      <alignment horizontal="right"/>
    </xf>
    <xf numFmtId="165" fontId="0" fillId="0" borderId="7" xfId="1" applyNumberFormat="1" applyFont="1" applyBorder="1" applyAlignment="1">
      <alignment horizontal="right"/>
    </xf>
    <xf numFmtId="0" fontId="7" fillId="0" borderId="0" xfId="0" applyFont="1"/>
    <xf numFmtId="10" fontId="8" fillId="0" borderId="0" xfId="0" applyNumberFormat="1" applyFont="1"/>
    <xf numFmtId="164" fontId="7" fillId="0" borderId="0" xfId="0" applyNumberFormat="1" applyFont="1"/>
    <xf numFmtId="164" fontId="12" fillId="3" borderId="0" xfId="0" applyNumberFormat="1" applyFont="1" applyFill="1"/>
    <xf numFmtId="10" fontId="12" fillId="3" borderId="0" xfId="0" applyNumberFormat="1" applyFont="1" applyFill="1"/>
    <xf numFmtId="0" fontId="13" fillId="4" borderId="0" xfId="0" applyFont="1" applyFill="1" applyAlignment="1">
      <alignment horizontal="left"/>
    </xf>
    <xf numFmtId="10" fontId="13" fillId="4" borderId="0" xfId="0" applyNumberFormat="1" applyFont="1" applyFill="1" applyAlignment="1">
      <alignment horizontal="left"/>
    </xf>
    <xf numFmtId="0" fontId="7" fillId="0" borderId="0" xfId="0" applyFont="1" applyAlignment="1">
      <alignment horizontal="center" vertical="center"/>
    </xf>
    <xf numFmtId="0" fontId="8" fillId="0" borderId="0" xfId="0" applyFont="1" applyAlignment="1">
      <alignment horizontal="center" vertical="center"/>
    </xf>
    <xf numFmtId="10" fontId="8" fillId="0" borderId="0" xfId="0" applyNumberFormat="1" applyFont="1" applyAlignment="1">
      <alignment horizontal="center" vertical="center"/>
    </xf>
    <xf numFmtId="164" fontId="7" fillId="0" borderId="0" xfId="0" applyNumberFormat="1" applyFont="1" applyAlignment="1">
      <alignment horizontal="center" vertical="center"/>
    </xf>
    <xf numFmtId="0" fontId="10" fillId="0" borderId="0" xfId="2" applyFont="1" applyAlignment="1">
      <alignment horizontal="center" vertical="center"/>
    </xf>
    <xf numFmtId="0" fontId="11" fillId="3" borderId="0" xfId="0" applyFont="1" applyFill="1" applyAlignment="1">
      <alignment horizontal="center" vertical="center"/>
    </xf>
    <xf numFmtId="164" fontId="12" fillId="3" borderId="0" xfId="0" applyNumberFormat="1" applyFont="1" applyFill="1" applyAlignment="1">
      <alignment horizontal="center" vertical="center"/>
    </xf>
    <xf numFmtId="0" fontId="13" fillId="4" borderId="0" xfId="0" applyFont="1" applyFill="1" applyAlignment="1">
      <alignment horizontal="center" vertical="center"/>
    </xf>
    <xf numFmtId="0" fontId="7" fillId="2" borderId="0" xfId="0" applyFont="1" applyFill="1" applyAlignment="1">
      <alignment horizontal="center" vertical="center"/>
    </xf>
    <xf numFmtId="0" fontId="8" fillId="4" borderId="0" xfId="0" applyFont="1" applyFill="1" applyAlignment="1">
      <alignment horizontal="center" vertical="center"/>
    </xf>
    <xf numFmtId="0" fontId="9" fillId="4" borderId="0" xfId="0" applyFont="1" applyFill="1" applyAlignment="1">
      <alignment horizontal="center" vertical="center"/>
    </xf>
    <xf numFmtId="10" fontId="8" fillId="4" borderId="0" xfId="0" applyNumberFormat="1" applyFont="1" applyFill="1" applyAlignment="1">
      <alignment horizontal="center" vertical="center"/>
    </xf>
    <xf numFmtId="0" fontId="8" fillId="5" borderId="0" xfId="0" applyFont="1" applyFill="1" applyAlignment="1">
      <alignment horizontal="center" vertical="center"/>
    </xf>
    <xf numFmtId="0" fontId="14" fillId="6" borderId="0" xfId="0" applyFont="1" applyFill="1"/>
    <xf numFmtId="0" fontId="0" fillId="0" borderId="0" xfId="0" applyAlignment="1">
      <alignment horizontal="left" vertical="top"/>
    </xf>
    <xf numFmtId="0" fontId="7" fillId="2" borderId="0" xfId="0" applyFont="1" applyFill="1" applyAlignment="1">
      <alignment horizontal="center" vertical="center" wrapText="1"/>
    </xf>
    <xf numFmtId="0" fontId="7" fillId="4" borderId="0" xfId="0" applyFont="1" applyFill="1" applyAlignment="1">
      <alignment horizontal="center" vertical="center" wrapText="1"/>
    </xf>
    <xf numFmtId="164" fontId="7" fillId="4" borderId="0" xfId="0" applyNumberFormat="1" applyFont="1" applyFill="1" applyAlignment="1">
      <alignment horizontal="center" vertical="center"/>
    </xf>
    <xf numFmtId="1" fontId="7" fillId="5" borderId="0" xfId="0" applyNumberFormat="1" applyFont="1" applyFill="1" applyAlignment="1">
      <alignment horizontal="center" vertical="center"/>
    </xf>
    <xf numFmtId="0" fontId="15" fillId="0" borderId="0" xfId="7" applyAlignment="1">
      <alignment horizontal="left" vertical="top"/>
    </xf>
    <xf numFmtId="0" fontId="15" fillId="0" borderId="0" xfId="7"/>
    <xf numFmtId="0" fontId="16" fillId="0" borderId="0" xfId="0" applyFont="1" applyAlignment="1">
      <alignment horizontal="center" vertical="center"/>
    </xf>
    <xf numFmtId="9" fontId="7" fillId="0" borderId="0" xfId="1" applyFont="1" applyAlignment="1">
      <alignment horizontal="center" vertical="center"/>
    </xf>
    <xf numFmtId="10" fontId="15" fillId="0" borderId="0" xfId="7" applyNumberFormat="1" applyAlignment="1">
      <alignment horizontal="center" vertical="center"/>
    </xf>
    <xf numFmtId="0" fontId="0" fillId="0" borderId="0" xfId="0" applyAlignment="1">
      <alignment vertical="top" wrapText="1"/>
    </xf>
    <xf numFmtId="0" fontId="8" fillId="0" borderId="0" xfId="0" applyFont="1" applyAlignment="1">
      <alignment horizontal="left" vertical="center" wrapText="1"/>
    </xf>
    <xf numFmtId="10" fontId="8" fillId="0" borderId="0" xfId="0" applyNumberFormat="1" applyFont="1" applyAlignment="1">
      <alignment horizontal="left"/>
    </xf>
    <xf numFmtId="10" fontId="8" fillId="0" borderId="0" xfId="0" applyNumberFormat="1" applyFont="1" applyAlignment="1">
      <alignment horizontal="left" wrapText="1"/>
    </xf>
  </cellXfs>
  <cellStyles count="8">
    <cellStyle name="Body: normal cell" xfId="6" xr:uid="{00000000-0005-0000-0000-000000000000}"/>
    <cellStyle name="Font: Calibri, 9pt regular" xfId="3" xr:uid="{00000000-0005-0000-0000-000001000000}"/>
    <cellStyle name="Header: bottom row" xfId="5" xr:uid="{00000000-0005-0000-0000-000002000000}"/>
    <cellStyle name="Hyperlink" xfId="7" builtinId="8"/>
    <cellStyle name="Normal" xfId="0" builtinId="0"/>
    <cellStyle name="Normal 6" xfId="2" xr:uid="{00000000-0005-0000-0000-000004000000}"/>
    <cellStyle name="Per cent" xfId="1" builtinId="5"/>
    <cellStyle name="Table title" xfId="4"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servedio/AppData/Local/Microsoft/Windows/Temporary%20Internet%20Files/Content.Outlook/MU17HYWB/AllRequests_12_9_1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Request Type 1-2"/>
      <sheetName val="Request Type 3-5"/>
      <sheetName val="Lists"/>
    </sheetNames>
    <sheetDataSet>
      <sheetData sheetId="0" refreshError="1"/>
      <sheetData sheetId="1" refreshError="1"/>
      <sheetData sheetId="2" refreshError="1"/>
      <sheetData sheetId="3"/>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workbookViewId="0">
      <selection activeCell="B9" sqref="B9"/>
    </sheetView>
  </sheetViews>
  <sheetFormatPr baseColWidth="10" defaultColWidth="8.83203125" defaultRowHeight="15" x14ac:dyDescent="0.2"/>
  <cols>
    <col min="1" max="1" width="9.33203125" customWidth="1"/>
    <col min="2" max="2" width="50.6640625" bestFit="1" customWidth="1"/>
    <col min="5" max="5" width="49.5" customWidth="1"/>
    <col min="8" max="8" width="47.5" customWidth="1"/>
  </cols>
  <sheetData>
    <row r="1" spans="1:7" x14ac:dyDescent="0.2">
      <c r="A1" s="1" t="s">
        <v>0</v>
      </c>
    </row>
    <row r="2" spans="1:7" x14ac:dyDescent="0.2">
      <c r="G2" s="2"/>
    </row>
    <row r="3" spans="1:7" x14ac:dyDescent="0.2">
      <c r="A3" t="s">
        <v>1</v>
      </c>
      <c r="B3" s="38" t="s">
        <v>2</v>
      </c>
    </row>
    <row r="6" spans="1:7" x14ac:dyDescent="0.2">
      <c r="B6" s="45"/>
    </row>
    <row r="8" spans="1:7" x14ac:dyDescent="0.2">
      <c r="B8" s="38" t="s">
        <v>45</v>
      </c>
    </row>
    <row r="9" spans="1:7" x14ac:dyDescent="0.2">
      <c r="B9" s="39" t="s">
        <v>38</v>
      </c>
    </row>
    <row r="10" spans="1:7" x14ac:dyDescent="0.2">
      <c r="B10" s="39" t="s">
        <v>39</v>
      </c>
    </row>
    <row r="11" spans="1:7" x14ac:dyDescent="0.2">
      <c r="B11" s="39" t="s">
        <v>40</v>
      </c>
    </row>
    <row r="12" spans="1:7" x14ac:dyDescent="0.2">
      <c r="B12" s="44" t="s">
        <v>41</v>
      </c>
    </row>
    <row r="13" spans="1:7" x14ac:dyDescent="0.2">
      <c r="B13" t="s">
        <v>44</v>
      </c>
    </row>
    <row r="20" spans="1:1" x14ac:dyDescent="0.2">
      <c r="A20" s="1" t="s">
        <v>3</v>
      </c>
    </row>
    <row r="21" spans="1:1" x14ac:dyDescent="0.2">
      <c r="A21" t="s">
        <v>4</v>
      </c>
    </row>
  </sheetData>
  <phoneticPr fontId="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0"/>
  <sheetViews>
    <sheetView tabSelected="1" zoomScaleNormal="100" zoomScalePageLayoutView="115" workbookViewId="0">
      <selection activeCell="A3" sqref="A3"/>
    </sheetView>
  </sheetViews>
  <sheetFormatPr baseColWidth="10" defaultColWidth="8.83203125" defaultRowHeight="15" x14ac:dyDescent="0.2"/>
  <cols>
    <col min="1" max="1" width="12" style="25" customWidth="1"/>
    <col min="2" max="2" width="21.5" style="25" customWidth="1"/>
    <col min="3" max="3" width="13.6640625" style="25" customWidth="1"/>
    <col min="4" max="4" width="13.1640625" style="25" customWidth="1"/>
    <col min="5" max="5" width="76.6640625" style="18" customWidth="1"/>
    <col min="6" max="6" width="33.83203125" style="18" bestFit="1" customWidth="1"/>
    <col min="7" max="9" width="8.6640625" style="18"/>
    <col min="257" max="257" width="5" customWidth="1"/>
    <col min="258" max="258" width="16.33203125" bestFit="1" customWidth="1"/>
    <col min="259" max="261" width="9" bestFit="1" customWidth="1"/>
    <col min="262" max="262" width="33.83203125" bestFit="1" customWidth="1"/>
    <col min="513" max="513" width="5" customWidth="1"/>
    <col min="514" max="514" width="16.33203125" bestFit="1" customWidth="1"/>
    <col min="515" max="517" width="9" bestFit="1" customWidth="1"/>
    <col min="518" max="518" width="33.83203125" bestFit="1" customWidth="1"/>
    <col min="769" max="769" width="5" customWidth="1"/>
    <col min="770" max="770" width="16.33203125" bestFit="1" customWidth="1"/>
    <col min="771" max="773" width="9" bestFit="1" customWidth="1"/>
    <col min="774" max="774" width="33.83203125" bestFit="1" customWidth="1"/>
    <col min="1025" max="1025" width="5" customWidth="1"/>
    <col min="1026" max="1026" width="16.33203125" bestFit="1" customWidth="1"/>
    <col min="1027" max="1029" width="9" bestFit="1" customWidth="1"/>
    <col min="1030" max="1030" width="33.83203125" bestFit="1" customWidth="1"/>
    <col min="1281" max="1281" width="5" customWidth="1"/>
    <col min="1282" max="1282" width="16.33203125" bestFit="1" customWidth="1"/>
    <col min="1283" max="1285" width="9" bestFit="1" customWidth="1"/>
    <col min="1286" max="1286" width="33.83203125" bestFit="1" customWidth="1"/>
    <col min="1537" max="1537" width="5" customWidth="1"/>
    <col min="1538" max="1538" width="16.33203125" bestFit="1" customWidth="1"/>
    <col min="1539" max="1541" width="9" bestFit="1" customWidth="1"/>
    <col min="1542" max="1542" width="33.83203125" bestFit="1" customWidth="1"/>
    <col min="1793" max="1793" width="5" customWidth="1"/>
    <col min="1794" max="1794" width="16.33203125" bestFit="1" customWidth="1"/>
    <col min="1795" max="1797" width="9" bestFit="1" customWidth="1"/>
    <col min="1798" max="1798" width="33.83203125" bestFit="1" customWidth="1"/>
    <col min="2049" max="2049" width="5" customWidth="1"/>
    <col min="2050" max="2050" width="16.33203125" bestFit="1" customWidth="1"/>
    <col min="2051" max="2053" width="9" bestFit="1" customWidth="1"/>
    <col min="2054" max="2054" width="33.83203125" bestFit="1" customWidth="1"/>
    <col min="2305" max="2305" width="5" customWidth="1"/>
    <col min="2306" max="2306" width="16.33203125" bestFit="1" customWidth="1"/>
    <col min="2307" max="2309" width="9" bestFit="1" customWidth="1"/>
    <col min="2310" max="2310" width="33.83203125" bestFit="1" customWidth="1"/>
    <col min="2561" max="2561" width="5" customWidth="1"/>
    <col min="2562" max="2562" width="16.33203125" bestFit="1" customWidth="1"/>
    <col min="2563" max="2565" width="9" bestFit="1" customWidth="1"/>
    <col min="2566" max="2566" width="33.83203125" bestFit="1" customWidth="1"/>
    <col min="2817" max="2817" width="5" customWidth="1"/>
    <col min="2818" max="2818" width="16.33203125" bestFit="1" customWidth="1"/>
    <col min="2819" max="2821" width="9" bestFit="1" customWidth="1"/>
    <col min="2822" max="2822" width="33.83203125" bestFit="1" customWidth="1"/>
    <col min="3073" max="3073" width="5" customWidth="1"/>
    <col min="3074" max="3074" width="16.33203125" bestFit="1" customWidth="1"/>
    <col min="3075" max="3077" width="9" bestFit="1" customWidth="1"/>
    <col min="3078" max="3078" width="33.83203125" bestFit="1" customWidth="1"/>
    <col min="3329" max="3329" width="5" customWidth="1"/>
    <col min="3330" max="3330" width="16.33203125" bestFit="1" customWidth="1"/>
    <col min="3331" max="3333" width="9" bestFit="1" customWidth="1"/>
    <col min="3334" max="3334" width="33.83203125" bestFit="1" customWidth="1"/>
    <col min="3585" max="3585" width="5" customWidth="1"/>
    <col min="3586" max="3586" width="16.33203125" bestFit="1" customWidth="1"/>
    <col min="3587" max="3589" width="9" bestFit="1" customWidth="1"/>
    <col min="3590" max="3590" width="33.83203125" bestFit="1" customWidth="1"/>
    <col min="3841" max="3841" width="5" customWidth="1"/>
    <col min="3842" max="3842" width="16.33203125" bestFit="1" customWidth="1"/>
    <col min="3843" max="3845" width="9" bestFit="1" customWidth="1"/>
    <col min="3846" max="3846" width="33.83203125" bestFit="1" customWidth="1"/>
    <col min="4097" max="4097" width="5" customWidth="1"/>
    <col min="4098" max="4098" width="16.33203125" bestFit="1" customWidth="1"/>
    <col min="4099" max="4101" width="9" bestFit="1" customWidth="1"/>
    <col min="4102" max="4102" width="33.83203125" bestFit="1" customWidth="1"/>
    <col min="4353" max="4353" width="5" customWidth="1"/>
    <col min="4354" max="4354" width="16.33203125" bestFit="1" customWidth="1"/>
    <col min="4355" max="4357" width="9" bestFit="1" customWidth="1"/>
    <col min="4358" max="4358" width="33.83203125" bestFit="1" customWidth="1"/>
    <col min="4609" max="4609" width="5" customWidth="1"/>
    <col min="4610" max="4610" width="16.33203125" bestFit="1" customWidth="1"/>
    <col min="4611" max="4613" width="9" bestFit="1" customWidth="1"/>
    <col min="4614" max="4614" width="33.83203125" bestFit="1" customWidth="1"/>
    <col min="4865" max="4865" width="5" customWidth="1"/>
    <col min="4866" max="4866" width="16.33203125" bestFit="1" customWidth="1"/>
    <col min="4867" max="4869" width="9" bestFit="1" customWidth="1"/>
    <col min="4870" max="4870" width="33.83203125" bestFit="1" customWidth="1"/>
    <col min="5121" max="5121" width="5" customWidth="1"/>
    <col min="5122" max="5122" width="16.33203125" bestFit="1" customWidth="1"/>
    <col min="5123" max="5125" width="9" bestFit="1" customWidth="1"/>
    <col min="5126" max="5126" width="33.83203125" bestFit="1" customWidth="1"/>
    <col min="5377" max="5377" width="5" customWidth="1"/>
    <col min="5378" max="5378" width="16.33203125" bestFit="1" customWidth="1"/>
    <col min="5379" max="5381" width="9" bestFit="1" customWidth="1"/>
    <col min="5382" max="5382" width="33.83203125" bestFit="1" customWidth="1"/>
    <col min="5633" max="5633" width="5" customWidth="1"/>
    <col min="5634" max="5634" width="16.33203125" bestFit="1" customWidth="1"/>
    <col min="5635" max="5637" width="9" bestFit="1" customWidth="1"/>
    <col min="5638" max="5638" width="33.83203125" bestFit="1" customWidth="1"/>
    <col min="5889" max="5889" width="5" customWidth="1"/>
    <col min="5890" max="5890" width="16.33203125" bestFit="1" customWidth="1"/>
    <col min="5891" max="5893" width="9" bestFit="1" customWidth="1"/>
    <col min="5894" max="5894" width="33.83203125" bestFit="1" customWidth="1"/>
    <col min="6145" max="6145" width="5" customWidth="1"/>
    <col min="6146" max="6146" width="16.33203125" bestFit="1" customWidth="1"/>
    <col min="6147" max="6149" width="9" bestFit="1" customWidth="1"/>
    <col min="6150" max="6150" width="33.83203125" bestFit="1" customWidth="1"/>
    <col min="6401" max="6401" width="5" customWidth="1"/>
    <col min="6402" max="6402" width="16.33203125" bestFit="1" customWidth="1"/>
    <col min="6403" max="6405" width="9" bestFit="1" customWidth="1"/>
    <col min="6406" max="6406" width="33.83203125" bestFit="1" customWidth="1"/>
    <col min="6657" max="6657" width="5" customWidth="1"/>
    <col min="6658" max="6658" width="16.33203125" bestFit="1" customWidth="1"/>
    <col min="6659" max="6661" width="9" bestFit="1" customWidth="1"/>
    <col min="6662" max="6662" width="33.83203125" bestFit="1" customWidth="1"/>
    <col min="6913" max="6913" width="5" customWidth="1"/>
    <col min="6914" max="6914" width="16.33203125" bestFit="1" customWidth="1"/>
    <col min="6915" max="6917" width="9" bestFit="1" customWidth="1"/>
    <col min="6918" max="6918" width="33.83203125" bestFit="1" customWidth="1"/>
    <col min="7169" max="7169" width="5" customWidth="1"/>
    <col min="7170" max="7170" width="16.33203125" bestFit="1" customWidth="1"/>
    <col min="7171" max="7173" width="9" bestFit="1" customWidth="1"/>
    <col min="7174" max="7174" width="33.83203125" bestFit="1" customWidth="1"/>
    <col min="7425" max="7425" width="5" customWidth="1"/>
    <col min="7426" max="7426" width="16.33203125" bestFit="1" customWidth="1"/>
    <col min="7427" max="7429" width="9" bestFit="1" customWidth="1"/>
    <col min="7430" max="7430" width="33.83203125" bestFit="1" customWidth="1"/>
    <col min="7681" max="7681" width="5" customWidth="1"/>
    <col min="7682" max="7682" width="16.33203125" bestFit="1" customWidth="1"/>
    <col min="7683" max="7685" width="9" bestFit="1" customWidth="1"/>
    <col min="7686" max="7686" width="33.83203125" bestFit="1" customWidth="1"/>
    <col min="7937" max="7937" width="5" customWidth="1"/>
    <col min="7938" max="7938" width="16.33203125" bestFit="1" customWidth="1"/>
    <col min="7939" max="7941" width="9" bestFit="1" customWidth="1"/>
    <col min="7942" max="7942" width="33.83203125" bestFit="1" customWidth="1"/>
    <col min="8193" max="8193" width="5" customWidth="1"/>
    <col min="8194" max="8194" width="16.33203125" bestFit="1" customWidth="1"/>
    <col min="8195" max="8197" width="9" bestFit="1" customWidth="1"/>
    <col min="8198" max="8198" width="33.83203125" bestFit="1" customWidth="1"/>
    <col min="8449" max="8449" width="5" customWidth="1"/>
    <col min="8450" max="8450" width="16.33203125" bestFit="1" customWidth="1"/>
    <col min="8451" max="8453" width="9" bestFit="1" customWidth="1"/>
    <col min="8454" max="8454" width="33.83203125" bestFit="1" customWidth="1"/>
    <col min="8705" max="8705" width="5" customWidth="1"/>
    <col min="8706" max="8706" width="16.33203125" bestFit="1" customWidth="1"/>
    <col min="8707" max="8709" width="9" bestFit="1" customWidth="1"/>
    <col min="8710" max="8710" width="33.83203125" bestFit="1" customWidth="1"/>
    <col min="8961" max="8961" width="5" customWidth="1"/>
    <col min="8962" max="8962" width="16.33203125" bestFit="1" customWidth="1"/>
    <col min="8963" max="8965" width="9" bestFit="1" customWidth="1"/>
    <col min="8966" max="8966" width="33.83203125" bestFit="1" customWidth="1"/>
    <col min="9217" max="9217" width="5" customWidth="1"/>
    <col min="9218" max="9218" width="16.33203125" bestFit="1" customWidth="1"/>
    <col min="9219" max="9221" width="9" bestFit="1" customWidth="1"/>
    <col min="9222" max="9222" width="33.83203125" bestFit="1" customWidth="1"/>
    <col min="9473" max="9473" width="5" customWidth="1"/>
    <col min="9474" max="9474" width="16.33203125" bestFit="1" customWidth="1"/>
    <col min="9475" max="9477" width="9" bestFit="1" customWidth="1"/>
    <col min="9478" max="9478" width="33.83203125" bestFit="1" customWidth="1"/>
    <col min="9729" max="9729" width="5" customWidth="1"/>
    <col min="9730" max="9730" width="16.33203125" bestFit="1" customWidth="1"/>
    <col min="9731" max="9733" width="9" bestFit="1" customWidth="1"/>
    <col min="9734" max="9734" width="33.83203125" bestFit="1" customWidth="1"/>
    <col min="9985" max="9985" width="5" customWidth="1"/>
    <col min="9986" max="9986" width="16.33203125" bestFit="1" customWidth="1"/>
    <col min="9987" max="9989" width="9" bestFit="1" customWidth="1"/>
    <col min="9990" max="9990" width="33.83203125" bestFit="1" customWidth="1"/>
    <col min="10241" max="10241" width="5" customWidth="1"/>
    <col min="10242" max="10242" width="16.33203125" bestFit="1" customWidth="1"/>
    <col min="10243" max="10245" width="9" bestFit="1" customWidth="1"/>
    <col min="10246" max="10246" width="33.83203125" bestFit="1" customWidth="1"/>
    <col min="10497" max="10497" width="5" customWidth="1"/>
    <col min="10498" max="10498" width="16.33203125" bestFit="1" customWidth="1"/>
    <col min="10499" max="10501" width="9" bestFit="1" customWidth="1"/>
    <col min="10502" max="10502" width="33.83203125" bestFit="1" customWidth="1"/>
    <col min="10753" max="10753" width="5" customWidth="1"/>
    <col min="10754" max="10754" width="16.33203125" bestFit="1" customWidth="1"/>
    <col min="10755" max="10757" width="9" bestFit="1" customWidth="1"/>
    <col min="10758" max="10758" width="33.83203125" bestFit="1" customWidth="1"/>
    <col min="11009" max="11009" width="5" customWidth="1"/>
    <col min="11010" max="11010" width="16.33203125" bestFit="1" customWidth="1"/>
    <col min="11011" max="11013" width="9" bestFit="1" customWidth="1"/>
    <col min="11014" max="11014" width="33.83203125" bestFit="1" customWidth="1"/>
    <col min="11265" max="11265" width="5" customWidth="1"/>
    <col min="11266" max="11266" width="16.33203125" bestFit="1" customWidth="1"/>
    <col min="11267" max="11269" width="9" bestFit="1" customWidth="1"/>
    <col min="11270" max="11270" width="33.83203125" bestFit="1" customWidth="1"/>
    <col min="11521" max="11521" width="5" customWidth="1"/>
    <col min="11522" max="11522" width="16.33203125" bestFit="1" customWidth="1"/>
    <col min="11523" max="11525" width="9" bestFit="1" customWidth="1"/>
    <col min="11526" max="11526" width="33.83203125" bestFit="1" customWidth="1"/>
    <col min="11777" max="11777" width="5" customWidth="1"/>
    <col min="11778" max="11778" width="16.33203125" bestFit="1" customWidth="1"/>
    <col min="11779" max="11781" width="9" bestFit="1" customWidth="1"/>
    <col min="11782" max="11782" width="33.83203125" bestFit="1" customWidth="1"/>
    <col min="12033" max="12033" width="5" customWidth="1"/>
    <col min="12034" max="12034" width="16.33203125" bestFit="1" customWidth="1"/>
    <col min="12035" max="12037" width="9" bestFit="1" customWidth="1"/>
    <col min="12038" max="12038" width="33.83203125" bestFit="1" customWidth="1"/>
    <col min="12289" max="12289" width="5" customWidth="1"/>
    <col min="12290" max="12290" width="16.33203125" bestFit="1" customWidth="1"/>
    <col min="12291" max="12293" width="9" bestFit="1" customWidth="1"/>
    <col min="12294" max="12294" width="33.83203125" bestFit="1" customWidth="1"/>
    <col min="12545" max="12545" width="5" customWidth="1"/>
    <col min="12546" max="12546" width="16.33203125" bestFit="1" customWidth="1"/>
    <col min="12547" max="12549" width="9" bestFit="1" customWidth="1"/>
    <col min="12550" max="12550" width="33.83203125" bestFit="1" customWidth="1"/>
    <col min="12801" max="12801" width="5" customWidth="1"/>
    <col min="12802" max="12802" width="16.33203125" bestFit="1" customWidth="1"/>
    <col min="12803" max="12805" width="9" bestFit="1" customWidth="1"/>
    <col min="12806" max="12806" width="33.83203125" bestFit="1" customWidth="1"/>
    <col min="13057" max="13057" width="5" customWidth="1"/>
    <col min="13058" max="13058" width="16.33203125" bestFit="1" customWidth="1"/>
    <col min="13059" max="13061" width="9" bestFit="1" customWidth="1"/>
    <col min="13062" max="13062" width="33.83203125" bestFit="1" customWidth="1"/>
    <col min="13313" max="13313" width="5" customWidth="1"/>
    <col min="13314" max="13314" width="16.33203125" bestFit="1" customWidth="1"/>
    <col min="13315" max="13317" width="9" bestFit="1" customWidth="1"/>
    <col min="13318" max="13318" width="33.83203125" bestFit="1" customWidth="1"/>
    <col min="13569" max="13569" width="5" customWidth="1"/>
    <col min="13570" max="13570" width="16.33203125" bestFit="1" customWidth="1"/>
    <col min="13571" max="13573" width="9" bestFit="1" customWidth="1"/>
    <col min="13574" max="13574" width="33.83203125" bestFit="1" customWidth="1"/>
    <col min="13825" max="13825" width="5" customWidth="1"/>
    <col min="13826" max="13826" width="16.33203125" bestFit="1" customWidth="1"/>
    <col min="13827" max="13829" width="9" bestFit="1" customWidth="1"/>
    <col min="13830" max="13830" width="33.83203125" bestFit="1" customWidth="1"/>
    <col min="14081" max="14081" width="5" customWidth="1"/>
    <col min="14082" max="14082" width="16.33203125" bestFit="1" customWidth="1"/>
    <col min="14083" max="14085" width="9" bestFit="1" customWidth="1"/>
    <col min="14086" max="14086" width="33.83203125" bestFit="1" customWidth="1"/>
    <col min="14337" max="14337" width="5" customWidth="1"/>
    <col min="14338" max="14338" width="16.33203125" bestFit="1" customWidth="1"/>
    <col min="14339" max="14341" width="9" bestFit="1" customWidth="1"/>
    <col min="14342" max="14342" width="33.83203125" bestFit="1" customWidth="1"/>
    <col min="14593" max="14593" width="5" customWidth="1"/>
    <col min="14594" max="14594" width="16.33203125" bestFit="1" customWidth="1"/>
    <col min="14595" max="14597" width="9" bestFit="1" customWidth="1"/>
    <col min="14598" max="14598" width="33.83203125" bestFit="1" customWidth="1"/>
    <col min="14849" max="14849" width="5" customWidth="1"/>
    <col min="14850" max="14850" width="16.33203125" bestFit="1" customWidth="1"/>
    <col min="14851" max="14853" width="9" bestFit="1" customWidth="1"/>
    <col min="14854" max="14854" width="33.83203125" bestFit="1" customWidth="1"/>
    <col min="15105" max="15105" width="5" customWidth="1"/>
    <col min="15106" max="15106" width="16.33203125" bestFit="1" customWidth="1"/>
    <col min="15107" max="15109" width="9" bestFit="1" customWidth="1"/>
    <col min="15110" max="15110" width="33.83203125" bestFit="1" customWidth="1"/>
    <col min="15361" max="15361" width="5" customWidth="1"/>
    <col min="15362" max="15362" width="16.33203125" bestFit="1" customWidth="1"/>
    <col min="15363" max="15365" width="9" bestFit="1" customWidth="1"/>
    <col min="15366" max="15366" width="33.83203125" bestFit="1" customWidth="1"/>
    <col min="15617" max="15617" width="5" customWidth="1"/>
    <col min="15618" max="15618" width="16.33203125" bestFit="1" customWidth="1"/>
    <col min="15619" max="15621" width="9" bestFit="1" customWidth="1"/>
    <col min="15622" max="15622" width="33.83203125" bestFit="1" customWidth="1"/>
    <col min="15873" max="15873" width="5" customWidth="1"/>
    <col min="15874" max="15874" width="16.33203125" bestFit="1" customWidth="1"/>
    <col min="15875" max="15877" width="9" bestFit="1" customWidth="1"/>
    <col min="15878" max="15878" width="33.83203125" bestFit="1" customWidth="1"/>
    <col min="16129" max="16129" width="5" customWidth="1"/>
    <col min="16130" max="16130" width="16.33203125" bestFit="1" customWidth="1"/>
    <col min="16131" max="16133" width="9" bestFit="1" customWidth="1"/>
    <col min="16134" max="16134" width="33.83203125" bestFit="1" customWidth="1"/>
  </cols>
  <sheetData>
    <row r="1" spans="1:14" ht="16" x14ac:dyDescent="0.2">
      <c r="A1" s="33" t="s">
        <v>5</v>
      </c>
      <c r="B1" s="34" t="s">
        <v>6</v>
      </c>
      <c r="C1" s="35" t="s">
        <v>7</v>
      </c>
      <c r="D1" s="36" t="s">
        <v>8</v>
      </c>
      <c r="E1" s="19"/>
      <c r="F1" s="19"/>
    </row>
    <row r="2" spans="1:14" ht="95" customHeight="1" x14ac:dyDescent="0.2">
      <c r="A2" s="25" t="s">
        <v>42</v>
      </c>
      <c r="B2" s="25">
        <v>1.2</v>
      </c>
      <c r="C2" s="47">
        <f>(0.8754/1.2)</f>
        <v>0.72950000000000004</v>
      </c>
      <c r="D2" s="25">
        <f>B2*C2</f>
        <v>0.87540000000000007</v>
      </c>
      <c r="E2" s="50" t="s">
        <v>48</v>
      </c>
      <c r="F2" s="49" t="s">
        <v>46</v>
      </c>
      <c r="H2" s="48"/>
    </row>
    <row r="3" spans="1:14" ht="47" customHeight="1" x14ac:dyDescent="0.2">
      <c r="C3" s="47"/>
      <c r="E3" s="50"/>
      <c r="F3" s="49"/>
      <c r="H3" s="48"/>
    </row>
    <row r="4" spans="1:14" ht="16" x14ac:dyDescent="0.2">
      <c r="B4" s="26"/>
      <c r="C4" s="27"/>
      <c r="D4" s="27"/>
      <c r="E4" s="51"/>
      <c r="F4" s="19"/>
    </row>
    <row r="5" spans="1:14" ht="16" x14ac:dyDescent="0.2">
      <c r="A5" s="33" t="s">
        <v>9</v>
      </c>
      <c r="B5" s="34" t="s">
        <v>6</v>
      </c>
      <c r="C5" s="35" t="s">
        <v>7</v>
      </c>
      <c r="D5" s="36" t="s">
        <v>8</v>
      </c>
      <c r="E5" s="51"/>
      <c r="F5" s="19"/>
    </row>
    <row r="6" spans="1:14" ht="68" x14ac:dyDescent="0.2">
      <c r="A6" s="25" t="s">
        <v>42</v>
      </c>
      <c r="B6" s="25">
        <v>0.8</v>
      </c>
      <c r="C6" s="25">
        <f>(0.125/0.8)*100</f>
        <v>15.625</v>
      </c>
      <c r="D6" s="46">
        <f>B6*C6</f>
        <v>12.5</v>
      </c>
      <c r="E6" s="50" t="s">
        <v>49</v>
      </c>
      <c r="H6" s="27" t="s">
        <v>47</v>
      </c>
      <c r="M6" t="s">
        <v>51</v>
      </c>
    </row>
    <row r="7" spans="1:14" ht="51" x14ac:dyDescent="0.2">
      <c r="A7" s="25" t="s">
        <v>43</v>
      </c>
      <c r="D7" s="46"/>
      <c r="E7" s="52" t="s">
        <v>50</v>
      </c>
      <c r="F7" s="19"/>
      <c r="N7">
        <f>(90+150)/2</f>
        <v>120</v>
      </c>
    </row>
    <row r="8" spans="1:14" ht="16" x14ac:dyDescent="0.2">
      <c r="A8" s="33" t="s">
        <v>10</v>
      </c>
      <c r="B8" s="34" t="s">
        <v>6</v>
      </c>
      <c r="C8" s="35" t="s">
        <v>7</v>
      </c>
      <c r="D8" s="36" t="s">
        <v>8</v>
      </c>
      <c r="E8" s="19"/>
      <c r="F8" s="19"/>
    </row>
    <row r="9" spans="1:14" ht="16" x14ac:dyDescent="0.2">
      <c r="D9" s="25">
        <f>B9*C9</f>
        <v>0</v>
      </c>
      <c r="E9" s="26">
        <v>1</v>
      </c>
      <c r="F9" s="27">
        <v>1</v>
      </c>
      <c r="G9" s="37">
        <f>E9*F9</f>
        <v>1</v>
      </c>
    </row>
    <row r="10" spans="1:14" ht="16" x14ac:dyDescent="0.2">
      <c r="B10" s="26"/>
      <c r="C10" s="27"/>
      <c r="D10" s="27"/>
      <c r="E10" s="19"/>
      <c r="F10" s="19"/>
    </row>
    <row r="11" spans="1:14" ht="60" x14ac:dyDescent="0.2">
      <c r="A11" s="40" t="s">
        <v>11</v>
      </c>
      <c r="B11" s="41" t="s">
        <v>12</v>
      </c>
      <c r="C11" s="41" t="s">
        <v>13</v>
      </c>
      <c r="D11" s="42" t="s">
        <v>14</v>
      </c>
      <c r="E11" s="20"/>
      <c r="F11" s="20"/>
    </row>
    <row r="12" spans="1:14" x14ac:dyDescent="0.2">
      <c r="B12" s="25">
        <v>7720</v>
      </c>
      <c r="C12" s="25">
        <v>2384</v>
      </c>
      <c r="D12" s="43">
        <v>10104</v>
      </c>
      <c r="E12" s="25"/>
      <c r="F12" s="25"/>
    </row>
    <row r="13" spans="1:14" x14ac:dyDescent="0.2">
      <c r="D13" s="28"/>
      <c r="E13" s="20"/>
      <c r="F13" s="20"/>
    </row>
    <row r="14" spans="1:14" x14ac:dyDescent="0.2">
      <c r="A14" s="29"/>
      <c r="D14" s="28"/>
      <c r="E14" s="20"/>
      <c r="F14" s="20"/>
    </row>
    <row r="15" spans="1:14" x14ac:dyDescent="0.2">
      <c r="A15" s="29"/>
      <c r="D15" s="28"/>
      <c r="E15" s="20"/>
      <c r="F15" s="20"/>
    </row>
    <row r="27" spans="2:6" ht="16" x14ac:dyDescent="0.2">
      <c r="B27" s="30"/>
      <c r="C27" s="31"/>
      <c r="D27" s="31"/>
      <c r="E27" s="21"/>
      <c r="F27" s="22"/>
    </row>
    <row r="28" spans="2:6" ht="16" x14ac:dyDescent="0.2">
      <c r="B28" s="32"/>
      <c r="C28" s="32"/>
      <c r="D28" s="32"/>
      <c r="E28" s="23"/>
      <c r="F28" s="24"/>
    </row>
    <row r="29" spans="2:6" ht="16" x14ac:dyDescent="0.2">
      <c r="B29" s="26"/>
      <c r="C29" s="27"/>
      <c r="D29" s="27"/>
      <c r="E29" s="19"/>
      <c r="F29" s="19"/>
    </row>
    <row r="30" spans="2:6" ht="16" x14ac:dyDescent="0.2">
      <c r="B30" s="26"/>
      <c r="C30" s="27"/>
      <c r="D30" s="27"/>
      <c r="E30" s="19"/>
      <c r="F30" s="19"/>
    </row>
    <row r="31" spans="2:6" ht="16" x14ac:dyDescent="0.2">
      <c r="B31" s="26"/>
      <c r="C31" s="27"/>
      <c r="D31" s="27"/>
      <c r="E31" s="19"/>
      <c r="F31" s="19"/>
    </row>
    <row r="32" spans="2:6" ht="16" x14ac:dyDescent="0.2">
      <c r="B32" s="26"/>
      <c r="C32" s="27"/>
      <c r="D32" s="27"/>
      <c r="E32" s="19"/>
      <c r="F32" s="19"/>
    </row>
    <row r="33" spans="2:6" ht="16" x14ac:dyDescent="0.2">
      <c r="B33" s="26"/>
      <c r="C33" s="27"/>
      <c r="D33" s="27"/>
      <c r="E33" s="19"/>
      <c r="F33" s="19"/>
    </row>
    <row r="34" spans="2:6" ht="16" x14ac:dyDescent="0.2">
      <c r="B34" s="26"/>
      <c r="C34" s="27"/>
      <c r="D34" s="27"/>
      <c r="E34" s="19"/>
      <c r="F34" s="19"/>
    </row>
    <row r="35" spans="2:6" ht="16" x14ac:dyDescent="0.2">
      <c r="B35" s="26"/>
      <c r="C35" s="27"/>
      <c r="D35" s="27"/>
      <c r="E35" s="19"/>
      <c r="F35" s="19"/>
    </row>
    <row r="36" spans="2:6" ht="16" x14ac:dyDescent="0.2">
      <c r="B36" s="26"/>
      <c r="C36" s="27"/>
      <c r="D36" s="27"/>
      <c r="E36" s="19"/>
      <c r="F36" s="19"/>
    </row>
    <row r="37" spans="2:6" ht="16" x14ac:dyDescent="0.2">
      <c r="B37" s="26"/>
      <c r="C37" s="27"/>
      <c r="D37" s="27"/>
      <c r="E37" s="19"/>
      <c r="F37" s="19"/>
    </row>
    <row r="38" spans="2:6" ht="16" x14ac:dyDescent="0.2">
      <c r="B38" s="26"/>
      <c r="C38" s="27"/>
      <c r="D38" s="27"/>
      <c r="E38" s="19"/>
      <c r="F38" s="19"/>
    </row>
    <row r="39" spans="2:6" ht="16" x14ac:dyDescent="0.2">
      <c r="B39" s="26"/>
      <c r="C39" s="27"/>
      <c r="D39" s="27"/>
      <c r="E39" s="19"/>
      <c r="F39" s="19"/>
    </row>
    <row r="40" spans="2:6" ht="16" x14ac:dyDescent="0.2">
      <c r="B40" s="26"/>
      <c r="C40" s="27"/>
      <c r="D40" s="27"/>
      <c r="E40" s="19"/>
      <c r="F40" s="19"/>
    </row>
  </sheetData>
  <phoneticPr fontId="6" type="noConversion"/>
  <pageMargins left="0.7" right="0.7" top="0.75" bottom="0.75" header="0.3" footer="0.3"/>
  <pageSetup orientation="portrait" r:id="rId1"/>
  <headerFooter>
    <oddFooter>&amp;LCalifornia ISO Public Document&amp;R&amp;P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
  <sheetViews>
    <sheetView workbookViewId="0">
      <selection activeCell="C42" sqref="C42"/>
    </sheetView>
  </sheetViews>
  <sheetFormatPr baseColWidth="10" defaultColWidth="8.83203125" defaultRowHeight="15" x14ac:dyDescent="0.2"/>
  <cols>
    <col min="1" max="1" width="13.1640625" bestFit="1" customWidth="1"/>
    <col min="2" max="3" width="24.5" bestFit="1" customWidth="1"/>
    <col min="4" max="4" width="23.33203125" bestFit="1" customWidth="1"/>
  </cols>
  <sheetData>
    <row r="1" spans="1:4" x14ac:dyDescent="0.2">
      <c r="A1" s="7" t="s">
        <v>15</v>
      </c>
      <c r="B1" s="8" t="s">
        <v>16</v>
      </c>
      <c r="C1" s="8" t="s">
        <v>17</v>
      </c>
      <c r="D1" s="9" t="s">
        <v>18</v>
      </c>
    </row>
    <row r="2" spans="1:4" x14ac:dyDescent="0.2">
      <c r="A2" s="10">
        <v>2005</v>
      </c>
      <c r="B2" s="6">
        <v>0.8</v>
      </c>
      <c r="C2" s="6">
        <v>0.16700000000000001</v>
      </c>
      <c r="D2" s="17" t="s">
        <v>19</v>
      </c>
    </row>
    <row r="3" spans="1:4" x14ac:dyDescent="0.2">
      <c r="A3" s="10">
        <v>2006</v>
      </c>
      <c r="B3" s="6">
        <v>1.0999999999999999E-2</v>
      </c>
      <c r="C3" s="6">
        <v>0.39600000000000002</v>
      </c>
      <c r="D3" s="17" t="s">
        <v>19</v>
      </c>
    </row>
    <row r="4" spans="1:4" x14ac:dyDescent="0.2">
      <c r="A4" s="10">
        <v>2007</v>
      </c>
      <c r="B4" s="6">
        <v>0.02</v>
      </c>
      <c r="C4" s="6">
        <v>2.8000000000000001E-2</v>
      </c>
      <c r="D4" s="17" t="s">
        <v>19</v>
      </c>
    </row>
    <row r="5" spans="1:4" x14ac:dyDescent="0.2">
      <c r="A5" s="10">
        <v>2008</v>
      </c>
      <c r="B5" s="6">
        <v>3.2000000000000001E-2</v>
      </c>
      <c r="C5" s="6">
        <v>0.128</v>
      </c>
      <c r="D5" s="17" t="s">
        <v>19</v>
      </c>
    </row>
    <row r="6" spans="1:4" x14ac:dyDescent="0.2">
      <c r="A6" s="10">
        <v>2009</v>
      </c>
      <c r="B6" s="6">
        <v>0.06</v>
      </c>
      <c r="C6" s="6">
        <v>3.1E-2</v>
      </c>
      <c r="D6" s="11">
        <v>0.2</v>
      </c>
    </row>
    <row r="7" spans="1:4" x14ac:dyDescent="0.2">
      <c r="A7" s="10">
        <v>2010</v>
      </c>
      <c r="B7" s="6">
        <v>7.5999999999999998E-2</v>
      </c>
      <c r="C7" s="6">
        <v>0.189</v>
      </c>
      <c r="D7" s="11">
        <v>0.08</v>
      </c>
    </row>
    <row r="8" spans="1:4" x14ac:dyDescent="0.2">
      <c r="A8" s="10">
        <v>2011</v>
      </c>
      <c r="B8" s="6">
        <v>9.7000000000000003E-2</v>
      </c>
      <c r="C8" s="6">
        <v>0.30099999999999999</v>
      </c>
      <c r="D8" s="11">
        <v>0.129</v>
      </c>
    </row>
    <row r="9" spans="1:4" x14ac:dyDescent="0.2">
      <c r="A9" s="10">
        <v>2012</v>
      </c>
      <c r="B9" s="6">
        <v>0.122</v>
      </c>
      <c r="C9" s="6">
        <v>0.11</v>
      </c>
      <c r="D9" s="11">
        <v>0.14699999999999999</v>
      </c>
    </row>
    <row r="10" spans="1:4" x14ac:dyDescent="0.2">
      <c r="A10" s="10">
        <v>2013</v>
      </c>
      <c r="B10" s="6">
        <v>0.13</v>
      </c>
      <c r="C10" s="6">
        <v>0.224</v>
      </c>
      <c r="D10" s="11">
        <v>0.13300000000000001</v>
      </c>
    </row>
    <row r="11" spans="1:4" x14ac:dyDescent="0.2">
      <c r="A11" s="10">
        <v>2014</v>
      </c>
      <c r="B11" s="6">
        <v>0.11799999999999999</v>
      </c>
      <c r="C11" s="6">
        <v>0.16</v>
      </c>
      <c r="D11" s="11">
        <v>0.14099999999999999</v>
      </c>
    </row>
    <row r="12" spans="1:4" ht="16" thickBot="1" x14ac:dyDescent="0.25">
      <c r="A12" s="10">
        <v>2015</v>
      </c>
      <c r="B12" s="6">
        <v>0.122</v>
      </c>
      <c r="C12" s="6">
        <v>0.26100000000000001</v>
      </c>
      <c r="D12" s="12">
        <v>0.14699999999999999</v>
      </c>
    </row>
    <row r="13" spans="1:4" ht="16" thickBot="1" x14ac:dyDescent="0.25">
      <c r="A13" s="13">
        <v>2016</v>
      </c>
      <c r="B13" s="14" t="s">
        <v>20</v>
      </c>
      <c r="C13" s="15" t="s">
        <v>20</v>
      </c>
      <c r="D13" s="16">
        <v>0.156</v>
      </c>
    </row>
    <row r="14" spans="1:4" x14ac:dyDescent="0.2">
      <c r="A14" t="s">
        <v>21</v>
      </c>
    </row>
    <row r="15" spans="1:4" x14ac:dyDescent="0.2">
      <c r="C15" s="5"/>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249977111117893"/>
  </sheetPr>
  <dimension ref="A1:B17"/>
  <sheetViews>
    <sheetView workbookViewId="0">
      <selection activeCell="B6" sqref="B6"/>
    </sheetView>
  </sheetViews>
  <sheetFormatPr baseColWidth="10" defaultColWidth="8.83203125" defaultRowHeight="15" x14ac:dyDescent="0.2"/>
  <cols>
    <col min="1" max="1" width="24.33203125" customWidth="1"/>
    <col min="2" max="2" width="27.5" customWidth="1"/>
    <col min="15" max="15" width="8.5" customWidth="1"/>
  </cols>
  <sheetData>
    <row r="1" spans="1:2" x14ac:dyDescent="0.2">
      <c r="B1" s="4" t="s">
        <v>22</v>
      </c>
    </row>
    <row r="2" spans="1:2" x14ac:dyDescent="0.2">
      <c r="A2" t="s">
        <v>23</v>
      </c>
      <c r="B2" s="3">
        <v>1</v>
      </c>
    </row>
    <row r="3" spans="1:2" x14ac:dyDescent="0.2">
      <c r="A3" t="s">
        <v>24</v>
      </c>
      <c r="B3" s="3">
        <v>1</v>
      </c>
    </row>
    <row r="4" spans="1:2" x14ac:dyDescent="0.2">
      <c r="A4" t="s">
        <v>25</v>
      </c>
      <c r="B4" s="3">
        <v>1</v>
      </c>
    </row>
    <row r="5" spans="1:2" x14ac:dyDescent="0.2">
      <c r="A5" t="s">
        <v>26</v>
      </c>
      <c r="B5" s="3">
        <v>1</v>
      </c>
    </row>
    <row r="6" spans="1:2" x14ac:dyDescent="0.2">
      <c r="A6" t="s">
        <v>27</v>
      </c>
      <c r="B6" s="3" t="str">
        <f>Data!H6</f>
        <v>https://www.hkelectric.com/en/our-operations/power-generation/lamma-winds/real-time-operation</v>
      </c>
    </row>
    <row r="7" spans="1:2" x14ac:dyDescent="0.2">
      <c r="A7" t="s">
        <v>28</v>
      </c>
      <c r="B7" s="3">
        <f>Data!H2</f>
        <v>0</v>
      </c>
    </row>
    <row r="8" spans="1:2" x14ac:dyDescent="0.2">
      <c r="A8" t="s">
        <v>29</v>
      </c>
      <c r="B8" s="3">
        <v>0</v>
      </c>
    </row>
    <row r="9" spans="1:2" x14ac:dyDescent="0.2">
      <c r="A9" t="s">
        <v>30</v>
      </c>
      <c r="B9" s="3">
        <v>1</v>
      </c>
    </row>
    <row r="10" spans="1:2" x14ac:dyDescent="0.2">
      <c r="A10" t="s">
        <v>31</v>
      </c>
      <c r="B10" s="3">
        <v>1</v>
      </c>
    </row>
    <row r="11" spans="1:2" x14ac:dyDescent="0.2">
      <c r="A11" t="s">
        <v>32</v>
      </c>
      <c r="B11" s="3">
        <v>1</v>
      </c>
    </row>
    <row r="12" spans="1:2" x14ac:dyDescent="0.2">
      <c r="A12" t="s">
        <v>24</v>
      </c>
      <c r="B12" s="3">
        <v>1</v>
      </c>
    </row>
    <row r="13" spans="1:2" x14ac:dyDescent="0.2">
      <c r="A13" t="s">
        <v>33</v>
      </c>
      <c r="B13" s="3">
        <f>B2</f>
        <v>1</v>
      </c>
    </row>
    <row r="14" spans="1:2" x14ac:dyDescent="0.2">
      <c r="A14" t="s">
        <v>34</v>
      </c>
      <c r="B14" s="3" t="str">
        <f>Data!H6</f>
        <v>https://www.hkelectric.com/en/our-operations/power-generation/lamma-winds/real-time-operation</v>
      </c>
    </row>
    <row r="15" spans="1:2" x14ac:dyDescent="0.2">
      <c r="A15" t="s">
        <v>35</v>
      </c>
      <c r="B15">
        <v>1</v>
      </c>
    </row>
    <row r="16" spans="1:2" x14ac:dyDescent="0.2">
      <c r="A16" t="s">
        <v>36</v>
      </c>
      <c r="B16">
        <v>1</v>
      </c>
    </row>
    <row r="17" spans="1:2" x14ac:dyDescent="0.2">
      <c r="A17" t="s">
        <v>37</v>
      </c>
      <c r="B17">
        <v>1</v>
      </c>
    </row>
  </sheetData>
  <phoneticPr fontId="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FBCE15-7E66-4B6C-8899-D385575A787B}">
  <ds:schemaRefs>
    <ds:schemaRef ds:uri="http://purl.org/dc/elements/1.1/"/>
    <ds:schemaRef ds:uri="http://schemas.microsoft.com/office/2006/documentManagement/types"/>
    <ds:schemaRef ds:uri="http://www.w3.org/XML/1998/namespace"/>
    <ds:schemaRef ds:uri="cb176f07-3112-4ee9-93fd-ae2cb5f3e433"/>
    <ds:schemaRef ds:uri="http://purl.org/dc/dcmitype/"/>
    <ds:schemaRef ds:uri="http://purl.org/dc/terms/"/>
    <ds:schemaRef ds:uri="http://schemas.microsoft.com/office/2006/metadata/properties"/>
    <ds:schemaRef ds:uri="http://schemas.microsoft.com/office/infopath/2007/PartnerControls"/>
    <ds:schemaRef ds:uri="http://schemas.openxmlformats.org/package/2006/metadata/core-properties"/>
    <ds:schemaRef ds:uri="6b15a3a4-8173-42d6-9deb-398ec38eca4b"/>
  </ds:schemaRefs>
</ds:datastoreItem>
</file>

<file path=customXml/itemProps2.xml><?xml version="1.0" encoding="utf-8"?>
<ds:datastoreItem xmlns:ds="http://schemas.openxmlformats.org/officeDocument/2006/customXml" ds:itemID="{CD8816DC-19E6-4A0F-A880-6BF4D3AC44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7C9F99E-FADE-4B67-B837-8C6119D974B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About</vt:lpstr>
      <vt:lpstr>Data</vt:lpstr>
      <vt:lpstr>MISO-Wind</vt:lpstr>
      <vt:lpstr>PTCF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Robbie</dc:creator>
  <cp:keywords/>
  <dc:description/>
  <cp:lastModifiedBy>Harriet Tsang</cp:lastModifiedBy>
  <cp:revision/>
  <dcterms:created xsi:type="dcterms:W3CDTF">2016-03-03T23:11:17Z</dcterms:created>
  <dcterms:modified xsi:type="dcterms:W3CDTF">2023-12-22T05:18:16Z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MediaServiceImageTags">
    <vt:lpwstr/>
  </property>
</Properties>
</file>