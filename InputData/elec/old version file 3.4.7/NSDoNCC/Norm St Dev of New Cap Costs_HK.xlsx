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elec\NSDoNCC\"/>
    </mc:Choice>
  </mc:AlternateContent>
  <bookViews>
    <workbookView xWindow="0" yWindow="0" windowWidth="15600" windowHeight="11025"/>
  </bookViews>
  <sheets>
    <sheet name="About" sheetId="1" r:id="rId1"/>
    <sheet name="CRS" sheetId="9" r:id="rId2"/>
    <sheet name="E3 Data" sheetId="8" r:id="rId3"/>
    <sheet name="PV" sheetId="11" r:id="rId4"/>
    <sheet name="NSDoNCC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3" l="1"/>
  <c r="B7" i="3" l="1"/>
  <c r="D18" i="11"/>
  <c r="D19" i="11" s="1"/>
  <c r="D22" i="11" s="1"/>
  <c r="D17" i="11"/>
  <c r="B6" i="3" l="1"/>
  <c r="B10" i="3"/>
  <c r="B8" i="3"/>
  <c r="B4" i="3"/>
  <c r="B3" i="3"/>
  <c r="B2" i="3"/>
  <c r="E3" i="9"/>
  <c r="B11" i="3" l="1"/>
  <c r="B16" i="3" s="1"/>
  <c r="B14" i="3"/>
  <c r="B13" i="3"/>
  <c r="C26" i="8" l="1"/>
  <c r="C27" i="8" s="1"/>
  <c r="D26" i="8"/>
  <c r="D27" i="8" s="1"/>
  <c r="E26" i="8"/>
  <c r="E27" i="8" s="1"/>
  <c r="B5" i="3" s="1"/>
  <c r="F26" i="8"/>
  <c r="F27" i="8" s="1"/>
  <c r="G26" i="8"/>
  <c r="G27" i="8" s="1"/>
  <c r="H26" i="8"/>
  <c r="H27" i="8" s="1"/>
  <c r="I26" i="8"/>
  <c r="I27" i="8" s="1"/>
  <c r="B9" i="3" s="1"/>
  <c r="B17" i="3" s="1"/>
  <c r="K26" i="8"/>
  <c r="K27" i="8" s="1"/>
  <c r="L26" i="8"/>
  <c r="L27" i="8" s="1"/>
  <c r="B12" i="3" s="1"/>
  <c r="B26" i="8"/>
  <c r="B27" i="8" s="1"/>
</calcChain>
</file>

<file path=xl/sharedStrings.xml><?xml version="1.0" encoding="utf-8"?>
<sst xmlns="http://schemas.openxmlformats.org/spreadsheetml/2006/main" count="183" uniqueCount="91">
  <si>
    <t>Source:</t>
  </si>
  <si>
    <t>Solar PV</t>
  </si>
  <si>
    <t>Electricity Source</t>
  </si>
  <si>
    <t>nuclear</t>
  </si>
  <si>
    <t>hydro</t>
  </si>
  <si>
    <t>wind</t>
  </si>
  <si>
    <t>solar PV</t>
  </si>
  <si>
    <t>solar thermal</t>
  </si>
  <si>
    <t>biomass</t>
  </si>
  <si>
    <t>natural gas nonpeaker</t>
  </si>
  <si>
    <t>solar pv</t>
  </si>
  <si>
    <t>petroleum</t>
  </si>
  <si>
    <t>geothermal</t>
  </si>
  <si>
    <t>natural gas peaker</t>
  </si>
  <si>
    <t>Normalized St Dev</t>
  </si>
  <si>
    <t>St Dev</t>
  </si>
  <si>
    <t>https://www.wecc.biz/Reliability/2014_TEPPC_Generation_CapCost_Report_E3.pdf</t>
  </si>
  <si>
    <t>Capital Costs ($/kW)</t>
  </si>
  <si>
    <t>Energy and Environmental Economincs</t>
  </si>
  <si>
    <t>Capital Cost Review of Power Generation Technologies</t>
  </si>
  <si>
    <t>Tables 2, 6, 8, 9, 11, 12, 15, 16, 22, 26, and 28</t>
  </si>
  <si>
    <t>Coal
(table 2)</t>
  </si>
  <si>
    <t>natural gas nonpeaker 
(tables 8 and 9)</t>
  </si>
  <si>
    <t>nuclear 
(table 11)</t>
  </si>
  <si>
    <t>hydro 
(table 12, excluding outlier)</t>
  </si>
  <si>
    <t>solar pv 
(table 22)</t>
  </si>
  <si>
    <t>solar thermal 
(table 26)</t>
  </si>
  <si>
    <t>biomass 
(table 15)</t>
  </si>
  <si>
    <t>petroleum 
(n/a)</t>
  </si>
  <si>
    <t>geothermal 
(table 16)</t>
  </si>
  <si>
    <t>natural gas peaker 
(table 6)</t>
  </si>
  <si>
    <t>wind 
(table 28)</t>
  </si>
  <si>
    <t>n/a</t>
  </si>
  <si>
    <t>Notes:</t>
  </si>
  <si>
    <t>Power Plant Quality</t>
  </si>
  <si>
    <t>Cost per kW</t>
  </si>
  <si>
    <t>Source</t>
  </si>
  <si>
    <t>p.76-78, Pulverized Coal Projects Selected for Cost Estimate</t>
  </si>
  <si>
    <t>p.79-81, Nuclear Projects Selected for Cost Estimate</t>
  </si>
  <si>
    <t>p.82-83, Combined Cycle Projects Selected for Cost Estimate</t>
  </si>
  <si>
    <t>p.84-85, Wind Projects Selected for Cost Estimate</t>
  </si>
  <si>
    <t>p.87, Geothermal Projects Selected for Cost Estimate</t>
  </si>
  <si>
    <t>p.89-90, Solar Thermal Projects Selected for Cost Estimate</t>
  </si>
  <si>
    <t>p.91, Solar Photovoltaic (PV) Projects Selected for Cost Estimate</t>
  </si>
  <si>
    <t>https://www.fas.org/sgp/crs/misc/RL34746.pdf</t>
  </si>
  <si>
    <t>Congressional Research Service</t>
  </si>
  <si>
    <t>Power Plants: Characteristics and Costs</t>
  </si>
  <si>
    <t>p. 76-91</t>
  </si>
  <si>
    <t>Coal, Natural Gas Nonpeaker, Nuclear, Wind, Solar Thermal, Geothermal</t>
  </si>
  <si>
    <t xml:space="preserve">Where possible, we use published costs to estimate the normalized standard deviation for new </t>
  </si>
  <si>
    <t xml:space="preserve"> calculate values for solar PV. For the remaining power plant types, we use reported project costs</t>
  </si>
  <si>
    <t xml:space="preserve">aggregated in a report by Energy and Environmental Economics (E3) as the basis for calculating the </t>
  </si>
  <si>
    <t xml:space="preserve"> so we assume these units have the same distribution of costs as the natural gas peaker plants. </t>
  </si>
  <si>
    <t>NSDoNCC Normalized Std Dev of New Capital Costs</t>
  </si>
  <si>
    <t>unit capital costs. The CRS study contains published values for coal, natural gas combined cycle (nonpeakers)</t>
  </si>
  <si>
    <t>standard deviation of capital costs for new projects. No data was available for petroleum-fired power plants,</t>
  </si>
  <si>
    <t>Hydro, Natural Gas Peaker, Petroleum, Biomass</t>
  </si>
  <si>
    <t>lignite</t>
  </si>
  <si>
    <t>offshore wind</t>
  </si>
  <si>
    <t>onshore wind</t>
  </si>
  <si>
    <t>hard coal</t>
  </si>
  <si>
    <t>nuclear, onshore wind, solar thermal, solar PV, and geothermal. However, given the small sample size (2) for</t>
  </si>
  <si>
    <t>We use onshore wind ranges for offshore wind and we assume the coal values apply to both hard coal</t>
  </si>
  <si>
    <t>and lignite.</t>
  </si>
  <si>
    <r>
      <t>Figure 10</t>
    </r>
    <r>
      <rPr>
        <b/>
        <sz val="12"/>
        <color indexed="8"/>
        <rFont val="Times New Roman"/>
        <family val="1"/>
      </rPr>
      <t>. Installed Price of Utility-Scale PV by Mounting Type and Installation Year</t>
    </r>
  </si>
  <si>
    <t>Units: 2017 Real $/W-AC</t>
  </si>
  <si>
    <t>Installation Year</t>
  </si>
  <si>
    <t>Fixed-Tilt Projects</t>
  </si>
  <si>
    <t>Tracking Projects</t>
  </si>
  <si>
    <t>All PV Sample</t>
  </si>
  <si>
    <t>Median Price</t>
  </si>
  <si>
    <t>Capacity-Weighted Average</t>
  </si>
  <si>
    <t>20th Percentile</t>
  </si>
  <si>
    <t>80th Percentile</t>
  </si>
  <si>
    <t>Project Count</t>
  </si>
  <si>
    <t>Project MW-AC</t>
  </si>
  <si>
    <t>2007-2009</t>
  </si>
  <si>
    <t xml:space="preserve">Notes: "All PV" sample includes PV projects with hybrid tracking technologies and CPV projects
</t>
  </si>
  <si>
    <t>mean</t>
  </si>
  <si>
    <t>x value</t>
  </si>
  <si>
    <t>standard deviation</t>
  </si>
  <si>
    <t>z-score of 80 percentile</t>
  </si>
  <si>
    <t>normalized standard deviation</t>
  </si>
  <si>
    <t>https://emp.lbl.gov/utility-scale-solar</t>
  </si>
  <si>
    <t>Berkeley Lab</t>
  </si>
  <si>
    <t>Utility-Scale Solar Empirical Trends in Project Technology, Cost, Performance, and PPA Pricing in the United States</t>
  </si>
  <si>
    <t>solar PV and the availability of data published by NREL, we use data from the Berkeley Lab to</t>
  </si>
  <si>
    <t>heavy or residual fuel oil</t>
  </si>
  <si>
    <t>municipal solid waste</t>
  </si>
  <si>
    <t>crude oil</t>
  </si>
  <si>
    <t>Norm St Dev of New Capital Costs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</si>
</sst>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1" applyNumberFormat="0" applyProtection="0">
      <alignment wrapText="1"/>
    </xf>
    <xf numFmtId="0" fontId="5" fillId="0" borderId="2" applyNumberFormat="0" applyFont="0" applyProtection="0">
      <alignment wrapText="1"/>
    </xf>
    <xf numFmtId="0" fontId="5" fillId="0" borderId="0" applyNumberFormat="0" applyFill="0" applyBorder="0" applyAlignment="0" applyProtection="0"/>
    <xf numFmtId="0" fontId="5" fillId="0" borderId="3" applyNumberFormat="0" applyProtection="0">
      <alignment vertical="top" wrapText="1"/>
    </xf>
  </cellStyleXfs>
  <cellXfs count="66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0" xfId="0" applyFill="1"/>
    <xf numFmtId="0" fontId="0" fillId="0" borderId="0" xfId="0" applyBorder="1"/>
    <xf numFmtId="0" fontId="1" fillId="0" borderId="4" xfId="0" applyFont="1" applyBorder="1"/>
    <xf numFmtId="0" fontId="0" fillId="0" borderId="4" xfId="0" applyBorder="1"/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2" borderId="0" xfId="0" applyFill="1" applyBorder="1"/>
    <xf numFmtId="0" fontId="0" fillId="0" borderId="9" xfId="0" applyBorder="1"/>
    <xf numFmtId="0" fontId="0" fillId="2" borderId="9" xfId="0" applyFill="1" applyBorder="1"/>
    <xf numFmtId="164" fontId="6" fillId="0" borderId="0" xfId="0" applyNumberFormat="1" applyFont="1" applyBorder="1"/>
    <xf numFmtId="164" fontId="6" fillId="0" borderId="9" xfId="0" applyNumberFormat="1" applyFont="1" applyBorder="1"/>
    <xf numFmtId="164" fontId="6" fillId="0" borderId="11" xfId="0" applyNumberFormat="1" applyFont="1" applyBorder="1"/>
    <xf numFmtId="164" fontId="6" fillId="0" borderId="12" xfId="0" applyNumberFormat="1" applyFont="1" applyBorder="1"/>
    <xf numFmtId="0" fontId="1" fillId="0" borderId="5" xfId="0" applyFont="1" applyFill="1" applyBorder="1" applyAlignment="1">
      <alignment vertical="center" wrapText="1"/>
    </xf>
    <xf numFmtId="0" fontId="0" fillId="0" borderId="8" xfId="0" applyFill="1" applyBorder="1"/>
    <xf numFmtId="0" fontId="6" fillId="0" borderId="8" xfId="0" applyFont="1" applyFill="1" applyBorder="1"/>
    <xf numFmtId="0" fontId="6" fillId="0" borderId="10" xfId="0" applyFont="1" applyFill="1" applyBorder="1"/>
    <xf numFmtId="0" fontId="0" fillId="0" borderId="0" xfId="0" applyFont="1"/>
    <xf numFmtId="0" fontId="1" fillId="0" borderId="0" xfId="0" applyFont="1" applyBorder="1"/>
    <xf numFmtId="164" fontId="0" fillId="0" borderId="0" xfId="0" applyNumberFormat="1" applyBorder="1"/>
    <xf numFmtId="0" fontId="0" fillId="0" borderId="0" xfId="0" applyFill="1" applyBorder="1"/>
    <xf numFmtId="164" fontId="0" fillId="0" borderId="0" xfId="0" applyNumberFormat="1"/>
    <xf numFmtId="0" fontId="7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/>
    </xf>
    <xf numFmtId="2" fontId="9" fillId="3" borderId="23" xfId="0" applyNumberFormat="1" applyFont="1" applyFill="1" applyBorder="1" applyAlignment="1">
      <alignment horizontal="center" vertical="center"/>
    </xf>
    <xf numFmtId="39" fontId="9" fillId="3" borderId="24" xfId="0" applyNumberFormat="1" applyFont="1" applyFill="1" applyBorder="1" applyAlignment="1">
      <alignment horizontal="center" vertical="center"/>
    </xf>
    <xf numFmtId="2" fontId="9" fillId="3" borderId="25" xfId="0" applyNumberFormat="1" applyFont="1" applyFill="1" applyBorder="1" applyAlignment="1">
      <alignment horizontal="center" vertical="center"/>
    </xf>
    <xf numFmtId="2" fontId="9" fillId="3" borderId="26" xfId="0" applyNumberFormat="1" applyFont="1" applyFill="1" applyBorder="1" applyAlignment="1">
      <alignment horizontal="center" vertical="center"/>
    </xf>
    <xf numFmtId="39" fontId="9" fillId="3" borderId="27" xfId="0" applyNumberFormat="1" applyFont="1" applyFill="1" applyBorder="1" applyAlignment="1">
      <alignment horizontal="center" vertical="center"/>
    </xf>
    <xf numFmtId="1" fontId="9" fillId="3" borderId="28" xfId="0" applyNumberFormat="1" applyFont="1" applyFill="1" applyBorder="1" applyAlignment="1">
      <alignment horizontal="center" vertical="center"/>
    </xf>
    <xf numFmtId="37" fontId="9" fillId="3" borderId="27" xfId="0" applyNumberFormat="1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2" fontId="9" fillId="3" borderId="30" xfId="0" applyNumberFormat="1" applyFont="1" applyFill="1" applyBorder="1" applyAlignment="1">
      <alignment horizontal="center" vertical="center"/>
    </xf>
    <xf numFmtId="39" fontId="9" fillId="3" borderId="31" xfId="0" applyNumberFormat="1" applyFont="1" applyFill="1" applyBorder="1" applyAlignment="1">
      <alignment horizontal="center" vertical="center"/>
    </xf>
    <xf numFmtId="1" fontId="9" fillId="3" borderId="32" xfId="0" applyNumberFormat="1" applyFont="1" applyFill="1" applyBorder="1" applyAlignment="1">
      <alignment horizontal="center" vertical="center"/>
    </xf>
    <xf numFmtId="37" fontId="9" fillId="3" borderId="31" xfId="0" applyNumberFormat="1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2" fontId="9" fillId="3" borderId="34" xfId="0" applyNumberFormat="1" applyFont="1" applyFill="1" applyBorder="1" applyAlignment="1">
      <alignment horizontal="center" vertical="center"/>
    </xf>
    <xf numFmtId="2" fontId="9" fillId="3" borderId="4" xfId="0" applyNumberFormat="1" applyFont="1" applyFill="1" applyBorder="1" applyAlignment="1">
      <alignment horizontal="center" vertical="center"/>
    </xf>
    <xf numFmtId="39" fontId="9" fillId="3" borderId="35" xfId="0" applyNumberFormat="1" applyFont="1" applyFill="1" applyBorder="1" applyAlignment="1">
      <alignment horizontal="center" vertical="center"/>
    </xf>
    <xf numFmtId="2" fontId="9" fillId="3" borderId="36" xfId="0" applyNumberFormat="1" applyFont="1" applyFill="1" applyBorder="1" applyAlignment="1">
      <alignment horizontal="center" vertical="center"/>
    </xf>
    <xf numFmtId="39" fontId="9" fillId="3" borderId="37" xfId="0" applyNumberFormat="1" applyFont="1" applyFill="1" applyBorder="1" applyAlignment="1">
      <alignment horizontal="center" vertical="center"/>
    </xf>
    <xf numFmtId="1" fontId="9" fillId="3" borderId="4" xfId="0" applyNumberFormat="1" applyFont="1" applyFill="1" applyBorder="1" applyAlignment="1">
      <alignment horizontal="center" vertical="center"/>
    </xf>
    <xf numFmtId="37" fontId="9" fillId="3" borderId="37" xfId="0" applyNumberFormat="1" applyFont="1" applyFill="1" applyBorder="1" applyAlignment="1">
      <alignment horizontal="center" vertical="center"/>
    </xf>
    <xf numFmtId="2" fontId="0" fillId="0" borderId="0" xfId="0" applyNumberFormat="1"/>
    <xf numFmtId="39" fontId="0" fillId="0" borderId="0" xfId="0" applyNumberFormat="1"/>
    <xf numFmtId="0" fontId="9" fillId="3" borderId="13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right" wrapText="1"/>
    </xf>
  </cellXfs>
  <cellStyles count="7">
    <cellStyle name="Body: normal cell" xfId="4"/>
    <cellStyle name="Font: Calibri, 9pt regular" xfId="5"/>
    <cellStyle name="Footnotes: top row" xfId="6"/>
    <cellStyle name="Header: bottom row" xfId="3"/>
    <cellStyle name="Hyperlink" xfId="1" builtinId="8"/>
    <cellStyle name="Normal" xfId="0" builtinId="0"/>
    <cellStyle name="Table title" xfId="2"/>
  </cellStyles>
  <dxfs count="0"/>
  <tableStyles count="0" defaultTableStyle="TableStyleMedium2" defaultPivotStyle="PivotStyleLight16"/>
  <colors>
    <mruColors>
      <color rgb="FF2153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mp.lbl.gov/utility-scale-solar" TargetMode="External"/><Relationship Id="rId1" Type="http://schemas.openxmlformats.org/officeDocument/2006/relationships/hyperlink" Target="https://www.fas.org/sgp/crs/misc/RL3474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topLeftCell="A4" zoomScaleNormal="100" workbookViewId="0">
      <selection activeCell="A28" sqref="A28"/>
    </sheetView>
  </sheetViews>
  <sheetFormatPr defaultRowHeight="15" x14ac:dyDescent="0.25"/>
  <cols>
    <col min="2" max="2" width="78.28515625" customWidth="1"/>
    <col min="7" max="7" width="11.42578125" customWidth="1"/>
  </cols>
  <sheetData>
    <row r="1" spans="1:8" x14ac:dyDescent="0.25">
      <c r="A1" s="1" t="s">
        <v>53</v>
      </c>
      <c r="H1" s="5"/>
    </row>
    <row r="2" spans="1:8" x14ac:dyDescent="0.25">
      <c r="H2" s="5"/>
    </row>
    <row r="3" spans="1:8" x14ac:dyDescent="0.25">
      <c r="A3" s="1" t="s">
        <v>0</v>
      </c>
      <c r="B3" s="4" t="s">
        <v>48</v>
      </c>
      <c r="H3" s="5"/>
    </row>
    <row r="4" spans="1:8" x14ac:dyDescent="0.25">
      <c r="B4" t="s">
        <v>45</v>
      </c>
      <c r="H4" s="5"/>
    </row>
    <row r="5" spans="1:8" x14ac:dyDescent="0.25">
      <c r="B5" s="3">
        <v>2008</v>
      </c>
      <c r="H5" s="5"/>
    </row>
    <row r="6" spans="1:8" x14ac:dyDescent="0.25">
      <c r="B6" t="s">
        <v>46</v>
      </c>
      <c r="H6" s="5"/>
    </row>
    <row r="7" spans="1:8" x14ac:dyDescent="0.25">
      <c r="B7" s="2" t="s">
        <v>44</v>
      </c>
      <c r="H7" s="5"/>
    </row>
    <row r="8" spans="1:8" x14ac:dyDescent="0.25">
      <c r="B8" t="s">
        <v>47</v>
      </c>
    </row>
    <row r="10" spans="1:8" x14ac:dyDescent="0.25">
      <c r="B10" s="4" t="s">
        <v>1</v>
      </c>
    </row>
    <row r="11" spans="1:8" x14ac:dyDescent="0.25">
      <c r="B11" t="s">
        <v>84</v>
      </c>
    </row>
    <row r="12" spans="1:8" x14ac:dyDescent="0.25">
      <c r="B12" s="3">
        <v>2018</v>
      </c>
    </row>
    <row r="13" spans="1:8" x14ac:dyDescent="0.25">
      <c r="B13" t="s">
        <v>85</v>
      </c>
    </row>
    <row r="14" spans="1:8" x14ac:dyDescent="0.25">
      <c r="B14" s="2" t="s">
        <v>83</v>
      </c>
    </row>
    <row r="16" spans="1:8" x14ac:dyDescent="0.25">
      <c r="B16" s="4" t="s">
        <v>56</v>
      </c>
    </row>
    <row r="17" spans="1:2" x14ac:dyDescent="0.25">
      <c r="B17" t="s">
        <v>18</v>
      </c>
    </row>
    <row r="18" spans="1:2" x14ac:dyDescent="0.25">
      <c r="B18" s="3">
        <v>2014</v>
      </c>
    </row>
    <row r="19" spans="1:2" x14ac:dyDescent="0.25">
      <c r="B19" t="s">
        <v>19</v>
      </c>
    </row>
    <row r="20" spans="1:2" x14ac:dyDescent="0.25">
      <c r="B20" s="2" t="s">
        <v>16</v>
      </c>
    </row>
    <row r="21" spans="1:2" x14ac:dyDescent="0.25">
      <c r="B21" t="s">
        <v>20</v>
      </c>
    </row>
    <row r="23" spans="1:2" x14ac:dyDescent="0.25">
      <c r="A23" s="1" t="s">
        <v>33</v>
      </c>
    </row>
    <row r="24" spans="1:2" x14ac:dyDescent="0.25">
      <c r="A24" s="24" t="s">
        <v>49</v>
      </c>
    </row>
    <row r="25" spans="1:2" x14ac:dyDescent="0.25">
      <c r="A25" s="24" t="s">
        <v>54</v>
      </c>
    </row>
    <row r="26" spans="1:2" x14ac:dyDescent="0.25">
      <c r="A26" s="24" t="s">
        <v>61</v>
      </c>
    </row>
    <row r="27" spans="1:2" x14ac:dyDescent="0.25">
      <c r="A27" s="24" t="s">
        <v>86</v>
      </c>
    </row>
    <row r="28" spans="1:2" x14ac:dyDescent="0.25">
      <c r="A28" s="24" t="s">
        <v>50</v>
      </c>
    </row>
    <row r="29" spans="1:2" x14ac:dyDescent="0.25">
      <c r="A29" t="s">
        <v>51</v>
      </c>
    </row>
    <row r="30" spans="1:2" x14ac:dyDescent="0.25">
      <c r="A30" t="s">
        <v>55</v>
      </c>
    </row>
    <row r="31" spans="1:2" x14ac:dyDescent="0.25">
      <c r="A31" t="s">
        <v>52</v>
      </c>
    </row>
    <row r="32" spans="1:2" x14ac:dyDescent="0.25">
      <c r="A32" t="s">
        <v>62</v>
      </c>
    </row>
    <row r="33" spans="1:1" x14ac:dyDescent="0.25">
      <c r="A33" t="s">
        <v>63</v>
      </c>
    </row>
  </sheetData>
  <hyperlinks>
    <hyperlink ref="B7" r:id="rId1"/>
    <hyperlink ref="B14" r:id="rId2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>
      <selection activeCell="A2" sqref="A2:A10"/>
    </sheetView>
  </sheetViews>
  <sheetFormatPr defaultRowHeight="15" x14ac:dyDescent="0.25"/>
  <cols>
    <col min="1" max="1" width="18.85546875" bestFit="1" customWidth="1"/>
    <col min="2" max="2" width="11.5703125" bestFit="1" customWidth="1"/>
    <col min="3" max="3" width="55.42578125" bestFit="1" customWidth="1"/>
  </cols>
  <sheetData>
    <row r="1" spans="1:5" x14ac:dyDescent="0.25">
      <c r="A1" s="7" t="s">
        <v>34</v>
      </c>
      <c r="B1" s="7" t="s">
        <v>35</v>
      </c>
      <c r="C1" s="7" t="s">
        <v>36</v>
      </c>
    </row>
    <row r="2" spans="1:5" x14ac:dyDescent="0.25">
      <c r="A2" s="8" t="s">
        <v>60</v>
      </c>
      <c r="B2" s="8">
        <v>2857</v>
      </c>
      <c r="C2" s="8" t="s">
        <v>37</v>
      </c>
    </row>
    <row r="3" spans="1:5" x14ac:dyDescent="0.25">
      <c r="A3" s="8" t="s">
        <v>60</v>
      </c>
      <c r="B3" s="8">
        <v>2083</v>
      </c>
      <c r="C3" s="8" t="s">
        <v>37</v>
      </c>
      <c r="E3">
        <f>STDEV(B2:B10)/AVERAGE(B2:B10)</f>
        <v>0.11767526995465394</v>
      </c>
    </row>
    <row r="4" spans="1:5" x14ac:dyDescent="0.25">
      <c r="A4" s="8" t="s">
        <v>60</v>
      </c>
      <c r="B4" s="8">
        <v>2433</v>
      </c>
      <c r="C4" s="8" t="s">
        <v>37</v>
      </c>
    </row>
    <row r="5" spans="1:5" x14ac:dyDescent="0.25">
      <c r="A5" s="8" t="s">
        <v>60</v>
      </c>
      <c r="B5" s="8">
        <v>2499</v>
      </c>
      <c r="C5" s="8" t="s">
        <v>37</v>
      </c>
    </row>
    <row r="6" spans="1:5" x14ac:dyDescent="0.25">
      <c r="A6" s="8" t="s">
        <v>60</v>
      </c>
      <c r="B6" s="8">
        <v>2250</v>
      </c>
      <c r="C6" s="8" t="s">
        <v>37</v>
      </c>
    </row>
    <row r="7" spans="1:5" x14ac:dyDescent="0.25">
      <c r="A7" s="8" t="s">
        <v>60</v>
      </c>
      <c r="B7" s="8">
        <v>3073</v>
      </c>
      <c r="C7" s="8" t="s">
        <v>37</v>
      </c>
    </row>
    <row r="8" spans="1:5" x14ac:dyDescent="0.25">
      <c r="A8" s="8" t="s">
        <v>60</v>
      </c>
      <c r="B8" s="8">
        <v>2571</v>
      </c>
      <c r="C8" s="8" t="s">
        <v>37</v>
      </c>
    </row>
    <row r="9" spans="1:5" x14ac:dyDescent="0.25">
      <c r="A9" s="8" t="s">
        <v>60</v>
      </c>
      <c r="B9" s="8">
        <v>2440</v>
      </c>
      <c r="C9" s="8" t="s">
        <v>37</v>
      </c>
    </row>
    <row r="10" spans="1:5" x14ac:dyDescent="0.25">
      <c r="A10" s="8" t="s">
        <v>60</v>
      </c>
      <c r="B10" s="8">
        <v>2467</v>
      </c>
      <c r="C10" s="8" t="s">
        <v>37</v>
      </c>
    </row>
    <row r="11" spans="1:5" x14ac:dyDescent="0.25">
      <c r="A11" s="8" t="s">
        <v>3</v>
      </c>
      <c r="B11" s="8">
        <v>5746</v>
      </c>
      <c r="C11" s="8" t="s">
        <v>38</v>
      </c>
    </row>
    <row r="12" spans="1:5" x14ac:dyDescent="0.25">
      <c r="A12" s="8" t="s">
        <v>3</v>
      </c>
      <c r="B12" s="8">
        <v>4260</v>
      </c>
      <c r="C12" s="8" t="s">
        <v>38</v>
      </c>
    </row>
    <row r="13" spans="1:5" x14ac:dyDescent="0.25">
      <c r="A13" s="8" t="s">
        <v>3</v>
      </c>
      <c r="B13" s="8">
        <v>3670</v>
      </c>
      <c r="C13" s="8" t="s">
        <v>38</v>
      </c>
    </row>
    <row r="14" spans="1:5" x14ac:dyDescent="0.25">
      <c r="A14" s="8" t="s">
        <v>3</v>
      </c>
      <c r="B14" s="8">
        <v>2865</v>
      </c>
      <c r="C14" s="8" t="s">
        <v>38</v>
      </c>
    </row>
    <row r="15" spans="1:5" x14ac:dyDescent="0.25">
      <c r="A15" s="8" t="s">
        <v>3</v>
      </c>
      <c r="B15" s="8">
        <v>3200</v>
      </c>
      <c r="C15" s="8" t="s">
        <v>38</v>
      </c>
    </row>
    <row r="16" spans="1:5" x14ac:dyDescent="0.25">
      <c r="A16" s="8" t="s">
        <v>3</v>
      </c>
      <c r="B16" s="8">
        <v>3596</v>
      </c>
      <c r="C16" s="8" t="s">
        <v>38</v>
      </c>
    </row>
    <row r="17" spans="1:3" x14ac:dyDescent="0.25">
      <c r="A17" s="8" t="s">
        <v>3</v>
      </c>
      <c r="B17" s="8">
        <v>3108</v>
      </c>
      <c r="C17" s="8" t="s">
        <v>38</v>
      </c>
    </row>
    <row r="18" spans="1:3" x14ac:dyDescent="0.25">
      <c r="A18" s="8" t="s">
        <v>3</v>
      </c>
      <c r="B18" s="8">
        <v>4540</v>
      </c>
      <c r="C18" s="8" t="s">
        <v>38</v>
      </c>
    </row>
    <row r="19" spans="1:3" x14ac:dyDescent="0.25">
      <c r="A19" s="8" t="s">
        <v>3</v>
      </c>
      <c r="B19" s="8">
        <v>4387</v>
      </c>
      <c r="C19" s="8" t="s">
        <v>38</v>
      </c>
    </row>
    <row r="20" spans="1:3" x14ac:dyDescent="0.25">
      <c r="A20" s="8" t="s">
        <v>9</v>
      </c>
      <c r="B20" s="8">
        <v>1085</v>
      </c>
      <c r="C20" s="8" t="s">
        <v>39</v>
      </c>
    </row>
    <row r="21" spans="1:3" x14ac:dyDescent="0.25">
      <c r="A21" s="8" t="s">
        <v>9</v>
      </c>
      <c r="B21" s="8">
        <v>1097</v>
      </c>
      <c r="C21" s="8" t="s">
        <v>39</v>
      </c>
    </row>
    <row r="22" spans="1:3" x14ac:dyDescent="0.25">
      <c r="A22" s="8" t="s">
        <v>9</v>
      </c>
      <c r="B22" s="8">
        <v>1167</v>
      </c>
      <c r="C22" s="8" t="s">
        <v>39</v>
      </c>
    </row>
    <row r="23" spans="1:3" x14ac:dyDescent="0.25">
      <c r="A23" s="8" t="s">
        <v>9</v>
      </c>
      <c r="B23" s="8">
        <v>1277</v>
      </c>
      <c r="C23" s="8" t="s">
        <v>39</v>
      </c>
    </row>
    <row r="24" spans="1:3" x14ac:dyDescent="0.25">
      <c r="A24" s="8" t="s">
        <v>9</v>
      </c>
      <c r="B24" s="8">
        <v>1100</v>
      </c>
      <c r="C24" s="8" t="s">
        <v>39</v>
      </c>
    </row>
    <row r="25" spans="1:3" x14ac:dyDescent="0.25">
      <c r="A25" s="8" t="s">
        <v>9</v>
      </c>
      <c r="B25" s="8">
        <v>1409</v>
      </c>
      <c r="C25" s="8" t="s">
        <v>39</v>
      </c>
    </row>
    <row r="26" spans="1:3" x14ac:dyDescent="0.25">
      <c r="A26" s="8" t="s">
        <v>9</v>
      </c>
      <c r="B26" s="8">
        <v>1017</v>
      </c>
      <c r="C26" s="8" t="s">
        <v>39</v>
      </c>
    </row>
    <row r="27" spans="1:3" x14ac:dyDescent="0.25">
      <c r="A27" s="8" t="s">
        <v>5</v>
      </c>
      <c r="B27" s="8">
        <v>2000</v>
      </c>
      <c r="C27" s="8" t="s">
        <v>40</v>
      </c>
    </row>
    <row r="28" spans="1:3" x14ac:dyDescent="0.25">
      <c r="A28" s="8" t="s">
        <v>5</v>
      </c>
      <c r="B28" s="8">
        <v>2152</v>
      </c>
      <c r="C28" s="8" t="s">
        <v>40</v>
      </c>
    </row>
    <row r="29" spans="1:3" x14ac:dyDescent="0.25">
      <c r="A29" s="8" t="s">
        <v>5</v>
      </c>
      <c r="B29" s="8">
        <v>2439</v>
      </c>
      <c r="C29" s="8" t="s">
        <v>40</v>
      </c>
    </row>
    <row r="30" spans="1:3" x14ac:dyDescent="0.25">
      <c r="A30" s="8" t="s">
        <v>5</v>
      </c>
      <c r="B30" s="8">
        <v>1806</v>
      </c>
      <c r="C30" s="8" t="s">
        <v>40</v>
      </c>
    </row>
    <row r="31" spans="1:3" x14ac:dyDescent="0.25">
      <c r="A31" s="8" t="s">
        <v>5</v>
      </c>
      <c r="B31" s="8">
        <v>1500</v>
      </c>
      <c r="C31" s="8" t="s">
        <v>40</v>
      </c>
    </row>
    <row r="32" spans="1:3" x14ac:dyDescent="0.25">
      <c r="A32" s="8" t="s">
        <v>5</v>
      </c>
      <c r="B32" s="8">
        <v>2313</v>
      </c>
      <c r="C32" s="8" t="s">
        <v>40</v>
      </c>
    </row>
    <row r="33" spans="1:3" x14ac:dyDescent="0.25">
      <c r="A33" s="8" t="s">
        <v>5</v>
      </c>
      <c r="B33" s="8">
        <v>2535</v>
      </c>
      <c r="C33" s="8" t="s">
        <v>40</v>
      </c>
    </row>
    <row r="34" spans="1:3" x14ac:dyDescent="0.25">
      <c r="A34" s="8" t="s">
        <v>12</v>
      </c>
      <c r="B34" s="8">
        <v>2500</v>
      </c>
      <c r="C34" s="8" t="s">
        <v>41</v>
      </c>
    </row>
    <row r="35" spans="1:3" x14ac:dyDescent="0.25">
      <c r="A35" s="8" t="s">
        <v>12</v>
      </c>
      <c r="B35" s="8">
        <v>3429</v>
      </c>
      <c r="C35" s="8" t="s">
        <v>41</v>
      </c>
    </row>
    <row r="36" spans="1:3" x14ac:dyDescent="0.25">
      <c r="A36" s="8" t="s">
        <v>12</v>
      </c>
      <c r="B36" s="8">
        <v>2847</v>
      </c>
      <c r="C36" s="8" t="s">
        <v>41</v>
      </c>
    </row>
    <row r="37" spans="1:3" x14ac:dyDescent="0.25">
      <c r="A37" s="8" t="s">
        <v>12</v>
      </c>
      <c r="B37" s="8">
        <v>3906</v>
      </c>
      <c r="C37" s="8" t="s">
        <v>41</v>
      </c>
    </row>
    <row r="38" spans="1:3" x14ac:dyDescent="0.25">
      <c r="A38" s="8" t="s">
        <v>7</v>
      </c>
      <c r="B38" s="8">
        <v>3725</v>
      </c>
      <c r="C38" s="8" t="s">
        <v>42</v>
      </c>
    </row>
    <row r="39" spans="1:3" x14ac:dyDescent="0.25">
      <c r="A39" s="8" t="s">
        <v>7</v>
      </c>
      <c r="B39" s="8">
        <v>3000</v>
      </c>
      <c r="C39" s="8" t="s">
        <v>42</v>
      </c>
    </row>
    <row r="40" spans="1:3" x14ac:dyDescent="0.25">
      <c r="A40" s="8" t="s">
        <v>7</v>
      </c>
      <c r="B40" s="8">
        <v>3107</v>
      </c>
      <c r="C40" s="8" t="s">
        <v>42</v>
      </c>
    </row>
    <row r="41" spans="1:3" x14ac:dyDescent="0.25">
      <c r="A41" s="8" t="s">
        <v>7</v>
      </c>
      <c r="B41" s="8">
        <v>3906</v>
      </c>
      <c r="C41" s="8" t="s">
        <v>42</v>
      </c>
    </row>
    <row r="42" spans="1:3" x14ac:dyDescent="0.25">
      <c r="A42" s="8" t="s">
        <v>7</v>
      </c>
      <c r="B42" s="8">
        <v>3610</v>
      </c>
      <c r="C42" s="8" t="s">
        <v>42</v>
      </c>
    </row>
    <row r="43" spans="1:3" x14ac:dyDescent="0.25">
      <c r="A43" s="8" t="s">
        <v>7</v>
      </c>
      <c r="B43" s="8">
        <v>3000</v>
      </c>
      <c r="C43" s="8" t="s">
        <v>42</v>
      </c>
    </row>
    <row r="44" spans="1:3" x14ac:dyDescent="0.25">
      <c r="A44" s="8" t="s">
        <v>7</v>
      </c>
      <c r="B44" s="8">
        <v>3000</v>
      </c>
      <c r="C44" s="8" t="s">
        <v>42</v>
      </c>
    </row>
    <row r="45" spans="1:3" x14ac:dyDescent="0.25">
      <c r="A45" s="8" t="s">
        <v>7</v>
      </c>
      <c r="B45" s="8">
        <v>4000</v>
      </c>
      <c r="C45" s="8" t="s">
        <v>42</v>
      </c>
    </row>
    <row r="46" spans="1:3" x14ac:dyDescent="0.25">
      <c r="A46" s="8" t="s">
        <v>7</v>
      </c>
      <c r="B46" s="8">
        <v>3571</v>
      </c>
      <c r="C46" s="8" t="s">
        <v>42</v>
      </c>
    </row>
    <row r="47" spans="1:3" x14ac:dyDescent="0.25">
      <c r="A47" s="8" t="s">
        <v>6</v>
      </c>
      <c r="B47" s="8">
        <v>7143</v>
      </c>
      <c r="C47" s="8" t="s">
        <v>43</v>
      </c>
    </row>
    <row r="48" spans="1:3" x14ac:dyDescent="0.25">
      <c r="A48" s="8" t="s">
        <v>10</v>
      </c>
      <c r="B48" s="8">
        <v>5961</v>
      </c>
      <c r="C48" s="8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>
      <selection activeCell="B27" sqref="B27"/>
    </sheetView>
  </sheetViews>
  <sheetFormatPr defaultRowHeight="15" x14ac:dyDescent="0.25"/>
  <cols>
    <col min="1" max="1" width="17" customWidth="1"/>
    <col min="2" max="2" width="12.5703125" customWidth="1"/>
    <col min="3" max="3" width="22.7109375" customWidth="1"/>
    <col min="4" max="4" width="11.5703125" bestFit="1" customWidth="1"/>
    <col min="5" max="5" width="25.5703125" customWidth="1"/>
    <col min="6" max="6" width="9.28515625" customWidth="1"/>
    <col min="7" max="7" width="10.5703125" bestFit="1" customWidth="1"/>
    <col min="8" max="8" width="13.85546875" customWidth="1"/>
    <col min="9" max="9" width="11.5703125" bestFit="1" customWidth="1"/>
    <col min="10" max="10" width="15.28515625" customWidth="1"/>
    <col min="11" max="11" width="13.7109375" customWidth="1"/>
    <col min="12" max="12" width="18.42578125" customWidth="1"/>
  </cols>
  <sheetData>
    <row r="1" spans="1:16" s="9" customFormat="1" ht="45" x14ac:dyDescent="0.25">
      <c r="A1" s="20" t="s">
        <v>17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31</v>
      </c>
      <c r="G1" s="11" t="s">
        <v>25</v>
      </c>
      <c r="H1" s="11" t="s">
        <v>26</v>
      </c>
      <c r="I1" s="11" t="s">
        <v>27</v>
      </c>
      <c r="J1" s="11" t="s">
        <v>28</v>
      </c>
      <c r="K1" s="11" t="s">
        <v>29</v>
      </c>
      <c r="L1" s="12" t="s">
        <v>30</v>
      </c>
      <c r="P1" s="10"/>
    </row>
    <row r="2" spans="1:16" x14ac:dyDescent="0.25">
      <c r="A2" s="21"/>
      <c r="B2" s="6">
        <v>3683</v>
      </c>
      <c r="C2" s="6">
        <v>884</v>
      </c>
      <c r="D2" s="6">
        <v>9125</v>
      </c>
      <c r="E2" s="6">
        <v>4196</v>
      </c>
      <c r="F2" s="6">
        <v>2340</v>
      </c>
      <c r="G2" s="6">
        <v>3180</v>
      </c>
      <c r="H2" s="6">
        <v>6120</v>
      </c>
      <c r="I2" s="6">
        <v>4436</v>
      </c>
      <c r="J2" s="13"/>
      <c r="K2" s="6">
        <v>4767</v>
      </c>
      <c r="L2" s="14">
        <v>1185</v>
      </c>
    </row>
    <row r="3" spans="1:16" x14ac:dyDescent="0.25">
      <c r="A3" s="21"/>
      <c r="B3" s="6">
        <v>3683</v>
      </c>
      <c r="C3" s="6">
        <v>1016</v>
      </c>
      <c r="D3" s="6">
        <v>8689</v>
      </c>
      <c r="E3" s="6">
        <v>3669</v>
      </c>
      <c r="F3" s="6">
        <v>1867</v>
      </c>
      <c r="G3" s="6">
        <v>3990</v>
      </c>
      <c r="H3" s="6">
        <v>8833</v>
      </c>
      <c r="I3" s="6">
        <v>5357</v>
      </c>
      <c r="J3" s="13"/>
      <c r="K3" s="6">
        <v>7347</v>
      </c>
      <c r="L3" s="14">
        <v>1199</v>
      </c>
    </row>
    <row r="4" spans="1:16" x14ac:dyDescent="0.25">
      <c r="A4" s="21"/>
      <c r="B4" s="6">
        <v>2542</v>
      </c>
      <c r="C4" s="6">
        <v>1262</v>
      </c>
      <c r="D4" s="6">
        <v>5692</v>
      </c>
      <c r="E4" s="6">
        <v>3289</v>
      </c>
      <c r="F4" s="6">
        <v>1978</v>
      </c>
      <c r="G4" s="6">
        <v>2180</v>
      </c>
      <c r="H4" s="6">
        <v>6120</v>
      </c>
      <c r="I4" s="6">
        <v>4520</v>
      </c>
      <c r="J4" s="13"/>
      <c r="K4" s="6">
        <v>7085</v>
      </c>
      <c r="L4" s="14">
        <v>1174</v>
      </c>
    </row>
    <row r="5" spans="1:16" x14ac:dyDescent="0.25">
      <c r="A5" s="21"/>
      <c r="B5" s="6">
        <v>3045</v>
      </c>
      <c r="C5" s="6">
        <v>1364</v>
      </c>
      <c r="D5" s="6">
        <v>6380</v>
      </c>
      <c r="E5" s="6">
        <v>687</v>
      </c>
      <c r="F5" s="6">
        <v>2287</v>
      </c>
      <c r="G5" s="6">
        <v>2630</v>
      </c>
      <c r="H5" s="6">
        <v>11179</v>
      </c>
      <c r="I5" s="6">
        <v>4395</v>
      </c>
      <c r="J5" s="13"/>
      <c r="K5" s="6">
        <v>7778</v>
      </c>
      <c r="L5" s="14">
        <v>1510</v>
      </c>
    </row>
    <row r="6" spans="1:16" x14ac:dyDescent="0.25">
      <c r="A6" s="21"/>
      <c r="B6" s="6">
        <v>4104</v>
      </c>
      <c r="C6" s="6">
        <v>1026</v>
      </c>
      <c r="D6" s="6">
        <v>10971</v>
      </c>
      <c r="E6" s="6">
        <v>7529</v>
      </c>
      <c r="F6" s="6">
        <v>2408</v>
      </c>
      <c r="G6" s="13"/>
      <c r="H6" s="6">
        <v>6454</v>
      </c>
      <c r="I6" s="6">
        <v>5560</v>
      </c>
      <c r="J6" s="13"/>
      <c r="K6" s="6">
        <v>5041</v>
      </c>
      <c r="L6" s="14">
        <v>1212</v>
      </c>
    </row>
    <row r="7" spans="1:16" x14ac:dyDescent="0.25">
      <c r="A7" s="21"/>
      <c r="B7" s="6">
        <v>3060</v>
      </c>
      <c r="C7" s="6">
        <v>1344</v>
      </c>
      <c r="D7" s="6">
        <v>5483</v>
      </c>
      <c r="E7" s="13"/>
      <c r="F7" s="6">
        <v>1933</v>
      </c>
      <c r="G7" s="13"/>
      <c r="H7" s="6">
        <v>6891</v>
      </c>
      <c r="I7" s="6">
        <v>3060</v>
      </c>
      <c r="J7" s="13"/>
      <c r="K7" s="6">
        <v>7214</v>
      </c>
      <c r="L7" s="14">
        <v>1369</v>
      </c>
    </row>
    <row r="8" spans="1:16" x14ac:dyDescent="0.25">
      <c r="A8" s="21"/>
      <c r="B8" s="6">
        <v>3104</v>
      </c>
      <c r="C8" s="6">
        <v>1145</v>
      </c>
      <c r="D8" s="6">
        <v>8913</v>
      </c>
      <c r="E8" s="13"/>
      <c r="F8" s="6">
        <v>2648</v>
      </c>
      <c r="G8" s="13"/>
      <c r="H8" s="6">
        <v>7669</v>
      </c>
      <c r="I8" s="6">
        <v>4080</v>
      </c>
      <c r="J8" s="13"/>
      <c r="K8" s="6">
        <v>5666</v>
      </c>
      <c r="L8" s="14">
        <v>1041</v>
      </c>
    </row>
    <row r="9" spans="1:16" x14ac:dyDescent="0.25">
      <c r="A9" s="21"/>
      <c r="B9" s="6">
        <v>3514</v>
      </c>
      <c r="C9" s="6">
        <v>1363</v>
      </c>
      <c r="D9" s="6">
        <v>7358</v>
      </c>
      <c r="E9" s="13"/>
      <c r="F9" s="6">
        <v>2455</v>
      </c>
      <c r="G9" s="13"/>
      <c r="H9" s="6">
        <v>9331</v>
      </c>
      <c r="I9" s="6">
        <v>3458</v>
      </c>
      <c r="J9" s="13"/>
      <c r="K9" s="6">
        <v>9822</v>
      </c>
      <c r="L9" s="14">
        <v>1271</v>
      </c>
    </row>
    <row r="10" spans="1:16" x14ac:dyDescent="0.25">
      <c r="A10" s="21"/>
      <c r="B10" s="13"/>
      <c r="C10" s="6">
        <v>785</v>
      </c>
      <c r="D10" s="13"/>
      <c r="E10" s="13"/>
      <c r="F10" s="6">
        <v>2514</v>
      </c>
      <c r="G10" s="13"/>
      <c r="H10" s="6">
        <v>8765</v>
      </c>
      <c r="I10" s="6">
        <v>8169</v>
      </c>
      <c r="J10" s="13"/>
      <c r="K10" s="6">
        <v>4692</v>
      </c>
      <c r="L10" s="14">
        <v>1436</v>
      </c>
    </row>
    <row r="11" spans="1:16" x14ac:dyDescent="0.25">
      <c r="A11" s="21"/>
      <c r="B11" s="13"/>
      <c r="C11" s="6">
        <v>1251</v>
      </c>
      <c r="D11" s="13"/>
      <c r="E11" s="13"/>
      <c r="F11" s="6">
        <v>1530</v>
      </c>
      <c r="G11" s="13"/>
      <c r="H11" s="6">
        <v>8714</v>
      </c>
      <c r="I11" s="6">
        <v>3765</v>
      </c>
      <c r="J11" s="13"/>
      <c r="K11" s="6">
        <v>7395</v>
      </c>
      <c r="L11" s="15"/>
    </row>
    <row r="12" spans="1:16" x14ac:dyDescent="0.25">
      <c r="A12" s="21"/>
      <c r="B12" s="13"/>
      <c r="C12" s="6">
        <v>988</v>
      </c>
      <c r="D12" s="13"/>
      <c r="E12" s="13"/>
      <c r="F12" s="6">
        <v>2040</v>
      </c>
      <c r="G12" s="13"/>
      <c r="H12" s="6">
        <v>9180</v>
      </c>
      <c r="I12" s="6">
        <v>6402</v>
      </c>
      <c r="J12" s="13"/>
      <c r="K12" s="6">
        <v>4974</v>
      </c>
      <c r="L12" s="15"/>
    </row>
    <row r="13" spans="1:16" x14ac:dyDescent="0.25">
      <c r="A13" s="21"/>
      <c r="B13" s="13"/>
      <c r="C13" s="6">
        <v>1185</v>
      </c>
      <c r="D13" s="13"/>
      <c r="E13" s="13"/>
      <c r="F13" s="6">
        <v>2016</v>
      </c>
      <c r="G13" s="13"/>
      <c r="H13" s="6">
        <v>6012</v>
      </c>
      <c r="I13" s="6">
        <v>4081</v>
      </c>
      <c r="J13" s="13"/>
      <c r="K13" s="6">
        <v>6137</v>
      </c>
      <c r="L13" s="15"/>
    </row>
    <row r="14" spans="1:16" x14ac:dyDescent="0.25">
      <c r="A14" s="21"/>
      <c r="B14" s="13"/>
      <c r="C14" s="6">
        <v>1209</v>
      </c>
      <c r="D14" s="13"/>
      <c r="E14" s="13"/>
      <c r="F14" s="6">
        <v>2218</v>
      </c>
      <c r="G14" s="13"/>
      <c r="H14" s="6">
        <v>7956</v>
      </c>
      <c r="I14" s="13"/>
      <c r="J14" s="13"/>
      <c r="K14" s="6">
        <v>10123</v>
      </c>
      <c r="L14" s="15"/>
    </row>
    <row r="15" spans="1:16" x14ac:dyDescent="0.25">
      <c r="A15" s="21"/>
      <c r="B15" s="13"/>
      <c r="C15" s="6">
        <v>1202</v>
      </c>
      <c r="D15" s="13"/>
      <c r="E15" s="13"/>
      <c r="F15" s="6">
        <v>2453</v>
      </c>
      <c r="G15" s="13"/>
      <c r="H15" s="6">
        <v>8262</v>
      </c>
      <c r="I15" s="13"/>
      <c r="J15" s="13"/>
      <c r="K15" s="6">
        <v>4415</v>
      </c>
      <c r="L15" s="15"/>
    </row>
    <row r="16" spans="1:16" x14ac:dyDescent="0.25">
      <c r="A16" s="21"/>
      <c r="B16" s="13"/>
      <c r="C16" s="6">
        <v>1279</v>
      </c>
      <c r="D16" s="13"/>
      <c r="E16" s="13"/>
      <c r="F16" s="6">
        <v>1887</v>
      </c>
      <c r="G16" s="13"/>
      <c r="H16" s="13"/>
      <c r="I16" s="13"/>
      <c r="J16" s="13"/>
      <c r="K16" s="6">
        <v>14356</v>
      </c>
      <c r="L16" s="15"/>
    </row>
    <row r="17" spans="1:12" x14ac:dyDescent="0.25">
      <c r="A17" s="21"/>
      <c r="B17" s="13"/>
      <c r="C17" s="6">
        <v>1232</v>
      </c>
      <c r="D17" s="13"/>
      <c r="E17" s="13"/>
      <c r="F17" s="6">
        <v>2321</v>
      </c>
      <c r="G17" s="13"/>
      <c r="H17" s="13"/>
      <c r="I17" s="13"/>
      <c r="J17" s="13"/>
      <c r="K17" s="6">
        <v>5759</v>
      </c>
      <c r="L17" s="15"/>
    </row>
    <row r="18" spans="1:12" x14ac:dyDescent="0.25">
      <c r="A18" s="21"/>
      <c r="B18" s="13"/>
      <c r="C18" s="6">
        <v>966</v>
      </c>
      <c r="D18" s="13"/>
      <c r="E18" s="13"/>
      <c r="F18" s="13"/>
      <c r="G18" s="13"/>
      <c r="H18" s="13"/>
      <c r="I18" s="13"/>
      <c r="J18" s="13"/>
      <c r="K18" s="13"/>
      <c r="L18" s="15"/>
    </row>
    <row r="19" spans="1:12" x14ac:dyDescent="0.25">
      <c r="A19" s="21"/>
      <c r="B19" s="13"/>
      <c r="C19" s="6">
        <v>1202</v>
      </c>
      <c r="D19" s="13"/>
      <c r="E19" s="13"/>
      <c r="F19" s="13"/>
      <c r="G19" s="13"/>
      <c r="H19" s="13"/>
      <c r="I19" s="13"/>
      <c r="J19" s="13"/>
      <c r="K19" s="13"/>
      <c r="L19" s="15"/>
    </row>
    <row r="20" spans="1:12" x14ac:dyDescent="0.25">
      <c r="A20" s="21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5"/>
    </row>
    <row r="21" spans="1:12" x14ac:dyDescent="0.25">
      <c r="A21" s="21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5"/>
    </row>
    <row r="22" spans="1:12" x14ac:dyDescent="0.25">
      <c r="A22" s="21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5"/>
    </row>
    <row r="23" spans="1:12" x14ac:dyDescent="0.25">
      <c r="A23" s="21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5"/>
    </row>
    <row r="24" spans="1:12" x14ac:dyDescent="0.25">
      <c r="A24" s="21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5"/>
    </row>
    <row r="25" spans="1:12" x14ac:dyDescent="0.25">
      <c r="A25" s="21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5"/>
    </row>
    <row r="26" spans="1:12" x14ac:dyDescent="0.25">
      <c r="A26" s="22" t="s">
        <v>15</v>
      </c>
      <c r="B26" s="16">
        <f>STDEV(B2:B25)</f>
        <v>493.84307441013806</v>
      </c>
      <c r="C26" s="16">
        <f t="shared" ref="C26:L26" si="0">STDEV(C2:C25)</f>
        <v>168.46408239985024</v>
      </c>
      <c r="D26" s="16">
        <f t="shared" si="0"/>
        <v>1921.9895894990839</v>
      </c>
      <c r="E26" s="16">
        <f t="shared" si="0"/>
        <v>2449.6901844927247</v>
      </c>
      <c r="F26" s="16">
        <f t="shared" si="0"/>
        <v>299.52239064884617</v>
      </c>
      <c r="G26" s="16">
        <f t="shared" si="0"/>
        <v>779.25177788269013</v>
      </c>
      <c r="H26" s="16">
        <f t="shared" si="0"/>
        <v>1515.5888131513266</v>
      </c>
      <c r="I26" s="16">
        <f t="shared" si="0"/>
        <v>1417.6199938522661</v>
      </c>
      <c r="J26" s="16" t="s">
        <v>32</v>
      </c>
      <c r="K26" s="16">
        <f t="shared" si="0"/>
        <v>2604.4071806267161</v>
      </c>
      <c r="L26" s="17">
        <f t="shared" si="0"/>
        <v>146.68162802478025</v>
      </c>
    </row>
    <row r="27" spans="1:12" ht="15.75" thickBot="1" x14ac:dyDescent="0.3">
      <c r="A27" s="23" t="s">
        <v>14</v>
      </c>
      <c r="B27" s="18">
        <f>B26/AVERAGE(B2:B25)</f>
        <v>0.1477742508053527</v>
      </c>
      <c r="C27" s="18">
        <f t="shared" ref="C27:L27" si="1">C26/AVERAGE(C2:C25)</f>
        <v>0.14646927900291282</v>
      </c>
      <c r="D27" s="18">
        <f t="shared" si="1"/>
        <v>0.24557852000435501</v>
      </c>
      <c r="E27" s="18">
        <f t="shared" si="1"/>
        <v>0.6323412969779878</v>
      </c>
      <c r="F27" s="18">
        <f t="shared" si="1"/>
        <v>0.13733653103257024</v>
      </c>
      <c r="G27" s="18">
        <f t="shared" si="1"/>
        <v>0.26018423301592325</v>
      </c>
      <c r="H27" s="18">
        <f t="shared" si="1"/>
        <v>0.19032204388101259</v>
      </c>
      <c r="I27" s="18">
        <f t="shared" si="1"/>
        <v>0.2969718751850845</v>
      </c>
      <c r="J27" s="18" t="s">
        <v>32</v>
      </c>
      <c r="K27" s="18">
        <f t="shared" si="1"/>
        <v>0.37017095779576853</v>
      </c>
      <c r="L27" s="19">
        <f t="shared" si="1"/>
        <v>0.11583176732675461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5" workbookViewId="0">
      <selection activeCell="D22" sqref="D22"/>
    </sheetView>
  </sheetViews>
  <sheetFormatPr defaultColWidth="8.85546875" defaultRowHeight="15" x14ac:dyDescent="0.25"/>
  <cols>
    <col min="1" max="1" width="10.5703125" customWidth="1"/>
    <col min="3" max="3" width="17.5703125" customWidth="1"/>
    <col min="4" max="4" width="10" customWidth="1"/>
    <col min="5" max="5" width="10.5703125" customWidth="1"/>
    <col min="7" max="7" width="17.140625" customWidth="1"/>
    <col min="8" max="8" width="11.140625" customWidth="1"/>
    <col min="9" max="9" width="10.140625" customWidth="1"/>
    <col min="11" max="11" width="17.42578125" customWidth="1"/>
  </cols>
  <sheetData>
    <row r="1" spans="1:13" ht="15.75" x14ac:dyDescent="0.25">
      <c r="A1" s="29" t="s">
        <v>64</v>
      </c>
      <c r="B1" s="29"/>
      <c r="C1" s="29"/>
      <c r="D1" s="29"/>
      <c r="E1" s="30"/>
    </row>
    <row r="2" spans="1:13" ht="16.5" thickBot="1" x14ac:dyDescent="0.3">
      <c r="A2" s="31" t="s">
        <v>65</v>
      </c>
      <c r="B2" s="31"/>
      <c r="C2" s="31"/>
      <c r="D2" s="31"/>
      <c r="E2" s="30"/>
    </row>
    <row r="3" spans="1:13" ht="15" customHeight="1" x14ac:dyDescent="0.25">
      <c r="A3" s="59" t="s">
        <v>66</v>
      </c>
      <c r="B3" s="61" t="s">
        <v>67</v>
      </c>
      <c r="C3" s="62"/>
      <c r="D3" s="62"/>
      <c r="E3" s="63"/>
      <c r="F3" s="61" t="s">
        <v>68</v>
      </c>
      <c r="G3" s="62"/>
      <c r="H3" s="62"/>
      <c r="I3" s="63"/>
      <c r="J3" s="61" t="s">
        <v>69</v>
      </c>
      <c r="K3" s="62"/>
      <c r="L3" s="62"/>
      <c r="M3" s="63"/>
    </row>
    <row r="4" spans="1:13" ht="30.75" thickBot="1" x14ac:dyDescent="0.3">
      <c r="A4" s="60"/>
      <c r="B4" s="32" t="s">
        <v>70</v>
      </c>
      <c r="C4" s="33" t="s">
        <v>71</v>
      </c>
      <c r="D4" s="34" t="s">
        <v>72</v>
      </c>
      <c r="E4" s="35" t="s">
        <v>73</v>
      </c>
      <c r="F4" s="32" t="s">
        <v>70</v>
      </c>
      <c r="G4" s="33" t="s">
        <v>71</v>
      </c>
      <c r="H4" s="34" t="s">
        <v>72</v>
      </c>
      <c r="I4" s="35" t="s">
        <v>73</v>
      </c>
      <c r="J4" s="32" t="s">
        <v>70</v>
      </c>
      <c r="K4" s="33" t="s">
        <v>71</v>
      </c>
      <c r="L4" s="34" t="s">
        <v>74</v>
      </c>
      <c r="M4" s="35" t="s">
        <v>75</v>
      </c>
    </row>
    <row r="5" spans="1:13" x14ac:dyDescent="0.25">
      <c r="A5" s="36" t="s">
        <v>76</v>
      </c>
      <c r="B5" s="37">
        <v>3.9144099055272745</v>
      </c>
      <c r="C5" s="37">
        <v>3.6813171540272736</v>
      </c>
      <c r="D5" s="37">
        <v>3.5202712529909097</v>
      </c>
      <c r="E5" s="38">
        <v>4.3085485580636398</v>
      </c>
      <c r="F5" s="39">
        <v>8.1494922782228851</v>
      </c>
      <c r="G5" s="40">
        <v>7.6010876379247039</v>
      </c>
      <c r="H5" s="40">
        <v>7.212985892482914</v>
      </c>
      <c r="I5" s="41">
        <v>9.0859986639628563</v>
      </c>
      <c r="J5" s="39">
        <v>6.5886483019895996</v>
      </c>
      <c r="K5" s="40">
        <v>6.2119558799752195</v>
      </c>
      <c r="L5" s="42">
        <v>5</v>
      </c>
      <c r="M5" s="43">
        <v>74.900000000000006</v>
      </c>
    </row>
    <row r="6" spans="1:13" x14ac:dyDescent="0.25">
      <c r="A6" s="44">
        <v>2010</v>
      </c>
      <c r="B6" s="37">
        <v>4.8009146962644929</v>
      </c>
      <c r="C6" s="37">
        <v>4.2157678525637996</v>
      </c>
      <c r="D6" s="37">
        <v>3.8722044569166716</v>
      </c>
      <c r="E6" s="38">
        <v>5.3046258843192442</v>
      </c>
      <c r="F6" s="45">
        <v>6.4446953207338407</v>
      </c>
      <c r="G6" s="37">
        <v>6.1902079988480327</v>
      </c>
      <c r="H6" s="37">
        <v>5.5702007242807428</v>
      </c>
      <c r="I6" s="46">
        <v>7.6304423195186777</v>
      </c>
      <c r="J6" s="45">
        <v>5.1026755246398139</v>
      </c>
      <c r="K6" s="37">
        <v>4.7204585279863105</v>
      </c>
      <c r="L6" s="47">
        <v>10</v>
      </c>
      <c r="M6" s="48">
        <v>175.07</v>
      </c>
    </row>
    <row r="7" spans="1:13" x14ac:dyDescent="0.25">
      <c r="A7" s="49">
        <v>2011</v>
      </c>
      <c r="B7" s="37">
        <v>4.4752020304832012</v>
      </c>
      <c r="C7" s="37">
        <v>4.4038552413667071</v>
      </c>
      <c r="D7" s="37">
        <v>3.7438521635643833</v>
      </c>
      <c r="E7" s="38">
        <v>5.0040533975665715</v>
      </c>
      <c r="F7" s="45">
        <v>4.4638016198931165</v>
      </c>
      <c r="G7" s="37">
        <v>4.5202660401038166</v>
      </c>
      <c r="H7" s="37">
        <v>4.0082035984125435</v>
      </c>
      <c r="I7" s="46">
        <v>5.0515017818863672</v>
      </c>
      <c r="J7" s="45">
        <v>4.4752020304832012</v>
      </c>
      <c r="K7" s="37">
        <v>4.4587393994753288</v>
      </c>
      <c r="L7" s="47">
        <v>29</v>
      </c>
      <c r="M7" s="48">
        <v>427.78999999999996</v>
      </c>
    </row>
    <row r="8" spans="1:13" x14ac:dyDescent="0.25">
      <c r="A8" s="44">
        <v>2012</v>
      </c>
      <c r="B8" s="37">
        <v>3.6277141990526971</v>
      </c>
      <c r="C8" s="37">
        <v>3.4226441916755546</v>
      </c>
      <c r="D8" s="37">
        <v>3.174585960529765</v>
      </c>
      <c r="E8" s="38">
        <v>4.3981022210288874</v>
      </c>
      <c r="F8" s="45">
        <v>4.1904440994079302</v>
      </c>
      <c r="G8" s="37">
        <v>4.331107758378093</v>
      </c>
      <c r="H8" s="37">
        <v>4.1298554331528754</v>
      </c>
      <c r="I8" s="46">
        <v>4.6547378457950588</v>
      </c>
      <c r="J8" s="45">
        <v>4.138532073030845</v>
      </c>
      <c r="K8" s="37">
        <v>3.7832613087278024</v>
      </c>
      <c r="L8" s="47">
        <v>40</v>
      </c>
      <c r="M8" s="48">
        <v>914.79399999999998</v>
      </c>
    </row>
    <row r="9" spans="1:13" x14ac:dyDescent="0.25">
      <c r="A9" s="44">
        <v>2013</v>
      </c>
      <c r="B9" s="37">
        <v>3.6688842725659478</v>
      </c>
      <c r="C9" s="37">
        <v>3.7613248559670618</v>
      </c>
      <c r="D9" s="37">
        <v>3.0238722825341564</v>
      </c>
      <c r="E9" s="38">
        <v>4.2973811763266898</v>
      </c>
      <c r="F9" s="45">
        <v>3.8315811855901529</v>
      </c>
      <c r="G9" s="37">
        <v>4.1060696615563126</v>
      </c>
      <c r="H9" s="37">
        <v>3.4008089602146985</v>
      </c>
      <c r="I9" s="46">
        <v>4.372582114760772</v>
      </c>
      <c r="J9" s="45">
        <v>3.6931179502025016</v>
      </c>
      <c r="K9" s="37">
        <v>3.9502559455081609</v>
      </c>
      <c r="L9" s="47">
        <v>38</v>
      </c>
      <c r="M9" s="48">
        <v>1343.7889999999998</v>
      </c>
    </row>
    <row r="10" spans="1:13" x14ac:dyDescent="0.25">
      <c r="A10" s="44">
        <v>2014</v>
      </c>
      <c r="B10" s="37">
        <v>3.1237826469444467</v>
      </c>
      <c r="C10" s="37">
        <v>3.8124073955915994</v>
      </c>
      <c r="D10" s="37">
        <v>2.6208947050717888</v>
      </c>
      <c r="E10" s="38">
        <v>3.9764273740970499</v>
      </c>
      <c r="F10" s="45">
        <v>3.2275672995917599</v>
      </c>
      <c r="G10" s="37">
        <v>3.7883697335436373</v>
      </c>
      <c r="H10" s="37">
        <v>2.5954323356551661</v>
      </c>
      <c r="I10" s="46">
        <v>4.2319891215668823</v>
      </c>
      <c r="J10" s="45">
        <v>3.1315397408770291</v>
      </c>
      <c r="K10" s="37">
        <v>3.802643754500048</v>
      </c>
      <c r="L10" s="47">
        <v>64</v>
      </c>
      <c r="M10" s="48">
        <v>3166.3595000000005</v>
      </c>
    </row>
    <row r="11" spans="1:13" x14ac:dyDescent="0.25">
      <c r="A11" s="49">
        <v>2015</v>
      </c>
      <c r="B11" s="50">
        <v>2.5100236390040873</v>
      </c>
      <c r="C11" s="51">
        <v>2.4663045198462825</v>
      </c>
      <c r="D11" s="51">
        <v>2.0306330363960297</v>
      </c>
      <c r="E11" s="52">
        <v>3.2453329520500516</v>
      </c>
      <c r="F11" s="53">
        <v>2.9247457386562412</v>
      </c>
      <c r="G11" s="51">
        <v>3.4135734811605576</v>
      </c>
      <c r="H11" s="51">
        <v>2.3256329345889539</v>
      </c>
      <c r="I11" s="54">
        <v>3.5695144784205359</v>
      </c>
      <c r="J11" s="53">
        <v>2.8108156655637568</v>
      </c>
      <c r="K11" s="51">
        <v>3.1305859557674611</v>
      </c>
      <c r="L11" s="55">
        <v>87</v>
      </c>
      <c r="M11" s="56">
        <v>2869.6819999999993</v>
      </c>
    </row>
    <row r="12" spans="1:13" x14ac:dyDescent="0.25">
      <c r="A12" s="49">
        <v>2016</v>
      </c>
      <c r="B12" s="50">
        <v>2.2668519416619106</v>
      </c>
      <c r="C12" s="51">
        <v>2.8625569908696802</v>
      </c>
      <c r="D12" s="51">
        <v>1.8995699551441392</v>
      </c>
      <c r="E12" s="52">
        <v>3.2440423131531717</v>
      </c>
      <c r="F12" s="53">
        <v>2.3375069464261395</v>
      </c>
      <c r="G12" s="51">
        <v>2.3038721769513564</v>
      </c>
      <c r="H12" s="51">
        <v>2.0370092356573561</v>
      </c>
      <c r="I12" s="54">
        <v>2.870500861635672</v>
      </c>
      <c r="J12" s="53">
        <v>2.3336239668093404</v>
      </c>
      <c r="K12" s="51">
        <v>2.4161466714039159</v>
      </c>
      <c r="L12" s="55">
        <v>157</v>
      </c>
      <c r="M12" s="56">
        <v>7468.993999999996</v>
      </c>
    </row>
    <row r="13" spans="1:13" ht="15.75" thickBot="1" x14ac:dyDescent="0.3">
      <c r="A13" s="49">
        <v>2017</v>
      </c>
      <c r="B13" s="50">
        <v>2.0491852214151827</v>
      </c>
      <c r="C13" s="51">
        <v>2.0043665964367037</v>
      </c>
      <c r="D13" s="51">
        <v>1.8866850471052807</v>
      </c>
      <c r="E13" s="52">
        <v>2.1449119700000003</v>
      </c>
      <c r="F13" s="53">
        <v>1.9230769230769231</v>
      </c>
      <c r="G13" s="51">
        <v>2.0600541349245414</v>
      </c>
      <c r="H13" s="51">
        <v>1.6098484848484849</v>
      </c>
      <c r="I13" s="54">
        <v>2.2362264705566055</v>
      </c>
      <c r="J13" s="53">
        <v>1.9952219873604227</v>
      </c>
      <c r="K13" s="51">
        <v>2.0422558783676759</v>
      </c>
      <c r="L13" s="55">
        <v>76</v>
      </c>
      <c r="M13" s="56">
        <v>2303.190000000001</v>
      </c>
    </row>
    <row r="14" spans="1:13" ht="15" customHeight="1" x14ac:dyDescent="0.25">
      <c r="A14" s="64" t="s">
        <v>77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</row>
    <row r="17" spans="3:4" x14ac:dyDescent="0.25">
      <c r="C17" t="s">
        <v>78</v>
      </c>
      <c r="D17" s="57">
        <f>C13</f>
        <v>2.0043665964367037</v>
      </c>
    </row>
    <row r="18" spans="3:4" x14ac:dyDescent="0.25">
      <c r="C18" t="s">
        <v>79</v>
      </c>
      <c r="D18" s="58">
        <f>E13</f>
        <v>2.1449119700000003</v>
      </c>
    </row>
    <row r="19" spans="3:4" x14ac:dyDescent="0.25">
      <c r="C19" t="s">
        <v>80</v>
      </c>
      <c r="D19">
        <f>(D18-D17)/D20</f>
        <v>0.16731592090868649</v>
      </c>
    </row>
    <row r="20" spans="3:4" x14ac:dyDescent="0.25">
      <c r="C20" t="s">
        <v>81</v>
      </c>
      <c r="D20">
        <v>0.84</v>
      </c>
    </row>
    <row r="22" spans="3:4" x14ac:dyDescent="0.25">
      <c r="C22" t="s">
        <v>82</v>
      </c>
      <c r="D22">
        <f>D19/D17</f>
        <v>8.3475708089595577E-2</v>
      </c>
    </row>
  </sheetData>
  <mergeCells count="5">
    <mergeCell ref="A3:A4"/>
    <mergeCell ref="B3:E3"/>
    <mergeCell ref="F3:I3"/>
    <mergeCell ref="J3:M3"/>
    <mergeCell ref="A14:M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5381"/>
  </sheetPr>
  <dimension ref="A1:B17"/>
  <sheetViews>
    <sheetView workbookViewId="0">
      <selection activeCell="B1" sqref="B1"/>
    </sheetView>
  </sheetViews>
  <sheetFormatPr defaultRowHeight="15" x14ac:dyDescent="0.25"/>
  <cols>
    <col min="1" max="1" width="26" customWidth="1"/>
    <col min="2" max="2" width="32.140625" customWidth="1"/>
    <col min="3" max="3" width="10.5703125" bestFit="1" customWidth="1"/>
  </cols>
  <sheetData>
    <row r="1" spans="1:2" ht="30" x14ac:dyDescent="0.25">
      <c r="A1" s="25" t="s">
        <v>2</v>
      </c>
      <c r="B1" s="65" t="s">
        <v>90</v>
      </c>
    </row>
    <row r="2" spans="1:2" x14ac:dyDescent="0.25">
      <c r="A2" s="6" t="s">
        <v>60</v>
      </c>
      <c r="B2" s="26">
        <f>STDEV(CRS!B2:B10)/AVERAGE(CRS!B2:B10)</f>
        <v>0.11767526995465394</v>
      </c>
    </row>
    <row r="3" spans="1:2" x14ac:dyDescent="0.25">
      <c r="A3" s="6" t="s">
        <v>9</v>
      </c>
      <c r="B3" s="26">
        <f>STDEV(CRS!B20:B26)/AVERAGE(CRS!B20:B26)</f>
        <v>0.11586187975255104</v>
      </c>
    </row>
    <row r="4" spans="1:2" x14ac:dyDescent="0.25">
      <c r="A4" s="6" t="s">
        <v>3</v>
      </c>
      <c r="B4" s="26">
        <f>STDEV(CRS!B11:B19)/AVERAGE(CRS!B11:B19)</f>
        <v>0.22951832790705273</v>
      </c>
    </row>
    <row r="5" spans="1:2" x14ac:dyDescent="0.25">
      <c r="A5" s="6" t="s">
        <v>4</v>
      </c>
      <c r="B5" s="26">
        <f>INDEX('E3 Data'!$B$27:$L$27,1,ROW(A4))</f>
        <v>0.6323412969779878</v>
      </c>
    </row>
    <row r="6" spans="1:2" x14ac:dyDescent="0.25">
      <c r="A6" s="6" t="s">
        <v>59</v>
      </c>
      <c r="B6" s="26">
        <f>STDEV(CRS!B27:B33)/AVERAGE(CRS!B27:B33)</f>
        <v>0.17425352832467156</v>
      </c>
    </row>
    <row r="7" spans="1:2" x14ac:dyDescent="0.25">
      <c r="A7" s="6" t="s">
        <v>10</v>
      </c>
      <c r="B7" s="26">
        <f>PV!D22</f>
        <v>8.3475708089595577E-2</v>
      </c>
    </row>
    <row r="8" spans="1:2" x14ac:dyDescent="0.25">
      <c r="A8" s="6" t="s">
        <v>7</v>
      </c>
      <c r="B8" s="26">
        <f>STDEV(CRS!B38:B46)/AVERAGE(CRS!B38:B46)</f>
        <v>0.11955441996991129</v>
      </c>
    </row>
    <row r="9" spans="1:2" x14ac:dyDescent="0.25">
      <c r="A9" s="6" t="s">
        <v>8</v>
      </c>
      <c r="B9" s="26">
        <f>INDEX('E3 Data'!$B$27:$L$27,1,ROW(A8))</f>
        <v>0.2969718751850845</v>
      </c>
    </row>
    <row r="10" spans="1:2" x14ac:dyDescent="0.25">
      <c r="A10" s="6" t="s">
        <v>12</v>
      </c>
      <c r="B10" s="26">
        <f>STDEV(CRS!B34:B37)/AVERAGE(CRS!B34:B37)</f>
        <v>0.1962978819110564</v>
      </c>
    </row>
    <row r="11" spans="1:2" x14ac:dyDescent="0.25">
      <c r="A11" s="6" t="s">
        <v>11</v>
      </c>
      <c r="B11" s="26">
        <f>B3</f>
        <v>0.11586187975255104</v>
      </c>
    </row>
    <row r="12" spans="1:2" x14ac:dyDescent="0.25">
      <c r="A12" s="6" t="s">
        <v>13</v>
      </c>
      <c r="B12" s="26">
        <f>INDEX('E3 Data'!$B$27:$L$27,1,ROW(A10))</f>
        <v>0.37017095779576853</v>
      </c>
    </row>
    <row r="13" spans="1:2" x14ac:dyDescent="0.25">
      <c r="A13" s="27" t="s">
        <v>57</v>
      </c>
      <c r="B13" s="28">
        <f>B2</f>
        <v>0.11767526995465394</v>
      </c>
    </row>
    <row r="14" spans="1:2" x14ac:dyDescent="0.25">
      <c r="A14" s="27" t="s">
        <v>58</v>
      </c>
      <c r="B14" s="28">
        <f>B6</f>
        <v>0.17425352832467156</v>
      </c>
    </row>
    <row r="15" spans="1:2" x14ac:dyDescent="0.25">
      <c r="A15" s="27" t="s">
        <v>89</v>
      </c>
      <c r="B15" s="28">
        <f>B11</f>
        <v>0.11586187975255104</v>
      </c>
    </row>
    <row r="16" spans="1:2" x14ac:dyDescent="0.25">
      <c r="A16" s="27" t="s">
        <v>87</v>
      </c>
      <c r="B16" s="28">
        <f>B11</f>
        <v>0.11586187975255104</v>
      </c>
    </row>
    <row r="17" spans="1:2" x14ac:dyDescent="0.25">
      <c r="A17" s="27" t="s">
        <v>88</v>
      </c>
      <c r="B17" s="28">
        <f>B9</f>
        <v>0.2969718751850845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C3000D3B-35BA-4C4A-B604-9AB6CC577577}"/>
</file>

<file path=customXml/itemProps2.xml><?xml version="1.0" encoding="utf-8"?>
<ds:datastoreItem xmlns:ds="http://schemas.openxmlformats.org/officeDocument/2006/customXml" ds:itemID="{DA2E5CF7-45D9-4977-AEC6-999C8EF2F81D}"/>
</file>

<file path=customXml/itemProps3.xml><?xml version="1.0" encoding="utf-8"?>
<ds:datastoreItem xmlns:ds="http://schemas.openxmlformats.org/officeDocument/2006/customXml" ds:itemID="{A0BF7D6A-3638-4E34-ABEF-EE23AEB6F6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CRS</vt:lpstr>
      <vt:lpstr>E3 Data</vt:lpstr>
      <vt:lpstr>PV</vt:lpstr>
      <vt:lpstr>NSDoNCC</vt:lpstr>
    </vt:vector>
  </TitlesOfParts>
  <Company>Massachusetts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richardmcdowell@gmail.com</dc:creator>
  <cp:lastModifiedBy>Megan Mahajan</cp:lastModifiedBy>
  <dcterms:created xsi:type="dcterms:W3CDTF">2014-02-09T22:10:52Z</dcterms:created>
  <dcterms:modified xsi:type="dcterms:W3CDTF">2019-08-26T17:46:53Z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