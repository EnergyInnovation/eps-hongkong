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ld Resources Institute\TRAC City - HK 2050 is now\eps-1.4.3-hk-wipB\eps-1.4.3-hk-wipB\InputData\elec\EIaE\"/>
    </mc:Choice>
  </mc:AlternateContent>
  <xr:revisionPtr revIDLastSave="135" documentId="11_C85AA26E1A3BD41D6E6D7AFE5081590445BD2D07" xr6:coauthVersionLast="47" xr6:coauthVersionMax="47" xr10:uidLastSave="{1131000F-A591-43C3-A7C3-D8DD956B2799}"/>
  <bookViews>
    <workbookView xWindow="-120" yWindow="-120" windowWidth="20730" windowHeight="11160" tabRatio="714" activeTab="9" xr2:uid="{00000000-000D-0000-FFFF-FFFF00000000}"/>
  </bookViews>
  <sheets>
    <sheet name="About" sheetId="1" r:id="rId1"/>
    <sheet name="HK History Data" sheetId="11" r:id="rId2"/>
    <sheet name="HK I&amp;E Projection" sheetId="15" r:id="rId3"/>
    <sheet name="Guangdong Fact" sheetId="17" r:id="rId4"/>
    <sheet name="Imported Mix" sheetId="16" r:id="rId5"/>
    <sheet name="China Generation(not used)" sheetId="12" state="hidden" r:id="rId6"/>
    <sheet name="China Capacity(not used)" sheetId="13" state="hidden" r:id="rId7"/>
    <sheet name="Unit Conversion" sheetId="14" r:id="rId8"/>
    <sheet name="EIaE-BIE" sheetId="3" r:id="rId9"/>
    <sheet name="EIaE-BEE" sheetId="5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5" l="1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AM6" i="15"/>
  <c r="AN6" i="15"/>
  <c r="AO6" i="15"/>
  <c r="AP6" i="15"/>
  <c r="AQ6" i="15"/>
  <c r="AR6" i="15"/>
  <c r="AS6" i="15"/>
  <c r="AT6" i="15"/>
  <c r="S6" i="15"/>
  <c r="O8" i="15"/>
  <c r="P8" i="15"/>
  <c r="Q8" i="15"/>
  <c r="R8" i="15"/>
  <c r="N8" i="15"/>
  <c r="H14" i="11"/>
  <c r="H15" i="11"/>
  <c r="G14" i="11"/>
  <c r="G15" i="11"/>
  <c r="G17" i="11"/>
  <c r="G18" i="11"/>
  <c r="G16" i="11"/>
  <c r="H17" i="11"/>
  <c r="H18" i="11"/>
  <c r="H16" i="11"/>
  <c r="H3" i="11"/>
  <c r="H4" i="11"/>
  <c r="H5" i="11"/>
  <c r="H6" i="11"/>
  <c r="H7" i="11"/>
  <c r="H8" i="11"/>
  <c r="H9" i="11"/>
  <c r="H10" i="11"/>
  <c r="H11" i="11"/>
  <c r="H12" i="11"/>
  <c r="H13" i="11"/>
  <c r="C4" i="14" l="1"/>
  <c r="B2" i="15" l="1" a="1"/>
  <c r="C2" i="15" s="1"/>
  <c r="E2" i="15"/>
  <c r="C4" i="15"/>
  <c r="F4" i="15"/>
  <c r="G4" i="15"/>
  <c r="J4" i="15"/>
  <c r="K4" i="15"/>
  <c r="F2" i="15"/>
  <c r="G2" i="15"/>
  <c r="J2" i="15"/>
  <c r="K2" i="15"/>
  <c r="A20" i="16" a="1"/>
  <c r="A20" i="16" s="1"/>
  <c r="A21" i="16" a="1"/>
  <c r="A21" i="16" s="1"/>
  <c r="I6" i="15"/>
  <c r="J6" i="15"/>
  <c r="K6" i="15"/>
  <c r="L6" i="15"/>
  <c r="B2" i="5" s="1"/>
  <c r="M6" i="15"/>
  <c r="C2" i="5" s="1"/>
  <c r="D7" i="15"/>
  <c r="E7" i="15"/>
  <c r="F7" i="15"/>
  <c r="G7" i="15"/>
  <c r="G8" i="15" s="1"/>
  <c r="H7" i="15"/>
  <c r="I7" i="15"/>
  <c r="J7" i="15"/>
  <c r="J8" i="15" s="1"/>
  <c r="K7" i="15"/>
  <c r="K8" i="15" s="1"/>
  <c r="L7" i="15"/>
  <c r="M7" i="15"/>
  <c r="C7" i="15"/>
  <c r="C8" i="15" s="1"/>
  <c r="G4" i="11"/>
  <c r="G5" i="11"/>
  <c r="G6" i="11"/>
  <c r="G7" i="11"/>
  <c r="G8" i="11"/>
  <c r="G9" i="11"/>
  <c r="G10" i="11"/>
  <c r="G11" i="11"/>
  <c r="G12" i="11"/>
  <c r="G13" i="11"/>
  <c r="G3" i="11"/>
  <c r="A17" i="16" a="1"/>
  <c r="H19" i="16" s="1"/>
  <c r="L19" i="16"/>
  <c r="N18" i="16"/>
  <c r="J18" i="16"/>
  <c r="L17" i="16"/>
  <c r="H17" i="16"/>
  <c r="G19" i="16"/>
  <c r="C19" i="16"/>
  <c r="E18" i="16"/>
  <c r="A18" i="16"/>
  <c r="C17" i="16"/>
  <c r="N19" i="16"/>
  <c r="B19" i="16"/>
  <c r="L18" i="16"/>
  <c r="N17" i="16"/>
  <c r="J17" i="16"/>
  <c r="M19" i="16"/>
  <c r="K18" i="16"/>
  <c r="G18" i="16"/>
  <c r="E17" i="16"/>
  <c r="A17" i="16"/>
  <c r="A19" i="16"/>
  <c r="F6" i="15"/>
  <c r="B6" i="15"/>
  <c r="K5" i="15"/>
  <c r="G5" i="15"/>
  <c r="C5" i="15"/>
  <c r="M3" i="15"/>
  <c r="I3" i="15"/>
  <c r="E3" i="15"/>
  <c r="B2" i="15"/>
  <c r="L3" i="15"/>
  <c r="H3" i="15"/>
  <c r="D3" i="15"/>
  <c r="D6" i="15"/>
  <c r="I5" i="15"/>
  <c r="E6" i="15"/>
  <c r="J5" i="15"/>
  <c r="F5" i="15"/>
  <c r="B5" i="15"/>
  <c r="H6" i="15"/>
  <c r="M5" i="15"/>
  <c r="E5" i="15"/>
  <c r="F3" i="15"/>
  <c r="H5" i="15"/>
  <c r="D5" i="15"/>
  <c r="G6" i="15"/>
  <c r="G3" i="15"/>
  <c r="B4" i="15"/>
  <c r="L5" i="15"/>
  <c r="B7" i="15"/>
  <c r="C3" i="15"/>
  <c r="K3" i="15"/>
  <c r="B3" i="15"/>
  <c r="J3" i="15"/>
  <c r="C6" i="15"/>
  <c r="R39" i="12"/>
  <c r="AK9" i="12"/>
  <c r="Q39" i="12"/>
  <c r="B33" i="12"/>
  <c r="C33" i="12"/>
  <c r="C39" i="12"/>
  <c r="Q5" i="12"/>
  <c r="C9" i="12"/>
  <c r="AK5" i="12"/>
  <c r="AK7" i="12"/>
  <c r="AK10" i="12"/>
  <c r="AK3" i="12"/>
  <c r="AK12" i="12"/>
  <c r="A21" i="12" s="1" a="1"/>
  <c r="AK8" i="12"/>
  <c r="AK2" i="12"/>
  <c r="AK6" i="12"/>
  <c r="AK11" i="12"/>
  <c r="B39" i="12"/>
  <c r="AK4" i="12"/>
  <c r="AK13" i="12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B13" i="13"/>
  <c r="B7" i="12"/>
  <c r="B8" i="12"/>
  <c r="B12" i="12"/>
  <c r="F8" i="15" l="1"/>
  <c r="N21" i="16"/>
  <c r="I21" i="16"/>
  <c r="H21" i="16"/>
  <c r="B21" i="16"/>
  <c r="G21" i="16"/>
  <c r="L21" i="16"/>
  <c r="D21" i="16"/>
  <c r="O21" i="16"/>
  <c r="C21" i="16"/>
  <c r="M21" i="16"/>
  <c r="F21" i="16"/>
  <c r="J21" i="16"/>
  <c r="K21" i="16"/>
  <c r="E21" i="16"/>
  <c r="I20" i="16"/>
  <c r="C20" i="16"/>
  <c r="B20" i="16"/>
  <c r="M20" i="16"/>
  <c r="K20" i="16"/>
  <c r="G20" i="16"/>
  <c r="J20" i="16"/>
  <c r="O20" i="16"/>
  <c r="L20" i="16"/>
  <c r="F20" i="16"/>
  <c r="AA6" i="16" s="1"/>
  <c r="D20" i="16"/>
  <c r="E20" i="16"/>
  <c r="N20" i="16"/>
  <c r="H20" i="16"/>
  <c r="L21" i="12"/>
  <c r="M21" i="12"/>
  <c r="I21" i="12"/>
  <c r="E21" i="12"/>
  <c r="A21" i="12"/>
  <c r="G21" i="12"/>
  <c r="K21" i="12"/>
  <c r="C21" i="12"/>
  <c r="N21" i="12"/>
  <c r="J21" i="12"/>
  <c r="F21" i="12"/>
  <c r="B21" i="12"/>
  <c r="O21" i="12"/>
  <c r="H21" i="12"/>
  <c r="D21" i="12"/>
  <c r="Q3" i="12"/>
  <c r="Q11" i="12"/>
  <c r="Q2" i="12"/>
  <c r="Q6" i="12"/>
  <c r="Q13" i="12"/>
  <c r="Q7" i="12"/>
  <c r="Q10" i="12"/>
  <c r="Q9" i="12"/>
  <c r="Q12" i="12"/>
  <c r="Q8" i="12"/>
  <c r="Q4" i="12"/>
  <c r="C5" i="12"/>
  <c r="C12" i="12"/>
  <c r="C2" i="12"/>
  <c r="C8" i="12"/>
  <c r="C14" i="12"/>
  <c r="C4" i="12"/>
  <c r="C11" i="12"/>
  <c r="C13" i="12"/>
  <c r="C10" i="12"/>
  <c r="C7" i="12"/>
  <c r="B9" i="12"/>
  <c r="B5" i="12"/>
  <c r="B11" i="12"/>
  <c r="B6" i="12"/>
  <c r="B13" i="12"/>
  <c r="B2" i="12"/>
  <c r="B10" i="12"/>
  <c r="B3" i="12"/>
  <c r="B4" i="12"/>
  <c r="B14" i="12"/>
  <c r="C3" i="12"/>
  <c r="C6" i="12"/>
  <c r="E19" i="16"/>
  <c r="I19" i="16"/>
  <c r="B17" i="16"/>
  <c r="D18" i="16"/>
  <c r="F19" i="16"/>
  <c r="G17" i="16"/>
  <c r="I18" i="16"/>
  <c r="K19" i="16"/>
  <c r="B18" i="16"/>
  <c r="D19" i="16"/>
  <c r="C18" i="16"/>
  <c r="M17" i="16"/>
  <c r="I17" i="16"/>
  <c r="F17" i="16"/>
  <c r="H18" i="16"/>
  <c r="J19" i="16"/>
  <c r="K17" i="16"/>
  <c r="M18" i="16"/>
  <c r="D17" i="16"/>
  <c r="F18" i="16"/>
  <c r="AB4" i="16"/>
  <c r="AH4" i="16"/>
  <c r="AG4" i="16"/>
  <c r="AE4" i="16"/>
  <c r="Y4" i="16"/>
  <c r="M2" i="15"/>
  <c r="S14" i="15" s="1"/>
  <c r="I2" i="15"/>
  <c r="M4" i="15"/>
  <c r="C4" i="3" s="1"/>
  <c r="I4" i="15"/>
  <c r="I8" i="15" s="1"/>
  <c r="E4" i="15"/>
  <c r="E8" i="15" s="1"/>
  <c r="D2" i="15"/>
  <c r="L2" i="15"/>
  <c r="H2" i="15"/>
  <c r="L4" i="15"/>
  <c r="H4" i="15"/>
  <c r="H8" i="15" s="1"/>
  <c r="D4" i="15"/>
  <c r="D8" i="15" s="1"/>
  <c r="L8" i="15" l="1"/>
  <c r="B4" i="3"/>
  <c r="AE4" i="15"/>
  <c r="AF4" i="15"/>
  <c r="AG4" i="15"/>
  <c r="AH4" i="15"/>
  <c r="AI4" i="15"/>
  <c r="AJ4" i="15"/>
  <c r="AK4" i="15"/>
  <c r="AL4" i="15"/>
  <c r="AM4" i="15"/>
  <c r="AN4" i="15"/>
  <c r="AO4" i="15"/>
  <c r="AP4" i="15"/>
  <c r="AQ4" i="15"/>
  <c r="AR4" i="15"/>
  <c r="AS4" i="15"/>
  <c r="AT4" i="15"/>
  <c r="AD6" i="16"/>
  <c r="AD4" i="16"/>
  <c r="Z4" i="16"/>
  <c r="AJ4" i="16"/>
  <c r="AA4" i="16"/>
  <c r="AF4" i="16"/>
  <c r="AE4" i="3" s="1"/>
  <c r="X4" i="16"/>
  <c r="W4" i="16"/>
  <c r="AC4" i="16"/>
  <c r="AI4" i="16"/>
  <c r="W6" i="16"/>
  <c r="AB6" i="16"/>
  <c r="AJ6" i="16"/>
  <c r="Z6" i="16"/>
  <c r="AE6" i="16"/>
  <c r="X6" i="16"/>
  <c r="AG6" i="16"/>
  <c r="AF6" i="16"/>
  <c r="AE6" i="3" s="1"/>
  <c r="AH6" i="16"/>
  <c r="AI6" i="16"/>
  <c r="Y6" i="16"/>
  <c r="AC6" i="16"/>
  <c r="AE3" i="3"/>
  <c r="AE8" i="3"/>
  <c r="AE2" i="3"/>
  <c r="AE5" i="3"/>
  <c r="AE7" i="3"/>
  <c r="AE11" i="3"/>
  <c r="AE12" i="3"/>
  <c r="AE9" i="3"/>
  <c r="AE13" i="3"/>
  <c r="AE10" i="3"/>
  <c r="AE14" i="3"/>
  <c r="X4" i="15"/>
  <c r="Z4" i="15"/>
  <c r="T4" i="15"/>
  <c r="AB4" i="15"/>
  <c r="V4" i="15"/>
  <c r="AL7" i="15"/>
  <c r="V7" i="15"/>
  <c r="AK7" i="15"/>
  <c r="U7" i="15"/>
  <c r="W7" i="15"/>
  <c r="AR7" i="15"/>
  <c r="AB7" i="15"/>
  <c r="AR3" i="15"/>
  <c r="AR5" i="15" s="1"/>
  <c r="AF3" i="15"/>
  <c r="AF5" i="15" s="1"/>
  <c r="S7" i="15"/>
  <c r="AQ3" i="15"/>
  <c r="AI3" i="15"/>
  <c r="AD3" i="15"/>
  <c r="AD4" i="15"/>
  <c r="AH7" i="15"/>
  <c r="AG7" i="15"/>
  <c r="AK3" i="15"/>
  <c r="AC3" i="15"/>
  <c r="X3" i="15"/>
  <c r="X5" i="15" s="1"/>
  <c r="AN7" i="15"/>
  <c r="X7" i="15"/>
  <c r="AB3" i="15"/>
  <c r="AB5" i="15" s="1"/>
  <c r="AM7" i="15"/>
  <c r="AP3" i="15"/>
  <c r="AP5" i="15" s="1"/>
  <c r="AA3" i="15"/>
  <c r="AE3" i="15"/>
  <c r="AT7" i="15"/>
  <c r="AD7" i="15"/>
  <c r="AS7" i="15"/>
  <c r="AC7" i="15"/>
  <c r="AS3" i="15"/>
  <c r="Y3" i="15"/>
  <c r="AQ7" i="15"/>
  <c r="AT3" i="15"/>
  <c r="AJ7" i="15"/>
  <c r="T7" i="15"/>
  <c r="AN3" i="15"/>
  <c r="AN5" i="15" s="1"/>
  <c r="AI7" i="15"/>
  <c r="AH3" i="15"/>
  <c r="AH5" i="15" s="1"/>
  <c r="W3" i="15"/>
  <c r="S3" i="15"/>
  <c r="V3" i="15"/>
  <c r="V5" i="15" s="1"/>
  <c r="Z7" i="15"/>
  <c r="AG3" i="15"/>
  <c r="AF7" i="15"/>
  <c r="AA7" i="15"/>
  <c r="AO7" i="15"/>
  <c r="U3" i="15"/>
  <c r="Z3" i="15"/>
  <c r="Z5" i="15" s="1"/>
  <c r="AL3" i="15"/>
  <c r="AL5" i="15" s="1"/>
  <c r="Y7" i="15"/>
  <c r="AE7" i="15"/>
  <c r="AJ3" i="15"/>
  <c r="AJ5" i="15" s="1"/>
  <c r="AP7" i="15"/>
  <c r="AO3" i="15"/>
  <c r="AO5" i="15" s="1"/>
  <c r="T3" i="15"/>
  <c r="T5" i="15" s="1"/>
  <c r="AM3" i="15"/>
  <c r="E2" i="5"/>
  <c r="G2" i="5"/>
  <c r="I2" i="5"/>
  <c r="K2" i="5"/>
  <c r="M2" i="5"/>
  <c r="O2" i="5"/>
  <c r="Q2" i="5"/>
  <c r="S2" i="5"/>
  <c r="U2" i="5"/>
  <c r="W2" i="5"/>
  <c r="Y2" i="5"/>
  <c r="AA2" i="5"/>
  <c r="AC2" i="5"/>
  <c r="AE2" i="5"/>
  <c r="AG2" i="5"/>
  <c r="D2" i="5"/>
  <c r="L2" i="5"/>
  <c r="V2" i="5"/>
  <c r="AD2" i="5"/>
  <c r="AI2" i="5"/>
  <c r="F2" i="5"/>
  <c r="N2" i="5"/>
  <c r="T2" i="5"/>
  <c r="AB2" i="5"/>
  <c r="H2" i="5"/>
  <c r="R2" i="5"/>
  <c r="Z2" i="5"/>
  <c r="AH2" i="5"/>
  <c r="AJ2" i="5"/>
  <c r="AF2" i="5"/>
  <c r="J2" i="5"/>
  <c r="X2" i="5"/>
  <c r="P2" i="5"/>
  <c r="AA4" i="15"/>
  <c r="AA8" i="15" s="1"/>
  <c r="S4" i="15"/>
  <c r="S8" i="15" s="1"/>
  <c r="Y4" i="15"/>
  <c r="Y8" i="15" s="1"/>
  <c r="A17" i="12" a="1"/>
  <c r="W4" i="15"/>
  <c r="W8" i="15" s="1"/>
  <c r="A20" i="12" a="1"/>
  <c r="C8" i="3"/>
  <c r="C12" i="3"/>
  <c r="C3" i="3"/>
  <c r="C5" i="3"/>
  <c r="C9" i="3"/>
  <c r="C13" i="3"/>
  <c r="C6" i="3"/>
  <c r="C10" i="3"/>
  <c r="C14" i="3"/>
  <c r="C7" i="3"/>
  <c r="M8" i="15"/>
  <c r="C11" i="3"/>
  <c r="C2" i="3"/>
  <c r="R14" i="15"/>
  <c r="AC4" i="15"/>
  <c r="AC8" i="15" s="1"/>
  <c r="U4" i="15"/>
  <c r="U8" i="15" s="1"/>
  <c r="AD8" i="15" l="1"/>
  <c r="V8" i="15"/>
  <c r="AB8" i="15"/>
  <c r="T8" i="15"/>
  <c r="Z8" i="15"/>
  <c r="X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S3" i="3"/>
  <c r="S4" i="3"/>
  <c r="S8" i="3"/>
  <c r="S2" i="3"/>
  <c r="S5" i="3"/>
  <c r="S9" i="3"/>
  <c r="S11" i="3"/>
  <c r="S12" i="3"/>
  <c r="S6" i="3"/>
  <c r="S13" i="3"/>
  <c r="S7" i="3"/>
  <c r="S10" i="3"/>
  <c r="S14" i="3"/>
  <c r="M5" i="3"/>
  <c r="M6" i="3"/>
  <c r="M2" i="3"/>
  <c r="M3" i="3"/>
  <c r="M9" i="3"/>
  <c r="M13" i="3"/>
  <c r="M10" i="3"/>
  <c r="M14" i="3"/>
  <c r="M4" i="3"/>
  <c r="M7" i="3"/>
  <c r="M11" i="3"/>
  <c r="M12" i="3"/>
  <c r="M8" i="3"/>
  <c r="G3" i="3"/>
  <c r="G4" i="3"/>
  <c r="G8" i="3"/>
  <c r="G2" i="3"/>
  <c r="G5" i="3"/>
  <c r="G6" i="3"/>
  <c r="G11" i="3"/>
  <c r="G12" i="3"/>
  <c r="G7" i="3"/>
  <c r="G13" i="3"/>
  <c r="G9" i="3"/>
  <c r="G14" i="3"/>
  <c r="G10" i="3"/>
  <c r="Q5" i="3"/>
  <c r="Q6" i="3"/>
  <c r="Q2" i="3"/>
  <c r="Q3" i="3"/>
  <c r="Q13" i="3"/>
  <c r="Q7" i="3"/>
  <c r="Q10" i="3"/>
  <c r="Q14" i="3"/>
  <c r="Q8" i="3"/>
  <c r="Q11" i="3"/>
  <c r="Q4" i="3"/>
  <c r="Q9" i="3"/>
  <c r="Q12" i="3"/>
  <c r="AM5" i="15"/>
  <c r="AJ2" i="3"/>
  <c r="AJ3" i="3"/>
  <c r="AJ7" i="3"/>
  <c r="AJ4" i="3"/>
  <c r="AJ8" i="3"/>
  <c r="AJ10" i="3"/>
  <c r="AJ14" i="3"/>
  <c r="AJ11" i="3"/>
  <c r="AJ5" i="3"/>
  <c r="AJ12" i="3"/>
  <c r="AJ9" i="3"/>
  <c r="AJ6" i="3"/>
  <c r="AJ13" i="3"/>
  <c r="W19" i="15"/>
  <c r="U5" i="15"/>
  <c r="AG5" i="15"/>
  <c r="S5" i="15"/>
  <c r="AE5" i="15"/>
  <c r="AI5" i="15"/>
  <c r="Z2" i="3"/>
  <c r="Z5" i="3"/>
  <c r="Z6" i="3"/>
  <c r="Z9" i="3"/>
  <c r="Z7" i="3"/>
  <c r="Z12" i="3"/>
  <c r="Z3" i="3"/>
  <c r="Z4" i="3"/>
  <c r="Z8" i="3"/>
  <c r="Z13" i="3"/>
  <c r="Z10" i="3"/>
  <c r="Z14" i="3"/>
  <c r="Z11" i="3"/>
  <c r="X2" i="3"/>
  <c r="X3" i="3"/>
  <c r="X6" i="3"/>
  <c r="X7" i="3"/>
  <c r="X4" i="3"/>
  <c r="X9" i="3"/>
  <c r="X10" i="3"/>
  <c r="X14" i="3"/>
  <c r="X11" i="3"/>
  <c r="X12" i="3"/>
  <c r="X5" i="3"/>
  <c r="X13" i="3"/>
  <c r="X8" i="3"/>
  <c r="V2" i="3"/>
  <c r="V5" i="3"/>
  <c r="V6" i="3"/>
  <c r="V9" i="3"/>
  <c r="V3" i="3"/>
  <c r="V12" i="3"/>
  <c r="V7" i="3"/>
  <c r="V13" i="3"/>
  <c r="V8" i="3"/>
  <c r="V10" i="3"/>
  <c r="V14" i="3"/>
  <c r="V4" i="3"/>
  <c r="V11" i="3"/>
  <c r="AA3" i="3"/>
  <c r="AA4" i="3"/>
  <c r="AA8" i="3"/>
  <c r="AA2" i="3"/>
  <c r="AA5" i="3"/>
  <c r="AA11" i="3"/>
  <c r="AA7" i="3"/>
  <c r="AA12" i="3"/>
  <c r="AA9" i="3"/>
  <c r="AA13" i="3"/>
  <c r="AA10" i="3"/>
  <c r="AA14" i="3"/>
  <c r="AA6" i="3"/>
  <c r="U5" i="3"/>
  <c r="U6" i="3"/>
  <c r="U2" i="3"/>
  <c r="U3" i="3"/>
  <c r="U4" i="3"/>
  <c r="U7" i="3"/>
  <c r="U13" i="3"/>
  <c r="U8" i="3"/>
  <c r="U10" i="3"/>
  <c r="U14" i="3"/>
  <c r="U9" i="3"/>
  <c r="U11" i="3"/>
  <c r="U12" i="3"/>
  <c r="O3" i="3"/>
  <c r="O4" i="3"/>
  <c r="O8" i="3"/>
  <c r="O2" i="3"/>
  <c r="O5" i="3"/>
  <c r="O6" i="3"/>
  <c r="O7" i="3"/>
  <c r="O11" i="3"/>
  <c r="O9" i="3"/>
  <c r="O12" i="3"/>
  <c r="O13" i="3"/>
  <c r="O10" i="3"/>
  <c r="O14" i="3"/>
  <c r="Y5" i="3"/>
  <c r="Y4" i="3"/>
  <c r="Y2" i="3"/>
  <c r="Y3" i="3"/>
  <c r="Y8" i="3"/>
  <c r="Y13" i="3"/>
  <c r="Y6" i="3"/>
  <c r="Y9" i="3"/>
  <c r="Y10" i="3"/>
  <c r="Y14" i="3"/>
  <c r="Y11" i="3"/>
  <c r="Y12" i="3"/>
  <c r="Y7" i="3"/>
  <c r="W5" i="15"/>
  <c r="Y5" i="15"/>
  <c r="AA5" i="15"/>
  <c r="T2" i="3"/>
  <c r="T3" i="3"/>
  <c r="T7" i="3"/>
  <c r="T4" i="3"/>
  <c r="T8" i="3"/>
  <c r="T10" i="3"/>
  <c r="T14" i="3"/>
  <c r="T9" i="3"/>
  <c r="T11" i="3"/>
  <c r="T5" i="3"/>
  <c r="T12" i="3"/>
  <c r="T13" i="3"/>
  <c r="T6" i="3"/>
  <c r="AQ5" i="15"/>
  <c r="R2" i="3"/>
  <c r="R4" i="3"/>
  <c r="R5" i="3"/>
  <c r="R9" i="3"/>
  <c r="R6" i="3"/>
  <c r="R12" i="3"/>
  <c r="R13" i="3"/>
  <c r="R7" i="3"/>
  <c r="R10" i="3"/>
  <c r="R14" i="3"/>
  <c r="R3" i="3"/>
  <c r="R8" i="3"/>
  <c r="R11" i="3"/>
  <c r="P2" i="3"/>
  <c r="P3" i="3"/>
  <c r="P7" i="3"/>
  <c r="P4" i="3"/>
  <c r="P10" i="3"/>
  <c r="P14" i="3"/>
  <c r="P5" i="3"/>
  <c r="P6" i="3"/>
  <c r="P8" i="3"/>
  <c r="P11" i="3"/>
  <c r="P9" i="3"/>
  <c r="P12" i="3"/>
  <c r="P13" i="3"/>
  <c r="N2" i="3"/>
  <c r="N4" i="3"/>
  <c r="N5" i="3"/>
  <c r="N9" i="3"/>
  <c r="N6" i="3"/>
  <c r="N8" i="3"/>
  <c r="N12" i="3"/>
  <c r="N13" i="3"/>
  <c r="N3" i="3"/>
  <c r="N10" i="3"/>
  <c r="N14" i="3"/>
  <c r="N7" i="3"/>
  <c r="N11" i="3"/>
  <c r="AI3" i="3"/>
  <c r="AI4" i="3"/>
  <c r="AI8" i="3"/>
  <c r="AI2" i="3"/>
  <c r="AI5" i="3"/>
  <c r="AI11" i="3"/>
  <c r="AI12" i="3"/>
  <c r="AI6" i="3"/>
  <c r="AI9" i="3"/>
  <c r="AI13" i="3"/>
  <c r="AI7" i="3"/>
  <c r="AI10" i="3"/>
  <c r="AI14" i="3"/>
  <c r="A20" i="12"/>
  <c r="F20" i="12"/>
  <c r="B20" i="12"/>
  <c r="L20" i="12"/>
  <c r="M20" i="12"/>
  <c r="I20" i="12"/>
  <c r="E20" i="12"/>
  <c r="K20" i="12"/>
  <c r="H20" i="12"/>
  <c r="D20" i="12"/>
  <c r="O20" i="12"/>
  <c r="J20" i="12"/>
  <c r="N20" i="12"/>
  <c r="G20" i="12"/>
  <c r="C20" i="12"/>
  <c r="AC5" i="3"/>
  <c r="AC4" i="3"/>
  <c r="AC2" i="3"/>
  <c r="AC3" i="3"/>
  <c r="AC9" i="3"/>
  <c r="AC13" i="3"/>
  <c r="AC6" i="3"/>
  <c r="AC10" i="3"/>
  <c r="AC14" i="3"/>
  <c r="AC7" i="3"/>
  <c r="AC11" i="3"/>
  <c r="AC12" i="3"/>
  <c r="AC8" i="3"/>
  <c r="W3" i="3"/>
  <c r="W4" i="3"/>
  <c r="W8" i="3"/>
  <c r="W2" i="3"/>
  <c r="W5" i="3"/>
  <c r="W11" i="3"/>
  <c r="W12" i="3"/>
  <c r="W7" i="3"/>
  <c r="W13" i="3"/>
  <c r="W14" i="3"/>
  <c r="W9" i="3"/>
  <c r="W6" i="3"/>
  <c r="W10" i="3"/>
  <c r="AG5" i="3"/>
  <c r="AG4" i="3"/>
  <c r="AG2" i="3"/>
  <c r="AG3" i="3"/>
  <c r="AG9" i="3"/>
  <c r="AG13" i="3"/>
  <c r="AG7" i="3"/>
  <c r="AG10" i="3"/>
  <c r="AG14" i="3"/>
  <c r="AG8" i="3"/>
  <c r="AG11" i="3"/>
  <c r="AG6" i="3"/>
  <c r="AG12" i="3"/>
  <c r="D2" i="3"/>
  <c r="D3" i="3"/>
  <c r="D7" i="3"/>
  <c r="D4" i="3"/>
  <c r="D8" i="3"/>
  <c r="D10" i="3"/>
  <c r="D14" i="3"/>
  <c r="D9" i="3"/>
  <c r="D11" i="3"/>
  <c r="D5" i="3"/>
  <c r="D12" i="3"/>
  <c r="D6" i="3"/>
  <c r="D13" i="3"/>
  <c r="AS5" i="15"/>
  <c r="AC5" i="15"/>
  <c r="L2" i="3"/>
  <c r="L3" i="3"/>
  <c r="L7" i="3"/>
  <c r="L4" i="3"/>
  <c r="L5" i="3"/>
  <c r="L10" i="3"/>
  <c r="L14" i="3"/>
  <c r="L11" i="3"/>
  <c r="L8" i="3"/>
  <c r="L12" i="3"/>
  <c r="L9" i="3"/>
  <c r="L13" i="3"/>
  <c r="L6" i="3"/>
  <c r="J2" i="3"/>
  <c r="J4" i="3"/>
  <c r="J5" i="3"/>
  <c r="J9" i="3"/>
  <c r="J6" i="3"/>
  <c r="J7" i="3"/>
  <c r="J12" i="3"/>
  <c r="J3" i="3"/>
  <c r="J8" i="3"/>
  <c r="J13" i="3"/>
  <c r="J10" i="3"/>
  <c r="J14" i="3"/>
  <c r="J11" i="3"/>
  <c r="H2" i="3"/>
  <c r="H3" i="3"/>
  <c r="H7" i="3"/>
  <c r="H4" i="3"/>
  <c r="H9" i="3"/>
  <c r="H10" i="3"/>
  <c r="H14" i="3"/>
  <c r="H6" i="3"/>
  <c r="H11" i="3"/>
  <c r="H12" i="3"/>
  <c r="H13" i="3"/>
  <c r="H8" i="3"/>
  <c r="H5" i="3"/>
  <c r="F2" i="3"/>
  <c r="F4" i="3"/>
  <c r="F5" i="3"/>
  <c r="F9" i="3"/>
  <c r="F6" i="3"/>
  <c r="F3" i="3"/>
  <c r="F12" i="3"/>
  <c r="F7" i="3"/>
  <c r="F13" i="3"/>
  <c r="F8" i="3"/>
  <c r="F10" i="3"/>
  <c r="F14" i="3"/>
  <c r="F11" i="3"/>
  <c r="K3" i="3"/>
  <c r="K4" i="3"/>
  <c r="K8" i="3"/>
  <c r="K2" i="3"/>
  <c r="K5" i="3"/>
  <c r="K11" i="3"/>
  <c r="K7" i="3"/>
  <c r="K12" i="3"/>
  <c r="K6" i="3"/>
  <c r="K9" i="3"/>
  <c r="K13" i="3"/>
  <c r="K10" i="3"/>
  <c r="K14" i="3"/>
  <c r="E5" i="3"/>
  <c r="E6" i="3"/>
  <c r="E2" i="3"/>
  <c r="E3" i="3"/>
  <c r="E4" i="3"/>
  <c r="E7" i="3"/>
  <c r="E13" i="3"/>
  <c r="E8" i="3"/>
  <c r="E10" i="3"/>
  <c r="E14" i="3"/>
  <c r="E9" i="3"/>
  <c r="E11" i="3"/>
  <c r="E12" i="3"/>
  <c r="C19" i="12"/>
  <c r="J18" i="12"/>
  <c r="M17" i="12"/>
  <c r="D18" i="12"/>
  <c r="M19" i="12"/>
  <c r="D17" i="12"/>
  <c r="H19" i="12"/>
  <c r="G18" i="12"/>
  <c r="G17" i="12"/>
  <c r="G19" i="12"/>
  <c r="F18" i="12"/>
  <c r="J19" i="12"/>
  <c r="M18" i="12"/>
  <c r="L17" i="12"/>
  <c r="B17" i="12"/>
  <c r="K18" i="12"/>
  <c r="A18" i="12"/>
  <c r="H17" i="12"/>
  <c r="E17" i="12"/>
  <c r="L18" i="12"/>
  <c r="C17" i="12"/>
  <c r="F17" i="12"/>
  <c r="A17" i="12"/>
  <c r="H18" i="12"/>
  <c r="N19" i="12"/>
  <c r="I18" i="12"/>
  <c r="B18" i="12"/>
  <c r="I17" i="12"/>
  <c r="B19" i="12"/>
  <c r="K17" i="12"/>
  <c r="D19" i="12"/>
  <c r="J17" i="12"/>
  <c r="E19" i="12"/>
  <c r="F19" i="12"/>
  <c r="A19" i="12"/>
  <c r="E18" i="12"/>
  <c r="L19" i="12"/>
  <c r="N17" i="12"/>
  <c r="I19" i="12"/>
  <c r="K19" i="12"/>
  <c r="N18" i="12"/>
  <c r="C18" i="12"/>
  <c r="I5" i="3"/>
  <c r="I6" i="3"/>
  <c r="I2" i="3"/>
  <c r="I3" i="3"/>
  <c r="I8" i="3"/>
  <c r="I13" i="3"/>
  <c r="I4" i="3"/>
  <c r="I9" i="3"/>
  <c r="I10" i="3"/>
  <c r="I14" i="3"/>
  <c r="I11" i="3"/>
  <c r="I7" i="3"/>
  <c r="I12" i="3"/>
  <c r="AT5" i="15"/>
  <c r="AB2" i="3"/>
  <c r="AB3" i="3"/>
  <c r="AB6" i="3"/>
  <c r="AB7" i="3"/>
  <c r="AB5" i="3"/>
  <c r="AB10" i="3"/>
  <c r="AB14" i="3"/>
  <c r="AB11" i="3"/>
  <c r="AB4" i="3"/>
  <c r="AB8" i="3"/>
  <c r="AB12" i="3"/>
  <c r="AB9" i="3"/>
  <c r="AB13" i="3"/>
  <c r="AK5" i="15"/>
  <c r="AD5" i="15"/>
  <c r="AH2" i="3"/>
  <c r="AH5" i="3"/>
  <c r="AH6" i="3"/>
  <c r="AH12" i="3"/>
  <c r="AH4" i="3"/>
  <c r="AH9" i="3"/>
  <c r="AH13" i="3"/>
  <c r="AH7" i="3"/>
  <c r="AH10" i="3"/>
  <c r="AH14" i="3"/>
  <c r="AH3" i="3"/>
  <c r="AH11" i="3"/>
  <c r="AH8" i="3"/>
  <c r="AF2" i="3"/>
  <c r="AF3" i="3"/>
  <c r="AF6" i="3"/>
  <c r="AF7" i="3"/>
  <c r="AF4" i="3"/>
  <c r="AF10" i="3"/>
  <c r="AF14" i="3"/>
  <c r="AF5" i="3"/>
  <c r="AF8" i="3"/>
  <c r="AF11" i="3"/>
  <c r="AF12" i="3"/>
  <c r="AF9" i="3"/>
  <c r="AF13" i="3"/>
  <c r="AD2" i="3"/>
  <c r="AD5" i="3"/>
  <c r="AD6" i="3"/>
  <c r="AD8" i="3"/>
  <c r="AD12" i="3"/>
  <c r="AD9" i="3"/>
  <c r="AD13" i="3"/>
  <c r="AD3" i="3"/>
  <c r="AD10" i="3"/>
  <c r="AD14" i="3"/>
  <c r="AD7" i="3"/>
  <c r="AD11" i="3"/>
  <c r="AD4" i="3"/>
  <c r="R8" i="12" l="1"/>
  <c r="V7" i="12"/>
  <c r="AC8" i="12"/>
  <c r="AA11" i="12"/>
  <c r="Y4" i="12"/>
  <c r="R12" i="12"/>
  <c r="AJ6" i="12"/>
  <c r="T2" i="12"/>
  <c r="U11" i="12"/>
  <c r="AC7" i="12"/>
  <c r="S4" i="12"/>
  <c r="AE11" i="12"/>
  <c r="AB12" i="12"/>
  <c r="Z5" i="12"/>
  <c r="AC4" i="12"/>
  <c r="AE9" i="12"/>
  <c r="AD14" i="12"/>
  <c r="X12" i="12"/>
  <c r="V5" i="12"/>
  <c r="AG13" i="12"/>
  <c r="W10" i="12"/>
  <c r="AE6" i="12"/>
  <c r="U3" i="12"/>
  <c r="X13" i="12"/>
  <c r="AF9" i="12"/>
  <c r="V6" i="12"/>
  <c r="AE14" i="12"/>
  <c r="R2" i="12"/>
  <c r="AB8" i="12"/>
  <c r="AC12" i="12"/>
  <c r="AG12" i="12"/>
  <c r="AE5" i="12"/>
  <c r="AG6" i="12"/>
  <c r="AF10" i="12"/>
  <c r="AD3" i="12"/>
  <c r="Z2" i="12"/>
  <c r="AI7" i="12"/>
  <c r="W13" i="12"/>
  <c r="AB10" i="12"/>
  <c r="AI12" i="12"/>
  <c r="AG5" i="12"/>
  <c r="R10" i="12"/>
  <c r="AH8" i="12"/>
  <c r="Z4" i="12"/>
  <c r="AI5" i="12"/>
  <c r="AF6" i="12"/>
  <c r="W3" i="12"/>
  <c r="AA7" i="12"/>
  <c r="AG2" i="12"/>
  <c r="X8" i="12"/>
  <c r="AF2" i="12"/>
  <c r="AG11" i="12"/>
  <c r="W8" i="12"/>
  <c r="AE4" i="12"/>
  <c r="W2" i="12"/>
  <c r="X11" i="12"/>
  <c r="AF7" i="12"/>
  <c r="V4" i="12"/>
  <c r="S9" i="12"/>
  <c r="AD11" i="12"/>
  <c r="AB4" i="12"/>
  <c r="AH14" i="12"/>
  <c r="AG8" i="12"/>
  <c r="V2" i="12"/>
  <c r="Z11" i="12"/>
  <c r="X4" i="12"/>
  <c r="Y13" i="12"/>
  <c r="AG9" i="12"/>
  <c r="W6" i="12"/>
  <c r="AF14" i="12"/>
  <c r="AH12" i="12"/>
  <c r="X9" i="12"/>
  <c r="AF5" i="12"/>
  <c r="W14" i="12"/>
  <c r="U2" i="12"/>
  <c r="AD7" i="12"/>
  <c r="AI9" i="12"/>
  <c r="AI11" i="12"/>
  <c r="AG4" i="12"/>
  <c r="R4" i="12"/>
  <c r="Z7" i="12"/>
  <c r="X2" i="12"/>
  <c r="Y11" i="12"/>
  <c r="AG7" i="12"/>
  <c r="W4" i="12"/>
  <c r="R6" i="12"/>
  <c r="AH10" i="12"/>
  <c r="X7" i="12"/>
  <c r="AF3" i="12"/>
  <c r="S14" i="12"/>
  <c r="Z14" i="12"/>
  <c r="U6" i="12"/>
  <c r="AF8" i="12"/>
  <c r="S12" i="12"/>
  <c r="AI4" i="12"/>
  <c r="Z12" i="12"/>
  <c r="AJ7" i="12"/>
  <c r="AB3" i="12"/>
  <c r="AH13" i="12"/>
  <c r="AJ4" i="12"/>
  <c r="R3" i="12"/>
  <c r="AI3" i="12"/>
  <c r="AD13" i="12"/>
  <c r="AB6" i="12"/>
  <c r="R5" i="12"/>
  <c r="AI10" i="12"/>
  <c r="Y7" i="12"/>
  <c r="AG3" i="12"/>
  <c r="AJ13" i="12"/>
  <c r="Z10" i="12"/>
  <c r="AH6" i="12"/>
  <c r="X3" i="12"/>
  <c r="S5" i="12"/>
  <c r="AH9" i="12"/>
  <c r="AG14" i="12"/>
  <c r="R11" i="12"/>
  <c r="S7" i="12"/>
  <c r="AA9" i="12"/>
  <c r="AD9" i="12"/>
  <c r="AC14" i="12"/>
  <c r="AA12" i="12"/>
  <c r="AI8" i="12"/>
  <c r="Y5" i="12"/>
  <c r="AI2" i="12"/>
  <c r="AJ11" i="12"/>
  <c r="Z8" i="12"/>
  <c r="AH4" i="12"/>
  <c r="S13" i="12"/>
  <c r="AJ12" i="12"/>
  <c r="AH5" i="12"/>
  <c r="AA5" i="12"/>
  <c r="U10" i="12"/>
  <c r="S3" i="12"/>
  <c r="AF12" i="12"/>
  <c r="AD5" i="12"/>
  <c r="R13" i="12"/>
  <c r="AA10" i="12"/>
  <c r="AI6" i="12"/>
  <c r="Y3" i="12"/>
  <c r="AB13" i="12"/>
  <c r="AJ9" i="12"/>
  <c r="Z6" i="12"/>
  <c r="AI14" i="12"/>
  <c r="AJ8" i="12"/>
  <c r="U12" i="12"/>
  <c r="Z3" i="12"/>
  <c r="Y9" i="12"/>
  <c r="X14" i="12"/>
  <c r="AB11" i="12"/>
  <c r="T7" i="12"/>
  <c r="AD2" i="12"/>
  <c r="T12" i="12"/>
  <c r="V3" i="12"/>
  <c r="S11" i="12"/>
  <c r="V14" i="12"/>
  <c r="AH11" i="12"/>
  <c r="AF4" i="12"/>
  <c r="AC13" i="12"/>
  <c r="S10" i="12"/>
  <c r="AA6" i="12"/>
  <c r="AJ14" i="12"/>
  <c r="T13" i="12"/>
  <c r="AB9" i="12"/>
  <c r="AJ5" i="12"/>
  <c r="AA14" i="12"/>
  <c r="AC2" i="12"/>
  <c r="T8" i="12"/>
  <c r="W11" i="12"/>
  <c r="Y12" i="12"/>
  <c r="W5" i="12"/>
  <c r="Y2" i="12"/>
  <c r="AH7" i="12"/>
  <c r="AB2" i="12"/>
  <c r="AC11" i="12"/>
  <c r="S8" i="12"/>
  <c r="AA4" i="12"/>
  <c r="S2" i="12"/>
  <c r="T11" i="12"/>
  <c r="AB7" i="12"/>
  <c r="AJ3" i="12"/>
  <c r="AE7" i="12"/>
  <c r="V11" i="12"/>
  <c r="T4" i="12"/>
  <c r="AH2" i="12"/>
  <c r="Y8" i="12"/>
  <c r="AA13" i="12"/>
  <c r="AJ10" i="12"/>
  <c r="AH3" i="12"/>
  <c r="U13" i="12"/>
  <c r="AC9" i="12"/>
  <c r="S6" i="12"/>
  <c r="AB14" i="12"/>
  <c r="AD12" i="12"/>
  <c r="T9" i="12"/>
  <c r="AB5" i="12"/>
  <c r="R7" i="12"/>
  <c r="U4" i="12"/>
  <c r="AJ2" i="12"/>
  <c r="AA8" i="12"/>
  <c r="AA2" i="12"/>
  <c r="AD10" i="12"/>
  <c r="X5" i="12"/>
  <c r="Y10" i="12"/>
  <c r="X10" i="12"/>
  <c r="W7" i="12"/>
  <c r="W9" i="12"/>
  <c r="AG10" i="12"/>
  <c r="T10" i="12"/>
  <c r="R14" i="12"/>
  <c r="AE12" i="12"/>
  <c r="U9" i="12"/>
  <c r="AC5" i="12"/>
  <c r="T14" i="12"/>
  <c r="V12" i="12"/>
  <c r="AD8" i="12"/>
  <c r="T5" i="12"/>
  <c r="AI13" i="12"/>
  <c r="Z13" i="12"/>
  <c r="X6" i="12"/>
  <c r="Y6" i="12"/>
  <c r="AC10" i="12"/>
  <c r="AA3" i="12"/>
  <c r="V13" i="12"/>
  <c r="T6" i="12"/>
  <c r="R9" i="12"/>
  <c r="AE10" i="12"/>
  <c r="U7" i="12"/>
  <c r="AC3" i="12"/>
  <c r="AF13" i="12"/>
  <c r="V10" i="12"/>
  <c r="AD6" i="12"/>
  <c r="T3" i="12"/>
  <c r="AE3" i="12"/>
  <c r="Z9" i="12"/>
  <c r="Y14" i="12"/>
  <c r="AE13" i="12"/>
  <c r="AC6" i="12"/>
  <c r="U8" i="12"/>
  <c r="V9" i="12"/>
  <c r="U14" i="12"/>
  <c r="W12" i="12"/>
  <c r="AE8" i="12"/>
  <c r="U5" i="12"/>
  <c r="AE2" i="12"/>
  <c r="AF11" i="12"/>
  <c r="V8" i="12"/>
  <c r="AD4" i="12"/>
  <c r="F8" i="12"/>
  <c r="J9" i="12"/>
  <c r="N10" i="12"/>
  <c r="F12" i="12"/>
  <c r="J13" i="12"/>
  <c r="N7" i="12"/>
  <c r="K8" i="12"/>
  <c r="O9" i="12"/>
  <c r="G11" i="12"/>
  <c r="K12" i="12"/>
  <c r="O13" i="12"/>
  <c r="G6" i="12"/>
  <c r="L9" i="12"/>
  <c r="H12" i="12"/>
  <c r="P7" i="12"/>
  <c r="L3" i="12"/>
  <c r="P4" i="12"/>
  <c r="H14" i="12"/>
  <c r="D7" i="12"/>
  <c r="P2" i="12"/>
  <c r="O6" i="12"/>
  <c r="O14" i="12"/>
  <c r="M9" i="12"/>
  <c r="I12" i="12"/>
  <c r="E6" i="12"/>
  <c r="M3" i="12"/>
  <c r="E5" i="12"/>
  <c r="I14" i="12"/>
  <c r="D6" i="12"/>
  <c r="D2" i="12"/>
  <c r="E7" i="12"/>
  <c r="G5" i="12"/>
  <c r="L8" i="12"/>
  <c r="H11" i="12"/>
  <c r="P13" i="12"/>
  <c r="F3" i="12"/>
  <c r="J4" i="12"/>
  <c r="N5" i="12"/>
  <c r="D13" i="12"/>
  <c r="J2" i="12"/>
  <c r="M12" i="12"/>
  <c r="K5" i="12"/>
  <c r="O2" i="12"/>
  <c r="D9" i="12"/>
  <c r="M7" i="12"/>
  <c r="M13" i="12"/>
  <c r="D14" i="12"/>
  <c r="K3" i="12"/>
  <c r="L12" i="12"/>
  <c r="F5" i="12"/>
  <c r="I9" i="12"/>
  <c r="F9" i="12"/>
  <c r="J7" i="12"/>
  <c r="K13" i="12"/>
  <c r="H7" i="12"/>
  <c r="D11" i="12"/>
  <c r="E9" i="12"/>
  <c r="J8" i="12"/>
  <c r="N9" i="12"/>
  <c r="F11" i="12"/>
  <c r="J12" i="12"/>
  <c r="N13" i="12"/>
  <c r="F6" i="12"/>
  <c r="O8" i="12"/>
  <c r="G10" i="12"/>
  <c r="K11" i="12"/>
  <c r="O12" i="12"/>
  <c r="G7" i="12"/>
  <c r="K6" i="12"/>
  <c r="H10" i="12"/>
  <c r="P12" i="12"/>
  <c r="L6" i="12"/>
  <c r="P3" i="12"/>
  <c r="H5" i="12"/>
  <c r="L14" i="12"/>
  <c r="D3" i="12"/>
  <c r="M8" i="12"/>
  <c r="O3" i="12"/>
  <c r="D4" i="12"/>
  <c r="I10" i="12"/>
  <c r="E13" i="12"/>
  <c r="M6" i="12"/>
  <c r="E4" i="12"/>
  <c r="I5" i="12"/>
  <c r="M14" i="12"/>
  <c r="E2" i="12"/>
  <c r="E8" i="12"/>
  <c r="I6" i="12"/>
  <c r="G14" i="12"/>
  <c r="H9" i="12"/>
  <c r="P11" i="12"/>
  <c r="L7" i="12"/>
  <c r="J3" i="12"/>
  <c r="N4" i="12"/>
  <c r="F14" i="12"/>
  <c r="N2" i="12"/>
  <c r="K14" i="12"/>
  <c r="E3" i="12"/>
  <c r="M5" i="12"/>
  <c r="E10" i="12"/>
  <c r="P9" i="12"/>
  <c r="N3" i="12"/>
  <c r="D5" i="12"/>
  <c r="D8" i="12"/>
  <c r="J10" i="12"/>
  <c r="G8" i="12"/>
  <c r="O7" i="12"/>
  <c r="H3" i="12"/>
  <c r="L2" i="12"/>
  <c r="M11" i="12"/>
  <c r="N8" i="12"/>
  <c r="F10" i="12"/>
  <c r="J11" i="12"/>
  <c r="N12" i="12"/>
  <c r="F7" i="12"/>
  <c r="J6" i="12"/>
  <c r="G9" i="12"/>
  <c r="K10" i="12"/>
  <c r="O11" i="12"/>
  <c r="G13" i="12"/>
  <c r="K7" i="12"/>
  <c r="H8" i="12"/>
  <c r="P10" i="12"/>
  <c r="L13" i="12"/>
  <c r="P6" i="12"/>
  <c r="H4" i="12"/>
  <c r="L5" i="12"/>
  <c r="P14" i="12"/>
  <c r="H2" i="12"/>
  <c r="I11" i="12"/>
  <c r="O4" i="12"/>
  <c r="I8" i="12"/>
  <c r="E11" i="12"/>
  <c r="I4" i="12"/>
  <c r="I2" i="12"/>
  <c r="D12" i="12"/>
  <c r="H6" i="12"/>
  <c r="J14" i="12"/>
  <c r="G3" i="12"/>
  <c r="F13" i="12"/>
  <c r="O10" i="12"/>
  <c r="P8" i="12"/>
  <c r="L4" i="12"/>
  <c r="I13" i="12"/>
  <c r="I7" i="12"/>
  <c r="N11" i="12"/>
  <c r="K9" i="12"/>
  <c r="G12" i="12"/>
  <c r="L11" i="12"/>
  <c r="P5" i="12"/>
  <c r="O5" i="12"/>
  <c r="E14" i="12"/>
  <c r="K4" i="12"/>
  <c r="N6" i="12"/>
  <c r="F2" i="12"/>
  <c r="D10" i="12"/>
  <c r="G2" i="12"/>
  <c r="F4" i="12"/>
  <c r="M2" i="12"/>
  <c r="J5" i="12"/>
  <c r="N14" i="12"/>
  <c r="M10" i="12"/>
  <c r="L10" i="12"/>
  <c r="H13" i="12"/>
  <c r="I3" i="12"/>
  <c r="G4" i="12"/>
  <c r="M4" i="12"/>
  <c r="E12" i="12"/>
  <c r="K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A26" authorId="0" shapeId="0" xr:uid="{00000000-0006-0000-0500-000001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Assume that the electricity generated from coal is all from hard coal.</t>
        </r>
      </text>
    </comment>
    <comment ref="P26" authorId="0" shapeId="0" xr:uid="{00000000-0006-0000-0500-000002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Assume that the electricity generated from coal is all from hard coal.</t>
        </r>
      </text>
    </comment>
    <comment ref="A29" authorId="0" shapeId="0" xr:uid="{00000000-0006-0000-0500-000003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Includes production from pumped storage plants</t>
        </r>
      </text>
    </comment>
    <comment ref="P29" authorId="0" shapeId="0" xr:uid="{00000000-0006-0000-0500-000004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Includes production from pumped storage plants</t>
        </r>
      </text>
    </comment>
    <comment ref="A30" authorId="0" shapeId="0" xr:uid="{00000000-0006-0000-0500-000005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Assume that the electricity generated from wind is all from onshore wind, because distinguishing between onshore and offshore won't make significant difference to the emission results.</t>
        </r>
      </text>
    </comment>
    <comment ref="P30" authorId="0" shapeId="0" xr:uid="{00000000-0006-0000-0500-000006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Assume that the electricity generated from wind is all from onshore wind, because distinguishing between onshore and offshore won't make significant difference to the emission results.</t>
        </r>
      </text>
    </comment>
    <comment ref="A33" authorId="0" shapeId="0" xr:uid="{00000000-0006-0000-0500-000007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including "biofuels" and "waste" and "tide"</t>
        </r>
      </text>
    </comment>
    <comment ref="P33" authorId="0" shapeId="0" xr:uid="{00000000-0006-0000-0500-000008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including "biofuels" and "waste" and "tide"</t>
        </r>
      </text>
    </comment>
    <comment ref="A36" authorId="0" shapeId="0" xr:uid="{00000000-0006-0000-0500-000009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Assume that the electricity generated from gas are all from natural gas peaker.</t>
        </r>
      </text>
    </comment>
    <comment ref="P36" authorId="0" shapeId="0" xr:uid="{00000000-0006-0000-0500-00000A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Assume that the electricity generated from gas are all from natural gas peaker.</t>
        </r>
      </text>
    </comment>
  </commentList>
</comments>
</file>

<file path=xl/sharedStrings.xml><?xml version="1.0" encoding="utf-8"?>
<sst xmlns="http://schemas.openxmlformats.org/spreadsheetml/2006/main" count="201" uniqueCount="140">
  <si>
    <t>EIaE BAU Imported Electricity</t>
  </si>
  <si>
    <t>EIaE BAU Exported Electricity</t>
  </si>
  <si>
    <t>Source:</t>
  </si>
  <si>
    <t>Electricity production, imports, exports and consumption(Sheet: HK History Data)</t>
    <phoneticPr fontId="6" type="noConversion"/>
  </si>
  <si>
    <t>HK Census and Statistics Department(C&amp;SD)</t>
  </si>
  <si>
    <t xml:space="preserve">Hong Kong Energy Statistics Annual Report (2023 Edition) </t>
  </si>
  <si>
    <t>http://www.censtatd.gov.hk/en/wbr.html?ecode=B22000022022AN22&amp;scode=90</t>
  </si>
  <si>
    <t>Table 1.1</t>
  </si>
  <si>
    <t>China Electricity Generation (Sheet:China Generation)</t>
    <phoneticPr fontId="6" type="noConversion"/>
  </si>
  <si>
    <t>IEA Statistics</t>
    <phoneticPr fontId="6" type="noConversion"/>
  </si>
  <si>
    <t>Book: China Energy &amp; Electricity Outlook 2017 (in Chinese)</t>
    <phoneticPr fontId="6" type="noConversion"/>
  </si>
  <si>
    <t>Retrieved 2019/03</t>
    <phoneticPr fontId="6" type="noConversion"/>
  </si>
  <si>
    <t>Statistics data browser-Electricity-China,People's Republic of</t>
    <phoneticPr fontId="6" type="noConversion"/>
  </si>
  <si>
    <t>Publisher: China Electric Power Press, Beijing, China</t>
    <phoneticPr fontId="6" type="noConversion"/>
  </si>
  <si>
    <t>https://www.iea.org//statistics/?country=CHINA&amp;year=2016&amp;category=Electricity&amp;indicator=ElecGenByFuel&amp;mode=chart&amp;dataTable=ELECTRICITYANDHEAT</t>
    <phoneticPr fontId="6" type="noConversion"/>
  </si>
  <si>
    <t>Page 35</t>
    <phoneticPr fontId="6" type="noConversion"/>
  </si>
  <si>
    <t>China Electricity Installed Capacity (Sheet:China Capacity)</t>
    <phoneticPr fontId="6" type="noConversion"/>
  </si>
  <si>
    <t>Journal Article: China's Electricity Outlook toward 2050 (in Chinese)</t>
    <phoneticPr fontId="6" type="noConversion"/>
  </si>
  <si>
    <t>Energy of China. 2018. Volume:40, Issue:3.</t>
    <phoneticPr fontId="6" type="noConversion"/>
  </si>
  <si>
    <t>Page 7</t>
    <phoneticPr fontId="6" type="noConversion"/>
  </si>
  <si>
    <t>Unit Conversion (from TJ to GWh)</t>
    <phoneticPr fontId="6" type="noConversion"/>
  </si>
  <si>
    <t>Source: IEA, Unit Converter. http://www.iea.org/statistics/resources/unitconverter/</t>
    <phoneticPr fontId="15" type="noConversion"/>
  </si>
  <si>
    <t>Notes:</t>
    <phoneticPr fontId="6" type="noConversion"/>
  </si>
  <si>
    <t>1.We need to know the mix of imported electricity types if we will be including</t>
    <phoneticPr fontId="6" type="noConversion"/>
  </si>
  <si>
    <t>pollutant emissions associated with imported electricity into the totals, which</t>
  </si>
  <si>
    <t>is managed by a control lever.  If these emissions will not be included in the</t>
  </si>
  <si>
    <t>emissions totals, the breakdown is unimportant, and you may assign all</t>
  </si>
  <si>
    <t>imported electricity emissions to any one electricity source, if you prefer. ——This is note in the US model</t>
    <phoneticPr fontId="6" type="noConversion"/>
  </si>
  <si>
    <t>2. Electricity exports are supplied by power plants in the modeled region and</t>
    <phoneticPr fontId="6" type="noConversion"/>
  </si>
  <si>
    <t>hence do not need their electricity source to be specified here.——Note in the US model</t>
    <phoneticPr fontId="6" type="noConversion"/>
  </si>
  <si>
    <t>3.Since HK's current electricity import comes overwhelmingly from China's Daya Bay Nuclear Power Plant,</t>
    <phoneticPr fontId="6" type="noConversion"/>
  </si>
  <si>
    <t>which has a contract with HK's CLP company until 2034(see more detail about Guangdong Province's nuclear fact in Sheet "Guangdong Fact"),</t>
    <phoneticPr fontId="6" type="noConversion"/>
  </si>
  <si>
    <t>We assume that HK's imported electricity will still be dominated by nuclear power from Guangdong until 2035 (nuclear as 100%),</t>
    <phoneticPr fontId="6" type="noConversion"/>
  </si>
  <si>
    <t xml:space="preserve"> and then other kinds of renewable energies (assign to wind power primarily; note that the assignment which won't make big difference in terms of pollutant emissions) will take a small but increasing part(30% in 2050, casually assumed by myself)</t>
    <phoneticPr fontId="6" type="noConversion"/>
  </si>
  <si>
    <t>4. We assume that HK's electricity is  only imported from and exported to mainland of China, considering its geographical location and conditions.</t>
    <phoneticPr fontId="6" type="noConversion"/>
  </si>
  <si>
    <t>Then:</t>
    <phoneticPr fontId="6" type="noConversion"/>
  </si>
  <si>
    <t>Produce+Import(from China)-Export(to China)=Consumption+System loss</t>
    <phoneticPr fontId="6" type="noConversion"/>
  </si>
  <si>
    <t>5.The unit of electricity quantity in Sheets"ElaE-BIE" and "ELaE-BEE" is: MWh</t>
    <phoneticPr fontId="6" type="noConversion"/>
  </si>
  <si>
    <t>All canadian natural gas was assigned to the "natural gas nonpeaker" plant type</t>
    <phoneticPr fontId="6" type="noConversion"/>
  </si>
  <si>
    <t>because the breakdown between NG peaker and NG nonpeaker for imported</t>
  </si>
  <si>
    <t>electricity is not important.</t>
  </si>
  <si>
    <t>Note by Roman:</t>
  </si>
  <si>
    <t>We might want to change all imports to 100% nuclear until 2050 for the BAU case, and add scenario options to increase percentage of renewables from China.</t>
  </si>
  <si>
    <t>To be discussed with HK project team</t>
  </si>
  <si>
    <t>Electricity production, imports, exports and consumption</t>
    <phoneticPr fontId="6" type="noConversion"/>
  </si>
  <si>
    <t>(Unit: TJ)</t>
    <phoneticPr fontId="6" type="noConversion"/>
  </si>
  <si>
    <t>Year</t>
    <phoneticPr fontId="6" type="noConversion"/>
  </si>
  <si>
    <t>Electricity generated at local plants</t>
    <phoneticPr fontId="6" type="noConversion"/>
  </si>
  <si>
    <t>Imports of electricity from the mainland of China</t>
    <phoneticPr fontId="6" type="noConversion"/>
  </si>
  <si>
    <t>System Loss</t>
    <phoneticPr fontId="6" type="noConversion"/>
  </si>
  <si>
    <t>Exports of electricity to the mainland of China</t>
    <phoneticPr fontId="6" type="noConversion"/>
  </si>
  <si>
    <t>Local electricity consumption, as measured at meter points</t>
    <phoneticPr fontId="6" type="noConversion"/>
  </si>
  <si>
    <t>System loss percentage</t>
    <phoneticPr fontId="6" type="noConversion"/>
  </si>
  <si>
    <t>1.   1 terajoule = 10^12 joules.</t>
    <phoneticPr fontId="6" type="noConversion"/>
  </si>
  <si>
    <t>2.   "System loss" includes energy lossess in electricity generation, transmission and distribution.</t>
    <phoneticPr fontId="6" type="noConversion"/>
  </si>
  <si>
    <t xml:space="preserve"> It also includes electricity consumed within the electricity companies, such as in their offices and staff residence.</t>
  </si>
  <si>
    <t>2007-2017:(Transposed from) History data</t>
    <phoneticPr fontId="6" type="noConversion"/>
  </si>
  <si>
    <t>2022 onward, Production, Import, export &amp; Consumption are obtained from Trending, System loss rate is fix at the average level of 2007-2017</t>
  </si>
  <si>
    <t>Import's ratio in consumption</t>
    <phoneticPr fontId="6" type="noConversion"/>
  </si>
  <si>
    <t>How to make projections for future Electricity Import&amp;Export:</t>
    <phoneticPr fontId="6" type="noConversion"/>
  </si>
  <si>
    <t>1. Observations</t>
    <phoneticPr fontId="6" type="noConversion"/>
  </si>
  <si>
    <t>Import</t>
    <phoneticPr fontId="6" type="noConversion"/>
  </si>
  <si>
    <t>Export</t>
    <phoneticPr fontId="6" type="noConversion"/>
  </si>
  <si>
    <t>1) Average growth rate in 2007-2017</t>
    <phoneticPr fontId="6" type="noConversion"/>
  </si>
  <si>
    <t>2) Facts: The HK's electricity imports have generally growing trend, while the exports decreasing.</t>
    <phoneticPr fontId="6" type="noConversion"/>
  </si>
  <si>
    <t>2.WWF's advocation</t>
    <phoneticPr fontId="6" type="noConversion"/>
  </si>
  <si>
    <t>WWF proposes the imported RE from China to make up ~55% in HK's 2050 electricity mix</t>
    <phoneticPr fontId="6" type="noConversion"/>
  </si>
  <si>
    <r>
      <t>While by extrapolating the 200-2017 trend of imported amount, we get 58872.2/127627</t>
    </r>
    <r>
      <rPr>
        <sz val="11"/>
        <color theme="1"/>
        <rFont val="宋体"/>
        <family val="3"/>
        <charset val="134"/>
      </rPr>
      <t>，≈</t>
    </r>
    <phoneticPr fontId="6" type="noConversion"/>
  </si>
  <si>
    <t>Since this percentage is in accord with and also a little bit smaller than WWF's projection, I primarily adopt this Trending method for Import Projection.</t>
    <phoneticPr fontId="6" type="noConversion"/>
  </si>
  <si>
    <t>3. For export, I didn't find useful information, and therefore I just use the Trend function as well.</t>
    <phoneticPr fontId="6" type="noConversion"/>
  </si>
  <si>
    <t>Note:</t>
    <phoneticPr fontId="6" type="noConversion"/>
  </si>
  <si>
    <t>Export could be projected by :Produce+Import-Consumption-System Loss, but this method would results in large negative value.</t>
    <phoneticPr fontId="6" type="noConversion"/>
  </si>
  <si>
    <t>Perhaps the projections of Electricity Generation(by trending, it's decreasing) &amp; Consumption need adjustments.</t>
    <phoneticPr fontId="6" type="noConversion"/>
  </si>
  <si>
    <t>Note that the current export amouts projected by trending will also decrease to below zero, therefore, I use 0 to replace the negative numbers in the final datasheet" ElaE-BEE".</t>
    <phoneticPr fontId="6" type="noConversion"/>
  </si>
  <si>
    <t>Facts about HK's imported electricity</t>
    <phoneticPr fontId="6" type="noConversion"/>
  </si>
  <si>
    <t>CLP, One of the two major electricity-supply companies in HK, "owns 25% shares of the (GNPS) power station (which belongs to CGNPC)"</t>
    <phoneticPr fontId="6" type="noConversion"/>
  </si>
  <si>
    <t>The station produces some 14 billion kWh of electricity per year, of which a portion is currently imported by CLP into its system in Hong Kong. In 2009, the supply contract was extended until 2034.</t>
    <phoneticPr fontId="6" type="noConversion"/>
  </si>
  <si>
    <t>From CLP website: https://www.clp.com.hk/en/about-clp/power-generation/infrastructure-and-fuel-mix/guangdong-daya-bay-nuclear-power-station</t>
    <phoneticPr fontId="6" type="noConversion"/>
  </si>
  <si>
    <r>
      <t>.About 1/4 HK's electricity consumption is supplied by GNPS(</t>
    </r>
    <r>
      <rPr>
        <sz val="11"/>
        <color theme="1"/>
        <rFont val="宋体"/>
        <family val="2"/>
      </rPr>
      <t>大亚湾核电基地供应香港电量约占香港用电量的</t>
    </r>
    <r>
      <rPr>
        <sz val="11"/>
        <color theme="1"/>
        <rFont val="Arial"/>
        <family val="2"/>
      </rPr>
      <t>1/4)</t>
    </r>
    <phoneticPr fontId="6" type="noConversion"/>
  </si>
  <si>
    <t>From People's Daily (in Chinese):http://sz.people.com.cn/n/2014/0506/c202846-21149595.html</t>
    <phoneticPr fontId="6" type="noConversion"/>
  </si>
  <si>
    <r>
      <t>At the same time, HK's ratio of (imported electricity/total electricity consumption) is also about 1/4-The acute value was 25.3% in 2007</t>
    </r>
    <r>
      <rPr>
        <sz val="11"/>
        <color theme="1"/>
        <rFont val="宋体"/>
        <family val="2"/>
      </rPr>
      <t>，</t>
    </r>
    <r>
      <rPr>
        <sz val="11"/>
        <color theme="1"/>
        <rFont val="Arial"/>
        <family val="2"/>
      </rPr>
      <t>and is 28.7% in 2017.</t>
    </r>
    <phoneticPr fontId="6" type="noConversion"/>
  </si>
  <si>
    <t>Calculations are made in sheet"HK I&amp;E Projection"</t>
    <phoneticPr fontId="6" type="noConversion"/>
  </si>
  <si>
    <t>From 2. and 3., it's easy to infer that HK's imported electricity is dominated by nuclear power from Guangdong.</t>
    <phoneticPr fontId="6" type="noConversion"/>
  </si>
  <si>
    <t>Also, the LNPS Phase II, which also belongs to CGNPC, has put 2 units into commercial operation in 2010 and 2011 respectively.</t>
    <phoneticPr fontId="6" type="noConversion"/>
  </si>
  <si>
    <t>From CGNPC website: http://en.dnmc.com.cn/dnmc/index.shtml</t>
    <phoneticPr fontId="6" type="noConversion"/>
  </si>
  <si>
    <t xml:space="preserve">Guangdong also has other nuclear plants in build. </t>
    <phoneticPr fontId="6" type="noConversion"/>
  </si>
  <si>
    <t>From Research Institute of Energy in Xiamen University: http://realtime.xmuenergy.com/nuclearlistbycity.aspx?cityid=%E5%B9%BF%E4%B8%9C%E7%9C%81</t>
    <phoneticPr fontId="6" type="noConversion"/>
  </si>
  <si>
    <t>So, perhaps HK will cooperate with Guangdong further, after the current contract held by CLP expires.</t>
    <phoneticPr fontId="6" type="noConversion"/>
  </si>
  <si>
    <t>Abbr.</t>
    <phoneticPr fontId="6" type="noConversion"/>
  </si>
  <si>
    <t>CGNPC</t>
    <phoneticPr fontId="6" type="noConversion"/>
  </si>
  <si>
    <t>China Guangdong Nuclear Power Holding Corporation</t>
  </si>
  <si>
    <t>LNPS Phase II</t>
  </si>
  <si>
    <t>Ling Ao Nuclear Power Station Phase II</t>
  </si>
  <si>
    <t>GNPS</t>
    <phoneticPr fontId="6" type="noConversion"/>
  </si>
  <si>
    <t>Daya Bay Nuclear Power Station</t>
    <phoneticPr fontId="6" type="noConversion"/>
  </si>
  <si>
    <t>Fuel Type</t>
    <phoneticPr fontId="6" type="noConversion"/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</si>
  <si>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</si>
  <si>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</si>
  <si>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</si>
  <si>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</si>
  <si>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</si>
  <si>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</si>
  <si>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</si>
  <si>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</si>
  <si>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</si>
  <si>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</si>
  <si>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</si>
  <si>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</si>
  <si>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</si>
  <si>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Transposed for TREND function</t>
    <phoneticPr fontId="6" type="noConversion"/>
  </si>
  <si>
    <t>Draft Area:</t>
    <phoneticPr fontId="6" type="noConversion"/>
  </si>
  <si>
    <t>1.From IEA: China's Electricity generation by fuel type, original data (in quantity)</t>
    <phoneticPr fontId="6" type="noConversion"/>
  </si>
  <si>
    <t>2.1 Electricity Mix Data, in quantity, from the book (scanning pages are shown below)</t>
    <phoneticPr fontId="6" type="noConversion"/>
  </si>
  <si>
    <t>unit:GWh</t>
    <phoneticPr fontId="6" type="noConversion"/>
  </si>
  <si>
    <t>unit:*10^12kWh</t>
    <phoneticPr fontId="6" type="noConversion"/>
  </si>
  <si>
    <t>SUM</t>
    <phoneticPr fontId="6" type="noConversion"/>
  </si>
  <si>
    <t>2. Scanning version of the page with the needed future-prediction data in the book: China Energy &amp; Electricity Outlook 2017 (in Chinese)</t>
    <phoneticPr fontId="6" type="noConversion"/>
  </si>
  <si>
    <t>Electricity Capacity (Quantity, *10^8kW)</t>
    <phoneticPr fontId="6" type="noConversion"/>
  </si>
  <si>
    <t>常规转型情景Baseline Transition Scenario</t>
    <phoneticPr fontId="6" type="noConversion"/>
  </si>
  <si>
    <t>电气化加速情景 Accelerated Electrification Scenario</t>
    <phoneticPr fontId="6" type="noConversion"/>
  </si>
  <si>
    <t>煤电Coal</t>
    <phoneticPr fontId="6" type="noConversion"/>
  </si>
  <si>
    <t>气电Gas</t>
    <phoneticPr fontId="6" type="noConversion"/>
  </si>
  <si>
    <t>核电Nuclear</t>
    <phoneticPr fontId="6" type="noConversion"/>
  </si>
  <si>
    <t>水电Hydropower</t>
    <phoneticPr fontId="6" type="noConversion"/>
  </si>
  <si>
    <t>陆上风电Onshore Wind</t>
    <phoneticPr fontId="6" type="noConversion"/>
  </si>
  <si>
    <t>光伏发电Solar PV</t>
    <phoneticPr fontId="6" type="noConversion"/>
  </si>
  <si>
    <t>光热发电Concentrating solar power</t>
    <phoneticPr fontId="6" type="noConversion"/>
  </si>
  <si>
    <t>海上风电Offshore Wind</t>
    <phoneticPr fontId="6" type="noConversion"/>
  </si>
  <si>
    <t>生物质及其他Biomass&amp;Others</t>
    <phoneticPr fontId="6" type="noConversion"/>
  </si>
  <si>
    <t>抽水蓄能Pumped-storage power</t>
    <phoneticPr fontId="6" type="noConversion"/>
  </si>
  <si>
    <t>合计</t>
    <phoneticPr fontId="6" type="noConversion"/>
  </si>
  <si>
    <t>From IEA Unit Convertor:</t>
    <phoneticPr fontId="6" type="noConversion"/>
  </si>
  <si>
    <t>1TJ=</t>
    <phoneticPr fontId="6" type="noConversion"/>
  </si>
  <si>
    <t>Mtoe</t>
    <phoneticPr fontId="6" type="noConversion"/>
  </si>
  <si>
    <t>GWh</t>
    <phoneticPr fontId="6" type="noConversion"/>
  </si>
  <si>
    <t>MWh</t>
  </si>
  <si>
    <t>MBtu</t>
    <phoneticPr fontId="6" type="noConversion"/>
  </si>
  <si>
    <t>Mtce</t>
    <phoneticPr fontId="6" type="noConversion"/>
  </si>
  <si>
    <t>Gcal</t>
    <phoneticPr fontId="6" type="noConversion"/>
  </si>
  <si>
    <t>Electricity Exports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</si>
</sst>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color theme="0" tint="-0.249977111117893"/>
      <name val="Arial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color rgb="FF000000"/>
      <name val="Arial"/>
      <family val="2"/>
    </font>
    <font>
      <sz val="11"/>
      <color theme="3" tint="0.39997558519241921"/>
      <name val="Arial"/>
      <family val="2"/>
    </font>
    <font>
      <b/>
      <sz val="7"/>
      <color rgb="FF000000"/>
      <name val="Arial"/>
      <family val="2"/>
    </font>
    <font>
      <sz val="11"/>
      <color theme="1"/>
      <name val="宋体"/>
      <family val="2"/>
    </font>
    <font>
      <sz val="11"/>
      <color rgb="FF000000"/>
      <name val="Consolas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Protection="0">
      <alignment wrapText="1"/>
    </xf>
    <xf numFmtId="0" fontId="3" fillId="0" borderId="0" applyNumberFormat="0" applyProtection="0">
      <alignment horizontal="left"/>
    </xf>
    <xf numFmtId="0" fontId="2" fillId="0" borderId="2" applyNumberFormat="0" applyProtection="0">
      <alignment wrapText="1"/>
    </xf>
    <xf numFmtId="0" fontId="1" fillId="0" borderId="3" applyNumberFormat="0" applyFont="0" applyProtection="0">
      <alignment wrapText="1"/>
    </xf>
    <xf numFmtId="0" fontId="1" fillId="0" borderId="4" applyNumberFormat="0" applyProtection="0">
      <alignment wrapText="1"/>
    </xf>
    <xf numFmtId="0" fontId="1" fillId="0" borderId="0"/>
    <xf numFmtId="0" fontId="4" fillId="0" borderId="0" applyBorder="0"/>
    <xf numFmtId="0" fontId="5" fillId="0" borderId="0" applyNumberFormat="0" applyFill="0" applyBorder="0" applyAlignment="0" applyProtection="0"/>
    <xf numFmtId="9" fontId="9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7" fillId="2" borderId="0" xfId="0" applyFont="1" applyFill="1"/>
    <xf numFmtId="0" fontId="8" fillId="0" borderId="0" xfId="0" applyFont="1" applyAlignment="1">
      <alignment horizontal="left"/>
    </xf>
    <xf numFmtId="0" fontId="10" fillId="0" borderId="0" xfId="9" applyFont="1"/>
    <xf numFmtId="0" fontId="11" fillId="0" borderId="0" xfId="9" applyFont="1"/>
    <xf numFmtId="0" fontId="11" fillId="0" borderId="0" xfId="0" applyFont="1"/>
    <xf numFmtId="0" fontId="12" fillId="0" borderId="0" xfId="0" applyFont="1"/>
    <xf numFmtId="164" fontId="8" fillId="0" borderId="0" xfId="10" applyNumberFormat="1" applyFont="1" applyFill="1" applyAlignment="1">
      <alignment horizontal="left"/>
    </xf>
    <xf numFmtId="164" fontId="8" fillId="0" borderId="0" xfId="10" applyNumberFormat="1" applyFont="1" applyAlignment="1"/>
    <xf numFmtId="0" fontId="7" fillId="0" borderId="0" xfId="0" applyFont="1" applyAlignment="1">
      <alignment horizontal="left"/>
    </xf>
    <xf numFmtId="164" fontId="8" fillId="0" borderId="0" xfId="10" applyNumberFormat="1" applyFont="1" applyFill="1" applyAlignment="1"/>
    <xf numFmtId="0" fontId="8" fillId="3" borderId="0" xfId="0" applyFont="1" applyFill="1"/>
    <xf numFmtId="164" fontId="8" fillId="0" borderId="0" xfId="10" applyNumberFormat="1" applyFont="1" applyAlignment="1">
      <alignment horizontal="center"/>
    </xf>
    <xf numFmtId="0" fontId="8" fillId="4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9" fontId="8" fillId="0" borderId="0" xfId="10" applyFont="1" applyAlignment="1"/>
    <xf numFmtId="0" fontId="16" fillId="0" borderId="0" xfId="0" applyFont="1"/>
    <xf numFmtId="0" fontId="8" fillId="4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8" fillId="6" borderId="0" xfId="10" applyNumberFormat="1" applyFont="1" applyFill="1" applyAlignment="1">
      <alignment horizontal="left"/>
    </xf>
    <xf numFmtId="164" fontId="8" fillId="6" borderId="0" xfId="10" applyNumberFormat="1" applyFont="1" applyFill="1" applyAlignment="1"/>
    <xf numFmtId="0" fontId="0" fillId="0" borderId="0" xfId="0" applyAlignment="1">
      <alignment horizontal="center"/>
    </xf>
    <xf numFmtId="0" fontId="5" fillId="0" borderId="0" xfId="9"/>
    <xf numFmtId="164" fontId="22" fillId="0" borderId="0" xfId="0" applyNumberFormat="1" applyFont="1" applyAlignment="1">
      <alignment horizontal="center" vertical="center"/>
    </xf>
  </cellXfs>
  <cellStyles count="11">
    <cellStyle name="Body: normal cell" xfId="5" xr:uid="{00000000-0005-0000-0000-000000000000}"/>
    <cellStyle name="Font: Calibri, 9pt regular" xfId="1" xr:uid="{00000000-0005-0000-0000-000001000000}"/>
    <cellStyle name="Footnotes: top row" xfId="6" xr:uid="{00000000-0005-0000-0000-000002000000}"/>
    <cellStyle name="Header: bottom row" xfId="2" xr:uid="{00000000-0005-0000-0000-000003000000}"/>
    <cellStyle name="Hyperlink" xfId="9" builtinId="8"/>
    <cellStyle name="Normal" xfId="0" builtinId="0"/>
    <cellStyle name="Normal 2" xfId="7" xr:uid="{00000000-0005-0000-0000-000004000000}"/>
    <cellStyle name="Normal 2 2" xfId="8" xr:uid="{00000000-0005-0000-0000-000005000000}"/>
    <cellStyle name="Parent row" xfId="4" xr:uid="{00000000-0005-0000-0000-000006000000}"/>
    <cellStyle name="Per cent" xfId="10" builtinId="5"/>
    <cellStyle name="Table title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HK: History(solid)</a:t>
            </a:r>
            <a:r>
              <a:rPr lang="en-US" altLang="zh-CN" baseline="0"/>
              <a:t> and Projected(dotted) Elec Data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'HK I&amp;E Projection'!$B$3</c:f>
              <c:strCache>
                <c:ptCount val="1"/>
                <c:pt idx="0">
                  <c:v>Electricity generated at local plants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402D-443C-AA73-CA79FC2CD8A4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402D-443C-AA73-CA79FC2CD8A4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402D-443C-AA73-CA79FC2CD8A4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402D-443C-AA73-CA79FC2CD8A4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402D-443C-AA73-CA79FC2CD8A4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402D-443C-AA73-CA79FC2CD8A4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402D-443C-AA73-CA79FC2CD8A4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402D-443C-AA73-CA79FC2CD8A4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402D-443C-AA73-CA79FC2CD8A4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402D-443C-AA73-CA79FC2CD8A4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402D-443C-AA73-CA79FC2CD8A4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402D-443C-AA73-CA79FC2CD8A4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402D-443C-AA73-CA79FC2CD8A4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402D-443C-AA73-CA79FC2CD8A4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402D-443C-AA73-CA79FC2CD8A4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402D-443C-AA73-CA79FC2CD8A4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402D-443C-AA73-CA79FC2CD8A4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402D-443C-AA73-CA79FC2CD8A4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402D-443C-AA73-CA79FC2CD8A4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402D-443C-AA73-CA79FC2CD8A4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402D-443C-AA73-CA79FC2CD8A4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402D-443C-AA73-CA79FC2CD8A4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402D-443C-AA73-CA79FC2CD8A4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402D-443C-AA73-CA79FC2CD8A4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402D-443C-AA73-CA79FC2CD8A4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402D-443C-AA73-CA79FC2CD8A4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402D-443C-AA73-CA79FC2CD8A4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402D-443C-AA73-CA79FC2CD8A4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402D-443C-AA73-CA79FC2CD8A4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402D-443C-AA73-CA79FC2CD8A4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402D-443C-AA73-CA79FC2CD8A4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402D-443C-AA73-CA79FC2CD8A4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402D-443C-AA73-CA79FC2CD8A4}"/>
              </c:ext>
            </c:extLst>
          </c:dPt>
          <c:cat>
            <c:numRef>
              <c:f>'HK I&amp;E Projection'!$C$2:$AT$2</c:f>
              <c:numCache>
                <c:formatCode>General</c:formatCode>
                <c:ptCount val="4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  <c:pt idx="26">
                  <c:v>2033</c:v>
                </c:pt>
                <c:pt idx="27">
                  <c:v>2034</c:v>
                </c:pt>
                <c:pt idx="28">
                  <c:v>2035</c:v>
                </c:pt>
                <c:pt idx="29">
                  <c:v>2036</c:v>
                </c:pt>
                <c:pt idx="30">
                  <c:v>2037</c:v>
                </c:pt>
                <c:pt idx="31">
                  <c:v>2038</c:v>
                </c:pt>
                <c:pt idx="32">
                  <c:v>2039</c:v>
                </c:pt>
                <c:pt idx="33">
                  <c:v>2040</c:v>
                </c:pt>
                <c:pt idx="34">
                  <c:v>2041</c:v>
                </c:pt>
                <c:pt idx="35">
                  <c:v>2042</c:v>
                </c:pt>
                <c:pt idx="36">
                  <c:v>2043</c:v>
                </c:pt>
                <c:pt idx="37">
                  <c:v>2044</c:v>
                </c:pt>
                <c:pt idx="38">
                  <c:v>2045</c:v>
                </c:pt>
                <c:pt idx="39">
                  <c:v>2046</c:v>
                </c:pt>
                <c:pt idx="40">
                  <c:v>2047</c:v>
                </c:pt>
                <c:pt idx="41">
                  <c:v>2048</c:v>
                </c:pt>
                <c:pt idx="42">
                  <c:v>2049</c:v>
                </c:pt>
                <c:pt idx="43">
                  <c:v>2050</c:v>
                </c:pt>
              </c:numCache>
            </c:numRef>
          </c:cat>
          <c:val>
            <c:numRef>
              <c:f>'HK I&amp;E Projection'!$C$3:$AT$3</c:f>
              <c:numCache>
                <c:formatCode>General</c:formatCode>
                <c:ptCount val="44"/>
                <c:pt idx="0">
                  <c:v>140212</c:v>
                </c:pt>
                <c:pt idx="1">
                  <c:v>136765</c:v>
                </c:pt>
                <c:pt idx="2">
                  <c:v>139420</c:v>
                </c:pt>
                <c:pt idx="3">
                  <c:v>137850</c:v>
                </c:pt>
                <c:pt idx="4">
                  <c:v>140495</c:v>
                </c:pt>
                <c:pt idx="5">
                  <c:v>139506</c:v>
                </c:pt>
                <c:pt idx="6">
                  <c:v>140628</c:v>
                </c:pt>
                <c:pt idx="7">
                  <c:v>143291</c:v>
                </c:pt>
                <c:pt idx="8">
                  <c:v>136525</c:v>
                </c:pt>
                <c:pt idx="9">
                  <c:v>137356</c:v>
                </c:pt>
                <c:pt idx="10">
                  <c:v>132902</c:v>
                </c:pt>
                <c:pt idx="11">
                  <c:v>131254</c:v>
                </c:pt>
                <c:pt idx="12">
                  <c:v>132462</c:v>
                </c:pt>
                <c:pt idx="13">
                  <c:v>126307</c:v>
                </c:pt>
                <c:pt idx="14">
                  <c:v>133104</c:v>
                </c:pt>
                <c:pt idx="15">
                  <c:v>129928</c:v>
                </c:pt>
                <c:pt idx="16">
                  <c:v>135446.21818181814</c:v>
                </c:pt>
                <c:pt idx="17">
                  <c:v>135156.61818181816</c:v>
                </c:pt>
                <c:pt idx="18">
                  <c:v>134867.01818181819</c:v>
                </c:pt>
                <c:pt idx="19">
                  <c:v>134577.4181818181</c:v>
                </c:pt>
                <c:pt idx="20">
                  <c:v>134287.81818181812</c:v>
                </c:pt>
                <c:pt idx="21">
                  <c:v>133998.21818181814</c:v>
                </c:pt>
                <c:pt idx="22">
                  <c:v>133708.61818181816</c:v>
                </c:pt>
                <c:pt idx="23">
                  <c:v>133419.01818181819</c:v>
                </c:pt>
                <c:pt idx="24">
                  <c:v>133129.4181818181</c:v>
                </c:pt>
                <c:pt idx="25">
                  <c:v>132839.81818181812</c:v>
                </c:pt>
                <c:pt idx="26">
                  <c:v>132550.21818181814</c:v>
                </c:pt>
                <c:pt idx="27">
                  <c:v>132260.61818181816</c:v>
                </c:pt>
                <c:pt idx="28">
                  <c:v>131971.01818181819</c:v>
                </c:pt>
                <c:pt idx="29">
                  <c:v>131681.4181818181</c:v>
                </c:pt>
                <c:pt idx="30">
                  <c:v>131391.81818181812</c:v>
                </c:pt>
                <c:pt idx="31">
                  <c:v>131102.21818181814</c:v>
                </c:pt>
                <c:pt idx="32">
                  <c:v>130812.61818181816</c:v>
                </c:pt>
                <c:pt idx="33">
                  <c:v>130523.01818181819</c:v>
                </c:pt>
                <c:pt idx="34">
                  <c:v>130233.4181818181</c:v>
                </c:pt>
                <c:pt idx="35">
                  <c:v>129943.81818181812</c:v>
                </c:pt>
                <c:pt idx="36">
                  <c:v>129654.21818181814</c:v>
                </c:pt>
                <c:pt idx="37">
                  <c:v>129364.61818181816</c:v>
                </c:pt>
                <c:pt idx="38">
                  <c:v>129075.01818181819</c:v>
                </c:pt>
                <c:pt idx="39">
                  <c:v>128785.4181818181</c:v>
                </c:pt>
                <c:pt idx="40">
                  <c:v>128495.81818181812</c:v>
                </c:pt>
                <c:pt idx="41">
                  <c:v>128206.21818181814</c:v>
                </c:pt>
                <c:pt idx="42">
                  <c:v>127916.61818181816</c:v>
                </c:pt>
                <c:pt idx="43">
                  <c:v>127627.01818181819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26-4660-AC71-26FDEBCF0F9A}"/>
            </c:ext>
          </c:extLst>
        </c:ser>
        <c:ser>
          <c:idx val="2"/>
          <c:order val="1"/>
          <c:tx>
            <c:strRef>
              <c:f>'HK I&amp;E Projection'!$B$4</c:f>
              <c:strCache>
                <c:ptCount val="1"/>
                <c:pt idx="0">
                  <c:v>Imports of electricity from the mainland of China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D-402D-443C-AA73-CA79FC2CD8A4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E-402D-443C-AA73-CA79FC2CD8A4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F-402D-443C-AA73-CA79FC2CD8A4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0-402D-443C-AA73-CA79FC2CD8A4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1-402D-443C-AA73-CA79FC2CD8A4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2-402D-443C-AA73-CA79FC2CD8A4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3-402D-443C-AA73-CA79FC2CD8A4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4-402D-443C-AA73-CA79FC2CD8A4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5-402D-443C-AA73-CA79FC2CD8A4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6-402D-443C-AA73-CA79FC2CD8A4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7-402D-443C-AA73-CA79FC2CD8A4}"/>
              </c:ext>
            </c:extLst>
          </c:dPt>
          <c:cat>
            <c:numRef>
              <c:f>'HK I&amp;E Projection'!$C$2:$AT$2</c:f>
              <c:numCache>
                <c:formatCode>General</c:formatCode>
                <c:ptCount val="4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  <c:pt idx="26">
                  <c:v>2033</c:v>
                </c:pt>
                <c:pt idx="27">
                  <c:v>2034</c:v>
                </c:pt>
                <c:pt idx="28">
                  <c:v>2035</c:v>
                </c:pt>
                <c:pt idx="29">
                  <c:v>2036</c:v>
                </c:pt>
                <c:pt idx="30">
                  <c:v>2037</c:v>
                </c:pt>
                <c:pt idx="31">
                  <c:v>2038</c:v>
                </c:pt>
                <c:pt idx="32">
                  <c:v>2039</c:v>
                </c:pt>
                <c:pt idx="33">
                  <c:v>2040</c:v>
                </c:pt>
                <c:pt idx="34">
                  <c:v>2041</c:v>
                </c:pt>
                <c:pt idx="35">
                  <c:v>2042</c:v>
                </c:pt>
                <c:pt idx="36">
                  <c:v>2043</c:v>
                </c:pt>
                <c:pt idx="37">
                  <c:v>2044</c:v>
                </c:pt>
                <c:pt idx="38">
                  <c:v>2045</c:v>
                </c:pt>
                <c:pt idx="39">
                  <c:v>2046</c:v>
                </c:pt>
                <c:pt idx="40">
                  <c:v>2047</c:v>
                </c:pt>
                <c:pt idx="41">
                  <c:v>2048</c:v>
                </c:pt>
                <c:pt idx="42">
                  <c:v>2049</c:v>
                </c:pt>
                <c:pt idx="43">
                  <c:v>2050</c:v>
                </c:pt>
              </c:numCache>
            </c:numRef>
          </c:cat>
          <c:val>
            <c:numRef>
              <c:f>'HK I&amp;E Projection'!$C$4:$AT$4</c:f>
              <c:numCache>
                <c:formatCode>General</c:formatCode>
                <c:ptCount val="44"/>
                <c:pt idx="0">
                  <c:v>37233</c:v>
                </c:pt>
                <c:pt idx="1">
                  <c:v>38883</c:v>
                </c:pt>
                <c:pt idx="2">
                  <c:v>39468</c:v>
                </c:pt>
                <c:pt idx="3">
                  <c:v>37838</c:v>
                </c:pt>
                <c:pt idx="4">
                  <c:v>38646</c:v>
                </c:pt>
                <c:pt idx="5">
                  <c:v>40160</c:v>
                </c:pt>
                <c:pt idx="6">
                  <c:v>35889</c:v>
                </c:pt>
                <c:pt idx="7">
                  <c:v>37038</c:v>
                </c:pt>
                <c:pt idx="8">
                  <c:v>42272</c:v>
                </c:pt>
                <c:pt idx="9">
                  <c:v>41835</c:v>
                </c:pt>
                <c:pt idx="10">
                  <c:v>45274</c:v>
                </c:pt>
                <c:pt idx="11">
                  <c:v>45357</c:v>
                </c:pt>
                <c:pt idx="12">
                  <c:v>44571</c:v>
                </c:pt>
                <c:pt idx="13">
                  <c:v>45716</c:v>
                </c:pt>
                <c:pt idx="14">
                  <c:v>45197</c:v>
                </c:pt>
                <c:pt idx="15">
                  <c:v>44452</c:v>
                </c:pt>
                <c:pt idx="16">
                  <c:v>45110.072727272636</c:v>
                </c:pt>
                <c:pt idx="17">
                  <c:v>45619.781818181742</c:v>
                </c:pt>
                <c:pt idx="18">
                  <c:v>46129.490909090848</c:v>
                </c:pt>
                <c:pt idx="19">
                  <c:v>46639.199999999953</c:v>
                </c:pt>
                <c:pt idx="20">
                  <c:v>47148.909090909059</c:v>
                </c:pt>
                <c:pt idx="21">
                  <c:v>47658.618181818165</c:v>
                </c:pt>
                <c:pt idx="22">
                  <c:v>48168.327272727154</c:v>
                </c:pt>
                <c:pt idx="23">
                  <c:v>48678.03636363626</c:v>
                </c:pt>
                <c:pt idx="24">
                  <c:v>49187.745454545366</c:v>
                </c:pt>
                <c:pt idx="25">
                  <c:v>49697.454545454471</c:v>
                </c:pt>
                <c:pt idx="26">
                  <c:v>50207.163636363577</c:v>
                </c:pt>
                <c:pt idx="27">
                  <c:v>50716.872727272683</c:v>
                </c:pt>
                <c:pt idx="28">
                  <c:v>51226.581818181789</c:v>
                </c:pt>
                <c:pt idx="29">
                  <c:v>51736.290909090894</c:v>
                </c:pt>
                <c:pt idx="30">
                  <c:v>52245.999999999884</c:v>
                </c:pt>
                <c:pt idx="31">
                  <c:v>52755.709090908989</c:v>
                </c:pt>
                <c:pt idx="32">
                  <c:v>53265.418181818095</c:v>
                </c:pt>
                <c:pt idx="33">
                  <c:v>53775.127272727201</c:v>
                </c:pt>
                <c:pt idx="34">
                  <c:v>54284.836363636306</c:v>
                </c:pt>
                <c:pt idx="35">
                  <c:v>54794.545454545412</c:v>
                </c:pt>
                <c:pt idx="36">
                  <c:v>55304.254545454518</c:v>
                </c:pt>
                <c:pt idx="37">
                  <c:v>55813.963636363624</c:v>
                </c:pt>
                <c:pt idx="38">
                  <c:v>56323.672727272613</c:v>
                </c:pt>
                <c:pt idx="39">
                  <c:v>56833.381818181719</c:v>
                </c:pt>
                <c:pt idx="40">
                  <c:v>57343.090909090824</c:v>
                </c:pt>
                <c:pt idx="41">
                  <c:v>57852.79999999993</c:v>
                </c:pt>
                <c:pt idx="42">
                  <c:v>58362.509090909036</c:v>
                </c:pt>
                <c:pt idx="43">
                  <c:v>58872.218181818142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26-4660-AC71-26FDEBCF0F9A}"/>
            </c:ext>
          </c:extLst>
        </c:ser>
        <c:ser>
          <c:idx val="3"/>
          <c:order val="2"/>
          <c:tx>
            <c:strRef>
              <c:f>'HK I&amp;E Projection'!$B$5</c:f>
              <c:strCache>
                <c:ptCount val="1"/>
                <c:pt idx="0">
                  <c:v>System 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8-402D-443C-AA73-CA79FC2CD8A4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9-402D-443C-AA73-CA79FC2CD8A4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A-402D-443C-AA73-CA79FC2CD8A4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B-402D-443C-AA73-CA79FC2CD8A4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C-402D-443C-AA73-CA79FC2CD8A4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D-402D-443C-AA73-CA79FC2CD8A4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E-402D-443C-AA73-CA79FC2CD8A4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F-402D-443C-AA73-CA79FC2CD8A4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0-402D-443C-AA73-CA79FC2CD8A4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1-402D-443C-AA73-CA79FC2CD8A4}"/>
              </c:ext>
            </c:extLst>
          </c:dPt>
          <c:cat>
            <c:numRef>
              <c:f>'HK I&amp;E Projection'!$C$2:$AT$2</c:f>
              <c:numCache>
                <c:formatCode>General</c:formatCode>
                <c:ptCount val="4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  <c:pt idx="26">
                  <c:v>2033</c:v>
                </c:pt>
                <c:pt idx="27">
                  <c:v>2034</c:v>
                </c:pt>
                <c:pt idx="28">
                  <c:v>2035</c:v>
                </c:pt>
                <c:pt idx="29">
                  <c:v>2036</c:v>
                </c:pt>
                <c:pt idx="30">
                  <c:v>2037</c:v>
                </c:pt>
                <c:pt idx="31">
                  <c:v>2038</c:v>
                </c:pt>
                <c:pt idx="32">
                  <c:v>2039</c:v>
                </c:pt>
                <c:pt idx="33">
                  <c:v>2040</c:v>
                </c:pt>
                <c:pt idx="34">
                  <c:v>2041</c:v>
                </c:pt>
                <c:pt idx="35">
                  <c:v>2042</c:v>
                </c:pt>
                <c:pt idx="36">
                  <c:v>2043</c:v>
                </c:pt>
                <c:pt idx="37">
                  <c:v>2044</c:v>
                </c:pt>
                <c:pt idx="38">
                  <c:v>2045</c:v>
                </c:pt>
                <c:pt idx="39">
                  <c:v>2046</c:v>
                </c:pt>
                <c:pt idx="40">
                  <c:v>2047</c:v>
                </c:pt>
                <c:pt idx="41">
                  <c:v>2048</c:v>
                </c:pt>
                <c:pt idx="42">
                  <c:v>2049</c:v>
                </c:pt>
                <c:pt idx="43">
                  <c:v>2050</c:v>
                </c:pt>
              </c:numCache>
            </c:numRef>
          </c:cat>
          <c:val>
            <c:numRef>
              <c:f>'HK I&amp;E Projection'!$C$5:$AT$5</c:f>
              <c:numCache>
                <c:formatCode>General</c:formatCode>
                <c:ptCount val="44"/>
                <c:pt idx="0">
                  <c:v>15847</c:v>
                </c:pt>
                <c:pt idx="1">
                  <c:v>15514</c:v>
                </c:pt>
                <c:pt idx="2">
                  <c:v>16089</c:v>
                </c:pt>
                <c:pt idx="3">
                  <c:v>15590</c:v>
                </c:pt>
                <c:pt idx="4">
                  <c:v>17064</c:v>
                </c:pt>
                <c:pt idx="5">
                  <c:v>18139</c:v>
                </c:pt>
                <c:pt idx="6">
                  <c:v>17376</c:v>
                </c:pt>
                <c:pt idx="7">
                  <c:v>17948</c:v>
                </c:pt>
                <c:pt idx="8">
                  <c:v>16441</c:v>
                </c:pt>
                <c:pt idx="9">
                  <c:v>16352</c:v>
                </c:pt>
                <c:pt idx="10">
                  <c:v>15744</c:v>
                </c:pt>
                <c:pt idx="11">
                  <c:v>15492</c:v>
                </c:pt>
                <c:pt idx="12">
                  <c:v>15742</c:v>
                </c:pt>
                <c:pt idx="13">
                  <c:v>13272</c:v>
                </c:pt>
                <c:pt idx="14">
                  <c:v>13724</c:v>
                </c:pt>
                <c:pt idx="15">
                  <c:v>13225</c:v>
                </c:pt>
                <c:pt idx="16">
                  <c:v>16776.27722066933</c:v>
                </c:pt>
                <c:pt idx="17">
                  <c:v>16796.728522085021</c:v>
                </c:pt>
                <c:pt idx="18">
                  <c:v>16817.179823500712</c:v>
                </c:pt>
                <c:pt idx="19">
                  <c:v>16837.631124916395</c:v>
                </c:pt>
                <c:pt idx="20">
                  <c:v>16858.082426332086</c:v>
                </c:pt>
                <c:pt idx="21">
                  <c:v>16878.533727747777</c:v>
                </c:pt>
                <c:pt idx="22">
                  <c:v>16898.985029163458</c:v>
                </c:pt>
                <c:pt idx="23">
                  <c:v>16919.436330579148</c:v>
                </c:pt>
                <c:pt idx="24">
                  <c:v>16939.887631994829</c:v>
                </c:pt>
                <c:pt idx="25">
                  <c:v>16960.33893341052</c:v>
                </c:pt>
                <c:pt idx="26">
                  <c:v>16980.790234826211</c:v>
                </c:pt>
                <c:pt idx="27">
                  <c:v>17001.241536241901</c:v>
                </c:pt>
                <c:pt idx="28">
                  <c:v>17021.692837657592</c:v>
                </c:pt>
                <c:pt idx="29">
                  <c:v>17042.144139073273</c:v>
                </c:pt>
                <c:pt idx="30">
                  <c:v>17062.595440488956</c:v>
                </c:pt>
                <c:pt idx="31">
                  <c:v>17083.046741904647</c:v>
                </c:pt>
                <c:pt idx="32">
                  <c:v>17103.498043320338</c:v>
                </c:pt>
                <c:pt idx="33">
                  <c:v>17123.949344736029</c:v>
                </c:pt>
                <c:pt idx="34">
                  <c:v>17144.400646151709</c:v>
                </c:pt>
                <c:pt idx="35">
                  <c:v>17164.8519475674</c:v>
                </c:pt>
                <c:pt idx="36">
                  <c:v>17185.303248983091</c:v>
                </c:pt>
                <c:pt idx="37">
                  <c:v>17205.754550398782</c:v>
                </c:pt>
                <c:pt idx="38">
                  <c:v>17226.205851814462</c:v>
                </c:pt>
                <c:pt idx="39">
                  <c:v>17246.657153230142</c:v>
                </c:pt>
                <c:pt idx="40">
                  <c:v>17267.108454645833</c:v>
                </c:pt>
                <c:pt idx="41">
                  <c:v>17287.559756061528</c:v>
                </c:pt>
                <c:pt idx="42">
                  <c:v>17308.011057477219</c:v>
                </c:pt>
                <c:pt idx="43">
                  <c:v>17328.46235889291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26-4660-AC71-26FDEBCF0F9A}"/>
            </c:ext>
          </c:extLst>
        </c:ser>
        <c:ser>
          <c:idx val="4"/>
          <c:order val="3"/>
          <c:tx>
            <c:strRef>
              <c:f>'HK I&amp;E Projection'!$B$6</c:f>
              <c:strCache>
                <c:ptCount val="1"/>
                <c:pt idx="0">
                  <c:v>Exports of electricity to the mainland of China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B-402D-443C-AA73-CA79FC2CD8A4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A-402D-443C-AA73-CA79FC2CD8A4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9-402D-443C-AA73-CA79FC2CD8A4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8-402D-443C-AA73-CA79FC2CD8A4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7-402D-443C-AA73-CA79FC2CD8A4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6-402D-443C-AA73-CA79FC2CD8A4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5-402D-443C-AA73-CA79FC2CD8A4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4-402D-443C-AA73-CA79FC2CD8A4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3-402D-443C-AA73-CA79FC2CD8A4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2-402D-443C-AA73-CA79FC2CD8A4}"/>
              </c:ext>
            </c:extLst>
          </c:dPt>
          <c:cat>
            <c:numRef>
              <c:f>'HK I&amp;E Projection'!$C$2:$AT$2</c:f>
              <c:numCache>
                <c:formatCode>General</c:formatCode>
                <c:ptCount val="4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  <c:pt idx="26">
                  <c:v>2033</c:v>
                </c:pt>
                <c:pt idx="27">
                  <c:v>2034</c:v>
                </c:pt>
                <c:pt idx="28">
                  <c:v>2035</c:v>
                </c:pt>
                <c:pt idx="29">
                  <c:v>2036</c:v>
                </c:pt>
                <c:pt idx="30">
                  <c:v>2037</c:v>
                </c:pt>
                <c:pt idx="31">
                  <c:v>2038</c:v>
                </c:pt>
                <c:pt idx="32">
                  <c:v>2039</c:v>
                </c:pt>
                <c:pt idx="33">
                  <c:v>2040</c:v>
                </c:pt>
                <c:pt idx="34">
                  <c:v>2041</c:v>
                </c:pt>
                <c:pt idx="35">
                  <c:v>2042</c:v>
                </c:pt>
                <c:pt idx="36">
                  <c:v>2043</c:v>
                </c:pt>
                <c:pt idx="37">
                  <c:v>2044</c:v>
                </c:pt>
                <c:pt idx="38">
                  <c:v>2045</c:v>
                </c:pt>
                <c:pt idx="39">
                  <c:v>2046</c:v>
                </c:pt>
                <c:pt idx="40">
                  <c:v>2047</c:v>
                </c:pt>
                <c:pt idx="41">
                  <c:v>2048</c:v>
                </c:pt>
                <c:pt idx="42">
                  <c:v>2049</c:v>
                </c:pt>
                <c:pt idx="43">
                  <c:v>2050</c:v>
                </c:pt>
              </c:numCache>
            </c:numRef>
          </c:cat>
          <c:val>
            <c:numRef>
              <c:f>'HK I&amp;E Projection'!$C$6:$AT$6</c:f>
              <c:numCache>
                <c:formatCode>General</c:formatCode>
                <c:ptCount val="44"/>
                <c:pt idx="0">
                  <c:v>14527</c:v>
                </c:pt>
                <c:pt idx="1">
                  <c:v>12789</c:v>
                </c:pt>
                <c:pt idx="2">
                  <c:v>13432</c:v>
                </c:pt>
                <c:pt idx="3">
                  <c:v>9392</c:v>
                </c:pt>
                <c:pt idx="4">
                  <c:v>10645</c:v>
                </c:pt>
                <c:pt idx="5">
                  <c:v>6617</c:v>
                </c:pt>
                <c:pt idx="6">
                  <c:v>5940</c:v>
                </c:pt>
                <c:pt idx="7">
                  <c:v>4414</c:v>
                </c:pt>
                <c:pt idx="8">
                  <c:v>4273</c:v>
                </c:pt>
                <c:pt idx="9">
                  <c:v>4338</c:v>
                </c:pt>
                <c:pt idx="10">
                  <c:v>4828</c:v>
                </c:pt>
                <c:pt idx="11">
                  <c:v>2002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26-4660-AC71-26FDEBCF0F9A}"/>
            </c:ext>
          </c:extLst>
        </c:ser>
        <c:ser>
          <c:idx val="5"/>
          <c:order val="4"/>
          <c:tx>
            <c:strRef>
              <c:f>'HK I&amp;E Projection'!$B$7</c:f>
              <c:strCache>
                <c:ptCount val="1"/>
                <c:pt idx="0">
                  <c:v>Local electricity consumption, as measured at meter points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402D-443C-AA73-CA79FC2CD8A4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402D-443C-AA73-CA79FC2CD8A4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402D-443C-AA73-CA79FC2CD8A4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402D-443C-AA73-CA79FC2CD8A4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402D-443C-AA73-CA79FC2CD8A4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402D-443C-AA73-CA79FC2CD8A4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402D-443C-AA73-CA79FC2CD8A4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402D-443C-AA73-CA79FC2CD8A4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402D-443C-AA73-CA79FC2CD8A4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402D-443C-AA73-CA79FC2CD8A4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402D-443C-AA73-CA79FC2CD8A4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402D-443C-AA73-CA79FC2CD8A4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402D-443C-AA73-CA79FC2CD8A4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402D-443C-AA73-CA79FC2CD8A4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402D-443C-AA73-CA79FC2CD8A4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9-402D-443C-AA73-CA79FC2CD8A4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402D-443C-AA73-CA79FC2CD8A4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B-402D-443C-AA73-CA79FC2CD8A4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D-402D-443C-AA73-CA79FC2CD8A4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402D-443C-AA73-CA79FC2CD8A4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402D-443C-AA73-CA79FC2CD8A4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F-402D-443C-AA73-CA79FC2CD8A4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402D-443C-AA73-CA79FC2CD8A4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1-402D-443C-AA73-CA79FC2CD8A4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2-402D-443C-AA73-CA79FC2CD8A4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402D-443C-AA73-CA79FC2CD8A4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4-402D-443C-AA73-CA79FC2CD8A4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5-402D-443C-AA73-CA79FC2CD8A4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6-402D-443C-AA73-CA79FC2CD8A4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7-402D-443C-AA73-CA79FC2CD8A4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8-402D-443C-AA73-CA79FC2CD8A4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9-402D-443C-AA73-CA79FC2CD8A4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A-402D-443C-AA73-CA79FC2CD8A4}"/>
              </c:ext>
            </c:extLst>
          </c:dPt>
          <c:cat>
            <c:numRef>
              <c:f>'HK I&amp;E Projection'!$C$2:$AT$2</c:f>
              <c:numCache>
                <c:formatCode>General</c:formatCode>
                <c:ptCount val="4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  <c:pt idx="26">
                  <c:v>2033</c:v>
                </c:pt>
                <c:pt idx="27">
                  <c:v>2034</c:v>
                </c:pt>
                <c:pt idx="28">
                  <c:v>2035</c:v>
                </c:pt>
                <c:pt idx="29">
                  <c:v>2036</c:v>
                </c:pt>
                <c:pt idx="30">
                  <c:v>2037</c:v>
                </c:pt>
                <c:pt idx="31">
                  <c:v>2038</c:v>
                </c:pt>
                <c:pt idx="32">
                  <c:v>2039</c:v>
                </c:pt>
                <c:pt idx="33">
                  <c:v>2040</c:v>
                </c:pt>
                <c:pt idx="34">
                  <c:v>2041</c:v>
                </c:pt>
                <c:pt idx="35">
                  <c:v>2042</c:v>
                </c:pt>
                <c:pt idx="36">
                  <c:v>2043</c:v>
                </c:pt>
                <c:pt idx="37">
                  <c:v>2044</c:v>
                </c:pt>
                <c:pt idx="38">
                  <c:v>2045</c:v>
                </c:pt>
                <c:pt idx="39">
                  <c:v>2046</c:v>
                </c:pt>
                <c:pt idx="40">
                  <c:v>2047</c:v>
                </c:pt>
                <c:pt idx="41">
                  <c:v>2048</c:v>
                </c:pt>
                <c:pt idx="42">
                  <c:v>2049</c:v>
                </c:pt>
                <c:pt idx="43">
                  <c:v>2050</c:v>
                </c:pt>
              </c:numCache>
            </c:numRef>
          </c:cat>
          <c:val>
            <c:numRef>
              <c:f>'HK I&amp;E Projection'!$C$7:$AT$7</c:f>
              <c:numCache>
                <c:formatCode>General</c:formatCode>
                <c:ptCount val="44"/>
                <c:pt idx="0">
                  <c:v>147072</c:v>
                </c:pt>
                <c:pt idx="1">
                  <c:v>147345</c:v>
                </c:pt>
                <c:pt idx="2">
                  <c:v>149366</c:v>
                </c:pt>
                <c:pt idx="3">
                  <c:v>150705</c:v>
                </c:pt>
                <c:pt idx="4">
                  <c:v>151432</c:v>
                </c:pt>
                <c:pt idx="5">
                  <c:v>154911</c:v>
                </c:pt>
                <c:pt idx="6">
                  <c:v>153201</c:v>
                </c:pt>
                <c:pt idx="7">
                  <c:v>157967</c:v>
                </c:pt>
                <c:pt idx="8">
                  <c:v>158083</c:v>
                </c:pt>
                <c:pt idx="9">
                  <c:v>158500</c:v>
                </c:pt>
                <c:pt idx="10">
                  <c:v>157604</c:v>
                </c:pt>
                <c:pt idx="11">
                  <c:v>159116</c:v>
                </c:pt>
                <c:pt idx="12">
                  <c:v>161291</c:v>
                </c:pt>
                <c:pt idx="13">
                  <c:v>158751</c:v>
                </c:pt>
                <c:pt idx="14">
                  <c:v>164578</c:v>
                </c:pt>
                <c:pt idx="15">
                  <c:v>161155</c:v>
                </c:pt>
                <c:pt idx="16">
                  <c:v>167262.03636363614</c:v>
                </c:pt>
                <c:pt idx="17">
                  <c:v>168532.2545454544</c:v>
                </c:pt>
                <c:pt idx="18">
                  <c:v>169802.47272727266</c:v>
                </c:pt>
                <c:pt idx="19">
                  <c:v>171072.69090909092</c:v>
                </c:pt>
                <c:pt idx="20">
                  <c:v>172342.90909090871</c:v>
                </c:pt>
                <c:pt idx="21">
                  <c:v>173613.12727272697</c:v>
                </c:pt>
                <c:pt idx="22">
                  <c:v>174883.34545454523</c:v>
                </c:pt>
                <c:pt idx="23">
                  <c:v>176153.56363636348</c:v>
                </c:pt>
                <c:pt idx="24">
                  <c:v>177423.78181818174</c:v>
                </c:pt>
                <c:pt idx="25">
                  <c:v>178694</c:v>
                </c:pt>
                <c:pt idx="26">
                  <c:v>179964.21818181779</c:v>
                </c:pt>
                <c:pt idx="27">
                  <c:v>181234.43636363605</c:v>
                </c:pt>
                <c:pt idx="28">
                  <c:v>182504.65454545431</c:v>
                </c:pt>
                <c:pt idx="29">
                  <c:v>183774.87272727257</c:v>
                </c:pt>
                <c:pt idx="30">
                  <c:v>185045.09090909082</c:v>
                </c:pt>
                <c:pt idx="31">
                  <c:v>186315.30909090908</c:v>
                </c:pt>
                <c:pt idx="32">
                  <c:v>187585.52727272687</c:v>
                </c:pt>
                <c:pt idx="33">
                  <c:v>188855.74545454513</c:v>
                </c:pt>
                <c:pt idx="34">
                  <c:v>190125.96363636339</c:v>
                </c:pt>
                <c:pt idx="35">
                  <c:v>191396.18181818165</c:v>
                </c:pt>
                <c:pt idx="36">
                  <c:v>192666.39999999991</c:v>
                </c:pt>
                <c:pt idx="37">
                  <c:v>193936.61818181816</c:v>
                </c:pt>
                <c:pt idx="38">
                  <c:v>195206.83636363596</c:v>
                </c:pt>
                <c:pt idx="39">
                  <c:v>196477.05454545422</c:v>
                </c:pt>
                <c:pt idx="40">
                  <c:v>197747.27272727247</c:v>
                </c:pt>
                <c:pt idx="41">
                  <c:v>199017.49090909073</c:v>
                </c:pt>
                <c:pt idx="42">
                  <c:v>200287.70909090899</c:v>
                </c:pt>
                <c:pt idx="43">
                  <c:v>201557.92727272725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D-443C-AA73-CA79FC2CD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022064"/>
        <c:axId val="481030384"/>
      </c:lineChart>
      <c:catAx>
        <c:axId val="48102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30384"/>
        <c:crosses val="autoZero"/>
        <c:auto val="1"/>
        <c:lblAlgn val="ctr"/>
        <c:lblOffset val="100"/>
        <c:noMultiLvlLbl val="0"/>
      </c:catAx>
      <c:valAx>
        <c:axId val="4810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2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4500812953642517E-2"/>
          <c:y val="0.80021769800105447"/>
          <c:w val="0.79658192489983171"/>
          <c:h val="0.18128800128477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HK: History(solid)</a:t>
            </a:r>
            <a:r>
              <a:rPr lang="en-US" altLang="zh-CN" baseline="0"/>
              <a:t> and Projected(dotted) Elec Data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'HK I&amp;E Projection'!$B$4</c:f>
              <c:strCache>
                <c:ptCount val="1"/>
                <c:pt idx="0">
                  <c:v>Imports of electricity from the mainland of China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887C-4761-A6F9-3A1A723A782B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887C-4761-A6F9-3A1A723A782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887C-4761-A6F9-3A1A723A782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887C-4761-A6F9-3A1A723A782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887C-4761-A6F9-3A1A723A782B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887C-4761-A6F9-3A1A723A782B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887C-4761-A6F9-3A1A723A782B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887C-4761-A6F9-3A1A723A782B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887C-4761-A6F9-3A1A723A782B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887C-4761-A6F9-3A1A723A782B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887C-4761-A6F9-3A1A723A782B}"/>
              </c:ext>
            </c:extLst>
          </c:dPt>
          <c:cat>
            <c:numRef>
              <c:f>'HK I&amp;E Projection'!$C$2:$AT$2</c:f>
              <c:numCache>
                <c:formatCode>General</c:formatCode>
                <c:ptCount val="4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  <c:pt idx="26">
                  <c:v>2033</c:v>
                </c:pt>
                <c:pt idx="27">
                  <c:v>2034</c:v>
                </c:pt>
                <c:pt idx="28">
                  <c:v>2035</c:v>
                </c:pt>
                <c:pt idx="29">
                  <c:v>2036</c:v>
                </c:pt>
                <c:pt idx="30">
                  <c:v>2037</c:v>
                </c:pt>
                <c:pt idx="31">
                  <c:v>2038</c:v>
                </c:pt>
                <c:pt idx="32">
                  <c:v>2039</c:v>
                </c:pt>
                <c:pt idx="33">
                  <c:v>2040</c:v>
                </c:pt>
                <c:pt idx="34">
                  <c:v>2041</c:v>
                </c:pt>
                <c:pt idx="35">
                  <c:v>2042</c:v>
                </c:pt>
                <c:pt idx="36">
                  <c:v>2043</c:v>
                </c:pt>
                <c:pt idx="37">
                  <c:v>2044</c:v>
                </c:pt>
                <c:pt idx="38">
                  <c:v>2045</c:v>
                </c:pt>
                <c:pt idx="39">
                  <c:v>2046</c:v>
                </c:pt>
                <c:pt idx="40">
                  <c:v>2047</c:v>
                </c:pt>
                <c:pt idx="41">
                  <c:v>2048</c:v>
                </c:pt>
                <c:pt idx="42">
                  <c:v>2049</c:v>
                </c:pt>
                <c:pt idx="43">
                  <c:v>2050</c:v>
                </c:pt>
              </c:numCache>
            </c:numRef>
          </c:cat>
          <c:val>
            <c:numRef>
              <c:f>'HK I&amp;E Projection'!$C$4:$AT$4</c:f>
              <c:numCache>
                <c:formatCode>General</c:formatCode>
                <c:ptCount val="44"/>
                <c:pt idx="0">
                  <c:v>37233</c:v>
                </c:pt>
                <c:pt idx="1">
                  <c:v>38883</c:v>
                </c:pt>
                <c:pt idx="2">
                  <c:v>39468</c:v>
                </c:pt>
                <c:pt idx="3">
                  <c:v>37838</c:v>
                </c:pt>
                <c:pt idx="4">
                  <c:v>38646</c:v>
                </c:pt>
                <c:pt idx="5">
                  <c:v>40160</c:v>
                </c:pt>
                <c:pt idx="6">
                  <c:v>35889</c:v>
                </c:pt>
                <c:pt idx="7">
                  <c:v>37038</c:v>
                </c:pt>
                <c:pt idx="8">
                  <c:v>42272</c:v>
                </c:pt>
                <c:pt idx="9">
                  <c:v>41835</c:v>
                </c:pt>
                <c:pt idx="10">
                  <c:v>45274</c:v>
                </c:pt>
                <c:pt idx="11">
                  <c:v>45357</c:v>
                </c:pt>
                <c:pt idx="12">
                  <c:v>44571</c:v>
                </c:pt>
                <c:pt idx="13">
                  <c:v>45716</c:v>
                </c:pt>
                <c:pt idx="14">
                  <c:v>45197</c:v>
                </c:pt>
                <c:pt idx="15">
                  <c:v>44452</c:v>
                </c:pt>
                <c:pt idx="16">
                  <c:v>45110.072727272636</c:v>
                </c:pt>
                <c:pt idx="17">
                  <c:v>45619.781818181742</c:v>
                </c:pt>
                <c:pt idx="18">
                  <c:v>46129.490909090848</c:v>
                </c:pt>
                <c:pt idx="19">
                  <c:v>46639.199999999953</c:v>
                </c:pt>
                <c:pt idx="20">
                  <c:v>47148.909090909059</c:v>
                </c:pt>
                <c:pt idx="21">
                  <c:v>47658.618181818165</c:v>
                </c:pt>
                <c:pt idx="22">
                  <c:v>48168.327272727154</c:v>
                </c:pt>
                <c:pt idx="23">
                  <c:v>48678.03636363626</c:v>
                </c:pt>
                <c:pt idx="24">
                  <c:v>49187.745454545366</c:v>
                </c:pt>
                <c:pt idx="25">
                  <c:v>49697.454545454471</c:v>
                </c:pt>
                <c:pt idx="26">
                  <c:v>50207.163636363577</c:v>
                </c:pt>
                <c:pt idx="27">
                  <c:v>50716.872727272683</c:v>
                </c:pt>
                <c:pt idx="28">
                  <c:v>51226.581818181789</c:v>
                </c:pt>
                <c:pt idx="29">
                  <c:v>51736.290909090894</c:v>
                </c:pt>
                <c:pt idx="30">
                  <c:v>52245.999999999884</c:v>
                </c:pt>
                <c:pt idx="31">
                  <c:v>52755.709090908989</c:v>
                </c:pt>
                <c:pt idx="32">
                  <c:v>53265.418181818095</c:v>
                </c:pt>
                <c:pt idx="33">
                  <c:v>53775.127272727201</c:v>
                </c:pt>
                <c:pt idx="34">
                  <c:v>54284.836363636306</c:v>
                </c:pt>
                <c:pt idx="35">
                  <c:v>54794.545454545412</c:v>
                </c:pt>
                <c:pt idx="36">
                  <c:v>55304.254545454518</c:v>
                </c:pt>
                <c:pt idx="37">
                  <c:v>55813.963636363624</c:v>
                </c:pt>
                <c:pt idx="38">
                  <c:v>56323.672727272613</c:v>
                </c:pt>
                <c:pt idx="39">
                  <c:v>56833.381818181719</c:v>
                </c:pt>
                <c:pt idx="40">
                  <c:v>57343.090909090824</c:v>
                </c:pt>
                <c:pt idx="41">
                  <c:v>57852.79999999993</c:v>
                </c:pt>
                <c:pt idx="42">
                  <c:v>58362.509090909036</c:v>
                </c:pt>
                <c:pt idx="43">
                  <c:v>58872.218181818142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887C-4761-A6F9-3A1A723A782B}"/>
            </c:ext>
          </c:extLst>
        </c:ser>
        <c:ser>
          <c:idx val="4"/>
          <c:order val="1"/>
          <c:tx>
            <c:strRef>
              <c:f>'HK I&amp;E Projection'!$B$6</c:f>
              <c:strCache>
                <c:ptCount val="1"/>
                <c:pt idx="0">
                  <c:v>Exports of electricity to the mainland of China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0-887C-4761-A6F9-3A1A723A782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2-887C-4761-A6F9-3A1A723A782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4-887C-4761-A6F9-3A1A723A782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6-887C-4761-A6F9-3A1A723A782B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8-887C-4761-A6F9-3A1A723A782B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A-887C-4761-A6F9-3A1A723A782B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C-887C-4761-A6F9-3A1A723A782B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E-887C-4761-A6F9-3A1A723A782B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0-887C-4761-A6F9-3A1A723A782B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2-887C-4761-A6F9-3A1A723A782B}"/>
              </c:ext>
            </c:extLst>
          </c:dPt>
          <c:cat>
            <c:numRef>
              <c:f>'HK I&amp;E Projection'!$C$2:$AT$2</c:f>
              <c:numCache>
                <c:formatCode>General</c:formatCode>
                <c:ptCount val="4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  <c:pt idx="21">
                  <c:v>2028</c:v>
                </c:pt>
                <c:pt idx="22">
                  <c:v>2029</c:v>
                </c:pt>
                <c:pt idx="23">
                  <c:v>2030</c:v>
                </c:pt>
                <c:pt idx="24">
                  <c:v>2031</c:v>
                </c:pt>
                <c:pt idx="25">
                  <c:v>2032</c:v>
                </c:pt>
                <c:pt idx="26">
                  <c:v>2033</c:v>
                </c:pt>
                <c:pt idx="27">
                  <c:v>2034</c:v>
                </c:pt>
                <c:pt idx="28">
                  <c:v>2035</c:v>
                </c:pt>
                <c:pt idx="29">
                  <c:v>2036</c:v>
                </c:pt>
                <c:pt idx="30">
                  <c:v>2037</c:v>
                </c:pt>
                <c:pt idx="31">
                  <c:v>2038</c:v>
                </c:pt>
                <c:pt idx="32">
                  <c:v>2039</c:v>
                </c:pt>
                <c:pt idx="33">
                  <c:v>2040</c:v>
                </c:pt>
                <c:pt idx="34">
                  <c:v>2041</c:v>
                </c:pt>
                <c:pt idx="35">
                  <c:v>2042</c:v>
                </c:pt>
                <c:pt idx="36">
                  <c:v>2043</c:v>
                </c:pt>
                <c:pt idx="37">
                  <c:v>2044</c:v>
                </c:pt>
                <c:pt idx="38">
                  <c:v>2045</c:v>
                </c:pt>
                <c:pt idx="39">
                  <c:v>2046</c:v>
                </c:pt>
                <c:pt idx="40">
                  <c:v>2047</c:v>
                </c:pt>
                <c:pt idx="41">
                  <c:v>2048</c:v>
                </c:pt>
                <c:pt idx="42">
                  <c:v>2049</c:v>
                </c:pt>
                <c:pt idx="43">
                  <c:v>2050</c:v>
                </c:pt>
              </c:numCache>
            </c:numRef>
          </c:cat>
          <c:val>
            <c:numRef>
              <c:f>'HK I&amp;E Projection'!$C$6:$AT$6</c:f>
              <c:numCache>
                <c:formatCode>General</c:formatCode>
                <c:ptCount val="44"/>
                <c:pt idx="0">
                  <c:v>14527</c:v>
                </c:pt>
                <c:pt idx="1">
                  <c:v>12789</c:v>
                </c:pt>
                <c:pt idx="2">
                  <c:v>13432</c:v>
                </c:pt>
                <c:pt idx="3">
                  <c:v>9392</c:v>
                </c:pt>
                <c:pt idx="4">
                  <c:v>10645</c:v>
                </c:pt>
                <c:pt idx="5">
                  <c:v>6617</c:v>
                </c:pt>
                <c:pt idx="6">
                  <c:v>5940</c:v>
                </c:pt>
                <c:pt idx="7">
                  <c:v>4414</c:v>
                </c:pt>
                <c:pt idx="8">
                  <c:v>4273</c:v>
                </c:pt>
                <c:pt idx="9">
                  <c:v>4338</c:v>
                </c:pt>
                <c:pt idx="10">
                  <c:v>4828</c:v>
                </c:pt>
                <c:pt idx="11">
                  <c:v>2002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887C-4761-A6F9-3A1A723A7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022064"/>
        <c:axId val="481030384"/>
      </c:lineChart>
      <c:catAx>
        <c:axId val="48102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30384"/>
        <c:crosses val="autoZero"/>
        <c:auto val="1"/>
        <c:lblAlgn val="ctr"/>
        <c:lblOffset val="100"/>
        <c:noMultiLvlLbl val="0"/>
      </c:catAx>
      <c:valAx>
        <c:axId val="481030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22064"/>
        <c:crosses val="autoZero"/>
        <c:crossBetween val="between"/>
      </c:valAx>
      <c:spPr>
        <a:noFill/>
        <a:ln>
          <a:solidFill>
            <a:schemeClr val="accent4"/>
          </a:solidFill>
        </a:ln>
        <a:effectLst/>
      </c:spPr>
    </c:plotArea>
    <c:legend>
      <c:legendPos val="b"/>
      <c:layout>
        <c:manualLayout>
          <c:xMode val="edge"/>
          <c:yMode val="edge"/>
          <c:x val="9.5980468672100222E-2"/>
          <c:y val="0.10067249759469672"/>
          <c:w val="0.78992769717653599"/>
          <c:h val="0.180084010884468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602273</xdr:colOff>
      <xdr:row>20</xdr:row>
      <xdr:rowOff>79093</xdr:rowOff>
    </xdr:from>
    <xdr:to>
      <xdr:col>25</xdr:col>
      <xdr:colOff>407007</xdr:colOff>
      <xdr:row>43</xdr:row>
      <xdr:rowOff>133475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4570" y="3502944"/>
          <a:ext cx="7725072" cy="4199045"/>
        </a:xfrm>
        <a:prstGeom prst="rect">
          <a:avLst/>
        </a:prstGeom>
      </xdr:spPr>
    </xdr:pic>
    <xdr:clientData/>
  </xdr:twoCellAnchor>
  <xdr:twoCellAnchor>
    <xdr:from>
      <xdr:col>1</xdr:col>
      <xdr:colOff>481282</xdr:colOff>
      <xdr:row>29</xdr:row>
      <xdr:rowOff>55974</xdr:rowOff>
    </xdr:from>
    <xdr:to>
      <xdr:col>12</xdr:col>
      <xdr:colOff>258672</xdr:colOff>
      <xdr:row>50</xdr:row>
      <xdr:rowOff>146811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478852</xdr:colOff>
      <xdr:row>8</xdr:row>
      <xdr:rowOff>124918</xdr:rowOff>
    </xdr:from>
    <xdr:to>
      <xdr:col>12</xdr:col>
      <xdr:colOff>256242</xdr:colOff>
      <xdr:row>29</xdr:row>
      <xdr:rowOff>49196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483792</xdr:colOff>
      <xdr:row>42</xdr:row>
      <xdr:rowOff>71189</xdr:rowOff>
    </xdr:from>
    <xdr:to>
      <xdr:col>7</xdr:col>
      <xdr:colOff>709783</xdr:colOff>
      <xdr:row>78</xdr:row>
      <xdr:rowOff>125436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649" y="8235475"/>
          <a:ext cx="4803481" cy="6585675"/>
        </a:xfrm>
        <a:prstGeom prst="rect">
          <a:avLst/>
        </a:prstGeom>
      </xdr:spPr>
    </xdr:pic>
    <xdr:clientData/>
  </xdr:twoCellAnchor>
  <xdr:twoCellAnchor editAs="oneCell">
    <xdr:from>
      <xdr:col>10</xdr:col>
      <xdr:colOff>431172</xdr:colOff>
      <xdr:row>43</xdr:row>
      <xdr:rowOff>23088</xdr:rowOff>
    </xdr:from>
    <xdr:to>
      <xdr:col>19</xdr:col>
      <xdr:colOff>225971</xdr:colOff>
      <xdr:row>87</xdr:row>
      <xdr:rowOff>57955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9111" r="30743"/>
        <a:stretch/>
      </xdr:blipFill>
      <xdr:spPr>
        <a:xfrm>
          <a:off x="8452907" y="8368802"/>
          <a:ext cx="5599845" cy="80177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28076</xdr:colOff>
      <xdr:row>13</xdr:row>
      <xdr:rowOff>93868</xdr:rowOff>
    </xdr:from>
    <xdr:to>
      <xdr:col>9</xdr:col>
      <xdr:colOff>9354</xdr:colOff>
      <xdr:row>28</xdr:row>
      <xdr:rowOff>68508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5" y="2391652"/>
          <a:ext cx="4851794" cy="2625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enstatd.gov.hk/en/wbr.html?ecode=B22000022022AN22&amp;scode=90" TargetMode="External"/><Relationship Id="rId1" Type="http://schemas.openxmlformats.org/officeDocument/2006/relationships/hyperlink" Target="https://www.iea.org/statistics/?country=CHINA&amp;year=2016&amp;category=Electricity&amp;indicator=ElecGenByFuel&amp;mode=chart&amp;dataTable=ELECTRICITYANDHEA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opLeftCell="A6" workbookViewId="0">
      <selection activeCell="B9" sqref="B9"/>
    </sheetView>
  </sheetViews>
  <sheetFormatPr defaultColWidth="8.7109375" defaultRowHeight="14.25"/>
  <cols>
    <col min="1" max="1" width="8.7109375" style="4"/>
    <col min="2" max="2" width="89.42578125" style="4" customWidth="1"/>
    <col min="3" max="3" width="9.85546875" style="4" customWidth="1"/>
    <col min="4" max="4" width="58.28515625" style="4" customWidth="1"/>
    <col min="5" max="16384" width="8.7109375" style="4"/>
  </cols>
  <sheetData>
    <row r="1" spans="1:4" ht="15">
      <c r="A1" s="3" t="s">
        <v>0</v>
      </c>
    </row>
    <row r="2" spans="1:4" ht="15">
      <c r="A2" s="3" t="s">
        <v>1</v>
      </c>
    </row>
    <row r="4" spans="1:4" ht="15">
      <c r="A4" s="3" t="s">
        <v>2</v>
      </c>
      <c r="B4" s="8" t="s">
        <v>3</v>
      </c>
    </row>
    <row r="5" spans="1:4">
      <c r="B5" s="4" t="s">
        <v>4</v>
      </c>
    </row>
    <row r="6" spans="1:4">
      <c r="B6" s="9">
        <v>2023</v>
      </c>
    </row>
    <row r="7" spans="1:4">
      <c r="B7" s="4" t="s">
        <v>5</v>
      </c>
    </row>
    <row r="8" spans="1:4" ht="15">
      <c r="B8" s="31" t="s">
        <v>6</v>
      </c>
    </row>
    <row r="9" spans="1:4">
      <c r="B9" s="4" t="s">
        <v>7</v>
      </c>
    </row>
    <row r="11" spans="1:4" ht="15">
      <c r="B11" s="8" t="s">
        <v>8</v>
      </c>
      <c r="D11" s="8" t="s">
        <v>8</v>
      </c>
    </row>
    <row r="12" spans="1:4">
      <c r="B12" s="4" t="s">
        <v>9</v>
      </c>
      <c r="D12" s="4" t="s">
        <v>10</v>
      </c>
    </row>
    <row r="13" spans="1:4">
      <c r="B13" s="4" t="s">
        <v>11</v>
      </c>
      <c r="D13" s="9">
        <v>2017</v>
      </c>
    </row>
    <row r="14" spans="1:4">
      <c r="B14" s="4" t="s">
        <v>12</v>
      </c>
      <c r="D14" s="4" t="s">
        <v>13</v>
      </c>
    </row>
    <row r="15" spans="1:4">
      <c r="B15" s="10" t="s">
        <v>14</v>
      </c>
      <c r="D15" s="11" t="s">
        <v>15</v>
      </c>
    </row>
    <row r="16" spans="1:4">
      <c r="B16" s="10"/>
    </row>
    <row r="17" spans="1:2" ht="15">
      <c r="B17" s="8" t="s">
        <v>16</v>
      </c>
    </row>
    <row r="18" spans="1:2">
      <c r="B18" s="4" t="s">
        <v>17</v>
      </c>
    </row>
    <row r="19" spans="1:2">
      <c r="B19" s="9" t="s">
        <v>18</v>
      </c>
    </row>
    <row r="20" spans="1:2">
      <c r="B20" s="4" t="s">
        <v>13</v>
      </c>
    </row>
    <row r="21" spans="1:2">
      <c r="B21" s="11" t="s">
        <v>19</v>
      </c>
    </row>
    <row r="22" spans="1:2">
      <c r="B22" s="11"/>
    </row>
    <row r="23" spans="1:2" ht="15">
      <c r="B23" s="8" t="s">
        <v>20</v>
      </c>
    </row>
    <row r="24" spans="1:2" ht="15">
      <c r="B24" t="s">
        <v>21</v>
      </c>
    </row>
    <row r="25" spans="1:2" ht="15">
      <c r="B25"/>
    </row>
    <row r="26" spans="1:2" ht="15">
      <c r="A26" s="3" t="s">
        <v>22</v>
      </c>
    </row>
    <row r="27" spans="1:2">
      <c r="A27" s="4" t="s">
        <v>23</v>
      </c>
    </row>
    <row r="28" spans="1:2">
      <c r="A28" s="4" t="s">
        <v>24</v>
      </c>
    </row>
    <row r="29" spans="1:2">
      <c r="A29" s="4" t="s">
        <v>25</v>
      </c>
    </row>
    <row r="30" spans="1:2">
      <c r="A30" s="4" t="s">
        <v>26</v>
      </c>
    </row>
    <row r="31" spans="1:2">
      <c r="A31" s="4" t="s">
        <v>27</v>
      </c>
    </row>
    <row r="33" spans="1:2">
      <c r="A33" s="4" t="s">
        <v>28</v>
      </c>
    </row>
    <row r="34" spans="1:2">
      <c r="A34" s="4" t="s">
        <v>29</v>
      </c>
    </row>
    <row r="36" spans="1:2">
      <c r="A36" s="12" t="s">
        <v>30</v>
      </c>
    </row>
    <row r="37" spans="1:2">
      <c r="A37" s="12" t="s">
        <v>31</v>
      </c>
    </row>
    <row r="38" spans="1:2">
      <c r="A38" s="12" t="s">
        <v>32</v>
      </c>
    </row>
    <row r="39" spans="1:2" ht="13.5" customHeight="1">
      <c r="A39" s="4" t="s">
        <v>33</v>
      </c>
    </row>
    <row r="41" spans="1:2">
      <c r="A41" s="4" t="s">
        <v>34</v>
      </c>
    </row>
    <row r="42" spans="1:2">
      <c r="A42" s="4" t="s">
        <v>35</v>
      </c>
      <c r="B42" s="4" t="s">
        <v>36</v>
      </c>
    </row>
    <row r="44" spans="1:2">
      <c r="A44" s="4" t="s">
        <v>37</v>
      </c>
    </row>
    <row r="46" spans="1:2">
      <c r="A46" s="13" t="s">
        <v>38</v>
      </c>
    </row>
    <row r="47" spans="1:2">
      <c r="A47" s="13" t="s">
        <v>39</v>
      </c>
    </row>
    <row r="48" spans="1:2">
      <c r="A48" s="13" t="s">
        <v>40</v>
      </c>
    </row>
    <row r="50" spans="1:1">
      <c r="A50" s="4" t="s">
        <v>41</v>
      </c>
    </row>
    <row r="51" spans="1:1">
      <c r="A51" s="4" t="s">
        <v>42</v>
      </c>
    </row>
    <row r="52" spans="1:1">
      <c r="A52" s="4" t="s">
        <v>43</v>
      </c>
    </row>
  </sheetData>
  <phoneticPr fontId="6" type="noConversion"/>
  <hyperlinks>
    <hyperlink ref="B15" r:id="rId1" xr:uid="{00000000-0004-0000-0000-000001000000}"/>
    <hyperlink ref="B8" r:id="rId2" xr:uid="{BB54D7F3-5B95-40F0-AD86-038BF5B3872A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opLeftCell="A2" zoomScale="92" zoomScaleNormal="85" workbookViewId="0">
      <selection activeCell="B18" sqref="B18:F18"/>
    </sheetView>
  </sheetViews>
  <sheetFormatPr defaultColWidth="8.7109375" defaultRowHeight="14.25"/>
  <cols>
    <col min="1" max="1" width="8.7109375" style="4"/>
    <col min="2" max="2" width="22.140625" style="4" customWidth="1"/>
    <col min="3" max="3" width="24.7109375" style="4" bestFit="1" customWidth="1"/>
    <col min="4" max="4" width="7.85546875" style="4" bestFit="1" customWidth="1"/>
    <col min="5" max="5" width="22.28515625" style="4" bestFit="1" customWidth="1"/>
    <col min="6" max="6" width="27.85546875" style="4" customWidth="1"/>
    <col min="7" max="7" width="12.85546875" style="4" customWidth="1"/>
    <col min="8" max="9" width="8.7109375" style="4"/>
    <col min="10" max="10" width="47" style="4" customWidth="1"/>
    <col min="11" max="16384" width="8.7109375" style="4"/>
  </cols>
  <sheetData>
    <row r="1" spans="1:8" ht="24.6" customHeight="1">
      <c r="A1" s="3" t="s">
        <v>44</v>
      </c>
      <c r="D1" s="4" t="s">
        <v>45</v>
      </c>
    </row>
    <row r="2" spans="1:8" s="5" customFormat="1" ht="36.6" customHeight="1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</row>
    <row r="3" spans="1:8">
      <c r="A3" s="7">
        <v>2007</v>
      </c>
      <c r="B3" s="7">
        <v>140212</v>
      </c>
      <c r="C3" s="7">
        <v>37233</v>
      </c>
      <c r="D3" s="7">
        <v>15847</v>
      </c>
      <c r="E3" s="7">
        <v>14527</v>
      </c>
      <c r="F3" s="7">
        <v>147072</v>
      </c>
      <c r="G3" s="19">
        <f>D3/(B3+C3)</f>
        <v>8.9306545690213873E-2</v>
      </c>
      <c r="H3" s="4">
        <f t="shared" ref="H3:H12" si="0">SUM(B3,C3)-D3-E3</f>
        <v>147071</v>
      </c>
    </row>
    <row r="4" spans="1:8">
      <c r="A4" s="7">
        <v>2008</v>
      </c>
      <c r="B4" s="7">
        <v>136765</v>
      </c>
      <c r="C4" s="7">
        <v>38883</v>
      </c>
      <c r="D4" s="7">
        <v>15514</v>
      </c>
      <c r="E4" s="7">
        <v>12789</v>
      </c>
      <c r="F4" s="7">
        <v>147345</v>
      </c>
      <c r="G4" s="19">
        <f t="shared" ref="G4:G16" si="1">D4/(B4+C4)</f>
        <v>8.8324376024776829E-2</v>
      </c>
      <c r="H4" s="4">
        <f t="shared" si="0"/>
        <v>147345</v>
      </c>
    </row>
    <row r="5" spans="1:8">
      <c r="A5" s="7">
        <v>2009</v>
      </c>
      <c r="B5" s="7">
        <v>139420</v>
      </c>
      <c r="C5" s="7">
        <v>39468</v>
      </c>
      <c r="D5" s="7">
        <v>16089</v>
      </c>
      <c r="E5" s="7">
        <v>13432</v>
      </c>
      <c r="F5" s="7">
        <v>149366</v>
      </c>
      <c r="G5" s="19">
        <f t="shared" si="1"/>
        <v>8.9938956218415994E-2</v>
      </c>
      <c r="H5" s="4">
        <f t="shared" si="0"/>
        <v>149367</v>
      </c>
    </row>
    <row r="6" spans="1:8">
      <c r="A6" s="7">
        <v>2010</v>
      </c>
      <c r="B6" s="7">
        <v>137850</v>
      </c>
      <c r="C6" s="7">
        <v>37838</v>
      </c>
      <c r="D6" s="7">
        <v>15590</v>
      </c>
      <c r="E6" s="7">
        <v>9392</v>
      </c>
      <c r="F6" s="7">
        <v>150705</v>
      </c>
      <c r="G6" s="19">
        <f t="shared" si="1"/>
        <v>8.8736851691635171E-2</v>
      </c>
      <c r="H6" s="4">
        <f t="shared" si="0"/>
        <v>150706</v>
      </c>
    </row>
    <row r="7" spans="1:8">
      <c r="A7" s="7">
        <v>2011</v>
      </c>
      <c r="B7" s="7">
        <v>140495</v>
      </c>
      <c r="C7" s="7">
        <v>38646</v>
      </c>
      <c r="D7" s="7">
        <v>17064</v>
      </c>
      <c r="E7" s="7">
        <v>10645</v>
      </c>
      <c r="F7" s="7">
        <v>151432</v>
      </c>
      <c r="G7" s="19">
        <f t="shared" si="1"/>
        <v>9.5254576004376437E-2</v>
      </c>
      <c r="H7" s="4">
        <f t="shared" si="0"/>
        <v>151432</v>
      </c>
    </row>
    <row r="8" spans="1:8">
      <c r="A8" s="7">
        <v>2012</v>
      </c>
      <c r="B8" s="7">
        <v>139506</v>
      </c>
      <c r="C8" s="7">
        <v>40160</v>
      </c>
      <c r="D8" s="7">
        <v>18139</v>
      </c>
      <c r="E8" s="7">
        <v>6617</v>
      </c>
      <c r="F8" s="7">
        <v>154911</v>
      </c>
      <c r="G8" s="19">
        <f t="shared" si="1"/>
        <v>0.10095955829149644</v>
      </c>
      <c r="H8" s="4">
        <f t="shared" si="0"/>
        <v>154910</v>
      </c>
    </row>
    <row r="9" spans="1:8">
      <c r="A9" s="7">
        <v>2013</v>
      </c>
      <c r="B9" s="7">
        <v>140628</v>
      </c>
      <c r="C9" s="7">
        <v>35889</v>
      </c>
      <c r="D9" s="7">
        <v>17376</v>
      </c>
      <c r="E9" s="7">
        <v>5940</v>
      </c>
      <c r="F9" s="7">
        <v>153201</v>
      </c>
      <c r="G9" s="19">
        <f t="shared" si="1"/>
        <v>9.8438110776865678E-2</v>
      </c>
      <c r="H9" s="4">
        <f t="shared" si="0"/>
        <v>153201</v>
      </c>
    </row>
    <row r="10" spans="1:8">
      <c r="A10" s="7">
        <v>2014</v>
      </c>
      <c r="B10" s="7">
        <v>143291</v>
      </c>
      <c r="C10" s="7">
        <v>37038</v>
      </c>
      <c r="D10" s="7">
        <v>17948</v>
      </c>
      <c r="E10" s="7">
        <v>4414</v>
      </c>
      <c r="F10" s="7">
        <v>157967</v>
      </c>
      <c r="G10" s="19">
        <f t="shared" si="1"/>
        <v>9.9529193862329404E-2</v>
      </c>
      <c r="H10" s="4">
        <f t="shared" si="0"/>
        <v>157967</v>
      </c>
    </row>
    <row r="11" spans="1:8">
      <c r="A11" s="7">
        <v>2015</v>
      </c>
      <c r="B11" s="7">
        <v>136525</v>
      </c>
      <c r="C11" s="7">
        <v>42272</v>
      </c>
      <c r="D11" s="7">
        <v>16441</v>
      </c>
      <c r="E11" s="7">
        <v>4273</v>
      </c>
      <c r="F11" s="7">
        <v>158083</v>
      </c>
      <c r="G11" s="19">
        <f t="shared" si="1"/>
        <v>9.1953444409022519E-2</v>
      </c>
      <c r="H11" s="4">
        <f t="shared" si="0"/>
        <v>158083</v>
      </c>
    </row>
    <row r="12" spans="1:8">
      <c r="A12" s="7">
        <v>2016</v>
      </c>
      <c r="B12" s="7">
        <v>137356</v>
      </c>
      <c r="C12" s="7">
        <v>41835</v>
      </c>
      <c r="D12" s="7">
        <v>16352</v>
      </c>
      <c r="E12" s="7">
        <v>4338</v>
      </c>
      <c r="F12" s="7">
        <v>158500</v>
      </c>
      <c r="G12" s="19">
        <f t="shared" si="1"/>
        <v>9.1254583098481515E-2</v>
      </c>
      <c r="H12" s="4">
        <f t="shared" si="0"/>
        <v>158501</v>
      </c>
    </row>
    <row r="13" spans="1:8">
      <c r="A13" s="7">
        <v>2017</v>
      </c>
      <c r="B13" s="7">
        <v>132902</v>
      </c>
      <c r="C13" s="7">
        <v>45274</v>
      </c>
      <c r="D13" s="7">
        <v>15744</v>
      </c>
      <c r="E13" s="7">
        <v>4828</v>
      </c>
      <c r="F13" s="7">
        <v>157604</v>
      </c>
      <c r="G13" s="19">
        <f t="shared" si="1"/>
        <v>8.8362068965517238E-2</v>
      </c>
      <c r="H13" s="4">
        <f>SUM(B13,C13)-D13-E13</f>
        <v>157604</v>
      </c>
    </row>
    <row r="14" spans="1:8">
      <c r="A14" s="7">
        <v>2018</v>
      </c>
      <c r="B14" s="7">
        <v>131254</v>
      </c>
      <c r="C14" s="7">
        <v>45357</v>
      </c>
      <c r="D14" s="7">
        <v>15492</v>
      </c>
      <c r="E14" s="7">
        <v>2002</v>
      </c>
      <c r="F14" s="7">
        <v>159116</v>
      </c>
      <c r="G14" s="19">
        <f t="shared" si="1"/>
        <v>8.771820554778581E-2</v>
      </c>
      <c r="H14" s="4">
        <f t="shared" ref="H14:H15" si="2">SUM(B14,C14)-D14-E14</f>
        <v>159117</v>
      </c>
    </row>
    <row r="15" spans="1:8">
      <c r="A15" s="7">
        <v>2019</v>
      </c>
      <c r="B15" s="7">
        <v>132462</v>
      </c>
      <c r="C15" s="7">
        <v>44571</v>
      </c>
      <c r="D15" s="7">
        <v>15742</v>
      </c>
      <c r="E15" s="7">
        <v>0</v>
      </c>
      <c r="F15" s="7">
        <v>161291</v>
      </c>
      <c r="G15" s="19">
        <f t="shared" si="1"/>
        <v>8.8921274564629199E-2</v>
      </c>
      <c r="H15" s="4">
        <f t="shared" si="2"/>
        <v>161291</v>
      </c>
    </row>
    <row r="16" spans="1:8" ht="15">
      <c r="A16" s="7">
        <v>2020</v>
      </c>
      <c r="B16" s="7">
        <v>126307</v>
      </c>
      <c r="C16" s="7">
        <v>45716</v>
      </c>
      <c r="D16" s="7">
        <v>13272</v>
      </c>
      <c r="E16" s="7">
        <v>0</v>
      </c>
      <c r="F16" s="7">
        <v>158751</v>
      </c>
      <c r="G16" s="32">
        <f>D16/(B16+C16)</f>
        <v>7.7152473797108531E-2</v>
      </c>
      <c r="H16" s="4">
        <f>SUM(B16,C16)-D16-E16</f>
        <v>158751</v>
      </c>
    </row>
    <row r="17" spans="1:8" ht="15">
      <c r="A17" s="7">
        <v>2021</v>
      </c>
      <c r="B17" s="7">
        <v>133104</v>
      </c>
      <c r="C17" s="7">
        <v>45197</v>
      </c>
      <c r="D17" s="7">
        <v>13724</v>
      </c>
      <c r="E17" s="7">
        <v>0</v>
      </c>
      <c r="F17" s="7">
        <v>164578</v>
      </c>
      <c r="G17" s="32">
        <f t="shared" ref="G17:G18" si="3">D17/(B17+C17)</f>
        <v>7.6970964829137248E-2</v>
      </c>
      <c r="H17" s="4">
        <f t="shared" ref="H17:H18" si="4">SUM(B17,C17)-D17-E17</f>
        <v>164577</v>
      </c>
    </row>
    <row r="18" spans="1:8" ht="15">
      <c r="A18" s="7">
        <v>2022</v>
      </c>
      <c r="B18" s="7">
        <v>129928</v>
      </c>
      <c r="C18" s="7">
        <v>44452</v>
      </c>
      <c r="D18" s="7">
        <v>13225</v>
      </c>
      <c r="E18" s="7">
        <v>0</v>
      </c>
      <c r="F18" s="7">
        <v>161155</v>
      </c>
      <c r="G18" s="32">
        <f t="shared" si="3"/>
        <v>7.5840119279733914E-2</v>
      </c>
      <c r="H18" s="4">
        <f t="shared" si="4"/>
        <v>161155</v>
      </c>
    </row>
    <row r="19" spans="1:8">
      <c r="A19" s="7"/>
      <c r="B19" s="7"/>
      <c r="C19" s="7"/>
      <c r="D19" s="7"/>
      <c r="E19" s="7"/>
      <c r="F19" s="7"/>
      <c r="G19" s="19"/>
    </row>
    <row r="20" spans="1:8">
      <c r="A20" s="7"/>
      <c r="B20" s="7"/>
      <c r="C20" s="7"/>
      <c r="D20" s="7"/>
      <c r="E20" s="7"/>
      <c r="F20" s="7"/>
      <c r="G20" s="19"/>
    </row>
    <row r="22" spans="1:8">
      <c r="A22" s="4" t="s">
        <v>22</v>
      </c>
      <c r="B22" s="4" t="s">
        <v>53</v>
      </c>
    </row>
    <row r="23" spans="1:8">
      <c r="B23" s="4" t="s">
        <v>54</v>
      </c>
    </row>
    <row r="24" spans="1:8">
      <c r="B24" s="4" t="s">
        <v>55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49"/>
  <sheetViews>
    <sheetView topLeftCell="A36" zoomScale="90" workbookViewId="0">
      <selection activeCell="N2" sqref="N2"/>
    </sheetView>
  </sheetViews>
  <sheetFormatPr defaultRowHeight="15"/>
  <cols>
    <col min="2" max="2" width="42.42578125" customWidth="1"/>
  </cols>
  <sheetData>
    <row r="1" spans="1:46">
      <c r="A1" s="4" t="s">
        <v>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57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46" ht="14.25">
      <c r="B2" s="21" t="str">
        <f t="array" ref="B2:M7">TRANSPOSE('HK History Data'!A2:F13)</f>
        <v>Year</v>
      </c>
      <c r="C2" s="21">
        <v>2007</v>
      </c>
      <c r="D2" s="21">
        <v>2008</v>
      </c>
      <c r="E2" s="21">
        <v>2009</v>
      </c>
      <c r="F2" s="21">
        <v>2010</v>
      </c>
      <c r="G2" s="21">
        <v>2011</v>
      </c>
      <c r="H2" s="21">
        <v>2012</v>
      </c>
      <c r="I2" s="21">
        <v>2013</v>
      </c>
      <c r="J2" s="21">
        <v>2014</v>
      </c>
      <c r="K2" s="21">
        <v>2015</v>
      </c>
      <c r="L2" s="21">
        <v>2016</v>
      </c>
      <c r="M2" s="21">
        <v>2017</v>
      </c>
      <c r="N2" s="21">
        <v>2018</v>
      </c>
      <c r="O2" s="21">
        <v>2019</v>
      </c>
      <c r="P2" s="21">
        <v>2020</v>
      </c>
      <c r="Q2" s="21">
        <v>2021</v>
      </c>
      <c r="R2" s="21">
        <v>2022</v>
      </c>
      <c r="S2" s="20">
        <v>2023</v>
      </c>
      <c r="T2" s="20">
        <v>2024</v>
      </c>
      <c r="U2" s="20">
        <v>2025</v>
      </c>
      <c r="V2" s="20">
        <v>2026</v>
      </c>
      <c r="W2" s="20">
        <v>2027</v>
      </c>
      <c r="X2" s="20">
        <v>2028</v>
      </c>
      <c r="Y2" s="20">
        <v>2029</v>
      </c>
      <c r="Z2" s="20">
        <v>2030</v>
      </c>
      <c r="AA2" s="20">
        <v>2031</v>
      </c>
      <c r="AB2" s="20">
        <v>2032</v>
      </c>
      <c r="AC2" s="20">
        <v>2033</v>
      </c>
      <c r="AD2" s="20">
        <v>2034</v>
      </c>
      <c r="AE2" s="20">
        <v>2035</v>
      </c>
      <c r="AF2" s="20">
        <v>2036</v>
      </c>
      <c r="AG2" s="20">
        <v>2037</v>
      </c>
      <c r="AH2" s="20">
        <v>2038</v>
      </c>
      <c r="AI2" s="20">
        <v>2039</v>
      </c>
      <c r="AJ2" s="20">
        <v>2040</v>
      </c>
      <c r="AK2" s="20">
        <v>2041</v>
      </c>
      <c r="AL2" s="20">
        <v>2042</v>
      </c>
      <c r="AM2" s="20">
        <v>2043</v>
      </c>
      <c r="AN2" s="20">
        <v>2044</v>
      </c>
      <c r="AO2" s="20">
        <v>2045</v>
      </c>
      <c r="AP2" s="20">
        <v>2046</v>
      </c>
      <c r="AQ2" s="20">
        <v>2047</v>
      </c>
      <c r="AR2" s="20">
        <v>2048</v>
      </c>
      <c r="AS2" s="20">
        <v>2049</v>
      </c>
      <c r="AT2" s="20">
        <v>2050</v>
      </c>
    </row>
    <row r="3" spans="1:46">
      <c r="B3" s="4" t="str">
        <v>Electricity generated at local plants</v>
      </c>
      <c r="C3" s="4">
        <v>140212</v>
      </c>
      <c r="D3" s="4">
        <v>136765</v>
      </c>
      <c r="E3" s="4">
        <v>139420</v>
      </c>
      <c r="F3" s="4">
        <v>137850</v>
      </c>
      <c r="G3" s="4">
        <v>140495</v>
      </c>
      <c r="H3" s="4">
        <v>139506</v>
      </c>
      <c r="I3" s="4">
        <v>140628</v>
      </c>
      <c r="J3" s="4">
        <v>143291</v>
      </c>
      <c r="K3" s="4">
        <v>136525</v>
      </c>
      <c r="L3" s="4">
        <v>137356</v>
      </c>
      <c r="M3" s="4">
        <v>132902</v>
      </c>
      <c r="N3" s="7">
        <v>131254</v>
      </c>
      <c r="O3" s="7">
        <v>132462</v>
      </c>
      <c r="P3" s="7">
        <v>126307</v>
      </c>
      <c r="Q3" s="7">
        <v>133104</v>
      </c>
      <c r="R3" s="7">
        <v>129928</v>
      </c>
      <c r="S3" s="4">
        <f t="shared" ref="N3:W4" si="0">TREND($C3:$M3,$C$2:$M$2,S$2)</f>
        <v>135446.21818181814</v>
      </c>
      <c r="T3" s="4">
        <f t="shared" si="0"/>
        <v>135156.61818181816</v>
      </c>
      <c r="U3" s="4">
        <f t="shared" si="0"/>
        <v>134867.01818181819</v>
      </c>
      <c r="V3" s="4">
        <f t="shared" si="0"/>
        <v>134577.4181818181</v>
      </c>
      <c r="W3" s="4">
        <f t="shared" si="0"/>
        <v>134287.81818181812</v>
      </c>
      <c r="X3" s="4">
        <f t="shared" ref="X3:AG4" si="1">TREND($C3:$M3,$C$2:$M$2,X$2)</f>
        <v>133998.21818181814</v>
      </c>
      <c r="Y3" s="4">
        <f t="shared" si="1"/>
        <v>133708.61818181816</v>
      </c>
      <c r="Z3" s="4">
        <f t="shared" si="1"/>
        <v>133419.01818181819</v>
      </c>
      <c r="AA3" s="4">
        <f t="shared" si="1"/>
        <v>133129.4181818181</v>
      </c>
      <c r="AB3" s="4">
        <f t="shared" si="1"/>
        <v>132839.81818181812</v>
      </c>
      <c r="AC3" s="4">
        <f t="shared" si="1"/>
        <v>132550.21818181814</v>
      </c>
      <c r="AD3" s="4">
        <f t="shared" si="1"/>
        <v>132260.61818181816</v>
      </c>
      <c r="AE3" s="4">
        <f t="shared" si="1"/>
        <v>131971.01818181819</v>
      </c>
      <c r="AF3" s="4">
        <f t="shared" si="1"/>
        <v>131681.4181818181</v>
      </c>
      <c r="AG3" s="4">
        <f t="shared" si="1"/>
        <v>131391.81818181812</v>
      </c>
      <c r="AH3" s="4">
        <f t="shared" ref="AH3:AT4" si="2">TREND($C3:$M3,$C$2:$M$2,AH$2)</f>
        <v>131102.21818181814</v>
      </c>
      <c r="AI3" s="4">
        <f t="shared" si="2"/>
        <v>130812.61818181816</v>
      </c>
      <c r="AJ3" s="4">
        <f t="shared" si="2"/>
        <v>130523.01818181819</v>
      </c>
      <c r="AK3" s="4">
        <f t="shared" si="2"/>
        <v>130233.4181818181</v>
      </c>
      <c r="AL3" s="4">
        <f t="shared" si="2"/>
        <v>129943.81818181812</v>
      </c>
      <c r="AM3" s="4">
        <f t="shared" si="2"/>
        <v>129654.21818181814</v>
      </c>
      <c r="AN3" s="4">
        <f t="shared" si="2"/>
        <v>129364.61818181816</v>
      </c>
      <c r="AO3" s="4">
        <f t="shared" si="2"/>
        <v>129075.01818181819</v>
      </c>
      <c r="AP3" s="4">
        <f t="shared" si="2"/>
        <v>128785.4181818181</v>
      </c>
      <c r="AQ3" s="4">
        <f t="shared" si="2"/>
        <v>128495.81818181812</v>
      </c>
      <c r="AR3" s="4">
        <f t="shared" si="2"/>
        <v>128206.21818181814</v>
      </c>
      <c r="AS3" s="4">
        <f t="shared" si="2"/>
        <v>127916.61818181816</v>
      </c>
      <c r="AT3" s="4">
        <f t="shared" si="2"/>
        <v>127627.01818181819</v>
      </c>
    </row>
    <row r="4" spans="1:46">
      <c r="B4" s="4" t="str">
        <v>Imports of electricity from the mainland of China</v>
      </c>
      <c r="C4" s="4">
        <v>37233</v>
      </c>
      <c r="D4" s="4">
        <v>38883</v>
      </c>
      <c r="E4" s="4">
        <v>39468</v>
      </c>
      <c r="F4" s="4">
        <v>37838</v>
      </c>
      <c r="G4" s="4">
        <v>38646</v>
      </c>
      <c r="H4" s="4">
        <v>40160</v>
      </c>
      <c r="I4" s="4">
        <v>35889</v>
      </c>
      <c r="J4" s="4">
        <v>37038</v>
      </c>
      <c r="K4" s="4">
        <v>42272</v>
      </c>
      <c r="L4" s="4">
        <v>41835</v>
      </c>
      <c r="M4" s="4">
        <v>45274</v>
      </c>
      <c r="N4" s="7">
        <v>45357</v>
      </c>
      <c r="O4" s="7">
        <v>44571</v>
      </c>
      <c r="P4" s="7">
        <v>45716</v>
      </c>
      <c r="Q4" s="7">
        <v>45197</v>
      </c>
      <c r="R4" s="7">
        <v>44452</v>
      </c>
      <c r="S4" s="24">
        <f t="shared" si="0"/>
        <v>45110.072727272636</v>
      </c>
      <c r="T4" s="24">
        <f t="shared" si="0"/>
        <v>45619.781818181742</v>
      </c>
      <c r="U4" s="24">
        <f t="shared" si="0"/>
        <v>46129.490909090848</v>
      </c>
      <c r="V4" s="24">
        <f t="shared" si="0"/>
        <v>46639.199999999953</v>
      </c>
      <c r="W4" s="24">
        <f t="shared" si="0"/>
        <v>47148.909090909059</v>
      </c>
      <c r="X4" s="24">
        <f t="shared" si="1"/>
        <v>47658.618181818165</v>
      </c>
      <c r="Y4" s="24">
        <f t="shared" si="1"/>
        <v>48168.327272727154</v>
      </c>
      <c r="Z4" s="24">
        <f t="shared" si="1"/>
        <v>48678.03636363626</v>
      </c>
      <c r="AA4" s="24">
        <f t="shared" si="1"/>
        <v>49187.745454545366</v>
      </c>
      <c r="AB4" s="24">
        <f t="shared" si="1"/>
        <v>49697.454545454471</v>
      </c>
      <c r="AC4" s="24">
        <f t="shared" si="1"/>
        <v>50207.163636363577</v>
      </c>
      <c r="AD4" s="24">
        <f t="shared" si="1"/>
        <v>50716.872727272683</v>
      </c>
      <c r="AE4" s="24">
        <f t="shared" si="1"/>
        <v>51226.581818181789</v>
      </c>
      <c r="AF4" s="24">
        <f t="shared" si="1"/>
        <v>51736.290909090894</v>
      </c>
      <c r="AG4" s="24">
        <f t="shared" si="1"/>
        <v>52245.999999999884</v>
      </c>
      <c r="AH4" s="24">
        <f t="shared" si="2"/>
        <v>52755.709090908989</v>
      </c>
      <c r="AI4" s="24">
        <f t="shared" si="2"/>
        <v>53265.418181818095</v>
      </c>
      <c r="AJ4" s="24">
        <f t="shared" si="2"/>
        <v>53775.127272727201</v>
      </c>
      <c r="AK4" s="24">
        <f t="shared" si="2"/>
        <v>54284.836363636306</v>
      </c>
      <c r="AL4" s="24">
        <f t="shared" si="2"/>
        <v>54794.545454545412</v>
      </c>
      <c r="AM4" s="24">
        <f t="shared" si="2"/>
        <v>55304.254545454518</v>
      </c>
      <c r="AN4" s="24">
        <f t="shared" si="2"/>
        <v>55813.963636363624</v>
      </c>
      <c r="AO4" s="24">
        <f t="shared" si="2"/>
        <v>56323.672727272613</v>
      </c>
      <c r="AP4" s="24">
        <f t="shared" si="2"/>
        <v>56833.381818181719</v>
      </c>
      <c r="AQ4" s="24">
        <f t="shared" si="2"/>
        <v>57343.090909090824</v>
      </c>
      <c r="AR4" s="24">
        <f t="shared" si="2"/>
        <v>57852.79999999993</v>
      </c>
      <c r="AS4" s="24">
        <f t="shared" si="2"/>
        <v>58362.509090909036</v>
      </c>
      <c r="AT4" s="24">
        <f t="shared" si="2"/>
        <v>58872.218181818142</v>
      </c>
    </row>
    <row r="5" spans="1:46">
      <c r="B5" s="4" t="str">
        <v>System Loss</v>
      </c>
      <c r="C5" s="4">
        <v>15847</v>
      </c>
      <c r="D5" s="4">
        <v>15514</v>
      </c>
      <c r="E5" s="4">
        <v>16089</v>
      </c>
      <c r="F5" s="4">
        <v>15590</v>
      </c>
      <c r="G5" s="4">
        <v>17064</v>
      </c>
      <c r="H5" s="4">
        <v>18139</v>
      </c>
      <c r="I5" s="4">
        <v>17376</v>
      </c>
      <c r="J5" s="4">
        <v>17948</v>
      </c>
      <c r="K5" s="4">
        <v>16441</v>
      </c>
      <c r="L5" s="4">
        <v>16352</v>
      </c>
      <c r="M5" s="4">
        <v>15744</v>
      </c>
      <c r="N5" s="7">
        <v>15492</v>
      </c>
      <c r="O5" s="7">
        <v>15742</v>
      </c>
      <c r="P5" s="7">
        <v>13272</v>
      </c>
      <c r="Q5" s="7">
        <v>13724</v>
      </c>
      <c r="R5" s="7">
        <v>13225</v>
      </c>
      <c r="S5" s="4">
        <f>(S3+S4)*AVERAGE('HK History Data'!$G$3:$G$13)</f>
        <v>16776.27722066933</v>
      </c>
      <c r="T5" s="4">
        <f>(T3+T4)*AVERAGE('HK History Data'!$G$3:$G$13)</f>
        <v>16796.728522085021</v>
      </c>
      <c r="U5" s="4">
        <f>(U3+U4)*AVERAGE('HK History Data'!$G$3:$G$13)</f>
        <v>16817.179823500712</v>
      </c>
      <c r="V5" s="4">
        <f>(V3+V4)*AVERAGE('HK History Data'!$G$3:$G$13)</f>
        <v>16837.631124916395</v>
      </c>
      <c r="W5" s="4">
        <f>(W3+W4)*AVERAGE('HK History Data'!$G$3:$G$13)</f>
        <v>16858.082426332086</v>
      </c>
      <c r="X5" s="4">
        <f>(X3+X4)*AVERAGE('HK History Data'!$G$3:$G$13)</f>
        <v>16878.533727747777</v>
      </c>
      <c r="Y5" s="4">
        <f>(Y3+Y4)*AVERAGE('HK History Data'!$G$3:$G$13)</f>
        <v>16898.985029163458</v>
      </c>
      <c r="Z5" s="4">
        <f>(Z3+Z4)*AVERAGE('HK History Data'!$G$3:$G$13)</f>
        <v>16919.436330579148</v>
      </c>
      <c r="AA5" s="4">
        <f>(AA3+AA4)*AVERAGE('HK History Data'!$G$3:$G$13)</f>
        <v>16939.887631994829</v>
      </c>
      <c r="AB5" s="4">
        <f>(AB3+AB4)*AVERAGE('HK History Data'!$G$3:$G$13)</f>
        <v>16960.33893341052</v>
      </c>
      <c r="AC5" s="4">
        <f>(AC3+AC4)*AVERAGE('HK History Data'!$G$3:$G$13)</f>
        <v>16980.790234826211</v>
      </c>
      <c r="AD5" s="4">
        <f>(AD3+AD4)*AVERAGE('HK History Data'!$G$3:$G$13)</f>
        <v>17001.241536241901</v>
      </c>
      <c r="AE5" s="4">
        <f>(AE3+AE4)*AVERAGE('HK History Data'!$G$3:$G$13)</f>
        <v>17021.692837657592</v>
      </c>
      <c r="AF5" s="4">
        <f>(AF3+AF4)*AVERAGE('HK History Data'!$G$3:$G$13)</f>
        <v>17042.144139073273</v>
      </c>
      <c r="AG5" s="4">
        <f>(AG3+AG4)*AVERAGE('HK History Data'!$G$3:$G$13)</f>
        <v>17062.595440488956</v>
      </c>
      <c r="AH5" s="4">
        <f>(AH3+AH4)*AVERAGE('HK History Data'!$G$3:$G$13)</f>
        <v>17083.046741904647</v>
      </c>
      <c r="AI5" s="4">
        <f>(AI3+AI4)*AVERAGE('HK History Data'!$G$3:$G$13)</f>
        <v>17103.498043320338</v>
      </c>
      <c r="AJ5" s="4">
        <f>(AJ3+AJ4)*AVERAGE('HK History Data'!$G$3:$G$13)</f>
        <v>17123.949344736029</v>
      </c>
      <c r="AK5" s="4">
        <f>(AK3+AK4)*AVERAGE('HK History Data'!$G$3:$G$13)</f>
        <v>17144.400646151709</v>
      </c>
      <c r="AL5" s="4">
        <f>(AL3+AL4)*AVERAGE('HK History Data'!$G$3:$G$13)</f>
        <v>17164.8519475674</v>
      </c>
      <c r="AM5" s="4">
        <f>(AM3+AM4)*AVERAGE('HK History Data'!$G$3:$G$13)</f>
        <v>17185.303248983091</v>
      </c>
      <c r="AN5" s="4">
        <f>(AN3+AN4)*AVERAGE('HK History Data'!$G$3:$G$13)</f>
        <v>17205.754550398782</v>
      </c>
      <c r="AO5" s="4">
        <f>(AO3+AO4)*AVERAGE('HK History Data'!$G$3:$G$13)</f>
        <v>17226.205851814462</v>
      </c>
      <c r="AP5" s="4">
        <f>(AP3+AP4)*AVERAGE('HK History Data'!$G$3:$G$13)</f>
        <v>17246.657153230142</v>
      </c>
      <c r="AQ5" s="4">
        <f>(AQ3+AQ4)*AVERAGE('HK History Data'!$G$3:$G$13)</f>
        <v>17267.108454645833</v>
      </c>
      <c r="AR5" s="4">
        <f>(AR3+AR4)*AVERAGE('HK History Data'!$G$3:$G$13)</f>
        <v>17287.559756061528</v>
      </c>
      <c r="AS5" s="4">
        <f>(AS3+AS4)*AVERAGE('HK History Data'!$G$3:$G$13)</f>
        <v>17308.011057477219</v>
      </c>
      <c r="AT5" s="4">
        <f>(AT3+AT4)*AVERAGE('HK History Data'!$G$3:$G$13)</f>
        <v>17328.46235889291</v>
      </c>
    </row>
    <row r="6" spans="1:46">
      <c r="B6" s="4" t="str">
        <v>Exports of electricity to the mainland of China</v>
      </c>
      <c r="C6" s="4">
        <v>14527</v>
      </c>
      <c r="D6" s="4">
        <v>12789</v>
      </c>
      <c r="E6" s="4">
        <v>13432</v>
      </c>
      <c r="F6" s="4">
        <v>9392</v>
      </c>
      <c r="G6" s="4">
        <v>10645</v>
      </c>
      <c r="H6" s="4">
        <v>6617</v>
      </c>
      <c r="I6" s="4">
        <v>5940</v>
      </c>
      <c r="J6" s="4">
        <v>4414</v>
      </c>
      <c r="K6" s="4">
        <v>4273</v>
      </c>
      <c r="L6" s="4">
        <v>4338</v>
      </c>
      <c r="M6" s="4">
        <v>4828</v>
      </c>
      <c r="N6" s="7">
        <v>2002</v>
      </c>
      <c r="O6" s="7">
        <v>0</v>
      </c>
      <c r="P6" s="7">
        <v>0</v>
      </c>
      <c r="Q6" s="7">
        <v>0</v>
      </c>
      <c r="R6" s="7">
        <v>0</v>
      </c>
      <c r="S6" s="24">
        <f>TREND($O6:$R6,$O$2:$R$2,S$2)</f>
        <v>0</v>
      </c>
      <c r="T6" s="24">
        <f t="shared" ref="T6:AT6" si="3">TREND($O6:$R6,$O$2:$R$2,T$2)</f>
        <v>0</v>
      </c>
      <c r="U6" s="24">
        <f t="shared" si="3"/>
        <v>0</v>
      </c>
      <c r="V6" s="24">
        <f t="shared" si="3"/>
        <v>0</v>
      </c>
      <c r="W6" s="24">
        <f t="shared" si="3"/>
        <v>0</v>
      </c>
      <c r="X6" s="24">
        <f t="shared" si="3"/>
        <v>0</v>
      </c>
      <c r="Y6" s="24">
        <f t="shared" si="3"/>
        <v>0</v>
      </c>
      <c r="Z6" s="24">
        <f t="shared" si="3"/>
        <v>0</v>
      </c>
      <c r="AA6" s="24">
        <f t="shared" si="3"/>
        <v>0</v>
      </c>
      <c r="AB6" s="24">
        <f t="shared" si="3"/>
        <v>0</v>
      </c>
      <c r="AC6" s="24">
        <f t="shared" si="3"/>
        <v>0</v>
      </c>
      <c r="AD6" s="24">
        <f t="shared" si="3"/>
        <v>0</v>
      </c>
      <c r="AE6" s="24">
        <f t="shared" si="3"/>
        <v>0</v>
      </c>
      <c r="AF6" s="24">
        <f t="shared" si="3"/>
        <v>0</v>
      </c>
      <c r="AG6" s="24">
        <f t="shared" si="3"/>
        <v>0</v>
      </c>
      <c r="AH6" s="24">
        <f t="shared" si="3"/>
        <v>0</v>
      </c>
      <c r="AI6" s="24">
        <f t="shared" si="3"/>
        <v>0</v>
      </c>
      <c r="AJ6" s="24">
        <f t="shared" si="3"/>
        <v>0</v>
      </c>
      <c r="AK6" s="24">
        <f t="shared" si="3"/>
        <v>0</v>
      </c>
      <c r="AL6" s="24">
        <f t="shared" si="3"/>
        <v>0</v>
      </c>
      <c r="AM6" s="24">
        <f t="shared" si="3"/>
        <v>0</v>
      </c>
      <c r="AN6" s="24">
        <f t="shared" si="3"/>
        <v>0</v>
      </c>
      <c r="AO6" s="24">
        <f t="shared" si="3"/>
        <v>0</v>
      </c>
      <c r="AP6" s="24">
        <f t="shared" si="3"/>
        <v>0</v>
      </c>
      <c r="AQ6" s="24">
        <f t="shared" si="3"/>
        <v>0</v>
      </c>
      <c r="AR6" s="24">
        <f t="shared" si="3"/>
        <v>0</v>
      </c>
      <c r="AS6" s="24">
        <f t="shared" si="3"/>
        <v>0</v>
      </c>
      <c r="AT6" s="24">
        <f t="shared" si="3"/>
        <v>0</v>
      </c>
    </row>
    <row r="7" spans="1:46">
      <c r="B7" s="4" t="str">
        <v>Local electricity consumption, as measured at meter points</v>
      </c>
      <c r="C7" s="4">
        <v>147072</v>
      </c>
      <c r="D7" s="4">
        <v>147345</v>
      </c>
      <c r="E7" s="4">
        <v>149366</v>
      </c>
      <c r="F7" s="4">
        <v>150705</v>
      </c>
      <c r="G7" s="4">
        <v>151432</v>
      </c>
      <c r="H7" s="4">
        <v>154911</v>
      </c>
      <c r="I7" s="4">
        <v>153201</v>
      </c>
      <c r="J7" s="4">
        <v>157967</v>
      </c>
      <c r="K7" s="4">
        <v>158083</v>
      </c>
      <c r="L7" s="4">
        <v>158500</v>
      </c>
      <c r="M7" s="4">
        <v>157604</v>
      </c>
      <c r="N7" s="7">
        <v>159116</v>
      </c>
      <c r="O7" s="7">
        <v>161291</v>
      </c>
      <c r="P7" s="7">
        <v>158751</v>
      </c>
      <c r="Q7" s="7">
        <v>164578</v>
      </c>
      <c r="R7" s="7">
        <v>161155</v>
      </c>
      <c r="S7" s="4">
        <f t="shared" ref="N7:AT7" si="4">TREND($C7:$M7,$C$2:$M$2,S$2)</f>
        <v>167262.03636363614</v>
      </c>
      <c r="T7" s="4">
        <f t="shared" si="4"/>
        <v>168532.2545454544</v>
      </c>
      <c r="U7" s="4">
        <f t="shared" si="4"/>
        <v>169802.47272727266</v>
      </c>
      <c r="V7" s="4">
        <f t="shared" si="4"/>
        <v>171072.69090909092</v>
      </c>
      <c r="W7" s="4">
        <f t="shared" si="4"/>
        <v>172342.90909090871</v>
      </c>
      <c r="X7" s="4">
        <f t="shared" si="4"/>
        <v>173613.12727272697</v>
      </c>
      <c r="Y7" s="4">
        <f t="shared" si="4"/>
        <v>174883.34545454523</v>
      </c>
      <c r="Z7" s="4">
        <f t="shared" si="4"/>
        <v>176153.56363636348</v>
      </c>
      <c r="AA7" s="4">
        <f t="shared" si="4"/>
        <v>177423.78181818174</v>
      </c>
      <c r="AB7" s="4">
        <f t="shared" si="4"/>
        <v>178694</v>
      </c>
      <c r="AC7" s="4">
        <f t="shared" si="4"/>
        <v>179964.21818181779</v>
      </c>
      <c r="AD7" s="4">
        <f t="shared" si="4"/>
        <v>181234.43636363605</v>
      </c>
      <c r="AE7" s="4">
        <f t="shared" si="4"/>
        <v>182504.65454545431</v>
      </c>
      <c r="AF7" s="4">
        <f t="shared" si="4"/>
        <v>183774.87272727257</v>
      </c>
      <c r="AG7" s="4">
        <f t="shared" si="4"/>
        <v>185045.09090909082</v>
      </c>
      <c r="AH7" s="4">
        <f t="shared" si="4"/>
        <v>186315.30909090908</v>
      </c>
      <c r="AI7" s="4">
        <f t="shared" si="4"/>
        <v>187585.52727272687</v>
      </c>
      <c r="AJ7" s="4">
        <f t="shared" si="4"/>
        <v>188855.74545454513</v>
      </c>
      <c r="AK7" s="4">
        <f t="shared" si="4"/>
        <v>190125.96363636339</v>
      </c>
      <c r="AL7" s="4">
        <f t="shared" si="4"/>
        <v>191396.18181818165</v>
      </c>
      <c r="AM7" s="4">
        <f t="shared" si="4"/>
        <v>192666.39999999991</v>
      </c>
      <c r="AN7" s="4">
        <f t="shared" si="4"/>
        <v>193936.61818181816</v>
      </c>
      <c r="AO7" s="4">
        <f t="shared" si="4"/>
        <v>195206.83636363596</v>
      </c>
      <c r="AP7" s="4">
        <f t="shared" si="4"/>
        <v>196477.05454545422</v>
      </c>
      <c r="AQ7" s="4">
        <f t="shared" si="4"/>
        <v>197747.27272727247</v>
      </c>
      <c r="AR7" s="4">
        <f t="shared" si="4"/>
        <v>199017.49090909073</v>
      </c>
      <c r="AS7" s="4">
        <f t="shared" si="4"/>
        <v>200287.70909090899</v>
      </c>
      <c r="AT7" s="4">
        <f t="shared" si="4"/>
        <v>201557.92727272725</v>
      </c>
    </row>
    <row r="8" spans="1:46">
      <c r="B8" s="4" t="s">
        <v>58</v>
      </c>
      <c r="C8" s="15">
        <f>C4/C7</f>
        <v>0.25316171671018278</v>
      </c>
      <c r="D8" s="15">
        <f t="shared" ref="D8:AT8" si="5">D4/D7</f>
        <v>0.26389086837015169</v>
      </c>
      <c r="E8" s="15">
        <f t="shared" si="5"/>
        <v>0.26423684104816358</v>
      </c>
      <c r="F8" s="15">
        <f t="shared" si="5"/>
        <v>0.25107328887561792</v>
      </c>
      <c r="G8" s="15">
        <f t="shared" si="5"/>
        <v>0.25520365576628451</v>
      </c>
      <c r="H8" s="15">
        <f t="shared" si="5"/>
        <v>0.25924563136252426</v>
      </c>
      <c r="I8" s="15">
        <f t="shared" si="5"/>
        <v>0.23426087297080306</v>
      </c>
      <c r="J8" s="15">
        <f t="shared" si="5"/>
        <v>0.23446669241044016</v>
      </c>
      <c r="K8" s="15">
        <f t="shared" si="5"/>
        <v>0.26740383216411634</v>
      </c>
      <c r="L8" s="15">
        <f t="shared" si="5"/>
        <v>0.26394321766561513</v>
      </c>
      <c r="M8" s="15">
        <f t="shared" si="5"/>
        <v>0.28726428263242049</v>
      </c>
      <c r="N8" s="15">
        <f t="shared" si="5"/>
        <v>0.2850561854244702</v>
      </c>
      <c r="O8" s="15">
        <f t="shared" si="5"/>
        <v>0.2763390393760346</v>
      </c>
      <c r="P8" s="15">
        <f t="shared" si="5"/>
        <v>0.28797298914652508</v>
      </c>
      <c r="Q8" s="15">
        <f t="shared" si="5"/>
        <v>0.27462358273888371</v>
      </c>
      <c r="R8" s="15">
        <f t="shared" si="5"/>
        <v>0.27583382457882161</v>
      </c>
      <c r="S8" s="15">
        <f t="shared" si="5"/>
        <v>0.26969701976604571</v>
      </c>
      <c r="T8" s="15">
        <f t="shared" si="5"/>
        <v>0.27068872923596798</v>
      </c>
      <c r="U8" s="15">
        <f t="shared" si="5"/>
        <v>0.27166560161453884</v>
      </c>
      <c r="V8" s="15">
        <f t="shared" si="5"/>
        <v>0.27262796739886619</v>
      </c>
      <c r="W8" s="15">
        <f t="shared" si="5"/>
        <v>0.27357614734261337</v>
      </c>
      <c r="X8" s="15">
        <f t="shared" si="5"/>
        <v>0.27451045281242908</v>
      </c>
      <c r="Y8" s="15">
        <f t="shared" si="5"/>
        <v>0.27543118612885192</v>
      </c>
      <c r="Z8" s="15">
        <f t="shared" si="5"/>
        <v>0.27633864089246063</v>
      </c>
      <c r="AA8" s="15">
        <f t="shared" si="5"/>
        <v>0.27723310229601239</v>
      </c>
      <c r="AB8" s="15">
        <f t="shared" si="5"/>
        <v>0.27811484742327369</v>
      </c>
      <c r="AC8" s="15">
        <f t="shared" si="5"/>
        <v>0.27898414553519352</v>
      </c>
      <c r="AD8" s="15">
        <f t="shared" si="5"/>
        <v>0.27984125834403961</v>
      </c>
      <c r="AE8" s="15">
        <f t="shared" si="5"/>
        <v>0.2806864402760938</v>
      </c>
      <c r="AF8" s="15">
        <f t="shared" si="5"/>
        <v>0.28151993872344616</v>
      </c>
      <c r="AG8" s="15">
        <f t="shared" si="5"/>
        <v>0.28234199428542184</v>
      </c>
      <c r="AH8" s="15">
        <f t="shared" si="5"/>
        <v>0.28315284100013394</v>
      </c>
      <c r="AI8" s="15">
        <f t="shared" si="5"/>
        <v>0.28395270656662419</v>
      </c>
      <c r="AJ8" s="15">
        <f t="shared" si="5"/>
        <v>0.28474181255804104</v>
      </c>
      <c r="AK8" s="15">
        <f t="shared" si="5"/>
        <v>0.28552037462627655</v>
      </c>
      <c r="AL8" s="15">
        <f t="shared" si="5"/>
        <v>0.28628860269844847</v>
      </c>
      <c r="AM8" s="15">
        <f t="shared" si="5"/>
        <v>0.28704670116561343</v>
      </c>
      <c r="AN8" s="15">
        <f t="shared" si="5"/>
        <v>0.28779486906406343</v>
      </c>
      <c r="AO8" s="15">
        <f t="shared" si="5"/>
        <v>0.28853330024954416</v>
      </c>
      <c r="AP8" s="15">
        <f t="shared" si="5"/>
        <v>0.28926218356471511</v>
      </c>
      <c r="AQ8" s="15">
        <f t="shared" si="5"/>
        <v>0.28998170300015624</v>
      </c>
      <c r="AR8" s="15">
        <f t="shared" si="5"/>
        <v>0.29069203784920861</v>
      </c>
      <c r="AS8" s="15">
        <f t="shared" si="5"/>
        <v>0.2913933628569228</v>
      </c>
      <c r="AT8" s="15">
        <f t="shared" si="5"/>
        <v>0.29208584836337581</v>
      </c>
    </row>
    <row r="9" spans="1:46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1:46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23" t="s">
        <v>59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spans="1:4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spans="1:4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N12" s="4" t="s">
        <v>60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spans="1:4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 t="s">
        <v>61</v>
      </c>
      <c r="S13" s="4" t="s">
        <v>62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spans="1:4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 t="s">
        <v>63</v>
      </c>
      <c r="O14" s="4"/>
      <c r="P14" s="4"/>
      <c r="Q14" s="4"/>
      <c r="R14" s="15">
        <f>(M4/C4)^(1/(M2-C2))-1</f>
        <v>1.9746171795336442E-2</v>
      </c>
      <c r="S14" s="15">
        <f>(M6/C6)^(1/(M2-C2))-1</f>
        <v>-0.10430709827305873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spans="1:4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64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spans="1:46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</row>
    <row r="17" spans="2:46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65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2:4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 t="s">
        <v>66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2:4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">
        <v>67</v>
      </c>
      <c r="O19" s="4"/>
      <c r="P19" s="4"/>
      <c r="Q19" s="4"/>
      <c r="R19" s="4"/>
      <c r="S19" s="4"/>
      <c r="T19" s="4"/>
      <c r="U19" s="4"/>
      <c r="V19" s="4"/>
      <c r="W19" s="22">
        <f>AT4/AT3</f>
        <v>0.46128334752715477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2:4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 t="s">
        <v>68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2:4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spans="2:46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spans="2:4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spans="2:4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spans="2:46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2:4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spans="2:4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2:4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46" spans="14:16">
      <c r="N46" s="4" t="s">
        <v>69</v>
      </c>
      <c r="O46" s="4"/>
    </row>
    <row r="47" spans="14:16">
      <c r="N47" s="4" t="s">
        <v>70</v>
      </c>
      <c r="O47" s="4" t="s">
        <v>71</v>
      </c>
    </row>
    <row r="48" spans="14:16">
      <c r="N48" s="4"/>
      <c r="P48" s="4" t="s">
        <v>72</v>
      </c>
    </row>
    <row r="49" spans="15:15">
      <c r="O49" s="4" t="s">
        <v>73</v>
      </c>
    </row>
  </sheetData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zoomScale="103" workbookViewId="0"/>
  </sheetViews>
  <sheetFormatPr defaultColWidth="8.7109375" defaultRowHeight="14.25"/>
  <cols>
    <col min="1" max="1" width="8.7109375" style="4"/>
    <col min="2" max="2" width="11.28515625" style="4" customWidth="1"/>
    <col min="3" max="16384" width="8.7109375" style="4"/>
  </cols>
  <sheetData>
    <row r="1" spans="1:2">
      <c r="A1" s="4" t="s">
        <v>74</v>
      </c>
    </row>
    <row r="2" spans="1:2">
      <c r="A2" s="4">
        <v>1</v>
      </c>
      <c r="B2" s="4" t="s">
        <v>75</v>
      </c>
    </row>
    <row r="3" spans="1:2">
      <c r="B3" s="25" t="s">
        <v>76</v>
      </c>
    </row>
    <row r="4" spans="1:2">
      <c r="B4" s="26" t="s">
        <v>77</v>
      </c>
    </row>
    <row r="6" spans="1:2">
      <c r="A6" s="4">
        <v>2</v>
      </c>
      <c r="B6" s="4" t="s">
        <v>78</v>
      </c>
    </row>
    <row r="7" spans="1:2">
      <c r="B7" s="26" t="s">
        <v>79</v>
      </c>
    </row>
    <row r="9" spans="1:2">
      <c r="A9" s="4">
        <v>3</v>
      </c>
      <c r="B9" s="4" t="s">
        <v>80</v>
      </c>
    </row>
    <row r="10" spans="1:2">
      <c r="B10" s="26" t="s">
        <v>81</v>
      </c>
    </row>
    <row r="12" spans="1:2">
      <c r="A12" s="4">
        <v>4</v>
      </c>
      <c r="B12" s="4" t="s">
        <v>82</v>
      </c>
    </row>
    <row r="14" spans="1:2">
      <c r="A14" s="4">
        <v>5</v>
      </c>
      <c r="B14" s="4" t="s">
        <v>83</v>
      </c>
    </row>
    <row r="15" spans="1:2">
      <c r="B15" s="26" t="s">
        <v>84</v>
      </c>
    </row>
    <row r="16" spans="1:2">
      <c r="B16" s="4" t="s">
        <v>85</v>
      </c>
    </row>
    <row r="17" spans="1:3">
      <c r="B17" s="26" t="s">
        <v>86</v>
      </c>
    </row>
    <row r="18" spans="1:3">
      <c r="B18" s="4" t="s">
        <v>87</v>
      </c>
    </row>
    <row r="20" spans="1:3">
      <c r="A20" s="4" t="s">
        <v>88</v>
      </c>
      <c r="B20" s="4" t="s">
        <v>89</v>
      </c>
      <c r="C20" s="4" t="s">
        <v>90</v>
      </c>
    </row>
    <row r="21" spans="1:3">
      <c r="B21" s="27" t="s">
        <v>91</v>
      </c>
      <c r="C21" s="27" t="s">
        <v>92</v>
      </c>
    </row>
    <row r="22" spans="1:3">
      <c r="B22" s="4" t="s">
        <v>93</v>
      </c>
      <c r="C22" s="27" t="s">
        <v>94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41"/>
  <sheetViews>
    <sheetView zoomScale="86" workbookViewId="0">
      <selection activeCell="P25" sqref="P25"/>
    </sheetView>
  </sheetViews>
  <sheetFormatPr defaultColWidth="8.7109375" defaultRowHeight="14.25"/>
  <cols>
    <col min="1" max="1" width="23.42578125" style="4" customWidth="1"/>
    <col min="2" max="2" width="13.7109375" style="4" customWidth="1"/>
    <col min="3" max="3" width="10.28515625" style="4" customWidth="1"/>
    <col min="4" max="4" width="12.42578125" style="4" customWidth="1"/>
    <col min="5" max="5" width="11.42578125" style="4" customWidth="1"/>
    <col min="6" max="7" width="8.85546875" style="4" bestFit="1" customWidth="1"/>
    <col min="8" max="8" width="13.7109375" style="4" bestFit="1" customWidth="1"/>
    <col min="9" max="9" width="8.85546875" style="4" bestFit="1" customWidth="1"/>
    <col min="10" max="10" width="13.7109375" style="4" bestFit="1" customWidth="1"/>
    <col min="11" max="14" width="8.85546875" style="4" bestFit="1" customWidth="1"/>
    <col min="15" max="15" width="8.7109375" style="4"/>
    <col min="16" max="16" width="12.85546875" style="4" customWidth="1"/>
    <col min="17" max="16384" width="8.7109375" style="4"/>
  </cols>
  <sheetData>
    <row r="1" spans="1:37" s="3" customFormat="1" ht="15">
      <c r="A1" s="16" t="s">
        <v>95</v>
      </c>
      <c r="B1" s="16">
        <v>2015</v>
      </c>
      <c r="C1" s="16">
        <v>2016</v>
      </c>
      <c r="D1" s="3">
        <v>2017</v>
      </c>
      <c r="E1" s="3">
        <v>2018</v>
      </c>
      <c r="F1" s="3">
        <v>2019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</row>
    <row r="2" spans="1:37">
      <c r="A2" s="9" t="s">
        <v>96</v>
      </c>
      <c r="B2" s="14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4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</row>
    <row r="3" spans="1:37">
      <c r="A3" s="9" t="s">
        <v>97</v>
      </c>
      <c r="B3" s="14"/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4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</row>
    <row r="4" spans="1:37">
      <c r="A4" s="9" t="s">
        <v>98</v>
      </c>
      <c r="B4" s="14">
        <v>1</v>
      </c>
      <c r="C4" s="14">
        <v>1</v>
      </c>
      <c r="D4" s="14">
        <v>1</v>
      </c>
      <c r="E4" s="14">
        <v>1</v>
      </c>
      <c r="F4" s="14">
        <v>1</v>
      </c>
      <c r="G4" s="14">
        <v>1</v>
      </c>
      <c r="H4" s="14">
        <v>1</v>
      </c>
      <c r="I4" s="14">
        <v>1</v>
      </c>
      <c r="J4" s="14">
        <v>1</v>
      </c>
      <c r="K4" s="14">
        <v>1</v>
      </c>
      <c r="L4" s="14">
        <v>1</v>
      </c>
      <c r="M4" s="14">
        <v>1</v>
      </c>
      <c r="N4" s="14">
        <v>1</v>
      </c>
      <c r="O4" s="14">
        <v>1</v>
      </c>
      <c r="P4" s="14">
        <v>1</v>
      </c>
      <c r="Q4" s="14">
        <v>1</v>
      </c>
      <c r="R4" s="14">
        <v>1</v>
      </c>
      <c r="S4" s="14">
        <v>1</v>
      </c>
      <c r="T4" s="14">
        <v>1</v>
      </c>
      <c r="U4" s="14">
        <v>1</v>
      </c>
      <c r="V4" s="28">
        <v>0</v>
      </c>
      <c r="W4" s="29">
        <f>TREND($D$20:$D$21,$A$20:$A$21,W$1)</f>
        <v>0</v>
      </c>
      <c r="X4" s="29">
        <f t="shared" ref="X4:AJ4" si="0">TREND($D$20:$D$21,$A$20:$A$21,X$1)</f>
        <v>0</v>
      </c>
      <c r="Y4" s="29">
        <f t="shared" si="0"/>
        <v>0</v>
      </c>
      <c r="Z4" s="29">
        <f t="shared" si="0"/>
        <v>0</v>
      </c>
      <c r="AA4" s="29">
        <f t="shared" si="0"/>
        <v>0</v>
      </c>
      <c r="AB4" s="29">
        <f t="shared" si="0"/>
        <v>0</v>
      </c>
      <c r="AC4" s="29">
        <f t="shared" si="0"/>
        <v>0</v>
      </c>
      <c r="AD4" s="29">
        <f t="shared" si="0"/>
        <v>0</v>
      </c>
      <c r="AE4" s="29">
        <f t="shared" si="0"/>
        <v>0</v>
      </c>
      <c r="AF4" s="29">
        <f t="shared" si="0"/>
        <v>0</v>
      </c>
      <c r="AG4" s="29">
        <f t="shared" si="0"/>
        <v>0</v>
      </c>
      <c r="AH4" s="29">
        <f t="shared" si="0"/>
        <v>0</v>
      </c>
      <c r="AI4" s="29">
        <f t="shared" si="0"/>
        <v>0</v>
      </c>
      <c r="AJ4" s="29">
        <f t="shared" si="0"/>
        <v>0</v>
      </c>
      <c r="AK4" s="29">
        <v>0</v>
      </c>
    </row>
    <row r="5" spans="1:37">
      <c r="A5" s="9" t="s">
        <v>99</v>
      </c>
      <c r="B5" s="14"/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4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 spans="1:37">
      <c r="A6" s="9" t="s">
        <v>100</v>
      </c>
      <c r="B6" s="14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4"/>
      <c r="R6" s="15"/>
      <c r="S6" s="15"/>
      <c r="T6" s="15"/>
      <c r="U6" s="15"/>
      <c r="V6" s="29">
        <v>1</v>
      </c>
      <c r="W6" s="15">
        <f>TREND($F$20:$F$21,$A$20:$A$21,W$1)</f>
        <v>1</v>
      </c>
      <c r="X6" s="15">
        <f t="shared" ref="X6:AJ6" si="1">TREND($F$20:$F$21,$A$20:$A$21,X$1)</f>
        <v>1</v>
      </c>
      <c r="Y6" s="15">
        <f t="shared" si="1"/>
        <v>1</v>
      </c>
      <c r="Z6" s="15">
        <f t="shared" si="1"/>
        <v>1</v>
      </c>
      <c r="AA6" s="15">
        <f t="shared" si="1"/>
        <v>1</v>
      </c>
      <c r="AB6" s="15">
        <f t="shared" si="1"/>
        <v>1</v>
      </c>
      <c r="AC6" s="15">
        <f t="shared" si="1"/>
        <v>1</v>
      </c>
      <c r="AD6" s="15">
        <f t="shared" si="1"/>
        <v>1</v>
      </c>
      <c r="AE6" s="15">
        <f t="shared" si="1"/>
        <v>1</v>
      </c>
      <c r="AF6" s="15">
        <f t="shared" si="1"/>
        <v>1</v>
      </c>
      <c r="AG6" s="15">
        <f t="shared" si="1"/>
        <v>1</v>
      </c>
      <c r="AH6" s="15">
        <f t="shared" si="1"/>
        <v>1</v>
      </c>
      <c r="AI6" s="15">
        <f t="shared" si="1"/>
        <v>1</v>
      </c>
      <c r="AJ6" s="15">
        <f t="shared" si="1"/>
        <v>1</v>
      </c>
      <c r="AK6" s="29">
        <v>1</v>
      </c>
    </row>
    <row r="7" spans="1:37">
      <c r="A7" s="9" t="s">
        <v>101</v>
      </c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4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</row>
    <row r="8" spans="1:37">
      <c r="A8" s="9" t="s">
        <v>102</v>
      </c>
      <c r="B8" s="14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4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</row>
    <row r="9" spans="1:37">
      <c r="A9" s="9" t="s">
        <v>103</v>
      </c>
      <c r="B9" s="14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4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 spans="1:37">
      <c r="A10" s="9" t="s">
        <v>104</v>
      </c>
      <c r="B10" s="14"/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4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</row>
    <row r="11" spans="1:37">
      <c r="A11" s="9" t="s">
        <v>105</v>
      </c>
      <c r="B11" s="14"/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4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 spans="1:37">
      <c r="A12" s="9" t="s">
        <v>106</v>
      </c>
      <c r="B12" s="14"/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4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 spans="1:37">
      <c r="A13" s="9" t="s">
        <v>107</v>
      </c>
      <c r="B13" s="14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4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 spans="1:37">
      <c r="A14" s="9" t="s">
        <v>108</v>
      </c>
      <c r="B14" s="14"/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4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 spans="1:37">
      <c r="A15" s="9"/>
      <c r="B15" s="14"/>
      <c r="C15" s="14"/>
      <c r="Q15" s="14"/>
      <c r="AK15" s="15"/>
    </row>
    <row r="16" spans="1:37" ht="15">
      <c r="A16" s="16" t="s">
        <v>109</v>
      </c>
      <c r="B16" s="14"/>
      <c r="C16" s="14"/>
      <c r="Q16" s="14"/>
      <c r="AK16" s="15"/>
    </row>
    <row r="17" spans="1:37">
      <c r="A17" s="9" t="str">
        <f t="array" ref="A17:N19">TRANSPOSE(A1:C14)</f>
        <v>Fuel Type</v>
      </c>
      <c r="B17" s="14" t="str">
        <v>hard coal</v>
      </c>
      <c r="C17" s="14" t="str">
        <v>natural gas nonpeaker</v>
      </c>
      <c r="D17" s="4" t="str">
        <v>nuclear</v>
      </c>
      <c r="E17" s="4" t="str">
        <v>hydro</v>
      </c>
      <c r="F17" s="4" t="str">
        <v>onshore wind</v>
      </c>
      <c r="G17" s="4" t="str">
        <v>solar PV</v>
      </c>
      <c r="H17" s="4" t="str">
        <v>solar thermal</v>
      </c>
      <c r="I17" s="4" t="str">
        <v>biomass</v>
      </c>
      <c r="J17" s="4" t="str">
        <v>geothermal</v>
      </c>
      <c r="K17" s="4" t="str">
        <v>petroleum</v>
      </c>
      <c r="L17" s="4" t="str">
        <v>natural gas peaker</v>
      </c>
      <c r="M17" s="4" t="str">
        <v>lignite</v>
      </c>
      <c r="N17" s="4" t="str">
        <v>offshore wind</v>
      </c>
      <c r="Q17" s="14"/>
      <c r="AK17" s="15"/>
    </row>
    <row r="18" spans="1:37">
      <c r="A18" s="9">
        <v>2015</v>
      </c>
      <c r="B18" s="17">
        <v>0</v>
      </c>
      <c r="C18" s="17">
        <v>0</v>
      </c>
      <c r="D18" s="15">
        <v>1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/>
      <c r="Q18" s="14"/>
      <c r="AK18" s="15"/>
    </row>
    <row r="19" spans="1:37">
      <c r="A19" s="9">
        <v>2016</v>
      </c>
      <c r="B19" s="17">
        <v>0</v>
      </c>
      <c r="C19" s="17">
        <v>0</v>
      </c>
      <c r="D19" s="15">
        <v>1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/>
      <c r="Q19" s="14"/>
      <c r="AK19" s="15"/>
    </row>
    <row r="20" spans="1:37">
      <c r="A20" s="9">
        <f t="array" ref="A20:O20">TRANSPOSE(V1:V14)</f>
        <v>2035</v>
      </c>
      <c r="B20" s="17">
        <v>0</v>
      </c>
      <c r="C20" s="17">
        <v>0</v>
      </c>
      <c r="D20" s="15">
        <v>0</v>
      </c>
      <c r="E20" s="15">
        <v>0</v>
      </c>
      <c r="F20" s="15">
        <v>1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 t="e">
        <v>#N/A</v>
      </c>
      <c r="Q20" s="14"/>
      <c r="AK20" s="15"/>
    </row>
    <row r="21" spans="1:37">
      <c r="A21" s="9">
        <f t="array" ref="A21:O21">TRANSPOSE(AK1:AK14)</f>
        <v>2050</v>
      </c>
      <c r="B21" s="17">
        <v>0</v>
      </c>
      <c r="C21" s="17">
        <v>0</v>
      </c>
      <c r="D21" s="17">
        <v>0</v>
      </c>
      <c r="E21" s="17">
        <v>0</v>
      </c>
      <c r="F21" s="17">
        <v>1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 t="e">
        <v>#N/A</v>
      </c>
      <c r="Q21" s="14"/>
      <c r="AK21" s="15"/>
    </row>
    <row r="22" spans="1:37">
      <c r="A22" s="9"/>
      <c r="B22" s="14"/>
      <c r="C22" s="14"/>
      <c r="Q22" s="14"/>
      <c r="AK22" s="15"/>
    </row>
    <row r="23" spans="1:37" customFormat="1" ht="15"/>
    <row r="24" spans="1:37" ht="15">
      <c r="A24" s="3"/>
      <c r="P24" s="3"/>
    </row>
    <row r="25" spans="1:37">
      <c r="A25" s="9"/>
      <c r="B25" s="9"/>
      <c r="C25" s="9"/>
      <c r="P25" s="9"/>
      <c r="Q25" s="9"/>
      <c r="R25" s="9"/>
    </row>
    <row r="26" spans="1:37">
      <c r="A26" s="9"/>
      <c r="B26" s="9"/>
      <c r="C26" s="9"/>
      <c r="P26" s="9"/>
      <c r="Q26" s="9"/>
      <c r="R26" s="9"/>
    </row>
    <row r="27" spans="1:37">
      <c r="A27" s="9"/>
      <c r="B27" s="9"/>
      <c r="C27" s="9"/>
      <c r="P27" s="9"/>
      <c r="Q27" s="9"/>
      <c r="R27" s="9"/>
    </row>
    <row r="28" spans="1:37">
      <c r="A28" s="9"/>
      <c r="B28" s="9"/>
      <c r="C28" s="9"/>
      <c r="P28" s="9"/>
      <c r="Q28" s="9"/>
      <c r="R28" s="9"/>
    </row>
    <row r="29" spans="1:37">
      <c r="A29" s="9"/>
      <c r="B29" s="9"/>
      <c r="C29" s="9"/>
      <c r="P29" s="9"/>
      <c r="Q29" s="9"/>
      <c r="R29" s="9"/>
    </row>
    <row r="30" spans="1:37">
      <c r="A30" s="9"/>
      <c r="B30" s="9"/>
      <c r="C30" s="9"/>
      <c r="P30" s="9"/>
      <c r="Q30" s="9"/>
      <c r="R30" s="9"/>
    </row>
    <row r="31" spans="1:37">
      <c r="A31" s="9"/>
      <c r="B31" s="9"/>
      <c r="C31" s="9"/>
      <c r="P31" s="9"/>
      <c r="Q31" s="9"/>
      <c r="R31" s="9"/>
    </row>
    <row r="32" spans="1:37">
      <c r="A32" s="9"/>
      <c r="B32" s="9"/>
      <c r="C32" s="9"/>
      <c r="P32" s="9"/>
      <c r="Q32" s="9"/>
      <c r="R32" s="9"/>
    </row>
    <row r="33" spans="1:18">
      <c r="A33" s="9"/>
      <c r="B33" s="9"/>
      <c r="C33" s="9"/>
      <c r="P33" s="9"/>
      <c r="Q33" s="9"/>
      <c r="R33" s="9"/>
    </row>
    <row r="34" spans="1:18">
      <c r="A34" s="9"/>
      <c r="B34" s="9"/>
      <c r="C34" s="9"/>
      <c r="P34" s="9"/>
      <c r="Q34" s="9"/>
      <c r="R34" s="9"/>
    </row>
    <row r="35" spans="1:18">
      <c r="A35" s="9"/>
      <c r="B35" s="9"/>
      <c r="C35" s="9"/>
      <c r="P35" s="9"/>
      <c r="Q35" s="9"/>
      <c r="R35" s="9"/>
    </row>
    <row r="36" spans="1:18">
      <c r="A36" s="9"/>
      <c r="B36" s="9"/>
      <c r="C36" s="9"/>
      <c r="P36" s="9"/>
      <c r="Q36" s="9"/>
      <c r="R36" s="9"/>
    </row>
    <row r="37" spans="1:18">
      <c r="A37" s="9"/>
      <c r="B37" s="9"/>
      <c r="C37" s="9"/>
      <c r="P37" s="9"/>
      <c r="Q37" s="9"/>
      <c r="R37" s="9"/>
    </row>
    <row r="38" spans="1:18">
      <c r="A38" s="9"/>
      <c r="B38" s="9"/>
      <c r="C38" s="9"/>
      <c r="P38" s="9"/>
      <c r="Q38" s="9"/>
      <c r="R38" s="9"/>
    </row>
    <row r="39" spans="1:18">
      <c r="A39" s="9"/>
      <c r="P39" s="9"/>
    </row>
    <row r="41" spans="1:18" ht="15">
      <c r="A41" s="3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41"/>
  <sheetViews>
    <sheetView zoomScale="73" workbookViewId="0">
      <selection activeCell="J25" sqref="J25"/>
    </sheetView>
  </sheetViews>
  <sheetFormatPr defaultColWidth="8.7109375" defaultRowHeight="14.25"/>
  <cols>
    <col min="1" max="1" width="23.42578125" style="4" customWidth="1"/>
    <col min="2" max="2" width="13.7109375" style="4" customWidth="1"/>
    <col min="3" max="3" width="10.28515625" style="4" customWidth="1"/>
    <col min="4" max="4" width="12.42578125" style="4" customWidth="1"/>
    <col min="5" max="5" width="11.42578125" style="4" customWidth="1"/>
    <col min="6" max="7" width="8.85546875" style="4" bestFit="1" customWidth="1"/>
    <col min="8" max="8" width="13.7109375" style="4" bestFit="1" customWidth="1"/>
    <col min="9" max="9" width="8.85546875" style="4" bestFit="1" customWidth="1"/>
    <col min="10" max="10" width="13.7109375" style="4" bestFit="1" customWidth="1"/>
    <col min="11" max="14" width="8.85546875" style="4" bestFit="1" customWidth="1"/>
    <col min="15" max="15" width="8.7109375" style="4"/>
    <col min="16" max="16" width="12.85546875" style="4" customWidth="1"/>
    <col min="17" max="16384" width="8.7109375" style="4"/>
  </cols>
  <sheetData>
    <row r="1" spans="1:37" s="3" customFormat="1" ht="15">
      <c r="A1" s="16" t="s">
        <v>95</v>
      </c>
      <c r="B1" s="16">
        <v>2015</v>
      </c>
      <c r="C1" s="16">
        <v>2016</v>
      </c>
      <c r="D1" s="3">
        <v>2017</v>
      </c>
      <c r="E1" s="3">
        <v>2018</v>
      </c>
      <c r="F1" s="3">
        <v>2019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</row>
    <row r="2" spans="1:37">
      <c r="A2" s="9" t="s">
        <v>96</v>
      </c>
      <c r="B2" s="14">
        <f>B26/B$39</f>
        <v>0.70125155409620077</v>
      </c>
      <c r="C2" s="14">
        <f>C26/C$39</f>
        <v>0.68218992405147982</v>
      </c>
      <c r="D2" s="15">
        <f t="shared" ref="D2:P2" si="0">TREND($B$18:$B$20,$A$18:$A$20,D$1)</f>
        <v>0.66869845383918047</v>
      </c>
      <c r="E2" s="15">
        <f t="shared" si="0"/>
        <v>0.65330806550219478</v>
      </c>
      <c r="F2" s="15">
        <f t="shared" si="0"/>
        <v>0.63791767716520553</v>
      </c>
      <c r="G2" s="15">
        <f t="shared" si="0"/>
        <v>0.62252728882821984</v>
      </c>
      <c r="H2" s="15">
        <f t="shared" si="0"/>
        <v>0.60713690049123414</v>
      </c>
      <c r="I2" s="15">
        <f t="shared" si="0"/>
        <v>0.5917465121542449</v>
      </c>
      <c r="J2" s="15">
        <f t="shared" si="0"/>
        <v>0.5763561238172592</v>
      </c>
      <c r="K2" s="15">
        <f t="shared" si="0"/>
        <v>0.56096573548027351</v>
      </c>
      <c r="L2" s="15">
        <f t="shared" si="0"/>
        <v>0.54557534714328426</v>
      </c>
      <c r="M2" s="15">
        <f t="shared" si="0"/>
        <v>0.53018495880629857</v>
      </c>
      <c r="N2" s="15">
        <f t="shared" si="0"/>
        <v>0.51479457046931287</v>
      </c>
      <c r="O2" s="15">
        <f t="shared" si="0"/>
        <v>0.49940418213232363</v>
      </c>
      <c r="P2" s="15">
        <f t="shared" si="0"/>
        <v>0.48401379379533793</v>
      </c>
      <c r="Q2" s="14">
        <f>Q26/Q$39</f>
        <v>0.46875000000000011</v>
      </c>
      <c r="R2" s="15">
        <f t="shared" ref="R2:AJ2" si="1">TREND($B$20:$B$21,$A$20:$A$21,R$1)</f>
        <v>0.45251588983051505</v>
      </c>
      <c r="S2" s="15">
        <f t="shared" si="1"/>
        <v>0.43628177966102299</v>
      </c>
      <c r="T2" s="15">
        <f t="shared" si="1"/>
        <v>0.42004766949153094</v>
      </c>
      <c r="U2" s="15">
        <f t="shared" si="1"/>
        <v>0.40381355932203888</v>
      </c>
      <c r="V2" s="15">
        <f t="shared" si="1"/>
        <v>0.38757944915254683</v>
      </c>
      <c r="W2" s="15">
        <f t="shared" si="1"/>
        <v>0.37134533898305477</v>
      </c>
      <c r="X2" s="15">
        <f t="shared" si="1"/>
        <v>0.35511122881356272</v>
      </c>
      <c r="Y2" s="15">
        <f t="shared" si="1"/>
        <v>0.33887711864407066</v>
      </c>
      <c r="Z2" s="15">
        <f t="shared" si="1"/>
        <v>0.32264300847457861</v>
      </c>
      <c r="AA2" s="15">
        <f t="shared" si="1"/>
        <v>0.30640889830508655</v>
      </c>
      <c r="AB2" s="15">
        <f t="shared" si="1"/>
        <v>0.2901747881355945</v>
      </c>
      <c r="AC2" s="15">
        <f t="shared" si="1"/>
        <v>0.27394067796610955</v>
      </c>
      <c r="AD2" s="15">
        <f t="shared" si="1"/>
        <v>0.25770656779661749</v>
      </c>
      <c r="AE2" s="15">
        <f t="shared" si="1"/>
        <v>0.24147245762712544</v>
      </c>
      <c r="AF2" s="15">
        <f t="shared" si="1"/>
        <v>0.22523834745763338</v>
      </c>
      <c r="AG2" s="15">
        <f t="shared" si="1"/>
        <v>0.20900423728814133</v>
      </c>
      <c r="AH2" s="15">
        <f t="shared" si="1"/>
        <v>0.19277012711864927</v>
      </c>
      <c r="AI2" s="15">
        <f t="shared" si="1"/>
        <v>0.17653601694915722</v>
      </c>
      <c r="AJ2" s="15">
        <f t="shared" si="1"/>
        <v>0.16030190677966516</v>
      </c>
      <c r="AK2" s="15">
        <f>R26/R$39</f>
        <v>0.14406779661016947</v>
      </c>
    </row>
    <row r="3" spans="1:37">
      <c r="A3" s="9" t="s">
        <v>97</v>
      </c>
      <c r="B3" s="14">
        <f t="shared" ref="B3:C14" si="2">B27/B$39</f>
        <v>0</v>
      </c>
      <c r="C3" s="14">
        <f t="shared" si="2"/>
        <v>0</v>
      </c>
      <c r="D3" s="15">
        <f t="shared" ref="D3:P3" si="3">TREND($C$18:$C$20,$A$18:$A$20,D$1)</f>
        <v>0</v>
      </c>
      <c r="E3" s="15">
        <f t="shared" si="3"/>
        <v>0</v>
      </c>
      <c r="F3" s="15">
        <f t="shared" si="3"/>
        <v>0</v>
      </c>
      <c r="G3" s="15">
        <f t="shared" si="3"/>
        <v>0</v>
      </c>
      <c r="H3" s="15">
        <f t="shared" si="3"/>
        <v>0</v>
      </c>
      <c r="I3" s="15">
        <f t="shared" si="3"/>
        <v>0</v>
      </c>
      <c r="J3" s="15">
        <f t="shared" si="3"/>
        <v>0</v>
      </c>
      <c r="K3" s="15">
        <f t="shared" si="3"/>
        <v>0</v>
      </c>
      <c r="L3" s="15">
        <f t="shared" si="3"/>
        <v>0</v>
      </c>
      <c r="M3" s="15">
        <f t="shared" si="3"/>
        <v>0</v>
      </c>
      <c r="N3" s="15">
        <f t="shared" si="3"/>
        <v>0</v>
      </c>
      <c r="O3" s="15">
        <f t="shared" si="3"/>
        <v>0</v>
      </c>
      <c r="P3" s="15">
        <f t="shared" si="3"/>
        <v>0</v>
      </c>
      <c r="Q3" s="14">
        <f>Q27/Q$39</f>
        <v>0</v>
      </c>
      <c r="R3" s="15">
        <f t="shared" ref="R3:AJ3" si="4">TREND($C$20:$C$21,$A$20:$A$21,R$1)</f>
        <v>0</v>
      </c>
      <c r="S3" s="15">
        <f t="shared" si="4"/>
        <v>0</v>
      </c>
      <c r="T3" s="15">
        <f t="shared" si="4"/>
        <v>0</v>
      </c>
      <c r="U3" s="15">
        <f t="shared" si="4"/>
        <v>0</v>
      </c>
      <c r="V3" s="15">
        <f t="shared" si="4"/>
        <v>0</v>
      </c>
      <c r="W3" s="15">
        <f t="shared" si="4"/>
        <v>0</v>
      </c>
      <c r="X3" s="15">
        <f t="shared" si="4"/>
        <v>0</v>
      </c>
      <c r="Y3" s="15">
        <f t="shared" si="4"/>
        <v>0</v>
      </c>
      <c r="Z3" s="15">
        <f t="shared" si="4"/>
        <v>0</v>
      </c>
      <c r="AA3" s="15">
        <f t="shared" si="4"/>
        <v>0</v>
      </c>
      <c r="AB3" s="15">
        <f t="shared" si="4"/>
        <v>0</v>
      </c>
      <c r="AC3" s="15">
        <f t="shared" si="4"/>
        <v>0</v>
      </c>
      <c r="AD3" s="15">
        <f t="shared" si="4"/>
        <v>0</v>
      </c>
      <c r="AE3" s="15">
        <f t="shared" si="4"/>
        <v>0</v>
      </c>
      <c r="AF3" s="15">
        <f t="shared" si="4"/>
        <v>0</v>
      </c>
      <c r="AG3" s="15">
        <f t="shared" si="4"/>
        <v>0</v>
      </c>
      <c r="AH3" s="15">
        <f t="shared" si="4"/>
        <v>0</v>
      </c>
      <c r="AI3" s="15">
        <f t="shared" si="4"/>
        <v>0</v>
      </c>
      <c r="AJ3" s="15">
        <f t="shared" si="4"/>
        <v>0</v>
      </c>
      <c r="AK3" s="15">
        <f t="shared" ref="AK3:AK13" si="5">R27/R$39</f>
        <v>0</v>
      </c>
    </row>
    <row r="4" spans="1:37">
      <c r="A4" s="9" t="s">
        <v>98</v>
      </c>
      <c r="B4" s="14">
        <f t="shared" si="2"/>
        <v>2.9147292907348132E-2</v>
      </c>
      <c r="C4" s="14">
        <f t="shared" si="2"/>
        <v>3.4302117629500396E-2</v>
      </c>
      <c r="D4" s="15">
        <f t="shared" ref="D4:P4" si="6">TREND($D$18:$D$20,$A$18:$A$20,D$1)</f>
        <v>3.9216819434093608E-2</v>
      </c>
      <c r="E4" s="15">
        <f t="shared" si="6"/>
        <v>4.4213381324217593E-2</v>
      </c>
      <c r="F4" s="15">
        <f t="shared" si="6"/>
        <v>4.9209943214339802E-2</v>
      </c>
      <c r="G4" s="15">
        <f t="shared" si="6"/>
        <v>5.4206505104463787E-2</v>
      </c>
      <c r="H4" s="15">
        <f t="shared" si="6"/>
        <v>5.9203066994587772E-2</v>
      </c>
      <c r="I4" s="15">
        <f t="shared" si="6"/>
        <v>6.4199628884711757E-2</v>
      </c>
      <c r="J4" s="15">
        <f t="shared" si="6"/>
        <v>6.9196190774835742E-2</v>
      </c>
      <c r="K4" s="15">
        <f t="shared" si="6"/>
        <v>7.4192752664959727E-2</v>
      </c>
      <c r="L4" s="15">
        <f t="shared" si="6"/>
        <v>7.9189314555083712E-2</v>
      </c>
      <c r="M4" s="15">
        <f t="shared" si="6"/>
        <v>8.4185876445207697E-2</v>
      </c>
      <c r="N4" s="15">
        <f t="shared" si="6"/>
        <v>8.9182438335331682E-2</v>
      </c>
      <c r="O4" s="15">
        <f t="shared" si="6"/>
        <v>9.4179000225455667E-2</v>
      </c>
      <c r="P4" s="15">
        <f t="shared" si="6"/>
        <v>9.9175562115579652E-2</v>
      </c>
      <c r="Q4" s="14">
        <f>Q28/Q$39</f>
        <v>0.10416666666666669</v>
      </c>
      <c r="R4" s="15">
        <f t="shared" ref="R4:AJ4" si="7">TREND($D$20:$D$21,$A$20:$A$21,R$1)</f>
        <v>0.10658545197740121</v>
      </c>
      <c r="S4" s="15">
        <f t="shared" si="7"/>
        <v>0.10900423728813546</v>
      </c>
      <c r="T4" s="15">
        <f t="shared" si="7"/>
        <v>0.11142302259886971</v>
      </c>
      <c r="U4" s="15">
        <f t="shared" si="7"/>
        <v>0.11384180790960485</v>
      </c>
      <c r="V4" s="15">
        <f t="shared" si="7"/>
        <v>0.1162605932203391</v>
      </c>
      <c r="W4" s="15">
        <f t="shared" si="7"/>
        <v>0.11867937853107335</v>
      </c>
      <c r="X4" s="15">
        <f t="shared" si="7"/>
        <v>0.1210981638418076</v>
      </c>
      <c r="Y4" s="15">
        <f t="shared" si="7"/>
        <v>0.12351694915254274</v>
      </c>
      <c r="Z4" s="15">
        <f t="shared" si="7"/>
        <v>0.12593573446327699</v>
      </c>
      <c r="AA4" s="15">
        <f t="shared" si="7"/>
        <v>0.12835451977401124</v>
      </c>
      <c r="AB4" s="15">
        <f t="shared" si="7"/>
        <v>0.13077330508474549</v>
      </c>
      <c r="AC4" s="15">
        <f t="shared" si="7"/>
        <v>0.13319209039548063</v>
      </c>
      <c r="AD4" s="15">
        <f t="shared" si="7"/>
        <v>0.13561087570621488</v>
      </c>
      <c r="AE4" s="15">
        <f t="shared" si="7"/>
        <v>0.13802966101694913</v>
      </c>
      <c r="AF4" s="15">
        <f t="shared" si="7"/>
        <v>0.14044844632768338</v>
      </c>
      <c r="AG4" s="15">
        <f t="shared" si="7"/>
        <v>0.14286723163841852</v>
      </c>
      <c r="AH4" s="15">
        <f t="shared" si="7"/>
        <v>0.14528601694915277</v>
      </c>
      <c r="AI4" s="15">
        <f t="shared" si="7"/>
        <v>0.14770480225988702</v>
      </c>
      <c r="AJ4" s="15">
        <f t="shared" si="7"/>
        <v>0.15012358757062128</v>
      </c>
      <c r="AK4" s="15">
        <f t="shared" si="5"/>
        <v>0.15254237288135591</v>
      </c>
    </row>
    <row r="5" spans="1:37">
      <c r="A5" s="9" t="s">
        <v>99</v>
      </c>
      <c r="B5" s="14">
        <f t="shared" si="2"/>
        <v>0.19289480443347273</v>
      </c>
      <c r="C5" s="14">
        <f t="shared" si="2"/>
        <v>0.19192569319268124</v>
      </c>
      <c r="D5" s="15">
        <f t="shared" ref="D5:P5" si="8">TREND($E$18:$E$20,$A$18:$A$20,D$1)</f>
        <v>0.1908236641569041</v>
      </c>
      <c r="E5" s="15">
        <f t="shared" si="8"/>
        <v>0.18976694800578153</v>
      </c>
      <c r="F5" s="15">
        <f t="shared" si="8"/>
        <v>0.18871023185465896</v>
      </c>
      <c r="G5" s="15">
        <f t="shared" si="8"/>
        <v>0.18765351570353639</v>
      </c>
      <c r="H5" s="15">
        <f t="shared" si="8"/>
        <v>0.18659679955241382</v>
      </c>
      <c r="I5" s="15">
        <f t="shared" si="8"/>
        <v>0.18554008340129124</v>
      </c>
      <c r="J5" s="15">
        <f t="shared" si="8"/>
        <v>0.18448336725016867</v>
      </c>
      <c r="K5" s="15">
        <f t="shared" si="8"/>
        <v>0.18342665109904566</v>
      </c>
      <c r="L5" s="15">
        <f t="shared" si="8"/>
        <v>0.18236993494792308</v>
      </c>
      <c r="M5" s="15">
        <f t="shared" si="8"/>
        <v>0.18131321879680051</v>
      </c>
      <c r="N5" s="15">
        <f t="shared" si="8"/>
        <v>0.18025650264567794</v>
      </c>
      <c r="O5" s="15">
        <f t="shared" si="8"/>
        <v>0.17919978649455537</v>
      </c>
      <c r="P5" s="15">
        <f t="shared" si="8"/>
        <v>0.1781430703434328</v>
      </c>
      <c r="Q5" s="14">
        <f>Q29/Q$39</f>
        <v>0.17708333333333337</v>
      </c>
      <c r="R5" s="15">
        <f t="shared" ref="R5:AJ5" si="9">TREND($E$20:$E$21,$A$20:$A$21,R$1)</f>
        <v>0.17670374293785307</v>
      </c>
      <c r="S5" s="15">
        <f t="shared" si="9"/>
        <v>0.17632415254237288</v>
      </c>
      <c r="T5" s="15">
        <f t="shared" si="9"/>
        <v>0.17594456214689258</v>
      </c>
      <c r="U5" s="15">
        <f t="shared" si="9"/>
        <v>0.17556497175141239</v>
      </c>
      <c r="V5" s="15">
        <f t="shared" si="9"/>
        <v>0.1751853813559322</v>
      </c>
      <c r="W5" s="15">
        <f t="shared" si="9"/>
        <v>0.1748057909604519</v>
      </c>
      <c r="X5" s="15">
        <f t="shared" si="9"/>
        <v>0.17442620056497171</v>
      </c>
      <c r="Y5" s="15">
        <f t="shared" si="9"/>
        <v>0.17404661016949141</v>
      </c>
      <c r="Z5" s="15">
        <f t="shared" si="9"/>
        <v>0.17366701977401122</v>
      </c>
      <c r="AA5" s="15">
        <f t="shared" si="9"/>
        <v>0.17328742937853103</v>
      </c>
      <c r="AB5" s="15">
        <f t="shared" si="9"/>
        <v>0.17290783898305073</v>
      </c>
      <c r="AC5" s="15">
        <f t="shared" si="9"/>
        <v>0.17252824858757054</v>
      </c>
      <c r="AD5" s="15">
        <f t="shared" si="9"/>
        <v>0.17214865819209035</v>
      </c>
      <c r="AE5" s="15">
        <f t="shared" si="9"/>
        <v>0.17176906779661005</v>
      </c>
      <c r="AF5" s="15">
        <f t="shared" si="9"/>
        <v>0.17138947740112986</v>
      </c>
      <c r="AG5" s="15">
        <f t="shared" si="9"/>
        <v>0.17100988700564967</v>
      </c>
      <c r="AH5" s="15">
        <f t="shared" si="9"/>
        <v>0.17063029661016937</v>
      </c>
      <c r="AI5" s="15">
        <f t="shared" si="9"/>
        <v>0.17025070621468918</v>
      </c>
      <c r="AJ5" s="15">
        <f t="shared" si="9"/>
        <v>0.169871115819209</v>
      </c>
      <c r="AK5" s="15">
        <f t="shared" si="5"/>
        <v>0.16949152542372881</v>
      </c>
    </row>
    <row r="6" spans="1:37">
      <c r="A6" s="9" t="s">
        <v>100</v>
      </c>
      <c r="B6" s="14">
        <f t="shared" si="2"/>
        <v>3.170330650232997E-2</v>
      </c>
      <c r="C6" s="14">
        <f t="shared" si="2"/>
        <v>3.8127205730041157E-2</v>
      </c>
      <c r="D6" s="15">
        <f t="shared" ref="D6:P6" si="10">TREND($F$18:$F$20,$A$18:$A$20,D$1)</f>
        <v>4.3145767730916162E-2</v>
      </c>
      <c r="E6" s="15">
        <f t="shared" si="10"/>
        <v>4.8643421968213474E-2</v>
      </c>
      <c r="F6" s="15">
        <f t="shared" si="10"/>
        <v>5.4141076205509009E-2</v>
      </c>
      <c r="G6" s="15">
        <f t="shared" si="10"/>
        <v>5.9638730442804544E-2</v>
      </c>
      <c r="H6" s="15">
        <f t="shared" si="10"/>
        <v>6.5136384680100079E-2</v>
      </c>
      <c r="I6" s="15">
        <f t="shared" si="10"/>
        <v>7.0634038917395614E-2</v>
      </c>
      <c r="J6" s="15">
        <f t="shared" si="10"/>
        <v>7.6131693154691149E-2</v>
      </c>
      <c r="K6" s="15">
        <f t="shared" si="10"/>
        <v>8.162934739198846E-2</v>
      </c>
      <c r="L6" s="15">
        <f t="shared" si="10"/>
        <v>8.7127001629283995E-2</v>
      </c>
      <c r="M6" s="15">
        <f t="shared" si="10"/>
        <v>9.2624655866579531E-2</v>
      </c>
      <c r="N6" s="15">
        <f t="shared" si="10"/>
        <v>9.8122310103875066E-2</v>
      </c>
      <c r="O6" s="15">
        <f t="shared" si="10"/>
        <v>0.1036199643411706</v>
      </c>
      <c r="P6" s="15">
        <f t="shared" si="10"/>
        <v>0.10911761857846791</v>
      </c>
      <c r="Q6" s="14">
        <f>(Q30+Q38)/Q$39</f>
        <v>0.11458333333333337</v>
      </c>
      <c r="R6" s="15">
        <f t="shared" ref="R6:AJ6" si="11">TREND($F$20:$F$21,$A$20:$A$21,R$1)</f>
        <v>0.11987111581920828</v>
      </c>
      <c r="S6" s="15">
        <f t="shared" si="11"/>
        <v>0.12515889830508442</v>
      </c>
      <c r="T6" s="15">
        <f t="shared" si="11"/>
        <v>0.13044668079096056</v>
      </c>
      <c r="U6" s="15">
        <f t="shared" si="11"/>
        <v>0.13573446327683492</v>
      </c>
      <c r="V6" s="15">
        <f t="shared" si="11"/>
        <v>0.14102224576271105</v>
      </c>
      <c r="W6" s="15">
        <f t="shared" si="11"/>
        <v>0.14631002824858719</v>
      </c>
      <c r="X6" s="15">
        <f t="shared" si="11"/>
        <v>0.15159781073446332</v>
      </c>
      <c r="Y6" s="15">
        <f t="shared" si="11"/>
        <v>0.15688559322033768</v>
      </c>
      <c r="Z6" s="15">
        <f t="shared" si="11"/>
        <v>0.16217337570621382</v>
      </c>
      <c r="AA6" s="15">
        <f t="shared" si="11"/>
        <v>0.16746115819208995</v>
      </c>
      <c r="AB6" s="15">
        <f t="shared" si="11"/>
        <v>0.17274894067796609</v>
      </c>
      <c r="AC6" s="15">
        <f t="shared" si="11"/>
        <v>0.17803672316384045</v>
      </c>
      <c r="AD6" s="15">
        <f t="shared" si="11"/>
        <v>0.18332450564971658</v>
      </c>
      <c r="AE6" s="15">
        <f t="shared" si="11"/>
        <v>0.18861228813559272</v>
      </c>
      <c r="AF6" s="15">
        <f t="shared" si="11"/>
        <v>0.19390007062146886</v>
      </c>
      <c r="AG6" s="15">
        <f t="shared" si="11"/>
        <v>0.19918785310734322</v>
      </c>
      <c r="AH6" s="15">
        <f t="shared" si="11"/>
        <v>0.20447563559321935</v>
      </c>
      <c r="AI6" s="15">
        <f t="shared" si="11"/>
        <v>0.20976341807909549</v>
      </c>
      <c r="AJ6" s="15">
        <f t="shared" si="11"/>
        <v>0.21505120056497162</v>
      </c>
      <c r="AK6" s="15">
        <f>(R30+R38)/R$39</f>
        <v>0.22033898305084745</v>
      </c>
    </row>
    <row r="7" spans="1:37">
      <c r="A7" s="9" t="s">
        <v>101</v>
      </c>
      <c r="B7" s="14">
        <f t="shared" si="2"/>
        <v>7.6426120591891987E-3</v>
      </c>
      <c r="C7" s="14">
        <f t="shared" si="2"/>
        <v>1.2103129418697256E-2</v>
      </c>
      <c r="D7" s="15">
        <f t="shared" ref="D7:P7" si="12">TREND($G$18:$G$20,$A$18:$A$20,D$1)</f>
        <v>1.3135013947527696E-2</v>
      </c>
      <c r="E7" s="15">
        <f t="shared" si="12"/>
        <v>1.5335750577724738E-2</v>
      </c>
      <c r="F7" s="15">
        <f t="shared" si="12"/>
        <v>1.753648720792178E-2</v>
      </c>
      <c r="G7" s="15">
        <f t="shared" si="12"/>
        <v>1.9737223838118823E-2</v>
      </c>
      <c r="H7" s="15">
        <f t="shared" si="12"/>
        <v>2.1937960468315865E-2</v>
      </c>
      <c r="I7" s="15">
        <f t="shared" si="12"/>
        <v>2.4138697098513795E-2</v>
      </c>
      <c r="J7" s="15">
        <f t="shared" si="12"/>
        <v>2.6339433728710837E-2</v>
      </c>
      <c r="K7" s="15">
        <f t="shared" si="12"/>
        <v>2.8540170358907879E-2</v>
      </c>
      <c r="L7" s="15">
        <f t="shared" si="12"/>
        <v>3.0740906989104921E-2</v>
      </c>
      <c r="M7" s="15">
        <f t="shared" si="12"/>
        <v>3.2941643619302852E-2</v>
      </c>
      <c r="N7" s="15">
        <f t="shared" si="12"/>
        <v>3.5142380249499894E-2</v>
      </c>
      <c r="O7" s="15">
        <f t="shared" si="12"/>
        <v>3.7343116879696936E-2</v>
      </c>
      <c r="P7" s="15">
        <f t="shared" si="12"/>
        <v>3.9543853509893978E-2</v>
      </c>
      <c r="Q7" s="14">
        <f t="shared" ref="Q7:Q13" si="13">Q31/Q$39</f>
        <v>4.1666666666666678E-2</v>
      </c>
      <c r="R7" s="15">
        <f t="shared" ref="R7:AJ7" si="14">TREND($G$20:$G$21,$A$20:$A$21,R$1)</f>
        <v>4.6362994350282349E-2</v>
      </c>
      <c r="S7" s="15">
        <f t="shared" si="14"/>
        <v>5.1059322033898624E-2</v>
      </c>
      <c r="T7" s="15">
        <f t="shared" si="14"/>
        <v>5.5755649717514899E-2</v>
      </c>
      <c r="U7" s="15">
        <f t="shared" si="14"/>
        <v>6.0451977401131174E-2</v>
      </c>
      <c r="V7" s="15">
        <f t="shared" si="14"/>
        <v>6.5148305084745672E-2</v>
      </c>
      <c r="W7" s="15">
        <f t="shared" si="14"/>
        <v>6.9844632768361947E-2</v>
      </c>
      <c r="X7" s="15">
        <f t="shared" si="14"/>
        <v>7.4540960451978222E-2</v>
      </c>
      <c r="Y7" s="15">
        <f t="shared" si="14"/>
        <v>7.9237288135594497E-2</v>
      </c>
      <c r="Z7" s="15">
        <f t="shared" si="14"/>
        <v>8.3933615819208995E-2</v>
      </c>
      <c r="AA7" s="15">
        <f t="shared" si="14"/>
        <v>8.862994350282527E-2</v>
      </c>
      <c r="AB7" s="15">
        <f t="shared" si="14"/>
        <v>9.3326271186441545E-2</v>
      </c>
      <c r="AC7" s="15">
        <f t="shared" si="14"/>
        <v>9.802259887005782E-2</v>
      </c>
      <c r="AD7" s="15">
        <f t="shared" si="14"/>
        <v>0.10271892655367232</v>
      </c>
      <c r="AE7" s="15">
        <f t="shared" si="14"/>
        <v>0.10741525423728859</v>
      </c>
      <c r="AF7" s="15">
        <f t="shared" si="14"/>
        <v>0.11211158192090487</v>
      </c>
      <c r="AG7" s="15">
        <f t="shared" si="14"/>
        <v>0.11680790960452114</v>
      </c>
      <c r="AH7" s="15">
        <f t="shared" si="14"/>
        <v>0.12150423728813564</v>
      </c>
      <c r="AI7" s="15">
        <f t="shared" si="14"/>
        <v>0.12620056497175192</v>
      </c>
      <c r="AJ7" s="15">
        <f t="shared" si="14"/>
        <v>0.13089689265536819</v>
      </c>
      <c r="AK7" s="15">
        <f t="shared" si="5"/>
        <v>0.13559322033898305</v>
      </c>
    </row>
    <row r="8" spans="1:37">
      <c r="A8" s="9" t="s">
        <v>102</v>
      </c>
      <c r="B8" s="14">
        <f t="shared" si="2"/>
        <v>4.6078899021506045E-6</v>
      </c>
      <c r="C8" s="14">
        <f t="shared" si="2"/>
        <v>4.6639570684360113E-6</v>
      </c>
      <c r="D8" s="15">
        <f t="shared" ref="D8:P8" si="15">TREND($H$18:$H$20,$A$18:$A$20,D$1)</f>
        <v>1.0902498390401583E-3</v>
      </c>
      <c r="E8" s="15">
        <f t="shared" si="15"/>
        <v>1.8057687386918708E-3</v>
      </c>
      <c r="F8" s="15">
        <f t="shared" si="15"/>
        <v>2.5212876383435834E-3</v>
      </c>
      <c r="G8" s="15">
        <f t="shared" si="15"/>
        <v>3.2368065379952959E-3</v>
      </c>
      <c r="H8" s="15">
        <f t="shared" si="15"/>
        <v>3.9523254376470085E-3</v>
      </c>
      <c r="I8" s="15">
        <f t="shared" si="15"/>
        <v>4.6678443372987211E-3</v>
      </c>
      <c r="J8" s="15">
        <f t="shared" si="15"/>
        <v>5.3833632369504336E-3</v>
      </c>
      <c r="K8" s="15">
        <f t="shared" si="15"/>
        <v>6.0988821366019241E-3</v>
      </c>
      <c r="L8" s="15">
        <f t="shared" si="15"/>
        <v>6.8144010362536367E-3</v>
      </c>
      <c r="M8" s="15">
        <f t="shared" si="15"/>
        <v>7.5299199359053492E-3</v>
      </c>
      <c r="N8" s="15">
        <f t="shared" si="15"/>
        <v>8.2454388355570618E-3</v>
      </c>
      <c r="O8" s="15">
        <f t="shared" si="15"/>
        <v>8.9609577352087744E-3</v>
      </c>
      <c r="P8" s="15">
        <f t="shared" si="15"/>
        <v>9.6764766348604869E-3</v>
      </c>
      <c r="Q8" s="14">
        <f t="shared" si="13"/>
        <v>1.041666666666667E-2</v>
      </c>
      <c r="R8" s="15">
        <f t="shared" ref="R8:AJ8" si="16">TREND($H$20:$H$21,$A$20:$A$21,R$1)</f>
        <v>1.3285663841807072E-2</v>
      </c>
      <c r="S8" s="15">
        <f t="shared" si="16"/>
        <v>1.6154661016948957E-2</v>
      </c>
      <c r="T8" s="15">
        <f t="shared" si="16"/>
        <v>1.9023658192089954E-2</v>
      </c>
      <c r="U8" s="15">
        <f t="shared" si="16"/>
        <v>2.1892655367230951E-2</v>
      </c>
      <c r="V8" s="15">
        <f t="shared" si="16"/>
        <v>2.4761652542371948E-2</v>
      </c>
      <c r="W8" s="15">
        <f t="shared" si="16"/>
        <v>2.7630649717513833E-2</v>
      </c>
      <c r="X8" s="15">
        <f t="shared" si="16"/>
        <v>3.049964689265483E-2</v>
      </c>
      <c r="Y8" s="15">
        <f t="shared" si="16"/>
        <v>3.3368644067795827E-2</v>
      </c>
      <c r="Z8" s="15">
        <f t="shared" si="16"/>
        <v>3.6237641242937713E-2</v>
      </c>
      <c r="AA8" s="15">
        <f t="shared" si="16"/>
        <v>3.910663841807871E-2</v>
      </c>
      <c r="AB8" s="15">
        <f t="shared" si="16"/>
        <v>4.1975635593219707E-2</v>
      </c>
      <c r="AC8" s="15">
        <f t="shared" si="16"/>
        <v>4.4844632768360704E-2</v>
      </c>
      <c r="AD8" s="15">
        <f t="shared" si="16"/>
        <v>4.7713629943502589E-2</v>
      </c>
      <c r="AE8" s="15">
        <f t="shared" si="16"/>
        <v>5.0582627118643586E-2</v>
      </c>
      <c r="AF8" s="15">
        <f t="shared" si="16"/>
        <v>5.3451624293784583E-2</v>
      </c>
      <c r="AG8" s="15">
        <f t="shared" si="16"/>
        <v>5.632062146892558E-2</v>
      </c>
      <c r="AH8" s="15">
        <f t="shared" si="16"/>
        <v>5.9189618644067465E-2</v>
      </c>
      <c r="AI8" s="15">
        <f t="shared" si="16"/>
        <v>6.2058615819208462E-2</v>
      </c>
      <c r="AJ8" s="15">
        <f t="shared" si="16"/>
        <v>6.492761299434946E-2</v>
      </c>
      <c r="AK8" s="15">
        <f t="shared" si="5"/>
        <v>6.7796610169491525E-2</v>
      </c>
    </row>
    <row r="9" spans="1:37">
      <c r="A9" s="9" t="s">
        <v>103</v>
      </c>
      <c r="B9" s="14">
        <f t="shared" si="2"/>
        <v>1.0877521433087891E-2</v>
      </c>
      <c r="C9" s="14">
        <f t="shared" si="2"/>
        <v>1.2240957391374832E-2</v>
      </c>
      <c r="D9" s="15">
        <f t="shared" ref="D9:P9" si="17">TREND($I$18:$I$20,$A$18:$A$20,D$1)</f>
        <v>1.2510052096442514E-2</v>
      </c>
      <c r="E9" s="15">
        <f t="shared" si="17"/>
        <v>1.3152217683289447E-2</v>
      </c>
      <c r="F9" s="15">
        <f t="shared" si="17"/>
        <v>1.3794383270136157E-2</v>
      </c>
      <c r="G9" s="15">
        <f t="shared" si="17"/>
        <v>1.4436548856983089E-2</v>
      </c>
      <c r="H9" s="15">
        <f t="shared" si="17"/>
        <v>1.5078714443830021E-2</v>
      </c>
      <c r="I9" s="15">
        <f t="shared" si="17"/>
        <v>1.5720880030676954E-2</v>
      </c>
      <c r="J9" s="15">
        <f t="shared" si="17"/>
        <v>1.6363045617523886E-2</v>
      </c>
      <c r="K9" s="15">
        <f t="shared" si="17"/>
        <v>1.7005211204370818E-2</v>
      </c>
      <c r="L9" s="15">
        <f t="shared" si="17"/>
        <v>1.7647376791217528E-2</v>
      </c>
      <c r="M9" s="15">
        <f t="shared" si="17"/>
        <v>1.8289542378064461E-2</v>
      </c>
      <c r="N9" s="15">
        <f t="shared" si="17"/>
        <v>1.8931707964911393E-2</v>
      </c>
      <c r="O9" s="15">
        <f t="shared" si="17"/>
        <v>1.9573873551758325E-2</v>
      </c>
      <c r="P9" s="15">
        <f t="shared" si="17"/>
        <v>2.0216039138605257E-2</v>
      </c>
      <c r="Q9" s="14">
        <f t="shared" si="13"/>
        <v>2.0833333333333339E-2</v>
      </c>
      <c r="R9" s="15">
        <f t="shared" ref="R9:AJ9" si="18">TREND($I$20:$I$21,$A$20:$A$21,R$1)</f>
        <v>2.3181497175141175E-2</v>
      </c>
      <c r="S9" s="15">
        <f t="shared" si="18"/>
        <v>2.5529661016949312E-2</v>
      </c>
      <c r="T9" s="15">
        <f t="shared" si="18"/>
        <v>2.787782485875745E-2</v>
      </c>
      <c r="U9" s="15">
        <f t="shared" si="18"/>
        <v>3.0225988700565587E-2</v>
      </c>
      <c r="V9" s="15">
        <f t="shared" si="18"/>
        <v>3.2574152542372836E-2</v>
      </c>
      <c r="W9" s="15">
        <f t="shared" si="18"/>
        <v>3.4922316384180974E-2</v>
      </c>
      <c r="X9" s="15">
        <f t="shared" si="18"/>
        <v>3.7270480225989111E-2</v>
      </c>
      <c r="Y9" s="15">
        <f t="shared" si="18"/>
        <v>3.9618644067797248E-2</v>
      </c>
      <c r="Z9" s="15">
        <f t="shared" si="18"/>
        <v>4.1966807909604498E-2</v>
      </c>
      <c r="AA9" s="15">
        <f t="shared" si="18"/>
        <v>4.4314971751412635E-2</v>
      </c>
      <c r="AB9" s="15">
        <f t="shared" si="18"/>
        <v>4.6663135593220773E-2</v>
      </c>
      <c r="AC9" s="15">
        <f t="shared" si="18"/>
        <v>4.901129943502891E-2</v>
      </c>
      <c r="AD9" s="15">
        <f t="shared" si="18"/>
        <v>5.1359463276836159E-2</v>
      </c>
      <c r="AE9" s="15">
        <f t="shared" si="18"/>
        <v>5.3707627118644297E-2</v>
      </c>
      <c r="AF9" s="15">
        <f t="shared" si="18"/>
        <v>5.6055790960452434E-2</v>
      </c>
      <c r="AG9" s="15">
        <f t="shared" si="18"/>
        <v>5.8403954802260571E-2</v>
      </c>
      <c r="AH9" s="15">
        <f t="shared" si="18"/>
        <v>6.0752118644067821E-2</v>
      </c>
      <c r="AI9" s="15">
        <f t="shared" si="18"/>
        <v>6.3100282485875958E-2</v>
      </c>
      <c r="AJ9" s="15">
        <f t="shared" si="18"/>
        <v>6.5448446327684096E-2</v>
      </c>
      <c r="AK9" s="15">
        <f t="shared" si="5"/>
        <v>6.7796610169491525E-2</v>
      </c>
    </row>
    <row r="10" spans="1:37">
      <c r="A10" s="9" t="s">
        <v>104</v>
      </c>
      <c r="B10" s="14">
        <f t="shared" si="2"/>
        <v>2.1332823621067613E-5</v>
      </c>
      <c r="C10" s="14">
        <f t="shared" si="2"/>
        <v>2.0103263226017291E-5</v>
      </c>
      <c r="D10" s="15">
        <f t="shared" ref="D10:P10" si="19">TREND($J$18:$J$20,$A$18:$A$20,D$1)</f>
        <v>1.8572436530981621E-5</v>
      </c>
      <c r="E10" s="15">
        <f t="shared" si="19"/>
        <v>1.7144314256395399E-5</v>
      </c>
      <c r="F10" s="15">
        <f t="shared" si="19"/>
        <v>1.5716191981809177E-5</v>
      </c>
      <c r="G10" s="15">
        <f t="shared" si="19"/>
        <v>1.4288069707223388E-5</v>
      </c>
      <c r="H10" s="15">
        <f t="shared" si="19"/>
        <v>1.2859947432637166E-5</v>
      </c>
      <c r="I10" s="15">
        <f t="shared" si="19"/>
        <v>1.1431825158051377E-5</v>
      </c>
      <c r="J10" s="15">
        <f t="shared" si="19"/>
        <v>1.0003702883465155E-5</v>
      </c>
      <c r="K10" s="15">
        <f t="shared" si="19"/>
        <v>8.5755806088793664E-6</v>
      </c>
      <c r="L10" s="15">
        <f t="shared" si="19"/>
        <v>7.1474583342931441E-6</v>
      </c>
      <c r="M10" s="15">
        <f t="shared" si="19"/>
        <v>5.7193360597069219E-6</v>
      </c>
      <c r="N10" s="15">
        <f t="shared" si="19"/>
        <v>4.2912137851211334E-6</v>
      </c>
      <c r="O10" s="15">
        <f t="shared" si="19"/>
        <v>2.8630915105349111E-6</v>
      </c>
      <c r="P10" s="15">
        <f t="shared" si="19"/>
        <v>1.4349692359491226E-6</v>
      </c>
      <c r="Q10" s="14">
        <f t="shared" si="13"/>
        <v>0</v>
      </c>
      <c r="R10" s="15">
        <f t="shared" ref="R10:AJ10" si="20">TREND($J$20:$J$21,$A$20:$A$21,R$1)</f>
        <v>0</v>
      </c>
      <c r="S10" s="15">
        <f t="shared" si="20"/>
        <v>0</v>
      </c>
      <c r="T10" s="15">
        <f t="shared" si="20"/>
        <v>0</v>
      </c>
      <c r="U10" s="15">
        <f t="shared" si="20"/>
        <v>0</v>
      </c>
      <c r="V10" s="15">
        <f t="shared" si="20"/>
        <v>0</v>
      </c>
      <c r="W10" s="15">
        <f t="shared" si="20"/>
        <v>0</v>
      </c>
      <c r="X10" s="15">
        <f t="shared" si="20"/>
        <v>0</v>
      </c>
      <c r="Y10" s="15">
        <f t="shared" si="20"/>
        <v>0</v>
      </c>
      <c r="Z10" s="15">
        <f t="shared" si="20"/>
        <v>0</v>
      </c>
      <c r="AA10" s="15">
        <f t="shared" si="20"/>
        <v>0</v>
      </c>
      <c r="AB10" s="15">
        <f t="shared" si="20"/>
        <v>0</v>
      </c>
      <c r="AC10" s="15">
        <f t="shared" si="20"/>
        <v>0</v>
      </c>
      <c r="AD10" s="15">
        <f t="shared" si="20"/>
        <v>0</v>
      </c>
      <c r="AE10" s="15">
        <f t="shared" si="20"/>
        <v>0</v>
      </c>
      <c r="AF10" s="15">
        <f t="shared" si="20"/>
        <v>0</v>
      </c>
      <c r="AG10" s="15">
        <f t="shared" si="20"/>
        <v>0</v>
      </c>
      <c r="AH10" s="15">
        <f t="shared" si="20"/>
        <v>0</v>
      </c>
      <c r="AI10" s="15">
        <f t="shared" si="20"/>
        <v>0</v>
      </c>
      <c r="AJ10" s="15">
        <f t="shared" si="20"/>
        <v>0</v>
      </c>
      <c r="AK10" s="15">
        <f t="shared" si="5"/>
        <v>0</v>
      </c>
    </row>
    <row r="11" spans="1:37">
      <c r="A11" s="9" t="s">
        <v>105</v>
      </c>
      <c r="B11" s="14">
        <f t="shared" si="2"/>
        <v>1.6518431986265074E-3</v>
      </c>
      <c r="C11" s="14">
        <f t="shared" si="2"/>
        <v>1.6672842389129699E-3</v>
      </c>
      <c r="D11" s="15">
        <f t="shared" ref="D11:P11" si="21">TREND($K$18:$K$20,$A$18:$A$20,D$1)</f>
        <v>1.4863456883732751E-3</v>
      </c>
      <c r="E11" s="15">
        <f t="shared" si="21"/>
        <v>1.3723547256152546E-3</v>
      </c>
      <c r="F11" s="15">
        <f t="shared" si="21"/>
        <v>1.2583637628572064E-3</v>
      </c>
      <c r="G11" s="15">
        <f t="shared" si="21"/>
        <v>1.1443728000991582E-3</v>
      </c>
      <c r="H11" s="15">
        <f t="shared" si="21"/>
        <v>1.0303818373411378E-3</v>
      </c>
      <c r="I11" s="15">
        <f t="shared" si="21"/>
        <v>9.1639087458308954E-4</v>
      </c>
      <c r="J11" s="15">
        <f t="shared" si="21"/>
        <v>8.0239991182504133E-4</v>
      </c>
      <c r="K11" s="15">
        <f t="shared" si="21"/>
        <v>6.8840894906702088E-4</v>
      </c>
      <c r="L11" s="15">
        <f t="shared" si="21"/>
        <v>5.7441798630897267E-4</v>
      </c>
      <c r="M11" s="15">
        <f t="shared" si="21"/>
        <v>4.6042702355092446E-4</v>
      </c>
      <c r="N11" s="15">
        <f t="shared" si="21"/>
        <v>3.4643606079290401E-4</v>
      </c>
      <c r="O11" s="15">
        <f t="shared" si="21"/>
        <v>2.324450980348558E-4</v>
      </c>
      <c r="P11" s="15">
        <f t="shared" si="21"/>
        <v>1.1845413527680759E-4</v>
      </c>
      <c r="Q11" s="14">
        <f t="shared" si="13"/>
        <v>0</v>
      </c>
      <c r="R11" s="15">
        <f t="shared" ref="R11:AJ11" si="22">TREND($K$20:$K$21,$A$20:$A$21,R$1)</f>
        <v>0</v>
      </c>
      <c r="S11" s="15">
        <f t="shared" si="22"/>
        <v>0</v>
      </c>
      <c r="T11" s="15">
        <f t="shared" si="22"/>
        <v>0</v>
      </c>
      <c r="U11" s="15">
        <f t="shared" si="22"/>
        <v>0</v>
      </c>
      <c r="V11" s="15">
        <f t="shared" si="22"/>
        <v>0</v>
      </c>
      <c r="W11" s="15">
        <f t="shared" si="22"/>
        <v>0</v>
      </c>
      <c r="X11" s="15">
        <f t="shared" si="22"/>
        <v>0</v>
      </c>
      <c r="Y11" s="15">
        <f t="shared" si="22"/>
        <v>0</v>
      </c>
      <c r="Z11" s="15">
        <f t="shared" si="22"/>
        <v>0</v>
      </c>
      <c r="AA11" s="15">
        <f t="shared" si="22"/>
        <v>0</v>
      </c>
      <c r="AB11" s="15">
        <f t="shared" si="22"/>
        <v>0</v>
      </c>
      <c r="AC11" s="15">
        <f t="shared" si="22"/>
        <v>0</v>
      </c>
      <c r="AD11" s="15">
        <f t="shared" si="22"/>
        <v>0</v>
      </c>
      <c r="AE11" s="15">
        <f t="shared" si="22"/>
        <v>0</v>
      </c>
      <c r="AF11" s="15">
        <f t="shared" si="22"/>
        <v>0</v>
      </c>
      <c r="AG11" s="15">
        <f t="shared" si="22"/>
        <v>0</v>
      </c>
      <c r="AH11" s="15">
        <f t="shared" si="22"/>
        <v>0</v>
      </c>
      <c r="AI11" s="15">
        <f t="shared" si="22"/>
        <v>0</v>
      </c>
      <c r="AJ11" s="15">
        <f t="shared" si="22"/>
        <v>0</v>
      </c>
      <c r="AK11" s="15">
        <f t="shared" si="5"/>
        <v>0</v>
      </c>
    </row>
    <row r="12" spans="1:37">
      <c r="A12" s="9" t="s">
        <v>106</v>
      </c>
      <c r="B12" s="14">
        <f t="shared" si="2"/>
        <v>2.4805124656221547E-2</v>
      </c>
      <c r="C12" s="14">
        <f t="shared" si="2"/>
        <v>2.7418921127017885E-2</v>
      </c>
      <c r="D12" s="15">
        <f t="shared" ref="D12:P12" si="23">TREND($L$18:$L$20,$A$18:$A$20,D$1)</f>
        <v>2.9875060830991451E-2</v>
      </c>
      <c r="E12" s="15">
        <f t="shared" si="23"/>
        <v>3.2384947160017497E-2</v>
      </c>
      <c r="F12" s="15">
        <f t="shared" si="23"/>
        <v>3.489483348904443E-2</v>
      </c>
      <c r="G12" s="15">
        <f t="shared" si="23"/>
        <v>3.7404719818071364E-2</v>
      </c>
      <c r="H12" s="15">
        <f t="shared" si="23"/>
        <v>3.9914606147097409E-2</v>
      </c>
      <c r="I12" s="15">
        <f t="shared" si="23"/>
        <v>4.2424492476124342E-2</v>
      </c>
      <c r="J12" s="15">
        <f t="shared" si="23"/>
        <v>4.4934378805151276E-2</v>
      </c>
      <c r="K12" s="15">
        <f t="shared" si="23"/>
        <v>4.7444265134177321E-2</v>
      </c>
      <c r="L12" s="15">
        <f t="shared" si="23"/>
        <v>4.9954151463204255E-2</v>
      </c>
      <c r="M12" s="15">
        <f t="shared" si="23"/>
        <v>5.24640377922303E-2</v>
      </c>
      <c r="N12" s="15">
        <f t="shared" si="23"/>
        <v>5.4973924121257234E-2</v>
      </c>
      <c r="O12" s="15">
        <f t="shared" si="23"/>
        <v>5.7483810450284167E-2</v>
      </c>
      <c r="P12" s="15">
        <f t="shared" si="23"/>
        <v>5.9993696779310213E-2</v>
      </c>
      <c r="Q12" s="14">
        <f t="shared" si="13"/>
        <v>6.2500000000000014E-2</v>
      </c>
      <c r="R12" s="15">
        <f t="shared" ref="R12:AJ12" si="24">TREND($L$20:$L$21,$A$20:$A$21,R$1)</f>
        <v>6.1493644067796893E-2</v>
      </c>
      <c r="S12" s="15">
        <f t="shared" si="24"/>
        <v>6.0487288135593342E-2</v>
      </c>
      <c r="T12" s="15">
        <f t="shared" si="24"/>
        <v>5.9480932203390235E-2</v>
      </c>
      <c r="U12" s="15">
        <f t="shared" si="24"/>
        <v>5.8474576271186685E-2</v>
      </c>
      <c r="V12" s="15">
        <f t="shared" si="24"/>
        <v>5.7468220338983134E-2</v>
      </c>
      <c r="W12" s="15">
        <f t="shared" si="24"/>
        <v>5.6461864406780027E-2</v>
      </c>
      <c r="X12" s="15">
        <f t="shared" si="24"/>
        <v>5.5455508474576476E-2</v>
      </c>
      <c r="Y12" s="15">
        <f t="shared" si="24"/>
        <v>5.4449152542372925E-2</v>
      </c>
      <c r="Z12" s="15">
        <f t="shared" si="24"/>
        <v>5.3442796610169818E-2</v>
      </c>
      <c r="AA12" s="15">
        <f t="shared" si="24"/>
        <v>5.2436440677966267E-2</v>
      </c>
      <c r="AB12" s="15">
        <f t="shared" si="24"/>
        <v>5.1430084745762716E-2</v>
      </c>
      <c r="AC12" s="15">
        <f t="shared" si="24"/>
        <v>5.042372881355961E-2</v>
      </c>
      <c r="AD12" s="15">
        <f t="shared" si="24"/>
        <v>4.9417372881356059E-2</v>
      </c>
      <c r="AE12" s="15">
        <f t="shared" si="24"/>
        <v>4.8411016949152952E-2</v>
      </c>
      <c r="AF12" s="15">
        <f t="shared" si="24"/>
        <v>4.7404661016949401E-2</v>
      </c>
      <c r="AG12" s="15">
        <f t="shared" si="24"/>
        <v>4.639830508474585E-2</v>
      </c>
      <c r="AH12" s="15">
        <f t="shared" si="24"/>
        <v>4.5391949152542743E-2</v>
      </c>
      <c r="AI12" s="15">
        <f t="shared" si="24"/>
        <v>4.4385593220339192E-2</v>
      </c>
      <c r="AJ12" s="15">
        <f t="shared" si="24"/>
        <v>4.3379237288135641E-2</v>
      </c>
      <c r="AK12" s="15">
        <f t="shared" si="5"/>
        <v>4.2372881355932202E-2</v>
      </c>
    </row>
    <row r="13" spans="1:37">
      <c r="A13" s="9" t="s">
        <v>107</v>
      </c>
      <c r="B13" s="14">
        <f t="shared" si="2"/>
        <v>0</v>
      </c>
      <c r="C13" s="14">
        <f t="shared" si="2"/>
        <v>0</v>
      </c>
      <c r="D13" s="15">
        <f t="shared" ref="D13:P13" si="25">TREND($M$18:$M$20,$A$18:$A$20,D$1)</f>
        <v>0</v>
      </c>
      <c r="E13" s="15">
        <f t="shared" si="25"/>
        <v>0</v>
      </c>
      <c r="F13" s="15">
        <f t="shared" si="25"/>
        <v>0</v>
      </c>
      <c r="G13" s="15">
        <f t="shared" si="25"/>
        <v>0</v>
      </c>
      <c r="H13" s="15">
        <f t="shared" si="25"/>
        <v>0</v>
      </c>
      <c r="I13" s="15">
        <f t="shared" si="25"/>
        <v>0</v>
      </c>
      <c r="J13" s="15">
        <f t="shared" si="25"/>
        <v>0</v>
      </c>
      <c r="K13" s="15">
        <f t="shared" si="25"/>
        <v>0</v>
      </c>
      <c r="L13" s="15">
        <f t="shared" si="25"/>
        <v>0</v>
      </c>
      <c r="M13" s="15">
        <f t="shared" si="25"/>
        <v>0</v>
      </c>
      <c r="N13" s="15">
        <f t="shared" si="25"/>
        <v>0</v>
      </c>
      <c r="O13" s="15">
        <f t="shared" si="25"/>
        <v>0</v>
      </c>
      <c r="P13" s="15">
        <f t="shared" si="25"/>
        <v>0</v>
      </c>
      <c r="Q13" s="14">
        <f t="shared" si="13"/>
        <v>0</v>
      </c>
      <c r="R13" s="15">
        <f t="shared" ref="R13:AJ13" si="26">TREND($M$20:$M$21,$A$20:$A$21,R$1)</f>
        <v>0</v>
      </c>
      <c r="S13" s="15">
        <f t="shared" si="26"/>
        <v>0</v>
      </c>
      <c r="T13" s="15">
        <f t="shared" si="26"/>
        <v>0</v>
      </c>
      <c r="U13" s="15">
        <f t="shared" si="26"/>
        <v>0</v>
      </c>
      <c r="V13" s="15">
        <f t="shared" si="26"/>
        <v>0</v>
      </c>
      <c r="W13" s="15">
        <f t="shared" si="26"/>
        <v>0</v>
      </c>
      <c r="X13" s="15">
        <f t="shared" si="26"/>
        <v>0</v>
      </c>
      <c r="Y13" s="15">
        <f t="shared" si="26"/>
        <v>0</v>
      </c>
      <c r="Z13" s="15">
        <f t="shared" si="26"/>
        <v>0</v>
      </c>
      <c r="AA13" s="15">
        <f t="shared" si="26"/>
        <v>0</v>
      </c>
      <c r="AB13" s="15">
        <f t="shared" si="26"/>
        <v>0</v>
      </c>
      <c r="AC13" s="15">
        <f t="shared" si="26"/>
        <v>0</v>
      </c>
      <c r="AD13" s="15">
        <f t="shared" si="26"/>
        <v>0</v>
      </c>
      <c r="AE13" s="15">
        <f t="shared" si="26"/>
        <v>0</v>
      </c>
      <c r="AF13" s="15">
        <f t="shared" si="26"/>
        <v>0</v>
      </c>
      <c r="AG13" s="15">
        <f t="shared" si="26"/>
        <v>0</v>
      </c>
      <c r="AH13" s="15">
        <f t="shared" si="26"/>
        <v>0</v>
      </c>
      <c r="AI13" s="15">
        <f t="shared" si="26"/>
        <v>0</v>
      </c>
      <c r="AJ13" s="15">
        <f t="shared" si="26"/>
        <v>0</v>
      </c>
      <c r="AK13" s="15">
        <f t="shared" si="5"/>
        <v>0</v>
      </c>
    </row>
    <row r="14" spans="1:37">
      <c r="A14" s="9" t="s">
        <v>108</v>
      </c>
      <c r="B14" s="14">
        <f t="shared" si="2"/>
        <v>0</v>
      </c>
      <c r="C14" s="14">
        <f t="shared" si="2"/>
        <v>0</v>
      </c>
      <c r="D14" s="15">
        <f t="shared" ref="D14:P14" si="27">TREND($N$18:$N$20,$A$18:$A$20,D$1)</f>
        <v>0</v>
      </c>
      <c r="E14" s="15">
        <f t="shared" si="27"/>
        <v>0</v>
      </c>
      <c r="F14" s="15">
        <f t="shared" si="27"/>
        <v>0</v>
      </c>
      <c r="G14" s="15">
        <f t="shared" si="27"/>
        <v>0</v>
      </c>
      <c r="H14" s="15">
        <f t="shared" si="27"/>
        <v>0</v>
      </c>
      <c r="I14" s="15">
        <f t="shared" si="27"/>
        <v>0</v>
      </c>
      <c r="J14" s="15">
        <f t="shared" si="27"/>
        <v>0</v>
      </c>
      <c r="K14" s="15">
        <f t="shared" si="27"/>
        <v>0</v>
      </c>
      <c r="L14" s="15">
        <f t="shared" si="27"/>
        <v>0</v>
      </c>
      <c r="M14" s="15">
        <f t="shared" si="27"/>
        <v>0</v>
      </c>
      <c r="N14" s="15">
        <f t="shared" si="27"/>
        <v>0</v>
      </c>
      <c r="O14" s="15">
        <f t="shared" si="27"/>
        <v>0</v>
      </c>
      <c r="P14" s="15">
        <f t="shared" si="27"/>
        <v>0</v>
      </c>
      <c r="Q14" s="14">
        <v>0</v>
      </c>
      <c r="R14" s="15">
        <f t="shared" ref="R14:AJ14" si="28">TREND($N$20:$N$21,$A$20:$A$21,R$1)</f>
        <v>0</v>
      </c>
      <c r="S14" s="15">
        <f t="shared" si="28"/>
        <v>0</v>
      </c>
      <c r="T14" s="15">
        <f t="shared" si="28"/>
        <v>0</v>
      </c>
      <c r="U14" s="15">
        <f t="shared" si="28"/>
        <v>0</v>
      </c>
      <c r="V14" s="15">
        <f t="shared" si="28"/>
        <v>0</v>
      </c>
      <c r="W14" s="15">
        <f t="shared" si="28"/>
        <v>0</v>
      </c>
      <c r="X14" s="15">
        <f t="shared" si="28"/>
        <v>0</v>
      </c>
      <c r="Y14" s="15">
        <f t="shared" si="28"/>
        <v>0</v>
      </c>
      <c r="Z14" s="15">
        <f t="shared" si="28"/>
        <v>0</v>
      </c>
      <c r="AA14" s="15">
        <f t="shared" si="28"/>
        <v>0</v>
      </c>
      <c r="AB14" s="15">
        <f t="shared" si="28"/>
        <v>0</v>
      </c>
      <c r="AC14" s="15">
        <f t="shared" si="28"/>
        <v>0</v>
      </c>
      <c r="AD14" s="15">
        <f t="shared" si="28"/>
        <v>0</v>
      </c>
      <c r="AE14" s="15">
        <f t="shared" si="28"/>
        <v>0</v>
      </c>
      <c r="AF14" s="15">
        <f t="shared" si="28"/>
        <v>0</v>
      </c>
      <c r="AG14" s="15">
        <f t="shared" si="28"/>
        <v>0</v>
      </c>
      <c r="AH14" s="15">
        <f t="shared" si="28"/>
        <v>0</v>
      </c>
      <c r="AI14" s="15">
        <f t="shared" si="28"/>
        <v>0</v>
      </c>
      <c r="AJ14" s="15">
        <f t="shared" si="28"/>
        <v>0</v>
      </c>
      <c r="AK14" s="15">
        <v>0</v>
      </c>
    </row>
    <row r="15" spans="1:37">
      <c r="A15" s="9"/>
      <c r="B15" s="14"/>
      <c r="C15" s="14"/>
      <c r="Q15" s="14"/>
      <c r="AK15" s="15"/>
    </row>
    <row r="16" spans="1:37" ht="15">
      <c r="A16" s="16" t="s">
        <v>109</v>
      </c>
      <c r="B16" s="14"/>
      <c r="C16" s="14"/>
      <c r="Q16" s="14"/>
      <c r="AK16" s="15"/>
    </row>
    <row r="17" spans="1:37">
      <c r="A17" s="9" t="str">
        <f t="array" ref="A17:N19">TRANSPOSE(A1:C14)</f>
        <v>Fuel Type</v>
      </c>
      <c r="B17" s="14" t="str">
        <v>hard coal</v>
      </c>
      <c r="C17" s="14" t="str">
        <v>natural gas nonpeaker</v>
      </c>
      <c r="D17" s="4" t="str">
        <v>nuclear</v>
      </c>
      <c r="E17" s="4" t="str">
        <v>hydro</v>
      </c>
      <c r="F17" s="4" t="str">
        <v>onshore wind</v>
      </c>
      <c r="G17" s="4" t="str">
        <v>solar PV</v>
      </c>
      <c r="H17" s="4" t="str">
        <v>solar thermal</v>
      </c>
      <c r="I17" s="4" t="str">
        <v>biomass</v>
      </c>
      <c r="J17" s="4" t="str">
        <v>geothermal</v>
      </c>
      <c r="K17" s="4" t="str">
        <v>petroleum</v>
      </c>
      <c r="L17" s="4" t="str">
        <v>natural gas peaker</v>
      </c>
      <c r="M17" s="4" t="str">
        <v>lignite</v>
      </c>
      <c r="N17" s="4" t="str">
        <v>offshore wind</v>
      </c>
      <c r="Q17" s="14"/>
      <c r="AK17" s="15"/>
    </row>
    <row r="18" spans="1:37">
      <c r="A18" s="9">
        <v>2015</v>
      </c>
      <c r="B18" s="17">
        <v>0.70125155409620077</v>
      </c>
      <c r="C18" s="17">
        <v>0</v>
      </c>
      <c r="D18" s="15">
        <v>2.9147292907348132E-2</v>
      </c>
      <c r="E18" s="15">
        <v>0.19289480443347273</v>
      </c>
      <c r="F18" s="15">
        <v>3.170330650232997E-2</v>
      </c>
      <c r="G18" s="15">
        <v>7.6426120591891987E-3</v>
      </c>
      <c r="H18" s="15">
        <v>4.6078899021506045E-6</v>
      </c>
      <c r="I18" s="15">
        <v>1.0877521433087891E-2</v>
      </c>
      <c r="J18" s="15">
        <v>2.1332823621067613E-5</v>
      </c>
      <c r="K18" s="15">
        <v>1.6518431986265074E-3</v>
      </c>
      <c r="L18" s="15">
        <v>2.4805124656221547E-2</v>
      </c>
      <c r="M18" s="15">
        <v>0</v>
      </c>
      <c r="N18" s="15">
        <v>0</v>
      </c>
      <c r="O18" s="15"/>
      <c r="Q18" s="14"/>
      <c r="AK18" s="15"/>
    </row>
    <row r="19" spans="1:37">
      <c r="A19" s="9">
        <v>2016</v>
      </c>
      <c r="B19" s="17">
        <v>0.68218992405147982</v>
      </c>
      <c r="C19" s="17">
        <v>0</v>
      </c>
      <c r="D19" s="15">
        <v>3.4302117629500396E-2</v>
      </c>
      <c r="E19" s="15">
        <v>0.19192569319268124</v>
      </c>
      <c r="F19" s="15">
        <v>3.8127205730041157E-2</v>
      </c>
      <c r="G19" s="15">
        <v>1.2103129418697256E-2</v>
      </c>
      <c r="H19" s="15">
        <v>4.6639570684360113E-6</v>
      </c>
      <c r="I19" s="15">
        <v>1.2240957391374832E-2</v>
      </c>
      <c r="J19" s="15">
        <v>2.0103263226017291E-5</v>
      </c>
      <c r="K19" s="15">
        <v>1.6672842389129699E-3</v>
      </c>
      <c r="L19" s="15">
        <v>2.7418921127017885E-2</v>
      </c>
      <c r="M19" s="15">
        <v>0</v>
      </c>
      <c r="N19" s="15">
        <v>0</v>
      </c>
      <c r="O19" s="15"/>
      <c r="Q19" s="14"/>
      <c r="AK19" s="15"/>
    </row>
    <row r="20" spans="1:37">
      <c r="A20" s="9">
        <f t="array" ref="A20:O20">TRANSPOSE(Q1:Q14)</f>
        <v>2030</v>
      </c>
      <c r="B20" s="17">
        <v>0.46875000000000011</v>
      </c>
      <c r="C20" s="17">
        <v>0</v>
      </c>
      <c r="D20" s="15">
        <v>0.10416666666666669</v>
      </c>
      <c r="E20" s="15">
        <v>0.17708333333333337</v>
      </c>
      <c r="F20" s="15">
        <v>0.11458333333333337</v>
      </c>
      <c r="G20" s="15">
        <v>4.1666666666666678E-2</v>
      </c>
      <c r="H20" s="15">
        <v>1.041666666666667E-2</v>
      </c>
      <c r="I20" s="15">
        <v>2.0833333333333339E-2</v>
      </c>
      <c r="J20" s="15">
        <v>0</v>
      </c>
      <c r="K20" s="15">
        <v>0</v>
      </c>
      <c r="L20" s="15">
        <v>6.2500000000000014E-2</v>
      </c>
      <c r="M20" s="15">
        <v>0</v>
      </c>
      <c r="N20" s="15">
        <v>0</v>
      </c>
      <c r="O20" s="15" t="e">
        <v>#N/A</v>
      </c>
      <c r="Q20" s="14"/>
      <c r="AK20" s="15"/>
    </row>
    <row r="21" spans="1:37">
      <c r="A21" s="9">
        <f t="array" ref="A21:O21">TRANSPOSE(AK1:AK14)</f>
        <v>2050</v>
      </c>
      <c r="B21" s="17">
        <v>0.14406779661016947</v>
      </c>
      <c r="C21" s="17">
        <v>0</v>
      </c>
      <c r="D21" s="17">
        <v>0.15254237288135591</v>
      </c>
      <c r="E21" s="17">
        <v>0.16949152542372881</v>
      </c>
      <c r="F21" s="17">
        <v>0.22033898305084745</v>
      </c>
      <c r="G21" s="17">
        <v>0.13559322033898305</v>
      </c>
      <c r="H21" s="17">
        <v>6.7796610169491525E-2</v>
      </c>
      <c r="I21" s="17">
        <v>6.7796610169491525E-2</v>
      </c>
      <c r="J21" s="17">
        <v>0</v>
      </c>
      <c r="K21" s="17">
        <v>0</v>
      </c>
      <c r="L21" s="17">
        <v>4.2372881355932202E-2</v>
      </c>
      <c r="M21" s="17">
        <v>0</v>
      </c>
      <c r="N21" s="17">
        <v>0</v>
      </c>
      <c r="O21" s="17" t="e">
        <v>#N/A</v>
      </c>
      <c r="Q21" s="14"/>
      <c r="AK21" s="15"/>
    </row>
    <row r="22" spans="1:37">
      <c r="A22" s="9"/>
      <c r="B22" s="14"/>
      <c r="C22" s="14"/>
      <c r="Q22" s="14"/>
      <c r="AK22" s="15"/>
    </row>
    <row r="23" spans="1:37" s="18" customFormat="1">
      <c r="A23" s="18" t="s">
        <v>110</v>
      </c>
    </row>
    <row r="24" spans="1:37" ht="15">
      <c r="A24" s="3" t="s">
        <v>111</v>
      </c>
      <c r="P24" s="3" t="s">
        <v>112</v>
      </c>
    </row>
    <row r="25" spans="1:37">
      <c r="A25" s="9" t="s">
        <v>95</v>
      </c>
      <c r="B25" s="9">
        <v>2015</v>
      </c>
      <c r="C25" s="9">
        <v>2016</v>
      </c>
      <c r="D25" s="4" t="s">
        <v>113</v>
      </c>
      <c r="P25" s="9" t="s">
        <v>95</v>
      </c>
      <c r="Q25" s="9">
        <v>2030</v>
      </c>
      <c r="R25" s="9">
        <v>2050</v>
      </c>
      <c r="S25" s="4" t="s">
        <v>114</v>
      </c>
    </row>
    <row r="26" spans="1:37">
      <c r="A26" s="9" t="s">
        <v>96</v>
      </c>
      <c r="B26" s="9">
        <v>4108994</v>
      </c>
      <c r="C26" s="9">
        <v>4241786</v>
      </c>
      <c r="P26" s="9" t="s">
        <v>96</v>
      </c>
      <c r="Q26" s="9">
        <v>4.5</v>
      </c>
      <c r="R26" s="9">
        <v>1.7</v>
      </c>
    </row>
    <row r="27" spans="1:37">
      <c r="A27" s="9" t="s">
        <v>97</v>
      </c>
      <c r="B27" s="9">
        <v>0</v>
      </c>
      <c r="C27" s="9">
        <v>0</v>
      </c>
      <c r="P27" s="9" t="s">
        <v>97</v>
      </c>
      <c r="Q27" s="9">
        <v>0</v>
      </c>
      <c r="R27" s="9">
        <v>0</v>
      </c>
    </row>
    <row r="28" spans="1:37">
      <c r="A28" s="9" t="s">
        <v>98</v>
      </c>
      <c r="B28" s="9">
        <v>170789</v>
      </c>
      <c r="C28" s="9">
        <v>213287</v>
      </c>
      <c r="P28" s="9" t="s">
        <v>98</v>
      </c>
      <c r="Q28" s="9">
        <v>1</v>
      </c>
      <c r="R28" s="9">
        <v>1.8</v>
      </c>
    </row>
    <row r="29" spans="1:37">
      <c r="A29" s="9" t="s">
        <v>99</v>
      </c>
      <c r="B29" s="9">
        <v>1130270</v>
      </c>
      <c r="C29" s="9">
        <v>1193374</v>
      </c>
      <c r="P29" s="9" t="s">
        <v>99</v>
      </c>
      <c r="Q29" s="9">
        <v>1.7</v>
      </c>
      <c r="R29" s="9">
        <v>2</v>
      </c>
    </row>
    <row r="30" spans="1:37">
      <c r="A30" s="9" t="s">
        <v>100</v>
      </c>
      <c r="B30" s="9">
        <v>185766</v>
      </c>
      <c r="C30" s="9">
        <v>237071</v>
      </c>
      <c r="P30" s="9" t="s">
        <v>100</v>
      </c>
      <c r="Q30" s="9">
        <v>1</v>
      </c>
      <c r="R30" s="9">
        <v>2.4</v>
      </c>
    </row>
    <row r="31" spans="1:37">
      <c r="A31" s="9" t="s">
        <v>101</v>
      </c>
      <c r="B31" s="9">
        <v>44782</v>
      </c>
      <c r="C31" s="9">
        <v>75256</v>
      </c>
      <c r="P31" s="9" t="s">
        <v>101</v>
      </c>
      <c r="Q31" s="9">
        <v>0.4</v>
      </c>
      <c r="R31" s="9">
        <v>1.6</v>
      </c>
    </row>
    <row r="32" spans="1:37">
      <c r="A32" s="9" t="s">
        <v>102</v>
      </c>
      <c r="B32" s="9">
        <v>27</v>
      </c>
      <c r="C32" s="9">
        <v>29</v>
      </c>
      <c r="P32" s="9" t="s">
        <v>102</v>
      </c>
      <c r="Q32" s="9">
        <v>0.1</v>
      </c>
      <c r="R32" s="9">
        <v>0.8</v>
      </c>
    </row>
    <row r="33" spans="1:18">
      <c r="A33" s="9" t="s">
        <v>103</v>
      </c>
      <c r="B33" s="9">
        <f>52700+11029+8</f>
        <v>63737</v>
      </c>
      <c r="C33" s="9">
        <f>64700+11413</f>
        <v>76113</v>
      </c>
      <c r="P33" s="9" t="s">
        <v>103</v>
      </c>
      <c r="Q33" s="9">
        <v>0.2</v>
      </c>
      <c r="R33" s="9">
        <v>0.8</v>
      </c>
    </row>
    <row r="34" spans="1:18">
      <c r="A34" s="9" t="s">
        <v>104</v>
      </c>
      <c r="B34" s="9">
        <v>125</v>
      </c>
      <c r="C34" s="9">
        <v>125</v>
      </c>
      <c r="P34" s="9" t="s">
        <v>104</v>
      </c>
      <c r="Q34" s="9">
        <v>0</v>
      </c>
      <c r="R34" s="9">
        <v>0</v>
      </c>
    </row>
    <row r="35" spans="1:18">
      <c r="A35" s="9" t="s">
        <v>105</v>
      </c>
      <c r="B35" s="9">
        <v>9679</v>
      </c>
      <c r="C35" s="9">
        <v>10367</v>
      </c>
      <c r="P35" s="9" t="s">
        <v>105</v>
      </c>
      <c r="Q35" s="9">
        <v>0</v>
      </c>
      <c r="R35" s="9">
        <v>0</v>
      </c>
    </row>
    <row r="36" spans="1:18">
      <c r="A36" s="9" t="s">
        <v>106</v>
      </c>
      <c r="B36" s="9">
        <v>145346</v>
      </c>
      <c r="C36" s="9">
        <v>170488</v>
      </c>
      <c r="P36" s="9" t="s">
        <v>106</v>
      </c>
      <c r="Q36" s="9">
        <v>0.6</v>
      </c>
      <c r="R36" s="9">
        <v>0.5</v>
      </c>
    </row>
    <row r="37" spans="1:18">
      <c r="A37" s="9" t="s">
        <v>107</v>
      </c>
      <c r="B37" s="9">
        <v>0</v>
      </c>
      <c r="C37" s="9">
        <v>0</v>
      </c>
      <c r="P37" s="9" t="s">
        <v>107</v>
      </c>
      <c r="Q37" s="9">
        <v>0</v>
      </c>
      <c r="R37" s="9">
        <v>0</v>
      </c>
    </row>
    <row r="38" spans="1:18">
      <c r="A38" s="9" t="s">
        <v>108</v>
      </c>
      <c r="B38" s="9">
        <v>0</v>
      </c>
      <c r="C38" s="9">
        <v>0</v>
      </c>
      <c r="P38" s="9" t="s">
        <v>108</v>
      </c>
      <c r="Q38" s="9">
        <v>0.1</v>
      </c>
      <c r="R38" s="9">
        <v>0.2</v>
      </c>
    </row>
    <row r="39" spans="1:18">
      <c r="A39" s="9" t="s">
        <v>115</v>
      </c>
      <c r="B39" s="4">
        <f>SUM(B26:B38)</f>
        <v>5859515</v>
      </c>
      <c r="C39" s="4">
        <f>SUM(C26:C38)</f>
        <v>6217896</v>
      </c>
      <c r="P39" s="9" t="s">
        <v>115</v>
      </c>
      <c r="Q39" s="4">
        <f>SUM(Q26:Q38)</f>
        <v>9.5999999999999979</v>
      </c>
      <c r="R39" s="4">
        <f>SUM(R26:R38)</f>
        <v>11.8</v>
      </c>
    </row>
    <row r="41" spans="1:18" ht="15">
      <c r="A41" s="3" t="s">
        <v>116</v>
      </c>
    </row>
  </sheetData>
  <phoneticPr fontId="6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3"/>
  <sheetViews>
    <sheetView zoomScale="97" zoomScaleNormal="115" workbookViewId="0">
      <selection activeCell="J25" sqref="J25"/>
    </sheetView>
  </sheetViews>
  <sheetFormatPr defaultRowHeight="15"/>
  <cols>
    <col min="1" max="1" width="42.42578125" customWidth="1"/>
  </cols>
  <sheetData>
    <row r="1" spans="1:15">
      <c r="A1" t="s">
        <v>117</v>
      </c>
      <c r="B1" s="30" t="s">
        <v>118</v>
      </c>
      <c r="C1" s="30"/>
      <c r="D1" s="30"/>
      <c r="E1" s="30"/>
      <c r="F1" s="30"/>
      <c r="G1" s="30"/>
      <c r="H1" s="30"/>
      <c r="I1" s="30" t="s">
        <v>119</v>
      </c>
      <c r="J1" s="30"/>
      <c r="K1" s="30"/>
      <c r="L1" s="30"/>
      <c r="M1" s="30"/>
      <c r="N1" s="30"/>
      <c r="O1" s="30"/>
    </row>
    <row r="2" spans="1:15">
      <c r="A2" t="s">
        <v>46</v>
      </c>
      <c r="B2">
        <v>2020</v>
      </c>
      <c r="C2">
        <v>2025</v>
      </c>
      <c r="D2">
        <v>2030</v>
      </c>
      <c r="E2">
        <v>2035</v>
      </c>
      <c r="F2">
        <v>2040</v>
      </c>
      <c r="G2">
        <v>2045</v>
      </c>
      <c r="H2">
        <v>2050</v>
      </c>
      <c r="I2">
        <v>2020</v>
      </c>
      <c r="J2">
        <v>2025</v>
      </c>
      <c r="K2">
        <v>2030</v>
      </c>
      <c r="L2">
        <v>2035</v>
      </c>
      <c r="M2">
        <v>2040</v>
      </c>
      <c r="N2">
        <v>2045</v>
      </c>
      <c r="O2">
        <v>2050</v>
      </c>
    </row>
    <row r="3" spans="1:15">
      <c r="A3" t="s">
        <v>120</v>
      </c>
      <c r="B3">
        <v>10.3</v>
      </c>
      <c r="C3">
        <v>11.6</v>
      </c>
      <c r="D3">
        <v>11.7</v>
      </c>
      <c r="E3">
        <v>11.5</v>
      </c>
      <c r="F3">
        <v>10.1</v>
      </c>
      <c r="G3">
        <v>8.6</v>
      </c>
      <c r="H3">
        <v>7.3</v>
      </c>
      <c r="I3">
        <v>10.7</v>
      </c>
      <c r="J3">
        <v>12</v>
      </c>
      <c r="K3">
        <v>12.7</v>
      </c>
      <c r="L3">
        <v>12</v>
      </c>
      <c r="M3">
        <v>9.9</v>
      </c>
      <c r="N3">
        <v>8.4</v>
      </c>
      <c r="O3">
        <v>7</v>
      </c>
    </row>
    <row r="4" spans="1:15">
      <c r="A4" t="s">
        <v>121</v>
      </c>
      <c r="B4">
        <v>1.1000000000000001</v>
      </c>
      <c r="C4">
        <v>1.3</v>
      </c>
      <c r="D4">
        <v>1.6</v>
      </c>
      <c r="E4">
        <v>1.6</v>
      </c>
      <c r="F4">
        <v>1.7</v>
      </c>
      <c r="G4">
        <v>1.8</v>
      </c>
      <c r="H4">
        <v>1.8</v>
      </c>
      <c r="I4">
        <v>1.1000000000000001</v>
      </c>
      <c r="J4">
        <v>1.2</v>
      </c>
      <c r="K4">
        <v>1.8</v>
      </c>
      <c r="L4">
        <v>2.7</v>
      </c>
      <c r="M4">
        <v>3.6</v>
      </c>
      <c r="N4">
        <v>3.7</v>
      </c>
      <c r="O4">
        <v>3.7</v>
      </c>
    </row>
    <row r="5" spans="1:15">
      <c r="A5" t="s">
        <v>122</v>
      </c>
      <c r="B5">
        <v>0.6</v>
      </c>
      <c r="C5">
        <v>0.9</v>
      </c>
      <c r="D5">
        <v>1.2</v>
      </c>
      <c r="E5">
        <v>1.6</v>
      </c>
      <c r="F5">
        <v>1.9</v>
      </c>
      <c r="G5">
        <v>2.1</v>
      </c>
      <c r="H5">
        <v>2.2000000000000002</v>
      </c>
      <c r="I5">
        <v>0.6</v>
      </c>
      <c r="J5">
        <v>0.9</v>
      </c>
      <c r="K5">
        <v>1.2</v>
      </c>
      <c r="L5">
        <v>1.6</v>
      </c>
      <c r="M5">
        <v>1.9</v>
      </c>
      <c r="N5">
        <v>2.1</v>
      </c>
      <c r="O5">
        <v>2.2000000000000002</v>
      </c>
    </row>
    <row r="6" spans="1:15">
      <c r="A6" t="s">
        <v>123</v>
      </c>
      <c r="B6">
        <v>3.2</v>
      </c>
      <c r="C6">
        <v>4.0999999999999996</v>
      </c>
      <c r="D6">
        <v>4.5999999999999996</v>
      </c>
      <c r="E6">
        <v>4.9000000000000004</v>
      </c>
      <c r="F6">
        <v>5.0999999999999996</v>
      </c>
      <c r="G6">
        <v>5.3</v>
      </c>
      <c r="H6">
        <v>5.4</v>
      </c>
      <c r="I6">
        <v>3.3</v>
      </c>
      <c r="J6">
        <v>4.0999999999999996</v>
      </c>
      <c r="K6">
        <v>4.5999999999999996</v>
      </c>
      <c r="L6">
        <v>4.9000000000000004</v>
      </c>
      <c r="M6">
        <v>5.0999999999999996</v>
      </c>
      <c r="N6">
        <v>5.3</v>
      </c>
      <c r="O6">
        <v>5.4</v>
      </c>
    </row>
    <row r="7" spans="1:15">
      <c r="A7" t="s">
        <v>124</v>
      </c>
      <c r="B7">
        <v>2.1</v>
      </c>
      <c r="C7">
        <v>2.6</v>
      </c>
      <c r="D7">
        <v>4.5</v>
      </c>
      <c r="E7">
        <v>6.6</v>
      </c>
      <c r="F7">
        <v>8.3000000000000007</v>
      </c>
      <c r="G7">
        <v>9.1</v>
      </c>
      <c r="H7">
        <v>10.199999999999999</v>
      </c>
      <c r="I7">
        <v>2.9</v>
      </c>
      <c r="J7">
        <v>4.3</v>
      </c>
      <c r="K7">
        <v>6.8</v>
      </c>
      <c r="L7">
        <v>7.9</v>
      </c>
      <c r="M7">
        <v>9.4</v>
      </c>
      <c r="N7">
        <v>11</v>
      </c>
      <c r="O7">
        <v>12.1</v>
      </c>
    </row>
    <row r="8" spans="1:15">
      <c r="A8" t="s">
        <v>125</v>
      </c>
      <c r="B8">
        <v>2.1</v>
      </c>
      <c r="C8">
        <v>2.7</v>
      </c>
      <c r="D8">
        <v>3.2</v>
      </c>
      <c r="E8">
        <v>4.8</v>
      </c>
      <c r="F8">
        <v>7.4</v>
      </c>
      <c r="G8">
        <v>11</v>
      </c>
      <c r="H8">
        <v>11.7</v>
      </c>
      <c r="I8">
        <v>2.4</v>
      </c>
      <c r="J8">
        <v>4.9000000000000004</v>
      </c>
      <c r="K8">
        <v>6.9</v>
      </c>
      <c r="L8">
        <v>12.1</v>
      </c>
      <c r="M8">
        <v>15.8</v>
      </c>
      <c r="N8">
        <v>18.899999999999999</v>
      </c>
      <c r="O8">
        <v>20</v>
      </c>
    </row>
    <row r="9" spans="1:15">
      <c r="A9" t="s">
        <v>126</v>
      </c>
      <c r="B9">
        <v>0</v>
      </c>
      <c r="C9">
        <v>0.2</v>
      </c>
      <c r="D9">
        <v>0.3</v>
      </c>
      <c r="E9">
        <v>0.5</v>
      </c>
      <c r="F9">
        <v>1</v>
      </c>
      <c r="G9">
        <v>1.5</v>
      </c>
      <c r="H9">
        <v>2</v>
      </c>
      <c r="I9">
        <v>0.1</v>
      </c>
      <c r="J9">
        <v>0.2</v>
      </c>
      <c r="K9">
        <v>0.4</v>
      </c>
      <c r="L9">
        <v>0.7</v>
      </c>
      <c r="M9">
        <v>1.1000000000000001</v>
      </c>
      <c r="N9">
        <v>1.8</v>
      </c>
      <c r="O9">
        <v>2.7</v>
      </c>
    </row>
    <row r="10" spans="1:15">
      <c r="A10" t="s">
        <v>127</v>
      </c>
      <c r="B10">
        <v>0.1</v>
      </c>
      <c r="C10">
        <v>0.2</v>
      </c>
      <c r="D10">
        <v>0.2</v>
      </c>
      <c r="E10">
        <v>0.2</v>
      </c>
      <c r="F10">
        <v>0.3</v>
      </c>
      <c r="G10">
        <v>0.6</v>
      </c>
      <c r="H10">
        <v>0.7</v>
      </c>
      <c r="I10">
        <v>0.1</v>
      </c>
      <c r="J10">
        <v>0.3</v>
      </c>
      <c r="K10">
        <v>0.4</v>
      </c>
      <c r="L10">
        <v>0.7</v>
      </c>
      <c r="M10">
        <v>1</v>
      </c>
      <c r="N10">
        <v>1.3</v>
      </c>
      <c r="O10">
        <v>1.6</v>
      </c>
    </row>
    <row r="11" spans="1:15">
      <c r="A11" t="s">
        <v>128</v>
      </c>
      <c r="B11">
        <v>0.3</v>
      </c>
      <c r="C11">
        <v>0.3</v>
      </c>
      <c r="D11">
        <v>0.3</v>
      </c>
      <c r="E11">
        <v>0.4</v>
      </c>
      <c r="F11">
        <v>0.5</v>
      </c>
      <c r="G11">
        <v>0.7</v>
      </c>
      <c r="H11">
        <v>1.3</v>
      </c>
      <c r="I11">
        <v>0.3</v>
      </c>
      <c r="J11">
        <v>0.4</v>
      </c>
      <c r="K11">
        <v>0.5</v>
      </c>
      <c r="L11">
        <v>0.6</v>
      </c>
      <c r="M11">
        <v>0.7</v>
      </c>
      <c r="N11">
        <v>1.1000000000000001</v>
      </c>
      <c r="O11">
        <v>1.5</v>
      </c>
    </row>
    <row r="12" spans="1:15">
      <c r="A12" t="s">
        <v>129</v>
      </c>
      <c r="B12">
        <v>0.4</v>
      </c>
      <c r="C12">
        <v>0.5</v>
      </c>
      <c r="D12">
        <v>1</v>
      </c>
      <c r="E12">
        <v>1.3</v>
      </c>
      <c r="F12">
        <v>1.6</v>
      </c>
      <c r="G12">
        <v>1.6</v>
      </c>
      <c r="H12">
        <v>1.6</v>
      </c>
      <c r="I12">
        <v>0.4</v>
      </c>
      <c r="J12">
        <v>0.7</v>
      </c>
      <c r="K12">
        <v>1</v>
      </c>
      <c r="L12">
        <v>1.3</v>
      </c>
      <c r="M12">
        <v>1.4</v>
      </c>
      <c r="N12">
        <v>1.5</v>
      </c>
      <c r="O12">
        <v>1.6</v>
      </c>
    </row>
    <row r="13" spans="1:15">
      <c r="A13" t="s">
        <v>130</v>
      </c>
      <c r="B13">
        <f>SUM(B3:B12)</f>
        <v>20.200000000000003</v>
      </c>
      <c r="C13">
        <f t="shared" ref="C13:O13" si="0">SUM(C3:C12)</f>
        <v>24.4</v>
      </c>
      <c r="D13">
        <f t="shared" si="0"/>
        <v>28.599999999999998</v>
      </c>
      <c r="E13">
        <f t="shared" si="0"/>
        <v>33.4</v>
      </c>
      <c r="F13">
        <f t="shared" si="0"/>
        <v>37.9</v>
      </c>
      <c r="G13">
        <f t="shared" si="0"/>
        <v>42.300000000000004</v>
      </c>
      <c r="H13">
        <f t="shared" si="0"/>
        <v>44.2</v>
      </c>
      <c r="I13">
        <f t="shared" si="0"/>
        <v>21.9</v>
      </c>
      <c r="J13">
        <f t="shared" si="0"/>
        <v>28.999999999999996</v>
      </c>
      <c r="K13">
        <f t="shared" si="0"/>
        <v>36.299999999999997</v>
      </c>
      <c r="L13">
        <f t="shared" si="0"/>
        <v>44.500000000000007</v>
      </c>
      <c r="M13">
        <f t="shared" si="0"/>
        <v>49.900000000000006</v>
      </c>
      <c r="N13">
        <f t="shared" si="0"/>
        <v>55.099999999999994</v>
      </c>
      <c r="O13">
        <f t="shared" si="0"/>
        <v>57.800000000000004</v>
      </c>
    </row>
  </sheetData>
  <mergeCells count="2">
    <mergeCell ref="B1:H1"/>
    <mergeCell ref="I1:O1"/>
  </mergeCells>
  <phoneticPr fontId="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activeCell="C7" sqref="C7"/>
    </sheetView>
  </sheetViews>
  <sheetFormatPr defaultRowHeight="15"/>
  <cols>
    <col min="3" max="3" width="12.42578125" bestFit="1" customWidth="1"/>
    <col min="4" max="4" width="8.85546875" customWidth="1"/>
  </cols>
  <sheetData>
    <row r="1" spans="1:4">
      <c r="A1" t="s">
        <v>131</v>
      </c>
    </row>
    <row r="2" spans="1:4">
      <c r="B2" t="s">
        <v>132</v>
      </c>
      <c r="C2">
        <v>2.3884589699999999E-5</v>
      </c>
      <c r="D2" t="s">
        <v>133</v>
      </c>
    </row>
    <row r="3" spans="1:4">
      <c r="C3">
        <v>0.27777777799999998</v>
      </c>
      <c r="D3" t="s">
        <v>134</v>
      </c>
    </row>
    <row r="4" spans="1:4">
      <c r="C4">
        <f>C3*1000</f>
        <v>277.77777799999996</v>
      </c>
      <c r="D4" t="s">
        <v>135</v>
      </c>
    </row>
    <row r="5" spans="1:4">
      <c r="C5">
        <v>947.81712000000005</v>
      </c>
      <c r="D5" t="s">
        <v>136</v>
      </c>
    </row>
    <row r="6" spans="1:4">
      <c r="C6">
        <v>3.4120842400000002E-5</v>
      </c>
      <c r="D6" t="s">
        <v>137</v>
      </c>
    </row>
    <row r="7" spans="1:4">
      <c r="C7">
        <v>238.84589700000001</v>
      </c>
      <c r="D7" t="s">
        <v>138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J14"/>
  <sheetViews>
    <sheetView workbookViewId="0">
      <selection activeCell="M33" sqref="M33"/>
    </sheetView>
  </sheetViews>
  <sheetFormatPr defaultRowHeight="15"/>
  <cols>
    <col min="1" max="1" width="26.140625" style="1" customWidth="1"/>
    <col min="2" max="2" width="11.28515625" style="1" customWidth="1"/>
    <col min="3" max="36" width="11.42578125" bestFit="1" customWidth="1"/>
  </cols>
  <sheetData>
    <row r="1" spans="1:36">
      <c r="B1" s="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>
      <c r="A2" s="1" t="s">
        <v>96</v>
      </c>
      <c r="B2" s="1">
        <v>0</v>
      </c>
      <c r="C2" s="2">
        <f>'HK I&amp;E Projection'!M$4*'Imported Mix'!D2*'Unit Conversion'!$C$3*10^3</f>
        <v>0</v>
      </c>
      <c r="D2" s="2">
        <f>'HK I&amp;E Projection'!N$4*'Imported Mix'!E2*'Unit Conversion'!$C$3*10^3</f>
        <v>0</v>
      </c>
      <c r="E2" s="2">
        <f>'HK I&amp;E Projection'!O$4*'Imported Mix'!F2*'Unit Conversion'!$C$3*10^3</f>
        <v>0</v>
      </c>
      <c r="F2" s="2">
        <f>'HK I&amp;E Projection'!P$4*'Imported Mix'!G2*'Unit Conversion'!$C$3*10^3</f>
        <v>0</v>
      </c>
      <c r="G2" s="2">
        <f>'HK I&amp;E Projection'!Q$4*'Imported Mix'!H2*'Unit Conversion'!$C$3*10^3</f>
        <v>0</v>
      </c>
      <c r="H2" s="2">
        <f>'HK I&amp;E Projection'!R$4*'Imported Mix'!I2*'Unit Conversion'!$C$3*10^3</f>
        <v>0</v>
      </c>
      <c r="I2" s="2">
        <f>'HK I&amp;E Projection'!S$4*'Imported Mix'!J2*'Unit Conversion'!$C$3*10^3</f>
        <v>0</v>
      </c>
      <c r="J2" s="2">
        <f>'HK I&amp;E Projection'!T$4*'Imported Mix'!K2*'Unit Conversion'!$C$3*10^3</f>
        <v>0</v>
      </c>
      <c r="K2" s="2">
        <f>'HK I&amp;E Projection'!U$4*'Imported Mix'!L2*'Unit Conversion'!$C$3*10^3</f>
        <v>0</v>
      </c>
      <c r="L2" s="2">
        <f>'HK I&amp;E Projection'!V$4*'Imported Mix'!M2*'Unit Conversion'!$C$3*10^3</f>
        <v>0</v>
      </c>
      <c r="M2" s="2">
        <f>'HK I&amp;E Projection'!W$4*'Imported Mix'!N2*'Unit Conversion'!$C$3*10^3</f>
        <v>0</v>
      </c>
      <c r="N2" s="2">
        <f>'HK I&amp;E Projection'!X$4*'Imported Mix'!O2*'Unit Conversion'!$C$3*10^3</f>
        <v>0</v>
      </c>
      <c r="O2" s="2">
        <f>'HK I&amp;E Projection'!Y$4*'Imported Mix'!P2*'Unit Conversion'!$C$3*10^3</f>
        <v>0</v>
      </c>
      <c r="P2" s="2">
        <f>'HK I&amp;E Projection'!Z$4*'Imported Mix'!Q2*'Unit Conversion'!$C$3*10^3</f>
        <v>0</v>
      </c>
      <c r="Q2" s="2">
        <f>'HK I&amp;E Projection'!AA$4*'Imported Mix'!R2*'Unit Conversion'!$C$3*10^3</f>
        <v>0</v>
      </c>
      <c r="R2" s="2">
        <f>'HK I&amp;E Projection'!AB$4*'Imported Mix'!S2*'Unit Conversion'!$C$3*10^3</f>
        <v>0</v>
      </c>
      <c r="S2" s="2">
        <f>'HK I&amp;E Projection'!AC$4*'Imported Mix'!T2*'Unit Conversion'!$C$3*10^3</f>
        <v>0</v>
      </c>
      <c r="T2" s="2">
        <f>'HK I&amp;E Projection'!AD$4*'Imported Mix'!U2*'Unit Conversion'!$C$3*10^3</f>
        <v>0</v>
      </c>
      <c r="U2" s="2">
        <f>'HK I&amp;E Projection'!AE$4*'Imported Mix'!V2*'Unit Conversion'!$C$3*10^3</f>
        <v>0</v>
      </c>
      <c r="V2" s="2">
        <f>'HK I&amp;E Projection'!AF$4*'Imported Mix'!W2*'Unit Conversion'!$C$3*10^3</f>
        <v>0</v>
      </c>
      <c r="W2" s="2">
        <f>'HK I&amp;E Projection'!AG$4*'Imported Mix'!X2*'Unit Conversion'!$C$3*10^3</f>
        <v>0</v>
      </c>
      <c r="X2" s="2">
        <f>'HK I&amp;E Projection'!AH$4*'Imported Mix'!Y2*'Unit Conversion'!$C$3*10^3</f>
        <v>0</v>
      </c>
      <c r="Y2" s="2">
        <f>'HK I&amp;E Projection'!AI$4*'Imported Mix'!Z2*'Unit Conversion'!$C$3*10^3</f>
        <v>0</v>
      </c>
      <c r="Z2" s="2">
        <f>'HK I&amp;E Projection'!AJ$4*'Imported Mix'!AA2*'Unit Conversion'!$C$3*10^3</f>
        <v>0</v>
      </c>
      <c r="AA2" s="2">
        <f>'HK I&amp;E Projection'!AK$4*'Imported Mix'!AB2*'Unit Conversion'!$C$3*10^3</f>
        <v>0</v>
      </c>
      <c r="AB2" s="2">
        <f>'HK I&amp;E Projection'!AL$4*'Imported Mix'!AC2*'Unit Conversion'!$C$3*10^3</f>
        <v>0</v>
      </c>
      <c r="AC2" s="2">
        <f>'HK I&amp;E Projection'!AM$4*'Imported Mix'!AD2*'Unit Conversion'!$C$3*10^3</f>
        <v>0</v>
      </c>
      <c r="AD2" s="2">
        <f>'HK I&amp;E Projection'!AN$4*'Imported Mix'!AE2*'Unit Conversion'!$C$3*10^3</f>
        <v>0</v>
      </c>
      <c r="AE2" s="2">
        <f>'HK I&amp;E Projection'!AO$4*'Imported Mix'!AF2*'Unit Conversion'!$C$3*10^3</f>
        <v>0</v>
      </c>
      <c r="AF2" s="2">
        <f>'HK I&amp;E Projection'!AP$4*'Imported Mix'!AG2*'Unit Conversion'!$C$3*10^3</f>
        <v>0</v>
      </c>
      <c r="AG2" s="2">
        <f>'HK I&amp;E Projection'!AQ$4*'Imported Mix'!AH2*'Unit Conversion'!$C$3*10^3</f>
        <v>0</v>
      </c>
      <c r="AH2" s="2">
        <f>'HK I&amp;E Projection'!AR$4*'Imported Mix'!AI2*'Unit Conversion'!$C$3*10^3</f>
        <v>0</v>
      </c>
      <c r="AI2" s="2">
        <f>'HK I&amp;E Projection'!AS$4*'Imported Mix'!AJ2*'Unit Conversion'!$C$3*10^3</f>
        <v>0</v>
      </c>
      <c r="AJ2" s="2">
        <f>'HK I&amp;E Projection'!AT$4*'Imported Mix'!AK2*'Unit Conversion'!$C$3*10^3</f>
        <v>0</v>
      </c>
    </row>
    <row r="3" spans="1:36">
      <c r="A3" s="1" t="s">
        <v>97</v>
      </c>
      <c r="B3" s="1">
        <v>0</v>
      </c>
      <c r="C3" s="2">
        <f>'HK I&amp;E Projection'!M$4*'Imported Mix'!D3*'Unit Conversion'!$C$3*10^3</f>
        <v>0</v>
      </c>
      <c r="D3" s="2">
        <f>'HK I&amp;E Projection'!N$4*'Imported Mix'!E3*'Unit Conversion'!$C$3*10^3</f>
        <v>0</v>
      </c>
      <c r="E3" s="2">
        <f>'HK I&amp;E Projection'!O$4*'Imported Mix'!F3*'Unit Conversion'!$C$3*10^3</f>
        <v>0</v>
      </c>
      <c r="F3" s="2">
        <f>'HK I&amp;E Projection'!P$4*'Imported Mix'!G3*'Unit Conversion'!$C$3*10^3</f>
        <v>0</v>
      </c>
      <c r="G3" s="2">
        <f>'HK I&amp;E Projection'!Q$4*'Imported Mix'!H3*'Unit Conversion'!$C$3*10^3</f>
        <v>0</v>
      </c>
      <c r="H3" s="2">
        <f>'HK I&amp;E Projection'!R$4*'Imported Mix'!I3*'Unit Conversion'!$C$3*10^3</f>
        <v>0</v>
      </c>
      <c r="I3" s="2">
        <f>'HK I&amp;E Projection'!S$4*'Imported Mix'!J3*'Unit Conversion'!$C$3*10^3</f>
        <v>0</v>
      </c>
      <c r="J3" s="2">
        <f>'HK I&amp;E Projection'!T$4*'Imported Mix'!K3*'Unit Conversion'!$C$3*10^3</f>
        <v>0</v>
      </c>
      <c r="K3" s="2">
        <f>'HK I&amp;E Projection'!U$4*'Imported Mix'!L3*'Unit Conversion'!$C$3*10^3</f>
        <v>0</v>
      </c>
      <c r="L3" s="2">
        <f>'HK I&amp;E Projection'!V$4*'Imported Mix'!M3*'Unit Conversion'!$C$3*10^3</f>
        <v>0</v>
      </c>
      <c r="M3" s="2">
        <f>'HK I&amp;E Projection'!W$4*'Imported Mix'!N3*'Unit Conversion'!$C$3*10^3</f>
        <v>0</v>
      </c>
      <c r="N3" s="2">
        <f>'HK I&amp;E Projection'!X$4*'Imported Mix'!O3*'Unit Conversion'!$C$3*10^3</f>
        <v>0</v>
      </c>
      <c r="O3" s="2">
        <f>'HK I&amp;E Projection'!Y$4*'Imported Mix'!P3*'Unit Conversion'!$C$3*10^3</f>
        <v>0</v>
      </c>
      <c r="P3" s="2">
        <f>'HK I&amp;E Projection'!Z$4*'Imported Mix'!Q3*'Unit Conversion'!$C$3*10^3</f>
        <v>0</v>
      </c>
      <c r="Q3" s="2">
        <f>'HK I&amp;E Projection'!AA$4*'Imported Mix'!R3*'Unit Conversion'!$C$3*10^3</f>
        <v>0</v>
      </c>
      <c r="R3" s="2">
        <f>'HK I&amp;E Projection'!AB$4*'Imported Mix'!S3*'Unit Conversion'!$C$3*10^3</f>
        <v>0</v>
      </c>
      <c r="S3" s="2">
        <f>'HK I&amp;E Projection'!AC$4*'Imported Mix'!T3*'Unit Conversion'!$C$3*10^3</f>
        <v>0</v>
      </c>
      <c r="T3" s="2">
        <f>'HK I&amp;E Projection'!AD$4*'Imported Mix'!U3*'Unit Conversion'!$C$3*10^3</f>
        <v>0</v>
      </c>
      <c r="U3" s="2">
        <f>'HK I&amp;E Projection'!AE$4*'Imported Mix'!V3*'Unit Conversion'!$C$3*10^3</f>
        <v>0</v>
      </c>
      <c r="V3" s="2">
        <f>'HK I&amp;E Projection'!AF$4*'Imported Mix'!W3*'Unit Conversion'!$C$3*10^3</f>
        <v>0</v>
      </c>
      <c r="W3" s="2">
        <f>'HK I&amp;E Projection'!AG$4*'Imported Mix'!X3*'Unit Conversion'!$C$3*10^3</f>
        <v>0</v>
      </c>
      <c r="X3" s="2">
        <f>'HK I&amp;E Projection'!AH$4*'Imported Mix'!Y3*'Unit Conversion'!$C$3*10^3</f>
        <v>0</v>
      </c>
      <c r="Y3" s="2">
        <f>'HK I&amp;E Projection'!AI$4*'Imported Mix'!Z3*'Unit Conversion'!$C$3*10^3</f>
        <v>0</v>
      </c>
      <c r="Z3" s="2">
        <f>'HK I&amp;E Projection'!AJ$4*'Imported Mix'!AA3*'Unit Conversion'!$C$3*10^3</f>
        <v>0</v>
      </c>
      <c r="AA3" s="2">
        <f>'HK I&amp;E Projection'!AK$4*'Imported Mix'!AB3*'Unit Conversion'!$C$3*10^3</f>
        <v>0</v>
      </c>
      <c r="AB3" s="2">
        <f>'HK I&amp;E Projection'!AL$4*'Imported Mix'!AC3*'Unit Conversion'!$C$3*10^3</f>
        <v>0</v>
      </c>
      <c r="AC3" s="2">
        <f>'HK I&amp;E Projection'!AM$4*'Imported Mix'!AD3*'Unit Conversion'!$C$3*10^3</f>
        <v>0</v>
      </c>
      <c r="AD3" s="2">
        <f>'HK I&amp;E Projection'!AN$4*'Imported Mix'!AE3*'Unit Conversion'!$C$3*10^3</f>
        <v>0</v>
      </c>
      <c r="AE3" s="2">
        <f>'HK I&amp;E Projection'!AO$4*'Imported Mix'!AF3*'Unit Conversion'!$C$3*10^3</f>
        <v>0</v>
      </c>
      <c r="AF3" s="2">
        <f>'HK I&amp;E Projection'!AP$4*'Imported Mix'!AG3*'Unit Conversion'!$C$3*10^3</f>
        <v>0</v>
      </c>
      <c r="AG3" s="2">
        <f>'HK I&amp;E Projection'!AQ$4*'Imported Mix'!AH3*'Unit Conversion'!$C$3*10^3</f>
        <v>0</v>
      </c>
      <c r="AH3" s="2">
        <f>'HK I&amp;E Projection'!AR$4*'Imported Mix'!AI3*'Unit Conversion'!$C$3*10^3</f>
        <v>0</v>
      </c>
      <c r="AI3" s="2">
        <f>'HK I&amp;E Projection'!AS$4*'Imported Mix'!AJ3*'Unit Conversion'!$C$3*10^3</f>
        <v>0</v>
      </c>
      <c r="AJ3" s="2">
        <f>'HK I&amp;E Projection'!AT$4*'Imported Mix'!AK3*'Unit Conversion'!$C$3*10^3</f>
        <v>0</v>
      </c>
    </row>
    <row r="4" spans="1:36">
      <c r="A4" s="1" t="s">
        <v>98</v>
      </c>
      <c r="B4" s="2">
        <f>'HK I&amp;E Projection'!L$4*'Imported Mix'!C4*'Unit Conversion'!$C$3*10^3</f>
        <v>11620833.342629999</v>
      </c>
      <c r="C4" s="2">
        <f>'HK I&amp;E Projection'!M$4*'Imported Mix'!D4*'Unit Conversion'!$C$3*10^3</f>
        <v>12576111.121171998</v>
      </c>
      <c r="D4" s="2">
        <f>'HK I&amp;E Projection'!N$4*'Imported Mix'!E4*'Unit Conversion'!$C$3*10^3</f>
        <v>12599166.676746</v>
      </c>
      <c r="E4" s="2">
        <f>'HK I&amp;E Projection'!O$4*'Imported Mix'!F4*'Unit Conversion'!$C$3*10^3</f>
        <v>12380833.343237998</v>
      </c>
      <c r="F4" s="2">
        <f>'HK I&amp;E Projection'!P$4*'Imported Mix'!G4*'Unit Conversion'!$C$3*10^3</f>
        <v>12698888.899047999</v>
      </c>
      <c r="G4" s="2">
        <f>'HK I&amp;E Projection'!Q$4*'Imported Mix'!H4*'Unit Conversion'!$C$3*10^3</f>
        <v>12554722.232265998</v>
      </c>
      <c r="H4" s="2">
        <f>'HK I&amp;E Projection'!R$4*'Imported Mix'!I4*'Unit Conversion'!$C$3*10^3</f>
        <v>12347777.787656</v>
      </c>
      <c r="I4" s="2">
        <f>'HK I&amp;E Projection'!S$4*'Imported Mix'!J4*'Unit Conversion'!$C$3*10^3</f>
        <v>12530575.767600192</v>
      </c>
      <c r="J4" s="2">
        <f>'HK I&amp;E Projection'!T$4*'Imported Mix'!K4*'Unit Conversion'!$C$3*10^3</f>
        <v>12672161.626299324</v>
      </c>
      <c r="K4" s="2">
        <f>'HK I&amp;E Projection'!U$4*'Imported Mix'!L4*'Unit Conversion'!$C$3*10^3</f>
        <v>12813747.484998453</v>
      </c>
      <c r="L4" s="2">
        <f>'HK I&amp;E Projection'!V$4*'Imported Mix'!M4*'Unit Conversion'!$C$3*10^3</f>
        <v>12955333.343697587</v>
      </c>
      <c r="M4" s="2">
        <f>'HK I&amp;E Projection'!W$4*'Imported Mix'!N4*'Unit Conversion'!$C$3*10^3</f>
        <v>13096919.202396717</v>
      </c>
      <c r="N4" s="2">
        <f>'HK I&amp;E Projection'!X$4*'Imported Mix'!O4*'Unit Conversion'!$C$3*10^3</f>
        <v>13238505.061095849</v>
      </c>
      <c r="O4" s="2">
        <f>'HK I&amp;E Projection'!Y$4*'Imported Mix'!P4*'Unit Conversion'!$C$3*10^3</f>
        <v>13380090.919794947</v>
      </c>
      <c r="P4" s="2">
        <f>'HK I&amp;E Projection'!Z$4*'Imported Mix'!Q4*'Unit Conversion'!$C$3*10^3</f>
        <v>13521676.778494079</v>
      </c>
      <c r="Q4" s="2">
        <f>'HK I&amp;E Projection'!AA$4*'Imported Mix'!R4*'Unit Conversion'!$C$3*10^3</f>
        <v>13663262.63719321</v>
      </c>
      <c r="R4" s="2">
        <f>'HK I&amp;E Projection'!AB$4*'Imported Mix'!S4*'Unit Conversion'!$C$3*10^3</f>
        <v>13804848.495892342</v>
      </c>
      <c r="S4" s="2">
        <f>'HK I&amp;E Projection'!AC$4*'Imported Mix'!T4*'Unit Conversion'!$C$3*10^3</f>
        <v>13946434.354591472</v>
      </c>
      <c r="T4" s="2">
        <f>'HK I&amp;E Projection'!AD$4*'Imported Mix'!U4*'Unit Conversion'!$C$3*10^3</f>
        <v>14088020.213290606</v>
      </c>
      <c r="U4" s="2">
        <f>'HK I&amp;E Projection'!AE$4*'Imported Mix'!V4*'Unit Conversion'!$C$3*10^3</f>
        <v>0</v>
      </c>
      <c r="V4" s="2">
        <f>'HK I&amp;E Projection'!AF$4*'Imported Mix'!W4*'Unit Conversion'!$C$3*10^3</f>
        <v>0</v>
      </c>
      <c r="W4" s="2">
        <f>'HK I&amp;E Projection'!AG$4*'Imported Mix'!X4*'Unit Conversion'!$C$3*10^3</f>
        <v>0</v>
      </c>
      <c r="X4" s="2">
        <f>'HK I&amp;E Projection'!AH$4*'Imported Mix'!Y4*'Unit Conversion'!$C$3*10^3</f>
        <v>0</v>
      </c>
      <c r="Y4" s="2">
        <f>'HK I&amp;E Projection'!AI$4*'Imported Mix'!Z4*'Unit Conversion'!$C$3*10^3</f>
        <v>0</v>
      </c>
      <c r="Z4" s="2">
        <f>'HK I&amp;E Projection'!AJ$4*'Imported Mix'!AA4*'Unit Conversion'!$C$3*10^3</f>
        <v>0</v>
      </c>
      <c r="AA4" s="2">
        <f>'HK I&amp;E Projection'!AK$4*'Imported Mix'!AB4*'Unit Conversion'!$C$3*10^3</f>
        <v>0</v>
      </c>
      <c r="AB4" s="2">
        <f>'HK I&amp;E Projection'!AL$4*'Imported Mix'!AC4*'Unit Conversion'!$C$3*10^3</f>
        <v>0</v>
      </c>
      <c r="AC4" s="2">
        <f>'HK I&amp;E Projection'!AM$4*'Imported Mix'!AD4*'Unit Conversion'!$C$3*10^3</f>
        <v>0</v>
      </c>
      <c r="AD4" s="2">
        <f>'HK I&amp;E Projection'!AN$4*'Imported Mix'!AE4*'Unit Conversion'!$C$3*10^3</f>
        <v>0</v>
      </c>
      <c r="AE4" s="2">
        <f>'HK I&amp;E Projection'!AO$4*'Imported Mix'!AF4*'Unit Conversion'!$C$3*10^3</f>
        <v>0</v>
      </c>
      <c r="AF4" s="2">
        <f>'HK I&amp;E Projection'!AP$4*'Imported Mix'!AG4*'Unit Conversion'!$C$3*10^3</f>
        <v>0</v>
      </c>
      <c r="AG4" s="2">
        <f>'HK I&amp;E Projection'!AQ$4*'Imported Mix'!AH4*'Unit Conversion'!$C$3*10^3</f>
        <v>0</v>
      </c>
      <c r="AH4" s="2">
        <f>'HK I&amp;E Projection'!AR$4*'Imported Mix'!AI4*'Unit Conversion'!$C$3*10^3</f>
        <v>0</v>
      </c>
      <c r="AI4" s="2">
        <f>'HK I&amp;E Projection'!AS$4*'Imported Mix'!AJ4*'Unit Conversion'!$C$3*10^3</f>
        <v>0</v>
      </c>
      <c r="AJ4" s="2">
        <f>'HK I&amp;E Projection'!AT$4*'Imported Mix'!AK4*'Unit Conversion'!$C$3*10^3</f>
        <v>0</v>
      </c>
    </row>
    <row r="5" spans="1:36">
      <c r="A5" s="1" t="s">
        <v>99</v>
      </c>
      <c r="B5" s="1">
        <v>0</v>
      </c>
      <c r="C5" s="2">
        <f>'HK I&amp;E Projection'!M$4*'Imported Mix'!D5*'Unit Conversion'!$C$3*10^3</f>
        <v>0</v>
      </c>
      <c r="D5" s="2">
        <f>'HK I&amp;E Projection'!N$4*'Imported Mix'!E5*'Unit Conversion'!$C$3*10^3</f>
        <v>0</v>
      </c>
      <c r="E5" s="2">
        <f>'HK I&amp;E Projection'!O$4*'Imported Mix'!F5*'Unit Conversion'!$C$3*10^3</f>
        <v>0</v>
      </c>
      <c r="F5" s="2">
        <f>'HK I&amp;E Projection'!P$4*'Imported Mix'!G5*'Unit Conversion'!$C$3*10^3</f>
        <v>0</v>
      </c>
      <c r="G5" s="2">
        <f>'HK I&amp;E Projection'!Q$4*'Imported Mix'!H5*'Unit Conversion'!$C$3*10^3</f>
        <v>0</v>
      </c>
      <c r="H5" s="2">
        <f>'HK I&amp;E Projection'!R$4*'Imported Mix'!I5*'Unit Conversion'!$C$3*10^3</f>
        <v>0</v>
      </c>
      <c r="I5" s="2">
        <f>'HK I&amp;E Projection'!S$4*'Imported Mix'!J5*'Unit Conversion'!$C$3*10^3</f>
        <v>0</v>
      </c>
      <c r="J5" s="2">
        <f>'HK I&amp;E Projection'!T$4*'Imported Mix'!K5*'Unit Conversion'!$C$3*10^3</f>
        <v>0</v>
      </c>
      <c r="K5" s="2">
        <f>'HK I&amp;E Projection'!U$4*'Imported Mix'!L5*'Unit Conversion'!$C$3*10^3</f>
        <v>0</v>
      </c>
      <c r="L5" s="2">
        <f>'HK I&amp;E Projection'!V$4*'Imported Mix'!M5*'Unit Conversion'!$C$3*10^3</f>
        <v>0</v>
      </c>
      <c r="M5" s="2">
        <f>'HK I&amp;E Projection'!W$4*'Imported Mix'!N5*'Unit Conversion'!$C$3*10^3</f>
        <v>0</v>
      </c>
      <c r="N5" s="2">
        <f>'HK I&amp;E Projection'!X$4*'Imported Mix'!O5*'Unit Conversion'!$C$3*10^3</f>
        <v>0</v>
      </c>
      <c r="O5" s="2">
        <f>'HK I&amp;E Projection'!Y$4*'Imported Mix'!P5*'Unit Conversion'!$C$3*10^3</f>
        <v>0</v>
      </c>
      <c r="P5" s="2">
        <f>'HK I&amp;E Projection'!Z$4*'Imported Mix'!Q5*'Unit Conversion'!$C$3*10^3</f>
        <v>0</v>
      </c>
      <c r="Q5" s="2">
        <f>'HK I&amp;E Projection'!AA$4*'Imported Mix'!R5*'Unit Conversion'!$C$3*10^3</f>
        <v>0</v>
      </c>
      <c r="R5" s="2">
        <f>'HK I&amp;E Projection'!AB$4*'Imported Mix'!S5*'Unit Conversion'!$C$3*10^3</f>
        <v>0</v>
      </c>
      <c r="S5" s="2">
        <f>'HK I&amp;E Projection'!AC$4*'Imported Mix'!T5*'Unit Conversion'!$C$3*10^3</f>
        <v>0</v>
      </c>
      <c r="T5" s="2">
        <f>'HK I&amp;E Projection'!AD$4*'Imported Mix'!U5*'Unit Conversion'!$C$3*10^3</f>
        <v>0</v>
      </c>
      <c r="U5" s="2">
        <f>'HK I&amp;E Projection'!AE$4*'Imported Mix'!V5*'Unit Conversion'!$C$3*10^3</f>
        <v>0</v>
      </c>
      <c r="V5" s="2">
        <f>'HK I&amp;E Projection'!AF$4*'Imported Mix'!W5*'Unit Conversion'!$C$3*10^3</f>
        <v>0</v>
      </c>
      <c r="W5" s="2">
        <f>'HK I&amp;E Projection'!AG$4*'Imported Mix'!X5*'Unit Conversion'!$C$3*10^3</f>
        <v>0</v>
      </c>
      <c r="X5" s="2">
        <f>'HK I&amp;E Projection'!AH$4*'Imported Mix'!Y5*'Unit Conversion'!$C$3*10^3</f>
        <v>0</v>
      </c>
      <c r="Y5" s="2">
        <f>'HK I&amp;E Projection'!AI$4*'Imported Mix'!Z5*'Unit Conversion'!$C$3*10^3</f>
        <v>0</v>
      </c>
      <c r="Z5" s="2">
        <f>'HK I&amp;E Projection'!AJ$4*'Imported Mix'!AA5*'Unit Conversion'!$C$3*10^3</f>
        <v>0</v>
      </c>
      <c r="AA5" s="2">
        <f>'HK I&amp;E Projection'!AK$4*'Imported Mix'!AB5*'Unit Conversion'!$C$3*10^3</f>
        <v>0</v>
      </c>
      <c r="AB5" s="2">
        <f>'HK I&amp;E Projection'!AL$4*'Imported Mix'!AC5*'Unit Conversion'!$C$3*10^3</f>
        <v>0</v>
      </c>
      <c r="AC5" s="2">
        <f>'HK I&amp;E Projection'!AM$4*'Imported Mix'!AD5*'Unit Conversion'!$C$3*10^3</f>
        <v>0</v>
      </c>
      <c r="AD5" s="2">
        <f>'HK I&amp;E Projection'!AN$4*'Imported Mix'!AE5*'Unit Conversion'!$C$3*10^3</f>
        <v>0</v>
      </c>
      <c r="AE5" s="2">
        <f>'HK I&amp;E Projection'!AO$4*'Imported Mix'!AF5*'Unit Conversion'!$C$3*10^3</f>
        <v>0</v>
      </c>
      <c r="AF5" s="2">
        <f>'HK I&amp;E Projection'!AP$4*'Imported Mix'!AG5*'Unit Conversion'!$C$3*10^3</f>
        <v>0</v>
      </c>
      <c r="AG5" s="2">
        <f>'HK I&amp;E Projection'!AQ$4*'Imported Mix'!AH5*'Unit Conversion'!$C$3*10^3</f>
        <v>0</v>
      </c>
      <c r="AH5" s="2">
        <f>'HK I&amp;E Projection'!AR$4*'Imported Mix'!AI5*'Unit Conversion'!$C$3*10^3</f>
        <v>0</v>
      </c>
      <c r="AI5" s="2">
        <f>'HK I&amp;E Projection'!AS$4*'Imported Mix'!AJ5*'Unit Conversion'!$C$3*10^3</f>
        <v>0</v>
      </c>
      <c r="AJ5" s="2">
        <f>'HK I&amp;E Projection'!AT$4*'Imported Mix'!AK5*'Unit Conversion'!$C$3*10^3</f>
        <v>0</v>
      </c>
    </row>
    <row r="6" spans="1:36">
      <c r="A6" s="1" t="s">
        <v>100</v>
      </c>
      <c r="B6" s="1">
        <v>0</v>
      </c>
      <c r="C6" s="2">
        <f>'HK I&amp;E Projection'!M$4*'Imported Mix'!D6*'Unit Conversion'!$C$3*10^3</f>
        <v>0</v>
      </c>
      <c r="D6" s="2">
        <f>'HK I&amp;E Projection'!N$4*'Imported Mix'!E6*'Unit Conversion'!$C$3*10^3</f>
        <v>0</v>
      </c>
      <c r="E6" s="2">
        <f>'HK I&amp;E Projection'!O$4*'Imported Mix'!F6*'Unit Conversion'!$C$3*10^3</f>
        <v>0</v>
      </c>
      <c r="F6" s="2">
        <f>'HK I&amp;E Projection'!P$4*'Imported Mix'!G6*'Unit Conversion'!$C$3*10^3</f>
        <v>0</v>
      </c>
      <c r="G6" s="2">
        <f>'HK I&amp;E Projection'!Q$4*'Imported Mix'!H6*'Unit Conversion'!$C$3*10^3</f>
        <v>0</v>
      </c>
      <c r="H6" s="2">
        <f>'HK I&amp;E Projection'!R$4*'Imported Mix'!I6*'Unit Conversion'!$C$3*10^3</f>
        <v>0</v>
      </c>
      <c r="I6" s="2">
        <f>'HK I&amp;E Projection'!S$4*'Imported Mix'!J6*'Unit Conversion'!$C$3*10^3</f>
        <v>0</v>
      </c>
      <c r="J6" s="2">
        <f>'HK I&amp;E Projection'!T$4*'Imported Mix'!K6*'Unit Conversion'!$C$3*10^3</f>
        <v>0</v>
      </c>
      <c r="K6" s="2">
        <f>'HK I&amp;E Projection'!U$4*'Imported Mix'!L6*'Unit Conversion'!$C$3*10^3</f>
        <v>0</v>
      </c>
      <c r="L6" s="2">
        <f>'HK I&amp;E Projection'!V$4*'Imported Mix'!M6*'Unit Conversion'!$C$3*10^3</f>
        <v>0</v>
      </c>
      <c r="M6" s="2">
        <f>'HK I&amp;E Projection'!W$4*'Imported Mix'!N6*'Unit Conversion'!$C$3*10^3</f>
        <v>0</v>
      </c>
      <c r="N6" s="2">
        <f>'HK I&amp;E Projection'!X$4*'Imported Mix'!O6*'Unit Conversion'!$C$3*10^3</f>
        <v>0</v>
      </c>
      <c r="O6" s="2">
        <f>'HK I&amp;E Projection'!Y$4*'Imported Mix'!P6*'Unit Conversion'!$C$3*10^3</f>
        <v>0</v>
      </c>
      <c r="P6" s="2">
        <f>'HK I&amp;E Projection'!Z$4*'Imported Mix'!Q6*'Unit Conversion'!$C$3*10^3</f>
        <v>0</v>
      </c>
      <c r="Q6" s="2">
        <f>'HK I&amp;E Projection'!AA$4*'Imported Mix'!R6*'Unit Conversion'!$C$3*10^3</f>
        <v>0</v>
      </c>
      <c r="R6" s="2">
        <f>'HK I&amp;E Projection'!AB$4*'Imported Mix'!S6*'Unit Conversion'!$C$3*10^3</f>
        <v>0</v>
      </c>
      <c r="S6" s="2">
        <f>'HK I&amp;E Projection'!AC$4*'Imported Mix'!T6*'Unit Conversion'!$C$3*10^3</f>
        <v>0</v>
      </c>
      <c r="T6" s="2">
        <f>'HK I&amp;E Projection'!AD$4*'Imported Mix'!U6*'Unit Conversion'!$C$3*10^3</f>
        <v>0</v>
      </c>
      <c r="U6" s="2">
        <f>'HK I&amp;E Projection'!AE$4*'Imported Mix'!V6*'Unit Conversion'!$C$3*10^3</f>
        <v>14229606.071989736</v>
      </c>
      <c r="V6" s="2">
        <f>'HK I&amp;E Projection'!AF$4*'Imported Mix'!W6*'Unit Conversion'!$C$3*10^3</f>
        <v>14371191.930688867</v>
      </c>
      <c r="W6" s="2">
        <f>'HK I&amp;E Projection'!AG$4*'Imported Mix'!X6*'Unit Conversion'!$C$3*10^3</f>
        <v>14512777.789387967</v>
      </c>
      <c r="X6" s="2">
        <f>'HK I&amp;E Projection'!AH$4*'Imported Mix'!Y6*'Unit Conversion'!$C$3*10^3</f>
        <v>14654363.648087097</v>
      </c>
      <c r="Y6" s="2">
        <f>'HK I&amp;E Projection'!AI$4*'Imported Mix'!Z6*'Unit Conversion'!$C$3*10^3</f>
        <v>14795949.506786229</v>
      </c>
      <c r="Z6" s="2">
        <f>'HK I&amp;E Projection'!AJ$4*'Imported Mix'!AA6*'Unit Conversion'!$C$3*10^3</f>
        <v>14937535.365485361</v>
      </c>
      <c r="AA6" s="2">
        <f>'HK I&amp;E Projection'!AK$4*'Imported Mix'!AB6*'Unit Conversion'!$C$3*10^3</f>
        <v>15079121.224184491</v>
      </c>
      <c r="AB6" s="2">
        <f>'HK I&amp;E Projection'!AL$4*'Imported Mix'!AC6*'Unit Conversion'!$C$3*10^3</f>
        <v>15220707.082883624</v>
      </c>
      <c r="AC6" s="2">
        <f>'HK I&amp;E Projection'!AM$4*'Imported Mix'!AD6*'Unit Conversion'!$C$3*10^3</f>
        <v>15362292.941582754</v>
      </c>
      <c r="AD6" s="2">
        <f>'HK I&amp;E Projection'!AN$4*'Imported Mix'!AE6*'Unit Conversion'!$C$3*10^3</f>
        <v>15503878.800281886</v>
      </c>
      <c r="AE6" s="2">
        <f>'HK I&amp;E Projection'!AO$4*'Imported Mix'!AF6*'Unit Conversion'!$C$3*10^3</f>
        <v>15645464.658980986</v>
      </c>
      <c r="AF6" s="2">
        <f>'HK I&amp;E Projection'!AP$4*'Imported Mix'!AG6*'Unit Conversion'!$C$3*10^3</f>
        <v>15787050.517680116</v>
      </c>
      <c r="AG6" s="2">
        <f>'HK I&amp;E Projection'!AQ$4*'Imported Mix'!AH6*'Unit Conversion'!$C$3*10^3</f>
        <v>15928636.376379248</v>
      </c>
      <c r="AH6" s="2">
        <f>'HK I&amp;E Projection'!AR$4*'Imported Mix'!AI6*'Unit Conversion'!$C$3*10^3</f>
        <v>16070222.23507838</v>
      </c>
      <c r="AI6" s="2">
        <f>'HK I&amp;E Projection'!AS$4*'Imported Mix'!AJ6*'Unit Conversion'!$C$3*10^3</f>
        <v>16211808.093777509</v>
      </c>
      <c r="AJ6" s="2">
        <f>'HK I&amp;E Projection'!AT$4*'Imported Mix'!AK6*'Unit Conversion'!$C$3*10^3</f>
        <v>16353393.952476641</v>
      </c>
    </row>
    <row r="7" spans="1:36">
      <c r="A7" s="1" t="s">
        <v>101</v>
      </c>
      <c r="B7" s="1">
        <v>0</v>
      </c>
      <c r="C7" s="2">
        <f>'HK I&amp;E Projection'!M$4*'Imported Mix'!D7*'Unit Conversion'!$C$3*10^3</f>
        <v>0</v>
      </c>
      <c r="D7" s="2">
        <f>'HK I&amp;E Projection'!N$4*'Imported Mix'!E7*'Unit Conversion'!$C$3*10^3</f>
        <v>0</v>
      </c>
      <c r="E7" s="2">
        <f>'HK I&amp;E Projection'!O$4*'Imported Mix'!F7*'Unit Conversion'!$C$3*10^3</f>
        <v>0</v>
      </c>
      <c r="F7" s="2">
        <f>'HK I&amp;E Projection'!P$4*'Imported Mix'!G7*'Unit Conversion'!$C$3*10^3</f>
        <v>0</v>
      </c>
      <c r="G7" s="2">
        <f>'HK I&amp;E Projection'!Q$4*'Imported Mix'!H7*'Unit Conversion'!$C$3*10^3</f>
        <v>0</v>
      </c>
      <c r="H7" s="2">
        <f>'HK I&amp;E Projection'!R$4*'Imported Mix'!I7*'Unit Conversion'!$C$3*10^3</f>
        <v>0</v>
      </c>
      <c r="I7" s="2">
        <f>'HK I&amp;E Projection'!S$4*'Imported Mix'!J7*'Unit Conversion'!$C$3*10^3</f>
        <v>0</v>
      </c>
      <c r="J7" s="2">
        <f>'HK I&amp;E Projection'!T$4*'Imported Mix'!K7*'Unit Conversion'!$C$3*10^3</f>
        <v>0</v>
      </c>
      <c r="K7" s="2">
        <f>'HK I&amp;E Projection'!U$4*'Imported Mix'!L7*'Unit Conversion'!$C$3*10^3</f>
        <v>0</v>
      </c>
      <c r="L7" s="2">
        <f>'HK I&amp;E Projection'!V$4*'Imported Mix'!M7*'Unit Conversion'!$C$3*10^3</f>
        <v>0</v>
      </c>
      <c r="M7" s="2">
        <f>'HK I&amp;E Projection'!W$4*'Imported Mix'!N7*'Unit Conversion'!$C$3*10^3</f>
        <v>0</v>
      </c>
      <c r="N7" s="2">
        <f>'HK I&amp;E Projection'!X$4*'Imported Mix'!O7*'Unit Conversion'!$C$3*10^3</f>
        <v>0</v>
      </c>
      <c r="O7" s="2">
        <f>'HK I&amp;E Projection'!Y$4*'Imported Mix'!P7*'Unit Conversion'!$C$3*10^3</f>
        <v>0</v>
      </c>
      <c r="P7" s="2">
        <f>'HK I&amp;E Projection'!Z$4*'Imported Mix'!Q7*'Unit Conversion'!$C$3*10^3</f>
        <v>0</v>
      </c>
      <c r="Q7" s="2">
        <f>'HK I&amp;E Projection'!AA$4*'Imported Mix'!R7*'Unit Conversion'!$C$3*10^3</f>
        <v>0</v>
      </c>
      <c r="R7" s="2">
        <f>'HK I&amp;E Projection'!AB$4*'Imported Mix'!S7*'Unit Conversion'!$C$3*10^3</f>
        <v>0</v>
      </c>
      <c r="S7" s="2">
        <f>'HK I&amp;E Projection'!AC$4*'Imported Mix'!T7*'Unit Conversion'!$C$3*10^3</f>
        <v>0</v>
      </c>
      <c r="T7" s="2">
        <f>'HK I&amp;E Projection'!AD$4*'Imported Mix'!U7*'Unit Conversion'!$C$3*10^3</f>
        <v>0</v>
      </c>
      <c r="U7" s="2">
        <f>'HK I&amp;E Projection'!AE$4*'Imported Mix'!V7*'Unit Conversion'!$C$3*10^3</f>
        <v>0</v>
      </c>
      <c r="V7" s="2">
        <f>'HK I&amp;E Projection'!AF$4*'Imported Mix'!W7*'Unit Conversion'!$C$3*10^3</f>
        <v>0</v>
      </c>
      <c r="W7" s="2">
        <f>'HK I&amp;E Projection'!AG$4*'Imported Mix'!X7*'Unit Conversion'!$C$3*10^3</f>
        <v>0</v>
      </c>
      <c r="X7" s="2">
        <f>'HK I&amp;E Projection'!AH$4*'Imported Mix'!Y7*'Unit Conversion'!$C$3*10^3</f>
        <v>0</v>
      </c>
      <c r="Y7" s="2">
        <f>'HK I&amp;E Projection'!AI$4*'Imported Mix'!Z7*'Unit Conversion'!$C$3*10^3</f>
        <v>0</v>
      </c>
      <c r="Z7" s="2">
        <f>'HK I&amp;E Projection'!AJ$4*'Imported Mix'!AA7*'Unit Conversion'!$C$3*10^3</f>
        <v>0</v>
      </c>
      <c r="AA7" s="2">
        <f>'HK I&amp;E Projection'!AK$4*'Imported Mix'!AB7*'Unit Conversion'!$C$3*10^3</f>
        <v>0</v>
      </c>
      <c r="AB7" s="2">
        <f>'HK I&amp;E Projection'!AL$4*'Imported Mix'!AC7*'Unit Conversion'!$C$3*10^3</f>
        <v>0</v>
      </c>
      <c r="AC7" s="2">
        <f>'HK I&amp;E Projection'!AM$4*'Imported Mix'!AD7*'Unit Conversion'!$C$3*10^3</f>
        <v>0</v>
      </c>
      <c r="AD7" s="2">
        <f>'HK I&amp;E Projection'!AN$4*'Imported Mix'!AE7*'Unit Conversion'!$C$3*10^3</f>
        <v>0</v>
      </c>
      <c r="AE7" s="2">
        <f>'HK I&amp;E Projection'!AO$4*'Imported Mix'!AF7*'Unit Conversion'!$C$3*10^3</f>
        <v>0</v>
      </c>
      <c r="AF7" s="2">
        <f>'HK I&amp;E Projection'!AP$4*'Imported Mix'!AG7*'Unit Conversion'!$C$3*10^3</f>
        <v>0</v>
      </c>
      <c r="AG7" s="2">
        <f>'HK I&amp;E Projection'!AQ$4*'Imported Mix'!AH7*'Unit Conversion'!$C$3*10^3</f>
        <v>0</v>
      </c>
      <c r="AH7" s="2">
        <f>'HK I&amp;E Projection'!AR$4*'Imported Mix'!AI7*'Unit Conversion'!$C$3*10^3</f>
        <v>0</v>
      </c>
      <c r="AI7" s="2">
        <f>'HK I&amp;E Projection'!AS$4*'Imported Mix'!AJ7*'Unit Conversion'!$C$3*10^3</f>
        <v>0</v>
      </c>
      <c r="AJ7" s="2">
        <f>'HK I&amp;E Projection'!AT$4*'Imported Mix'!AK7*'Unit Conversion'!$C$3*10^3</f>
        <v>0</v>
      </c>
    </row>
    <row r="8" spans="1:36">
      <c r="A8" s="1" t="s">
        <v>102</v>
      </c>
      <c r="B8" s="1">
        <v>0</v>
      </c>
      <c r="C8" s="2">
        <f>'HK I&amp;E Projection'!M$4*'Imported Mix'!D8*'Unit Conversion'!$C$3*10^3</f>
        <v>0</v>
      </c>
      <c r="D8" s="2">
        <f>'HK I&amp;E Projection'!N$4*'Imported Mix'!E8*'Unit Conversion'!$C$3*10^3</f>
        <v>0</v>
      </c>
      <c r="E8" s="2">
        <f>'HK I&amp;E Projection'!O$4*'Imported Mix'!F8*'Unit Conversion'!$C$3*10^3</f>
        <v>0</v>
      </c>
      <c r="F8" s="2">
        <f>'HK I&amp;E Projection'!P$4*'Imported Mix'!G8*'Unit Conversion'!$C$3*10^3</f>
        <v>0</v>
      </c>
      <c r="G8" s="2">
        <f>'HK I&amp;E Projection'!Q$4*'Imported Mix'!H8*'Unit Conversion'!$C$3*10^3</f>
        <v>0</v>
      </c>
      <c r="H8" s="2">
        <f>'HK I&amp;E Projection'!R$4*'Imported Mix'!I8*'Unit Conversion'!$C$3*10^3</f>
        <v>0</v>
      </c>
      <c r="I8" s="2">
        <f>'HK I&amp;E Projection'!S$4*'Imported Mix'!J8*'Unit Conversion'!$C$3*10^3</f>
        <v>0</v>
      </c>
      <c r="J8" s="2">
        <f>'HK I&amp;E Projection'!T$4*'Imported Mix'!K8*'Unit Conversion'!$C$3*10^3</f>
        <v>0</v>
      </c>
      <c r="K8" s="2">
        <f>'HK I&amp;E Projection'!U$4*'Imported Mix'!L8*'Unit Conversion'!$C$3*10^3</f>
        <v>0</v>
      </c>
      <c r="L8" s="2">
        <f>'HK I&amp;E Projection'!V$4*'Imported Mix'!M8*'Unit Conversion'!$C$3*10^3</f>
        <v>0</v>
      </c>
      <c r="M8" s="2">
        <f>'HK I&amp;E Projection'!W$4*'Imported Mix'!N8*'Unit Conversion'!$C$3*10^3</f>
        <v>0</v>
      </c>
      <c r="N8" s="2">
        <f>'HK I&amp;E Projection'!X$4*'Imported Mix'!O8*'Unit Conversion'!$C$3*10^3</f>
        <v>0</v>
      </c>
      <c r="O8" s="2">
        <f>'HK I&amp;E Projection'!Y$4*'Imported Mix'!P8*'Unit Conversion'!$C$3*10^3</f>
        <v>0</v>
      </c>
      <c r="P8" s="2">
        <f>'HK I&amp;E Projection'!Z$4*'Imported Mix'!Q8*'Unit Conversion'!$C$3*10^3</f>
        <v>0</v>
      </c>
      <c r="Q8" s="2">
        <f>'HK I&amp;E Projection'!AA$4*'Imported Mix'!R8*'Unit Conversion'!$C$3*10^3</f>
        <v>0</v>
      </c>
      <c r="R8" s="2">
        <f>'HK I&amp;E Projection'!AB$4*'Imported Mix'!S8*'Unit Conversion'!$C$3*10^3</f>
        <v>0</v>
      </c>
      <c r="S8" s="2">
        <f>'HK I&amp;E Projection'!AC$4*'Imported Mix'!T8*'Unit Conversion'!$C$3*10^3</f>
        <v>0</v>
      </c>
      <c r="T8" s="2">
        <f>'HK I&amp;E Projection'!AD$4*'Imported Mix'!U8*'Unit Conversion'!$C$3*10^3</f>
        <v>0</v>
      </c>
      <c r="U8" s="2">
        <f>'HK I&amp;E Projection'!AE$4*'Imported Mix'!V8*'Unit Conversion'!$C$3*10^3</f>
        <v>0</v>
      </c>
      <c r="V8" s="2">
        <f>'HK I&amp;E Projection'!AF$4*'Imported Mix'!W8*'Unit Conversion'!$C$3*10^3</f>
        <v>0</v>
      </c>
      <c r="W8" s="2">
        <f>'HK I&amp;E Projection'!AG$4*'Imported Mix'!X8*'Unit Conversion'!$C$3*10^3</f>
        <v>0</v>
      </c>
      <c r="X8" s="2">
        <f>'HK I&amp;E Projection'!AH$4*'Imported Mix'!Y8*'Unit Conversion'!$C$3*10^3</f>
        <v>0</v>
      </c>
      <c r="Y8" s="2">
        <f>'HK I&amp;E Projection'!AI$4*'Imported Mix'!Z8*'Unit Conversion'!$C$3*10^3</f>
        <v>0</v>
      </c>
      <c r="Z8" s="2">
        <f>'HK I&amp;E Projection'!AJ$4*'Imported Mix'!AA8*'Unit Conversion'!$C$3*10^3</f>
        <v>0</v>
      </c>
      <c r="AA8" s="2">
        <f>'HK I&amp;E Projection'!AK$4*'Imported Mix'!AB8*'Unit Conversion'!$C$3*10^3</f>
        <v>0</v>
      </c>
      <c r="AB8" s="2">
        <f>'HK I&amp;E Projection'!AL$4*'Imported Mix'!AC8*'Unit Conversion'!$C$3*10^3</f>
        <v>0</v>
      </c>
      <c r="AC8" s="2">
        <f>'HK I&amp;E Projection'!AM$4*'Imported Mix'!AD8*'Unit Conversion'!$C$3*10^3</f>
        <v>0</v>
      </c>
      <c r="AD8" s="2">
        <f>'HK I&amp;E Projection'!AN$4*'Imported Mix'!AE8*'Unit Conversion'!$C$3*10^3</f>
        <v>0</v>
      </c>
      <c r="AE8" s="2">
        <f>'HK I&amp;E Projection'!AO$4*'Imported Mix'!AF8*'Unit Conversion'!$C$3*10^3</f>
        <v>0</v>
      </c>
      <c r="AF8" s="2">
        <f>'HK I&amp;E Projection'!AP$4*'Imported Mix'!AG8*'Unit Conversion'!$C$3*10^3</f>
        <v>0</v>
      </c>
      <c r="AG8" s="2">
        <f>'HK I&amp;E Projection'!AQ$4*'Imported Mix'!AH8*'Unit Conversion'!$C$3*10^3</f>
        <v>0</v>
      </c>
      <c r="AH8" s="2">
        <f>'HK I&amp;E Projection'!AR$4*'Imported Mix'!AI8*'Unit Conversion'!$C$3*10^3</f>
        <v>0</v>
      </c>
      <c r="AI8" s="2">
        <f>'HK I&amp;E Projection'!AS$4*'Imported Mix'!AJ8*'Unit Conversion'!$C$3*10^3</f>
        <v>0</v>
      </c>
      <c r="AJ8" s="2">
        <f>'HK I&amp;E Projection'!AT$4*'Imported Mix'!AK8*'Unit Conversion'!$C$3*10^3</f>
        <v>0</v>
      </c>
    </row>
    <row r="9" spans="1:36">
      <c r="A9" s="1" t="s">
        <v>103</v>
      </c>
      <c r="B9" s="1">
        <v>0</v>
      </c>
      <c r="C9" s="2">
        <f>'HK I&amp;E Projection'!M$4*'Imported Mix'!D9*'Unit Conversion'!$C$3*10^3</f>
        <v>0</v>
      </c>
      <c r="D9" s="2">
        <f>'HK I&amp;E Projection'!N$4*'Imported Mix'!E9*'Unit Conversion'!$C$3*10^3</f>
        <v>0</v>
      </c>
      <c r="E9" s="2">
        <f>'HK I&amp;E Projection'!O$4*'Imported Mix'!F9*'Unit Conversion'!$C$3*10^3</f>
        <v>0</v>
      </c>
      <c r="F9" s="2">
        <f>'HK I&amp;E Projection'!P$4*'Imported Mix'!G9*'Unit Conversion'!$C$3*10^3</f>
        <v>0</v>
      </c>
      <c r="G9" s="2">
        <f>'HK I&amp;E Projection'!Q$4*'Imported Mix'!H9*'Unit Conversion'!$C$3*10^3</f>
        <v>0</v>
      </c>
      <c r="H9" s="2">
        <f>'HK I&amp;E Projection'!R$4*'Imported Mix'!I9*'Unit Conversion'!$C$3*10^3</f>
        <v>0</v>
      </c>
      <c r="I9" s="2">
        <f>'HK I&amp;E Projection'!S$4*'Imported Mix'!J9*'Unit Conversion'!$C$3*10^3</f>
        <v>0</v>
      </c>
      <c r="J9" s="2">
        <f>'HK I&amp;E Projection'!T$4*'Imported Mix'!K9*'Unit Conversion'!$C$3*10^3</f>
        <v>0</v>
      </c>
      <c r="K9" s="2">
        <f>'HK I&amp;E Projection'!U$4*'Imported Mix'!L9*'Unit Conversion'!$C$3*10^3</f>
        <v>0</v>
      </c>
      <c r="L9" s="2">
        <f>'HK I&amp;E Projection'!V$4*'Imported Mix'!M9*'Unit Conversion'!$C$3*10^3</f>
        <v>0</v>
      </c>
      <c r="M9" s="2">
        <f>'HK I&amp;E Projection'!W$4*'Imported Mix'!N9*'Unit Conversion'!$C$3*10^3</f>
        <v>0</v>
      </c>
      <c r="N9" s="2">
        <f>'HK I&amp;E Projection'!X$4*'Imported Mix'!O9*'Unit Conversion'!$C$3*10^3</f>
        <v>0</v>
      </c>
      <c r="O9" s="2">
        <f>'HK I&amp;E Projection'!Y$4*'Imported Mix'!P9*'Unit Conversion'!$C$3*10^3</f>
        <v>0</v>
      </c>
      <c r="P9" s="2">
        <f>'HK I&amp;E Projection'!Z$4*'Imported Mix'!Q9*'Unit Conversion'!$C$3*10^3</f>
        <v>0</v>
      </c>
      <c r="Q9" s="2">
        <f>'HK I&amp;E Projection'!AA$4*'Imported Mix'!R9*'Unit Conversion'!$C$3*10^3</f>
        <v>0</v>
      </c>
      <c r="R9" s="2">
        <f>'HK I&amp;E Projection'!AB$4*'Imported Mix'!S9*'Unit Conversion'!$C$3*10^3</f>
        <v>0</v>
      </c>
      <c r="S9" s="2">
        <f>'HK I&amp;E Projection'!AC$4*'Imported Mix'!T9*'Unit Conversion'!$C$3*10^3</f>
        <v>0</v>
      </c>
      <c r="T9" s="2">
        <f>'HK I&amp;E Projection'!AD$4*'Imported Mix'!U9*'Unit Conversion'!$C$3*10^3</f>
        <v>0</v>
      </c>
      <c r="U9" s="2">
        <f>'HK I&amp;E Projection'!AE$4*'Imported Mix'!V9*'Unit Conversion'!$C$3*10^3</f>
        <v>0</v>
      </c>
      <c r="V9" s="2">
        <f>'HK I&amp;E Projection'!AF$4*'Imported Mix'!W9*'Unit Conversion'!$C$3*10^3</f>
        <v>0</v>
      </c>
      <c r="W9" s="2">
        <f>'HK I&amp;E Projection'!AG$4*'Imported Mix'!X9*'Unit Conversion'!$C$3*10^3</f>
        <v>0</v>
      </c>
      <c r="X9" s="2">
        <f>'HK I&amp;E Projection'!AH$4*'Imported Mix'!Y9*'Unit Conversion'!$C$3*10^3</f>
        <v>0</v>
      </c>
      <c r="Y9" s="2">
        <f>'HK I&amp;E Projection'!AI$4*'Imported Mix'!Z9*'Unit Conversion'!$C$3*10^3</f>
        <v>0</v>
      </c>
      <c r="Z9" s="2">
        <f>'HK I&amp;E Projection'!AJ$4*'Imported Mix'!AA9*'Unit Conversion'!$C$3*10^3</f>
        <v>0</v>
      </c>
      <c r="AA9" s="2">
        <f>'HK I&amp;E Projection'!AK$4*'Imported Mix'!AB9*'Unit Conversion'!$C$3*10^3</f>
        <v>0</v>
      </c>
      <c r="AB9" s="2">
        <f>'HK I&amp;E Projection'!AL$4*'Imported Mix'!AC9*'Unit Conversion'!$C$3*10^3</f>
        <v>0</v>
      </c>
      <c r="AC9" s="2">
        <f>'HK I&amp;E Projection'!AM$4*'Imported Mix'!AD9*'Unit Conversion'!$C$3*10^3</f>
        <v>0</v>
      </c>
      <c r="AD9" s="2">
        <f>'HK I&amp;E Projection'!AN$4*'Imported Mix'!AE9*'Unit Conversion'!$C$3*10^3</f>
        <v>0</v>
      </c>
      <c r="AE9" s="2">
        <f>'HK I&amp;E Projection'!AO$4*'Imported Mix'!AF9*'Unit Conversion'!$C$3*10^3</f>
        <v>0</v>
      </c>
      <c r="AF9" s="2">
        <f>'HK I&amp;E Projection'!AP$4*'Imported Mix'!AG9*'Unit Conversion'!$C$3*10^3</f>
        <v>0</v>
      </c>
      <c r="AG9" s="2">
        <f>'HK I&amp;E Projection'!AQ$4*'Imported Mix'!AH9*'Unit Conversion'!$C$3*10^3</f>
        <v>0</v>
      </c>
      <c r="AH9" s="2">
        <f>'HK I&amp;E Projection'!AR$4*'Imported Mix'!AI9*'Unit Conversion'!$C$3*10^3</f>
        <v>0</v>
      </c>
      <c r="AI9" s="2">
        <f>'HK I&amp;E Projection'!AS$4*'Imported Mix'!AJ9*'Unit Conversion'!$C$3*10^3</f>
        <v>0</v>
      </c>
      <c r="AJ9" s="2">
        <f>'HK I&amp;E Projection'!AT$4*'Imported Mix'!AK9*'Unit Conversion'!$C$3*10^3</f>
        <v>0</v>
      </c>
    </row>
    <row r="10" spans="1:36">
      <c r="A10" s="1" t="s">
        <v>104</v>
      </c>
      <c r="B10" s="1">
        <v>0</v>
      </c>
      <c r="C10" s="2">
        <f>'HK I&amp;E Projection'!M$4*'Imported Mix'!D10*'Unit Conversion'!$C$3*10^3</f>
        <v>0</v>
      </c>
      <c r="D10" s="2">
        <f>'HK I&amp;E Projection'!N$4*'Imported Mix'!E10*'Unit Conversion'!$C$3*10^3</f>
        <v>0</v>
      </c>
      <c r="E10" s="2">
        <f>'HK I&amp;E Projection'!O$4*'Imported Mix'!F10*'Unit Conversion'!$C$3*10^3</f>
        <v>0</v>
      </c>
      <c r="F10" s="2">
        <f>'HK I&amp;E Projection'!P$4*'Imported Mix'!G10*'Unit Conversion'!$C$3*10^3</f>
        <v>0</v>
      </c>
      <c r="G10" s="2">
        <f>'HK I&amp;E Projection'!Q$4*'Imported Mix'!H10*'Unit Conversion'!$C$3*10^3</f>
        <v>0</v>
      </c>
      <c r="H10" s="2">
        <f>'HK I&amp;E Projection'!R$4*'Imported Mix'!I10*'Unit Conversion'!$C$3*10^3</f>
        <v>0</v>
      </c>
      <c r="I10" s="2">
        <f>'HK I&amp;E Projection'!S$4*'Imported Mix'!J10*'Unit Conversion'!$C$3*10^3</f>
        <v>0</v>
      </c>
      <c r="J10" s="2">
        <f>'HK I&amp;E Projection'!T$4*'Imported Mix'!K10*'Unit Conversion'!$C$3*10^3</f>
        <v>0</v>
      </c>
      <c r="K10" s="2">
        <f>'HK I&amp;E Projection'!U$4*'Imported Mix'!L10*'Unit Conversion'!$C$3*10^3</f>
        <v>0</v>
      </c>
      <c r="L10" s="2">
        <f>'HK I&amp;E Projection'!V$4*'Imported Mix'!M10*'Unit Conversion'!$C$3*10^3</f>
        <v>0</v>
      </c>
      <c r="M10" s="2">
        <f>'HK I&amp;E Projection'!W$4*'Imported Mix'!N10*'Unit Conversion'!$C$3*10^3</f>
        <v>0</v>
      </c>
      <c r="N10" s="2">
        <f>'HK I&amp;E Projection'!X$4*'Imported Mix'!O10*'Unit Conversion'!$C$3*10^3</f>
        <v>0</v>
      </c>
      <c r="O10" s="2">
        <f>'HK I&amp;E Projection'!Y$4*'Imported Mix'!P10*'Unit Conversion'!$C$3*10^3</f>
        <v>0</v>
      </c>
      <c r="P10" s="2">
        <f>'HK I&amp;E Projection'!Z$4*'Imported Mix'!Q10*'Unit Conversion'!$C$3*10^3</f>
        <v>0</v>
      </c>
      <c r="Q10" s="2">
        <f>'HK I&amp;E Projection'!AA$4*'Imported Mix'!R10*'Unit Conversion'!$C$3*10^3</f>
        <v>0</v>
      </c>
      <c r="R10" s="2">
        <f>'HK I&amp;E Projection'!AB$4*'Imported Mix'!S10*'Unit Conversion'!$C$3*10^3</f>
        <v>0</v>
      </c>
      <c r="S10" s="2">
        <f>'HK I&amp;E Projection'!AC$4*'Imported Mix'!T10*'Unit Conversion'!$C$3*10^3</f>
        <v>0</v>
      </c>
      <c r="T10" s="2">
        <f>'HK I&amp;E Projection'!AD$4*'Imported Mix'!U10*'Unit Conversion'!$C$3*10^3</f>
        <v>0</v>
      </c>
      <c r="U10" s="2">
        <f>'HK I&amp;E Projection'!AE$4*'Imported Mix'!V10*'Unit Conversion'!$C$3*10^3</f>
        <v>0</v>
      </c>
      <c r="V10" s="2">
        <f>'HK I&amp;E Projection'!AF$4*'Imported Mix'!W10*'Unit Conversion'!$C$3*10^3</f>
        <v>0</v>
      </c>
      <c r="W10" s="2">
        <f>'HK I&amp;E Projection'!AG$4*'Imported Mix'!X10*'Unit Conversion'!$C$3*10^3</f>
        <v>0</v>
      </c>
      <c r="X10" s="2">
        <f>'HK I&amp;E Projection'!AH$4*'Imported Mix'!Y10*'Unit Conversion'!$C$3*10^3</f>
        <v>0</v>
      </c>
      <c r="Y10" s="2">
        <f>'HK I&amp;E Projection'!AI$4*'Imported Mix'!Z10*'Unit Conversion'!$C$3*10^3</f>
        <v>0</v>
      </c>
      <c r="Z10" s="2">
        <f>'HK I&amp;E Projection'!AJ$4*'Imported Mix'!AA10*'Unit Conversion'!$C$3*10^3</f>
        <v>0</v>
      </c>
      <c r="AA10" s="2">
        <f>'HK I&amp;E Projection'!AK$4*'Imported Mix'!AB10*'Unit Conversion'!$C$3*10^3</f>
        <v>0</v>
      </c>
      <c r="AB10" s="2">
        <f>'HK I&amp;E Projection'!AL$4*'Imported Mix'!AC10*'Unit Conversion'!$C$3*10^3</f>
        <v>0</v>
      </c>
      <c r="AC10" s="2">
        <f>'HK I&amp;E Projection'!AM$4*'Imported Mix'!AD10*'Unit Conversion'!$C$3*10^3</f>
        <v>0</v>
      </c>
      <c r="AD10" s="2">
        <f>'HK I&amp;E Projection'!AN$4*'Imported Mix'!AE10*'Unit Conversion'!$C$3*10^3</f>
        <v>0</v>
      </c>
      <c r="AE10" s="2">
        <f>'HK I&amp;E Projection'!AO$4*'Imported Mix'!AF10*'Unit Conversion'!$C$3*10^3</f>
        <v>0</v>
      </c>
      <c r="AF10" s="2">
        <f>'HK I&amp;E Projection'!AP$4*'Imported Mix'!AG10*'Unit Conversion'!$C$3*10^3</f>
        <v>0</v>
      </c>
      <c r="AG10" s="2">
        <f>'HK I&amp;E Projection'!AQ$4*'Imported Mix'!AH10*'Unit Conversion'!$C$3*10^3</f>
        <v>0</v>
      </c>
      <c r="AH10" s="2">
        <f>'HK I&amp;E Projection'!AR$4*'Imported Mix'!AI10*'Unit Conversion'!$C$3*10^3</f>
        <v>0</v>
      </c>
      <c r="AI10" s="2">
        <f>'HK I&amp;E Projection'!AS$4*'Imported Mix'!AJ10*'Unit Conversion'!$C$3*10^3</f>
        <v>0</v>
      </c>
      <c r="AJ10" s="2">
        <f>'HK I&amp;E Projection'!AT$4*'Imported Mix'!AK10*'Unit Conversion'!$C$3*10^3</f>
        <v>0</v>
      </c>
    </row>
    <row r="11" spans="1:36">
      <c r="A11" s="1" t="s">
        <v>105</v>
      </c>
      <c r="B11" s="1">
        <v>0</v>
      </c>
      <c r="C11" s="2">
        <f>'HK I&amp;E Projection'!M$4*'Imported Mix'!D11*'Unit Conversion'!$C$3*10^3</f>
        <v>0</v>
      </c>
      <c r="D11" s="2">
        <f>'HK I&amp;E Projection'!N$4*'Imported Mix'!E11*'Unit Conversion'!$C$3*10^3</f>
        <v>0</v>
      </c>
      <c r="E11" s="2">
        <f>'HK I&amp;E Projection'!O$4*'Imported Mix'!F11*'Unit Conversion'!$C$3*10^3</f>
        <v>0</v>
      </c>
      <c r="F11" s="2">
        <f>'HK I&amp;E Projection'!P$4*'Imported Mix'!G11*'Unit Conversion'!$C$3*10^3</f>
        <v>0</v>
      </c>
      <c r="G11" s="2">
        <f>'HK I&amp;E Projection'!Q$4*'Imported Mix'!H11*'Unit Conversion'!$C$3*10^3</f>
        <v>0</v>
      </c>
      <c r="H11" s="2">
        <f>'HK I&amp;E Projection'!R$4*'Imported Mix'!I11*'Unit Conversion'!$C$3*10^3</f>
        <v>0</v>
      </c>
      <c r="I11" s="2">
        <f>'HK I&amp;E Projection'!S$4*'Imported Mix'!J11*'Unit Conversion'!$C$3*10^3</f>
        <v>0</v>
      </c>
      <c r="J11" s="2">
        <f>'HK I&amp;E Projection'!T$4*'Imported Mix'!K11*'Unit Conversion'!$C$3*10^3</f>
        <v>0</v>
      </c>
      <c r="K11" s="2">
        <f>'HK I&amp;E Projection'!U$4*'Imported Mix'!L11*'Unit Conversion'!$C$3*10^3</f>
        <v>0</v>
      </c>
      <c r="L11" s="2">
        <f>'HK I&amp;E Projection'!V$4*'Imported Mix'!M11*'Unit Conversion'!$C$3*10^3</f>
        <v>0</v>
      </c>
      <c r="M11" s="2">
        <f>'HK I&amp;E Projection'!W$4*'Imported Mix'!N11*'Unit Conversion'!$C$3*10^3</f>
        <v>0</v>
      </c>
      <c r="N11" s="2">
        <f>'HK I&amp;E Projection'!X$4*'Imported Mix'!O11*'Unit Conversion'!$C$3*10^3</f>
        <v>0</v>
      </c>
      <c r="O11" s="2">
        <f>'HK I&amp;E Projection'!Y$4*'Imported Mix'!P11*'Unit Conversion'!$C$3*10^3</f>
        <v>0</v>
      </c>
      <c r="P11" s="2">
        <f>'HK I&amp;E Projection'!Z$4*'Imported Mix'!Q11*'Unit Conversion'!$C$3*10^3</f>
        <v>0</v>
      </c>
      <c r="Q11" s="2">
        <f>'HK I&amp;E Projection'!AA$4*'Imported Mix'!R11*'Unit Conversion'!$C$3*10^3</f>
        <v>0</v>
      </c>
      <c r="R11" s="2">
        <f>'HK I&amp;E Projection'!AB$4*'Imported Mix'!S11*'Unit Conversion'!$C$3*10^3</f>
        <v>0</v>
      </c>
      <c r="S11" s="2">
        <f>'HK I&amp;E Projection'!AC$4*'Imported Mix'!T11*'Unit Conversion'!$C$3*10^3</f>
        <v>0</v>
      </c>
      <c r="T11" s="2">
        <f>'HK I&amp;E Projection'!AD$4*'Imported Mix'!U11*'Unit Conversion'!$C$3*10^3</f>
        <v>0</v>
      </c>
      <c r="U11" s="2">
        <f>'HK I&amp;E Projection'!AE$4*'Imported Mix'!V11*'Unit Conversion'!$C$3*10^3</f>
        <v>0</v>
      </c>
      <c r="V11" s="2">
        <f>'HK I&amp;E Projection'!AF$4*'Imported Mix'!W11*'Unit Conversion'!$C$3*10^3</f>
        <v>0</v>
      </c>
      <c r="W11" s="2">
        <f>'HK I&amp;E Projection'!AG$4*'Imported Mix'!X11*'Unit Conversion'!$C$3*10^3</f>
        <v>0</v>
      </c>
      <c r="X11" s="2">
        <f>'HK I&amp;E Projection'!AH$4*'Imported Mix'!Y11*'Unit Conversion'!$C$3*10^3</f>
        <v>0</v>
      </c>
      <c r="Y11" s="2">
        <f>'HK I&amp;E Projection'!AI$4*'Imported Mix'!Z11*'Unit Conversion'!$C$3*10^3</f>
        <v>0</v>
      </c>
      <c r="Z11" s="2">
        <f>'HK I&amp;E Projection'!AJ$4*'Imported Mix'!AA11*'Unit Conversion'!$C$3*10^3</f>
        <v>0</v>
      </c>
      <c r="AA11" s="2">
        <f>'HK I&amp;E Projection'!AK$4*'Imported Mix'!AB11*'Unit Conversion'!$C$3*10^3</f>
        <v>0</v>
      </c>
      <c r="AB11" s="2">
        <f>'HK I&amp;E Projection'!AL$4*'Imported Mix'!AC11*'Unit Conversion'!$C$3*10^3</f>
        <v>0</v>
      </c>
      <c r="AC11" s="2">
        <f>'HK I&amp;E Projection'!AM$4*'Imported Mix'!AD11*'Unit Conversion'!$C$3*10^3</f>
        <v>0</v>
      </c>
      <c r="AD11" s="2">
        <f>'HK I&amp;E Projection'!AN$4*'Imported Mix'!AE11*'Unit Conversion'!$C$3*10^3</f>
        <v>0</v>
      </c>
      <c r="AE11" s="2">
        <f>'HK I&amp;E Projection'!AO$4*'Imported Mix'!AF11*'Unit Conversion'!$C$3*10^3</f>
        <v>0</v>
      </c>
      <c r="AF11" s="2">
        <f>'HK I&amp;E Projection'!AP$4*'Imported Mix'!AG11*'Unit Conversion'!$C$3*10^3</f>
        <v>0</v>
      </c>
      <c r="AG11" s="2">
        <f>'HK I&amp;E Projection'!AQ$4*'Imported Mix'!AH11*'Unit Conversion'!$C$3*10^3</f>
        <v>0</v>
      </c>
      <c r="AH11" s="2">
        <f>'HK I&amp;E Projection'!AR$4*'Imported Mix'!AI11*'Unit Conversion'!$C$3*10^3</f>
        <v>0</v>
      </c>
      <c r="AI11" s="2">
        <f>'HK I&amp;E Projection'!AS$4*'Imported Mix'!AJ11*'Unit Conversion'!$C$3*10^3</f>
        <v>0</v>
      </c>
      <c r="AJ11" s="2">
        <f>'HK I&amp;E Projection'!AT$4*'Imported Mix'!AK11*'Unit Conversion'!$C$3*10^3</f>
        <v>0</v>
      </c>
    </row>
    <row r="12" spans="1:36">
      <c r="A12" s="1" t="s">
        <v>106</v>
      </c>
      <c r="B12" s="1">
        <v>0</v>
      </c>
      <c r="C12" s="2">
        <f>'HK I&amp;E Projection'!M$4*'Imported Mix'!D12*'Unit Conversion'!$C$3*10^3</f>
        <v>0</v>
      </c>
      <c r="D12" s="2">
        <f>'HK I&amp;E Projection'!N$4*'Imported Mix'!E12*'Unit Conversion'!$C$3*10^3</f>
        <v>0</v>
      </c>
      <c r="E12" s="2">
        <f>'HK I&amp;E Projection'!O$4*'Imported Mix'!F12*'Unit Conversion'!$C$3*10^3</f>
        <v>0</v>
      </c>
      <c r="F12" s="2">
        <f>'HK I&amp;E Projection'!P$4*'Imported Mix'!G12*'Unit Conversion'!$C$3*10^3</f>
        <v>0</v>
      </c>
      <c r="G12" s="2">
        <f>'HK I&amp;E Projection'!Q$4*'Imported Mix'!H12*'Unit Conversion'!$C$3*10^3</f>
        <v>0</v>
      </c>
      <c r="H12" s="2">
        <f>'HK I&amp;E Projection'!R$4*'Imported Mix'!I12*'Unit Conversion'!$C$3*10^3</f>
        <v>0</v>
      </c>
      <c r="I12" s="2">
        <f>'HK I&amp;E Projection'!S$4*'Imported Mix'!J12*'Unit Conversion'!$C$3*10^3</f>
        <v>0</v>
      </c>
      <c r="J12" s="2">
        <f>'HK I&amp;E Projection'!T$4*'Imported Mix'!K12*'Unit Conversion'!$C$3*10^3</f>
        <v>0</v>
      </c>
      <c r="K12" s="2">
        <f>'HK I&amp;E Projection'!U$4*'Imported Mix'!L12*'Unit Conversion'!$C$3*10^3</f>
        <v>0</v>
      </c>
      <c r="L12" s="2">
        <f>'HK I&amp;E Projection'!V$4*'Imported Mix'!M12*'Unit Conversion'!$C$3*10^3</f>
        <v>0</v>
      </c>
      <c r="M12" s="2">
        <f>'HK I&amp;E Projection'!W$4*'Imported Mix'!N12*'Unit Conversion'!$C$3*10^3</f>
        <v>0</v>
      </c>
      <c r="N12" s="2">
        <f>'HK I&amp;E Projection'!X$4*'Imported Mix'!O12*'Unit Conversion'!$C$3*10^3</f>
        <v>0</v>
      </c>
      <c r="O12" s="2">
        <f>'HK I&amp;E Projection'!Y$4*'Imported Mix'!P12*'Unit Conversion'!$C$3*10^3</f>
        <v>0</v>
      </c>
      <c r="P12" s="2">
        <f>'HK I&amp;E Projection'!Z$4*'Imported Mix'!Q12*'Unit Conversion'!$C$3*10^3</f>
        <v>0</v>
      </c>
      <c r="Q12" s="2">
        <f>'HK I&amp;E Projection'!AA$4*'Imported Mix'!R12*'Unit Conversion'!$C$3*10^3</f>
        <v>0</v>
      </c>
      <c r="R12" s="2">
        <f>'HK I&amp;E Projection'!AB$4*'Imported Mix'!S12*'Unit Conversion'!$C$3*10^3</f>
        <v>0</v>
      </c>
      <c r="S12" s="2">
        <f>'HK I&amp;E Projection'!AC$4*'Imported Mix'!T12*'Unit Conversion'!$C$3*10^3</f>
        <v>0</v>
      </c>
      <c r="T12" s="2">
        <f>'HK I&amp;E Projection'!AD$4*'Imported Mix'!U12*'Unit Conversion'!$C$3*10^3</f>
        <v>0</v>
      </c>
      <c r="U12" s="2">
        <f>'HK I&amp;E Projection'!AE$4*'Imported Mix'!V12*'Unit Conversion'!$C$3*10^3</f>
        <v>0</v>
      </c>
      <c r="V12" s="2">
        <f>'HK I&amp;E Projection'!AF$4*'Imported Mix'!W12*'Unit Conversion'!$C$3*10^3</f>
        <v>0</v>
      </c>
      <c r="W12" s="2">
        <f>'HK I&amp;E Projection'!AG$4*'Imported Mix'!X12*'Unit Conversion'!$C$3*10^3</f>
        <v>0</v>
      </c>
      <c r="X12" s="2">
        <f>'HK I&amp;E Projection'!AH$4*'Imported Mix'!Y12*'Unit Conversion'!$C$3*10^3</f>
        <v>0</v>
      </c>
      <c r="Y12" s="2">
        <f>'HK I&amp;E Projection'!AI$4*'Imported Mix'!Z12*'Unit Conversion'!$C$3*10^3</f>
        <v>0</v>
      </c>
      <c r="Z12" s="2">
        <f>'HK I&amp;E Projection'!AJ$4*'Imported Mix'!AA12*'Unit Conversion'!$C$3*10^3</f>
        <v>0</v>
      </c>
      <c r="AA12" s="2">
        <f>'HK I&amp;E Projection'!AK$4*'Imported Mix'!AB12*'Unit Conversion'!$C$3*10^3</f>
        <v>0</v>
      </c>
      <c r="AB12" s="2">
        <f>'HK I&amp;E Projection'!AL$4*'Imported Mix'!AC12*'Unit Conversion'!$C$3*10^3</f>
        <v>0</v>
      </c>
      <c r="AC12" s="2">
        <f>'HK I&amp;E Projection'!AM$4*'Imported Mix'!AD12*'Unit Conversion'!$C$3*10^3</f>
        <v>0</v>
      </c>
      <c r="AD12" s="2">
        <f>'HK I&amp;E Projection'!AN$4*'Imported Mix'!AE12*'Unit Conversion'!$C$3*10^3</f>
        <v>0</v>
      </c>
      <c r="AE12" s="2">
        <f>'HK I&amp;E Projection'!AO$4*'Imported Mix'!AF12*'Unit Conversion'!$C$3*10^3</f>
        <v>0</v>
      </c>
      <c r="AF12" s="2">
        <f>'HK I&amp;E Projection'!AP$4*'Imported Mix'!AG12*'Unit Conversion'!$C$3*10^3</f>
        <v>0</v>
      </c>
      <c r="AG12" s="2">
        <f>'HK I&amp;E Projection'!AQ$4*'Imported Mix'!AH12*'Unit Conversion'!$C$3*10^3</f>
        <v>0</v>
      </c>
      <c r="AH12" s="2">
        <f>'HK I&amp;E Projection'!AR$4*'Imported Mix'!AI12*'Unit Conversion'!$C$3*10^3</f>
        <v>0</v>
      </c>
      <c r="AI12" s="2">
        <f>'HK I&amp;E Projection'!AS$4*'Imported Mix'!AJ12*'Unit Conversion'!$C$3*10^3</f>
        <v>0</v>
      </c>
      <c r="AJ12" s="2">
        <f>'HK I&amp;E Projection'!AT$4*'Imported Mix'!AK12*'Unit Conversion'!$C$3*10^3</f>
        <v>0</v>
      </c>
    </row>
    <row r="13" spans="1:36">
      <c r="A13" s="1" t="s">
        <v>107</v>
      </c>
      <c r="B13" s="1">
        <v>0</v>
      </c>
      <c r="C13" s="2">
        <f>'HK I&amp;E Projection'!M$4*'Imported Mix'!D13*'Unit Conversion'!$C$3*10^3</f>
        <v>0</v>
      </c>
      <c r="D13" s="2">
        <f>'HK I&amp;E Projection'!N$4*'Imported Mix'!E13*'Unit Conversion'!$C$3*10^3</f>
        <v>0</v>
      </c>
      <c r="E13" s="2">
        <f>'HK I&amp;E Projection'!O$4*'Imported Mix'!F13*'Unit Conversion'!$C$3*10^3</f>
        <v>0</v>
      </c>
      <c r="F13" s="2">
        <f>'HK I&amp;E Projection'!P$4*'Imported Mix'!G13*'Unit Conversion'!$C$3*10^3</f>
        <v>0</v>
      </c>
      <c r="G13" s="2">
        <f>'HK I&amp;E Projection'!Q$4*'Imported Mix'!H13*'Unit Conversion'!$C$3*10^3</f>
        <v>0</v>
      </c>
      <c r="H13" s="2">
        <f>'HK I&amp;E Projection'!R$4*'Imported Mix'!I13*'Unit Conversion'!$C$3*10^3</f>
        <v>0</v>
      </c>
      <c r="I13" s="2">
        <f>'HK I&amp;E Projection'!S$4*'Imported Mix'!J13*'Unit Conversion'!$C$3*10^3</f>
        <v>0</v>
      </c>
      <c r="J13" s="2">
        <f>'HK I&amp;E Projection'!T$4*'Imported Mix'!K13*'Unit Conversion'!$C$3*10^3</f>
        <v>0</v>
      </c>
      <c r="K13" s="2">
        <f>'HK I&amp;E Projection'!U$4*'Imported Mix'!L13*'Unit Conversion'!$C$3*10^3</f>
        <v>0</v>
      </c>
      <c r="L13" s="2">
        <f>'HK I&amp;E Projection'!V$4*'Imported Mix'!M13*'Unit Conversion'!$C$3*10^3</f>
        <v>0</v>
      </c>
      <c r="M13" s="2">
        <f>'HK I&amp;E Projection'!W$4*'Imported Mix'!N13*'Unit Conversion'!$C$3*10^3</f>
        <v>0</v>
      </c>
      <c r="N13" s="2">
        <f>'HK I&amp;E Projection'!X$4*'Imported Mix'!O13*'Unit Conversion'!$C$3*10^3</f>
        <v>0</v>
      </c>
      <c r="O13" s="2">
        <f>'HK I&amp;E Projection'!Y$4*'Imported Mix'!P13*'Unit Conversion'!$C$3*10^3</f>
        <v>0</v>
      </c>
      <c r="P13" s="2">
        <f>'HK I&amp;E Projection'!Z$4*'Imported Mix'!Q13*'Unit Conversion'!$C$3*10^3</f>
        <v>0</v>
      </c>
      <c r="Q13" s="2">
        <f>'HK I&amp;E Projection'!AA$4*'Imported Mix'!R13*'Unit Conversion'!$C$3*10^3</f>
        <v>0</v>
      </c>
      <c r="R13" s="2">
        <f>'HK I&amp;E Projection'!AB$4*'Imported Mix'!S13*'Unit Conversion'!$C$3*10^3</f>
        <v>0</v>
      </c>
      <c r="S13" s="2">
        <f>'HK I&amp;E Projection'!AC$4*'Imported Mix'!T13*'Unit Conversion'!$C$3*10^3</f>
        <v>0</v>
      </c>
      <c r="T13" s="2">
        <f>'HK I&amp;E Projection'!AD$4*'Imported Mix'!U13*'Unit Conversion'!$C$3*10^3</f>
        <v>0</v>
      </c>
      <c r="U13" s="2">
        <f>'HK I&amp;E Projection'!AE$4*'Imported Mix'!V13*'Unit Conversion'!$C$3*10^3</f>
        <v>0</v>
      </c>
      <c r="V13" s="2">
        <f>'HK I&amp;E Projection'!AF$4*'Imported Mix'!W13*'Unit Conversion'!$C$3*10^3</f>
        <v>0</v>
      </c>
      <c r="W13" s="2">
        <f>'HK I&amp;E Projection'!AG$4*'Imported Mix'!X13*'Unit Conversion'!$C$3*10^3</f>
        <v>0</v>
      </c>
      <c r="X13" s="2">
        <f>'HK I&amp;E Projection'!AH$4*'Imported Mix'!Y13*'Unit Conversion'!$C$3*10^3</f>
        <v>0</v>
      </c>
      <c r="Y13" s="2">
        <f>'HK I&amp;E Projection'!AI$4*'Imported Mix'!Z13*'Unit Conversion'!$C$3*10^3</f>
        <v>0</v>
      </c>
      <c r="Z13" s="2">
        <f>'HK I&amp;E Projection'!AJ$4*'Imported Mix'!AA13*'Unit Conversion'!$C$3*10^3</f>
        <v>0</v>
      </c>
      <c r="AA13" s="2">
        <f>'HK I&amp;E Projection'!AK$4*'Imported Mix'!AB13*'Unit Conversion'!$C$3*10^3</f>
        <v>0</v>
      </c>
      <c r="AB13" s="2">
        <f>'HK I&amp;E Projection'!AL$4*'Imported Mix'!AC13*'Unit Conversion'!$C$3*10^3</f>
        <v>0</v>
      </c>
      <c r="AC13" s="2">
        <f>'HK I&amp;E Projection'!AM$4*'Imported Mix'!AD13*'Unit Conversion'!$C$3*10^3</f>
        <v>0</v>
      </c>
      <c r="AD13" s="2">
        <f>'HK I&amp;E Projection'!AN$4*'Imported Mix'!AE13*'Unit Conversion'!$C$3*10^3</f>
        <v>0</v>
      </c>
      <c r="AE13" s="2">
        <f>'HK I&amp;E Projection'!AO$4*'Imported Mix'!AF13*'Unit Conversion'!$C$3*10^3</f>
        <v>0</v>
      </c>
      <c r="AF13" s="2">
        <f>'HK I&amp;E Projection'!AP$4*'Imported Mix'!AG13*'Unit Conversion'!$C$3*10^3</f>
        <v>0</v>
      </c>
      <c r="AG13" s="2">
        <f>'HK I&amp;E Projection'!AQ$4*'Imported Mix'!AH13*'Unit Conversion'!$C$3*10^3</f>
        <v>0</v>
      </c>
      <c r="AH13" s="2">
        <f>'HK I&amp;E Projection'!AR$4*'Imported Mix'!AI13*'Unit Conversion'!$C$3*10^3</f>
        <v>0</v>
      </c>
      <c r="AI13" s="2">
        <f>'HK I&amp;E Projection'!AS$4*'Imported Mix'!AJ13*'Unit Conversion'!$C$3*10^3</f>
        <v>0</v>
      </c>
      <c r="AJ13" s="2">
        <f>'HK I&amp;E Projection'!AT$4*'Imported Mix'!AK13*'Unit Conversion'!$C$3*10^3</f>
        <v>0</v>
      </c>
    </row>
    <row r="14" spans="1:36">
      <c r="A14" s="1" t="s">
        <v>108</v>
      </c>
      <c r="B14" s="1">
        <v>0</v>
      </c>
      <c r="C14" s="2">
        <f>'HK I&amp;E Projection'!M$4*'Imported Mix'!D14*'Unit Conversion'!$C$3*10^3</f>
        <v>0</v>
      </c>
      <c r="D14" s="2">
        <f>'HK I&amp;E Projection'!N$4*'Imported Mix'!E14*'Unit Conversion'!$C$3*10^3</f>
        <v>0</v>
      </c>
      <c r="E14" s="2">
        <f>'HK I&amp;E Projection'!O$4*'Imported Mix'!F14*'Unit Conversion'!$C$3*10^3</f>
        <v>0</v>
      </c>
      <c r="F14" s="2">
        <f>'HK I&amp;E Projection'!P$4*'Imported Mix'!G14*'Unit Conversion'!$C$3*10^3</f>
        <v>0</v>
      </c>
      <c r="G14" s="2">
        <f>'HK I&amp;E Projection'!Q$4*'Imported Mix'!H14*'Unit Conversion'!$C$3*10^3</f>
        <v>0</v>
      </c>
      <c r="H14" s="2">
        <f>'HK I&amp;E Projection'!R$4*'Imported Mix'!I14*'Unit Conversion'!$C$3*10^3</f>
        <v>0</v>
      </c>
      <c r="I14" s="2">
        <f>'HK I&amp;E Projection'!S$4*'Imported Mix'!J14*'Unit Conversion'!$C$3*10^3</f>
        <v>0</v>
      </c>
      <c r="J14" s="2">
        <f>'HK I&amp;E Projection'!T$4*'Imported Mix'!K14*'Unit Conversion'!$C$3*10^3</f>
        <v>0</v>
      </c>
      <c r="K14" s="2">
        <f>'HK I&amp;E Projection'!U$4*'Imported Mix'!L14*'Unit Conversion'!$C$3*10^3</f>
        <v>0</v>
      </c>
      <c r="L14" s="2">
        <f>'HK I&amp;E Projection'!V$4*'Imported Mix'!M14*'Unit Conversion'!$C$3*10^3</f>
        <v>0</v>
      </c>
      <c r="M14" s="2">
        <f>'HK I&amp;E Projection'!W$4*'Imported Mix'!N14*'Unit Conversion'!$C$3*10^3</f>
        <v>0</v>
      </c>
      <c r="N14" s="2">
        <f>'HK I&amp;E Projection'!X$4*'Imported Mix'!O14*'Unit Conversion'!$C$3*10^3</f>
        <v>0</v>
      </c>
      <c r="O14" s="2">
        <f>'HK I&amp;E Projection'!Y$4*'Imported Mix'!P14*'Unit Conversion'!$C$3*10^3</f>
        <v>0</v>
      </c>
      <c r="P14" s="2">
        <f>'HK I&amp;E Projection'!Z$4*'Imported Mix'!Q14*'Unit Conversion'!$C$3*10^3</f>
        <v>0</v>
      </c>
      <c r="Q14" s="2">
        <f>'HK I&amp;E Projection'!AA$4*'Imported Mix'!R14*'Unit Conversion'!$C$3*10^3</f>
        <v>0</v>
      </c>
      <c r="R14" s="2">
        <f>'HK I&amp;E Projection'!AB$4*'Imported Mix'!S14*'Unit Conversion'!$C$3*10^3</f>
        <v>0</v>
      </c>
      <c r="S14" s="2">
        <f>'HK I&amp;E Projection'!AC$4*'Imported Mix'!T14*'Unit Conversion'!$C$3*10^3</f>
        <v>0</v>
      </c>
      <c r="T14" s="2">
        <f>'HK I&amp;E Projection'!AD$4*'Imported Mix'!U14*'Unit Conversion'!$C$3*10^3</f>
        <v>0</v>
      </c>
      <c r="U14" s="2">
        <f>'HK I&amp;E Projection'!AE$4*'Imported Mix'!V14*'Unit Conversion'!$C$3*10^3</f>
        <v>0</v>
      </c>
      <c r="V14" s="2">
        <f>'HK I&amp;E Projection'!AF$4*'Imported Mix'!W14*'Unit Conversion'!$C$3*10^3</f>
        <v>0</v>
      </c>
      <c r="W14" s="2">
        <f>'HK I&amp;E Projection'!AG$4*'Imported Mix'!X14*'Unit Conversion'!$C$3*10^3</f>
        <v>0</v>
      </c>
      <c r="X14" s="2">
        <f>'HK I&amp;E Projection'!AH$4*'Imported Mix'!Y14*'Unit Conversion'!$C$3*10^3</f>
        <v>0</v>
      </c>
      <c r="Y14" s="2">
        <f>'HK I&amp;E Projection'!AI$4*'Imported Mix'!Z14*'Unit Conversion'!$C$3*10^3</f>
        <v>0</v>
      </c>
      <c r="Z14" s="2">
        <f>'HK I&amp;E Projection'!AJ$4*'Imported Mix'!AA14*'Unit Conversion'!$C$3*10^3</f>
        <v>0</v>
      </c>
      <c r="AA14" s="2">
        <f>'HK I&amp;E Projection'!AK$4*'Imported Mix'!AB14*'Unit Conversion'!$C$3*10^3</f>
        <v>0</v>
      </c>
      <c r="AB14" s="2">
        <f>'HK I&amp;E Projection'!AL$4*'Imported Mix'!AC14*'Unit Conversion'!$C$3*10^3</f>
        <v>0</v>
      </c>
      <c r="AC14" s="2">
        <f>'HK I&amp;E Projection'!AM$4*'Imported Mix'!AD14*'Unit Conversion'!$C$3*10^3</f>
        <v>0</v>
      </c>
      <c r="AD14" s="2">
        <f>'HK I&amp;E Projection'!AN$4*'Imported Mix'!AE14*'Unit Conversion'!$C$3*10^3</f>
        <v>0</v>
      </c>
      <c r="AE14" s="2">
        <f>'HK I&amp;E Projection'!AO$4*'Imported Mix'!AF14*'Unit Conversion'!$C$3*10^3</f>
        <v>0</v>
      </c>
      <c r="AF14" s="2">
        <f>'HK I&amp;E Projection'!AP$4*'Imported Mix'!AG14*'Unit Conversion'!$C$3*10^3</f>
        <v>0</v>
      </c>
      <c r="AG14" s="2">
        <f>'HK I&amp;E Projection'!AQ$4*'Imported Mix'!AH14*'Unit Conversion'!$C$3*10^3</f>
        <v>0</v>
      </c>
      <c r="AH14" s="2">
        <f>'HK I&amp;E Projection'!AR$4*'Imported Mix'!AI14*'Unit Conversion'!$C$3*10^3</f>
        <v>0</v>
      </c>
      <c r="AI14" s="2">
        <f>'HK I&amp;E Projection'!AS$4*'Imported Mix'!AJ14*'Unit Conversion'!$C$3*10^3</f>
        <v>0</v>
      </c>
      <c r="AJ14" s="2">
        <f>'HK I&amp;E Projection'!AT$4*'Imported Mix'!AK14*'Unit Conversion'!$C$3*10^3</f>
        <v>0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J2"/>
  <sheetViews>
    <sheetView tabSelected="1" workbookViewId="0">
      <selection activeCell="V2" sqref="V2"/>
    </sheetView>
  </sheetViews>
  <sheetFormatPr defaultRowHeight="15"/>
  <cols>
    <col min="1" max="1" width="26.140625" customWidth="1"/>
    <col min="2" max="2" width="11.85546875" customWidth="1"/>
  </cols>
  <sheetData>
    <row r="1" spans="1:36"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>
      <c r="A2" t="s">
        <v>139</v>
      </c>
      <c r="B2" s="2">
        <f>IF('HK I&amp;E Projection'!L6&gt;0,'HK I&amp;E Projection'!L6*'Unit Conversion'!$C$3*10^3,0)</f>
        <v>1205000.0009639999</v>
      </c>
      <c r="C2">
        <f>IF('HK I&amp;E Projection'!M6&gt;0,'HK I&amp;E Projection'!M6*'Unit Conversion'!$C$3*10^3,0)</f>
        <v>1341111.112184</v>
      </c>
      <c r="D2">
        <f>IF('HK I&amp;E Projection'!N6&gt;0,'HK I&amp;E Projection'!N6*'Unit Conversion'!$C$3*10^3,0)</f>
        <v>556111.11155599996</v>
      </c>
      <c r="E2">
        <f>IF('HK I&amp;E Projection'!O6&gt;0,'HK I&amp;E Projection'!O6*'Unit Conversion'!$C$3*10^3,0)</f>
        <v>0</v>
      </c>
      <c r="F2">
        <f>IF('HK I&amp;E Projection'!P6&gt;0,'HK I&amp;E Projection'!P6*'Unit Conversion'!$C$3*10^3,0)</f>
        <v>0</v>
      </c>
      <c r="G2">
        <f>IF('HK I&amp;E Projection'!Q6&gt;0,'HK I&amp;E Projection'!Q6*'Unit Conversion'!$C$3*10^3,0)</f>
        <v>0</v>
      </c>
      <c r="H2">
        <f>IF('HK I&amp;E Projection'!R6&gt;0,'HK I&amp;E Projection'!R6*'Unit Conversion'!$C$3*10^3,0)</f>
        <v>0</v>
      </c>
      <c r="I2">
        <f>IF('HK I&amp;E Projection'!S6&gt;0,'HK I&amp;E Projection'!S6*'Unit Conversion'!$C$3*10^3,0)</f>
        <v>0</v>
      </c>
      <c r="J2">
        <f>IF('HK I&amp;E Projection'!T6&gt;0,'HK I&amp;E Projection'!T6*'Unit Conversion'!$C$3*10^3,0)</f>
        <v>0</v>
      </c>
      <c r="K2">
        <f>IF('HK I&amp;E Projection'!U6&gt;0,'HK I&amp;E Projection'!U6*'Unit Conversion'!$C$3*10^3,0)</f>
        <v>0</v>
      </c>
      <c r="L2">
        <f>IF('HK I&amp;E Projection'!V6&gt;0,'HK I&amp;E Projection'!V6*'Unit Conversion'!$C$3*10^3,0)</f>
        <v>0</v>
      </c>
      <c r="M2">
        <f>IF('HK I&amp;E Projection'!W6&gt;0,'HK I&amp;E Projection'!W6*'Unit Conversion'!$C$3*10^3,0)</f>
        <v>0</v>
      </c>
      <c r="N2">
        <f>IF('HK I&amp;E Projection'!X6&gt;0,'HK I&amp;E Projection'!X6*'Unit Conversion'!$C$3*10^3,0)</f>
        <v>0</v>
      </c>
      <c r="O2">
        <f>IF('HK I&amp;E Projection'!Y6&gt;0,'HK I&amp;E Projection'!Y6*'Unit Conversion'!$C$3*10^3,0)</f>
        <v>0</v>
      </c>
      <c r="P2">
        <f>IF('HK I&amp;E Projection'!Z6&gt;0,'HK I&amp;E Projection'!Z6*'Unit Conversion'!$C$3*10^3,0)</f>
        <v>0</v>
      </c>
      <c r="Q2">
        <f>IF('HK I&amp;E Projection'!AA6&gt;0,'HK I&amp;E Projection'!AA6*'Unit Conversion'!$C$3*10^3,0)</f>
        <v>0</v>
      </c>
      <c r="R2">
        <f>IF('HK I&amp;E Projection'!AB6&gt;0,'HK I&amp;E Projection'!AB6*'Unit Conversion'!$C$3*10^3,0)</f>
        <v>0</v>
      </c>
      <c r="S2">
        <f>IF('HK I&amp;E Projection'!AC6&gt;0,'HK I&amp;E Projection'!AC6*'Unit Conversion'!$C$3*10^3,0)</f>
        <v>0</v>
      </c>
      <c r="T2">
        <f>IF('HK I&amp;E Projection'!AD6&gt;0,'HK I&amp;E Projection'!AD6*'Unit Conversion'!$C$3*10^3,0)</f>
        <v>0</v>
      </c>
      <c r="U2">
        <f>IF('HK I&amp;E Projection'!AE6&gt;0,'HK I&amp;E Projection'!AE6*'Unit Conversion'!$C$3*10^3,0)</f>
        <v>0</v>
      </c>
      <c r="V2">
        <f>IF('HK I&amp;E Projection'!AF6&gt;0,'HK I&amp;E Projection'!AF6*'Unit Conversion'!$C$3*10^3,0)</f>
        <v>0</v>
      </c>
      <c r="W2">
        <f>IF('HK I&amp;E Projection'!AG6&gt;0,'HK I&amp;E Projection'!AG6*'Unit Conversion'!$C$3*10^3,0)</f>
        <v>0</v>
      </c>
      <c r="X2">
        <f>IF('HK I&amp;E Projection'!AH6&gt;0,'HK I&amp;E Projection'!AH6*'Unit Conversion'!$C$3*10^3,0)</f>
        <v>0</v>
      </c>
      <c r="Y2">
        <f>IF('HK I&amp;E Projection'!AI6&gt;0,'HK I&amp;E Projection'!AI6*'Unit Conversion'!$C$3*10^3,0)</f>
        <v>0</v>
      </c>
      <c r="Z2">
        <f>IF('HK I&amp;E Projection'!AJ6&gt;0,'HK I&amp;E Projection'!AJ6*'Unit Conversion'!$C$3*10^3,0)</f>
        <v>0</v>
      </c>
      <c r="AA2">
        <f>IF('HK I&amp;E Projection'!AK6&gt;0,'HK I&amp;E Projection'!AK6*'Unit Conversion'!$C$3*10^3,0)</f>
        <v>0</v>
      </c>
      <c r="AB2">
        <f>IF('HK I&amp;E Projection'!AL6&gt;0,'HK I&amp;E Projection'!AL6*'Unit Conversion'!$C$3*10^3,0)</f>
        <v>0</v>
      </c>
      <c r="AC2">
        <f>IF('HK I&amp;E Projection'!AM6&gt;0,'HK I&amp;E Projection'!AM6*'Unit Conversion'!$C$3*10^3,0)</f>
        <v>0</v>
      </c>
      <c r="AD2">
        <f>IF('HK I&amp;E Projection'!AN6&gt;0,'HK I&amp;E Projection'!AN6*'Unit Conversion'!$C$3*10^3,0)</f>
        <v>0</v>
      </c>
      <c r="AE2">
        <f>IF('HK I&amp;E Projection'!AO6&gt;0,'HK I&amp;E Projection'!AO6*'Unit Conversion'!$C$3*10^3,0)</f>
        <v>0</v>
      </c>
      <c r="AF2">
        <f>IF('HK I&amp;E Projection'!AP6&gt;0,'HK I&amp;E Projection'!AP6*'Unit Conversion'!$C$3*10^3,0)</f>
        <v>0</v>
      </c>
      <c r="AG2">
        <f>IF('HK I&amp;E Projection'!AQ6&gt;0,'HK I&amp;E Projection'!AQ6*'Unit Conversion'!$C$3*10^3,0)</f>
        <v>0</v>
      </c>
      <c r="AH2">
        <f>IF('HK I&amp;E Projection'!AR6&gt;0,'HK I&amp;E Projection'!AR6*'Unit Conversion'!$C$3*10^3,0)</f>
        <v>0</v>
      </c>
      <c r="AI2">
        <f>IF('HK I&amp;E Projection'!AS6&gt;0,'HK I&amp;E Projection'!AS6*'Unit Conversion'!$C$3*10^3,0)</f>
        <v>0</v>
      </c>
      <c r="AJ2">
        <f>IF('HK I&amp;E Projection'!AT6&gt;0,'HK I&amp;E Projection'!AT6*'Unit Conversion'!$C$3*10^3,0)</f>
        <v>0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611E38-7123-4835-AF9D-4C39C9E3DBA7}"/>
</file>

<file path=customXml/itemProps2.xml><?xml version="1.0" encoding="utf-8"?>
<ds:datastoreItem xmlns:ds="http://schemas.openxmlformats.org/officeDocument/2006/customXml" ds:itemID="{24886AA3-A541-4F39-BE40-AD488EC2536F}"/>
</file>

<file path=customXml/itemProps3.xml><?xml version="1.0" encoding="utf-8"?>
<ds:datastoreItem xmlns:ds="http://schemas.openxmlformats.org/officeDocument/2006/customXml" ds:itemID="{16848B04-DA37-4235-A0C5-2490501A7C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2016-02-04T22:14:05Z</dcterms:created>
  <dcterms:modified xsi:type="dcterms:W3CDTF">2023-11-30T12:26:33Z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