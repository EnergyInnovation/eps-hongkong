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/>
  <mc:AlternateContent xmlns:mc="http://schemas.openxmlformats.org/markup-compatibility/2006">
    <mc:Choice Requires="x15">
      <x15ac:absPath xmlns:x15ac="http://schemas.microsoft.com/office/spreadsheetml/2010/11/ac" url="https://civicexchangeorg.sharepoint.com/sites/HongKong2050isNowTeamsite/Shared Documents/12 Hong Kong EPS technical note/HK EPS update/eps-us-3.4.7 working/InputData/elec/0 Need to update/BTaDLP/"/>
    </mc:Choice>
  </mc:AlternateContent>
  <xr:revisionPtr revIDLastSave="204" documentId="11_892E52CCF53A2C647137DDDB61B3F89D06BCBAB2" xr6:coauthVersionLast="47" xr6:coauthVersionMax="47" xr10:uidLastSave="{DDA4DD6C-0A9E-4FC1-AB4F-8A4850AAA98B}"/>
  <bookViews>
    <workbookView xWindow="0" yWindow="1660" windowWidth="28800" windowHeight="15240" activeTab="3" xr2:uid="{00000000-000D-0000-FFFF-FFFF00000000}"/>
  </bookViews>
  <sheets>
    <sheet name="About" sheetId="1" r:id="rId1"/>
    <sheet name="CLP Elec Sale" sheetId="9" r:id="rId2"/>
    <sheet name="HKE Elec Sale" sheetId="10" r:id="rId3"/>
    <sheet name="Loss rate" sheetId="11" r:id="rId4"/>
    <sheet name="BTaDLP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1" l="1"/>
  <c r="D4" i="11"/>
  <c r="E5" i="9"/>
  <c r="E6" i="9"/>
  <c r="E7" i="9"/>
  <c r="E9" i="9"/>
  <c r="E4" i="9"/>
  <c r="B8" i="9"/>
  <c r="D5" i="11"/>
  <c r="C5" i="11"/>
  <c r="E8" i="9" l="1"/>
  <c r="B10" i="9"/>
  <c r="C4" i="11" l="1"/>
  <c r="E10" i="9"/>
  <c r="C2" i="2"/>
  <c r="D2" i="2"/>
  <c r="E2" i="2"/>
  <c r="F2" i="2"/>
  <c r="G2" i="2"/>
  <c r="H2" i="2"/>
  <c r="I2" i="2"/>
  <c r="Q2" i="2"/>
  <c r="Y2" i="2"/>
  <c r="AG2" i="2"/>
  <c r="R2" i="2"/>
  <c r="Z2" i="2"/>
  <c r="AH2" i="2"/>
  <c r="K2" i="2"/>
  <c r="S2" i="2"/>
  <c r="AA2" i="2"/>
  <c r="AI2" i="2"/>
  <c r="L2" i="2"/>
  <c r="T2" i="2"/>
  <c r="AB2" i="2"/>
  <c r="AJ2" i="2"/>
  <c r="M2" i="2"/>
  <c r="U2" i="2"/>
  <c r="AC2" i="2"/>
  <c r="AK2" i="2"/>
  <c r="N2" i="2"/>
  <c r="V2" i="2"/>
  <c r="AD2" i="2"/>
  <c r="B2" i="2"/>
  <c r="O2" i="2"/>
  <c r="W2" i="2"/>
  <c r="AE2" i="2"/>
  <c r="P2" i="2"/>
  <c r="X2" i="2"/>
  <c r="AF2" i="2"/>
  <c r="J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B15" authorId="0" shapeId="0" xr:uid="{00000000-0006-0000-0200-000001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For power generation only</t>
        </r>
      </text>
    </comment>
    <comment ref="B17" authorId="0" shapeId="0" xr:uid="{00000000-0006-0000-0200-000002000000}">
      <text>
        <r>
          <rPr>
            <b/>
            <sz val="9"/>
            <color indexed="81"/>
            <rFont val="宋体"/>
            <family val="3"/>
            <charset val="134"/>
          </rPr>
          <t>微软用户:</t>
        </r>
        <r>
          <rPr>
            <sz val="9"/>
            <color indexed="81"/>
            <rFont val="宋体"/>
            <family val="3"/>
            <charset val="134"/>
          </rPr>
          <t xml:space="preserve">
Fuel oil is mainly used for starting and flame stabilisation of coal-fired units and hence, specific breakdown for fuel oil is not given.</t>
        </r>
      </text>
    </comment>
  </commentList>
</comments>
</file>

<file path=xl/sharedStrings.xml><?xml version="1.0" encoding="utf-8"?>
<sst xmlns="http://schemas.openxmlformats.org/spreadsheetml/2006/main" count="89" uniqueCount="84">
  <si>
    <t>BTaDLP BAU Transmission and Distribution Loss Percentage</t>
    <phoneticPr fontId="5" type="noConversion"/>
  </si>
  <si>
    <t>Sources:</t>
  </si>
  <si>
    <t>Electricity Mix, Capacity and Plans</t>
    <phoneticPr fontId="5" type="noConversion"/>
  </si>
  <si>
    <t>CLP website and HK Electricity website</t>
    <phoneticPr fontId="5" type="noConversion"/>
  </si>
  <si>
    <t>Retrieved 11/08/23</t>
  </si>
  <si>
    <t>https://www.clpgroup.com/en/our-business/assets-services</t>
  </si>
  <si>
    <t>https://sc.hkelectric.com/TuniS/www.hkelectric.com/zh</t>
  </si>
  <si>
    <t>Notes</t>
  </si>
  <si>
    <t xml:space="preserve">1.Given that HK's electricity is overwhelming dominated by two companys-CLP and HK Electricity(HKE), </t>
    <phoneticPr fontId="5" type="noConversion"/>
  </si>
  <si>
    <t xml:space="preserve">who supply almost all HK's electricity demand, their public resources and data are reviewed to get information </t>
    <phoneticPr fontId="5" type="noConversion"/>
  </si>
  <si>
    <t>about the current capacity of the two company and the generator's age.</t>
  </si>
  <si>
    <t xml:space="preserve">2.Calculated from the two electricity companies' public data, the Loss Percentage in HK (3~4%)  is much lower than that </t>
    <phoneticPr fontId="5" type="noConversion"/>
  </si>
  <si>
    <t>published in HK Gov's official website(~10%).</t>
    <phoneticPr fontId="5" type="noConversion"/>
  </si>
  <si>
    <t>CLP's Electricity Sale in HK</t>
    <phoneticPr fontId="5" type="noConversion"/>
  </si>
  <si>
    <t>Electricity Sales</t>
    <phoneticPr fontId="5" type="noConversion"/>
  </si>
  <si>
    <r>
      <rPr>
        <b/>
        <sz val="11"/>
        <color rgb="FF000000"/>
        <rFont val="Calibri"/>
      </rPr>
      <t>Source:</t>
    </r>
    <r>
      <rPr>
        <sz val="11"/>
        <color rgb="FF000000"/>
        <rFont val="Calibri"/>
      </rPr>
      <t xml:space="preserve"> CLP Annual Report 2022</t>
    </r>
  </si>
  <si>
    <t>Electricity Sale (GWh)</t>
    <phoneticPr fontId="5" type="noConversion"/>
  </si>
  <si>
    <t>Change</t>
  </si>
  <si>
    <t>https://www.clpgroup.com/content/dam/clp-group/channels/investor/document/3-3-financial-reports/2022/e_2022Annual%20Report.pdf</t>
  </si>
  <si>
    <t>Residential</t>
  </si>
  <si>
    <t>Commercial</t>
  </si>
  <si>
    <t>Manufacturing</t>
  </si>
  <si>
    <t>Infrastructure &amp; Public Services</t>
    <phoneticPr fontId="5" type="noConversion"/>
  </si>
  <si>
    <t>Total Local Sales</t>
    <phoneticPr fontId="5" type="noConversion"/>
  </si>
  <si>
    <t>Export Sales</t>
    <phoneticPr fontId="5" type="noConversion"/>
  </si>
  <si>
    <t>Total Sales</t>
    <phoneticPr fontId="5" type="noConversion"/>
  </si>
  <si>
    <t>输电配电系统Transmission &amp; Distribution Network</t>
    <phoneticPr fontId="5" type="noConversion"/>
  </si>
  <si>
    <t>2022资产表现数据 2022 Asset Performance Statistics</t>
  </si>
  <si>
    <t>营运Operation</t>
    <phoneticPr fontId="5" type="noConversion"/>
  </si>
  <si>
    <t>Unit</t>
    <phoneticPr fontId="5" type="noConversion"/>
  </si>
  <si>
    <t>https://www.clpgroup.com/content/dam/clp-group/channels/sustainability/document/sustainability-report/2022/SR2022_APS.pdf.coredownload.pdf</t>
  </si>
  <si>
    <t>輸電及供電流失Transmission &amp; distribution loss</t>
    <phoneticPr fontId="5" type="noConversion"/>
  </si>
  <si>
    <t>GWh百万度</t>
    <phoneticPr fontId="5" type="noConversion"/>
  </si>
  <si>
    <t>%</t>
  </si>
  <si>
    <t>營運地點耗電量Electricity used onsite</t>
    <phoneticPr fontId="5" type="noConversion"/>
  </si>
  <si>
    <t>Monthly analysis of electricity sales</t>
  </si>
  <si>
    <t>Millions of kWh</t>
  </si>
  <si>
    <t>Percentage change overprevious year (%)</t>
    <phoneticPr fontId="5" type="noConversion"/>
  </si>
  <si>
    <t>Source</t>
  </si>
  <si>
    <t>http://www.clpgroup.com/content/dam/clp-group/channels/media/document/embedded_pdfs_en/2022AR_highlights_en.pdf</t>
  </si>
  <si>
    <t>Local total</t>
  </si>
  <si>
    <t xml:space="preserve">NOTE: Electricity sales decreased from 2021's (35,355GWh) </t>
  </si>
  <si>
    <t>Sales to the Mainland</t>
  </si>
  <si>
    <t>System total</t>
  </si>
  <si>
    <t>Hong Kong's Tariff</t>
    <phoneticPr fontId="5" type="noConversion"/>
  </si>
  <si>
    <r>
      <rPr>
        <b/>
        <sz val="11"/>
        <color theme="1"/>
        <rFont val="Calibri"/>
        <family val="3"/>
        <charset val="134"/>
        <scheme val="minor"/>
      </rPr>
      <t>Source:</t>
    </r>
    <r>
      <rPr>
        <sz val="11"/>
        <color theme="1"/>
        <rFont val="Calibri"/>
        <family val="2"/>
        <scheme val="minor"/>
      </rPr>
      <t xml:space="preserve"> CLP 2016 SR</t>
    </r>
    <phoneticPr fontId="5" type="noConversion"/>
  </si>
  <si>
    <t>https://www.clpgroup.com/en/sustainability/sustainability-reports</t>
    <phoneticPr fontId="5" type="noConversion"/>
  </si>
  <si>
    <t>Electricity Sale Information</t>
    <phoneticPr fontId="5" type="noConversion"/>
  </si>
  <si>
    <t>Source: 2022 Annual Report (see screenshot below)</t>
  </si>
  <si>
    <t>Indicator</t>
    <phoneticPr fontId="5" type="noConversion"/>
  </si>
  <si>
    <t>Customer No. in HK</t>
    <phoneticPr fontId="5" type="noConversion"/>
  </si>
  <si>
    <t>Million</t>
    <phoneticPr fontId="5" type="noConversion"/>
  </si>
  <si>
    <t>Increase in 2021 electricity sales 2021售电量上升</t>
  </si>
  <si>
    <t>-</t>
    <phoneticPr fontId="5" type="noConversion"/>
  </si>
  <si>
    <t>Electricity Sale of HK Electricity</t>
    <phoneticPr fontId="5" type="noConversion"/>
  </si>
  <si>
    <t>2017-2018HKE_2018CIBooklet</t>
    <phoneticPr fontId="5" type="noConversion"/>
  </si>
  <si>
    <t>Power Supply Reliability</t>
    <phoneticPr fontId="5" type="noConversion"/>
  </si>
  <si>
    <t>Source: https://www.hkelectric.com/documents/en/InvestorRelations/InvestorRelations_GLNCS/Documents/2023/EAR2022%20Full%20version.pdf</t>
  </si>
  <si>
    <t>&gt;99.999%, since 1997</t>
    <phoneticPr fontId="5" type="noConversion"/>
  </si>
  <si>
    <t>Year</t>
    <phoneticPr fontId="5" type="noConversion"/>
  </si>
  <si>
    <t>Source:https://www.hkelectric.com/en/our-operations/supply-reliability</t>
    <phoneticPr fontId="5" type="noConversion"/>
  </si>
  <si>
    <t>Electricity Sale(mil. kWh)</t>
    <phoneticPr fontId="5" type="noConversion"/>
  </si>
  <si>
    <t>Industrial</t>
  </si>
  <si>
    <t>Total</t>
    <phoneticPr fontId="5" type="noConversion"/>
  </si>
  <si>
    <t>Annual increase/(decrease) (%)</t>
  </si>
  <si>
    <t>HKE-Sustainability Report-2022</t>
  </si>
  <si>
    <t>Source:https://www.hkelectric.com/en/corporate-social-responsibility/sustainability-reports/</t>
    <phoneticPr fontId="5" type="noConversion"/>
  </si>
  <si>
    <t>Operations</t>
    <phoneticPr fontId="5" type="noConversion"/>
  </si>
  <si>
    <t>Installed Capacity (MW)</t>
    <phoneticPr fontId="5" type="noConversion"/>
  </si>
  <si>
    <t>Gas</t>
  </si>
  <si>
    <t>Coal &amp; oil</t>
    <phoneticPr fontId="5" type="noConversion"/>
  </si>
  <si>
    <t>Renewable energy</t>
  </si>
  <si>
    <t>Performance</t>
  </si>
  <si>
    <t>Electricity sold (millions of kWh)</t>
  </si>
  <si>
    <t>Plant availability (%)</t>
  </si>
  <si>
    <t>Thermal efficiency (%)</t>
  </si>
  <si>
    <t>Transmission and distribution losses (%)</t>
  </si>
  <si>
    <t>Elec Sale (GWh)</t>
    <phoneticPr fontId="5" type="noConversion"/>
  </si>
  <si>
    <t>Loss Rate</t>
    <phoneticPr fontId="5" type="noConversion"/>
  </si>
  <si>
    <t>CLP</t>
    <phoneticPr fontId="5" type="noConversion"/>
  </si>
  <si>
    <t>HKE</t>
    <phoneticPr fontId="5" type="noConversion"/>
  </si>
  <si>
    <t>2022 Average Loss Rate in Transmission and Distribution</t>
  </si>
  <si>
    <t>HK</t>
    <phoneticPr fontId="5" type="noConversion"/>
  </si>
  <si>
    <t>Trans and Dist Loss 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</si>
</sst>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Calibri"/>
      <family val="3"/>
      <charset val="134"/>
      <scheme val="minor"/>
    </font>
    <font>
      <b/>
      <sz val="14"/>
      <color theme="1"/>
      <name val="Calibri"/>
      <family val="3"/>
      <charset val="134"/>
      <scheme val="minor"/>
    </font>
    <font>
      <sz val="12"/>
      <color rgb="FF007F7E"/>
      <name val="&amp;quot"/>
      <family val="2"/>
    </font>
    <font>
      <b/>
      <sz val="12"/>
      <color theme="1"/>
      <name val="Calibri"/>
      <family val="3"/>
      <charset val="134"/>
      <scheme val="minor"/>
    </font>
    <font>
      <b/>
      <sz val="9"/>
      <color rgb="FF000000"/>
      <name val="&amp;quot"/>
      <family val="2"/>
    </font>
    <font>
      <sz val="9"/>
      <color rgb="FF000000"/>
      <name val="&amp;quot"/>
      <family val="2"/>
    </font>
    <font>
      <b/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EE9F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0E0E0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9" fontId="1" fillId="0" borderId="0" applyFont="0" applyFill="0" applyBorder="0" applyAlignment="0" applyProtection="0">
      <alignment vertical="center"/>
    </xf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left" vertical="center" wrapText="1"/>
    </xf>
    <xf numFmtId="0" fontId="3" fillId="0" borderId="0" xfId="1"/>
    <xf numFmtId="3" fontId="0" fillId="0" borderId="0" xfId="0" applyNumberFormat="1"/>
    <xf numFmtId="10" fontId="0" fillId="0" borderId="0" xfId="0" applyNumberFormat="1"/>
    <xf numFmtId="0" fontId="12" fillId="0" borderId="0" xfId="0" applyFont="1"/>
    <xf numFmtId="0" fontId="6" fillId="2" borderId="0" xfId="0" applyFont="1" applyFill="1"/>
    <xf numFmtId="10" fontId="9" fillId="0" borderId="0" xfId="0" applyNumberFormat="1" applyFont="1"/>
    <xf numFmtId="0" fontId="13" fillId="3" borderId="0" xfId="0" applyFont="1" applyFill="1" applyAlignment="1">
      <alignment vertical="center" wrapText="1"/>
    </xf>
    <xf numFmtId="0" fontId="14" fillId="0" borderId="0" xfId="0" applyFont="1" applyAlignment="1">
      <alignment vertical="center" wrapText="1"/>
    </xf>
    <xf numFmtId="4" fontId="14" fillId="0" borderId="0" xfId="0" applyNumberFormat="1" applyFont="1" applyAlignment="1">
      <alignment vertical="center" wrapText="1"/>
    </xf>
    <xf numFmtId="0" fontId="14" fillId="0" borderId="1" xfId="0" applyFont="1" applyBorder="1" applyAlignment="1">
      <alignment vertical="center" wrapText="1"/>
    </xf>
    <xf numFmtId="4" fontId="14" fillId="0" borderId="1" xfId="0" applyNumberFormat="1" applyFont="1" applyBorder="1" applyAlignment="1">
      <alignment vertical="center" wrapText="1"/>
    </xf>
    <xf numFmtId="0" fontId="0" fillId="4" borderId="0" xfId="0" applyFill="1"/>
    <xf numFmtId="0" fontId="9" fillId="4" borderId="0" xfId="0" applyFont="1" applyFill="1"/>
    <xf numFmtId="10" fontId="0" fillId="0" borderId="0" xfId="3" applyNumberFormat="1" applyFont="1" applyAlignment="1"/>
    <xf numFmtId="0" fontId="0" fillId="0" borderId="0" xfId="0" applyAlignment="1">
      <alignment vertical="center"/>
    </xf>
    <xf numFmtId="0" fontId="6" fillId="5" borderId="0" xfId="0" applyFont="1" applyFill="1"/>
    <xf numFmtId="0" fontId="3" fillId="0" borderId="0" xfId="1" applyAlignment="1">
      <alignment vertical="center"/>
    </xf>
    <xf numFmtId="0" fontId="17" fillId="0" borderId="0" xfId="0" applyFont="1"/>
    <xf numFmtId="165" fontId="0" fillId="0" borderId="0" xfId="0" applyNumberFormat="1"/>
    <xf numFmtId="0" fontId="0" fillId="6" borderId="0" xfId="0" applyFill="1"/>
    <xf numFmtId="17" fontId="13" fillId="3" borderId="0" xfId="0" applyNumberFormat="1" applyFont="1" applyFill="1" applyAlignment="1">
      <alignment vertical="center" wrapText="1"/>
    </xf>
    <xf numFmtId="0" fontId="15" fillId="0" borderId="0" xfId="0" applyFont="1"/>
  </cellXfs>
  <cellStyles count="4">
    <cellStyle name="Hyperlink" xfId="1" builtinId="8"/>
    <cellStyle name="Normal" xfId="0" builtinId="0"/>
    <cellStyle name="Normal 2" xfId="2" xr:uid="{00000000-0005-0000-0000-000000000000}"/>
    <cellStyle name="百分比 2" xfId="3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66287</xdr:rowOff>
    </xdr:from>
    <xdr:to>
      <xdr:col>3</xdr:col>
      <xdr:colOff>985954</xdr:colOff>
      <xdr:row>43</xdr:row>
      <xdr:rowOff>119530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911337"/>
          <a:ext cx="6097704" cy="3253644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49</xdr:row>
      <xdr:rowOff>57150</xdr:rowOff>
    </xdr:from>
    <xdr:to>
      <xdr:col>2</xdr:col>
      <xdr:colOff>762000</xdr:colOff>
      <xdr:row>61</xdr:row>
      <xdr:rowOff>114300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4A8B107F-3DD4-0F2D-A53E-C1549ADC7720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9734550"/>
          <a:ext cx="4572000" cy="2343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c.hkelectric.com/TuniS/www.hkelectric.com/zh" TargetMode="External"/><Relationship Id="rId1" Type="http://schemas.openxmlformats.org/officeDocument/2006/relationships/hyperlink" Target="https://www.clpgroup.com/en/our-business/assets-servic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lpgroup.com/content/dam/clp-group/channels/sustainability/document/sustainability-report/2022/SR2022_APS.pdf.coredownload.pdf" TargetMode="External"/><Relationship Id="rId2" Type="http://schemas.openxmlformats.org/officeDocument/2006/relationships/hyperlink" Target="https://www.clpgroup.com/content/dam/clp-group/channels/investor/document/3-3-financial-reports/2022/e_2022Annual%20Report.pdf" TargetMode="External"/><Relationship Id="rId1" Type="http://schemas.openxmlformats.org/officeDocument/2006/relationships/hyperlink" Target="https://www.clpgroup.com/en/sustainability/sustainability-reports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://www.clpgroup.com/content/dam/clp-group/channels/media/document/embedded_pdfs_en/2022AR_highlights_en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zoomScale="160" workbookViewId="0">
      <selection activeCell="B7" sqref="B7"/>
    </sheetView>
  </sheetViews>
  <sheetFormatPr defaultColWidth="8.85546875" defaultRowHeight="15"/>
  <cols>
    <col min="2" max="2" width="38.85546875" customWidth="1"/>
  </cols>
  <sheetData>
    <row r="1" spans="1:2">
      <c r="A1" s="1" t="s">
        <v>0</v>
      </c>
    </row>
    <row r="3" spans="1:2">
      <c r="A3" s="1" t="s">
        <v>1</v>
      </c>
      <c r="B3" s="23" t="s">
        <v>2</v>
      </c>
    </row>
    <row r="4" spans="1:2">
      <c r="A4" s="22"/>
      <c r="B4" s="22" t="s">
        <v>3</v>
      </c>
    </row>
    <row r="5" spans="1:2">
      <c r="A5" s="22"/>
      <c r="B5" s="22" t="s">
        <v>4</v>
      </c>
    </row>
    <row r="6" spans="1:2">
      <c r="A6" s="22"/>
      <c r="B6" s="24" t="s">
        <v>5</v>
      </c>
    </row>
    <row r="7" spans="1:2">
      <c r="A7" s="22"/>
      <c r="B7" s="24" t="s">
        <v>6</v>
      </c>
    </row>
    <row r="9" spans="1:2">
      <c r="A9" s="1" t="s">
        <v>7</v>
      </c>
    </row>
    <row r="10" spans="1:2">
      <c r="A10" t="s">
        <v>8</v>
      </c>
    </row>
    <row r="11" spans="1:2">
      <c r="A11" t="s">
        <v>9</v>
      </c>
    </row>
    <row r="12" spans="1:2">
      <c r="A12" t="s">
        <v>10</v>
      </c>
    </row>
    <row r="14" spans="1:2">
      <c r="A14" t="s">
        <v>11</v>
      </c>
    </row>
    <row r="15" spans="1:2">
      <c r="A15" t="s">
        <v>12</v>
      </c>
    </row>
  </sheetData>
  <phoneticPr fontId="5" type="noConversion"/>
  <hyperlinks>
    <hyperlink ref="B6" r:id="rId1" xr:uid="{B85DC9A4-7CB0-4160-AFF8-EE12EB2740A0}"/>
    <hyperlink ref="B7" r:id="rId2" xr:uid="{B936623F-60F4-4B20-9BDF-93F3FE31BBC4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3"/>
  <sheetViews>
    <sheetView topLeftCell="A37" zoomScale="94" workbookViewId="0">
      <selection activeCell="D57" sqref="D57"/>
    </sheetView>
  </sheetViews>
  <sheetFormatPr defaultColWidth="8.85546875" defaultRowHeight="15"/>
  <cols>
    <col min="1" max="1" width="37.42578125" customWidth="1"/>
    <col min="2" max="2" width="20.140625" customWidth="1"/>
    <col min="3" max="3" width="15" customWidth="1"/>
    <col min="4" max="4" width="19.85546875" customWidth="1"/>
    <col min="5" max="5" width="12.28515625" customWidth="1"/>
    <col min="6" max="6" width="12.140625" customWidth="1"/>
  </cols>
  <sheetData>
    <row r="1" spans="1:11" ht="18.75">
      <c r="A1" s="6" t="s">
        <v>13</v>
      </c>
      <c r="B1" s="6"/>
    </row>
    <row r="2" spans="1:11" ht="16.5" customHeight="1">
      <c r="A2" s="7" t="s">
        <v>14</v>
      </c>
      <c r="B2" s="7"/>
      <c r="G2" s="25" t="s">
        <v>15</v>
      </c>
    </row>
    <row r="3" spans="1:11">
      <c r="A3" s="4" t="s">
        <v>16</v>
      </c>
      <c r="B3" s="4">
        <v>2022</v>
      </c>
      <c r="C3" s="4">
        <v>2018</v>
      </c>
      <c r="D3" s="4">
        <v>2017</v>
      </c>
      <c r="E3" s="4" t="s">
        <v>17</v>
      </c>
      <c r="G3" s="8" t="s">
        <v>18</v>
      </c>
    </row>
    <row r="4" spans="1:11">
      <c r="A4" t="s">
        <v>19</v>
      </c>
      <c r="B4">
        <v>10113</v>
      </c>
      <c r="C4" s="9">
        <v>9191</v>
      </c>
      <c r="D4" s="9">
        <v>9217</v>
      </c>
      <c r="E4" s="26">
        <f>((B4-C4)/C4)*100</f>
        <v>10.031552605810031</v>
      </c>
    </row>
    <row r="5" spans="1:11">
      <c r="A5" t="s">
        <v>20</v>
      </c>
      <c r="B5">
        <v>13233</v>
      </c>
      <c r="C5" s="9">
        <v>13425</v>
      </c>
      <c r="D5" s="9">
        <v>13220</v>
      </c>
      <c r="E5" s="26">
        <f t="shared" ref="E5:E10" si="0">((B5-C5)/C5)*100</f>
        <v>-1.4301675977653632</v>
      </c>
    </row>
    <row r="6" spans="1:11">
      <c r="A6" t="s">
        <v>21</v>
      </c>
      <c r="B6">
        <v>1615</v>
      </c>
      <c r="C6" s="9">
        <v>1704</v>
      </c>
      <c r="D6" s="9">
        <v>1740</v>
      </c>
      <c r="E6" s="26">
        <f t="shared" si="0"/>
        <v>-5.2230046948356801</v>
      </c>
    </row>
    <row r="7" spans="1:11">
      <c r="A7" t="s">
        <v>22</v>
      </c>
      <c r="B7">
        <v>9863</v>
      </c>
      <c r="C7" s="9">
        <v>9342</v>
      </c>
      <c r="D7" s="9">
        <v>8987</v>
      </c>
      <c r="E7" s="26">
        <f t="shared" si="0"/>
        <v>5.5769642474844794</v>
      </c>
    </row>
    <row r="8" spans="1:11">
      <c r="A8" t="s">
        <v>23</v>
      </c>
      <c r="B8">
        <f>SUM(B4:B7)</f>
        <v>34824</v>
      </c>
      <c r="C8" s="9">
        <v>33662</v>
      </c>
      <c r="D8" s="9">
        <v>33164</v>
      </c>
      <c r="E8" s="26">
        <f t="shared" si="0"/>
        <v>3.4519636385241519</v>
      </c>
    </row>
    <row r="9" spans="1:11">
      <c r="A9" t="s">
        <v>24</v>
      </c>
      <c r="B9" s="2">
        <v>0</v>
      </c>
      <c r="C9">
        <v>556</v>
      </c>
      <c r="D9" s="9">
        <v>1341</v>
      </c>
      <c r="E9" s="26">
        <f t="shared" si="0"/>
        <v>-100</v>
      </c>
    </row>
    <row r="10" spans="1:11">
      <c r="A10" t="s">
        <v>25</v>
      </c>
      <c r="B10">
        <f>B8+B9</f>
        <v>34824</v>
      </c>
      <c r="C10" s="9">
        <v>34218</v>
      </c>
      <c r="D10" s="9">
        <v>34505</v>
      </c>
      <c r="E10" s="26">
        <f t="shared" si="0"/>
        <v>1.7709977204979834</v>
      </c>
    </row>
    <row r="11" spans="1:11">
      <c r="C11" s="9"/>
      <c r="D11" s="9"/>
      <c r="E11" s="10"/>
    </row>
    <row r="12" spans="1:11" ht="15.75">
      <c r="A12" s="11" t="s">
        <v>26</v>
      </c>
      <c r="B12" s="11"/>
      <c r="C12" s="5"/>
      <c r="D12" s="5" t="s">
        <v>27</v>
      </c>
      <c r="E12" s="5"/>
    </row>
    <row r="13" spans="1:11">
      <c r="A13" s="4" t="s">
        <v>28</v>
      </c>
      <c r="B13" s="4"/>
      <c r="C13" s="4" t="s">
        <v>29</v>
      </c>
      <c r="D13" s="27">
        <v>2022</v>
      </c>
      <c r="E13" s="27">
        <v>2021</v>
      </c>
      <c r="F13" s="27">
        <v>2020</v>
      </c>
      <c r="G13" s="12">
        <v>2018</v>
      </c>
      <c r="H13" s="12">
        <v>2017</v>
      </c>
      <c r="I13" s="12">
        <v>2016</v>
      </c>
      <c r="K13" s="8" t="s">
        <v>30</v>
      </c>
    </row>
    <row r="14" spans="1:11">
      <c r="A14" s="5" t="s">
        <v>31</v>
      </c>
      <c r="B14" s="5"/>
      <c r="C14" s="5" t="s">
        <v>32</v>
      </c>
      <c r="D14">
        <v>1201</v>
      </c>
      <c r="E14">
        <v>1286</v>
      </c>
      <c r="F14">
        <v>1205</v>
      </c>
      <c r="G14" s="5">
        <v>1262</v>
      </c>
      <c r="H14" s="5">
        <v>1321</v>
      </c>
      <c r="I14" s="5">
        <v>1365</v>
      </c>
    </row>
    <row r="15" spans="1:11">
      <c r="A15" s="5" t="s">
        <v>31</v>
      </c>
      <c r="B15" s="5"/>
      <c r="C15" s="5" t="s">
        <v>33</v>
      </c>
      <c r="D15" s="10">
        <v>3.3000000000000002E-2</v>
      </c>
      <c r="E15" s="10">
        <v>3.5000000000000003E-2</v>
      </c>
      <c r="F15" s="10">
        <v>3.4000000000000002E-2</v>
      </c>
      <c r="G15" s="13">
        <v>3.5999999999999997E-2</v>
      </c>
      <c r="H15" s="13">
        <v>3.7999999999999999E-2</v>
      </c>
      <c r="I15" s="13">
        <v>3.9E-2</v>
      </c>
    </row>
    <row r="16" spans="1:11">
      <c r="A16" s="5" t="s">
        <v>34</v>
      </c>
      <c r="B16" s="5"/>
      <c r="C16" s="5" t="s">
        <v>32</v>
      </c>
      <c r="D16">
        <v>17</v>
      </c>
      <c r="E16">
        <v>17</v>
      </c>
      <c r="F16">
        <v>17</v>
      </c>
      <c r="G16" s="5">
        <v>17</v>
      </c>
      <c r="H16" s="5">
        <v>18</v>
      </c>
      <c r="I16" s="5">
        <v>18</v>
      </c>
    </row>
    <row r="17" spans="1:7">
      <c r="A17" s="5"/>
      <c r="B17" s="5"/>
      <c r="C17" s="5"/>
      <c r="D17" s="5"/>
      <c r="E17" s="5"/>
    </row>
    <row r="18" spans="1:7" ht="21" customHeight="1">
      <c r="A18" s="7" t="s">
        <v>35</v>
      </c>
      <c r="B18" s="7"/>
    </row>
    <row r="19" spans="1:7" ht="30" customHeight="1">
      <c r="A19" s="28">
        <v>45200</v>
      </c>
      <c r="B19" s="14"/>
      <c r="C19" s="14" t="s">
        <v>36</v>
      </c>
      <c r="D19" s="14" t="s">
        <v>37</v>
      </c>
      <c r="F19" s="29" t="s">
        <v>38</v>
      </c>
      <c r="G19" s="8" t="s">
        <v>39</v>
      </c>
    </row>
    <row r="20" spans="1:7">
      <c r="A20" s="15" t="s">
        <v>40</v>
      </c>
      <c r="B20" s="15"/>
      <c r="C20" s="16">
        <v>3482.4</v>
      </c>
      <c r="D20" s="15">
        <v>-1.5</v>
      </c>
      <c r="F20" t="s">
        <v>41</v>
      </c>
      <c r="G20" s="8"/>
    </row>
    <row r="21" spans="1:7">
      <c r="A21" s="17" t="s">
        <v>42</v>
      </c>
      <c r="B21" s="17"/>
      <c r="C21" s="17">
        <v>0</v>
      </c>
      <c r="D21" s="17">
        <v>-100</v>
      </c>
      <c r="G21" s="5"/>
    </row>
    <row r="22" spans="1:7">
      <c r="A22" s="17" t="s">
        <v>43</v>
      </c>
      <c r="B22" s="17"/>
      <c r="C22" s="18">
        <v>3482.4</v>
      </c>
      <c r="D22" s="17">
        <v>-1.5</v>
      </c>
    </row>
    <row r="23" spans="1:7">
      <c r="C23" s="9"/>
      <c r="D23" s="9"/>
      <c r="E23" s="10"/>
    </row>
    <row r="25" spans="1:7">
      <c r="A25" s="4" t="s">
        <v>44</v>
      </c>
      <c r="B25" s="4"/>
      <c r="G25" s="5" t="s">
        <v>45</v>
      </c>
    </row>
    <row r="26" spans="1:7">
      <c r="G26" s="8" t="s">
        <v>46</v>
      </c>
    </row>
    <row r="46" spans="1:7">
      <c r="A46" s="4" t="s">
        <v>47</v>
      </c>
      <c r="B46" s="4"/>
      <c r="G46" s="4" t="s">
        <v>48</v>
      </c>
    </row>
    <row r="47" spans="1:7">
      <c r="A47" s="4" t="s">
        <v>49</v>
      </c>
      <c r="B47" s="4"/>
      <c r="C47" s="4" t="s">
        <v>29</v>
      </c>
    </row>
    <row r="48" spans="1:7">
      <c r="A48" t="s">
        <v>50</v>
      </c>
      <c r="C48" t="s">
        <v>51</v>
      </c>
      <c r="D48">
        <v>2.75</v>
      </c>
    </row>
    <row r="49" spans="1:4">
      <c r="A49" t="s">
        <v>52</v>
      </c>
      <c r="C49" t="s">
        <v>53</v>
      </c>
      <c r="D49" s="10">
        <v>1.4500000000000001E-2</v>
      </c>
    </row>
    <row r="50" spans="1:4">
      <c r="D50" s="10"/>
    </row>
    <row r="51" spans="1:4">
      <c r="D51" s="10"/>
    </row>
    <row r="53" spans="1:4">
      <c r="A53" s="5"/>
      <c r="B53" s="5"/>
    </row>
  </sheetData>
  <phoneticPr fontId="5" type="noConversion"/>
  <hyperlinks>
    <hyperlink ref="G26" r:id="rId1" xr:uid="{00000000-0004-0000-0100-000002000000}"/>
    <hyperlink ref="G3" r:id="rId2" xr:uid="{D9E2ADE4-0004-47E3-B625-AA56517DC6A1}"/>
    <hyperlink ref="K13" r:id="rId3" xr:uid="{D2A5DED9-8E5A-4FC4-B2AB-97AF9352454C}"/>
    <hyperlink ref="G19" r:id="rId4" xr:uid="{361E9486-C6FA-49F7-A113-0D4F2C648B6E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"/>
  <sheetViews>
    <sheetView zoomScaleNormal="130" workbookViewId="0">
      <selection activeCell="J11" sqref="J11"/>
    </sheetView>
  </sheetViews>
  <sheetFormatPr defaultColWidth="8.85546875" defaultRowHeight="15"/>
  <cols>
    <col min="2" max="2" width="28.7109375" customWidth="1"/>
    <col min="5" max="5" width="11.140625" customWidth="1"/>
  </cols>
  <sheetData>
    <row r="1" spans="1:12" ht="18.95">
      <c r="A1" s="6" t="s">
        <v>54</v>
      </c>
    </row>
    <row r="2" spans="1:12">
      <c r="B2" s="4" t="s">
        <v>55</v>
      </c>
      <c r="L2" s="4" t="s">
        <v>56</v>
      </c>
    </row>
    <row r="3" spans="1:12">
      <c r="B3" t="s">
        <v>57</v>
      </c>
      <c r="L3" t="s">
        <v>58</v>
      </c>
    </row>
    <row r="4" spans="1:12">
      <c r="B4" s="4" t="s">
        <v>59</v>
      </c>
      <c r="C4" s="4">
        <v>2022</v>
      </c>
      <c r="D4" s="4">
        <v>2021</v>
      </c>
      <c r="E4" s="4">
        <v>2020</v>
      </c>
      <c r="F4" s="4">
        <v>2019</v>
      </c>
      <c r="G4" s="4">
        <v>2018</v>
      </c>
      <c r="L4" t="s">
        <v>60</v>
      </c>
    </row>
    <row r="5" spans="1:12">
      <c r="B5" s="4" t="s">
        <v>61</v>
      </c>
    </row>
    <row r="6" spans="1:12">
      <c r="B6" t="s">
        <v>20</v>
      </c>
      <c r="C6" s="9">
        <v>7149</v>
      </c>
      <c r="D6" s="9">
        <v>7409</v>
      </c>
      <c r="E6" s="9">
        <v>7178</v>
      </c>
      <c r="F6" s="9">
        <v>7751</v>
      </c>
      <c r="G6" s="9">
        <v>7766</v>
      </c>
    </row>
    <row r="7" spans="1:12">
      <c r="B7" t="s">
        <v>19</v>
      </c>
      <c r="C7" s="9">
        <v>2505</v>
      </c>
      <c r="D7" s="9">
        <v>2659</v>
      </c>
      <c r="E7" s="9">
        <v>2667</v>
      </c>
      <c r="F7" s="9">
        <v>2475</v>
      </c>
      <c r="G7" s="9">
        <v>2466</v>
      </c>
    </row>
    <row r="8" spans="1:12">
      <c r="B8" t="s">
        <v>62</v>
      </c>
      <c r="C8">
        <v>287</v>
      </c>
      <c r="D8">
        <v>293</v>
      </c>
      <c r="E8">
        <v>289</v>
      </c>
      <c r="F8">
        <v>293</v>
      </c>
      <c r="G8">
        <v>305</v>
      </c>
    </row>
    <row r="9" spans="1:12">
      <c r="B9" s="4" t="s">
        <v>63</v>
      </c>
      <c r="C9" s="9">
        <v>9941</v>
      </c>
      <c r="D9" s="9">
        <v>10361</v>
      </c>
      <c r="E9" s="9">
        <v>10134</v>
      </c>
      <c r="F9" s="9">
        <v>10519</v>
      </c>
      <c r="G9" s="9">
        <v>10537</v>
      </c>
    </row>
    <row r="10" spans="1:12">
      <c r="B10" t="s">
        <v>64</v>
      </c>
      <c r="C10">
        <v>-4</v>
      </c>
      <c r="D10">
        <v>2.2000000000000002</v>
      </c>
      <c r="E10">
        <v>-3.7</v>
      </c>
      <c r="F10">
        <v>-0.2</v>
      </c>
      <c r="G10">
        <v>-0.7</v>
      </c>
    </row>
    <row r="11" spans="1:12">
      <c r="J11" s="9"/>
    </row>
    <row r="12" spans="1:12">
      <c r="B12" s="4" t="s">
        <v>65</v>
      </c>
      <c r="J12" s="9"/>
      <c r="K12" s="4"/>
    </row>
    <row r="13" spans="1:12">
      <c r="B13" t="s">
        <v>66</v>
      </c>
      <c r="J13" s="9"/>
    </row>
    <row r="14" spans="1:12">
      <c r="B14" s="4" t="s">
        <v>67</v>
      </c>
      <c r="C14" s="4">
        <v>2022</v>
      </c>
      <c r="D14" s="4">
        <v>2021</v>
      </c>
      <c r="E14" s="4">
        <v>2020</v>
      </c>
      <c r="F14" s="4"/>
      <c r="G14" s="4"/>
      <c r="H14" s="4"/>
      <c r="I14" s="4"/>
    </row>
    <row r="15" spans="1:12">
      <c r="B15" s="19" t="s">
        <v>68</v>
      </c>
    </row>
    <row r="16" spans="1:12">
      <c r="B16" t="s">
        <v>69</v>
      </c>
      <c r="C16">
        <v>1095</v>
      </c>
      <c r="D16">
        <v>1060</v>
      </c>
      <c r="E16">
        <v>1060</v>
      </c>
    </row>
    <row r="17" spans="2:10">
      <c r="B17" t="s">
        <v>70</v>
      </c>
      <c r="C17" s="9">
        <v>2305</v>
      </c>
      <c r="D17" s="9">
        <v>2555</v>
      </c>
      <c r="E17" s="9">
        <v>2555</v>
      </c>
      <c r="F17" s="9"/>
      <c r="G17" s="9"/>
      <c r="H17" s="9"/>
      <c r="I17" s="9"/>
    </row>
    <row r="18" spans="2:10">
      <c r="B18" t="s">
        <v>71</v>
      </c>
      <c r="C18">
        <v>2</v>
      </c>
      <c r="D18">
        <v>1.9</v>
      </c>
      <c r="E18">
        <v>1.8</v>
      </c>
    </row>
    <row r="19" spans="2:10">
      <c r="B19" s="20" t="s">
        <v>72</v>
      </c>
    </row>
    <row r="20" spans="2:10">
      <c r="B20" t="s">
        <v>73</v>
      </c>
      <c r="C20" s="9">
        <v>9941</v>
      </c>
      <c r="D20" s="9">
        <v>10361</v>
      </c>
      <c r="E20" s="9">
        <v>10134</v>
      </c>
      <c r="F20" s="9"/>
      <c r="G20" s="9"/>
      <c r="H20" s="9"/>
      <c r="I20" s="9"/>
    </row>
    <row r="21" spans="2:10">
      <c r="B21" t="s">
        <v>74</v>
      </c>
      <c r="C21">
        <v>86.6</v>
      </c>
      <c r="D21">
        <v>89</v>
      </c>
      <c r="E21">
        <v>89.5</v>
      </c>
      <c r="J21" s="9"/>
    </row>
    <row r="22" spans="2:10">
      <c r="B22" t="s">
        <v>75</v>
      </c>
      <c r="C22">
        <v>38.9</v>
      </c>
      <c r="D22">
        <v>37.6</v>
      </c>
      <c r="E22">
        <v>37.6</v>
      </c>
      <c r="J22" s="9"/>
    </row>
    <row r="23" spans="2:10">
      <c r="B23" t="s">
        <v>76</v>
      </c>
      <c r="C23">
        <v>3.5</v>
      </c>
      <c r="D23">
        <v>3.3</v>
      </c>
      <c r="E23">
        <v>3.4</v>
      </c>
      <c r="J23" s="9"/>
    </row>
    <row r="24" spans="2:10">
      <c r="J24" s="9"/>
    </row>
    <row r="25" spans="2:10">
      <c r="J25" s="9"/>
    </row>
    <row r="49" spans="2:2">
      <c r="B49" s="9"/>
    </row>
    <row r="50" spans="2:2">
      <c r="B50" s="9"/>
    </row>
    <row r="51" spans="2:2">
      <c r="B51" s="9"/>
    </row>
  </sheetData>
  <phoneticPr fontId="5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D9"/>
  <sheetViews>
    <sheetView tabSelected="1" workbookViewId="0">
      <selection activeCell="B9" sqref="B9"/>
    </sheetView>
  </sheetViews>
  <sheetFormatPr defaultColWidth="8.85546875" defaultRowHeight="15"/>
  <cols>
    <col min="3" max="3" width="13.85546875" customWidth="1"/>
  </cols>
  <sheetData>
    <row r="3" spans="2:4">
      <c r="B3">
        <v>2022</v>
      </c>
      <c r="C3" t="s">
        <v>77</v>
      </c>
      <c r="D3" t="s">
        <v>78</v>
      </c>
    </row>
    <row r="4" spans="2:4">
      <c r="B4" t="s">
        <v>79</v>
      </c>
      <c r="C4" s="9">
        <f>'CLP Elec Sale'!B10</f>
        <v>34824</v>
      </c>
      <c r="D4" s="10">
        <f>'CLP Elec Sale'!D15</f>
        <v>3.3000000000000002E-2</v>
      </c>
    </row>
    <row r="5" spans="2:4">
      <c r="B5" t="s">
        <v>80</v>
      </c>
      <c r="C5" s="9">
        <f>'HKE Elec Sale'!C9</f>
        <v>9941</v>
      </c>
      <c r="D5" s="21">
        <f>'HKE Elec Sale'!C23*0.01</f>
        <v>3.5000000000000003E-2</v>
      </c>
    </row>
    <row r="8" spans="2:4">
      <c r="B8" t="s">
        <v>81</v>
      </c>
    </row>
    <row r="9" spans="2:4">
      <c r="B9" t="s">
        <v>82</v>
      </c>
      <c r="D9" s="21">
        <f>(C4*D4+C5*D5)/(C4+C5)</f>
        <v>3.3444141628504412E-2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-0.499984740745262"/>
  </sheetPr>
  <dimension ref="A1:AK2"/>
  <sheetViews>
    <sheetView workbookViewId="0">
      <selection activeCell="D2" sqref="D2"/>
    </sheetView>
  </sheetViews>
  <sheetFormatPr defaultColWidth="8.85546875" defaultRowHeight="15"/>
  <cols>
    <col min="1" max="1" width="25.85546875" customWidth="1"/>
    <col min="2" max="2" width="9" customWidth="1"/>
  </cols>
  <sheetData>
    <row r="1" spans="1:37"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>
      <c r="A2" s="2" t="s">
        <v>83</v>
      </c>
      <c r="B2" s="3">
        <f>'Loss rate'!$D$9</f>
        <v>3.3444141628504412E-2</v>
      </c>
      <c r="C2" s="3">
        <f>'Loss rate'!$D$9</f>
        <v>3.3444141628504412E-2</v>
      </c>
      <c r="D2" s="3">
        <f>'Loss rate'!$D$9</f>
        <v>3.3444141628504412E-2</v>
      </c>
      <c r="E2" s="3">
        <f>'Loss rate'!$D$9</f>
        <v>3.3444141628504412E-2</v>
      </c>
      <c r="F2" s="3">
        <f>'Loss rate'!$D$9</f>
        <v>3.3444141628504412E-2</v>
      </c>
      <c r="G2" s="3">
        <f>'Loss rate'!$D$9</f>
        <v>3.3444141628504412E-2</v>
      </c>
      <c r="H2" s="3">
        <f>'Loss rate'!$D$9</f>
        <v>3.3444141628504412E-2</v>
      </c>
      <c r="I2" s="3">
        <f>'Loss rate'!$D$9</f>
        <v>3.3444141628504412E-2</v>
      </c>
      <c r="J2" s="3">
        <f>'Loss rate'!$D$9</f>
        <v>3.3444141628504412E-2</v>
      </c>
      <c r="K2" s="3">
        <f>'Loss rate'!$D$9</f>
        <v>3.3444141628504412E-2</v>
      </c>
      <c r="L2" s="3">
        <f>'Loss rate'!$D$9</f>
        <v>3.3444141628504412E-2</v>
      </c>
      <c r="M2" s="3">
        <f>'Loss rate'!$D$9</f>
        <v>3.3444141628504412E-2</v>
      </c>
      <c r="N2" s="3">
        <f>'Loss rate'!$D$9</f>
        <v>3.3444141628504412E-2</v>
      </c>
      <c r="O2" s="3">
        <f>'Loss rate'!$D$9</f>
        <v>3.3444141628504412E-2</v>
      </c>
      <c r="P2" s="3">
        <f>'Loss rate'!$D$9</f>
        <v>3.3444141628504412E-2</v>
      </c>
      <c r="Q2" s="3">
        <f>'Loss rate'!$D$9</f>
        <v>3.3444141628504412E-2</v>
      </c>
      <c r="R2" s="3">
        <f>'Loss rate'!$D$9</f>
        <v>3.3444141628504412E-2</v>
      </c>
      <c r="S2" s="3">
        <f>'Loss rate'!$D$9</f>
        <v>3.3444141628504412E-2</v>
      </c>
      <c r="T2" s="3">
        <f>'Loss rate'!$D$9</f>
        <v>3.3444141628504412E-2</v>
      </c>
      <c r="U2" s="3">
        <f>'Loss rate'!$D$9</f>
        <v>3.3444141628504412E-2</v>
      </c>
      <c r="V2" s="3">
        <f>'Loss rate'!$D$9</f>
        <v>3.3444141628504412E-2</v>
      </c>
      <c r="W2" s="3">
        <f>'Loss rate'!$D$9</f>
        <v>3.3444141628504412E-2</v>
      </c>
      <c r="X2" s="3">
        <f>'Loss rate'!$D$9</f>
        <v>3.3444141628504412E-2</v>
      </c>
      <c r="Y2" s="3">
        <f>'Loss rate'!$D$9</f>
        <v>3.3444141628504412E-2</v>
      </c>
      <c r="Z2" s="3">
        <f>'Loss rate'!$D$9</f>
        <v>3.3444141628504412E-2</v>
      </c>
      <c r="AA2" s="3">
        <f>'Loss rate'!$D$9</f>
        <v>3.3444141628504412E-2</v>
      </c>
      <c r="AB2" s="3">
        <f>'Loss rate'!$D$9</f>
        <v>3.3444141628504412E-2</v>
      </c>
      <c r="AC2" s="3">
        <f>'Loss rate'!$D$9</f>
        <v>3.3444141628504412E-2</v>
      </c>
      <c r="AD2" s="3">
        <f>'Loss rate'!$D$9</f>
        <v>3.3444141628504412E-2</v>
      </c>
      <c r="AE2" s="3">
        <f>'Loss rate'!$D$9</f>
        <v>3.3444141628504412E-2</v>
      </c>
      <c r="AF2" s="3">
        <f>'Loss rate'!$D$9</f>
        <v>3.3444141628504412E-2</v>
      </c>
      <c r="AG2" s="3">
        <f>'Loss rate'!$D$9</f>
        <v>3.3444141628504412E-2</v>
      </c>
      <c r="AH2" s="3">
        <f>'Loss rate'!$D$9</f>
        <v>3.3444141628504412E-2</v>
      </c>
      <c r="AI2" s="3">
        <f>'Loss rate'!$D$9</f>
        <v>3.3444141628504412E-2</v>
      </c>
      <c r="AJ2" s="3">
        <f>'Loss rate'!$D$9</f>
        <v>3.3444141628504412E-2</v>
      </c>
      <c r="AK2" s="3">
        <f>'Loss rate'!$D$9</f>
        <v>3.3444141628504412E-2</v>
      </c>
    </row>
  </sheetData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FA23CF-4EE7-4BDB-A900-D22D12575107}"/>
</file>

<file path=customXml/itemProps2.xml><?xml version="1.0" encoding="utf-8"?>
<ds:datastoreItem xmlns:ds="http://schemas.openxmlformats.org/officeDocument/2006/customXml" ds:itemID="{600C235B-31B2-40E3-A40B-67C2DB340FB3}"/>
</file>

<file path=customXml/itemProps3.xml><?xml version="1.0" encoding="utf-8"?>
<ds:datastoreItem xmlns:ds="http://schemas.openxmlformats.org/officeDocument/2006/customXml" ds:itemID="{FDC4A115-1FF3-4C03-AEDD-C3C4ED6D2C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Harriet Tsang</cp:lastModifiedBy>
  <cp:revision/>
  <dcterms:created xsi:type="dcterms:W3CDTF">2015-06-09T20:22:53Z</dcterms:created>
  <dcterms:modified xsi:type="dcterms:W3CDTF">2023-11-30T10:54:17Z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  <property fmtid="{D5CDD505-2E9C-101B-9397-08002B2CF9AE}" pid="3" name="MediaServiceImageTags">
    <vt:lpwstr/>
  </property>
</Properties>
</file>