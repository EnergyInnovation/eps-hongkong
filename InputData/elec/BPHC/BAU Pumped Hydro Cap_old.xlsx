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1.4.2-us - AEO Update\InputData\elec\BPHC\"/>
    </mc:Choice>
  </mc:AlternateContent>
  <xr:revisionPtr revIDLastSave="78" documentId="11_E5A7AF3E504350558D5E16661594D8D656C8AE3F" xr6:coauthVersionLast="47" xr6:coauthVersionMax="47" xr10:uidLastSave="{6A592DD0-E56A-4319-87FA-66AEC05E6087}"/>
  <bookViews>
    <workbookView xWindow="360" yWindow="60" windowWidth="25875" windowHeight="12075" activeTab="1" xr2:uid="{00000000-000D-0000-FFFF-FFFF00000000}"/>
  </bookViews>
  <sheets>
    <sheet name="About" sheetId="1" r:id="rId1"/>
    <sheet name="AEO Table 9" sheetId="4" r:id="rId2"/>
    <sheet name="BPH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B2" i="3"/>
</calcChain>
</file>

<file path=xl/sharedStrings.xml><?xml version="1.0" encoding="utf-8"?>
<sst xmlns="http://schemas.openxmlformats.org/spreadsheetml/2006/main" count="275" uniqueCount="139">
  <si>
    <t>BPHC BAU Pumped Hydro Capacity</t>
  </si>
  <si>
    <t>Source:</t>
  </si>
  <si>
    <t>Energy Information Administration</t>
  </si>
  <si>
    <t>Annual Energy Outlook 2018</t>
  </si>
  <si>
    <t>http://www.eia.gov/forecasts/aeo/excel/aeotab_9.xlsx</t>
  </si>
  <si>
    <t>Table 9, Row "Pumped Storage"</t>
  </si>
  <si>
    <t>ref2018.d121317a</t>
  </si>
  <si>
    <t>Report</t>
  </si>
  <si>
    <t>Scenario</t>
  </si>
  <si>
    <t>ref2018</t>
  </si>
  <si>
    <t>Reference case</t>
  </si>
  <si>
    <t>Datekey</t>
  </si>
  <si>
    <t>d121317a</t>
  </si>
  <si>
    <t>Release Date</t>
  </si>
  <si>
    <t>EGC000</t>
  </si>
  <si>
    <t>9. Electricity Generating Capacity</t>
  </si>
  <si>
    <t>(gigawatts)</t>
  </si>
  <si>
    <t/>
  </si>
  <si>
    <t>2017-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</si>
  <si>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</si>
  <si>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</si>
  <si>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</si>
  <si>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</si>
  <si>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</si>
  <si>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</si>
  <si>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</si>
  <si>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</si>
  <si>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</si>
  <si>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</si>
  <si>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</si>
  <si>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</si>
  <si>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</si>
  <si>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</si>
  <si>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</si>
  <si>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</si>
  <si>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</si>
  <si>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</si>
  <si>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</si>
  <si>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</si>
  <si>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</si>
  <si>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</si>
  <si>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</si>
  <si>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</si>
  <si>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</si>
  <si>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</si>
  <si>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</si>
  <si>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</si>
  <si>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</si>
  <si>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</si>
  <si>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</si>
  <si>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</si>
  <si>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</si>
  <si>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</si>
  <si>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</si>
  <si>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</si>
  <si>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</si>
  <si>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</si>
  <si>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</si>
  <si>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</si>
  <si>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</si>
  <si>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</si>
  <si>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</si>
  <si>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</si>
  <si>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</si>
  <si>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</si>
  <si>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</si>
  <si>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</si>
  <si>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</si>
  <si>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</si>
  <si>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</si>
  <si>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</si>
  <si>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</si>
  <si>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</si>
  <si>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</si>
  <si>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</si>
  <si>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</si>
  <si>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</si>
  <si>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</si>
  <si>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</si>
  <si>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</si>
  <si>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</si>
  <si>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</si>
  <si>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</si>
  <si>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</si>
  <si>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</si>
  <si>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</si>
  <si>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</si>
  <si>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</si>
  <si>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</si>
  <si>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</si>
  <si>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</si>
  <si>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</si>
  <si>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</si>
  <si>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</si>
  <si>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</si>
  <si>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</si>
  <si>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</si>
  <si>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</si>
  <si>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</si>
  <si>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</si>
  <si>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</si>
  <si>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</si>
  <si>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</si>
  <si>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</si>
  <si>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</si>
  <si>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</si>
  <si>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</si>
  <si>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</si>
  <si>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</si>
  <si>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</si>
  <si>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</si>
  <si>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</si>
  <si>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</si>
  <si>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</si>
  <si>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>are not included explicitly as additions or retirements.  The totals reflect 1.1 gigawatts of planned conversions as well as additional</t>
  </si>
  <si>
    <t>model-projected conversions.</t>
  </si>
  <si>
    <t xml:space="preserve">   5/ Includes oil-, gas-, and dual-fired capacity.</t>
  </si>
  <si>
    <t xml:space="preserve">   6/ Nuclear capacity includes 3.8 gigawatts of uprates.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</si>
  <si>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</si>
  <si>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</si>
  <si>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</si>
  <si>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</si>
  <si>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</si>
  <si>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10/ Cumulative additions after December 31, 2017.</t>
  </si>
  <si>
    <t xml:space="preserve">   11/ Cumulative retirements after December 31, 2017.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</si>
  <si>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</si>
  <si>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</si>
  <si>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</si>
  <si>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</si>
  <si>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</si>
  <si>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</si>
  <si>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 xml:space="preserve">   Note:  Totals may not equal sum of components due to independent rounding.  Data for 2016</t>
  </si>
  <si>
    <t>are model results and may differ from official EIA data reports.</t>
  </si>
  <si>
    <t xml:space="preserve">   Sources:  2016 capacity and projected planned additions:  U.S. Energy Information Administration (EIA),</t>
  </si>
  <si>
    <t>Form EIA-860, "Annual Electric Generator Report" (preliminary).</t>
  </si>
  <si>
    <t>2017:  EIA, Short-Term Energy Outlook, October 2017 and EIA, AEO2018 National Energy Modeling System run ref2018.d121317a.</t>
  </si>
  <si>
    <t>Projections:  EIA, AEO2018 National Energy Modeling System run ref2018.d121317a.</t>
  </si>
  <si>
    <t>Year</t>
  </si>
  <si>
    <t>Pumped Storage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</si>
</sst>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4">
      <alignment horizontal="left"/>
    </xf>
    <xf numFmtId="0" fontId="3" fillId="0" borderId="0" xfId="2"/>
    <xf numFmtId="0" fontId="4" fillId="0" borderId="1" xfId="3">
      <alignment wrapText="1"/>
    </xf>
    <xf numFmtId="0" fontId="4" fillId="0" borderId="2" xfId="5">
      <alignment wrapText="1"/>
    </xf>
    <xf numFmtId="0" fontId="0" fillId="0" borderId="3" xfId="6" applyFont="1">
      <alignment wrapText="1"/>
    </xf>
    <xf numFmtId="1" fontId="0" fillId="0" borderId="0" xfId="0" applyNumberForma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9" fillId="0" borderId="3" xfId="0" applyFont="1" applyFill="1" applyBorder="1" applyAlignment="1">
      <alignment wrapText="1"/>
    </xf>
    <xf numFmtId="10" fontId="9" fillId="0" borderId="3" xfId="0" applyNumberFormat="1" applyFont="1" applyFill="1" applyBorder="1" applyAlignment="1">
      <alignment wrapText="1"/>
    </xf>
    <xf numFmtId="0" fontId="9" fillId="0" borderId="3" xfId="0" quotePrefix="1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4" fontId="10" fillId="0" borderId="2" xfId="0" applyNumberFormat="1" applyFont="1" applyFill="1" applyBorder="1" applyAlignment="1">
      <alignment wrapText="1"/>
    </xf>
    <xf numFmtId="10" fontId="10" fillId="0" borderId="2" xfId="0" applyNumberFormat="1" applyFont="1" applyFill="1" applyBorder="1" applyAlignment="1">
      <alignment wrapText="1"/>
    </xf>
    <xf numFmtId="0" fontId="9" fillId="0" borderId="0" xfId="0" applyFont="1" applyFill="1" applyBorder="1" applyAlignment="1"/>
    <xf numFmtId="0" fontId="10" fillId="0" borderId="2" xfId="0" quotePrefix="1" applyFont="1" applyFill="1" applyBorder="1" applyAlignment="1">
      <alignment wrapText="1"/>
    </xf>
    <xf numFmtId="0" fontId="4" fillId="0" borderId="1" xfId="3" applyNumberFormat="1">
      <alignment wrapText="1"/>
    </xf>
    <xf numFmtId="17" fontId="8" fillId="0" borderId="0" xfId="0" applyNumberFormat="1" applyFont="1"/>
    <xf numFmtId="0" fontId="3" fillId="0" borderId="4" xfId="7" applyAlignment="1">
      <alignment wrapText="1"/>
    </xf>
  </cellXfs>
  <cellStyles count="9">
    <cellStyle name="Body: normal cell" xfId="6" xr:uid="{00000000-0005-0000-0000-000000000000}"/>
    <cellStyle name="Font: Calibri, 9pt regular" xfId="2" xr:uid="{00000000-0005-0000-0000-000001000000}"/>
    <cellStyle name="Footnotes: top row" xfId="7" xr:uid="{00000000-0005-0000-0000-000002000000}"/>
    <cellStyle name="Header: bottom row" xfId="3" xr:uid="{00000000-0005-0000-0000-000003000000}"/>
    <cellStyle name="Hyperlink" xfId="1" builtinId="8"/>
    <cellStyle name="Normal" xfId="0" builtinId="0"/>
    <cellStyle name="Normal 2" xfId="8" xr:uid="{00000000-0005-0000-0000-000006000000}"/>
    <cellStyle name="Parent row" xfId="5" xr:uid="{00000000-0005-0000-0000-000007000000}"/>
    <cellStyle name="Table title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forecasts/aeo/excel/aeotab_9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/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4"/>
  <sheetViews>
    <sheetView tabSelected="1" workbookViewId="0">
      <pane xSplit="2" ySplit="1" topLeftCell="C71" activePane="bottomRight" state="frozen"/>
      <selection pane="bottomRight" activeCell="E7" sqref="E7"/>
      <selection pane="bottomLeft" activeCell="A2" sqref="A2"/>
      <selection pane="topRight" activeCell="C1" sqref="C1"/>
    </sheetView>
  </sheetViews>
  <sheetFormatPr defaultRowHeight="15" customHeight="1"/>
  <cols>
    <col min="1" max="1" width="20.85546875" hidden="1" customWidth="1"/>
    <col min="2" max="2" width="45.7109375" customWidth="1"/>
    <col min="33" max="33" width="8" customWidth="1"/>
  </cols>
  <sheetData>
    <row r="1" spans="1:33" ht="15" customHeight="1">
      <c r="B1" s="5" t="s">
        <v>6</v>
      </c>
      <c r="C1" s="6">
        <v>2020</v>
      </c>
      <c r="D1" s="6">
        <v>2021</v>
      </c>
      <c r="E1" s="6">
        <v>2022</v>
      </c>
      <c r="F1" s="6">
        <v>2023</v>
      </c>
      <c r="G1" s="6">
        <v>2024</v>
      </c>
      <c r="H1" s="6">
        <v>2025</v>
      </c>
      <c r="I1" s="6">
        <v>2026</v>
      </c>
      <c r="J1" s="6">
        <v>2027</v>
      </c>
      <c r="K1" s="6">
        <v>2028</v>
      </c>
      <c r="L1" s="6">
        <v>2029</v>
      </c>
      <c r="M1" s="6">
        <v>2030</v>
      </c>
      <c r="N1" s="6">
        <v>2031</v>
      </c>
      <c r="O1" s="6">
        <v>2032</v>
      </c>
      <c r="P1" s="6">
        <v>2033</v>
      </c>
      <c r="Q1" s="6">
        <v>2034</v>
      </c>
      <c r="R1" s="6">
        <v>2035</v>
      </c>
      <c r="S1" s="6">
        <v>2036</v>
      </c>
      <c r="T1" s="6">
        <v>2037</v>
      </c>
      <c r="U1" s="6">
        <v>2038</v>
      </c>
      <c r="V1" s="6">
        <v>2039</v>
      </c>
      <c r="W1" s="6">
        <v>2040</v>
      </c>
      <c r="X1" s="6">
        <v>2041</v>
      </c>
      <c r="Y1" s="6">
        <v>2042</v>
      </c>
      <c r="Z1" s="6">
        <v>2043</v>
      </c>
      <c r="AA1" s="6">
        <v>2045</v>
      </c>
      <c r="AB1" s="6">
        <v>2046</v>
      </c>
      <c r="AC1" s="21">
        <v>2047</v>
      </c>
      <c r="AD1" s="6">
        <v>2048</v>
      </c>
      <c r="AE1" s="6">
        <v>2049</v>
      </c>
      <c r="AF1" s="6">
        <v>2050</v>
      </c>
      <c r="AG1" s="6">
        <v>2050</v>
      </c>
    </row>
    <row r="3" spans="1:33" ht="15" customHeight="1">
      <c r="C3" s="10" t="s">
        <v>7</v>
      </c>
      <c r="D3" s="10" t="s">
        <v>3</v>
      </c>
      <c r="E3" s="10"/>
      <c r="F3" s="10"/>
      <c r="G3" s="10"/>
    </row>
    <row r="4" spans="1:33" ht="15" customHeight="1">
      <c r="C4" s="10" t="s">
        <v>8</v>
      </c>
      <c r="D4" s="10" t="s">
        <v>9</v>
      </c>
      <c r="E4" s="10"/>
      <c r="F4" s="10"/>
      <c r="G4" s="10" t="s">
        <v>10</v>
      </c>
    </row>
    <row r="5" spans="1:33" ht="15" customHeight="1">
      <c r="C5" s="10" t="s">
        <v>11</v>
      </c>
      <c r="D5" s="10" t="s">
        <v>12</v>
      </c>
      <c r="E5" s="10"/>
      <c r="F5" s="10"/>
      <c r="G5" s="10"/>
    </row>
    <row r="6" spans="1:33" ht="15" customHeight="1">
      <c r="C6" s="10" t="s">
        <v>13</v>
      </c>
      <c r="D6" s="10"/>
      <c r="E6" s="22">
        <v>44197</v>
      </c>
      <c r="F6" s="10"/>
      <c r="G6" s="10"/>
    </row>
    <row r="10" spans="1:33" ht="15" customHeight="1">
      <c r="A10" s="11" t="s">
        <v>14</v>
      </c>
      <c r="B10" s="4" t="s">
        <v>15</v>
      </c>
    </row>
    <row r="11" spans="1:33" ht="15" customHeight="1">
      <c r="B11" s="5" t="s">
        <v>16</v>
      </c>
    </row>
    <row r="12" spans="1:33" ht="15" customHeight="1">
      <c r="B12" s="5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2" t="s">
        <v>17</v>
      </c>
      <c r="Z12" s="2" t="s">
        <v>17</v>
      </c>
      <c r="AA12" s="2" t="s">
        <v>17</v>
      </c>
      <c r="AB12" s="2" t="s">
        <v>17</v>
      </c>
      <c r="AC12" s="2" t="s">
        <v>17</v>
      </c>
      <c r="AD12" s="2" t="s">
        <v>17</v>
      </c>
      <c r="AE12" s="2" t="s">
        <v>17</v>
      </c>
      <c r="AF12" s="2" t="s">
        <v>17</v>
      </c>
      <c r="AG12" s="2" t="s">
        <v>18</v>
      </c>
    </row>
    <row r="13" spans="1:33" ht="15" customHeight="1">
      <c r="B13" s="6" t="s">
        <v>19</v>
      </c>
      <c r="C13" s="6">
        <v>2020</v>
      </c>
      <c r="D13" s="6">
        <v>2021</v>
      </c>
      <c r="E13" s="6">
        <v>2022</v>
      </c>
      <c r="F13" s="6">
        <v>2023</v>
      </c>
      <c r="G13" s="6">
        <v>2024</v>
      </c>
      <c r="H13" s="6">
        <v>2025</v>
      </c>
      <c r="I13" s="6">
        <v>2026</v>
      </c>
      <c r="J13" s="6">
        <v>2027</v>
      </c>
      <c r="K13" s="6">
        <v>2028</v>
      </c>
      <c r="L13" s="6">
        <v>2029</v>
      </c>
      <c r="M13" s="6">
        <v>2030</v>
      </c>
      <c r="N13" s="6">
        <v>2031</v>
      </c>
      <c r="O13" s="6">
        <v>2032</v>
      </c>
      <c r="P13" s="6">
        <v>2033</v>
      </c>
      <c r="Q13" s="6">
        <v>2034</v>
      </c>
      <c r="R13" s="6">
        <v>2035</v>
      </c>
      <c r="S13" s="6">
        <v>2036</v>
      </c>
      <c r="T13" s="6">
        <v>2037</v>
      </c>
      <c r="U13" s="6">
        <v>2038</v>
      </c>
      <c r="V13" s="6">
        <v>2039</v>
      </c>
      <c r="W13" s="6">
        <v>2040</v>
      </c>
      <c r="X13" s="6">
        <v>2041</v>
      </c>
      <c r="Y13" s="6">
        <v>2042</v>
      </c>
      <c r="Z13" s="6">
        <v>2043</v>
      </c>
      <c r="AA13" s="6">
        <v>2045</v>
      </c>
      <c r="AB13" s="6">
        <v>2046</v>
      </c>
      <c r="AC13" s="21">
        <v>2047</v>
      </c>
      <c r="AD13" s="6">
        <v>2048</v>
      </c>
      <c r="AE13" s="6">
        <v>2049</v>
      </c>
      <c r="AF13" s="6">
        <v>2050</v>
      </c>
      <c r="AG13" s="6">
        <v>2050</v>
      </c>
    </row>
    <row r="15" spans="1:33" ht="15" customHeight="1">
      <c r="B15" s="7" t="s">
        <v>20</v>
      </c>
    </row>
    <row r="16" spans="1:33" ht="15" customHeight="1">
      <c r="B16" s="7" t="s">
        <v>21</v>
      </c>
    </row>
    <row r="17" spans="1:34" ht="15" customHeight="1">
      <c r="A17" s="11" t="s">
        <v>22</v>
      </c>
      <c r="B17" s="8" t="s">
        <v>23</v>
      </c>
      <c r="C17" s="13">
        <v>217.3</v>
      </c>
      <c r="D17" s="13">
        <v>212.9</v>
      </c>
      <c r="E17" s="13">
        <v>208.2</v>
      </c>
      <c r="F17" s="13">
        <v>188.3</v>
      </c>
      <c r="G17" s="13">
        <v>176.8</v>
      </c>
      <c r="H17" s="13">
        <v>136</v>
      </c>
      <c r="I17" s="13">
        <v>131.6</v>
      </c>
      <c r="J17" s="13">
        <v>125.5</v>
      </c>
      <c r="K17" s="13">
        <v>122.9</v>
      </c>
      <c r="L17" s="13">
        <v>120.5</v>
      </c>
      <c r="M17" s="13">
        <v>117.9</v>
      </c>
      <c r="N17" s="13">
        <v>116.5</v>
      </c>
      <c r="O17" s="13">
        <v>114.5</v>
      </c>
      <c r="P17" s="13">
        <v>113.3</v>
      </c>
      <c r="Q17" s="13">
        <v>112.7</v>
      </c>
      <c r="R17" s="13">
        <v>110.5</v>
      </c>
      <c r="S17" s="13">
        <v>110.5</v>
      </c>
      <c r="T17" s="13">
        <v>109.3</v>
      </c>
      <c r="U17" s="13">
        <v>106.2</v>
      </c>
      <c r="V17" s="13">
        <v>105.4</v>
      </c>
      <c r="W17" s="13">
        <v>105.4</v>
      </c>
      <c r="X17" s="13">
        <v>105.1</v>
      </c>
      <c r="Y17" s="13">
        <v>105.1</v>
      </c>
      <c r="Z17" s="13">
        <v>105.1</v>
      </c>
      <c r="AA17" s="13">
        <v>105.1</v>
      </c>
      <c r="AB17" s="13">
        <v>102.6</v>
      </c>
      <c r="AC17" s="13">
        <v>102.6</v>
      </c>
      <c r="AD17" s="13">
        <v>102.1</v>
      </c>
      <c r="AE17" s="13">
        <v>102.1</v>
      </c>
      <c r="AF17" s="13">
        <v>102.1</v>
      </c>
      <c r="AG17" s="13">
        <v>102.1</v>
      </c>
      <c r="AH17" s="14">
        <v>-2.5000000000000001E-2</v>
      </c>
    </row>
    <row r="18" spans="1:34" ht="15" customHeight="1">
      <c r="A18" s="11" t="s">
        <v>24</v>
      </c>
      <c r="B18" s="8" t="s">
        <v>25</v>
      </c>
      <c r="C18" s="13">
        <v>72.599999999999994</v>
      </c>
      <c r="D18" s="13">
        <v>71.5</v>
      </c>
      <c r="E18" s="13">
        <v>66.599999999999994</v>
      </c>
      <c r="F18" s="13">
        <v>61.9</v>
      </c>
      <c r="G18" s="13">
        <v>56.5</v>
      </c>
      <c r="H18" s="13">
        <v>56.3</v>
      </c>
      <c r="I18" s="13">
        <v>52</v>
      </c>
      <c r="J18" s="13">
        <v>51.5</v>
      </c>
      <c r="K18" s="13">
        <v>49.5</v>
      </c>
      <c r="L18" s="13">
        <v>47.5</v>
      </c>
      <c r="M18" s="13">
        <v>47</v>
      </c>
      <c r="N18" s="13">
        <v>45.3</v>
      </c>
      <c r="O18" s="13">
        <v>45.1</v>
      </c>
      <c r="P18" s="13">
        <v>44.2</v>
      </c>
      <c r="Q18" s="13">
        <v>43.7</v>
      </c>
      <c r="R18" s="13">
        <v>42.7</v>
      </c>
      <c r="S18" s="13">
        <v>42.7</v>
      </c>
      <c r="T18" s="13">
        <v>43.4</v>
      </c>
      <c r="U18" s="13">
        <v>43.4</v>
      </c>
      <c r="V18" s="13">
        <v>43.4</v>
      </c>
      <c r="W18" s="13">
        <v>43.4</v>
      </c>
      <c r="X18" s="13">
        <v>43.4</v>
      </c>
      <c r="Y18" s="13">
        <v>43.4</v>
      </c>
      <c r="Z18" s="13">
        <v>43.4</v>
      </c>
      <c r="AA18" s="13">
        <v>43.3</v>
      </c>
      <c r="AB18" s="13">
        <v>43.3</v>
      </c>
      <c r="AC18" s="13">
        <v>43.3</v>
      </c>
      <c r="AD18" s="13">
        <v>43.3</v>
      </c>
      <c r="AE18" s="13">
        <v>43.3</v>
      </c>
      <c r="AF18" s="13">
        <v>43.3</v>
      </c>
      <c r="AG18" s="13">
        <v>43.3</v>
      </c>
      <c r="AH18" s="14">
        <v>-1.7000000000000001E-2</v>
      </c>
    </row>
    <row r="19" spans="1:34" ht="15" customHeight="1">
      <c r="A19" s="11" t="s">
        <v>26</v>
      </c>
      <c r="B19" s="8" t="s">
        <v>27</v>
      </c>
      <c r="C19" s="13">
        <v>245.4</v>
      </c>
      <c r="D19" s="13">
        <v>248.7</v>
      </c>
      <c r="E19" s="13">
        <v>261.3</v>
      </c>
      <c r="F19" s="13">
        <v>264.7</v>
      </c>
      <c r="G19" s="13">
        <v>268.7</v>
      </c>
      <c r="H19" s="13">
        <v>282.7</v>
      </c>
      <c r="I19" s="13">
        <v>295.2</v>
      </c>
      <c r="J19" s="13">
        <v>301</v>
      </c>
      <c r="K19" s="13">
        <v>304.3</v>
      </c>
      <c r="L19" s="13">
        <v>307.3</v>
      </c>
      <c r="M19" s="13">
        <v>308.39999999999998</v>
      </c>
      <c r="N19" s="13">
        <v>313</v>
      </c>
      <c r="O19" s="13">
        <v>317.60000000000002</v>
      </c>
      <c r="P19" s="13">
        <v>321</v>
      </c>
      <c r="Q19" s="13">
        <v>324.89999999999998</v>
      </c>
      <c r="R19" s="13">
        <v>329.1</v>
      </c>
      <c r="S19" s="13">
        <v>332.3</v>
      </c>
      <c r="T19" s="13">
        <v>336.5</v>
      </c>
      <c r="U19" s="13">
        <v>340.4</v>
      </c>
      <c r="V19" s="13">
        <v>342.8</v>
      </c>
      <c r="W19" s="13">
        <v>348</v>
      </c>
      <c r="X19" s="13">
        <v>351.3</v>
      </c>
      <c r="Y19" s="13">
        <v>353.6</v>
      </c>
      <c r="Z19" s="13">
        <v>359.4</v>
      </c>
      <c r="AA19" s="13">
        <v>363.6</v>
      </c>
      <c r="AB19" s="13">
        <v>367.8</v>
      </c>
      <c r="AC19" s="13">
        <v>370.8</v>
      </c>
      <c r="AD19" s="13">
        <v>375.4</v>
      </c>
      <c r="AE19" s="13">
        <v>380.8</v>
      </c>
      <c r="AF19" s="13">
        <v>388.6</v>
      </c>
      <c r="AG19" s="13">
        <v>394.7</v>
      </c>
      <c r="AH19" s="14">
        <v>1.6E-2</v>
      </c>
    </row>
    <row r="20" spans="1:34" ht="15" customHeight="1">
      <c r="A20" s="11" t="s">
        <v>28</v>
      </c>
      <c r="B20" s="8" t="s">
        <v>29</v>
      </c>
      <c r="C20" s="13">
        <v>140</v>
      </c>
      <c r="D20" s="13">
        <v>151.4</v>
      </c>
      <c r="E20" s="13">
        <v>157.5</v>
      </c>
      <c r="F20" s="13">
        <v>163.4</v>
      </c>
      <c r="G20" s="13">
        <v>167.7</v>
      </c>
      <c r="H20" s="13">
        <v>179.7</v>
      </c>
      <c r="I20" s="13">
        <v>184.2</v>
      </c>
      <c r="J20" s="13">
        <v>188.9</v>
      </c>
      <c r="K20" s="13">
        <v>192</v>
      </c>
      <c r="L20" s="13">
        <v>195</v>
      </c>
      <c r="M20" s="13">
        <v>197.2</v>
      </c>
      <c r="N20" s="13">
        <v>200.9</v>
      </c>
      <c r="O20" s="13">
        <v>203.1</v>
      </c>
      <c r="P20" s="13">
        <v>206</v>
      </c>
      <c r="Q20" s="13">
        <v>210.8</v>
      </c>
      <c r="R20" s="13">
        <v>215.3</v>
      </c>
      <c r="S20" s="13">
        <v>219.7</v>
      </c>
      <c r="T20" s="13">
        <v>225.1</v>
      </c>
      <c r="U20" s="13">
        <v>229.1</v>
      </c>
      <c r="V20" s="13">
        <v>235.6</v>
      </c>
      <c r="W20" s="13">
        <v>239.1</v>
      </c>
      <c r="X20" s="13">
        <v>243.5</v>
      </c>
      <c r="Y20" s="13">
        <v>250.7</v>
      </c>
      <c r="Z20" s="13">
        <v>259.8</v>
      </c>
      <c r="AA20" s="13">
        <v>265.3</v>
      </c>
      <c r="AB20" s="13">
        <v>271.39999999999998</v>
      </c>
      <c r="AC20" s="13">
        <v>276.60000000000002</v>
      </c>
      <c r="AD20" s="13">
        <v>282.89999999999998</v>
      </c>
      <c r="AE20" s="13">
        <v>291.89999999999998</v>
      </c>
      <c r="AF20" s="13">
        <v>297.89999999999998</v>
      </c>
      <c r="AG20" s="13">
        <v>304.3</v>
      </c>
      <c r="AH20" s="14">
        <v>2.5999999999999999E-2</v>
      </c>
    </row>
    <row r="21" spans="1:34" ht="15" customHeight="1">
      <c r="A21" s="11" t="s">
        <v>30</v>
      </c>
      <c r="B21" s="8" t="s">
        <v>31</v>
      </c>
      <c r="C21" s="13">
        <v>97.1</v>
      </c>
      <c r="D21" s="13">
        <v>92.5</v>
      </c>
      <c r="E21" s="13">
        <v>92.9</v>
      </c>
      <c r="F21" s="13">
        <v>92.9</v>
      </c>
      <c r="G21" s="13">
        <v>93</v>
      </c>
      <c r="H21" s="13">
        <v>91.9</v>
      </c>
      <c r="I21" s="13">
        <v>80.7</v>
      </c>
      <c r="J21" s="13">
        <v>78.8</v>
      </c>
      <c r="K21" s="13">
        <v>78.8</v>
      </c>
      <c r="L21" s="13">
        <v>76.8</v>
      </c>
      <c r="M21" s="13">
        <v>76.900000000000006</v>
      </c>
      <c r="N21" s="13">
        <v>77</v>
      </c>
      <c r="O21" s="13">
        <v>77.099999999999994</v>
      </c>
      <c r="P21" s="13">
        <v>76.099999999999994</v>
      </c>
      <c r="Q21" s="13">
        <v>74.099999999999994</v>
      </c>
      <c r="R21" s="13">
        <v>74.3</v>
      </c>
      <c r="S21" s="13">
        <v>73.5</v>
      </c>
      <c r="T21" s="13">
        <v>73.5</v>
      </c>
      <c r="U21" s="13">
        <v>73.599999999999994</v>
      </c>
      <c r="V21" s="13">
        <v>73.599999999999994</v>
      </c>
      <c r="W21" s="13">
        <v>72.400000000000006</v>
      </c>
      <c r="X21" s="13">
        <v>72.599999999999994</v>
      </c>
      <c r="Y21" s="13">
        <v>72.7</v>
      </c>
      <c r="Z21" s="13">
        <v>72.8</v>
      </c>
      <c r="AA21" s="13">
        <v>72.900000000000006</v>
      </c>
      <c r="AB21" s="13">
        <v>73</v>
      </c>
      <c r="AC21" s="13">
        <v>73.099999999999994</v>
      </c>
      <c r="AD21" s="13">
        <v>72.2</v>
      </c>
      <c r="AE21" s="13">
        <v>72.2</v>
      </c>
      <c r="AF21" s="13">
        <v>72.2</v>
      </c>
      <c r="AG21" s="13">
        <v>72.3</v>
      </c>
      <c r="AH21" s="14">
        <v>-0.01</v>
      </c>
    </row>
    <row r="22" spans="1:34" ht="15" customHeight="1">
      <c r="A22" s="11" t="s">
        <v>32</v>
      </c>
      <c r="B22" s="8" t="s">
        <v>33</v>
      </c>
      <c r="C22" s="13">
        <v>22.8</v>
      </c>
      <c r="D22" s="13">
        <v>22.8</v>
      </c>
      <c r="E22" s="13">
        <v>22.8</v>
      </c>
      <c r="F22" s="13">
        <v>22.8</v>
      </c>
      <c r="G22" s="13">
        <v>22.8</v>
      </c>
      <c r="H22" s="13">
        <v>22.8</v>
      </c>
      <c r="I22" s="13">
        <v>22.8</v>
      </c>
      <c r="J22" s="13">
        <v>22.8</v>
      </c>
      <c r="K22" s="13">
        <v>22.8</v>
      </c>
      <c r="L22" s="13">
        <v>22.8</v>
      </c>
      <c r="M22" s="13">
        <v>22.8</v>
      </c>
      <c r="N22" s="13">
        <v>22.8</v>
      </c>
      <c r="O22" s="13">
        <v>22.8</v>
      </c>
      <c r="P22" s="13">
        <v>22.8</v>
      </c>
      <c r="Q22" s="13">
        <v>22.8</v>
      </c>
      <c r="R22" s="13">
        <v>22.8</v>
      </c>
      <c r="S22" s="13">
        <v>22.8</v>
      </c>
      <c r="T22" s="13">
        <v>22.8</v>
      </c>
      <c r="U22" s="13">
        <v>22.8</v>
      </c>
      <c r="V22" s="13">
        <v>22.8</v>
      </c>
      <c r="W22" s="13">
        <v>22.8</v>
      </c>
      <c r="X22" s="13">
        <v>22.8</v>
      </c>
      <c r="Y22" s="13">
        <v>22.8</v>
      </c>
      <c r="Z22" s="13">
        <v>22.8</v>
      </c>
      <c r="AA22" s="13">
        <v>22.8</v>
      </c>
      <c r="AB22" s="13">
        <v>22.8</v>
      </c>
      <c r="AC22" s="13">
        <v>22.8</v>
      </c>
      <c r="AD22" s="13">
        <v>22.8</v>
      </c>
      <c r="AE22" s="13">
        <v>22.8</v>
      </c>
      <c r="AF22" s="13">
        <v>22.8</v>
      </c>
      <c r="AG22" s="13">
        <v>22.8</v>
      </c>
      <c r="AH22" s="14">
        <v>0</v>
      </c>
    </row>
    <row r="23" spans="1:34" ht="15" customHeight="1">
      <c r="A23" s="11" t="s">
        <v>34</v>
      </c>
      <c r="B23" s="8" t="s">
        <v>35</v>
      </c>
      <c r="C23" s="13">
        <v>3.2</v>
      </c>
      <c r="D23" s="13">
        <v>6.9</v>
      </c>
      <c r="E23" s="13">
        <v>8.6</v>
      </c>
      <c r="F23" s="13">
        <v>9.5</v>
      </c>
      <c r="G23" s="13">
        <v>10.199999999999999</v>
      </c>
      <c r="H23" s="13">
        <v>10.6</v>
      </c>
      <c r="I23" s="13">
        <v>11</v>
      </c>
      <c r="J23" s="13">
        <v>11.6</v>
      </c>
      <c r="K23" s="13">
        <v>12</v>
      </c>
      <c r="L23" s="13">
        <v>12.4</v>
      </c>
      <c r="M23" s="13">
        <v>12.8</v>
      </c>
      <c r="N23" s="13">
        <v>12.8</v>
      </c>
      <c r="O23" s="13">
        <v>12.9</v>
      </c>
      <c r="P23" s="13">
        <v>12.9</v>
      </c>
      <c r="Q23" s="13">
        <v>13</v>
      </c>
      <c r="R23" s="13">
        <v>16</v>
      </c>
      <c r="S23" s="13">
        <v>16.100000000000001</v>
      </c>
      <c r="T23" s="13">
        <v>16.100000000000001</v>
      </c>
      <c r="U23" s="13">
        <v>16.100000000000001</v>
      </c>
      <c r="V23" s="13">
        <v>16.100000000000001</v>
      </c>
      <c r="W23" s="13">
        <v>16.399999999999999</v>
      </c>
      <c r="X23" s="13">
        <v>16.600000000000001</v>
      </c>
      <c r="Y23" s="13">
        <v>16.600000000000001</v>
      </c>
      <c r="Z23" s="13">
        <v>17.100000000000001</v>
      </c>
      <c r="AA23" s="13">
        <v>17.399999999999999</v>
      </c>
      <c r="AB23" s="13">
        <v>17.7</v>
      </c>
      <c r="AC23" s="13">
        <v>19.399999999999999</v>
      </c>
      <c r="AD23" s="13">
        <v>19.600000000000001</v>
      </c>
      <c r="AE23" s="13">
        <v>19.899999999999999</v>
      </c>
      <c r="AF23" s="13">
        <v>20.399999999999999</v>
      </c>
      <c r="AG23" s="13">
        <v>20.6</v>
      </c>
      <c r="AH23" s="14">
        <v>6.5000000000000002E-2</v>
      </c>
    </row>
    <row r="24" spans="1:34" ht="15" customHeight="1">
      <c r="A24" s="11" t="s">
        <v>36</v>
      </c>
      <c r="B24" s="8" t="s">
        <v>37</v>
      </c>
      <c r="C24" s="13">
        <v>0.2</v>
      </c>
      <c r="D24" s="13">
        <v>0.2</v>
      </c>
      <c r="E24" s="13">
        <v>0.2</v>
      </c>
      <c r="F24" s="13">
        <v>0.2</v>
      </c>
      <c r="G24" s="13">
        <v>0.2</v>
      </c>
      <c r="H24" s="13">
        <v>0.2</v>
      </c>
      <c r="I24" s="13">
        <v>0.2</v>
      </c>
      <c r="J24" s="13">
        <v>0.2</v>
      </c>
      <c r="K24" s="13">
        <v>0.2</v>
      </c>
      <c r="L24" s="13">
        <v>0.2</v>
      </c>
      <c r="M24" s="13">
        <v>0.2</v>
      </c>
      <c r="N24" s="13">
        <v>0.2</v>
      </c>
      <c r="O24" s="13">
        <v>0.2</v>
      </c>
      <c r="P24" s="13">
        <v>0.2</v>
      </c>
      <c r="Q24" s="13">
        <v>0.2</v>
      </c>
      <c r="R24" s="13">
        <v>0.2</v>
      </c>
      <c r="S24" s="13">
        <v>0.2</v>
      </c>
      <c r="T24" s="13">
        <v>0.2</v>
      </c>
      <c r="U24" s="13">
        <v>0.2</v>
      </c>
      <c r="V24" s="13">
        <v>0.2</v>
      </c>
      <c r="W24" s="13">
        <v>0.2</v>
      </c>
      <c r="X24" s="13">
        <v>0.2</v>
      </c>
      <c r="Y24" s="13">
        <v>0.2</v>
      </c>
      <c r="Z24" s="13">
        <v>0.2</v>
      </c>
      <c r="AA24" s="13">
        <v>0.2</v>
      </c>
      <c r="AB24" s="13">
        <v>0.2</v>
      </c>
      <c r="AC24" s="13">
        <v>0.2</v>
      </c>
      <c r="AD24" s="13">
        <v>0.2</v>
      </c>
      <c r="AE24" s="13">
        <v>0.2</v>
      </c>
      <c r="AF24" s="13">
        <v>0.2</v>
      </c>
      <c r="AG24" s="13">
        <v>0.2</v>
      </c>
      <c r="AH24" s="14">
        <v>4.0000000000000001E-3</v>
      </c>
    </row>
    <row r="25" spans="1:34" ht="15" customHeight="1">
      <c r="A25" s="11" t="s">
        <v>38</v>
      </c>
      <c r="B25" s="8" t="s">
        <v>39</v>
      </c>
      <c r="C25" s="13">
        <v>263.89999999999998</v>
      </c>
      <c r="D25" s="13">
        <v>283.7</v>
      </c>
      <c r="E25" s="13">
        <v>302.7</v>
      </c>
      <c r="F25" s="13">
        <v>335.4</v>
      </c>
      <c r="G25" s="13">
        <v>379.1</v>
      </c>
      <c r="H25" s="13">
        <v>397.7</v>
      </c>
      <c r="I25" s="13">
        <v>418.7</v>
      </c>
      <c r="J25" s="13">
        <v>435.5</v>
      </c>
      <c r="K25" s="13">
        <v>445.5</v>
      </c>
      <c r="L25" s="13">
        <v>460.5</v>
      </c>
      <c r="M25" s="13">
        <v>476.2</v>
      </c>
      <c r="N25" s="13">
        <v>485</v>
      </c>
      <c r="O25" s="13">
        <v>496.5</v>
      </c>
      <c r="P25" s="13">
        <v>507.4</v>
      </c>
      <c r="Q25" s="13">
        <v>520.4</v>
      </c>
      <c r="R25" s="13">
        <v>539.4</v>
      </c>
      <c r="S25" s="13">
        <v>547.1</v>
      </c>
      <c r="T25" s="13">
        <v>555.20000000000005</v>
      </c>
      <c r="U25" s="13">
        <v>564.70000000000005</v>
      </c>
      <c r="V25" s="13">
        <v>570</v>
      </c>
      <c r="W25" s="13">
        <v>576</v>
      </c>
      <c r="X25" s="13">
        <v>587.20000000000005</v>
      </c>
      <c r="Y25" s="13">
        <v>593.29999999999995</v>
      </c>
      <c r="Z25" s="13">
        <v>601</v>
      </c>
      <c r="AA25" s="13">
        <v>610.70000000000005</v>
      </c>
      <c r="AB25" s="13">
        <v>624.70000000000005</v>
      </c>
      <c r="AC25" s="13">
        <v>639.70000000000005</v>
      </c>
      <c r="AD25" s="13">
        <v>655.8</v>
      </c>
      <c r="AE25" s="13">
        <v>664.1</v>
      </c>
      <c r="AF25" s="13">
        <v>676.4</v>
      </c>
      <c r="AG25" s="13">
        <v>688.2</v>
      </c>
      <c r="AH25" s="14">
        <v>3.2000000000000001E-2</v>
      </c>
    </row>
    <row r="26" spans="1:34" ht="15" customHeight="1">
      <c r="A26" s="11" t="s">
        <v>40</v>
      </c>
      <c r="B26" s="8" t="s">
        <v>41</v>
      </c>
      <c r="C26" s="13">
        <v>0</v>
      </c>
      <c r="D26" s="13">
        <v>0</v>
      </c>
      <c r="E26" s="13">
        <v>1.1000000000000001</v>
      </c>
      <c r="F26" s="13">
        <v>1.5</v>
      </c>
      <c r="G26" s="13">
        <v>2</v>
      </c>
      <c r="H26" s="13">
        <v>2.8</v>
      </c>
      <c r="I26" s="13">
        <v>3.3</v>
      </c>
      <c r="J26" s="13">
        <v>3.8</v>
      </c>
      <c r="K26" s="13">
        <v>4.4000000000000004</v>
      </c>
      <c r="L26" s="13">
        <v>5.0999999999999996</v>
      </c>
      <c r="M26" s="13">
        <v>5.8</v>
      </c>
      <c r="N26" s="13">
        <v>6.5</v>
      </c>
      <c r="O26" s="13">
        <v>7.3</v>
      </c>
      <c r="P26" s="13">
        <v>8.1</v>
      </c>
      <c r="Q26" s="13">
        <v>8.9</v>
      </c>
      <c r="R26" s="13">
        <v>9.8000000000000007</v>
      </c>
      <c r="S26" s="13">
        <v>10.9</v>
      </c>
      <c r="T26" s="13">
        <v>12.2</v>
      </c>
      <c r="U26" s="13">
        <v>13.4</v>
      </c>
      <c r="V26" s="13">
        <v>14.7</v>
      </c>
      <c r="W26" s="13">
        <v>16.100000000000001</v>
      </c>
      <c r="X26" s="13">
        <v>17.399999999999999</v>
      </c>
      <c r="Y26" s="13">
        <v>18.899999999999999</v>
      </c>
      <c r="Z26" s="13">
        <v>20.399999999999999</v>
      </c>
      <c r="AA26" s="13">
        <v>22</v>
      </c>
      <c r="AB26" s="13">
        <v>23.6</v>
      </c>
      <c r="AC26" s="13">
        <v>25.3</v>
      </c>
      <c r="AD26" s="13">
        <v>27.1</v>
      </c>
      <c r="AE26" s="13">
        <v>28.9</v>
      </c>
      <c r="AF26" s="13">
        <v>30.9</v>
      </c>
      <c r="AG26" s="13">
        <v>33</v>
      </c>
      <c r="AH26" s="15" t="s">
        <v>42</v>
      </c>
    </row>
    <row r="27" spans="1:34" ht="15" customHeight="1">
      <c r="A27" s="11" t="s">
        <v>43</v>
      </c>
      <c r="B27" s="7" t="s">
        <v>44</v>
      </c>
      <c r="C27" s="17">
        <v>1062.5999999999999</v>
      </c>
      <c r="D27" s="17">
        <v>1090.5999999999999</v>
      </c>
      <c r="E27" s="17">
        <v>1121.9000000000001</v>
      </c>
      <c r="F27" s="17">
        <v>1140.8</v>
      </c>
      <c r="G27" s="17">
        <v>1176.9000000000001</v>
      </c>
      <c r="H27" s="17">
        <v>1180.7</v>
      </c>
      <c r="I27" s="17">
        <v>1199.8</v>
      </c>
      <c r="J27" s="17">
        <v>1219.5</v>
      </c>
      <c r="K27" s="17">
        <v>1232.5</v>
      </c>
      <c r="L27" s="17">
        <v>1248</v>
      </c>
      <c r="M27" s="17">
        <v>1265.2</v>
      </c>
      <c r="N27" s="17">
        <v>1280</v>
      </c>
      <c r="O27" s="17">
        <v>1296.9000000000001</v>
      </c>
      <c r="P27" s="17">
        <v>1312</v>
      </c>
      <c r="Q27" s="17">
        <v>1331.4</v>
      </c>
      <c r="R27" s="17">
        <v>1360.2</v>
      </c>
      <c r="S27" s="17">
        <v>1375.8</v>
      </c>
      <c r="T27" s="17">
        <v>1394.3</v>
      </c>
      <c r="U27" s="17">
        <v>1410</v>
      </c>
      <c r="V27" s="17">
        <v>1424.6</v>
      </c>
      <c r="W27" s="17">
        <v>1440</v>
      </c>
      <c r="X27" s="17">
        <v>1460.1</v>
      </c>
      <c r="Y27" s="17">
        <v>1477.4</v>
      </c>
      <c r="Z27" s="17">
        <v>1502.1</v>
      </c>
      <c r="AA27" s="17">
        <v>1523.3</v>
      </c>
      <c r="AB27" s="17">
        <v>1547.2</v>
      </c>
      <c r="AC27" s="17">
        <v>1573.8</v>
      </c>
      <c r="AD27" s="17">
        <v>1601.3</v>
      </c>
      <c r="AE27" s="17">
        <v>1626.4</v>
      </c>
      <c r="AF27" s="17">
        <v>1654.8</v>
      </c>
      <c r="AG27" s="17">
        <v>1681.5</v>
      </c>
      <c r="AH27" s="18">
        <v>1.4999999999999999E-2</v>
      </c>
    </row>
    <row r="28" spans="1:34" ht="15" customHeight="1">
      <c r="B28" s="7" t="s">
        <v>45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</row>
    <row r="29" spans="1:34" ht="15" customHeight="1">
      <c r="A29" s="11" t="s">
        <v>46</v>
      </c>
      <c r="B29" s="8" t="s">
        <v>47</v>
      </c>
      <c r="C29" s="13">
        <v>1.9</v>
      </c>
      <c r="D29" s="13">
        <v>1.8</v>
      </c>
      <c r="E29" s="13">
        <v>1.8</v>
      </c>
      <c r="F29" s="13">
        <v>1.8</v>
      </c>
      <c r="G29" s="13">
        <v>1.8</v>
      </c>
      <c r="H29" s="13">
        <v>1.8</v>
      </c>
      <c r="I29" s="13">
        <v>1.8</v>
      </c>
      <c r="J29" s="13">
        <v>1.8</v>
      </c>
      <c r="K29" s="13">
        <v>1.8</v>
      </c>
      <c r="L29" s="13">
        <v>1.8</v>
      </c>
      <c r="M29" s="13">
        <v>1.8</v>
      </c>
      <c r="N29" s="13">
        <v>1.8</v>
      </c>
      <c r="O29" s="13">
        <v>1.8</v>
      </c>
      <c r="P29" s="13">
        <v>1.8</v>
      </c>
      <c r="Q29" s="13">
        <v>1.8</v>
      </c>
      <c r="R29" s="13">
        <v>1.8</v>
      </c>
      <c r="S29" s="13">
        <v>1.8</v>
      </c>
      <c r="T29" s="13">
        <v>1.8</v>
      </c>
      <c r="U29" s="13">
        <v>1.8</v>
      </c>
      <c r="V29" s="13">
        <v>1.8</v>
      </c>
      <c r="W29" s="13">
        <v>1.8</v>
      </c>
      <c r="X29" s="13">
        <v>1.8</v>
      </c>
      <c r="Y29" s="13">
        <v>1.8</v>
      </c>
      <c r="Z29" s="13">
        <v>1.8</v>
      </c>
      <c r="AA29" s="13">
        <v>1.8</v>
      </c>
      <c r="AB29" s="13">
        <v>1.8</v>
      </c>
      <c r="AC29" s="13">
        <v>1.8</v>
      </c>
      <c r="AD29" s="13">
        <v>1.8</v>
      </c>
      <c r="AE29" s="13">
        <v>1.8</v>
      </c>
      <c r="AF29" s="13">
        <v>1.8</v>
      </c>
      <c r="AG29" s="13">
        <v>1.8</v>
      </c>
      <c r="AH29" s="14">
        <v>-2E-3</v>
      </c>
    </row>
    <row r="30" spans="1:34" ht="15" customHeight="1">
      <c r="A30" s="11" t="s">
        <v>48</v>
      </c>
      <c r="B30" s="8" t="s">
        <v>49</v>
      </c>
      <c r="C30" s="13">
        <v>0.6</v>
      </c>
      <c r="D30" s="13">
        <v>0.6</v>
      </c>
      <c r="E30" s="13">
        <v>0.6</v>
      </c>
      <c r="F30" s="13">
        <v>0.6</v>
      </c>
      <c r="G30" s="13">
        <v>0.6</v>
      </c>
      <c r="H30" s="13">
        <v>0.6</v>
      </c>
      <c r="I30" s="13">
        <v>0.6</v>
      </c>
      <c r="J30" s="13">
        <v>0.6</v>
      </c>
      <c r="K30" s="13">
        <v>0.6</v>
      </c>
      <c r="L30" s="13">
        <v>0.6</v>
      </c>
      <c r="M30" s="13">
        <v>0.6</v>
      </c>
      <c r="N30" s="13">
        <v>0.6</v>
      </c>
      <c r="O30" s="13">
        <v>0.6</v>
      </c>
      <c r="P30" s="13">
        <v>0.6</v>
      </c>
      <c r="Q30" s="13">
        <v>0.6</v>
      </c>
      <c r="R30" s="13">
        <v>0.6</v>
      </c>
      <c r="S30" s="13">
        <v>0.6</v>
      </c>
      <c r="T30" s="13">
        <v>0.6</v>
      </c>
      <c r="U30" s="13">
        <v>0.6</v>
      </c>
      <c r="V30" s="13">
        <v>0.6</v>
      </c>
      <c r="W30" s="13">
        <v>0.6</v>
      </c>
      <c r="X30" s="13">
        <v>0.6</v>
      </c>
      <c r="Y30" s="13">
        <v>0.6</v>
      </c>
      <c r="Z30" s="13">
        <v>0.6</v>
      </c>
      <c r="AA30" s="13">
        <v>0.6</v>
      </c>
      <c r="AB30" s="13">
        <v>0.6</v>
      </c>
      <c r="AC30" s="13">
        <v>0.6</v>
      </c>
      <c r="AD30" s="13">
        <v>0.6</v>
      </c>
      <c r="AE30" s="13">
        <v>0.6</v>
      </c>
      <c r="AF30" s="13">
        <v>0.6</v>
      </c>
      <c r="AG30" s="13">
        <v>0.6</v>
      </c>
      <c r="AH30" s="14">
        <v>0</v>
      </c>
    </row>
    <row r="31" spans="1:34" ht="15" customHeight="1">
      <c r="A31" s="11" t="s">
        <v>50</v>
      </c>
      <c r="B31" s="8" t="s">
        <v>27</v>
      </c>
      <c r="C31" s="13">
        <v>22</v>
      </c>
      <c r="D31" s="13">
        <v>22</v>
      </c>
      <c r="E31" s="13">
        <v>22</v>
      </c>
      <c r="F31" s="13">
        <v>21.8</v>
      </c>
      <c r="G31" s="13">
        <v>21.8</v>
      </c>
      <c r="H31" s="13">
        <v>21.8</v>
      </c>
      <c r="I31" s="13">
        <v>21.8</v>
      </c>
      <c r="J31" s="13">
        <v>21.8</v>
      </c>
      <c r="K31" s="13">
        <v>21.8</v>
      </c>
      <c r="L31" s="13">
        <v>21.8</v>
      </c>
      <c r="M31" s="13">
        <v>21.8</v>
      </c>
      <c r="N31" s="13">
        <v>21.8</v>
      </c>
      <c r="O31" s="13">
        <v>21.8</v>
      </c>
      <c r="P31" s="13">
        <v>21.8</v>
      </c>
      <c r="Q31" s="13">
        <v>21.8</v>
      </c>
      <c r="R31" s="13">
        <v>21.8</v>
      </c>
      <c r="S31" s="13">
        <v>21.8</v>
      </c>
      <c r="T31" s="13">
        <v>21.8</v>
      </c>
      <c r="U31" s="13">
        <v>21.8</v>
      </c>
      <c r="V31" s="13">
        <v>21.8</v>
      </c>
      <c r="W31" s="13">
        <v>21.8</v>
      </c>
      <c r="X31" s="13">
        <v>21.8</v>
      </c>
      <c r="Y31" s="13">
        <v>21.8</v>
      </c>
      <c r="Z31" s="13">
        <v>21.8</v>
      </c>
      <c r="AA31" s="13">
        <v>21.8</v>
      </c>
      <c r="AB31" s="13">
        <v>21.8</v>
      </c>
      <c r="AC31" s="13">
        <v>21.8</v>
      </c>
      <c r="AD31" s="13">
        <v>21.8</v>
      </c>
      <c r="AE31" s="13">
        <v>21.8</v>
      </c>
      <c r="AF31" s="13">
        <v>21.8</v>
      </c>
      <c r="AG31" s="13">
        <v>21.8</v>
      </c>
      <c r="AH31" s="14">
        <v>0</v>
      </c>
    </row>
    <row r="32" spans="1:34" ht="15" customHeight="1">
      <c r="A32" s="11" t="s">
        <v>51</v>
      </c>
      <c r="B32" s="8" t="s">
        <v>29</v>
      </c>
      <c r="C32" s="13">
        <v>3.1</v>
      </c>
      <c r="D32" s="13">
        <v>3.1</v>
      </c>
      <c r="E32" s="13">
        <v>3.1</v>
      </c>
      <c r="F32" s="13">
        <v>3.1</v>
      </c>
      <c r="G32" s="13">
        <v>3.1</v>
      </c>
      <c r="H32" s="13">
        <v>3.1</v>
      </c>
      <c r="I32" s="13">
        <v>3.1</v>
      </c>
      <c r="J32" s="13">
        <v>3.1</v>
      </c>
      <c r="K32" s="13">
        <v>3.1</v>
      </c>
      <c r="L32" s="13">
        <v>3.1</v>
      </c>
      <c r="M32" s="13">
        <v>3.1</v>
      </c>
      <c r="N32" s="13">
        <v>3.1</v>
      </c>
      <c r="O32" s="13">
        <v>3.1</v>
      </c>
      <c r="P32" s="13">
        <v>3.1</v>
      </c>
      <c r="Q32" s="13">
        <v>3.1</v>
      </c>
      <c r="R32" s="13">
        <v>3.1</v>
      </c>
      <c r="S32" s="13">
        <v>3.1</v>
      </c>
      <c r="T32" s="13">
        <v>3.1</v>
      </c>
      <c r="U32" s="13">
        <v>3.1</v>
      </c>
      <c r="V32" s="13">
        <v>3.1</v>
      </c>
      <c r="W32" s="13">
        <v>3.1</v>
      </c>
      <c r="X32" s="13">
        <v>3.1</v>
      </c>
      <c r="Y32" s="13">
        <v>3.1</v>
      </c>
      <c r="Z32" s="13">
        <v>3.1</v>
      </c>
      <c r="AA32" s="13">
        <v>3.1</v>
      </c>
      <c r="AB32" s="13">
        <v>3.1</v>
      </c>
      <c r="AC32" s="13">
        <v>3.1</v>
      </c>
      <c r="AD32" s="13">
        <v>3.1</v>
      </c>
      <c r="AE32" s="13">
        <v>3.1</v>
      </c>
      <c r="AF32" s="13">
        <v>3.1</v>
      </c>
      <c r="AG32" s="13">
        <v>3.1</v>
      </c>
      <c r="AH32" s="14">
        <v>0</v>
      </c>
    </row>
    <row r="33" spans="1:34" ht="15" customHeight="1">
      <c r="A33" s="11" t="s">
        <v>52</v>
      </c>
      <c r="B33" s="8" t="s">
        <v>39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4">
        <v>0</v>
      </c>
    </row>
    <row r="34" spans="1:34" ht="15" customHeight="1">
      <c r="A34" s="11" t="s">
        <v>53</v>
      </c>
      <c r="B34" s="7" t="s">
        <v>44</v>
      </c>
      <c r="C34" s="16">
        <v>28.6</v>
      </c>
      <c r="D34" s="16">
        <v>28.5</v>
      </c>
      <c r="E34" s="16">
        <v>28.5</v>
      </c>
      <c r="F34" s="16">
        <v>28.3</v>
      </c>
      <c r="G34" s="16">
        <v>28.3</v>
      </c>
      <c r="H34" s="16">
        <v>28.3</v>
      </c>
      <c r="I34" s="16">
        <v>28.3</v>
      </c>
      <c r="J34" s="16">
        <v>28.3</v>
      </c>
      <c r="K34" s="16">
        <v>28.3</v>
      </c>
      <c r="L34" s="16">
        <v>28.3</v>
      </c>
      <c r="M34" s="16">
        <v>28.3</v>
      </c>
      <c r="N34" s="16">
        <v>28.3</v>
      </c>
      <c r="O34" s="16">
        <v>28.3</v>
      </c>
      <c r="P34" s="16">
        <v>28.3</v>
      </c>
      <c r="Q34" s="16">
        <v>28.3</v>
      </c>
      <c r="R34" s="16">
        <v>28.3</v>
      </c>
      <c r="S34" s="16">
        <v>28.3</v>
      </c>
      <c r="T34" s="16">
        <v>28.3</v>
      </c>
      <c r="U34" s="16">
        <v>28.3</v>
      </c>
      <c r="V34" s="16">
        <v>28.3</v>
      </c>
      <c r="W34" s="16">
        <v>28.3</v>
      </c>
      <c r="X34" s="16">
        <v>28.3</v>
      </c>
      <c r="Y34" s="16">
        <v>28.3</v>
      </c>
      <c r="Z34" s="16">
        <v>28.3</v>
      </c>
      <c r="AA34" s="16">
        <v>28.3</v>
      </c>
      <c r="AB34" s="16">
        <v>28.3</v>
      </c>
      <c r="AC34" s="16">
        <v>28.3</v>
      </c>
      <c r="AD34" s="16">
        <v>28.3</v>
      </c>
      <c r="AE34" s="16">
        <v>28.3</v>
      </c>
      <c r="AF34" s="16">
        <v>28.3</v>
      </c>
      <c r="AG34" s="16">
        <v>28.3</v>
      </c>
      <c r="AH34" s="18">
        <v>0</v>
      </c>
    </row>
    <row r="35" spans="1:34" ht="15" customHeight="1"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 spans="1:34" ht="15" customHeight="1">
      <c r="B36" s="7" t="s">
        <v>54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 spans="1:34" ht="15" customHeight="1">
      <c r="A37" s="11" t="s">
        <v>55</v>
      </c>
      <c r="B37" s="8" t="s">
        <v>47</v>
      </c>
      <c r="C37" s="15" t="s">
        <v>42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5" t="s">
        <v>42</v>
      </c>
    </row>
    <row r="38" spans="1:34" ht="15" customHeight="1">
      <c r="A38" s="11" t="s">
        <v>56</v>
      </c>
      <c r="B38" s="8" t="s">
        <v>49</v>
      </c>
      <c r="C38" s="15" t="s">
        <v>42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5" t="s">
        <v>42</v>
      </c>
    </row>
    <row r="39" spans="1:34" ht="15" customHeight="1">
      <c r="A39" s="11" t="s">
        <v>57</v>
      </c>
      <c r="B39" s="8" t="s">
        <v>27</v>
      </c>
      <c r="C39" s="15" t="s">
        <v>42</v>
      </c>
      <c r="D39" s="13">
        <v>3.4</v>
      </c>
      <c r="E39" s="13">
        <v>17</v>
      </c>
      <c r="F39" s="13">
        <v>17</v>
      </c>
      <c r="G39" s="13">
        <v>17</v>
      </c>
      <c r="H39" s="13">
        <v>17</v>
      </c>
      <c r="I39" s="13">
        <v>17</v>
      </c>
      <c r="J39" s="13">
        <v>17</v>
      </c>
      <c r="K39" s="13">
        <v>17</v>
      </c>
      <c r="L39" s="13">
        <v>17</v>
      </c>
      <c r="M39" s="13">
        <v>17</v>
      </c>
      <c r="N39" s="13">
        <v>17</v>
      </c>
      <c r="O39" s="13">
        <v>17</v>
      </c>
      <c r="P39" s="13">
        <v>17</v>
      </c>
      <c r="Q39" s="13">
        <v>17</v>
      </c>
      <c r="R39" s="13">
        <v>17</v>
      </c>
      <c r="S39" s="13">
        <v>17</v>
      </c>
      <c r="T39" s="13">
        <v>17</v>
      </c>
      <c r="U39" s="13">
        <v>17</v>
      </c>
      <c r="V39" s="13">
        <v>17</v>
      </c>
      <c r="W39" s="13">
        <v>17</v>
      </c>
      <c r="X39" s="13">
        <v>17</v>
      </c>
      <c r="Y39" s="13">
        <v>17</v>
      </c>
      <c r="Z39" s="13">
        <v>17</v>
      </c>
      <c r="AA39" s="13">
        <v>17</v>
      </c>
      <c r="AB39" s="13">
        <v>17</v>
      </c>
      <c r="AC39" s="13">
        <v>17</v>
      </c>
      <c r="AD39" s="13">
        <v>17</v>
      </c>
      <c r="AE39" s="13">
        <v>17</v>
      </c>
      <c r="AF39" s="13">
        <v>17</v>
      </c>
      <c r="AG39" s="13">
        <v>17</v>
      </c>
      <c r="AH39" s="15" t="s">
        <v>42</v>
      </c>
    </row>
    <row r="40" spans="1:34" ht="15" customHeight="1">
      <c r="A40" s="11" t="s">
        <v>58</v>
      </c>
      <c r="B40" s="8" t="s">
        <v>29</v>
      </c>
      <c r="C40" s="15" t="s">
        <v>42</v>
      </c>
      <c r="D40" s="13">
        <v>3.3</v>
      </c>
      <c r="E40" s="13">
        <v>4</v>
      </c>
      <c r="F40" s="13">
        <v>4</v>
      </c>
      <c r="G40" s="13">
        <v>4.5</v>
      </c>
      <c r="H40" s="13">
        <v>4.5</v>
      </c>
      <c r="I40" s="13">
        <v>4.5</v>
      </c>
      <c r="J40" s="13">
        <v>4.5</v>
      </c>
      <c r="K40" s="13">
        <v>4.5</v>
      </c>
      <c r="L40" s="13">
        <v>4.5</v>
      </c>
      <c r="M40" s="13">
        <v>4.5</v>
      </c>
      <c r="N40" s="13">
        <v>4.5</v>
      </c>
      <c r="O40" s="13">
        <v>4.5</v>
      </c>
      <c r="P40" s="13">
        <v>4.5</v>
      </c>
      <c r="Q40" s="13">
        <v>4.5</v>
      </c>
      <c r="R40" s="13">
        <v>4.5</v>
      </c>
      <c r="S40" s="13">
        <v>4.5</v>
      </c>
      <c r="T40" s="13">
        <v>4.5</v>
      </c>
      <c r="U40" s="13">
        <v>4.5</v>
      </c>
      <c r="V40" s="13">
        <v>4.5</v>
      </c>
      <c r="W40" s="13">
        <v>4.5</v>
      </c>
      <c r="X40" s="13">
        <v>4.5</v>
      </c>
      <c r="Y40" s="13">
        <v>4.5</v>
      </c>
      <c r="Z40" s="13">
        <v>4.5</v>
      </c>
      <c r="AA40" s="13">
        <v>4.5</v>
      </c>
      <c r="AB40" s="13">
        <v>4.5</v>
      </c>
      <c r="AC40" s="13">
        <v>4.5</v>
      </c>
      <c r="AD40" s="13">
        <v>4.5</v>
      </c>
      <c r="AE40" s="13">
        <v>4.5</v>
      </c>
      <c r="AF40" s="13">
        <v>4.5</v>
      </c>
      <c r="AG40" s="13">
        <v>4.5</v>
      </c>
      <c r="AH40" s="15" t="s">
        <v>42</v>
      </c>
    </row>
    <row r="41" spans="1:34" ht="15" customHeight="1">
      <c r="A41" s="11" t="s">
        <v>59</v>
      </c>
      <c r="B41" s="8" t="s">
        <v>60</v>
      </c>
      <c r="C41" s="15" t="s">
        <v>42</v>
      </c>
      <c r="D41" s="13">
        <v>1.1000000000000001</v>
      </c>
      <c r="E41" s="13">
        <v>2.2000000000000002</v>
      </c>
      <c r="F41" s="13">
        <v>2.2000000000000002</v>
      </c>
      <c r="G41" s="13">
        <v>2.2000000000000002</v>
      </c>
      <c r="H41" s="13">
        <v>2.2000000000000002</v>
      </c>
      <c r="I41" s="13">
        <v>2.2000000000000002</v>
      </c>
      <c r="J41" s="13">
        <v>2.2000000000000002</v>
      </c>
      <c r="K41" s="13">
        <v>2.2000000000000002</v>
      </c>
      <c r="L41" s="13">
        <v>2.2000000000000002</v>
      </c>
      <c r="M41" s="13">
        <v>2.2000000000000002</v>
      </c>
      <c r="N41" s="13">
        <v>2.2000000000000002</v>
      </c>
      <c r="O41" s="13">
        <v>2.2000000000000002</v>
      </c>
      <c r="P41" s="13">
        <v>2.2000000000000002</v>
      </c>
      <c r="Q41" s="13">
        <v>2.2000000000000002</v>
      </c>
      <c r="R41" s="13">
        <v>2.2000000000000002</v>
      </c>
      <c r="S41" s="13">
        <v>2.2000000000000002</v>
      </c>
      <c r="T41" s="13">
        <v>2.2000000000000002</v>
      </c>
      <c r="U41" s="13">
        <v>2.2000000000000002</v>
      </c>
      <c r="V41" s="13">
        <v>2.2000000000000002</v>
      </c>
      <c r="W41" s="13">
        <v>2.2000000000000002</v>
      </c>
      <c r="X41" s="13">
        <v>2.2000000000000002</v>
      </c>
      <c r="Y41" s="13">
        <v>2.2000000000000002</v>
      </c>
      <c r="Z41" s="13">
        <v>2.2000000000000002</v>
      </c>
      <c r="AA41" s="13">
        <v>2.2000000000000002</v>
      </c>
      <c r="AB41" s="13">
        <v>2.2000000000000002</v>
      </c>
      <c r="AC41" s="13">
        <v>2.2000000000000002</v>
      </c>
      <c r="AD41" s="13">
        <v>2.2000000000000002</v>
      </c>
      <c r="AE41" s="13">
        <v>2.2000000000000002</v>
      </c>
      <c r="AF41" s="13">
        <v>2.2000000000000002</v>
      </c>
      <c r="AG41" s="13">
        <v>2.2000000000000002</v>
      </c>
      <c r="AH41" s="15" t="s">
        <v>42</v>
      </c>
    </row>
    <row r="42" spans="1:34" ht="15" customHeight="1">
      <c r="A42" s="11" t="s">
        <v>61</v>
      </c>
      <c r="B42" s="8" t="s">
        <v>33</v>
      </c>
      <c r="C42" s="15" t="s">
        <v>42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5" t="s">
        <v>42</v>
      </c>
    </row>
    <row r="43" spans="1:34" ht="15" customHeight="1">
      <c r="A43" s="11" t="s">
        <v>62</v>
      </c>
      <c r="B43" s="8" t="s">
        <v>35</v>
      </c>
      <c r="C43" s="15" t="s">
        <v>42</v>
      </c>
      <c r="D43" s="13">
        <v>3.8</v>
      </c>
      <c r="E43" s="13">
        <v>5.5</v>
      </c>
      <c r="F43" s="13">
        <v>6.4</v>
      </c>
      <c r="G43" s="13">
        <v>7</v>
      </c>
      <c r="H43" s="13">
        <v>7.5</v>
      </c>
      <c r="I43" s="13">
        <v>7.9</v>
      </c>
      <c r="J43" s="13">
        <v>8.3000000000000007</v>
      </c>
      <c r="K43" s="13">
        <v>8.6999999999999993</v>
      </c>
      <c r="L43" s="13">
        <v>9.1</v>
      </c>
      <c r="M43" s="13">
        <v>9.5</v>
      </c>
      <c r="N43" s="13">
        <v>9.5</v>
      </c>
      <c r="O43" s="13">
        <v>9.5</v>
      </c>
      <c r="P43" s="13">
        <v>9.5</v>
      </c>
      <c r="Q43" s="13">
        <v>9.5</v>
      </c>
      <c r="R43" s="13">
        <v>12.5</v>
      </c>
      <c r="S43" s="13">
        <v>12.5</v>
      </c>
      <c r="T43" s="13">
        <v>12.5</v>
      </c>
      <c r="U43" s="13">
        <v>12.5</v>
      </c>
      <c r="V43" s="13">
        <v>12.5</v>
      </c>
      <c r="W43" s="13">
        <v>12.7</v>
      </c>
      <c r="X43" s="13">
        <v>12.7</v>
      </c>
      <c r="Y43" s="13">
        <v>12.7</v>
      </c>
      <c r="Z43" s="13">
        <v>12.7</v>
      </c>
      <c r="AA43" s="13">
        <v>12.7</v>
      </c>
      <c r="AB43" s="13">
        <v>13</v>
      </c>
      <c r="AC43" s="13">
        <v>13</v>
      </c>
      <c r="AD43" s="13">
        <v>13</v>
      </c>
      <c r="AE43" s="13">
        <v>13</v>
      </c>
      <c r="AF43" s="13">
        <v>13</v>
      </c>
      <c r="AG43" s="13">
        <v>13</v>
      </c>
      <c r="AH43" s="15" t="s">
        <v>42</v>
      </c>
    </row>
    <row r="44" spans="1:34" ht="15" customHeight="1">
      <c r="A44" s="11" t="s">
        <v>63</v>
      </c>
      <c r="B44" s="8" t="s">
        <v>37</v>
      </c>
      <c r="C44" s="15" t="s">
        <v>42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5" t="s">
        <v>42</v>
      </c>
    </row>
    <row r="45" spans="1:34" ht="15" customHeight="1">
      <c r="A45" s="11" t="s">
        <v>64</v>
      </c>
      <c r="B45" s="8" t="s">
        <v>39</v>
      </c>
      <c r="C45" s="15" t="s">
        <v>42</v>
      </c>
      <c r="D45" s="13">
        <v>19.7</v>
      </c>
      <c r="E45" s="13">
        <v>29.9</v>
      </c>
      <c r="F45" s="13">
        <v>32.9</v>
      </c>
      <c r="G45" s="13">
        <v>33.4</v>
      </c>
      <c r="H45" s="13">
        <v>33.4</v>
      </c>
      <c r="I45" s="13">
        <v>33.4</v>
      </c>
      <c r="J45" s="13">
        <v>33.4</v>
      </c>
      <c r="K45" s="13">
        <v>35.4</v>
      </c>
      <c r="L45" s="13">
        <v>35.4</v>
      </c>
      <c r="M45" s="13">
        <v>42.5</v>
      </c>
      <c r="N45" s="13">
        <v>42.5</v>
      </c>
      <c r="O45" s="13">
        <v>42.5</v>
      </c>
      <c r="P45" s="13">
        <v>42.5</v>
      </c>
      <c r="Q45" s="13">
        <v>47.7</v>
      </c>
      <c r="R45" s="13">
        <v>55.9</v>
      </c>
      <c r="S45" s="13">
        <v>55.9</v>
      </c>
      <c r="T45" s="13">
        <v>55.9</v>
      </c>
      <c r="U45" s="13">
        <v>55.9</v>
      </c>
      <c r="V45" s="13">
        <v>55.9</v>
      </c>
      <c r="W45" s="13">
        <v>55.9</v>
      </c>
      <c r="X45" s="13">
        <v>55.9</v>
      </c>
      <c r="Y45" s="13">
        <v>55.9</v>
      </c>
      <c r="Z45" s="13">
        <v>55.9</v>
      </c>
      <c r="AA45" s="13">
        <v>55.9</v>
      </c>
      <c r="AB45" s="13">
        <v>55.9</v>
      </c>
      <c r="AC45" s="13">
        <v>55.9</v>
      </c>
      <c r="AD45" s="13">
        <v>55.9</v>
      </c>
      <c r="AE45" s="13">
        <v>55.9</v>
      </c>
      <c r="AF45" s="13">
        <v>55.9</v>
      </c>
      <c r="AG45" s="13">
        <v>55.9</v>
      </c>
      <c r="AH45" s="15" t="s">
        <v>42</v>
      </c>
    </row>
    <row r="46" spans="1:34" ht="15" customHeight="1">
      <c r="A46" s="11" t="s">
        <v>65</v>
      </c>
      <c r="B46" s="8" t="s">
        <v>66</v>
      </c>
      <c r="C46" s="15" t="s">
        <v>42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5" t="s">
        <v>42</v>
      </c>
    </row>
    <row r="47" spans="1:34" ht="15" customHeight="1">
      <c r="A47" s="11" t="s">
        <v>67</v>
      </c>
      <c r="B47" s="7" t="s">
        <v>44</v>
      </c>
      <c r="C47" s="20" t="s">
        <v>42</v>
      </c>
      <c r="D47" s="16">
        <v>31.2</v>
      </c>
      <c r="E47" s="16">
        <v>58.7</v>
      </c>
      <c r="F47" s="16">
        <v>62.5</v>
      </c>
      <c r="G47" s="16">
        <v>64.2</v>
      </c>
      <c r="H47" s="16">
        <v>64.7</v>
      </c>
      <c r="I47" s="16">
        <v>65.099999999999994</v>
      </c>
      <c r="J47" s="16">
        <v>65.5</v>
      </c>
      <c r="K47" s="16">
        <v>67.900000000000006</v>
      </c>
      <c r="L47" s="16">
        <v>68.3</v>
      </c>
      <c r="M47" s="16">
        <v>75.8</v>
      </c>
      <c r="N47" s="16">
        <v>75.8</v>
      </c>
      <c r="O47" s="16">
        <v>75.8</v>
      </c>
      <c r="P47" s="16">
        <v>75.8</v>
      </c>
      <c r="Q47" s="16">
        <v>81</v>
      </c>
      <c r="R47" s="16">
        <v>92.2</v>
      </c>
      <c r="S47" s="16">
        <v>92.2</v>
      </c>
      <c r="T47" s="16">
        <v>92.2</v>
      </c>
      <c r="U47" s="16">
        <v>92.2</v>
      </c>
      <c r="V47" s="16">
        <v>92.2</v>
      </c>
      <c r="W47" s="16">
        <v>92.4</v>
      </c>
      <c r="X47" s="16">
        <v>92.4</v>
      </c>
      <c r="Y47" s="16">
        <v>92.4</v>
      </c>
      <c r="Z47" s="16">
        <v>92.4</v>
      </c>
      <c r="AA47" s="16">
        <v>92.4</v>
      </c>
      <c r="AB47" s="16">
        <v>92.7</v>
      </c>
      <c r="AC47" s="16">
        <v>92.7</v>
      </c>
      <c r="AD47" s="16">
        <v>92.7</v>
      </c>
      <c r="AE47" s="16">
        <v>92.7</v>
      </c>
      <c r="AF47" s="16">
        <v>92.7</v>
      </c>
      <c r="AG47" s="16">
        <v>92.7</v>
      </c>
      <c r="AH47" s="20" t="s">
        <v>42</v>
      </c>
    </row>
    <row r="48" spans="1:34" ht="15" customHeight="1">
      <c r="B48" s="7" t="s">
        <v>68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15" customHeight="1">
      <c r="A49" s="11" t="s">
        <v>69</v>
      </c>
      <c r="B49" s="8" t="s">
        <v>47</v>
      </c>
      <c r="C49" s="15" t="s">
        <v>42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5" t="s">
        <v>42</v>
      </c>
    </row>
    <row r="50" spans="1:34" ht="15" customHeight="1">
      <c r="A50" s="11" t="s">
        <v>70</v>
      </c>
      <c r="B50" s="8" t="s">
        <v>49</v>
      </c>
      <c r="C50" s="15" t="s">
        <v>42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5" t="s">
        <v>42</v>
      </c>
    </row>
    <row r="51" spans="1:34" ht="15" customHeight="1">
      <c r="A51" s="11" t="s">
        <v>71</v>
      </c>
      <c r="B51" s="8" t="s">
        <v>27</v>
      </c>
      <c r="C51" s="15" t="s">
        <v>42</v>
      </c>
      <c r="D51" s="13">
        <v>0</v>
      </c>
      <c r="E51" s="13">
        <v>0</v>
      </c>
      <c r="F51" s="13">
        <v>4.8</v>
      </c>
      <c r="G51" s="13">
        <v>10</v>
      </c>
      <c r="H51" s="13">
        <v>25.5</v>
      </c>
      <c r="I51" s="13">
        <v>38.1</v>
      </c>
      <c r="J51" s="13">
        <v>44.3</v>
      </c>
      <c r="K51" s="13">
        <v>47.7</v>
      </c>
      <c r="L51" s="13">
        <v>50.7</v>
      </c>
      <c r="M51" s="13">
        <v>52.4</v>
      </c>
      <c r="N51" s="13">
        <v>58.3</v>
      </c>
      <c r="O51" s="13">
        <v>62.8</v>
      </c>
      <c r="P51" s="13">
        <v>66.3</v>
      </c>
      <c r="Q51" s="13">
        <v>70.2</v>
      </c>
      <c r="R51" s="13">
        <v>74.400000000000006</v>
      </c>
      <c r="S51" s="13">
        <v>77.599999999999994</v>
      </c>
      <c r="T51" s="13">
        <v>81.7</v>
      </c>
      <c r="U51" s="13">
        <v>86.4</v>
      </c>
      <c r="V51" s="13">
        <v>89.3</v>
      </c>
      <c r="W51" s="13">
        <v>94.7</v>
      </c>
      <c r="X51" s="13">
        <v>98.1</v>
      </c>
      <c r="Y51" s="13">
        <v>101</v>
      </c>
      <c r="Z51" s="13">
        <v>106.8</v>
      </c>
      <c r="AA51" s="13">
        <v>111.3</v>
      </c>
      <c r="AB51" s="13">
        <v>116.4</v>
      </c>
      <c r="AC51" s="13">
        <v>120</v>
      </c>
      <c r="AD51" s="13">
        <v>124.6</v>
      </c>
      <c r="AE51" s="13">
        <v>130.30000000000001</v>
      </c>
      <c r="AF51" s="13">
        <v>138</v>
      </c>
      <c r="AG51" s="13">
        <v>144.19999999999999</v>
      </c>
      <c r="AH51" s="15" t="s">
        <v>42</v>
      </c>
    </row>
    <row r="52" spans="1:34" ht="15" customHeight="1">
      <c r="A52" s="11" t="s">
        <v>72</v>
      </c>
      <c r="B52" s="8" t="s">
        <v>29</v>
      </c>
      <c r="C52" s="15" t="s">
        <v>42</v>
      </c>
      <c r="D52" s="13">
        <v>8.1</v>
      </c>
      <c r="E52" s="13">
        <v>13.5</v>
      </c>
      <c r="F52" s="13">
        <v>20</v>
      </c>
      <c r="G52" s="13">
        <v>24.3</v>
      </c>
      <c r="H52" s="13">
        <v>36.5</v>
      </c>
      <c r="I52" s="13">
        <v>41.5</v>
      </c>
      <c r="J52" s="13">
        <v>46.8</v>
      </c>
      <c r="K52" s="13">
        <v>49.9</v>
      </c>
      <c r="L52" s="13">
        <v>52.9</v>
      </c>
      <c r="M52" s="13">
        <v>55.5</v>
      </c>
      <c r="N52" s="13">
        <v>59.3</v>
      </c>
      <c r="O52" s="13">
        <v>61.6</v>
      </c>
      <c r="P52" s="13">
        <v>64.599999999999994</v>
      </c>
      <c r="Q52" s="13">
        <v>69.3</v>
      </c>
      <c r="R52" s="13">
        <v>73.900000000000006</v>
      </c>
      <c r="S52" s="13">
        <v>78.3</v>
      </c>
      <c r="T52" s="13">
        <v>83.7</v>
      </c>
      <c r="U52" s="13">
        <v>87.7</v>
      </c>
      <c r="V52" s="13">
        <v>94.2</v>
      </c>
      <c r="W52" s="13">
        <v>97.7</v>
      </c>
      <c r="X52" s="13">
        <v>102.3</v>
      </c>
      <c r="Y52" s="13">
        <v>109.6</v>
      </c>
      <c r="Z52" s="13">
        <v>118.6</v>
      </c>
      <c r="AA52" s="13">
        <v>124.1</v>
      </c>
      <c r="AB52" s="13">
        <v>130.30000000000001</v>
      </c>
      <c r="AC52" s="13">
        <v>135.5</v>
      </c>
      <c r="AD52" s="13">
        <v>141.80000000000001</v>
      </c>
      <c r="AE52" s="13">
        <v>150.9</v>
      </c>
      <c r="AF52" s="13">
        <v>156.80000000000001</v>
      </c>
      <c r="AG52" s="13">
        <v>163.19999999999999</v>
      </c>
      <c r="AH52" s="15" t="s">
        <v>42</v>
      </c>
    </row>
    <row r="53" spans="1:34" ht="15" customHeight="1">
      <c r="A53" s="11" t="s">
        <v>73</v>
      </c>
      <c r="B53" s="8" t="s">
        <v>60</v>
      </c>
      <c r="C53" s="15" t="s">
        <v>42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5" t="s">
        <v>42</v>
      </c>
    </row>
    <row r="54" spans="1:34" ht="15" customHeight="1">
      <c r="A54" s="11" t="s">
        <v>74</v>
      </c>
      <c r="B54" s="8" t="s">
        <v>33</v>
      </c>
      <c r="C54" s="15" t="s">
        <v>42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5" t="s">
        <v>42</v>
      </c>
    </row>
    <row r="55" spans="1:34" ht="15" customHeight="1">
      <c r="A55" s="11" t="s">
        <v>75</v>
      </c>
      <c r="B55" s="8" t="s">
        <v>35</v>
      </c>
      <c r="C55" s="15" t="s">
        <v>42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0.1</v>
      </c>
      <c r="K55" s="13">
        <v>0.1</v>
      </c>
      <c r="L55" s="13">
        <v>0.1</v>
      </c>
      <c r="M55" s="13">
        <v>0.1</v>
      </c>
      <c r="N55" s="13">
        <v>0.1</v>
      </c>
      <c r="O55" s="13">
        <v>0.2</v>
      </c>
      <c r="P55" s="13">
        <v>0.2</v>
      </c>
      <c r="Q55" s="13">
        <v>0.3</v>
      </c>
      <c r="R55" s="13">
        <v>0.4</v>
      </c>
      <c r="S55" s="13">
        <v>0.5</v>
      </c>
      <c r="T55" s="13">
        <v>0.5</v>
      </c>
      <c r="U55" s="13">
        <v>0.5</v>
      </c>
      <c r="V55" s="13">
        <v>0.5</v>
      </c>
      <c r="W55" s="13">
        <v>0.6</v>
      </c>
      <c r="X55" s="13">
        <v>0.7</v>
      </c>
      <c r="Y55" s="13">
        <v>0.7</v>
      </c>
      <c r="Z55" s="13">
        <v>1.3</v>
      </c>
      <c r="AA55" s="13">
        <v>1.6</v>
      </c>
      <c r="AB55" s="13">
        <v>1.6</v>
      </c>
      <c r="AC55" s="13">
        <v>3.3</v>
      </c>
      <c r="AD55" s="13">
        <v>3.5</v>
      </c>
      <c r="AE55" s="13">
        <v>3.8</v>
      </c>
      <c r="AF55" s="13">
        <v>4.3</v>
      </c>
      <c r="AG55" s="13">
        <v>4.5</v>
      </c>
      <c r="AH55" s="15" t="s">
        <v>42</v>
      </c>
    </row>
    <row r="56" spans="1:34" ht="15" customHeight="1">
      <c r="A56" s="11" t="s">
        <v>76</v>
      </c>
      <c r="B56" s="8" t="s">
        <v>37</v>
      </c>
      <c r="C56" s="15" t="s">
        <v>42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5" t="s">
        <v>42</v>
      </c>
    </row>
    <row r="57" spans="1:34" ht="15" customHeight="1">
      <c r="A57" s="11" t="s">
        <v>77</v>
      </c>
      <c r="B57" s="8" t="s">
        <v>39</v>
      </c>
      <c r="C57" s="15" t="s">
        <v>42</v>
      </c>
      <c r="D57" s="13">
        <v>0.1</v>
      </c>
      <c r="E57" s="13">
        <v>8.9</v>
      </c>
      <c r="F57" s="13">
        <v>38.700000000000003</v>
      </c>
      <c r="G57" s="13">
        <v>81.8</v>
      </c>
      <c r="H57" s="13">
        <v>100.4</v>
      </c>
      <c r="I57" s="13">
        <v>121.4</v>
      </c>
      <c r="J57" s="13">
        <v>138.19999999999999</v>
      </c>
      <c r="K57" s="13">
        <v>146.4</v>
      </c>
      <c r="L57" s="13">
        <v>161.5</v>
      </c>
      <c r="M57" s="13">
        <v>170.1</v>
      </c>
      <c r="N57" s="13">
        <v>178.8</v>
      </c>
      <c r="O57" s="13">
        <v>190.4</v>
      </c>
      <c r="P57" s="13">
        <v>201.3</v>
      </c>
      <c r="Q57" s="13">
        <v>209.1</v>
      </c>
      <c r="R57" s="13">
        <v>219.9</v>
      </c>
      <c r="S57" s="13">
        <v>227.6</v>
      </c>
      <c r="T57" s="13">
        <v>235.7</v>
      </c>
      <c r="U57" s="13">
        <v>245.2</v>
      </c>
      <c r="V57" s="13">
        <v>250.4</v>
      </c>
      <c r="W57" s="13">
        <v>256.5</v>
      </c>
      <c r="X57" s="13">
        <v>267.7</v>
      </c>
      <c r="Y57" s="13">
        <v>273.8</v>
      </c>
      <c r="Z57" s="13">
        <v>281.5</v>
      </c>
      <c r="AA57" s="13">
        <v>291.2</v>
      </c>
      <c r="AB57" s="13">
        <v>305.2</v>
      </c>
      <c r="AC57" s="13">
        <v>320.2</v>
      </c>
      <c r="AD57" s="13">
        <v>336.4</v>
      </c>
      <c r="AE57" s="13">
        <v>344.7</v>
      </c>
      <c r="AF57" s="13">
        <v>357</v>
      </c>
      <c r="AG57" s="13">
        <v>368.8</v>
      </c>
      <c r="AH57" s="15" t="s">
        <v>42</v>
      </c>
    </row>
    <row r="58" spans="1:34" ht="15" customHeight="1">
      <c r="A58" s="11" t="s">
        <v>78</v>
      </c>
      <c r="B58" s="8" t="s">
        <v>66</v>
      </c>
      <c r="C58" s="15" t="s">
        <v>42</v>
      </c>
      <c r="D58" s="13">
        <v>0</v>
      </c>
      <c r="E58" s="13">
        <v>1.1000000000000001</v>
      </c>
      <c r="F58" s="13">
        <v>1.5</v>
      </c>
      <c r="G58" s="13">
        <v>2</v>
      </c>
      <c r="H58" s="13">
        <v>2.8</v>
      </c>
      <c r="I58" s="13">
        <v>3.3</v>
      </c>
      <c r="J58" s="13">
        <v>3.8</v>
      </c>
      <c r="K58" s="13">
        <v>4.4000000000000004</v>
      </c>
      <c r="L58" s="13">
        <v>5.0999999999999996</v>
      </c>
      <c r="M58" s="13">
        <v>5.8</v>
      </c>
      <c r="N58" s="13">
        <v>6.5</v>
      </c>
      <c r="O58" s="13">
        <v>7.3</v>
      </c>
      <c r="P58" s="13">
        <v>8.1</v>
      </c>
      <c r="Q58" s="13">
        <v>8.9</v>
      </c>
      <c r="R58" s="13">
        <v>9.8000000000000007</v>
      </c>
      <c r="S58" s="13">
        <v>10.9</v>
      </c>
      <c r="T58" s="13">
        <v>12.2</v>
      </c>
      <c r="U58" s="13">
        <v>13.4</v>
      </c>
      <c r="V58" s="13">
        <v>14.7</v>
      </c>
      <c r="W58" s="13">
        <v>16.100000000000001</v>
      </c>
      <c r="X58" s="13">
        <v>17.399999999999999</v>
      </c>
      <c r="Y58" s="13">
        <v>18.899999999999999</v>
      </c>
      <c r="Z58" s="13">
        <v>20.399999999999999</v>
      </c>
      <c r="AA58" s="13">
        <v>22</v>
      </c>
      <c r="AB58" s="13">
        <v>23.6</v>
      </c>
      <c r="AC58" s="13">
        <v>25.3</v>
      </c>
      <c r="AD58" s="13">
        <v>27.1</v>
      </c>
      <c r="AE58" s="13">
        <v>28.9</v>
      </c>
      <c r="AF58" s="13">
        <v>30.9</v>
      </c>
      <c r="AG58" s="13">
        <v>33</v>
      </c>
      <c r="AH58" s="15" t="s">
        <v>42</v>
      </c>
    </row>
    <row r="59" spans="1:34" ht="15" customHeight="1">
      <c r="A59" s="11" t="s">
        <v>79</v>
      </c>
      <c r="B59" s="7" t="s">
        <v>44</v>
      </c>
      <c r="C59" s="20" t="s">
        <v>42</v>
      </c>
      <c r="D59" s="16">
        <v>8.1999999999999993</v>
      </c>
      <c r="E59" s="16">
        <v>23.5</v>
      </c>
      <c r="F59" s="16">
        <v>65</v>
      </c>
      <c r="G59" s="16">
        <v>118.1</v>
      </c>
      <c r="H59" s="16">
        <v>165.2</v>
      </c>
      <c r="I59" s="16">
        <v>204.3</v>
      </c>
      <c r="J59" s="16">
        <v>233.2</v>
      </c>
      <c r="K59" s="16">
        <v>248.6</v>
      </c>
      <c r="L59" s="16">
        <v>270.3</v>
      </c>
      <c r="M59" s="16">
        <v>283.89999999999998</v>
      </c>
      <c r="N59" s="16">
        <v>303</v>
      </c>
      <c r="O59" s="16">
        <v>322.39999999999998</v>
      </c>
      <c r="P59" s="16">
        <v>340.4</v>
      </c>
      <c r="Q59" s="16">
        <v>357.8</v>
      </c>
      <c r="R59" s="16">
        <v>378.5</v>
      </c>
      <c r="S59" s="16">
        <v>394.9</v>
      </c>
      <c r="T59" s="16">
        <v>413.8</v>
      </c>
      <c r="U59" s="16">
        <v>433.2</v>
      </c>
      <c r="V59" s="16">
        <v>449.2</v>
      </c>
      <c r="W59" s="16">
        <v>465.6</v>
      </c>
      <c r="X59" s="16">
        <v>486.2</v>
      </c>
      <c r="Y59" s="16">
        <v>504</v>
      </c>
      <c r="Z59" s="16">
        <v>528.6</v>
      </c>
      <c r="AA59" s="16">
        <v>550.20000000000005</v>
      </c>
      <c r="AB59" s="16">
        <v>577.20000000000005</v>
      </c>
      <c r="AC59" s="16">
        <v>604.29999999999995</v>
      </c>
      <c r="AD59" s="16">
        <v>633.29999999999995</v>
      </c>
      <c r="AE59" s="16">
        <v>658.6</v>
      </c>
      <c r="AF59" s="16">
        <v>687</v>
      </c>
      <c r="AG59" s="16">
        <v>713.7</v>
      </c>
      <c r="AH59" s="20" t="s">
        <v>42</v>
      </c>
    </row>
    <row r="60" spans="1:34" ht="15" customHeight="1">
      <c r="A60" s="11" t="s">
        <v>80</v>
      </c>
      <c r="B60" s="7" t="s">
        <v>81</v>
      </c>
      <c r="C60" s="20" t="s">
        <v>42</v>
      </c>
      <c r="D60" s="16">
        <v>39.4</v>
      </c>
      <c r="E60" s="16">
        <v>82.2</v>
      </c>
      <c r="F60" s="16">
        <v>127.5</v>
      </c>
      <c r="G60" s="16">
        <v>182.3</v>
      </c>
      <c r="H60" s="16">
        <v>229.9</v>
      </c>
      <c r="I60" s="16">
        <v>269.39999999999998</v>
      </c>
      <c r="J60" s="16">
        <v>298.60000000000002</v>
      </c>
      <c r="K60" s="16">
        <v>316.5</v>
      </c>
      <c r="L60" s="16">
        <v>338.6</v>
      </c>
      <c r="M60" s="16">
        <v>359.7</v>
      </c>
      <c r="N60" s="16">
        <v>378.8</v>
      </c>
      <c r="O60" s="16">
        <v>398.2</v>
      </c>
      <c r="P60" s="16">
        <v>416.2</v>
      </c>
      <c r="Q60" s="16">
        <v>438.8</v>
      </c>
      <c r="R60" s="16">
        <v>470.6</v>
      </c>
      <c r="S60" s="16">
        <v>487</v>
      </c>
      <c r="T60" s="16">
        <v>506</v>
      </c>
      <c r="U60" s="16">
        <v>525.4</v>
      </c>
      <c r="V60" s="16">
        <v>541.29999999999995</v>
      </c>
      <c r="W60" s="16">
        <v>558</v>
      </c>
      <c r="X60" s="16">
        <v>578.70000000000005</v>
      </c>
      <c r="Y60" s="16">
        <v>596.4</v>
      </c>
      <c r="Z60" s="16">
        <v>621</v>
      </c>
      <c r="AA60" s="16">
        <v>642.6</v>
      </c>
      <c r="AB60" s="16">
        <v>669.9</v>
      </c>
      <c r="AC60" s="16">
        <v>697</v>
      </c>
      <c r="AD60" s="16">
        <v>726</v>
      </c>
      <c r="AE60" s="16">
        <v>751.3</v>
      </c>
      <c r="AF60" s="16">
        <v>779.7</v>
      </c>
      <c r="AG60" s="16">
        <v>806.3</v>
      </c>
      <c r="AH60" s="20" t="s">
        <v>42</v>
      </c>
    </row>
    <row r="61" spans="1:34" ht="15" customHeight="1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 ht="15" customHeight="1">
      <c r="B62" s="7" t="s">
        <v>82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 ht="15" customHeight="1">
      <c r="A63" s="11" t="s">
        <v>83</v>
      </c>
      <c r="B63" s="8" t="s">
        <v>47</v>
      </c>
      <c r="C63" s="15" t="s">
        <v>42</v>
      </c>
      <c r="D63" s="13">
        <v>4.5</v>
      </c>
      <c r="E63" s="13">
        <v>9.1999999999999993</v>
      </c>
      <c r="F63" s="13">
        <v>29.1</v>
      </c>
      <c r="G63" s="13">
        <v>40.200000000000003</v>
      </c>
      <c r="H63" s="13">
        <v>78.099999999999994</v>
      </c>
      <c r="I63" s="13">
        <v>82.5</v>
      </c>
      <c r="J63" s="13">
        <v>88.5</v>
      </c>
      <c r="K63" s="13">
        <v>91.1</v>
      </c>
      <c r="L63" s="13">
        <v>93.6</v>
      </c>
      <c r="M63" s="13">
        <v>96.1</v>
      </c>
      <c r="N63" s="13">
        <v>97.6</v>
      </c>
      <c r="O63" s="13">
        <v>99.6</v>
      </c>
      <c r="P63" s="13">
        <v>100.8</v>
      </c>
      <c r="Q63" s="13">
        <v>101.4</v>
      </c>
      <c r="R63" s="13">
        <v>103.6</v>
      </c>
      <c r="S63" s="13">
        <v>103.6</v>
      </c>
      <c r="T63" s="13">
        <v>103.9</v>
      </c>
      <c r="U63" s="13">
        <v>107</v>
      </c>
      <c r="V63" s="13">
        <v>107.8</v>
      </c>
      <c r="W63" s="13">
        <v>107.8</v>
      </c>
      <c r="X63" s="13">
        <v>108.1</v>
      </c>
      <c r="Y63" s="13">
        <v>108.1</v>
      </c>
      <c r="Z63" s="13">
        <v>108.1</v>
      </c>
      <c r="AA63" s="13">
        <v>108.1</v>
      </c>
      <c r="AB63" s="13">
        <v>110.6</v>
      </c>
      <c r="AC63" s="13">
        <v>110.6</v>
      </c>
      <c r="AD63" s="13">
        <v>111.1</v>
      </c>
      <c r="AE63" s="13">
        <v>111.1</v>
      </c>
      <c r="AF63" s="13">
        <v>111.1</v>
      </c>
      <c r="AG63" s="13">
        <v>111.1</v>
      </c>
      <c r="AH63" s="15" t="s">
        <v>42</v>
      </c>
    </row>
    <row r="64" spans="1:34" ht="15" customHeight="1">
      <c r="A64" s="11" t="s">
        <v>84</v>
      </c>
      <c r="B64" s="8" t="s">
        <v>49</v>
      </c>
      <c r="C64" s="15" t="s">
        <v>42</v>
      </c>
      <c r="D64" s="13">
        <v>1.2</v>
      </c>
      <c r="E64" s="13">
        <v>6</v>
      </c>
      <c r="F64" s="13">
        <v>10.7</v>
      </c>
      <c r="G64" s="13">
        <v>16.5</v>
      </c>
      <c r="H64" s="13">
        <v>19.7</v>
      </c>
      <c r="I64" s="13">
        <v>24</v>
      </c>
      <c r="J64" s="13">
        <v>24.5</v>
      </c>
      <c r="K64" s="13">
        <v>26.5</v>
      </c>
      <c r="L64" s="13">
        <v>28.5</v>
      </c>
      <c r="M64" s="13">
        <v>29</v>
      </c>
      <c r="N64" s="13">
        <v>30.7</v>
      </c>
      <c r="O64" s="13">
        <v>30.9</v>
      </c>
      <c r="P64" s="13">
        <v>31.8</v>
      </c>
      <c r="Q64" s="13">
        <v>32.299999999999997</v>
      </c>
      <c r="R64" s="13">
        <v>33.299999999999997</v>
      </c>
      <c r="S64" s="13">
        <v>33.299999999999997</v>
      </c>
      <c r="T64" s="13">
        <v>33.4</v>
      </c>
      <c r="U64" s="13">
        <v>33.4</v>
      </c>
      <c r="V64" s="13">
        <v>33.4</v>
      </c>
      <c r="W64" s="13">
        <v>33.4</v>
      </c>
      <c r="X64" s="13">
        <v>33.4</v>
      </c>
      <c r="Y64" s="13">
        <v>33.4</v>
      </c>
      <c r="Z64" s="13">
        <v>33.4</v>
      </c>
      <c r="AA64" s="13">
        <v>33.5</v>
      </c>
      <c r="AB64" s="13">
        <v>33.5</v>
      </c>
      <c r="AC64" s="13">
        <v>33.5</v>
      </c>
      <c r="AD64" s="13">
        <v>33.5</v>
      </c>
      <c r="AE64" s="13">
        <v>33.5</v>
      </c>
      <c r="AF64" s="13">
        <v>33.5</v>
      </c>
      <c r="AG64" s="13">
        <v>33.5</v>
      </c>
      <c r="AH64" s="15" t="s">
        <v>42</v>
      </c>
    </row>
    <row r="65" spans="1:34" ht="15" customHeight="1">
      <c r="A65" s="11" t="s">
        <v>85</v>
      </c>
      <c r="B65" s="8" t="s">
        <v>27</v>
      </c>
      <c r="C65" s="15" t="s">
        <v>42</v>
      </c>
      <c r="D65" s="13">
        <v>0.1</v>
      </c>
      <c r="E65" s="13">
        <v>1.1000000000000001</v>
      </c>
      <c r="F65" s="13">
        <v>2.7</v>
      </c>
      <c r="G65" s="13">
        <v>3.8</v>
      </c>
      <c r="H65" s="13">
        <v>5.4</v>
      </c>
      <c r="I65" s="13">
        <v>5.5</v>
      </c>
      <c r="J65" s="13">
        <v>5.9</v>
      </c>
      <c r="K65" s="13">
        <v>6</v>
      </c>
      <c r="L65" s="13">
        <v>6</v>
      </c>
      <c r="M65" s="13">
        <v>6.6</v>
      </c>
      <c r="N65" s="13">
        <v>7.9</v>
      </c>
      <c r="O65" s="13">
        <v>7.9</v>
      </c>
      <c r="P65" s="13">
        <v>7.9</v>
      </c>
      <c r="Q65" s="13">
        <v>7.9</v>
      </c>
      <c r="R65" s="13">
        <v>7.9</v>
      </c>
      <c r="S65" s="13">
        <v>7.9</v>
      </c>
      <c r="T65" s="13">
        <v>7.9</v>
      </c>
      <c r="U65" s="13">
        <v>8.6</v>
      </c>
      <c r="V65" s="13">
        <v>9.1</v>
      </c>
      <c r="W65" s="13">
        <v>9.3000000000000007</v>
      </c>
      <c r="X65" s="13">
        <v>9.4</v>
      </c>
      <c r="Y65" s="13">
        <v>10</v>
      </c>
      <c r="Z65" s="13">
        <v>10</v>
      </c>
      <c r="AA65" s="13">
        <v>10.3</v>
      </c>
      <c r="AB65" s="13">
        <v>11.2</v>
      </c>
      <c r="AC65" s="13">
        <v>11.8</v>
      </c>
      <c r="AD65" s="13">
        <v>11.8</v>
      </c>
      <c r="AE65" s="13">
        <v>12.1</v>
      </c>
      <c r="AF65" s="13">
        <v>12.1</v>
      </c>
      <c r="AG65" s="13">
        <v>12.1</v>
      </c>
      <c r="AH65" s="15" t="s">
        <v>42</v>
      </c>
    </row>
    <row r="66" spans="1:34" ht="15" customHeight="1">
      <c r="A66" s="11" t="s">
        <v>86</v>
      </c>
      <c r="B66" s="8" t="s">
        <v>29</v>
      </c>
      <c r="C66" s="15" t="s">
        <v>42</v>
      </c>
      <c r="D66" s="13">
        <v>0</v>
      </c>
      <c r="E66" s="13">
        <v>0.1</v>
      </c>
      <c r="F66" s="13">
        <v>0.7</v>
      </c>
      <c r="G66" s="13">
        <v>1.2</v>
      </c>
      <c r="H66" s="13">
        <v>1.3</v>
      </c>
      <c r="I66" s="13">
        <v>1.9</v>
      </c>
      <c r="J66" s="13">
        <v>2.5</v>
      </c>
      <c r="K66" s="13">
        <v>2.5</v>
      </c>
      <c r="L66" s="13">
        <v>2.5</v>
      </c>
      <c r="M66" s="13">
        <v>2.9</v>
      </c>
      <c r="N66" s="13">
        <v>2.9</v>
      </c>
      <c r="O66" s="13">
        <v>3.1</v>
      </c>
      <c r="P66" s="13">
        <v>3.1</v>
      </c>
      <c r="Q66" s="13">
        <v>3.1</v>
      </c>
      <c r="R66" s="13">
        <v>3.1</v>
      </c>
      <c r="S66" s="13">
        <v>3.1</v>
      </c>
      <c r="T66" s="13">
        <v>3.1</v>
      </c>
      <c r="U66" s="13">
        <v>3.1</v>
      </c>
      <c r="V66" s="13">
        <v>3.1</v>
      </c>
      <c r="W66" s="13">
        <v>3.1</v>
      </c>
      <c r="X66" s="13">
        <v>3.3</v>
      </c>
      <c r="Y66" s="13">
        <v>3.4</v>
      </c>
      <c r="Z66" s="13">
        <v>3.4</v>
      </c>
      <c r="AA66" s="13">
        <v>3.4</v>
      </c>
      <c r="AB66" s="13">
        <v>3.5</v>
      </c>
      <c r="AC66" s="13">
        <v>3.5</v>
      </c>
      <c r="AD66" s="13">
        <v>3.5</v>
      </c>
      <c r="AE66" s="13">
        <v>3.5</v>
      </c>
      <c r="AF66" s="13">
        <v>3.5</v>
      </c>
      <c r="AG66" s="13">
        <v>3.5</v>
      </c>
      <c r="AH66" s="15" t="s">
        <v>42</v>
      </c>
    </row>
    <row r="67" spans="1:34" ht="15" customHeight="1">
      <c r="A67" s="11" t="s">
        <v>87</v>
      </c>
      <c r="B67" s="8" t="s">
        <v>60</v>
      </c>
      <c r="C67" s="15" t="s">
        <v>42</v>
      </c>
      <c r="D67" s="13">
        <v>5.7</v>
      </c>
      <c r="E67" s="13">
        <v>6.5</v>
      </c>
      <c r="F67" s="13">
        <v>6.5</v>
      </c>
      <c r="G67" s="13">
        <v>6.5</v>
      </c>
      <c r="H67" s="13">
        <v>7.6</v>
      </c>
      <c r="I67" s="13">
        <v>18.899999999999999</v>
      </c>
      <c r="J67" s="13">
        <v>20.8</v>
      </c>
      <c r="K67" s="13">
        <v>20.8</v>
      </c>
      <c r="L67" s="13">
        <v>22.9</v>
      </c>
      <c r="M67" s="13">
        <v>22.9</v>
      </c>
      <c r="N67" s="13">
        <v>22.9</v>
      </c>
      <c r="O67" s="13">
        <v>22.9</v>
      </c>
      <c r="P67" s="13">
        <v>23.9</v>
      </c>
      <c r="Q67" s="13">
        <v>26.1</v>
      </c>
      <c r="R67" s="13">
        <v>26.1</v>
      </c>
      <c r="S67" s="13">
        <v>27</v>
      </c>
      <c r="T67" s="13">
        <v>27</v>
      </c>
      <c r="U67" s="13">
        <v>27</v>
      </c>
      <c r="V67" s="13">
        <v>27</v>
      </c>
      <c r="W67" s="13">
        <v>28.1</v>
      </c>
      <c r="X67" s="13">
        <v>28.1</v>
      </c>
      <c r="Y67" s="13">
        <v>28.1</v>
      </c>
      <c r="Z67" s="13">
        <v>28.1</v>
      </c>
      <c r="AA67" s="13">
        <v>28.1</v>
      </c>
      <c r="AB67" s="13">
        <v>28.1</v>
      </c>
      <c r="AC67" s="13">
        <v>28.1</v>
      </c>
      <c r="AD67" s="13">
        <v>29.1</v>
      </c>
      <c r="AE67" s="13">
        <v>29.1</v>
      </c>
      <c r="AF67" s="13">
        <v>29.1</v>
      </c>
      <c r="AG67" s="13">
        <v>29.1</v>
      </c>
      <c r="AH67" s="15" t="s">
        <v>42</v>
      </c>
    </row>
    <row r="68" spans="1:34" ht="15" customHeight="1">
      <c r="A68" s="11" t="s">
        <v>88</v>
      </c>
      <c r="B68" s="8" t="s">
        <v>33</v>
      </c>
      <c r="C68" s="15" t="s">
        <v>42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5" t="s">
        <v>42</v>
      </c>
    </row>
    <row r="69" spans="1:34" ht="15" customHeight="1">
      <c r="A69" s="11" t="s">
        <v>89</v>
      </c>
      <c r="B69" s="8" t="s">
        <v>35</v>
      </c>
      <c r="C69" s="15" t="s">
        <v>42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5" t="s">
        <v>42</v>
      </c>
    </row>
    <row r="70" spans="1:34" ht="15" customHeight="1">
      <c r="A70" s="11" t="s">
        <v>90</v>
      </c>
      <c r="B70" s="8" t="s">
        <v>37</v>
      </c>
      <c r="C70" s="15" t="s">
        <v>42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5" t="s">
        <v>42</v>
      </c>
    </row>
    <row r="71" spans="1:34" ht="15" customHeight="1">
      <c r="A71" s="11" t="s">
        <v>91</v>
      </c>
      <c r="B71" s="8" t="s">
        <v>39</v>
      </c>
      <c r="C71" s="15" t="s">
        <v>42</v>
      </c>
      <c r="D71" s="13">
        <v>0</v>
      </c>
      <c r="E71" s="13">
        <v>0</v>
      </c>
      <c r="F71" s="13">
        <v>0</v>
      </c>
      <c r="G71" s="13">
        <v>0.1</v>
      </c>
      <c r="H71" s="13">
        <v>0.1</v>
      </c>
      <c r="I71" s="13">
        <v>0.1</v>
      </c>
      <c r="J71" s="13">
        <v>0.1</v>
      </c>
      <c r="K71" s="13">
        <v>0.2</v>
      </c>
      <c r="L71" s="13">
        <v>0.3</v>
      </c>
      <c r="M71" s="13">
        <v>0.3</v>
      </c>
      <c r="N71" s="13">
        <v>0.3</v>
      </c>
      <c r="O71" s="13">
        <v>0.3</v>
      </c>
      <c r="P71" s="13">
        <v>0.3</v>
      </c>
      <c r="Q71" s="13">
        <v>0.3</v>
      </c>
      <c r="R71" s="13">
        <v>0.3</v>
      </c>
      <c r="S71" s="13">
        <v>0.3</v>
      </c>
      <c r="T71" s="13">
        <v>0.3</v>
      </c>
      <c r="U71" s="13">
        <v>0.3</v>
      </c>
      <c r="V71" s="13">
        <v>0.3</v>
      </c>
      <c r="W71" s="13">
        <v>0.3</v>
      </c>
      <c r="X71" s="13">
        <v>0.3</v>
      </c>
      <c r="Y71" s="13">
        <v>0.3</v>
      </c>
      <c r="Z71" s="13">
        <v>0.3</v>
      </c>
      <c r="AA71" s="13">
        <v>0.4</v>
      </c>
      <c r="AB71" s="13">
        <v>0.4</v>
      </c>
      <c r="AC71" s="13">
        <v>0.4</v>
      </c>
      <c r="AD71" s="13">
        <v>0.4</v>
      </c>
      <c r="AE71" s="13">
        <v>0.4</v>
      </c>
      <c r="AF71" s="13">
        <v>0.4</v>
      </c>
      <c r="AG71" s="13">
        <v>0.4</v>
      </c>
      <c r="AH71" s="15" t="s">
        <v>42</v>
      </c>
    </row>
    <row r="72" spans="1:34" ht="15" customHeight="1">
      <c r="A72" s="11" t="s">
        <v>92</v>
      </c>
      <c r="B72" s="7" t="s">
        <v>44</v>
      </c>
      <c r="C72" s="20" t="s">
        <v>42</v>
      </c>
      <c r="D72" s="16">
        <v>11.5</v>
      </c>
      <c r="E72" s="16">
        <v>23</v>
      </c>
      <c r="F72" s="16">
        <v>49.7</v>
      </c>
      <c r="G72" s="16">
        <v>68.400000000000006</v>
      </c>
      <c r="H72" s="16">
        <v>112.2</v>
      </c>
      <c r="I72" s="16">
        <v>132.69999999999999</v>
      </c>
      <c r="J72" s="16">
        <v>142.30000000000001</v>
      </c>
      <c r="K72" s="16">
        <v>147.1</v>
      </c>
      <c r="L72" s="16">
        <v>153.69999999999999</v>
      </c>
      <c r="M72" s="16">
        <v>157.80000000000001</v>
      </c>
      <c r="N72" s="16">
        <v>162.30000000000001</v>
      </c>
      <c r="O72" s="16">
        <v>164.7</v>
      </c>
      <c r="P72" s="16">
        <v>167.8</v>
      </c>
      <c r="Q72" s="16">
        <v>171.1</v>
      </c>
      <c r="R72" s="16">
        <v>174.2</v>
      </c>
      <c r="S72" s="16">
        <v>175.2</v>
      </c>
      <c r="T72" s="16">
        <v>175.6</v>
      </c>
      <c r="U72" s="16">
        <v>179.4</v>
      </c>
      <c r="V72" s="16">
        <v>180.7</v>
      </c>
      <c r="W72" s="16">
        <v>182.1</v>
      </c>
      <c r="X72" s="16">
        <v>182.8</v>
      </c>
      <c r="Y72" s="16">
        <v>183.4</v>
      </c>
      <c r="Z72" s="16">
        <v>183.4</v>
      </c>
      <c r="AA72" s="16">
        <v>183.8</v>
      </c>
      <c r="AB72" s="16">
        <v>187.3</v>
      </c>
      <c r="AC72" s="16">
        <v>187.9</v>
      </c>
      <c r="AD72" s="16">
        <v>189.4</v>
      </c>
      <c r="AE72" s="16">
        <v>189.7</v>
      </c>
      <c r="AF72" s="16">
        <v>189.7</v>
      </c>
      <c r="AG72" s="16">
        <v>189.7</v>
      </c>
      <c r="AH72" s="20" t="s">
        <v>42</v>
      </c>
    </row>
    <row r="73" spans="1:34" ht="15" customHeight="1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 ht="15" customHeight="1">
      <c r="A74" s="11" t="s">
        <v>93</v>
      </c>
      <c r="B74" s="7" t="s">
        <v>94</v>
      </c>
      <c r="C74" s="17">
        <v>1091.2</v>
      </c>
      <c r="D74" s="17">
        <v>1119.0999999999999</v>
      </c>
      <c r="E74" s="17">
        <v>1150.5</v>
      </c>
      <c r="F74" s="17">
        <v>1169.0999999999999</v>
      </c>
      <c r="G74" s="17">
        <v>1205.2</v>
      </c>
      <c r="H74" s="17">
        <v>1209.0999999999999</v>
      </c>
      <c r="I74" s="17">
        <v>1228.0999999999999</v>
      </c>
      <c r="J74" s="17">
        <v>1247.8</v>
      </c>
      <c r="K74" s="17">
        <v>1260.8</v>
      </c>
      <c r="L74" s="17">
        <v>1276.3</v>
      </c>
      <c r="M74" s="17">
        <v>1293.5</v>
      </c>
      <c r="N74" s="17">
        <v>1308.3</v>
      </c>
      <c r="O74" s="17">
        <v>1325.3</v>
      </c>
      <c r="P74" s="17">
        <v>1340.3</v>
      </c>
      <c r="Q74" s="17">
        <v>1359.8</v>
      </c>
      <c r="R74" s="17">
        <v>1388.6</v>
      </c>
      <c r="S74" s="17">
        <v>1404.1</v>
      </c>
      <c r="T74" s="17">
        <v>1422.7</v>
      </c>
      <c r="U74" s="17">
        <v>1438.3</v>
      </c>
      <c r="V74" s="17">
        <v>1453</v>
      </c>
      <c r="W74" s="17">
        <v>1468.3</v>
      </c>
      <c r="X74" s="17">
        <v>1488.5</v>
      </c>
      <c r="Y74" s="17">
        <v>1505.7</v>
      </c>
      <c r="Z74" s="17">
        <v>1530.4</v>
      </c>
      <c r="AA74" s="17">
        <v>1551.6</v>
      </c>
      <c r="AB74" s="17">
        <v>1575.5</v>
      </c>
      <c r="AC74" s="17">
        <v>1602.1</v>
      </c>
      <c r="AD74" s="17">
        <v>1629.7</v>
      </c>
      <c r="AE74" s="17">
        <v>1654.7</v>
      </c>
      <c r="AF74" s="17">
        <v>1683.1</v>
      </c>
      <c r="AG74" s="17">
        <v>1709.9</v>
      </c>
      <c r="AH74" s="18">
        <v>1.4999999999999999E-2</v>
      </c>
    </row>
    <row r="75" spans="1:34" ht="15" customHeight="1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 ht="15" customHeight="1">
      <c r="B76" s="7" t="s">
        <v>95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 ht="15" customHeight="1">
      <c r="A77" s="11" t="s">
        <v>96</v>
      </c>
      <c r="B77" s="8" t="s">
        <v>47</v>
      </c>
      <c r="C77" s="13">
        <v>1.9</v>
      </c>
      <c r="D77" s="13">
        <v>1.9</v>
      </c>
      <c r="E77" s="13">
        <v>1.9</v>
      </c>
      <c r="F77" s="13">
        <v>1.9</v>
      </c>
      <c r="G77" s="13">
        <v>1.9</v>
      </c>
      <c r="H77" s="13">
        <v>1.9</v>
      </c>
      <c r="I77" s="13">
        <v>1.9</v>
      </c>
      <c r="J77" s="13">
        <v>1.9</v>
      </c>
      <c r="K77" s="13">
        <v>1.9</v>
      </c>
      <c r="L77" s="13">
        <v>1.9</v>
      </c>
      <c r="M77" s="13">
        <v>1.9</v>
      </c>
      <c r="N77" s="13">
        <v>1.9</v>
      </c>
      <c r="O77" s="13">
        <v>1.9</v>
      </c>
      <c r="P77" s="13">
        <v>1.9</v>
      </c>
      <c r="Q77" s="13">
        <v>1.9</v>
      </c>
      <c r="R77" s="13">
        <v>1.9</v>
      </c>
      <c r="S77" s="13">
        <v>1.9</v>
      </c>
      <c r="T77" s="13">
        <v>1.9</v>
      </c>
      <c r="U77" s="13">
        <v>1.9</v>
      </c>
      <c r="V77" s="13">
        <v>1.9</v>
      </c>
      <c r="W77" s="13">
        <v>1.9</v>
      </c>
      <c r="X77" s="13">
        <v>1.9</v>
      </c>
      <c r="Y77" s="13">
        <v>1.9</v>
      </c>
      <c r="Z77" s="13">
        <v>1.9</v>
      </c>
      <c r="AA77" s="13">
        <v>1.9</v>
      </c>
      <c r="AB77" s="13">
        <v>1.9</v>
      </c>
      <c r="AC77" s="13">
        <v>1.9</v>
      </c>
      <c r="AD77" s="13">
        <v>1.8</v>
      </c>
      <c r="AE77" s="13">
        <v>1.8</v>
      </c>
      <c r="AF77" s="13">
        <v>1.8</v>
      </c>
      <c r="AG77" s="13">
        <v>1.8</v>
      </c>
      <c r="AH77" s="14">
        <v>-2E-3</v>
      </c>
    </row>
    <row r="78" spans="1:34" ht="15" customHeight="1">
      <c r="A78" s="11" t="s">
        <v>97</v>
      </c>
      <c r="B78" s="8" t="s">
        <v>98</v>
      </c>
      <c r="C78" s="13">
        <v>0.6</v>
      </c>
      <c r="D78" s="13">
        <v>0.6</v>
      </c>
      <c r="E78" s="13">
        <v>0.6</v>
      </c>
      <c r="F78" s="13">
        <v>0.6</v>
      </c>
      <c r="G78" s="13">
        <v>0.6</v>
      </c>
      <c r="H78" s="13">
        <v>0.6</v>
      </c>
      <c r="I78" s="13">
        <v>0.6</v>
      </c>
      <c r="J78" s="13">
        <v>0.6</v>
      </c>
      <c r="K78" s="13">
        <v>0.6</v>
      </c>
      <c r="L78" s="13">
        <v>0.6</v>
      </c>
      <c r="M78" s="13">
        <v>0.6</v>
      </c>
      <c r="N78" s="13">
        <v>0.6</v>
      </c>
      <c r="O78" s="13">
        <v>0.6</v>
      </c>
      <c r="P78" s="13">
        <v>0.6</v>
      </c>
      <c r="Q78" s="13">
        <v>0.6</v>
      </c>
      <c r="R78" s="13">
        <v>0.6</v>
      </c>
      <c r="S78" s="13">
        <v>0.6</v>
      </c>
      <c r="T78" s="13">
        <v>0.6</v>
      </c>
      <c r="U78" s="13">
        <v>0.6</v>
      </c>
      <c r="V78" s="13">
        <v>0.6</v>
      </c>
      <c r="W78" s="13">
        <v>0.6</v>
      </c>
      <c r="X78" s="13">
        <v>0.6</v>
      </c>
      <c r="Y78" s="13">
        <v>0.6</v>
      </c>
      <c r="Z78" s="13">
        <v>0.6</v>
      </c>
      <c r="AA78" s="13">
        <v>0.6</v>
      </c>
      <c r="AB78" s="13">
        <v>0.6</v>
      </c>
      <c r="AC78" s="13">
        <v>0.6</v>
      </c>
      <c r="AD78" s="13">
        <v>0.6</v>
      </c>
      <c r="AE78" s="13">
        <v>0.6</v>
      </c>
      <c r="AF78" s="13">
        <v>0.6</v>
      </c>
      <c r="AG78" s="13">
        <v>0.6</v>
      </c>
      <c r="AH78" s="14">
        <v>0</v>
      </c>
    </row>
    <row r="79" spans="1:34" ht="15" customHeight="1">
      <c r="A79" s="11" t="s">
        <v>99</v>
      </c>
      <c r="B79" s="8" t="s">
        <v>100</v>
      </c>
      <c r="C79" s="13">
        <v>17.8</v>
      </c>
      <c r="D79" s="13">
        <v>18.399999999999999</v>
      </c>
      <c r="E79" s="13">
        <v>18.7</v>
      </c>
      <c r="F79" s="13">
        <v>19</v>
      </c>
      <c r="G79" s="13">
        <v>19.3</v>
      </c>
      <c r="H79" s="13">
        <v>19.600000000000001</v>
      </c>
      <c r="I79" s="13">
        <v>19.899999999999999</v>
      </c>
      <c r="J79" s="13">
        <v>20.2</v>
      </c>
      <c r="K79" s="13">
        <v>20.5</v>
      </c>
      <c r="L79" s="13">
        <v>20.9</v>
      </c>
      <c r="M79" s="13">
        <v>21.2</v>
      </c>
      <c r="N79" s="13">
        <v>21.5</v>
      </c>
      <c r="O79" s="13">
        <v>21.8</v>
      </c>
      <c r="P79" s="13">
        <v>22.1</v>
      </c>
      <c r="Q79" s="13">
        <v>22.5</v>
      </c>
      <c r="R79" s="13">
        <v>22.8</v>
      </c>
      <c r="S79" s="13">
        <v>23.2</v>
      </c>
      <c r="T79" s="13">
        <v>23.5</v>
      </c>
      <c r="U79" s="13">
        <v>23.9</v>
      </c>
      <c r="V79" s="13">
        <v>24.3</v>
      </c>
      <c r="W79" s="13">
        <v>24.7</v>
      </c>
      <c r="X79" s="13">
        <v>25.1</v>
      </c>
      <c r="Y79" s="13">
        <v>25.5</v>
      </c>
      <c r="Z79" s="13">
        <v>26</v>
      </c>
      <c r="AA79" s="13">
        <v>26.5</v>
      </c>
      <c r="AB79" s="13">
        <v>27.1</v>
      </c>
      <c r="AC79" s="13">
        <v>27.7</v>
      </c>
      <c r="AD79" s="13">
        <v>28.4</v>
      </c>
      <c r="AE79" s="13">
        <v>29.1</v>
      </c>
      <c r="AF79" s="13">
        <v>29.9</v>
      </c>
      <c r="AG79" s="13">
        <v>30.8</v>
      </c>
      <c r="AH79" s="14">
        <v>1.7999999999999999E-2</v>
      </c>
    </row>
    <row r="80" spans="1:34" ht="15" customHeight="1">
      <c r="A80" s="11" t="s">
        <v>101</v>
      </c>
      <c r="B80" s="8" t="s">
        <v>102</v>
      </c>
      <c r="C80" s="13">
        <v>2.8</v>
      </c>
      <c r="D80" s="13">
        <v>2.9</v>
      </c>
      <c r="E80" s="13">
        <v>2.9</v>
      </c>
      <c r="F80" s="13">
        <v>2.9</v>
      </c>
      <c r="G80" s="13">
        <v>2.9</v>
      </c>
      <c r="H80" s="13">
        <v>2.9</v>
      </c>
      <c r="I80" s="13">
        <v>2.9</v>
      </c>
      <c r="J80" s="13">
        <v>2.9</v>
      </c>
      <c r="K80" s="13">
        <v>2.9</v>
      </c>
      <c r="L80" s="13">
        <v>2.9</v>
      </c>
      <c r="M80" s="13">
        <v>2.9</v>
      </c>
      <c r="N80" s="13">
        <v>2.9</v>
      </c>
      <c r="O80" s="13">
        <v>2.9</v>
      </c>
      <c r="P80" s="13">
        <v>2.9</v>
      </c>
      <c r="Q80" s="13">
        <v>2.9</v>
      </c>
      <c r="R80" s="13">
        <v>2.9</v>
      </c>
      <c r="S80" s="13">
        <v>2.9</v>
      </c>
      <c r="T80" s="13">
        <v>2.9</v>
      </c>
      <c r="U80" s="13">
        <v>2.9</v>
      </c>
      <c r="V80" s="13">
        <v>2.9</v>
      </c>
      <c r="W80" s="13">
        <v>2.9</v>
      </c>
      <c r="X80" s="13">
        <v>2.9</v>
      </c>
      <c r="Y80" s="13">
        <v>2.9</v>
      </c>
      <c r="Z80" s="13">
        <v>2.9</v>
      </c>
      <c r="AA80" s="13">
        <v>2.9</v>
      </c>
      <c r="AB80" s="13">
        <v>2.9</v>
      </c>
      <c r="AC80" s="13">
        <v>2.9</v>
      </c>
      <c r="AD80" s="13">
        <v>2.9</v>
      </c>
      <c r="AE80" s="13">
        <v>2.9</v>
      </c>
      <c r="AF80" s="13">
        <v>2.9</v>
      </c>
      <c r="AG80" s="13">
        <v>2.9</v>
      </c>
      <c r="AH80" s="14">
        <v>1E-3</v>
      </c>
    </row>
    <row r="81" spans="1:34" ht="15" customHeight="1">
      <c r="A81" s="11" t="s">
        <v>103</v>
      </c>
      <c r="B81" s="8" t="s">
        <v>39</v>
      </c>
      <c r="C81" s="13">
        <v>40.200000000000003</v>
      </c>
      <c r="D81" s="13">
        <v>45.8</v>
      </c>
      <c r="E81" s="13">
        <v>50.2</v>
      </c>
      <c r="F81" s="13">
        <v>53.6</v>
      </c>
      <c r="G81" s="13">
        <v>57</v>
      </c>
      <c r="H81" s="13">
        <v>61.1</v>
      </c>
      <c r="I81" s="13">
        <v>65</v>
      </c>
      <c r="J81" s="13">
        <v>69.5</v>
      </c>
      <c r="K81" s="13">
        <v>73.3</v>
      </c>
      <c r="L81" s="13">
        <v>77.2</v>
      </c>
      <c r="M81" s="13">
        <v>80.599999999999994</v>
      </c>
      <c r="N81" s="13">
        <v>84.7</v>
      </c>
      <c r="O81" s="13">
        <v>87.9</v>
      </c>
      <c r="P81" s="13">
        <v>92.4</v>
      </c>
      <c r="Q81" s="13">
        <v>96</v>
      </c>
      <c r="R81" s="13">
        <v>100.7</v>
      </c>
      <c r="S81" s="13">
        <v>105.5</v>
      </c>
      <c r="T81" s="13">
        <v>109.7</v>
      </c>
      <c r="U81" s="13">
        <v>114</v>
      </c>
      <c r="V81" s="13">
        <v>118.4</v>
      </c>
      <c r="W81" s="13">
        <v>123.1</v>
      </c>
      <c r="X81" s="13">
        <v>127.9</v>
      </c>
      <c r="Y81" s="13">
        <v>133.1</v>
      </c>
      <c r="Z81" s="13">
        <v>137</v>
      </c>
      <c r="AA81" s="13">
        <v>142.1</v>
      </c>
      <c r="AB81" s="13">
        <v>147</v>
      </c>
      <c r="AC81" s="13">
        <v>152.30000000000001</v>
      </c>
      <c r="AD81" s="13">
        <v>157.9</v>
      </c>
      <c r="AE81" s="13">
        <v>163.1</v>
      </c>
      <c r="AF81" s="13">
        <v>167.8</v>
      </c>
      <c r="AG81" s="13">
        <v>172.7</v>
      </c>
      <c r="AH81" s="14">
        <v>0.05</v>
      </c>
    </row>
    <row r="82" spans="1:34" ht="15" customHeight="1">
      <c r="A82" s="11" t="s">
        <v>104</v>
      </c>
      <c r="B82" s="8" t="s">
        <v>105</v>
      </c>
      <c r="C82" s="13">
        <v>0.6</v>
      </c>
      <c r="D82" s="13">
        <v>0.6</v>
      </c>
      <c r="E82" s="13">
        <v>0.7</v>
      </c>
      <c r="F82" s="13">
        <v>0.7</v>
      </c>
      <c r="G82" s="13">
        <v>0.7</v>
      </c>
      <c r="H82" s="13">
        <v>0.7</v>
      </c>
      <c r="I82" s="13">
        <v>0.7</v>
      </c>
      <c r="J82" s="13">
        <v>0.7</v>
      </c>
      <c r="K82" s="13">
        <v>0.7</v>
      </c>
      <c r="L82" s="13">
        <v>0.7</v>
      </c>
      <c r="M82" s="13">
        <v>0.7</v>
      </c>
      <c r="N82" s="13">
        <v>0.7</v>
      </c>
      <c r="O82" s="13">
        <v>0.7</v>
      </c>
      <c r="P82" s="13">
        <v>0.7</v>
      </c>
      <c r="Q82" s="13">
        <v>0.7</v>
      </c>
      <c r="R82" s="13">
        <v>0.7</v>
      </c>
      <c r="S82" s="13">
        <v>0.7</v>
      </c>
      <c r="T82" s="13">
        <v>0.7</v>
      </c>
      <c r="U82" s="13">
        <v>0.7</v>
      </c>
      <c r="V82" s="13">
        <v>0.7</v>
      </c>
      <c r="W82" s="13">
        <v>0.7</v>
      </c>
      <c r="X82" s="13">
        <v>0.7</v>
      </c>
      <c r="Y82" s="13">
        <v>0.7</v>
      </c>
      <c r="Z82" s="13">
        <v>0.7</v>
      </c>
      <c r="AA82" s="13">
        <v>0.7</v>
      </c>
      <c r="AB82" s="13">
        <v>0.7</v>
      </c>
      <c r="AC82" s="13">
        <v>0.7</v>
      </c>
      <c r="AD82" s="13">
        <v>0.7</v>
      </c>
      <c r="AE82" s="13">
        <v>0.7</v>
      </c>
      <c r="AF82" s="13">
        <v>0.7</v>
      </c>
      <c r="AG82" s="13">
        <v>0.7</v>
      </c>
      <c r="AH82" s="14">
        <v>3.0000000000000001E-3</v>
      </c>
    </row>
    <row r="83" spans="1:34" ht="15" customHeight="1">
      <c r="A83" s="11" t="s">
        <v>106</v>
      </c>
      <c r="B83" s="7" t="s">
        <v>44</v>
      </c>
      <c r="C83" s="16">
        <v>64</v>
      </c>
      <c r="D83" s="16">
        <v>70.2</v>
      </c>
      <c r="E83" s="16">
        <v>74.900000000000006</v>
      </c>
      <c r="F83" s="16">
        <v>78.599999999999994</v>
      </c>
      <c r="G83" s="16">
        <v>82.3</v>
      </c>
      <c r="H83" s="16">
        <v>86.8</v>
      </c>
      <c r="I83" s="16">
        <v>91</v>
      </c>
      <c r="J83" s="16">
        <v>95.8</v>
      </c>
      <c r="K83" s="16">
        <v>99.9</v>
      </c>
      <c r="L83" s="16">
        <v>104.1</v>
      </c>
      <c r="M83" s="16">
        <v>107.8</v>
      </c>
      <c r="N83" s="16">
        <v>112.3</v>
      </c>
      <c r="O83" s="16">
        <v>115.8</v>
      </c>
      <c r="P83" s="16">
        <v>120.6</v>
      </c>
      <c r="Q83" s="16">
        <v>124.5</v>
      </c>
      <c r="R83" s="16">
        <v>129.5</v>
      </c>
      <c r="S83" s="16">
        <v>134.6</v>
      </c>
      <c r="T83" s="16">
        <v>139.19999999999999</v>
      </c>
      <c r="U83" s="16">
        <v>143.9</v>
      </c>
      <c r="V83" s="16">
        <v>148.69999999999999</v>
      </c>
      <c r="W83" s="16">
        <v>153.69999999999999</v>
      </c>
      <c r="X83" s="16">
        <v>159</v>
      </c>
      <c r="Y83" s="16">
        <v>164.6</v>
      </c>
      <c r="Z83" s="16">
        <v>169.1</v>
      </c>
      <c r="AA83" s="16">
        <v>174.6</v>
      </c>
      <c r="AB83" s="16">
        <v>180.1</v>
      </c>
      <c r="AC83" s="16">
        <v>186</v>
      </c>
      <c r="AD83" s="16">
        <v>192.3</v>
      </c>
      <c r="AE83" s="16">
        <v>198.2</v>
      </c>
      <c r="AF83" s="16">
        <v>203.7</v>
      </c>
      <c r="AG83" s="16">
        <v>209.5</v>
      </c>
      <c r="AH83" s="18">
        <v>0.04</v>
      </c>
    </row>
    <row r="84" spans="1:34" ht="15" customHeight="1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 ht="15" customHeight="1">
      <c r="A85" s="11" t="s">
        <v>107</v>
      </c>
      <c r="B85" s="7" t="s">
        <v>108</v>
      </c>
      <c r="C85" s="20" t="s">
        <v>42</v>
      </c>
      <c r="D85" s="16">
        <v>6.2</v>
      </c>
      <c r="E85" s="16">
        <v>10.9</v>
      </c>
      <c r="F85" s="16">
        <v>14.6</v>
      </c>
      <c r="G85" s="16">
        <v>18.3</v>
      </c>
      <c r="H85" s="16">
        <v>22.8</v>
      </c>
      <c r="I85" s="16">
        <v>27</v>
      </c>
      <c r="J85" s="16">
        <v>31.8</v>
      </c>
      <c r="K85" s="16">
        <v>35.9</v>
      </c>
      <c r="L85" s="16">
        <v>40.200000000000003</v>
      </c>
      <c r="M85" s="16">
        <v>43.9</v>
      </c>
      <c r="N85" s="16">
        <v>48.4</v>
      </c>
      <c r="O85" s="16">
        <v>52</v>
      </c>
      <c r="P85" s="16">
        <v>56.8</v>
      </c>
      <c r="Q85" s="16">
        <v>60.8</v>
      </c>
      <c r="R85" s="16">
        <v>65.8</v>
      </c>
      <c r="S85" s="16">
        <v>70.900000000000006</v>
      </c>
      <c r="T85" s="16">
        <v>75.5</v>
      </c>
      <c r="U85" s="16">
        <v>80.2</v>
      </c>
      <c r="V85" s="16">
        <v>84.9</v>
      </c>
      <c r="W85" s="16">
        <v>90</v>
      </c>
      <c r="X85" s="16">
        <v>95.3</v>
      </c>
      <c r="Y85" s="16">
        <v>100.9</v>
      </c>
      <c r="Z85" s="16">
        <v>105.4</v>
      </c>
      <c r="AA85" s="16">
        <v>111</v>
      </c>
      <c r="AB85" s="16">
        <v>116.5</v>
      </c>
      <c r="AC85" s="16">
        <v>122.4</v>
      </c>
      <c r="AD85" s="16">
        <v>128.6</v>
      </c>
      <c r="AE85" s="16">
        <v>134.6</v>
      </c>
      <c r="AF85" s="16">
        <v>140.1</v>
      </c>
      <c r="AG85" s="16">
        <v>145.80000000000001</v>
      </c>
      <c r="AH85" s="20" t="s">
        <v>42</v>
      </c>
    </row>
    <row r="87" spans="1:34" ht="15" customHeight="1">
      <c r="B87" s="23" t="s">
        <v>109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1:34" ht="15" customHeight="1">
      <c r="B88" s="12" t="s">
        <v>110</v>
      </c>
    </row>
    <row r="89" spans="1:34" ht="15" customHeight="1">
      <c r="B89" s="12" t="s">
        <v>111</v>
      </c>
    </row>
    <row r="90" spans="1:34" ht="15" customHeight="1">
      <c r="B90" s="12" t="s">
        <v>112</v>
      </c>
    </row>
    <row r="91" spans="1:34" ht="15" customHeight="1">
      <c r="B91" s="12" t="s">
        <v>113</v>
      </c>
    </row>
    <row r="92" spans="1:34" ht="15" customHeight="1">
      <c r="B92" s="12" t="s">
        <v>114</v>
      </c>
    </row>
    <row r="93" spans="1:34" ht="15" customHeight="1">
      <c r="B93" s="12" t="s">
        <v>115</v>
      </c>
    </row>
    <row r="94" spans="1:34" ht="15" customHeight="1">
      <c r="B94" s="12" t="s">
        <v>116</v>
      </c>
    </row>
    <row r="95" spans="1:34" ht="15" customHeight="1">
      <c r="B95" s="12" t="s">
        <v>117</v>
      </c>
    </row>
    <row r="96" spans="1:34" ht="15" customHeight="1">
      <c r="B96" s="12" t="s">
        <v>118</v>
      </c>
    </row>
    <row r="97" spans="2:2" ht="15" customHeight="1">
      <c r="B97" s="12" t="s">
        <v>119</v>
      </c>
    </row>
    <row r="98" spans="2:2" ht="15" customHeight="1">
      <c r="B98" s="12" t="s">
        <v>120</v>
      </c>
    </row>
    <row r="99" spans="2:2" ht="15" customHeight="1">
      <c r="B99" s="12" t="s">
        <v>121</v>
      </c>
    </row>
    <row r="100" spans="2:2" ht="15" customHeight="1">
      <c r="B100" s="12" t="s">
        <v>122</v>
      </c>
    </row>
    <row r="101" spans="2:2" ht="15" customHeight="1">
      <c r="B101" s="12" t="s">
        <v>123</v>
      </c>
    </row>
    <row r="102" spans="2:2" ht="15" customHeight="1">
      <c r="B102" s="12" t="s">
        <v>124</v>
      </c>
    </row>
    <row r="103" spans="2:2" ht="15" customHeight="1">
      <c r="B103" s="12" t="s">
        <v>125</v>
      </c>
    </row>
    <row r="104" spans="2:2" ht="15" customHeight="1">
      <c r="B104" s="12" t="s">
        <v>126</v>
      </c>
    </row>
    <row r="105" spans="2:2" ht="15" customHeight="1">
      <c r="B105" s="12" t="s">
        <v>127</v>
      </c>
    </row>
    <row r="106" spans="2:2" ht="15" customHeight="1">
      <c r="B106" s="12" t="s">
        <v>128</v>
      </c>
    </row>
    <row r="107" spans="2:2" ht="15" customHeight="1">
      <c r="B107" s="12" t="s">
        <v>129</v>
      </c>
    </row>
    <row r="108" spans="2:2" ht="15" customHeight="1">
      <c r="B108" s="12" t="s">
        <v>130</v>
      </c>
    </row>
    <row r="109" spans="2:2" ht="15" customHeight="1">
      <c r="B109" s="12" t="s">
        <v>131</v>
      </c>
    </row>
    <row r="110" spans="2:2" ht="15" customHeight="1">
      <c r="B110" s="12" t="s">
        <v>132</v>
      </c>
    </row>
    <row r="111" spans="2:2" ht="15" customHeight="1">
      <c r="B111" s="12" t="s">
        <v>133</v>
      </c>
    </row>
    <row r="112" spans="2:2" ht="15" customHeight="1">
      <c r="B112" s="12" t="s">
        <v>134</v>
      </c>
    </row>
    <row r="113" spans="2:2" ht="15" customHeight="1">
      <c r="B113" s="12" t="s">
        <v>135</v>
      </c>
    </row>
    <row r="114" spans="2:2" ht="15" customHeight="1">
      <c r="B114" s="12" t="s">
        <v>136</v>
      </c>
    </row>
  </sheetData>
  <mergeCells count="1">
    <mergeCell ref="B87:AG8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J2"/>
  <sheetViews>
    <sheetView topLeftCell="B2" workbookViewId="0">
      <selection activeCell="B2" sqref="B2"/>
    </sheetView>
  </sheetViews>
  <sheetFormatPr defaultRowHeight="15"/>
  <cols>
    <col min="1" max="1" width="30.42578125" customWidth="1"/>
  </cols>
  <sheetData>
    <row r="1" spans="1:36">
      <c r="A1" t="s">
        <v>137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>
      <c r="A2" t="s">
        <v>138</v>
      </c>
      <c r="B2" s="9">
        <f>'AEO Table 9'!C22*1000</f>
        <v>22800</v>
      </c>
      <c r="C2" s="9">
        <f>'AEO Table 9'!D22*1000</f>
        <v>22800</v>
      </c>
      <c r="D2" s="9">
        <f>'AEO Table 9'!E22*1000</f>
        <v>22800</v>
      </c>
      <c r="E2" s="9">
        <f>'AEO Table 9'!F22*1000</f>
        <v>22800</v>
      </c>
      <c r="F2" s="9">
        <f>'AEO Table 9'!G22*1000</f>
        <v>22800</v>
      </c>
      <c r="G2" s="9">
        <f>'AEO Table 9'!H22*1000</f>
        <v>22800</v>
      </c>
      <c r="H2" s="9">
        <f>'AEO Table 9'!I22*1000</f>
        <v>22800</v>
      </c>
      <c r="I2" s="9">
        <f>'AEO Table 9'!J22*1000</f>
        <v>22800</v>
      </c>
      <c r="J2" s="9">
        <f>'AEO Table 9'!K22*1000</f>
        <v>22800</v>
      </c>
      <c r="K2" s="9">
        <f>'AEO Table 9'!L22*1000</f>
        <v>22800</v>
      </c>
      <c r="L2" s="9">
        <f>'AEO Table 9'!M22*1000</f>
        <v>22800</v>
      </c>
      <c r="M2" s="9">
        <f>'AEO Table 9'!N22*1000</f>
        <v>22800</v>
      </c>
      <c r="N2" s="9">
        <f>'AEO Table 9'!O22*1000</f>
        <v>22800</v>
      </c>
      <c r="O2" s="9">
        <f>'AEO Table 9'!P22*1000</f>
        <v>22800</v>
      </c>
      <c r="P2" s="9">
        <f>'AEO Table 9'!Q22*1000</f>
        <v>22800</v>
      </c>
      <c r="Q2" s="9">
        <f>'AEO Table 9'!R22*1000</f>
        <v>22800</v>
      </c>
      <c r="R2" s="9">
        <f>'AEO Table 9'!S22*1000</f>
        <v>22800</v>
      </c>
      <c r="S2" s="9">
        <f>'AEO Table 9'!T22*1000</f>
        <v>22800</v>
      </c>
      <c r="T2" s="9">
        <f>'AEO Table 9'!U22*1000</f>
        <v>22800</v>
      </c>
      <c r="U2" s="9">
        <f>'AEO Table 9'!V22*1000</f>
        <v>22800</v>
      </c>
      <c r="V2" s="9">
        <f>'AEO Table 9'!W22*1000</f>
        <v>22800</v>
      </c>
      <c r="W2" s="9">
        <f>'AEO Table 9'!X22*1000</f>
        <v>22800</v>
      </c>
      <c r="X2" s="9">
        <f>'AEO Table 9'!Y22*1000</f>
        <v>22800</v>
      </c>
      <c r="Y2" s="9">
        <f>'AEO Table 9'!Z22*1000</f>
        <v>22800</v>
      </c>
      <c r="Z2" s="9">
        <f>'AEO Table 9'!AA22*1000</f>
        <v>22800</v>
      </c>
      <c r="AA2" s="9">
        <f>'AEO Table 9'!AB22*1000</f>
        <v>22800</v>
      </c>
      <c r="AB2" s="9">
        <f>'AEO Table 9'!AC22*1000</f>
        <v>22800</v>
      </c>
      <c r="AC2" s="9">
        <f>'AEO Table 9'!AD22*1000</f>
        <v>22800</v>
      </c>
      <c r="AD2" s="9">
        <f>'AEO Table 9'!AE22*1000</f>
        <v>22800</v>
      </c>
      <c r="AE2" s="9">
        <f>'AEO Table 9'!AF22*1000</f>
        <v>22800</v>
      </c>
      <c r="AF2" s="9" t="e">
        <f>'AEO Table 9'!#REF!*1000</f>
        <v>#REF!</v>
      </c>
      <c r="AG2" s="9" t="e">
        <f>'AEO Table 9'!#REF!*1000</f>
        <v>#REF!</v>
      </c>
      <c r="AH2" s="9" t="e">
        <f>'AEO Table 9'!#REF!*1000</f>
        <v>#REF!</v>
      </c>
      <c r="AI2" s="9" t="e">
        <f>'AEO Table 9'!#REF!*1000</f>
        <v>#REF!</v>
      </c>
      <c r="AJ2" s="9" t="e">
        <f>'AEO Table 9'!#REF!*1000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9D57E-A667-4381-9742-B4CDC083159A}"/>
</file>

<file path=customXml/itemProps2.xml><?xml version="1.0" encoding="utf-8"?>
<ds:datastoreItem xmlns:ds="http://schemas.openxmlformats.org/officeDocument/2006/customXml" ds:itemID="{56F9351D-055F-45A4-A862-0CC240DEDD87}"/>
</file>

<file path=customXml/itemProps3.xml><?xml version="1.0" encoding="utf-8"?>
<ds:datastoreItem xmlns:ds="http://schemas.openxmlformats.org/officeDocument/2006/customXml" ds:itemID="{DEB3DA30-92C2-4B8A-B89A-2E3111E03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2015-06-11T00:38:34Z</dcterms:created>
  <dcterms:modified xsi:type="dcterms:W3CDTF">2023-11-30T03:49:38Z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