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elec/0 Need to update/DRC/"/>
    </mc:Choice>
  </mc:AlternateContent>
  <xr:revisionPtr revIDLastSave="197" documentId="11_5BAACBD6CEA36AC080EC51E55DE1450C342AB8C5" xr6:coauthVersionLast="47" xr6:coauthVersionMax="47" xr10:uidLastSave="{7094B0F5-1F15-FA49-BAAA-E9822CD1767C}"/>
  <bookViews>
    <workbookView xWindow="0" yWindow="500" windowWidth="28800" windowHeight="17500" xr2:uid="{00000000-000D-0000-FFFF-FFFF00000000}"/>
  </bookViews>
  <sheets>
    <sheet name="About" sheetId="1" r:id="rId1"/>
    <sheet name="Peak Time Demand" sheetId="4" r:id="rId2"/>
    <sheet name="DRC-BDRC" sheetId="5" r:id="rId3"/>
    <sheet name="Calculations" sheetId="3" r:id="rId4"/>
    <sheet name="DRC-PADR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C2" i="3" s="1"/>
  <c r="E2" i="2" s="1" a="1"/>
  <c r="E2" i="2" s="1"/>
  <c r="A6" i="4"/>
  <c r="A7" i="4" s="1"/>
  <c r="A8" i="4" s="1"/>
  <c r="A9" i="4" s="1"/>
  <c r="A10" i="4" s="1"/>
  <c r="A11" i="4" s="1"/>
  <c r="A12" i="4" s="1"/>
  <c r="A13" i="4" s="1"/>
  <c r="A14" i="4" s="1"/>
  <c r="A15" i="4" s="1"/>
  <c r="N2" i="2" l="1"/>
  <c r="J2" i="2"/>
  <c r="L2" i="2"/>
  <c r="H2" i="2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K2" i="2"/>
  <c r="G2" i="2"/>
  <c r="F2" i="2"/>
  <c r="M2" i="2"/>
  <c r="I2" i="2"/>
</calcChain>
</file>

<file path=xl/sharedStrings.xml><?xml version="1.0" encoding="utf-8"?>
<sst xmlns="http://schemas.openxmlformats.org/spreadsheetml/2006/main" count="45" uniqueCount="42">
  <si>
    <t>DRC BAU Demand Response Capacity</t>
  </si>
  <si>
    <t>DRC Potential Additional Demand Response Capacity</t>
  </si>
  <si>
    <t>Source:</t>
  </si>
  <si>
    <t>Federal Energy Regulatory Commission</t>
  </si>
  <si>
    <t>A National Assessment of Demand Response Potential</t>
  </si>
  <si>
    <t>http://www.ferc.gov/legal/staff-reports/06-09-demand-response.pdf</t>
  </si>
  <si>
    <t>Page 27</t>
  </si>
  <si>
    <t>Peak time electricity demand</t>
    <phoneticPr fontId="0" type="noConversion"/>
  </si>
  <si>
    <t>Environmental Bureau of HK</t>
    <phoneticPr fontId="0" type="noConversion"/>
  </si>
  <si>
    <t>Power and Gas Supplies</t>
    <phoneticPr fontId="0" type="noConversion"/>
  </si>
  <si>
    <t>https://www.enb.gov.hk/en/about_us/powerandgas.html</t>
  </si>
  <si>
    <t>Hong Kong Energy Statistics</t>
  </si>
  <si>
    <t>https://www.statistics.gov.hk/pub/B11000022017AN17B0100.pdf</t>
  </si>
  <si>
    <t>p. 29</t>
  </si>
  <si>
    <t>Procedure</t>
  </si>
  <si>
    <t>To estimate BAU DR Capacity, we compare the "No DR" and "BAU" scenarios.  The values for</t>
  </si>
  <si>
    <t>2009 and 2019 are given in the text on page 27.  We interpolate and extrapolate to obtain values</t>
  </si>
  <si>
    <t>for all years of the model run.</t>
  </si>
  <si>
    <t>We use the "Achievable Participation" scenario as our case for estimating potential additional DR capacity.</t>
  </si>
  <si>
    <t>(In this, we follow the Brattle group's DRIVE model, which produced the data in the cited report.)</t>
  </si>
  <si>
    <t>Figure 1 and the text below it give the initial peak demand levels and growth rates for the "No DR" and</t>
  </si>
  <si>
    <t>"Achievable Participation" scenarios.  The reduction in peak demand in each year that cannot be attributed</t>
  </si>
  <si>
    <t>to the BAU DR is the contribution of the additional DR.  See the "Calculations" tab for details.</t>
  </si>
  <si>
    <t>HK:</t>
  </si>
  <si>
    <t xml:space="preserve">due to lack of data availability, we scale from the US data. </t>
  </si>
  <si>
    <t>HK currently has only experimental peak pricing schemes with very limited coverage. Thus, we assume the current demand response capacity to be 0.</t>
  </si>
  <si>
    <t xml:space="preserve">For additional DRC, we follow the US example and assume the "achievable participation" scenario reductions are feasible in HK too. </t>
  </si>
  <si>
    <t xml:space="preserve">"Achievable Participation" achieves a reduction of peak demand by 14%, phased linearly over the next 10 years. </t>
  </si>
  <si>
    <t xml:space="preserve">We assume the demand response remains constant at </t>
  </si>
  <si>
    <t>below peak demand after 2028.</t>
  </si>
  <si>
    <t>peak demand 2017</t>
  </si>
  <si>
    <t>10696 MW</t>
  </si>
  <si>
    <t>p.29</t>
  </si>
  <si>
    <t>Year</t>
  </si>
  <si>
    <t>Peak Demand</t>
  </si>
  <si>
    <t>average:</t>
  </si>
  <si>
    <t>There is no discernible trend of peak demand over the past 10 years.</t>
  </si>
  <si>
    <t>Thus we assume peak demand to stay constant at the average of the last 10 years.</t>
  </si>
  <si>
    <t>DR Capacity (MW)</t>
  </si>
  <si>
    <t>Base reduction in 2018:</t>
  </si>
  <si>
    <t>Reduction through "Achievable Participation" reached in 2028:</t>
  </si>
  <si>
    <t>Potential Additional DR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</si>
</sst>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0" fontId="1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0" fontId="0" fillId="0" borderId="0" xfId="0" applyNumberFormat="1"/>
    <xf numFmtId="0" fontId="3" fillId="2" borderId="0" xfId="0" applyFont="1" applyFill="1"/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'Peak Time Demand'!$B$4</c:f>
              <c:strCache>
                <c:ptCount val="1"/>
                <c:pt idx="0">
                  <c:v>Peak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'Peak Time Demand'!$A$5:$A$15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'Peak Time Demand'!$B$5:$B$15</c:f>
              <c:numCache>
                <c:formatCode>General</c:formatCode>
                <c:ptCount val="11"/>
                <c:pt idx="0">
                  <c:v>10282</c:v>
                </c:pt>
                <c:pt idx="1">
                  <c:v>10788</c:v>
                </c:pt>
                <c:pt idx="2">
                  <c:v>10153</c:v>
                </c:pt>
                <c:pt idx="3">
                  <c:v>9859</c:v>
                </c:pt>
                <c:pt idx="4">
                  <c:v>10296</c:v>
                </c:pt>
                <c:pt idx="5">
                  <c:v>9925</c:v>
                </c:pt>
                <c:pt idx="6">
                  <c:v>10068</c:v>
                </c:pt>
                <c:pt idx="7">
                  <c:v>9962</c:v>
                </c:pt>
                <c:pt idx="8">
                  <c:v>10009</c:v>
                </c:pt>
                <c:pt idx="9">
                  <c:v>9937</c:v>
                </c:pt>
                <c:pt idx="10">
                  <c:v>10696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B-44D9-852F-F0AB2C2BE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779200"/>
        <c:axId val="917774280"/>
      </c:lineChart>
      <c:catAx>
        <c:axId val="9177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74280"/>
        <c:crosses val="autoZero"/>
        <c:auto val="1"/>
        <c:lblAlgn val="ctr"/>
        <c:lblOffset val="100"/>
        <c:noMultiLvlLbl val="0"/>
      </c:catAx>
      <c:valAx>
        <c:axId val="91777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7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4</xdr:row>
      <xdr:rowOff>133350</xdr:rowOff>
    </xdr:from>
    <xdr:to>
      <xdr:col>13</xdr:col>
      <xdr:colOff>523875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4AE53-A2AC-4246-903C-7CC34551E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istics.gov.hk/pub/B11000022017AN17B0100.pdf" TargetMode="External"/><Relationship Id="rId2" Type="http://schemas.openxmlformats.org/officeDocument/2006/relationships/hyperlink" Target="https://www.enb.gov.hk/en/about_us/powerandgas.html" TargetMode="External"/><Relationship Id="rId1" Type="http://schemas.openxmlformats.org/officeDocument/2006/relationships/hyperlink" Target="http://www.ferc.gov/legal/staff-reports/06-09-demand-response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tatistics.gov.hk/pub/B11000022017AN17B0100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139" workbookViewId="0">
      <selection activeCell="B7" sqref="B7"/>
    </sheetView>
  </sheetViews>
  <sheetFormatPr baseColWidth="10" defaultColWidth="8.83203125" defaultRowHeight="15" x14ac:dyDescent="0.2"/>
  <cols>
    <col min="2" max="2" width="28.5" customWidth="1"/>
  </cols>
  <sheetData>
    <row r="1" spans="1:2" x14ac:dyDescent="0.2">
      <c r="A1" s="1" t="s">
        <v>0</v>
      </c>
    </row>
    <row r="2" spans="1:2" x14ac:dyDescent="0.2">
      <c r="A2" s="1" t="s">
        <v>1</v>
      </c>
    </row>
    <row r="4" spans="1:2" x14ac:dyDescent="0.2">
      <c r="A4" s="1" t="s">
        <v>2</v>
      </c>
      <c r="B4" t="s">
        <v>3</v>
      </c>
    </row>
    <row r="5" spans="1:2" x14ac:dyDescent="0.2">
      <c r="B5" s="2">
        <v>2009</v>
      </c>
    </row>
    <row r="6" spans="1:2" x14ac:dyDescent="0.2">
      <c r="B6" t="s">
        <v>4</v>
      </c>
    </row>
    <row r="7" spans="1:2" x14ac:dyDescent="0.2">
      <c r="B7" s="3" t="s">
        <v>5</v>
      </c>
    </row>
    <row r="8" spans="1:2" x14ac:dyDescent="0.2">
      <c r="B8" t="s">
        <v>6</v>
      </c>
    </row>
    <row r="10" spans="1:2" x14ac:dyDescent="0.2">
      <c r="B10" s="9" t="s">
        <v>7</v>
      </c>
    </row>
    <row r="11" spans="1:2" x14ac:dyDescent="0.2">
      <c r="B11" s="10" t="s">
        <v>8</v>
      </c>
    </row>
    <row r="12" spans="1:2" x14ac:dyDescent="0.2">
      <c r="B12" s="10">
        <v>2017</v>
      </c>
    </row>
    <row r="13" spans="1:2" x14ac:dyDescent="0.2">
      <c r="B13" s="10" t="s">
        <v>9</v>
      </c>
    </row>
    <row r="14" spans="1:2" x14ac:dyDescent="0.2">
      <c r="B14" s="11" t="s">
        <v>10</v>
      </c>
    </row>
    <row r="15" spans="1:2" x14ac:dyDescent="0.2">
      <c r="B15" s="11"/>
    </row>
    <row r="16" spans="1:2" x14ac:dyDescent="0.2">
      <c r="B16" s="12" t="s">
        <v>11</v>
      </c>
    </row>
    <row r="17" spans="1:2" x14ac:dyDescent="0.2">
      <c r="B17" s="11" t="s">
        <v>12</v>
      </c>
    </row>
    <row r="18" spans="1:2" x14ac:dyDescent="0.2">
      <c r="B18" s="11" t="s">
        <v>13</v>
      </c>
    </row>
    <row r="21" spans="1:2" x14ac:dyDescent="0.2">
      <c r="A21" s="1" t="s">
        <v>14</v>
      </c>
    </row>
    <row r="22" spans="1:2" x14ac:dyDescent="0.2">
      <c r="A22" t="s">
        <v>15</v>
      </c>
    </row>
    <row r="23" spans="1:2" x14ac:dyDescent="0.2">
      <c r="A23" t="s">
        <v>16</v>
      </c>
    </row>
    <row r="24" spans="1:2" x14ac:dyDescent="0.2">
      <c r="A24" t="s">
        <v>17</v>
      </c>
    </row>
    <row r="26" spans="1:2" x14ac:dyDescent="0.2">
      <c r="A26" t="s">
        <v>18</v>
      </c>
    </row>
    <row r="27" spans="1:2" x14ac:dyDescent="0.2">
      <c r="A27" t="s">
        <v>19</v>
      </c>
    </row>
    <row r="28" spans="1:2" x14ac:dyDescent="0.2">
      <c r="A28" t="s">
        <v>20</v>
      </c>
    </row>
    <row r="29" spans="1:2" x14ac:dyDescent="0.2">
      <c r="A29" t="s">
        <v>21</v>
      </c>
    </row>
    <row r="30" spans="1:2" x14ac:dyDescent="0.2">
      <c r="A30" t="s">
        <v>22</v>
      </c>
    </row>
    <row r="33" spans="1:6" x14ac:dyDescent="0.2">
      <c r="A33" t="s">
        <v>23</v>
      </c>
    </row>
    <row r="34" spans="1:6" x14ac:dyDescent="0.2">
      <c r="A34" t="s">
        <v>24</v>
      </c>
    </row>
    <row r="35" spans="1:6" x14ac:dyDescent="0.2">
      <c r="A35" t="s">
        <v>25</v>
      </c>
    </row>
    <row r="37" spans="1:6" x14ac:dyDescent="0.2">
      <c r="A37" t="s">
        <v>26</v>
      </c>
      <c r="B37" s="1"/>
    </row>
    <row r="38" spans="1:6" x14ac:dyDescent="0.2">
      <c r="A38" t="s">
        <v>27</v>
      </c>
      <c r="B38" s="4"/>
    </row>
    <row r="39" spans="1:6" x14ac:dyDescent="0.2">
      <c r="A39" t="s">
        <v>28</v>
      </c>
      <c r="E39" s="8">
        <v>0.14000000000000001</v>
      </c>
      <c r="F39" t="s">
        <v>29</v>
      </c>
    </row>
  </sheetData>
  <hyperlinks>
    <hyperlink ref="B7" r:id="rId1" xr:uid="{00000000-0004-0000-0000-000000000000}"/>
    <hyperlink ref="B14" r:id="rId2" xr:uid="{0925DA4B-2CD6-4820-B8C0-523FA87F2014}"/>
    <hyperlink ref="B17" r:id="rId3" xr:uid="{63943788-D545-7744-9F91-F2F4C20B77F3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L32" sqref="L32"/>
    </sheetView>
  </sheetViews>
  <sheetFormatPr baseColWidth="10" defaultColWidth="8.83203125" defaultRowHeight="15" x14ac:dyDescent="0.2"/>
  <cols>
    <col min="1" max="1" width="23.5" customWidth="1"/>
    <col min="2" max="2" width="14.5" customWidth="1"/>
  </cols>
  <sheetData>
    <row r="1" spans="1:4" x14ac:dyDescent="0.2">
      <c r="A1" t="s">
        <v>30</v>
      </c>
      <c r="B1" t="s">
        <v>31</v>
      </c>
      <c r="C1" t="s">
        <v>32</v>
      </c>
      <c r="D1" s="3" t="s">
        <v>12</v>
      </c>
    </row>
    <row r="4" spans="1:4" x14ac:dyDescent="0.2">
      <c r="A4" t="s">
        <v>33</v>
      </c>
      <c r="B4" t="s">
        <v>34</v>
      </c>
    </row>
    <row r="5" spans="1:4" x14ac:dyDescent="0.2">
      <c r="A5">
        <v>2007</v>
      </c>
      <c r="B5">
        <v>10282</v>
      </c>
    </row>
    <row r="6" spans="1:4" x14ac:dyDescent="0.2">
      <c r="A6">
        <f>A5+1</f>
        <v>2008</v>
      </c>
      <c r="B6">
        <v>10788</v>
      </c>
    </row>
    <row r="7" spans="1:4" x14ac:dyDescent="0.2">
      <c r="A7">
        <f t="shared" ref="A7:A15" si="0">A6+1</f>
        <v>2009</v>
      </c>
      <c r="B7">
        <v>10153</v>
      </c>
    </row>
    <row r="8" spans="1:4" x14ac:dyDescent="0.2">
      <c r="A8">
        <f t="shared" si="0"/>
        <v>2010</v>
      </c>
      <c r="B8">
        <v>9859</v>
      </c>
    </row>
    <row r="9" spans="1:4" x14ac:dyDescent="0.2">
      <c r="A9">
        <f t="shared" si="0"/>
        <v>2011</v>
      </c>
      <c r="B9">
        <v>10296</v>
      </c>
    </row>
    <row r="10" spans="1:4" x14ac:dyDescent="0.2">
      <c r="A10">
        <f t="shared" si="0"/>
        <v>2012</v>
      </c>
      <c r="B10">
        <v>9925</v>
      </c>
    </row>
    <row r="11" spans="1:4" x14ac:dyDescent="0.2">
      <c r="A11">
        <f t="shared" si="0"/>
        <v>2013</v>
      </c>
      <c r="B11">
        <v>10068</v>
      </c>
    </row>
    <row r="12" spans="1:4" x14ac:dyDescent="0.2">
      <c r="A12">
        <f t="shared" si="0"/>
        <v>2014</v>
      </c>
      <c r="B12">
        <v>9962</v>
      </c>
    </row>
    <row r="13" spans="1:4" x14ac:dyDescent="0.2">
      <c r="A13">
        <f t="shared" si="0"/>
        <v>2015</v>
      </c>
      <c r="B13">
        <v>10009</v>
      </c>
    </row>
    <row r="14" spans="1:4" x14ac:dyDescent="0.2">
      <c r="A14">
        <f t="shared" si="0"/>
        <v>2016</v>
      </c>
      <c r="B14">
        <v>9937</v>
      </c>
    </row>
    <row r="15" spans="1:4" x14ac:dyDescent="0.2">
      <c r="A15">
        <f t="shared" si="0"/>
        <v>2017</v>
      </c>
      <c r="B15">
        <v>10696</v>
      </c>
    </row>
    <row r="17" spans="1:2" x14ac:dyDescent="0.2">
      <c r="A17" t="s">
        <v>35</v>
      </c>
      <c r="B17">
        <f>AVERAGE(B5:B15)</f>
        <v>10179.545454545454</v>
      </c>
    </row>
    <row r="22" spans="1:2" x14ac:dyDescent="0.2">
      <c r="A22" t="s">
        <v>36</v>
      </c>
    </row>
    <row r="23" spans="1:2" x14ac:dyDescent="0.2">
      <c r="A23" t="s">
        <v>37</v>
      </c>
    </row>
  </sheetData>
  <hyperlinks>
    <hyperlink ref="D1" r:id="rId1" xr:uid="{06F875AA-B026-4946-ABB5-D4613E8F4D8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2"/>
  <sheetViews>
    <sheetView workbookViewId="0">
      <selection activeCell="AD15" sqref="AD15"/>
    </sheetView>
  </sheetViews>
  <sheetFormatPr baseColWidth="10" defaultColWidth="8.83203125" defaultRowHeight="15" x14ac:dyDescent="0.2"/>
  <cols>
    <col min="1" max="1" width="19.33203125" customWidth="1"/>
  </cols>
  <sheetData>
    <row r="1" spans="1:37" x14ac:dyDescent="0.2">
      <c r="A1" s="1" t="s">
        <v>33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s="1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2" sqref="C2"/>
    </sheetView>
  </sheetViews>
  <sheetFormatPr baseColWidth="10" defaultColWidth="8.83203125" defaultRowHeight="15" x14ac:dyDescent="0.2"/>
  <cols>
    <col min="1" max="2" width="59.33203125" customWidth="1"/>
    <col min="3" max="3" width="31.5" customWidth="1"/>
    <col min="4" max="4" width="12.6640625" customWidth="1"/>
    <col min="5" max="12" width="10.5" bestFit="1" customWidth="1"/>
    <col min="13" max="24" width="11.5" bestFit="1" customWidth="1"/>
  </cols>
  <sheetData>
    <row r="1" spans="1:4" ht="16" x14ac:dyDescent="0.2">
      <c r="A1" s="7" t="s">
        <v>39</v>
      </c>
      <c r="B1" s="7">
        <v>2018</v>
      </c>
      <c r="C1">
        <v>0</v>
      </c>
    </row>
    <row r="2" spans="1:4" x14ac:dyDescent="0.2">
      <c r="A2" t="s">
        <v>40</v>
      </c>
      <c r="B2">
        <v>2028</v>
      </c>
      <c r="C2">
        <f>About!E39*'Peak Time Demand'!B17</f>
        <v>1425.1363636363637</v>
      </c>
    </row>
    <row r="7" spans="1:4" x14ac:dyDescent="0.2">
      <c r="A7" s="1"/>
      <c r="B7" s="1"/>
      <c r="D7" s="8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K2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21" customWidth="1"/>
  </cols>
  <sheetData>
    <row r="1" spans="1:37" x14ac:dyDescent="0.2">
      <c r="A1" t="s">
        <v>33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ht="32" x14ac:dyDescent="0.2">
      <c r="A2" s="6" t="s">
        <v>41</v>
      </c>
      <c r="B2" s="5">
        <v>0</v>
      </c>
      <c r="C2" s="5">
        <v>0</v>
      </c>
      <c r="D2" s="5">
        <v>0</v>
      </c>
      <c r="E2" s="5">
        <f t="array" ref="E2:O2">TREND(Calculations!C1:C2,Calculations!B1:B2,'DRC-PADRC'!E1:O1)</f>
        <v>-5.8207660913467407E-11</v>
      </c>
      <c r="F2" s="5">
        <v>142.51363636361202</v>
      </c>
      <c r="G2" s="5">
        <v>285.02727272722404</v>
      </c>
      <c r="H2" s="5">
        <v>427.54090909089427</v>
      </c>
      <c r="I2" s="5">
        <v>570.0545454545063</v>
      </c>
      <c r="J2" s="5">
        <v>712.56818181817653</v>
      </c>
      <c r="K2" s="5">
        <v>855.08181818178855</v>
      </c>
      <c r="L2" s="5">
        <v>997.59545454540057</v>
      </c>
      <c r="M2" s="5">
        <v>1140.1090909090708</v>
      </c>
      <c r="N2" s="5">
        <v>1282.6227272726828</v>
      </c>
      <c r="O2" s="5">
        <v>1425.1363636363531</v>
      </c>
      <c r="P2" s="5">
        <f>O2</f>
        <v>1425.1363636363531</v>
      </c>
      <c r="Q2" s="5">
        <f t="shared" ref="Q2:AK2" si="0">P2</f>
        <v>1425.1363636363531</v>
      </c>
      <c r="R2" s="5">
        <f t="shared" si="0"/>
        <v>1425.1363636363531</v>
      </c>
      <c r="S2" s="5">
        <f t="shared" si="0"/>
        <v>1425.1363636363531</v>
      </c>
      <c r="T2" s="5">
        <f t="shared" si="0"/>
        <v>1425.1363636363531</v>
      </c>
      <c r="U2" s="5">
        <f t="shared" si="0"/>
        <v>1425.1363636363531</v>
      </c>
      <c r="V2" s="5">
        <f t="shared" si="0"/>
        <v>1425.1363636363531</v>
      </c>
      <c r="W2" s="5">
        <f t="shared" si="0"/>
        <v>1425.1363636363531</v>
      </c>
      <c r="X2" s="5">
        <f t="shared" si="0"/>
        <v>1425.1363636363531</v>
      </c>
      <c r="Y2" s="5">
        <f t="shared" si="0"/>
        <v>1425.1363636363531</v>
      </c>
      <c r="Z2" s="5">
        <f t="shared" si="0"/>
        <v>1425.1363636363531</v>
      </c>
      <c r="AA2" s="5">
        <f t="shared" si="0"/>
        <v>1425.1363636363531</v>
      </c>
      <c r="AB2" s="5">
        <f t="shared" si="0"/>
        <v>1425.1363636363531</v>
      </c>
      <c r="AC2" s="5">
        <f t="shared" si="0"/>
        <v>1425.1363636363531</v>
      </c>
      <c r="AD2" s="5">
        <f t="shared" si="0"/>
        <v>1425.1363636363531</v>
      </c>
      <c r="AE2" s="5">
        <f t="shared" si="0"/>
        <v>1425.1363636363531</v>
      </c>
      <c r="AF2" s="5">
        <f t="shared" si="0"/>
        <v>1425.1363636363531</v>
      </c>
      <c r="AG2" s="5">
        <f t="shared" si="0"/>
        <v>1425.1363636363531</v>
      </c>
      <c r="AH2" s="5">
        <f t="shared" si="0"/>
        <v>1425.1363636363531</v>
      </c>
      <c r="AI2" s="5">
        <f t="shared" si="0"/>
        <v>1425.1363636363531</v>
      </c>
      <c r="AJ2" s="5">
        <f t="shared" si="0"/>
        <v>1425.1363636363531</v>
      </c>
      <c r="AK2" s="5">
        <f t="shared" si="0"/>
        <v>1425.1363636363531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7E259-142E-40AF-A153-938990664F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85EA1C-087F-42DC-B093-F3115CD108A9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6b15a3a4-8173-42d6-9deb-398ec38eca4b"/>
    <ds:schemaRef ds:uri="cb176f07-3112-4ee9-93fd-ae2cb5f3e43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280CDD-D0A4-44C1-A39D-F2E11832C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Peak Time Demand</vt:lpstr>
      <vt:lpstr>DRC-BDRC</vt:lpstr>
      <vt:lpstr>Calculations</vt:lpstr>
      <vt:lpstr>DRC-PADRC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2014-08-26T00:34:41Z</dcterms:created>
  <dcterms:modified xsi:type="dcterms:W3CDTF">2023-12-20T04:17:00Z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