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deng\Desktop\Dropbox_Free_Zone\EPS\Model Repos\China\Subnational\eps-hongkong\InputData\elec\DRC\"/>
    </mc:Choice>
  </mc:AlternateContent>
  <xr:revisionPtr revIDLastSave="0" documentId="13_ncr:1_{AA525B57-1393-46AF-899C-84B1FF586113}" xr6:coauthVersionLast="47" xr6:coauthVersionMax="47" xr10:uidLastSave="{00000000-0000-0000-0000-000000000000}"/>
  <bookViews>
    <workbookView xWindow="4515" yWindow="2175" windowWidth="22080" windowHeight="13665" xr2:uid="{00000000-000D-0000-FFFF-FFFF00000000}"/>
  </bookViews>
  <sheets>
    <sheet name="About" sheetId="1" r:id="rId1"/>
    <sheet name="Peak Demand Time" sheetId="6" r:id="rId2"/>
    <sheet name="Calculations" sheetId="4" r:id="rId3"/>
    <sheet name="DRC-BDRC" sheetId="5" r:id="rId4"/>
    <sheet name="DRC-PADRC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2" l="1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M19" i="4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L19" i="4"/>
  <c r="E19" i="4"/>
  <c r="F19" i="4" s="1"/>
  <c r="G19" i="4" s="1"/>
  <c r="H19" i="4" s="1"/>
  <c r="I19" i="4" s="1"/>
  <c r="J19" i="4" s="1"/>
  <c r="D19" i="4"/>
  <c r="C19" i="4"/>
  <c r="B19" i="4"/>
  <c r="K19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C7" i="4"/>
  <c r="B19" i="6" l="1"/>
</calcChain>
</file>

<file path=xl/sharedStrings.xml><?xml version="1.0" encoding="utf-8"?>
<sst xmlns="http://schemas.openxmlformats.org/spreadsheetml/2006/main" count="40" uniqueCount="36">
  <si>
    <t>DRC BAU Demand Response Capacity</t>
  </si>
  <si>
    <t>DRC Potential Additional Demand Response Capacity</t>
  </si>
  <si>
    <t>Sources:</t>
  </si>
  <si>
    <t>Notes:</t>
  </si>
  <si>
    <t>Demand response is defined as the potential to reduce or shift electricity usage during peak</t>
  </si>
  <si>
    <t>periods in response to time-based rates or other financial incentives.</t>
  </si>
  <si>
    <t>Time (Year)</t>
  </si>
  <si>
    <t>Year</t>
  </si>
  <si>
    <t>DR Capacity (MW)</t>
  </si>
  <si>
    <t>Potential Additional DR Capacity (MW)</t>
  </si>
  <si>
    <t>https://www.censtatd.gov.hk/en/wbr.html?ecode=B11000022022AN22&amp;scode=90</t>
  </si>
  <si>
    <t>p.29</t>
  </si>
  <si>
    <t>Peak Demand</t>
  </si>
  <si>
    <t>average:</t>
  </si>
  <si>
    <t>There is no discernible trend of peak demand over the past 10 years.</t>
  </si>
  <si>
    <t>Thus we assume peak demand to stay constant at the average of the last 10 years.</t>
  </si>
  <si>
    <t>Hong Kong Energy Statistics Annual Report 2022</t>
  </si>
  <si>
    <t>https://www.censtatd.gov.hk/en/data/stat_report/product/B1100002/att/B11000022021AN21B0100.pdf</t>
  </si>
  <si>
    <t xml:space="preserve">https://www.clpgroup.com/content/dam/clp-group/channels/media/document/publications/A%20Snapshot%20of%20CLP%20in%202022_Eng.pdf </t>
  </si>
  <si>
    <t>MW reduction</t>
  </si>
  <si>
    <t>Peak Hour Electricity Demand by Season[summer] : MostRecentRun</t>
  </si>
  <si>
    <t>Peak Hour Electricity Demand by Season[winter] : MostRecentRun</t>
  </si>
  <si>
    <t>https://www.sciencedirect.com/science/article/abs/pii/S0142061522007967</t>
  </si>
  <si>
    <t>Wu et al.</t>
  </si>
  <si>
    <t>Maximum demand flexibility from the demand response of a big group of residential homes</t>
  </si>
  <si>
    <t>We assume BAU demand response capacity is zero through 2050.</t>
  </si>
  <si>
    <t>Historical Capacity</t>
  </si>
  <si>
    <t>Future Capacity Projection</t>
  </si>
  <si>
    <t>We use Wu et al.'s assumption that DR can achieve up to a 14.5% in peak demand and linearly scale scale up to this potential in 2030.</t>
  </si>
  <si>
    <t>Although CLP has its own peak demand response capacity scheme, it has very limited coverage so it is hard to project the demand response forward using CLP data.</t>
  </si>
  <si>
    <t>Historical Demand Response - CLP Snapshot in 2022</t>
  </si>
  <si>
    <t>Peak Demand (MW) - EPS Output</t>
  </si>
  <si>
    <t>Future Demand Response</t>
  </si>
  <si>
    <t>% change in summer peak</t>
  </si>
  <si>
    <t>Maximum peak reduction from DR</t>
  </si>
  <si>
    <t>We then hold the potential DR capacity constant from 2031 to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</si>
</sst>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1"/>
    <xf numFmtId="10" fontId="1" fillId="0" borderId="0" xfId="0" applyNumberFormat="1" applyFont="1" applyAlignment="1">
      <alignment horizontal="left"/>
    </xf>
    <xf numFmtId="1" fontId="0" fillId="0" borderId="0" xfId="0" applyNumberFormat="1"/>
    <xf numFmtId="0" fontId="1" fillId="0" borderId="0" xfId="0" applyFont="1" applyAlignment="1">
      <alignment wrapText="1"/>
    </xf>
    <xf numFmtId="0" fontId="1" fillId="2" borderId="0" xfId="0" applyFont="1" applyFill="1"/>
    <xf numFmtId="11" fontId="0" fillId="0" borderId="0" xfId="0" applyNumberFormat="1"/>
    <xf numFmtId="0" fontId="2" fillId="2" borderId="0" xfId="1" applyFill="1"/>
    <xf numFmtId="0" fontId="3" fillId="0" borderId="0" xfId="0" applyFont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applyFont="1"/>
    <xf numFmtId="0" fontId="0" fillId="0" borderId="0" xfId="0" applyAlignment="1">
      <alignment horizontal="left"/>
    </xf>
    <xf numFmtId="10" fontId="0" fillId="0" borderId="0" xfId="0" applyNumberFormat="1"/>
    <xf numFmtId="1" fontId="0" fillId="4" borderId="0" xfId="0" applyNumberFormat="1" applyFill="1"/>
    <xf numFmtId="9" fontId="0" fillId="0" borderId="0" xfId="2" applyFont="1"/>
    <xf numFmtId="1" fontId="0" fillId="5" borderId="0" xfId="0" applyNumberFormat="1" applyFill="1"/>
    <xf numFmtId="1" fontId="0" fillId="3" borderId="0" xfId="0" applyNumberFormat="1" applyFill="1"/>
    <xf numFmtId="1" fontId="0" fillId="0" borderId="0" xfId="0" applyNumberFormat="1" applyFill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'Peak Demand Time'!$B$5</c:f>
              <c:strCache>
                <c:ptCount val="1"/>
                <c:pt idx="0">
                  <c:v>Peak Demand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'Peak Demand Time'!$A$6:$A$17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cat>
          <c:val>
            <c:numRef>
              <c:f>'Peak Demand Time'!$B$6:$B$17</c:f>
              <c:numCache>
                <c:formatCode>General</c:formatCode>
                <c:ptCount val="12"/>
                <c:pt idx="0">
                  <c:v>10296</c:v>
                </c:pt>
                <c:pt idx="1">
                  <c:v>9925</c:v>
                </c:pt>
                <c:pt idx="2">
                  <c:v>10068</c:v>
                </c:pt>
                <c:pt idx="3">
                  <c:v>9962</c:v>
                </c:pt>
                <c:pt idx="4">
                  <c:v>10009</c:v>
                </c:pt>
                <c:pt idx="5">
                  <c:v>9937</c:v>
                </c:pt>
                <c:pt idx="6">
                  <c:v>10696</c:v>
                </c:pt>
                <c:pt idx="7">
                  <c:v>9692</c:v>
                </c:pt>
                <c:pt idx="8">
                  <c:v>9601</c:v>
                </c:pt>
                <c:pt idx="9">
                  <c:v>9670</c:v>
                </c:pt>
                <c:pt idx="10">
                  <c:v>9942</c:v>
                </c:pt>
                <c:pt idx="11">
                  <c:v>10104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C1-EB47-B12A-7C022007F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44719"/>
        <c:axId val="343416143"/>
      </c:lineChart>
      <c:catAx>
        <c:axId val="5174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416143"/>
        <c:crosses val="autoZero"/>
        <c:auto val="1"/>
        <c:lblAlgn val="ctr"/>
        <c:lblOffset val="100"/>
        <c:noMultiLvlLbl val="0"/>
      </c:catAx>
      <c:valAx>
        <c:axId val="34341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4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819150</xdr:colOff>
      <xdr:row>3</xdr:row>
      <xdr:rowOff>0</xdr:rowOff>
    </xdr:from>
    <xdr:to>
      <xdr:col>9</xdr:col>
      <xdr:colOff>812800</xdr:colOff>
      <xdr:row>22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546933-B16B-17E5-EC0C-F35580D8F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censtatd.gov.hk/en/wbr.html?ecode=B11000022022AN22&amp;scode=90" TargetMode="External"/><Relationship Id="rId1" Type="http://schemas.openxmlformats.org/officeDocument/2006/relationships/hyperlink" Target="https://www.sciencedirect.com/science/article/abs/pii/S014206152200796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lpgroup.com/content/dam/clp-group/channels/media/document/publications/A%20Snapshot%20of%20CLP%20in%202022_Eng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>
      <selection activeCell="L21" sqref="L21"/>
    </sheetView>
  </sheetViews>
  <sheetFormatPr defaultColWidth="8.85546875" defaultRowHeight="15" x14ac:dyDescent="0.25"/>
  <cols>
    <col min="2" max="2" width="28.42578125" customWidth="1"/>
  </cols>
  <sheetData>
    <row r="1" spans="1:2" x14ac:dyDescent="0.25">
      <c r="A1" s="1" t="s">
        <v>0</v>
      </c>
    </row>
    <row r="2" spans="1:2" x14ac:dyDescent="0.25">
      <c r="A2" s="1" t="s">
        <v>1</v>
      </c>
    </row>
    <row r="4" spans="1:2" x14ac:dyDescent="0.25">
      <c r="A4" s="1" t="s">
        <v>2</v>
      </c>
      <c r="B4" s="6" t="s">
        <v>26</v>
      </c>
    </row>
    <row r="5" spans="1:2" x14ac:dyDescent="0.25">
      <c r="B5" t="s">
        <v>16</v>
      </c>
    </row>
    <row r="6" spans="1:2" x14ac:dyDescent="0.25">
      <c r="B6" s="2" t="s">
        <v>10</v>
      </c>
    </row>
    <row r="8" spans="1:2" x14ac:dyDescent="0.25">
      <c r="B8" s="6" t="s">
        <v>27</v>
      </c>
    </row>
    <row r="9" spans="1:2" x14ac:dyDescent="0.25">
      <c r="B9" t="s">
        <v>23</v>
      </c>
    </row>
    <row r="10" spans="1:2" x14ac:dyDescent="0.25">
      <c r="B10" s="13">
        <v>2023</v>
      </c>
    </row>
    <row r="11" spans="1:2" x14ac:dyDescent="0.25">
      <c r="B11" t="s">
        <v>24</v>
      </c>
    </row>
    <row r="12" spans="1:2" x14ac:dyDescent="0.25">
      <c r="B12" s="2" t="s">
        <v>22</v>
      </c>
    </row>
    <row r="14" spans="1:2" x14ac:dyDescent="0.25">
      <c r="A14" s="1" t="s">
        <v>3</v>
      </c>
    </row>
    <row r="15" spans="1:2" x14ac:dyDescent="0.25">
      <c r="A15" t="s">
        <v>4</v>
      </c>
    </row>
    <row r="16" spans="1:2" x14ac:dyDescent="0.25">
      <c r="A16" t="s">
        <v>5</v>
      </c>
    </row>
    <row r="17" spans="1:2" x14ac:dyDescent="0.25">
      <c r="A17" s="1"/>
    </row>
    <row r="18" spans="1:2" x14ac:dyDescent="0.25">
      <c r="A18" s="12" t="s">
        <v>25</v>
      </c>
    </row>
    <row r="19" spans="1:2" x14ac:dyDescent="0.25">
      <c r="A19" s="12"/>
    </row>
    <row r="20" spans="1:2" x14ac:dyDescent="0.25">
      <c r="A20" t="s">
        <v>29</v>
      </c>
    </row>
    <row r="21" spans="1:2" x14ac:dyDescent="0.25">
      <c r="A21" s="12" t="s">
        <v>28</v>
      </c>
    </row>
    <row r="22" spans="1:2" x14ac:dyDescent="0.25">
      <c r="A22" t="s">
        <v>35</v>
      </c>
    </row>
    <row r="24" spans="1:2" x14ac:dyDescent="0.25">
      <c r="A24" s="14">
        <v>0.14499999999999999</v>
      </c>
      <c r="B24" t="s">
        <v>34</v>
      </c>
    </row>
    <row r="29" spans="1:2" x14ac:dyDescent="0.25">
      <c r="B29" s="1"/>
    </row>
    <row r="30" spans="1:2" x14ac:dyDescent="0.25">
      <c r="B30" s="3"/>
    </row>
  </sheetData>
  <hyperlinks>
    <hyperlink ref="B12" r:id="rId1" xr:uid="{08A4D078-1C2D-454E-852F-D6FD41D542C0}"/>
    <hyperlink ref="B6" r:id="rId2" xr:uid="{C3B2D2A1-804A-474E-8F67-34ABE7C47B78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17D0E-654C-384D-A408-E7E11AE547D1}">
  <dimension ref="A1:D25"/>
  <sheetViews>
    <sheetView workbookViewId="0">
      <selection activeCell="B19" sqref="B19"/>
    </sheetView>
  </sheetViews>
  <sheetFormatPr defaultColWidth="10.85546875" defaultRowHeight="15" x14ac:dyDescent="0.25"/>
  <sheetData>
    <row r="1" spans="1:4" x14ac:dyDescent="0.25">
      <c r="A1" s="2" t="s">
        <v>17</v>
      </c>
    </row>
    <row r="2" spans="1:4" x14ac:dyDescent="0.25">
      <c r="A2" s="9" t="s">
        <v>11</v>
      </c>
      <c r="B2" s="9"/>
    </row>
    <row r="3" spans="1:4" x14ac:dyDescent="0.25">
      <c r="A3" s="9"/>
      <c r="B3" s="9"/>
      <c r="C3" s="9"/>
      <c r="D3" s="9"/>
    </row>
    <row r="4" spans="1:4" x14ac:dyDescent="0.25">
      <c r="A4" s="9"/>
      <c r="B4" s="9"/>
      <c r="C4" s="9"/>
      <c r="D4" s="9"/>
    </row>
    <row r="5" spans="1:4" x14ac:dyDescent="0.25">
      <c r="A5" s="9" t="s">
        <v>7</v>
      </c>
      <c r="B5" s="9" t="s">
        <v>12</v>
      </c>
      <c r="C5" s="9"/>
      <c r="D5" s="9"/>
    </row>
    <row r="6" spans="1:4" x14ac:dyDescent="0.25">
      <c r="A6" s="9">
        <v>2011</v>
      </c>
      <c r="B6" s="9">
        <v>10296</v>
      </c>
      <c r="C6" s="9"/>
      <c r="D6" s="9"/>
    </row>
    <row r="7" spans="1:4" x14ac:dyDescent="0.25">
      <c r="A7" s="9">
        <v>2012</v>
      </c>
      <c r="B7" s="9">
        <v>9925</v>
      </c>
      <c r="C7" s="9"/>
      <c r="D7" s="9"/>
    </row>
    <row r="8" spans="1:4" x14ac:dyDescent="0.25">
      <c r="A8" s="9">
        <v>2013</v>
      </c>
      <c r="B8" s="9">
        <v>10068</v>
      </c>
      <c r="C8" s="9"/>
      <c r="D8" s="9"/>
    </row>
    <row r="9" spans="1:4" x14ac:dyDescent="0.25">
      <c r="A9" s="9">
        <v>2014</v>
      </c>
      <c r="B9" s="9">
        <v>9962</v>
      </c>
      <c r="C9" s="9"/>
      <c r="D9" s="9"/>
    </row>
    <row r="10" spans="1:4" x14ac:dyDescent="0.25">
      <c r="A10" s="9">
        <v>2015</v>
      </c>
      <c r="B10" s="9">
        <v>10009</v>
      </c>
      <c r="C10" s="9"/>
      <c r="D10" s="9"/>
    </row>
    <row r="11" spans="1:4" x14ac:dyDescent="0.25">
      <c r="A11" s="9">
        <v>2016</v>
      </c>
      <c r="B11" s="9">
        <v>9937</v>
      </c>
      <c r="C11" s="9"/>
      <c r="D11" s="9"/>
    </row>
    <row r="12" spans="1:4" x14ac:dyDescent="0.25">
      <c r="A12" s="9">
        <v>2017</v>
      </c>
      <c r="B12" s="9">
        <v>10696</v>
      </c>
      <c r="C12" s="9"/>
      <c r="D12" s="9"/>
    </row>
    <row r="13" spans="1:4" x14ac:dyDescent="0.25">
      <c r="A13" s="9">
        <v>2018</v>
      </c>
      <c r="B13" s="9">
        <v>9692</v>
      </c>
      <c r="C13" s="9"/>
      <c r="D13" s="9"/>
    </row>
    <row r="14" spans="1:4" x14ac:dyDescent="0.25">
      <c r="A14" s="9">
        <v>2019</v>
      </c>
      <c r="B14" s="9">
        <v>9601</v>
      </c>
      <c r="C14" s="9"/>
      <c r="D14" s="9"/>
    </row>
    <row r="15" spans="1:4" x14ac:dyDescent="0.25">
      <c r="A15" s="9">
        <v>2020</v>
      </c>
      <c r="B15" s="9">
        <v>9670</v>
      </c>
      <c r="C15" s="9"/>
      <c r="D15" s="9"/>
    </row>
    <row r="16" spans="1:4" x14ac:dyDescent="0.25">
      <c r="A16" s="9">
        <v>2021</v>
      </c>
      <c r="B16" s="9">
        <v>9942</v>
      </c>
      <c r="C16" s="9"/>
      <c r="D16" s="9"/>
    </row>
    <row r="17" spans="1:4" x14ac:dyDescent="0.25">
      <c r="A17" s="9">
        <v>2022</v>
      </c>
      <c r="B17">
        <v>10104</v>
      </c>
      <c r="C17" s="9"/>
      <c r="D17" s="9"/>
    </row>
    <row r="18" spans="1:4" x14ac:dyDescent="0.25">
      <c r="A18" s="9"/>
      <c r="B18" s="9"/>
      <c r="C18" s="9"/>
      <c r="D18" s="9"/>
    </row>
    <row r="19" spans="1:4" x14ac:dyDescent="0.25">
      <c r="A19" s="9" t="s">
        <v>13</v>
      </c>
      <c r="B19" s="9">
        <f>AVERAGE(B6:B17)</f>
        <v>9991.8333333333339</v>
      </c>
      <c r="C19" s="9"/>
      <c r="D19" s="9"/>
    </row>
    <row r="20" spans="1:4" x14ac:dyDescent="0.25">
      <c r="A20" s="9"/>
      <c r="B20" s="9"/>
      <c r="C20" s="9"/>
      <c r="D20" s="9"/>
    </row>
    <row r="21" spans="1:4" x14ac:dyDescent="0.25">
      <c r="A21" s="9"/>
      <c r="B21" s="9"/>
      <c r="C21" s="9"/>
      <c r="D21" s="9"/>
    </row>
    <row r="22" spans="1:4" x14ac:dyDescent="0.25">
      <c r="A22" s="9"/>
      <c r="B22" s="9"/>
      <c r="C22" s="9"/>
      <c r="D22" s="9"/>
    </row>
    <row r="23" spans="1:4" x14ac:dyDescent="0.25">
      <c r="A23" s="9"/>
      <c r="B23" s="9"/>
      <c r="C23" s="9"/>
      <c r="D23" s="9"/>
    </row>
    <row r="24" spans="1:4" x14ac:dyDescent="0.25">
      <c r="A24" s="9" t="s">
        <v>14</v>
      </c>
      <c r="B24" s="9"/>
      <c r="C24" s="9"/>
      <c r="D24" s="9"/>
    </row>
    <row r="25" spans="1:4" x14ac:dyDescent="0.25">
      <c r="A25" s="9" t="s">
        <v>15</v>
      </c>
      <c r="B25" s="9"/>
      <c r="C25" s="9"/>
      <c r="D25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AH20"/>
  <sheetViews>
    <sheetView workbookViewId="0">
      <selection activeCell="B26" sqref="B26"/>
    </sheetView>
  </sheetViews>
  <sheetFormatPr defaultColWidth="8.85546875" defaultRowHeight="15" x14ac:dyDescent="0.25"/>
  <cols>
    <col min="1" max="1" width="44.85546875" customWidth="1"/>
    <col min="11" max="11" width="11.140625" bestFit="1" customWidth="1"/>
  </cols>
  <sheetData>
    <row r="1" spans="1:34" s="6" customFormat="1" x14ac:dyDescent="0.25">
      <c r="A1" s="6" t="s">
        <v>31</v>
      </c>
      <c r="C1" s="8"/>
    </row>
    <row r="2" spans="1:34" customFormat="1" x14ac:dyDescent="0.25"/>
    <row r="3" spans="1:34" customFormat="1" x14ac:dyDescent="0.25">
      <c r="A3" t="s">
        <v>6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4" customFormat="1" x14ac:dyDescent="0.25">
      <c r="A4" s="11" t="s">
        <v>20</v>
      </c>
      <c r="B4">
        <v>10185.9</v>
      </c>
      <c r="C4">
        <v>10567.3</v>
      </c>
      <c r="D4">
        <v>10624.7</v>
      </c>
      <c r="E4">
        <v>10778.6</v>
      </c>
      <c r="F4">
        <v>10972.3</v>
      </c>
      <c r="G4">
        <v>11066.3</v>
      </c>
      <c r="H4">
        <v>11122.6</v>
      </c>
      <c r="I4">
        <v>11182.8</v>
      </c>
      <c r="J4">
        <v>11258.7</v>
      </c>
      <c r="K4">
        <v>11309.6</v>
      </c>
      <c r="L4">
        <v>11370.6</v>
      </c>
      <c r="M4">
        <v>11409</v>
      </c>
      <c r="N4">
        <v>11381.4</v>
      </c>
      <c r="O4">
        <v>11334.7</v>
      </c>
      <c r="P4">
        <v>11294.8</v>
      </c>
      <c r="Q4">
        <v>10299</v>
      </c>
      <c r="R4">
        <v>17292.7</v>
      </c>
      <c r="S4">
        <v>12631.9</v>
      </c>
      <c r="T4">
        <v>11373.7</v>
      </c>
      <c r="U4">
        <v>7995.37</v>
      </c>
      <c r="V4">
        <v>14627.4</v>
      </c>
      <c r="W4">
        <v>12294.1</v>
      </c>
      <c r="X4">
        <v>10572.5</v>
      </c>
      <c r="Y4">
        <v>20810.400000000001</v>
      </c>
      <c r="Z4">
        <v>13595.5</v>
      </c>
      <c r="AA4">
        <v>11349.6</v>
      </c>
      <c r="AB4">
        <v>23934.6</v>
      </c>
      <c r="AC4">
        <v>13708.6</v>
      </c>
      <c r="AD4">
        <v>10064.299999999999</v>
      </c>
      <c r="AE4">
        <v>21318.6</v>
      </c>
      <c r="AH4" s="7"/>
    </row>
    <row r="5" spans="1:34" customFormat="1" x14ac:dyDescent="0.25">
      <c r="A5" t="s">
        <v>21</v>
      </c>
      <c r="B5">
        <v>4260.49</v>
      </c>
      <c r="C5">
        <v>4918.7299999999996</v>
      </c>
      <c r="D5">
        <v>5012.6899999999996</v>
      </c>
      <c r="E5">
        <v>5143.4399999999996</v>
      </c>
      <c r="F5">
        <v>5301.45</v>
      </c>
      <c r="G5">
        <v>5408.32</v>
      </c>
      <c r="H5">
        <v>5501.93</v>
      </c>
      <c r="I5">
        <v>5580.31</v>
      </c>
      <c r="J5">
        <v>5667.82</v>
      </c>
      <c r="K5">
        <v>5748.58</v>
      </c>
      <c r="L5">
        <v>5822.41</v>
      </c>
      <c r="M5">
        <v>5881.54</v>
      </c>
      <c r="N5">
        <v>5903.72</v>
      </c>
      <c r="O5">
        <v>5900.18</v>
      </c>
      <c r="P5">
        <v>5937.77</v>
      </c>
      <c r="Q5">
        <v>5503.24</v>
      </c>
      <c r="R5">
        <v>9567.31</v>
      </c>
      <c r="S5">
        <v>6890.15</v>
      </c>
      <c r="T5">
        <v>6147.6</v>
      </c>
      <c r="U5">
        <v>4205.6499999999996</v>
      </c>
      <c r="V5">
        <v>8179.5</v>
      </c>
      <c r="W5">
        <v>6822.99</v>
      </c>
      <c r="X5">
        <v>5818.31</v>
      </c>
      <c r="Y5">
        <v>12434.1</v>
      </c>
      <c r="Z5">
        <v>7474.48</v>
      </c>
      <c r="AA5">
        <v>5969.17</v>
      </c>
      <c r="AB5">
        <v>14885.3</v>
      </c>
      <c r="AC5">
        <v>7079.23</v>
      </c>
      <c r="AD5">
        <v>5260.41</v>
      </c>
      <c r="AE5">
        <v>12946.9</v>
      </c>
    </row>
    <row r="6" spans="1:34" customFormat="1" x14ac:dyDescent="0.25"/>
    <row r="7" spans="1:34" customFormat="1" x14ac:dyDescent="0.25">
      <c r="A7" t="s">
        <v>33</v>
      </c>
      <c r="C7" s="16">
        <f>(C4-B4)/B4</f>
        <v>3.7443917572330343E-2</v>
      </c>
      <c r="D7" s="16">
        <f t="shared" ref="D7:AE7" si="0">(D4-C4)/C4</f>
        <v>5.4318510877898289E-3</v>
      </c>
      <c r="E7" s="16">
        <f t="shared" si="0"/>
        <v>1.4485114873831697E-2</v>
      </c>
      <c r="F7" s="16">
        <f t="shared" si="0"/>
        <v>1.7970793980665291E-2</v>
      </c>
      <c r="G7" s="16">
        <f t="shared" si="0"/>
        <v>8.5670278792960453E-3</v>
      </c>
      <c r="H7" s="16">
        <f t="shared" si="0"/>
        <v>5.0875179599325065E-3</v>
      </c>
      <c r="I7" s="16">
        <f t="shared" si="0"/>
        <v>5.4124035747036576E-3</v>
      </c>
      <c r="J7" s="16">
        <f t="shared" si="0"/>
        <v>6.7872089279966972E-3</v>
      </c>
      <c r="K7" s="16">
        <f t="shared" si="0"/>
        <v>4.5209482444686895E-3</v>
      </c>
      <c r="L7" s="16">
        <f t="shared" si="0"/>
        <v>5.3936478743722149E-3</v>
      </c>
      <c r="M7" s="16">
        <f t="shared" si="0"/>
        <v>3.3771304944329793E-3</v>
      </c>
      <c r="N7" s="16">
        <f t="shared" si="0"/>
        <v>-2.4191427820142311E-3</v>
      </c>
      <c r="O7" s="16">
        <f t="shared" si="0"/>
        <v>-4.1031858998013346E-3</v>
      </c>
      <c r="P7" s="16">
        <f t="shared" si="0"/>
        <v>-3.5201637449602946E-3</v>
      </c>
      <c r="Q7" s="16">
        <f t="shared" si="0"/>
        <v>-8.8164465063569022E-2</v>
      </c>
      <c r="R7" s="16">
        <f t="shared" si="0"/>
        <v>0.67906592873094485</v>
      </c>
      <c r="S7" s="16">
        <f t="shared" si="0"/>
        <v>-0.26952413446136236</v>
      </c>
      <c r="T7" s="16">
        <f t="shared" si="0"/>
        <v>-9.9604968373720418E-2</v>
      </c>
      <c r="U7" s="16">
        <f t="shared" si="0"/>
        <v>-0.29702999024064292</v>
      </c>
      <c r="V7" s="16">
        <f t="shared" si="0"/>
        <v>0.82948381375721192</v>
      </c>
      <c r="W7" s="16">
        <f t="shared" si="0"/>
        <v>-0.15951570340593677</v>
      </c>
      <c r="X7" s="16">
        <f t="shared" si="0"/>
        <v>-0.14003465076744132</v>
      </c>
      <c r="Y7" s="16">
        <f t="shared" si="0"/>
        <v>0.96835185623078757</v>
      </c>
      <c r="Z7" s="16">
        <f t="shared" si="0"/>
        <v>-0.34669684388574951</v>
      </c>
      <c r="AA7" s="16">
        <f t="shared" si="0"/>
        <v>-0.16519436578279575</v>
      </c>
      <c r="AB7" s="16">
        <f t="shared" si="0"/>
        <v>1.1088496510890249</v>
      </c>
      <c r="AC7" s="16">
        <f t="shared" si="0"/>
        <v>-0.42724758299700011</v>
      </c>
      <c r="AD7" s="16">
        <f t="shared" si="0"/>
        <v>-0.26584042134134783</v>
      </c>
      <c r="AE7" s="16">
        <f t="shared" si="0"/>
        <v>1.118239718609342</v>
      </c>
    </row>
    <row r="9" spans="1:34" s="6" customFormat="1" x14ac:dyDescent="0.25">
      <c r="A9" s="6" t="s">
        <v>30</v>
      </c>
      <c r="C9" s="8"/>
    </row>
    <row r="10" spans="1:34" s="2" customFormat="1" x14ac:dyDescent="0.25">
      <c r="A10" s="2" t="s">
        <v>10</v>
      </c>
    </row>
    <row r="11" spans="1:34" customFormat="1" x14ac:dyDescent="0.25">
      <c r="A11" s="2" t="s">
        <v>18</v>
      </c>
      <c r="E11" s="2"/>
    </row>
    <row r="13" spans="1:34" customFormat="1" x14ac:dyDescent="0.25">
      <c r="C13" s="10">
        <v>2019</v>
      </c>
      <c r="D13" s="10">
        <v>2020</v>
      </c>
      <c r="E13" s="10">
        <v>2021</v>
      </c>
      <c r="F13" s="10">
        <v>2022</v>
      </c>
    </row>
    <row r="14" spans="1:34" customFormat="1" x14ac:dyDescent="0.25">
      <c r="A14" t="s">
        <v>19</v>
      </c>
      <c r="C14">
        <v>118</v>
      </c>
      <c r="D14">
        <v>104</v>
      </c>
      <c r="E14">
        <v>70</v>
      </c>
      <c r="F14">
        <v>130</v>
      </c>
    </row>
    <row r="16" spans="1:34" s="6" customFormat="1" x14ac:dyDescent="0.25">
      <c r="A16" s="6" t="s">
        <v>32</v>
      </c>
      <c r="C16" s="8"/>
    </row>
    <row r="18" spans="1:31" customFormat="1" x14ac:dyDescent="0.25">
      <c r="B18">
        <v>2021</v>
      </c>
      <c r="C18">
        <v>2022</v>
      </c>
      <c r="D18">
        <v>2023</v>
      </c>
      <c r="E18">
        <v>2024</v>
      </c>
      <c r="F18">
        <v>2025</v>
      </c>
      <c r="G18">
        <v>2026</v>
      </c>
      <c r="H18">
        <v>2027</v>
      </c>
      <c r="I18">
        <v>2028</v>
      </c>
      <c r="J18">
        <v>2029</v>
      </c>
      <c r="K18">
        <v>2030</v>
      </c>
      <c r="L18">
        <v>2031</v>
      </c>
      <c r="M18">
        <v>2032</v>
      </c>
      <c r="N18">
        <v>2033</v>
      </c>
      <c r="O18">
        <v>2034</v>
      </c>
      <c r="P18">
        <v>2035</v>
      </c>
      <c r="Q18">
        <v>2036</v>
      </c>
      <c r="R18">
        <v>2037</v>
      </c>
      <c r="S18">
        <v>2038</v>
      </c>
      <c r="T18">
        <v>2039</v>
      </c>
      <c r="U18">
        <v>2040</v>
      </c>
      <c r="V18">
        <v>2041</v>
      </c>
      <c r="W18">
        <v>2042</v>
      </c>
      <c r="X18">
        <v>2043</v>
      </c>
      <c r="Y18">
        <v>2044</v>
      </c>
      <c r="Z18">
        <v>2045</v>
      </c>
      <c r="AA18">
        <v>2046</v>
      </c>
      <c r="AB18">
        <v>2047</v>
      </c>
      <c r="AC18">
        <v>2048</v>
      </c>
      <c r="AD18">
        <v>2049</v>
      </c>
      <c r="AE18">
        <v>2050</v>
      </c>
    </row>
    <row r="19" spans="1:31" customFormat="1" x14ac:dyDescent="0.25">
      <c r="A19" t="s">
        <v>19</v>
      </c>
      <c r="B19" s="15">
        <f>E14</f>
        <v>70</v>
      </c>
      <c r="C19" s="15">
        <f>F14</f>
        <v>130</v>
      </c>
      <c r="D19" s="4">
        <f>($K$19-$C$19)/COUNT($D$18:$K$18)+C19</f>
        <v>318.73649999999998</v>
      </c>
      <c r="E19" s="4">
        <f t="shared" ref="E19:J19" si="1">($K$19-$C$19)/COUNT($D$18:$K$18)+D19</f>
        <v>507.47299999999996</v>
      </c>
      <c r="F19" s="4">
        <f t="shared" si="1"/>
        <v>696.20949999999993</v>
      </c>
      <c r="G19" s="4">
        <f t="shared" si="1"/>
        <v>884.94599999999991</v>
      </c>
      <c r="H19" s="4">
        <f t="shared" si="1"/>
        <v>1073.6824999999999</v>
      </c>
      <c r="I19" s="4">
        <f t="shared" si="1"/>
        <v>1262.4189999999999</v>
      </c>
      <c r="J19" s="4">
        <f t="shared" si="1"/>
        <v>1451.1554999999998</v>
      </c>
      <c r="K19" s="17">
        <f>About!$A$24*K4</f>
        <v>1639.8920000000001</v>
      </c>
      <c r="L19" s="18">
        <f>K19</f>
        <v>1639.8920000000001</v>
      </c>
      <c r="M19" s="18">
        <f t="shared" ref="M19:AE19" si="2">L19</f>
        <v>1639.8920000000001</v>
      </c>
      <c r="N19" s="18">
        <f t="shared" si="2"/>
        <v>1639.8920000000001</v>
      </c>
      <c r="O19" s="18">
        <f t="shared" si="2"/>
        <v>1639.8920000000001</v>
      </c>
      <c r="P19" s="18">
        <f t="shared" si="2"/>
        <v>1639.8920000000001</v>
      </c>
      <c r="Q19" s="18">
        <f t="shared" si="2"/>
        <v>1639.8920000000001</v>
      </c>
      <c r="R19" s="18">
        <f t="shared" si="2"/>
        <v>1639.8920000000001</v>
      </c>
      <c r="S19" s="18">
        <f t="shared" si="2"/>
        <v>1639.8920000000001</v>
      </c>
      <c r="T19" s="18">
        <f t="shared" si="2"/>
        <v>1639.8920000000001</v>
      </c>
      <c r="U19" s="18">
        <f t="shared" si="2"/>
        <v>1639.8920000000001</v>
      </c>
      <c r="V19" s="18">
        <f t="shared" si="2"/>
        <v>1639.8920000000001</v>
      </c>
      <c r="W19" s="18">
        <f t="shared" si="2"/>
        <v>1639.8920000000001</v>
      </c>
      <c r="X19" s="18">
        <f t="shared" si="2"/>
        <v>1639.8920000000001</v>
      </c>
      <c r="Y19" s="18">
        <f t="shared" si="2"/>
        <v>1639.8920000000001</v>
      </c>
      <c r="Z19" s="18">
        <f t="shared" si="2"/>
        <v>1639.8920000000001</v>
      </c>
      <c r="AA19" s="18">
        <f t="shared" si="2"/>
        <v>1639.8920000000001</v>
      </c>
      <c r="AB19" s="18">
        <f t="shared" si="2"/>
        <v>1639.8920000000001</v>
      </c>
      <c r="AC19" s="18">
        <f t="shared" si="2"/>
        <v>1639.8920000000001</v>
      </c>
      <c r="AD19" s="18">
        <f t="shared" si="2"/>
        <v>1639.8920000000001</v>
      </c>
      <c r="AE19" s="18">
        <f t="shared" si="2"/>
        <v>1639.8920000000001</v>
      </c>
    </row>
    <row r="20" spans="1:31" customFormat="1" x14ac:dyDescent="0.25"/>
  </sheetData>
  <hyperlinks>
    <hyperlink ref="A11" r:id="rId1" xr:uid="{E4B16B2A-F24C-074A-A8EC-4FFFA6E3010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"/>
  <sheetViews>
    <sheetView workbookViewId="0">
      <selection activeCell="D15" sqref="D15"/>
    </sheetView>
  </sheetViews>
  <sheetFormatPr defaultColWidth="8.85546875" defaultRowHeight="15" x14ac:dyDescent="0.25"/>
  <cols>
    <col min="1" max="1" width="19.42578125" customWidth="1"/>
  </cols>
  <sheetData>
    <row r="1" spans="1:31" x14ac:dyDescent="0.25">
      <c r="A1" s="1" t="s">
        <v>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s="1" t="s">
        <v>8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2"/>
  <sheetViews>
    <sheetView workbookViewId="0"/>
  </sheetViews>
  <sheetFormatPr defaultColWidth="8.85546875" defaultRowHeight="15" x14ac:dyDescent="0.25"/>
  <cols>
    <col min="1" max="1" width="21" customWidth="1"/>
  </cols>
  <sheetData>
    <row r="1" spans="1:31" x14ac:dyDescent="0.25">
      <c r="A1" s="1" t="s">
        <v>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ht="30" x14ac:dyDescent="0.25">
      <c r="A2" s="5" t="s">
        <v>9</v>
      </c>
      <c r="B2" s="19">
        <f>Calculations!B19</f>
        <v>70</v>
      </c>
      <c r="C2" s="19">
        <f>Calculations!C19</f>
        <v>130</v>
      </c>
      <c r="D2" s="19">
        <f>Calculations!D19</f>
        <v>318.73649999999998</v>
      </c>
      <c r="E2" s="19">
        <f>Calculations!E19</f>
        <v>507.47299999999996</v>
      </c>
      <c r="F2" s="19">
        <f>Calculations!F19</f>
        <v>696.20949999999993</v>
      </c>
      <c r="G2" s="19">
        <f>Calculations!G19</f>
        <v>884.94599999999991</v>
      </c>
      <c r="H2" s="19">
        <f>Calculations!H19</f>
        <v>1073.6824999999999</v>
      </c>
      <c r="I2" s="19">
        <f>Calculations!I19</f>
        <v>1262.4189999999999</v>
      </c>
      <c r="J2" s="19">
        <f>Calculations!J19</f>
        <v>1451.1554999999998</v>
      </c>
      <c r="K2" s="19">
        <f>Calculations!K19</f>
        <v>1639.8920000000001</v>
      </c>
      <c r="L2" s="19">
        <f>Calculations!L19</f>
        <v>1639.8920000000001</v>
      </c>
      <c r="M2" s="19">
        <f>Calculations!M19</f>
        <v>1639.8920000000001</v>
      </c>
      <c r="N2" s="19">
        <f>Calculations!N19</f>
        <v>1639.8920000000001</v>
      </c>
      <c r="O2" s="19">
        <f>Calculations!O19</f>
        <v>1639.8920000000001</v>
      </c>
      <c r="P2" s="19">
        <f>Calculations!P19</f>
        <v>1639.8920000000001</v>
      </c>
      <c r="Q2" s="19">
        <f>Calculations!Q19</f>
        <v>1639.8920000000001</v>
      </c>
      <c r="R2" s="19">
        <f>Calculations!R19</f>
        <v>1639.8920000000001</v>
      </c>
      <c r="S2" s="19">
        <f>Calculations!S19</f>
        <v>1639.8920000000001</v>
      </c>
      <c r="T2" s="19">
        <f>Calculations!T19</f>
        <v>1639.8920000000001</v>
      </c>
      <c r="U2" s="19">
        <f>Calculations!U19</f>
        <v>1639.8920000000001</v>
      </c>
      <c r="V2" s="19">
        <f>Calculations!V19</f>
        <v>1639.8920000000001</v>
      </c>
      <c r="W2" s="19">
        <f>Calculations!W19</f>
        <v>1639.8920000000001</v>
      </c>
      <c r="X2" s="19">
        <f>Calculations!X19</f>
        <v>1639.8920000000001</v>
      </c>
      <c r="Y2" s="19">
        <f>Calculations!Y19</f>
        <v>1639.8920000000001</v>
      </c>
      <c r="Z2" s="19">
        <f>Calculations!Z19</f>
        <v>1639.8920000000001</v>
      </c>
      <c r="AA2" s="19">
        <f>Calculations!AA19</f>
        <v>1639.8920000000001</v>
      </c>
      <c r="AB2" s="19">
        <f>Calculations!AB19</f>
        <v>1639.8920000000001</v>
      </c>
      <c r="AC2" s="19">
        <f>Calculations!AC19</f>
        <v>1639.8920000000001</v>
      </c>
      <c r="AD2" s="19">
        <f>Calculations!AD19</f>
        <v>1639.8920000000001</v>
      </c>
      <c r="AE2" s="19">
        <f>Calculations!AE19</f>
        <v>1639.8920000000001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57B2780BAD0A45A02FA065B9C6CC6A" ma:contentTypeVersion="17" ma:contentTypeDescription="Create a new document." ma:contentTypeScope="" ma:versionID="54b727ac31dab95898e9cf92f0402afe">
  <xsd:schema xmlns:xsd="http://www.w3.org/2001/XMLSchema" xmlns:xs="http://www.w3.org/2001/XMLSchema" xmlns:p="http://schemas.microsoft.com/office/2006/metadata/properties" xmlns:ns2="cb176f07-3112-4ee9-93fd-ae2cb5f3e433" xmlns:ns3="6b15a3a4-8173-42d6-9deb-398ec38eca4b" targetNamespace="http://schemas.microsoft.com/office/2006/metadata/properties" ma:root="true" ma:fieldsID="42611c3eb46fef4c2b2610d1e51cc1b0" ns2:_="" ns3:_="">
    <xsd:import namespace="cb176f07-3112-4ee9-93fd-ae2cb5f3e433"/>
    <xsd:import namespace="6b15a3a4-8173-42d6-9deb-398ec38eca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176f07-3112-4ee9-93fd-ae2cb5f3e4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a0deac2-43b9-460d-a4eb-012f87ec990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5a3a4-8173-42d6-9deb-398ec38eca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af201a3-c970-477d-b8ee-c5923cb026e5}" ma:internalName="TaxCatchAll" ma:showField="CatchAllData" ma:web="6b15a3a4-8173-42d6-9deb-398ec38eca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A69326-0AE3-4ED9-B194-0C025F2DBE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176f07-3112-4ee9-93fd-ae2cb5f3e433"/>
    <ds:schemaRef ds:uri="6b15a3a4-8173-42d6-9deb-398ec38eca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688730-E746-4F6D-A8FC-7D3E96F062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Peak Demand Time</vt:lpstr>
      <vt:lpstr>Calculations</vt:lpstr>
      <vt:lpstr>DRC-BDRC</vt:lpstr>
      <vt:lpstr>DRC-PADRC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Minshu Deng</cp:lastModifiedBy>
  <cp:revision/>
  <cp:lastPrinted>2024-09-06T22:24:11Z</cp:lastPrinted>
  <dcterms:created xsi:type="dcterms:W3CDTF">2014-08-26T00:34:41Z</dcterms:created>
  <dcterms:modified xsi:type="dcterms:W3CDTF">2024-09-06T22:59:34Z</dcterms:modified>
  <cp:category/>
  <cp:contentStatus/>
</cp:coreProperties>
</file>