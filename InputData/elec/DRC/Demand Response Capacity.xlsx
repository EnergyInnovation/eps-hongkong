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yang.zhang\Desktop\eps-us-3.4.7 HK working\InputData\elec\DRC\"/>
    </mc:Choice>
  </mc:AlternateContent>
  <xr:revisionPtr revIDLastSave="0" documentId="13_ncr:1_{EDE142BA-0100-4B6D-A891-431F5237046D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About" sheetId="1" r:id="rId1"/>
    <sheet name="Peak Demand Time" sheetId="6" r:id="rId2"/>
    <sheet name="Calculations" sheetId="4" r:id="rId3"/>
    <sheet name="DRC-BDRC" sheetId="5" r:id="rId4"/>
    <sheet name="DRC-PADRC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6" l="1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C2" i="2"/>
  <c r="B2" i="2" s="1"/>
  <c r="F3" i="4" a="1"/>
  <c r="F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<sst xmlns="http://schemas.openxmlformats.org/spreadsheetml/2006/main" count="33" uniqueCount="30">
  <si>
    <t>DRC BAU Demand Response Capacity</t>
  </si>
  <si>
    <t>DRC Potential Additional Demand Response Capacity</t>
  </si>
  <si>
    <t>Sources:</t>
  </si>
  <si>
    <t>Notes:</t>
  </si>
  <si>
    <t>Demand response is defined as the potential to reduce or shift electricity usage during peak</t>
  </si>
  <si>
    <t>periods in response to time-based rates or other financial incentives.</t>
  </si>
  <si>
    <t>To estimate BAU DR Capacity, we scale Brattle's 2019 estimate of demand response potential by</t>
  </si>
  <si>
    <t>the growth in peak demand (EPS model output).</t>
  </si>
  <si>
    <t>We use a Brattle analysis to estimate the potential in 2030, and scale the potential between 2019 and 2030 linearly.</t>
  </si>
  <si>
    <t>We then scale the potential from 2030 to 2050 by the growth in peak demand (EPS model output).</t>
  </si>
  <si>
    <t>Time (Year)</t>
  </si>
  <si>
    <t>Peak Power Demand after Storage and DR[summer] : MostRecentRun</t>
  </si>
  <si>
    <t>Year</t>
  </si>
  <si>
    <t>DR Capacity (MW)</t>
  </si>
  <si>
    <t>Potential Additional DR Capacity (MW)</t>
  </si>
  <si>
    <t>Peak Demand - EPS Output (CLP)</t>
  </si>
  <si>
    <t>https://www.censtatd.gov.hk/en/wbr.html?ecode=B11000022022AN22&amp;scode=90</t>
  </si>
  <si>
    <t>p.29</t>
  </si>
  <si>
    <t>Peak Demand</t>
  </si>
  <si>
    <t>average:</t>
  </si>
  <si>
    <t>There is no discernible trend of peak demand over the past 10 years.</t>
  </si>
  <si>
    <t>Thus we assume peak demand to stay constant at the average of the last 10 years.</t>
  </si>
  <si>
    <t>Hong Kong Energy Statistics Annual Report 2022</t>
  </si>
  <si>
    <t>https://www.censtatd.gov.hk/en/data/stat_report/product/B1100002/att/B11000022021AN21B0100.pdf</t>
  </si>
  <si>
    <t>Demand Response CLP - Snapshot of CLP in 2022</t>
  </si>
  <si>
    <t xml:space="preserve">https://www.clpgroup.com/content/dam/clp-group/channels/media/document/publications/A%20Snapshot%20of%20CLP%20in%202022_Eng.pdf </t>
  </si>
  <si>
    <t>MW reduction</t>
  </si>
  <si>
    <t>2020 Capacity</t>
  </si>
  <si>
    <t>2050 Projection</t>
  </si>
  <si>
    <t xml:space="preserve">NOTE: Although CLP has its own peak demand response capactiy scheme, it has very limited coverage so it is hard to project the demand response forward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</si>
</sst>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10" fontId="1" fillId="0" borderId="0" xfId="0" applyNumberFormat="1" applyFont="1" applyAlignment="1">
      <alignment horizontal="left"/>
    </xf>
    <xf numFmtId="1" fontId="0" fillId="0" borderId="0" xfId="0" applyNumberFormat="1"/>
    <xf numFmtId="0" fontId="1" fillId="0" borderId="0" xfId="0" applyFont="1" applyAlignment="1">
      <alignment wrapText="1"/>
    </xf>
    <xf numFmtId="0" fontId="1" fillId="2" borderId="0" xfId="0" applyFont="1" applyFill="1"/>
    <xf numFmtId="11" fontId="0" fillId="0" borderId="0" xfId="0" applyNumberFormat="1"/>
    <xf numFmtId="0" fontId="2" fillId="2" borderId="0" xfId="1" applyFill="1"/>
    <xf numFmtId="0" fontId="3" fillId="0" borderId="0" xfId="0" applyFont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'Peak Demand Time'!$B$4</c:f>
              <c:strCache>
                <c:ptCount val="1"/>
                <c:pt idx="0">
                  <c:v>Peak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'Peak Demand Time'!$A$5:$A$16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'Peak Demand Time'!$B$5:$B$16</c:f>
              <c:numCache>
                <c:formatCode>General</c:formatCode>
                <c:ptCount val="12"/>
                <c:pt idx="0">
                  <c:v>10296</c:v>
                </c:pt>
                <c:pt idx="1">
                  <c:v>9925</c:v>
                </c:pt>
                <c:pt idx="2">
                  <c:v>10068</c:v>
                </c:pt>
                <c:pt idx="3">
                  <c:v>9962</c:v>
                </c:pt>
                <c:pt idx="4">
                  <c:v>10009</c:v>
                </c:pt>
                <c:pt idx="5">
                  <c:v>9937</c:v>
                </c:pt>
                <c:pt idx="6">
                  <c:v>10696</c:v>
                </c:pt>
                <c:pt idx="7">
                  <c:v>9692</c:v>
                </c:pt>
                <c:pt idx="8">
                  <c:v>9601</c:v>
                </c:pt>
                <c:pt idx="9">
                  <c:v>9670</c:v>
                </c:pt>
                <c:pt idx="10">
                  <c:v>9942</c:v>
                </c:pt>
                <c:pt idx="11">
                  <c:v>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C1-EB47-B12A-7C022007F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44719"/>
        <c:axId val="343416143"/>
      </c:lineChart>
      <c:catAx>
        <c:axId val="5174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16143"/>
        <c:crosses val="autoZero"/>
        <c:auto val="1"/>
        <c:lblAlgn val="ctr"/>
        <c:lblOffset val="100"/>
        <c:noMultiLvlLbl val="0"/>
      </c:catAx>
      <c:valAx>
        <c:axId val="34341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819150</xdr:colOff>
      <xdr:row>2</xdr:row>
      <xdr:rowOff>0</xdr:rowOff>
    </xdr:from>
    <xdr:to>
      <xdr:col>9</xdr:col>
      <xdr:colOff>812800</xdr:colOff>
      <xdr:row>21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546933-B16B-17E5-EC0C-F35580D8F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clpgroup.com/content/dam/clp-group/channels/media/document/publications/A%20Snapshot%20of%20CLP%20in%202022_Eng.pdf" TargetMode="External"/><Relationship Id="rId1" Type="http://schemas.openxmlformats.org/officeDocument/2006/relationships/hyperlink" Target="https://www.censtatd.gov.hk/en/wbr.html?ecode=B11000022022AN22&amp;scode=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opLeftCell="A13" workbookViewId="0">
      <selection activeCell="K28" sqref="K28"/>
    </sheetView>
  </sheetViews>
  <sheetFormatPr defaultColWidth="8.81640625" defaultRowHeight="14.5" x14ac:dyDescent="0.35"/>
  <cols>
    <col min="2" max="2" width="28.453125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1" t="s">
        <v>2</v>
      </c>
      <c r="B4" s="6" t="s">
        <v>27</v>
      </c>
    </row>
    <row r="5" spans="1:2" x14ac:dyDescent="0.35">
      <c r="B5" t="s">
        <v>22</v>
      </c>
    </row>
    <row r="6" spans="1:2" x14ac:dyDescent="0.35">
      <c r="B6" t="s">
        <v>16</v>
      </c>
    </row>
    <row r="8" spans="1:2" x14ac:dyDescent="0.35">
      <c r="B8" s="6" t="s">
        <v>28</v>
      </c>
    </row>
    <row r="11" spans="1:2" x14ac:dyDescent="0.35">
      <c r="A11" s="1" t="s">
        <v>3</v>
      </c>
    </row>
    <row r="12" spans="1:2" x14ac:dyDescent="0.35">
      <c r="A12" t="s">
        <v>4</v>
      </c>
    </row>
    <row r="13" spans="1:2" x14ac:dyDescent="0.35">
      <c r="A13" t="s">
        <v>5</v>
      </c>
    </row>
    <row r="14" spans="1:2" x14ac:dyDescent="0.35">
      <c r="A14" s="1"/>
    </row>
    <row r="15" spans="1:2" x14ac:dyDescent="0.35">
      <c r="A15" t="s">
        <v>6</v>
      </c>
    </row>
    <row r="16" spans="1:2" x14ac:dyDescent="0.35">
      <c r="A16" t="s">
        <v>7</v>
      </c>
    </row>
    <row r="18" spans="1:2" x14ac:dyDescent="0.35">
      <c r="A18" t="s">
        <v>8</v>
      </c>
    </row>
    <row r="19" spans="1:2" x14ac:dyDescent="0.35">
      <c r="A19" t="s">
        <v>9</v>
      </c>
    </row>
    <row r="21" spans="1:2" x14ac:dyDescent="0.35">
      <c r="A21" t="s">
        <v>29</v>
      </c>
    </row>
    <row r="26" spans="1:2" x14ac:dyDescent="0.35">
      <c r="B26" s="1"/>
    </row>
    <row r="27" spans="1:2" x14ac:dyDescent="0.35">
      <c r="B27" s="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7D0E-654C-384D-A408-E7E11AE547D1}">
  <dimension ref="A1:D24"/>
  <sheetViews>
    <sheetView workbookViewId="0">
      <selection activeCell="F38" sqref="F38"/>
    </sheetView>
  </sheetViews>
  <sheetFormatPr defaultColWidth="10.90625" defaultRowHeight="14.5" x14ac:dyDescent="0.35"/>
  <sheetData>
    <row r="1" spans="1:4" x14ac:dyDescent="0.35">
      <c r="A1" s="9"/>
      <c r="B1" s="9"/>
      <c r="C1" s="9" t="s">
        <v>17</v>
      </c>
      <c r="D1" s="2" t="s">
        <v>23</v>
      </c>
    </row>
    <row r="2" spans="1:4" x14ac:dyDescent="0.35">
      <c r="A2" s="9"/>
      <c r="B2" s="9"/>
      <c r="C2" s="9"/>
      <c r="D2" s="9"/>
    </row>
    <row r="3" spans="1:4" x14ac:dyDescent="0.35">
      <c r="A3" s="9"/>
      <c r="B3" s="9"/>
      <c r="C3" s="9"/>
      <c r="D3" s="9"/>
    </row>
    <row r="4" spans="1:4" x14ac:dyDescent="0.35">
      <c r="A4" s="9" t="s">
        <v>12</v>
      </c>
      <c r="B4" s="9" t="s">
        <v>18</v>
      </c>
      <c r="C4" s="9"/>
      <c r="D4" s="9"/>
    </row>
    <row r="5" spans="1:4" x14ac:dyDescent="0.35">
      <c r="A5" s="9">
        <v>2011</v>
      </c>
      <c r="B5" s="9">
        <v>10296</v>
      </c>
      <c r="C5" s="9"/>
      <c r="D5" s="9"/>
    </row>
    <row r="6" spans="1:4" x14ac:dyDescent="0.35">
      <c r="A6" s="9">
        <v>2012</v>
      </c>
      <c r="B6" s="9">
        <v>9925</v>
      </c>
      <c r="C6" s="9"/>
      <c r="D6" s="9"/>
    </row>
    <row r="7" spans="1:4" x14ac:dyDescent="0.35">
      <c r="A7" s="9">
        <v>2013</v>
      </c>
      <c r="B7" s="9">
        <v>10068</v>
      </c>
      <c r="C7" s="9"/>
      <c r="D7" s="9"/>
    </row>
    <row r="8" spans="1:4" x14ac:dyDescent="0.35">
      <c r="A8" s="9">
        <v>2014</v>
      </c>
      <c r="B8" s="9">
        <v>9962</v>
      </c>
      <c r="C8" s="9"/>
      <c r="D8" s="9"/>
    </row>
    <row r="9" spans="1:4" x14ac:dyDescent="0.35">
      <c r="A9" s="9">
        <v>2015</v>
      </c>
      <c r="B9" s="9">
        <v>10009</v>
      </c>
      <c r="C9" s="9"/>
      <c r="D9" s="9"/>
    </row>
    <row r="10" spans="1:4" x14ac:dyDescent="0.35">
      <c r="A10" s="9">
        <v>2016</v>
      </c>
      <c r="B10" s="9">
        <v>9937</v>
      </c>
      <c r="C10" s="9"/>
      <c r="D10" s="9"/>
    </row>
    <row r="11" spans="1:4" x14ac:dyDescent="0.35">
      <c r="A11" s="9">
        <v>2017</v>
      </c>
      <c r="B11" s="9">
        <v>10696</v>
      </c>
      <c r="C11" s="9"/>
      <c r="D11" s="9"/>
    </row>
    <row r="12" spans="1:4" x14ac:dyDescent="0.35">
      <c r="A12" s="9">
        <v>2018</v>
      </c>
      <c r="B12" s="9">
        <v>9692</v>
      </c>
      <c r="C12" s="9"/>
      <c r="D12" s="9"/>
    </row>
    <row r="13" spans="1:4" x14ac:dyDescent="0.35">
      <c r="A13" s="9">
        <v>2019</v>
      </c>
      <c r="B13" s="9">
        <v>9601</v>
      </c>
      <c r="C13" s="9"/>
      <c r="D13" s="9"/>
    </row>
    <row r="14" spans="1:4" x14ac:dyDescent="0.35">
      <c r="A14" s="9">
        <v>2020</v>
      </c>
      <c r="B14" s="9">
        <v>9670</v>
      </c>
      <c r="C14" s="9"/>
      <c r="D14" s="9"/>
    </row>
    <row r="15" spans="1:4" x14ac:dyDescent="0.35">
      <c r="A15" s="9">
        <v>2021</v>
      </c>
      <c r="B15" s="9">
        <v>9942</v>
      </c>
      <c r="C15" s="9"/>
      <c r="D15" s="9"/>
    </row>
    <row r="16" spans="1:4" x14ac:dyDescent="0.35">
      <c r="A16" s="9">
        <v>2022</v>
      </c>
      <c r="B16">
        <v>10104</v>
      </c>
      <c r="C16" s="9"/>
      <c r="D16" s="9"/>
    </row>
    <row r="17" spans="1:4" x14ac:dyDescent="0.35">
      <c r="A17" s="9"/>
      <c r="B17" s="9"/>
      <c r="C17" s="9"/>
      <c r="D17" s="9"/>
    </row>
    <row r="18" spans="1:4" x14ac:dyDescent="0.35">
      <c r="A18" s="9" t="s">
        <v>19</v>
      </c>
      <c r="B18" s="9">
        <f>AVERAGE(B5:B16)</f>
        <v>9991.8333333333339</v>
      </c>
      <c r="C18" s="9"/>
      <c r="D18" s="9"/>
    </row>
    <row r="19" spans="1:4" x14ac:dyDescent="0.35">
      <c r="A19" s="9"/>
      <c r="B19" s="9"/>
      <c r="C19" s="9"/>
      <c r="D19" s="9"/>
    </row>
    <row r="20" spans="1:4" x14ac:dyDescent="0.35">
      <c r="A20" s="9"/>
      <c r="B20" s="9"/>
      <c r="C20" s="9"/>
      <c r="D20" s="9"/>
    </row>
    <row r="21" spans="1:4" x14ac:dyDescent="0.35">
      <c r="A21" s="9"/>
      <c r="B21" s="9"/>
      <c r="C21" s="9"/>
      <c r="D21" s="9"/>
    </row>
    <row r="22" spans="1:4" x14ac:dyDescent="0.35">
      <c r="A22" s="9"/>
      <c r="B22" s="9"/>
      <c r="C22" s="9"/>
      <c r="D22" s="9"/>
    </row>
    <row r="23" spans="1:4" x14ac:dyDescent="0.35">
      <c r="A23" s="9" t="s">
        <v>20</v>
      </c>
      <c r="B23" s="9"/>
      <c r="C23" s="9"/>
      <c r="D23" s="9"/>
    </row>
    <row r="24" spans="1:4" x14ac:dyDescent="0.35">
      <c r="A24" s="9" t="s">
        <v>21</v>
      </c>
      <c r="B24" s="9"/>
      <c r="C24" s="9"/>
      <c r="D24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9"/>
  <sheetViews>
    <sheetView tabSelected="1" workbookViewId="0">
      <selection activeCell="F14" sqref="F14"/>
    </sheetView>
  </sheetViews>
  <sheetFormatPr defaultColWidth="8.81640625" defaultRowHeight="14.5" x14ac:dyDescent="0.35"/>
  <cols>
    <col min="1" max="1" width="18" customWidth="1"/>
  </cols>
  <sheetData>
    <row r="1" spans="1:34" s="6" customFormat="1" x14ac:dyDescent="0.35">
      <c r="A1" s="6" t="s">
        <v>15</v>
      </c>
      <c r="C1" s="8" t="s">
        <v>16</v>
      </c>
    </row>
    <row r="2" spans="1:34" x14ac:dyDescent="0.35">
      <c r="A2" t="s">
        <v>10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4" x14ac:dyDescent="0.35">
      <c r="A3" t="s">
        <v>11</v>
      </c>
      <c r="C3">
        <v>9670</v>
      </c>
      <c r="D3">
        <v>9942</v>
      </c>
      <c r="E3">
        <v>10104</v>
      </c>
      <c r="F3" cm="1">
        <f t="array" ref="F3:AG3">TREND(C3:E3,C2:E2,F2:AG2)</f>
        <v>10339.333333333314</v>
      </c>
      <c r="G3">
        <v>10556.333333333314</v>
      </c>
      <c r="H3">
        <v>10773.333333333314</v>
      </c>
      <c r="I3">
        <v>10990.333333333314</v>
      </c>
      <c r="J3">
        <v>11207.333333333314</v>
      </c>
      <c r="K3">
        <v>11424.333333333314</v>
      </c>
      <c r="L3">
        <v>11641.333333333314</v>
      </c>
      <c r="M3">
        <v>11858.333333333314</v>
      </c>
      <c r="N3">
        <v>12075.333333333314</v>
      </c>
      <c r="O3">
        <v>12292.333333333314</v>
      </c>
      <c r="P3">
        <v>12509.333333333314</v>
      </c>
      <c r="Q3">
        <v>12726.333333333314</v>
      </c>
      <c r="R3">
        <v>12943.333333333314</v>
      </c>
      <c r="S3">
        <v>13160.333333333314</v>
      </c>
      <c r="T3">
        <v>13377.333333333314</v>
      </c>
      <c r="U3">
        <v>13594.333333333314</v>
      </c>
      <c r="V3">
        <v>13811.333333333314</v>
      </c>
      <c r="W3">
        <v>14028.333333333314</v>
      </c>
      <c r="X3">
        <v>14245.333333333314</v>
      </c>
      <c r="Y3">
        <v>14462.333333333314</v>
      </c>
      <c r="Z3">
        <v>14679.333333333314</v>
      </c>
      <c r="AA3">
        <v>14896.333333333314</v>
      </c>
      <c r="AB3">
        <v>15113.333333333314</v>
      </c>
      <c r="AC3">
        <v>15330.333333333314</v>
      </c>
      <c r="AD3">
        <v>15547.333333333314</v>
      </c>
      <c r="AE3">
        <v>15764.333333333314</v>
      </c>
      <c r="AF3">
        <v>15981.333333333314</v>
      </c>
      <c r="AG3">
        <v>16198.333333333314</v>
      </c>
      <c r="AH3" s="7"/>
    </row>
    <row r="6" spans="1:34" x14ac:dyDescent="0.35">
      <c r="A6" t="s">
        <v>24</v>
      </c>
      <c r="E6" s="2" t="s">
        <v>25</v>
      </c>
    </row>
    <row r="8" spans="1:34" x14ac:dyDescent="0.35">
      <c r="C8" s="10">
        <v>2019</v>
      </c>
      <c r="D8" s="10">
        <v>2020</v>
      </c>
      <c r="E8" s="10">
        <v>2021</v>
      </c>
      <c r="F8" s="10">
        <v>2022</v>
      </c>
    </row>
    <row r="9" spans="1:34" x14ac:dyDescent="0.35">
      <c r="A9" t="s">
        <v>26</v>
      </c>
      <c r="C9">
        <v>118</v>
      </c>
      <c r="D9">
        <v>104</v>
      </c>
      <c r="E9">
        <v>70</v>
      </c>
      <c r="F9">
        <v>130</v>
      </c>
    </row>
  </sheetData>
  <hyperlinks>
    <hyperlink ref="C1" r:id="rId1" xr:uid="{B8B6E743-3535-B242-AD51-586DF3E76FC3}"/>
    <hyperlink ref="E6" r:id="rId2" xr:uid="{E4B16B2A-F24C-074A-A8EC-4FFFA6E30104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2"/>
  <sheetViews>
    <sheetView topLeftCell="N1" workbookViewId="0">
      <selection activeCell="V10" sqref="V10"/>
    </sheetView>
  </sheetViews>
  <sheetFormatPr defaultColWidth="8.81640625" defaultRowHeight="14.5" x14ac:dyDescent="0.35"/>
  <cols>
    <col min="1" max="1" width="19.36328125" customWidth="1"/>
  </cols>
  <sheetData>
    <row r="1" spans="1:32" x14ac:dyDescent="0.35">
      <c r="A1" s="1" t="s">
        <v>12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s="1" t="s">
        <v>13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H2"/>
  <sheetViews>
    <sheetView workbookViewId="0">
      <selection activeCell="E16" sqref="D16:E16"/>
    </sheetView>
  </sheetViews>
  <sheetFormatPr defaultColWidth="8.81640625" defaultRowHeight="14.5" x14ac:dyDescent="0.35"/>
  <cols>
    <col min="1" max="1" width="21" customWidth="1"/>
  </cols>
  <sheetData>
    <row r="1" spans="1:34" x14ac:dyDescent="0.35">
      <c r="A1" s="1" t="s">
        <v>12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ht="29" x14ac:dyDescent="0.35">
      <c r="A2" s="5" t="s">
        <v>14</v>
      </c>
      <c r="B2" s="4" t="e">
        <f>C2</f>
        <v>#REF!</v>
      </c>
      <c r="C2" s="4" t="e">
        <f>Calculations!#REF!-'DRC-BDRC'!#REF!</f>
        <v>#REF!</v>
      </c>
      <c r="D2" s="4" t="e">
        <f>TREND(Calculations!#REF!,Calculations!#REF!,'DRC-PADRC'!D1)-'DRC-BDRC'!B2</f>
        <v>#REF!</v>
      </c>
      <c r="E2" s="4" t="e">
        <f>TREND(Calculations!#REF!,Calculations!#REF!,'DRC-PADRC'!E1)-'DRC-BDRC'!C2</f>
        <v>#REF!</v>
      </c>
      <c r="F2" s="4" t="e">
        <f>TREND(Calculations!#REF!,Calculations!#REF!,'DRC-PADRC'!F1)-'DRC-BDRC'!D2</f>
        <v>#REF!</v>
      </c>
      <c r="G2" s="4" t="e">
        <f>TREND(Calculations!#REF!,Calculations!#REF!,'DRC-PADRC'!G1)-'DRC-BDRC'!E2</f>
        <v>#REF!</v>
      </c>
      <c r="H2" s="4" t="e">
        <f>TREND(Calculations!#REF!,Calculations!#REF!,'DRC-PADRC'!H1)-'DRC-BDRC'!F2</f>
        <v>#REF!</v>
      </c>
      <c r="I2" s="4" t="e">
        <f>TREND(Calculations!#REF!,Calculations!#REF!,'DRC-PADRC'!I1)-'DRC-BDRC'!G2</f>
        <v>#REF!</v>
      </c>
      <c r="J2" s="4" t="e">
        <f>TREND(Calculations!#REF!,Calculations!#REF!,'DRC-PADRC'!J1)-'DRC-BDRC'!H2</f>
        <v>#REF!</v>
      </c>
      <c r="K2" s="4" t="e">
        <f>TREND(Calculations!#REF!,Calculations!#REF!,'DRC-PADRC'!K1)-'DRC-BDRC'!I2</f>
        <v>#REF!</v>
      </c>
      <c r="L2" s="4" t="e">
        <f>TREND(Calculations!#REF!,Calculations!#REF!,'DRC-PADRC'!L1)-'DRC-BDRC'!J2</f>
        <v>#REF!</v>
      </c>
      <c r="M2" s="4" t="e">
        <f>TREND(Calculations!#REF!,Calculations!#REF!,'DRC-PADRC'!M1)-'DRC-BDRC'!K2</f>
        <v>#REF!</v>
      </c>
      <c r="N2" s="4" t="e">
        <f>TREND(Calculations!#REF!,Calculations!#REF!,'DRC-PADRC'!N1)-'DRC-BDRC'!L2</f>
        <v>#REF!</v>
      </c>
      <c r="O2" s="4" t="e">
        <f>TREND(Calculations!#REF!,Calculations!#REF!,'DRC-PADRC'!O1)-'DRC-BDRC'!M2</f>
        <v>#REF!</v>
      </c>
      <c r="P2" s="4" t="e">
        <f>TREND(Calculations!#REF!,Calculations!#REF!,'DRC-PADRC'!P1)-'DRC-BDRC'!N2</f>
        <v>#REF!</v>
      </c>
      <c r="Q2" s="4" t="e">
        <f>TREND(Calculations!#REF!,Calculations!#REF!,'DRC-PADRC'!Q1)-'DRC-BDRC'!O2</f>
        <v>#REF!</v>
      </c>
      <c r="R2" s="4" t="e">
        <f>TREND(Calculations!#REF!,Calculations!#REF!,'DRC-PADRC'!R1)-'DRC-BDRC'!P2</f>
        <v>#REF!</v>
      </c>
      <c r="S2" s="4" t="e">
        <f>TREND(Calculations!#REF!,Calculations!#REF!,'DRC-PADRC'!S1)-'DRC-BDRC'!Q2</f>
        <v>#REF!</v>
      </c>
      <c r="T2" s="4" t="e">
        <f>TREND(Calculations!#REF!,Calculations!#REF!,'DRC-PADRC'!T1)-'DRC-BDRC'!R2</f>
        <v>#REF!</v>
      </c>
      <c r="U2" s="4" t="e">
        <f>TREND(Calculations!#REF!,Calculations!#REF!,'DRC-PADRC'!U1)-'DRC-BDRC'!S2</f>
        <v>#REF!</v>
      </c>
      <c r="V2" s="4" t="e">
        <f>TREND(Calculations!#REF!,Calculations!#REF!,'DRC-PADRC'!V1)-'DRC-BDRC'!T2</f>
        <v>#REF!</v>
      </c>
      <c r="W2" s="4" t="e">
        <f>TREND(Calculations!#REF!,Calculations!#REF!,'DRC-PADRC'!W1)-'DRC-BDRC'!U2</f>
        <v>#REF!</v>
      </c>
      <c r="X2" s="4" t="e">
        <f>TREND(Calculations!#REF!,Calculations!#REF!,'DRC-PADRC'!X1)-'DRC-BDRC'!V2</f>
        <v>#REF!</v>
      </c>
      <c r="Y2" s="4" t="e">
        <f>TREND(Calculations!#REF!,Calculations!#REF!,'DRC-PADRC'!Y1)-'DRC-BDRC'!W2</f>
        <v>#REF!</v>
      </c>
      <c r="Z2" s="4" t="e">
        <f>TREND(Calculations!#REF!,Calculations!#REF!,'DRC-PADRC'!Z1)-'DRC-BDRC'!X2</f>
        <v>#REF!</v>
      </c>
      <c r="AA2" s="4" t="e">
        <f>TREND(Calculations!#REF!,Calculations!#REF!,'DRC-PADRC'!AA1)-'DRC-BDRC'!Y2</f>
        <v>#REF!</v>
      </c>
      <c r="AB2" s="4" t="e">
        <f>TREND(Calculations!#REF!,Calculations!#REF!,'DRC-PADRC'!AB1)-'DRC-BDRC'!Z2</f>
        <v>#REF!</v>
      </c>
      <c r="AC2" s="4" t="e">
        <f>TREND(Calculations!#REF!,Calculations!#REF!,'DRC-PADRC'!AC1)-'DRC-BDRC'!AA2</f>
        <v>#REF!</v>
      </c>
      <c r="AD2" s="4" t="e">
        <f>TREND(Calculations!#REF!,Calculations!#REF!,'DRC-PADRC'!AD1)-'DRC-BDRC'!AB2</f>
        <v>#REF!</v>
      </c>
      <c r="AE2" s="4" t="e">
        <f>TREND(Calculations!#REF!,Calculations!#REF!,'DRC-PADRC'!AE1)-'DRC-BDRC'!AC2</f>
        <v>#REF!</v>
      </c>
      <c r="AF2" s="4" t="e">
        <f>TREND(Calculations!#REF!,Calculations!#REF!,'DRC-PADRC'!AF1)-'DRC-BDRC'!AD2</f>
        <v>#REF!</v>
      </c>
      <c r="AG2" s="4" t="e">
        <f>TREND(Calculations!#REF!,Calculations!#REF!,'DRC-PADRC'!AG1)-'DRC-BDRC'!AE2</f>
        <v>#REF!</v>
      </c>
      <c r="AH2" s="4" t="e">
        <f>TREND(Calculations!#REF!,Calculations!#REF!,'DRC-PADRC'!AH1)-'DRC-BDRC'!AF2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688730-E746-4F6D-A8FC-7D3E96F062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A69326-0AE3-4ED9-B194-0C025F2DBE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Peak Demand Time</vt:lpstr>
      <vt:lpstr>Calculations</vt:lpstr>
      <vt:lpstr>DRC-BDRC</vt:lpstr>
      <vt:lpstr>DRC-PADRC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Daiyang Zhang</cp:lastModifiedBy>
  <cp:revision/>
  <dcterms:created xsi:type="dcterms:W3CDTF">2014-08-26T00:34:41Z</dcterms:created>
  <dcterms:modified xsi:type="dcterms:W3CDTF">2024-01-17T04:06:51Z</dcterms:modified>
  <cp:category/>
  <cp:contentStatus/>
</cp:coreProperties>
</file>