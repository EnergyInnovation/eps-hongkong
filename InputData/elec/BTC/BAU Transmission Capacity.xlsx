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7"/>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elec/0 Need to update/BTC/"/>
    </mc:Choice>
  </mc:AlternateContent>
  <xr:revisionPtr revIDLastSave="59" documentId="8_{E7EED0E4-3621-4CED-AA03-E0C0C4F7BD07}" xr6:coauthVersionLast="47" xr6:coauthVersionMax="47" xr10:uidLastSave="{C0956BC8-5F9B-7B41-A8BC-5029FB85D900}"/>
  <bookViews>
    <workbookView xWindow="28840" yWindow="500" windowWidth="38360" windowHeight="21100" activeTab="3" xr2:uid="{00000000-000D-0000-FFFF-FFFF00000000}"/>
  </bookViews>
  <sheets>
    <sheet name="About" sheetId="1" r:id="rId1"/>
    <sheet name="Data" sheetId="2" r:id="rId2"/>
    <sheet name="IIJA" sheetId="4" state="hidden" r:id="rId3"/>
    <sheet name="BTC"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8" i="2"/>
  <c r="A17" i="2" l="1"/>
  <c r="AE2" i="3"/>
  <c r="AF2" i="3"/>
  <c r="J2" i="3"/>
  <c r="R2" i="3"/>
  <c r="Z2" i="3"/>
  <c r="L2" i="3"/>
  <c r="T2" i="3"/>
  <c r="AB2" i="3"/>
  <c r="C2" i="3"/>
  <c r="K2" i="3"/>
  <c r="S2" i="3"/>
  <c r="AA2" i="3"/>
  <c r="D2" i="3"/>
  <c r="E2" i="3"/>
  <c r="F2" i="3"/>
  <c r="G2" i="3"/>
  <c r="O2" i="3"/>
  <c r="W2" i="3"/>
  <c r="B2" i="3"/>
  <c r="P2" i="3"/>
  <c r="X2" i="3"/>
  <c r="I2" i="3"/>
  <c r="Q2" i="3"/>
  <c r="Y2" i="3"/>
  <c r="M2" i="3"/>
  <c r="U2" i="3"/>
  <c r="AC2" i="3"/>
  <c r="N2" i="3"/>
  <c r="AD2" i="3"/>
  <c r="H2" i="3"/>
  <c r="V2" i="3"/>
  <c r="A16" i="2"/>
  <c r="B3" i="4" l="1"/>
  <c r="B2" i="4"/>
  <c r="B1" i="4"/>
  <c r="B4" i="4" s="1"/>
  <c r="D10" i="4" s="1"/>
  <c r="E10" i="4" l="1"/>
  <c r="F10" i="4" s="1"/>
  <c r="G10" i="4" s="1"/>
  <c r="H10" i="4" s="1"/>
  <c r="I10" i="4" s="1"/>
  <c r="J10" i="4" l="1"/>
  <c r="K10" i="4" l="1"/>
  <c r="L10" i="4" l="1"/>
  <c r="O10" i="4" l="1"/>
  <c r="W10" i="4"/>
  <c r="AE10" i="4"/>
  <c r="AC10" i="4"/>
  <c r="V10" i="4"/>
  <c r="P10" i="4"/>
  <c r="X10" i="4"/>
  <c r="AF10" i="4"/>
  <c r="Z10" i="4"/>
  <c r="AA10" i="4"/>
  <c r="N10" i="4"/>
  <c r="Q10" i="4"/>
  <c r="Y10" i="4"/>
  <c r="M10" i="4"/>
  <c r="R10" i="4"/>
  <c r="S10" i="4"/>
  <c r="T10" i="4"/>
  <c r="AB10" i="4"/>
  <c r="U10" i="4"/>
  <c r="AD10" i="4"/>
</calcChain>
</file>

<file path=xl/sharedStrings.xml><?xml version="1.0" encoding="utf-8"?>
<sst xmlns="http://schemas.openxmlformats.org/spreadsheetml/2006/main" count="34" uniqueCount="33">
  <si>
    <t>BTC BAU Transmission Capacity</t>
  </si>
  <si>
    <t>Source:</t>
  </si>
  <si>
    <t>Current Value and Infrastructure Investment and Jobs Act Effects</t>
  </si>
  <si>
    <t>Americans for a Clean Energy Grid and Grid Strategies</t>
  </si>
  <si>
    <t>Transmission Projects Ready to Go: Plugging Into America's Untapped Renewable Resources</t>
  </si>
  <si>
    <t>https://cleanenergygrid.org/wp-content/uploads/2019/04/Transmission-Projects-Ready-to-Go-Final.pdf</t>
  </si>
  <si>
    <t>Page 4</t>
  </si>
  <si>
    <t>Scaling</t>
  </si>
  <si>
    <t>National Renewable Energy Laboratory</t>
  </si>
  <si>
    <t>Renewable Energy Futures Study: Volume 1</t>
  </si>
  <si>
    <t>http://www.nrel.gov/docs/fy12osti/52409-1.pdf</t>
  </si>
  <si>
    <t>Page 3-14, Figure 3-8</t>
  </si>
  <si>
    <t>Number of MW-miles proposed</t>
  </si>
  <si>
    <t>Proposed investment</t>
  </si>
  <si>
    <t>IIJA Funding</t>
  </si>
  <si>
    <t>Number of MW-miles installed through 2030*</t>
  </si>
  <si>
    <t>*assume funding is available through 2026, but due to the long nature of transmission projects,</t>
  </si>
  <si>
    <t>some lines may come online after 2026</t>
  </si>
  <si>
    <t>additional capacity (MW-miles)</t>
  </si>
  <si>
    <t>BAU Transmission Capacity (MW-miles)</t>
  </si>
  <si>
    <t>Generation + Energy Storage Capacity  (MW)</t>
  </si>
  <si>
    <t>Long term capacity6 and energy purchase agreement (MW)</t>
  </si>
  <si>
    <t>MW/km</t>
  </si>
  <si>
    <t>CLP Transmission 2022</t>
  </si>
  <si>
    <t>https://www.clpgroup.com/content/dam/clp-group/channels/investor/document/3-3-financial-reports/2022/e_2022Annual%20Report.pdf</t>
  </si>
  <si>
    <t>HKE Transmission 2022</t>
  </si>
  <si>
    <t>transmission + distribution lines (km)</t>
  </si>
  <si>
    <t>Network Length (km)</t>
  </si>
  <si>
    <t>installed generating capacity (MW)</t>
  </si>
  <si>
    <t>https://www.hkelectric.com/documents/en/CorporateSocialResponsibility/CorporateSocialResponsibility_CDD/Documents/SR2022E.pdf</t>
  </si>
  <si>
    <t xml:space="preserve">Total 2022 Transmission Capacity </t>
  </si>
  <si>
    <t>MW/h</t>
  </si>
  <si>
    <t>NOTE: Hong Kong's two energy companies do not appear to have any future plans on expanding the curent transmission capacity so will assume that the transmission capacity will remain constant until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</si>
</sst>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3" fillId="0" borderId="0" applyFont="0" applyFill="0" applyBorder="0" applyAlignment="0" applyProtection="0"/>
  </cellStyleXfs>
  <cellXfs count="12">
    <xf numFmtId="0" fontId="0" fillId="0" borderId="0" xfId="0"/>
    <xf numFmtId="0" fontId="1" fillId="0" borderId="0" xfId="0" applyFont="1"/>
    <xf numFmtId="11" fontId="0" fillId="0" borderId="0" xfId="0" applyNumberFormat="1"/>
    <xf numFmtId="164" fontId="0" fillId="0" borderId="0" xfId="0" applyNumberFormat="1"/>
    <xf numFmtId="0" fontId="1" fillId="2" borderId="0" xfId="0" applyFont="1" applyFill="1"/>
    <xf numFmtId="0" fontId="0" fillId="0" borderId="0" xfId="0" applyAlignment="1">
      <alignment wrapText="1"/>
    </xf>
    <xf numFmtId="0" fontId="0" fillId="0" borderId="0" xfId="0" applyAlignment="1">
      <alignment horizontal="left" wrapText="1"/>
    </xf>
    <xf numFmtId="0" fontId="2" fillId="0" borderId="0" xfId="1" applyAlignment="1">
      <alignment wrapText="1"/>
    </xf>
    <xf numFmtId="0" fontId="1" fillId="2" borderId="0" xfId="0" applyFont="1" applyFill="1" applyAlignment="1">
      <alignment wrapText="1"/>
    </xf>
    <xf numFmtId="9" fontId="0" fillId="0" borderId="0" xfId="2" applyFont="1"/>
    <xf numFmtId="0" fontId="2" fillId="0" borderId="0" xfId="1"/>
    <xf numFmtId="11" fontId="1" fillId="0" borderId="0" xfId="0" applyNumberFormat="1" applyFont="1"/>
  </cellXfs>
  <cellStyles count="3">
    <cellStyle name="Hyperlink" xfId="1"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leanenergygrid.org/wp-content/uploads/2019/04/Transmission-Projects-Ready-to-Go-Final.pdf" TargetMode="External"/><Relationship Id="rId1" Type="http://schemas.openxmlformats.org/officeDocument/2006/relationships/hyperlink" Target="http://www.nrel.gov/docs/fy12osti/52409-1.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hkelectric.com/documents/en/CorporateSocialResponsibility/CorporateSocialResponsibility_CDD/Documents/SR2022E.pdf" TargetMode="External"/><Relationship Id="rId1" Type="http://schemas.openxmlformats.org/officeDocument/2006/relationships/hyperlink" Target="https://www.clpgroup.com/content/dam/clp-group/channels/investor/document/3-3-financial-reports/2022/e_2022Annual%20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zoomScale="125" workbookViewId="0">
      <selection activeCell="B26" sqref="B26"/>
    </sheetView>
  </sheetViews>
  <sheetFormatPr baseColWidth="10" defaultColWidth="8.83203125" defaultRowHeight="15" x14ac:dyDescent="0.2"/>
  <cols>
    <col min="2" max="2" width="42.5" customWidth="1"/>
  </cols>
  <sheetData>
    <row r="1" spans="1:2" x14ac:dyDescent="0.2">
      <c r="A1" s="1" t="s">
        <v>0</v>
      </c>
    </row>
    <row r="3" spans="1:2" x14ac:dyDescent="0.2">
      <c r="A3" s="1" t="s">
        <v>1</v>
      </c>
      <c r="B3" s="4" t="s">
        <v>2</v>
      </c>
    </row>
    <row r="4" spans="1:2" ht="16" x14ac:dyDescent="0.2">
      <c r="B4" s="5" t="s">
        <v>3</v>
      </c>
    </row>
    <row r="5" spans="1:2" x14ac:dyDescent="0.2">
      <c r="B5" s="6">
        <v>2021</v>
      </c>
    </row>
    <row r="6" spans="1:2" ht="32" x14ac:dyDescent="0.2">
      <c r="B6" s="5" t="s">
        <v>4</v>
      </c>
    </row>
    <row r="7" spans="1:2" ht="48" x14ac:dyDescent="0.2">
      <c r="B7" s="7" t="s">
        <v>5</v>
      </c>
    </row>
    <row r="8" spans="1:2" ht="16" x14ac:dyDescent="0.2">
      <c r="B8" s="5" t="s">
        <v>6</v>
      </c>
    </row>
    <row r="9" spans="1:2" x14ac:dyDescent="0.2">
      <c r="B9" s="5"/>
    </row>
    <row r="10" spans="1:2" ht="16" x14ac:dyDescent="0.2">
      <c r="B10" s="8" t="s">
        <v>7</v>
      </c>
    </row>
    <row r="11" spans="1:2" ht="16" x14ac:dyDescent="0.2">
      <c r="B11" s="5" t="s">
        <v>8</v>
      </c>
    </row>
    <row r="12" spans="1:2" x14ac:dyDescent="0.2">
      <c r="B12" s="6">
        <v>2012</v>
      </c>
    </row>
    <row r="13" spans="1:2" ht="16" x14ac:dyDescent="0.2">
      <c r="B13" s="5" t="s">
        <v>9</v>
      </c>
    </row>
    <row r="14" spans="1:2" ht="16" x14ac:dyDescent="0.2">
      <c r="B14" s="7" t="s">
        <v>10</v>
      </c>
    </row>
    <row r="15" spans="1:2" ht="16" x14ac:dyDescent="0.2">
      <c r="B15" s="5" t="s">
        <v>11</v>
      </c>
    </row>
    <row r="16" spans="1:2" x14ac:dyDescent="0.2">
      <c r="B16" s="5"/>
    </row>
  </sheetData>
  <hyperlinks>
    <hyperlink ref="B14" r:id="rId1" xr:uid="{FF197175-E7A8-4C69-9B18-B36AE5DAEF78}"/>
    <hyperlink ref="B7" r:id="rId2" xr:uid="{971812B8-EF28-3943-BE4E-BFB0BB155C5F}"/>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20"/>
  <sheetViews>
    <sheetView workbookViewId="0">
      <selection activeCell="G33" sqref="G33"/>
    </sheetView>
  </sheetViews>
  <sheetFormatPr baseColWidth="10" defaultColWidth="8.83203125" defaultRowHeight="15" x14ac:dyDescent="0.2"/>
  <cols>
    <col min="1" max="1" width="36.5" customWidth="1"/>
    <col min="2" max="2" width="10.5" bestFit="1" customWidth="1"/>
  </cols>
  <sheetData>
    <row r="2" spans="1:21" x14ac:dyDescent="0.2">
      <c r="U2" s="2"/>
    </row>
    <row r="4" spans="1:21" x14ac:dyDescent="0.2">
      <c r="A4" t="s">
        <v>23</v>
      </c>
      <c r="B4" s="10" t="s">
        <v>24</v>
      </c>
      <c r="K4" s="9"/>
    </row>
    <row r="5" spans="1:21" x14ac:dyDescent="0.2">
      <c r="A5">
        <v>16900</v>
      </c>
      <c r="B5" t="s">
        <v>26</v>
      </c>
    </row>
    <row r="6" spans="1:21" x14ac:dyDescent="0.2">
      <c r="A6">
        <v>17970</v>
      </c>
      <c r="B6" t="s">
        <v>20</v>
      </c>
    </row>
    <row r="7" spans="1:21" x14ac:dyDescent="0.2">
      <c r="A7">
        <v>5098</v>
      </c>
      <c r="B7" t="s">
        <v>21</v>
      </c>
    </row>
    <row r="8" spans="1:21" x14ac:dyDescent="0.2">
      <c r="A8" s="1">
        <f>(A6+A7)/A5</f>
        <v>1.3649704142011834</v>
      </c>
      <c r="B8" t="s">
        <v>22</v>
      </c>
    </row>
    <row r="10" spans="1:21" x14ac:dyDescent="0.2">
      <c r="A10" t="s">
        <v>25</v>
      </c>
      <c r="B10" s="10" t="s">
        <v>29</v>
      </c>
    </row>
    <row r="11" spans="1:21" x14ac:dyDescent="0.2">
      <c r="A11">
        <v>6853</v>
      </c>
      <c r="B11" t="s">
        <v>27</v>
      </c>
    </row>
    <row r="12" spans="1:21" x14ac:dyDescent="0.2">
      <c r="A12">
        <v>3402</v>
      </c>
      <c r="B12" t="s">
        <v>28</v>
      </c>
    </row>
    <row r="13" spans="1:21" x14ac:dyDescent="0.2">
      <c r="A13" s="1">
        <f>A12/A11</f>
        <v>0.49642492339121552</v>
      </c>
      <c r="B13" t="s">
        <v>22</v>
      </c>
    </row>
    <row r="15" spans="1:21" x14ac:dyDescent="0.2">
      <c r="A15" t="s">
        <v>30</v>
      </c>
    </row>
    <row r="16" spans="1:21" x14ac:dyDescent="0.2">
      <c r="A16" s="1">
        <f>A8+A13</f>
        <v>1.8613953375923988</v>
      </c>
      <c r="B16" t="s">
        <v>31</v>
      </c>
    </row>
    <row r="17" spans="1:1" x14ac:dyDescent="0.2">
      <c r="A17" s="11">
        <f>A8+A13</f>
        <v>1.8613953375923988</v>
      </c>
    </row>
    <row r="20" spans="1:1" x14ac:dyDescent="0.2">
      <c r="A20" t="s">
        <v>32</v>
      </c>
    </row>
  </sheetData>
  <hyperlinks>
    <hyperlink ref="B4" r:id="rId1" xr:uid="{30C2AB49-2713-6A4D-B885-57500EA51DB4}"/>
    <hyperlink ref="B10" r:id="rId2" xr:uid="{EC1C737F-8270-094E-87B0-1516F5A2889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E9EE-75BB-4C67-BE26-F56AE2DF869D}">
  <dimension ref="A1:AF13"/>
  <sheetViews>
    <sheetView workbookViewId="0">
      <selection activeCell="A39" sqref="A39"/>
    </sheetView>
  </sheetViews>
  <sheetFormatPr baseColWidth="10" defaultColWidth="8.83203125" defaultRowHeight="15" x14ac:dyDescent="0.2"/>
  <cols>
    <col min="1" max="1" width="31.5" customWidth="1"/>
    <col min="2" max="2" width="12" bestFit="1" customWidth="1"/>
  </cols>
  <sheetData>
    <row r="1" spans="1:32" x14ac:dyDescent="0.2">
      <c r="A1" t="s">
        <v>12</v>
      </c>
      <c r="B1">
        <f>17*10^6</f>
        <v>17000000</v>
      </c>
    </row>
    <row r="2" spans="1:32" x14ac:dyDescent="0.2">
      <c r="A2" t="s">
        <v>13</v>
      </c>
      <c r="B2">
        <f>33*10^9</f>
        <v>33000000000</v>
      </c>
    </row>
    <row r="3" spans="1:32" x14ac:dyDescent="0.2">
      <c r="A3" t="s">
        <v>14</v>
      </c>
      <c r="B3">
        <f>500000000*5</f>
        <v>2500000000</v>
      </c>
    </row>
    <row r="4" spans="1:32" ht="32" x14ac:dyDescent="0.2">
      <c r="A4" s="5" t="s">
        <v>15</v>
      </c>
      <c r="B4" s="2">
        <f>B1/B2*B3</f>
        <v>1287878.7878787878</v>
      </c>
      <c r="D4" s="9"/>
    </row>
    <row r="6" spans="1:32" x14ac:dyDescent="0.2">
      <c r="A6" t="s">
        <v>16</v>
      </c>
    </row>
    <row r="7" spans="1:32" x14ac:dyDescent="0.2">
      <c r="A7" t="s">
        <v>17</v>
      </c>
    </row>
    <row r="9" spans="1:32" x14ac:dyDescent="0.2">
      <c r="B9">
        <v>2020</v>
      </c>
      <c r="C9">
        <v>2021</v>
      </c>
      <c r="D9">
        <v>2022</v>
      </c>
      <c r="E9">
        <v>2023</v>
      </c>
      <c r="F9">
        <v>2024</v>
      </c>
      <c r="G9">
        <v>2025</v>
      </c>
      <c r="H9">
        <v>2026</v>
      </c>
      <c r="I9">
        <v>2027</v>
      </c>
      <c r="J9">
        <v>2028</v>
      </c>
      <c r="K9">
        <v>2029</v>
      </c>
      <c r="L9">
        <v>2030</v>
      </c>
      <c r="M9">
        <v>2031</v>
      </c>
      <c r="N9">
        <v>2032</v>
      </c>
      <c r="O9">
        <v>2033</v>
      </c>
      <c r="P9">
        <v>2034</v>
      </c>
      <c r="Q9">
        <v>2035</v>
      </c>
      <c r="R9">
        <v>2036</v>
      </c>
      <c r="S9">
        <v>2037</v>
      </c>
      <c r="T9">
        <v>2038</v>
      </c>
      <c r="U9">
        <v>2039</v>
      </c>
      <c r="V9">
        <v>2040</v>
      </c>
      <c r="W9">
        <v>2041</v>
      </c>
      <c r="X9">
        <v>2042</v>
      </c>
      <c r="Y9">
        <v>2043</v>
      </c>
      <c r="Z9">
        <v>2044</v>
      </c>
      <c r="AA9">
        <v>2045</v>
      </c>
      <c r="AB9">
        <v>2046</v>
      </c>
      <c r="AC9">
        <v>2047</v>
      </c>
      <c r="AD9">
        <v>2048</v>
      </c>
      <c r="AE9">
        <v>2049</v>
      </c>
      <c r="AF9">
        <v>2050</v>
      </c>
    </row>
    <row r="10" spans="1:32" x14ac:dyDescent="0.2">
      <c r="A10" t="s">
        <v>18</v>
      </c>
      <c r="B10">
        <v>0</v>
      </c>
      <c r="C10">
        <v>0</v>
      </c>
      <c r="D10" s="2">
        <f>$B$4/9</f>
        <v>143097.6430976431</v>
      </c>
      <c r="E10" s="2">
        <f>$B$4/9+D10</f>
        <v>286195.2861952862</v>
      </c>
      <c r="F10" s="2">
        <f t="shared" ref="F10:L10" si="0">$B$4/9+E10</f>
        <v>429292.9292929293</v>
      </c>
      <c r="G10" s="2">
        <f t="shared" si="0"/>
        <v>572390.5723905724</v>
      </c>
      <c r="H10" s="2">
        <f t="shared" si="0"/>
        <v>715488.21548821544</v>
      </c>
      <c r="I10" s="2">
        <f t="shared" si="0"/>
        <v>858585.85858585848</v>
      </c>
      <c r="J10" s="2">
        <f t="shared" si="0"/>
        <v>1001683.5016835015</v>
      </c>
      <c r="K10" s="2">
        <f t="shared" si="0"/>
        <v>1144781.1447811446</v>
      </c>
      <c r="L10" s="2">
        <f t="shared" si="0"/>
        <v>1287878.7878787876</v>
      </c>
      <c r="M10" s="2">
        <f>$L$10</f>
        <v>1287878.7878787876</v>
      </c>
      <c r="N10" s="2">
        <f t="shared" ref="N10:AF10" si="1">$L$10</f>
        <v>1287878.7878787876</v>
      </c>
      <c r="O10" s="2">
        <f t="shared" si="1"/>
        <v>1287878.7878787876</v>
      </c>
      <c r="P10" s="2">
        <f t="shared" si="1"/>
        <v>1287878.7878787876</v>
      </c>
      <c r="Q10" s="2">
        <f t="shared" si="1"/>
        <v>1287878.7878787876</v>
      </c>
      <c r="R10" s="2">
        <f t="shared" si="1"/>
        <v>1287878.7878787876</v>
      </c>
      <c r="S10" s="2">
        <f t="shared" si="1"/>
        <v>1287878.7878787876</v>
      </c>
      <c r="T10" s="2">
        <f t="shared" si="1"/>
        <v>1287878.7878787876</v>
      </c>
      <c r="U10" s="2">
        <f t="shared" si="1"/>
        <v>1287878.7878787876</v>
      </c>
      <c r="V10" s="2">
        <f t="shared" si="1"/>
        <v>1287878.7878787876</v>
      </c>
      <c r="W10" s="2">
        <f t="shared" si="1"/>
        <v>1287878.7878787876</v>
      </c>
      <c r="X10" s="2">
        <f t="shared" si="1"/>
        <v>1287878.7878787876</v>
      </c>
      <c r="Y10" s="2">
        <f t="shared" si="1"/>
        <v>1287878.7878787876</v>
      </c>
      <c r="Z10" s="2">
        <f t="shared" si="1"/>
        <v>1287878.7878787876</v>
      </c>
      <c r="AA10" s="2">
        <f t="shared" si="1"/>
        <v>1287878.7878787876</v>
      </c>
      <c r="AB10" s="2">
        <f t="shared" si="1"/>
        <v>1287878.7878787876</v>
      </c>
      <c r="AC10" s="2">
        <f t="shared" si="1"/>
        <v>1287878.7878787876</v>
      </c>
      <c r="AD10" s="2">
        <f t="shared" si="1"/>
        <v>1287878.7878787876</v>
      </c>
      <c r="AE10" s="2">
        <f t="shared" si="1"/>
        <v>1287878.7878787876</v>
      </c>
      <c r="AF10" s="2">
        <f t="shared" si="1"/>
        <v>1287878.7878787876</v>
      </c>
    </row>
    <row r="13" spans="1:32" x14ac:dyDescent="0.2">
      <c r="K13"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F4"/>
  <sheetViews>
    <sheetView tabSelected="1" topLeftCell="G1" workbookViewId="0">
      <selection activeCell="B2" sqref="B2:AF2"/>
    </sheetView>
  </sheetViews>
  <sheetFormatPr baseColWidth="10" defaultColWidth="8.83203125" defaultRowHeight="15" x14ac:dyDescent="0.2"/>
  <cols>
    <col min="1" max="1" width="38" customWidth="1"/>
    <col min="2" max="32" width="9.5" bestFit="1" customWidth="1"/>
  </cols>
  <sheetData>
    <row r="1" spans="1:32" x14ac:dyDescent="0.2">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2">
      <c r="A2" t="s">
        <v>19</v>
      </c>
      <c r="B2" s="3">
        <f>Data!$A$17</f>
        <v>1.8613953375923988</v>
      </c>
      <c r="C2" s="3">
        <f>Data!$A$17</f>
        <v>1.8613953375923988</v>
      </c>
      <c r="D2" s="3">
        <f>Data!$A$17</f>
        <v>1.8613953375923988</v>
      </c>
      <c r="E2" s="3">
        <f>Data!$A$17</f>
        <v>1.8613953375923988</v>
      </c>
      <c r="F2" s="3">
        <f>Data!$A$17</f>
        <v>1.8613953375923988</v>
      </c>
      <c r="G2" s="3">
        <f>Data!$A$17</f>
        <v>1.8613953375923988</v>
      </c>
      <c r="H2" s="3">
        <f>Data!$A$17</f>
        <v>1.8613953375923988</v>
      </c>
      <c r="I2" s="3">
        <f>Data!$A$17</f>
        <v>1.8613953375923988</v>
      </c>
      <c r="J2" s="3">
        <f>Data!$A$17</f>
        <v>1.8613953375923988</v>
      </c>
      <c r="K2" s="3">
        <f>Data!$A$17</f>
        <v>1.8613953375923988</v>
      </c>
      <c r="L2" s="3">
        <f>Data!$A$17</f>
        <v>1.8613953375923988</v>
      </c>
      <c r="M2" s="3">
        <f>Data!$A$17</f>
        <v>1.8613953375923988</v>
      </c>
      <c r="N2" s="3">
        <f>Data!$A$17</f>
        <v>1.8613953375923988</v>
      </c>
      <c r="O2" s="3">
        <f>Data!$A$17</f>
        <v>1.8613953375923988</v>
      </c>
      <c r="P2" s="3">
        <f>Data!$A$17</f>
        <v>1.8613953375923988</v>
      </c>
      <c r="Q2" s="3">
        <f>Data!$A$17</f>
        <v>1.8613953375923988</v>
      </c>
      <c r="R2" s="3">
        <f>Data!$A$17</f>
        <v>1.8613953375923988</v>
      </c>
      <c r="S2" s="3">
        <f>Data!$A$17</f>
        <v>1.8613953375923988</v>
      </c>
      <c r="T2" s="3">
        <f>Data!$A$17</f>
        <v>1.8613953375923988</v>
      </c>
      <c r="U2" s="3">
        <f>Data!$A$17</f>
        <v>1.8613953375923988</v>
      </c>
      <c r="V2" s="3">
        <f>Data!$A$17</f>
        <v>1.8613953375923988</v>
      </c>
      <c r="W2" s="3">
        <f>Data!$A$17</f>
        <v>1.8613953375923988</v>
      </c>
      <c r="X2" s="3">
        <f>Data!$A$17</f>
        <v>1.8613953375923988</v>
      </c>
      <c r="Y2" s="3">
        <f>Data!$A$17</f>
        <v>1.8613953375923988</v>
      </c>
      <c r="Z2" s="3">
        <f>Data!$A$17</f>
        <v>1.8613953375923988</v>
      </c>
      <c r="AA2" s="3">
        <f>Data!$A$17</f>
        <v>1.8613953375923988</v>
      </c>
      <c r="AB2" s="3">
        <f>Data!$A$17</f>
        <v>1.8613953375923988</v>
      </c>
      <c r="AC2" s="3">
        <f>Data!$A$17</f>
        <v>1.8613953375923988</v>
      </c>
      <c r="AD2" s="3">
        <f>Data!$A$17</f>
        <v>1.8613953375923988</v>
      </c>
      <c r="AE2" s="3">
        <f>Data!$A$17</f>
        <v>1.8613953375923988</v>
      </c>
      <c r="AF2" s="3">
        <f>Data!$A$17</f>
        <v>1.8613953375923988</v>
      </c>
    </row>
    <row r="4" spans="1:32" x14ac:dyDescent="0.2">
      <c r="L4"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58232B-1390-46C9-95D2-D5F8F8F6FB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700B0F-DC87-4CAA-9865-BD90CA79A1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Data</vt:lpstr>
      <vt:lpstr>IIJA</vt:lpstr>
      <vt:lpstr>BTC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2015-07-06T20:49:06Z</dcterms:created>
  <dcterms:modified xsi:type="dcterms:W3CDTF">2023-12-20T02:35:37Z</dcterms:modified>
  <cp:category/>
  <cp:contentStatus/>
</cp:coreProperties>
</file>