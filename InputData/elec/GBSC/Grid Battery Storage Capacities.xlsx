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wrenceiu/Desktop/eps-us-3.4.7 working_D0228_T1015_woking/eps-us-3.4.7 HK working/InputData/elec/GBSC/"/>
    </mc:Choice>
  </mc:AlternateContent>
  <xr:revisionPtr revIDLastSave="0" documentId="13_ncr:1_{BE19261C-1417-5347-8051-6FB0CFEB6876}" xr6:coauthVersionLast="47" xr6:coauthVersionMax="47" xr10:uidLastSave="{00000000-0000-0000-0000-000000000000}"/>
  <bookViews>
    <workbookView xWindow="0" yWindow="760" windowWidth="29040" windowHeight="17640" firstSheet="2" activeTab="9" xr2:uid="{00000000-000D-0000-FFFF-FFFF00000000}"/>
  </bookViews>
  <sheets>
    <sheet name="About" sheetId="1" r:id="rId1"/>
    <sheet name="2035 Report Deployment" sheetId="10" r:id="rId2"/>
    <sheet name="2035 Report Data" sheetId="11" r:id="rId3"/>
    <sheet name="EPS Output" sheetId="12" r:id="rId4"/>
    <sheet name="AEO Table 9 (2020)" sheetId="4" r:id="rId5"/>
    <sheet name="AEO Table 9 (2019)" sheetId="8" state="hidden" r:id="rId6"/>
    <sheet name="AEO Table 9 (2021)" sheetId="14" r:id="rId7"/>
    <sheet name="AEO Table 9 (2022)" sheetId="15" r:id="rId8"/>
    <sheet name="AEO Table 16" sheetId="13" r:id="rId9"/>
    <sheet name="BGBSC" sheetId="3" r:id="rId10"/>
    <sheet name="PAGBSC" sheetId="5" r:id="rId11"/>
    <sheet name="SYGBSC" sheetId="9" r:id="rId12"/>
  </sheets>
  <definedNames>
    <definedName name="gigwatts_to_megawatts">About!$A$31</definedName>
  </definedNames>
  <calcPr calcId="191029"/>
  <pivotCaches>
    <pivotCache cacheId="4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  <c r="K21" i="11" l="1"/>
  <c r="L21" i="11" s="1"/>
  <c r="M21" i="11" s="1"/>
  <c r="N21" i="11" s="1"/>
  <c r="O21" i="11" s="1"/>
  <c r="P21" i="11" s="1"/>
  <c r="Q21" i="11" s="1"/>
  <c r="R21" i="11" s="1"/>
  <c r="S21" i="11" s="1"/>
  <c r="T21" i="11" s="1"/>
  <c r="U21" i="11" s="1"/>
  <c r="V21" i="11" s="1"/>
  <c r="W21" i="11" s="1"/>
  <c r="X21" i="11" s="1"/>
  <c r="Y21" i="11" s="1"/>
  <c r="Z21" i="11" s="1"/>
  <c r="K20" i="11"/>
  <c r="L20" i="11" s="1"/>
  <c r="K22" i="11"/>
  <c r="L22" i="11" s="1"/>
  <c r="M22" i="11" s="1"/>
  <c r="N22" i="11" s="1"/>
  <c r="O22" i="11" s="1"/>
  <c r="P22" i="11" s="1"/>
  <c r="Q22" i="11" s="1"/>
  <c r="R22" i="11" s="1"/>
  <c r="S22" i="11" s="1"/>
  <c r="T22" i="11" s="1"/>
  <c r="U22" i="11" s="1"/>
  <c r="V22" i="11" s="1"/>
  <c r="W22" i="11" s="1"/>
  <c r="X22" i="11" s="1"/>
  <c r="Y22" i="11" s="1"/>
  <c r="Z22" i="11" s="1"/>
  <c r="M20" i="11" l="1"/>
  <c r="L23" i="11"/>
  <c r="K23" i="11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B22" i="12"/>
  <c r="N20" i="11" l="1"/>
  <c r="M23" i="11"/>
  <c r="B2" i="10"/>
  <c r="O3" i="10"/>
  <c r="P3" i="10"/>
  <c r="N3" i="10"/>
  <c r="M3" i="10"/>
  <c r="C3" i="10"/>
  <c r="F3" i="10"/>
  <c r="Q3" i="10"/>
  <c r="G3" i="10"/>
  <c r="D3" i="10"/>
  <c r="L3" i="10"/>
  <c r="R3" i="10"/>
  <c r="E3" i="10"/>
  <c r="J3" i="10"/>
  <c r="H3" i="10"/>
  <c r="K3" i="10"/>
  <c r="I3" i="10"/>
  <c r="O20" i="11" l="1"/>
  <c r="N23" i="11"/>
  <c r="T3" i="10"/>
  <c r="AB3" i="10"/>
  <c r="S3" i="10"/>
  <c r="U3" i="10"/>
  <c r="AC3" i="10"/>
  <c r="V3" i="10"/>
  <c r="AD3" i="10"/>
  <c r="AF3" i="10"/>
  <c r="AG3" i="10"/>
  <c r="W3" i="10"/>
  <c r="AE3" i="10"/>
  <c r="X3" i="10"/>
  <c r="Y3" i="10"/>
  <c r="Z3" i="10"/>
  <c r="AA3" i="10"/>
  <c r="D4" i="10"/>
  <c r="E4" i="10" l="1"/>
  <c r="F4" i="10" s="1"/>
  <c r="D6" i="10"/>
  <c r="P20" i="11"/>
  <c r="O23" i="11"/>
  <c r="F6" i="10" l="1"/>
  <c r="E6" i="10"/>
  <c r="Q20" i="11"/>
  <c r="P23" i="11"/>
  <c r="G4" i="10"/>
  <c r="G6" i="10" l="1"/>
  <c r="R20" i="11"/>
  <c r="Q23" i="11"/>
  <c r="H4" i="10"/>
  <c r="H6" i="10" l="1"/>
  <c r="S20" i="11"/>
  <c r="R23" i="11"/>
  <c r="I4" i="10"/>
  <c r="E2" i="5"/>
  <c r="F2" i="5"/>
  <c r="G2" i="5" l="1"/>
  <c r="I6" i="10"/>
  <c r="H2" i="5" s="1"/>
  <c r="T20" i="11"/>
  <c r="S23" i="11"/>
  <c r="J4" i="10"/>
  <c r="J6" i="10" l="1"/>
  <c r="U20" i="11"/>
  <c r="T23" i="11"/>
  <c r="I2" i="5"/>
  <c r="K4" i="10"/>
  <c r="K6" i="10" l="1"/>
  <c r="J2" i="5" s="1"/>
  <c r="V20" i="11"/>
  <c r="U23" i="11"/>
  <c r="L4" i="10"/>
  <c r="L6" i="10" l="1"/>
  <c r="W20" i="11"/>
  <c r="V23" i="11"/>
  <c r="M4" i="10"/>
  <c r="K2" i="5"/>
  <c r="M6" i="10" l="1"/>
  <c r="L2" i="5" s="1"/>
  <c r="X20" i="11"/>
  <c r="W23" i="11"/>
  <c r="N4" i="10"/>
  <c r="N6" i="10" l="1"/>
  <c r="M2" i="5" s="1"/>
  <c r="Y20" i="11"/>
  <c r="X23" i="11"/>
  <c r="O4" i="10"/>
  <c r="O6" i="10" l="1"/>
  <c r="Z20" i="11"/>
  <c r="Z23" i="11" s="1"/>
  <c r="Y23" i="11"/>
  <c r="P4" i="10"/>
  <c r="N2" i="5"/>
  <c r="P6" i="10" l="1"/>
  <c r="O2" i="5" s="1"/>
  <c r="Q4" i="10"/>
  <c r="R4" i="10" l="1"/>
  <c r="Q6" i="10"/>
  <c r="P2" i="5"/>
  <c r="S4" i="10" l="1"/>
  <c r="R6" i="10"/>
  <c r="S6" i="10" s="1"/>
  <c r="Q2" i="5"/>
  <c r="T4" i="10"/>
  <c r="T6" i="10" l="1"/>
  <c r="R2" i="5"/>
  <c r="U4" i="10"/>
  <c r="U6" i="10" l="1"/>
  <c r="S2" i="5"/>
  <c r="V4" i="10"/>
  <c r="V6" i="10" l="1"/>
  <c r="T2" i="5"/>
  <c r="W4" i="10"/>
  <c r="W6" i="10" l="1"/>
  <c r="U2" i="5"/>
  <c r="X4" i="10"/>
  <c r="X6" i="10" l="1"/>
  <c r="V2" i="5"/>
  <c r="Y4" i="10"/>
  <c r="Y6" i="10" l="1"/>
  <c r="W2" i="5"/>
  <c r="Z4" i="10"/>
  <c r="Z6" i="10" l="1"/>
  <c r="X2" i="5"/>
  <c r="AA4" i="10"/>
  <c r="AA6" i="10" l="1"/>
  <c r="Y2" i="5"/>
  <c r="AB4" i="10"/>
  <c r="AB6" i="10" l="1"/>
  <c r="Z2" i="5"/>
  <c r="AC4" i="10"/>
  <c r="AC6" i="10" l="1"/>
  <c r="AA2" i="5"/>
  <c r="AD4" i="10"/>
  <c r="AD6" i="10" l="1"/>
  <c r="AB2" i="5"/>
  <c r="AE4" i="10"/>
  <c r="AE6" i="10" l="1"/>
  <c r="AC2" i="5"/>
  <c r="AF4" i="10"/>
  <c r="AF6" i="10" l="1"/>
  <c r="AD2" i="5"/>
  <c r="AG4" i="10"/>
  <c r="AG6" i="10" l="1"/>
  <c r="AF2" i="5" s="1"/>
  <c r="AE2" i="5"/>
</calcChain>
</file>

<file path=xl/sharedStrings.xml><?xml version="1.0" encoding="utf-8"?>
<sst xmlns="http://schemas.openxmlformats.org/spreadsheetml/2006/main" count="30116" uniqueCount="375">
  <si>
    <t>Source:</t>
  </si>
  <si>
    <t>Energy Information Administration</t>
  </si>
  <si>
    <t>Notes</t>
  </si>
  <si>
    <t>Report</t>
  </si>
  <si>
    <t>Scenario</t>
  </si>
  <si>
    <t>Reference case</t>
  </si>
  <si>
    <t>Datekey</t>
  </si>
  <si>
    <t>Release Date</t>
  </si>
  <si>
    <t>EGC000</t>
  </si>
  <si>
    <t>9. Electricity Generating Capacity</t>
  </si>
  <si>
    <t>(gigawatts)</t>
  </si>
  <si>
    <t/>
  </si>
  <si>
    <t xml:space="preserve"> Net Summer Capacity 1/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</si>
  <si>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</si>
  <si>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</si>
  <si>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</si>
  <si>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</si>
  <si>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</si>
  <si>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</si>
  <si>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</si>
  <si>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</si>
  <si>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</si>
  <si>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</si>
  <si>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</si>
  <si>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</si>
  <si>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</si>
  <si>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</si>
  <si>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</si>
  <si>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</si>
  <si>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</si>
  <si>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</si>
  <si>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</si>
  <si>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</si>
  <si>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</si>
  <si>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</si>
  <si>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 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</si>
  <si>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</si>
  <si>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</si>
  <si>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</si>
  <si>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</si>
  <si>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</si>
  <si>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</si>
  <si>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</si>
  <si>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</si>
  <si>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</si>
  <si>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</si>
  <si>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</si>
  <si>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</si>
  <si>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</si>
  <si>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</si>
  <si>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</si>
  <si>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</si>
  <si>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</si>
  <si>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</si>
  <si>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</si>
  <si>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</si>
  <si>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</si>
  <si>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</si>
  <si>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</si>
  <si>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</si>
  <si>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</si>
  <si>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</si>
  <si>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</si>
  <si>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</si>
  <si>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</si>
  <si>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</si>
  <si>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</si>
  <si>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</si>
  <si>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</si>
  <si>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</si>
  <si>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</si>
  <si>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</si>
  <si>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</si>
  <si>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</si>
  <si>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</si>
  <si>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</si>
  <si>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</si>
  <si>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</si>
  <si>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</si>
  <si>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</si>
  <si>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</si>
  <si>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</si>
  <si>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</si>
  <si>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</si>
  <si>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</si>
  <si>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</si>
  <si>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</si>
  <si>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</si>
  <si>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</si>
  <si>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</si>
  <si>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</si>
  <si>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</si>
  <si>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</si>
  <si>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</si>
  <si>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</si>
  <si>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</si>
  <si>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</si>
  <si>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</si>
  <si>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</si>
  <si>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</si>
  <si>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</si>
  <si>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 xml:space="preserve">   1/ Net summer capacity is the steady hourly output that generating equipment is expected to supply to</t>
  </si>
  <si>
    <t>system load (exclusive of auxiliary power), as demonstrated by tests during summer peak demand.</t>
  </si>
  <si>
    <t xml:space="preserve">   2/ Includes electricity-only and combined heat and power plants that have a regulatory status.</t>
  </si>
  <si>
    <t xml:space="preserve">   3/ Includes plants that only produce electricity and that have a regulatory status.  Includes capacity increases (uprates) at existing units.</t>
  </si>
  <si>
    <t xml:space="preserve">   4/ Total coal and oil and natural gas steam capacity account for the conversion of coal capacity to gas steam capacity, but the conversions</t>
  </si>
  <si>
    <t xml:space="preserve">   5/ Includes oil-, gas-, and dual-fired capacity.</t>
  </si>
  <si>
    <t xml:space="preserve">   7/ Includes conventional hydroelectric, geothermal, wood, wood waste, all municipal waste, landfill gas,</t>
  </si>
  <si>
    <t>other biomass, solar, and wind power.  Facilities co-firing biomass and coal are classified as coal.</t>
  </si>
  <si>
    <t xml:space="preserve">   8/ Primarily peak-load capacity fueled by natural gas.</t>
  </si>
  <si>
    <t xml:space="preserve">   9/ Includes combined heat and power plants whose primary business is to sell electricity and heat to the public</t>
  </si>
  <si>
    <t>(i.e., those that report North American Industry Classification System code 22 or that have a regulatory status).</t>
  </si>
  <si>
    <t xml:space="preserve">   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</si>
  <si>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</si>
  <si>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</si>
  <si>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 xml:space="preserve">   13/ Includes refinery gas and still gas.</t>
  </si>
  <si>
    <t xml:space="preserve">   14/ Includes batteries, chemicals, hydrogen, pitch, purchased steam, sulfur, and miscellaneous technologies.</t>
  </si>
  <si>
    <t xml:space="preserve">   - - = Not applicable.</t>
  </si>
  <si>
    <t>are not included explicitly as additions or retirements.  No planned conversions are assumed.  The totals reflect any conversions projected by</t>
  </si>
  <si>
    <t>the model.</t>
  </si>
  <si>
    <t>We assume BAU diurnal storage is all battery storage</t>
  </si>
  <si>
    <t>ref2020.d112119a</t>
  </si>
  <si>
    <t>Annual Energy Outlook 2020</t>
  </si>
  <si>
    <t>ref2020</t>
  </si>
  <si>
    <t>d112119a</t>
  </si>
  <si>
    <t xml:space="preserve"> January 2020</t>
  </si>
  <si>
    <t>2019-</t>
  </si>
  <si>
    <t xml:space="preserve">  Cumulative Electric Power Sector Additions 10</t>
  </si>
  <si>
    <t xml:space="preserve">   6/ Nuclear capacity includes 2.1 gigawatts of uprates.</t>
  </si>
  <si>
    <t xml:space="preserve">   10/ Cumulative additions after December 31, 2019.</t>
  </si>
  <si>
    <t xml:space="preserve">   11/ Cumulative retirements after December 31, 2019.</t>
  </si>
  <si>
    <t xml:space="preserve">   Note:  Totals may not equal sum of components due to independent rounding.</t>
  </si>
  <si>
    <t xml:space="preserve">   Sources:  2019:  U.S. Energy Information Administration (EIA), Short-Term Energy Outlook, October 2019 and EIA, AEO2020 National</t>
  </si>
  <si>
    <t>Energy Modeling System run ref2020.d112119a.  Projections:  EIA, AEO2020 National Energy Modeling System run ref2020.d112119a.</t>
  </si>
  <si>
    <t>gigawatts to megawatts</t>
  </si>
  <si>
    <t>Row "Diurnal Storage"</t>
  </si>
  <si>
    <t>GBSB Potential Additional Grid Battery Storage Capacity</t>
  </si>
  <si>
    <t>GBSC BAU Grid Battery Storage Capacity</t>
  </si>
  <si>
    <t>Unit: MW</t>
  </si>
  <si>
    <t>Potential Additional Grid Battery Storage Capacity</t>
  </si>
  <si>
    <t>BAU Grid Battery Storage Capacity</t>
  </si>
  <si>
    <t>Potential Additional Battery Storage Capacity</t>
  </si>
  <si>
    <t>Battery Storage Capacity</t>
  </si>
  <si>
    <t>Unit Conversion</t>
  </si>
  <si>
    <t>Start Year</t>
  </si>
  <si>
    <t>ref2019.d111618a</t>
  </si>
  <si>
    <t>Annual Energy Outlook 2019</t>
  </si>
  <si>
    <t>ref2019</t>
  </si>
  <si>
    <t>d111618a</t>
  </si>
  <si>
    <t xml:space="preserve"> January 2019</t>
  </si>
  <si>
    <t>2018-</t>
  </si>
  <si>
    <t xml:space="preserve">  Cumulative Electric Power Sector Additions 10/</t>
  </si>
  <si>
    <t xml:space="preserve">   6/ Nuclear capacity includes 3.0 gigawatts of uprates.</t>
  </si>
  <si>
    <t xml:space="preserve">   10/ Cumulative additions after December 31, 2018.</t>
  </si>
  <si>
    <t xml:space="preserve">   11/ Cumulative retirements after December 31, 2018.</t>
  </si>
  <si>
    <t xml:space="preserve">   Note:  Totals may not equal sum of components due to independent rounding.  Data for 2017</t>
  </si>
  <si>
    <t>are model results and may differ from official EIA data reports.</t>
  </si>
  <si>
    <t xml:space="preserve">   Sources:  2017 capacity and projected planned additions:  U.S. Energy Information Administration (EIA),</t>
  </si>
  <si>
    <t>Form EIA-860, "Annual Electric Generator Report" (preliminary).</t>
  </si>
  <si>
    <t>2018:  EIA, Short-Term Energy Outlook, October 2018 and EIA, AEO2019 National Energy Modeling System run ref2019.d111618a.</t>
  </si>
  <si>
    <t>Projections:  EIA, AEO2019 National Energy Modeling System run ref2019.d111618a.</t>
  </si>
  <si>
    <t>Start Year Battery Storage Capacity</t>
  </si>
  <si>
    <t>The "Start Year" is the year prior to the first simulated year.</t>
  </si>
  <si>
    <t>GBSC Start Year Grid Battery Storage Capacity</t>
  </si>
  <si>
    <t>GSPP, GridLab, Energy Innovation</t>
  </si>
  <si>
    <t>The 2035 Report</t>
  </si>
  <si>
    <t>https://www.2035report.com/data-explorer/</t>
  </si>
  <si>
    <t>New battery storage capacity (GW)</t>
  </si>
  <si>
    <t>Cumulative battery storage additions (GW)</t>
  </si>
  <si>
    <t>Existing battery storage</t>
  </si>
  <si>
    <t>newCapacityMW</t>
  </si>
  <si>
    <t>cleanEnergyPolicy</t>
  </si>
  <si>
    <t>financingCosts</t>
  </si>
  <si>
    <t>gasPrices</t>
  </si>
  <si>
    <t>technologyCosts</t>
  </si>
  <si>
    <t>CarbonTax</t>
  </si>
  <si>
    <t>Base</t>
  </si>
  <si>
    <t>AEO</t>
  </si>
  <si>
    <t>ATBLow</t>
  </si>
  <si>
    <t>ATBMid</t>
  </si>
  <si>
    <t>ATBModified</t>
  </si>
  <si>
    <t>NYMEX</t>
  </si>
  <si>
    <t>High</t>
  </si>
  <si>
    <t>CES90</t>
  </si>
  <si>
    <t>Unconstrained</t>
  </si>
  <si>
    <t>year</t>
  </si>
  <si>
    <t>tech</t>
  </si>
  <si>
    <t>battery</t>
  </si>
  <si>
    <t>biopower</t>
  </si>
  <si>
    <t>coal</t>
  </si>
  <si>
    <t>gas</t>
  </si>
  <si>
    <t>geothermal</t>
  </si>
  <si>
    <t>hydro</t>
  </si>
  <si>
    <t>nuclear</t>
  </si>
  <si>
    <t>other</t>
  </si>
  <si>
    <t>solar</t>
  </si>
  <si>
    <t>wind</t>
  </si>
  <si>
    <t>Column Labels</t>
  </si>
  <si>
    <t>Grand Total</t>
  </si>
  <si>
    <t>Row Labels</t>
  </si>
  <si>
    <t>Sum of newCapacityMW</t>
  </si>
  <si>
    <t>Ratio of battery storage to wind and solar capacity</t>
  </si>
  <si>
    <t>Time (Year)</t>
  </si>
  <si>
    <t>Grid Battery Storage Capacity : MostRecentRun</t>
  </si>
  <si>
    <t>Output Electricity Generation Capacity[hard coal es] : MostRecentRun</t>
  </si>
  <si>
    <t>Output Electricity Generation Capacity[natural gas nonpeaker es] : MostRecentRun</t>
  </si>
  <si>
    <t>Output Electricity Generation Capacity[nuclear es] : MostRecentRun</t>
  </si>
  <si>
    <t>Output Electricity Generation Capacity[hydro es] : MostRecentRun</t>
  </si>
  <si>
    <t>Output Electricity Generation Capacity[onshore wind es] : MostRecentRun</t>
  </si>
  <si>
    <t>Output Electricity Generation Capacity[solar PV es] : MostRecentRun</t>
  </si>
  <si>
    <t>Output Electricity Generation Capacity[solar thermal es] : MostRecentRun</t>
  </si>
  <si>
    <t>Output Electricity Generation Capacity[biomass es] : MostRecentRun</t>
  </si>
  <si>
    <t>Output Electricity Generation Capacity[geothermal es] : MostRecentRun</t>
  </si>
  <si>
    <t>Output Electricity Generation Capacity[petroleum es] : MostRecentRun</t>
  </si>
  <si>
    <t>Output Electricity Generation Capacity[natural gas peaker es] : MostRecentRun</t>
  </si>
  <si>
    <t>Output Electricity Generation Capacity[lignite es] : MostRecentRun</t>
  </si>
  <si>
    <t>Output Electricity Generation Capacity[offshore wind es] : MostRecentRun</t>
  </si>
  <si>
    <t>Output Electricity Generation Capacity[crude oil es] : MostRecentRun</t>
  </si>
  <si>
    <t>Output Electricity Generation Capacity[heavy or residual fuel oil es] : MostRecentRun</t>
  </si>
  <si>
    <t>Output Electricity Generation Capacity[municipal solid waste es] : MostRecentRun</t>
  </si>
  <si>
    <t>Cumulative wind</t>
  </si>
  <si>
    <t>Cumulative solar</t>
  </si>
  <si>
    <t>REN000</t>
  </si>
  <si>
    <t>16. Renewable Energy Generating Capacity and Generation</t>
  </si>
  <si>
    <t>(gigawatts, unless otherwise noted)</t>
  </si>
  <si>
    <t xml:space="preserve"> Net Summer Capacity and Generation</t>
  </si>
  <si>
    <t>Electric Power Sector 1/</t>
  </si>
  <si>
    <t xml:space="preserve"> Net Summer Capacity</t>
  </si>
  <si>
    <t>REN000:ba_ConventionalH</t>
  </si>
  <si>
    <t xml:space="preserve">   Conventional Hydroelectric Power</t>
  </si>
  <si>
    <t>REN000:ba_Geothermal</t>
  </si>
  <si>
    <t xml:space="preserve">   Geothermal 2/</t>
  </si>
  <si>
    <t>REN000:ba_MunicipalSoli</t>
  </si>
  <si>
    <t xml:space="preserve">   Municipal Waste 3/</t>
  </si>
  <si>
    <t>REN000:ba_WoodandOtherB</t>
  </si>
  <si>
    <t xml:space="preserve">   Wood and Other Biomass 4/</t>
  </si>
  <si>
    <t>REN000:ba_SolarThermal</t>
  </si>
  <si>
    <t xml:space="preserve">   Solar Thermal</t>
  </si>
  <si>
    <t>REN000:ba_SolarPhotovol</t>
  </si>
  <si>
    <t xml:space="preserve">   Solar Photovoltaic 5/</t>
  </si>
  <si>
    <t>REN000:ba_Wind</t>
  </si>
  <si>
    <t xml:space="preserve">   Wind</t>
  </si>
  <si>
    <t>REN000:ba_OffshoreWind</t>
  </si>
  <si>
    <t xml:space="preserve">   Offshore Wind</t>
  </si>
  <si>
    <t>REN000:ba_Total</t>
  </si>
  <si>
    <t xml:space="preserve">     Total Electric Power Sector Capacity</t>
  </si>
  <si>
    <t xml:space="preserve"> Generation (billion kilowatthours)</t>
  </si>
  <si>
    <t>REN000:ca_ConventionalH</t>
  </si>
  <si>
    <t>REN000:ca_Geothermal</t>
  </si>
  <si>
    <t>REN000:ca_MunicipalSoli</t>
  </si>
  <si>
    <t xml:space="preserve">   Biogenic Municipal Waste 6/</t>
  </si>
  <si>
    <t>REN000:ca_WoodandOtherB</t>
  </si>
  <si>
    <t xml:space="preserve">   Wood and Other Biomass</t>
  </si>
  <si>
    <t>REN000:ca_DedicatedPlan</t>
  </si>
  <si>
    <t xml:space="preserve">      Dedicated Plants</t>
  </si>
  <si>
    <t>REN000:ca_Cofiring</t>
  </si>
  <si>
    <t xml:space="preserve">      Cofiring</t>
  </si>
  <si>
    <t>REN000:ca_SolarThermal</t>
  </si>
  <si>
    <t>REN000:ca_SolarPhotovol</t>
  </si>
  <si>
    <t>REN000:ca_Wind</t>
  </si>
  <si>
    <t>REN000:ca_OffshoreWind</t>
  </si>
  <si>
    <t>REN000:ca_Total</t>
  </si>
  <si>
    <t xml:space="preserve">     Total Electric Power Sector Generation</t>
  </si>
  <si>
    <t>End-Use Sectors 7/</t>
  </si>
  <si>
    <t>REN000:da_ConventionalH</t>
  </si>
  <si>
    <t>REN000:da_Geothermal</t>
  </si>
  <si>
    <t xml:space="preserve">   Geothermal</t>
  </si>
  <si>
    <t>REN000:da_MunicipalSoli</t>
  </si>
  <si>
    <t xml:space="preserve">   Municipal Waste 8/</t>
  </si>
  <si>
    <t>REN000:da_Biomass</t>
  </si>
  <si>
    <t xml:space="preserve">   Biomass</t>
  </si>
  <si>
    <t>REN000:da_SolarPhotovol</t>
  </si>
  <si>
    <t>REN000:da_WindWind</t>
  </si>
  <si>
    <t>REN000:da_Total</t>
  </si>
  <si>
    <t xml:space="preserve">     Total End-Use Sector Capacity</t>
  </si>
  <si>
    <t>REN000:ea_ConventionalH</t>
  </si>
  <si>
    <t>REN000:ea_Geothermal</t>
  </si>
  <si>
    <t>REN000:ea_MunicipalSoli</t>
  </si>
  <si>
    <t>REN000:ea_Biomass</t>
  </si>
  <si>
    <t>REN000:ea_SolarPhotovol</t>
  </si>
  <si>
    <t>REN000:ea_WindyWindy</t>
  </si>
  <si>
    <t>REN000:ea_Total</t>
  </si>
  <si>
    <t xml:space="preserve">     Total End-Use Sector Generation</t>
  </si>
  <si>
    <t>All Sectors</t>
  </si>
  <si>
    <t xml:space="preserve">  Net Summer Capacity</t>
  </si>
  <si>
    <t>REN000:x1_Hydropowers</t>
  </si>
  <si>
    <t xml:space="preserve">    Conventional Hydroelectric Power</t>
  </si>
  <si>
    <t>REN000:x1_Geothermals</t>
  </si>
  <si>
    <t xml:space="preserve">    Geothermal</t>
  </si>
  <si>
    <t>REN000:x1_AllSolidWaste</t>
  </si>
  <si>
    <t xml:space="preserve">    Municipal Waste</t>
  </si>
  <si>
    <t>REN000:x1_AllBiomass</t>
  </si>
  <si>
    <t xml:space="preserve">    Wood and Other Biomass 4/</t>
  </si>
  <si>
    <t>REN000:x1_AllSunnyOut</t>
  </si>
  <si>
    <t xml:space="preserve">    Solar 5/</t>
  </si>
  <si>
    <t>REN000:x1_WetandDryWind</t>
  </si>
  <si>
    <t xml:space="preserve">    Wind</t>
  </si>
  <si>
    <t>REN000:x1_TotalTotal</t>
  </si>
  <si>
    <t xml:space="preserve">      Total Capacity, All Sectors</t>
  </si>
  <si>
    <t xml:space="preserve">  Generation (billion kilowatthours)</t>
  </si>
  <si>
    <t>REN000:x2_Hydropowers</t>
  </si>
  <si>
    <t>REN000:x2_Geothermals</t>
  </si>
  <si>
    <t>REN000:x2_AllSolidWaste</t>
  </si>
  <si>
    <t>REN000:x2_AllBiomass</t>
  </si>
  <si>
    <t xml:space="preserve">    Wood and Other Biomass</t>
  </si>
  <si>
    <t>REN000:x2_AllSunnyOut</t>
  </si>
  <si>
    <t>REN000:x2_WetandDryWind</t>
  </si>
  <si>
    <t>REN000:x2_TotalTotal</t>
  </si>
  <si>
    <t xml:space="preserve">      Total Generation, All Sectors</t>
  </si>
  <si>
    <t xml:space="preserve">   1/ Includes electricity-only and combined heat and power plants that have a regulatory status.</t>
  </si>
  <si>
    <t xml:space="preserve">   2/ Includes both hydrothermal resources (hot water and steam) and near-field enhanced geothermal systems (EGS).  Near-field EGS</t>
  </si>
  <si>
    <t>potential occurs on known hydrothermal sites, however this potential requires the addition of external fluids for electricity</t>
  </si>
  <si>
    <t>generation and is only available after 2025.</t>
  </si>
  <si>
    <t xml:space="preserve">   3/ Includes municipal waste, landfill gas, and municipal sewage sludge.  Incremental growth is assumed to be for landfill gas</t>
  </si>
  <si>
    <t>facilities.  All municipal waste is included, although a portion of the municipal waste stream contains petroleum-derived plastics</t>
  </si>
  <si>
    <t>and other non-renewable sources.</t>
  </si>
  <si>
    <t xml:space="preserve">   4/ Facilities co-firing biomass and coal are classified as coal.</t>
  </si>
  <si>
    <t xml:space="preserve">   5/ Does not include off-grid photovoltaics.</t>
  </si>
  <si>
    <t xml:space="preserve">   6/ Includes biogenic municipal waste, landfill gas, and municipal sewage sludge.  Incremental growth is assumed to be for</t>
  </si>
  <si>
    <t>landfill gas facilities.</t>
  </si>
  <si>
    <t xml:space="preserve">   7/ Includes combined heat and power plants and electricity-only plants in the commercial and industrial sectors that have a non-regulatory</t>
  </si>
  <si>
    <t xml:space="preserve">   8/ Includes municipal waste, landfill gas, and municipal sewage sludge.  All municipal waste is included, although a portion</t>
  </si>
  <si>
    <t>of the municipal waste stream contains petroleum-derived plastics and other non-renewable sources.</t>
  </si>
  <si>
    <t>Cumulative storage</t>
  </si>
  <si>
    <t>Additional Multiplier</t>
  </si>
  <si>
    <t>Adjusted Amount (MW)</t>
  </si>
  <si>
    <t xml:space="preserve">We take battery storage deployments from the 2035 report, which evaluates a pathway to 90% </t>
  </si>
  <si>
    <t>clean electricity by 2035. We adjust these values upward through 2035 to achieve the same ratio</t>
  </si>
  <si>
    <t>of storage capacity to wind and solar capacity as in the 2035 report (using our 1.5 degree scenario).</t>
  </si>
  <si>
    <t>Post-2035, we assume annual deployment can reach roughly 20 GW per year, the maximum</t>
  </si>
  <si>
    <t>deployment in the 2035 report.</t>
  </si>
  <si>
    <t>highogs.d120120a</t>
  </si>
  <si>
    <t>Annual Energy Outlook 2021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</si>
  <si>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</si>
  <si>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</si>
  <si>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</si>
  <si>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</si>
  <si>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</si>
  <si>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</si>
  <si>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</si>
  <si>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>1/ Net summer capacity is the steady hourly output that generating equipment is expected to supply to</t>
  </si>
  <si>
    <t>2/ Includes electricity-only and combined heat and power plants that have a regulatory status.</t>
  </si>
  <si>
    <t>3/ Includes plants that only produce electricity and that have a regulatory status.  Includes capacity increases (uprates) at existing units.</t>
  </si>
  <si>
    <t>4/ Total coal and oil and natural gas steam capacity account for the conversion of coal capacity to gas steam capacity, but the conversions</t>
  </si>
  <si>
    <t>5/ Includes oil-, gas-, and dual-fired capacity.</t>
  </si>
  <si>
    <t>6/ Nuclear capacity includes 2.1 gigawatts of uprates.</t>
  </si>
  <si>
    <t>7/ Includes conventional hydroelectric, geothermal, wood, wood waste, all municipal waste, landfill gas,</t>
  </si>
  <si>
    <t>8/ Primarily peak-load capacity fueled by natural gas.</t>
  </si>
  <si>
    <t>9/ Includes combined heat and power plants whose primary business is to sell electricity and heat to the public</t>
  </si>
  <si>
    <t>10/ Cumulative additions after December 31, 2020.</t>
  </si>
  <si>
    <t>11/ Cumulative retirements after December 31, 2020.</t>
  </si>
  <si>
    <t>12/ Includes combined heat and power plants and electricity-only plants in the commercial and industrial sectors that have a non-regulatory</t>
  </si>
  <si>
    <t>13/ Includes refinery gas and still gas.</t>
  </si>
  <si>
    <t>14/ Includes batteries, chemicals, hydrogen, pitch, purchased steam, sulfur, and miscellaneous technologies.</t>
  </si>
  <si>
    <t>- - = Not applicable.</t>
  </si>
  <si>
    <t>Note:  Totals may not equal sum of components due to independent rounding.</t>
  </si>
  <si>
    <t>Sources:  2020:  U.S. Energy Information Administration (EIA), Short-Term Energy Outlook, October 2020 and EIA,</t>
  </si>
  <si>
    <t>AEO2021 National Energy Modeling System run highogs.d120120a. Projections:  EIA, AEO2021 National Energy Modeling System run highogs.d120120a.</t>
  </si>
  <si>
    <t>https://www.eia.gov/outlooks/aeo/tables_side.php</t>
  </si>
  <si>
    <t>https://www.eia.gov/outlooks/archive/aeo20/tables_side.php</t>
  </si>
  <si>
    <t>AEO2022 National Energy Modeling System run ref2022.d011222a. Projections:  EIA, AEO2022 National Energy Modeling System run ref2022.d011222a.</t>
  </si>
  <si>
    <t>Sources:  2021:  U.S. Energy Information Administration (EIA), Short-Term Energy Outlook, November 2021 and EIA,</t>
  </si>
  <si>
    <t>11/ Cumulative retirements after December 31, 2021.</t>
  </si>
  <si>
    <t>10/ Cumulative additions after December 31, 2021.</t>
  </si>
  <si>
    <t>--</t>
  </si>
  <si>
    <t>2021–2050</t>
  </si>
  <si>
    <t>Change</t>
  </si>
  <si>
    <t>Annual</t>
  </si>
  <si>
    <t>Average</t>
  </si>
  <si>
    <t xml:space="preserve"> March 2022</t>
  </si>
  <si>
    <t>d011222a</t>
  </si>
  <si>
    <t>Reference</t>
  </si>
  <si>
    <t>ref2022</t>
  </si>
  <si>
    <t>Annual Energy Outlook 2022</t>
  </si>
  <si>
    <t>ref2022.d011222a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</si>
</sst>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[$€-2]* #,##0.00_);_([$€-2]* \(#,##0.00\);_([$€-2]* &quot;-&quot;??_)"/>
    <numFmt numFmtId="177" formatCode="#,##0.0"/>
    <numFmt numFmtId="178" formatCode="0.0%"/>
  </numFmts>
  <fonts count="34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6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i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新細明體"/>
      <family val="3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43"/>
      </patternFill>
    </fill>
    <fill>
      <patternFill patternType="solid">
        <fgColor indexed="41"/>
      </patternFill>
    </fill>
    <fill>
      <patternFill patternType="solid">
        <fgColor indexed="22"/>
      </patternFill>
    </fill>
    <fill>
      <patternFill patternType="solid">
        <fgColor indexed="25"/>
      </patternFill>
    </fill>
    <fill>
      <patternFill patternType="solid">
        <fgColor indexed="3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7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3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34"/>
      </top>
      <bottom style="double">
        <color indexed="3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4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7" fillId="3" borderId="1" applyNumberFormat="0" applyAlignment="0" applyProtection="0"/>
    <xf numFmtId="0" fontId="8" fillId="15" borderId="2" applyNumberFormat="0" applyAlignment="0" applyProtection="0"/>
    <xf numFmtId="176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16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4" borderId="1" applyNumberFormat="0" applyAlignment="0" applyProtection="0"/>
    <xf numFmtId="0" fontId="15" fillId="0" borderId="6" applyNumberFormat="0" applyFill="0" applyAlignment="0" applyProtection="0"/>
    <xf numFmtId="0" fontId="16" fillId="5" borderId="0" applyNumberFormat="0" applyBorder="0" applyAlignment="0" applyProtection="0"/>
    <xf numFmtId="0" fontId="3" fillId="5" borderId="7" applyNumberFormat="0" applyFont="0" applyAlignment="0" applyProtection="0"/>
    <xf numFmtId="0" fontId="17" fillId="3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 applyNumberFormat="0" applyFill="0" applyBorder="0" applyAlignment="0" applyProtection="0"/>
    <xf numFmtId="0" fontId="22" fillId="0" borderId="10" applyNumberFormat="0" applyProtection="0">
      <alignment wrapText="1"/>
    </xf>
    <xf numFmtId="0" fontId="25" fillId="0" borderId="0" applyNumberFormat="0" applyProtection="0">
      <alignment horizontal="left"/>
    </xf>
    <xf numFmtId="0" fontId="22" fillId="0" borderId="11" applyNumberFormat="0" applyProtection="0">
      <alignment wrapText="1"/>
    </xf>
    <xf numFmtId="0" fontId="21" fillId="0" borderId="12" applyNumberFormat="0" applyFont="0" applyProtection="0">
      <alignment wrapText="1"/>
    </xf>
    <xf numFmtId="0" fontId="21" fillId="0" borderId="13" applyNumberFormat="0" applyProtection="0">
      <alignment wrapText="1"/>
    </xf>
    <xf numFmtId="0" fontId="21" fillId="0" borderId="0"/>
    <xf numFmtId="0" fontId="21" fillId="0" borderId="0"/>
    <xf numFmtId="0" fontId="22" fillId="0" borderId="10">
      <alignment wrapText="1"/>
    </xf>
    <xf numFmtId="0" fontId="25" fillId="0" borderId="0">
      <alignment horizontal="left"/>
    </xf>
    <xf numFmtId="0" fontId="22" fillId="0" borderId="11">
      <alignment wrapText="1"/>
    </xf>
    <xf numFmtId="0" fontId="21" fillId="0" borderId="12">
      <alignment wrapText="1"/>
    </xf>
    <xf numFmtId="0" fontId="21" fillId="0" borderId="13">
      <alignment wrapText="1"/>
    </xf>
  </cellStyleXfs>
  <cellXfs count="6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23" fillId="0" borderId="0" xfId="0" applyFont="1"/>
    <xf numFmtId="0" fontId="24" fillId="0" borderId="0" xfId="0" applyFont="1"/>
    <xf numFmtId="0" fontId="26" fillId="0" borderId="0" xfId="0" applyFont="1"/>
    <xf numFmtId="0" fontId="27" fillId="0" borderId="0" xfId="0" applyFont="1"/>
    <xf numFmtId="0" fontId="21" fillId="0" borderId="0" xfId="52"/>
    <xf numFmtId="0" fontId="22" fillId="0" borderId="10" xfId="53">
      <alignment wrapText="1"/>
    </xf>
    <xf numFmtId="0" fontId="25" fillId="0" borderId="0" xfId="54">
      <alignment horizontal="left"/>
    </xf>
    <xf numFmtId="0" fontId="22" fillId="0" borderId="11" xfId="55">
      <alignment wrapText="1"/>
    </xf>
    <xf numFmtId="0" fontId="0" fillId="0" borderId="12" xfId="56" applyFont="1">
      <alignment wrapText="1"/>
    </xf>
    <xf numFmtId="177" fontId="0" fillId="0" borderId="12" xfId="56" applyNumberFormat="1" applyFont="1" applyAlignment="1">
      <alignment horizontal="right" wrapText="1"/>
    </xf>
    <xf numFmtId="178" fontId="0" fillId="0" borderId="12" xfId="56" applyNumberFormat="1" applyFont="1" applyAlignment="1">
      <alignment horizontal="right" wrapText="1"/>
    </xf>
    <xf numFmtId="177" fontId="22" fillId="0" borderId="11" xfId="55" applyNumberFormat="1" applyAlignment="1">
      <alignment horizontal="right" wrapText="1"/>
    </xf>
    <xf numFmtId="178" fontId="22" fillId="0" borderId="11" xfId="55" applyNumberFormat="1" applyAlignment="1">
      <alignment horizontal="right" wrapText="1"/>
    </xf>
    <xf numFmtId="0" fontId="24" fillId="17" borderId="0" xfId="0" applyFont="1" applyFill="1"/>
    <xf numFmtId="0" fontId="28" fillId="17" borderId="12" xfId="56" applyFont="1" applyFill="1">
      <alignment wrapText="1"/>
    </xf>
    <xf numFmtId="177" fontId="28" fillId="17" borderId="12" xfId="56" applyNumberFormat="1" applyFont="1" applyFill="1" applyAlignment="1">
      <alignment horizontal="right" wrapText="1"/>
    </xf>
    <xf numFmtId="178" fontId="28" fillId="17" borderId="12" xfId="56" applyNumberFormat="1" applyFont="1" applyFill="1" applyAlignment="1">
      <alignment horizontal="right" wrapText="1"/>
    </xf>
    <xf numFmtId="0" fontId="0" fillId="17" borderId="0" xfId="0" applyFill="1"/>
    <xf numFmtId="0" fontId="0" fillId="0" borderId="0" xfId="0" applyAlignment="1">
      <alignment wrapText="1"/>
    </xf>
    <xf numFmtId="0" fontId="0" fillId="0" borderId="0" xfId="0" pivotButton="1"/>
    <xf numFmtId="0" fontId="1" fillId="0" borderId="0" xfId="0" applyFont="1" applyAlignment="1">
      <alignment horizontal="left" wrapText="1"/>
    </xf>
    <xf numFmtId="0" fontId="0" fillId="17" borderId="12" xfId="56" applyFont="1" applyFill="1">
      <alignment wrapText="1"/>
    </xf>
    <xf numFmtId="177" fontId="0" fillId="17" borderId="12" xfId="56" applyNumberFormat="1" applyFont="1" applyFill="1" applyAlignment="1">
      <alignment horizontal="right" wrapText="1"/>
    </xf>
    <xf numFmtId="178" fontId="0" fillId="17" borderId="12" xfId="56" applyNumberFormat="1" applyFont="1" applyFill="1" applyAlignment="1">
      <alignment horizontal="right" wrapText="1"/>
    </xf>
    <xf numFmtId="0" fontId="21" fillId="0" borderId="0" xfId="58"/>
    <xf numFmtId="0" fontId="21" fillId="0" borderId="0" xfId="59"/>
    <xf numFmtId="0" fontId="22" fillId="0" borderId="10" xfId="60">
      <alignment wrapText="1"/>
    </xf>
    <xf numFmtId="0" fontId="29" fillId="0" borderId="0" xfId="58" applyFont="1"/>
    <xf numFmtId="0" fontId="30" fillId="0" borderId="0" xfId="58" applyFont="1"/>
    <xf numFmtId="0" fontId="24" fillId="0" borderId="0" xfId="58" applyFont="1"/>
    <xf numFmtId="0" fontId="25" fillId="0" borderId="0" xfId="61">
      <alignment horizontal="left"/>
    </xf>
    <xf numFmtId="0" fontId="22" fillId="0" borderId="0" xfId="58" applyFont="1" applyAlignment="1">
      <alignment horizontal="right"/>
    </xf>
    <xf numFmtId="0" fontId="21" fillId="0" borderId="0" xfId="58" applyAlignment="1">
      <alignment horizontal="left"/>
    </xf>
    <xf numFmtId="0" fontId="22" fillId="0" borderId="10" xfId="60" applyAlignment="1">
      <alignment horizontal="right" wrapText="1"/>
    </xf>
    <xf numFmtId="0" fontId="22" fillId="0" borderId="11" xfId="62">
      <alignment wrapText="1"/>
    </xf>
    <xf numFmtId="0" fontId="0" fillId="0" borderId="12" xfId="63" applyFont="1">
      <alignment wrapText="1"/>
    </xf>
    <xf numFmtId="177" fontId="0" fillId="0" borderId="12" xfId="63" applyNumberFormat="1" applyFont="1" applyAlignment="1">
      <alignment horizontal="right" wrapText="1"/>
    </xf>
    <xf numFmtId="178" fontId="0" fillId="0" borderId="12" xfId="63" applyNumberFormat="1" applyFont="1" applyAlignment="1">
      <alignment horizontal="right" wrapText="1"/>
    </xf>
    <xf numFmtId="177" fontId="22" fillId="0" borderId="11" xfId="62" applyNumberFormat="1" applyAlignment="1">
      <alignment horizontal="right" wrapText="1"/>
    </xf>
    <xf numFmtId="178" fontId="22" fillId="0" borderId="11" xfId="62" applyNumberFormat="1" applyAlignment="1">
      <alignment horizontal="right" wrapText="1"/>
    </xf>
    <xf numFmtId="0" fontId="21" fillId="0" borderId="13" xfId="58" applyBorder="1"/>
    <xf numFmtId="0" fontId="26" fillId="0" borderId="0" xfId="58" applyFont="1"/>
    <xf numFmtId="0" fontId="31" fillId="0" borderId="13" xfId="64" applyFont="1">
      <alignment wrapText="1"/>
    </xf>
    <xf numFmtId="0" fontId="22" fillId="0" borderId="10" xfId="60" applyAlignment="1">
      <alignment horizontal="right"/>
    </xf>
    <xf numFmtId="0" fontId="32" fillId="0" borderId="0" xfId="58" applyFont="1" applyAlignment="1">
      <alignment horizontal="right"/>
    </xf>
    <xf numFmtId="0" fontId="23" fillId="0" borderId="0" xfId="58" applyFont="1"/>
    <xf numFmtId="0" fontId="24" fillId="17" borderId="0" xfId="58" applyFont="1" applyFill="1"/>
    <xf numFmtId="0" fontId="0" fillId="17" borderId="12" xfId="63" applyFont="1" applyFill="1">
      <alignment wrapText="1"/>
    </xf>
    <xf numFmtId="177" fontId="0" fillId="17" borderId="12" xfId="63" applyNumberFormat="1" applyFont="1" applyFill="1" applyAlignment="1">
      <alignment horizontal="right" wrapText="1"/>
    </xf>
    <xf numFmtId="178" fontId="0" fillId="17" borderId="12" xfId="63" applyNumberFormat="1" applyFont="1" applyFill="1" applyAlignment="1">
      <alignment horizontal="right" wrapText="1"/>
    </xf>
    <xf numFmtId="0" fontId="21" fillId="0" borderId="13" xfId="57">
      <alignment wrapText="1"/>
    </xf>
    <xf numFmtId="0" fontId="21" fillId="0" borderId="0" xfId="58"/>
    <xf numFmtId="0" fontId="31" fillId="0" borderId="13" xfId="64" applyFont="1">
      <alignment wrapText="1"/>
    </xf>
    <xf numFmtId="0" fontId="21" fillId="0" borderId="13" xfId="58" applyBorder="1"/>
  </cellXfs>
  <cellStyles count="65">
    <cellStyle name="20% - Accent1 2" xfId="3" xr:uid="{00000000-0005-0000-0000-000000000000}"/>
    <cellStyle name="20% - Accent2 2" xfId="4" xr:uid="{00000000-0005-0000-0000-000001000000}"/>
    <cellStyle name="20% - Accent3 2" xfId="5" xr:uid="{00000000-0005-0000-0000-000002000000}"/>
    <cellStyle name="20% - Accent4 2" xfId="6" xr:uid="{00000000-0005-0000-0000-000003000000}"/>
    <cellStyle name="20% - Accent5 2" xfId="7" xr:uid="{00000000-0005-0000-0000-000004000000}"/>
    <cellStyle name="20% - Accent6 2" xfId="8" xr:uid="{00000000-0005-0000-0000-000005000000}"/>
    <cellStyle name="40% - Accent1 2" xfId="9" xr:uid="{00000000-0005-0000-0000-000006000000}"/>
    <cellStyle name="40% - Accent2 2" xfId="10" xr:uid="{00000000-0005-0000-0000-000007000000}"/>
    <cellStyle name="40% - Accent3 2" xfId="11" xr:uid="{00000000-0005-0000-0000-000008000000}"/>
    <cellStyle name="40% - Accent4 2" xfId="12" xr:uid="{00000000-0005-0000-0000-000009000000}"/>
    <cellStyle name="40% - Accent5 2" xfId="13" xr:uid="{00000000-0005-0000-0000-00000A000000}"/>
    <cellStyle name="40% - Accent6 2" xfId="14" xr:uid="{00000000-0005-0000-0000-00000B000000}"/>
    <cellStyle name="60% - Accent1 2" xfId="15" xr:uid="{00000000-0005-0000-0000-00000C000000}"/>
    <cellStyle name="60% - Accent2 2" xfId="16" xr:uid="{00000000-0005-0000-0000-00000D000000}"/>
    <cellStyle name="60% - Accent3 2" xfId="17" xr:uid="{00000000-0005-0000-0000-00000E000000}"/>
    <cellStyle name="60% - Accent4 2" xfId="18" xr:uid="{00000000-0005-0000-0000-00000F000000}"/>
    <cellStyle name="60% - Accent5 2" xfId="19" xr:uid="{00000000-0005-0000-0000-000010000000}"/>
    <cellStyle name="60% - Accent6 2" xfId="20" xr:uid="{00000000-0005-0000-0000-000011000000}"/>
    <cellStyle name="一般" xfId="0" builtinId="0"/>
    <cellStyle name="超連結" xfId="1" builtinId="8"/>
    <cellStyle name="Accent1 2" xfId="21" xr:uid="{00000000-0005-0000-0000-000012000000}"/>
    <cellStyle name="Accent2 2" xfId="22" xr:uid="{00000000-0005-0000-0000-000013000000}"/>
    <cellStyle name="Accent3 2" xfId="23" xr:uid="{00000000-0005-0000-0000-000014000000}"/>
    <cellStyle name="Accent4 2" xfId="24" xr:uid="{00000000-0005-0000-0000-000015000000}"/>
    <cellStyle name="Accent5 2" xfId="25" xr:uid="{00000000-0005-0000-0000-000016000000}"/>
    <cellStyle name="Accent6 2" xfId="26" xr:uid="{00000000-0005-0000-0000-000017000000}"/>
    <cellStyle name="Bad 2" xfId="27" xr:uid="{00000000-0005-0000-0000-000018000000}"/>
    <cellStyle name="Body: normal cell" xfId="56" xr:uid="{00000000-0005-0000-0000-000019000000}"/>
    <cellStyle name="Body: normal cell 2" xfId="63" xr:uid="{C847FCFE-E55D-4040-9145-A5096CF2655C}"/>
    <cellStyle name="Calculation 2" xfId="28" xr:uid="{00000000-0005-0000-0000-00001A000000}"/>
    <cellStyle name="Check Cell 2" xfId="29" xr:uid="{00000000-0005-0000-0000-00001B000000}"/>
    <cellStyle name="Euro" xfId="30" xr:uid="{00000000-0005-0000-0000-00001C000000}"/>
    <cellStyle name="Explanatory Text 2" xfId="31" xr:uid="{00000000-0005-0000-0000-00001D000000}"/>
    <cellStyle name="Font: Calibri, 9pt regular" xfId="52" xr:uid="{00000000-0005-0000-0000-00001E000000}"/>
    <cellStyle name="Font: Calibri, 9pt regular 2" xfId="59" xr:uid="{78094820-C238-4C9A-89E8-C7624DC87CE5}"/>
    <cellStyle name="Footnotes: top row" xfId="57" xr:uid="{00000000-0005-0000-0000-00001F000000}"/>
    <cellStyle name="Footnotes: top row 2" xfId="64" xr:uid="{09E8E243-1470-4CD0-B658-C11350CB5319}"/>
    <cellStyle name="Good 2" xfId="32" xr:uid="{00000000-0005-0000-0000-000020000000}"/>
    <cellStyle name="Header: bottom row" xfId="53" xr:uid="{00000000-0005-0000-0000-000021000000}"/>
    <cellStyle name="Header: bottom row 2" xfId="60" xr:uid="{A013B94F-3E32-4EB8-A68D-C3E5ECFDA1D8}"/>
    <cellStyle name="Heading 1 2" xfId="33" xr:uid="{00000000-0005-0000-0000-000022000000}"/>
    <cellStyle name="Heading 2 2" xfId="34" xr:uid="{00000000-0005-0000-0000-000023000000}"/>
    <cellStyle name="Heading 3 2" xfId="35" xr:uid="{00000000-0005-0000-0000-000024000000}"/>
    <cellStyle name="Heading 4 2" xfId="36" xr:uid="{00000000-0005-0000-0000-000025000000}"/>
    <cellStyle name="Input 2" xfId="37" xr:uid="{00000000-0005-0000-0000-000027000000}"/>
    <cellStyle name="Linked Cell 2" xfId="38" xr:uid="{00000000-0005-0000-0000-000028000000}"/>
    <cellStyle name="Neutral 2" xfId="39" xr:uid="{00000000-0005-0000-0000-000029000000}"/>
    <cellStyle name="Normal 2" xfId="2" xr:uid="{00000000-0005-0000-0000-00002B000000}"/>
    <cellStyle name="Normal 2 2" xfId="45" xr:uid="{00000000-0005-0000-0000-00002C000000}"/>
    <cellStyle name="Normal 2 3" xfId="48" xr:uid="{00000000-0005-0000-0000-00002D000000}"/>
    <cellStyle name="Normal 2 4" xfId="49" xr:uid="{00000000-0005-0000-0000-00002E000000}"/>
    <cellStyle name="Normal 2 5" xfId="50" xr:uid="{00000000-0005-0000-0000-00002F000000}"/>
    <cellStyle name="Normal 2 6" xfId="51" xr:uid="{00000000-0005-0000-0000-000030000000}"/>
    <cellStyle name="Normal 3" xfId="46" xr:uid="{00000000-0005-0000-0000-000031000000}"/>
    <cellStyle name="Normal 4" xfId="47" xr:uid="{00000000-0005-0000-0000-000032000000}"/>
    <cellStyle name="Normal 5" xfId="58" xr:uid="{BB67FBA3-26D7-431F-A684-0CCDA93EC42D}"/>
    <cellStyle name="Note 2" xfId="40" xr:uid="{00000000-0005-0000-0000-000033000000}"/>
    <cellStyle name="Output 2" xfId="41" xr:uid="{00000000-0005-0000-0000-000034000000}"/>
    <cellStyle name="Parent row" xfId="55" xr:uid="{00000000-0005-0000-0000-000035000000}"/>
    <cellStyle name="Parent row 2" xfId="62" xr:uid="{DAA11FF9-1C05-45C6-8502-434090995867}"/>
    <cellStyle name="Table title" xfId="54" xr:uid="{00000000-0005-0000-0000-000036000000}"/>
    <cellStyle name="Table title 2" xfId="61" xr:uid="{D91F8C64-535F-417E-A952-541EE8F2C1E7}"/>
    <cellStyle name="Title 2" xfId="42" xr:uid="{00000000-0005-0000-0000-000037000000}"/>
    <cellStyle name="Total 2" xfId="43" xr:uid="{00000000-0005-0000-0000-000038000000}"/>
    <cellStyle name="Warning Text 2" xfId="44" xr:uid="{00000000-0005-0000-0000-00003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nM" refreshedDate="44245.385712268515" createdVersion="6" refreshedVersion="6" minRefreshableVersion="3" recordCount="5761" xr:uid="{00000000-000A-0000-FFFF-FFFF5A000000}">
  <cacheSource type="worksheet">
    <worksheetSource ref="A1:G1048576" sheet="2035 Report Data"/>
  </cacheSource>
  <cacheFields count="7">
    <cacheField name="year" numFmtId="0">
      <sharedItems containsString="0" containsBlank="1" containsNumber="1" containsInteger="1" minValue="2020" maxValue="2035" count="17"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m/>
      </sharedItems>
    </cacheField>
    <cacheField name="tech" numFmtId="0">
      <sharedItems containsBlank="1" count="11">
        <s v="battery"/>
        <s v="biopower"/>
        <s v="coal"/>
        <s v="gas"/>
        <s v="geothermal"/>
        <s v="hydro"/>
        <s v="nuclear"/>
        <s v="other"/>
        <s v="solar"/>
        <s v="wind"/>
        <m/>
      </sharedItems>
    </cacheField>
    <cacheField name="newCapacityMW" numFmtId="0">
      <sharedItems containsString="0" containsBlank="1" containsNumber="1" minValue="0" maxValue="104666"/>
    </cacheField>
    <cacheField name="cleanEnergyPolicy" numFmtId="0">
      <sharedItems containsBlank="1" count="4">
        <s v="CarbonTax"/>
        <s v="CES90"/>
        <s v="Unconstrained"/>
        <m/>
      </sharedItems>
    </cacheField>
    <cacheField name="financingCosts" numFmtId="0">
      <sharedItems containsBlank="1" count="3">
        <s v="Base"/>
        <s v="High"/>
        <m/>
      </sharedItems>
    </cacheField>
    <cacheField name="gasPrices" numFmtId="0">
      <sharedItems containsBlank="1" count="3">
        <s v="AEO"/>
        <s v="NYMEX"/>
        <m/>
      </sharedItems>
    </cacheField>
    <cacheField name="technologyCosts" numFmtId="0">
      <sharedItems containsBlank="1" count="4">
        <s v="ATBLow"/>
        <s v="ATBMid"/>
        <s v="ATBModifi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61">
  <r>
    <x v="0"/>
    <x v="0"/>
    <n v="783.40499999999997"/>
    <x v="0"/>
    <x v="0"/>
    <x v="0"/>
    <x v="0"/>
  </r>
  <r>
    <x v="0"/>
    <x v="0"/>
    <n v="795.702"/>
    <x v="0"/>
    <x v="0"/>
    <x v="0"/>
    <x v="1"/>
  </r>
  <r>
    <x v="0"/>
    <x v="0"/>
    <n v="783.40499999999997"/>
    <x v="0"/>
    <x v="0"/>
    <x v="0"/>
    <x v="2"/>
  </r>
  <r>
    <x v="0"/>
    <x v="0"/>
    <n v="783.40499999999997"/>
    <x v="0"/>
    <x v="0"/>
    <x v="1"/>
    <x v="0"/>
  </r>
  <r>
    <x v="0"/>
    <x v="0"/>
    <n v="786.28300000000002"/>
    <x v="0"/>
    <x v="0"/>
    <x v="1"/>
    <x v="1"/>
  </r>
  <r>
    <x v="0"/>
    <x v="0"/>
    <n v="783.40499999999997"/>
    <x v="0"/>
    <x v="0"/>
    <x v="1"/>
    <x v="2"/>
  </r>
  <r>
    <x v="0"/>
    <x v="0"/>
    <n v="876.41899999999998"/>
    <x v="0"/>
    <x v="1"/>
    <x v="0"/>
    <x v="0"/>
  </r>
  <r>
    <x v="0"/>
    <x v="0"/>
    <n v="784.91099999999994"/>
    <x v="0"/>
    <x v="1"/>
    <x v="0"/>
    <x v="1"/>
  </r>
  <r>
    <x v="0"/>
    <x v="0"/>
    <n v="857.36900000000003"/>
    <x v="0"/>
    <x v="1"/>
    <x v="0"/>
    <x v="2"/>
  </r>
  <r>
    <x v="0"/>
    <x v="0"/>
    <n v="911.678"/>
    <x v="0"/>
    <x v="1"/>
    <x v="1"/>
    <x v="0"/>
  </r>
  <r>
    <x v="0"/>
    <x v="0"/>
    <n v="783.846"/>
    <x v="0"/>
    <x v="1"/>
    <x v="1"/>
    <x v="1"/>
  </r>
  <r>
    <x v="0"/>
    <x v="0"/>
    <n v="881.48599999999999"/>
    <x v="0"/>
    <x v="1"/>
    <x v="1"/>
    <x v="2"/>
  </r>
  <r>
    <x v="0"/>
    <x v="0"/>
    <n v="942.07"/>
    <x v="1"/>
    <x v="0"/>
    <x v="0"/>
    <x v="0"/>
  </r>
  <r>
    <x v="0"/>
    <x v="0"/>
    <n v="791.03499999999997"/>
    <x v="1"/>
    <x v="0"/>
    <x v="0"/>
    <x v="1"/>
  </r>
  <r>
    <x v="0"/>
    <x v="0"/>
    <n v="929.68200000000002"/>
    <x v="1"/>
    <x v="0"/>
    <x v="0"/>
    <x v="2"/>
  </r>
  <r>
    <x v="0"/>
    <x v="0"/>
    <n v="909.726"/>
    <x v="1"/>
    <x v="0"/>
    <x v="1"/>
    <x v="0"/>
  </r>
  <r>
    <x v="0"/>
    <x v="0"/>
    <n v="792.37900000000002"/>
    <x v="1"/>
    <x v="0"/>
    <x v="1"/>
    <x v="1"/>
  </r>
  <r>
    <x v="0"/>
    <x v="0"/>
    <n v="896.16800000000001"/>
    <x v="1"/>
    <x v="0"/>
    <x v="1"/>
    <x v="2"/>
  </r>
  <r>
    <x v="0"/>
    <x v="0"/>
    <n v="938.93899999999996"/>
    <x v="1"/>
    <x v="1"/>
    <x v="0"/>
    <x v="0"/>
  </r>
  <r>
    <x v="0"/>
    <x v="0"/>
    <n v="801.01300000000003"/>
    <x v="1"/>
    <x v="1"/>
    <x v="0"/>
    <x v="1"/>
  </r>
  <r>
    <x v="0"/>
    <x v="0"/>
    <n v="895.31299999999999"/>
    <x v="1"/>
    <x v="1"/>
    <x v="0"/>
    <x v="2"/>
  </r>
  <r>
    <x v="0"/>
    <x v="0"/>
    <n v="901.97799999999995"/>
    <x v="1"/>
    <x v="1"/>
    <x v="1"/>
    <x v="0"/>
  </r>
  <r>
    <x v="0"/>
    <x v="0"/>
    <n v="798.03099999999995"/>
    <x v="1"/>
    <x v="1"/>
    <x v="1"/>
    <x v="1"/>
  </r>
  <r>
    <x v="0"/>
    <x v="0"/>
    <n v="881.50800000000004"/>
    <x v="1"/>
    <x v="1"/>
    <x v="1"/>
    <x v="2"/>
  </r>
  <r>
    <x v="0"/>
    <x v="0"/>
    <n v="783.40499999999997"/>
    <x v="2"/>
    <x v="0"/>
    <x v="0"/>
    <x v="0"/>
  </r>
  <r>
    <x v="0"/>
    <x v="0"/>
    <n v="783.40499999999997"/>
    <x v="2"/>
    <x v="0"/>
    <x v="0"/>
    <x v="1"/>
  </r>
  <r>
    <x v="0"/>
    <x v="0"/>
    <n v="783.40499999999997"/>
    <x v="2"/>
    <x v="0"/>
    <x v="0"/>
    <x v="2"/>
  </r>
  <r>
    <x v="0"/>
    <x v="0"/>
    <n v="783.40499999999997"/>
    <x v="2"/>
    <x v="0"/>
    <x v="1"/>
    <x v="0"/>
  </r>
  <r>
    <x v="0"/>
    <x v="0"/>
    <n v="783.40499999999997"/>
    <x v="2"/>
    <x v="0"/>
    <x v="1"/>
    <x v="1"/>
  </r>
  <r>
    <x v="0"/>
    <x v="0"/>
    <n v="783.40499999999997"/>
    <x v="2"/>
    <x v="0"/>
    <x v="1"/>
    <x v="2"/>
  </r>
  <r>
    <x v="0"/>
    <x v="0"/>
    <n v="783.40499999999997"/>
    <x v="2"/>
    <x v="1"/>
    <x v="0"/>
    <x v="0"/>
  </r>
  <r>
    <x v="0"/>
    <x v="0"/>
    <n v="783.40499999999997"/>
    <x v="2"/>
    <x v="1"/>
    <x v="0"/>
    <x v="1"/>
  </r>
  <r>
    <x v="0"/>
    <x v="0"/>
    <n v="783.40499999999997"/>
    <x v="2"/>
    <x v="1"/>
    <x v="0"/>
    <x v="2"/>
  </r>
  <r>
    <x v="0"/>
    <x v="0"/>
    <n v="783.40499999999997"/>
    <x v="2"/>
    <x v="1"/>
    <x v="1"/>
    <x v="0"/>
  </r>
  <r>
    <x v="0"/>
    <x v="0"/>
    <n v="783.40499999999997"/>
    <x v="2"/>
    <x v="1"/>
    <x v="1"/>
    <x v="1"/>
  </r>
  <r>
    <x v="0"/>
    <x v="0"/>
    <n v="783.40499999999997"/>
    <x v="2"/>
    <x v="1"/>
    <x v="1"/>
    <x v="2"/>
  </r>
  <r>
    <x v="1"/>
    <x v="0"/>
    <n v="1155.94"/>
    <x v="0"/>
    <x v="0"/>
    <x v="0"/>
    <x v="0"/>
  </r>
  <r>
    <x v="1"/>
    <x v="0"/>
    <n v="606.16999999999996"/>
    <x v="0"/>
    <x v="0"/>
    <x v="0"/>
    <x v="1"/>
  </r>
  <r>
    <x v="1"/>
    <x v="0"/>
    <n v="1085.08"/>
    <x v="0"/>
    <x v="0"/>
    <x v="0"/>
    <x v="2"/>
  </r>
  <r>
    <x v="1"/>
    <x v="0"/>
    <n v="1553.73"/>
    <x v="0"/>
    <x v="0"/>
    <x v="1"/>
    <x v="0"/>
  </r>
  <r>
    <x v="1"/>
    <x v="0"/>
    <n v="606.38599999999997"/>
    <x v="0"/>
    <x v="0"/>
    <x v="1"/>
    <x v="1"/>
  </r>
  <r>
    <x v="1"/>
    <x v="0"/>
    <n v="1482.58"/>
    <x v="0"/>
    <x v="0"/>
    <x v="1"/>
    <x v="2"/>
  </r>
  <r>
    <x v="1"/>
    <x v="0"/>
    <n v="605.14800000000002"/>
    <x v="0"/>
    <x v="1"/>
    <x v="0"/>
    <x v="0"/>
  </r>
  <r>
    <x v="1"/>
    <x v="0"/>
    <n v="605.14499999999998"/>
    <x v="0"/>
    <x v="1"/>
    <x v="0"/>
    <x v="1"/>
  </r>
  <r>
    <x v="1"/>
    <x v="0"/>
    <n v="605.16300000000001"/>
    <x v="0"/>
    <x v="1"/>
    <x v="0"/>
    <x v="2"/>
  </r>
  <r>
    <x v="1"/>
    <x v="0"/>
    <n v="643.625"/>
    <x v="0"/>
    <x v="1"/>
    <x v="1"/>
    <x v="0"/>
  </r>
  <r>
    <x v="1"/>
    <x v="0"/>
    <n v="605.14499999999998"/>
    <x v="0"/>
    <x v="1"/>
    <x v="1"/>
    <x v="1"/>
  </r>
  <r>
    <x v="1"/>
    <x v="0"/>
    <n v="653.61"/>
    <x v="0"/>
    <x v="1"/>
    <x v="1"/>
    <x v="2"/>
  </r>
  <r>
    <x v="1"/>
    <x v="0"/>
    <n v="3016.74"/>
    <x v="1"/>
    <x v="0"/>
    <x v="0"/>
    <x v="0"/>
  </r>
  <r>
    <x v="1"/>
    <x v="0"/>
    <n v="1547.01"/>
    <x v="1"/>
    <x v="0"/>
    <x v="0"/>
    <x v="1"/>
  </r>
  <r>
    <x v="1"/>
    <x v="0"/>
    <n v="2924.94"/>
    <x v="1"/>
    <x v="0"/>
    <x v="0"/>
    <x v="2"/>
  </r>
  <r>
    <x v="1"/>
    <x v="0"/>
    <n v="2686.67"/>
    <x v="1"/>
    <x v="0"/>
    <x v="1"/>
    <x v="0"/>
  </r>
  <r>
    <x v="1"/>
    <x v="0"/>
    <n v="1640.88"/>
    <x v="1"/>
    <x v="0"/>
    <x v="1"/>
    <x v="1"/>
  </r>
  <r>
    <x v="1"/>
    <x v="0"/>
    <n v="2627.16"/>
    <x v="1"/>
    <x v="0"/>
    <x v="1"/>
    <x v="2"/>
  </r>
  <r>
    <x v="1"/>
    <x v="0"/>
    <n v="2921.24"/>
    <x v="1"/>
    <x v="1"/>
    <x v="0"/>
    <x v="0"/>
  </r>
  <r>
    <x v="1"/>
    <x v="0"/>
    <n v="1457.41"/>
    <x v="1"/>
    <x v="1"/>
    <x v="0"/>
    <x v="1"/>
  </r>
  <r>
    <x v="1"/>
    <x v="0"/>
    <n v="2859.38"/>
    <x v="1"/>
    <x v="1"/>
    <x v="0"/>
    <x v="2"/>
  </r>
  <r>
    <x v="1"/>
    <x v="0"/>
    <n v="2862.07"/>
    <x v="1"/>
    <x v="1"/>
    <x v="1"/>
    <x v="0"/>
  </r>
  <r>
    <x v="1"/>
    <x v="0"/>
    <n v="1442.3"/>
    <x v="1"/>
    <x v="1"/>
    <x v="1"/>
    <x v="1"/>
  </r>
  <r>
    <x v="1"/>
    <x v="0"/>
    <n v="2829.88"/>
    <x v="1"/>
    <x v="1"/>
    <x v="1"/>
    <x v="2"/>
  </r>
  <r>
    <x v="1"/>
    <x v="0"/>
    <n v="640.35799999999995"/>
    <x v="2"/>
    <x v="0"/>
    <x v="0"/>
    <x v="0"/>
  </r>
  <r>
    <x v="1"/>
    <x v="0"/>
    <n v="608.09299999999996"/>
    <x v="2"/>
    <x v="0"/>
    <x v="0"/>
    <x v="1"/>
  </r>
  <r>
    <x v="1"/>
    <x v="0"/>
    <n v="628.12800000000004"/>
    <x v="2"/>
    <x v="0"/>
    <x v="0"/>
    <x v="2"/>
  </r>
  <r>
    <x v="1"/>
    <x v="0"/>
    <n v="634.49599999999998"/>
    <x v="2"/>
    <x v="0"/>
    <x v="1"/>
    <x v="0"/>
  </r>
  <r>
    <x v="1"/>
    <x v="0"/>
    <n v="605.14499999999998"/>
    <x v="2"/>
    <x v="0"/>
    <x v="1"/>
    <x v="1"/>
  </r>
  <r>
    <x v="1"/>
    <x v="0"/>
    <n v="616.79399999999998"/>
    <x v="2"/>
    <x v="0"/>
    <x v="1"/>
    <x v="2"/>
  </r>
  <r>
    <x v="1"/>
    <x v="0"/>
    <n v="628.22"/>
    <x v="2"/>
    <x v="1"/>
    <x v="0"/>
    <x v="0"/>
  </r>
  <r>
    <x v="1"/>
    <x v="0"/>
    <n v="605.14499999999998"/>
    <x v="2"/>
    <x v="1"/>
    <x v="0"/>
    <x v="1"/>
  </r>
  <r>
    <x v="1"/>
    <x v="0"/>
    <n v="611.96299999999997"/>
    <x v="2"/>
    <x v="1"/>
    <x v="0"/>
    <x v="2"/>
  </r>
  <r>
    <x v="1"/>
    <x v="0"/>
    <n v="614.81200000000001"/>
    <x v="2"/>
    <x v="1"/>
    <x v="1"/>
    <x v="0"/>
  </r>
  <r>
    <x v="1"/>
    <x v="0"/>
    <n v="605.14499999999998"/>
    <x v="2"/>
    <x v="1"/>
    <x v="1"/>
    <x v="1"/>
  </r>
  <r>
    <x v="1"/>
    <x v="0"/>
    <n v="606.83900000000006"/>
    <x v="2"/>
    <x v="1"/>
    <x v="1"/>
    <x v="2"/>
  </r>
  <r>
    <x v="2"/>
    <x v="0"/>
    <n v="1155.94"/>
    <x v="0"/>
    <x v="0"/>
    <x v="0"/>
    <x v="0"/>
  </r>
  <r>
    <x v="2"/>
    <x v="0"/>
    <n v="606.16999999999996"/>
    <x v="0"/>
    <x v="0"/>
    <x v="0"/>
    <x v="1"/>
  </r>
  <r>
    <x v="2"/>
    <x v="0"/>
    <n v="1085.08"/>
    <x v="0"/>
    <x v="0"/>
    <x v="0"/>
    <x v="2"/>
  </r>
  <r>
    <x v="2"/>
    <x v="0"/>
    <n v="1553.73"/>
    <x v="0"/>
    <x v="0"/>
    <x v="1"/>
    <x v="0"/>
  </r>
  <r>
    <x v="2"/>
    <x v="0"/>
    <n v="606.38599999999997"/>
    <x v="0"/>
    <x v="0"/>
    <x v="1"/>
    <x v="1"/>
  </r>
  <r>
    <x v="2"/>
    <x v="0"/>
    <n v="1482.58"/>
    <x v="0"/>
    <x v="0"/>
    <x v="1"/>
    <x v="2"/>
  </r>
  <r>
    <x v="2"/>
    <x v="0"/>
    <n v="605.14800000000002"/>
    <x v="0"/>
    <x v="1"/>
    <x v="0"/>
    <x v="0"/>
  </r>
  <r>
    <x v="2"/>
    <x v="0"/>
    <n v="605.14499999999998"/>
    <x v="0"/>
    <x v="1"/>
    <x v="0"/>
    <x v="1"/>
  </r>
  <r>
    <x v="2"/>
    <x v="0"/>
    <n v="605.16300000000001"/>
    <x v="0"/>
    <x v="1"/>
    <x v="0"/>
    <x v="2"/>
  </r>
  <r>
    <x v="2"/>
    <x v="0"/>
    <n v="643.625"/>
    <x v="0"/>
    <x v="1"/>
    <x v="1"/>
    <x v="0"/>
  </r>
  <r>
    <x v="2"/>
    <x v="0"/>
    <n v="605.14499999999998"/>
    <x v="0"/>
    <x v="1"/>
    <x v="1"/>
    <x v="1"/>
  </r>
  <r>
    <x v="2"/>
    <x v="0"/>
    <n v="653.61"/>
    <x v="0"/>
    <x v="1"/>
    <x v="1"/>
    <x v="2"/>
  </r>
  <r>
    <x v="2"/>
    <x v="0"/>
    <n v="3016.74"/>
    <x v="1"/>
    <x v="0"/>
    <x v="0"/>
    <x v="0"/>
  </r>
  <r>
    <x v="2"/>
    <x v="0"/>
    <n v="1547.01"/>
    <x v="1"/>
    <x v="0"/>
    <x v="0"/>
    <x v="1"/>
  </r>
  <r>
    <x v="2"/>
    <x v="0"/>
    <n v="2924.94"/>
    <x v="1"/>
    <x v="0"/>
    <x v="0"/>
    <x v="2"/>
  </r>
  <r>
    <x v="2"/>
    <x v="0"/>
    <n v="2686.67"/>
    <x v="1"/>
    <x v="0"/>
    <x v="1"/>
    <x v="0"/>
  </r>
  <r>
    <x v="2"/>
    <x v="0"/>
    <n v="1640.88"/>
    <x v="1"/>
    <x v="0"/>
    <x v="1"/>
    <x v="1"/>
  </r>
  <r>
    <x v="2"/>
    <x v="0"/>
    <n v="2627.16"/>
    <x v="1"/>
    <x v="0"/>
    <x v="1"/>
    <x v="2"/>
  </r>
  <r>
    <x v="2"/>
    <x v="0"/>
    <n v="2921.24"/>
    <x v="1"/>
    <x v="1"/>
    <x v="0"/>
    <x v="0"/>
  </r>
  <r>
    <x v="2"/>
    <x v="0"/>
    <n v="1457.41"/>
    <x v="1"/>
    <x v="1"/>
    <x v="0"/>
    <x v="1"/>
  </r>
  <r>
    <x v="2"/>
    <x v="0"/>
    <n v="2859.38"/>
    <x v="1"/>
    <x v="1"/>
    <x v="0"/>
    <x v="2"/>
  </r>
  <r>
    <x v="2"/>
    <x v="0"/>
    <n v="2862.07"/>
    <x v="1"/>
    <x v="1"/>
    <x v="1"/>
    <x v="0"/>
  </r>
  <r>
    <x v="2"/>
    <x v="0"/>
    <n v="1442.3"/>
    <x v="1"/>
    <x v="1"/>
    <x v="1"/>
    <x v="1"/>
  </r>
  <r>
    <x v="2"/>
    <x v="0"/>
    <n v="2829.88"/>
    <x v="1"/>
    <x v="1"/>
    <x v="1"/>
    <x v="2"/>
  </r>
  <r>
    <x v="2"/>
    <x v="0"/>
    <n v="640.35799999999995"/>
    <x v="2"/>
    <x v="0"/>
    <x v="0"/>
    <x v="0"/>
  </r>
  <r>
    <x v="2"/>
    <x v="0"/>
    <n v="608.09299999999996"/>
    <x v="2"/>
    <x v="0"/>
    <x v="0"/>
    <x v="1"/>
  </r>
  <r>
    <x v="2"/>
    <x v="0"/>
    <n v="628.12800000000004"/>
    <x v="2"/>
    <x v="0"/>
    <x v="0"/>
    <x v="2"/>
  </r>
  <r>
    <x v="2"/>
    <x v="0"/>
    <n v="634.49599999999998"/>
    <x v="2"/>
    <x v="0"/>
    <x v="1"/>
    <x v="0"/>
  </r>
  <r>
    <x v="2"/>
    <x v="0"/>
    <n v="605.14499999999998"/>
    <x v="2"/>
    <x v="0"/>
    <x v="1"/>
    <x v="1"/>
  </r>
  <r>
    <x v="2"/>
    <x v="0"/>
    <n v="616.79399999999998"/>
    <x v="2"/>
    <x v="0"/>
    <x v="1"/>
    <x v="2"/>
  </r>
  <r>
    <x v="2"/>
    <x v="0"/>
    <n v="628.22"/>
    <x v="2"/>
    <x v="1"/>
    <x v="0"/>
    <x v="0"/>
  </r>
  <r>
    <x v="2"/>
    <x v="0"/>
    <n v="605.14499999999998"/>
    <x v="2"/>
    <x v="1"/>
    <x v="0"/>
    <x v="1"/>
  </r>
  <r>
    <x v="2"/>
    <x v="0"/>
    <n v="611.96299999999997"/>
    <x v="2"/>
    <x v="1"/>
    <x v="0"/>
    <x v="2"/>
  </r>
  <r>
    <x v="2"/>
    <x v="0"/>
    <n v="614.81200000000001"/>
    <x v="2"/>
    <x v="1"/>
    <x v="1"/>
    <x v="0"/>
  </r>
  <r>
    <x v="2"/>
    <x v="0"/>
    <n v="605.14499999999998"/>
    <x v="2"/>
    <x v="1"/>
    <x v="1"/>
    <x v="1"/>
  </r>
  <r>
    <x v="2"/>
    <x v="0"/>
    <n v="606.83900000000006"/>
    <x v="2"/>
    <x v="1"/>
    <x v="1"/>
    <x v="2"/>
  </r>
  <r>
    <x v="3"/>
    <x v="0"/>
    <n v="13886.7"/>
    <x v="0"/>
    <x v="0"/>
    <x v="0"/>
    <x v="0"/>
  </r>
  <r>
    <x v="3"/>
    <x v="0"/>
    <n v="5436.92"/>
    <x v="0"/>
    <x v="0"/>
    <x v="0"/>
    <x v="1"/>
  </r>
  <r>
    <x v="3"/>
    <x v="0"/>
    <n v="8377.59"/>
    <x v="0"/>
    <x v="0"/>
    <x v="0"/>
    <x v="2"/>
  </r>
  <r>
    <x v="3"/>
    <x v="0"/>
    <n v="9186.8700000000008"/>
    <x v="0"/>
    <x v="0"/>
    <x v="1"/>
    <x v="0"/>
  </r>
  <r>
    <x v="3"/>
    <x v="0"/>
    <n v="4688.9399999999996"/>
    <x v="0"/>
    <x v="0"/>
    <x v="1"/>
    <x v="1"/>
  </r>
  <r>
    <x v="3"/>
    <x v="0"/>
    <n v="6022.29"/>
    <x v="0"/>
    <x v="0"/>
    <x v="1"/>
    <x v="2"/>
  </r>
  <r>
    <x v="3"/>
    <x v="0"/>
    <n v="6554.97"/>
    <x v="0"/>
    <x v="1"/>
    <x v="0"/>
    <x v="0"/>
  </r>
  <r>
    <x v="3"/>
    <x v="0"/>
    <n v="3099.46"/>
    <x v="0"/>
    <x v="1"/>
    <x v="0"/>
    <x v="1"/>
  </r>
  <r>
    <x v="3"/>
    <x v="0"/>
    <n v="4093.11"/>
    <x v="0"/>
    <x v="1"/>
    <x v="0"/>
    <x v="2"/>
  </r>
  <r>
    <x v="3"/>
    <x v="0"/>
    <n v="4879.0200000000004"/>
    <x v="0"/>
    <x v="1"/>
    <x v="1"/>
    <x v="0"/>
  </r>
  <r>
    <x v="3"/>
    <x v="0"/>
    <n v="3325.42"/>
    <x v="0"/>
    <x v="1"/>
    <x v="1"/>
    <x v="1"/>
  </r>
  <r>
    <x v="3"/>
    <x v="0"/>
    <n v="3733.54"/>
    <x v="0"/>
    <x v="1"/>
    <x v="1"/>
    <x v="2"/>
  </r>
  <r>
    <x v="3"/>
    <x v="0"/>
    <n v="4717.08"/>
    <x v="1"/>
    <x v="0"/>
    <x v="0"/>
    <x v="0"/>
  </r>
  <r>
    <x v="3"/>
    <x v="0"/>
    <n v="5009.6899999999996"/>
    <x v="1"/>
    <x v="0"/>
    <x v="0"/>
    <x v="1"/>
  </r>
  <r>
    <x v="3"/>
    <x v="0"/>
    <n v="4542.59"/>
    <x v="1"/>
    <x v="0"/>
    <x v="0"/>
    <x v="2"/>
  </r>
  <r>
    <x v="3"/>
    <x v="0"/>
    <n v="4977.3900000000003"/>
    <x v="1"/>
    <x v="0"/>
    <x v="1"/>
    <x v="0"/>
  </r>
  <r>
    <x v="3"/>
    <x v="0"/>
    <n v="5084.33"/>
    <x v="1"/>
    <x v="0"/>
    <x v="1"/>
    <x v="1"/>
  </r>
  <r>
    <x v="3"/>
    <x v="0"/>
    <n v="4844.21"/>
    <x v="1"/>
    <x v="0"/>
    <x v="1"/>
    <x v="2"/>
  </r>
  <r>
    <x v="3"/>
    <x v="0"/>
    <n v="4866.82"/>
    <x v="1"/>
    <x v="1"/>
    <x v="0"/>
    <x v="0"/>
  </r>
  <r>
    <x v="3"/>
    <x v="0"/>
    <n v="4999.97"/>
    <x v="1"/>
    <x v="1"/>
    <x v="0"/>
    <x v="1"/>
  </r>
  <r>
    <x v="3"/>
    <x v="0"/>
    <n v="4719.63"/>
    <x v="1"/>
    <x v="1"/>
    <x v="0"/>
    <x v="2"/>
  </r>
  <r>
    <x v="3"/>
    <x v="0"/>
    <n v="4982.93"/>
    <x v="1"/>
    <x v="1"/>
    <x v="1"/>
    <x v="0"/>
  </r>
  <r>
    <x v="3"/>
    <x v="0"/>
    <n v="5384.16"/>
    <x v="1"/>
    <x v="1"/>
    <x v="1"/>
    <x v="1"/>
  </r>
  <r>
    <x v="3"/>
    <x v="0"/>
    <n v="4890.8500000000004"/>
    <x v="1"/>
    <x v="1"/>
    <x v="1"/>
    <x v="2"/>
  </r>
  <r>
    <x v="3"/>
    <x v="0"/>
    <n v="834.85"/>
    <x v="2"/>
    <x v="0"/>
    <x v="0"/>
    <x v="0"/>
  </r>
  <r>
    <x v="3"/>
    <x v="0"/>
    <n v="676.05700000000002"/>
    <x v="2"/>
    <x v="0"/>
    <x v="0"/>
    <x v="1"/>
  </r>
  <r>
    <x v="3"/>
    <x v="0"/>
    <n v="668.75699999999995"/>
    <x v="2"/>
    <x v="0"/>
    <x v="0"/>
    <x v="2"/>
  </r>
  <r>
    <x v="3"/>
    <x v="0"/>
    <n v="635.88"/>
    <x v="2"/>
    <x v="0"/>
    <x v="1"/>
    <x v="0"/>
  </r>
  <r>
    <x v="3"/>
    <x v="0"/>
    <n v="637.27099999999996"/>
    <x v="2"/>
    <x v="0"/>
    <x v="1"/>
    <x v="1"/>
  </r>
  <r>
    <x v="3"/>
    <x v="0"/>
    <n v="645.26800000000003"/>
    <x v="2"/>
    <x v="0"/>
    <x v="1"/>
    <x v="2"/>
  </r>
  <r>
    <x v="3"/>
    <x v="0"/>
    <n v="860.21299999999997"/>
    <x v="2"/>
    <x v="1"/>
    <x v="0"/>
    <x v="0"/>
  </r>
  <r>
    <x v="3"/>
    <x v="0"/>
    <n v="662.23099999999999"/>
    <x v="2"/>
    <x v="1"/>
    <x v="0"/>
    <x v="1"/>
  </r>
  <r>
    <x v="3"/>
    <x v="0"/>
    <n v="694.91300000000001"/>
    <x v="2"/>
    <x v="1"/>
    <x v="0"/>
    <x v="2"/>
  </r>
  <r>
    <x v="3"/>
    <x v="0"/>
    <n v="657.11800000000005"/>
    <x v="2"/>
    <x v="1"/>
    <x v="1"/>
    <x v="0"/>
  </r>
  <r>
    <x v="3"/>
    <x v="0"/>
    <n v="626.44500000000005"/>
    <x v="2"/>
    <x v="1"/>
    <x v="1"/>
    <x v="1"/>
  </r>
  <r>
    <x v="3"/>
    <x v="0"/>
    <n v="653.6"/>
    <x v="2"/>
    <x v="1"/>
    <x v="1"/>
    <x v="2"/>
  </r>
  <r>
    <x v="4"/>
    <x v="0"/>
    <n v="13886.7"/>
    <x v="0"/>
    <x v="0"/>
    <x v="0"/>
    <x v="0"/>
  </r>
  <r>
    <x v="4"/>
    <x v="0"/>
    <n v="5436.92"/>
    <x v="0"/>
    <x v="0"/>
    <x v="0"/>
    <x v="1"/>
  </r>
  <r>
    <x v="4"/>
    <x v="0"/>
    <n v="8377.59"/>
    <x v="0"/>
    <x v="0"/>
    <x v="0"/>
    <x v="2"/>
  </r>
  <r>
    <x v="4"/>
    <x v="0"/>
    <n v="9186.8700000000008"/>
    <x v="0"/>
    <x v="0"/>
    <x v="1"/>
    <x v="0"/>
  </r>
  <r>
    <x v="4"/>
    <x v="0"/>
    <n v="4688.9399999999996"/>
    <x v="0"/>
    <x v="0"/>
    <x v="1"/>
    <x v="1"/>
  </r>
  <r>
    <x v="4"/>
    <x v="0"/>
    <n v="6022.29"/>
    <x v="0"/>
    <x v="0"/>
    <x v="1"/>
    <x v="2"/>
  </r>
  <r>
    <x v="4"/>
    <x v="0"/>
    <n v="6554.97"/>
    <x v="0"/>
    <x v="1"/>
    <x v="0"/>
    <x v="0"/>
  </r>
  <r>
    <x v="4"/>
    <x v="0"/>
    <n v="3099.46"/>
    <x v="0"/>
    <x v="1"/>
    <x v="0"/>
    <x v="1"/>
  </r>
  <r>
    <x v="4"/>
    <x v="0"/>
    <n v="4093.11"/>
    <x v="0"/>
    <x v="1"/>
    <x v="0"/>
    <x v="2"/>
  </r>
  <r>
    <x v="4"/>
    <x v="0"/>
    <n v="4879.0200000000004"/>
    <x v="0"/>
    <x v="1"/>
    <x v="1"/>
    <x v="0"/>
  </r>
  <r>
    <x v="4"/>
    <x v="0"/>
    <n v="3325.42"/>
    <x v="0"/>
    <x v="1"/>
    <x v="1"/>
    <x v="1"/>
  </r>
  <r>
    <x v="4"/>
    <x v="0"/>
    <n v="3733.54"/>
    <x v="0"/>
    <x v="1"/>
    <x v="1"/>
    <x v="2"/>
  </r>
  <r>
    <x v="4"/>
    <x v="0"/>
    <n v="4717.08"/>
    <x v="1"/>
    <x v="0"/>
    <x v="0"/>
    <x v="0"/>
  </r>
  <r>
    <x v="4"/>
    <x v="0"/>
    <n v="5009.6899999999996"/>
    <x v="1"/>
    <x v="0"/>
    <x v="0"/>
    <x v="1"/>
  </r>
  <r>
    <x v="4"/>
    <x v="0"/>
    <n v="4542.59"/>
    <x v="1"/>
    <x v="0"/>
    <x v="0"/>
    <x v="2"/>
  </r>
  <r>
    <x v="4"/>
    <x v="0"/>
    <n v="4977.3900000000003"/>
    <x v="1"/>
    <x v="0"/>
    <x v="1"/>
    <x v="0"/>
  </r>
  <r>
    <x v="4"/>
    <x v="0"/>
    <n v="5084.33"/>
    <x v="1"/>
    <x v="0"/>
    <x v="1"/>
    <x v="1"/>
  </r>
  <r>
    <x v="4"/>
    <x v="0"/>
    <n v="4844.21"/>
    <x v="1"/>
    <x v="0"/>
    <x v="1"/>
    <x v="2"/>
  </r>
  <r>
    <x v="4"/>
    <x v="0"/>
    <n v="4866.82"/>
    <x v="1"/>
    <x v="1"/>
    <x v="0"/>
    <x v="0"/>
  </r>
  <r>
    <x v="4"/>
    <x v="0"/>
    <n v="4999.97"/>
    <x v="1"/>
    <x v="1"/>
    <x v="0"/>
    <x v="1"/>
  </r>
  <r>
    <x v="4"/>
    <x v="0"/>
    <n v="4719.63"/>
    <x v="1"/>
    <x v="1"/>
    <x v="0"/>
    <x v="2"/>
  </r>
  <r>
    <x v="4"/>
    <x v="0"/>
    <n v="4982.93"/>
    <x v="1"/>
    <x v="1"/>
    <x v="1"/>
    <x v="0"/>
  </r>
  <r>
    <x v="4"/>
    <x v="0"/>
    <n v="5384.16"/>
    <x v="1"/>
    <x v="1"/>
    <x v="1"/>
    <x v="1"/>
  </r>
  <r>
    <x v="4"/>
    <x v="0"/>
    <n v="4890.8500000000004"/>
    <x v="1"/>
    <x v="1"/>
    <x v="1"/>
    <x v="2"/>
  </r>
  <r>
    <x v="4"/>
    <x v="0"/>
    <n v="834.85"/>
    <x v="2"/>
    <x v="0"/>
    <x v="0"/>
    <x v="0"/>
  </r>
  <r>
    <x v="4"/>
    <x v="0"/>
    <n v="676.05700000000002"/>
    <x v="2"/>
    <x v="0"/>
    <x v="0"/>
    <x v="1"/>
  </r>
  <r>
    <x v="4"/>
    <x v="0"/>
    <n v="668.75699999999995"/>
    <x v="2"/>
    <x v="0"/>
    <x v="0"/>
    <x v="2"/>
  </r>
  <r>
    <x v="4"/>
    <x v="0"/>
    <n v="635.88"/>
    <x v="2"/>
    <x v="0"/>
    <x v="1"/>
    <x v="0"/>
  </r>
  <r>
    <x v="4"/>
    <x v="0"/>
    <n v="637.27099999999996"/>
    <x v="2"/>
    <x v="0"/>
    <x v="1"/>
    <x v="1"/>
  </r>
  <r>
    <x v="4"/>
    <x v="0"/>
    <n v="645.26800000000003"/>
    <x v="2"/>
    <x v="0"/>
    <x v="1"/>
    <x v="2"/>
  </r>
  <r>
    <x v="4"/>
    <x v="0"/>
    <n v="860.21299999999997"/>
    <x v="2"/>
    <x v="1"/>
    <x v="0"/>
    <x v="0"/>
  </r>
  <r>
    <x v="4"/>
    <x v="0"/>
    <n v="662.23099999999999"/>
    <x v="2"/>
    <x v="1"/>
    <x v="0"/>
    <x v="1"/>
  </r>
  <r>
    <x v="4"/>
    <x v="0"/>
    <n v="694.91300000000001"/>
    <x v="2"/>
    <x v="1"/>
    <x v="0"/>
    <x v="2"/>
  </r>
  <r>
    <x v="4"/>
    <x v="0"/>
    <n v="657.11800000000005"/>
    <x v="2"/>
    <x v="1"/>
    <x v="1"/>
    <x v="0"/>
  </r>
  <r>
    <x v="4"/>
    <x v="0"/>
    <n v="626.44500000000005"/>
    <x v="2"/>
    <x v="1"/>
    <x v="1"/>
    <x v="1"/>
  </r>
  <r>
    <x v="4"/>
    <x v="0"/>
    <n v="653.6"/>
    <x v="2"/>
    <x v="1"/>
    <x v="1"/>
    <x v="2"/>
  </r>
  <r>
    <x v="5"/>
    <x v="0"/>
    <n v="19588.3"/>
    <x v="0"/>
    <x v="0"/>
    <x v="0"/>
    <x v="0"/>
  </r>
  <r>
    <x v="5"/>
    <x v="0"/>
    <n v="7013.11"/>
    <x v="0"/>
    <x v="0"/>
    <x v="0"/>
    <x v="1"/>
  </r>
  <r>
    <x v="5"/>
    <x v="0"/>
    <n v="8413.31"/>
    <x v="0"/>
    <x v="0"/>
    <x v="0"/>
    <x v="2"/>
  </r>
  <r>
    <x v="5"/>
    <x v="0"/>
    <n v="9424.64"/>
    <x v="0"/>
    <x v="0"/>
    <x v="1"/>
    <x v="0"/>
  </r>
  <r>
    <x v="5"/>
    <x v="0"/>
    <n v="5777.41"/>
    <x v="0"/>
    <x v="0"/>
    <x v="1"/>
    <x v="1"/>
  </r>
  <r>
    <x v="5"/>
    <x v="0"/>
    <n v="5740.71"/>
    <x v="0"/>
    <x v="0"/>
    <x v="1"/>
    <x v="2"/>
  </r>
  <r>
    <x v="5"/>
    <x v="0"/>
    <n v="10499.6"/>
    <x v="0"/>
    <x v="1"/>
    <x v="0"/>
    <x v="0"/>
  </r>
  <r>
    <x v="5"/>
    <x v="0"/>
    <n v="3998.51"/>
    <x v="0"/>
    <x v="1"/>
    <x v="0"/>
    <x v="1"/>
  </r>
  <r>
    <x v="5"/>
    <x v="0"/>
    <n v="5350.13"/>
    <x v="0"/>
    <x v="1"/>
    <x v="0"/>
    <x v="2"/>
  </r>
  <r>
    <x v="5"/>
    <x v="0"/>
    <n v="6825.66"/>
    <x v="0"/>
    <x v="1"/>
    <x v="1"/>
    <x v="0"/>
  </r>
  <r>
    <x v="5"/>
    <x v="0"/>
    <n v="4658.3500000000004"/>
    <x v="0"/>
    <x v="1"/>
    <x v="1"/>
    <x v="1"/>
  </r>
  <r>
    <x v="5"/>
    <x v="0"/>
    <n v="4653.38"/>
    <x v="0"/>
    <x v="1"/>
    <x v="1"/>
    <x v="2"/>
  </r>
  <r>
    <x v="5"/>
    <x v="0"/>
    <n v="8012.45"/>
    <x v="1"/>
    <x v="0"/>
    <x v="0"/>
    <x v="0"/>
  </r>
  <r>
    <x v="5"/>
    <x v="0"/>
    <n v="5906.58"/>
    <x v="1"/>
    <x v="0"/>
    <x v="0"/>
    <x v="1"/>
  </r>
  <r>
    <x v="5"/>
    <x v="0"/>
    <n v="6031.3"/>
    <x v="1"/>
    <x v="0"/>
    <x v="0"/>
    <x v="2"/>
  </r>
  <r>
    <x v="5"/>
    <x v="0"/>
    <n v="7171.77"/>
    <x v="1"/>
    <x v="0"/>
    <x v="1"/>
    <x v="0"/>
  </r>
  <r>
    <x v="5"/>
    <x v="0"/>
    <n v="6633.76"/>
    <x v="1"/>
    <x v="0"/>
    <x v="1"/>
    <x v="1"/>
  </r>
  <r>
    <x v="5"/>
    <x v="0"/>
    <n v="6382.95"/>
    <x v="1"/>
    <x v="0"/>
    <x v="1"/>
    <x v="2"/>
  </r>
  <r>
    <x v="5"/>
    <x v="0"/>
    <n v="6510.47"/>
    <x v="1"/>
    <x v="1"/>
    <x v="0"/>
    <x v="0"/>
  </r>
  <r>
    <x v="5"/>
    <x v="0"/>
    <n v="6033.09"/>
    <x v="1"/>
    <x v="1"/>
    <x v="0"/>
    <x v="1"/>
  </r>
  <r>
    <x v="5"/>
    <x v="0"/>
    <n v="5053.13"/>
    <x v="1"/>
    <x v="1"/>
    <x v="0"/>
    <x v="2"/>
  </r>
  <r>
    <x v="5"/>
    <x v="0"/>
    <n v="6778.72"/>
    <x v="1"/>
    <x v="1"/>
    <x v="1"/>
    <x v="0"/>
  </r>
  <r>
    <x v="5"/>
    <x v="0"/>
    <n v="6185.62"/>
    <x v="1"/>
    <x v="1"/>
    <x v="1"/>
    <x v="1"/>
  </r>
  <r>
    <x v="5"/>
    <x v="0"/>
    <n v="5745.28"/>
    <x v="1"/>
    <x v="1"/>
    <x v="1"/>
    <x v="2"/>
  </r>
  <r>
    <x v="5"/>
    <x v="0"/>
    <n v="1882.57"/>
    <x v="2"/>
    <x v="0"/>
    <x v="0"/>
    <x v="0"/>
  </r>
  <r>
    <x v="5"/>
    <x v="0"/>
    <n v="628.35"/>
    <x v="2"/>
    <x v="0"/>
    <x v="0"/>
    <x v="1"/>
  </r>
  <r>
    <x v="5"/>
    <x v="0"/>
    <n v="597.33199999999999"/>
    <x v="2"/>
    <x v="0"/>
    <x v="0"/>
    <x v="2"/>
  </r>
  <r>
    <x v="5"/>
    <x v="0"/>
    <n v="1505.45"/>
    <x v="2"/>
    <x v="0"/>
    <x v="1"/>
    <x v="0"/>
  </r>
  <r>
    <x v="5"/>
    <x v="0"/>
    <n v="431.346"/>
    <x v="2"/>
    <x v="0"/>
    <x v="1"/>
    <x v="1"/>
  </r>
  <r>
    <x v="5"/>
    <x v="0"/>
    <n v="426.82299999999998"/>
    <x v="2"/>
    <x v="0"/>
    <x v="1"/>
    <x v="2"/>
  </r>
  <r>
    <x v="5"/>
    <x v="0"/>
    <n v="3044.86"/>
    <x v="2"/>
    <x v="1"/>
    <x v="0"/>
    <x v="0"/>
  </r>
  <r>
    <x v="5"/>
    <x v="0"/>
    <n v="808.15599999999995"/>
    <x v="2"/>
    <x v="1"/>
    <x v="0"/>
    <x v="1"/>
  </r>
  <r>
    <x v="5"/>
    <x v="0"/>
    <n v="637.101"/>
    <x v="2"/>
    <x v="1"/>
    <x v="0"/>
    <x v="2"/>
  </r>
  <r>
    <x v="5"/>
    <x v="0"/>
    <n v="1925.34"/>
    <x v="2"/>
    <x v="1"/>
    <x v="1"/>
    <x v="0"/>
  </r>
  <r>
    <x v="5"/>
    <x v="0"/>
    <n v="428.125"/>
    <x v="2"/>
    <x v="1"/>
    <x v="1"/>
    <x v="1"/>
  </r>
  <r>
    <x v="5"/>
    <x v="0"/>
    <n v="428.32600000000002"/>
    <x v="2"/>
    <x v="1"/>
    <x v="1"/>
    <x v="2"/>
  </r>
  <r>
    <x v="6"/>
    <x v="0"/>
    <n v="19588.3"/>
    <x v="0"/>
    <x v="0"/>
    <x v="0"/>
    <x v="0"/>
  </r>
  <r>
    <x v="6"/>
    <x v="0"/>
    <n v="7013.11"/>
    <x v="0"/>
    <x v="0"/>
    <x v="0"/>
    <x v="1"/>
  </r>
  <r>
    <x v="6"/>
    <x v="0"/>
    <n v="8413.31"/>
    <x v="0"/>
    <x v="0"/>
    <x v="0"/>
    <x v="2"/>
  </r>
  <r>
    <x v="6"/>
    <x v="0"/>
    <n v="9424.64"/>
    <x v="0"/>
    <x v="0"/>
    <x v="1"/>
    <x v="0"/>
  </r>
  <r>
    <x v="6"/>
    <x v="0"/>
    <n v="5777.41"/>
    <x v="0"/>
    <x v="0"/>
    <x v="1"/>
    <x v="1"/>
  </r>
  <r>
    <x v="6"/>
    <x v="0"/>
    <n v="5740.71"/>
    <x v="0"/>
    <x v="0"/>
    <x v="1"/>
    <x v="2"/>
  </r>
  <r>
    <x v="6"/>
    <x v="0"/>
    <n v="10499.6"/>
    <x v="0"/>
    <x v="1"/>
    <x v="0"/>
    <x v="0"/>
  </r>
  <r>
    <x v="6"/>
    <x v="0"/>
    <n v="3998.51"/>
    <x v="0"/>
    <x v="1"/>
    <x v="0"/>
    <x v="1"/>
  </r>
  <r>
    <x v="6"/>
    <x v="0"/>
    <n v="5350.13"/>
    <x v="0"/>
    <x v="1"/>
    <x v="0"/>
    <x v="2"/>
  </r>
  <r>
    <x v="6"/>
    <x v="0"/>
    <n v="6825.66"/>
    <x v="0"/>
    <x v="1"/>
    <x v="1"/>
    <x v="0"/>
  </r>
  <r>
    <x v="6"/>
    <x v="0"/>
    <n v="4658.3500000000004"/>
    <x v="0"/>
    <x v="1"/>
    <x v="1"/>
    <x v="1"/>
  </r>
  <r>
    <x v="6"/>
    <x v="0"/>
    <n v="4653.38"/>
    <x v="0"/>
    <x v="1"/>
    <x v="1"/>
    <x v="2"/>
  </r>
  <r>
    <x v="6"/>
    <x v="0"/>
    <n v="8012.45"/>
    <x v="1"/>
    <x v="0"/>
    <x v="0"/>
    <x v="0"/>
  </r>
  <r>
    <x v="6"/>
    <x v="0"/>
    <n v="5906.58"/>
    <x v="1"/>
    <x v="0"/>
    <x v="0"/>
    <x v="1"/>
  </r>
  <r>
    <x v="6"/>
    <x v="0"/>
    <n v="6031.3"/>
    <x v="1"/>
    <x v="0"/>
    <x v="0"/>
    <x v="2"/>
  </r>
  <r>
    <x v="6"/>
    <x v="0"/>
    <n v="7171.77"/>
    <x v="1"/>
    <x v="0"/>
    <x v="1"/>
    <x v="0"/>
  </r>
  <r>
    <x v="6"/>
    <x v="0"/>
    <n v="6633.76"/>
    <x v="1"/>
    <x v="0"/>
    <x v="1"/>
    <x v="1"/>
  </r>
  <r>
    <x v="6"/>
    <x v="0"/>
    <n v="6382.95"/>
    <x v="1"/>
    <x v="0"/>
    <x v="1"/>
    <x v="2"/>
  </r>
  <r>
    <x v="6"/>
    <x v="0"/>
    <n v="6510.47"/>
    <x v="1"/>
    <x v="1"/>
    <x v="0"/>
    <x v="0"/>
  </r>
  <r>
    <x v="6"/>
    <x v="0"/>
    <n v="6033.09"/>
    <x v="1"/>
    <x v="1"/>
    <x v="0"/>
    <x v="1"/>
  </r>
  <r>
    <x v="6"/>
    <x v="0"/>
    <n v="5053.13"/>
    <x v="1"/>
    <x v="1"/>
    <x v="0"/>
    <x v="2"/>
  </r>
  <r>
    <x v="6"/>
    <x v="0"/>
    <n v="6778.72"/>
    <x v="1"/>
    <x v="1"/>
    <x v="1"/>
    <x v="0"/>
  </r>
  <r>
    <x v="6"/>
    <x v="0"/>
    <n v="6185.62"/>
    <x v="1"/>
    <x v="1"/>
    <x v="1"/>
    <x v="1"/>
  </r>
  <r>
    <x v="6"/>
    <x v="0"/>
    <n v="5745.28"/>
    <x v="1"/>
    <x v="1"/>
    <x v="1"/>
    <x v="2"/>
  </r>
  <r>
    <x v="6"/>
    <x v="0"/>
    <n v="1882.57"/>
    <x v="2"/>
    <x v="0"/>
    <x v="0"/>
    <x v="0"/>
  </r>
  <r>
    <x v="6"/>
    <x v="0"/>
    <n v="628.35"/>
    <x v="2"/>
    <x v="0"/>
    <x v="0"/>
    <x v="1"/>
  </r>
  <r>
    <x v="6"/>
    <x v="0"/>
    <n v="597.33199999999999"/>
    <x v="2"/>
    <x v="0"/>
    <x v="0"/>
    <x v="2"/>
  </r>
  <r>
    <x v="6"/>
    <x v="0"/>
    <n v="1505.45"/>
    <x v="2"/>
    <x v="0"/>
    <x v="1"/>
    <x v="0"/>
  </r>
  <r>
    <x v="6"/>
    <x v="0"/>
    <n v="431.346"/>
    <x v="2"/>
    <x v="0"/>
    <x v="1"/>
    <x v="1"/>
  </r>
  <r>
    <x v="6"/>
    <x v="0"/>
    <n v="426.82299999999998"/>
    <x v="2"/>
    <x v="0"/>
    <x v="1"/>
    <x v="2"/>
  </r>
  <r>
    <x v="6"/>
    <x v="0"/>
    <n v="3044.86"/>
    <x v="2"/>
    <x v="1"/>
    <x v="0"/>
    <x v="0"/>
  </r>
  <r>
    <x v="6"/>
    <x v="0"/>
    <n v="808.15599999999995"/>
    <x v="2"/>
    <x v="1"/>
    <x v="0"/>
    <x v="1"/>
  </r>
  <r>
    <x v="6"/>
    <x v="0"/>
    <n v="637.101"/>
    <x v="2"/>
    <x v="1"/>
    <x v="0"/>
    <x v="2"/>
  </r>
  <r>
    <x v="6"/>
    <x v="0"/>
    <n v="1925.34"/>
    <x v="2"/>
    <x v="1"/>
    <x v="1"/>
    <x v="0"/>
  </r>
  <r>
    <x v="6"/>
    <x v="0"/>
    <n v="428.125"/>
    <x v="2"/>
    <x v="1"/>
    <x v="1"/>
    <x v="1"/>
  </r>
  <r>
    <x v="6"/>
    <x v="0"/>
    <n v="428.32600000000002"/>
    <x v="2"/>
    <x v="1"/>
    <x v="1"/>
    <x v="2"/>
  </r>
  <r>
    <x v="7"/>
    <x v="0"/>
    <n v="22090.2"/>
    <x v="0"/>
    <x v="0"/>
    <x v="0"/>
    <x v="0"/>
  </r>
  <r>
    <x v="7"/>
    <x v="0"/>
    <n v="5405.9"/>
    <x v="0"/>
    <x v="0"/>
    <x v="0"/>
    <x v="1"/>
  </r>
  <r>
    <x v="7"/>
    <x v="0"/>
    <n v="10495.2"/>
    <x v="0"/>
    <x v="0"/>
    <x v="0"/>
    <x v="2"/>
  </r>
  <r>
    <x v="7"/>
    <x v="0"/>
    <n v="8116.87"/>
    <x v="0"/>
    <x v="0"/>
    <x v="1"/>
    <x v="0"/>
  </r>
  <r>
    <x v="7"/>
    <x v="0"/>
    <n v="2707.16"/>
    <x v="0"/>
    <x v="0"/>
    <x v="1"/>
    <x v="1"/>
  </r>
  <r>
    <x v="7"/>
    <x v="0"/>
    <n v="3247.41"/>
    <x v="0"/>
    <x v="0"/>
    <x v="1"/>
    <x v="2"/>
  </r>
  <r>
    <x v="7"/>
    <x v="0"/>
    <n v="12116.7"/>
    <x v="0"/>
    <x v="1"/>
    <x v="0"/>
    <x v="0"/>
  </r>
  <r>
    <x v="7"/>
    <x v="0"/>
    <n v="3272.28"/>
    <x v="0"/>
    <x v="1"/>
    <x v="0"/>
    <x v="1"/>
  </r>
  <r>
    <x v="7"/>
    <x v="0"/>
    <n v="4674.24"/>
    <x v="0"/>
    <x v="1"/>
    <x v="0"/>
    <x v="2"/>
  </r>
  <r>
    <x v="7"/>
    <x v="0"/>
    <n v="4715.25"/>
    <x v="0"/>
    <x v="1"/>
    <x v="1"/>
    <x v="0"/>
  </r>
  <r>
    <x v="7"/>
    <x v="0"/>
    <n v="2547.35"/>
    <x v="0"/>
    <x v="1"/>
    <x v="1"/>
    <x v="1"/>
  </r>
  <r>
    <x v="7"/>
    <x v="0"/>
    <n v="2483.16"/>
    <x v="0"/>
    <x v="1"/>
    <x v="1"/>
    <x v="2"/>
  </r>
  <r>
    <x v="7"/>
    <x v="0"/>
    <n v="7375.72"/>
    <x v="1"/>
    <x v="0"/>
    <x v="0"/>
    <x v="0"/>
  </r>
  <r>
    <x v="7"/>
    <x v="0"/>
    <n v="5365.63"/>
    <x v="1"/>
    <x v="0"/>
    <x v="0"/>
    <x v="1"/>
  </r>
  <r>
    <x v="7"/>
    <x v="0"/>
    <n v="3745.31"/>
    <x v="1"/>
    <x v="0"/>
    <x v="0"/>
    <x v="2"/>
  </r>
  <r>
    <x v="7"/>
    <x v="0"/>
    <n v="6814.77"/>
    <x v="1"/>
    <x v="0"/>
    <x v="1"/>
    <x v="0"/>
  </r>
  <r>
    <x v="7"/>
    <x v="0"/>
    <n v="5472.49"/>
    <x v="1"/>
    <x v="0"/>
    <x v="1"/>
    <x v="1"/>
  </r>
  <r>
    <x v="7"/>
    <x v="0"/>
    <n v="4741.32"/>
    <x v="1"/>
    <x v="0"/>
    <x v="1"/>
    <x v="2"/>
  </r>
  <r>
    <x v="7"/>
    <x v="0"/>
    <n v="7628.12"/>
    <x v="1"/>
    <x v="1"/>
    <x v="0"/>
    <x v="0"/>
  </r>
  <r>
    <x v="7"/>
    <x v="0"/>
    <n v="6843.51"/>
    <x v="1"/>
    <x v="1"/>
    <x v="0"/>
    <x v="1"/>
  </r>
  <r>
    <x v="7"/>
    <x v="0"/>
    <n v="4911.3900000000003"/>
    <x v="1"/>
    <x v="1"/>
    <x v="0"/>
    <x v="2"/>
  </r>
  <r>
    <x v="7"/>
    <x v="0"/>
    <n v="7235.37"/>
    <x v="1"/>
    <x v="1"/>
    <x v="1"/>
    <x v="0"/>
  </r>
  <r>
    <x v="7"/>
    <x v="0"/>
    <n v="5931.74"/>
    <x v="1"/>
    <x v="1"/>
    <x v="1"/>
    <x v="1"/>
  </r>
  <r>
    <x v="7"/>
    <x v="0"/>
    <n v="5212.1899999999996"/>
    <x v="1"/>
    <x v="1"/>
    <x v="1"/>
    <x v="2"/>
  </r>
  <r>
    <x v="7"/>
    <x v="0"/>
    <n v="2437.36"/>
    <x v="2"/>
    <x v="0"/>
    <x v="0"/>
    <x v="0"/>
  </r>
  <r>
    <x v="7"/>
    <x v="0"/>
    <n v="623.65499999999997"/>
    <x v="2"/>
    <x v="0"/>
    <x v="0"/>
    <x v="1"/>
  </r>
  <r>
    <x v="7"/>
    <x v="0"/>
    <n v="1518.08"/>
    <x v="2"/>
    <x v="0"/>
    <x v="0"/>
    <x v="2"/>
  </r>
  <r>
    <x v="7"/>
    <x v="0"/>
    <n v="1503.28"/>
    <x v="2"/>
    <x v="0"/>
    <x v="1"/>
    <x v="0"/>
  </r>
  <r>
    <x v="7"/>
    <x v="0"/>
    <n v="464.56700000000001"/>
    <x v="2"/>
    <x v="0"/>
    <x v="1"/>
    <x v="1"/>
  </r>
  <r>
    <x v="7"/>
    <x v="0"/>
    <n v="482.971"/>
    <x v="2"/>
    <x v="0"/>
    <x v="1"/>
    <x v="2"/>
  </r>
  <r>
    <x v="7"/>
    <x v="0"/>
    <n v="1825.06"/>
    <x v="2"/>
    <x v="1"/>
    <x v="0"/>
    <x v="0"/>
  </r>
  <r>
    <x v="7"/>
    <x v="0"/>
    <n v="688.93600000000004"/>
    <x v="2"/>
    <x v="1"/>
    <x v="0"/>
    <x v="1"/>
  </r>
  <r>
    <x v="7"/>
    <x v="0"/>
    <n v="1603.23"/>
    <x v="2"/>
    <x v="1"/>
    <x v="0"/>
    <x v="2"/>
  </r>
  <r>
    <x v="7"/>
    <x v="0"/>
    <n v="2033.84"/>
    <x v="2"/>
    <x v="1"/>
    <x v="1"/>
    <x v="0"/>
  </r>
  <r>
    <x v="7"/>
    <x v="0"/>
    <n v="463.17"/>
    <x v="2"/>
    <x v="1"/>
    <x v="1"/>
    <x v="1"/>
  </r>
  <r>
    <x v="7"/>
    <x v="0"/>
    <n v="558.46400000000006"/>
    <x v="2"/>
    <x v="1"/>
    <x v="1"/>
    <x v="2"/>
  </r>
  <r>
    <x v="8"/>
    <x v="0"/>
    <n v="22090.2"/>
    <x v="0"/>
    <x v="0"/>
    <x v="0"/>
    <x v="0"/>
  </r>
  <r>
    <x v="8"/>
    <x v="0"/>
    <n v="5405.9"/>
    <x v="0"/>
    <x v="0"/>
    <x v="0"/>
    <x v="1"/>
  </r>
  <r>
    <x v="8"/>
    <x v="0"/>
    <n v="10495.2"/>
    <x v="0"/>
    <x v="0"/>
    <x v="0"/>
    <x v="2"/>
  </r>
  <r>
    <x v="8"/>
    <x v="0"/>
    <n v="8116.87"/>
    <x v="0"/>
    <x v="0"/>
    <x v="1"/>
    <x v="0"/>
  </r>
  <r>
    <x v="8"/>
    <x v="0"/>
    <n v="2707.16"/>
    <x v="0"/>
    <x v="0"/>
    <x v="1"/>
    <x v="1"/>
  </r>
  <r>
    <x v="8"/>
    <x v="0"/>
    <n v="3247.41"/>
    <x v="0"/>
    <x v="0"/>
    <x v="1"/>
    <x v="2"/>
  </r>
  <r>
    <x v="8"/>
    <x v="0"/>
    <n v="12116.7"/>
    <x v="0"/>
    <x v="1"/>
    <x v="0"/>
    <x v="0"/>
  </r>
  <r>
    <x v="8"/>
    <x v="0"/>
    <n v="3272.28"/>
    <x v="0"/>
    <x v="1"/>
    <x v="0"/>
    <x v="1"/>
  </r>
  <r>
    <x v="8"/>
    <x v="0"/>
    <n v="4674.24"/>
    <x v="0"/>
    <x v="1"/>
    <x v="0"/>
    <x v="2"/>
  </r>
  <r>
    <x v="8"/>
    <x v="0"/>
    <n v="4715.25"/>
    <x v="0"/>
    <x v="1"/>
    <x v="1"/>
    <x v="0"/>
  </r>
  <r>
    <x v="8"/>
    <x v="0"/>
    <n v="2547.35"/>
    <x v="0"/>
    <x v="1"/>
    <x v="1"/>
    <x v="1"/>
  </r>
  <r>
    <x v="8"/>
    <x v="0"/>
    <n v="2483.16"/>
    <x v="0"/>
    <x v="1"/>
    <x v="1"/>
    <x v="2"/>
  </r>
  <r>
    <x v="8"/>
    <x v="0"/>
    <n v="7375.72"/>
    <x v="1"/>
    <x v="0"/>
    <x v="0"/>
    <x v="0"/>
  </r>
  <r>
    <x v="8"/>
    <x v="0"/>
    <n v="5365.63"/>
    <x v="1"/>
    <x v="0"/>
    <x v="0"/>
    <x v="1"/>
  </r>
  <r>
    <x v="8"/>
    <x v="0"/>
    <n v="3745.31"/>
    <x v="1"/>
    <x v="0"/>
    <x v="0"/>
    <x v="2"/>
  </r>
  <r>
    <x v="8"/>
    <x v="0"/>
    <n v="6814.77"/>
    <x v="1"/>
    <x v="0"/>
    <x v="1"/>
    <x v="0"/>
  </r>
  <r>
    <x v="8"/>
    <x v="0"/>
    <n v="5472.49"/>
    <x v="1"/>
    <x v="0"/>
    <x v="1"/>
    <x v="1"/>
  </r>
  <r>
    <x v="8"/>
    <x v="0"/>
    <n v="4741.32"/>
    <x v="1"/>
    <x v="0"/>
    <x v="1"/>
    <x v="2"/>
  </r>
  <r>
    <x v="8"/>
    <x v="0"/>
    <n v="7628.12"/>
    <x v="1"/>
    <x v="1"/>
    <x v="0"/>
    <x v="0"/>
  </r>
  <r>
    <x v="8"/>
    <x v="0"/>
    <n v="6843.51"/>
    <x v="1"/>
    <x v="1"/>
    <x v="0"/>
    <x v="1"/>
  </r>
  <r>
    <x v="8"/>
    <x v="0"/>
    <n v="4911.3900000000003"/>
    <x v="1"/>
    <x v="1"/>
    <x v="0"/>
    <x v="2"/>
  </r>
  <r>
    <x v="8"/>
    <x v="0"/>
    <n v="7235.37"/>
    <x v="1"/>
    <x v="1"/>
    <x v="1"/>
    <x v="0"/>
  </r>
  <r>
    <x v="8"/>
    <x v="0"/>
    <n v="5931.74"/>
    <x v="1"/>
    <x v="1"/>
    <x v="1"/>
    <x v="1"/>
  </r>
  <r>
    <x v="8"/>
    <x v="0"/>
    <n v="5212.1899999999996"/>
    <x v="1"/>
    <x v="1"/>
    <x v="1"/>
    <x v="2"/>
  </r>
  <r>
    <x v="8"/>
    <x v="0"/>
    <n v="2437.36"/>
    <x v="2"/>
    <x v="0"/>
    <x v="0"/>
    <x v="0"/>
  </r>
  <r>
    <x v="8"/>
    <x v="0"/>
    <n v="623.65499999999997"/>
    <x v="2"/>
    <x v="0"/>
    <x v="0"/>
    <x v="1"/>
  </r>
  <r>
    <x v="8"/>
    <x v="0"/>
    <n v="1518.08"/>
    <x v="2"/>
    <x v="0"/>
    <x v="0"/>
    <x v="2"/>
  </r>
  <r>
    <x v="8"/>
    <x v="0"/>
    <n v="1503.28"/>
    <x v="2"/>
    <x v="0"/>
    <x v="1"/>
    <x v="0"/>
  </r>
  <r>
    <x v="8"/>
    <x v="0"/>
    <n v="464.56700000000001"/>
    <x v="2"/>
    <x v="0"/>
    <x v="1"/>
    <x v="1"/>
  </r>
  <r>
    <x v="8"/>
    <x v="0"/>
    <n v="482.971"/>
    <x v="2"/>
    <x v="0"/>
    <x v="1"/>
    <x v="2"/>
  </r>
  <r>
    <x v="8"/>
    <x v="0"/>
    <n v="1825.06"/>
    <x v="2"/>
    <x v="1"/>
    <x v="0"/>
    <x v="0"/>
  </r>
  <r>
    <x v="8"/>
    <x v="0"/>
    <n v="688.93600000000004"/>
    <x v="2"/>
    <x v="1"/>
    <x v="0"/>
    <x v="1"/>
  </r>
  <r>
    <x v="8"/>
    <x v="0"/>
    <n v="1603.23"/>
    <x v="2"/>
    <x v="1"/>
    <x v="0"/>
    <x v="2"/>
  </r>
  <r>
    <x v="8"/>
    <x v="0"/>
    <n v="2033.84"/>
    <x v="2"/>
    <x v="1"/>
    <x v="1"/>
    <x v="0"/>
  </r>
  <r>
    <x v="8"/>
    <x v="0"/>
    <n v="463.17"/>
    <x v="2"/>
    <x v="1"/>
    <x v="1"/>
    <x v="1"/>
  </r>
  <r>
    <x v="8"/>
    <x v="0"/>
    <n v="558.46400000000006"/>
    <x v="2"/>
    <x v="1"/>
    <x v="1"/>
    <x v="2"/>
  </r>
  <r>
    <x v="9"/>
    <x v="0"/>
    <n v="25370.7"/>
    <x v="0"/>
    <x v="0"/>
    <x v="0"/>
    <x v="0"/>
  </r>
  <r>
    <x v="9"/>
    <x v="0"/>
    <n v="6792.65"/>
    <x v="0"/>
    <x v="0"/>
    <x v="0"/>
    <x v="1"/>
  </r>
  <r>
    <x v="9"/>
    <x v="0"/>
    <n v="9727.2199999999993"/>
    <x v="0"/>
    <x v="0"/>
    <x v="0"/>
    <x v="2"/>
  </r>
  <r>
    <x v="9"/>
    <x v="0"/>
    <n v="9640.5"/>
    <x v="0"/>
    <x v="0"/>
    <x v="1"/>
    <x v="0"/>
  </r>
  <r>
    <x v="9"/>
    <x v="0"/>
    <n v="3109.15"/>
    <x v="0"/>
    <x v="0"/>
    <x v="1"/>
    <x v="1"/>
  </r>
  <r>
    <x v="9"/>
    <x v="0"/>
    <n v="3093"/>
    <x v="0"/>
    <x v="0"/>
    <x v="1"/>
    <x v="2"/>
  </r>
  <r>
    <x v="9"/>
    <x v="0"/>
    <n v="12357.3"/>
    <x v="0"/>
    <x v="1"/>
    <x v="0"/>
    <x v="0"/>
  </r>
  <r>
    <x v="9"/>
    <x v="0"/>
    <n v="2841.73"/>
    <x v="0"/>
    <x v="1"/>
    <x v="0"/>
    <x v="1"/>
  </r>
  <r>
    <x v="9"/>
    <x v="0"/>
    <n v="4061.78"/>
    <x v="0"/>
    <x v="1"/>
    <x v="0"/>
    <x v="2"/>
  </r>
  <r>
    <x v="9"/>
    <x v="0"/>
    <n v="3626.36"/>
    <x v="0"/>
    <x v="1"/>
    <x v="1"/>
    <x v="0"/>
  </r>
  <r>
    <x v="9"/>
    <x v="0"/>
    <n v="2576.35"/>
    <x v="0"/>
    <x v="1"/>
    <x v="1"/>
    <x v="1"/>
  </r>
  <r>
    <x v="9"/>
    <x v="0"/>
    <n v="2301.34"/>
    <x v="0"/>
    <x v="1"/>
    <x v="1"/>
    <x v="2"/>
  </r>
  <r>
    <x v="9"/>
    <x v="0"/>
    <n v="10944.6"/>
    <x v="1"/>
    <x v="0"/>
    <x v="0"/>
    <x v="0"/>
  </r>
  <r>
    <x v="9"/>
    <x v="0"/>
    <n v="8499.83"/>
    <x v="1"/>
    <x v="0"/>
    <x v="0"/>
    <x v="1"/>
  </r>
  <r>
    <x v="9"/>
    <x v="0"/>
    <n v="11426"/>
    <x v="1"/>
    <x v="0"/>
    <x v="0"/>
    <x v="2"/>
  </r>
  <r>
    <x v="9"/>
    <x v="0"/>
    <n v="12464.3"/>
    <x v="1"/>
    <x v="0"/>
    <x v="1"/>
    <x v="0"/>
  </r>
  <r>
    <x v="9"/>
    <x v="0"/>
    <n v="10213.6"/>
    <x v="1"/>
    <x v="0"/>
    <x v="1"/>
    <x v="1"/>
  </r>
  <r>
    <x v="9"/>
    <x v="0"/>
    <n v="10278.4"/>
    <x v="1"/>
    <x v="0"/>
    <x v="1"/>
    <x v="2"/>
  </r>
  <r>
    <x v="9"/>
    <x v="0"/>
    <n v="11684.3"/>
    <x v="1"/>
    <x v="1"/>
    <x v="0"/>
    <x v="0"/>
  </r>
  <r>
    <x v="9"/>
    <x v="0"/>
    <n v="8012.91"/>
    <x v="1"/>
    <x v="1"/>
    <x v="0"/>
    <x v="1"/>
  </r>
  <r>
    <x v="9"/>
    <x v="0"/>
    <n v="11023.3"/>
    <x v="1"/>
    <x v="1"/>
    <x v="0"/>
    <x v="2"/>
  </r>
  <r>
    <x v="9"/>
    <x v="0"/>
    <n v="11638.6"/>
    <x v="1"/>
    <x v="1"/>
    <x v="1"/>
    <x v="0"/>
  </r>
  <r>
    <x v="9"/>
    <x v="0"/>
    <n v="10431.6"/>
    <x v="1"/>
    <x v="1"/>
    <x v="1"/>
    <x v="1"/>
  </r>
  <r>
    <x v="9"/>
    <x v="0"/>
    <n v="11411.3"/>
    <x v="1"/>
    <x v="1"/>
    <x v="1"/>
    <x v="2"/>
  </r>
  <r>
    <x v="9"/>
    <x v="0"/>
    <n v="1765.52"/>
    <x v="2"/>
    <x v="0"/>
    <x v="0"/>
    <x v="0"/>
  </r>
  <r>
    <x v="9"/>
    <x v="0"/>
    <n v="589.529"/>
    <x v="2"/>
    <x v="0"/>
    <x v="0"/>
    <x v="1"/>
  </r>
  <r>
    <x v="9"/>
    <x v="0"/>
    <n v="1103.4000000000001"/>
    <x v="2"/>
    <x v="0"/>
    <x v="0"/>
    <x v="2"/>
  </r>
  <r>
    <x v="9"/>
    <x v="0"/>
    <n v="364.84100000000001"/>
    <x v="2"/>
    <x v="0"/>
    <x v="1"/>
    <x v="0"/>
  </r>
  <r>
    <x v="9"/>
    <x v="0"/>
    <n v="426.41800000000001"/>
    <x v="2"/>
    <x v="0"/>
    <x v="1"/>
    <x v="1"/>
  </r>
  <r>
    <x v="9"/>
    <x v="0"/>
    <n v="333.52499999999998"/>
    <x v="2"/>
    <x v="0"/>
    <x v="1"/>
    <x v="2"/>
  </r>
  <r>
    <x v="9"/>
    <x v="0"/>
    <n v="682.92600000000004"/>
    <x v="2"/>
    <x v="1"/>
    <x v="0"/>
    <x v="0"/>
  </r>
  <r>
    <x v="9"/>
    <x v="0"/>
    <n v="689.452"/>
    <x v="2"/>
    <x v="1"/>
    <x v="0"/>
    <x v="1"/>
  </r>
  <r>
    <x v="9"/>
    <x v="0"/>
    <n v="1124.46"/>
    <x v="2"/>
    <x v="1"/>
    <x v="0"/>
    <x v="2"/>
  </r>
  <r>
    <x v="9"/>
    <x v="0"/>
    <n v="459.334"/>
    <x v="2"/>
    <x v="1"/>
    <x v="1"/>
    <x v="0"/>
  </r>
  <r>
    <x v="9"/>
    <x v="0"/>
    <n v="501.904"/>
    <x v="2"/>
    <x v="1"/>
    <x v="1"/>
    <x v="1"/>
  </r>
  <r>
    <x v="9"/>
    <x v="0"/>
    <n v="354.02300000000002"/>
    <x v="2"/>
    <x v="1"/>
    <x v="1"/>
    <x v="2"/>
  </r>
  <r>
    <x v="10"/>
    <x v="0"/>
    <n v="25370.7"/>
    <x v="0"/>
    <x v="0"/>
    <x v="0"/>
    <x v="0"/>
  </r>
  <r>
    <x v="10"/>
    <x v="0"/>
    <n v="6792.65"/>
    <x v="0"/>
    <x v="0"/>
    <x v="0"/>
    <x v="1"/>
  </r>
  <r>
    <x v="10"/>
    <x v="0"/>
    <n v="9727.2199999999993"/>
    <x v="0"/>
    <x v="0"/>
    <x v="0"/>
    <x v="2"/>
  </r>
  <r>
    <x v="10"/>
    <x v="0"/>
    <n v="9640.5"/>
    <x v="0"/>
    <x v="0"/>
    <x v="1"/>
    <x v="0"/>
  </r>
  <r>
    <x v="10"/>
    <x v="0"/>
    <n v="3109.15"/>
    <x v="0"/>
    <x v="0"/>
    <x v="1"/>
    <x v="1"/>
  </r>
  <r>
    <x v="10"/>
    <x v="0"/>
    <n v="3093"/>
    <x v="0"/>
    <x v="0"/>
    <x v="1"/>
    <x v="2"/>
  </r>
  <r>
    <x v="10"/>
    <x v="0"/>
    <n v="12357.3"/>
    <x v="0"/>
    <x v="1"/>
    <x v="0"/>
    <x v="0"/>
  </r>
  <r>
    <x v="10"/>
    <x v="0"/>
    <n v="2841.73"/>
    <x v="0"/>
    <x v="1"/>
    <x v="0"/>
    <x v="1"/>
  </r>
  <r>
    <x v="10"/>
    <x v="0"/>
    <n v="4061.78"/>
    <x v="0"/>
    <x v="1"/>
    <x v="0"/>
    <x v="2"/>
  </r>
  <r>
    <x v="10"/>
    <x v="0"/>
    <n v="3626.36"/>
    <x v="0"/>
    <x v="1"/>
    <x v="1"/>
    <x v="0"/>
  </r>
  <r>
    <x v="10"/>
    <x v="0"/>
    <n v="2576.35"/>
    <x v="0"/>
    <x v="1"/>
    <x v="1"/>
    <x v="1"/>
  </r>
  <r>
    <x v="10"/>
    <x v="0"/>
    <n v="2301.34"/>
    <x v="0"/>
    <x v="1"/>
    <x v="1"/>
    <x v="2"/>
  </r>
  <r>
    <x v="10"/>
    <x v="0"/>
    <n v="10944.6"/>
    <x v="1"/>
    <x v="0"/>
    <x v="0"/>
    <x v="0"/>
  </r>
  <r>
    <x v="10"/>
    <x v="0"/>
    <n v="8499.83"/>
    <x v="1"/>
    <x v="0"/>
    <x v="0"/>
    <x v="1"/>
  </r>
  <r>
    <x v="10"/>
    <x v="0"/>
    <n v="11426"/>
    <x v="1"/>
    <x v="0"/>
    <x v="0"/>
    <x v="2"/>
  </r>
  <r>
    <x v="10"/>
    <x v="0"/>
    <n v="12464.3"/>
    <x v="1"/>
    <x v="0"/>
    <x v="1"/>
    <x v="0"/>
  </r>
  <r>
    <x v="10"/>
    <x v="0"/>
    <n v="10213.6"/>
    <x v="1"/>
    <x v="0"/>
    <x v="1"/>
    <x v="1"/>
  </r>
  <r>
    <x v="10"/>
    <x v="0"/>
    <n v="10278.4"/>
    <x v="1"/>
    <x v="0"/>
    <x v="1"/>
    <x v="2"/>
  </r>
  <r>
    <x v="10"/>
    <x v="0"/>
    <n v="11684.3"/>
    <x v="1"/>
    <x v="1"/>
    <x v="0"/>
    <x v="0"/>
  </r>
  <r>
    <x v="10"/>
    <x v="0"/>
    <n v="8012.91"/>
    <x v="1"/>
    <x v="1"/>
    <x v="0"/>
    <x v="1"/>
  </r>
  <r>
    <x v="10"/>
    <x v="0"/>
    <n v="11023.3"/>
    <x v="1"/>
    <x v="1"/>
    <x v="0"/>
    <x v="2"/>
  </r>
  <r>
    <x v="10"/>
    <x v="0"/>
    <n v="11638.6"/>
    <x v="1"/>
    <x v="1"/>
    <x v="1"/>
    <x v="0"/>
  </r>
  <r>
    <x v="10"/>
    <x v="0"/>
    <n v="10431.6"/>
    <x v="1"/>
    <x v="1"/>
    <x v="1"/>
    <x v="1"/>
  </r>
  <r>
    <x v="10"/>
    <x v="0"/>
    <n v="11411.3"/>
    <x v="1"/>
    <x v="1"/>
    <x v="1"/>
    <x v="2"/>
  </r>
  <r>
    <x v="10"/>
    <x v="0"/>
    <n v="1765.52"/>
    <x v="2"/>
    <x v="0"/>
    <x v="0"/>
    <x v="0"/>
  </r>
  <r>
    <x v="10"/>
    <x v="0"/>
    <n v="589.529"/>
    <x v="2"/>
    <x v="0"/>
    <x v="0"/>
    <x v="1"/>
  </r>
  <r>
    <x v="10"/>
    <x v="0"/>
    <n v="1103.4000000000001"/>
    <x v="2"/>
    <x v="0"/>
    <x v="0"/>
    <x v="2"/>
  </r>
  <r>
    <x v="10"/>
    <x v="0"/>
    <n v="364.84100000000001"/>
    <x v="2"/>
    <x v="0"/>
    <x v="1"/>
    <x v="0"/>
  </r>
  <r>
    <x v="10"/>
    <x v="0"/>
    <n v="426.41800000000001"/>
    <x v="2"/>
    <x v="0"/>
    <x v="1"/>
    <x v="1"/>
  </r>
  <r>
    <x v="10"/>
    <x v="0"/>
    <n v="333.52499999999998"/>
    <x v="2"/>
    <x v="0"/>
    <x v="1"/>
    <x v="2"/>
  </r>
  <r>
    <x v="10"/>
    <x v="0"/>
    <n v="682.92600000000004"/>
    <x v="2"/>
    <x v="1"/>
    <x v="0"/>
    <x v="0"/>
  </r>
  <r>
    <x v="10"/>
    <x v="0"/>
    <n v="689.452"/>
    <x v="2"/>
    <x v="1"/>
    <x v="0"/>
    <x v="1"/>
  </r>
  <r>
    <x v="10"/>
    <x v="0"/>
    <n v="1124.46"/>
    <x v="2"/>
    <x v="1"/>
    <x v="0"/>
    <x v="2"/>
  </r>
  <r>
    <x v="10"/>
    <x v="0"/>
    <n v="459.334"/>
    <x v="2"/>
    <x v="1"/>
    <x v="1"/>
    <x v="0"/>
  </r>
  <r>
    <x v="10"/>
    <x v="0"/>
    <n v="501.904"/>
    <x v="2"/>
    <x v="1"/>
    <x v="1"/>
    <x v="1"/>
  </r>
  <r>
    <x v="10"/>
    <x v="0"/>
    <n v="354.02300000000002"/>
    <x v="2"/>
    <x v="1"/>
    <x v="1"/>
    <x v="2"/>
  </r>
  <r>
    <x v="11"/>
    <x v="0"/>
    <n v="11412.1"/>
    <x v="0"/>
    <x v="0"/>
    <x v="0"/>
    <x v="0"/>
  </r>
  <r>
    <x v="11"/>
    <x v="0"/>
    <n v="5318.61"/>
    <x v="0"/>
    <x v="0"/>
    <x v="0"/>
    <x v="1"/>
  </r>
  <r>
    <x v="11"/>
    <x v="0"/>
    <n v="5243.11"/>
    <x v="0"/>
    <x v="0"/>
    <x v="0"/>
    <x v="2"/>
  </r>
  <r>
    <x v="11"/>
    <x v="0"/>
    <n v="4277.04"/>
    <x v="0"/>
    <x v="0"/>
    <x v="1"/>
    <x v="0"/>
  </r>
  <r>
    <x v="11"/>
    <x v="0"/>
    <n v="2867.9"/>
    <x v="0"/>
    <x v="0"/>
    <x v="1"/>
    <x v="1"/>
  </r>
  <r>
    <x v="11"/>
    <x v="0"/>
    <n v="3038.51"/>
    <x v="0"/>
    <x v="0"/>
    <x v="1"/>
    <x v="2"/>
  </r>
  <r>
    <x v="11"/>
    <x v="0"/>
    <n v="7475.16"/>
    <x v="0"/>
    <x v="1"/>
    <x v="0"/>
    <x v="0"/>
  </r>
  <r>
    <x v="11"/>
    <x v="0"/>
    <n v="3593.36"/>
    <x v="0"/>
    <x v="1"/>
    <x v="0"/>
    <x v="1"/>
  </r>
  <r>
    <x v="11"/>
    <x v="0"/>
    <n v="3396.2"/>
    <x v="0"/>
    <x v="1"/>
    <x v="0"/>
    <x v="2"/>
  </r>
  <r>
    <x v="11"/>
    <x v="0"/>
    <n v="3979.78"/>
    <x v="0"/>
    <x v="1"/>
    <x v="1"/>
    <x v="0"/>
  </r>
  <r>
    <x v="11"/>
    <x v="0"/>
    <n v="2651.19"/>
    <x v="0"/>
    <x v="1"/>
    <x v="1"/>
    <x v="1"/>
  </r>
  <r>
    <x v="11"/>
    <x v="0"/>
    <n v="3217.45"/>
    <x v="0"/>
    <x v="1"/>
    <x v="1"/>
    <x v="2"/>
  </r>
  <r>
    <x v="11"/>
    <x v="0"/>
    <n v="18053.5"/>
    <x v="1"/>
    <x v="0"/>
    <x v="0"/>
    <x v="0"/>
  </r>
  <r>
    <x v="11"/>
    <x v="0"/>
    <n v="15590.4"/>
    <x v="1"/>
    <x v="0"/>
    <x v="0"/>
    <x v="1"/>
  </r>
  <r>
    <x v="11"/>
    <x v="0"/>
    <n v="14213.7"/>
    <x v="1"/>
    <x v="0"/>
    <x v="0"/>
    <x v="2"/>
  </r>
  <r>
    <x v="11"/>
    <x v="0"/>
    <n v="16529.599999999999"/>
    <x v="1"/>
    <x v="0"/>
    <x v="1"/>
    <x v="0"/>
  </r>
  <r>
    <x v="11"/>
    <x v="0"/>
    <n v="12240.6"/>
    <x v="1"/>
    <x v="0"/>
    <x v="1"/>
    <x v="1"/>
  </r>
  <r>
    <x v="11"/>
    <x v="0"/>
    <n v="13303.3"/>
    <x v="1"/>
    <x v="0"/>
    <x v="1"/>
    <x v="2"/>
  </r>
  <r>
    <x v="11"/>
    <x v="0"/>
    <n v="17262.900000000001"/>
    <x v="1"/>
    <x v="1"/>
    <x v="0"/>
    <x v="0"/>
  </r>
  <r>
    <x v="11"/>
    <x v="0"/>
    <n v="11462.9"/>
    <x v="1"/>
    <x v="1"/>
    <x v="0"/>
    <x v="1"/>
  </r>
  <r>
    <x v="11"/>
    <x v="0"/>
    <n v="14372.9"/>
    <x v="1"/>
    <x v="1"/>
    <x v="0"/>
    <x v="2"/>
  </r>
  <r>
    <x v="11"/>
    <x v="0"/>
    <n v="18298.900000000001"/>
    <x v="1"/>
    <x v="1"/>
    <x v="1"/>
    <x v="0"/>
  </r>
  <r>
    <x v="11"/>
    <x v="0"/>
    <n v="11013.2"/>
    <x v="1"/>
    <x v="1"/>
    <x v="1"/>
    <x v="1"/>
  </r>
  <r>
    <x v="11"/>
    <x v="0"/>
    <n v="12560.6"/>
    <x v="1"/>
    <x v="1"/>
    <x v="1"/>
    <x v="2"/>
  </r>
  <r>
    <x v="11"/>
    <x v="0"/>
    <n v="3501.45"/>
    <x v="2"/>
    <x v="0"/>
    <x v="0"/>
    <x v="0"/>
  </r>
  <r>
    <x v="11"/>
    <x v="0"/>
    <n v="1729.33"/>
    <x v="2"/>
    <x v="0"/>
    <x v="0"/>
    <x v="1"/>
  </r>
  <r>
    <x v="11"/>
    <x v="0"/>
    <n v="2425.92"/>
    <x v="2"/>
    <x v="0"/>
    <x v="0"/>
    <x v="2"/>
  </r>
  <r>
    <x v="11"/>
    <x v="0"/>
    <n v="2144.19"/>
    <x v="2"/>
    <x v="0"/>
    <x v="1"/>
    <x v="0"/>
  </r>
  <r>
    <x v="11"/>
    <x v="0"/>
    <n v="250.61099999999999"/>
    <x v="2"/>
    <x v="0"/>
    <x v="1"/>
    <x v="1"/>
  </r>
  <r>
    <x v="11"/>
    <x v="0"/>
    <n v="1795.65"/>
    <x v="2"/>
    <x v="0"/>
    <x v="1"/>
    <x v="2"/>
  </r>
  <r>
    <x v="11"/>
    <x v="0"/>
    <n v="2893.83"/>
    <x v="2"/>
    <x v="1"/>
    <x v="0"/>
    <x v="0"/>
  </r>
  <r>
    <x v="11"/>
    <x v="0"/>
    <n v="1537.6"/>
    <x v="2"/>
    <x v="1"/>
    <x v="0"/>
    <x v="1"/>
  </r>
  <r>
    <x v="11"/>
    <x v="0"/>
    <n v="2648.92"/>
    <x v="2"/>
    <x v="1"/>
    <x v="0"/>
    <x v="2"/>
  </r>
  <r>
    <x v="11"/>
    <x v="0"/>
    <n v="2512.42"/>
    <x v="2"/>
    <x v="1"/>
    <x v="1"/>
    <x v="0"/>
  </r>
  <r>
    <x v="11"/>
    <x v="0"/>
    <n v="957.48199999999997"/>
    <x v="2"/>
    <x v="1"/>
    <x v="1"/>
    <x v="1"/>
  </r>
  <r>
    <x v="11"/>
    <x v="0"/>
    <n v="2183.38"/>
    <x v="2"/>
    <x v="1"/>
    <x v="1"/>
    <x v="2"/>
  </r>
  <r>
    <x v="12"/>
    <x v="0"/>
    <n v="11412.1"/>
    <x v="0"/>
    <x v="0"/>
    <x v="0"/>
    <x v="0"/>
  </r>
  <r>
    <x v="12"/>
    <x v="0"/>
    <n v="5318.61"/>
    <x v="0"/>
    <x v="0"/>
    <x v="0"/>
    <x v="1"/>
  </r>
  <r>
    <x v="12"/>
    <x v="0"/>
    <n v="5243.11"/>
    <x v="0"/>
    <x v="0"/>
    <x v="0"/>
    <x v="2"/>
  </r>
  <r>
    <x v="12"/>
    <x v="0"/>
    <n v="4277.04"/>
    <x v="0"/>
    <x v="0"/>
    <x v="1"/>
    <x v="0"/>
  </r>
  <r>
    <x v="12"/>
    <x v="0"/>
    <n v="2867.9"/>
    <x v="0"/>
    <x v="0"/>
    <x v="1"/>
    <x v="1"/>
  </r>
  <r>
    <x v="12"/>
    <x v="0"/>
    <n v="3038.51"/>
    <x v="0"/>
    <x v="0"/>
    <x v="1"/>
    <x v="2"/>
  </r>
  <r>
    <x v="12"/>
    <x v="0"/>
    <n v="7475.16"/>
    <x v="0"/>
    <x v="1"/>
    <x v="0"/>
    <x v="0"/>
  </r>
  <r>
    <x v="12"/>
    <x v="0"/>
    <n v="3593.36"/>
    <x v="0"/>
    <x v="1"/>
    <x v="0"/>
    <x v="1"/>
  </r>
  <r>
    <x v="12"/>
    <x v="0"/>
    <n v="3396.2"/>
    <x v="0"/>
    <x v="1"/>
    <x v="0"/>
    <x v="2"/>
  </r>
  <r>
    <x v="12"/>
    <x v="0"/>
    <n v="3979.78"/>
    <x v="0"/>
    <x v="1"/>
    <x v="1"/>
    <x v="0"/>
  </r>
  <r>
    <x v="12"/>
    <x v="0"/>
    <n v="2651.19"/>
    <x v="0"/>
    <x v="1"/>
    <x v="1"/>
    <x v="1"/>
  </r>
  <r>
    <x v="12"/>
    <x v="0"/>
    <n v="3217.45"/>
    <x v="0"/>
    <x v="1"/>
    <x v="1"/>
    <x v="2"/>
  </r>
  <r>
    <x v="12"/>
    <x v="0"/>
    <n v="18053.5"/>
    <x v="1"/>
    <x v="0"/>
    <x v="0"/>
    <x v="0"/>
  </r>
  <r>
    <x v="12"/>
    <x v="0"/>
    <n v="15590.4"/>
    <x v="1"/>
    <x v="0"/>
    <x v="0"/>
    <x v="1"/>
  </r>
  <r>
    <x v="12"/>
    <x v="0"/>
    <n v="14213.7"/>
    <x v="1"/>
    <x v="0"/>
    <x v="0"/>
    <x v="2"/>
  </r>
  <r>
    <x v="12"/>
    <x v="0"/>
    <n v="16529.599999999999"/>
    <x v="1"/>
    <x v="0"/>
    <x v="1"/>
    <x v="0"/>
  </r>
  <r>
    <x v="12"/>
    <x v="0"/>
    <n v="12240.6"/>
    <x v="1"/>
    <x v="0"/>
    <x v="1"/>
    <x v="1"/>
  </r>
  <r>
    <x v="12"/>
    <x v="0"/>
    <n v="13303.3"/>
    <x v="1"/>
    <x v="0"/>
    <x v="1"/>
    <x v="2"/>
  </r>
  <r>
    <x v="12"/>
    <x v="0"/>
    <n v="17262.900000000001"/>
    <x v="1"/>
    <x v="1"/>
    <x v="0"/>
    <x v="0"/>
  </r>
  <r>
    <x v="12"/>
    <x v="0"/>
    <n v="11462.9"/>
    <x v="1"/>
    <x v="1"/>
    <x v="0"/>
    <x v="1"/>
  </r>
  <r>
    <x v="12"/>
    <x v="0"/>
    <n v="14372.9"/>
    <x v="1"/>
    <x v="1"/>
    <x v="0"/>
    <x v="2"/>
  </r>
  <r>
    <x v="12"/>
    <x v="0"/>
    <n v="18298.900000000001"/>
    <x v="1"/>
    <x v="1"/>
    <x v="1"/>
    <x v="0"/>
  </r>
  <r>
    <x v="12"/>
    <x v="0"/>
    <n v="11013.2"/>
    <x v="1"/>
    <x v="1"/>
    <x v="1"/>
    <x v="1"/>
  </r>
  <r>
    <x v="12"/>
    <x v="0"/>
    <n v="12560.6"/>
    <x v="1"/>
    <x v="1"/>
    <x v="1"/>
    <x v="2"/>
  </r>
  <r>
    <x v="12"/>
    <x v="0"/>
    <n v="3501.45"/>
    <x v="2"/>
    <x v="0"/>
    <x v="0"/>
    <x v="0"/>
  </r>
  <r>
    <x v="12"/>
    <x v="0"/>
    <n v="1729.33"/>
    <x v="2"/>
    <x v="0"/>
    <x v="0"/>
    <x v="1"/>
  </r>
  <r>
    <x v="12"/>
    <x v="0"/>
    <n v="2425.92"/>
    <x v="2"/>
    <x v="0"/>
    <x v="0"/>
    <x v="2"/>
  </r>
  <r>
    <x v="12"/>
    <x v="0"/>
    <n v="2144.19"/>
    <x v="2"/>
    <x v="0"/>
    <x v="1"/>
    <x v="0"/>
  </r>
  <r>
    <x v="12"/>
    <x v="0"/>
    <n v="250.61099999999999"/>
    <x v="2"/>
    <x v="0"/>
    <x v="1"/>
    <x v="1"/>
  </r>
  <r>
    <x v="12"/>
    <x v="0"/>
    <n v="1795.65"/>
    <x v="2"/>
    <x v="0"/>
    <x v="1"/>
    <x v="2"/>
  </r>
  <r>
    <x v="12"/>
    <x v="0"/>
    <n v="2893.83"/>
    <x v="2"/>
    <x v="1"/>
    <x v="0"/>
    <x v="0"/>
  </r>
  <r>
    <x v="12"/>
    <x v="0"/>
    <n v="1537.6"/>
    <x v="2"/>
    <x v="1"/>
    <x v="0"/>
    <x v="1"/>
  </r>
  <r>
    <x v="12"/>
    <x v="0"/>
    <n v="2648.92"/>
    <x v="2"/>
    <x v="1"/>
    <x v="0"/>
    <x v="2"/>
  </r>
  <r>
    <x v="12"/>
    <x v="0"/>
    <n v="2512.42"/>
    <x v="2"/>
    <x v="1"/>
    <x v="1"/>
    <x v="0"/>
  </r>
  <r>
    <x v="12"/>
    <x v="0"/>
    <n v="957.48199999999997"/>
    <x v="2"/>
    <x v="1"/>
    <x v="1"/>
    <x v="1"/>
  </r>
  <r>
    <x v="12"/>
    <x v="0"/>
    <n v="2183.38"/>
    <x v="2"/>
    <x v="1"/>
    <x v="1"/>
    <x v="2"/>
  </r>
  <r>
    <x v="13"/>
    <x v="0"/>
    <n v="7582.78"/>
    <x v="0"/>
    <x v="0"/>
    <x v="0"/>
    <x v="0"/>
  </r>
  <r>
    <x v="13"/>
    <x v="0"/>
    <n v="5474.3"/>
    <x v="0"/>
    <x v="0"/>
    <x v="0"/>
    <x v="1"/>
  </r>
  <r>
    <x v="13"/>
    <x v="0"/>
    <n v="6782.59"/>
    <x v="0"/>
    <x v="0"/>
    <x v="0"/>
    <x v="2"/>
  </r>
  <r>
    <x v="13"/>
    <x v="0"/>
    <n v="7770.97"/>
    <x v="0"/>
    <x v="0"/>
    <x v="1"/>
    <x v="0"/>
  </r>
  <r>
    <x v="13"/>
    <x v="0"/>
    <n v="4660.46"/>
    <x v="0"/>
    <x v="0"/>
    <x v="1"/>
    <x v="1"/>
  </r>
  <r>
    <x v="13"/>
    <x v="0"/>
    <n v="4254.51"/>
    <x v="0"/>
    <x v="0"/>
    <x v="1"/>
    <x v="2"/>
  </r>
  <r>
    <x v="13"/>
    <x v="0"/>
    <n v="11612.9"/>
    <x v="0"/>
    <x v="1"/>
    <x v="0"/>
    <x v="0"/>
  </r>
  <r>
    <x v="13"/>
    <x v="0"/>
    <n v="4445.53"/>
    <x v="0"/>
    <x v="1"/>
    <x v="0"/>
    <x v="1"/>
  </r>
  <r>
    <x v="13"/>
    <x v="0"/>
    <n v="5667.26"/>
    <x v="0"/>
    <x v="1"/>
    <x v="0"/>
    <x v="2"/>
  </r>
  <r>
    <x v="13"/>
    <x v="0"/>
    <n v="6821.34"/>
    <x v="0"/>
    <x v="1"/>
    <x v="1"/>
    <x v="0"/>
  </r>
  <r>
    <x v="13"/>
    <x v="0"/>
    <n v="4323.28"/>
    <x v="0"/>
    <x v="1"/>
    <x v="1"/>
    <x v="1"/>
  </r>
  <r>
    <x v="13"/>
    <x v="0"/>
    <n v="4973.93"/>
    <x v="0"/>
    <x v="1"/>
    <x v="1"/>
    <x v="2"/>
  </r>
  <r>
    <x v="13"/>
    <x v="0"/>
    <n v="22718.6"/>
    <x v="1"/>
    <x v="0"/>
    <x v="0"/>
    <x v="0"/>
  </r>
  <r>
    <x v="13"/>
    <x v="0"/>
    <n v="19611.5"/>
    <x v="1"/>
    <x v="0"/>
    <x v="0"/>
    <x v="1"/>
  </r>
  <r>
    <x v="13"/>
    <x v="0"/>
    <n v="20609.599999999999"/>
    <x v="1"/>
    <x v="0"/>
    <x v="0"/>
    <x v="2"/>
  </r>
  <r>
    <x v="13"/>
    <x v="0"/>
    <n v="29770.7"/>
    <x v="1"/>
    <x v="0"/>
    <x v="1"/>
    <x v="0"/>
  </r>
  <r>
    <x v="13"/>
    <x v="0"/>
    <n v="21036.7"/>
    <x v="1"/>
    <x v="0"/>
    <x v="1"/>
    <x v="1"/>
  </r>
  <r>
    <x v="13"/>
    <x v="0"/>
    <n v="20767.3"/>
    <x v="1"/>
    <x v="0"/>
    <x v="1"/>
    <x v="2"/>
  </r>
  <r>
    <x v="13"/>
    <x v="0"/>
    <n v="22845.3"/>
    <x v="1"/>
    <x v="1"/>
    <x v="0"/>
    <x v="0"/>
  </r>
  <r>
    <x v="13"/>
    <x v="0"/>
    <n v="19038.5"/>
    <x v="1"/>
    <x v="1"/>
    <x v="0"/>
    <x v="1"/>
  </r>
  <r>
    <x v="13"/>
    <x v="0"/>
    <n v="18527.099999999999"/>
    <x v="1"/>
    <x v="1"/>
    <x v="0"/>
    <x v="2"/>
  </r>
  <r>
    <x v="13"/>
    <x v="0"/>
    <n v="26335.4"/>
    <x v="1"/>
    <x v="1"/>
    <x v="1"/>
    <x v="0"/>
  </r>
  <r>
    <x v="13"/>
    <x v="0"/>
    <n v="20488.3"/>
    <x v="1"/>
    <x v="1"/>
    <x v="1"/>
    <x v="1"/>
  </r>
  <r>
    <x v="13"/>
    <x v="0"/>
    <n v="21756.7"/>
    <x v="1"/>
    <x v="1"/>
    <x v="1"/>
    <x v="2"/>
  </r>
  <r>
    <x v="13"/>
    <x v="0"/>
    <n v="5128.78"/>
    <x v="2"/>
    <x v="0"/>
    <x v="0"/>
    <x v="0"/>
  </r>
  <r>
    <x v="13"/>
    <x v="0"/>
    <n v="1844.67"/>
    <x v="2"/>
    <x v="0"/>
    <x v="0"/>
    <x v="1"/>
  </r>
  <r>
    <x v="13"/>
    <x v="0"/>
    <n v="3282.08"/>
    <x v="2"/>
    <x v="0"/>
    <x v="0"/>
    <x v="2"/>
  </r>
  <r>
    <x v="13"/>
    <x v="0"/>
    <n v="2719.42"/>
    <x v="2"/>
    <x v="0"/>
    <x v="1"/>
    <x v="0"/>
  </r>
  <r>
    <x v="13"/>
    <x v="0"/>
    <n v="1470.35"/>
    <x v="2"/>
    <x v="0"/>
    <x v="1"/>
    <x v="1"/>
  </r>
  <r>
    <x v="13"/>
    <x v="0"/>
    <n v="2309.69"/>
    <x v="2"/>
    <x v="0"/>
    <x v="1"/>
    <x v="2"/>
  </r>
  <r>
    <x v="13"/>
    <x v="0"/>
    <n v="6412.36"/>
    <x v="2"/>
    <x v="1"/>
    <x v="0"/>
    <x v="0"/>
  </r>
  <r>
    <x v="13"/>
    <x v="0"/>
    <n v="1461.2"/>
    <x v="2"/>
    <x v="1"/>
    <x v="0"/>
    <x v="1"/>
  </r>
  <r>
    <x v="13"/>
    <x v="0"/>
    <n v="3421.95"/>
    <x v="2"/>
    <x v="1"/>
    <x v="0"/>
    <x v="2"/>
  </r>
  <r>
    <x v="13"/>
    <x v="0"/>
    <n v="2591.9299999999998"/>
    <x v="2"/>
    <x v="1"/>
    <x v="1"/>
    <x v="0"/>
  </r>
  <r>
    <x v="13"/>
    <x v="0"/>
    <n v="1765.5"/>
    <x v="2"/>
    <x v="1"/>
    <x v="1"/>
    <x v="1"/>
  </r>
  <r>
    <x v="13"/>
    <x v="0"/>
    <n v="2408.36"/>
    <x v="2"/>
    <x v="1"/>
    <x v="1"/>
    <x v="2"/>
  </r>
  <r>
    <x v="14"/>
    <x v="0"/>
    <n v="7582.78"/>
    <x v="0"/>
    <x v="0"/>
    <x v="0"/>
    <x v="0"/>
  </r>
  <r>
    <x v="14"/>
    <x v="0"/>
    <n v="5474.3"/>
    <x v="0"/>
    <x v="0"/>
    <x v="0"/>
    <x v="1"/>
  </r>
  <r>
    <x v="14"/>
    <x v="0"/>
    <n v="6782.59"/>
    <x v="0"/>
    <x v="0"/>
    <x v="0"/>
    <x v="2"/>
  </r>
  <r>
    <x v="14"/>
    <x v="0"/>
    <n v="7770.97"/>
    <x v="0"/>
    <x v="0"/>
    <x v="1"/>
    <x v="0"/>
  </r>
  <r>
    <x v="14"/>
    <x v="0"/>
    <n v="4660.46"/>
    <x v="0"/>
    <x v="0"/>
    <x v="1"/>
    <x v="1"/>
  </r>
  <r>
    <x v="14"/>
    <x v="0"/>
    <n v="4254.51"/>
    <x v="0"/>
    <x v="0"/>
    <x v="1"/>
    <x v="2"/>
  </r>
  <r>
    <x v="14"/>
    <x v="0"/>
    <n v="11612.9"/>
    <x v="0"/>
    <x v="1"/>
    <x v="0"/>
    <x v="0"/>
  </r>
  <r>
    <x v="14"/>
    <x v="0"/>
    <n v="4445.53"/>
    <x v="0"/>
    <x v="1"/>
    <x v="0"/>
    <x v="1"/>
  </r>
  <r>
    <x v="14"/>
    <x v="0"/>
    <n v="5667.26"/>
    <x v="0"/>
    <x v="1"/>
    <x v="0"/>
    <x v="2"/>
  </r>
  <r>
    <x v="14"/>
    <x v="0"/>
    <n v="6821.34"/>
    <x v="0"/>
    <x v="1"/>
    <x v="1"/>
    <x v="0"/>
  </r>
  <r>
    <x v="14"/>
    <x v="0"/>
    <n v="4323.28"/>
    <x v="0"/>
    <x v="1"/>
    <x v="1"/>
    <x v="1"/>
  </r>
  <r>
    <x v="14"/>
    <x v="0"/>
    <n v="4973.93"/>
    <x v="0"/>
    <x v="1"/>
    <x v="1"/>
    <x v="2"/>
  </r>
  <r>
    <x v="14"/>
    <x v="0"/>
    <n v="22718.6"/>
    <x v="1"/>
    <x v="0"/>
    <x v="0"/>
    <x v="0"/>
  </r>
  <r>
    <x v="14"/>
    <x v="0"/>
    <n v="19611.5"/>
    <x v="1"/>
    <x v="0"/>
    <x v="0"/>
    <x v="1"/>
  </r>
  <r>
    <x v="14"/>
    <x v="0"/>
    <n v="20609.599999999999"/>
    <x v="1"/>
    <x v="0"/>
    <x v="0"/>
    <x v="2"/>
  </r>
  <r>
    <x v="14"/>
    <x v="0"/>
    <n v="29770.7"/>
    <x v="1"/>
    <x v="0"/>
    <x v="1"/>
    <x v="0"/>
  </r>
  <r>
    <x v="14"/>
    <x v="0"/>
    <n v="21036.7"/>
    <x v="1"/>
    <x v="0"/>
    <x v="1"/>
    <x v="1"/>
  </r>
  <r>
    <x v="14"/>
    <x v="0"/>
    <n v="20767.3"/>
    <x v="1"/>
    <x v="0"/>
    <x v="1"/>
    <x v="2"/>
  </r>
  <r>
    <x v="14"/>
    <x v="0"/>
    <n v="22845.3"/>
    <x v="1"/>
    <x v="1"/>
    <x v="0"/>
    <x v="0"/>
  </r>
  <r>
    <x v="14"/>
    <x v="0"/>
    <n v="19038.5"/>
    <x v="1"/>
    <x v="1"/>
    <x v="0"/>
    <x v="1"/>
  </r>
  <r>
    <x v="14"/>
    <x v="0"/>
    <n v="18527.099999999999"/>
    <x v="1"/>
    <x v="1"/>
    <x v="0"/>
    <x v="2"/>
  </r>
  <r>
    <x v="14"/>
    <x v="0"/>
    <n v="26335.4"/>
    <x v="1"/>
    <x v="1"/>
    <x v="1"/>
    <x v="0"/>
  </r>
  <r>
    <x v="14"/>
    <x v="0"/>
    <n v="20488.3"/>
    <x v="1"/>
    <x v="1"/>
    <x v="1"/>
    <x v="1"/>
  </r>
  <r>
    <x v="14"/>
    <x v="0"/>
    <n v="21756.7"/>
    <x v="1"/>
    <x v="1"/>
    <x v="1"/>
    <x v="2"/>
  </r>
  <r>
    <x v="14"/>
    <x v="0"/>
    <n v="5128.78"/>
    <x v="2"/>
    <x v="0"/>
    <x v="0"/>
    <x v="0"/>
  </r>
  <r>
    <x v="14"/>
    <x v="0"/>
    <n v="1844.67"/>
    <x v="2"/>
    <x v="0"/>
    <x v="0"/>
    <x v="1"/>
  </r>
  <r>
    <x v="14"/>
    <x v="0"/>
    <n v="3282.08"/>
    <x v="2"/>
    <x v="0"/>
    <x v="0"/>
    <x v="2"/>
  </r>
  <r>
    <x v="14"/>
    <x v="0"/>
    <n v="2719.42"/>
    <x v="2"/>
    <x v="0"/>
    <x v="1"/>
    <x v="0"/>
  </r>
  <r>
    <x v="14"/>
    <x v="0"/>
    <n v="1470.35"/>
    <x v="2"/>
    <x v="0"/>
    <x v="1"/>
    <x v="1"/>
  </r>
  <r>
    <x v="14"/>
    <x v="0"/>
    <n v="2309.69"/>
    <x v="2"/>
    <x v="0"/>
    <x v="1"/>
    <x v="2"/>
  </r>
  <r>
    <x v="14"/>
    <x v="0"/>
    <n v="6412.36"/>
    <x v="2"/>
    <x v="1"/>
    <x v="0"/>
    <x v="0"/>
  </r>
  <r>
    <x v="14"/>
    <x v="0"/>
    <n v="1461.2"/>
    <x v="2"/>
    <x v="1"/>
    <x v="0"/>
    <x v="1"/>
  </r>
  <r>
    <x v="14"/>
    <x v="0"/>
    <n v="3421.95"/>
    <x v="2"/>
    <x v="1"/>
    <x v="0"/>
    <x v="2"/>
  </r>
  <r>
    <x v="14"/>
    <x v="0"/>
    <n v="2591.9299999999998"/>
    <x v="2"/>
    <x v="1"/>
    <x v="1"/>
    <x v="0"/>
  </r>
  <r>
    <x v="14"/>
    <x v="0"/>
    <n v="1765.5"/>
    <x v="2"/>
    <x v="1"/>
    <x v="1"/>
    <x v="1"/>
  </r>
  <r>
    <x v="14"/>
    <x v="0"/>
    <n v="2408.36"/>
    <x v="2"/>
    <x v="1"/>
    <x v="1"/>
    <x v="2"/>
  </r>
  <r>
    <x v="15"/>
    <x v="0"/>
    <n v="7582.78"/>
    <x v="0"/>
    <x v="0"/>
    <x v="0"/>
    <x v="0"/>
  </r>
  <r>
    <x v="15"/>
    <x v="0"/>
    <n v="5474.3"/>
    <x v="0"/>
    <x v="0"/>
    <x v="0"/>
    <x v="1"/>
  </r>
  <r>
    <x v="15"/>
    <x v="0"/>
    <n v="6782.59"/>
    <x v="0"/>
    <x v="0"/>
    <x v="0"/>
    <x v="2"/>
  </r>
  <r>
    <x v="15"/>
    <x v="0"/>
    <n v="7770.97"/>
    <x v="0"/>
    <x v="0"/>
    <x v="1"/>
    <x v="0"/>
  </r>
  <r>
    <x v="15"/>
    <x v="0"/>
    <n v="4660.46"/>
    <x v="0"/>
    <x v="0"/>
    <x v="1"/>
    <x v="1"/>
  </r>
  <r>
    <x v="15"/>
    <x v="0"/>
    <n v="4254.51"/>
    <x v="0"/>
    <x v="0"/>
    <x v="1"/>
    <x v="2"/>
  </r>
  <r>
    <x v="15"/>
    <x v="0"/>
    <n v="11612.9"/>
    <x v="0"/>
    <x v="1"/>
    <x v="0"/>
    <x v="0"/>
  </r>
  <r>
    <x v="15"/>
    <x v="0"/>
    <n v="4445.53"/>
    <x v="0"/>
    <x v="1"/>
    <x v="0"/>
    <x v="1"/>
  </r>
  <r>
    <x v="15"/>
    <x v="0"/>
    <n v="5667.26"/>
    <x v="0"/>
    <x v="1"/>
    <x v="0"/>
    <x v="2"/>
  </r>
  <r>
    <x v="15"/>
    <x v="0"/>
    <n v="6821.34"/>
    <x v="0"/>
    <x v="1"/>
    <x v="1"/>
    <x v="0"/>
  </r>
  <r>
    <x v="15"/>
    <x v="0"/>
    <n v="4323.28"/>
    <x v="0"/>
    <x v="1"/>
    <x v="1"/>
    <x v="1"/>
  </r>
  <r>
    <x v="15"/>
    <x v="0"/>
    <n v="4973.93"/>
    <x v="0"/>
    <x v="1"/>
    <x v="1"/>
    <x v="2"/>
  </r>
  <r>
    <x v="15"/>
    <x v="0"/>
    <n v="22718.6"/>
    <x v="1"/>
    <x v="0"/>
    <x v="0"/>
    <x v="0"/>
  </r>
  <r>
    <x v="15"/>
    <x v="0"/>
    <n v="19611.5"/>
    <x v="1"/>
    <x v="0"/>
    <x v="0"/>
    <x v="1"/>
  </r>
  <r>
    <x v="15"/>
    <x v="0"/>
    <n v="20609.599999999999"/>
    <x v="1"/>
    <x v="0"/>
    <x v="0"/>
    <x v="2"/>
  </r>
  <r>
    <x v="15"/>
    <x v="0"/>
    <n v="29770.7"/>
    <x v="1"/>
    <x v="0"/>
    <x v="1"/>
    <x v="0"/>
  </r>
  <r>
    <x v="15"/>
    <x v="0"/>
    <n v="21036.7"/>
    <x v="1"/>
    <x v="0"/>
    <x v="1"/>
    <x v="1"/>
  </r>
  <r>
    <x v="15"/>
    <x v="0"/>
    <n v="20767.3"/>
    <x v="1"/>
    <x v="0"/>
    <x v="1"/>
    <x v="2"/>
  </r>
  <r>
    <x v="15"/>
    <x v="0"/>
    <n v="22845.3"/>
    <x v="1"/>
    <x v="1"/>
    <x v="0"/>
    <x v="0"/>
  </r>
  <r>
    <x v="15"/>
    <x v="0"/>
    <n v="19038.5"/>
    <x v="1"/>
    <x v="1"/>
    <x v="0"/>
    <x v="1"/>
  </r>
  <r>
    <x v="15"/>
    <x v="0"/>
    <n v="18527.099999999999"/>
    <x v="1"/>
    <x v="1"/>
    <x v="0"/>
    <x v="2"/>
  </r>
  <r>
    <x v="15"/>
    <x v="0"/>
    <n v="26335.4"/>
    <x v="1"/>
    <x v="1"/>
    <x v="1"/>
    <x v="0"/>
  </r>
  <r>
    <x v="15"/>
    <x v="0"/>
    <n v="20488.3"/>
    <x v="1"/>
    <x v="1"/>
    <x v="1"/>
    <x v="1"/>
  </r>
  <r>
    <x v="15"/>
    <x v="0"/>
    <n v="21756.7"/>
    <x v="1"/>
    <x v="1"/>
    <x v="1"/>
    <x v="2"/>
  </r>
  <r>
    <x v="15"/>
    <x v="0"/>
    <n v="5128.78"/>
    <x v="2"/>
    <x v="0"/>
    <x v="0"/>
    <x v="0"/>
  </r>
  <r>
    <x v="15"/>
    <x v="0"/>
    <n v="1844.67"/>
    <x v="2"/>
    <x v="0"/>
    <x v="0"/>
    <x v="1"/>
  </r>
  <r>
    <x v="15"/>
    <x v="0"/>
    <n v="3282.08"/>
    <x v="2"/>
    <x v="0"/>
    <x v="0"/>
    <x v="2"/>
  </r>
  <r>
    <x v="15"/>
    <x v="0"/>
    <n v="2719.42"/>
    <x v="2"/>
    <x v="0"/>
    <x v="1"/>
    <x v="0"/>
  </r>
  <r>
    <x v="15"/>
    <x v="0"/>
    <n v="1470.35"/>
    <x v="2"/>
    <x v="0"/>
    <x v="1"/>
    <x v="1"/>
  </r>
  <r>
    <x v="15"/>
    <x v="0"/>
    <n v="2309.69"/>
    <x v="2"/>
    <x v="0"/>
    <x v="1"/>
    <x v="2"/>
  </r>
  <r>
    <x v="15"/>
    <x v="0"/>
    <n v="6412.36"/>
    <x v="2"/>
    <x v="1"/>
    <x v="0"/>
    <x v="0"/>
  </r>
  <r>
    <x v="15"/>
    <x v="0"/>
    <n v="1461.2"/>
    <x v="2"/>
    <x v="1"/>
    <x v="0"/>
    <x v="1"/>
  </r>
  <r>
    <x v="15"/>
    <x v="0"/>
    <n v="3421.95"/>
    <x v="2"/>
    <x v="1"/>
    <x v="0"/>
    <x v="2"/>
  </r>
  <r>
    <x v="15"/>
    <x v="0"/>
    <n v="2591.9299999999998"/>
    <x v="2"/>
    <x v="1"/>
    <x v="1"/>
    <x v="0"/>
  </r>
  <r>
    <x v="15"/>
    <x v="0"/>
    <n v="1765.5"/>
    <x v="2"/>
    <x v="1"/>
    <x v="1"/>
    <x v="1"/>
  </r>
  <r>
    <x v="15"/>
    <x v="0"/>
    <n v="2408.36"/>
    <x v="2"/>
    <x v="1"/>
    <x v="1"/>
    <x v="2"/>
  </r>
  <r>
    <x v="0"/>
    <x v="1"/>
    <n v="102.45"/>
    <x v="1"/>
    <x v="0"/>
    <x v="0"/>
    <x v="0"/>
  </r>
  <r>
    <x v="1"/>
    <x v="1"/>
    <n v="9.5"/>
    <x v="1"/>
    <x v="0"/>
    <x v="0"/>
    <x v="0"/>
  </r>
  <r>
    <x v="2"/>
    <x v="1"/>
    <n v="9.5"/>
    <x v="1"/>
    <x v="0"/>
    <x v="0"/>
    <x v="0"/>
  </r>
  <r>
    <x v="3"/>
    <x v="1"/>
    <n v="0"/>
    <x v="1"/>
    <x v="0"/>
    <x v="0"/>
    <x v="0"/>
  </r>
  <r>
    <x v="4"/>
    <x v="1"/>
    <n v="0"/>
    <x v="1"/>
    <x v="0"/>
    <x v="0"/>
    <x v="0"/>
  </r>
  <r>
    <x v="5"/>
    <x v="1"/>
    <n v="0"/>
    <x v="1"/>
    <x v="0"/>
    <x v="0"/>
    <x v="0"/>
  </r>
  <r>
    <x v="6"/>
    <x v="1"/>
    <n v="0"/>
    <x v="1"/>
    <x v="0"/>
    <x v="0"/>
    <x v="0"/>
  </r>
  <r>
    <x v="7"/>
    <x v="1"/>
    <n v="0"/>
    <x v="1"/>
    <x v="0"/>
    <x v="0"/>
    <x v="0"/>
  </r>
  <r>
    <x v="8"/>
    <x v="1"/>
    <n v="0"/>
    <x v="1"/>
    <x v="0"/>
    <x v="0"/>
    <x v="0"/>
  </r>
  <r>
    <x v="9"/>
    <x v="1"/>
    <n v="0"/>
    <x v="1"/>
    <x v="0"/>
    <x v="0"/>
    <x v="0"/>
  </r>
  <r>
    <x v="10"/>
    <x v="1"/>
    <n v="0"/>
    <x v="1"/>
    <x v="0"/>
    <x v="0"/>
    <x v="0"/>
  </r>
  <r>
    <x v="11"/>
    <x v="1"/>
    <n v="0"/>
    <x v="1"/>
    <x v="0"/>
    <x v="0"/>
    <x v="0"/>
  </r>
  <r>
    <x v="12"/>
    <x v="1"/>
    <n v="0"/>
    <x v="1"/>
    <x v="0"/>
    <x v="0"/>
    <x v="0"/>
  </r>
  <r>
    <x v="13"/>
    <x v="1"/>
    <n v="0"/>
    <x v="1"/>
    <x v="0"/>
    <x v="0"/>
    <x v="0"/>
  </r>
  <r>
    <x v="14"/>
    <x v="1"/>
    <n v="0"/>
    <x v="1"/>
    <x v="0"/>
    <x v="0"/>
    <x v="0"/>
  </r>
  <r>
    <x v="15"/>
    <x v="1"/>
    <n v="0"/>
    <x v="1"/>
    <x v="0"/>
    <x v="0"/>
    <x v="0"/>
  </r>
  <r>
    <x v="0"/>
    <x v="2"/>
    <n v="0"/>
    <x v="1"/>
    <x v="0"/>
    <x v="0"/>
    <x v="0"/>
  </r>
  <r>
    <x v="1"/>
    <x v="2"/>
    <n v="0"/>
    <x v="1"/>
    <x v="0"/>
    <x v="0"/>
    <x v="0"/>
  </r>
  <r>
    <x v="2"/>
    <x v="2"/>
    <n v="0"/>
    <x v="1"/>
    <x v="0"/>
    <x v="0"/>
    <x v="0"/>
  </r>
  <r>
    <x v="3"/>
    <x v="2"/>
    <n v="0"/>
    <x v="1"/>
    <x v="0"/>
    <x v="0"/>
    <x v="0"/>
  </r>
  <r>
    <x v="4"/>
    <x v="2"/>
    <n v="0"/>
    <x v="1"/>
    <x v="0"/>
    <x v="0"/>
    <x v="0"/>
  </r>
  <r>
    <x v="5"/>
    <x v="2"/>
    <n v="0"/>
    <x v="1"/>
    <x v="0"/>
    <x v="0"/>
    <x v="0"/>
  </r>
  <r>
    <x v="6"/>
    <x v="2"/>
    <n v="0"/>
    <x v="1"/>
    <x v="0"/>
    <x v="0"/>
    <x v="0"/>
  </r>
  <r>
    <x v="7"/>
    <x v="2"/>
    <n v="0"/>
    <x v="1"/>
    <x v="0"/>
    <x v="0"/>
    <x v="0"/>
  </r>
  <r>
    <x v="8"/>
    <x v="2"/>
    <n v="0"/>
    <x v="1"/>
    <x v="0"/>
    <x v="0"/>
    <x v="0"/>
  </r>
  <r>
    <x v="9"/>
    <x v="2"/>
    <n v="0"/>
    <x v="1"/>
    <x v="0"/>
    <x v="0"/>
    <x v="0"/>
  </r>
  <r>
    <x v="10"/>
    <x v="2"/>
    <n v="0"/>
    <x v="1"/>
    <x v="0"/>
    <x v="0"/>
    <x v="0"/>
  </r>
  <r>
    <x v="11"/>
    <x v="2"/>
    <n v="0"/>
    <x v="1"/>
    <x v="0"/>
    <x v="0"/>
    <x v="0"/>
  </r>
  <r>
    <x v="12"/>
    <x v="2"/>
    <n v="0"/>
    <x v="1"/>
    <x v="0"/>
    <x v="0"/>
    <x v="0"/>
  </r>
  <r>
    <x v="13"/>
    <x v="2"/>
    <n v="0"/>
    <x v="1"/>
    <x v="0"/>
    <x v="0"/>
    <x v="0"/>
  </r>
  <r>
    <x v="14"/>
    <x v="2"/>
    <n v="0"/>
    <x v="1"/>
    <x v="0"/>
    <x v="0"/>
    <x v="0"/>
  </r>
  <r>
    <x v="15"/>
    <x v="2"/>
    <n v="0"/>
    <x v="1"/>
    <x v="0"/>
    <x v="0"/>
    <x v="0"/>
  </r>
  <r>
    <x v="0"/>
    <x v="3"/>
    <n v="11059.73"/>
    <x v="1"/>
    <x v="0"/>
    <x v="0"/>
    <x v="0"/>
  </r>
  <r>
    <x v="1"/>
    <x v="3"/>
    <n v="0"/>
    <x v="1"/>
    <x v="0"/>
    <x v="0"/>
    <x v="0"/>
  </r>
  <r>
    <x v="2"/>
    <x v="3"/>
    <n v="0"/>
    <x v="1"/>
    <x v="0"/>
    <x v="0"/>
    <x v="0"/>
  </r>
  <r>
    <x v="3"/>
    <x v="3"/>
    <n v="0"/>
    <x v="1"/>
    <x v="0"/>
    <x v="0"/>
    <x v="0"/>
  </r>
  <r>
    <x v="4"/>
    <x v="3"/>
    <n v="0"/>
    <x v="1"/>
    <x v="0"/>
    <x v="0"/>
    <x v="0"/>
  </r>
  <r>
    <x v="5"/>
    <x v="3"/>
    <n v="0"/>
    <x v="1"/>
    <x v="0"/>
    <x v="0"/>
    <x v="0"/>
  </r>
  <r>
    <x v="6"/>
    <x v="3"/>
    <n v="0"/>
    <x v="1"/>
    <x v="0"/>
    <x v="0"/>
    <x v="0"/>
  </r>
  <r>
    <x v="7"/>
    <x v="3"/>
    <n v="0"/>
    <x v="1"/>
    <x v="0"/>
    <x v="0"/>
    <x v="0"/>
  </r>
  <r>
    <x v="8"/>
    <x v="3"/>
    <n v="0"/>
    <x v="1"/>
    <x v="0"/>
    <x v="0"/>
    <x v="0"/>
  </r>
  <r>
    <x v="9"/>
    <x v="3"/>
    <n v="0"/>
    <x v="1"/>
    <x v="0"/>
    <x v="0"/>
    <x v="0"/>
  </r>
  <r>
    <x v="10"/>
    <x v="3"/>
    <n v="0"/>
    <x v="1"/>
    <x v="0"/>
    <x v="0"/>
    <x v="0"/>
  </r>
  <r>
    <x v="11"/>
    <x v="3"/>
    <n v="0"/>
    <x v="1"/>
    <x v="0"/>
    <x v="0"/>
    <x v="0"/>
  </r>
  <r>
    <x v="12"/>
    <x v="3"/>
    <n v="0"/>
    <x v="1"/>
    <x v="0"/>
    <x v="0"/>
    <x v="0"/>
  </r>
  <r>
    <x v="13"/>
    <x v="3"/>
    <n v="0"/>
    <x v="1"/>
    <x v="0"/>
    <x v="0"/>
    <x v="0"/>
  </r>
  <r>
    <x v="14"/>
    <x v="3"/>
    <n v="0"/>
    <x v="1"/>
    <x v="0"/>
    <x v="0"/>
    <x v="0"/>
  </r>
  <r>
    <x v="15"/>
    <x v="3"/>
    <n v="0"/>
    <x v="1"/>
    <x v="0"/>
    <x v="0"/>
    <x v="0"/>
  </r>
  <r>
    <x v="0"/>
    <x v="4"/>
    <n v="0"/>
    <x v="1"/>
    <x v="0"/>
    <x v="0"/>
    <x v="0"/>
  </r>
  <r>
    <x v="1"/>
    <x v="4"/>
    <n v="0"/>
    <x v="1"/>
    <x v="0"/>
    <x v="0"/>
    <x v="0"/>
  </r>
  <r>
    <x v="2"/>
    <x v="4"/>
    <n v="0"/>
    <x v="1"/>
    <x v="0"/>
    <x v="0"/>
    <x v="0"/>
  </r>
  <r>
    <x v="3"/>
    <x v="4"/>
    <n v="0"/>
    <x v="1"/>
    <x v="0"/>
    <x v="0"/>
    <x v="0"/>
  </r>
  <r>
    <x v="4"/>
    <x v="4"/>
    <n v="0"/>
    <x v="1"/>
    <x v="0"/>
    <x v="0"/>
    <x v="0"/>
  </r>
  <r>
    <x v="5"/>
    <x v="4"/>
    <n v="0"/>
    <x v="1"/>
    <x v="0"/>
    <x v="0"/>
    <x v="0"/>
  </r>
  <r>
    <x v="6"/>
    <x v="4"/>
    <n v="0"/>
    <x v="1"/>
    <x v="0"/>
    <x v="0"/>
    <x v="0"/>
  </r>
  <r>
    <x v="7"/>
    <x v="4"/>
    <n v="0"/>
    <x v="1"/>
    <x v="0"/>
    <x v="0"/>
    <x v="0"/>
  </r>
  <r>
    <x v="8"/>
    <x v="4"/>
    <n v="0"/>
    <x v="1"/>
    <x v="0"/>
    <x v="0"/>
    <x v="0"/>
  </r>
  <r>
    <x v="9"/>
    <x v="4"/>
    <n v="0"/>
    <x v="1"/>
    <x v="0"/>
    <x v="0"/>
    <x v="0"/>
  </r>
  <r>
    <x v="10"/>
    <x v="4"/>
    <n v="0"/>
    <x v="1"/>
    <x v="0"/>
    <x v="0"/>
    <x v="0"/>
  </r>
  <r>
    <x v="11"/>
    <x v="4"/>
    <n v="0"/>
    <x v="1"/>
    <x v="0"/>
    <x v="0"/>
    <x v="0"/>
  </r>
  <r>
    <x v="12"/>
    <x v="4"/>
    <n v="0"/>
    <x v="1"/>
    <x v="0"/>
    <x v="0"/>
    <x v="0"/>
  </r>
  <r>
    <x v="13"/>
    <x v="4"/>
    <n v="0"/>
    <x v="1"/>
    <x v="0"/>
    <x v="0"/>
    <x v="0"/>
  </r>
  <r>
    <x v="14"/>
    <x v="4"/>
    <n v="0"/>
    <x v="1"/>
    <x v="0"/>
    <x v="0"/>
    <x v="0"/>
  </r>
  <r>
    <x v="15"/>
    <x v="4"/>
    <n v="0"/>
    <x v="1"/>
    <x v="0"/>
    <x v="0"/>
    <x v="0"/>
  </r>
  <r>
    <x v="0"/>
    <x v="5"/>
    <n v="2783.01"/>
    <x v="1"/>
    <x v="0"/>
    <x v="0"/>
    <x v="0"/>
  </r>
  <r>
    <x v="1"/>
    <x v="5"/>
    <n v="0"/>
    <x v="1"/>
    <x v="0"/>
    <x v="0"/>
    <x v="0"/>
  </r>
  <r>
    <x v="2"/>
    <x v="5"/>
    <n v="0"/>
    <x v="1"/>
    <x v="0"/>
    <x v="0"/>
    <x v="0"/>
  </r>
  <r>
    <x v="3"/>
    <x v="5"/>
    <n v="4.5"/>
    <x v="1"/>
    <x v="0"/>
    <x v="0"/>
    <x v="0"/>
  </r>
  <r>
    <x v="4"/>
    <x v="5"/>
    <n v="4.5"/>
    <x v="1"/>
    <x v="0"/>
    <x v="0"/>
    <x v="0"/>
  </r>
  <r>
    <x v="5"/>
    <x v="5"/>
    <n v="7.5"/>
    <x v="1"/>
    <x v="0"/>
    <x v="0"/>
    <x v="0"/>
  </r>
  <r>
    <x v="6"/>
    <x v="5"/>
    <n v="7.5"/>
    <x v="1"/>
    <x v="0"/>
    <x v="0"/>
    <x v="0"/>
  </r>
  <r>
    <x v="7"/>
    <x v="5"/>
    <n v="0"/>
    <x v="1"/>
    <x v="0"/>
    <x v="0"/>
    <x v="0"/>
  </r>
  <r>
    <x v="8"/>
    <x v="5"/>
    <n v="0"/>
    <x v="1"/>
    <x v="0"/>
    <x v="0"/>
    <x v="0"/>
  </r>
  <r>
    <x v="9"/>
    <x v="5"/>
    <n v="0"/>
    <x v="1"/>
    <x v="0"/>
    <x v="0"/>
    <x v="0"/>
  </r>
  <r>
    <x v="10"/>
    <x v="5"/>
    <n v="0"/>
    <x v="1"/>
    <x v="0"/>
    <x v="0"/>
    <x v="0"/>
  </r>
  <r>
    <x v="11"/>
    <x v="5"/>
    <n v="10.5"/>
    <x v="1"/>
    <x v="0"/>
    <x v="0"/>
    <x v="0"/>
  </r>
  <r>
    <x v="12"/>
    <x v="5"/>
    <n v="10.5"/>
    <x v="1"/>
    <x v="0"/>
    <x v="0"/>
    <x v="0"/>
  </r>
  <r>
    <x v="13"/>
    <x v="5"/>
    <n v="0"/>
    <x v="1"/>
    <x v="0"/>
    <x v="0"/>
    <x v="0"/>
  </r>
  <r>
    <x v="14"/>
    <x v="5"/>
    <n v="0"/>
    <x v="1"/>
    <x v="0"/>
    <x v="0"/>
    <x v="0"/>
  </r>
  <r>
    <x v="15"/>
    <x v="5"/>
    <n v="0"/>
    <x v="1"/>
    <x v="0"/>
    <x v="0"/>
    <x v="0"/>
  </r>
  <r>
    <x v="0"/>
    <x v="6"/>
    <n v="232.5"/>
    <x v="1"/>
    <x v="0"/>
    <x v="0"/>
    <x v="0"/>
  </r>
  <r>
    <x v="1"/>
    <x v="6"/>
    <n v="1100"/>
    <x v="1"/>
    <x v="0"/>
    <x v="0"/>
    <x v="0"/>
  </r>
  <r>
    <x v="2"/>
    <x v="6"/>
    <n v="1100"/>
    <x v="1"/>
    <x v="0"/>
    <x v="0"/>
    <x v="0"/>
  </r>
  <r>
    <x v="3"/>
    <x v="6"/>
    <n v="0"/>
    <x v="1"/>
    <x v="0"/>
    <x v="0"/>
    <x v="0"/>
  </r>
  <r>
    <x v="4"/>
    <x v="6"/>
    <n v="0"/>
    <x v="1"/>
    <x v="0"/>
    <x v="0"/>
    <x v="0"/>
  </r>
  <r>
    <x v="5"/>
    <x v="6"/>
    <n v="0"/>
    <x v="1"/>
    <x v="0"/>
    <x v="0"/>
    <x v="0"/>
  </r>
  <r>
    <x v="6"/>
    <x v="6"/>
    <n v="0"/>
    <x v="1"/>
    <x v="0"/>
    <x v="0"/>
    <x v="0"/>
  </r>
  <r>
    <x v="7"/>
    <x v="6"/>
    <n v="0"/>
    <x v="1"/>
    <x v="0"/>
    <x v="0"/>
    <x v="0"/>
  </r>
  <r>
    <x v="8"/>
    <x v="6"/>
    <n v="0"/>
    <x v="1"/>
    <x v="0"/>
    <x v="0"/>
    <x v="0"/>
  </r>
  <r>
    <x v="9"/>
    <x v="6"/>
    <n v="0"/>
    <x v="1"/>
    <x v="0"/>
    <x v="0"/>
    <x v="0"/>
  </r>
  <r>
    <x v="10"/>
    <x v="6"/>
    <n v="0"/>
    <x v="1"/>
    <x v="0"/>
    <x v="0"/>
    <x v="0"/>
  </r>
  <r>
    <x v="11"/>
    <x v="6"/>
    <n v="0"/>
    <x v="1"/>
    <x v="0"/>
    <x v="0"/>
    <x v="0"/>
  </r>
  <r>
    <x v="12"/>
    <x v="6"/>
    <n v="0"/>
    <x v="1"/>
    <x v="0"/>
    <x v="0"/>
    <x v="0"/>
  </r>
  <r>
    <x v="13"/>
    <x v="6"/>
    <n v="0"/>
    <x v="1"/>
    <x v="0"/>
    <x v="0"/>
    <x v="0"/>
  </r>
  <r>
    <x v="14"/>
    <x v="6"/>
    <n v="0"/>
    <x v="1"/>
    <x v="0"/>
    <x v="0"/>
    <x v="0"/>
  </r>
  <r>
    <x v="15"/>
    <x v="6"/>
    <n v="0"/>
    <x v="1"/>
    <x v="0"/>
    <x v="0"/>
    <x v="0"/>
  </r>
  <r>
    <x v="0"/>
    <x v="7"/>
    <n v="14.85"/>
    <x v="1"/>
    <x v="0"/>
    <x v="0"/>
    <x v="0"/>
  </r>
  <r>
    <x v="1"/>
    <x v="7"/>
    <n v="0"/>
    <x v="1"/>
    <x v="0"/>
    <x v="0"/>
    <x v="0"/>
  </r>
  <r>
    <x v="2"/>
    <x v="7"/>
    <n v="0"/>
    <x v="1"/>
    <x v="0"/>
    <x v="0"/>
    <x v="0"/>
  </r>
  <r>
    <x v="3"/>
    <x v="7"/>
    <n v="0"/>
    <x v="1"/>
    <x v="0"/>
    <x v="0"/>
    <x v="0"/>
  </r>
  <r>
    <x v="4"/>
    <x v="7"/>
    <n v="0"/>
    <x v="1"/>
    <x v="0"/>
    <x v="0"/>
    <x v="0"/>
  </r>
  <r>
    <x v="5"/>
    <x v="7"/>
    <n v="0"/>
    <x v="1"/>
    <x v="0"/>
    <x v="0"/>
    <x v="0"/>
  </r>
  <r>
    <x v="6"/>
    <x v="7"/>
    <n v="0"/>
    <x v="1"/>
    <x v="0"/>
    <x v="0"/>
    <x v="0"/>
  </r>
  <r>
    <x v="7"/>
    <x v="7"/>
    <n v="0"/>
    <x v="1"/>
    <x v="0"/>
    <x v="0"/>
    <x v="0"/>
  </r>
  <r>
    <x v="8"/>
    <x v="7"/>
    <n v="0"/>
    <x v="1"/>
    <x v="0"/>
    <x v="0"/>
    <x v="0"/>
  </r>
  <r>
    <x v="9"/>
    <x v="7"/>
    <n v="0"/>
    <x v="1"/>
    <x v="0"/>
    <x v="0"/>
    <x v="0"/>
  </r>
  <r>
    <x v="10"/>
    <x v="7"/>
    <n v="0"/>
    <x v="1"/>
    <x v="0"/>
    <x v="0"/>
    <x v="0"/>
  </r>
  <r>
    <x v="11"/>
    <x v="7"/>
    <n v="0"/>
    <x v="1"/>
    <x v="0"/>
    <x v="0"/>
    <x v="0"/>
  </r>
  <r>
    <x v="12"/>
    <x v="7"/>
    <n v="0"/>
    <x v="1"/>
    <x v="0"/>
    <x v="0"/>
    <x v="0"/>
  </r>
  <r>
    <x v="13"/>
    <x v="7"/>
    <n v="0"/>
    <x v="1"/>
    <x v="0"/>
    <x v="0"/>
    <x v="0"/>
  </r>
  <r>
    <x v="14"/>
    <x v="7"/>
    <n v="0"/>
    <x v="1"/>
    <x v="0"/>
    <x v="0"/>
    <x v="0"/>
  </r>
  <r>
    <x v="15"/>
    <x v="7"/>
    <n v="0"/>
    <x v="1"/>
    <x v="0"/>
    <x v="0"/>
    <x v="0"/>
  </r>
  <r>
    <x v="0"/>
    <x v="8"/>
    <n v="17687.099999999999"/>
    <x v="1"/>
    <x v="0"/>
    <x v="0"/>
    <x v="0"/>
  </r>
  <r>
    <x v="1"/>
    <x v="8"/>
    <n v="37552.300000000003"/>
    <x v="1"/>
    <x v="0"/>
    <x v="0"/>
    <x v="0"/>
  </r>
  <r>
    <x v="2"/>
    <x v="8"/>
    <n v="37552.300000000003"/>
    <x v="1"/>
    <x v="0"/>
    <x v="0"/>
    <x v="0"/>
  </r>
  <r>
    <x v="3"/>
    <x v="8"/>
    <n v="60406.1"/>
    <x v="1"/>
    <x v="0"/>
    <x v="0"/>
    <x v="0"/>
  </r>
  <r>
    <x v="4"/>
    <x v="8"/>
    <n v="60406.1"/>
    <x v="1"/>
    <x v="0"/>
    <x v="0"/>
    <x v="0"/>
  </r>
  <r>
    <x v="5"/>
    <x v="8"/>
    <n v="36775.599999999999"/>
    <x v="1"/>
    <x v="0"/>
    <x v="0"/>
    <x v="0"/>
  </r>
  <r>
    <x v="6"/>
    <x v="8"/>
    <n v="36775.599999999999"/>
    <x v="1"/>
    <x v="0"/>
    <x v="0"/>
    <x v="0"/>
  </r>
  <r>
    <x v="7"/>
    <x v="8"/>
    <n v="43888.5"/>
    <x v="1"/>
    <x v="0"/>
    <x v="0"/>
    <x v="0"/>
  </r>
  <r>
    <x v="8"/>
    <x v="8"/>
    <n v="43888.5"/>
    <x v="1"/>
    <x v="0"/>
    <x v="0"/>
    <x v="0"/>
  </r>
  <r>
    <x v="9"/>
    <x v="8"/>
    <n v="31130.1"/>
    <x v="1"/>
    <x v="0"/>
    <x v="0"/>
    <x v="0"/>
  </r>
  <r>
    <x v="10"/>
    <x v="8"/>
    <n v="31130.1"/>
    <x v="1"/>
    <x v="0"/>
    <x v="0"/>
    <x v="0"/>
  </r>
  <r>
    <x v="11"/>
    <x v="8"/>
    <n v="43792.3"/>
    <x v="1"/>
    <x v="0"/>
    <x v="0"/>
    <x v="0"/>
  </r>
  <r>
    <x v="12"/>
    <x v="8"/>
    <n v="43792.3"/>
    <x v="1"/>
    <x v="0"/>
    <x v="0"/>
    <x v="0"/>
  </r>
  <r>
    <x v="13"/>
    <x v="8"/>
    <n v="49731.3"/>
    <x v="1"/>
    <x v="0"/>
    <x v="0"/>
    <x v="0"/>
  </r>
  <r>
    <x v="14"/>
    <x v="8"/>
    <n v="49731.3"/>
    <x v="1"/>
    <x v="0"/>
    <x v="0"/>
    <x v="0"/>
  </r>
  <r>
    <x v="15"/>
    <x v="8"/>
    <n v="49731.3"/>
    <x v="1"/>
    <x v="0"/>
    <x v="0"/>
    <x v="0"/>
  </r>
  <r>
    <x v="0"/>
    <x v="9"/>
    <n v="12547.3"/>
    <x v="1"/>
    <x v="0"/>
    <x v="0"/>
    <x v="0"/>
  </r>
  <r>
    <x v="1"/>
    <x v="9"/>
    <n v="21592.1"/>
    <x v="1"/>
    <x v="0"/>
    <x v="0"/>
    <x v="0"/>
  </r>
  <r>
    <x v="2"/>
    <x v="9"/>
    <n v="21592.1"/>
    <x v="1"/>
    <x v="0"/>
    <x v="0"/>
    <x v="0"/>
  </r>
  <r>
    <x v="3"/>
    <x v="9"/>
    <n v="4666.7700000000004"/>
    <x v="1"/>
    <x v="0"/>
    <x v="0"/>
    <x v="0"/>
  </r>
  <r>
    <x v="4"/>
    <x v="9"/>
    <n v="4666.7700000000004"/>
    <x v="1"/>
    <x v="0"/>
    <x v="0"/>
    <x v="0"/>
  </r>
  <r>
    <x v="5"/>
    <x v="9"/>
    <n v="26517.200000000001"/>
    <x v="1"/>
    <x v="0"/>
    <x v="0"/>
    <x v="0"/>
  </r>
  <r>
    <x v="6"/>
    <x v="9"/>
    <n v="26517.200000000001"/>
    <x v="1"/>
    <x v="0"/>
    <x v="0"/>
    <x v="0"/>
  </r>
  <r>
    <x v="7"/>
    <x v="9"/>
    <n v="26043.599999999999"/>
    <x v="1"/>
    <x v="0"/>
    <x v="0"/>
    <x v="0"/>
  </r>
  <r>
    <x v="8"/>
    <x v="9"/>
    <n v="26043.599999999999"/>
    <x v="1"/>
    <x v="0"/>
    <x v="0"/>
    <x v="0"/>
  </r>
  <r>
    <x v="9"/>
    <x v="9"/>
    <n v="31581"/>
    <x v="1"/>
    <x v="0"/>
    <x v="0"/>
    <x v="0"/>
  </r>
  <r>
    <x v="10"/>
    <x v="9"/>
    <n v="31581"/>
    <x v="1"/>
    <x v="0"/>
    <x v="0"/>
    <x v="0"/>
  </r>
  <r>
    <x v="11"/>
    <x v="9"/>
    <n v="38609.5"/>
    <x v="1"/>
    <x v="0"/>
    <x v="0"/>
    <x v="0"/>
  </r>
  <r>
    <x v="12"/>
    <x v="9"/>
    <n v="38609.5"/>
    <x v="1"/>
    <x v="0"/>
    <x v="0"/>
    <x v="0"/>
  </r>
  <r>
    <x v="13"/>
    <x v="9"/>
    <n v="42066.5"/>
    <x v="1"/>
    <x v="0"/>
    <x v="0"/>
    <x v="0"/>
  </r>
  <r>
    <x v="14"/>
    <x v="9"/>
    <n v="42066.5"/>
    <x v="1"/>
    <x v="0"/>
    <x v="0"/>
    <x v="0"/>
  </r>
  <r>
    <x v="15"/>
    <x v="9"/>
    <n v="42066.5"/>
    <x v="1"/>
    <x v="0"/>
    <x v="0"/>
    <x v="0"/>
  </r>
  <r>
    <x v="0"/>
    <x v="1"/>
    <n v="102.45"/>
    <x v="1"/>
    <x v="0"/>
    <x v="0"/>
    <x v="1"/>
  </r>
  <r>
    <x v="1"/>
    <x v="1"/>
    <n v="9.5"/>
    <x v="1"/>
    <x v="0"/>
    <x v="0"/>
    <x v="1"/>
  </r>
  <r>
    <x v="2"/>
    <x v="1"/>
    <n v="9.5"/>
    <x v="1"/>
    <x v="0"/>
    <x v="0"/>
    <x v="1"/>
  </r>
  <r>
    <x v="3"/>
    <x v="1"/>
    <n v="0"/>
    <x v="1"/>
    <x v="0"/>
    <x v="0"/>
    <x v="1"/>
  </r>
  <r>
    <x v="4"/>
    <x v="1"/>
    <n v="0"/>
    <x v="1"/>
    <x v="0"/>
    <x v="0"/>
    <x v="1"/>
  </r>
  <r>
    <x v="5"/>
    <x v="1"/>
    <n v="0"/>
    <x v="1"/>
    <x v="0"/>
    <x v="0"/>
    <x v="1"/>
  </r>
  <r>
    <x v="6"/>
    <x v="1"/>
    <n v="0"/>
    <x v="1"/>
    <x v="0"/>
    <x v="0"/>
    <x v="1"/>
  </r>
  <r>
    <x v="7"/>
    <x v="1"/>
    <n v="0"/>
    <x v="1"/>
    <x v="0"/>
    <x v="0"/>
    <x v="1"/>
  </r>
  <r>
    <x v="8"/>
    <x v="1"/>
    <n v="0"/>
    <x v="1"/>
    <x v="0"/>
    <x v="0"/>
    <x v="1"/>
  </r>
  <r>
    <x v="9"/>
    <x v="1"/>
    <n v="0"/>
    <x v="1"/>
    <x v="0"/>
    <x v="0"/>
    <x v="1"/>
  </r>
  <r>
    <x v="10"/>
    <x v="1"/>
    <n v="0"/>
    <x v="1"/>
    <x v="0"/>
    <x v="0"/>
    <x v="1"/>
  </r>
  <r>
    <x v="11"/>
    <x v="1"/>
    <n v="0"/>
    <x v="1"/>
    <x v="0"/>
    <x v="0"/>
    <x v="1"/>
  </r>
  <r>
    <x v="12"/>
    <x v="1"/>
    <n v="0"/>
    <x v="1"/>
    <x v="0"/>
    <x v="0"/>
    <x v="1"/>
  </r>
  <r>
    <x v="13"/>
    <x v="1"/>
    <n v="0"/>
    <x v="1"/>
    <x v="0"/>
    <x v="0"/>
    <x v="1"/>
  </r>
  <r>
    <x v="14"/>
    <x v="1"/>
    <n v="0"/>
    <x v="1"/>
    <x v="0"/>
    <x v="0"/>
    <x v="1"/>
  </r>
  <r>
    <x v="15"/>
    <x v="1"/>
    <n v="0"/>
    <x v="1"/>
    <x v="0"/>
    <x v="0"/>
    <x v="1"/>
  </r>
  <r>
    <x v="0"/>
    <x v="2"/>
    <n v="0"/>
    <x v="1"/>
    <x v="0"/>
    <x v="0"/>
    <x v="1"/>
  </r>
  <r>
    <x v="1"/>
    <x v="2"/>
    <n v="0"/>
    <x v="1"/>
    <x v="0"/>
    <x v="0"/>
    <x v="1"/>
  </r>
  <r>
    <x v="2"/>
    <x v="2"/>
    <n v="0"/>
    <x v="1"/>
    <x v="0"/>
    <x v="0"/>
    <x v="1"/>
  </r>
  <r>
    <x v="3"/>
    <x v="2"/>
    <n v="0"/>
    <x v="1"/>
    <x v="0"/>
    <x v="0"/>
    <x v="1"/>
  </r>
  <r>
    <x v="4"/>
    <x v="2"/>
    <n v="0"/>
    <x v="1"/>
    <x v="0"/>
    <x v="0"/>
    <x v="1"/>
  </r>
  <r>
    <x v="5"/>
    <x v="2"/>
    <n v="0"/>
    <x v="1"/>
    <x v="0"/>
    <x v="0"/>
    <x v="1"/>
  </r>
  <r>
    <x v="6"/>
    <x v="2"/>
    <n v="0"/>
    <x v="1"/>
    <x v="0"/>
    <x v="0"/>
    <x v="1"/>
  </r>
  <r>
    <x v="7"/>
    <x v="2"/>
    <n v="0"/>
    <x v="1"/>
    <x v="0"/>
    <x v="0"/>
    <x v="1"/>
  </r>
  <r>
    <x v="8"/>
    <x v="2"/>
    <n v="0"/>
    <x v="1"/>
    <x v="0"/>
    <x v="0"/>
    <x v="1"/>
  </r>
  <r>
    <x v="9"/>
    <x v="2"/>
    <n v="0"/>
    <x v="1"/>
    <x v="0"/>
    <x v="0"/>
    <x v="1"/>
  </r>
  <r>
    <x v="10"/>
    <x v="2"/>
    <n v="0"/>
    <x v="1"/>
    <x v="0"/>
    <x v="0"/>
    <x v="1"/>
  </r>
  <r>
    <x v="11"/>
    <x v="2"/>
    <n v="0"/>
    <x v="1"/>
    <x v="0"/>
    <x v="0"/>
    <x v="1"/>
  </r>
  <r>
    <x v="12"/>
    <x v="2"/>
    <n v="0"/>
    <x v="1"/>
    <x v="0"/>
    <x v="0"/>
    <x v="1"/>
  </r>
  <r>
    <x v="13"/>
    <x v="2"/>
    <n v="0"/>
    <x v="1"/>
    <x v="0"/>
    <x v="0"/>
    <x v="1"/>
  </r>
  <r>
    <x v="14"/>
    <x v="2"/>
    <n v="0"/>
    <x v="1"/>
    <x v="0"/>
    <x v="0"/>
    <x v="1"/>
  </r>
  <r>
    <x v="15"/>
    <x v="2"/>
    <n v="0"/>
    <x v="1"/>
    <x v="0"/>
    <x v="0"/>
    <x v="1"/>
  </r>
  <r>
    <x v="0"/>
    <x v="3"/>
    <n v="11059.73"/>
    <x v="1"/>
    <x v="0"/>
    <x v="0"/>
    <x v="1"/>
  </r>
  <r>
    <x v="1"/>
    <x v="3"/>
    <n v="0"/>
    <x v="1"/>
    <x v="0"/>
    <x v="0"/>
    <x v="1"/>
  </r>
  <r>
    <x v="2"/>
    <x v="3"/>
    <n v="0"/>
    <x v="1"/>
    <x v="0"/>
    <x v="0"/>
    <x v="1"/>
  </r>
  <r>
    <x v="3"/>
    <x v="3"/>
    <n v="0"/>
    <x v="1"/>
    <x v="0"/>
    <x v="0"/>
    <x v="1"/>
  </r>
  <r>
    <x v="4"/>
    <x v="3"/>
    <n v="0"/>
    <x v="1"/>
    <x v="0"/>
    <x v="0"/>
    <x v="1"/>
  </r>
  <r>
    <x v="5"/>
    <x v="3"/>
    <n v="0"/>
    <x v="1"/>
    <x v="0"/>
    <x v="0"/>
    <x v="1"/>
  </r>
  <r>
    <x v="6"/>
    <x v="3"/>
    <n v="0"/>
    <x v="1"/>
    <x v="0"/>
    <x v="0"/>
    <x v="1"/>
  </r>
  <r>
    <x v="7"/>
    <x v="3"/>
    <n v="0"/>
    <x v="1"/>
    <x v="0"/>
    <x v="0"/>
    <x v="1"/>
  </r>
  <r>
    <x v="8"/>
    <x v="3"/>
    <n v="0"/>
    <x v="1"/>
    <x v="0"/>
    <x v="0"/>
    <x v="1"/>
  </r>
  <r>
    <x v="9"/>
    <x v="3"/>
    <n v="0"/>
    <x v="1"/>
    <x v="0"/>
    <x v="0"/>
    <x v="1"/>
  </r>
  <r>
    <x v="10"/>
    <x v="3"/>
    <n v="0"/>
    <x v="1"/>
    <x v="0"/>
    <x v="0"/>
    <x v="1"/>
  </r>
  <r>
    <x v="11"/>
    <x v="3"/>
    <n v="0"/>
    <x v="1"/>
    <x v="0"/>
    <x v="0"/>
    <x v="1"/>
  </r>
  <r>
    <x v="12"/>
    <x v="3"/>
    <n v="0"/>
    <x v="1"/>
    <x v="0"/>
    <x v="0"/>
    <x v="1"/>
  </r>
  <r>
    <x v="13"/>
    <x v="3"/>
    <n v="0"/>
    <x v="1"/>
    <x v="0"/>
    <x v="0"/>
    <x v="1"/>
  </r>
  <r>
    <x v="14"/>
    <x v="3"/>
    <n v="0"/>
    <x v="1"/>
    <x v="0"/>
    <x v="0"/>
    <x v="1"/>
  </r>
  <r>
    <x v="15"/>
    <x v="3"/>
    <n v="0"/>
    <x v="1"/>
    <x v="0"/>
    <x v="0"/>
    <x v="1"/>
  </r>
  <r>
    <x v="0"/>
    <x v="4"/>
    <n v="0"/>
    <x v="1"/>
    <x v="0"/>
    <x v="0"/>
    <x v="1"/>
  </r>
  <r>
    <x v="1"/>
    <x v="4"/>
    <n v="0"/>
    <x v="1"/>
    <x v="0"/>
    <x v="0"/>
    <x v="1"/>
  </r>
  <r>
    <x v="2"/>
    <x v="4"/>
    <n v="0"/>
    <x v="1"/>
    <x v="0"/>
    <x v="0"/>
    <x v="1"/>
  </r>
  <r>
    <x v="3"/>
    <x v="4"/>
    <n v="0"/>
    <x v="1"/>
    <x v="0"/>
    <x v="0"/>
    <x v="1"/>
  </r>
  <r>
    <x v="4"/>
    <x v="4"/>
    <n v="0"/>
    <x v="1"/>
    <x v="0"/>
    <x v="0"/>
    <x v="1"/>
  </r>
  <r>
    <x v="5"/>
    <x v="4"/>
    <n v="0"/>
    <x v="1"/>
    <x v="0"/>
    <x v="0"/>
    <x v="1"/>
  </r>
  <r>
    <x v="6"/>
    <x v="4"/>
    <n v="0"/>
    <x v="1"/>
    <x v="0"/>
    <x v="0"/>
    <x v="1"/>
  </r>
  <r>
    <x v="7"/>
    <x v="4"/>
    <n v="0"/>
    <x v="1"/>
    <x v="0"/>
    <x v="0"/>
    <x v="1"/>
  </r>
  <r>
    <x v="8"/>
    <x v="4"/>
    <n v="0"/>
    <x v="1"/>
    <x v="0"/>
    <x v="0"/>
    <x v="1"/>
  </r>
  <r>
    <x v="9"/>
    <x v="4"/>
    <n v="0"/>
    <x v="1"/>
    <x v="0"/>
    <x v="0"/>
    <x v="1"/>
  </r>
  <r>
    <x v="10"/>
    <x v="4"/>
    <n v="0"/>
    <x v="1"/>
    <x v="0"/>
    <x v="0"/>
    <x v="1"/>
  </r>
  <r>
    <x v="11"/>
    <x v="4"/>
    <n v="0"/>
    <x v="1"/>
    <x v="0"/>
    <x v="0"/>
    <x v="1"/>
  </r>
  <r>
    <x v="12"/>
    <x v="4"/>
    <n v="0"/>
    <x v="1"/>
    <x v="0"/>
    <x v="0"/>
    <x v="1"/>
  </r>
  <r>
    <x v="13"/>
    <x v="4"/>
    <n v="0"/>
    <x v="1"/>
    <x v="0"/>
    <x v="0"/>
    <x v="1"/>
  </r>
  <r>
    <x v="14"/>
    <x v="4"/>
    <n v="0"/>
    <x v="1"/>
    <x v="0"/>
    <x v="0"/>
    <x v="1"/>
  </r>
  <r>
    <x v="15"/>
    <x v="4"/>
    <n v="0"/>
    <x v="1"/>
    <x v="0"/>
    <x v="0"/>
    <x v="1"/>
  </r>
  <r>
    <x v="0"/>
    <x v="5"/>
    <n v="3796.81"/>
    <x v="1"/>
    <x v="0"/>
    <x v="0"/>
    <x v="1"/>
  </r>
  <r>
    <x v="1"/>
    <x v="5"/>
    <n v="1"/>
    <x v="1"/>
    <x v="0"/>
    <x v="0"/>
    <x v="1"/>
  </r>
  <r>
    <x v="2"/>
    <x v="5"/>
    <n v="1"/>
    <x v="1"/>
    <x v="0"/>
    <x v="0"/>
    <x v="1"/>
  </r>
  <r>
    <x v="3"/>
    <x v="5"/>
    <n v="59"/>
    <x v="1"/>
    <x v="0"/>
    <x v="0"/>
    <x v="1"/>
  </r>
  <r>
    <x v="4"/>
    <x v="5"/>
    <n v="59"/>
    <x v="1"/>
    <x v="0"/>
    <x v="0"/>
    <x v="1"/>
  </r>
  <r>
    <x v="5"/>
    <x v="5"/>
    <n v="66.5"/>
    <x v="1"/>
    <x v="0"/>
    <x v="0"/>
    <x v="1"/>
  </r>
  <r>
    <x v="6"/>
    <x v="5"/>
    <n v="66.5"/>
    <x v="1"/>
    <x v="0"/>
    <x v="0"/>
    <x v="1"/>
  </r>
  <r>
    <x v="7"/>
    <x v="5"/>
    <n v="37.895000000000003"/>
    <x v="1"/>
    <x v="0"/>
    <x v="0"/>
    <x v="1"/>
  </r>
  <r>
    <x v="8"/>
    <x v="5"/>
    <n v="37.895000000000003"/>
    <x v="1"/>
    <x v="0"/>
    <x v="0"/>
    <x v="1"/>
  </r>
  <r>
    <x v="9"/>
    <x v="5"/>
    <n v="11.5"/>
    <x v="1"/>
    <x v="0"/>
    <x v="0"/>
    <x v="1"/>
  </r>
  <r>
    <x v="10"/>
    <x v="5"/>
    <n v="11.5"/>
    <x v="1"/>
    <x v="0"/>
    <x v="0"/>
    <x v="1"/>
  </r>
  <r>
    <x v="11"/>
    <x v="5"/>
    <n v="13"/>
    <x v="1"/>
    <x v="0"/>
    <x v="0"/>
    <x v="1"/>
  </r>
  <r>
    <x v="12"/>
    <x v="5"/>
    <n v="13"/>
    <x v="1"/>
    <x v="0"/>
    <x v="0"/>
    <x v="1"/>
  </r>
  <r>
    <x v="13"/>
    <x v="5"/>
    <n v="19.833300000000001"/>
    <x v="1"/>
    <x v="0"/>
    <x v="0"/>
    <x v="1"/>
  </r>
  <r>
    <x v="14"/>
    <x v="5"/>
    <n v="19.833300000000001"/>
    <x v="1"/>
    <x v="0"/>
    <x v="0"/>
    <x v="1"/>
  </r>
  <r>
    <x v="15"/>
    <x v="5"/>
    <n v="19.833300000000001"/>
    <x v="1"/>
    <x v="0"/>
    <x v="0"/>
    <x v="1"/>
  </r>
  <r>
    <x v="0"/>
    <x v="6"/>
    <n v="232.5"/>
    <x v="1"/>
    <x v="0"/>
    <x v="0"/>
    <x v="1"/>
  </r>
  <r>
    <x v="1"/>
    <x v="6"/>
    <n v="1100"/>
    <x v="1"/>
    <x v="0"/>
    <x v="0"/>
    <x v="1"/>
  </r>
  <r>
    <x v="2"/>
    <x v="6"/>
    <n v="1100"/>
    <x v="1"/>
    <x v="0"/>
    <x v="0"/>
    <x v="1"/>
  </r>
  <r>
    <x v="3"/>
    <x v="6"/>
    <n v="0"/>
    <x v="1"/>
    <x v="0"/>
    <x v="0"/>
    <x v="1"/>
  </r>
  <r>
    <x v="4"/>
    <x v="6"/>
    <n v="0"/>
    <x v="1"/>
    <x v="0"/>
    <x v="0"/>
    <x v="1"/>
  </r>
  <r>
    <x v="5"/>
    <x v="6"/>
    <n v="0"/>
    <x v="1"/>
    <x v="0"/>
    <x v="0"/>
    <x v="1"/>
  </r>
  <r>
    <x v="6"/>
    <x v="6"/>
    <n v="0"/>
    <x v="1"/>
    <x v="0"/>
    <x v="0"/>
    <x v="1"/>
  </r>
  <r>
    <x v="7"/>
    <x v="6"/>
    <n v="0"/>
    <x v="1"/>
    <x v="0"/>
    <x v="0"/>
    <x v="1"/>
  </r>
  <r>
    <x v="8"/>
    <x v="6"/>
    <n v="0"/>
    <x v="1"/>
    <x v="0"/>
    <x v="0"/>
    <x v="1"/>
  </r>
  <r>
    <x v="9"/>
    <x v="6"/>
    <n v="0"/>
    <x v="1"/>
    <x v="0"/>
    <x v="0"/>
    <x v="1"/>
  </r>
  <r>
    <x v="10"/>
    <x v="6"/>
    <n v="0"/>
    <x v="1"/>
    <x v="0"/>
    <x v="0"/>
    <x v="1"/>
  </r>
  <r>
    <x v="11"/>
    <x v="6"/>
    <n v="0"/>
    <x v="1"/>
    <x v="0"/>
    <x v="0"/>
    <x v="1"/>
  </r>
  <r>
    <x v="12"/>
    <x v="6"/>
    <n v="0"/>
    <x v="1"/>
    <x v="0"/>
    <x v="0"/>
    <x v="1"/>
  </r>
  <r>
    <x v="13"/>
    <x v="6"/>
    <n v="0"/>
    <x v="1"/>
    <x v="0"/>
    <x v="0"/>
    <x v="1"/>
  </r>
  <r>
    <x v="14"/>
    <x v="6"/>
    <n v="0"/>
    <x v="1"/>
    <x v="0"/>
    <x v="0"/>
    <x v="1"/>
  </r>
  <r>
    <x v="15"/>
    <x v="6"/>
    <n v="0"/>
    <x v="1"/>
    <x v="0"/>
    <x v="0"/>
    <x v="1"/>
  </r>
  <r>
    <x v="0"/>
    <x v="7"/>
    <n v="14.85"/>
    <x v="1"/>
    <x v="0"/>
    <x v="0"/>
    <x v="1"/>
  </r>
  <r>
    <x v="1"/>
    <x v="7"/>
    <n v="0"/>
    <x v="1"/>
    <x v="0"/>
    <x v="0"/>
    <x v="1"/>
  </r>
  <r>
    <x v="2"/>
    <x v="7"/>
    <n v="0"/>
    <x v="1"/>
    <x v="0"/>
    <x v="0"/>
    <x v="1"/>
  </r>
  <r>
    <x v="3"/>
    <x v="7"/>
    <n v="0"/>
    <x v="1"/>
    <x v="0"/>
    <x v="0"/>
    <x v="1"/>
  </r>
  <r>
    <x v="4"/>
    <x v="7"/>
    <n v="0"/>
    <x v="1"/>
    <x v="0"/>
    <x v="0"/>
    <x v="1"/>
  </r>
  <r>
    <x v="5"/>
    <x v="7"/>
    <n v="0"/>
    <x v="1"/>
    <x v="0"/>
    <x v="0"/>
    <x v="1"/>
  </r>
  <r>
    <x v="6"/>
    <x v="7"/>
    <n v="0"/>
    <x v="1"/>
    <x v="0"/>
    <x v="0"/>
    <x v="1"/>
  </r>
  <r>
    <x v="7"/>
    <x v="7"/>
    <n v="0"/>
    <x v="1"/>
    <x v="0"/>
    <x v="0"/>
    <x v="1"/>
  </r>
  <r>
    <x v="8"/>
    <x v="7"/>
    <n v="0"/>
    <x v="1"/>
    <x v="0"/>
    <x v="0"/>
    <x v="1"/>
  </r>
  <r>
    <x v="9"/>
    <x v="7"/>
    <n v="0"/>
    <x v="1"/>
    <x v="0"/>
    <x v="0"/>
    <x v="1"/>
  </r>
  <r>
    <x v="10"/>
    <x v="7"/>
    <n v="0"/>
    <x v="1"/>
    <x v="0"/>
    <x v="0"/>
    <x v="1"/>
  </r>
  <r>
    <x v="11"/>
    <x v="7"/>
    <n v="0"/>
    <x v="1"/>
    <x v="0"/>
    <x v="0"/>
    <x v="1"/>
  </r>
  <r>
    <x v="12"/>
    <x v="7"/>
    <n v="0"/>
    <x v="1"/>
    <x v="0"/>
    <x v="0"/>
    <x v="1"/>
  </r>
  <r>
    <x v="13"/>
    <x v="7"/>
    <n v="0"/>
    <x v="1"/>
    <x v="0"/>
    <x v="0"/>
    <x v="1"/>
  </r>
  <r>
    <x v="14"/>
    <x v="7"/>
    <n v="0"/>
    <x v="1"/>
    <x v="0"/>
    <x v="0"/>
    <x v="1"/>
  </r>
  <r>
    <x v="15"/>
    <x v="7"/>
    <n v="0"/>
    <x v="1"/>
    <x v="0"/>
    <x v="0"/>
    <x v="1"/>
  </r>
  <r>
    <x v="0"/>
    <x v="8"/>
    <n v="13026.4"/>
    <x v="1"/>
    <x v="0"/>
    <x v="0"/>
    <x v="1"/>
  </r>
  <r>
    <x v="1"/>
    <x v="8"/>
    <n v="32983.599999999999"/>
    <x v="1"/>
    <x v="0"/>
    <x v="0"/>
    <x v="1"/>
  </r>
  <r>
    <x v="2"/>
    <x v="8"/>
    <n v="32983.599999999999"/>
    <x v="1"/>
    <x v="0"/>
    <x v="0"/>
    <x v="1"/>
  </r>
  <r>
    <x v="3"/>
    <x v="8"/>
    <n v="30498.799999999999"/>
    <x v="1"/>
    <x v="0"/>
    <x v="0"/>
    <x v="1"/>
  </r>
  <r>
    <x v="4"/>
    <x v="8"/>
    <n v="30498.799999999999"/>
    <x v="1"/>
    <x v="0"/>
    <x v="0"/>
    <x v="1"/>
  </r>
  <r>
    <x v="5"/>
    <x v="8"/>
    <n v="21718.2"/>
    <x v="1"/>
    <x v="0"/>
    <x v="0"/>
    <x v="1"/>
  </r>
  <r>
    <x v="6"/>
    <x v="8"/>
    <n v="21718.2"/>
    <x v="1"/>
    <x v="0"/>
    <x v="0"/>
    <x v="1"/>
  </r>
  <r>
    <x v="7"/>
    <x v="8"/>
    <n v="30857.200000000001"/>
    <x v="1"/>
    <x v="0"/>
    <x v="0"/>
    <x v="1"/>
  </r>
  <r>
    <x v="8"/>
    <x v="8"/>
    <n v="30857.200000000001"/>
    <x v="1"/>
    <x v="0"/>
    <x v="0"/>
    <x v="1"/>
  </r>
  <r>
    <x v="9"/>
    <x v="8"/>
    <n v="31380.400000000001"/>
    <x v="1"/>
    <x v="0"/>
    <x v="0"/>
    <x v="1"/>
  </r>
  <r>
    <x v="10"/>
    <x v="8"/>
    <n v="31380.400000000001"/>
    <x v="1"/>
    <x v="0"/>
    <x v="0"/>
    <x v="1"/>
  </r>
  <r>
    <x v="11"/>
    <x v="8"/>
    <n v="15860.9"/>
    <x v="1"/>
    <x v="0"/>
    <x v="0"/>
    <x v="1"/>
  </r>
  <r>
    <x v="12"/>
    <x v="8"/>
    <n v="15860.9"/>
    <x v="1"/>
    <x v="0"/>
    <x v="0"/>
    <x v="1"/>
  </r>
  <r>
    <x v="13"/>
    <x v="8"/>
    <n v="32889.199999999997"/>
    <x v="1"/>
    <x v="0"/>
    <x v="0"/>
    <x v="1"/>
  </r>
  <r>
    <x v="14"/>
    <x v="8"/>
    <n v="32889.199999999997"/>
    <x v="1"/>
    <x v="0"/>
    <x v="0"/>
    <x v="1"/>
  </r>
  <r>
    <x v="15"/>
    <x v="8"/>
    <n v="32889.199999999997"/>
    <x v="1"/>
    <x v="0"/>
    <x v="0"/>
    <x v="1"/>
  </r>
  <r>
    <x v="0"/>
    <x v="9"/>
    <n v="13350.8"/>
    <x v="1"/>
    <x v="0"/>
    <x v="0"/>
    <x v="1"/>
  </r>
  <r>
    <x v="1"/>
    <x v="9"/>
    <n v="25891"/>
    <x v="1"/>
    <x v="0"/>
    <x v="0"/>
    <x v="1"/>
  </r>
  <r>
    <x v="2"/>
    <x v="9"/>
    <n v="25891"/>
    <x v="1"/>
    <x v="0"/>
    <x v="0"/>
    <x v="1"/>
  </r>
  <r>
    <x v="3"/>
    <x v="9"/>
    <n v="21768.3"/>
    <x v="1"/>
    <x v="0"/>
    <x v="0"/>
    <x v="1"/>
  </r>
  <r>
    <x v="4"/>
    <x v="9"/>
    <n v="21768.3"/>
    <x v="1"/>
    <x v="0"/>
    <x v="0"/>
    <x v="1"/>
  </r>
  <r>
    <x v="5"/>
    <x v="9"/>
    <n v="36012"/>
    <x v="1"/>
    <x v="0"/>
    <x v="0"/>
    <x v="1"/>
  </r>
  <r>
    <x v="6"/>
    <x v="9"/>
    <n v="36012"/>
    <x v="1"/>
    <x v="0"/>
    <x v="0"/>
    <x v="1"/>
  </r>
  <r>
    <x v="7"/>
    <x v="9"/>
    <n v="33005.5"/>
    <x v="1"/>
    <x v="0"/>
    <x v="0"/>
    <x v="1"/>
  </r>
  <r>
    <x v="8"/>
    <x v="9"/>
    <n v="33005.5"/>
    <x v="1"/>
    <x v="0"/>
    <x v="0"/>
    <x v="1"/>
  </r>
  <r>
    <x v="9"/>
    <x v="9"/>
    <n v="32996.400000000001"/>
    <x v="1"/>
    <x v="0"/>
    <x v="0"/>
    <x v="1"/>
  </r>
  <r>
    <x v="10"/>
    <x v="9"/>
    <n v="32996.400000000001"/>
    <x v="1"/>
    <x v="0"/>
    <x v="0"/>
    <x v="1"/>
  </r>
  <r>
    <x v="11"/>
    <x v="9"/>
    <n v="55468.3"/>
    <x v="1"/>
    <x v="0"/>
    <x v="0"/>
    <x v="1"/>
  </r>
  <r>
    <x v="12"/>
    <x v="9"/>
    <n v="55468.3"/>
    <x v="1"/>
    <x v="0"/>
    <x v="0"/>
    <x v="1"/>
  </r>
  <r>
    <x v="13"/>
    <x v="9"/>
    <n v="53885.9"/>
    <x v="1"/>
    <x v="0"/>
    <x v="0"/>
    <x v="1"/>
  </r>
  <r>
    <x v="14"/>
    <x v="9"/>
    <n v="53885.9"/>
    <x v="1"/>
    <x v="0"/>
    <x v="0"/>
    <x v="1"/>
  </r>
  <r>
    <x v="15"/>
    <x v="9"/>
    <n v="53885.9"/>
    <x v="1"/>
    <x v="0"/>
    <x v="0"/>
    <x v="1"/>
  </r>
  <r>
    <x v="0"/>
    <x v="1"/>
    <n v="102.45"/>
    <x v="1"/>
    <x v="0"/>
    <x v="0"/>
    <x v="2"/>
  </r>
  <r>
    <x v="1"/>
    <x v="1"/>
    <n v="9.5"/>
    <x v="1"/>
    <x v="0"/>
    <x v="0"/>
    <x v="2"/>
  </r>
  <r>
    <x v="2"/>
    <x v="1"/>
    <n v="9.5"/>
    <x v="1"/>
    <x v="0"/>
    <x v="0"/>
    <x v="2"/>
  </r>
  <r>
    <x v="3"/>
    <x v="1"/>
    <n v="0"/>
    <x v="1"/>
    <x v="0"/>
    <x v="0"/>
    <x v="2"/>
  </r>
  <r>
    <x v="4"/>
    <x v="1"/>
    <n v="0"/>
    <x v="1"/>
    <x v="0"/>
    <x v="0"/>
    <x v="2"/>
  </r>
  <r>
    <x v="5"/>
    <x v="1"/>
    <n v="0"/>
    <x v="1"/>
    <x v="0"/>
    <x v="0"/>
    <x v="2"/>
  </r>
  <r>
    <x v="6"/>
    <x v="1"/>
    <n v="0"/>
    <x v="1"/>
    <x v="0"/>
    <x v="0"/>
    <x v="2"/>
  </r>
  <r>
    <x v="7"/>
    <x v="1"/>
    <n v="0"/>
    <x v="1"/>
    <x v="0"/>
    <x v="0"/>
    <x v="2"/>
  </r>
  <r>
    <x v="8"/>
    <x v="1"/>
    <n v="0"/>
    <x v="1"/>
    <x v="0"/>
    <x v="0"/>
    <x v="2"/>
  </r>
  <r>
    <x v="9"/>
    <x v="1"/>
    <n v="0"/>
    <x v="1"/>
    <x v="0"/>
    <x v="0"/>
    <x v="2"/>
  </r>
  <r>
    <x v="10"/>
    <x v="1"/>
    <n v="0"/>
    <x v="1"/>
    <x v="0"/>
    <x v="0"/>
    <x v="2"/>
  </r>
  <r>
    <x v="11"/>
    <x v="1"/>
    <n v="0"/>
    <x v="1"/>
    <x v="0"/>
    <x v="0"/>
    <x v="2"/>
  </r>
  <r>
    <x v="12"/>
    <x v="1"/>
    <n v="0"/>
    <x v="1"/>
    <x v="0"/>
    <x v="0"/>
    <x v="2"/>
  </r>
  <r>
    <x v="13"/>
    <x v="1"/>
    <n v="0"/>
    <x v="1"/>
    <x v="0"/>
    <x v="0"/>
    <x v="2"/>
  </r>
  <r>
    <x v="14"/>
    <x v="1"/>
    <n v="0"/>
    <x v="1"/>
    <x v="0"/>
    <x v="0"/>
    <x v="2"/>
  </r>
  <r>
    <x v="15"/>
    <x v="1"/>
    <n v="0"/>
    <x v="1"/>
    <x v="0"/>
    <x v="0"/>
    <x v="2"/>
  </r>
  <r>
    <x v="0"/>
    <x v="2"/>
    <n v="0"/>
    <x v="1"/>
    <x v="0"/>
    <x v="0"/>
    <x v="2"/>
  </r>
  <r>
    <x v="1"/>
    <x v="2"/>
    <n v="0"/>
    <x v="1"/>
    <x v="0"/>
    <x v="0"/>
    <x v="2"/>
  </r>
  <r>
    <x v="2"/>
    <x v="2"/>
    <n v="0"/>
    <x v="1"/>
    <x v="0"/>
    <x v="0"/>
    <x v="2"/>
  </r>
  <r>
    <x v="3"/>
    <x v="2"/>
    <n v="0"/>
    <x v="1"/>
    <x v="0"/>
    <x v="0"/>
    <x v="2"/>
  </r>
  <r>
    <x v="4"/>
    <x v="2"/>
    <n v="0"/>
    <x v="1"/>
    <x v="0"/>
    <x v="0"/>
    <x v="2"/>
  </r>
  <r>
    <x v="5"/>
    <x v="2"/>
    <n v="0"/>
    <x v="1"/>
    <x v="0"/>
    <x v="0"/>
    <x v="2"/>
  </r>
  <r>
    <x v="6"/>
    <x v="2"/>
    <n v="0"/>
    <x v="1"/>
    <x v="0"/>
    <x v="0"/>
    <x v="2"/>
  </r>
  <r>
    <x v="7"/>
    <x v="2"/>
    <n v="0"/>
    <x v="1"/>
    <x v="0"/>
    <x v="0"/>
    <x v="2"/>
  </r>
  <r>
    <x v="8"/>
    <x v="2"/>
    <n v="0"/>
    <x v="1"/>
    <x v="0"/>
    <x v="0"/>
    <x v="2"/>
  </r>
  <r>
    <x v="9"/>
    <x v="2"/>
    <n v="0"/>
    <x v="1"/>
    <x v="0"/>
    <x v="0"/>
    <x v="2"/>
  </r>
  <r>
    <x v="10"/>
    <x v="2"/>
    <n v="0"/>
    <x v="1"/>
    <x v="0"/>
    <x v="0"/>
    <x v="2"/>
  </r>
  <r>
    <x v="11"/>
    <x v="2"/>
    <n v="0"/>
    <x v="1"/>
    <x v="0"/>
    <x v="0"/>
    <x v="2"/>
  </r>
  <r>
    <x v="12"/>
    <x v="2"/>
    <n v="0"/>
    <x v="1"/>
    <x v="0"/>
    <x v="0"/>
    <x v="2"/>
  </r>
  <r>
    <x v="13"/>
    <x v="2"/>
    <n v="0"/>
    <x v="1"/>
    <x v="0"/>
    <x v="0"/>
    <x v="2"/>
  </r>
  <r>
    <x v="14"/>
    <x v="2"/>
    <n v="0"/>
    <x v="1"/>
    <x v="0"/>
    <x v="0"/>
    <x v="2"/>
  </r>
  <r>
    <x v="15"/>
    <x v="2"/>
    <n v="0"/>
    <x v="1"/>
    <x v="0"/>
    <x v="0"/>
    <x v="2"/>
  </r>
  <r>
    <x v="0"/>
    <x v="3"/>
    <n v="11059.73"/>
    <x v="1"/>
    <x v="0"/>
    <x v="0"/>
    <x v="2"/>
  </r>
  <r>
    <x v="1"/>
    <x v="3"/>
    <n v="0"/>
    <x v="1"/>
    <x v="0"/>
    <x v="0"/>
    <x v="2"/>
  </r>
  <r>
    <x v="2"/>
    <x v="3"/>
    <n v="0"/>
    <x v="1"/>
    <x v="0"/>
    <x v="0"/>
    <x v="2"/>
  </r>
  <r>
    <x v="3"/>
    <x v="3"/>
    <n v="0"/>
    <x v="1"/>
    <x v="0"/>
    <x v="0"/>
    <x v="2"/>
  </r>
  <r>
    <x v="4"/>
    <x v="3"/>
    <n v="0"/>
    <x v="1"/>
    <x v="0"/>
    <x v="0"/>
    <x v="2"/>
  </r>
  <r>
    <x v="5"/>
    <x v="3"/>
    <n v="0"/>
    <x v="1"/>
    <x v="0"/>
    <x v="0"/>
    <x v="2"/>
  </r>
  <r>
    <x v="6"/>
    <x v="3"/>
    <n v="0"/>
    <x v="1"/>
    <x v="0"/>
    <x v="0"/>
    <x v="2"/>
  </r>
  <r>
    <x v="7"/>
    <x v="3"/>
    <n v="0"/>
    <x v="1"/>
    <x v="0"/>
    <x v="0"/>
    <x v="2"/>
  </r>
  <r>
    <x v="8"/>
    <x v="3"/>
    <n v="0"/>
    <x v="1"/>
    <x v="0"/>
    <x v="0"/>
    <x v="2"/>
  </r>
  <r>
    <x v="9"/>
    <x v="3"/>
    <n v="0"/>
    <x v="1"/>
    <x v="0"/>
    <x v="0"/>
    <x v="2"/>
  </r>
  <r>
    <x v="10"/>
    <x v="3"/>
    <n v="0"/>
    <x v="1"/>
    <x v="0"/>
    <x v="0"/>
    <x v="2"/>
  </r>
  <r>
    <x v="11"/>
    <x v="3"/>
    <n v="0"/>
    <x v="1"/>
    <x v="0"/>
    <x v="0"/>
    <x v="2"/>
  </r>
  <r>
    <x v="12"/>
    <x v="3"/>
    <n v="0"/>
    <x v="1"/>
    <x v="0"/>
    <x v="0"/>
    <x v="2"/>
  </r>
  <r>
    <x v="13"/>
    <x v="3"/>
    <n v="0"/>
    <x v="1"/>
    <x v="0"/>
    <x v="0"/>
    <x v="2"/>
  </r>
  <r>
    <x v="14"/>
    <x v="3"/>
    <n v="0"/>
    <x v="1"/>
    <x v="0"/>
    <x v="0"/>
    <x v="2"/>
  </r>
  <r>
    <x v="15"/>
    <x v="3"/>
    <n v="0"/>
    <x v="1"/>
    <x v="0"/>
    <x v="0"/>
    <x v="2"/>
  </r>
  <r>
    <x v="0"/>
    <x v="4"/>
    <n v="0"/>
    <x v="1"/>
    <x v="0"/>
    <x v="0"/>
    <x v="2"/>
  </r>
  <r>
    <x v="1"/>
    <x v="4"/>
    <n v="0"/>
    <x v="1"/>
    <x v="0"/>
    <x v="0"/>
    <x v="2"/>
  </r>
  <r>
    <x v="2"/>
    <x v="4"/>
    <n v="0"/>
    <x v="1"/>
    <x v="0"/>
    <x v="0"/>
    <x v="2"/>
  </r>
  <r>
    <x v="3"/>
    <x v="4"/>
    <n v="0"/>
    <x v="1"/>
    <x v="0"/>
    <x v="0"/>
    <x v="2"/>
  </r>
  <r>
    <x v="4"/>
    <x v="4"/>
    <n v="0"/>
    <x v="1"/>
    <x v="0"/>
    <x v="0"/>
    <x v="2"/>
  </r>
  <r>
    <x v="5"/>
    <x v="4"/>
    <n v="0"/>
    <x v="1"/>
    <x v="0"/>
    <x v="0"/>
    <x v="2"/>
  </r>
  <r>
    <x v="6"/>
    <x v="4"/>
    <n v="0"/>
    <x v="1"/>
    <x v="0"/>
    <x v="0"/>
    <x v="2"/>
  </r>
  <r>
    <x v="7"/>
    <x v="4"/>
    <n v="0"/>
    <x v="1"/>
    <x v="0"/>
    <x v="0"/>
    <x v="2"/>
  </r>
  <r>
    <x v="8"/>
    <x v="4"/>
    <n v="0"/>
    <x v="1"/>
    <x v="0"/>
    <x v="0"/>
    <x v="2"/>
  </r>
  <r>
    <x v="9"/>
    <x v="4"/>
    <n v="0"/>
    <x v="1"/>
    <x v="0"/>
    <x v="0"/>
    <x v="2"/>
  </r>
  <r>
    <x v="10"/>
    <x v="4"/>
    <n v="0"/>
    <x v="1"/>
    <x v="0"/>
    <x v="0"/>
    <x v="2"/>
  </r>
  <r>
    <x v="11"/>
    <x v="4"/>
    <n v="0"/>
    <x v="1"/>
    <x v="0"/>
    <x v="0"/>
    <x v="2"/>
  </r>
  <r>
    <x v="12"/>
    <x v="4"/>
    <n v="0"/>
    <x v="1"/>
    <x v="0"/>
    <x v="0"/>
    <x v="2"/>
  </r>
  <r>
    <x v="13"/>
    <x v="4"/>
    <n v="0"/>
    <x v="1"/>
    <x v="0"/>
    <x v="0"/>
    <x v="2"/>
  </r>
  <r>
    <x v="14"/>
    <x v="4"/>
    <n v="0"/>
    <x v="1"/>
    <x v="0"/>
    <x v="0"/>
    <x v="2"/>
  </r>
  <r>
    <x v="15"/>
    <x v="4"/>
    <n v="0"/>
    <x v="1"/>
    <x v="0"/>
    <x v="0"/>
    <x v="2"/>
  </r>
  <r>
    <x v="0"/>
    <x v="5"/>
    <n v="2787.01"/>
    <x v="1"/>
    <x v="0"/>
    <x v="0"/>
    <x v="2"/>
  </r>
  <r>
    <x v="1"/>
    <x v="5"/>
    <n v="0.5"/>
    <x v="1"/>
    <x v="0"/>
    <x v="0"/>
    <x v="2"/>
  </r>
  <r>
    <x v="2"/>
    <x v="5"/>
    <n v="0.5"/>
    <x v="1"/>
    <x v="0"/>
    <x v="0"/>
    <x v="2"/>
  </r>
  <r>
    <x v="3"/>
    <x v="5"/>
    <n v="31.5"/>
    <x v="1"/>
    <x v="0"/>
    <x v="0"/>
    <x v="2"/>
  </r>
  <r>
    <x v="4"/>
    <x v="5"/>
    <n v="31.5"/>
    <x v="1"/>
    <x v="0"/>
    <x v="0"/>
    <x v="2"/>
  </r>
  <r>
    <x v="5"/>
    <x v="5"/>
    <n v="16.149999999999999"/>
    <x v="1"/>
    <x v="0"/>
    <x v="0"/>
    <x v="2"/>
  </r>
  <r>
    <x v="6"/>
    <x v="5"/>
    <n v="16.149999999999999"/>
    <x v="1"/>
    <x v="0"/>
    <x v="0"/>
    <x v="2"/>
  </r>
  <r>
    <x v="7"/>
    <x v="5"/>
    <n v="4"/>
    <x v="1"/>
    <x v="0"/>
    <x v="0"/>
    <x v="2"/>
  </r>
  <r>
    <x v="8"/>
    <x v="5"/>
    <n v="4"/>
    <x v="1"/>
    <x v="0"/>
    <x v="0"/>
    <x v="2"/>
  </r>
  <r>
    <x v="9"/>
    <x v="5"/>
    <n v="88.394999999999996"/>
    <x v="1"/>
    <x v="0"/>
    <x v="0"/>
    <x v="2"/>
  </r>
  <r>
    <x v="10"/>
    <x v="5"/>
    <n v="88.394999999999996"/>
    <x v="1"/>
    <x v="0"/>
    <x v="0"/>
    <x v="2"/>
  </r>
  <r>
    <x v="11"/>
    <x v="5"/>
    <n v="39"/>
    <x v="1"/>
    <x v="0"/>
    <x v="0"/>
    <x v="2"/>
  </r>
  <r>
    <x v="12"/>
    <x v="5"/>
    <n v="39"/>
    <x v="1"/>
    <x v="0"/>
    <x v="0"/>
    <x v="2"/>
  </r>
  <r>
    <x v="13"/>
    <x v="5"/>
    <n v="8"/>
    <x v="1"/>
    <x v="0"/>
    <x v="0"/>
    <x v="2"/>
  </r>
  <r>
    <x v="14"/>
    <x v="5"/>
    <n v="8"/>
    <x v="1"/>
    <x v="0"/>
    <x v="0"/>
    <x v="2"/>
  </r>
  <r>
    <x v="15"/>
    <x v="5"/>
    <n v="8"/>
    <x v="1"/>
    <x v="0"/>
    <x v="0"/>
    <x v="2"/>
  </r>
  <r>
    <x v="0"/>
    <x v="6"/>
    <n v="232.5"/>
    <x v="1"/>
    <x v="0"/>
    <x v="0"/>
    <x v="2"/>
  </r>
  <r>
    <x v="1"/>
    <x v="6"/>
    <n v="1100"/>
    <x v="1"/>
    <x v="0"/>
    <x v="0"/>
    <x v="2"/>
  </r>
  <r>
    <x v="2"/>
    <x v="6"/>
    <n v="1100"/>
    <x v="1"/>
    <x v="0"/>
    <x v="0"/>
    <x v="2"/>
  </r>
  <r>
    <x v="3"/>
    <x v="6"/>
    <n v="0"/>
    <x v="1"/>
    <x v="0"/>
    <x v="0"/>
    <x v="2"/>
  </r>
  <r>
    <x v="4"/>
    <x v="6"/>
    <n v="0"/>
    <x v="1"/>
    <x v="0"/>
    <x v="0"/>
    <x v="2"/>
  </r>
  <r>
    <x v="5"/>
    <x v="6"/>
    <n v="0"/>
    <x v="1"/>
    <x v="0"/>
    <x v="0"/>
    <x v="2"/>
  </r>
  <r>
    <x v="6"/>
    <x v="6"/>
    <n v="0"/>
    <x v="1"/>
    <x v="0"/>
    <x v="0"/>
    <x v="2"/>
  </r>
  <r>
    <x v="7"/>
    <x v="6"/>
    <n v="0"/>
    <x v="1"/>
    <x v="0"/>
    <x v="0"/>
    <x v="2"/>
  </r>
  <r>
    <x v="8"/>
    <x v="6"/>
    <n v="0"/>
    <x v="1"/>
    <x v="0"/>
    <x v="0"/>
    <x v="2"/>
  </r>
  <r>
    <x v="9"/>
    <x v="6"/>
    <n v="0"/>
    <x v="1"/>
    <x v="0"/>
    <x v="0"/>
    <x v="2"/>
  </r>
  <r>
    <x v="10"/>
    <x v="6"/>
    <n v="0"/>
    <x v="1"/>
    <x v="0"/>
    <x v="0"/>
    <x v="2"/>
  </r>
  <r>
    <x v="11"/>
    <x v="6"/>
    <n v="0"/>
    <x v="1"/>
    <x v="0"/>
    <x v="0"/>
    <x v="2"/>
  </r>
  <r>
    <x v="12"/>
    <x v="6"/>
    <n v="0"/>
    <x v="1"/>
    <x v="0"/>
    <x v="0"/>
    <x v="2"/>
  </r>
  <r>
    <x v="13"/>
    <x v="6"/>
    <n v="0"/>
    <x v="1"/>
    <x v="0"/>
    <x v="0"/>
    <x v="2"/>
  </r>
  <r>
    <x v="14"/>
    <x v="6"/>
    <n v="0"/>
    <x v="1"/>
    <x v="0"/>
    <x v="0"/>
    <x v="2"/>
  </r>
  <r>
    <x v="15"/>
    <x v="6"/>
    <n v="0"/>
    <x v="1"/>
    <x v="0"/>
    <x v="0"/>
    <x v="2"/>
  </r>
  <r>
    <x v="0"/>
    <x v="7"/>
    <n v="14.85"/>
    <x v="1"/>
    <x v="0"/>
    <x v="0"/>
    <x v="2"/>
  </r>
  <r>
    <x v="1"/>
    <x v="7"/>
    <n v="0"/>
    <x v="1"/>
    <x v="0"/>
    <x v="0"/>
    <x v="2"/>
  </r>
  <r>
    <x v="2"/>
    <x v="7"/>
    <n v="0"/>
    <x v="1"/>
    <x v="0"/>
    <x v="0"/>
    <x v="2"/>
  </r>
  <r>
    <x v="3"/>
    <x v="7"/>
    <n v="0"/>
    <x v="1"/>
    <x v="0"/>
    <x v="0"/>
    <x v="2"/>
  </r>
  <r>
    <x v="4"/>
    <x v="7"/>
    <n v="0"/>
    <x v="1"/>
    <x v="0"/>
    <x v="0"/>
    <x v="2"/>
  </r>
  <r>
    <x v="5"/>
    <x v="7"/>
    <n v="0"/>
    <x v="1"/>
    <x v="0"/>
    <x v="0"/>
    <x v="2"/>
  </r>
  <r>
    <x v="6"/>
    <x v="7"/>
    <n v="0"/>
    <x v="1"/>
    <x v="0"/>
    <x v="0"/>
    <x v="2"/>
  </r>
  <r>
    <x v="7"/>
    <x v="7"/>
    <n v="0"/>
    <x v="1"/>
    <x v="0"/>
    <x v="0"/>
    <x v="2"/>
  </r>
  <r>
    <x v="8"/>
    <x v="7"/>
    <n v="0"/>
    <x v="1"/>
    <x v="0"/>
    <x v="0"/>
    <x v="2"/>
  </r>
  <r>
    <x v="9"/>
    <x v="7"/>
    <n v="0"/>
    <x v="1"/>
    <x v="0"/>
    <x v="0"/>
    <x v="2"/>
  </r>
  <r>
    <x v="10"/>
    <x v="7"/>
    <n v="0"/>
    <x v="1"/>
    <x v="0"/>
    <x v="0"/>
    <x v="2"/>
  </r>
  <r>
    <x v="11"/>
    <x v="7"/>
    <n v="0"/>
    <x v="1"/>
    <x v="0"/>
    <x v="0"/>
    <x v="2"/>
  </r>
  <r>
    <x v="12"/>
    <x v="7"/>
    <n v="0"/>
    <x v="1"/>
    <x v="0"/>
    <x v="0"/>
    <x v="2"/>
  </r>
  <r>
    <x v="13"/>
    <x v="7"/>
    <n v="0"/>
    <x v="1"/>
    <x v="0"/>
    <x v="0"/>
    <x v="2"/>
  </r>
  <r>
    <x v="14"/>
    <x v="7"/>
    <n v="0"/>
    <x v="1"/>
    <x v="0"/>
    <x v="0"/>
    <x v="2"/>
  </r>
  <r>
    <x v="15"/>
    <x v="7"/>
    <n v="0"/>
    <x v="1"/>
    <x v="0"/>
    <x v="0"/>
    <x v="2"/>
  </r>
  <r>
    <x v="0"/>
    <x v="8"/>
    <n v="17721.7"/>
    <x v="1"/>
    <x v="0"/>
    <x v="0"/>
    <x v="2"/>
  </r>
  <r>
    <x v="1"/>
    <x v="8"/>
    <n v="35295.300000000003"/>
    <x v="1"/>
    <x v="0"/>
    <x v="0"/>
    <x v="2"/>
  </r>
  <r>
    <x v="2"/>
    <x v="8"/>
    <n v="35295.300000000003"/>
    <x v="1"/>
    <x v="0"/>
    <x v="0"/>
    <x v="2"/>
  </r>
  <r>
    <x v="3"/>
    <x v="8"/>
    <n v="55646.5"/>
    <x v="1"/>
    <x v="0"/>
    <x v="0"/>
    <x v="2"/>
  </r>
  <r>
    <x v="4"/>
    <x v="8"/>
    <n v="55646.5"/>
    <x v="1"/>
    <x v="0"/>
    <x v="0"/>
    <x v="2"/>
  </r>
  <r>
    <x v="5"/>
    <x v="8"/>
    <n v="28103.599999999999"/>
    <x v="1"/>
    <x v="0"/>
    <x v="0"/>
    <x v="2"/>
  </r>
  <r>
    <x v="6"/>
    <x v="8"/>
    <n v="28103.599999999999"/>
    <x v="1"/>
    <x v="0"/>
    <x v="0"/>
    <x v="2"/>
  </r>
  <r>
    <x v="7"/>
    <x v="8"/>
    <n v="33591"/>
    <x v="1"/>
    <x v="0"/>
    <x v="0"/>
    <x v="2"/>
  </r>
  <r>
    <x v="8"/>
    <x v="8"/>
    <n v="33591"/>
    <x v="1"/>
    <x v="0"/>
    <x v="0"/>
    <x v="2"/>
  </r>
  <r>
    <x v="9"/>
    <x v="8"/>
    <n v="23856.1"/>
    <x v="1"/>
    <x v="0"/>
    <x v="0"/>
    <x v="2"/>
  </r>
  <r>
    <x v="10"/>
    <x v="8"/>
    <n v="23856.1"/>
    <x v="1"/>
    <x v="0"/>
    <x v="0"/>
    <x v="2"/>
  </r>
  <r>
    <x v="11"/>
    <x v="8"/>
    <n v="20053"/>
    <x v="1"/>
    <x v="0"/>
    <x v="0"/>
    <x v="2"/>
  </r>
  <r>
    <x v="12"/>
    <x v="8"/>
    <n v="20053"/>
    <x v="1"/>
    <x v="0"/>
    <x v="0"/>
    <x v="2"/>
  </r>
  <r>
    <x v="13"/>
    <x v="8"/>
    <n v="31495.7"/>
    <x v="1"/>
    <x v="0"/>
    <x v="0"/>
    <x v="2"/>
  </r>
  <r>
    <x v="14"/>
    <x v="8"/>
    <n v="31495.7"/>
    <x v="1"/>
    <x v="0"/>
    <x v="0"/>
    <x v="2"/>
  </r>
  <r>
    <x v="15"/>
    <x v="8"/>
    <n v="31495.7"/>
    <x v="1"/>
    <x v="0"/>
    <x v="0"/>
    <x v="2"/>
  </r>
  <r>
    <x v="0"/>
    <x v="9"/>
    <n v="12528.9"/>
    <x v="1"/>
    <x v="0"/>
    <x v="0"/>
    <x v="2"/>
  </r>
  <r>
    <x v="1"/>
    <x v="9"/>
    <n v="22871.9"/>
    <x v="1"/>
    <x v="0"/>
    <x v="0"/>
    <x v="2"/>
  </r>
  <r>
    <x v="2"/>
    <x v="9"/>
    <n v="22871.9"/>
    <x v="1"/>
    <x v="0"/>
    <x v="0"/>
    <x v="2"/>
  </r>
  <r>
    <x v="3"/>
    <x v="9"/>
    <n v="7316.87"/>
    <x v="1"/>
    <x v="0"/>
    <x v="0"/>
    <x v="2"/>
  </r>
  <r>
    <x v="4"/>
    <x v="9"/>
    <n v="7316.87"/>
    <x v="1"/>
    <x v="0"/>
    <x v="0"/>
    <x v="2"/>
  </r>
  <r>
    <x v="5"/>
    <x v="9"/>
    <n v="31827.3"/>
    <x v="1"/>
    <x v="0"/>
    <x v="0"/>
    <x v="2"/>
  </r>
  <r>
    <x v="6"/>
    <x v="9"/>
    <n v="31827.3"/>
    <x v="1"/>
    <x v="0"/>
    <x v="0"/>
    <x v="2"/>
  </r>
  <r>
    <x v="7"/>
    <x v="9"/>
    <n v="32936.9"/>
    <x v="1"/>
    <x v="0"/>
    <x v="0"/>
    <x v="2"/>
  </r>
  <r>
    <x v="8"/>
    <x v="9"/>
    <n v="32936.9"/>
    <x v="1"/>
    <x v="0"/>
    <x v="0"/>
    <x v="2"/>
  </r>
  <r>
    <x v="9"/>
    <x v="9"/>
    <n v="36491.300000000003"/>
    <x v="1"/>
    <x v="0"/>
    <x v="0"/>
    <x v="2"/>
  </r>
  <r>
    <x v="10"/>
    <x v="9"/>
    <n v="36491.300000000003"/>
    <x v="1"/>
    <x v="0"/>
    <x v="0"/>
    <x v="2"/>
  </r>
  <r>
    <x v="11"/>
    <x v="9"/>
    <n v="54047.199999999997"/>
    <x v="1"/>
    <x v="0"/>
    <x v="0"/>
    <x v="2"/>
  </r>
  <r>
    <x v="12"/>
    <x v="9"/>
    <n v="54047.199999999997"/>
    <x v="1"/>
    <x v="0"/>
    <x v="0"/>
    <x v="2"/>
  </r>
  <r>
    <x v="13"/>
    <x v="9"/>
    <n v="53514.6"/>
    <x v="1"/>
    <x v="0"/>
    <x v="0"/>
    <x v="2"/>
  </r>
  <r>
    <x v="14"/>
    <x v="9"/>
    <n v="53514.6"/>
    <x v="1"/>
    <x v="0"/>
    <x v="0"/>
    <x v="2"/>
  </r>
  <r>
    <x v="15"/>
    <x v="9"/>
    <n v="53514.6"/>
    <x v="1"/>
    <x v="0"/>
    <x v="0"/>
    <x v="2"/>
  </r>
  <r>
    <x v="0"/>
    <x v="1"/>
    <n v="102.45"/>
    <x v="0"/>
    <x v="0"/>
    <x v="0"/>
    <x v="0"/>
  </r>
  <r>
    <x v="1"/>
    <x v="1"/>
    <n v="9.5"/>
    <x v="0"/>
    <x v="0"/>
    <x v="0"/>
    <x v="0"/>
  </r>
  <r>
    <x v="2"/>
    <x v="1"/>
    <n v="9.5"/>
    <x v="0"/>
    <x v="0"/>
    <x v="0"/>
    <x v="0"/>
  </r>
  <r>
    <x v="3"/>
    <x v="1"/>
    <n v="0"/>
    <x v="0"/>
    <x v="0"/>
    <x v="0"/>
    <x v="0"/>
  </r>
  <r>
    <x v="4"/>
    <x v="1"/>
    <n v="0"/>
    <x v="0"/>
    <x v="0"/>
    <x v="0"/>
    <x v="0"/>
  </r>
  <r>
    <x v="5"/>
    <x v="1"/>
    <n v="0"/>
    <x v="0"/>
    <x v="0"/>
    <x v="0"/>
    <x v="0"/>
  </r>
  <r>
    <x v="6"/>
    <x v="1"/>
    <n v="0"/>
    <x v="0"/>
    <x v="0"/>
    <x v="0"/>
    <x v="0"/>
  </r>
  <r>
    <x v="7"/>
    <x v="1"/>
    <n v="0"/>
    <x v="0"/>
    <x v="0"/>
    <x v="0"/>
    <x v="0"/>
  </r>
  <r>
    <x v="8"/>
    <x v="1"/>
    <n v="0"/>
    <x v="0"/>
    <x v="0"/>
    <x v="0"/>
    <x v="0"/>
  </r>
  <r>
    <x v="9"/>
    <x v="1"/>
    <n v="0"/>
    <x v="0"/>
    <x v="0"/>
    <x v="0"/>
    <x v="0"/>
  </r>
  <r>
    <x v="10"/>
    <x v="1"/>
    <n v="0"/>
    <x v="0"/>
    <x v="0"/>
    <x v="0"/>
    <x v="0"/>
  </r>
  <r>
    <x v="11"/>
    <x v="1"/>
    <n v="0"/>
    <x v="0"/>
    <x v="0"/>
    <x v="0"/>
    <x v="0"/>
  </r>
  <r>
    <x v="12"/>
    <x v="1"/>
    <n v="0"/>
    <x v="0"/>
    <x v="0"/>
    <x v="0"/>
    <x v="0"/>
  </r>
  <r>
    <x v="13"/>
    <x v="1"/>
    <n v="0"/>
    <x v="0"/>
    <x v="0"/>
    <x v="0"/>
    <x v="0"/>
  </r>
  <r>
    <x v="14"/>
    <x v="1"/>
    <n v="0"/>
    <x v="0"/>
    <x v="0"/>
    <x v="0"/>
    <x v="0"/>
  </r>
  <r>
    <x v="15"/>
    <x v="1"/>
    <n v="0"/>
    <x v="0"/>
    <x v="0"/>
    <x v="0"/>
    <x v="0"/>
  </r>
  <r>
    <x v="0"/>
    <x v="2"/>
    <n v="0"/>
    <x v="0"/>
    <x v="0"/>
    <x v="0"/>
    <x v="0"/>
  </r>
  <r>
    <x v="1"/>
    <x v="2"/>
    <n v="0"/>
    <x v="0"/>
    <x v="0"/>
    <x v="0"/>
    <x v="0"/>
  </r>
  <r>
    <x v="2"/>
    <x v="2"/>
    <n v="0"/>
    <x v="0"/>
    <x v="0"/>
    <x v="0"/>
    <x v="0"/>
  </r>
  <r>
    <x v="3"/>
    <x v="2"/>
    <n v="0"/>
    <x v="0"/>
    <x v="0"/>
    <x v="0"/>
    <x v="0"/>
  </r>
  <r>
    <x v="4"/>
    <x v="2"/>
    <n v="0"/>
    <x v="0"/>
    <x v="0"/>
    <x v="0"/>
    <x v="0"/>
  </r>
  <r>
    <x v="5"/>
    <x v="2"/>
    <n v="0"/>
    <x v="0"/>
    <x v="0"/>
    <x v="0"/>
    <x v="0"/>
  </r>
  <r>
    <x v="6"/>
    <x v="2"/>
    <n v="0"/>
    <x v="0"/>
    <x v="0"/>
    <x v="0"/>
    <x v="0"/>
  </r>
  <r>
    <x v="7"/>
    <x v="2"/>
    <n v="0"/>
    <x v="0"/>
    <x v="0"/>
    <x v="0"/>
    <x v="0"/>
  </r>
  <r>
    <x v="8"/>
    <x v="2"/>
    <n v="0"/>
    <x v="0"/>
    <x v="0"/>
    <x v="0"/>
    <x v="0"/>
  </r>
  <r>
    <x v="9"/>
    <x v="2"/>
    <n v="0"/>
    <x v="0"/>
    <x v="0"/>
    <x v="0"/>
    <x v="0"/>
  </r>
  <r>
    <x v="10"/>
    <x v="2"/>
    <n v="0"/>
    <x v="0"/>
    <x v="0"/>
    <x v="0"/>
    <x v="0"/>
  </r>
  <r>
    <x v="11"/>
    <x v="2"/>
    <n v="0"/>
    <x v="0"/>
    <x v="0"/>
    <x v="0"/>
    <x v="0"/>
  </r>
  <r>
    <x v="12"/>
    <x v="2"/>
    <n v="0"/>
    <x v="0"/>
    <x v="0"/>
    <x v="0"/>
    <x v="0"/>
  </r>
  <r>
    <x v="13"/>
    <x v="2"/>
    <n v="0"/>
    <x v="0"/>
    <x v="0"/>
    <x v="0"/>
    <x v="0"/>
  </r>
  <r>
    <x v="14"/>
    <x v="2"/>
    <n v="0"/>
    <x v="0"/>
    <x v="0"/>
    <x v="0"/>
    <x v="0"/>
  </r>
  <r>
    <x v="15"/>
    <x v="2"/>
    <n v="0"/>
    <x v="0"/>
    <x v="0"/>
    <x v="0"/>
    <x v="0"/>
  </r>
  <r>
    <x v="0"/>
    <x v="3"/>
    <n v="11184.73"/>
    <x v="0"/>
    <x v="0"/>
    <x v="0"/>
    <x v="0"/>
  </r>
  <r>
    <x v="1"/>
    <x v="3"/>
    <n v="0"/>
    <x v="0"/>
    <x v="0"/>
    <x v="0"/>
    <x v="0"/>
  </r>
  <r>
    <x v="2"/>
    <x v="3"/>
    <n v="0"/>
    <x v="0"/>
    <x v="0"/>
    <x v="0"/>
    <x v="0"/>
  </r>
  <r>
    <x v="3"/>
    <x v="3"/>
    <n v="0"/>
    <x v="0"/>
    <x v="0"/>
    <x v="0"/>
    <x v="0"/>
  </r>
  <r>
    <x v="4"/>
    <x v="3"/>
    <n v="0"/>
    <x v="0"/>
    <x v="0"/>
    <x v="0"/>
    <x v="0"/>
  </r>
  <r>
    <x v="5"/>
    <x v="3"/>
    <n v="0"/>
    <x v="0"/>
    <x v="0"/>
    <x v="0"/>
    <x v="0"/>
  </r>
  <r>
    <x v="6"/>
    <x v="3"/>
    <n v="0"/>
    <x v="0"/>
    <x v="0"/>
    <x v="0"/>
    <x v="0"/>
  </r>
  <r>
    <x v="7"/>
    <x v="3"/>
    <n v="0"/>
    <x v="0"/>
    <x v="0"/>
    <x v="0"/>
    <x v="0"/>
  </r>
  <r>
    <x v="8"/>
    <x v="3"/>
    <n v="0"/>
    <x v="0"/>
    <x v="0"/>
    <x v="0"/>
    <x v="0"/>
  </r>
  <r>
    <x v="9"/>
    <x v="3"/>
    <n v="0"/>
    <x v="0"/>
    <x v="0"/>
    <x v="0"/>
    <x v="0"/>
  </r>
  <r>
    <x v="10"/>
    <x v="3"/>
    <n v="0"/>
    <x v="0"/>
    <x v="0"/>
    <x v="0"/>
    <x v="0"/>
  </r>
  <r>
    <x v="11"/>
    <x v="3"/>
    <n v="0"/>
    <x v="0"/>
    <x v="0"/>
    <x v="0"/>
    <x v="0"/>
  </r>
  <r>
    <x v="12"/>
    <x v="3"/>
    <n v="0"/>
    <x v="0"/>
    <x v="0"/>
    <x v="0"/>
    <x v="0"/>
  </r>
  <r>
    <x v="13"/>
    <x v="3"/>
    <n v="0"/>
    <x v="0"/>
    <x v="0"/>
    <x v="0"/>
    <x v="0"/>
  </r>
  <r>
    <x v="14"/>
    <x v="3"/>
    <n v="0"/>
    <x v="0"/>
    <x v="0"/>
    <x v="0"/>
    <x v="0"/>
  </r>
  <r>
    <x v="15"/>
    <x v="3"/>
    <n v="0"/>
    <x v="0"/>
    <x v="0"/>
    <x v="0"/>
    <x v="0"/>
  </r>
  <r>
    <x v="0"/>
    <x v="4"/>
    <n v="0"/>
    <x v="0"/>
    <x v="0"/>
    <x v="0"/>
    <x v="0"/>
  </r>
  <r>
    <x v="1"/>
    <x v="4"/>
    <n v="0"/>
    <x v="0"/>
    <x v="0"/>
    <x v="0"/>
    <x v="0"/>
  </r>
  <r>
    <x v="2"/>
    <x v="4"/>
    <n v="0"/>
    <x v="0"/>
    <x v="0"/>
    <x v="0"/>
    <x v="0"/>
  </r>
  <r>
    <x v="3"/>
    <x v="4"/>
    <n v="0"/>
    <x v="0"/>
    <x v="0"/>
    <x v="0"/>
    <x v="0"/>
  </r>
  <r>
    <x v="4"/>
    <x v="4"/>
    <n v="0"/>
    <x v="0"/>
    <x v="0"/>
    <x v="0"/>
    <x v="0"/>
  </r>
  <r>
    <x v="5"/>
    <x v="4"/>
    <n v="0"/>
    <x v="0"/>
    <x v="0"/>
    <x v="0"/>
    <x v="0"/>
  </r>
  <r>
    <x v="6"/>
    <x v="4"/>
    <n v="0"/>
    <x v="0"/>
    <x v="0"/>
    <x v="0"/>
    <x v="0"/>
  </r>
  <r>
    <x v="7"/>
    <x v="4"/>
    <n v="0"/>
    <x v="0"/>
    <x v="0"/>
    <x v="0"/>
    <x v="0"/>
  </r>
  <r>
    <x v="8"/>
    <x v="4"/>
    <n v="0"/>
    <x v="0"/>
    <x v="0"/>
    <x v="0"/>
    <x v="0"/>
  </r>
  <r>
    <x v="9"/>
    <x v="4"/>
    <n v="0"/>
    <x v="0"/>
    <x v="0"/>
    <x v="0"/>
    <x v="0"/>
  </r>
  <r>
    <x v="10"/>
    <x v="4"/>
    <n v="0"/>
    <x v="0"/>
    <x v="0"/>
    <x v="0"/>
    <x v="0"/>
  </r>
  <r>
    <x v="11"/>
    <x v="4"/>
    <n v="0"/>
    <x v="0"/>
    <x v="0"/>
    <x v="0"/>
    <x v="0"/>
  </r>
  <r>
    <x v="12"/>
    <x v="4"/>
    <n v="0"/>
    <x v="0"/>
    <x v="0"/>
    <x v="0"/>
    <x v="0"/>
  </r>
  <r>
    <x v="13"/>
    <x v="4"/>
    <n v="0"/>
    <x v="0"/>
    <x v="0"/>
    <x v="0"/>
    <x v="0"/>
  </r>
  <r>
    <x v="14"/>
    <x v="4"/>
    <n v="0"/>
    <x v="0"/>
    <x v="0"/>
    <x v="0"/>
    <x v="0"/>
  </r>
  <r>
    <x v="15"/>
    <x v="4"/>
    <n v="0"/>
    <x v="0"/>
    <x v="0"/>
    <x v="0"/>
    <x v="0"/>
  </r>
  <r>
    <x v="0"/>
    <x v="5"/>
    <n v="2097.86"/>
    <x v="0"/>
    <x v="0"/>
    <x v="0"/>
    <x v="0"/>
  </r>
  <r>
    <x v="1"/>
    <x v="5"/>
    <n v="0"/>
    <x v="0"/>
    <x v="0"/>
    <x v="0"/>
    <x v="0"/>
  </r>
  <r>
    <x v="2"/>
    <x v="5"/>
    <n v="0"/>
    <x v="0"/>
    <x v="0"/>
    <x v="0"/>
    <x v="0"/>
  </r>
  <r>
    <x v="3"/>
    <x v="5"/>
    <n v="74.150000000000006"/>
    <x v="0"/>
    <x v="0"/>
    <x v="0"/>
    <x v="0"/>
  </r>
  <r>
    <x v="4"/>
    <x v="5"/>
    <n v="74.150000000000006"/>
    <x v="0"/>
    <x v="0"/>
    <x v="0"/>
    <x v="0"/>
  </r>
  <r>
    <x v="5"/>
    <x v="5"/>
    <n v="5.0671799999999996"/>
    <x v="0"/>
    <x v="0"/>
    <x v="0"/>
    <x v="0"/>
  </r>
  <r>
    <x v="6"/>
    <x v="5"/>
    <n v="5.0671799999999996"/>
    <x v="0"/>
    <x v="0"/>
    <x v="0"/>
    <x v="0"/>
  </r>
  <r>
    <x v="7"/>
    <x v="5"/>
    <n v="309.93299999999999"/>
    <x v="0"/>
    <x v="0"/>
    <x v="0"/>
    <x v="0"/>
  </r>
  <r>
    <x v="8"/>
    <x v="5"/>
    <n v="309.93299999999999"/>
    <x v="0"/>
    <x v="0"/>
    <x v="0"/>
    <x v="0"/>
  </r>
  <r>
    <x v="9"/>
    <x v="5"/>
    <n v="0"/>
    <x v="0"/>
    <x v="0"/>
    <x v="0"/>
    <x v="0"/>
  </r>
  <r>
    <x v="10"/>
    <x v="5"/>
    <n v="0"/>
    <x v="0"/>
    <x v="0"/>
    <x v="0"/>
    <x v="0"/>
  </r>
  <r>
    <x v="11"/>
    <x v="5"/>
    <n v="0"/>
    <x v="0"/>
    <x v="0"/>
    <x v="0"/>
    <x v="0"/>
  </r>
  <r>
    <x v="12"/>
    <x v="5"/>
    <n v="0"/>
    <x v="0"/>
    <x v="0"/>
    <x v="0"/>
    <x v="0"/>
  </r>
  <r>
    <x v="13"/>
    <x v="5"/>
    <n v="0"/>
    <x v="0"/>
    <x v="0"/>
    <x v="0"/>
    <x v="0"/>
  </r>
  <r>
    <x v="14"/>
    <x v="5"/>
    <n v="0"/>
    <x v="0"/>
    <x v="0"/>
    <x v="0"/>
    <x v="0"/>
  </r>
  <r>
    <x v="15"/>
    <x v="5"/>
    <n v="0"/>
    <x v="0"/>
    <x v="0"/>
    <x v="0"/>
    <x v="0"/>
  </r>
  <r>
    <x v="0"/>
    <x v="6"/>
    <n v="232.5"/>
    <x v="0"/>
    <x v="0"/>
    <x v="0"/>
    <x v="0"/>
  </r>
  <r>
    <x v="1"/>
    <x v="6"/>
    <n v="1100"/>
    <x v="0"/>
    <x v="0"/>
    <x v="0"/>
    <x v="0"/>
  </r>
  <r>
    <x v="2"/>
    <x v="6"/>
    <n v="1100"/>
    <x v="0"/>
    <x v="0"/>
    <x v="0"/>
    <x v="0"/>
  </r>
  <r>
    <x v="3"/>
    <x v="6"/>
    <n v="0"/>
    <x v="0"/>
    <x v="0"/>
    <x v="0"/>
    <x v="0"/>
  </r>
  <r>
    <x v="4"/>
    <x v="6"/>
    <n v="0"/>
    <x v="0"/>
    <x v="0"/>
    <x v="0"/>
    <x v="0"/>
  </r>
  <r>
    <x v="5"/>
    <x v="6"/>
    <n v="0"/>
    <x v="0"/>
    <x v="0"/>
    <x v="0"/>
    <x v="0"/>
  </r>
  <r>
    <x v="6"/>
    <x v="6"/>
    <n v="0"/>
    <x v="0"/>
    <x v="0"/>
    <x v="0"/>
    <x v="0"/>
  </r>
  <r>
    <x v="7"/>
    <x v="6"/>
    <n v="0"/>
    <x v="0"/>
    <x v="0"/>
    <x v="0"/>
    <x v="0"/>
  </r>
  <r>
    <x v="8"/>
    <x v="6"/>
    <n v="0"/>
    <x v="0"/>
    <x v="0"/>
    <x v="0"/>
    <x v="0"/>
  </r>
  <r>
    <x v="9"/>
    <x v="6"/>
    <n v="0"/>
    <x v="0"/>
    <x v="0"/>
    <x v="0"/>
    <x v="0"/>
  </r>
  <r>
    <x v="10"/>
    <x v="6"/>
    <n v="0"/>
    <x v="0"/>
    <x v="0"/>
    <x v="0"/>
    <x v="0"/>
  </r>
  <r>
    <x v="11"/>
    <x v="6"/>
    <n v="0"/>
    <x v="0"/>
    <x v="0"/>
    <x v="0"/>
    <x v="0"/>
  </r>
  <r>
    <x v="12"/>
    <x v="6"/>
    <n v="0"/>
    <x v="0"/>
    <x v="0"/>
    <x v="0"/>
    <x v="0"/>
  </r>
  <r>
    <x v="13"/>
    <x v="6"/>
    <n v="0"/>
    <x v="0"/>
    <x v="0"/>
    <x v="0"/>
    <x v="0"/>
  </r>
  <r>
    <x v="14"/>
    <x v="6"/>
    <n v="0"/>
    <x v="0"/>
    <x v="0"/>
    <x v="0"/>
    <x v="0"/>
  </r>
  <r>
    <x v="15"/>
    <x v="6"/>
    <n v="0"/>
    <x v="0"/>
    <x v="0"/>
    <x v="0"/>
    <x v="0"/>
  </r>
  <r>
    <x v="0"/>
    <x v="7"/>
    <n v="14.85"/>
    <x v="0"/>
    <x v="0"/>
    <x v="0"/>
    <x v="0"/>
  </r>
  <r>
    <x v="1"/>
    <x v="7"/>
    <n v="0"/>
    <x v="0"/>
    <x v="0"/>
    <x v="0"/>
    <x v="0"/>
  </r>
  <r>
    <x v="2"/>
    <x v="7"/>
    <n v="0"/>
    <x v="0"/>
    <x v="0"/>
    <x v="0"/>
    <x v="0"/>
  </r>
  <r>
    <x v="3"/>
    <x v="7"/>
    <n v="0"/>
    <x v="0"/>
    <x v="0"/>
    <x v="0"/>
    <x v="0"/>
  </r>
  <r>
    <x v="4"/>
    <x v="7"/>
    <n v="0"/>
    <x v="0"/>
    <x v="0"/>
    <x v="0"/>
    <x v="0"/>
  </r>
  <r>
    <x v="5"/>
    <x v="7"/>
    <n v="0"/>
    <x v="0"/>
    <x v="0"/>
    <x v="0"/>
    <x v="0"/>
  </r>
  <r>
    <x v="6"/>
    <x v="7"/>
    <n v="0"/>
    <x v="0"/>
    <x v="0"/>
    <x v="0"/>
    <x v="0"/>
  </r>
  <r>
    <x v="7"/>
    <x v="7"/>
    <n v="0"/>
    <x v="0"/>
    <x v="0"/>
    <x v="0"/>
    <x v="0"/>
  </r>
  <r>
    <x v="8"/>
    <x v="7"/>
    <n v="0"/>
    <x v="0"/>
    <x v="0"/>
    <x v="0"/>
    <x v="0"/>
  </r>
  <r>
    <x v="9"/>
    <x v="7"/>
    <n v="0"/>
    <x v="0"/>
    <x v="0"/>
    <x v="0"/>
    <x v="0"/>
  </r>
  <r>
    <x v="10"/>
    <x v="7"/>
    <n v="0"/>
    <x v="0"/>
    <x v="0"/>
    <x v="0"/>
    <x v="0"/>
  </r>
  <r>
    <x v="11"/>
    <x v="7"/>
    <n v="0"/>
    <x v="0"/>
    <x v="0"/>
    <x v="0"/>
    <x v="0"/>
  </r>
  <r>
    <x v="12"/>
    <x v="7"/>
    <n v="0"/>
    <x v="0"/>
    <x v="0"/>
    <x v="0"/>
    <x v="0"/>
  </r>
  <r>
    <x v="13"/>
    <x v="7"/>
    <n v="0"/>
    <x v="0"/>
    <x v="0"/>
    <x v="0"/>
    <x v="0"/>
  </r>
  <r>
    <x v="14"/>
    <x v="7"/>
    <n v="0"/>
    <x v="0"/>
    <x v="0"/>
    <x v="0"/>
    <x v="0"/>
  </r>
  <r>
    <x v="15"/>
    <x v="7"/>
    <n v="0"/>
    <x v="0"/>
    <x v="0"/>
    <x v="0"/>
    <x v="0"/>
  </r>
  <r>
    <x v="0"/>
    <x v="8"/>
    <n v="46114.7"/>
    <x v="0"/>
    <x v="0"/>
    <x v="0"/>
    <x v="0"/>
  </r>
  <r>
    <x v="1"/>
    <x v="8"/>
    <n v="104666"/>
    <x v="0"/>
    <x v="0"/>
    <x v="0"/>
    <x v="0"/>
  </r>
  <r>
    <x v="2"/>
    <x v="8"/>
    <n v="104666"/>
    <x v="0"/>
    <x v="0"/>
    <x v="0"/>
    <x v="0"/>
  </r>
  <r>
    <x v="3"/>
    <x v="8"/>
    <n v="16323.8"/>
    <x v="0"/>
    <x v="0"/>
    <x v="0"/>
    <x v="0"/>
  </r>
  <r>
    <x v="4"/>
    <x v="8"/>
    <n v="16323.8"/>
    <x v="0"/>
    <x v="0"/>
    <x v="0"/>
    <x v="0"/>
  </r>
  <r>
    <x v="5"/>
    <x v="8"/>
    <n v="51203.5"/>
    <x v="0"/>
    <x v="0"/>
    <x v="0"/>
    <x v="0"/>
  </r>
  <r>
    <x v="6"/>
    <x v="8"/>
    <n v="51203.5"/>
    <x v="0"/>
    <x v="0"/>
    <x v="0"/>
    <x v="0"/>
  </r>
  <r>
    <x v="7"/>
    <x v="8"/>
    <n v="18298.599999999999"/>
    <x v="0"/>
    <x v="0"/>
    <x v="0"/>
    <x v="0"/>
  </r>
  <r>
    <x v="8"/>
    <x v="8"/>
    <n v="18298.599999999999"/>
    <x v="0"/>
    <x v="0"/>
    <x v="0"/>
    <x v="0"/>
  </r>
  <r>
    <x v="9"/>
    <x v="8"/>
    <n v="42504.7"/>
    <x v="0"/>
    <x v="0"/>
    <x v="0"/>
    <x v="0"/>
  </r>
  <r>
    <x v="10"/>
    <x v="8"/>
    <n v="42504.7"/>
    <x v="0"/>
    <x v="0"/>
    <x v="0"/>
    <x v="0"/>
  </r>
  <r>
    <x v="11"/>
    <x v="8"/>
    <n v="17642.2"/>
    <x v="0"/>
    <x v="0"/>
    <x v="0"/>
    <x v="0"/>
  </r>
  <r>
    <x v="12"/>
    <x v="8"/>
    <n v="17642.2"/>
    <x v="0"/>
    <x v="0"/>
    <x v="0"/>
    <x v="0"/>
  </r>
  <r>
    <x v="13"/>
    <x v="8"/>
    <n v="22008.400000000001"/>
    <x v="0"/>
    <x v="0"/>
    <x v="0"/>
    <x v="0"/>
  </r>
  <r>
    <x v="14"/>
    <x v="8"/>
    <n v="22008.400000000001"/>
    <x v="0"/>
    <x v="0"/>
    <x v="0"/>
    <x v="0"/>
  </r>
  <r>
    <x v="15"/>
    <x v="8"/>
    <n v="22008.400000000001"/>
    <x v="0"/>
    <x v="0"/>
    <x v="0"/>
    <x v="0"/>
  </r>
  <r>
    <x v="0"/>
    <x v="9"/>
    <n v="36558.400000000001"/>
    <x v="0"/>
    <x v="0"/>
    <x v="0"/>
    <x v="0"/>
  </r>
  <r>
    <x v="1"/>
    <x v="9"/>
    <n v="93891.7"/>
    <x v="0"/>
    <x v="0"/>
    <x v="0"/>
    <x v="0"/>
  </r>
  <r>
    <x v="2"/>
    <x v="9"/>
    <n v="93891.7"/>
    <x v="0"/>
    <x v="0"/>
    <x v="0"/>
    <x v="0"/>
  </r>
  <r>
    <x v="3"/>
    <x v="9"/>
    <n v="8229.01"/>
    <x v="0"/>
    <x v="0"/>
    <x v="0"/>
    <x v="0"/>
  </r>
  <r>
    <x v="4"/>
    <x v="9"/>
    <n v="8229.01"/>
    <x v="0"/>
    <x v="0"/>
    <x v="0"/>
    <x v="0"/>
  </r>
  <r>
    <x v="5"/>
    <x v="9"/>
    <n v="31545.8"/>
    <x v="0"/>
    <x v="0"/>
    <x v="0"/>
    <x v="0"/>
  </r>
  <r>
    <x v="6"/>
    <x v="9"/>
    <n v="31545.8"/>
    <x v="0"/>
    <x v="0"/>
    <x v="0"/>
    <x v="0"/>
  </r>
  <r>
    <x v="7"/>
    <x v="9"/>
    <n v="22733"/>
    <x v="0"/>
    <x v="0"/>
    <x v="0"/>
    <x v="0"/>
  </r>
  <r>
    <x v="8"/>
    <x v="9"/>
    <n v="22733"/>
    <x v="0"/>
    <x v="0"/>
    <x v="0"/>
    <x v="0"/>
  </r>
  <r>
    <x v="9"/>
    <x v="9"/>
    <n v="10457.5"/>
    <x v="0"/>
    <x v="0"/>
    <x v="0"/>
    <x v="0"/>
  </r>
  <r>
    <x v="10"/>
    <x v="9"/>
    <n v="10457.5"/>
    <x v="0"/>
    <x v="0"/>
    <x v="0"/>
    <x v="0"/>
  </r>
  <r>
    <x v="11"/>
    <x v="9"/>
    <n v="11608.8"/>
    <x v="0"/>
    <x v="0"/>
    <x v="0"/>
    <x v="0"/>
  </r>
  <r>
    <x v="12"/>
    <x v="9"/>
    <n v="11608.8"/>
    <x v="0"/>
    <x v="0"/>
    <x v="0"/>
    <x v="0"/>
  </r>
  <r>
    <x v="13"/>
    <x v="9"/>
    <n v="14321.2"/>
    <x v="0"/>
    <x v="0"/>
    <x v="0"/>
    <x v="0"/>
  </r>
  <r>
    <x v="14"/>
    <x v="9"/>
    <n v="14321.2"/>
    <x v="0"/>
    <x v="0"/>
    <x v="0"/>
    <x v="0"/>
  </r>
  <r>
    <x v="15"/>
    <x v="9"/>
    <n v="14321.2"/>
    <x v="0"/>
    <x v="0"/>
    <x v="0"/>
    <x v="0"/>
  </r>
  <r>
    <x v="0"/>
    <x v="1"/>
    <n v="102.45"/>
    <x v="0"/>
    <x v="0"/>
    <x v="0"/>
    <x v="1"/>
  </r>
  <r>
    <x v="1"/>
    <x v="1"/>
    <n v="9.5"/>
    <x v="0"/>
    <x v="0"/>
    <x v="0"/>
    <x v="1"/>
  </r>
  <r>
    <x v="2"/>
    <x v="1"/>
    <n v="9.5"/>
    <x v="0"/>
    <x v="0"/>
    <x v="0"/>
    <x v="1"/>
  </r>
  <r>
    <x v="3"/>
    <x v="1"/>
    <n v="0"/>
    <x v="0"/>
    <x v="0"/>
    <x v="0"/>
    <x v="1"/>
  </r>
  <r>
    <x v="4"/>
    <x v="1"/>
    <n v="0"/>
    <x v="0"/>
    <x v="0"/>
    <x v="0"/>
    <x v="1"/>
  </r>
  <r>
    <x v="5"/>
    <x v="1"/>
    <n v="0"/>
    <x v="0"/>
    <x v="0"/>
    <x v="0"/>
    <x v="1"/>
  </r>
  <r>
    <x v="6"/>
    <x v="1"/>
    <n v="0"/>
    <x v="0"/>
    <x v="0"/>
    <x v="0"/>
    <x v="1"/>
  </r>
  <r>
    <x v="7"/>
    <x v="1"/>
    <n v="0"/>
    <x v="0"/>
    <x v="0"/>
    <x v="0"/>
    <x v="1"/>
  </r>
  <r>
    <x v="8"/>
    <x v="1"/>
    <n v="0"/>
    <x v="0"/>
    <x v="0"/>
    <x v="0"/>
    <x v="1"/>
  </r>
  <r>
    <x v="9"/>
    <x v="1"/>
    <n v="0"/>
    <x v="0"/>
    <x v="0"/>
    <x v="0"/>
    <x v="1"/>
  </r>
  <r>
    <x v="10"/>
    <x v="1"/>
    <n v="0"/>
    <x v="0"/>
    <x v="0"/>
    <x v="0"/>
    <x v="1"/>
  </r>
  <r>
    <x v="11"/>
    <x v="1"/>
    <n v="0"/>
    <x v="0"/>
    <x v="0"/>
    <x v="0"/>
    <x v="1"/>
  </r>
  <r>
    <x v="12"/>
    <x v="1"/>
    <n v="0"/>
    <x v="0"/>
    <x v="0"/>
    <x v="0"/>
    <x v="1"/>
  </r>
  <r>
    <x v="13"/>
    <x v="1"/>
    <n v="0"/>
    <x v="0"/>
    <x v="0"/>
    <x v="0"/>
    <x v="1"/>
  </r>
  <r>
    <x v="14"/>
    <x v="1"/>
    <n v="0"/>
    <x v="0"/>
    <x v="0"/>
    <x v="0"/>
    <x v="1"/>
  </r>
  <r>
    <x v="15"/>
    <x v="1"/>
    <n v="0"/>
    <x v="0"/>
    <x v="0"/>
    <x v="0"/>
    <x v="1"/>
  </r>
  <r>
    <x v="0"/>
    <x v="2"/>
    <n v="0"/>
    <x v="0"/>
    <x v="0"/>
    <x v="0"/>
    <x v="1"/>
  </r>
  <r>
    <x v="1"/>
    <x v="2"/>
    <n v="0"/>
    <x v="0"/>
    <x v="0"/>
    <x v="0"/>
    <x v="1"/>
  </r>
  <r>
    <x v="2"/>
    <x v="2"/>
    <n v="0"/>
    <x v="0"/>
    <x v="0"/>
    <x v="0"/>
    <x v="1"/>
  </r>
  <r>
    <x v="3"/>
    <x v="2"/>
    <n v="0"/>
    <x v="0"/>
    <x v="0"/>
    <x v="0"/>
    <x v="1"/>
  </r>
  <r>
    <x v="4"/>
    <x v="2"/>
    <n v="0"/>
    <x v="0"/>
    <x v="0"/>
    <x v="0"/>
    <x v="1"/>
  </r>
  <r>
    <x v="5"/>
    <x v="2"/>
    <n v="0"/>
    <x v="0"/>
    <x v="0"/>
    <x v="0"/>
    <x v="1"/>
  </r>
  <r>
    <x v="6"/>
    <x v="2"/>
    <n v="0"/>
    <x v="0"/>
    <x v="0"/>
    <x v="0"/>
    <x v="1"/>
  </r>
  <r>
    <x v="7"/>
    <x v="2"/>
    <n v="0"/>
    <x v="0"/>
    <x v="0"/>
    <x v="0"/>
    <x v="1"/>
  </r>
  <r>
    <x v="8"/>
    <x v="2"/>
    <n v="0"/>
    <x v="0"/>
    <x v="0"/>
    <x v="0"/>
    <x v="1"/>
  </r>
  <r>
    <x v="9"/>
    <x v="2"/>
    <n v="0"/>
    <x v="0"/>
    <x v="0"/>
    <x v="0"/>
    <x v="1"/>
  </r>
  <r>
    <x v="10"/>
    <x v="2"/>
    <n v="0"/>
    <x v="0"/>
    <x v="0"/>
    <x v="0"/>
    <x v="1"/>
  </r>
  <r>
    <x v="11"/>
    <x v="2"/>
    <n v="0"/>
    <x v="0"/>
    <x v="0"/>
    <x v="0"/>
    <x v="1"/>
  </r>
  <r>
    <x v="12"/>
    <x v="2"/>
    <n v="0"/>
    <x v="0"/>
    <x v="0"/>
    <x v="0"/>
    <x v="1"/>
  </r>
  <r>
    <x v="13"/>
    <x v="2"/>
    <n v="0"/>
    <x v="0"/>
    <x v="0"/>
    <x v="0"/>
    <x v="1"/>
  </r>
  <r>
    <x v="14"/>
    <x v="2"/>
    <n v="0"/>
    <x v="0"/>
    <x v="0"/>
    <x v="0"/>
    <x v="1"/>
  </r>
  <r>
    <x v="15"/>
    <x v="2"/>
    <n v="0"/>
    <x v="0"/>
    <x v="0"/>
    <x v="0"/>
    <x v="1"/>
  </r>
  <r>
    <x v="0"/>
    <x v="3"/>
    <n v="11184.73"/>
    <x v="0"/>
    <x v="0"/>
    <x v="0"/>
    <x v="1"/>
  </r>
  <r>
    <x v="1"/>
    <x v="3"/>
    <n v="0"/>
    <x v="0"/>
    <x v="0"/>
    <x v="0"/>
    <x v="1"/>
  </r>
  <r>
    <x v="2"/>
    <x v="3"/>
    <n v="0"/>
    <x v="0"/>
    <x v="0"/>
    <x v="0"/>
    <x v="1"/>
  </r>
  <r>
    <x v="3"/>
    <x v="3"/>
    <n v="0"/>
    <x v="0"/>
    <x v="0"/>
    <x v="0"/>
    <x v="1"/>
  </r>
  <r>
    <x v="4"/>
    <x v="3"/>
    <n v="0"/>
    <x v="0"/>
    <x v="0"/>
    <x v="0"/>
    <x v="1"/>
  </r>
  <r>
    <x v="5"/>
    <x v="3"/>
    <n v="0"/>
    <x v="0"/>
    <x v="0"/>
    <x v="0"/>
    <x v="1"/>
  </r>
  <r>
    <x v="6"/>
    <x v="3"/>
    <n v="0"/>
    <x v="0"/>
    <x v="0"/>
    <x v="0"/>
    <x v="1"/>
  </r>
  <r>
    <x v="7"/>
    <x v="3"/>
    <n v="0"/>
    <x v="0"/>
    <x v="0"/>
    <x v="0"/>
    <x v="1"/>
  </r>
  <r>
    <x v="8"/>
    <x v="3"/>
    <n v="0"/>
    <x v="0"/>
    <x v="0"/>
    <x v="0"/>
    <x v="1"/>
  </r>
  <r>
    <x v="9"/>
    <x v="3"/>
    <n v="0"/>
    <x v="0"/>
    <x v="0"/>
    <x v="0"/>
    <x v="1"/>
  </r>
  <r>
    <x v="10"/>
    <x v="3"/>
    <n v="0"/>
    <x v="0"/>
    <x v="0"/>
    <x v="0"/>
    <x v="1"/>
  </r>
  <r>
    <x v="11"/>
    <x v="3"/>
    <n v="0"/>
    <x v="0"/>
    <x v="0"/>
    <x v="0"/>
    <x v="1"/>
  </r>
  <r>
    <x v="12"/>
    <x v="3"/>
    <n v="0"/>
    <x v="0"/>
    <x v="0"/>
    <x v="0"/>
    <x v="1"/>
  </r>
  <r>
    <x v="13"/>
    <x v="3"/>
    <n v="0"/>
    <x v="0"/>
    <x v="0"/>
    <x v="0"/>
    <x v="1"/>
  </r>
  <r>
    <x v="14"/>
    <x v="3"/>
    <n v="0"/>
    <x v="0"/>
    <x v="0"/>
    <x v="0"/>
    <x v="1"/>
  </r>
  <r>
    <x v="15"/>
    <x v="3"/>
    <n v="0"/>
    <x v="0"/>
    <x v="0"/>
    <x v="0"/>
    <x v="1"/>
  </r>
  <r>
    <x v="0"/>
    <x v="4"/>
    <n v="0"/>
    <x v="0"/>
    <x v="0"/>
    <x v="0"/>
    <x v="1"/>
  </r>
  <r>
    <x v="1"/>
    <x v="4"/>
    <n v="0"/>
    <x v="0"/>
    <x v="0"/>
    <x v="0"/>
    <x v="1"/>
  </r>
  <r>
    <x v="2"/>
    <x v="4"/>
    <n v="0"/>
    <x v="0"/>
    <x v="0"/>
    <x v="0"/>
    <x v="1"/>
  </r>
  <r>
    <x v="3"/>
    <x v="4"/>
    <n v="0"/>
    <x v="0"/>
    <x v="0"/>
    <x v="0"/>
    <x v="1"/>
  </r>
  <r>
    <x v="4"/>
    <x v="4"/>
    <n v="0"/>
    <x v="0"/>
    <x v="0"/>
    <x v="0"/>
    <x v="1"/>
  </r>
  <r>
    <x v="5"/>
    <x v="4"/>
    <n v="0"/>
    <x v="0"/>
    <x v="0"/>
    <x v="0"/>
    <x v="1"/>
  </r>
  <r>
    <x v="6"/>
    <x v="4"/>
    <n v="0"/>
    <x v="0"/>
    <x v="0"/>
    <x v="0"/>
    <x v="1"/>
  </r>
  <r>
    <x v="7"/>
    <x v="4"/>
    <n v="0"/>
    <x v="0"/>
    <x v="0"/>
    <x v="0"/>
    <x v="1"/>
  </r>
  <r>
    <x v="8"/>
    <x v="4"/>
    <n v="0"/>
    <x v="0"/>
    <x v="0"/>
    <x v="0"/>
    <x v="1"/>
  </r>
  <r>
    <x v="9"/>
    <x v="4"/>
    <n v="0"/>
    <x v="0"/>
    <x v="0"/>
    <x v="0"/>
    <x v="1"/>
  </r>
  <r>
    <x v="10"/>
    <x v="4"/>
    <n v="0"/>
    <x v="0"/>
    <x v="0"/>
    <x v="0"/>
    <x v="1"/>
  </r>
  <r>
    <x v="11"/>
    <x v="4"/>
    <n v="0"/>
    <x v="0"/>
    <x v="0"/>
    <x v="0"/>
    <x v="1"/>
  </r>
  <r>
    <x v="12"/>
    <x v="4"/>
    <n v="0"/>
    <x v="0"/>
    <x v="0"/>
    <x v="0"/>
    <x v="1"/>
  </r>
  <r>
    <x v="13"/>
    <x v="4"/>
    <n v="0"/>
    <x v="0"/>
    <x v="0"/>
    <x v="0"/>
    <x v="1"/>
  </r>
  <r>
    <x v="14"/>
    <x v="4"/>
    <n v="0"/>
    <x v="0"/>
    <x v="0"/>
    <x v="0"/>
    <x v="1"/>
  </r>
  <r>
    <x v="15"/>
    <x v="4"/>
    <n v="0"/>
    <x v="0"/>
    <x v="0"/>
    <x v="0"/>
    <x v="1"/>
  </r>
  <r>
    <x v="0"/>
    <x v="5"/>
    <n v="2628.56"/>
    <x v="0"/>
    <x v="0"/>
    <x v="0"/>
    <x v="1"/>
  </r>
  <r>
    <x v="1"/>
    <x v="5"/>
    <n v="3.5"/>
    <x v="0"/>
    <x v="0"/>
    <x v="0"/>
    <x v="1"/>
  </r>
  <r>
    <x v="2"/>
    <x v="5"/>
    <n v="3.5"/>
    <x v="0"/>
    <x v="0"/>
    <x v="0"/>
    <x v="1"/>
  </r>
  <r>
    <x v="3"/>
    <x v="5"/>
    <n v="128.75"/>
    <x v="0"/>
    <x v="0"/>
    <x v="0"/>
    <x v="1"/>
  </r>
  <r>
    <x v="4"/>
    <x v="5"/>
    <n v="128.75"/>
    <x v="0"/>
    <x v="0"/>
    <x v="0"/>
    <x v="1"/>
  </r>
  <r>
    <x v="5"/>
    <x v="5"/>
    <n v="131.13999999999999"/>
    <x v="0"/>
    <x v="0"/>
    <x v="0"/>
    <x v="1"/>
  </r>
  <r>
    <x v="6"/>
    <x v="5"/>
    <n v="131.13999999999999"/>
    <x v="0"/>
    <x v="0"/>
    <x v="0"/>
    <x v="1"/>
  </r>
  <r>
    <x v="7"/>
    <x v="5"/>
    <n v="48.2545"/>
    <x v="0"/>
    <x v="0"/>
    <x v="0"/>
    <x v="1"/>
  </r>
  <r>
    <x v="8"/>
    <x v="5"/>
    <n v="48.2545"/>
    <x v="0"/>
    <x v="0"/>
    <x v="0"/>
    <x v="1"/>
  </r>
  <r>
    <x v="9"/>
    <x v="5"/>
    <n v="0"/>
    <x v="0"/>
    <x v="0"/>
    <x v="0"/>
    <x v="1"/>
  </r>
  <r>
    <x v="10"/>
    <x v="5"/>
    <n v="0"/>
    <x v="0"/>
    <x v="0"/>
    <x v="0"/>
    <x v="1"/>
  </r>
  <r>
    <x v="11"/>
    <x v="5"/>
    <n v="1.5"/>
    <x v="0"/>
    <x v="0"/>
    <x v="0"/>
    <x v="1"/>
  </r>
  <r>
    <x v="12"/>
    <x v="5"/>
    <n v="1.5"/>
    <x v="0"/>
    <x v="0"/>
    <x v="0"/>
    <x v="1"/>
  </r>
  <r>
    <x v="13"/>
    <x v="5"/>
    <n v="0"/>
    <x v="0"/>
    <x v="0"/>
    <x v="0"/>
    <x v="1"/>
  </r>
  <r>
    <x v="14"/>
    <x v="5"/>
    <n v="0"/>
    <x v="0"/>
    <x v="0"/>
    <x v="0"/>
    <x v="1"/>
  </r>
  <r>
    <x v="15"/>
    <x v="5"/>
    <n v="0"/>
    <x v="0"/>
    <x v="0"/>
    <x v="0"/>
    <x v="1"/>
  </r>
  <r>
    <x v="0"/>
    <x v="6"/>
    <n v="232.5"/>
    <x v="0"/>
    <x v="0"/>
    <x v="0"/>
    <x v="1"/>
  </r>
  <r>
    <x v="1"/>
    <x v="6"/>
    <n v="1100"/>
    <x v="0"/>
    <x v="0"/>
    <x v="0"/>
    <x v="1"/>
  </r>
  <r>
    <x v="2"/>
    <x v="6"/>
    <n v="1100"/>
    <x v="0"/>
    <x v="0"/>
    <x v="0"/>
    <x v="1"/>
  </r>
  <r>
    <x v="3"/>
    <x v="6"/>
    <n v="0"/>
    <x v="0"/>
    <x v="0"/>
    <x v="0"/>
    <x v="1"/>
  </r>
  <r>
    <x v="4"/>
    <x v="6"/>
    <n v="0"/>
    <x v="0"/>
    <x v="0"/>
    <x v="0"/>
    <x v="1"/>
  </r>
  <r>
    <x v="5"/>
    <x v="6"/>
    <n v="0"/>
    <x v="0"/>
    <x v="0"/>
    <x v="0"/>
    <x v="1"/>
  </r>
  <r>
    <x v="6"/>
    <x v="6"/>
    <n v="0"/>
    <x v="0"/>
    <x v="0"/>
    <x v="0"/>
    <x v="1"/>
  </r>
  <r>
    <x v="7"/>
    <x v="6"/>
    <n v="0"/>
    <x v="0"/>
    <x v="0"/>
    <x v="0"/>
    <x v="1"/>
  </r>
  <r>
    <x v="8"/>
    <x v="6"/>
    <n v="0"/>
    <x v="0"/>
    <x v="0"/>
    <x v="0"/>
    <x v="1"/>
  </r>
  <r>
    <x v="9"/>
    <x v="6"/>
    <n v="0"/>
    <x v="0"/>
    <x v="0"/>
    <x v="0"/>
    <x v="1"/>
  </r>
  <r>
    <x v="10"/>
    <x v="6"/>
    <n v="0"/>
    <x v="0"/>
    <x v="0"/>
    <x v="0"/>
    <x v="1"/>
  </r>
  <r>
    <x v="11"/>
    <x v="6"/>
    <n v="0"/>
    <x v="0"/>
    <x v="0"/>
    <x v="0"/>
    <x v="1"/>
  </r>
  <r>
    <x v="12"/>
    <x v="6"/>
    <n v="0"/>
    <x v="0"/>
    <x v="0"/>
    <x v="0"/>
    <x v="1"/>
  </r>
  <r>
    <x v="13"/>
    <x v="6"/>
    <n v="0"/>
    <x v="0"/>
    <x v="0"/>
    <x v="0"/>
    <x v="1"/>
  </r>
  <r>
    <x v="14"/>
    <x v="6"/>
    <n v="0"/>
    <x v="0"/>
    <x v="0"/>
    <x v="0"/>
    <x v="1"/>
  </r>
  <r>
    <x v="15"/>
    <x v="6"/>
    <n v="0"/>
    <x v="0"/>
    <x v="0"/>
    <x v="0"/>
    <x v="1"/>
  </r>
  <r>
    <x v="0"/>
    <x v="7"/>
    <n v="14.85"/>
    <x v="0"/>
    <x v="0"/>
    <x v="0"/>
    <x v="1"/>
  </r>
  <r>
    <x v="1"/>
    <x v="7"/>
    <n v="0"/>
    <x v="0"/>
    <x v="0"/>
    <x v="0"/>
    <x v="1"/>
  </r>
  <r>
    <x v="2"/>
    <x v="7"/>
    <n v="0"/>
    <x v="0"/>
    <x v="0"/>
    <x v="0"/>
    <x v="1"/>
  </r>
  <r>
    <x v="3"/>
    <x v="7"/>
    <n v="0"/>
    <x v="0"/>
    <x v="0"/>
    <x v="0"/>
    <x v="1"/>
  </r>
  <r>
    <x v="4"/>
    <x v="7"/>
    <n v="0"/>
    <x v="0"/>
    <x v="0"/>
    <x v="0"/>
    <x v="1"/>
  </r>
  <r>
    <x v="5"/>
    <x v="7"/>
    <n v="0"/>
    <x v="0"/>
    <x v="0"/>
    <x v="0"/>
    <x v="1"/>
  </r>
  <r>
    <x v="6"/>
    <x v="7"/>
    <n v="0"/>
    <x v="0"/>
    <x v="0"/>
    <x v="0"/>
    <x v="1"/>
  </r>
  <r>
    <x v="7"/>
    <x v="7"/>
    <n v="0"/>
    <x v="0"/>
    <x v="0"/>
    <x v="0"/>
    <x v="1"/>
  </r>
  <r>
    <x v="8"/>
    <x v="7"/>
    <n v="0"/>
    <x v="0"/>
    <x v="0"/>
    <x v="0"/>
    <x v="1"/>
  </r>
  <r>
    <x v="9"/>
    <x v="7"/>
    <n v="0"/>
    <x v="0"/>
    <x v="0"/>
    <x v="0"/>
    <x v="1"/>
  </r>
  <r>
    <x v="10"/>
    <x v="7"/>
    <n v="0"/>
    <x v="0"/>
    <x v="0"/>
    <x v="0"/>
    <x v="1"/>
  </r>
  <r>
    <x v="11"/>
    <x v="7"/>
    <n v="0"/>
    <x v="0"/>
    <x v="0"/>
    <x v="0"/>
    <x v="1"/>
  </r>
  <r>
    <x v="12"/>
    <x v="7"/>
    <n v="0"/>
    <x v="0"/>
    <x v="0"/>
    <x v="0"/>
    <x v="1"/>
  </r>
  <r>
    <x v="13"/>
    <x v="7"/>
    <n v="0"/>
    <x v="0"/>
    <x v="0"/>
    <x v="0"/>
    <x v="1"/>
  </r>
  <r>
    <x v="14"/>
    <x v="7"/>
    <n v="0"/>
    <x v="0"/>
    <x v="0"/>
    <x v="0"/>
    <x v="1"/>
  </r>
  <r>
    <x v="15"/>
    <x v="7"/>
    <n v="0"/>
    <x v="0"/>
    <x v="0"/>
    <x v="0"/>
    <x v="1"/>
  </r>
  <r>
    <x v="0"/>
    <x v="8"/>
    <n v="15226.5"/>
    <x v="0"/>
    <x v="0"/>
    <x v="0"/>
    <x v="1"/>
  </r>
  <r>
    <x v="1"/>
    <x v="8"/>
    <n v="68343.100000000006"/>
    <x v="0"/>
    <x v="0"/>
    <x v="0"/>
    <x v="1"/>
  </r>
  <r>
    <x v="2"/>
    <x v="8"/>
    <n v="68343.100000000006"/>
    <x v="0"/>
    <x v="0"/>
    <x v="0"/>
    <x v="1"/>
  </r>
  <r>
    <x v="3"/>
    <x v="8"/>
    <n v="34091.9"/>
    <x v="0"/>
    <x v="0"/>
    <x v="0"/>
    <x v="1"/>
  </r>
  <r>
    <x v="4"/>
    <x v="8"/>
    <n v="34091.9"/>
    <x v="0"/>
    <x v="0"/>
    <x v="0"/>
    <x v="1"/>
  </r>
  <r>
    <x v="5"/>
    <x v="8"/>
    <n v="10504.4"/>
    <x v="0"/>
    <x v="0"/>
    <x v="0"/>
    <x v="1"/>
  </r>
  <r>
    <x v="6"/>
    <x v="8"/>
    <n v="10504.4"/>
    <x v="0"/>
    <x v="0"/>
    <x v="0"/>
    <x v="1"/>
  </r>
  <r>
    <x v="7"/>
    <x v="8"/>
    <n v="14722"/>
    <x v="0"/>
    <x v="0"/>
    <x v="0"/>
    <x v="1"/>
  </r>
  <r>
    <x v="8"/>
    <x v="8"/>
    <n v="14722"/>
    <x v="0"/>
    <x v="0"/>
    <x v="0"/>
    <x v="1"/>
  </r>
  <r>
    <x v="9"/>
    <x v="8"/>
    <n v="12753.4"/>
    <x v="0"/>
    <x v="0"/>
    <x v="0"/>
    <x v="1"/>
  </r>
  <r>
    <x v="10"/>
    <x v="8"/>
    <n v="12753.4"/>
    <x v="0"/>
    <x v="0"/>
    <x v="0"/>
    <x v="1"/>
  </r>
  <r>
    <x v="11"/>
    <x v="8"/>
    <n v="8522.6200000000008"/>
    <x v="0"/>
    <x v="0"/>
    <x v="0"/>
    <x v="1"/>
  </r>
  <r>
    <x v="12"/>
    <x v="8"/>
    <n v="8522.6200000000008"/>
    <x v="0"/>
    <x v="0"/>
    <x v="0"/>
    <x v="1"/>
  </r>
  <r>
    <x v="13"/>
    <x v="8"/>
    <n v="10552.2"/>
    <x v="0"/>
    <x v="0"/>
    <x v="0"/>
    <x v="1"/>
  </r>
  <r>
    <x v="14"/>
    <x v="8"/>
    <n v="10552.2"/>
    <x v="0"/>
    <x v="0"/>
    <x v="0"/>
    <x v="1"/>
  </r>
  <r>
    <x v="15"/>
    <x v="8"/>
    <n v="10552.2"/>
    <x v="0"/>
    <x v="0"/>
    <x v="0"/>
    <x v="1"/>
  </r>
  <r>
    <x v="0"/>
    <x v="9"/>
    <n v="35907.599999999999"/>
    <x v="0"/>
    <x v="0"/>
    <x v="0"/>
    <x v="1"/>
  </r>
  <r>
    <x v="1"/>
    <x v="9"/>
    <n v="99835.1"/>
    <x v="0"/>
    <x v="0"/>
    <x v="0"/>
    <x v="1"/>
  </r>
  <r>
    <x v="2"/>
    <x v="9"/>
    <n v="99835.1"/>
    <x v="0"/>
    <x v="0"/>
    <x v="0"/>
    <x v="1"/>
  </r>
  <r>
    <x v="3"/>
    <x v="9"/>
    <n v="12143.9"/>
    <x v="0"/>
    <x v="0"/>
    <x v="0"/>
    <x v="1"/>
  </r>
  <r>
    <x v="4"/>
    <x v="9"/>
    <n v="12143.9"/>
    <x v="0"/>
    <x v="0"/>
    <x v="0"/>
    <x v="1"/>
  </r>
  <r>
    <x v="5"/>
    <x v="9"/>
    <n v="31646.6"/>
    <x v="0"/>
    <x v="0"/>
    <x v="0"/>
    <x v="1"/>
  </r>
  <r>
    <x v="6"/>
    <x v="9"/>
    <n v="31646.6"/>
    <x v="0"/>
    <x v="0"/>
    <x v="0"/>
    <x v="1"/>
  </r>
  <r>
    <x v="7"/>
    <x v="9"/>
    <n v="25451.8"/>
    <x v="0"/>
    <x v="0"/>
    <x v="0"/>
    <x v="1"/>
  </r>
  <r>
    <x v="8"/>
    <x v="9"/>
    <n v="25451.8"/>
    <x v="0"/>
    <x v="0"/>
    <x v="0"/>
    <x v="1"/>
  </r>
  <r>
    <x v="9"/>
    <x v="9"/>
    <n v="14298"/>
    <x v="0"/>
    <x v="0"/>
    <x v="0"/>
    <x v="1"/>
  </r>
  <r>
    <x v="10"/>
    <x v="9"/>
    <n v="14298"/>
    <x v="0"/>
    <x v="0"/>
    <x v="0"/>
    <x v="1"/>
  </r>
  <r>
    <x v="11"/>
    <x v="9"/>
    <n v="15826.2"/>
    <x v="0"/>
    <x v="0"/>
    <x v="0"/>
    <x v="1"/>
  </r>
  <r>
    <x v="12"/>
    <x v="9"/>
    <n v="15826.2"/>
    <x v="0"/>
    <x v="0"/>
    <x v="0"/>
    <x v="1"/>
  </r>
  <r>
    <x v="13"/>
    <x v="9"/>
    <n v="29800.6"/>
    <x v="0"/>
    <x v="0"/>
    <x v="0"/>
    <x v="1"/>
  </r>
  <r>
    <x v="14"/>
    <x v="9"/>
    <n v="29800.6"/>
    <x v="0"/>
    <x v="0"/>
    <x v="0"/>
    <x v="1"/>
  </r>
  <r>
    <x v="15"/>
    <x v="9"/>
    <n v="29800.6"/>
    <x v="0"/>
    <x v="0"/>
    <x v="0"/>
    <x v="1"/>
  </r>
  <r>
    <x v="0"/>
    <x v="1"/>
    <n v="102.45"/>
    <x v="0"/>
    <x v="0"/>
    <x v="0"/>
    <x v="2"/>
  </r>
  <r>
    <x v="1"/>
    <x v="1"/>
    <n v="9.5"/>
    <x v="0"/>
    <x v="0"/>
    <x v="0"/>
    <x v="2"/>
  </r>
  <r>
    <x v="2"/>
    <x v="1"/>
    <n v="9.5"/>
    <x v="0"/>
    <x v="0"/>
    <x v="0"/>
    <x v="2"/>
  </r>
  <r>
    <x v="3"/>
    <x v="1"/>
    <n v="0"/>
    <x v="0"/>
    <x v="0"/>
    <x v="0"/>
    <x v="2"/>
  </r>
  <r>
    <x v="4"/>
    <x v="1"/>
    <n v="0"/>
    <x v="0"/>
    <x v="0"/>
    <x v="0"/>
    <x v="2"/>
  </r>
  <r>
    <x v="5"/>
    <x v="1"/>
    <n v="0"/>
    <x v="0"/>
    <x v="0"/>
    <x v="0"/>
    <x v="2"/>
  </r>
  <r>
    <x v="6"/>
    <x v="1"/>
    <n v="0"/>
    <x v="0"/>
    <x v="0"/>
    <x v="0"/>
    <x v="2"/>
  </r>
  <r>
    <x v="7"/>
    <x v="1"/>
    <n v="0"/>
    <x v="0"/>
    <x v="0"/>
    <x v="0"/>
    <x v="2"/>
  </r>
  <r>
    <x v="8"/>
    <x v="1"/>
    <n v="0"/>
    <x v="0"/>
    <x v="0"/>
    <x v="0"/>
    <x v="2"/>
  </r>
  <r>
    <x v="9"/>
    <x v="1"/>
    <n v="0"/>
    <x v="0"/>
    <x v="0"/>
    <x v="0"/>
    <x v="2"/>
  </r>
  <r>
    <x v="10"/>
    <x v="1"/>
    <n v="0"/>
    <x v="0"/>
    <x v="0"/>
    <x v="0"/>
    <x v="2"/>
  </r>
  <r>
    <x v="11"/>
    <x v="1"/>
    <n v="0"/>
    <x v="0"/>
    <x v="0"/>
    <x v="0"/>
    <x v="2"/>
  </r>
  <r>
    <x v="12"/>
    <x v="1"/>
    <n v="0"/>
    <x v="0"/>
    <x v="0"/>
    <x v="0"/>
    <x v="2"/>
  </r>
  <r>
    <x v="13"/>
    <x v="1"/>
    <n v="0"/>
    <x v="0"/>
    <x v="0"/>
    <x v="0"/>
    <x v="2"/>
  </r>
  <r>
    <x v="14"/>
    <x v="1"/>
    <n v="0"/>
    <x v="0"/>
    <x v="0"/>
    <x v="0"/>
    <x v="2"/>
  </r>
  <r>
    <x v="15"/>
    <x v="1"/>
    <n v="0"/>
    <x v="0"/>
    <x v="0"/>
    <x v="0"/>
    <x v="2"/>
  </r>
  <r>
    <x v="0"/>
    <x v="2"/>
    <n v="0"/>
    <x v="0"/>
    <x v="0"/>
    <x v="0"/>
    <x v="2"/>
  </r>
  <r>
    <x v="1"/>
    <x v="2"/>
    <n v="0"/>
    <x v="0"/>
    <x v="0"/>
    <x v="0"/>
    <x v="2"/>
  </r>
  <r>
    <x v="2"/>
    <x v="2"/>
    <n v="0"/>
    <x v="0"/>
    <x v="0"/>
    <x v="0"/>
    <x v="2"/>
  </r>
  <r>
    <x v="3"/>
    <x v="2"/>
    <n v="0"/>
    <x v="0"/>
    <x v="0"/>
    <x v="0"/>
    <x v="2"/>
  </r>
  <r>
    <x v="4"/>
    <x v="2"/>
    <n v="0"/>
    <x v="0"/>
    <x v="0"/>
    <x v="0"/>
    <x v="2"/>
  </r>
  <r>
    <x v="5"/>
    <x v="2"/>
    <n v="0"/>
    <x v="0"/>
    <x v="0"/>
    <x v="0"/>
    <x v="2"/>
  </r>
  <r>
    <x v="6"/>
    <x v="2"/>
    <n v="0"/>
    <x v="0"/>
    <x v="0"/>
    <x v="0"/>
    <x v="2"/>
  </r>
  <r>
    <x v="7"/>
    <x v="2"/>
    <n v="0"/>
    <x v="0"/>
    <x v="0"/>
    <x v="0"/>
    <x v="2"/>
  </r>
  <r>
    <x v="8"/>
    <x v="2"/>
    <n v="0"/>
    <x v="0"/>
    <x v="0"/>
    <x v="0"/>
    <x v="2"/>
  </r>
  <r>
    <x v="9"/>
    <x v="2"/>
    <n v="0"/>
    <x v="0"/>
    <x v="0"/>
    <x v="0"/>
    <x v="2"/>
  </r>
  <r>
    <x v="10"/>
    <x v="2"/>
    <n v="0"/>
    <x v="0"/>
    <x v="0"/>
    <x v="0"/>
    <x v="2"/>
  </r>
  <r>
    <x v="11"/>
    <x v="2"/>
    <n v="0"/>
    <x v="0"/>
    <x v="0"/>
    <x v="0"/>
    <x v="2"/>
  </r>
  <r>
    <x v="12"/>
    <x v="2"/>
    <n v="0"/>
    <x v="0"/>
    <x v="0"/>
    <x v="0"/>
    <x v="2"/>
  </r>
  <r>
    <x v="13"/>
    <x v="2"/>
    <n v="0"/>
    <x v="0"/>
    <x v="0"/>
    <x v="0"/>
    <x v="2"/>
  </r>
  <r>
    <x v="14"/>
    <x v="2"/>
    <n v="0"/>
    <x v="0"/>
    <x v="0"/>
    <x v="0"/>
    <x v="2"/>
  </r>
  <r>
    <x v="15"/>
    <x v="2"/>
    <n v="0"/>
    <x v="0"/>
    <x v="0"/>
    <x v="0"/>
    <x v="2"/>
  </r>
  <r>
    <x v="0"/>
    <x v="3"/>
    <n v="11184.73"/>
    <x v="0"/>
    <x v="0"/>
    <x v="0"/>
    <x v="2"/>
  </r>
  <r>
    <x v="1"/>
    <x v="3"/>
    <n v="0"/>
    <x v="0"/>
    <x v="0"/>
    <x v="0"/>
    <x v="2"/>
  </r>
  <r>
    <x v="2"/>
    <x v="3"/>
    <n v="0"/>
    <x v="0"/>
    <x v="0"/>
    <x v="0"/>
    <x v="2"/>
  </r>
  <r>
    <x v="3"/>
    <x v="3"/>
    <n v="0"/>
    <x v="0"/>
    <x v="0"/>
    <x v="0"/>
    <x v="2"/>
  </r>
  <r>
    <x v="4"/>
    <x v="3"/>
    <n v="0"/>
    <x v="0"/>
    <x v="0"/>
    <x v="0"/>
    <x v="2"/>
  </r>
  <r>
    <x v="5"/>
    <x v="3"/>
    <n v="0"/>
    <x v="0"/>
    <x v="0"/>
    <x v="0"/>
    <x v="2"/>
  </r>
  <r>
    <x v="6"/>
    <x v="3"/>
    <n v="0"/>
    <x v="0"/>
    <x v="0"/>
    <x v="0"/>
    <x v="2"/>
  </r>
  <r>
    <x v="7"/>
    <x v="3"/>
    <n v="0"/>
    <x v="0"/>
    <x v="0"/>
    <x v="0"/>
    <x v="2"/>
  </r>
  <r>
    <x v="8"/>
    <x v="3"/>
    <n v="0"/>
    <x v="0"/>
    <x v="0"/>
    <x v="0"/>
    <x v="2"/>
  </r>
  <r>
    <x v="9"/>
    <x v="3"/>
    <n v="0"/>
    <x v="0"/>
    <x v="0"/>
    <x v="0"/>
    <x v="2"/>
  </r>
  <r>
    <x v="10"/>
    <x v="3"/>
    <n v="0"/>
    <x v="0"/>
    <x v="0"/>
    <x v="0"/>
    <x v="2"/>
  </r>
  <r>
    <x v="11"/>
    <x v="3"/>
    <n v="0"/>
    <x v="0"/>
    <x v="0"/>
    <x v="0"/>
    <x v="2"/>
  </r>
  <r>
    <x v="12"/>
    <x v="3"/>
    <n v="0"/>
    <x v="0"/>
    <x v="0"/>
    <x v="0"/>
    <x v="2"/>
  </r>
  <r>
    <x v="13"/>
    <x v="3"/>
    <n v="0"/>
    <x v="0"/>
    <x v="0"/>
    <x v="0"/>
    <x v="2"/>
  </r>
  <r>
    <x v="14"/>
    <x v="3"/>
    <n v="0"/>
    <x v="0"/>
    <x v="0"/>
    <x v="0"/>
    <x v="2"/>
  </r>
  <r>
    <x v="15"/>
    <x v="3"/>
    <n v="0"/>
    <x v="0"/>
    <x v="0"/>
    <x v="0"/>
    <x v="2"/>
  </r>
  <r>
    <x v="0"/>
    <x v="4"/>
    <n v="0"/>
    <x v="0"/>
    <x v="0"/>
    <x v="0"/>
    <x v="2"/>
  </r>
  <r>
    <x v="1"/>
    <x v="4"/>
    <n v="0"/>
    <x v="0"/>
    <x v="0"/>
    <x v="0"/>
    <x v="2"/>
  </r>
  <r>
    <x v="2"/>
    <x v="4"/>
    <n v="0"/>
    <x v="0"/>
    <x v="0"/>
    <x v="0"/>
    <x v="2"/>
  </r>
  <r>
    <x v="3"/>
    <x v="4"/>
    <n v="0"/>
    <x v="0"/>
    <x v="0"/>
    <x v="0"/>
    <x v="2"/>
  </r>
  <r>
    <x v="4"/>
    <x v="4"/>
    <n v="0"/>
    <x v="0"/>
    <x v="0"/>
    <x v="0"/>
    <x v="2"/>
  </r>
  <r>
    <x v="5"/>
    <x v="4"/>
    <n v="0"/>
    <x v="0"/>
    <x v="0"/>
    <x v="0"/>
    <x v="2"/>
  </r>
  <r>
    <x v="6"/>
    <x v="4"/>
    <n v="0"/>
    <x v="0"/>
    <x v="0"/>
    <x v="0"/>
    <x v="2"/>
  </r>
  <r>
    <x v="7"/>
    <x v="4"/>
    <n v="0"/>
    <x v="0"/>
    <x v="0"/>
    <x v="0"/>
    <x v="2"/>
  </r>
  <r>
    <x v="8"/>
    <x v="4"/>
    <n v="0"/>
    <x v="0"/>
    <x v="0"/>
    <x v="0"/>
    <x v="2"/>
  </r>
  <r>
    <x v="9"/>
    <x v="4"/>
    <n v="0"/>
    <x v="0"/>
    <x v="0"/>
    <x v="0"/>
    <x v="2"/>
  </r>
  <r>
    <x v="10"/>
    <x v="4"/>
    <n v="0"/>
    <x v="0"/>
    <x v="0"/>
    <x v="0"/>
    <x v="2"/>
  </r>
  <r>
    <x v="11"/>
    <x v="4"/>
    <n v="0"/>
    <x v="0"/>
    <x v="0"/>
    <x v="0"/>
    <x v="2"/>
  </r>
  <r>
    <x v="12"/>
    <x v="4"/>
    <n v="0"/>
    <x v="0"/>
    <x v="0"/>
    <x v="0"/>
    <x v="2"/>
  </r>
  <r>
    <x v="13"/>
    <x v="4"/>
    <n v="0"/>
    <x v="0"/>
    <x v="0"/>
    <x v="0"/>
    <x v="2"/>
  </r>
  <r>
    <x v="14"/>
    <x v="4"/>
    <n v="0"/>
    <x v="0"/>
    <x v="0"/>
    <x v="0"/>
    <x v="2"/>
  </r>
  <r>
    <x v="15"/>
    <x v="4"/>
    <n v="0"/>
    <x v="0"/>
    <x v="0"/>
    <x v="0"/>
    <x v="2"/>
  </r>
  <r>
    <x v="0"/>
    <x v="5"/>
    <n v="2097.86"/>
    <x v="0"/>
    <x v="0"/>
    <x v="0"/>
    <x v="2"/>
  </r>
  <r>
    <x v="1"/>
    <x v="5"/>
    <n v="0.5"/>
    <x v="0"/>
    <x v="0"/>
    <x v="0"/>
    <x v="2"/>
  </r>
  <r>
    <x v="2"/>
    <x v="5"/>
    <n v="0.5"/>
    <x v="0"/>
    <x v="0"/>
    <x v="0"/>
    <x v="2"/>
  </r>
  <r>
    <x v="3"/>
    <x v="5"/>
    <n v="79.650000000000006"/>
    <x v="0"/>
    <x v="0"/>
    <x v="0"/>
    <x v="2"/>
  </r>
  <r>
    <x v="4"/>
    <x v="5"/>
    <n v="79.650000000000006"/>
    <x v="0"/>
    <x v="0"/>
    <x v="0"/>
    <x v="2"/>
  </r>
  <r>
    <x v="5"/>
    <x v="5"/>
    <n v="49.645000000000003"/>
    <x v="0"/>
    <x v="0"/>
    <x v="0"/>
    <x v="2"/>
  </r>
  <r>
    <x v="6"/>
    <x v="5"/>
    <n v="49.645000000000003"/>
    <x v="0"/>
    <x v="0"/>
    <x v="0"/>
    <x v="2"/>
  </r>
  <r>
    <x v="7"/>
    <x v="5"/>
    <n v="70"/>
    <x v="0"/>
    <x v="0"/>
    <x v="0"/>
    <x v="2"/>
  </r>
  <r>
    <x v="8"/>
    <x v="5"/>
    <n v="70"/>
    <x v="0"/>
    <x v="0"/>
    <x v="0"/>
    <x v="2"/>
  </r>
  <r>
    <x v="9"/>
    <x v="5"/>
    <n v="0"/>
    <x v="0"/>
    <x v="0"/>
    <x v="0"/>
    <x v="2"/>
  </r>
  <r>
    <x v="10"/>
    <x v="5"/>
    <n v="0"/>
    <x v="0"/>
    <x v="0"/>
    <x v="0"/>
    <x v="2"/>
  </r>
  <r>
    <x v="11"/>
    <x v="5"/>
    <n v="0"/>
    <x v="0"/>
    <x v="0"/>
    <x v="0"/>
    <x v="2"/>
  </r>
  <r>
    <x v="12"/>
    <x v="5"/>
    <n v="0"/>
    <x v="0"/>
    <x v="0"/>
    <x v="0"/>
    <x v="2"/>
  </r>
  <r>
    <x v="13"/>
    <x v="5"/>
    <n v="2"/>
    <x v="0"/>
    <x v="0"/>
    <x v="0"/>
    <x v="2"/>
  </r>
  <r>
    <x v="14"/>
    <x v="5"/>
    <n v="2"/>
    <x v="0"/>
    <x v="0"/>
    <x v="0"/>
    <x v="2"/>
  </r>
  <r>
    <x v="15"/>
    <x v="5"/>
    <n v="2"/>
    <x v="0"/>
    <x v="0"/>
    <x v="0"/>
    <x v="2"/>
  </r>
  <r>
    <x v="0"/>
    <x v="6"/>
    <n v="232.5"/>
    <x v="0"/>
    <x v="0"/>
    <x v="0"/>
    <x v="2"/>
  </r>
  <r>
    <x v="1"/>
    <x v="6"/>
    <n v="1100"/>
    <x v="0"/>
    <x v="0"/>
    <x v="0"/>
    <x v="2"/>
  </r>
  <r>
    <x v="2"/>
    <x v="6"/>
    <n v="1100"/>
    <x v="0"/>
    <x v="0"/>
    <x v="0"/>
    <x v="2"/>
  </r>
  <r>
    <x v="3"/>
    <x v="6"/>
    <n v="0"/>
    <x v="0"/>
    <x v="0"/>
    <x v="0"/>
    <x v="2"/>
  </r>
  <r>
    <x v="4"/>
    <x v="6"/>
    <n v="0"/>
    <x v="0"/>
    <x v="0"/>
    <x v="0"/>
    <x v="2"/>
  </r>
  <r>
    <x v="5"/>
    <x v="6"/>
    <n v="0"/>
    <x v="0"/>
    <x v="0"/>
    <x v="0"/>
    <x v="2"/>
  </r>
  <r>
    <x v="6"/>
    <x v="6"/>
    <n v="0"/>
    <x v="0"/>
    <x v="0"/>
    <x v="0"/>
    <x v="2"/>
  </r>
  <r>
    <x v="7"/>
    <x v="6"/>
    <n v="0"/>
    <x v="0"/>
    <x v="0"/>
    <x v="0"/>
    <x v="2"/>
  </r>
  <r>
    <x v="8"/>
    <x v="6"/>
    <n v="0"/>
    <x v="0"/>
    <x v="0"/>
    <x v="0"/>
    <x v="2"/>
  </r>
  <r>
    <x v="9"/>
    <x v="6"/>
    <n v="0"/>
    <x v="0"/>
    <x v="0"/>
    <x v="0"/>
    <x v="2"/>
  </r>
  <r>
    <x v="10"/>
    <x v="6"/>
    <n v="0"/>
    <x v="0"/>
    <x v="0"/>
    <x v="0"/>
    <x v="2"/>
  </r>
  <r>
    <x v="11"/>
    <x v="6"/>
    <n v="0"/>
    <x v="0"/>
    <x v="0"/>
    <x v="0"/>
    <x v="2"/>
  </r>
  <r>
    <x v="12"/>
    <x v="6"/>
    <n v="0"/>
    <x v="0"/>
    <x v="0"/>
    <x v="0"/>
    <x v="2"/>
  </r>
  <r>
    <x v="13"/>
    <x v="6"/>
    <n v="0"/>
    <x v="0"/>
    <x v="0"/>
    <x v="0"/>
    <x v="2"/>
  </r>
  <r>
    <x v="14"/>
    <x v="6"/>
    <n v="0"/>
    <x v="0"/>
    <x v="0"/>
    <x v="0"/>
    <x v="2"/>
  </r>
  <r>
    <x v="15"/>
    <x v="6"/>
    <n v="0"/>
    <x v="0"/>
    <x v="0"/>
    <x v="0"/>
    <x v="2"/>
  </r>
  <r>
    <x v="0"/>
    <x v="7"/>
    <n v="14.85"/>
    <x v="0"/>
    <x v="0"/>
    <x v="0"/>
    <x v="2"/>
  </r>
  <r>
    <x v="1"/>
    <x v="7"/>
    <n v="0"/>
    <x v="0"/>
    <x v="0"/>
    <x v="0"/>
    <x v="2"/>
  </r>
  <r>
    <x v="2"/>
    <x v="7"/>
    <n v="0"/>
    <x v="0"/>
    <x v="0"/>
    <x v="0"/>
    <x v="2"/>
  </r>
  <r>
    <x v="3"/>
    <x v="7"/>
    <n v="0"/>
    <x v="0"/>
    <x v="0"/>
    <x v="0"/>
    <x v="2"/>
  </r>
  <r>
    <x v="4"/>
    <x v="7"/>
    <n v="0"/>
    <x v="0"/>
    <x v="0"/>
    <x v="0"/>
    <x v="2"/>
  </r>
  <r>
    <x v="5"/>
    <x v="7"/>
    <n v="0"/>
    <x v="0"/>
    <x v="0"/>
    <x v="0"/>
    <x v="2"/>
  </r>
  <r>
    <x v="6"/>
    <x v="7"/>
    <n v="0"/>
    <x v="0"/>
    <x v="0"/>
    <x v="0"/>
    <x v="2"/>
  </r>
  <r>
    <x v="7"/>
    <x v="7"/>
    <n v="0"/>
    <x v="0"/>
    <x v="0"/>
    <x v="0"/>
    <x v="2"/>
  </r>
  <r>
    <x v="8"/>
    <x v="7"/>
    <n v="0"/>
    <x v="0"/>
    <x v="0"/>
    <x v="0"/>
    <x v="2"/>
  </r>
  <r>
    <x v="9"/>
    <x v="7"/>
    <n v="0"/>
    <x v="0"/>
    <x v="0"/>
    <x v="0"/>
    <x v="2"/>
  </r>
  <r>
    <x v="10"/>
    <x v="7"/>
    <n v="0"/>
    <x v="0"/>
    <x v="0"/>
    <x v="0"/>
    <x v="2"/>
  </r>
  <r>
    <x v="11"/>
    <x v="7"/>
    <n v="0"/>
    <x v="0"/>
    <x v="0"/>
    <x v="0"/>
    <x v="2"/>
  </r>
  <r>
    <x v="12"/>
    <x v="7"/>
    <n v="0"/>
    <x v="0"/>
    <x v="0"/>
    <x v="0"/>
    <x v="2"/>
  </r>
  <r>
    <x v="13"/>
    <x v="7"/>
    <n v="0"/>
    <x v="0"/>
    <x v="0"/>
    <x v="0"/>
    <x v="2"/>
  </r>
  <r>
    <x v="14"/>
    <x v="7"/>
    <n v="0"/>
    <x v="0"/>
    <x v="0"/>
    <x v="0"/>
    <x v="2"/>
  </r>
  <r>
    <x v="15"/>
    <x v="7"/>
    <n v="0"/>
    <x v="0"/>
    <x v="0"/>
    <x v="0"/>
    <x v="2"/>
  </r>
  <r>
    <x v="0"/>
    <x v="8"/>
    <n v="46114.6"/>
    <x v="0"/>
    <x v="0"/>
    <x v="0"/>
    <x v="2"/>
  </r>
  <r>
    <x v="1"/>
    <x v="8"/>
    <n v="101969"/>
    <x v="0"/>
    <x v="0"/>
    <x v="0"/>
    <x v="2"/>
  </r>
  <r>
    <x v="2"/>
    <x v="8"/>
    <n v="101969"/>
    <x v="0"/>
    <x v="0"/>
    <x v="0"/>
    <x v="2"/>
  </r>
  <r>
    <x v="3"/>
    <x v="8"/>
    <n v="8352.09"/>
    <x v="0"/>
    <x v="0"/>
    <x v="0"/>
    <x v="2"/>
  </r>
  <r>
    <x v="4"/>
    <x v="8"/>
    <n v="8352.09"/>
    <x v="0"/>
    <x v="0"/>
    <x v="0"/>
    <x v="2"/>
  </r>
  <r>
    <x v="5"/>
    <x v="8"/>
    <n v="24609.7"/>
    <x v="0"/>
    <x v="0"/>
    <x v="0"/>
    <x v="2"/>
  </r>
  <r>
    <x v="6"/>
    <x v="8"/>
    <n v="24609.7"/>
    <x v="0"/>
    <x v="0"/>
    <x v="0"/>
    <x v="2"/>
  </r>
  <r>
    <x v="7"/>
    <x v="8"/>
    <n v="11475.5"/>
    <x v="0"/>
    <x v="0"/>
    <x v="0"/>
    <x v="2"/>
  </r>
  <r>
    <x v="8"/>
    <x v="8"/>
    <n v="11475.5"/>
    <x v="0"/>
    <x v="0"/>
    <x v="0"/>
    <x v="2"/>
  </r>
  <r>
    <x v="9"/>
    <x v="8"/>
    <n v="13288.9"/>
    <x v="0"/>
    <x v="0"/>
    <x v="0"/>
    <x v="2"/>
  </r>
  <r>
    <x v="10"/>
    <x v="8"/>
    <n v="13288.9"/>
    <x v="0"/>
    <x v="0"/>
    <x v="0"/>
    <x v="2"/>
  </r>
  <r>
    <x v="11"/>
    <x v="8"/>
    <n v="11578.2"/>
    <x v="0"/>
    <x v="0"/>
    <x v="0"/>
    <x v="2"/>
  </r>
  <r>
    <x v="12"/>
    <x v="8"/>
    <n v="11578.2"/>
    <x v="0"/>
    <x v="0"/>
    <x v="0"/>
    <x v="2"/>
  </r>
  <r>
    <x v="13"/>
    <x v="8"/>
    <n v="13680.7"/>
    <x v="0"/>
    <x v="0"/>
    <x v="0"/>
    <x v="2"/>
  </r>
  <r>
    <x v="14"/>
    <x v="8"/>
    <n v="13680.7"/>
    <x v="0"/>
    <x v="0"/>
    <x v="0"/>
    <x v="2"/>
  </r>
  <r>
    <x v="15"/>
    <x v="8"/>
    <n v="13680.7"/>
    <x v="0"/>
    <x v="0"/>
    <x v="0"/>
    <x v="2"/>
  </r>
  <r>
    <x v="0"/>
    <x v="9"/>
    <n v="36558.400000000001"/>
    <x v="0"/>
    <x v="0"/>
    <x v="0"/>
    <x v="2"/>
  </r>
  <r>
    <x v="1"/>
    <x v="9"/>
    <n v="92920.8"/>
    <x v="0"/>
    <x v="0"/>
    <x v="0"/>
    <x v="2"/>
  </r>
  <r>
    <x v="2"/>
    <x v="9"/>
    <n v="92920.8"/>
    <x v="0"/>
    <x v="0"/>
    <x v="0"/>
    <x v="2"/>
  </r>
  <r>
    <x v="3"/>
    <x v="9"/>
    <n v="8673.77"/>
    <x v="0"/>
    <x v="0"/>
    <x v="0"/>
    <x v="2"/>
  </r>
  <r>
    <x v="4"/>
    <x v="9"/>
    <n v="8673.77"/>
    <x v="0"/>
    <x v="0"/>
    <x v="0"/>
    <x v="2"/>
  </r>
  <r>
    <x v="5"/>
    <x v="9"/>
    <n v="33008.5"/>
    <x v="0"/>
    <x v="0"/>
    <x v="0"/>
    <x v="2"/>
  </r>
  <r>
    <x v="6"/>
    <x v="9"/>
    <n v="33008.5"/>
    <x v="0"/>
    <x v="0"/>
    <x v="0"/>
    <x v="2"/>
  </r>
  <r>
    <x v="7"/>
    <x v="9"/>
    <n v="23350.400000000001"/>
    <x v="0"/>
    <x v="0"/>
    <x v="0"/>
    <x v="2"/>
  </r>
  <r>
    <x v="8"/>
    <x v="9"/>
    <n v="23350.400000000001"/>
    <x v="0"/>
    <x v="0"/>
    <x v="0"/>
    <x v="2"/>
  </r>
  <r>
    <x v="9"/>
    <x v="9"/>
    <n v="14015.2"/>
    <x v="0"/>
    <x v="0"/>
    <x v="0"/>
    <x v="2"/>
  </r>
  <r>
    <x v="10"/>
    <x v="9"/>
    <n v="14015.2"/>
    <x v="0"/>
    <x v="0"/>
    <x v="0"/>
    <x v="2"/>
  </r>
  <r>
    <x v="11"/>
    <x v="9"/>
    <n v="14769.6"/>
    <x v="0"/>
    <x v="0"/>
    <x v="0"/>
    <x v="2"/>
  </r>
  <r>
    <x v="12"/>
    <x v="9"/>
    <n v="14769.6"/>
    <x v="0"/>
    <x v="0"/>
    <x v="0"/>
    <x v="2"/>
  </r>
  <r>
    <x v="13"/>
    <x v="9"/>
    <n v="28428.1"/>
    <x v="0"/>
    <x v="0"/>
    <x v="0"/>
    <x v="2"/>
  </r>
  <r>
    <x v="14"/>
    <x v="9"/>
    <n v="28428.1"/>
    <x v="0"/>
    <x v="0"/>
    <x v="0"/>
    <x v="2"/>
  </r>
  <r>
    <x v="15"/>
    <x v="9"/>
    <n v="28428.1"/>
    <x v="0"/>
    <x v="0"/>
    <x v="0"/>
    <x v="2"/>
  </r>
  <r>
    <x v="0"/>
    <x v="1"/>
    <n v="102.45"/>
    <x v="2"/>
    <x v="0"/>
    <x v="0"/>
    <x v="0"/>
  </r>
  <r>
    <x v="1"/>
    <x v="1"/>
    <n v="9.5"/>
    <x v="2"/>
    <x v="0"/>
    <x v="0"/>
    <x v="0"/>
  </r>
  <r>
    <x v="2"/>
    <x v="1"/>
    <n v="9.5"/>
    <x v="2"/>
    <x v="0"/>
    <x v="0"/>
    <x v="0"/>
  </r>
  <r>
    <x v="3"/>
    <x v="1"/>
    <n v="0"/>
    <x v="2"/>
    <x v="0"/>
    <x v="0"/>
    <x v="0"/>
  </r>
  <r>
    <x v="4"/>
    <x v="1"/>
    <n v="0"/>
    <x v="2"/>
    <x v="0"/>
    <x v="0"/>
    <x v="0"/>
  </r>
  <r>
    <x v="5"/>
    <x v="1"/>
    <n v="0"/>
    <x v="2"/>
    <x v="0"/>
    <x v="0"/>
    <x v="0"/>
  </r>
  <r>
    <x v="6"/>
    <x v="1"/>
    <n v="0"/>
    <x v="2"/>
    <x v="0"/>
    <x v="0"/>
    <x v="0"/>
  </r>
  <r>
    <x v="7"/>
    <x v="1"/>
    <n v="0"/>
    <x v="2"/>
    <x v="0"/>
    <x v="0"/>
    <x v="0"/>
  </r>
  <r>
    <x v="8"/>
    <x v="1"/>
    <n v="0"/>
    <x v="2"/>
    <x v="0"/>
    <x v="0"/>
    <x v="0"/>
  </r>
  <r>
    <x v="9"/>
    <x v="1"/>
    <n v="0"/>
    <x v="2"/>
    <x v="0"/>
    <x v="0"/>
    <x v="0"/>
  </r>
  <r>
    <x v="10"/>
    <x v="1"/>
    <n v="0"/>
    <x v="2"/>
    <x v="0"/>
    <x v="0"/>
    <x v="0"/>
  </r>
  <r>
    <x v="11"/>
    <x v="1"/>
    <n v="0"/>
    <x v="2"/>
    <x v="0"/>
    <x v="0"/>
    <x v="0"/>
  </r>
  <r>
    <x v="12"/>
    <x v="1"/>
    <n v="0"/>
    <x v="2"/>
    <x v="0"/>
    <x v="0"/>
    <x v="0"/>
  </r>
  <r>
    <x v="13"/>
    <x v="1"/>
    <n v="0"/>
    <x v="2"/>
    <x v="0"/>
    <x v="0"/>
    <x v="0"/>
  </r>
  <r>
    <x v="14"/>
    <x v="1"/>
    <n v="0"/>
    <x v="2"/>
    <x v="0"/>
    <x v="0"/>
    <x v="0"/>
  </r>
  <r>
    <x v="15"/>
    <x v="1"/>
    <n v="0"/>
    <x v="2"/>
    <x v="0"/>
    <x v="0"/>
    <x v="0"/>
  </r>
  <r>
    <x v="0"/>
    <x v="2"/>
    <n v="0"/>
    <x v="2"/>
    <x v="0"/>
    <x v="0"/>
    <x v="0"/>
  </r>
  <r>
    <x v="1"/>
    <x v="2"/>
    <n v="0"/>
    <x v="2"/>
    <x v="0"/>
    <x v="0"/>
    <x v="0"/>
  </r>
  <r>
    <x v="2"/>
    <x v="2"/>
    <n v="0"/>
    <x v="2"/>
    <x v="0"/>
    <x v="0"/>
    <x v="0"/>
  </r>
  <r>
    <x v="3"/>
    <x v="2"/>
    <n v="0"/>
    <x v="2"/>
    <x v="0"/>
    <x v="0"/>
    <x v="0"/>
  </r>
  <r>
    <x v="4"/>
    <x v="2"/>
    <n v="0"/>
    <x v="2"/>
    <x v="0"/>
    <x v="0"/>
    <x v="0"/>
  </r>
  <r>
    <x v="5"/>
    <x v="2"/>
    <n v="0"/>
    <x v="2"/>
    <x v="0"/>
    <x v="0"/>
    <x v="0"/>
  </r>
  <r>
    <x v="6"/>
    <x v="2"/>
    <n v="0"/>
    <x v="2"/>
    <x v="0"/>
    <x v="0"/>
    <x v="0"/>
  </r>
  <r>
    <x v="7"/>
    <x v="2"/>
    <n v="0"/>
    <x v="2"/>
    <x v="0"/>
    <x v="0"/>
    <x v="0"/>
  </r>
  <r>
    <x v="8"/>
    <x v="2"/>
    <n v="0"/>
    <x v="2"/>
    <x v="0"/>
    <x v="0"/>
    <x v="0"/>
  </r>
  <r>
    <x v="9"/>
    <x v="2"/>
    <n v="0"/>
    <x v="2"/>
    <x v="0"/>
    <x v="0"/>
    <x v="0"/>
  </r>
  <r>
    <x v="10"/>
    <x v="2"/>
    <n v="0"/>
    <x v="2"/>
    <x v="0"/>
    <x v="0"/>
    <x v="0"/>
  </r>
  <r>
    <x v="11"/>
    <x v="2"/>
    <n v="0"/>
    <x v="2"/>
    <x v="0"/>
    <x v="0"/>
    <x v="0"/>
  </r>
  <r>
    <x v="12"/>
    <x v="2"/>
    <n v="0"/>
    <x v="2"/>
    <x v="0"/>
    <x v="0"/>
    <x v="0"/>
  </r>
  <r>
    <x v="13"/>
    <x v="2"/>
    <n v="0"/>
    <x v="2"/>
    <x v="0"/>
    <x v="0"/>
    <x v="0"/>
  </r>
  <r>
    <x v="14"/>
    <x v="2"/>
    <n v="0"/>
    <x v="2"/>
    <x v="0"/>
    <x v="0"/>
    <x v="0"/>
  </r>
  <r>
    <x v="15"/>
    <x v="2"/>
    <n v="0"/>
    <x v="2"/>
    <x v="0"/>
    <x v="0"/>
    <x v="0"/>
  </r>
  <r>
    <x v="0"/>
    <x v="3"/>
    <n v="13923.83"/>
    <x v="2"/>
    <x v="0"/>
    <x v="0"/>
    <x v="0"/>
  </r>
  <r>
    <x v="1"/>
    <x v="3"/>
    <n v="9875.68"/>
    <x v="2"/>
    <x v="0"/>
    <x v="0"/>
    <x v="0"/>
  </r>
  <r>
    <x v="2"/>
    <x v="3"/>
    <n v="9875.68"/>
    <x v="2"/>
    <x v="0"/>
    <x v="0"/>
    <x v="0"/>
  </r>
  <r>
    <x v="3"/>
    <x v="3"/>
    <n v="3446.54"/>
    <x v="2"/>
    <x v="0"/>
    <x v="0"/>
    <x v="0"/>
  </r>
  <r>
    <x v="4"/>
    <x v="3"/>
    <n v="3446.54"/>
    <x v="2"/>
    <x v="0"/>
    <x v="0"/>
    <x v="0"/>
  </r>
  <r>
    <x v="5"/>
    <x v="3"/>
    <n v="257.83600000000001"/>
    <x v="2"/>
    <x v="0"/>
    <x v="0"/>
    <x v="0"/>
  </r>
  <r>
    <x v="6"/>
    <x v="3"/>
    <n v="257.83600000000001"/>
    <x v="2"/>
    <x v="0"/>
    <x v="0"/>
    <x v="0"/>
  </r>
  <r>
    <x v="7"/>
    <x v="3"/>
    <n v="0"/>
    <x v="2"/>
    <x v="0"/>
    <x v="0"/>
    <x v="0"/>
  </r>
  <r>
    <x v="8"/>
    <x v="3"/>
    <n v="0"/>
    <x v="2"/>
    <x v="0"/>
    <x v="0"/>
    <x v="0"/>
  </r>
  <r>
    <x v="9"/>
    <x v="3"/>
    <n v="0"/>
    <x v="2"/>
    <x v="0"/>
    <x v="0"/>
    <x v="0"/>
  </r>
  <r>
    <x v="10"/>
    <x v="3"/>
    <n v="0"/>
    <x v="2"/>
    <x v="0"/>
    <x v="0"/>
    <x v="0"/>
  </r>
  <r>
    <x v="11"/>
    <x v="3"/>
    <n v="0"/>
    <x v="2"/>
    <x v="0"/>
    <x v="0"/>
    <x v="0"/>
  </r>
  <r>
    <x v="12"/>
    <x v="3"/>
    <n v="0"/>
    <x v="2"/>
    <x v="0"/>
    <x v="0"/>
    <x v="0"/>
  </r>
  <r>
    <x v="13"/>
    <x v="3"/>
    <n v="0"/>
    <x v="2"/>
    <x v="0"/>
    <x v="0"/>
    <x v="0"/>
  </r>
  <r>
    <x v="14"/>
    <x v="3"/>
    <n v="0"/>
    <x v="2"/>
    <x v="0"/>
    <x v="0"/>
    <x v="0"/>
  </r>
  <r>
    <x v="15"/>
    <x v="3"/>
    <n v="0"/>
    <x v="2"/>
    <x v="0"/>
    <x v="0"/>
    <x v="0"/>
  </r>
  <r>
    <x v="0"/>
    <x v="4"/>
    <n v="0"/>
    <x v="2"/>
    <x v="0"/>
    <x v="0"/>
    <x v="0"/>
  </r>
  <r>
    <x v="1"/>
    <x v="4"/>
    <n v="0"/>
    <x v="2"/>
    <x v="0"/>
    <x v="0"/>
    <x v="0"/>
  </r>
  <r>
    <x v="2"/>
    <x v="4"/>
    <n v="0"/>
    <x v="2"/>
    <x v="0"/>
    <x v="0"/>
    <x v="0"/>
  </r>
  <r>
    <x v="3"/>
    <x v="4"/>
    <n v="0"/>
    <x v="2"/>
    <x v="0"/>
    <x v="0"/>
    <x v="0"/>
  </r>
  <r>
    <x v="4"/>
    <x v="4"/>
    <n v="0"/>
    <x v="2"/>
    <x v="0"/>
    <x v="0"/>
    <x v="0"/>
  </r>
  <r>
    <x v="5"/>
    <x v="4"/>
    <n v="0"/>
    <x v="2"/>
    <x v="0"/>
    <x v="0"/>
    <x v="0"/>
  </r>
  <r>
    <x v="6"/>
    <x v="4"/>
    <n v="0"/>
    <x v="2"/>
    <x v="0"/>
    <x v="0"/>
    <x v="0"/>
  </r>
  <r>
    <x v="7"/>
    <x v="4"/>
    <n v="0"/>
    <x v="2"/>
    <x v="0"/>
    <x v="0"/>
    <x v="0"/>
  </r>
  <r>
    <x v="8"/>
    <x v="4"/>
    <n v="0"/>
    <x v="2"/>
    <x v="0"/>
    <x v="0"/>
    <x v="0"/>
  </r>
  <r>
    <x v="9"/>
    <x v="4"/>
    <n v="0"/>
    <x v="2"/>
    <x v="0"/>
    <x v="0"/>
    <x v="0"/>
  </r>
  <r>
    <x v="10"/>
    <x v="4"/>
    <n v="0"/>
    <x v="2"/>
    <x v="0"/>
    <x v="0"/>
    <x v="0"/>
  </r>
  <r>
    <x v="11"/>
    <x v="4"/>
    <n v="0"/>
    <x v="2"/>
    <x v="0"/>
    <x v="0"/>
    <x v="0"/>
  </r>
  <r>
    <x v="12"/>
    <x v="4"/>
    <n v="0"/>
    <x v="2"/>
    <x v="0"/>
    <x v="0"/>
    <x v="0"/>
  </r>
  <r>
    <x v="13"/>
    <x v="4"/>
    <n v="0"/>
    <x v="2"/>
    <x v="0"/>
    <x v="0"/>
    <x v="0"/>
  </r>
  <r>
    <x v="14"/>
    <x v="4"/>
    <n v="0"/>
    <x v="2"/>
    <x v="0"/>
    <x v="0"/>
    <x v="0"/>
  </r>
  <r>
    <x v="15"/>
    <x v="4"/>
    <n v="0"/>
    <x v="2"/>
    <x v="0"/>
    <x v="0"/>
    <x v="0"/>
  </r>
  <r>
    <x v="0"/>
    <x v="5"/>
    <n v="1835.86"/>
    <x v="2"/>
    <x v="0"/>
    <x v="0"/>
    <x v="0"/>
  </r>
  <r>
    <x v="1"/>
    <x v="5"/>
    <n v="0"/>
    <x v="2"/>
    <x v="0"/>
    <x v="0"/>
    <x v="0"/>
  </r>
  <r>
    <x v="2"/>
    <x v="5"/>
    <n v="0"/>
    <x v="2"/>
    <x v="0"/>
    <x v="0"/>
    <x v="0"/>
  </r>
  <r>
    <x v="3"/>
    <x v="5"/>
    <n v="53.5"/>
    <x v="2"/>
    <x v="0"/>
    <x v="0"/>
    <x v="0"/>
  </r>
  <r>
    <x v="4"/>
    <x v="5"/>
    <n v="53.5"/>
    <x v="2"/>
    <x v="0"/>
    <x v="0"/>
    <x v="0"/>
  </r>
  <r>
    <x v="5"/>
    <x v="5"/>
    <n v="19"/>
    <x v="2"/>
    <x v="0"/>
    <x v="0"/>
    <x v="0"/>
  </r>
  <r>
    <x v="6"/>
    <x v="5"/>
    <n v="19"/>
    <x v="2"/>
    <x v="0"/>
    <x v="0"/>
    <x v="0"/>
  </r>
  <r>
    <x v="7"/>
    <x v="5"/>
    <n v="25"/>
    <x v="2"/>
    <x v="0"/>
    <x v="0"/>
    <x v="0"/>
  </r>
  <r>
    <x v="8"/>
    <x v="5"/>
    <n v="25"/>
    <x v="2"/>
    <x v="0"/>
    <x v="0"/>
    <x v="0"/>
  </r>
  <r>
    <x v="9"/>
    <x v="5"/>
    <n v="0"/>
    <x v="2"/>
    <x v="0"/>
    <x v="0"/>
    <x v="0"/>
  </r>
  <r>
    <x v="10"/>
    <x v="5"/>
    <n v="0"/>
    <x v="2"/>
    <x v="0"/>
    <x v="0"/>
    <x v="0"/>
  </r>
  <r>
    <x v="11"/>
    <x v="5"/>
    <n v="0"/>
    <x v="2"/>
    <x v="0"/>
    <x v="0"/>
    <x v="0"/>
  </r>
  <r>
    <x v="12"/>
    <x v="5"/>
    <n v="0"/>
    <x v="2"/>
    <x v="0"/>
    <x v="0"/>
    <x v="0"/>
  </r>
  <r>
    <x v="13"/>
    <x v="5"/>
    <n v="0"/>
    <x v="2"/>
    <x v="0"/>
    <x v="0"/>
    <x v="0"/>
  </r>
  <r>
    <x v="14"/>
    <x v="5"/>
    <n v="0"/>
    <x v="2"/>
    <x v="0"/>
    <x v="0"/>
    <x v="0"/>
  </r>
  <r>
    <x v="15"/>
    <x v="5"/>
    <n v="0"/>
    <x v="2"/>
    <x v="0"/>
    <x v="0"/>
    <x v="0"/>
  </r>
  <r>
    <x v="0"/>
    <x v="6"/>
    <n v="232.5"/>
    <x v="2"/>
    <x v="0"/>
    <x v="0"/>
    <x v="0"/>
  </r>
  <r>
    <x v="1"/>
    <x v="6"/>
    <n v="1100"/>
    <x v="2"/>
    <x v="0"/>
    <x v="0"/>
    <x v="0"/>
  </r>
  <r>
    <x v="2"/>
    <x v="6"/>
    <n v="1100"/>
    <x v="2"/>
    <x v="0"/>
    <x v="0"/>
    <x v="0"/>
  </r>
  <r>
    <x v="3"/>
    <x v="6"/>
    <n v="0"/>
    <x v="2"/>
    <x v="0"/>
    <x v="0"/>
    <x v="0"/>
  </r>
  <r>
    <x v="4"/>
    <x v="6"/>
    <n v="0"/>
    <x v="2"/>
    <x v="0"/>
    <x v="0"/>
    <x v="0"/>
  </r>
  <r>
    <x v="5"/>
    <x v="6"/>
    <n v="0"/>
    <x v="2"/>
    <x v="0"/>
    <x v="0"/>
    <x v="0"/>
  </r>
  <r>
    <x v="6"/>
    <x v="6"/>
    <n v="0"/>
    <x v="2"/>
    <x v="0"/>
    <x v="0"/>
    <x v="0"/>
  </r>
  <r>
    <x v="7"/>
    <x v="6"/>
    <n v="0"/>
    <x v="2"/>
    <x v="0"/>
    <x v="0"/>
    <x v="0"/>
  </r>
  <r>
    <x v="8"/>
    <x v="6"/>
    <n v="0"/>
    <x v="2"/>
    <x v="0"/>
    <x v="0"/>
    <x v="0"/>
  </r>
  <r>
    <x v="9"/>
    <x v="6"/>
    <n v="0"/>
    <x v="2"/>
    <x v="0"/>
    <x v="0"/>
    <x v="0"/>
  </r>
  <r>
    <x v="10"/>
    <x v="6"/>
    <n v="0"/>
    <x v="2"/>
    <x v="0"/>
    <x v="0"/>
    <x v="0"/>
  </r>
  <r>
    <x v="11"/>
    <x v="6"/>
    <n v="0"/>
    <x v="2"/>
    <x v="0"/>
    <x v="0"/>
    <x v="0"/>
  </r>
  <r>
    <x v="12"/>
    <x v="6"/>
    <n v="0"/>
    <x v="2"/>
    <x v="0"/>
    <x v="0"/>
    <x v="0"/>
  </r>
  <r>
    <x v="13"/>
    <x v="6"/>
    <n v="0"/>
    <x v="2"/>
    <x v="0"/>
    <x v="0"/>
    <x v="0"/>
  </r>
  <r>
    <x v="14"/>
    <x v="6"/>
    <n v="0"/>
    <x v="2"/>
    <x v="0"/>
    <x v="0"/>
    <x v="0"/>
  </r>
  <r>
    <x v="15"/>
    <x v="6"/>
    <n v="0"/>
    <x v="2"/>
    <x v="0"/>
    <x v="0"/>
    <x v="0"/>
  </r>
  <r>
    <x v="0"/>
    <x v="7"/>
    <n v="14.85"/>
    <x v="2"/>
    <x v="0"/>
    <x v="0"/>
    <x v="0"/>
  </r>
  <r>
    <x v="1"/>
    <x v="7"/>
    <n v="0"/>
    <x v="2"/>
    <x v="0"/>
    <x v="0"/>
    <x v="0"/>
  </r>
  <r>
    <x v="2"/>
    <x v="7"/>
    <n v="0"/>
    <x v="2"/>
    <x v="0"/>
    <x v="0"/>
    <x v="0"/>
  </r>
  <r>
    <x v="3"/>
    <x v="7"/>
    <n v="0"/>
    <x v="2"/>
    <x v="0"/>
    <x v="0"/>
    <x v="0"/>
  </r>
  <r>
    <x v="4"/>
    <x v="7"/>
    <n v="0"/>
    <x v="2"/>
    <x v="0"/>
    <x v="0"/>
    <x v="0"/>
  </r>
  <r>
    <x v="5"/>
    <x v="7"/>
    <n v="0"/>
    <x v="2"/>
    <x v="0"/>
    <x v="0"/>
    <x v="0"/>
  </r>
  <r>
    <x v="6"/>
    <x v="7"/>
    <n v="0"/>
    <x v="2"/>
    <x v="0"/>
    <x v="0"/>
    <x v="0"/>
  </r>
  <r>
    <x v="7"/>
    <x v="7"/>
    <n v="0"/>
    <x v="2"/>
    <x v="0"/>
    <x v="0"/>
    <x v="0"/>
  </r>
  <r>
    <x v="8"/>
    <x v="7"/>
    <n v="0"/>
    <x v="2"/>
    <x v="0"/>
    <x v="0"/>
    <x v="0"/>
  </r>
  <r>
    <x v="9"/>
    <x v="7"/>
    <n v="0"/>
    <x v="2"/>
    <x v="0"/>
    <x v="0"/>
    <x v="0"/>
  </r>
  <r>
    <x v="10"/>
    <x v="7"/>
    <n v="0"/>
    <x v="2"/>
    <x v="0"/>
    <x v="0"/>
    <x v="0"/>
  </r>
  <r>
    <x v="11"/>
    <x v="7"/>
    <n v="0"/>
    <x v="2"/>
    <x v="0"/>
    <x v="0"/>
    <x v="0"/>
  </r>
  <r>
    <x v="12"/>
    <x v="7"/>
    <n v="0"/>
    <x v="2"/>
    <x v="0"/>
    <x v="0"/>
    <x v="0"/>
  </r>
  <r>
    <x v="13"/>
    <x v="7"/>
    <n v="0"/>
    <x v="2"/>
    <x v="0"/>
    <x v="0"/>
    <x v="0"/>
  </r>
  <r>
    <x v="14"/>
    <x v="7"/>
    <n v="0"/>
    <x v="2"/>
    <x v="0"/>
    <x v="0"/>
    <x v="0"/>
  </r>
  <r>
    <x v="15"/>
    <x v="7"/>
    <n v="0"/>
    <x v="2"/>
    <x v="0"/>
    <x v="0"/>
    <x v="0"/>
  </r>
  <r>
    <x v="0"/>
    <x v="8"/>
    <n v="10227.299999999999"/>
    <x v="2"/>
    <x v="0"/>
    <x v="0"/>
    <x v="0"/>
  </r>
  <r>
    <x v="1"/>
    <x v="8"/>
    <n v="3575.41"/>
    <x v="2"/>
    <x v="0"/>
    <x v="0"/>
    <x v="0"/>
  </r>
  <r>
    <x v="2"/>
    <x v="8"/>
    <n v="3575.41"/>
    <x v="2"/>
    <x v="0"/>
    <x v="0"/>
    <x v="0"/>
  </r>
  <r>
    <x v="3"/>
    <x v="8"/>
    <n v="17608.3"/>
    <x v="2"/>
    <x v="0"/>
    <x v="0"/>
    <x v="0"/>
  </r>
  <r>
    <x v="4"/>
    <x v="8"/>
    <n v="17608.3"/>
    <x v="2"/>
    <x v="0"/>
    <x v="0"/>
    <x v="0"/>
  </r>
  <r>
    <x v="5"/>
    <x v="8"/>
    <n v="43241.599999999999"/>
    <x v="2"/>
    <x v="0"/>
    <x v="0"/>
    <x v="0"/>
  </r>
  <r>
    <x v="6"/>
    <x v="8"/>
    <n v="43241.599999999999"/>
    <x v="2"/>
    <x v="0"/>
    <x v="0"/>
    <x v="0"/>
  </r>
  <r>
    <x v="7"/>
    <x v="8"/>
    <n v="35764.1"/>
    <x v="2"/>
    <x v="0"/>
    <x v="0"/>
    <x v="0"/>
  </r>
  <r>
    <x v="8"/>
    <x v="8"/>
    <n v="35764.1"/>
    <x v="2"/>
    <x v="0"/>
    <x v="0"/>
    <x v="0"/>
  </r>
  <r>
    <x v="9"/>
    <x v="8"/>
    <n v="45329.3"/>
    <x v="2"/>
    <x v="0"/>
    <x v="0"/>
    <x v="0"/>
  </r>
  <r>
    <x v="10"/>
    <x v="8"/>
    <n v="45329.3"/>
    <x v="2"/>
    <x v="0"/>
    <x v="0"/>
    <x v="0"/>
  </r>
  <r>
    <x v="11"/>
    <x v="8"/>
    <n v="28573.5"/>
    <x v="2"/>
    <x v="0"/>
    <x v="0"/>
    <x v="0"/>
  </r>
  <r>
    <x v="12"/>
    <x v="8"/>
    <n v="28573.5"/>
    <x v="2"/>
    <x v="0"/>
    <x v="0"/>
    <x v="0"/>
  </r>
  <r>
    <x v="13"/>
    <x v="8"/>
    <n v="27246"/>
    <x v="2"/>
    <x v="0"/>
    <x v="0"/>
    <x v="0"/>
  </r>
  <r>
    <x v="14"/>
    <x v="8"/>
    <n v="27246"/>
    <x v="2"/>
    <x v="0"/>
    <x v="0"/>
    <x v="0"/>
  </r>
  <r>
    <x v="15"/>
    <x v="8"/>
    <n v="27246"/>
    <x v="2"/>
    <x v="0"/>
    <x v="0"/>
    <x v="0"/>
  </r>
  <r>
    <x v="0"/>
    <x v="9"/>
    <n v="10377.5"/>
    <x v="2"/>
    <x v="0"/>
    <x v="0"/>
    <x v="0"/>
  </r>
  <r>
    <x v="1"/>
    <x v="9"/>
    <n v="2685.5"/>
    <x v="2"/>
    <x v="0"/>
    <x v="0"/>
    <x v="0"/>
  </r>
  <r>
    <x v="2"/>
    <x v="9"/>
    <n v="2685.5"/>
    <x v="2"/>
    <x v="0"/>
    <x v="0"/>
    <x v="0"/>
  </r>
  <r>
    <x v="3"/>
    <x v="9"/>
    <n v="2545.77"/>
    <x v="2"/>
    <x v="0"/>
    <x v="0"/>
    <x v="0"/>
  </r>
  <r>
    <x v="4"/>
    <x v="9"/>
    <n v="2545.77"/>
    <x v="2"/>
    <x v="0"/>
    <x v="0"/>
    <x v="0"/>
  </r>
  <r>
    <x v="5"/>
    <x v="9"/>
    <n v="3794.17"/>
    <x v="2"/>
    <x v="0"/>
    <x v="0"/>
    <x v="0"/>
  </r>
  <r>
    <x v="6"/>
    <x v="9"/>
    <n v="3794.17"/>
    <x v="2"/>
    <x v="0"/>
    <x v="0"/>
    <x v="0"/>
  </r>
  <r>
    <x v="7"/>
    <x v="9"/>
    <n v="11687.9"/>
    <x v="2"/>
    <x v="0"/>
    <x v="0"/>
    <x v="0"/>
  </r>
  <r>
    <x v="8"/>
    <x v="9"/>
    <n v="11687.9"/>
    <x v="2"/>
    <x v="0"/>
    <x v="0"/>
    <x v="0"/>
  </r>
  <r>
    <x v="9"/>
    <x v="9"/>
    <n v="10509.3"/>
    <x v="2"/>
    <x v="0"/>
    <x v="0"/>
    <x v="0"/>
  </r>
  <r>
    <x v="10"/>
    <x v="9"/>
    <n v="10509.3"/>
    <x v="2"/>
    <x v="0"/>
    <x v="0"/>
    <x v="0"/>
  </r>
  <r>
    <x v="11"/>
    <x v="9"/>
    <n v="12768.6"/>
    <x v="2"/>
    <x v="0"/>
    <x v="0"/>
    <x v="0"/>
  </r>
  <r>
    <x v="12"/>
    <x v="9"/>
    <n v="12768.6"/>
    <x v="2"/>
    <x v="0"/>
    <x v="0"/>
    <x v="0"/>
  </r>
  <r>
    <x v="13"/>
    <x v="9"/>
    <n v="16694.3"/>
    <x v="2"/>
    <x v="0"/>
    <x v="0"/>
    <x v="0"/>
  </r>
  <r>
    <x v="14"/>
    <x v="9"/>
    <n v="16694.3"/>
    <x v="2"/>
    <x v="0"/>
    <x v="0"/>
    <x v="0"/>
  </r>
  <r>
    <x v="15"/>
    <x v="9"/>
    <n v="16694.3"/>
    <x v="2"/>
    <x v="0"/>
    <x v="0"/>
    <x v="0"/>
  </r>
  <r>
    <x v="0"/>
    <x v="1"/>
    <n v="102.45"/>
    <x v="2"/>
    <x v="0"/>
    <x v="0"/>
    <x v="1"/>
  </r>
  <r>
    <x v="1"/>
    <x v="1"/>
    <n v="9.5"/>
    <x v="2"/>
    <x v="0"/>
    <x v="0"/>
    <x v="1"/>
  </r>
  <r>
    <x v="2"/>
    <x v="1"/>
    <n v="9.5"/>
    <x v="2"/>
    <x v="0"/>
    <x v="0"/>
    <x v="1"/>
  </r>
  <r>
    <x v="3"/>
    <x v="1"/>
    <n v="0"/>
    <x v="2"/>
    <x v="0"/>
    <x v="0"/>
    <x v="1"/>
  </r>
  <r>
    <x v="4"/>
    <x v="1"/>
    <n v="0"/>
    <x v="2"/>
    <x v="0"/>
    <x v="0"/>
    <x v="1"/>
  </r>
  <r>
    <x v="5"/>
    <x v="1"/>
    <n v="0"/>
    <x v="2"/>
    <x v="0"/>
    <x v="0"/>
    <x v="1"/>
  </r>
  <r>
    <x v="6"/>
    <x v="1"/>
    <n v="0"/>
    <x v="2"/>
    <x v="0"/>
    <x v="0"/>
    <x v="1"/>
  </r>
  <r>
    <x v="7"/>
    <x v="1"/>
    <n v="0"/>
    <x v="2"/>
    <x v="0"/>
    <x v="0"/>
    <x v="1"/>
  </r>
  <r>
    <x v="8"/>
    <x v="1"/>
    <n v="0"/>
    <x v="2"/>
    <x v="0"/>
    <x v="0"/>
    <x v="1"/>
  </r>
  <r>
    <x v="9"/>
    <x v="1"/>
    <n v="0"/>
    <x v="2"/>
    <x v="0"/>
    <x v="0"/>
    <x v="1"/>
  </r>
  <r>
    <x v="10"/>
    <x v="1"/>
    <n v="0"/>
    <x v="2"/>
    <x v="0"/>
    <x v="0"/>
    <x v="1"/>
  </r>
  <r>
    <x v="11"/>
    <x v="1"/>
    <n v="0"/>
    <x v="2"/>
    <x v="0"/>
    <x v="0"/>
    <x v="1"/>
  </r>
  <r>
    <x v="12"/>
    <x v="1"/>
    <n v="0"/>
    <x v="2"/>
    <x v="0"/>
    <x v="0"/>
    <x v="1"/>
  </r>
  <r>
    <x v="13"/>
    <x v="1"/>
    <n v="0"/>
    <x v="2"/>
    <x v="0"/>
    <x v="0"/>
    <x v="1"/>
  </r>
  <r>
    <x v="14"/>
    <x v="1"/>
    <n v="0"/>
    <x v="2"/>
    <x v="0"/>
    <x v="0"/>
    <x v="1"/>
  </r>
  <r>
    <x v="15"/>
    <x v="1"/>
    <n v="0"/>
    <x v="2"/>
    <x v="0"/>
    <x v="0"/>
    <x v="1"/>
  </r>
  <r>
    <x v="0"/>
    <x v="2"/>
    <n v="0"/>
    <x v="2"/>
    <x v="0"/>
    <x v="0"/>
    <x v="1"/>
  </r>
  <r>
    <x v="1"/>
    <x v="2"/>
    <n v="0"/>
    <x v="2"/>
    <x v="0"/>
    <x v="0"/>
    <x v="1"/>
  </r>
  <r>
    <x v="2"/>
    <x v="2"/>
    <n v="0"/>
    <x v="2"/>
    <x v="0"/>
    <x v="0"/>
    <x v="1"/>
  </r>
  <r>
    <x v="3"/>
    <x v="2"/>
    <n v="0"/>
    <x v="2"/>
    <x v="0"/>
    <x v="0"/>
    <x v="1"/>
  </r>
  <r>
    <x v="4"/>
    <x v="2"/>
    <n v="0"/>
    <x v="2"/>
    <x v="0"/>
    <x v="0"/>
    <x v="1"/>
  </r>
  <r>
    <x v="5"/>
    <x v="2"/>
    <n v="0"/>
    <x v="2"/>
    <x v="0"/>
    <x v="0"/>
    <x v="1"/>
  </r>
  <r>
    <x v="6"/>
    <x v="2"/>
    <n v="0"/>
    <x v="2"/>
    <x v="0"/>
    <x v="0"/>
    <x v="1"/>
  </r>
  <r>
    <x v="7"/>
    <x v="2"/>
    <n v="0"/>
    <x v="2"/>
    <x v="0"/>
    <x v="0"/>
    <x v="1"/>
  </r>
  <r>
    <x v="8"/>
    <x v="2"/>
    <n v="0"/>
    <x v="2"/>
    <x v="0"/>
    <x v="0"/>
    <x v="1"/>
  </r>
  <r>
    <x v="9"/>
    <x v="2"/>
    <n v="0"/>
    <x v="2"/>
    <x v="0"/>
    <x v="0"/>
    <x v="1"/>
  </r>
  <r>
    <x v="10"/>
    <x v="2"/>
    <n v="0"/>
    <x v="2"/>
    <x v="0"/>
    <x v="0"/>
    <x v="1"/>
  </r>
  <r>
    <x v="11"/>
    <x v="2"/>
    <n v="0"/>
    <x v="2"/>
    <x v="0"/>
    <x v="0"/>
    <x v="1"/>
  </r>
  <r>
    <x v="12"/>
    <x v="2"/>
    <n v="0"/>
    <x v="2"/>
    <x v="0"/>
    <x v="0"/>
    <x v="1"/>
  </r>
  <r>
    <x v="13"/>
    <x v="2"/>
    <n v="0"/>
    <x v="2"/>
    <x v="0"/>
    <x v="0"/>
    <x v="1"/>
  </r>
  <r>
    <x v="14"/>
    <x v="2"/>
    <n v="0"/>
    <x v="2"/>
    <x v="0"/>
    <x v="0"/>
    <x v="1"/>
  </r>
  <r>
    <x v="15"/>
    <x v="2"/>
    <n v="0"/>
    <x v="2"/>
    <x v="0"/>
    <x v="0"/>
    <x v="1"/>
  </r>
  <r>
    <x v="0"/>
    <x v="3"/>
    <n v="13956.83"/>
    <x v="2"/>
    <x v="0"/>
    <x v="0"/>
    <x v="1"/>
  </r>
  <r>
    <x v="1"/>
    <x v="3"/>
    <n v="10820.6"/>
    <x v="2"/>
    <x v="0"/>
    <x v="0"/>
    <x v="1"/>
  </r>
  <r>
    <x v="2"/>
    <x v="3"/>
    <n v="10820.6"/>
    <x v="2"/>
    <x v="0"/>
    <x v="0"/>
    <x v="1"/>
  </r>
  <r>
    <x v="3"/>
    <x v="3"/>
    <n v="10867.9"/>
    <x v="2"/>
    <x v="0"/>
    <x v="0"/>
    <x v="1"/>
  </r>
  <r>
    <x v="4"/>
    <x v="3"/>
    <n v="10867.9"/>
    <x v="2"/>
    <x v="0"/>
    <x v="0"/>
    <x v="1"/>
  </r>
  <r>
    <x v="5"/>
    <x v="3"/>
    <n v="4611.1400000000003"/>
    <x v="2"/>
    <x v="0"/>
    <x v="0"/>
    <x v="1"/>
  </r>
  <r>
    <x v="6"/>
    <x v="3"/>
    <n v="4611.1400000000003"/>
    <x v="2"/>
    <x v="0"/>
    <x v="0"/>
    <x v="1"/>
  </r>
  <r>
    <x v="7"/>
    <x v="3"/>
    <n v="556.779"/>
    <x v="2"/>
    <x v="0"/>
    <x v="0"/>
    <x v="1"/>
  </r>
  <r>
    <x v="8"/>
    <x v="3"/>
    <n v="556.779"/>
    <x v="2"/>
    <x v="0"/>
    <x v="0"/>
    <x v="1"/>
  </r>
  <r>
    <x v="9"/>
    <x v="3"/>
    <n v="0"/>
    <x v="2"/>
    <x v="0"/>
    <x v="0"/>
    <x v="1"/>
  </r>
  <r>
    <x v="10"/>
    <x v="3"/>
    <n v="0"/>
    <x v="2"/>
    <x v="0"/>
    <x v="0"/>
    <x v="1"/>
  </r>
  <r>
    <x v="11"/>
    <x v="3"/>
    <n v="1305.72"/>
    <x v="2"/>
    <x v="0"/>
    <x v="0"/>
    <x v="1"/>
  </r>
  <r>
    <x v="12"/>
    <x v="3"/>
    <n v="1305.72"/>
    <x v="2"/>
    <x v="0"/>
    <x v="0"/>
    <x v="1"/>
  </r>
  <r>
    <x v="13"/>
    <x v="3"/>
    <n v="751.22699999999998"/>
    <x v="2"/>
    <x v="0"/>
    <x v="0"/>
    <x v="1"/>
  </r>
  <r>
    <x v="14"/>
    <x v="3"/>
    <n v="751.22699999999998"/>
    <x v="2"/>
    <x v="0"/>
    <x v="0"/>
    <x v="1"/>
  </r>
  <r>
    <x v="15"/>
    <x v="3"/>
    <n v="751.22699999999998"/>
    <x v="2"/>
    <x v="0"/>
    <x v="0"/>
    <x v="1"/>
  </r>
  <r>
    <x v="0"/>
    <x v="4"/>
    <n v="0"/>
    <x v="2"/>
    <x v="0"/>
    <x v="0"/>
    <x v="1"/>
  </r>
  <r>
    <x v="1"/>
    <x v="4"/>
    <n v="0"/>
    <x v="2"/>
    <x v="0"/>
    <x v="0"/>
    <x v="1"/>
  </r>
  <r>
    <x v="2"/>
    <x v="4"/>
    <n v="0"/>
    <x v="2"/>
    <x v="0"/>
    <x v="0"/>
    <x v="1"/>
  </r>
  <r>
    <x v="3"/>
    <x v="4"/>
    <n v="0"/>
    <x v="2"/>
    <x v="0"/>
    <x v="0"/>
    <x v="1"/>
  </r>
  <r>
    <x v="4"/>
    <x v="4"/>
    <n v="0"/>
    <x v="2"/>
    <x v="0"/>
    <x v="0"/>
    <x v="1"/>
  </r>
  <r>
    <x v="5"/>
    <x v="4"/>
    <n v="0"/>
    <x v="2"/>
    <x v="0"/>
    <x v="0"/>
    <x v="1"/>
  </r>
  <r>
    <x v="6"/>
    <x v="4"/>
    <n v="0"/>
    <x v="2"/>
    <x v="0"/>
    <x v="0"/>
    <x v="1"/>
  </r>
  <r>
    <x v="7"/>
    <x v="4"/>
    <n v="0"/>
    <x v="2"/>
    <x v="0"/>
    <x v="0"/>
    <x v="1"/>
  </r>
  <r>
    <x v="8"/>
    <x v="4"/>
    <n v="0"/>
    <x v="2"/>
    <x v="0"/>
    <x v="0"/>
    <x v="1"/>
  </r>
  <r>
    <x v="9"/>
    <x v="4"/>
    <n v="0"/>
    <x v="2"/>
    <x v="0"/>
    <x v="0"/>
    <x v="1"/>
  </r>
  <r>
    <x v="10"/>
    <x v="4"/>
    <n v="0"/>
    <x v="2"/>
    <x v="0"/>
    <x v="0"/>
    <x v="1"/>
  </r>
  <r>
    <x v="11"/>
    <x v="4"/>
    <n v="0"/>
    <x v="2"/>
    <x v="0"/>
    <x v="0"/>
    <x v="1"/>
  </r>
  <r>
    <x v="12"/>
    <x v="4"/>
    <n v="0"/>
    <x v="2"/>
    <x v="0"/>
    <x v="0"/>
    <x v="1"/>
  </r>
  <r>
    <x v="13"/>
    <x v="4"/>
    <n v="0"/>
    <x v="2"/>
    <x v="0"/>
    <x v="0"/>
    <x v="1"/>
  </r>
  <r>
    <x v="14"/>
    <x v="4"/>
    <n v="0"/>
    <x v="2"/>
    <x v="0"/>
    <x v="0"/>
    <x v="1"/>
  </r>
  <r>
    <x v="15"/>
    <x v="4"/>
    <n v="0"/>
    <x v="2"/>
    <x v="0"/>
    <x v="0"/>
    <x v="1"/>
  </r>
  <r>
    <x v="0"/>
    <x v="5"/>
    <n v="1838.36"/>
    <x v="2"/>
    <x v="0"/>
    <x v="0"/>
    <x v="1"/>
  </r>
  <r>
    <x v="1"/>
    <x v="5"/>
    <n v="53.5"/>
    <x v="2"/>
    <x v="0"/>
    <x v="0"/>
    <x v="1"/>
  </r>
  <r>
    <x v="2"/>
    <x v="5"/>
    <n v="53.5"/>
    <x v="2"/>
    <x v="0"/>
    <x v="0"/>
    <x v="1"/>
  </r>
  <r>
    <x v="3"/>
    <x v="5"/>
    <n v="49.5"/>
    <x v="2"/>
    <x v="0"/>
    <x v="0"/>
    <x v="1"/>
  </r>
  <r>
    <x v="4"/>
    <x v="5"/>
    <n v="49.5"/>
    <x v="2"/>
    <x v="0"/>
    <x v="0"/>
    <x v="1"/>
  </r>
  <r>
    <x v="5"/>
    <x v="5"/>
    <n v="46"/>
    <x v="2"/>
    <x v="0"/>
    <x v="0"/>
    <x v="1"/>
  </r>
  <r>
    <x v="6"/>
    <x v="5"/>
    <n v="46"/>
    <x v="2"/>
    <x v="0"/>
    <x v="0"/>
    <x v="1"/>
  </r>
  <r>
    <x v="7"/>
    <x v="5"/>
    <n v="32"/>
    <x v="2"/>
    <x v="0"/>
    <x v="0"/>
    <x v="1"/>
  </r>
  <r>
    <x v="8"/>
    <x v="5"/>
    <n v="32"/>
    <x v="2"/>
    <x v="0"/>
    <x v="0"/>
    <x v="1"/>
  </r>
  <r>
    <x v="9"/>
    <x v="5"/>
    <n v="0"/>
    <x v="2"/>
    <x v="0"/>
    <x v="0"/>
    <x v="1"/>
  </r>
  <r>
    <x v="10"/>
    <x v="5"/>
    <n v="0"/>
    <x v="2"/>
    <x v="0"/>
    <x v="0"/>
    <x v="1"/>
  </r>
  <r>
    <x v="11"/>
    <x v="5"/>
    <n v="0"/>
    <x v="2"/>
    <x v="0"/>
    <x v="0"/>
    <x v="1"/>
  </r>
  <r>
    <x v="12"/>
    <x v="5"/>
    <n v="0"/>
    <x v="2"/>
    <x v="0"/>
    <x v="0"/>
    <x v="1"/>
  </r>
  <r>
    <x v="13"/>
    <x v="5"/>
    <n v="0"/>
    <x v="2"/>
    <x v="0"/>
    <x v="0"/>
    <x v="1"/>
  </r>
  <r>
    <x v="14"/>
    <x v="5"/>
    <n v="0"/>
    <x v="2"/>
    <x v="0"/>
    <x v="0"/>
    <x v="1"/>
  </r>
  <r>
    <x v="15"/>
    <x v="5"/>
    <n v="0"/>
    <x v="2"/>
    <x v="0"/>
    <x v="0"/>
    <x v="1"/>
  </r>
  <r>
    <x v="0"/>
    <x v="6"/>
    <n v="232.5"/>
    <x v="2"/>
    <x v="0"/>
    <x v="0"/>
    <x v="1"/>
  </r>
  <r>
    <x v="1"/>
    <x v="6"/>
    <n v="1100"/>
    <x v="2"/>
    <x v="0"/>
    <x v="0"/>
    <x v="1"/>
  </r>
  <r>
    <x v="2"/>
    <x v="6"/>
    <n v="1100"/>
    <x v="2"/>
    <x v="0"/>
    <x v="0"/>
    <x v="1"/>
  </r>
  <r>
    <x v="3"/>
    <x v="6"/>
    <n v="0"/>
    <x v="2"/>
    <x v="0"/>
    <x v="0"/>
    <x v="1"/>
  </r>
  <r>
    <x v="4"/>
    <x v="6"/>
    <n v="0"/>
    <x v="2"/>
    <x v="0"/>
    <x v="0"/>
    <x v="1"/>
  </r>
  <r>
    <x v="5"/>
    <x v="6"/>
    <n v="0"/>
    <x v="2"/>
    <x v="0"/>
    <x v="0"/>
    <x v="1"/>
  </r>
  <r>
    <x v="6"/>
    <x v="6"/>
    <n v="0"/>
    <x v="2"/>
    <x v="0"/>
    <x v="0"/>
    <x v="1"/>
  </r>
  <r>
    <x v="7"/>
    <x v="6"/>
    <n v="0"/>
    <x v="2"/>
    <x v="0"/>
    <x v="0"/>
    <x v="1"/>
  </r>
  <r>
    <x v="8"/>
    <x v="6"/>
    <n v="0"/>
    <x v="2"/>
    <x v="0"/>
    <x v="0"/>
    <x v="1"/>
  </r>
  <r>
    <x v="9"/>
    <x v="6"/>
    <n v="0"/>
    <x v="2"/>
    <x v="0"/>
    <x v="0"/>
    <x v="1"/>
  </r>
  <r>
    <x v="10"/>
    <x v="6"/>
    <n v="0"/>
    <x v="2"/>
    <x v="0"/>
    <x v="0"/>
    <x v="1"/>
  </r>
  <r>
    <x v="11"/>
    <x v="6"/>
    <n v="0"/>
    <x v="2"/>
    <x v="0"/>
    <x v="0"/>
    <x v="1"/>
  </r>
  <r>
    <x v="12"/>
    <x v="6"/>
    <n v="0"/>
    <x v="2"/>
    <x v="0"/>
    <x v="0"/>
    <x v="1"/>
  </r>
  <r>
    <x v="13"/>
    <x v="6"/>
    <n v="0"/>
    <x v="2"/>
    <x v="0"/>
    <x v="0"/>
    <x v="1"/>
  </r>
  <r>
    <x v="14"/>
    <x v="6"/>
    <n v="0"/>
    <x v="2"/>
    <x v="0"/>
    <x v="0"/>
    <x v="1"/>
  </r>
  <r>
    <x v="15"/>
    <x v="6"/>
    <n v="0"/>
    <x v="2"/>
    <x v="0"/>
    <x v="0"/>
    <x v="1"/>
  </r>
  <r>
    <x v="0"/>
    <x v="7"/>
    <n v="14.85"/>
    <x v="2"/>
    <x v="0"/>
    <x v="0"/>
    <x v="1"/>
  </r>
  <r>
    <x v="1"/>
    <x v="7"/>
    <n v="0"/>
    <x v="2"/>
    <x v="0"/>
    <x v="0"/>
    <x v="1"/>
  </r>
  <r>
    <x v="2"/>
    <x v="7"/>
    <n v="0"/>
    <x v="2"/>
    <x v="0"/>
    <x v="0"/>
    <x v="1"/>
  </r>
  <r>
    <x v="3"/>
    <x v="7"/>
    <n v="0"/>
    <x v="2"/>
    <x v="0"/>
    <x v="0"/>
    <x v="1"/>
  </r>
  <r>
    <x v="4"/>
    <x v="7"/>
    <n v="0"/>
    <x v="2"/>
    <x v="0"/>
    <x v="0"/>
    <x v="1"/>
  </r>
  <r>
    <x v="5"/>
    <x v="7"/>
    <n v="0"/>
    <x v="2"/>
    <x v="0"/>
    <x v="0"/>
    <x v="1"/>
  </r>
  <r>
    <x v="6"/>
    <x v="7"/>
    <n v="0"/>
    <x v="2"/>
    <x v="0"/>
    <x v="0"/>
    <x v="1"/>
  </r>
  <r>
    <x v="7"/>
    <x v="7"/>
    <n v="0"/>
    <x v="2"/>
    <x v="0"/>
    <x v="0"/>
    <x v="1"/>
  </r>
  <r>
    <x v="8"/>
    <x v="7"/>
    <n v="0"/>
    <x v="2"/>
    <x v="0"/>
    <x v="0"/>
    <x v="1"/>
  </r>
  <r>
    <x v="9"/>
    <x v="7"/>
    <n v="0"/>
    <x v="2"/>
    <x v="0"/>
    <x v="0"/>
    <x v="1"/>
  </r>
  <r>
    <x v="10"/>
    <x v="7"/>
    <n v="0"/>
    <x v="2"/>
    <x v="0"/>
    <x v="0"/>
    <x v="1"/>
  </r>
  <r>
    <x v="11"/>
    <x v="7"/>
    <n v="0"/>
    <x v="2"/>
    <x v="0"/>
    <x v="0"/>
    <x v="1"/>
  </r>
  <r>
    <x v="12"/>
    <x v="7"/>
    <n v="0"/>
    <x v="2"/>
    <x v="0"/>
    <x v="0"/>
    <x v="1"/>
  </r>
  <r>
    <x v="13"/>
    <x v="7"/>
    <n v="0"/>
    <x v="2"/>
    <x v="0"/>
    <x v="0"/>
    <x v="1"/>
  </r>
  <r>
    <x v="14"/>
    <x v="7"/>
    <n v="0"/>
    <x v="2"/>
    <x v="0"/>
    <x v="0"/>
    <x v="1"/>
  </r>
  <r>
    <x v="15"/>
    <x v="7"/>
    <n v="0"/>
    <x v="2"/>
    <x v="0"/>
    <x v="0"/>
    <x v="1"/>
  </r>
  <r>
    <x v="0"/>
    <x v="8"/>
    <n v="9994.41"/>
    <x v="2"/>
    <x v="0"/>
    <x v="0"/>
    <x v="1"/>
  </r>
  <r>
    <x v="1"/>
    <x v="8"/>
    <n v="1537.7"/>
    <x v="2"/>
    <x v="0"/>
    <x v="0"/>
    <x v="1"/>
  </r>
  <r>
    <x v="2"/>
    <x v="8"/>
    <n v="1537.7"/>
    <x v="2"/>
    <x v="0"/>
    <x v="0"/>
    <x v="1"/>
  </r>
  <r>
    <x v="3"/>
    <x v="8"/>
    <n v="5174.66"/>
    <x v="2"/>
    <x v="0"/>
    <x v="0"/>
    <x v="1"/>
  </r>
  <r>
    <x v="4"/>
    <x v="8"/>
    <n v="5174.66"/>
    <x v="2"/>
    <x v="0"/>
    <x v="0"/>
    <x v="1"/>
  </r>
  <r>
    <x v="5"/>
    <x v="8"/>
    <n v="12742.5"/>
    <x v="2"/>
    <x v="0"/>
    <x v="0"/>
    <x v="1"/>
  </r>
  <r>
    <x v="6"/>
    <x v="8"/>
    <n v="12742.5"/>
    <x v="2"/>
    <x v="0"/>
    <x v="0"/>
    <x v="1"/>
  </r>
  <r>
    <x v="7"/>
    <x v="8"/>
    <n v="15848.2"/>
    <x v="2"/>
    <x v="0"/>
    <x v="0"/>
    <x v="1"/>
  </r>
  <r>
    <x v="8"/>
    <x v="8"/>
    <n v="15848.2"/>
    <x v="2"/>
    <x v="0"/>
    <x v="0"/>
    <x v="1"/>
  </r>
  <r>
    <x v="9"/>
    <x v="8"/>
    <n v="17477.599999999999"/>
    <x v="2"/>
    <x v="0"/>
    <x v="0"/>
    <x v="1"/>
  </r>
  <r>
    <x v="10"/>
    <x v="8"/>
    <n v="17477.599999999999"/>
    <x v="2"/>
    <x v="0"/>
    <x v="0"/>
    <x v="1"/>
  </r>
  <r>
    <x v="11"/>
    <x v="8"/>
    <n v="14638.9"/>
    <x v="2"/>
    <x v="0"/>
    <x v="0"/>
    <x v="1"/>
  </r>
  <r>
    <x v="12"/>
    <x v="8"/>
    <n v="14638.9"/>
    <x v="2"/>
    <x v="0"/>
    <x v="0"/>
    <x v="1"/>
  </r>
  <r>
    <x v="13"/>
    <x v="8"/>
    <n v="15755.7"/>
    <x v="2"/>
    <x v="0"/>
    <x v="0"/>
    <x v="1"/>
  </r>
  <r>
    <x v="14"/>
    <x v="8"/>
    <n v="15755.7"/>
    <x v="2"/>
    <x v="0"/>
    <x v="0"/>
    <x v="1"/>
  </r>
  <r>
    <x v="15"/>
    <x v="8"/>
    <n v="15755.7"/>
    <x v="2"/>
    <x v="0"/>
    <x v="0"/>
    <x v="1"/>
  </r>
  <r>
    <x v="0"/>
    <x v="9"/>
    <n v="8839.34"/>
    <x v="2"/>
    <x v="0"/>
    <x v="0"/>
    <x v="1"/>
  </r>
  <r>
    <x v="1"/>
    <x v="9"/>
    <n v="1578.17"/>
    <x v="2"/>
    <x v="0"/>
    <x v="0"/>
    <x v="1"/>
  </r>
  <r>
    <x v="2"/>
    <x v="9"/>
    <n v="1578.17"/>
    <x v="2"/>
    <x v="0"/>
    <x v="0"/>
    <x v="1"/>
  </r>
  <r>
    <x v="3"/>
    <x v="9"/>
    <n v="2540.6799999999998"/>
    <x v="2"/>
    <x v="0"/>
    <x v="0"/>
    <x v="1"/>
  </r>
  <r>
    <x v="4"/>
    <x v="9"/>
    <n v="2540.6799999999998"/>
    <x v="2"/>
    <x v="0"/>
    <x v="0"/>
    <x v="1"/>
  </r>
  <r>
    <x v="5"/>
    <x v="9"/>
    <n v="5651.43"/>
    <x v="2"/>
    <x v="0"/>
    <x v="0"/>
    <x v="1"/>
  </r>
  <r>
    <x v="6"/>
    <x v="9"/>
    <n v="5651.43"/>
    <x v="2"/>
    <x v="0"/>
    <x v="0"/>
    <x v="1"/>
  </r>
  <r>
    <x v="7"/>
    <x v="9"/>
    <n v="7690.1"/>
    <x v="2"/>
    <x v="0"/>
    <x v="0"/>
    <x v="1"/>
  </r>
  <r>
    <x v="8"/>
    <x v="9"/>
    <n v="7690.1"/>
    <x v="2"/>
    <x v="0"/>
    <x v="0"/>
    <x v="1"/>
  </r>
  <r>
    <x v="9"/>
    <x v="9"/>
    <n v="10139.5"/>
    <x v="2"/>
    <x v="0"/>
    <x v="0"/>
    <x v="1"/>
  </r>
  <r>
    <x v="10"/>
    <x v="9"/>
    <n v="10139.5"/>
    <x v="2"/>
    <x v="0"/>
    <x v="0"/>
    <x v="1"/>
  </r>
  <r>
    <x v="11"/>
    <x v="9"/>
    <n v="7918.02"/>
    <x v="2"/>
    <x v="0"/>
    <x v="0"/>
    <x v="1"/>
  </r>
  <r>
    <x v="12"/>
    <x v="9"/>
    <n v="7918.02"/>
    <x v="2"/>
    <x v="0"/>
    <x v="0"/>
    <x v="1"/>
  </r>
  <r>
    <x v="13"/>
    <x v="9"/>
    <n v="18026.099999999999"/>
    <x v="2"/>
    <x v="0"/>
    <x v="0"/>
    <x v="1"/>
  </r>
  <r>
    <x v="14"/>
    <x v="9"/>
    <n v="18026.099999999999"/>
    <x v="2"/>
    <x v="0"/>
    <x v="0"/>
    <x v="1"/>
  </r>
  <r>
    <x v="15"/>
    <x v="9"/>
    <n v="18026.099999999999"/>
    <x v="2"/>
    <x v="0"/>
    <x v="0"/>
    <x v="1"/>
  </r>
  <r>
    <x v="0"/>
    <x v="1"/>
    <n v="102.45"/>
    <x v="2"/>
    <x v="0"/>
    <x v="0"/>
    <x v="2"/>
  </r>
  <r>
    <x v="1"/>
    <x v="1"/>
    <n v="9.5"/>
    <x v="2"/>
    <x v="0"/>
    <x v="0"/>
    <x v="2"/>
  </r>
  <r>
    <x v="2"/>
    <x v="1"/>
    <n v="9.5"/>
    <x v="2"/>
    <x v="0"/>
    <x v="0"/>
    <x v="2"/>
  </r>
  <r>
    <x v="3"/>
    <x v="1"/>
    <n v="0"/>
    <x v="2"/>
    <x v="0"/>
    <x v="0"/>
    <x v="2"/>
  </r>
  <r>
    <x v="4"/>
    <x v="1"/>
    <n v="0"/>
    <x v="2"/>
    <x v="0"/>
    <x v="0"/>
    <x v="2"/>
  </r>
  <r>
    <x v="5"/>
    <x v="1"/>
    <n v="0"/>
    <x v="2"/>
    <x v="0"/>
    <x v="0"/>
    <x v="2"/>
  </r>
  <r>
    <x v="6"/>
    <x v="1"/>
    <n v="0"/>
    <x v="2"/>
    <x v="0"/>
    <x v="0"/>
    <x v="2"/>
  </r>
  <r>
    <x v="7"/>
    <x v="1"/>
    <n v="0"/>
    <x v="2"/>
    <x v="0"/>
    <x v="0"/>
    <x v="2"/>
  </r>
  <r>
    <x v="8"/>
    <x v="1"/>
    <n v="0"/>
    <x v="2"/>
    <x v="0"/>
    <x v="0"/>
    <x v="2"/>
  </r>
  <r>
    <x v="9"/>
    <x v="1"/>
    <n v="0"/>
    <x v="2"/>
    <x v="0"/>
    <x v="0"/>
    <x v="2"/>
  </r>
  <r>
    <x v="10"/>
    <x v="1"/>
    <n v="0"/>
    <x v="2"/>
    <x v="0"/>
    <x v="0"/>
    <x v="2"/>
  </r>
  <r>
    <x v="11"/>
    <x v="1"/>
    <n v="0"/>
    <x v="2"/>
    <x v="0"/>
    <x v="0"/>
    <x v="2"/>
  </r>
  <r>
    <x v="12"/>
    <x v="1"/>
    <n v="0"/>
    <x v="2"/>
    <x v="0"/>
    <x v="0"/>
    <x v="2"/>
  </r>
  <r>
    <x v="13"/>
    <x v="1"/>
    <n v="0"/>
    <x v="2"/>
    <x v="0"/>
    <x v="0"/>
    <x v="2"/>
  </r>
  <r>
    <x v="14"/>
    <x v="1"/>
    <n v="0"/>
    <x v="2"/>
    <x v="0"/>
    <x v="0"/>
    <x v="2"/>
  </r>
  <r>
    <x v="15"/>
    <x v="1"/>
    <n v="0"/>
    <x v="2"/>
    <x v="0"/>
    <x v="0"/>
    <x v="2"/>
  </r>
  <r>
    <x v="0"/>
    <x v="2"/>
    <n v="0"/>
    <x v="2"/>
    <x v="0"/>
    <x v="0"/>
    <x v="2"/>
  </r>
  <r>
    <x v="1"/>
    <x v="2"/>
    <n v="0"/>
    <x v="2"/>
    <x v="0"/>
    <x v="0"/>
    <x v="2"/>
  </r>
  <r>
    <x v="2"/>
    <x v="2"/>
    <n v="0"/>
    <x v="2"/>
    <x v="0"/>
    <x v="0"/>
    <x v="2"/>
  </r>
  <r>
    <x v="3"/>
    <x v="2"/>
    <n v="0"/>
    <x v="2"/>
    <x v="0"/>
    <x v="0"/>
    <x v="2"/>
  </r>
  <r>
    <x v="4"/>
    <x v="2"/>
    <n v="0"/>
    <x v="2"/>
    <x v="0"/>
    <x v="0"/>
    <x v="2"/>
  </r>
  <r>
    <x v="5"/>
    <x v="2"/>
    <n v="0"/>
    <x v="2"/>
    <x v="0"/>
    <x v="0"/>
    <x v="2"/>
  </r>
  <r>
    <x v="6"/>
    <x v="2"/>
    <n v="0"/>
    <x v="2"/>
    <x v="0"/>
    <x v="0"/>
    <x v="2"/>
  </r>
  <r>
    <x v="7"/>
    <x v="2"/>
    <n v="0"/>
    <x v="2"/>
    <x v="0"/>
    <x v="0"/>
    <x v="2"/>
  </r>
  <r>
    <x v="8"/>
    <x v="2"/>
    <n v="0"/>
    <x v="2"/>
    <x v="0"/>
    <x v="0"/>
    <x v="2"/>
  </r>
  <r>
    <x v="9"/>
    <x v="2"/>
    <n v="0"/>
    <x v="2"/>
    <x v="0"/>
    <x v="0"/>
    <x v="2"/>
  </r>
  <r>
    <x v="10"/>
    <x v="2"/>
    <n v="0"/>
    <x v="2"/>
    <x v="0"/>
    <x v="0"/>
    <x v="2"/>
  </r>
  <r>
    <x v="11"/>
    <x v="2"/>
    <n v="0"/>
    <x v="2"/>
    <x v="0"/>
    <x v="0"/>
    <x v="2"/>
  </r>
  <r>
    <x v="12"/>
    <x v="2"/>
    <n v="0"/>
    <x v="2"/>
    <x v="0"/>
    <x v="0"/>
    <x v="2"/>
  </r>
  <r>
    <x v="13"/>
    <x v="2"/>
    <n v="0"/>
    <x v="2"/>
    <x v="0"/>
    <x v="0"/>
    <x v="2"/>
  </r>
  <r>
    <x v="14"/>
    <x v="2"/>
    <n v="0"/>
    <x v="2"/>
    <x v="0"/>
    <x v="0"/>
    <x v="2"/>
  </r>
  <r>
    <x v="15"/>
    <x v="2"/>
    <n v="0"/>
    <x v="2"/>
    <x v="0"/>
    <x v="0"/>
    <x v="2"/>
  </r>
  <r>
    <x v="0"/>
    <x v="3"/>
    <n v="13923.83"/>
    <x v="2"/>
    <x v="0"/>
    <x v="0"/>
    <x v="2"/>
  </r>
  <r>
    <x v="1"/>
    <x v="3"/>
    <n v="10040.299999999999"/>
    <x v="2"/>
    <x v="0"/>
    <x v="0"/>
    <x v="2"/>
  </r>
  <r>
    <x v="2"/>
    <x v="3"/>
    <n v="10040.299999999999"/>
    <x v="2"/>
    <x v="0"/>
    <x v="0"/>
    <x v="2"/>
  </r>
  <r>
    <x v="3"/>
    <x v="3"/>
    <n v="6539.14"/>
    <x v="2"/>
    <x v="0"/>
    <x v="0"/>
    <x v="2"/>
  </r>
  <r>
    <x v="4"/>
    <x v="3"/>
    <n v="6539.14"/>
    <x v="2"/>
    <x v="0"/>
    <x v="0"/>
    <x v="2"/>
  </r>
  <r>
    <x v="5"/>
    <x v="3"/>
    <n v="1988.46"/>
    <x v="2"/>
    <x v="0"/>
    <x v="0"/>
    <x v="2"/>
  </r>
  <r>
    <x v="6"/>
    <x v="3"/>
    <n v="1988.46"/>
    <x v="2"/>
    <x v="0"/>
    <x v="0"/>
    <x v="2"/>
  </r>
  <r>
    <x v="7"/>
    <x v="3"/>
    <n v="71.283699999999996"/>
    <x v="2"/>
    <x v="0"/>
    <x v="0"/>
    <x v="2"/>
  </r>
  <r>
    <x v="8"/>
    <x v="3"/>
    <n v="71.283699999999996"/>
    <x v="2"/>
    <x v="0"/>
    <x v="0"/>
    <x v="2"/>
  </r>
  <r>
    <x v="9"/>
    <x v="3"/>
    <n v="0"/>
    <x v="2"/>
    <x v="0"/>
    <x v="0"/>
    <x v="2"/>
  </r>
  <r>
    <x v="10"/>
    <x v="3"/>
    <n v="0"/>
    <x v="2"/>
    <x v="0"/>
    <x v="0"/>
    <x v="2"/>
  </r>
  <r>
    <x v="11"/>
    <x v="3"/>
    <n v="88.633600000000001"/>
    <x v="2"/>
    <x v="0"/>
    <x v="0"/>
    <x v="2"/>
  </r>
  <r>
    <x v="12"/>
    <x v="3"/>
    <n v="88.633600000000001"/>
    <x v="2"/>
    <x v="0"/>
    <x v="0"/>
    <x v="2"/>
  </r>
  <r>
    <x v="13"/>
    <x v="3"/>
    <n v="0"/>
    <x v="2"/>
    <x v="0"/>
    <x v="0"/>
    <x v="2"/>
  </r>
  <r>
    <x v="14"/>
    <x v="3"/>
    <n v="0"/>
    <x v="2"/>
    <x v="0"/>
    <x v="0"/>
    <x v="2"/>
  </r>
  <r>
    <x v="15"/>
    <x v="3"/>
    <n v="0"/>
    <x v="2"/>
    <x v="0"/>
    <x v="0"/>
    <x v="2"/>
  </r>
  <r>
    <x v="0"/>
    <x v="4"/>
    <n v="0"/>
    <x v="2"/>
    <x v="0"/>
    <x v="0"/>
    <x v="2"/>
  </r>
  <r>
    <x v="1"/>
    <x v="4"/>
    <n v="0"/>
    <x v="2"/>
    <x v="0"/>
    <x v="0"/>
    <x v="2"/>
  </r>
  <r>
    <x v="2"/>
    <x v="4"/>
    <n v="0"/>
    <x v="2"/>
    <x v="0"/>
    <x v="0"/>
    <x v="2"/>
  </r>
  <r>
    <x v="3"/>
    <x v="4"/>
    <n v="0"/>
    <x v="2"/>
    <x v="0"/>
    <x v="0"/>
    <x v="2"/>
  </r>
  <r>
    <x v="4"/>
    <x v="4"/>
    <n v="0"/>
    <x v="2"/>
    <x v="0"/>
    <x v="0"/>
    <x v="2"/>
  </r>
  <r>
    <x v="5"/>
    <x v="4"/>
    <n v="0"/>
    <x v="2"/>
    <x v="0"/>
    <x v="0"/>
    <x v="2"/>
  </r>
  <r>
    <x v="6"/>
    <x v="4"/>
    <n v="0"/>
    <x v="2"/>
    <x v="0"/>
    <x v="0"/>
    <x v="2"/>
  </r>
  <r>
    <x v="7"/>
    <x v="4"/>
    <n v="0"/>
    <x v="2"/>
    <x v="0"/>
    <x v="0"/>
    <x v="2"/>
  </r>
  <r>
    <x v="8"/>
    <x v="4"/>
    <n v="0"/>
    <x v="2"/>
    <x v="0"/>
    <x v="0"/>
    <x v="2"/>
  </r>
  <r>
    <x v="9"/>
    <x v="4"/>
    <n v="0"/>
    <x v="2"/>
    <x v="0"/>
    <x v="0"/>
    <x v="2"/>
  </r>
  <r>
    <x v="10"/>
    <x v="4"/>
    <n v="0"/>
    <x v="2"/>
    <x v="0"/>
    <x v="0"/>
    <x v="2"/>
  </r>
  <r>
    <x v="11"/>
    <x v="4"/>
    <n v="0"/>
    <x v="2"/>
    <x v="0"/>
    <x v="0"/>
    <x v="2"/>
  </r>
  <r>
    <x v="12"/>
    <x v="4"/>
    <n v="0"/>
    <x v="2"/>
    <x v="0"/>
    <x v="0"/>
    <x v="2"/>
  </r>
  <r>
    <x v="13"/>
    <x v="4"/>
    <n v="0"/>
    <x v="2"/>
    <x v="0"/>
    <x v="0"/>
    <x v="2"/>
  </r>
  <r>
    <x v="14"/>
    <x v="4"/>
    <n v="0"/>
    <x v="2"/>
    <x v="0"/>
    <x v="0"/>
    <x v="2"/>
  </r>
  <r>
    <x v="15"/>
    <x v="4"/>
    <n v="0"/>
    <x v="2"/>
    <x v="0"/>
    <x v="0"/>
    <x v="2"/>
  </r>
  <r>
    <x v="0"/>
    <x v="5"/>
    <n v="1835.86"/>
    <x v="2"/>
    <x v="0"/>
    <x v="0"/>
    <x v="2"/>
  </r>
  <r>
    <x v="1"/>
    <x v="5"/>
    <n v="0"/>
    <x v="2"/>
    <x v="0"/>
    <x v="0"/>
    <x v="2"/>
  </r>
  <r>
    <x v="2"/>
    <x v="5"/>
    <n v="0"/>
    <x v="2"/>
    <x v="0"/>
    <x v="0"/>
    <x v="2"/>
  </r>
  <r>
    <x v="3"/>
    <x v="5"/>
    <n v="53.5"/>
    <x v="2"/>
    <x v="0"/>
    <x v="0"/>
    <x v="2"/>
  </r>
  <r>
    <x v="4"/>
    <x v="5"/>
    <n v="53.5"/>
    <x v="2"/>
    <x v="0"/>
    <x v="0"/>
    <x v="2"/>
  </r>
  <r>
    <x v="5"/>
    <x v="5"/>
    <n v="44"/>
    <x v="2"/>
    <x v="0"/>
    <x v="0"/>
    <x v="2"/>
  </r>
  <r>
    <x v="6"/>
    <x v="5"/>
    <n v="44"/>
    <x v="2"/>
    <x v="0"/>
    <x v="0"/>
    <x v="2"/>
  </r>
  <r>
    <x v="7"/>
    <x v="5"/>
    <n v="42"/>
    <x v="2"/>
    <x v="0"/>
    <x v="0"/>
    <x v="2"/>
  </r>
  <r>
    <x v="8"/>
    <x v="5"/>
    <n v="42"/>
    <x v="2"/>
    <x v="0"/>
    <x v="0"/>
    <x v="2"/>
  </r>
  <r>
    <x v="9"/>
    <x v="5"/>
    <n v="30.5"/>
    <x v="2"/>
    <x v="0"/>
    <x v="0"/>
    <x v="2"/>
  </r>
  <r>
    <x v="10"/>
    <x v="5"/>
    <n v="30.5"/>
    <x v="2"/>
    <x v="0"/>
    <x v="0"/>
    <x v="2"/>
  </r>
  <r>
    <x v="11"/>
    <x v="5"/>
    <n v="0"/>
    <x v="2"/>
    <x v="0"/>
    <x v="0"/>
    <x v="2"/>
  </r>
  <r>
    <x v="12"/>
    <x v="5"/>
    <n v="0"/>
    <x v="2"/>
    <x v="0"/>
    <x v="0"/>
    <x v="2"/>
  </r>
  <r>
    <x v="13"/>
    <x v="5"/>
    <n v="0"/>
    <x v="2"/>
    <x v="0"/>
    <x v="0"/>
    <x v="2"/>
  </r>
  <r>
    <x v="14"/>
    <x v="5"/>
    <n v="0"/>
    <x v="2"/>
    <x v="0"/>
    <x v="0"/>
    <x v="2"/>
  </r>
  <r>
    <x v="15"/>
    <x v="5"/>
    <n v="0"/>
    <x v="2"/>
    <x v="0"/>
    <x v="0"/>
    <x v="2"/>
  </r>
  <r>
    <x v="0"/>
    <x v="6"/>
    <n v="232.5"/>
    <x v="2"/>
    <x v="0"/>
    <x v="0"/>
    <x v="2"/>
  </r>
  <r>
    <x v="1"/>
    <x v="6"/>
    <n v="1100"/>
    <x v="2"/>
    <x v="0"/>
    <x v="0"/>
    <x v="2"/>
  </r>
  <r>
    <x v="2"/>
    <x v="6"/>
    <n v="1100"/>
    <x v="2"/>
    <x v="0"/>
    <x v="0"/>
    <x v="2"/>
  </r>
  <r>
    <x v="3"/>
    <x v="6"/>
    <n v="0"/>
    <x v="2"/>
    <x v="0"/>
    <x v="0"/>
    <x v="2"/>
  </r>
  <r>
    <x v="4"/>
    <x v="6"/>
    <n v="0"/>
    <x v="2"/>
    <x v="0"/>
    <x v="0"/>
    <x v="2"/>
  </r>
  <r>
    <x v="5"/>
    <x v="6"/>
    <n v="0"/>
    <x v="2"/>
    <x v="0"/>
    <x v="0"/>
    <x v="2"/>
  </r>
  <r>
    <x v="6"/>
    <x v="6"/>
    <n v="0"/>
    <x v="2"/>
    <x v="0"/>
    <x v="0"/>
    <x v="2"/>
  </r>
  <r>
    <x v="7"/>
    <x v="6"/>
    <n v="0"/>
    <x v="2"/>
    <x v="0"/>
    <x v="0"/>
    <x v="2"/>
  </r>
  <r>
    <x v="8"/>
    <x v="6"/>
    <n v="0"/>
    <x v="2"/>
    <x v="0"/>
    <x v="0"/>
    <x v="2"/>
  </r>
  <r>
    <x v="9"/>
    <x v="6"/>
    <n v="0"/>
    <x v="2"/>
    <x v="0"/>
    <x v="0"/>
    <x v="2"/>
  </r>
  <r>
    <x v="10"/>
    <x v="6"/>
    <n v="0"/>
    <x v="2"/>
    <x v="0"/>
    <x v="0"/>
    <x v="2"/>
  </r>
  <r>
    <x v="11"/>
    <x v="6"/>
    <n v="0"/>
    <x v="2"/>
    <x v="0"/>
    <x v="0"/>
    <x v="2"/>
  </r>
  <r>
    <x v="12"/>
    <x v="6"/>
    <n v="0"/>
    <x v="2"/>
    <x v="0"/>
    <x v="0"/>
    <x v="2"/>
  </r>
  <r>
    <x v="13"/>
    <x v="6"/>
    <n v="0"/>
    <x v="2"/>
    <x v="0"/>
    <x v="0"/>
    <x v="2"/>
  </r>
  <r>
    <x v="14"/>
    <x v="6"/>
    <n v="0"/>
    <x v="2"/>
    <x v="0"/>
    <x v="0"/>
    <x v="2"/>
  </r>
  <r>
    <x v="15"/>
    <x v="6"/>
    <n v="0"/>
    <x v="2"/>
    <x v="0"/>
    <x v="0"/>
    <x v="2"/>
  </r>
  <r>
    <x v="0"/>
    <x v="7"/>
    <n v="14.85"/>
    <x v="2"/>
    <x v="0"/>
    <x v="0"/>
    <x v="2"/>
  </r>
  <r>
    <x v="1"/>
    <x v="7"/>
    <n v="0"/>
    <x v="2"/>
    <x v="0"/>
    <x v="0"/>
    <x v="2"/>
  </r>
  <r>
    <x v="2"/>
    <x v="7"/>
    <n v="0"/>
    <x v="2"/>
    <x v="0"/>
    <x v="0"/>
    <x v="2"/>
  </r>
  <r>
    <x v="3"/>
    <x v="7"/>
    <n v="0"/>
    <x v="2"/>
    <x v="0"/>
    <x v="0"/>
    <x v="2"/>
  </r>
  <r>
    <x v="4"/>
    <x v="7"/>
    <n v="0"/>
    <x v="2"/>
    <x v="0"/>
    <x v="0"/>
    <x v="2"/>
  </r>
  <r>
    <x v="5"/>
    <x v="7"/>
    <n v="0"/>
    <x v="2"/>
    <x v="0"/>
    <x v="0"/>
    <x v="2"/>
  </r>
  <r>
    <x v="6"/>
    <x v="7"/>
    <n v="0"/>
    <x v="2"/>
    <x v="0"/>
    <x v="0"/>
    <x v="2"/>
  </r>
  <r>
    <x v="7"/>
    <x v="7"/>
    <n v="0"/>
    <x v="2"/>
    <x v="0"/>
    <x v="0"/>
    <x v="2"/>
  </r>
  <r>
    <x v="8"/>
    <x v="7"/>
    <n v="0"/>
    <x v="2"/>
    <x v="0"/>
    <x v="0"/>
    <x v="2"/>
  </r>
  <r>
    <x v="9"/>
    <x v="7"/>
    <n v="0"/>
    <x v="2"/>
    <x v="0"/>
    <x v="0"/>
    <x v="2"/>
  </r>
  <r>
    <x v="10"/>
    <x v="7"/>
    <n v="0"/>
    <x v="2"/>
    <x v="0"/>
    <x v="0"/>
    <x v="2"/>
  </r>
  <r>
    <x v="11"/>
    <x v="7"/>
    <n v="0"/>
    <x v="2"/>
    <x v="0"/>
    <x v="0"/>
    <x v="2"/>
  </r>
  <r>
    <x v="12"/>
    <x v="7"/>
    <n v="0"/>
    <x v="2"/>
    <x v="0"/>
    <x v="0"/>
    <x v="2"/>
  </r>
  <r>
    <x v="13"/>
    <x v="7"/>
    <n v="0"/>
    <x v="2"/>
    <x v="0"/>
    <x v="0"/>
    <x v="2"/>
  </r>
  <r>
    <x v="14"/>
    <x v="7"/>
    <n v="0"/>
    <x v="2"/>
    <x v="0"/>
    <x v="0"/>
    <x v="2"/>
  </r>
  <r>
    <x v="15"/>
    <x v="7"/>
    <n v="0"/>
    <x v="2"/>
    <x v="0"/>
    <x v="0"/>
    <x v="2"/>
  </r>
  <r>
    <x v="0"/>
    <x v="8"/>
    <n v="10227.299999999999"/>
    <x v="2"/>
    <x v="0"/>
    <x v="0"/>
    <x v="2"/>
  </r>
  <r>
    <x v="1"/>
    <x v="8"/>
    <n v="3183.33"/>
    <x v="2"/>
    <x v="0"/>
    <x v="0"/>
    <x v="2"/>
  </r>
  <r>
    <x v="2"/>
    <x v="8"/>
    <n v="3183.33"/>
    <x v="2"/>
    <x v="0"/>
    <x v="0"/>
    <x v="2"/>
  </r>
  <r>
    <x v="3"/>
    <x v="8"/>
    <n v="11346.5"/>
    <x v="2"/>
    <x v="0"/>
    <x v="0"/>
    <x v="2"/>
  </r>
  <r>
    <x v="4"/>
    <x v="8"/>
    <n v="11346.5"/>
    <x v="2"/>
    <x v="0"/>
    <x v="0"/>
    <x v="2"/>
  </r>
  <r>
    <x v="5"/>
    <x v="8"/>
    <n v="24438.5"/>
    <x v="2"/>
    <x v="0"/>
    <x v="0"/>
    <x v="2"/>
  </r>
  <r>
    <x v="6"/>
    <x v="8"/>
    <n v="24438.5"/>
    <x v="2"/>
    <x v="0"/>
    <x v="0"/>
    <x v="2"/>
  </r>
  <r>
    <x v="7"/>
    <x v="8"/>
    <n v="24379.200000000001"/>
    <x v="2"/>
    <x v="0"/>
    <x v="0"/>
    <x v="2"/>
  </r>
  <r>
    <x v="8"/>
    <x v="8"/>
    <n v="24379.200000000001"/>
    <x v="2"/>
    <x v="0"/>
    <x v="0"/>
    <x v="2"/>
  </r>
  <r>
    <x v="9"/>
    <x v="8"/>
    <n v="22073.8"/>
    <x v="2"/>
    <x v="0"/>
    <x v="0"/>
    <x v="2"/>
  </r>
  <r>
    <x v="10"/>
    <x v="8"/>
    <n v="22073.8"/>
    <x v="2"/>
    <x v="0"/>
    <x v="0"/>
    <x v="2"/>
  </r>
  <r>
    <x v="11"/>
    <x v="8"/>
    <n v="17797.599999999999"/>
    <x v="2"/>
    <x v="0"/>
    <x v="0"/>
    <x v="2"/>
  </r>
  <r>
    <x v="12"/>
    <x v="8"/>
    <n v="17797.599999999999"/>
    <x v="2"/>
    <x v="0"/>
    <x v="0"/>
    <x v="2"/>
  </r>
  <r>
    <x v="13"/>
    <x v="8"/>
    <n v="18866.8"/>
    <x v="2"/>
    <x v="0"/>
    <x v="0"/>
    <x v="2"/>
  </r>
  <r>
    <x v="14"/>
    <x v="8"/>
    <n v="18866.8"/>
    <x v="2"/>
    <x v="0"/>
    <x v="0"/>
    <x v="2"/>
  </r>
  <r>
    <x v="15"/>
    <x v="8"/>
    <n v="18866.8"/>
    <x v="2"/>
    <x v="0"/>
    <x v="0"/>
    <x v="2"/>
  </r>
  <r>
    <x v="0"/>
    <x v="9"/>
    <n v="10377.5"/>
    <x v="2"/>
    <x v="0"/>
    <x v="0"/>
    <x v="2"/>
  </r>
  <r>
    <x v="1"/>
    <x v="9"/>
    <n v="2619.75"/>
    <x v="2"/>
    <x v="0"/>
    <x v="0"/>
    <x v="2"/>
  </r>
  <r>
    <x v="2"/>
    <x v="9"/>
    <n v="2619.75"/>
    <x v="2"/>
    <x v="0"/>
    <x v="0"/>
    <x v="2"/>
  </r>
  <r>
    <x v="3"/>
    <x v="9"/>
    <n v="2546.33"/>
    <x v="2"/>
    <x v="0"/>
    <x v="0"/>
    <x v="2"/>
  </r>
  <r>
    <x v="4"/>
    <x v="9"/>
    <n v="2546.33"/>
    <x v="2"/>
    <x v="0"/>
    <x v="0"/>
    <x v="2"/>
  </r>
  <r>
    <x v="5"/>
    <x v="9"/>
    <n v="3978.35"/>
    <x v="2"/>
    <x v="0"/>
    <x v="0"/>
    <x v="2"/>
  </r>
  <r>
    <x v="6"/>
    <x v="9"/>
    <n v="3978.35"/>
    <x v="2"/>
    <x v="0"/>
    <x v="0"/>
    <x v="2"/>
  </r>
  <r>
    <x v="7"/>
    <x v="9"/>
    <n v="7254.12"/>
    <x v="2"/>
    <x v="0"/>
    <x v="0"/>
    <x v="2"/>
  </r>
  <r>
    <x v="8"/>
    <x v="9"/>
    <n v="7254.12"/>
    <x v="2"/>
    <x v="0"/>
    <x v="0"/>
    <x v="2"/>
  </r>
  <r>
    <x v="9"/>
    <x v="9"/>
    <n v="10451.299999999999"/>
    <x v="2"/>
    <x v="0"/>
    <x v="0"/>
    <x v="2"/>
  </r>
  <r>
    <x v="10"/>
    <x v="9"/>
    <n v="10451.299999999999"/>
    <x v="2"/>
    <x v="0"/>
    <x v="0"/>
    <x v="2"/>
  </r>
  <r>
    <x v="11"/>
    <x v="9"/>
    <n v="10958.7"/>
    <x v="2"/>
    <x v="0"/>
    <x v="0"/>
    <x v="2"/>
  </r>
  <r>
    <x v="12"/>
    <x v="9"/>
    <n v="10958.7"/>
    <x v="2"/>
    <x v="0"/>
    <x v="0"/>
    <x v="2"/>
  </r>
  <r>
    <x v="13"/>
    <x v="9"/>
    <n v="20546.8"/>
    <x v="2"/>
    <x v="0"/>
    <x v="0"/>
    <x v="2"/>
  </r>
  <r>
    <x v="14"/>
    <x v="9"/>
    <n v="20546.8"/>
    <x v="2"/>
    <x v="0"/>
    <x v="0"/>
    <x v="2"/>
  </r>
  <r>
    <x v="15"/>
    <x v="9"/>
    <n v="20546.8"/>
    <x v="2"/>
    <x v="0"/>
    <x v="0"/>
    <x v="2"/>
  </r>
  <r>
    <x v="0"/>
    <x v="1"/>
    <n v="102.45"/>
    <x v="1"/>
    <x v="0"/>
    <x v="1"/>
    <x v="0"/>
  </r>
  <r>
    <x v="1"/>
    <x v="1"/>
    <n v="9.5"/>
    <x v="1"/>
    <x v="0"/>
    <x v="1"/>
    <x v="0"/>
  </r>
  <r>
    <x v="2"/>
    <x v="1"/>
    <n v="9.5"/>
    <x v="1"/>
    <x v="0"/>
    <x v="1"/>
    <x v="0"/>
  </r>
  <r>
    <x v="3"/>
    <x v="1"/>
    <n v="0"/>
    <x v="1"/>
    <x v="0"/>
    <x v="1"/>
    <x v="0"/>
  </r>
  <r>
    <x v="4"/>
    <x v="1"/>
    <n v="0"/>
    <x v="1"/>
    <x v="0"/>
    <x v="1"/>
    <x v="0"/>
  </r>
  <r>
    <x v="5"/>
    <x v="1"/>
    <n v="0"/>
    <x v="1"/>
    <x v="0"/>
    <x v="1"/>
    <x v="0"/>
  </r>
  <r>
    <x v="6"/>
    <x v="1"/>
    <n v="0"/>
    <x v="1"/>
    <x v="0"/>
    <x v="1"/>
    <x v="0"/>
  </r>
  <r>
    <x v="7"/>
    <x v="1"/>
    <n v="0"/>
    <x v="1"/>
    <x v="0"/>
    <x v="1"/>
    <x v="0"/>
  </r>
  <r>
    <x v="8"/>
    <x v="1"/>
    <n v="0"/>
    <x v="1"/>
    <x v="0"/>
    <x v="1"/>
    <x v="0"/>
  </r>
  <r>
    <x v="9"/>
    <x v="1"/>
    <n v="0"/>
    <x v="1"/>
    <x v="0"/>
    <x v="1"/>
    <x v="0"/>
  </r>
  <r>
    <x v="10"/>
    <x v="1"/>
    <n v="0"/>
    <x v="1"/>
    <x v="0"/>
    <x v="1"/>
    <x v="0"/>
  </r>
  <r>
    <x v="11"/>
    <x v="1"/>
    <n v="0"/>
    <x v="1"/>
    <x v="0"/>
    <x v="1"/>
    <x v="0"/>
  </r>
  <r>
    <x v="12"/>
    <x v="1"/>
    <n v="0"/>
    <x v="1"/>
    <x v="0"/>
    <x v="1"/>
    <x v="0"/>
  </r>
  <r>
    <x v="13"/>
    <x v="1"/>
    <n v="0"/>
    <x v="1"/>
    <x v="0"/>
    <x v="1"/>
    <x v="0"/>
  </r>
  <r>
    <x v="14"/>
    <x v="1"/>
    <n v="0"/>
    <x v="1"/>
    <x v="0"/>
    <x v="1"/>
    <x v="0"/>
  </r>
  <r>
    <x v="15"/>
    <x v="1"/>
    <n v="0"/>
    <x v="1"/>
    <x v="0"/>
    <x v="1"/>
    <x v="0"/>
  </r>
  <r>
    <x v="0"/>
    <x v="2"/>
    <n v="0"/>
    <x v="1"/>
    <x v="0"/>
    <x v="1"/>
    <x v="0"/>
  </r>
  <r>
    <x v="1"/>
    <x v="2"/>
    <n v="0"/>
    <x v="1"/>
    <x v="0"/>
    <x v="1"/>
    <x v="0"/>
  </r>
  <r>
    <x v="2"/>
    <x v="2"/>
    <n v="0"/>
    <x v="1"/>
    <x v="0"/>
    <x v="1"/>
    <x v="0"/>
  </r>
  <r>
    <x v="3"/>
    <x v="2"/>
    <n v="0"/>
    <x v="1"/>
    <x v="0"/>
    <x v="1"/>
    <x v="0"/>
  </r>
  <r>
    <x v="4"/>
    <x v="2"/>
    <n v="0"/>
    <x v="1"/>
    <x v="0"/>
    <x v="1"/>
    <x v="0"/>
  </r>
  <r>
    <x v="5"/>
    <x v="2"/>
    <n v="0"/>
    <x v="1"/>
    <x v="0"/>
    <x v="1"/>
    <x v="0"/>
  </r>
  <r>
    <x v="6"/>
    <x v="2"/>
    <n v="0"/>
    <x v="1"/>
    <x v="0"/>
    <x v="1"/>
    <x v="0"/>
  </r>
  <r>
    <x v="7"/>
    <x v="2"/>
    <n v="0"/>
    <x v="1"/>
    <x v="0"/>
    <x v="1"/>
    <x v="0"/>
  </r>
  <r>
    <x v="8"/>
    <x v="2"/>
    <n v="0"/>
    <x v="1"/>
    <x v="0"/>
    <x v="1"/>
    <x v="0"/>
  </r>
  <r>
    <x v="9"/>
    <x v="2"/>
    <n v="0"/>
    <x v="1"/>
    <x v="0"/>
    <x v="1"/>
    <x v="0"/>
  </r>
  <r>
    <x v="10"/>
    <x v="2"/>
    <n v="0"/>
    <x v="1"/>
    <x v="0"/>
    <x v="1"/>
    <x v="0"/>
  </r>
  <r>
    <x v="11"/>
    <x v="2"/>
    <n v="0"/>
    <x v="1"/>
    <x v="0"/>
    <x v="1"/>
    <x v="0"/>
  </r>
  <r>
    <x v="12"/>
    <x v="2"/>
    <n v="0"/>
    <x v="1"/>
    <x v="0"/>
    <x v="1"/>
    <x v="0"/>
  </r>
  <r>
    <x v="13"/>
    <x v="2"/>
    <n v="0"/>
    <x v="1"/>
    <x v="0"/>
    <x v="1"/>
    <x v="0"/>
  </r>
  <r>
    <x v="14"/>
    <x v="2"/>
    <n v="0"/>
    <x v="1"/>
    <x v="0"/>
    <x v="1"/>
    <x v="0"/>
  </r>
  <r>
    <x v="15"/>
    <x v="2"/>
    <n v="0"/>
    <x v="1"/>
    <x v="0"/>
    <x v="1"/>
    <x v="0"/>
  </r>
  <r>
    <x v="0"/>
    <x v="3"/>
    <n v="11059.73"/>
    <x v="1"/>
    <x v="0"/>
    <x v="1"/>
    <x v="0"/>
  </r>
  <r>
    <x v="1"/>
    <x v="3"/>
    <n v="0"/>
    <x v="1"/>
    <x v="0"/>
    <x v="1"/>
    <x v="0"/>
  </r>
  <r>
    <x v="2"/>
    <x v="3"/>
    <n v="0"/>
    <x v="1"/>
    <x v="0"/>
    <x v="1"/>
    <x v="0"/>
  </r>
  <r>
    <x v="3"/>
    <x v="3"/>
    <n v="0"/>
    <x v="1"/>
    <x v="0"/>
    <x v="1"/>
    <x v="0"/>
  </r>
  <r>
    <x v="4"/>
    <x v="3"/>
    <n v="0"/>
    <x v="1"/>
    <x v="0"/>
    <x v="1"/>
    <x v="0"/>
  </r>
  <r>
    <x v="5"/>
    <x v="3"/>
    <n v="0"/>
    <x v="1"/>
    <x v="0"/>
    <x v="1"/>
    <x v="0"/>
  </r>
  <r>
    <x v="6"/>
    <x v="3"/>
    <n v="0"/>
    <x v="1"/>
    <x v="0"/>
    <x v="1"/>
    <x v="0"/>
  </r>
  <r>
    <x v="7"/>
    <x v="3"/>
    <n v="0"/>
    <x v="1"/>
    <x v="0"/>
    <x v="1"/>
    <x v="0"/>
  </r>
  <r>
    <x v="8"/>
    <x v="3"/>
    <n v="0"/>
    <x v="1"/>
    <x v="0"/>
    <x v="1"/>
    <x v="0"/>
  </r>
  <r>
    <x v="9"/>
    <x v="3"/>
    <n v="0"/>
    <x v="1"/>
    <x v="0"/>
    <x v="1"/>
    <x v="0"/>
  </r>
  <r>
    <x v="10"/>
    <x v="3"/>
    <n v="0"/>
    <x v="1"/>
    <x v="0"/>
    <x v="1"/>
    <x v="0"/>
  </r>
  <r>
    <x v="11"/>
    <x v="3"/>
    <n v="0"/>
    <x v="1"/>
    <x v="0"/>
    <x v="1"/>
    <x v="0"/>
  </r>
  <r>
    <x v="12"/>
    <x v="3"/>
    <n v="0"/>
    <x v="1"/>
    <x v="0"/>
    <x v="1"/>
    <x v="0"/>
  </r>
  <r>
    <x v="13"/>
    <x v="3"/>
    <n v="0"/>
    <x v="1"/>
    <x v="0"/>
    <x v="1"/>
    <x v="0"/>
  </r>
  <r>
    <x v="14"/>
    <x v="3"/>
    <n v="0"/>
    <x v="1"/>
    <x v="0"/>
    <x v="1"/>
    <x v="0"/>
  </r>
  <r>
    <x v="15"/>
    <x v="3"/>
    <n v="0"/>
    <x v="1"/>
    <x v="0"/>
    <x v="1"/>
    <x v="0"/>
  </r>
  <r>
    <x v="0"/>
    <x v="4"/>
    <n v="0"/>
    <x v="1"/>
    <x v="0"/>
    <x v="1"/>
    <x v="0"/>
  </r>
  <r>
    <x v="1"/>
    <x v="4"/>
    <n v="0"/>
    <x v="1"/>
    <x v="0"/>
    <x v="1"/>
    <x v="0"/>
  </r>
  <r>
    <x v="2"/>
    <x v="4"/>
    <n v="0"/>
    <x v="1"/>
    <x v="0"/>
    <x v="1"/>
    <x v="0"/>
  </r>
  <r>
    <x v="3"/>
    <x v="4"/>
    <n v="0"/>
    <x v="1"/>
    <x v="0"/>
    <x v="1"/>
    <x v="0"/>
  </r>
  <r>
    <x v="4"/>
    <x v="4"/>
    <n v="0"/>
    <x v="1"/>
    <x v="0"/>
    <x v="1"/>
    <x v="0"/>
  </r>
  <r>
    <x v="5"/>
    <x v="4"/>
    <n v="0"/>
    <x v="1"/>
    <x v="0"/>
    <x v="1"/>
    <x v="0"/>
  </r>
  <r>
    <x v="6"/>
    <x v="4"/>
    <n v="0"/>
    <x v="1"/>
    <x v="0"/>
    <x v="1"/>
    <x v="0"/>
  </r>
  <r>
    <x v="7"/>
    <x v="4"/>
    <n v="0"/>
    <x v="1"/>
    <x v="0"/>
    <x v="1"/>
    <x v="0"/>
  </r>
  <r>
    <x v="8"/>
    <x v="4"/>
    <n v="0"/>
    <x v="1"/>
    <x v="0"/>
    <x v="1"/>
    <x v="0"/>
  </r>
  <r>
    <x v="9"/>
    <x v="4"/>
    <n v="0"/>
    <x v="1"/>
    <x v="0"/>
    <x v="1"/>
    <x v="0"/>
  </r>
  <r>
    <x v="10"/>
    <x v="4"/>
    <n v="0"/>
    <x v="1"/>
    <x v="0"/>
    <x v="1"/>
    <x v="0"/>
  </r>
  <r>
    <x v="11"/>
    <x v="4"/>
    <n v="0"/>
    <x v="1"/>
    <x v="0"/>
    <x v="1"/>
    <x v="0"/>
  </r>
  <r>
    <x v="12"/>
    <x v="4"/>
    <n v="0"/>
    <x v="1"/>
    <x v="0"/>
    <x v="1"/>
    <x v="0"/>
  </r>
  <r>
    <x v="13"/>
    <x v="4"/>
    <n v="0"/>
    <x v="1"/>
    <x v="0"/>
    <x v="1"/>
    <x v="0"/>
  </r>
  <r>
    <x v="14"/>
    <x v="4"/>
    <n v="0"/>
    <x v="1"/>
    <x v="0"/>
    <x v="1"/>
    <x v="0"/>
  </r>
  <r>
    <x v="15"/>
    <x v="4"/>
    <n v="0"/>
    <x v="1"/>
    <x v="0"/>
    <x v="1"/>
    <x v="0"/>
  </r>
  <r>
    <x v="0"/>
    <x v="5"/>
    <n v="2925.26"/>
    <x v="1"/>
    <x v="0"/>
    <x v="1"/>
    <x v="0"/>
  </r>
  <r>
    <x v="1"/>
    <x v="5"/>
    <n v="0"/>
    <x v="1"/>
    <x v="0"/>
    <x v="1"/>
    <x v="0"/>
  </r>
  <r>
    <x v="2"/>
    <x v="5"/>
    <n v="0"/>
    <x v="1"/>
    <x v="0"/>
    <x v="1"/>
    <x v="0"/>
  </r>
  <r>
    <x v="3"/>
    <x v="5"/>
    <n v="15"/>
    <x v="1"/>
    <x v="0"/>
    <x v="1"/>
    <x v="0"/>
  </r>
  <r>
    <x v="4"/>
    <x v="5"/>
    <n v="15"/>
    <x v="1"/>
    <x v="0"/>
    <x v="1"/>
    <x v="0"/>
  </r>
  <r>
    <x v="5"/>
    <x v="5"/>
    <n v="9.5"/>
    <x v="1"/>
    <x v="0"/>
    <x v="1"/>
    <x v="0"/>
  </r>
  <r>
    <x v="6"/>
    <x v="5"/>
    <n v="9.5"/>
    <x v="1"/>
    <x v="0"/>
    <x v="1"/>
    <x v="0"/>
  </r>
  <r>
    <x v="7"/>
    <x v="5"/>
    <n v="0"/>
    <x v="1"/>
    <x v="0"/>
    <x v="1"/>
    <x v="0"/>
  </r>
  <r>
    <x v="8"/>
    <x v="5"/>
    <n v="0"/>
    <x v="1"/>
    <x v="0"/>
    <x v="1"/>
    <x v="0"/>
  </r>
  <r>
    <x v="9"/>
    <x v="5"/>
    <n v="0"/>
    <x v="1"/>
    <x v="0"/>
    <x v="1"/>
    <x v="0"/>
  </r>
  <r>
    <x v="10"/>
    <x v="5"/>
    <n v="0"/>
    <x v="1"/>
    <x v="0"/>
    <x v="1"/>
    <x v="0"/>
  </r>
  <r>
    <x v="11"/>
    <x v="5"/>
    <n v="6.5"/>
    <x v="1"/>
    <x v="0"/>
    <x v="1"/>
    <x v="0"/>
  </r>
  <r>
    <x v="12"/>
    <x v="5"/>
    <n v="6.5"/>
    <x v="1"/>
    <x v="0"/>
    <x v="1"/>
    <x v="0"/>
  </r>
  <r>
    <x v="13"/>
    <x v="5"/>
    <n v="1.6666700000000001"/>
    <x v="1"/>
    <x v="0"/>
    <x v="1"/>
    <x v="0"/>
  </r>
  <r>
    <x v="14"/>
    <x v="5"/>
    <n v="1.6666700000000001"/>
    <x v="1"/>
    <x v="0"/>
    <x v="1"/>
    <x v="0"/>
  </r>
  <r>
    <x v="15"/>
    <x v="5"/>
    <n v="1.6666700000000001"/>
    <x v="1"/>
    <x v="0"/>
    <x v="1"/>
    <x v="0"/>
  </r>
  <r>
    <x v="0"/>
    <x v="6"/>
    <n v="232.5"/>
    <x v="1"/>
    <x v="0"/>
    <x v="1"/>
    <x v="0"/>
  </r>
  <r>
    <x v="1"/>
    <x v="6"/>
    <n v="1100"/>
    <x v="1"/>
    <x v="0"/>
    <x v="1"/>
    <x v="0"/>
  </r>
  <r>
    <x v="2"/>
    <x v="6"/>
    <n v="1100"/>
    <x v="1"/>
    <x v="0"/>
    <x v="1"/>
    <x v="0"/>
  </r>
  <r>
    <x v="3"/>
    <x v="6"/>
    <n v="0"/>
    <x v="1"/>
    <x v="0"/>
    <x v="1"/>
    <x v="0"/>
  </r>
  <r>
    <x v="4"/>
    <x v="6"/>
    <n v="0"/>
    <x v="1"/>
    <x v="0"/>
    <x v="1"/>
    <x v="0"/>
  </r>
  <r>
    <x v="5"/>
    <x v="6"/>
    <n v="0"/>
    <x v="1"/>
    <x v="0"/>
    <x v="1"/>
    <x v="0"/>
  </r>
  <r>
    <x v="6"/>
    <x v="6"/>
    <n v="0"/>
    <x v="1"/>
    <x v="0"/>
    <x v="1"/>
    <x v="0"/>
  </r>
  <r>
    <x v="7"/>
    <x v="6"/>
    <n v="0"/>
    <x v="1"/>
    <x v="0"/>
    <x v="1"/>
    <x v="0"/>
  </r>
  <r>
    <x v="8"/>
    <x v="6"/>
    <n v="0"/>
    <x v="1"/>
    <x v="0"/>
    <x v="1"/>
    <x v="0"/>
  </r>
  <r>
    <x v="9"/>
    <x v="6"/>
    <n v="0"/>
    <x v="1"/>
    <x v="0"/>
    <x v="1"/>
    <x v="0"/>
  </r>
  <r>
    <x v="10"/>
    <x v="6"/>
    <n v="0"/>
    <x v="1"/>
    <x v="0"/>
    <x v="1"/>
    <x v="0"/>
  </r>
  <r>
    <x v="11"/>
    <x v="6"/>
    <n v="0"/>
    <x v="1"/>
    <x v="0"/>
    <x v="1"/>
    <x v="0"/>
  </r>
  <r>
    <x v="12"/>
    <x v="6"/>
    <n v="0"/>
    <x v="1"/>
    <x v="0"/>
    <x v="1"/>
    <x v="0"/>
  </r>
  <r>
    <x v="13"/>
    <x v="6"/>
    <n v="0"/>
    <x v="1"/>
    <x v="0"/>
    <x v="1"/>
    <x v="0"/>
  </r>
  <r>
    <x v="14"/>
    <x v="6"/>
    <n v="0"/>
    <x v="1"/>
    <x v="0"/>
    <x v="1"/>
    <x v="0"/>
  </r>
  <r>
    <x v="15"/>
    <x v="6"/>
    <n v="0"/>
    <x v="1"/>
    <x v="0"/>
    <x v="1"/>
    <x v="0"/>
  </r>
  <r>
    <x v="0"/>
    <x v="7"/>
    <n v="14.85"/>
    <x v="1"/>
    <x v="0"/>
    <x v="1"/>
    <x v="0"/>
  </r>
  <r>
    <x v="1"/>
    <x v="7"/>
    <n v="0"/>
    <x v="1"/>
    <x v="0"/>
    <x v="1"/>
    <x v="0"/>
  </r>
  <r>
    <x v="2"/>
    <x v="7"/>
    <n v="0"/>
    <x v="1"/>
    <x v="0"/>
    <x v="1"/>
    <x v="0"/>
  </r>
  <r>
    <x v="3"/>
    <x v="7"/>
    <n v="0"/>
    <x v="1"/>
    <x v="0"/>
    <x v="1"/>
    <x v="0"/>
  </r>
  <r>
    <x v="4"/>
    <x v="7"/>
    <n v="0"/>
    <x v="1"/>
    <x v="0"/>
    <x v="1"/>
    <x v="0"/>
  </r>
  <r>
    <x v="5"/>
    <x v="7"/>
    <n v="0"/>
    <x v="1"/>
    <x v="0"/>
    <x v="1"/>
    <x v="0"/>
  </r>
  <r>
    <x v="6"/>
    <x v="7"/>
    <n v="0"/>
    <x v="1"/>
    <x v="0"/>
    <x v="1"/>
    <x v="0"/>
  </r>
  <r>
    <x v="7"/>
    <x v="7"/>
    <n v="0"/>
    <x v="1"/>
    <x v="0"/>
    <x v="1"/>
    <x v="0"/>
  </r>
  <r>
    <x v="8"/>
    <x v="7"/>
    <n v="0"/>
    <x v="1"/>
    <x v="0"/>
    <x v="1"/>
    <x v="0"/>
  </r>
  <r>
    <x v="9"/>
    <x v="7"/>
    <n v="0"/>
    <x v="1"/>
    <x v="0"/>
    <x v="1"/>
    <x v="0"/>
  </r>
  <r>
    <x v="10"/>
    <x v="7"/>
    <n v="0"/>
    <x v="1"/>
    <x v="0"/>
    <x v="1"/>
    <x v="0"/>
  </r>
  <r>
    <x v="11"/>
    <x v="7"/>
    <n v="0"/>
    <x v="1"/>
    <x v="0"/>
    <x v="1"/>
    <x v="0"/>
  </r>
  <r>
    <x v="12"/>
    <x v="7"/>
    <n v="0"/>
    <x v="1"/>
    <x v="0"/>
    <x v="1"/>
    <x v="0"/>
  </r>
  <r>
    <x v="13"/>
    <x v="7"/>
    <n v="0"/>
    <x v="1"/>
    <x v="0"/>
    <x v="1"/>
    <x v="0"/>
  </r>
  <r>
    <x v="14"/>
    <x v="7"/>
    <n v="0"/>
    <x v="1"/>
    <x v="0"/>
    <x v="1"/>
    <x v="0"/>
  </r>
  <r>
    <x v="15"/>
    <x v="7"/>
    <n v="0"/>
    <x v="1"/>
    <x v="0"/>
    <x v="1"/>
    <x v="0"/>
  </r>
  <r>
    <x v="0"/>
    <x v="8"/>
    <n v="16866"/>
    <x v="1"/>
    <x v="0"/>
    <x v="1"/>
    <x v="0"/>
  </r>
  <r>
    <x v="1"/>
    <x v="8"/>
    <n v="44207.4"/>
    <x v="1"/>
    <x v="0"/>
    <x v="1"/>
    <x v="0"/>
  </r>
  <r>
    <x v="2"/>
    <x v="8"/>
    <n v="44207.4"/>
    <x v="1"/>
    <x v="0"/>
    <x v="1"/>
    <x v="0"/>
  </r>
  <r>
    <x v="3"/>
    <x v="8"/>
    <n v="54825"/>
    <x v="1"/>
    <x v="0"/>
    <x v="1"/>
    <x v="0"/>
  </r>
  <r>
    <x v="4"/>
    <x v="8"/>
    <n v="54825"/>
    <x v="1"/>
    <x v="0"/>
    <x v="1"/>
    <x v="0"/>
  </r>
  <r>
    <x v="5"/>
    <x v="8"/>
    <n v="27762.1"/>
    <x v="1"/>
    <x v="0"/>
    <x v="1"/>
    <x v="0"/>
  </r>
  <r>
    <x v="6"/>
    <x v="8"/>
    <n v="27762.1"/>
    <x v="1"/>
    <x v="0"/>
    <x v="1"/>
    <x v="0"/>
  </r>
  <r>
    <x v="7"/>
    <x v="8"/>
    <n v="46670.9"/>
    <x v="1"/>
    <x v="0"/>
    <x v="1"/>
    <x v="0"/>
  </r>
  <r>
    <x v="8"/>
    <x v="8"/>
    <n v="46670.9"/>
    <x v="1"/>
    <x v="0"/>
    <x v="1"/>
    <x v="0"/>
  </r>
  <r>
    <x v="9"/>
    <x v="8"/>
    <n v="43406.8"/>
    <x v="1"/>
    <x v="0"/>
    <x v="1"/>
    <x v="0"/>
  </r>
  <r>
    <x v="10"/>
    <x v="8"/>
    <n v="43406.8"/>
    <x v="1"/>
    <x v="0"/>
    <x v="1"/>
    <x v="0"/>
  </r>
  <r>
    <x v="11"/>
    <x v="8"/>
    <n v="40075"/>
    <x v="1"/>
    <x v="0"/>
    <x v="1"/>
    <x v="0"/>
  </r>
  <r>
    <x v="12"/>
    <x v="8"/>
    <n v="40075"/>
    <x v="1"/>
    <x v="0"/>
    <x v="1"/>
    <x v="0"/>
  </r>
  <r>
    <x v="13"/>
    <x v="8"/>
    <n v="55365.3"/>
    <x v="1"/>
    <x v="0"/>
    <x v="1"/>
    <x v="0"/>
  </r>
  <r>
    <x v="14"/>
    <x v="8"/>
    <n v="55365.3"/>
    <x v="1"/>
    <x v="0"/>
    <x v="1"/>
    <x v="0"/>
  </r>
  <r>
    <x v="15"/>
    <x v="8"/>
    <n v="55365.3"/>
    <x v="1"/>
    <x v="0"/>
    <x v="1"/>
    <x v="0"/>
  </r>
  <r>
    <x v="0"/>
    <x v="9"/>
    <n v="11405.9"/>
    <x v="1"/>
    <x v="0"/>
    <x v="1"/>
    <x v="0"/>
  </r>
  <r>
    <x v="1"/>
    <x v="9"/>
    <n v="19243.3"/>
    <x v="1"/>
    <x v="0"/>
    <x v="1"/>
    <x v="0"/>
  </r>
  <r>
    <x v="2"/>
    <x v="9"/>
    <n v="19243.3"/>
    <x v="1"/>
    <x v="0"/>
    <x v="1"/>
    <x v="0"/>
  </r>
  <r>
    <x v="3"/>
    <x v="9"/>
    <n v="8010.15"/>
    <x v="1"/>
    <x v="0"/>
    <x v="1"/>
    <x v="0"/>
  </r>
  <r>
    <x v="4"/>
    <x v="9"/>
    <n v="8010.15"/>
    <x v="1"/>
    <x v="0"/>
    <x v="1"/>
    <x v="0"/>
  </r>
  <r>
    <x v="5"/>
    <x v="9"/>
    <n v="31097.4"/>
    <x v="1"/>
    <x v="0"/>
    <x v="1"/>
    <x v="0"/>
  </r>
  <r>
    <x v="6"/>
    <x v="9"/>
    <n v="31097.4"/>
    <x v="1"/>
    <x v="0"/>
    <x v="1"/>
    <x v="0"/>
  </r>
  <r>
    <x v="7"/>
    <x v="9"/>
    <n v="23624.5"/>
    <x v="1"/>
    <x v="0"/>
    <x v="1"/>
    <x v="0"/>
  </r>
  <r>
    <x v="8"/>
    <x v="9"/>
    <n v="23624.5"/>
    <x v="1"/>
    <x v="0"/>
    <x v="1"/>
    <x v="0"/>
  </r>
  <r>
    <x v="9"/>
    <x v="9"/>
    <n v="25435.3"/>
    <x v="1"/>
    <x v="0"/>
    <x v="1"/>
    <x v="0"/>
  </r>
  <r>
    <x v="10"/>
    <x v="9"/>
    <n v="25435.3"/>
    <x v="1"/>
    <x v="0"/>
    <x v="1"/>
    <x v="0"/>
  </r>
  <r>
    <x v="11"/>
    <x v="9"/>
    <n v="41628.9"/>
    <x v="1"/>
    <x v="0"/>
    <x v="1"/>
    <x v="0"/>
  </r>
  <r>
    <x v="12"/>
    <x v="9"/>
    <n v="41628.9"/>
    <x v="1"/>
    <x v="0"/>
    <x v="1"/>
    <x v="0"/>
  </r>
  <r>
    <x v="13"/>
    <x v="9"/>
    <n v="36990.199999999997"/>
    <x v="1"/>
    <x v="0"/>
    <x v="1"/>
    <x v="0"/>
  </r>
  <r>
    <x v="14"/>
    <x v="9"/>
    <n v="36990.199999999997"/>
    <x v="1"/>
    <x v="0"/>
    <x v="1"/>
    <x v="0"/>
  </r>
  <r>
    <x v="15"/>
    <x v="9"/>
    <n v="36990.199999999997"/>
    <x v="1"/>
    <x v="0"/>
    <x v="1"/>
    <x v="0"/>
  </r>
  <r>
    <x v="0"/>
    <x v="1"/>
    <n v="102.45"/>
    <x v="1"/>
    <x v="0"/>
    <x v="1"/>
    <x v="1"/>
  </r>
  <r>
    <x v="1"/>
    <x v="1"/>
    <n v="9.5"/>
    <x v="1"/>
    <x v="0"/>
    <x v="1"/>
    <x v="1"/>
  </r>
  <r>
    <x v="2"/>
    <x v="1"/>
    <n v="9.5"/>
    <x v="1"/>
    <x v="0"/>
    <x v="1"/>
    <x v="1"/>
  </r>
  <r>
    <x v="3"/>
    <x v="1"/>
    <n v="0"/>
    <x v="1"/>
    <x v="0"/>
    <x v="1"/>
    <x v="1"/>
  </r>
  <r>
    <x v="4"/>
    <x v="1"/>
    <n v="0"/>
    <x v="1"/>
    <x v="0"/>
    <x v="1"/>
    <x v="1"/>
  </r>
  <r>
    <x v="5"/>
    <x v="1"/>
    <n v="0"/>
    <x v="1"/>
    <x v="0"/>
    <x v="1"/>
    <x v="1"/>
  </r>
  <r>
    <x v="6"/>
    <x v="1"/>
    <n v="0"/>
    <x v="1"/>
    <x v="0"/>
    <x v="1"/>
    <x v="1"/>
  </r>
  <r>
    <x v="7"/>
    <x v="1"/>
    <n v="0"/>
    <x v="1"/>
    <x v="0"/>
    <x v="1"/>
    <x v="1"/>
  </r>
  <r>
    <x v="8"/>
    <x v="1"/>
    <n v="0"/>
    <x v="1"/>
    <x v="0"/>
    <x v="1"/>
    <x v="1"/>
  </r>
  <r>
    <x v="9"/>
    <x v="1"/>
    <n v="0"/>
    <x v="1"/>
    <x v="0"/>
    <x v="1"/>
    <x v="1"/>
  </r>
  <r>
    <x v="10"/>
    <x v="1"/>
    <n v="0"/>
    <x v="1"/>
    <x v="0"/>
    <x v="1"/>
    <x v="1"/>
  </r>
  <r>
    <x v="11"/>
    <x v="1"/>
    <n v="0"/>
    <x v="1"/>
    <x v="0"/>
    <x v="1"/>
    <x v="1"/>
  </r>
  <r>
    <x v="12"/>
    <x v="1"/>
    <n v="0"/>
    <x v="1"/>
    <x v="0"/>
    <x v="1"/>
    <x v="1"/>
  </r>
  <r>
    <x v="13"/>
    <x v="1"/>
    <n v="0"/>
    <x v="1"/>
    <x v="0"/>
    <x v="1"/>
    <x v="1"/>
  </r>
  <r>
    <x v="14"/>
    <x v="1"/>
    <n v="0"/>
    <x v="1"/>
    <x v="0"/>
    <x v="1"/>
    <x v="1"/>
  </r>
  <r>
    <x v="15"/>
    <x v="1"/>
    <n v="0"/>
    <x v="1"/>
    <x v="0"/>
    <x v="1"/>
    <x v="1"/>
  </r>
  <r>
    <x v="0"/>
    <x v="2"/>
    <n v="0"/>
    <x v="1"/>
    <x v="0"/>
    <x v="1"/>
    <x v="1"/>
  </r>
  <r>
    <x v="1"/>
    <x v="2"/>
    <n v="0"/>
    <x v="1"/>
    <x v="0"/>
    <x v="1"/>
    <x v="1"/>
  </r>
  <r>
    <x v="2"/>
    <x v="2"/>
    <n v="0"/>
    <x v="1"/>
    <x v="0"/>
    <x v="1"/>
    <x v="1"/>
  </r>
  <r>
    <x v="3"/>
    <x v="2"/>
    <n v="0"/>
    <x v="1"/>
    <x v="0"/>
    <x v="1"/>
    <x v="1"/>
  </r>
  <r>
    <x v="4"/>
    <x v="2"/>
    <n v="0"/>
    <x v="1"/>
    <x v="0"/>
    <x v="1"/>
    <x v="1"/>
  </r>
  <r>
    <x v="5"/>
    <x v="2"/>
    <n v="0"/>
    <x v="1"/>
    <x v="0"/>
    <x v="1"/>
    <x v="1"/>
  </r>
  <r>
    <x v="6"/>
    <x v="2"/>
    <n v="0"/>
    <x v="1"/>
    <x v="0"/>
    <x v="1"/>
    <x v="1"/>
  </r>
  <r>
    <x v="7"/>
    <x v="2"/>
    <n v="0"/>
    <x v="1"/>
    <x v="0"/>
    <x v="1"/>
    <x v="1"/>
  </r>
  <r>
    <x v="8"/>
    <x v="2"/>
    <n v="0"/>
    <x v="1"/>
    <x v="0"/>
    <x v="1"/>
    <x v="1"/>
  </r>
  <r>
    <x v="9"/>
    <x v="2"/>
    <n v="0"/>
    <x v="1"/>
    <x v="0"/>
    <x v="1"/>
    <x v="1"/>
  </r>
  <r>
    <x v="10"/>
    <x v="2"/>
    <n v="0"/>
    <x v="1"/>
    <x v="0"/>
    <x v="1"/>
    <x v="1"/>
  </r>
  <r>
    <x v="11"/>
    <x v="2"/>
    <n v="0"/>
    <x v="1"/>
    <x v="0"/>
    <x v="1"/>
    <x v="1"/>
  </r>
  <r>
    <x v="12"/>
    <x v="2"/>
    <n v="0"/>
    <x v="1"/>
    <x v="0"/>
    <x v="1"/>
    <x v="1"/>
  </r>
  <r>
    <x v="13"/>
    <x v="2"/>
    <n v="0"/>
    <x v="1"/>
    <x v="0"/>
    <x v="1"/>
    <x v="1"/>
  </r>
  <r>
    <x v="14"/>
    <x v="2"/>
    <n v="0"/>
    <x v="1"/>
    <x v="0"/>
    <x v="1"/>
    <x v="1"/>
  </r>
  <r>
    <x v="15"/>
    <x v="2"/>
    <n v="0"/>
    <x v="1"/>
    <x v="0"/>
    <x v="1"/>
    <x v="1"/>
  </r>
  <r>
    <x v="0"/>
    <x v="3"/>
    <n v="11059.73"/>
    <x v="1"/>
    <x v="0"/>
    <x v="1"/>
    <x v="1"/>
  </r>
  <r>
    <x v="1"/>
    <x v="3"/>
    <n v="0"/>
    <x v="1"/>
    <x v="0"/>
    <x v="1"/>
    <x v="1"/>
  </r>
  <r>
    <x v="2"/>
    <x v="3"/>
    <n v="0"/>
    <x v="1"/>
    <x v="0"/>
    <x v="1"/>
    <x v="1"/>
  </r>
  <r>
    <x v="3"/>
    <x v="3"/>
    <n v="0"/>
    <x v="1"/>
    <x v="0"/>
    <x v="1"/>
    <x v="1"/>
  </r>
  <r>
    <x v="4"/>
    <x v="3"/>
    <n v="0"/>
    <x v="1"/>
    <x v="0"/>
    <x v="1"/>
    <x v="1"/>
  </r>
  <r>
    <x v="5"/>
    <x v="3"/>
    <n v="0"/>
    <x v="1"/>
    <x v="0"/>
    <x v="1"/>
    <x v="1"/>
  </r>
  <r>
    <x v="6"/>
    <x v="3"/>
    <n v="0"/>
    <x v="1"/>
    <x v="0"/>
    <x v="1"/>
    <x v="1"/>
  </r>
  <r>
    <x v="7"/>
    <x v="3"/>
    <n v="0"/>
    <x v="1"/>
    <x v="0"/>
    <x v="1"/>
    <x v="1"/>
  </r>
  <r>
    <x v="8"/>
    <x v="3"/>
    <n v="0"/>
    <x v="1"/>
    <x v="0"/>
    <x v="1"/>
    <x v="1"/>
  </r>
  <r>
    <x v="9"/>
    <x v="3"/>
    <n v="0"/>
    <x v="1"/>
    <x v="0"/>
    <x v="1"/>
    <x v="1"/>
  </r>
  <r>
    <x v="10"/>
    <x v="3"/>
    <n v="0"/>
    <x v="1"/>
    <x v="0"/>
    <x v="1"/>
    <x v="1"/>
  </r>
  <r>
    <x v="11"/>
    <x v="3"/>
    <n v="0"/>
    <x v="1"/>
    <x v="0"/>
    <x v="1"/>
    <x v="1"/>
  </r>
  <r>
    <x v="12"/>
    <x v="3"/>
    <n v="0"/>
    <x v="1"/>
    <x v="0"/>
    <x v="1"/>
    <x v="1"/>
  </r>
  <r>
    <x v="13"/>
    <x v="3"/>
    <n v="0"/>
    <x v="1"/>
    <x v="0"/>
    <x v="1"/>
    <x v="1"/>
  </r>
  <r>
    <x v="14"/>
    <x v="3"/>
    <n v="0"/>
    <x v="1"/>
    <x v="0"/>
    <x v="1"/>
    <x v="1"/>
  </r>
  <r>
    <x v="15"/>
    <x v="3"/>
    <n v="0"/>
    <x v="1"/>
    <x v="0"/>
    <x v="1"/>
    <x v="1"/>
  </r>
  <r>
    <x v="0"/>
    <x v="4"/>
    <n v="0"/>
    <x v="1"/>
    <x v="0"/>
    <x v="1"/>
    <x v="1"/>
  </r>
  <r>
    <x v="1"/>
    <x v="4"/>
    <n v="0"/>
    <x v="1"/>
    <x v="0"/>
    <x v="1"/>
    <x v="1"/>
  </r>
  <r>
    <x v="2"/>
    <x v="4"/>
    <n v="0"/>
    <x v="1"/>
    <x v="0"/>
    <x v="1"/>
    <x v="1"/>
  </r>
  <r>
    <x v="3"/>
    <x v="4"/>
    <n v="0"/>
    <x v="1"/>
    <x v="0"/>
    <x v="1"/>
    <x v="1"/>
  </r>
  <r>
    <x v="4"/>
    <x v="4"/>
    <n v="0"/>
    <x v="1"/>
    <x v="0"/>
    <x v="1"/>
    <x v="1"/>
  </r>
  <r>
    <x v="5"/>
    <x v="4"/>
    <n v="0"/>
    <x v="1"/>
    <x v="0"/>
    <x v="1"/>
    <x v="1"/>
  </r>
  <r>
    <x v="6"/>
    <x v="4"/>
    <n v="0"/>
    <x v="1"/>
    <x v="0"/>
    <x v="1"/>
    <x v="1"/>
  </r>
  <r>
    <x v="7"/>
    <x v="4"/>
    <n v="0"/>
    <x v="1"/>
    <x v="0"/>
    <x v="1"/>
    <x v="1"/>
  </r>
  <r>
    <x v="8"/>
    <x v="4"/>
    <n v="0"/>
    <x v="1"/>
    <x v="0"/>
    <x v="1"/>
    <x v="1"/>
  </r>
  <r>
    <x v="9"/>
    <x v="4"/>
    <n v="0"/>
    <x v="1"/>
    <x v="0"/>
    <x v="1"/>
    <x v="1"/>
  </r>
  <r>
    <x v="10"/>
    <x v="4"/>
    <n v="0"/>
    <x v="1"/>
    <x v="0"/>
    <x v="1"/>
    <x v="1"/>
  </r>
  <r>
    <x v="11"/>
    <x v="4"/>
    <n v="0"/>
    <x v="1"/>
    <x v="0"/>
    <x v="1"/>
    <x v="1"/>
  </r>
  <r>
    <x v="12"/>
    <x v="4"/>
    <n v="0"/>
    <x v="1"/>
    <x v="0"/>
    <x v="1"/>
    <x v="1"/>
  </r>
  <r>
    <x v="13"/>
    <x v="4"/>
    <n v="0"/>
    <x v="1"/>
    <x v="0"/>
    <x v="1"/>
    <x v="1"/>
  </r>
  <r>
    <x v="14"/>
    <x v="4"/>
    <n v="0"/>
    <x v="1"/>
    <x v="0"/>
    <x v="1"/>
    <x v="1"/>
  </r>
  <r>
    <x v="15"/>
    <x v="4"/>
    <n v="0"/>
    <x v="1"/>
    <x v="0"/>
    <x v="1"/>
    <x v="1"/>
  </r>
  <r>
    <x v="0"/>
    <x v="5"/>
    <n v="3821.68"/>
    <x v="1"/>
    <x v="0"/>
    <x v="1"/>
    <x v="1"/>
  </r>
  <r>
    <x v="1"/>
    <x v="5"/>
    <n v="1"/>
    <x v="1"/>
    <x v="0"/>
    <x v="1"/>
    <x v="1"/>
  </r>
  <r>
    <x v="2"/>
    <x v="5"/>
    <n v="1"/>
    <x v="1"/>
    <x v="0"/>
    <x v="1"/>
    <x v="1"/>
  </r>
  <r>
    <x v="3"/>
    <x v="5"/>
    <n v="71.5"/>
    <x v="1"/>
    <x v="0"/>
    <x v="1"/>
    <x v="1"/>
  </r>
  <r>
    <x v="4"/>
    <x v="5"/>
    <n v="71.5"/>
    <x v="1"/>
    <x v="0"/>
    <x v="1"/>
    <x v="1"/>
  </r>
  <r>
    <x v="5"/>
    <x v="5"/>
    <n v="36"/>
    <x v="1"/>
    <x v="0"/>
    <x v="1"/>
    <x v="1"/>
  </r>
  <r>
    <x v="6"/>
    <x v="5"/>
    <n v="36"/>
    <x v="1"/>
    <x v="0"/>
    <x v="1"/>
    <x v="1"/>
  </r>
  <r>
    <x v="7"/>
    <x v="5"/>
    <n v="19.895"/>
    <x v="1"/>
    <x v="0"/>
    <x v="1"/>
    <x v="1"/>
  </r>
  <r>
    <x v="8"/>
    <x v="5"/>
    <n v="19.895"/>
    <x v="1"/>
    <x v="0"/>
    <x v="1"/>
    <x v="1"/>
  </r>
  <r>
    <x v="9"/>
    <x v="5"/>
    <n v="14.5"/>
    <x v="1"/>
    <x v="0"/>
    <x v="1"/>
    <x v="1"/>
  </r>
  <r>
    <x v="10"/>
    <x v="5"/>
    <n v="14.5"/>
    <x v="1"/>
    <x v="0"/>
    <x v="1"/>
    <x v="1"/>
  </r>
  <r>
    <x v="11"/>
    <x v="5"/>
    <n v="41"/>
    <x v="1"/>
    <x v="0"/>
    <x v="1"/>
    <x v="1"/>
  </r>
  <r>
    <x v="12"/>
    <x v="5"/>
    <n v="41"/>
    <x v="1"/>
    <x v="0"/>
    <x v="1"/>
    <x v="1"/>
  </r>
  <r>
    <x v="13"/>
    <x v="5"/>
    <n v="19.5"/>
    <x v="1"/>
    <x v="0"/>
    <x v="1"/>
    <x v="1"/>
  </r>
  <r>
    <x v="14"/>
    <x v="5"/>
    <n v="19.5"/>
    <x v="1"/>
    <x v="0"/>
    <x v="1"/>
    <x v="1"/>
  </r>
  <r>
    <x v="15"/>
    <x v="5"/>
    <n v="19.5"/>
    <x v="1"/>
    <x v="0"/>
    <x v="1"/>
    <x v="1"/>
  </r>
  <r>
    <x v="0"/>
    <x v="6"/>
    <n v="232.5"/>
    <x v="1"/>
    <x v="0"/>
    <x v="1"/>
    <x v="1"/>
  </r>
  <r>
    <x v="1"/>
    <x v="6"/>
    <n v="1100"/>
    <x v="1"/>
    <x v="0"/>
    <x v="1"/>
    <x v="1"/>
  </r>
  <r>
    <x v="2"/>
    <x v="6"/>
    <n v="1100"/>
    <x v="1"/>
    <x v="0"/>
    <x v="1"/>
    <x v="1"/>
  </r>
  <r>
    <x v="3"/>
    <x v="6"/>
    <n v="0"/>
    <x v="1"/>
    <x v="0"/>
    <x v="1"/>
    <x v="1"/>
  </r>
  <r>
    <x v="4"/>
    <x v="6"/>
    <n v="0"/>
    <x v="1"/>
    <x v="0"/>
    <x v="1"/>
    <x v="1"/>
  </r>
  <r>
    <x v="5"/>
    <x v="6"/>
    <n v="0"/>
    <x v="1"/>
    <x v="0"/>
    <x v="1"/>
    <x v="1"/>
  </r>
  <r>
    <x v="6"/>
    <x v="6"/>
    <n v="0"/>
    <x v="1"/>
    <x v="0"/>
    <x v="1"/>
    <x v="1"/>
  </r>
  <r>
    <x v="7"/>
    <x v="6"/>
    <n v="0"/>
    <x v="1"/>
    <x v="0"/>
    <x v="1"/>
    <x v="1"/>
  </r>
  <r>
    <x v="8"/>
    <x v="6"/>
    <n v="0"/>
    <x v="1"/>
    <x v="0"/>
    <x v="1"/>
    <x v="1"/>
  </r>
  <r>
    <x v="9"/>
    <x v="6"/>
    <n v="0"/>
    <x v="1"/>
    <x v="0"/>
    <x v="1"/>
    <x v="1"/>
  </r>
  <r>
    <x v="10"/>
    <x v="6"/>
    <n v="0"/>
    <x v="1"/>
    <x v="0"/>
    <x v="1"/>
    <x v="1"/>
  </r>
  <r>
    <x v="11"/>
    <x v="6"/>
    <n v="0"/>
    <x v="1"/>
    <x v="0"/>
    <x v="1"/>
    <x v="1"/>
  </r>
  <r>
    <x v="12"/>
    <x v="6"/>
    <n v="0"/>
    <x v="1"/>
    <x v="0"/>
    <x v="1"/>
    <x v="1"/>
  </r>
  <r>
    <x v="13"/>
    <x v="6"/>
    <n v="0"/>
    <x v="1"/>
    <x v="0"/>
    <x v="1"/>
    <x v="1"/>
  </r>
  <r>
    <x v="14"/>
    <x v="6"/>
    <n v="0"/>
    <x v="1"/>
    <x v="0"/>
    <x v="1"/>
    <x v="1"/>
  </r>
  <r>
    <x v="15"/>
    <x v="6"/>
    <n v="0"/>
    <x v="1"/>
    <x v="0"/>
    <x v="1"/>
    <x v="1"/>
  </r>
  <r>
    <x v="0"/>
    <x v="7"/>
    <n v="14.85"/>
    <x v="1"/>
    <x v="0"/>
    <x v="1"/>
    <x v="1"/>
  </r>
  <r>
    <x v="1"/>
    <x v="7"/>
    <n v="0"/>
    <x v="1"/>
    <x v="0"/>
    <x v="1"/>
    <x v="1"/>
  </r>
  <r>
    <x v="2"/>
    <x v="7"/>
    <n v="0"/>
    <x v="1"/>
    <x v="0"/>
    <x v="1"/>
    <x v="1"/>
  </r>
  <r>
    <x v="3"/>
    <x v="7"/>
    <n v="0"/>
    <x v="1"/>
    <x v="0"/>
    <x v="1"/>
    <x v="1"/>
  </r>
  <r>
    <x v="4"/>
    <x v="7"/>
    <n v="0"/>
    <x v="1"/>
    <x v="0"/>
    <x v="1"/>
    <x v="1"/>
  </r>
  <r>
    <x v="5"/>
    <x v="7"/>
    <n v="0"/>
    <x v="1"/>
    <x v="0"/>
    <x v="1"/>
    <x v="1"/>
  </r>
  <r>
    <x v="6"/>
    <x v="7"/>
    <n v="0"/>
    <x v="1"/>
    <x v="0"/>
    <x v="1"/>
    <x v="1"/>
  </r>
  <r>
    <x v="7"/>
    <x v="7"/>
    <n v="0"/>
    <x v="1"/>
    <x v="0"/>
    <x v="1"/>
    <x v="1"/>
  </r>
  <r>
    <x v="8"/>
    <x v="7"/>
    <n v="0"/>
    <x v="1"/>
    <x v="0"/>
    <x v="1"/>
    <x v="1"/>
  </r>
  <r>
    <x v="9"/>
    <x v="7"/>
    <n v="0"/>
    <x v="1"/>
    <x v="0"/>
    <x v="1"/>
    <x v="1"/>
  </r>
  <r>
    <x v="10"/>
    <x v="7"/>
    <n v="0"/>
    <x v="1"/>
    <x v="0"/>
    <x v="1"/>
    <x v="1"/>
  </r>
  <r>
    <x v="11"/>
    <x v="7"/>
    <n v="0"/>
    <x v="1"/>
    <x v="0"/>
    <x v="1"/>
    <x v="1"/>
  </r>
  <r>
    <x v="12"/>
    <x v="7"/>
    <n v="0"/>
    <x v="1"/>
    <x v="0"/>
    <x v="1"/>
    <x v="1"/>
  </r>
  <r>
    <x v="13"/>
    <x v="7"/>
    <n v="0"/>
    <x v="1"/>
    <x v="0"/>
    <x v="1"/>
    <x v="1"/>
  </r>
  <r>
    <x v="14"/>
    <x v="7"/>
    <n v="0"/>
    <x v="1"/>
    <x v="0"/>
    <x v="1"/>
    <x v="1"/>
  </r>
  <r>
    <x v="15"/>
    <x v="7"/>
    <n v="0"/>
    <x v="1"/>
    <x v="0"/>
    <x v="1"/>
    <x v="1"/>
  </r>
  <r>
    <x v="0"/>
    <x v="8"/>
    <n v="12966.3"/>
    <x v="1"/>
    <x v="0"/>
    <x v="1"/>
    <x v="1"/>
  </r>
  <r>
    <x v="1"/>
    <x v="8"/>
    <n v="33026.6"/>
    <x v="1"/>
    <x v="0"/>
    <x v="1"/>
    <x v="1"/>
  </r>
  <r>
    <x v="2"/>
    <x v="8"/>
    <n v="33026.6"/>
    <x v="1"/>
    <x v="0"/>
    <x v="1"/>
    <x v="1"/>
  </r>
  <r>
    <x v="3"/>
    <x v="8"/>
    <n v="30749.9"/>
    <x v="1"/>
    <x v="0"/>
    <x v="1"/>
    <x v="1"/>
  </r>
  <r>
    <x v="4"/>
    <x v="8"/>
    <n v="30749.9"/>
    <x v="1"/>
    <x v="0"/>
    <x v="1"/>
    <x v="1"/>
  </r>
  <r>
    <x v="5"/>
    <x v="8"/>
    <n v="20888.5"/>
    <x v="1"/>
    <x v="0"/>
    <x v="1"/>
    <x v="1"/>
  </r>
  <r>
    <x v="6"/>
    <x v="8"/>
    <n v="20888.5"/>
    <x v="1"/>
    <x v="0"/>
    <x v="1"/>
    <x v="1"/>
  </r>
  <r>
    <x v="7"/>
    <x v="8"/>
    <n v="30849"/>
    <x v="1"/>
    <x v="0"/>
    <x v="1"/>
    <x v="1"/>
  </r>
  <r>
    <x v="8"/>
    <x v="8"/>
    <n v="30849"/>
    <x v="1"/>
    <x v="0"/>
    <x v="1"/>
    <x v="1"/>
  </r>
  <r>
    <x v="9"/>
    <x v="8"/>
    <n v="32535.7"/>
    <x v="1"/>
    <x v="0"/>
    <x v="1"/>
    <x v="1"/>
  </r>
  <r>
    <x v="10"/>
    <x v="8"/>
    <n v="32535.7"/>
    <x v="1"/>
    <x v="0"/>
    <x v="1"/>
    <x v="1"/>
  </r>
  <r>
    <x v="11"/>
    <x v="8"/>
    <n v="20795.2"/>
    <x v="1"/>
    <x v="0"/>
    <x v="1"/>
    <x v="1"/>
  </r>
  <r>
    <x v="12"/>
    <x v="8"/>
    <n v="20795.2"/>
    <x v="1"/>
    <x v="0"/>
    <x v="1"/>
    <x v="1"/>
  </r>
  <r>
    <x v="13"/>
    <x v="8"/>
    <n v="21891.599999999999"/>
    <x v="1"/>
    <x v="0"/>
    <x v="1"/>
    <x v="1"/>
  </r>
  <r>
    <x v="14"/>
    <x v="8"/>
    <n v="21891.599999999999"/>
    <x v="1"/>
    <x v="0"/>
    <x v="1"/>
    <x v="1"/>
  </r>
  <r>
    <x v="15"/>
    <x v="8"/>
    <n v="21891.599999999999"/>
    <x v="1"/>
    <x v="0"/>
    <x v="1"/>
    <x v="1"/>
  </r>
  <r>
    <x v="0"/>
    <x v="9"/>
    <n v="13328.7"/>
    <x v="1"/>
    <x v="0"/>
    <x v="1"/>
    <x v="1"/>
  </r>
  <r>
    <x v="1"/>
    <x v="9"/>
    <n v="26166.6"/>
    <x v="1"/>
    <x v="0"/>
    <x v="1"/>
    <x v="1"/>
  </r>
  <r>
    <x v="2"/>
    <x v="9"/>
    <n v="26166.6"/>
    <x v="1"/>
    <x v="0"/>
    <x v="1"/>
    <x v="1"/>
  </r>
  <r>
    <x v="3"/>
    <x v="9"/>
    <n v="21437.599999999999"/>
    <x v="1"/>
    <x v="0"/>
    <x v="1"/>
    <x v="1"/>
  </r>
  <r>
    <x v="4"/>
    <x v="9"/>
    <n v="21437.599999999999"/>
    <x v="1"/>
    <x v="0"/>
    <x v="1"/>
    <x v="1"/>
  </r>
  <r>
    <x v="5"/>
    <x v="9"/>
    <n v="36386.199999999997"/>
    <x v="1"/>
    <x v="0"/>
    <x v="1"/>
    <x v="1"/>
  </r>
  <r>
    <x v="6"/>
    <x v="9"/>
    <n v="36386.199999999997"/>
    <x v="1"/>
    <x v="0"/>
    <x v="1"/>
    <x v="1"/>
  </r>
  <r>
    <x v="7"/>
    <x v="9"/>
    <n v="33317.300000000003"/>
    <x v="1"/>
    <x v="0"/>
    <x v="1"/>
    <x v="1"/>
  </r>
  <r>
    <x v="8"/>
    <x v="9"/>
    <n v="33317.300000000003"/>
    <x v="1"/>
    <x v="0"/>
    <x v="1"/>
    <x v="1"/>
  </r>
  <r>
    <x v="9"/>
    <x v="9"/>
    <n v="31602.7"/>
    <x v="1"/>
    <x v="0"/>
    <x v="1"/>
    <x v="1"/>
  </r>
  <r>
    <x v="10"/>
    <x v="9"/>
    <n v="31602.7"/>
    <x v="1"/>
    <x v="0"/>
    <x v="1"/>
    <x v="1"/>
  </r>
  <r>
    <x v="11"/>
    <x v="9"/>
    <n v="53627.199999999997"/>
    <x v="1"/>
    <x v="0"/>
    <x v="1"/>
    <x v="1"/>
  </r>
  <r>
    <x v="12"/>
    <x v="9"/>
    <n v="53627.199999999997"/>
    <x v="1"/>
    <x v="0"/>
    <x v="1"/>
    <x v="1"/>
  </r>
  <r>
    <x v="13"/>
    <x v="9"/>
    <n v="61105.2"/>
    <x v="1"/>
    <x v="0"/>
    <x v="1"/>
    <x v="1"/>
  </r>
  <r>
    <x v="14"/>
    <x v="9"/>
    <n v="61105.2"/>
    <x v="1"/>
    <x v="0"/>
    <x v="1"/>
    <x v="1"/>
  </r>
  <r>
    <x v="15"/>
    <x v="9"/>
    <n v="61105.2"/>
    <x v="1"/>
    <x v="0"/>
    <x v="1"/>
    <x v="1"/>
  </r>
  <r>
    <x v="0"/>
    <x v="1"/>
    <n v="102.45"/>
    <x v="1"/>
    <x v="0"/>
    <x v="1"/>
    <x v="2"/>
  </r>
  <r>
    <x v="1"/>
    <x v="1"/>
    <n v="9.5"/>
    <x v="1"/>
    <x v="0"/>
    <x v="1"/>
    <x v="2"/>
  </r>
  <r>
    <x v="2"/>
    <x v="1"/>
    <n v="9.5"/>
    <x v="1"/>
    <x v="0"/>
    <x v="1"/>
    <x v="2"/>
  </r>
  <r>
    <x v="3"/>
    <x v="1"/>
    <n v="0"/>
    <x v="1"/>
    <x v="0"/>
    <x v="1"/>
    <x v="2"/>
  </r>
  <r>
    <x v="4"/>
    <x v="1"/>
    <n v="0"/>
    <x v="1"/>
    <x v="0"/>
    <x v="1"/>
    <x v="2"/>
  </r>
  <r>
    <x v="5"/>
    <x v="1"/>
    <n v="0"/>
    <x v="1"/>
    <x v="0"/>
    <x v="1"/>
    <x v="2"/>
  </r>
  <r>
    <x v="6"/>
    <x v="1"/>
    <n v="0"/>
    <x v="1"/>
    <x v="0"/>
    <x v="1"/>
    <x v="2"/>
  </r>
  <r>
    <x v="7"/>
    <x v="1"/>
    <n v="0"/>
    <x v="1"/>
    <x v="0"/>
    <x v="1"/>
    <x v="2"/>
  </r>
  <r>
    <x v="8"/>
    <x v="1"/>
    <n v="0"/>
    <x v="1"/>
    <x v="0"/>
    <x v="1"/>
    <x v="2"/>
  </r>
  <r>
    <x v="9"/>
    <x v="1"/>
    <n v="0"/>
    <x v="1"/>
    <x v="0"/>
    <x v="1"/>
    <x v="2"/>
  </r>
  <r>
    <x v="10"/>
    <x v="1"/>
    <n v="0"/>
    <x v="1"/>
    <x v="0"/>
    <x v="1"/>
    <x v="2"/>
  </r>
  <r>
    <x v="11"/>
    <x v="1"/>
    <n v="0"/>
    <x v="1"/>
    <x v="0"/>
    <x v="1"/>
    <x v="2"/>
  </r>
  <r>
    <x v="12"/>
    <x v="1"/>
    <n v="0"/>
    <x v="1"/>
    <x v="0"/>
    <x v="1"/>
    <x v="2"/>
  </r>
  <r>
    <x v="13"/>
    <x v="1"/>
    <n v="0"/>
    <x v="1"/>
    <x v="0"/>
    <x v="1"/>
    <x v="2"/>
  </r>
  <r>
    <x v="14"/>
    <x v="1"/>
    <n v="0"/>
    <x v="1"/>
    <x v="0"/>
    <x v="1"/>
    <x v="2"/>
  </r>
  <r>
    <x v="15"/>
    <x v="1"/>
    <n v="0"/>
    <x v="1"/>
    <x v="0"/>
    <x v="1"/>
    <x v="2"/>
  </r>
  <r>
    <x v="0"/>
    <x v="2"/>
    <n v="0"/>
    <x v="1"/>
    <x v="0"/>
    <x v="1"/>
    <x v="2"/>
  </r>
  <r>
    <x v="1"/>
    <x v="2"/>
    <n v="0"/>
    <x v="1"/>
    <x v="0"/>
    <x v="1"/>
    <x v="2"/>
  </r>
  <r>
    <x v="2"/>
    <x v="2"/>
    <n v="0"/>
    <x v="1"/>
    <x v="0"/>
    <x v="1"/>
    <x v="2"/>
  </r>
  <r>
    <x v="3"/>
    <x v="2"/>
    <n v="0"/>
    <x v="1"/>
    <x v="0"/>
    <x v="1"/>
    <x v="2"/>
  </r>
  <r>
    <x v="4"/>
    <x v="2"/>
    <n v="0"/>
    <x v="1"/>
    <x v="0"/>
    <x v="1"/>
    <x v="2"/>
  </r>
  <r>
    <x v="5"/>
    <x v="2"/>
    <n v="0"/>
    <x v="1"/>
    <x v="0"/>
    <x v="1"/>
    <x v="2"/>
  </r>
  <r>
    <x v="6"/>
    <x v="2"/>
    <n v="0"/>
    <x v="1"/>
    <x v="0"/>
    <x v="1"/>
    <x v="2"/>
  </r>
  <r>
    <x v="7"/>
    <x v="2"/>
    <n v="0"/>
    <x v="1"/>
    <x v="0"/>
    <x v="1"/>
    <x v="2"/>
  </r>
  <r>
    <x v="8"/>
    <x v="2"/>
    <n v="0"/>
    <x v="1"/>
    <x v="0"/>
    <x v="1"/>
    <x v="2"/>
  </r>
  <r>
    <x v="9"/>
    <x v="2"/>
    <n v="0"/>
    <x v="1"/>
    <x v="0"/>
    <x v="1"/>
    <x v="2"/>
  </r>
  <r>
    <x v="10"/>
    <x v="2"/>
    <n v="0"/>
    <x v="1"/>
    <x v="0"/>
    <x v="1"/>
    <x v="2"/>
  </r>
  <r>
    <x v="11"/>
    <x v="2"/>
    <n v="0"/>
    <x v="1"/>
    <x v="0"/>
    <x v="1"/>
    <x v="2"/>
  </r>
  <r>
    <x v="12"/>
    <x v="2"/>
    <n v="0"/>
    <x v="1"/>
    <x v="0"/>
    <x v="1"/>
    <x v="2"/>
  </r>
  <r>
    <x v="13"/>
    <x v="2"/>
    <n v="0"/>
    <x v="1"/>
    <x v="0"/>
    <x v="1"/>
    <x v="2"/>
  </r>
  <r>
    <x v="14"/>
    <x v="2"/>
    <n v="0"/>
    <x v="1"/>
    <x v="0"/>
    <x v="1"/>
    <x v="2"/>
  </r>
  <r>
    <x v="15"/>
    <x v="2"/>
    <n v="0"/>
    <x v="1"/>
    <x v="0"/>
    <x v="1"/>
    <x v="2"/>
  </r>
  <r>
    <x v="0"/>
    <x v="3"/>
    <n v="11059.73"/>
    <x v="1"/>
    <x v="0"/>
    <x v="1"/>
    <x v="2"/>
  </r>
  <r>
    <x v="1"/>
    <x v="3"/>
    <n v="0"/>
    <x v="1"/>
    <x v="0"/>
    <x v="1"/>
    <x v="2"/>
  </r>
  <r>
    <x v="2"/>
    <x v="3"/>
    <n v="0"/>
    <x v="1"/>
    <x v="0"/>
    <x v="1"/>
    <x v="2"/>
  </r>
  <r>
    <x v="3"/>
    <x v="3"/>
    <n v="0"/>
    <x v="1"/>
    <x v="0"/>
    <x v="1"/>
    <x v="2"/>
  </r>
  <r>
    <x v="4"/>
    <x v="3"/>
    <n v="0"/>
    <x v="1"/>
    <x v="0"/>
    <x v="1"/>
    <x v="2"/>
  </r>
  <r>
    <x v="5"/>
    <x v="3"/>
    <n v="0"/>
    <x v="1"/>
    <x v="0"/>
    <x v="1"/>
    <x v="2"/>
  </r>
  <r>
    <x v="6"/>
    <x v="3"/>
    <n v="0"/>
    <x v="1"/>
    <x v="0"/>
    <x v="1"/>
    <x v="2"/>
  </r>
  <r>
    <x v="7"/>
    <x v="3"/>
    <n v="0"/>
    <x v="1"/>
    <x v="0"/>
    <x v="1"/>
    <x v="2"/>
  </r>
  <r>
    <x v="8"/>
    <x v="3"/>
    <n v="0"/>
    <x v="1"/>
    <x v="0"/>
    <x v="1"/>
    <x v="2"/>
  </r>
  <r>
    <x v="9"/>
    <x v="3"/>
    <n v="0"/>
    <x v="1"/>
    <x v="0"/>
    <x v="1"/>
    <x v="2"/>
  </r>
  <r>
    <x v="10"/>
    <x v="3"/>
    <n v="0"/>
    <x v="1"/>
    <x v="0"/>
    <x v="1"/>
    <x v="2"/>
  </r>
  <r>
    <x v="11"/>
    <x v="3"/>
    <n v="0"/>
    <x v="1"/>
    <x v="0"/>
    <x v="1"/>
    <x v="2"/>
  </r>
  <r>
    <x v="12"/>
    <x v="3"/>
    <n v="0"/>
    <x v="1"/>
    <x v="0"/>
    <x v="1"/>
    <x v="2"/>
  </r>
  <r>
    <x v="13"/>
    <x v="3"/>
    <n v="0"/>
    <x v="1"/>
    <x v="0"/>
    <x v="1"/>
    <x v="2"/>
  </r>
  <r>
    <x v="14"/>
    <x v="3"/>
    <n v="0"/>
    <x v="1"/>
    <x v="0"/>
    <x v="1"/>
    <x v="2"/>
  </r>
  <r>
    <x v="15"/>
    <x v="3"/>
    <n v="0"/>
    <x v="1"/>
    <x v="0"/>
    <x v="1"/>
    <x v="2"/>
  </r>
  <r>
    <x v="0"/>
    <x v="4"/>
    <n v="0"/>
    <x v="1"/>
    <x v="0"/>
    <x v="1"/>
    <x v="2"/>
  </r>
  <r>
    <x v="1"/>
    <x v="4"/>
    <n v="0"/>
    <x v="1"/>
    <x v="0"/>
    <x v="1"/>
    <x v="2"/>
  </r>
  <r>
    <x v="2"/>
    <x v="4"/>
    <n v="0"/>
    <x v="1"/>
    <x v="0"/>
    <x v="1"/>
    <x v="2"/>
  </r>
  <r>
    <x v="3"/>
    <x v="4"/>
    <n v="0"/>
    <x v="1"/>
    <x v="0"/>
    <x v="1"/>
    <x v="2"/>
  </r>
  <r>
    <x v="4"/>
    <x v="4"/>
    <n v="0"/>
    <x v="1"/>
    <x v="0"/>
    <x v="1"/>
    <x v="2"/>
  </r>
  <r>
    <x v="5"/>
    <x v="4"/>
    <n v="0"/>
    <x v="1"/>
    <x v="0"/>
    <x v="1"/>
    <x v="2"/>
  </r>
  <r>
    <x v="6"/>
    <x v="4"/>
    <n v="0"/>
    <x v="1"/>
    <x v="0"/>
    <x v="1"/>
    <x v="2"/>
  </r>
  <r>
    <x v="7"/>
    <x v="4"/>
    <n v="0"/>
    <x v="1"/>
    <x v="0"/>
    <x v="1"/>
    <x v="2"/>
  </r>
  <r>
    <x v="8"/>
    <x v="4"/>
    <n v="0"/>
    <x v="1"/>
    <x v="0"/>
    <x v="1"/>
    <x v="2"/>
  </r>
  <r>
    <x v="9"/>
    <x v="4"/>
    <n v="0"/>
    <x v="1"/>
    <x v="0"/>
    <x v="1"/>
    <x v="2"/>
  </r>
  <r>
    <x v="10"/>
    <x v="4"/>
    <n v="0"/>
    <x v="1"/>
    <x v="0"/>
    <x v="1"/>
    <x v="2"/>
  </r>
  <r>
    <x v="11"/>
    <x v="4"/>
    <n v="0"/>
    <x v="1"/>
    <x v="0"/>
    <x v="1"/>
    <x v="2"/>
  </r>
  <r>
    <x v="12"/>
    <x v="4"/>
    <n v="0"/>
    <x v="1"/>
    <x v="0"/>
    <x v="1"/>
    <x v="2"/>
  </r>
  <r>
    <x v="13"/>
    <x v="4"/>
    <n v="0"/>
    <x v="1"/>
    <x v="0"/>
    <x v="1"/>
    <x v="2"/>
  </r>
  <r>
    <x v="14"/>
    <x v="4"/>
    <n v="0"/>
    <x v="1"/>
    <x v="0"/>
    <x v="1"/>
    <x v="2"/>
  </r>
  <r>
    <x v="15"/>
    <x v="4"/>
    <n v="0"/>
    <x v="1"/>
    <x v="0"/>
    <x v="1"/>
    <x v="2"/>
  </r>
  <r>
    <x v="0"/>
    <x v="5"/>
    <n v="2937.13"/>
    <x v="1"/>
    <x v="0"/>
    <x v="1"/>
    <x v="2"/>
  </r>
  <r>
    <x v="1"/>
    <x v="5"/>
    <n v="0"/>
    <x v="1"/>
    <x v="0"/>
    <x v="1"/>
    <x v="2"/>
  </r>
  <r>
    <x v="2"/>
    <x v="5"/>
    <n v="0"/>
    <x v="1"/>
    <x v="0"/>
    <x v="1"/>
    <x v="2"/>
  </r>
  <r>
    <x v="3"/>
    <x v="5"/>
    <n v="47"/>
    <x v="1"/>
    <x v="0"/>
    <x v="1"/>
    <x v="2"/>
  </r>
  <r>
    <x v="4"/>
    <x v="5"/>
    <n v="47"/>
    <x v="1"/>
    <x v="0"/>
    <x v="1"/>
    <x v="2"/>
  </r>
  <r>
    <x v="5"/>
    <x v="5"/>
    <n v="10"/>
    <x v="1"/>
    <x v="0"/>
    <x v="1"/>
    <x v="2"/>
  </r>
  <r>
    <x v="6"/>
    <x v="5"/>
    <n v="10"/>
    <x v="1"/>
    <x v="0"/>
    <x v="1"/>
    <x v="2"/>
  </r>
  <r>
    <x v="7"/>
    <x v="5"/>
    <n v="32.895000000000003"/>
    <x v="1"/>
    <x v="0"/>
    <x v="1"/>
    <x v="2"/>
  </r>
  <r>
    <x v="8"/>
    <x v="5"/>
    <n v="32.895000000000003"/>
    <x v="1"/>
    <x v="0"/>
    <x v="1"/>
    <x v="2"/>
  </r>
  <r>
    <x v="9"/>
    <x v="5"/>
    <n v="41"/>
    <x v="1"/>
    <x v="0"/>
    <x v="1"/>
    <x v="2"/>
  </r>
  <r>
    <x v="10"/>
    <x v="5"/>
    <n v="41"/>
    <x v="1"/>
    <x v="0"/>
    <x v="1"/>
    <x v="2"/>
  </r>
  <r>
    <x v="11"/>
    <x v="5"/>
    <n v="47.15"/>
    <x v="1"/>
    <x v="0"/>
    <x v="1"/>
    <x v="2"/>
  </r>
  <r>
    <x v="12"/>
    <x v="5"/>
    <n v="47.15"/>
    <x v="1"/>
    <x v="0"/>
    <x v="1"/>
    <x v="2"/>
  </r>
  <r>
    <x v="13"/>
    <x v="5"/>
    <n v="15"/>
    <x v="1"/>
    <x v="0"/>
    <x v="1"/>
    <x v="2"/>
  </r>
  <r>
    <x v="14"/>
    <x v="5"/>
    <n v="15"/>
    <x v="1"/>
    <x v="0"/>
    <x v="1"/>
    <x v="2"/>
  </r>
  <r>
    <x v="15"/>
    <x v="5"/>
    <n v="15"/>
    <x v="1"/>
    <x v="0"/>
    <x v="1"/>
    <x v="2"/>
  </r>
  <r>
    <x v="0"/>
    <x v="6"/>
    <n v="232.5"/>
    <x v="1"/>
    <x v="0"/>
    <x v="1"/>
    <x v="2"/>
  </r>
  <r>
    <x v="1"/>
    <x v="6"/>
    <n v="1100"/>
    <x v="1"/>
    <x v="0"/>
    <x v="1"/>
    <x v="2"/>
  </r>
  <r>
    <x v="2"/>
    <x v="6"/>
    <n v="1100"/>
    <x v="1"/>
    <x v="0"/>
    <x v="1"/>
    <x v="2"/>
  </r>
  <r>
    <x v="3"/>
    <x v="6"/>
    <n v="0"/>
    <x v="1"/>
    <x v="0"/>
    <x v="1"/>
    <x v="2"/>
  </r>
  <r>
    <x v="4"/>
    <x v="6"/>
    <n v="0"/>
    <x v="1"/>
    <x v="0"/>
    <x v="1"/>
    <x v="2"/>
  </r>
  <r>
    <x v="5"/>
    <x v="6"/>
    <n v="0"/>
    <x v="1"/>
    <x v="0"/>
    <x v="1"/>
    <x v="2"/>
  </r>
  <r>
    <x v="6"/>
    <x v="6"/>
    <n v="0"/>
    <x v="1"/>
    <x v="0"/>
    <x v="1"/>
    <x v="2"/>
  </r>
  <r>
    <x v="7"/>
    <x v="6"/>
    <n v="0"/>
    <x v="1"/>
    <x v="0"/>
    <x v="1"/>
    <x v="2"/>
  </r>
  <r>
    <x v="8"/>
    <x v="6"/>
    <n v="0"/>
    <x v="1"/>
    <x v="0"/>
    <x v="1"/>
    <x v="2"/>
  </r>
  <r>
    <x v="9"/>
    <x v="6"/>
    <n v="0"/>
    <x v="1"/>
    <x v="0"/>
    <x v="1"/>
    <x v="2"/>
  </r>
  <r>
    <x v="10"/>
    <x v="6"/>
    <n v="0"/>
    <x v="1"/>
    <x v="0"/>
    <x v="1"/>
    <x v="2"/>
  </r>
  <r>
    <x v="11"/>
    <x v="6"/>
    <n v="0"/>
    <x v="1"/>
    <x v="0"/>
    <x v="1"/>
    <x v="2"/>
  </r>
  <r>
    <x v="12"/>
    <x v="6"/>
    <n v="0"/>
    <x v="1"/>
    <x v="0"/>
    <x v="1"/>
    <x v="2"/>
  </r>
  <r>
    <x v="13"/>
    <x v="6"/>
    <n v="0"/>
    <x v="1"/>
    <x v="0"/>
    <x v="1"/>
    <x v="2"/>
  </r>
  <r>
    <x v="14"/>
    <x v="6"/>
    <n v="0"/>
    <x v="1"/>
    <x v="0"/>
    <x v="1"/>
    <x v="2"/>
  </r>
  <r>
    <x v="15"/>
    <x v="6"/>
    <n v="0"/>
    <x v="1"/>
    <x v="0"/>
    <x v="1"/>
    <x v="2"/>
  </r>
  <r>
    <x v="0"/>
    <x v="7"/>
    <n v="14.85"/>
    <x v="1"/>
    <x v="0"/>
    <x v="1"/>
    <x v="2"/>
  </r>
  <r>
    <x v="1"/>
    <x v="7"/>
    <n v="0"/>
    <x v="1"/>
    <x v="0"/>
    <x v="1"/>
    <x v="2"/>
  </r>
  <r>
    <x v="2"/>
    <x v="7"/>
    <n v="0"/>
    <x v="1"/>
    <x v="0"/>
    <x v="1"/>
    <x v="2"/>
  </r>
  <r>
    <x v="3"/>
    <x v="7"/>
    <n v="0"/>
    <x v="1"/>
    <x v="0"/>
    <x v="1"/>
    <x v="2"/>
  </r>
  <r>
    <x v="4"/>
    <x v="7"/>
    <n v="0"/>
    <x v="1"/>
    <x v="0"/>
    <x v="1"/>
    <x v="2"/>
  </r>
  <r>
    <x v="5"/>
    <x v="7"/>
    <n v="0"/>
    <x v="1"/>
    <x v="0"/>
    <x v="1"/>
    <x v="2"/>
  </r>
  <r>
    <x v="6"/>
    <x v="7"/>
    <n v="0"/>
    <x v="1"/>
    <x v="0"/>
    <x v="1"/>
    <x v="2"/>
  </r>
  <r>
    <x v="7"/>
    <x v="7"/>
    <n v="0"/>
    <x v="1"/>
    <x v="0"/>
    <x v="1"/>
    <x v="2"/>
  </r>
  <r>
    <x v="8"/>
    <x v="7"/>
    <n v="0"/>
    <x v="1"/>
    <x v="0"/>
    <x v="1"/>
    <x v="2"/>
  </r>
  <r>
    <x v="9"/>
    <x v="7"/>
    <n v="0"/>
    <x v="1"/>
    <x v="0"/>
    <x v="1"/>
    <x v="2"/>
  </r>
  <r>
    <x v="10"/>
    <x v="7"/>
    <n v="0"/>
    <x v="1"/>
    <x v="0"/>
    <x v="1"/>
    <x v="2"/>
  </r>
  <r>
    <x v="11"/>
    <x v="7"/>
    <n v="0"/>
    <x v="1"/>
    <x v="0"/>
    <x v="1"/>
    <x v="2"/>
  </r>
  <r>
    <x v="12"/>
    <x v="7"/>
    <n v="0"/>
    <x v="1"/>
    <x v="0"/>
    <x v="1"/>
    <x v="2"/>
  </r>
  <r>
    <x v="13"/>
    <x v="7"/>
    <n v="0"/>
    <x v="1"/>
    <x v="0"/>
    <x v="1"/>
    <x v="2"/>
  </r>
  <r>
    <x v="14"/>
    <x v="7"/>
    <n v="0"/>
    <x v="1"/>
    <x v="0"/>
    <x v="1"/>
    <x v="2"/>
  </r>
  <r>
    <x v="15"/>
    <x v="7"/>
    <n v="0"/>
    <x v="1"/>
    <x v="0"/>
    <x v="1"/>
    <x v="2"/>
  </r>
  <r>
    <x v="0"/>
    <x v="8"/>
    <n v="16872.900000000001"/>
    <x v="1"/>
    <x v="0"/>
    <x v="1"/>
    <x v="2"/>
  </r>
  <r>
    <x v="1"/>
    <x v="8"/>
    <n v="43040.4"/>
    <x v="1"/>
    <x v="0"/>
    <x v="1"/>
    <x v="2"/>
  </r>
  <r>
    <x v="2"/>
    <x v="8"/>
    <n v="43040.4"/>
    <x v="1"/>
    <x v="0"/>
    <x v="1"/>
    <x v="2"/>
  </r>
  <r>
    <x v="3"/>
    <x v="8"/>
    <n v="46061.7"/>
    <x v="1"/>
    <x v="0"/>
    <x v="1"/>
    <x v="2"/>
  </r>
  <r>
    <x v="4"/>
    <x v="8"/>
    <n v="46061.7"/>
    <x v="1"/>
    <x v="0"/>
    <x v="1"/>
    <x v="2"/>
  </r>
  <r>
    <x v="5"/>
    <x v="8"/>
    <n v="24092.799999999999"/>
    <x v="1"/>
    <x v="0"/>
    <x v="1"/>
    <x v="2"/>
  </r>
  <r>
    <x v="6"/>
    <x v="8"/>
    <n v="24092.799999999999"/>
    <x v="1"/>
    <x v="0"/>
    <x v="1"/>
    <x v="2"/>
  </r>
  <r>
    <x v="7"/>
    <x v="8"/>
    <n v="36073.5"/>
    <x v="1"/>
    <x v="0"/>
    <x v="1"/>
    <x v="2"/>
  </r>
  <r>
    <x v="8"/>
    <x v="8"/>
    <n v="36073.5"/>
    <x v="1"/>
    <x v="0"/>
    <x v="1"/>
    <x v="2"/>
  </r>
  <r>
    <x v="9"/>
    <x v="8"/>
    <n v="23615.7"/>
    <x v="1"/>
    <x v="0"/>
    <x v="1"/>
    <x v="2"/>
  </r>
  <r>
    <x v="10"/>
    <x v="8"/>
    <n v="23615.7"/>
    <x v="1"/>
    <x v="0"/>
    <x v="1"/>
    <x v="2"/>
  </r>
  <r>
    <x v="11"/>
    <x v="8"/>
    <n v="30835.9"/>
    <x v="1"/>
    <x v="0"/>
    <x v="1"/>
    <x v="2"/>
  </r>
  <r>
    <x v="12"/>
    <x v="8"/>
    <n v="30835.9"/>
    <x v="1"/>
    <x v="0"/>
    <x v="1"/>
    <x v="2"/>
  </r>
  <r>
    <x v="13"/>
    <x v="8"/>
    <n v="36147.1"/>
    <x v="1"/>
    <x v="0"/>
    <x v="1"/>
    <x v="2"/>
  </r>
  <r>
    <x v="14"/>
    <x v="8"/>
    <n v="36147.1"/>
    <x v="1"/>
    <x v="0"/>
    <x v="1"/>
    <x v="2"/>
  </r>
  <r>
    <x v="15"/>
    <x v="8"/>
    <n v="36147.1"/>
    <x v="1"/>
    <x v="0"/>
    <x v="1"/>
    <x v="2"/>
  </r>
  <r>
    <x v="0"/>
    <x v="9"/>
    <n v="11402.3"/>
    <x v="1"/>
    <x v="0"/>
    <x v="1"/>
    <x v="2"/>
  </r>
  <r>
    <x v="1"/>
    <x v="9"/>
    <n v="19882.900000000001"/>
    <x v="1"/>
    <x v="0"/>
    <x v="1"/>
    <x v="2"/>
  </r>
  <r>
    <x v="2"/>
    <x v="9"/>
    <n v="19882.900000000001"/>
    <x v="1"/>
    <x v="0"/>
    <x v="1"/>
    <x v="2"/>
  </r>
  <r>
    <x v="3"/>
    <x v="9"/>
    <n v="12910.3"/>
    <x v="1"/>
    <x v="0"/>
    <x v="1"/>
    <x v="2"/>
  </r>
  <r>
    <x v="4"/>
    <x v="9"/>
    <n v="12910.3"/>
    <x v="1"/>
    <x v="0"/>
    <x v="1"/>
    <x v="2"/>
  </r>
  <r>
    <x v="5"/>
    <x v="9"/>
    <n v="33532.199999999997"/>
    <x v="1"/>
    <x v="0"/>
    <x v="1"/>
    <x v="2"/>
  </r>
  <r>
    <x v="6"/>
    <x v="9"/>
    <n v="33532.199999999997"/>
    <x v="1"/>
    <x v="0"/>
    <x v="1"/>
    <x v="2"/>
  </r>
  <r>
    <x v="7"/>
    <x v="9"/>
    <n v="30198.2"/>
    <x v="1"/>
    <x v="0"/>
    <x v="1"/>
    <x v="2"/>
  </r>
  <r>
    <x v="8"/>
    <x v="9"/>
    <n v="30198.2"/>
    <x v="1"/>
    <x v="0"/>
    <x v="1"/>
    <x v="2"/>
  </r>
  <r>
    <x v="9"/>
    <x v="9"/>
    <n v="38087.4"/>
    <x v="1"/>
    <x v="0"/>
    <x v="1"/>
    <x v="2"/>
  </r>
  <r>
    <x v="10"/>
    <x v="9"/>
    <n v="38087.4"/>
    <x v="1"/>
    <x v="0"/>
    <x v="1"/>
    <x v="2"/>
  </r>
  <r>
    <x v="11"/>
    <x v="9"/>
    <n v="48234.1"/>
    <x v="1"/>
    <x v="0"/>
    <x v="1"/>
    <x v="2"/>
  </r>
  <r>
    <x v="12"/>
    <x v="9"/>
    <n v="48234.1"/>
    <x v="1"/>
    <x v="0"/>
    <x v="1"/>
    <x v="2"/>
  </r>
  <r>
    <x v="13"/>
    <x v="9"/>
    <n v="53124.2"/>
    <x v="1"/>
    <x v="0"/>
    <x v="1"/>
    <x v="2"/>
  </r>
  <r>
    <x v="14"/>
    <x v="9"/>
    <n v="53124.2"/>
    <x v="1"/>
    <x v="0"/>
    <x v="1"/>
    <x v="2"/>
  </r>
  <r>
    <x v="15"/>
    <x v="9"/>
    <n v="53124.2"/>
    <x v="1"/>
    <x v="0"/>
    <x v="1"/>
    <x v="2"/>
  </r>
  <r>
    <x v="0"/>
    <x v="1"/>
    <n v="102.45"/>
    <x v="0"/>
    <x v="0"/>
    <x v="1"/>
    <x v="0"/>
  </r>
  <r>
    <x v="1"/>
    <x v="1"/>
    <n v="9.5"/>
    <x v="0"/>
    <x v="0"/>
    <x v="1"/>
    <x v="0"/>
  </r>
  <r>
    <x v="2"/>
    <x v="1"/>
    <n v="9.5"/>
    <x v="0"/>
    <x v="0"/>
    <x v="1"/>
    <x v="0"/>
  </r>
  <r>
    <x v="3"/>
    <x v="1"/>
    <n v="0"/>
    <x v="0"/>
    <x v="0"/>
    <x v="1"/>
    <x v="0"/>
  </r>
  <r>
    <x v="4"/>
    <x v="1"/>
    <n v="0"/>
    <x v="0"/>
    <x v="0"/>
    <x v="1"/>
    <x v="0"/>
  </r>
  <r>
    <x v="5"/>
    <x v="1"/>
    <n v="0"/>
    <x v="0"/>
    <x v="0"/>
    <x v="1"/>
    <x v="0"/>
  </r>
  <r>
    <x v="6"/>
    <x v="1"/>
    <n v="0"/>
    <x v="0"/>
    <x v="0"/>
    <x v="1"/>
    <x v="0"/>
  </r>
  <r>
    <x v="7"/>
    <x v="1"/>
    <n v="0"/>
    <x v="0"/>
    <x v="0"/>
    <x v="1"/>
    <x v="0"/>
  </r>
  <r>
    <x v="8"/>
    <x v="1"/>
    <n v="0"/>
    <x v="0"/>
    <x v="0"/>
    <x v="1"/>
    <x v="0"/>
  </r>
  <r>
    <x v="9"/>
    <x v="1"/>
    <n v="0"/>
    <x v="0"/>
    <x v="0"/>
    <x v="1"/>
    <x v="0"/>
  </r>
  <r>
    <x v="10"/>
    <x v="1"/>
    <n v="0"/>
    <x v="0"/>
    <x v="0"/>
    <x v="1"/>
    <x v="0"/>
  </r>
  <r>
    <x v="11"/>
    <x v="1"/>
    <n v="0"/>
    <x v="0"/>
    <x v="0"/>
    <x v="1"/>
    <x v="0"/>
  </r>
  <r>
    <x v="12"/>
    <x v="1"/>
    <n v="0"/>
    <x v="0"/>
    <x v="0"/>
    <x v="1"/>
    <x v="0"/>
  </r>
  <r>
    <x v="13"/>
    <x v="1"/>
    <n v="0"/>
    <x v="0"/>
    <x v="0"/>
    <x v="1"/>
    <x v="0"/>
  </r>
  <r>
    <x v="14"/>
    <x v="1"/>
    <n v="0"/>
    <x v="0"/>
    <x v="0"/>
    <x v="1"/>
    <x v="0"/>
  </r>
  <r>
    <x v="15"/>
    <x v="1"/>
    <n v="0"/>
    <x v="0"/>
    <x v="0"/>
    <x v="1"/>
    <x v="0"/>
  </r>
  <r>
    <x v="0"/>
    <x v="2"/>
    <n v="0"/>
    <x v="0"/>
    <x v="0"/>
    <x v="1"/>
    <x v="0"/>
  </r>
  <r>
    <x v="1"/>
    <x v="2"/>
    <n v="0"/>
    <x v="0"/>
    <x v="0"/>
    <x v="1"/>
    <x v="0"/>
  </r>
  <r>
    <x v="2"/>
    <x v="2"/>
    <n v="0"/>
    <x v="0"/>
    <x v="0"/>
    <x v="1"/>
    <x v="0"/>
  </r>
  <r>
    <x v="3"/>
    <x v="2"/>
    <n v="0"/>
    <x v="0"/>
    <x v="0"/>
    <x v="1"/>
    <x v="0"/>
  </r>
  <r>
    <x v="4"/>
    <x v="2"/>
    <n v="0"/>
    <x v="0"/>
    <x v="0"/>
    <x v="1"/>
    <x v="0"/>
  </r>
  <r>
    <x v="5"/>
    <x v="2"/>
    <n v="0"/>
    <x v="0"/>
    <x v="0"/>
    <x v="1"/>
    <x v="0"/>
  </r>
  <r>
    <x v="6"/>
    <x v="2"/>
    <n v="0"/>
    <x v="0"/>
    <x v="0"/>
    <x v="1"/>
    <x v="0"/>
  </r>
  <r>
    <x v="7"/>
    <x v="2"/>
    <n v="0"/>
    <x v="0"/>
    <x v="0"/>
    <x v="1"/>
    <x v="0"/>
  </r>
  <r>
    <x v="8"/>
    <x v="2"/>
    <n v="0"/>
    <x v="0"/>
    <x v="0"/>
    <x v="1"/>
    <x v="0"/>
  </r>
  <r>
    <x v="9"/>
    <x v="2"/>
    <n v="0"/>
    <x v="0"/>
    <x v="0"/>
    <x v="1"/>
    <x v="0"/>
  </r>
  <r>
    <x v="10"/>
    <x v="2"/>
    <n v="0"/>
    <x v="0"/>
    <x v="0"/>
    <x v="1"/>
    <x v="0"/>
  </r>
  <r>
    <x v="11"/>
    <x v="2"/>
    <n v="0"/>
    <x v="0"/>
    <x v="0"/>
    <x v="1"/>
    <x v="0"/>
  </r>
  <r>
    <x v="12"/>
    <x v="2"/>
    <n v="0"/>
    <x v="0"/>
    <x v="0"/>
    <x v="1"/>
    <x v="0"/>
  </r>
  <r>
    <x v="13"/>
    <x v="2"/>
    <n v="0"/>
    <x v="0"/>
    <x v="0"/>
    <x v="1"/>
    <x v="0"/>
  </r>
  <r>
    <x v="14"/>
    <x v="2"/>
    <n v="0"/>
    <x v="0"/>
    <x v="0"/>
    <x v="1"/>
    <x v="0"/>
  </r>
  <r>
    <x v="15"/>
    <x v="2"/>
    <n v="0"/>
    <x v="0"/>
    <x v="0"/>
    <x v="1"/>
    <x v="0"/>
  </r>
  <r>
    <x v="0"/>
    <x v="3"/>
    <n v="11184.73"/>
    <x v="0"/>
    <x v="0"/>
    <x v="1"/>
    <x v="0"/>
  </r>
  <r>
    <x v="1"/>
    <x v="3"/>
    <n v="0"/>
    <x v="0"/>
    <x v="0"/>
    <x v="1"/>
    <x v="0"/>
  </r>
  <r>
    <x v="2"/>
    <x v="3"/>
    <n v="0"/>
    <x v="0"/>
    <x v="0"/>
    <x v="1"/>
    <x v="0"/>
  </r>
  <r>
    <x v="3"/>
    <x v="3"/>
    <n v="0"/>
    <x v="0"/>
    <x v="0"/>
    <x v="1"/>
    <x v="0"/>
  </r>
  <r>
    <x v="4"/>
    <x v="3"/>
    <n v="0"/>
    <x v="0"/>
    <x v="0"/>
    <x v="1"/>
    <x v="0"/>
  </r>
  <r>
    <x v="5"/>
    <x v="3"/>
    <n v="0"/>
    <x v="0"/>
    <x v="0"/>
    <x v="1"/>
    <x v="0"/>
  </r>
  <r>
    <x v="6"/>
    <x v="3"/>
    <n v="0"/>
    <x v="0"/>
    <x v="0"/>
    <x v="1"/>
    <x v="0"/>
  </r>
  <r>
    <x v="7"/>
    <x v="3"/>
    <n v="0"/>
    <x v="0"/>
    <x v="0"/>
    <x v="1"/>
    <x v="0"/>
  </r>
  <r>
    <x v="8"/>
    <x v="3"/>
    <n v="0"/>
    <x v="0"/>
    <x v="0"/>
    <x v="1"/>
    <x v="0"/>
  </r>
  <r>
    <x v="9"/>
    <x v="3"/>
    <n v="0"/>
    <x v="0"/>
    <x v="0"/>
    <x v="1"/>
    <x v="0"/>
  </r>
  <r>
    <x v="10"/>
    <x v="3"/>
    <n v="0"/>
    <x v="0"/>
    <x v="0"/>
    <x v="1"/>
    <x v="0"/>
  </r>
  <r>
    <x v="11"/>
    <x v="3"/>
    <n v="0"/>
    <x v="0"/>
    <x v="0"/>
    <x v="1"/>
    <x v="0"/>
  </r>
  <r>
    <x v="12"/>
    <x v="3"/>
    <n v="0"/>
    <x v="0"/>
    <x v="0"/>
    <x v="1"/>
    <x v="0"/>
  </r>
  <r>
    <x v="13"/>
    <x v="3"/>
    <n v="0"/>
    <x v="0"/>
    <x v="0"/>
    <x v="1"/>
    <x v="0"/>
  </r>
  <r>
    <x v="14"/>
    <x v="3"/>
    <n v="0"/>
    <x v="0"/>
    <x v="0"/>
    <x v="1"/>
    <x v="0"/>
  </r>
  <r>
    <x v="15"/>
    <x v="3"/>
    <n v="0"/>
    <x v="0"/>
    <x v="0"/>
    <x v="1"/>
    <x v="0"/>
  </r>
  <r>
    <x v="0"/>
    <x v="4"/>
    <n v="0"/>
    <x v="0"/>
    <x v="0"/>
    <x v="1"/>
    <x v="0"/>
  </r>
  <r>
    <x v="1"/>
    <x v="4"/>
    <n v="0"/>
    <x v="0"/>
    <x v="0"/>
    <x v="1"/>
    <x v="0"/>
  </r>
  <r>
    <x v="2"/>
    <x v="4"/>
    <n v="0"/>
    <x v="0"/>
    <x v="0"/>
    <x v="1"/>
    <x v="0"/>
  </r>
  <r>
    <x v="3"/>
    <x v="4"/>
    <n v="0"/>
    <x v="0"/>
    <x v="0"/>
    <x v="1"/>
    <x v="0"/>
  </r>
  <r>
    <x v="4"/>
    <x v="4"/>
    <n v="0"/>
    <x v="0"/>
    <x v="0"/>
    <x v="1"/>
    <x v="0"/>
  </r>
  <r>
    <x v="5"/>
    <x v="4"/>
    <n v="0"/>
    <x v="0"/>
    <x v="0"/>
    <x v="1"/>
    <x v="0"/>
  </r>
  <r>
    <x v="6"/>
    <x v="4"/>
    <n v="0"/>
    <x v="0"/>
    <x v="0"/>
    <x v="1"/>
    <x v="0"/>
  </r>
  <r>
    <x v="7"/>
    <x v="4"/>
    <n v="0"/>
    <x v="0"/>
    <x v="0"/>
    <x v="1"/>
    <x v="0"/>
  </r>
  <r>
    <x v="8"/>
    <x v="4"/>
    <n v="0"/>
    <x v="0"/>
    <x v="0"/>
    <x v="1"/>
    <x v="0"/>
  </r>
  <r>
    <x v="9"/>
    <x v="4"/>
    <n v="0"/>
    <x v="0"/>
    <x v="0"/>
    <x v="1"/>
    <x v="0"/>
  </r>
  <r>
    <x v="10"/>
    <x v="4"/>
    <n v="0"/>
    <x v="0"/>
    <x v="0"/>
    <x v="1"/>
    <x v="0"/>
  </r>
  <r>
    <x v="11"/>
    <x v="4"/>
    <n v="0"/>
    <x v="0"/>
    <x v="0"/>
    <x v="1"/>
    <x v="0"/>
  </r>
  <r>
    <x v="12"/>
    <x v="4"/>
    <n v="0"/>
    <x v="0"/>
    <x v="0"/>
    <x v="1"/>
    <x v="0"/>
  </r>
  <r>
    <x v="13"/>
    <x v="4"/>
    <n v="0"/>
    <x v="0"/>
    <x v="0"/>
    <x v="1"/>
    <x v="0"/>
  </r>
  <r>
    <x v="14"/>
    <x v="4"/>
    <n v="0"/>
    <x v="0"/>
    <x v="0"/>
    <x v="1"/>
    <x v="0"/>
  </r>
  <r>
    <x v="15"/>
    <x v="4"/>
    <n v="0"/>
    <x v="0"/>
    <x v="0"/>
    <x v="1"/>
    <x v="0"/>
  </r>
  <r>
    <x v="0"/>
    <x v="5"/>
    <n v="2066.36"/>
    <x v="0"/>
    <x v="0"/>
    <x v="1"/>
    <x v="0"/>
  </r>
  <r>
    <x v="1"/>
    <x v="5"/>
    <n v="0.5"/>
    <x v="0"/>
    <x v="0"/>
    <x v="1"/>
    <x v="0"/>
  </r>
  <r>
    <x v="2"/>
    <x v="5"/>
    <n v="0.5"/>
    <x v="0"/>
    <x v="0"/>
    <x v="1"/>
    <x v="0"/>
  </r>
  <r>
    <x v="3"/>
    <x v="5"/>
    <n v="28.5"/>
    <x v="0"/>
    <x v="0"/>
    <x v="1"/>
    <x v="0"/>
  </r>
  <r>
    <x v="4"/>
    <x v="5"/>
    <n v="28.5"/>
    <x v="0"/>
    <x v="0"/>
    <x v="1"/>
    <x v="0"/>
  </r>
  <r>
    <x v="5"/>
    <x v="5"/>
    <n v="0"/>
    <x v="0"/>
    <x v="0"/>
    <x v="1"/>
    <x v="0"/>
  </r>
  <r>
    <x v="6"/>
    <x v="5"/>
    <n v="0"/>
    <x v="0"/>
    <x v="0"/>
    <x v="1"/>
    <x v="0"/>
  </r>
  <r>
    <x v="7"/>
    <x v="5"/>
    <n v="0"/>
    <x v="0"/>
    <x v="0"/>
    <x v="1"/>
    <x v="0"/>
  </r>
  <r>
    <x v="8"/>
    <x v="5"/>
    <n v="0"/>
    <x v="0"/>
    <x v="0"/>
    <x v="1"/>
    <x v="0"/>
  </r>
  <r>
    <x v="9"/>
    <x v="5"/>
    <n v="0"/>
    <x v="0"/>
    <x v="0"/>
    <x v="1"/>
    <x v="0"/>
  </r>
  <r>
    <x v="10"/>
    <x v="5"/>
    <n v="0"/>
    <x v="0"/>
    <x v="0"/>
    <x v="1"/>
    <x v="0"/>
  </r>
  <r>
    <x v="11"/>
    <x v="5"/>
    <n v="0"/>
    <x v="0"/>
    <x v="0"/>
    <x v="1"/>
    <x v="0"/>
  </r>
  <r>
    <x v="12"/>
    <x v="5"/>
    <n v="0"/>
    <x v="0"/>
    <x v="0"/>
    <x v="1"/>
    <x v="0"/>
  </r>
  <r>
    <x v="13"/>
    <x v="5"/>
    <n v="0"/>
    <x v="0"/>
    <x v="0"/>
    <x v="1"/>
    <x v="0"/>
  </r>
  <r>
    <x v="14"/>
    <x v="5"/>
    <n v="0"/>
    <x v="0"/>
    <x v="0"/>
    <x v="1"/>
    <x v="0"/>
  </r>
  <r>
    <x v="15"/>
    <x v="5"/>
    <n v="0"/>
    <x v="0"/>
    <x v="0"/>
    <x v="1"/>
    <x v="0"/>
  </r>
  <r>
    <x v="0"/>
    <x v="6"/>
    <n v="232.5"/>
    <x v="0"/>
    <x v="0"/>
    <x v="1"/>
    <x v="0"/>
  </r>
  <r>
    <x v="1"/>
    <x v="6"/>
    <n v="1100"/>
    <x v="0"/>
    <x v="0"/>
    <x v="1"/>
    <x v="0"/>
  </r>
  <r>
    <x v="2"/>
    <x v="6"/>
    <n v="1100"/>
    <x v="0"/>
    <x v="0"/>
    <x v="1"/>
    <x v="0"/>
  </r>
  <r>
    <x v="3"/>
    <x v="6"/>
    <n v="0"/>
    <x v="0"/>
    <x v="0"/>
    <x v="1"/>
    <x v="0"/>
  </r>
  <r>
    <x v="4"/>
    <x v="6"/>
    <n v="0"/>
    <x v="0"/>
    <x v="0"/>
    <x v="1"/>
    <x v="0"/>
  </r>
  <r>
    <x v="5"/>
    <x v="6"/>
    <n v="0"/>
    <x v="0"/>
    <x v="0"/>
    <x v="1"/>
    <x v="0"/>
  </r>
  <r>
    <x v="6"/>
    <x v="6"/>
    <n v="0"/>
    <x v="0"/>
    <x v="0"/>
    <x v="1"/>
    <x v="0"/>
  </r>
  <r>
    <x v="7"/>
    <x v="6"/>
    <n v="0"/>
    <x v="0"/>
    <x v="0"/>
    <x v="1"/>
    <x v="0"/>
  </r>
  <r>
    <x v="8"/>
    <x v="6"/>
    <n v="0"/>
    <x v="0"/>
    <x v="0"/>
    <x v="1"/>
    <x v="0"/>
  </r>
  <r>
    <x v="9"/>
    <x v="6"/>
    <n v="0"/>
    <x v="0"/>
    <x v="0"/>
    <x v="1"/>
    <x v="0"/>
  </r>
  <r>
    <x v="10"/>
    <x v="6"/>
    <n v="0"/>
    <x v="0"/>
    <x v="0"/>
    <x v="1"/>
    <x v="0"/>
  </r>
  <r>
    <x v="11"/>
    <x v="6"/>
    <n v="0"/>
    <x v="0"/>
    <x v="0"/>
    <x v="1"/>
    <x v="0"/>
  </r>
  <r>
    <x v="12"/>
    <x v="6"/>
    <n v="0"/>
    <x v="0"/>
    <x v="0"/>
    <x v="1"/>
    <x v="0"/>
  </r>
  <r>
    <x v="13"/>
    <x v="6"/>
    <n v="0"/>
    <x v="0"/>
    <x v="0"/>
    <x v="1"/>
    <x v="0"/>
  </r>
  <r>
    <x v="14"/>
    <x v="6"/>
    <n v="0"/>
    <x v="0"/>
    <x v="0"/>
    <x v="1"/>
    <x v="0"/>
  </r>
  <r>
    <x v="15"/>
    <x v="6"/>
    <n v="0"/>
    <x v="0"/>
    <x v="0"/>
    <x v="1"/>
    <x v="0"/>
  </r>
  <r>
    <x v="0"/>
    <x v="7"/>
    <n v="14.85"/>
    <x v="0"/>
    <x v="0"/>
    <x v="1"/>
    <x v="0"/>
  </r>
  <r>
    <x v="1"/>
    <x v="7"/>
    <n v="0"/>
    <x v="0"/>
    <x v="0"/>
    <x v="1"/>
    <x v="0"/>
  </r>
  <r>
    <x v="2"/>
    <x v="7"/>
    <n v="0"/>
    <x v="0"/>
    <x v="0"/>
    <x v="1"/>
    <x v="0"/>
  </r>
  <r>
    <x v="3"/>
    <x v="7"/>
    <n v="0"/>
    <x v="0"/>
    <x v="0"/>
    <x v="1"/>
    <x v="0"/>
  </r>
  <r>
    <x v="4"/>
    <x v="7"/>
    <n v="0"/>
    <x v="0"/>
    <x v="0"/>
    <x v="1"/>
    <x v="0"/>
  </r>
  <r>
    <x v="5"/>
    <x v="7"/>
    <n v="0"/>
    <x v="0"/>
    <x v="0"/>
    <x v="1"/>
    <x v="0"/>
  </r>
  <r>
    <x v="6"/>
    <x v="7"/>
    <n v="0"/>
    <x v="0"/>
    <x v="0"/>
    <x v="1"/>
    <x v="0"/>
  </r>
  <r>
    <x v="7"/>
    <x v="7"/>
    <n v="0"/>
    <x v="0"/>
    <x v="0"/>
    <x v="1"/>
    <x v="0"/>
  </r>
  <r>
    <x v="8"/>
    <x v="7"/>
    <n v="0"/>
    <x v="0"/>
    <x v="0"/>
    <x v="1"/>
    <x v="0"/>
  </r>
  <r>
    <x v="9"/>
    <x v="7"/>
    <n v="0"/>
    <x v="0"/>
    <x v="0"/>
    <x v="1"/>
    <x v="0"/>
  </r>
  <r>
    <x v="10"/>
    <x v="7"/>
    <n v="0"/>
    <x v="0"/>
    <x v="0"/>
    <x v="1"/>
    <x v="0"/>
  </r>
  <r>
    <x v="11"/>
    <x v="7"/>
    <n v="0"/>
    <x v="0"/>
    <x v="0"/>
    <x v="1"/>
    <x v="0"/>
  </r>
  <r>
    <x v="12"/>
    <x v="7"/>
    <n v="0"/>
    <x v="0"/>
    <x v="0"/>
    <x v="1"/>
    <x v="0"/>
  </r>
  <r>
    <x v="13"/>
    <x v="7"/>
    <n v="0"/>
    <x v="0"/>
    <x v="0"/>
    <x v="1"/>
    <x v="0"/>
  </r>
  <r>
    <x v="14"/>
    <x v="7"/>
    <n v="0"/>
    <x v="0"/>
    <x v="0"/>
    <x v="1"/>
    <x v="0"/>
  </r>
  <r>
    <x v="15"/>
    <x v="7"/>
    <n v="0"/>
    <x v="0"/>
    <x v="0"/>
    <x v="1"/>
    <x v="0"/>
  </r>
  <r>
    <x v="0"/>
    <x v="8"/>
    <n v="36883.199999999997"/>
    <x v="0"/>
    <x v="0"/>
    <x v="1"/>
    <x v="0"/>
  </r>
  <r>
    <x v="1"/>
    <x v="8"/>
    <n v="89418.4"/>
    <x v="0"/>
    <x v="0"/>
    <x v="1"/>
    <x v="0"/>
  </r>
  <r>
    <x v="2"/>
    <x v="8"/>
    <n v="89418.4"/>
    <x v="0"/>
    <x v="0"/>
    <x v="1"/>
    <x v="0"/>
  </r>
  <r>
    <x v="3"/>
    <x v="8"/>
    <n v="20462.2"/>
    <x v="0"/>
    <x v="0"/>
    <x v="1"/>
    <x v="0"/>
  </r>
  <r>
    <x v="4"/>
    <x v="8"/>
    <n v="20462.2"/>
    <x v="0"/>
    <x v="0"/>
    <x v="1"/>
    <x v="0"/>
  </r>
  <r>
    <x v="5"/>
    <x v="8"/>
    <n v="12091.6"/>
    <x v="0"/>
    <x v="0"/>
    <x v="1"/>
    <x v="0"/>
  </r>
  <r>
    <x v="6"/>
    <x v="8"/>
    <n v="12091.6"/>
    <x v="0"/>
    <x v="0"/>
    <x v="1"/>
    <x v="0"/>
  </r>
  <r>
    <x v="7"/>
    <x v="8"/>
    <n v="35793.599999999999"/>
    <x v="0"/>
    <x v="0"/>
    <x v="1"/>
    <x v="0"/>
  </r>
  <r>
    <x v="8"/>
    <x v="8"/>
    <n v="35793.599999999999"/>
    <x v="0"/>
    <x v="0"/>
    <x v="1"/>
    <x v="0"/>
  </r>
  <r>
    <x v="9"/>
    <x v="8"/>
    <n v="25474.7"/>
    <x v="0"/>
    <x v="0"/>
    <x v="1"/>
    <x v="0"/>
  </r>
  <r>
    <x v="10"/>
    <x v="8"/>
    <n v="25474.7"/>
    <x v="0"/>
    <x v="0"/>
    <x v="1"/>
    <x v="0"/>
  </r>
  <r>
    <x v="11"/>
    <x v="8"/>
    <n v="15921.5"/>
    <x v="0"/>
    <x v="0"/>
    <x v="1"/>
    <x v="0"/>
  </r>
  <r>
    <x v="12"/>
    <x v="8"/>
    <n v="15921.5"/>
    <x v="0"/>
    <x v="0"/>
    <x v="1"/>
    <x v="0"/>
  </r>
  <r>
    <x v="13"/>
    <x v="8"/>
    <n v="28406.6"/>
    <x v="0"/>
    <x v="0"/>
    <x v="1"/>
    <x v="0"/>
  </r>
  <r>
    <x v="14"/>
    <x v="8"/>
    <n v="28406.6"/>
    <x v="0"/>
    <x v="0"/>
    <x v="1"/>
    <x v="0"/>
  </r>
  <r>
    <x v="15"/>
    <x v="8"/>
    <n v="28406.6"/>
    <x v="0"/>
    <x v="0"/>
    <x v="1"/>
    <x v="0"/>
  </r>
  <r>
    <x v="0"/>
    <x v="9"/>
    <n v="32268.6"/>
    <x v="0"/>
    <x v="0"/>
    <x v="1"/>
    <x v="0"/>
  </r>
  <r>
    <x v="1"/>
    <x v="9"/>
    <n v="70625.7"/>
    <x v="0"/>
    <x v="0"/>
    <x v="1"/>
    <x v="0"/>
  </r>
  <r>
    <x v="2"/>
    <x v="9"/>
    <n v="70625.7"/>
    <x v="0"/>
    <x v="0"/>
    <x v="1"/>
    <x v="0"/>
  </r>
  <r>
    <x v="3"/>
    <x v="9"/>
    <n v="4904.25"/>
    <x v="0"/>
    <x v="0"/>
    <x v="1"/>
    <x v="0"/>
  </r>
  <r>
    <x v="4"/>
    <x v="9"/>
    <n v="4904.25"/>
    <x v="0"/>
    <x v="0"/>
    <x v="1"/>
    <x v="0"/>
  </r>
  <r>
    <x v="5"/>
    <x v="9"/>
    <n v="9891.59"/>
    <x v="0"/>
    <x v="0"/>
    <x v="1"/>
    <x v="0"/>
  </r>
  <r>
    <x v="6"/>
    <x v="9"/>
    <n v="9891.59"/>
    <x v="0"/>
    <x v="0"/>
    <x v="1"/>
    <x v="0"/>
  </r>
  <r>
    <x v="7"/>
    <x v="9"/>
    <n v="10543"/>
    <x v="0"/>
    <x v="0"/>
    <x v="1"/>
    <x v="0"/>
  </r>
  <r>
    <x v="8"/>
    <x v="9"/>
    <n v="10543"/>
    <x v="0"/>
    <x v="0"/>
    <x v="1"/>
    <x v="0"/>
  </r>
  <r>
    <x v="9"/>
    <x v="9"/>
    <n v="10033.6"/>
    <x v="0"/>
    <x v="0"/>
    <x v="1"/>
    <x v="0"/>
  </r>
  <r>
    <x v="10"/>
    <x v="9"/>
    <n v="10033.6"/>
    <x v="0"/>
    <x v="0"/>
    <x v="1"/>
    <x v="0"/>
  </r>
  <r>
    <x v="11"/>
    <x v="9"/>
    <n v="9883.35"/>
    <x v="0"/>
    <x v="0"/>
    <x v="1"/>
    <x v="0"/>
  </r>
  <r>
    <x v="12"/>
    <x v="9"/>
    <n v="9883.35"/>
    <x v="0"/>
    <x v="0"/>
    <x v="1"/>
    <x v="0"/>
  </r>
  <r>
    <x v="13"/>
    <x v="9"/>
    <n v="12754.7"/>
    <x v="0"/>
    <x v="0"/>
    <x v="1"/>
    <x v="0"/>
  </r>
  <r>
    <x v="14"/>
    <x v="9"/>
    <n v="12754.7"/>
    <x v="0"/>
    <x v="0"/>
    <x v="1"/>
    <x v="0"/>
  </r>
  <r>
    <x v="15"/>
    <x v="9"/>
    <n v="12754.7"/>
    <x v="0"/>
    <x v="0"/>
    <x v="1"/>
    <x v="0"/>
  </r>
  <r>
    <x v="0"/>
    <x v="1"/>
    <n v="102.45"/>
    <x v="0"/>
    <x v="0"/>
    <x v="1"/>
    <x v="1"/>
  </r>
  <r>
    <x v="1"/>
    <x v="1"/>
    <n v="9.5"/>
    <x v="0"/>
    <x v="0"/>
    <x v="1"/>
    <x v="1"/>
  </r>
  <r>
    <x v="2"/>
    <x v="1"/>
    <n v="9.5"/>
    <x v="0"/>
    <x v="0"/>
    <x v="1"/>
    <x v="1"/>
  </r>
  <r>
    <x v="3"/>
    <x v="1"/>
    <n v="0"/>
    <x v="0"/>
    <x v="0"/>
    <x v="1"/>
    <x v="1"/>
  </r>
  <r>
    <x v="4"/>
    <x v="1"/>
    <n v="0"/>
    <x v="0"/>
    <x v="0"/>
    <x v="1"/>
    <x v="1"/>
  </r>
  <r>
    <x v="5"/>
    <x v="1"/>
    <n v="0"/>
    <x v="0"/>
    <x v="0"/>
    <x v="1"/>
    <x v="1"/>
  </r>
  <r>
    <x v="6"/>
    <x v="1"/>
    <n v="0"/>
    <x v="0"/>
    <x v="0"/>
    <x v="1"/>
    <x v="1"/>
  </r>
  <r>
    <x v="7"/>
    <x v="1"/>
    <n v="0"/>
    <x v="0"/>
    <x v="0"/>
    <x v="1"/>
    <x v="1"/>
  </r>
  <r>
    <x v="8"/>
    <x v="1"/>
    <n v="0"/>
    <x v="0"/>
    <x v="0"/>
    <x v="1"/>
    <x v="1"/>
  </r>
  <r>
    <x v="9"/>
    <x v="1"/>
    <n v="0"/>
    <x v="0"/>
    <x v="0"/>
    <x v="1"/>
    <x v="1"/>
  </r>
  <r>
    <x v="10"/>
    <x v="1"/>
    <n v="0"/>
    <x v="0"/>
    <x v="0"/>
    <x v="1"/>
    <x v="1"/>
  </r>
  <r>
    <x v="11"/>
    <x v="1"/>
    <n v="0"/>
    <x v="0"/>
    <x v="0"/>
    <x v="1"/>
    <x v="1"/>
  </r>
  <r>
    <x v="12"/>
    <x v="1"/>
    <n v="0"/>
    <x v="0"/>
    <x v="0"/>
    <x v="1"/>
    <x v="1"/>
  </r>
  <r>
    <x v="13"/>
    <x v="1"/>
    <n v="0"/>
    <x v="0"/>
    <x v="0"/>
    <x v="1"/>
    <x v="1"/>
  </r>
  <r>
    <x v="14"/>
    <x v="1"/>
    <n v="0"/>
    <x v="0"/>
    <x v="0"/>
    <x v="1"/>
    <x v="1"/>
  </r>
  <r>
    <x v="15"/>
    <x v="1"/>
    <n v="0"/>
    <x v="0"/>
    <x v="0"/>
    <x v="1"/>
    <x v="1"/>
  </r>
  <r>
    <x v="0"/>
    <x v="2"/>
    <n v="0"/>
    <x v="0"/>
    <x v="0"/>
    <x v="1"/>
    <x v="1"/>
  </r>
  <r>
    <x v="1"/>
    <x v="2"/>
    <n v="0"/>
    <x v="0"/>
    <x v="0"/>
    <x v="1"/>
    <x v="1"/>
  </r>
  <r>
    <x v="2"/>
    <x v="2"/>
    <n v="0"/>
    <x v="0"/>
    <x v="0"/>
    <x v="1"/>
    <x v="1"/>
  </r>
  <r>
    <x v="3"/>
    <x v="2"/>
    <n v="0"/>
    <x v="0"/>
    <x v="0"/>
    <x v="1"/>
    <x v="1"/>
  </r>
  <r>
    <x v="4"/>
    <x v="2"/>
    <n v="0"/>
    <x v="0"/>
    <x v="0"/>
    <x v="1"/>
    <x v="1"/>
  </r>
  <r>
    <x v="5"/>
    <x v="2"/>
    <n v="0"/>
    <x v="0"/>
    <x v="0"/>
    <x v="1"/>
    <x v="1"/>
  </r>
  <r>
    <x v="6"/>
    <x v="2"/>
    <n v="0"/>
    <x v="0"/>
    <x v="0"/>
    <x v="1"/>
    <x v="1"/>
  </r>
  <r>
    <x v="7"/>
    <x v="2"/>
    <n v="0"/>
    <x v="0"/>
    <x v="0"/>
    <x v="1"/>
    <x v="1"/>
  </r>
  <r>
    <x v="8"/>
    <x v="2"/>
    <n v="0"/>
    <x v="0"/>
    <x v="0"/>
    <x v="1"/>
    <x v="1"/>
  </r>
  <r>
    <x v="9"/>
    <x v="2"/>
    <n v="0"/>
    <x v="0"/>
    <x v="0"/>
    <x v="1"/>
    <x v="1"/>
  </r>
  <r>
    <x v="10"/>
    <x v="2"/>
    <n v="0"/>
    <x v="0"/>
    <x v="0"/>
    <x v="1"/>
    <x v="1"/>
  </r>
  <r>
    <x v="11"/>
    <x v="2"/>
    <n v="0"/>
    <x v="0"/>
    <x v="0"/>
    <x v="1"/>
    <x v="1"/>
  </r>
  <r>
    <x v="12"/>
    <x v="2"/>
    <n v="0"/>
    <x v="0"/>
    <x v="0"/>
    <x v="1"/>
    <x v="1"/>
  </r>
  <r>
    <x v="13"/>
    <x v="2"/>
    <n v="0"/>
    <x v="0"/>
    <x v="0"/>
    <x v="1"/>
    <x v="1"/>
  </r>
  <r>
    <x v="14"/>
    <x v="2"/>
    <n v="0"/>
    <x v="0"/>
    <x v="0"/>
    <x v="1"/>
    <x v="1"/>
  </r>
  <r>
    <x v="15"/>
    <x v="2"/>
    <n v="0"/>
    <x v="0"/>
    <x v="0"/>
    <x v="1"/>
    <x v="1"/>
  </r>
  <r>
    <x v="0"/>
    <x v="3"/>
    <n v="11184.73"/>
    <x v="0"/>
    <x v="0"/>
    <x v="1"/>
    <x v="1"/>
  </r>
  <r>
    <x v="1"/>
    <x v="3"/>
    <n v="0"/>
    <x v="0"/>
    <x v="0"/>
    <x v="1"/>
    <x v="1"/>
  </r>
  <r>
    <x v="2"/>
    <x v="3"/>
    <n v="0"/>
    <x v="0"/>
    <x v="0"/>
    <x v="1"/>
    <x v="1"/>
  </r>
  <r>
    <x v="3"/>
    <x v="3"/>
    <n v="0"/>
    <x v="0"/>
    <x v="0"/>
    <x v="1"/>
    <x v="1"/>
  </r>
  <r>
    <x v="4"/>
    <x v="3"/>
    <n v="0"/>
    <x v="0"/>
    <x v="0"/>
    <x v="1"/>
    <x v="1"/>
  </r>
  <r>
    <x v="5"/>
    <x v="3"/>
    <n v="0"/>
    <x v="0"/>
    <x v="0"/>
    <x v="1"/>
    <x v="1"/>
  </r>
  <r>
    <x v="6"/>
    <x v="3"/>
    <n v="0"/>
    <x v="0"/>
    <x v="0"/>
    <x v="1"/>
    <x v="1"/>
  </r>
  <r>
    <x v="7"/>
    <x v="3"/>
    <n v="0"/>
    <x v="0"/>
    <x v="0"/>
    <x v="1"/>
    <x v="1"/>
  </r>
  <r>
    <x v="8"/>
    <x v="3"/>
    <n v="0"/>
    <x v="0"/>
    <x v="0"/>
    <x v="1"/>
    <x v="1"/>
  </r>
  <r>
    <x v="9"/>
    <x v="3"/>
    <n v="0"/>
    <x v="0"/>
    <x v="0"/>
    <x v="1"/>
    <x v="1"/>
  </r>
  <r>
    <x v="10"/>
    <x v="3"/>
    <n v="0"/>
    <x v="0"/>
    <x v="0"/>
    <x v="1"/>
    <x v="1"/>
  </r>
  <r>
    <x v="11"/>
    <x v="3"/>
    <n v="0"/>
    <x v="0"/>
    <x v="0"/>
    <x v="1"/>
    <x v="1"/>
  </r>
  <r>
    <x v="12"/>
    <x v="3"/>
    <n v="0"/>
    <x v="0"/>
    <x v="0"/>
    <x v="1"/>
    <x v="1"/>
  </r>
  <r>
    <x v="13"/>
    <x v="3"/>
    <n v="0"/>
    <x v="0"/>
    <x v="0"/>
    <x v="1"/>
    <x v="1"/>
  </r>
  <r>
    <x v="14"/>
    <x v="3"/>
    <n v="0"/>
    <x v="0"/>
    <x v="0"/>
    <x v="1"/>
    <x v="1"/>
  </r>
  <r>
    <x v="15"/>
    <x v="3"/>
    <n v="0"/>
    <x v="0"/>
    <x v="0"/>
    <x v="1"/>
    <x v="1"/>
  </r>
  <r>
    <x v="0"/>
    <x v="4"/>
    <n v="0"/>
    <x v="0"/>
    <x v="0"/>
    <x v="1"/>
    <x v="1"/>
  </r>
  <r>
    <x v="1"/>
    <x v="4"/>
    <n v="0"/>
    <x v="0"/>
    <x v="0"/>
    <x v="1"/>
    <x v="1"/>
  </r>
  <r>
    <x v="2"/>
    <x v="4"/>
    <n v="0"/>
    <x v="0"/>
    <x v="0"/>
    <x v="1"/>
    <x v="1"/>
  </r>
  <r>
    <x v="3"/>
    <x v="4"/>
    <n v="0"/>
    <x v="0"/>
    <x v="0"/>
    <x v="1"/>
    <x v="1"/>
  </r>
  <r>
    <x v="4"/>
    <x v="4"/>
    <n v="0"/>
    <x v="0"/>
    <x v="0"/>
    <x v="1"/>
    <x v="1"/>
  </r>
  <r>
    <x v="5"/>
    <x v="4"/>
    <n v="0"/>
    <x v="0"/>
    <x v="0"/>
    <x v="1"/>
    <x v="1"/>
  </r>
  <r>
    <x v="6"/>
    <x v="4"/>
    <n v="0"/>
    <x v="0"/>
    <x v="0"/>
    <x v="1"/>
    <x v="1"/>
  </r>
  <r>
    <x v="7"/>
    <x v="4"/>
    <n v="0"/>
    <x v="0"/>
    <x v="0"/>
    <x v="1"/>
    <x v="1"/>
  </r>
  <r>
    <x v="8"/>
    <x v="4"/>
    <n v="0"/>
    <x v="0"/>
    <x v="0"/>
    <x v="1"/>
    <x v="1"/>
  </r>
  <r>
    <x v="9"/>
    <x v="4"/>
    <n v="0"/>
    <x v="0"/>
    <x v="0"/>
    <x v="1"/>
    <x v="1"/>
  </r>
  <r>
    <x v="10"/>
    <x v="4"/>
    <n v="0"/>
    <x v="0"/>
    <x v="0"/>
    <x v="1"/>
    <x v="1"/>
  </r>
  <r>
    <x v="11"/>
    <x v="4"/>
    <n v="0"/>
    <x v="0"/>
    <x v="0"/>
    <x v="1"/>
    <x v="1"/>
  </r>
  <r>
    <x v="12"/>
    <x v="4"/>
    <n v="0"/>
    <x v="0"/>
    <x v="0"/>
    <x v="1"/>
    <x v="1"/>
  </r>
  <r>
    <x v="13"/>
    <x v="4"/>
    <n v="0"/>
    <x v="0"/>
    <x v="0"/>
    <x v="1"/>
    <x v="1"/>
  </r>
  <r>
    <x v="14"/>
    <x v="4"/>
    <n v="0"/>
    <x v="0"/>
    <x v="0"/>
    <x v="1"/>
    <x v="1"/>
  </r>
  <r>
    <x v="15"/>
    <x v="4"/>
    <n v="0"/>
    <x v="0"/>
    <x v="0"/>
    <x v="1"/>
    <x v="1"/>
  </r>
  <r>
    <x v="0"/>
    <x v="5"/>
    <n v="3007.63"/>
    <x v="0"/>
    <x v="0"/>
    <x v="1"/>
    <x v="1"/>
  </r>
  <r>
    <x v="1"/>
    <x v="5"/>
    <n v="0"/>
    <x v="0"/>
    <x v="0"/>
    <x v="1"/>
    <x v="1"/>
  </r>
  <r>
    <x v="2"/>
    <x v="5"/>
    <n v="0"/>
    <x v="0"/>
    <x v="0"/>
    <x v="1"/>
    <x v="1"/>
  </r>
  <r>
    <x v="3"/>
    <x v="5"/>
    <n v="97"/>
    <x v="0"/>
    <x v="0"/>
    <x v="1"/>
    <x v="1"/>
  </r>
  <r>
    <x v="4"/>
    <x v="5"/>
    <n v="97"/>
    <x v="0"/>
    <x v="0"/>
    <x v="1"/>
    <x v="1"/>
  </r>
  <r>
    <x v="5"/>
    <x v="5"/>
    <n v="24.395"/>
    <x v="0"/>
    <x v="0"/>
    <x v="1"/>
    <x v="1"/>
  </r>
  <r>
    <x v="6"/>
    <x v="5"/>
    <n v="24.395"/>
    <x v="0"/>
    <x v="0"/>
    <x v="1"/>
    <x v="1"/>
  </r>
  <r>
    <x v="7"/>
    <x v="5"/>
    <n v="4"/>
    <x v="0"/>
    <x v="0"/>
    <x v="1"/>
    <x v="1"/>
  </r>
  <r>
    <x v="8"/>
    <x v="5"/>
    <n v="4"/>
    <x v="0"/>
    <x v="0"/>
    <x v="1"/>
    <x v="1"/>
  </r>
  <r>
    <x v="9"/>
    <x v="5"/>
    <n v="0"/>
    <x v="0"/>
    <x v="0"/>
    <x v="1"/>
    <x v="1"/>
  </r>
  <r>
    <x v="10"/>
    <x v="5"/>
    <n v="0"/>
    <x v="0"/>
    <x v="0"/>
    <x v="1"/>
    <x v="1"/>
  </r>
  <r>
    <x v="11"/>
    <x v="5"/>
    <n v="0"/>
    <x v="0"/>
    <x v="0"/>
    <x v="1"/>
    <x v="1"/>
  </r>
  <r>
    <x v="12"/>
    <x v="5"/>
    <n v="0"/>
    <x v="0"/>
    <x v="0"/>
    <x v="1"/>
    <x v="1"/>
  </r>
  <r>
    <x v="13"/>
    <x v="5"/>
    <n v="0"/>
    <x v="0"/>
    <x v="0"/>
    <x v="1"/>
    <x v="1"/>
  </r>
  <r>
    <x v="14"/>
    <x v="5"/>
    <n v="0"/>
    <x v="0"/>
    <x v="0"/>
    <x v="1"/>
    <x v="1"/>
  </r>
  <r>
    <x v="15"/>
    <x v="5"/>
    <n v="0"/>
    <x v="0"/>
    <x v="0"/>
    <x v="1"/>
    <x v="1"/>
  </r>
  <r>
    <x v="0"/>
    <x v="6"/>
    <n v="232.5"/>
    <x v="0"/>
    <x v="0"/>
    <x v="1"/>
    <x v="1"/>
  </r>
  <r>
    <x v="1"/>
    <x v="6"/>
    <n v="1100"/>
    <x v="0"/>
    <x v="0"/>
    <x v="1"/>
    <x v="1"/>
  </r>
  <r>
    <x v="2"/>
    <x v="6"/>
    <n v="1100"/>
    <x v="0"/>
    <x v="0"/>
    <x v="1"/>
    <x v="1"/>
  </r>
  <r>
    <x v="3"/>
    <x v="6"/>
    <n v="0"/>
    <x v="0"/>
    <x v="0"/>
    <x v="1"/>
    <x v="1"/>
  </r>
  <r>
    <x v="4"/>
    <x v="6"/>
    <n v="0"/>
    <x v="0"/>
    <x v="0"/>
    <x v="1"/>
    <x v="1"/>
  </r>
  <r>
    <x v="5"/>
    <x v="6"/>
    <n v="0"/>
    <x v="0"/>
    <x v="0"/>
    <x v="1"/>
    <x v="1"/>
  </r>
  <r>
    <x v="6"/>
    <x v="6"/>
    <n v="0"/>
    <x v="0"/>
    <x v="0"/>
    <x v="1"/>
    <x v="1"/>
  </r>
  <r>
    <x v="7"/>
    <x v="6"/>
    <n v="0"/>
    <x v="0"/>
    <x v="0"/>
    <x v="1"/>
    <x v="1"/>
  </r>
  <r>
    <x v="8"/>
    <x v="6"/>
    <n v="0"/>
    <x v="0"/>
    <x v="0"/>
    <x v="1"/>
    <x v="1"/>
  </r>
  <r>
    <x v="9"/>
    <x v="6"/>
    <n v="0"/>
    <x v="0"/>
    <x v="0"/>
    <x v="1"/>
    <x v="1"/>
  </r>
  <r>
    <x v="10"/>
    <x v="6"/>
    <n v="0"/>
    <x v="0"/>
    <x v="0"/>
    <x v="1"/>
    <x v="1"/>
  </r>
  <r>
    <x v="11"/>
    <x v="6"/>
    <n v="0"/>
    <x v="0"/>
    <x v="0"/>
    <x v="1"/>
    <x v="1"/>
  </r>
  <r>
    <x v="12"/>
    <x v="6"/>
    <n v="0"/>
    <x v="0"/>
    <x v="0"/>
    <x v="1"/>
    <x v="1"/>
  </r>
  <r>
    <x v="13"/>
    <x v="6"/>
    <n v="0"/>
    <x v="0"/>
    <x v="0"/>
    <x v="1"/>
    <x v="1"/>
  </r>
  <r>
    <x v="14"/>
    <x v="6"/>
    <n v="0"/>
    <x v="0"/>
    <x v="0"/>
    <x v="1"/>
    <x v="1"/>
  </r>
  <r>
    <x v="15"/>
    <x v="6"/>
    <n v="0"/>
    <x v="0"/>
    <x v="0"/>
    <x v="1"/>
    <x v="1"/>
  </r>
  <r>
    <x v="0"/>
    <x v="7"/>
    <n v="14.85"/>
    <x v="0"/>
    <x v="0"/>
    <x v="1"/>
    <x v="1"/>
  </r>
  <r>
    <x v="1"/>
    <x v="7"/>
    <n v="0"/>
    <x v="0"/>
    <x v="0"/>
    <x v="1"/>
    <x v="1"/>
  </r>
  <r>
    <x v="2"/>
    <x v="7"/>
    <n v="0"/>
    <x v="0"/>
    <x v="0"/>
    <x v="1"/>
    <x v="1"/>
  </r>
  <r>
    <x v="3"/>
    <x v="7"/>
    <n v="0"/>
    <x v="0"/>
    <x v="0"/>
    <x v="1"/>
    <x v="1"/>
  </r>
  <r>
    <x v="4"/>
    <x v="7"/>
    <n v="0"/>
    <x v="0"/>
    <x v="0"/>
    <x v="1"/>
    <x v="1"/>
  </r>
  <r>
    <x v="5"/>
    <x v="7"/>
    <n v="0"/>
    <x v="0"/>
    <x v="0"/>
    <x v="1"/>
    <x v="1"/>
  </r>
  <r>
    <x v="6"/>
    <x v="7"/>
    <n v="0"/>
    <x v="0"/>
    <x v="0"/>
    <x v="1"/>
    <x v="1"/>
  </r>
  <r>
    <x v="7"/>
    <x v="7"/>
    <n v="0"/>
    <x v="0"/>
    <x v="0"/>
    <x v="1"/>
    <x v="1"/>
  </r>
  <r>
    <x v="8"/>
    <x v="7"/>
    <n v="0"/>
    <x v="0"/>
    <x v="0"/>
    <x v="1"/>
    <x v="1"/>
  </r>
  <r>
    <x v="9"/>
    <x v="7"/>
    <n v="0"/>
    <x v="0"/>
    <x v="0"/>
    <x v="1"/>
    <x v="1"/>
  </r>
  <r>
    <x v="10"/>
    <x v="7"/>
    <n v="0"/>
    <x v="0"/>
    <x v="0"/>
    <x v="1"/>
    <x v="1"/>
  </r>
  <r>
    <x v="11"/>
    <x v="7"/>
    <n v="0"/>
    <x v="0"/>
    <x v="0"/>
    <x v="1"/>
    <x v="1"/>
  </r>
  <r>
    <x v="12"/>
    <x v="7"/>
    <n v="0"/>
    <x v="0"/>
    <x v="0"/>
    <x v="1"/>
    <x v="1"/>
  </r>
  <r>
    <x v="13"/>
    <x v="7"/>
    <n v="0"/>
    <x v="0"/>
    <x v="0"/>
    <x v="1"/>
    <x v="1"/>
  </r>
  <r>
    <x v="14"/>
    <x v="7"/>
    <n v="0"/>
    <x v="0"/>
    <x v="0"/>
    <x v="1"/>
    <x v="1"/>
  </r>
  <r>
    <x v="15"/>
    <x v="7"/>
    <n v="0"/>
    <x v="0"/>
    <x v="0"/>
    <x v="1"/>
    <x v="1"/>
  </r>
  <r>
    <x v="0"/>
    <x v="8"/>
    <n v="12387.2"/>
    <x v="0"/>
    <x v="0"/>
    <x v="1"/>
    <x v="1"/>
  </r>
  <r>
    <x v="1"/>
    <x v="8"/>
    <n v="50170.400000000001"/>
    <x v="0"/>
    <x v="0"/>
    <x v="1"/>
    <x v="1"/>
  </r>
  <r>
    <x v="2"/>
    <x v="8"/>
    <n v="50170.400000000001"/>
    <x v="0"/>
    <x v="0"/>
    <x v="1"/>
    <x v="1"/>
  </r>
  <r>
    <x v="3"/>
    <x v="8"/>
    <n v="33062.400000000001"/>
    <x v="0"/>
    <x v="0"/>
    <x v="1"/>
    <x v="1"/>
  </r>
  <r>
    <x v="4"/>
    <x v="8"/>
    <n v="33062.400000000001"/>
    <x v="0"/>
    <x v="0"/>
    <x v="1"/>
    <x v="1"/>
  </r>
  <r>
    <x v="5"/>
    <x v="8"/>
    <n v="7249.15"/>
    <x v="0"/>
    <x v="0"/>
    <x v="1"/>
    <x v="1"/>
  </r>
  <r>
    <x v="6"/>
    <x v="8"/>
    <n v="7249.15"/>
    <x v="0"/>
    <x v="0"/>
    <x v="1"/>
    <x v="1"/>
  </r>
  <r>
    <x v="7"/>
    <x v="8"/>
    <n v="13876.7"/>
    <x v="0"/>
    <x v="0"/>
    <x v="1"/>
    <x v="1"/>
  </r>
  <r>
    <x v="8"/>
    <x v="8"/>
    <n v="13876.7"/>
    <x v="0"/>
    <x v="0"/>
    <x v="1"/>
    <x v="1"/>
  </r>
  <r>
    <x v="9"/>
    <x v="8"/>
    <n v="14483.2"/>
    <x v="0"/>
    <x v="0"/>
    <x v="1"/>
    <x v="1"/>
  </r>
  <r>
    <x v="10"/>
    <x v="8"/>
    <n v="14483.2"/>
    <x v="0"/>
    <x v="0"/>
    <x v="1"/>
    <x v="1"/>
  </r>
  <r>
    <x v="11"/>
    <x v="8"/>
    <n v="7974.67"/>
    <x v="0"/>
    <x v="0"/>
    <x v="1"/>
    <x v="1"/>
  </r>
  <r>
    <x v="12"/>
    <x v="8"/>
    <n v="7974.67"/>
    <x v="0"/>
    <x v="0"/>
    <x v="1"/>
    <x v="1"/>
  </r>
  <r>
    <x v="13"/>
    <x v="8"/>
    <n v="12482.5"/>
    <x v="0"/>
    <x v="0"/>
    <x v="1"/>
    <x v="1"/>
  </r>
  <r>
    <x v="14"/>
    <x v="8"/>
    <n v="12482.5"/>
    <x v="0"/>
    <x v="0"/>
    <x v="1"/>
    <x v="1"/>
  </r>
  <r>
    <x v="15"/>
    <x v="8"/>
    <n v="12482.5"/>
    <x v="0"/>
    <x v="0"/>
    <x v="1"/>
    <x v="1"/>
  </r>
  <r>
    <x v="0"/>
    <x v="9"/>
    <n v="30327.4"/>
    <x v="0"/>
    <x v="0"/>
    <x v="1"/>
    <x v="1"/>
  </r>
  <r>
    <x v="1"/>
    <x v="9"/>
    <n v="80633.2"/>
    <x v="0"/>
    <x v="0"/>
    <x v="1"/>
    <x v="1"/>
  </r>
  <r>
    <x v="2"/>
    <x v="9"/>
    <n v="80633.2"/>
    <x v="0"/>
    <x v="0"/>
    <x v="1"/>
    <x v="1"/>
  </r>
  <r>
    <x v="3"/>
    <x v="9"/>
    <n v="4059.83"/>
    <x v="0"/>
    <x v="0"/>
    <x v="1"/>
    <x v="1"/>
  </r>
  <r>
    <x v="4"/>
    <x v="9"/>
    <n v="4059.83"/>
    <x v="0"/>
    <x v="0"/>
    <x v="1"/>
    <x v="1"/>
  </r>
  <r>
    <x v="5"/>
    <x v="9"/>
    <n v="9554.5499999999993"/>
    <x v="0"/>
    <x v="0"/>
    <x v="1"/>
    <x v="1"/>
  </r>
  <r>
    <x v="6"/>
    <x v="9"/>
    <n v="9554.5499999999993"/>
    <x v="0"/>
    <x v="0"/>
    <x v="1"/>
    <x v="1"/>
  </r>
  <r>
    <x v="7"/>
    <x v="9"/>
    <n v="14128.7"/>
    <x v="0"/>
    <x v="0"/>
    <x v="1"/>
    <x v="1"/>
  </r>
  <r>
    <x v="8"/>
    <x v="9"/>
    <n v="14128.7"/>
    <x v="0"/>
    <x v="0"/>
    <x v="1"/>
    <x v="1"/>
  </r>
  <r>
    <x v="9"/>
    <x v="9"/>
    <n v="12310.4"/>
    <x v="0"/>
    <x v="0"/>
    <x v="1"/>
    <x v="1"/>
  </r>
  <r>
    <x v="10"/>
    <x v="9"/>
    <n v="12310.4"/>
    <x v="0"/>
    <x v="0"/>
    <x v="1"/>
    <x v="1"/>
  </r>
  <r>
    <x v="11"/>
    <x v="9"/>
    <n v="13046.2"/>
    <x v="0"/>
    <x v="0"/>
    <x v="1"/>
    <x v="1"/>
  </r>
  <r>
    <x v="12"/>
    <x v="9"/>
    <n v="13046.2"/>
    <x v="0"/>
    <x v="0"/>
    <x v="1"/>
    <x v="1"/>
  </r>
  <r>
    <x v="13"/>
    <x v="9"/>
    <n v="14384.2"/>
    <x v="0"/>
    <x v="0"/>
    <x v="1"/>
    <x v="1"/>
  </r>
  <r>
    <x v="14"/>
    <x v="9"/>
    <n v="14384.2"/>
    <x v="0"/>
    <x v="0"/>
    <x v="1"/>
    <x v="1"/>
  </r>
  <r>
    <x v="15"/>
    <x v="9"/>
    <n v="14384.2"/>
    <x v="0"/>
    <x v="0"/>
    <x v="1"/>
    <x v="1"/>
  </r>
  <r>
    <x v="0"/>
    <x v="1"/>
    <n v="102.45"/>
    <x v="0"/>
    <x v="0"/>
    <x v="1"/>
    <x v="2"/>
  </r>
  <r>
    <x v="1"/>
    <x v="1"/>
    <n v="9.5"/>
    <x v="0"/>
    <x v="0"/>
    <x v="1"/>
    <x v="2"/>
  </r>
  <r>
    <x v="2"/>
    <x v="1"/>
    <n v="9.5"/>
    <x v="0"/>
    <x v="0"/>
    <x v="1"/>
    <x v="2"/>
  </r>
  <r>
    <x v="3"/>
    <x v="1"/>
    <n v="0"/>
    <x v="0"/>
    <x v="0"/>
    <x v="1"/>
    <x v="2"/>
  </r>
  <r>
    <x v="4"/>
    <x v="1"/>
    <n v="0"/>
    <x v="0"/>
    <x v="0"/>
    <x v="1"/>
    <x v="2"/>
  </r>
  <r>
    <x v="5"/>
    <x v="1"/>
    <n v="0"/>
    <x v="0"/>
    <x v="0"/>
    <x v="1"/>
    <x v="2"/>
  </r>
  <r>
    <x v="6"/>
    <x v="1"/>
    <n v="0"/>
    <x v="0"/>
    <x v="0"/>
    <x v="1"/>
    <x v="2"/>
  </r>
  <r>
    <x v="7"/>
    <x v="1"/>
    <n v="0"/>
    <x v="0"/>
    <x v="0"/>
    <x v="1"/>
    <x v="2"/>
  </r>
  <r>
    <x v="8"/>
    <x v="1"/>
    <n v="0"/>
    <x v="0"/>
    <x v="0"/>
    <x v="1"/>
    <x v="2"/>
  </r>
  <r>
    <x v="9"/>
    <x v="1"/>
    <n v="0"/>
    <x v="0"/>
    <x v="0"/>
    <x v="1"/>
    <x v="2"/>
  </r>
  <r>
    <x v="10"/>
    <x v="1"/>
    <n v="0"/>
    <x v="0"/>
    <x v="0"/>
    <x v="1"/>
    <x v="2"/>
  </r>
  <r>
    <x v="11"/>
    <x v="1"/>
    <n v="0"/>
    <x v="0"/>
    <x v="0"/>
    <x v="1"/>
    <x v="2"/>
  </r>
  <r>
    <x v="12"/>
    <x v="1"/>
    <n v="0"/>
    <x v="0"/>
    <x v="0"/>
    <x v="1"/>
    <x v="2"/>
  </r>
  <r>
    <x v="13"/>
    <x v="1"/>
    <n v="0"/>
    <x v="0"/>
    <x v="0"/>
    <x v="1"/>
    <x v="2"/>
  </r>
  <r>
    <x v="14"/>
    <x v="1"/>
    <n v="0"/>
    <x v="0"/>
    <x v="0"/>
    <x v="1"/>
    <x v="2"/>
  </r>
  <r>
    <x v="15"/>
    <x v="1"/>
    <n v="0"/>
    <x v="0"/>
    <x v="0"/>
    <x v="1"/>
    <x v="2"/>
  </r>
  <r>
    <x v="0"/>
    <x v="2"/>
    <n v="0"/>
    <x v="0"/>
    <x v="0"/>
    <x v="1"/>
    <x v="2"/>
  </r>
  <r>
    <x v="1"/>
    <x v="2"/>
    <n v="0"/>
    <x v="0"/>
    <x v="0"/>
    <x v="1"/>
    <x v="2"/>
  </r>
  <r>
    <x v="2"/>
    <x v="2"/>
    <n v="0"/>
    <x v="0"/>
    <x v="0"/>
    <x v="1"/>
    <x v="2"/>
  </r>
  <r>
    <x v="3"/>
    <x v="2"/>
    <n v="0"/>
    <x v="0"/>
    <x v="0"/>
    <x v="1"/>
    <x v="2"/>
  </r>
  <r>
    <x v="4"/>
    <x v="2"/>
    <n v="0"/>
    <x v="0"/>
    <x v="0"/>
    <x v="1"/>
    <x v="2"/>
  </r>
  <r>
    <x v="5"/>
    <x v="2"/>
    <n v="0"/>
    <x v="0"/>
    <x v="0"/>
    <x v="1"/>
    <x v="2"/>
  </r>
  <r>
    <x v="6"/>
    <x v="2"/>
    <n v="0"/>
    <x v="0"/>
    <x v="0"/>
    <x v="1"/>
    <x v="2"/>
  </r>
  <r>
    <x v="7"/>
    <x v="2"/>
    <n v="0"/>
    <x v="0"/>
    <x v="0"/>
    <x v="1"/>
    <x v="2"/>
  </r>
  <r>
    <x v="8"/>
    <x v="2"/>
    <n v="0"/>
    <x v="0"/>
    <x v="0"/>
    <x v="1"/>
    <x v="2"/>
  </r>
  <r>
    <x v="9"/>
    <x v="2"/>
    <n v="0"/>
    <x v="0"/>
    <x v="0"/>
    <x v="1"/>
    <x v="2"/>
  </r>
  <r>
    <x v="10"/>
    <x v="2"/>
    <n v="0"/>
    <x v="0"/>
    <x v="0"/>
    <x v="1"/>
    <x v="2"/>
  </r>
  <r>
    <x v="11"/>
    <x v="2"/>
    <n v="0"/>
    <x v="0"/>
    <x v="0"/>
    <x v="1"/>
    <x v="2"/>
  </r>
  <r>
    <x v="12"/>
    <x v="2"/>
    <n v="0"/>
    <x v="0"/>
    <x v="0"/>
    <x v="1"/>
    <x v="2"/>
  </r>
  <r>
    <x v="13"/>
    <x v="2"/>
    <n v="0"/>
    <x v="0"/>
    <x v="0"/>
    <x v="1"/>
    <x v="2"/>
  </r>
  <r>
    <x v="14"/>
    <x v="2"/>
    <n v="0"/>
    <x v="0"/>
    <x v="0"/>
    <x v="1"/>
    <x v="2"/>
  </r>
  <r>
    <x v="15"/>
    <x v="2"/>
    <n v="0"/>
    <x v="0"/>
    <x v="0"/>
    <x v="1"/>
    <x v="2"/>
  </r>
  <r>
    <x v="0"/>
    <x v="3"/>
    <n v="11184.73"/>
    <x v="0"/>
    <x v="0"/>
    <x v="1"/>
    <x v="2"/>
  </r>
  <r>
    <x v="1"/>
    <x v="3"/>
    <n v="0"/>
    <x v="0"/>
    <x v="0"/>
    <x v="1"/>
    <x v="2"/>
  </r>
  <r>
    <x v="2"/>
    <x v="3"/>
    <n v="0"/>
    <x v="0"/>
    <x v="0"/>
    <x v="1"/>
    <x v="2"/>
  </r>
  <r>
    <x v="3"/>
    <x v="3"/>
    <n v="0"/>
    <x v="0"/>
    <x v="0"/>
    <x v="1"/>
    <x v="2"/>
  </r>
  <r>
    <x v="4"/>
    <x v="3"/>
    <n v="0"/>
    <x v="0"/>
    <x v="0"/>
    <x v="1"/>
    <x v="2"/>
  </r>
  <r>
    <x v="5"/>
    <x v="3"/>
    <n v="0"/>
    <x v="0"/>
    <x v="0"/>
    <x v="1"/>
    <x v="2"/>
  </r>
  <r>
    <x v="6"/>
    <x v="3"/>
    <n v="0"/>
    <x v="0"/>
    <x v="0"/>
    <x v="1"/>
    <x v="2"/>
  </r>
  <r>
    <x v="7"/>
    <x v="3"/>
    <n v="0"/>
    <x v="0"/>
    <x v="0"/>
    <x v="1"/>
    <x v="2"/>
  </r>
  <r>
    <x v="8"/>
    <x v="3"/>
    <n v="0"/>
    <x v="0"/>
    <x v="0"/>
    <x v="1"/>
    <x v="2"/>
  </r>
  <r>
    <x v="9"/>
    <x v="3"/>
    <n v="0"/>
    <x v="0"/>
    <x v="0"/>
    <x v="1"/>
    <x v="2"/>
  </r>
  <r>
    <x v="10"/>
    <x v="3"/>
    <n v="0"/>
    <x v="0"/>
    <x v="0"/>
    <x v="1"/>
    <x v="2"/>
  </r>
  <r>
    <x v="11"/>
    <x v="3"/>
    <n v="0"/>
    <x v="0"/>
    <x v="0"/>
    <x v="1"/>
    <x v="2"/>
  </r>
  <r>
    <x v="12"/>
    <x v="3"/>
    <n v="0"/>
    <x v="0"/>
    <x v="0"/>
    <x v="1"/>
    <x v="2"/>
  </r>
  <r>
    <x v="13"/>
    <x v="3"/>
    <n v="0"/>
    <x v="0"/>
    <x v="0"/>
    <x v="1"/>
    <x v="2"/>
  </r>
  <r>
    <x v="14"/>
    <x v="3"/>
    <n v="0"/>
    <x v="0"/>
    <x v="0"/>
    <x v="1"/>
    <x v="2"/>
  </r>
  <r>
    <x v="15"/>
    <x v="3"/>
    <n v="0"/>
    <x v="0"/>
    <x v="0"/>
    <x v="1"/>
    <x v="2"/>
  </r>
  <r>
    <x v="0"/>
    <x v="4"/>
    <n v="0"/>
    <x v="0"/>
    <x v="0"/>
    <x v="1"/>
    <x v="2"/>
  </r>
  <r>
    <x v="1"/>
    <x v="4"/>
    <n v="0"/>
    <x v="0"/>
    <x v="0"/>
    <x v="1"/>
    <x v="2"/>
  </r>
  <r>
    <x v="2"/>
    <x v="4"/>
    <n v="0"/>
    <x v="0"/>
    <x v="0"/>
    <x v="1"/>
    <x v="2"/>
  </r>
  <r>
    <x v="3"/>
    <x v="4"/>
    <n v="0"/>
    <x v="0"/>
    <x v="0"/>
    <x v="1"/>
    <x v="2"/>
  </r>
  <r>
    <x v="4"/>
    <x v="4"/>
    <n v="0"/>
    <x v="0"/>
    <x v="0"/>
    <x v="1"/>
    <x v="2"/>
  </r>
  <r>
    <x v="5"/>
    <x v="4"/>
    <n v="0"/>
    <x v="0"/>
    <x v="0"/>
    <x v="1"/>
    <x v="2"/>
  </r>
  <r>
    <x v="6"/>
    <x v="4"/>
    <n v="0"/>
    <x v="0"/>
    <x v="0"/>
    <x v="1"/>
    <x v="2"/>
  </r>
  <r>
    <x v="7"/>
    <x v="4"/>
    <n v="0"/>
    <x v="0"/>
    <x v="0"/>
    <x v="1"/>
    <x v="2"/>
  </r>
  <r>
    <x v="8"/>
    <x v="4"/>
    <n v="0"/>
    <x v="0"/>
    <x v="0"/>
    <x v="1"/>
    <x v="2"/>
  </r>
  <r>
    <x v="9"/>
    <x v="4"/>
    <n v="0"/>
    <x v="0"/>
    <x v="0"/>
    <x v="1"/>
    <x v="2"/>
  </r>
  <r>
    <x v="10"/>
    <x v="4"/>
    <n v="0"/>
    <x v="0"/>
    <x v="0"/>
    <x v="1"/>
    <x v="2"/>
  </r>
  <r>
    <x v="11"/>
    <x v="4"/>
    <n v="0"/>
    <x v="0"/>
    <x v="0"/>
    <x v="1"/>
    <x v="2"/>
  </r>
  <r>
    <x v="12"/>
    <x v="4"/>
    <n v="0"/>
    <x v="0"/>
    <x v="0"/>
    <x v="1"/>
    <x v="2"/>
  </r>
  <r>
    <x v="13"/>
    <x v="4"/>
    <n v="0"/>
    <x v="0"/>
    <x v="0"/>
    <x v="1"/>
    <x v="2"/>
  </r>
  <r>
    <x v="14"/>
    <x v="4"/>
    <n v="0"/>
    <x v="0"/>
    <x v="0"/>
    <x v="1"/>
    <x v="2"/>
  </r>
  <r>
    <x v="15"/>
    <x v="4"/>
    <n v="0"/>
    <x v="0"/>
    <x v="0"/>
    <x v="1"/>
    <x v="2"/>
  </r>
  <r>
    <x v="0"/>
    <x v="5"/>
    <n v="2066.36"/>
    <x v="0"/>
    <x v="0"/>
    <x v="1"/>
    <x v="2"/>
  </r>
  <r>
    <x v="1"/>
    <x v="5"/>
    <n v="0.5"/>
    <x v="0"/>
    <x v="0"/>
    <x v="1"/>
    <x v="2"/>
  </r>
  <r>
    <x v="2"/>
    <x v="5"/>
    <n v="0.5"/>
    <x v="0"/>
    <x v="0"/>
    <x v="1"/>
    <x v="2"/>
  </r>
  <r>
    <x v="3"/>
    <x v="5"/>
    <n v="35.65"/>
    <x v="0"/>
    <x v="0"/>
    <x v="1"/>
    <x v="2"/>
  </r>
  <r>
    <x v="4"/>
    <x v="5"/>
    <n v="35.65"/>
    <x v="0"/>
    <x v="0"/>
    <x v="1"/>
    <x v="2"/>
  </r>
  <r>
    <x v="5"/>
    <x v="5"/>
    <n v="18.895"/>
    <x v="0"/>
    <x v="0"/>
    <x v="1"/>
    <x v="2"/>
  </r>
  <r>
    <x v="6"/>
    <x v="5"/>
    <n v="18.895"/>
    <x v="0"/>
    <x v="0"/>
    <x v="1"/>
    <x v="2"/>
  </r>
  <r>
    <x v="7"/>
    <x v="5"/>
    <n v="51"/>
    <x v="0"/>
    <x v="0"/>
    <x v="1"/>
    <x v="2"/>
  </r>
  <r>
    <x v="8"/>
    <x v="5"/>
    <n v="51"/>
    <x v="0"/>
    <x v="0"/>
    <x v="1"/>
    <x v="2"/>
  </r>
  <r>
    <x v="9"/>
    <x v="5"/>
    <n v="9"/>
    <x v="0"/>
    <x v="0"/>
    <x v="1"/>
    <x v="2"/>
  </r>
  <r>
    <x v="10"/>
    <x v="5"/>
    <n v="9"/>
    <x v="0"/>
    <x v="0"/>
    <x v="1"/>
    <x v="2"/>
  </r>
  <r>
    <x v="11"/>
    <x v="5"/>
    <n v="0"/>
    <x v="0"/>
    <x v="0"/>
    <x v="1"/>
    <x v="2"/>
  </r>
  <r>
    <x v="12"/>
    <x v="5"/>
    <n v="0"/>
    <x v="0"/>
    <x v="0"/>
    <x v="1"/>
    <x v="2"/>
  </r>
  <r>
    <x v="13"/>
    <x v="5"/>
    <n v="0"/>
    <x v="0"/>
    <x v="0"/>
    <x v="1"/>
    <x v="2"/>
  </r>
  <r>
    <x v="14"/>
    <x v="5"/>
    <n v="0"/>
    <x v="0"/>
    <x v="0"/>
    <x v="1"/>
    <x v="2"/>
  </r>
  <r>
    <x v="15"/>
    <x v="5"/>
    <n v="0"/>
    <x v="0"/>
    <x v="0"/>
    <x v="1"/>
    <x v="2"/>
  </r>
  <r>
    <x v="0"/>
    <x v="6"/>
    <n v="232.5"/>
    <x v="0"/>
    <x v="0"/>
    <x v="1"/>
    <x v="2"/>
  </r>
  <r>
    <x v="1"/>
    <x v="6"/>
    <n v="1100"/>
    <x v="0"/>
    <x v="0"/>
    <x v="1"/>
    <x v="2"/>
  </r>
  <r>
    <x v="2"/>
    <x v="6"/>
    <n v="1100"/>
    <x v="0"/>
    <x v="0"/>
    <x v="1"/>
    <x v="2"/>
  </r>
  <r>
    <x v="3"/>
    <x v="6"/>
    <n v="0"/>
    <x v="0"/>
    <x v="0"/>
    <x v="1"/>
    <x v="2"/>
  </r>
  <r>
    <x v="4"/>
    <x v="6"/>
    <n v="0"/>
    <x v="0"/>
    <x v="0"/>
    <x v="1"/>
    <x v="2"/>
  </r>
  <r>
    <x v="5"/>
    <x v="6"/>
    <n v="0"/>
    <x v="0"/>
    <x v="0"/>
    <x v="1"/>
    <x v="2"/>
  </r>
  <r>
    <x v="6"/>
    <x v="6"/>
    <n v="0"/>
    <x v="0"/>
    <x v="0"/>
    <x v="1"/>
    <x v="2"/>
  </r>
  <r>
    <x v="7"/>
    <x v="6"/>
    <n v="0"/>
    <x v="0"/>
    <x v="0"/>
    <x v="1"/>
    <x v="2"/>
  </r>
  <r>
    <x v="8"/>
    <x v="6"/>
    <n v="0"/>
    <x v="0"/>
    <x v="0"/>
    <x v="1"/>
    <x v="2"/>
  </r>
  <r>
    <x v="9"/>
    <x v="6"/>
    <n v="0"/>
    <x v="0"/>
    <x v="0"/>
    <x v="1"/>
    <x v="2"/>
  </r>
  <r>
    <x v="10"/>
    <x v="6"/>
    <n v="0"/>
    <x v="0"/>
    <x v="0"/>
    <x v="1"/>
    <x v="2"/>
  </r>
  <r>
    <x v="11"/>
    <x v="6"/>
    <n v="0"/>
    <x v="0"/>
    <x v="0"/>
    <x v="1"/>
    <x v="2"/>
  </r>
  <r>
    <x v="12"/>
    <x v="6"/>
    <n v="0"/>
    <x v="0"/>
    <x v="0"/>
    <x v="1"/>
    <x v="2"/>
  </r>
  <r>
    <x v="13"/>
    <x v="6"/>
    <n v="0"/>
    <x v="0"/>
    <x v="0"/>
    <x v="1"/>
    <x v="2"/>
  </r>
  <r>
    <x v="14"/>
    <x v="6"/>
    <n v="0"/>
    <x v="0"/>
    <x v="0"/>
    <x v="1"/>
    <x v="2"/>
  </r>
  <r>
    <x v="15"/>
    <x v="6"/>
    <n v="0"/>
    <x v="0"/>
    <x v="0"/>
    <x v="1"/>
    <x v="2"/>
  </r>
  <r>
    <x v="0"/>
    <x v="7"/>
    <n v="14.85"/>
    <x v="0"/>
    <x v="0"/>
    <x v="1"/>
    <x v="2"/>
  </r>
  <r>
    <x v="1"/>
    <x v="7"/>
    <n v="0"/>
    <x v="0"/>
    <x v="0"/>
    <x v="1"/>
    <x v="2"/>
  </r>
  <r>
    <x v="2"/>
    <x v="7"/>
    <n v="0"/>
    <x v="0"/>
    <x v="0"/>
    <x v="1"/>
    <x v="2"/>
  </r>
  <r>
    <x v="3"/>
    <x v="7"/>
    <n v="0"/>
    <x v="0"/>
    <x v="0"/>
    <x v="1"/>
    <x v="2"/>
  </r>
  <r>
    <x v="4"/>
    <x v="7"/>
    <n v="0"/>
    <x v="0"/>
    <x v="0"/>
    <x v="1"/>
    <x v="2"/>
  </r>
  <r>
    <x v="5"/>
    <x v="7"/>
    <n v="0"/>
    <x v="0"/>
    <x v="0"/>
    <x v="1"/>
    <x v="2"/>
  </r>
  <r>
    <x v="6"/>
    <x v="7"/>
    <n v="0"/>
    <x v="0"/>
    <x v="0"/>
    <x v="1"/>
    <x v="2"/>
  </r>
  <r>
    <x v="7"/>
    <x v="7"/>
    <n v="0"/>
    <x v="0"/>
    <x v="0"/>
    <x v="1"/>
    <x v="2"/>
  </r>
  <r>
    <x v="8"/>
    <x v="7"/>
    <n v="0"/>
    <x v="0"/>
    <x v="0"/>
    <x v="1"/>
    <x v="2"/>
  </r>
  <r>
    <x v="9"/>
    <x v="7"/>
    <n v="0"/>
    <x v="0"/>
    <x v="0"/>
    <x v="1"/>
    <x v="2"/>
  </r>
  <r>
    <x v="10"/>
    <x v="7"/>
    <n v="0"/>
    <x v="0"/>
    <x v="0"/>
    <x v="1"/>
    <x v="2"/>
  </r>
  <r>
    <x v="11"/>
    <x v="7"/>
    <n v="0"/>
    <x v="0"/>
    <x v="0"/>
    <x v="1"/>
    <x v="2"/>
  </r>
  <r>
    <x v="12"/>
    <x v="7"/>
    <n v="0"/>
    <x v="0"/>
    <x v="0"/>
    <x v="1"/>
    <x v="2"/>
  </r>
  <r>
    <x v="13"/>
    <x v="7"/>
    <n v="0"/>
    <x v="0"/>
    <x v="0"/>
    <x v="1"/>
    <x v="2"/>
  </r>
  <r>
    <x v="14"/>
    <x v="7"/>
    <n v="0"/>
    <x v="0"/>
    <x v="0"/>
    <x v="1"/>
    <x v="2"/>
  </r>
  <r>
    <x v="15"/>
    <x v="7"/>
    <n v="0"/>
    <x v="0"/>
    <x v="0"/>
    <x v="1"/>
    <x v="2"/>
  </r>
  <r>
    <x v="0"/>
    <x v="8"/>
    <n v="36883"/>
    <x v="0"/>
    <x v="0"/>
    <x v="1"/>
    <x v="2"/>
  </r>
  <r>
    <x v="1"/>
    <x v="8"/>
    <n v="84614.2"/>
    <x v="0"/>
    <x v="0"/>
    <x v="1"/>
    <x v="2"/>
  </r>
  <r>
    <x v="2"/>
    <x v="8"/>
    <n v="84614.2"/>
    <x v="0"/>
    <x v="0"/>
    <x v="1"/>
    <x v="2"/>
  </r>
  <r>
    <x v="3"/>
    <x v="8"/>
    <n v="16824.3"/>
    <x v="0"/>
    <x v="0"/>
    <x v="1"/>
    <x v="2"/>
  </r>
  <r>
    <x v="4"/>
    <x v="8"/>
    <n v="16824.3"/>
    <x v="0"/>
    <x v="0"/>
    <x v="1"/>
    <x v="2"/>
  </r>
  <r>
    <x v="5"/>
    <x v="8"/>
    <n v="7265.73"/>
    <x v="0"/>
    <x v="0"/>
    <x v="1"/>
    <x v="2"/>
  </r>
  <r>
    <x v="6"/>
    <x v="8"/>
    <n v="7265.73"/>
    <x v="0"/>
    <x v="0"/>
    <x v="1"/>
    <x v="2"/>
  </r>
  <r>
    <x v="7"/>
    <x v="8"/>
    <n v="12837.1"/>
    <x v="0"/>
    <x v="0"/>
    <x v="1"/>
    <x v="2"/>
  </r>
  <r>
    <x v="8"/>
    <x v="8"/>
    <n v="12837.1"/>
    <x v="0"/>
    <x v="0"/>
    <x v="1"/>
    <x v="2"/>
  </r>
  <r>
    <x v="9"/>
    <x v="8"/>
    <n v="14265.2"/>
    <x v="0"/>
    <x v="0"/>
    <x v="1"/>
    <x v="2"/>
  </r>
  <r>
    <x v="10"/>
    <x v="8"/>
    <n v="14265.2"/>
    <x v="0"/>
    <x v="0"/>
    <x v="1"/>
    <x v="2"/>
  </r>
  <r>
    <x v="11"/>
    <x v="8"/>
    <n v="8655.4699999999993"/>
    <x v="0"/>
    <x v="0"/>
    <x v="1"/>
    <x v="2"/>
  </r>
  <r>
    <x v="12"/>
    <x v="8"/>
    <n v="8655.4699999999993"/>
    <x v="0"/>
    <x v="0"/>
    <x v="1"/>
    <x v="2"/>
  </r>
  <r>
    <x v="13"/>
    <x v="8"/>
    <n v="11012.9"/>
    <x v="0"/>
    <x v="0"/>
    <x v="1"/>
    <x v="2"/>
  </r>
  <r>
    <x v="14"/>
    <x v="8"/>
    <n v="11012.9"/>
    <x v="0"/>
    <x v="0"/>
    <x v="1"/>
    <x v="2"/>
  </r>
  <r>
    <x v="15"/>
    <x v="8"/>
    <n v="11012.9"/>
    <x v="0"/>
    <x v="0"/>
    <x v="1"/>
    <x v="2"/>
  </r>
  <r>
    <x v="0"/>
    <x v="9"/>
    <n v="32268.6"/>
    <x v="0"/>
    <x v="0"/>
    <x v="1"/>
    <x v="2"/>
  </r>
  <r>
    <x v="1"/>
    <x v="9"/>
    <n v="70365"/>
    <x v="0"/>
    <x v="0"/>
    <x v="1"/>
    <x v="2"/>
  </r>
  <r>
    <x v="2"/>
    <x v="9"/>
    <n v="70365"/>
    <x v="0"/>
    <x v="0"/>
    <x v="1"/>
    <x v="2"/>
  </r>
  <r>
    <x v="3"/>
    <x v="9"/>
    <n v="3497.57"/>
    <x v="0"/>
    <x v="0"/>
    <x v="1"/>
    <x v="2"/>
  </r>
  <r>
    <x v="4"/>
    <x v="9"/>
    <n v="3497.57"/>
    <x v="0"/>
    <x v="0"/>
    <x v="1"/>
    <x v="2"/>
  </r>
  <r>
    <x v="5"/>
    <x v="9"/>
    <n v="9407.81"/>
    <x v="0"/>
    <x v="0"/>
    <x v="1"/>
    <x v="2"/>
  </r>
  <r>
    <x v="6"/>
    <x v="9"/>
    <n v="9407.81"/>
    <x v="0"/>
    <x v="0"/>
    <x v="1"/>
    <x v="2"/>
  </r>
  <r>
    <x v="7"/>
    <x v="9"/>
    <n v="14036.4"/>
    <x v="0"/>
    <x v="0"/>
    <x v="1"/>
    <x v="2"/>
  </r>
  <r>
    <x v="8"/>
    <x v="9"/>
    <n v="14036.4"/>
    <x v="0"/>
    <x v="0"/>
    <x v="1"/>
    <x v="2"/>
  </r>
  <r>
    <x v="9"/>
    <x v="9"/>
    <n v="11855"/>
    <x v="0"/>
    <x v="0"/>
    <x v="1"/>
    <x v="2"/>
  </r>
  <r>
    <x v="10"/>
    <x v="9"/>
    <n v="11855"/>
    <x v="0"/>
    <x v="0"/>
    <x v="1"/>
    <x v="2"/>
  </r>
  <r>
    <x v="11"/>
    <x v="9"/>
    <n v="12096.8"/>
    <x v="0"/>
    <x v="0"/>
    <x v="1"/>
    <x v="2"/>
  </r>
  <r>
    <x v="12"/>
    <x v="9"/>
    <n v="12096.8"/>
    <x v="0"/>
    <x v="0"/>
    <x v="1"/>
    <x v="2"/>
  </r>
  <r>
    <x v="13"/>
    <x v="9"/>
    <n v="14821"/>
    <x v="0"/>
    <x v="0"/>
    <x v="1"/>
    <x v="2"/>
  </r>
  <r>
    <x v="14"/>
    <x v="9"/>
    <n v="14821"/>
    <x v="0"/>
    <x v="0"/>
    <x v="1"/>
    <x v="2"/>
  </r>
  <r>
    <x v="15"/>
    <x v="9"/>
    <n v="14821"/>
    <x v="0"/>
    <x v="0"/>
    <x v="1"/>
    <x v="2"/>
  </r>
  <r>
    <x v="0"/>
    <x v="1"/>
    <n v="102.45"/>
    <x v="2"/>
    <x v="0"/>
    <x v="1"/>
    <x v="0"/>
  </r>
  <r>
    <x v="1"/>
    <x v="1"/>
    <n v="9.5"/>
    <x v="2"/>
    <x v="0"/>
    <x v="1"/>
    <x v="0"/>
  </r>
  <r>
    <x v="2"/>
    <x v="1"/>
    <n v="9.5"/>
    <x v="2"/>
    <x v="0"/>
    <x v="1"/>
    <x v="0"/>
  </r>
  <r>
    <x v="3"/>
    <x v="1"/>
    <n v="0"/>
    <x v="2"/>
    <x v="0"/>
    <x v="1"/>
    <x v="0"/>
  </r>
  <r>
    <x v="4"/>
    <x v="1"/>
    <n v="0"/>
    <x v="2"/>
    <x v="0"/>
    <x v="1"/>
    <x v="0"/>
  </r>
  <r>
    <x v="5"/>
    <x v="1"/>
    <n v="0"/>
    <x v="2"/>
    <x v="0"/>
    <x v="1"/>
    <x v="0"/>
  </r>
  <r>
    <x v="6"/>
    <x v="1"/>
    <n v="0"/>
    <x v="2"/>
    <x v="0"/>
    <x v="1"/>
    <x v="0"/>
  </r>
  <r>
    <x v="7"/>
    <x v="1"/>
    <n v="0"/>
    <x v="2"/>
    <x v="0"/>
    <x v="1"/>
    <x v="0"/>
  </r>
  <r>
    <x v="8"/>
    <x v="1"/>
    <n v="0"/>
    <x v="2"/>
    <x v="0"/>
    <x v="1"/>
    <x v="0"/>
  </r>
  <r>
    <x v="9"/>
    <x v="1"/>
    <n v="0"/>
    <x v="2"/>
    <x v="0"/>
    <x v="1"/>
    <x v="0"/>
  </r>
  <r>
    <x v="10"/>
    <x v="1"/>
    <n v="0"/>
    <x v="2"/>
    <x v="0"/>
    <x v="1"/>
    <x v="0"/>
  </r>
  <r>
    <x v="11"/>
    <x v="1"/>
    <n v="0"/>
    <x v="2"/>
    <x v="0"/>
    <x v="1"/>
    <x v="0"/>
  </r>
  <r>
    <x v="12"/>
    <x v="1"/>
    <n v="0"/>
    <x v="2"/>
    <x v="0"/>
    <x v="1"/>
    <x v="0"/>
  </r>
  <r>
    <x v="13"/>
    <x v="1"/>
    <n v="0"/>
    <x v="2"/>
    <x v="0"/>
    <x v="1"/>
    <x v="0"/>
  </r>
  <r>
    <x v="14"/>
    <x v="1"/>
    <n v="0"/>
    <x v="2"/>
    <x v="0"/>
    <x v="1"/>
    <x v="0"/>
  </r>
  <r>
    <x v="15"/>
    <x v="1"/>
    <n v="0"/>
    <x v="2"/>
    <x v="0"/>
    <x v="1"/>
    <x v="0"/>
  </r>
  <r>
    <x v="0"/>
    <x v="2"/>
    <n v="0"/>
    <x v="2"/>
    <x v="0"/>
    <x v="1"/>
    <x v="0"/>
  </r>
  <r>
    <x v="1"/>
    <x v="2"/>
    <n v="0"/>
    <x v="2"/>
    <x v="0"/>
    <x v="1"/>
    <x v="0"/>
  </r>
  <r>
    <x v="2"/>
    <x v="2"/>
    <n v="0"/>
    <x v="2"/>
    <x v="0"/>
    <x v="1"/>
    <x v="0"/>
  </r>
  <r>
    <x v="3"/>
    <x v="2"/>
    <n v="0"/>
    <x v="2"/>
    <x v="0"/>
    <x v="1"/>
    <x v="0"/>
  </r>
  <r>
    <x v="4"/>
    <x v="2"/>
    <n v="0"/>
    <x v="2"/>
    <x v="0"/>
    <x v="1"/>
    <x v="0"/>
  </r>
  <r>
    <x v="5"/>
    <x v="2"/>
    <n v="0"/>
    <x v="2"/>
    <x v="0"/>
    <x v="1"/>
    <x v="0"/>
  </r>
  <r>
    <x v="6"/>
    <x v="2"/>
    <n v="0"/>
    <x v="2"/>
    <x v="0"/>
    <x v="1"/>
    <x v="0"/>
  </r>
  <r>
    <x v="7"/>
    <x v="2"/>
    <n v="0"/>
    <x v="2"/>
    <x v="0"/>
    <x v="1"/>
    <x v="0"/>
  </r>
  <r>
    <x v="8"/>
    <x v="2"/>
    <n v="0"/>
    <x v="2"/>
    <x v="0"/>
    <x v="1"/>
    <x v="0"/>
  </r>
  <r>
    <x v="9"/>
    <x v="2"/>
    <n v="0"/>
    <x v="2"/>
    <x v="0"/>
    <x v="1"/>
    <x v="0"/>
  </r>
  <r>
    <x v="10"/>
    <x v="2"/>
    <n v="0"/>
    <x v="2"/>
    <x v="0"/>
    <x v="1"/>
    <x v="0"/>
  </r>
  <r>
    <x v="11"/>
    <x v="2"/>
    <n v="0"/>
    <x v="2"/>
    <x v="0"/>
    <x v="1"/>
    <x v="0"/>
  </r>
  <r>
    <x v="12"/>
    <x v="2"/>
    <n v="0"/>
    <x v="2"/>
    <x v="0"/>
    <x v="1"/>
    <x v="0"/>
  </r>
  <r>
    <x v="13"/>
    <x v="2"/>
    <n v="0"/>
    <x v="2"/>
    <x v="0"/>
    <x v="1"/>
    <x v="0"/>
  </r>
  <r>
    <x v="14"/>
    <x v="2"/>
    <n v="0"/>
    <x v="2"/>
    <x v="0"/>
    <x v="1"/>
    <x v="0"/>
  </r>
  <r>
    <x v="15"/>
    <x v="2"/>
    <n v="0"/>
    <x v="2"/>
    <x v="0"/>
    <x v="1"/>
    <x v="0"/>
  </r>
  <r>
    <x v="0"/>
    <x v="3"/>
    <n v="15518.13"/>
    <x v="2"/>
    <x v="0"/>
    <x v="1"/>
    <x v="0"/>
  </r>
  <r>
    <x v="1"/>
    <x v="3"/>
    <n v="19857"/>
    <x v="2"/>
    <x v="0"/>
    <x v="1"/>
    <x v="0"/>
  </r>
  <r>
    <x v="2"/>
    <x v="3"/>
    <n v="19857"/>
    <x v="2"/>
    <x v="0"/>
    <x v="1"/>
    <x v="0"/>
  </r>
  <r>
    <x v="3"/>
    <x v="3"/>
    <n v="6437.6"/>
    <x v="2"/>
    <x v="0"/>
    <x v="1"/>
    <x v="0"/>
  </r>
  <r>
    <x v="4"/>
    <x v="3"/>
    <n v="6437.6"/>
    <x v="2"/>
    <x v="0"/>
    <x v="1"/>
    <x v="0"/>
  </r>
  <r>
    <x v="5"/>
    <x v="3"/>
    <n v="8008.04"/>
    <x v="2"/>
    <x v="0"/>
    <x v="1"/>
    <x v="0"/>
  </r>
  <r>
    <x v="6"/>
    <x v="3"/>
    <n v="8008.04"/>
    <x v="2"/>
    <x v="0"/>
    <x v="1"/>
    <x v="0"/>
  </r>
  <r>
    <x v="7"/>
    <x v="3"/>
    <n v="3355.97"/>
    <x v="2"/>
    <x v="0"/>
    <x v="1"/>
    <x v="0"/>
  </r>
  <r>
    <x v="8"/>
    <x v="3"/>
    <n v="3355.97"/>
    <x v="2"/>
    <x v="0"/>
    <x v="1"/>
    <x v="0"/>
  </r>
  <r>
    <x v="9"/>
    <x v="3"/>
    <n v="2406.2399999999998"/>
    <x v="2"/>
    <x v="0"/>
    <x v="1"/>
    <x v="0"/>
  </r>
  <r>
    <x v="10"/>
    <x v="3"/>
    <n v="2406.2399999999998"/>
    <x v="2"/>
    <x v="0"/>
    <x v="1"/>
    <x v="0"/>
  </r>
  <r>
    <x v="11"/>
    <x v="3"/>
    <n v="3875.51"/>
    <x v="2"/>
    <x v="0"/>
    <x v="1"/>
    <x v="0"/>
  </r>
  <r>
    <x v="12"/>
    <x v="3"/>
    <n v="3875.51"/>
    <x v="2"/>
    <x v="0"/>
    <x v="1"/>
    <x v="0"/>
  </r>
  <r>
    <x v="13"/>
    <x v="3"/>
    <n v="1785.21"/>
    <x v="2"/>
    <x v="0"/>
    <x v="1"/>
    <x v="0"/>
  </r>
  <r>
    <x v="14"/>
    <x v="3"/>
    <n v="1785.21"/>
    <x v="2"/>
    <x v="0"/>
    <x v="1"/>
    <x v="0"/>
  </r>
  <r>
    <x v="15"/>
    <x v="3"/>
    <n v="1785.21"/>
    <x v="2"/>
    <x v="0"/>
    <x v="1"/>
    <x v="0"/>
  </r>
  <r>
    <x v="0"/>
    <x v="4"/>
    <n v="0"/>
    <x v="2"/>
    <x v="0"/>
    <x v="1"/>
    <x v="0"/>
  </r>
  <r>
    <x v="1"/>
    <x v="4"/>
    <n v="0"/>
    <x v="2"/>
    <x v="0"/>
    <x v="1"/>
    <x v="0"/>
  </r>
  <r>
    <x v="2"/>
    <x v="4"/>
    <n v="0"/>
    <x v="2"/>
    <x v="0"/>
    <x v="1"/>
    <x v="0"/>
  </r>
  <r>
    <x v="3"/>
    <x v="4"/>
    <n v="0"/>
    <x v="2"/>
    <x v="0"/>
    <x v="1"/>
    <x v="0"/>
  </r>
  <r>
    <x v="4"/>
    <x v="4"/>
    <n v="0"/>
    <x v="2"/>
    <x v="0"/>
    <x v="1"/>
    <x v="0"/>
  </r>
  <r>
    <x v="5"/>
    <x v="4"/>
    <n v="0"/>
    <x v="2"/>
    <x v="0"/>
    <x v="1"/>
    <x v="0"/>
  </r>
  <r>
    <x v="6"/>
    <x v="4"/>
    <n v="0"/>
    <x v="2"/>
    <x v="0"/>
    <x v="1"/>
    <x v="0"/>
  </r>
  <r>
    <x v="7"/>
    <x v="4"/>
    <n v="0"/>
    <x v="2"/>
    <x v="0"/>
    <x v="1"/>
    <x v="0"/>
  </r>
  <r>
    <x v="8"/>
    <x v="4"/>
    <n v="0"/>
    <x v="2"/>
    <x v="0"/>
    <x v="1"/>
    <x v="0"/>
  </r>
  <r>
    <x v="9"/>
    <x v="4"/>
    <n v="0"/>
    <x v="2"/>
    <x v="0"/>
    <x v="1"/>
    <x v="0"/>
  </r>
  <r>
    <x v="10"/>
    <x v="4"/>
    <n v="0"/>
    <x v="2"/>
    <x v="0"/>
    <x v="1"/>
    <x v="0"/>
  </r>
  <r>
    <x v="11"/>
    <x v="4"/>
    <n v="0"/>
    <x v="2"/>
    <x v="0"/>
    <x v="1"/>
    <x v="0"/>
  </r>
  <r>
    <x v="12"/>
    <x v="4"/>
    <n v="0"/>
    <x v="2"/>
    <x v="0"/>
    <x v="1"/>
    <x v="0"/>
  </r>
  <r>
    <x v="13"/>
    <x v="4"/>
    <n v="0"/>
    <x v="2"/>
    <x v="0"/>
    <x v="1"/>
    <x v="0"/>
  </r>
  <r>
    <x v="14"/>
    <x v="4"/>
    <n v="0"/>
    <x v="2"/>
    <x v="0"/>
    <x v="1"/>
    <x v="0"/>
  </r>
  <r>
    <x v="15"/>
    <x v="4"/>
    <n v="0"/>
    <x v="2"/>
    <x v="0"/>
    <x v="1"/>
    <x v="0"/>
  </r>
  <r>
    <x v="0"/>
    <x v="5"/>
    <n v="1784.36"/>
    <x v="2"/>
    <x v="0"/>
    <x v="1"/>
    <x v="0"/>
  </r>
  <r>
    <x v="1"/>
    <x v="5"/>
    <n v="0"/>
    <x v="2"/>
    <x v="0"/>
    <x v="1"/>
    <x v="0"/>
  </r>
  <r>
    <x v="2"/>
    <x v="5"/>
    <n v="0"/>
    <x v="2"/>
    <x v="0"/>
    <x v="1"/>
    <x v="0"/>
  </r>
  <r>
    <x v="3"/>
    <x v="5"/>
    <n v="4"/>
    <x v="2"/>
    <x v="0"/>
    <x v="1"/>
    <x v="0"/>
  </r>
  <r>
    <x v="4"/>
    <x v="5"/>
    <n v="4"/>
    <x v="2"/>
    <x v="0"/>
    <x v="1"/>
    <x v="0"/>
  </r>
  <r>
    <x v="5"/>
    <x v="5"/>
    <n v="72.5"/>
    <x v="2"/>
    <x v="0"/>
    <x v="1"/>
    <x v="0"/>
  </r>
  <r>
    <x v="6"/>
    <x v="5"/>
    <n v="72.5"/>
    <x v="2"/>
    <x v="0"/>
    <x v="1"/>
    <x v="0"/>
  </r>
  <r>
    <x v="7"/>
    <x v="5"/>
    <n v="0"/>
    <x v="2"/>
    <x v="0"/>
    <x v="1"/>
    <x v="0"/>
  </r>
  <r>
    <x v="8"/>
    <x v="5"/>
    <n v="0"/>
    <x v="2"/>
    <x v="0"/>
    <x v="1"/>
    <x v="0"/>
  </r>
  <r>
    <x v="9"/>
    <x v="5"/>
    <n v="0"/>
    <x v="2"/>
    <x v="0"/>
    <x v="1"/>
    <x v="0"/>
  </r>
  <r>
    <x v="10"/>
    <x v="5"/>
    <n v="0"/>
    <x v="2"/>
    <x v="0"/>
    <x v="1"/>
    <x v="0"/>
  </r>
  <r>
    <x v="11"/>
    <x v="5"/>
    <n v="0"/>
    <x v="2"/>
    <x v="0"/>
    <x v="1"/>
    <x v="0"/>
  </r>
  <r>
    <x v="12"/>
    <x v="5"/>
    <n v="0"/>
    <x v="2"/>
    <x v="0"/>
    <x v="1"/>
    <x v="0"/>
  </r>
  <r>
    <x v="13"/>
    <x v="5"/>
    <n v="0"/>
    <x v="2"/>
    <x v="0"/>
    <x v="1"/>
    <x v="0"/>
  </r>
  <r>
    <x v="14"/>
    <x v="5"/>
    <n v="0"/>
    <x v="2"/>
    <x v="0"/>
    <x v="1"/>
    <x v="0"/>
  </r>
  <r>
    <x v="15"/>
    <x v="5"/>
    <n v="0"/>
    <x v="2"/>
    <x v="0"/>
    <x v="1"/>
    <x v="0"/>
  </r>
  <r>
    <x v="0"/>
    <x v="6"/>
    <n v="232.5"/>
    <x v="2"/>
    <x v="0"/>
    <x v="1"/>
    <x v="0"/>
  </r>
  <r>
    <x v="1"/>
    <x v="6"/>
    <n v="1100"/>
    <x v="2"/>
    <x v="0"/>
    <x v="1"/>
    <x v="0"/>
  </r>
  <r>
    <x v="2"/>
    <x v="6"/>
    <n v="1100"/>
    <x v="2"/>
    <x v="0"/>
    <x v="1"/>
    <x v="0"/>
  </r>
  <r>
    <x v="3"/>
    <x v="6"/>
    <n v="0"/>
    <x v="2"/>
    <x v="0"/>
    <x v="1"/>
    <x v="0"/>
  </r>
  <r>
    <x v="4"/>
    <x v="6"/>
    <n v="0"/>
    <x v="2"/>
    <x v="0"/>
    <x v="1"/>
    <x v="0"/>
  </r>
  <r>
    <x v="5"/>
    <x v="6"/>
    <n v="0"/>
    <x v="2"/>
    <x v="0"/>
    <x v="1"/>
    <x v="0"/>
  </r>
  <r>
    <x v="6"/>
    <x v="6"/>
    <n v="0"/>
    <x v="2"/>
    <x v="0"/>
    <x v="1"/>
    <x v="0"/>
  </r>
  <r>
    <x v="7"/>
    <x v="6"/>
    <n v="0"/>
    <x v="2"/>
    <x v="0"/>
    <x v="1"/>
    <x v="0"/>
  </r>
  <r>
    <x v="8"/>
    <x v="6"/>
    <n v="0"/>
    <x v="2"/>
    <x v="0"/>
    <x v="1"/>
    <x v="0"/>
  </r>
  <r>
    <x v="9"/>
    <x v="6"/>
    <n v="0"/>
    <x v="2"/>
    <x v="0"/>
    <x v="1"/>
    <x v="0"/>
  </r>
  <r>
    <x v="10"/>
    <x v="6"/>
    <n v="0"/>
    <x v="2"/>
    <x v="0"/>
    <x v="1"/>
    <x v="0"/>
  </r>
  <r>
    <x v="11"/>
    <x v="6"/>
    <n v="0"/>
    <x v="2"/>
    <x v="0"/>
    <x v="1"/>
    <x v="0"/>
  </r>
  <r>
    <x v="12"/>
    <x v="6"/>
    <n v="0"/>
    <x v="2"/>
    <x v="0"/>
    <x v="1"/>
    <x v="0"/>
  </r>
  <r>
    <x v="13"/>
    <x v="6"/>
    <n v="0"/>
    <x v="2"/>
    <x v="0"/>
    <x v="1"/>
    <x v="0"/>
  </r>
  <r>
    <x v="14"/>
    <x v="6"/>
    <n v="0"/>
    <x v="2"/>
    <x v="0"/>
    <x v="1"/>
    <x v="0"/>
  </r>
  <r>
    <x v="15"/>
    <x v="6"/>
    <n v="0"/>
    <x v="2"/>
    <x v="0"/>
    <x v="1"/>
    <x v="0"/>
  </r>
  <r>
    <x v="0"/>
    <x v="7"/>
    <n v="14.85"/>
    <x v="2"/>
    <x v="0"/>
    <x v="1"/>
    <x v="0"/>
  </r>
  <r>
    <x v="1"/>
    <x v="7"/>
    <n v="0"/>
    <x v="2"/>
    <x v="0"/>
    <x v="1"/>
    <x v="0"/>
  </r>
  <r>
    <x v="2"/>
    <x v="7"/>
    <n v="0"/>
    <x v="2"/>
    <x v="0"/>
    <x v="1"/>
    <x v="0"/>
  </r>
  <r>
    <x v="3"/>
    <x v="7"/>
    <n v="0"/>
    <x v="2"/>
    <x v="0"/>
    <x v="1"/>
    <x v="0"/>
  </r>
  <r>
    <x v="4"/>
    <x v="7"/>
    <n v="0"/>
    <x v="2"/>
    <x v="0"/>
    <x v="1"/>
    <x v="0"/>
  </r>
  <r>
    <x v="5"/>
    <x v="7"/>
    <n v="0"/>
    <x v="2"/>
    <x v="0"/>
    <x v="1"/>
    <x v="0"/>
  </r>
  <r>
    <x v="6"/>
    <x v="7"/>
    <n v="0"/>
    <x v="2"/>
    <x v="0"/>
    <x v="1"/>
    <x v="0"/>
  </r>
  <r>
    <x v="7"/>
    <x v="7"/>
    <n v="0"/>
    <x v="2"/>
    <x v="0"/>
    <x v="1"/>
    <x v="0"/>
  </r>
  <r>
    <x v="8"/>
    <x v="7"/>
    <n v="0"/>
    <x v="2"/>
    <x v="0"/>
    <x v="1"/>
    <x v="0"/>
  </r>
  <r>
    <x v="9"/>
    <x v="7"/>
    <n v="0"/>
    <x v="2"/>
    <x v="0"/>
    <x v="1"/>
    <x v="0"/>
  </r>
  <r>
    <x v="10"/>
    <x v="7"/>
    <n v="0"/>
    <x v="2"/>
    <x v="0"/>
    <x v="1"/>
    <x v="0"/>
  </r>
  <r>
    <x v="11"/>
    <x v="7"/>
    <n v="0"/>
    <x v="2"/>
    <x v="0"/>
    <x v="1"/>
    <x v="0"/>
  </r>
  <r>
    <x v="12"/>
    <x v="7"/>
    <n v="0"/>
    <x v="2"/>
    <x v="0"/>
    <x v="1"/>
    <x v="0"/>
  </r>
  <r>
    <x v="13"/>
    <x v="7"/>
    <n v="0"/>
    <x v="2"/>
    <x v="0"/>
    <x v="1"/>
    <x v="0"/>
  </r>
  <r>
    <x v="14"/>
    <x v="7"/>
    <n v="0"/>
    <x v="2"/>
    <x v="0"/>
    <x v="1"/>
    <x v="0"/>
  </r>
  <r>
    <x v="15"/>
    <x v="7"/>
    <n v="0"/>
    <x v="2"/>
    <x v="0"/>
    <x v="1"/>
    <x v="0"/>
  </r>
  <r>
    <x v="0"/>
    <x v="8"/>
    <n v="10229.4"/>
    <x v="2"/>
    <x v="0"/>
    <x v="1"/>
    <x v="0"/>
  </r>
  <r>
    <x v="1"/>
    <x v="8"/>
    <n v="2418.86"/>
    <x v="2"/>
    <x v="0"/>
    <x v="1"/>
    <x v="0"/>
  </r>
  <r>
    <x v="2"/>
    <x v="8"/>
    <n v="2418.86"/>
    <x v="2"/>
    <x v="0"/>
    <x v="1"/>
    <x v="0"/>
  </r>
  <r>
    <x v="3"/>
    <x v="8"/>
    <n v="4793.1899999999996"/>
    <x v="2"/>
    <x v="0"/>
    <x v="1"/>
    <x v="0"/>
  </r>
  <r>
    <x v="4"/>
    <x v="8"/>
    <n v="4793.1899999999996"/>
    <x v="2"/>
    <x v="0"/>
    <x v="1"/>
    <x v="0"/>
  </r>
  <r>
    <x v="5"/>
    <x v="8"/>
    <n v="8494.65"/>
    <x v="2"/>
    <x v="0"/>
    <x v="1"/>
    <x v="0"/>
  </r>
  <r>
    <x v="6"/>
    <x v="8"/>
    <n v="8494.65"/>
    <x v="2"/>
    <x v="0"/>
    <x v="1"/>
    <x v="0"/>
  </r>
  <r>
    <x v="7"/>
    <x v="8"/>
    <n v="10472.5"/>
    <x v="2"/>
    <x v="0"/>
    <x v="1"/>
    <x v="0"/>
  </r>
  <r>
    <x v="8"/>
    <x v="8"/>
    <n v="10472.5"/>
    <x v="2"/>
    <x v="0"/>
    <x v="1"/>
    <x v="0"/>
  </r>
  <r>
    <x v="9"/>
    <x v="8"/>
    <n v="24660.799999999999"/>
    <x v="2"/>
    <x v="0"/>
    <x v="1"/>
    <x v="0"/>
  </r>
  <r>
    <x v="10"/>
    <x v="8"/>
    <n v="24660.799999999999"/>
    <x v="2"/>
    <x v="0"/>
    <x v="1"/>
    <x v="0"/>
  </r>
  <r>
    <x v="11"/>
    <x v="8"/>
    <n v="12268.1"/>
    <x v="2"/>
    <x v="0"/>
    <x v="1"/>
    <x v="0"/>
  </r>
  <r>
    <x v="12"/>
    <x v="8"/>
    <n v="12268.1"/>
    <x v="2"/>
    <x v="0"/>
    <x v="1"/>
    <x v="0"/>
  </r>
  <r>
    <x v="13"/>
    <x v="8"/>
    <n v="18888.2"/>
    <x v="2"/>
    <x v="0"/>
    <x v="1"/>
    <x v="0"/>
  </r>
  <r>
    <x v="14"/>
    <x v="8"/>
    <n v="18888.2"/>
    <x v="2"/>
    <x v="0"/>
    <x v="1"/>
    <x v="0"/>
  </r>
  <r>
    <x v="15"/>
    <x v="8"/>
    <n v="18888.2"/>
    <x v="2"/>
    <x v="0"/>
    <x v="1"/>
    <x v="0"/>
  </r>
  <r>
    <x v="0"/>
    <x v="9"/>
    <n v="8659.2800000000007"/>
    <x v="2"/>
    <x v="0"/>
    <x v="1"/>
    <x v="0"/>
  </r>
  <r>
    <x v="1"/>
    <x v="9"/>
    <n v="1550.72"/>
    <x v="2"/>
    <x v="0"/>
    <x v="1"/>
    <x v="0"/>
  </r>
  <r>
    <x v="2"/>
    <x v="9"/>
    <n v="1550.72"/>
    <x v="2"/>
    <x v="0"/>
    <x v="1"/>
    <x v="0"/>
  </r>
  <r>
    <x v="3"/>
    <x v="9"/>
    <n v="2550.5500000000002"/>
    <x v="2"/>
    <x v="0"/>
    <x v="1"/>
    <x v="0"/>
  </r>
  <r>
    <x v="4"/>
    <x v="9"/>
    <n v="2550.5500000000002"/>
    <x v="2"/>
    <x v="0"/>
    <x v="1"/>
    <x v="0"/>
  </r>
  <r>
    <x v="5"/>
    <x v="9"/>
    <n v="2467.7399999999998"/>
    <x v="2"/>
    <x v="0"/>
    <x v="1"/>
    <x v="0"/>
  </r>
  <r>
    <x v="6"/>
    <x v="9"/>
    <n v="2467.7399999999998"/>
    <x v="2"/>
    <x v="0"/>
    <x v="1"/>
    <x v="0"/>
  </r>
  <r>
    <x v="7"/>
    <x v="9"/>
    <n v="2230.04"/>
    <x v="2"/>
    <x v="0"/>
    <x v="1"/>
    <x v="0"/>
  </r>
  <r>
    <x v="8"/>
    <x v="9"/>
    <n v="2230.04"/>
    <x v="2"/>
    <x v="0"/>
    <x v="1"/>
    <x v="0"/>
  </r>
  <r>
    <x v="9"/>
    <x v="9"/>
    <n v="4196.8999999999996"/>
    <x v="2"/>
    <x v="0"/>
    <x v="1"/>
    <x v="0"/>
  </r>
  <r>
    <x v="10"/>
    <x v="9"/>
    <n v="4196.8999999999996"/>
    <x v="2"/>
    <x v="0"/>
    <x v="1"/>
    <x v="0"/>
  </r>
  <r>
    <x v="11"/>
    <x v="9"/>
    <n v="1016.05"/>
    <x v="2"/>
    <x v="0"/>
    <x v="1"/>
    <x v="0"/>
  </r>
  <r>
    <x v="12"/>
    <x v="9"/>
    <n v="1016.05"/>
    <x v="2"/>
    <x v="0"/>
    <x v="1"/>
    <x v="0"/>
  </r>
  <r>
    <x v="13"/>
    <x v="9"/>
    <n v="1354.25"/>
    <x v="2"/>
    <x v="0"/>
    <x v="1"/>
    <x v="0"/>
  </r>
  <r>
    <x v="14"/>
    <x v="9"/>
    <n v="1354.25"/>
    <x v="2"/>
    <x v="0"/>
    <x v="1"/>
    <x v="0"/>
  </r>
  <r>
    <x v="15"/>
    <x v="9"/>
    <n v="1354.25"/>
    <x v="2"/>
    <x v="0"/>
    <x v="1"/>
    <x v="0"/>
  </r>
  <r>
    <x v="0"/>
    <x v="1"/>
    <n v="102.45"/>
    <x v="2"/>
    <x v="0"/>
    <x v="1"/>
    <x v="1"/>
  </r>
  <r>
    <x v="1"/>
    <x v="1"/>
    <n v="9.5"/>
    <x v="2"/>
    <x v="0"/>
    <x v="1"/>
    <x v="1"/>
  </r>
  <r>
    <x v="2"/>
    <x v="1"/>
    <n v="9.5"/>
    <x v="2"/>
    <x v="0"/>
    <x v="1"/>
    <x v="1"/>
  </r>
  <r>
    <x v="3"/>
    <x v="1"/>
    <n v="0"/>
    <x v="2"/>
    <x v="0"/>
    <x v="1"/>
    <x v="1"/>
  </r>
  <r>
    <x v="4"/>
    <x v="1"/>
    <n v="0"/>
    <x v="2"/>
    <x v="0"/>
    <x v="1"/>
    <x v="1"/>
  </r>
  <r>
    <x v="5"/>
    <x v="1"/>
    <n v="0"/>
    <x v="2"/>
    <x v="0"/>
    <x v="1"/>
    <x v="1"/>
  </r>
  <r>
    <x v="6"/>
    <x v="1"/>
    <n v="0"/>
    <x v="2"/>
    <x v="0"/>
    <x v="1"/>
    <x v="1"/>
  </r>
  <r>
    <x v="7"/>
    <x v="1"/>
    <n v="0"/>
    <x v="2"/>
    <x v="0"/>
    <x v="1"/>
    <x v="1"/>
  </r>
  <r>
    <x v="8"/>
    <x v="1"/>
    <n v="0"/>
    <x v="2"/>
    <x v="0"/>
    <x v="1"/>
    <x v="1"/>
  </r>
  <r>
    <x v="9"/>
    <x v="1"/>
    <n v="0"/>
    <x v="2"/>
    <x v="0"/>
    <x v="1"/>
    <x v="1"/>
  </r>
  <r>
    <x v="10"/>
    <x v="1"/>
    <n v="0"/>
    <x v="2"/>
    <x v="0"/>
    <x v="1"/>
    <x v="1"/>
  </r>
  <r>
    <x v="11"/>
    <x v="1"/>
    <n v="0"/>
    <x v="2"/>
    <x v="0"/>
    <x v="1"/>
    <x v="1"/>
  </r>
  <r>
    <x v="12"/>
    <x v="1"/>
    <n v="0"/>
    <x v="2"/>
    <x v="0"/>
    <x v="1"/>
    <x v="1"/>
  </r>
  <r>
    <x v="13"/>
    <x v="1"/>
    <n v="0"/>
    <x v="2"/>
    <x v="0"/>
    <x v="1"/>
    <x v="1"/>
  </r>
  <r>
    <x v="14"/>
    <x v="1"/>
    <n v="0"/>
    <x v="2"/>
    <x v="0"/>
    <x v="1"/>
    <x v="1"/>
  </r>
  <r>
    <x v="15"/>
    <x v="1"/>
    <n v="0"/>
    <x v="2"/>
    <x v="0"/>
    <x v="1"/>
    <x v="1"/>
  </r>
  <r>
    <x v="0"/>
    <x v="2"/>
    <n v="0"/>
    <x v="2"/>
    <x v="0"/>
    <x v="1"/>
    <x v="1"/>
  </r>
  <r>
    <x v="1"/>
    <x v="2"/>
    <n v="0"/>
    <x v="2"/>
    <x v="0"/>
    <x v="1"/>
    <x v="1"/>
  </r>
  <r>
    <x v="2"/>
    <x v="2"/>
    <n v="0"/>
    <x v="2"/>
    <x v="0"/>
    <x v="1"/>
    <x v="1"/>
  </r>
  <r>
    <x v="3"/>
    <x v="2"/>
    <n v="0"/>
    <x v="2"/>
    <x v="0"/>
    <x v="1"/>
    <x v="1"/>
  </r>
  <r>
    <x v="4"/>
    <x v="2"/>
    <n v="0"/>
    <x v="2"/>
    <x v="0"/>
    <x v="1"/>
    <x v="1"/>
  </r>
  <r>
    <x v="5"/>
    <x v="2"/>
    <n v="0"/>
    <x v="2"/>
    <x v="0"/>
    <x v="1"/>
    <x v="1"/>
  </r>
  <r>
    <x v="6"/>
    <x v="2"/>
    <n v="0"/>
    <x v="2"/>
    <x v="0"/>
    <x v="1"/>
    <x v="1"/>
  </r>
  <r>
    <x v="7"/>
    <x v="2"/>
    <n v="0"/>
    <x v="2"/>
    <x v="0"/>
    <x v="1"/>
    <x v="1"/>
  </r>
  <r>
    <x v="8"/>
    <x v="2"/>
    <n v="0"/>
    <x v="2"/>
    <x v="0"/>
    <x v="1"/>
    <x v="1"/>
  </r>
  <r>
    <x v="9"/>
    <x v="2"/>
    <n v="0"/>
    <x v="2"/>
    <x v="0"/>
    <x v="1"/>
    <x v="1"/>
  </r>
  <r>
    <x v="10"/>
    <x v="2"/>
    <n v="0"/>
    <x v="2"/>
    <x v="0"/>
    <x v="1"/>
    <x v="1"/>
  </r>
  <r>
    <x v="11"/>
    <x v="2"/>
    <n v="0"/>
    <x v="2"/>
    <x v="0"/>
    <x v="1"/>
    <x v="1"/>
  </r>
  <r>
    <x v="12"/>
    <x v="2"/>
    <n v="0"/>
    <x v="2"/>
    <x v="0"/>
    <x v="1"/>
    <x v="1"/>
  </r>
  <r>
    <x v="13"/>
    <x v="2"/>
    <n v="0"/>
    <x v="2"/>
    <x v="0"/>
    <x v="1"/>
    <x v="1"/>
  </r>
  <r>
    <x v="14"/>
    <x v="2"/>
    <n v="0"/>
    <x v="2"/>
    <x v="0"/>
    <x v="1"/>
    <x v="1"/>
  </r>
  <r>
    <x v="15"/>
    <x v="2"/>
    <n v="0"/>
    <x v="2"/>
    <x v="0"/>
    <x v="1"/>
    <x v="1"/>
  </r>
  <r>
    <x v="0"/>
    <x v="3"/>
    <n v="15599.93"/>
    <x v="2"/>
    <x v="0"/>
    <x v="1"/>
    <x v="1"/>
  </r>
  <r>
    <x v="1"/>
    <x v="3"/>
    <n v="19940.7"/>
    <x v="2"/>
    <x v="0"/>
    <x v="1"/>
    <x v="1"/>
  </r>
  <r>
    <x v="2"/>
    <x v="3"/>
    <n v="19940.7"/>
    <x v="2"/>
    <x v="0"/>
    <x v="1"/>
    <x v="1"/>
  </r>
  <r>
    <x v="3"/>
    <x v="3"/>
    <n v="6235.96"/>
    <x v="2"/>
    <x v="0"/>
    <x v="1"/>
    <x v="1"/>
  </r>
  <r>
    <x v="4"/>
    <x v="3"/>
    <n v="6235.96"/>
    <x v="2"/>
    <x v="0"/>
    <x v="1"/>
    <x v="1"/>
  </r>
  <r>
    <x v="5"/>
    <x v="3"/>
    <n v="9261.0499999999993"/>
    <x v="2"/>
    <x v="0"/>
    <x v="1"/>
    <x v="1"/>
  </r>
  <r>
    <x v="6"/>
    <x v="3"/>
    <n v="9261.0499999999993"/>
    <x v="2"/>
    <x v="0"/>
    <x v="1"/>
    <x v="1"/>
  </r>
  <r>
    <x v="7"/>
    <x v="3"/>
    <n v="5804.57"/>
    <x v="2"/>
    <x v="0"/>
    <x v="1"/>
    <x v="1"/>
  </r>
  <r>
    <x v="8"/>
    <x v="3"/>
    <n v="5804.57"/>
    <x v="2"/>
    <x v="0"/>
    <x v="1"/>
    <x v="1"/>
  </r>
  <r>
    <x v="9"/>
    <x v="3"/>
    <n v="4514.2700000000004"/>
    <x v="2"/>
    <x v="0"/>
    <x v="1"/>
    <x v="1"/>
  </r>
  <r>
    <x v="10"/>
    <x v="3"/>
    <n v="4514.2700000000004"/>
    <x v="2"/>
    <x v="0"/>
    <x v="1"/>
    <x v="1"/>
  </r>
  <r>
    <x v="11"/>
    <x v="3"/>
    <n v="9220.8799999999992"/>
    <x v="2"/>
    <x v="0"/>
    <x v="1"/>
    <x v="1"/>
  </r>
  <r>
    <x v="12"/>
    <x v="3"/>
    <n v="9220.8799999999992"/>
    <x v="2"/>
    <x v="0"/>
    <x v="1"/>
    <x v="1"/>
  </r>
  <r>
    <x v="13"/>
    <x v="3"/>
    <n v="8492.77"/>
    <x v="2"/>
    <x v="0"/>
    <x v="1"/>
    <x v="1"/>
  </r>
  <r>
    <x v="14"/>
    <x v="3"/>
    <n v="8492.77"/>
    <x v="2"/>
    <x v="0"/>
    <x v="1"/>
    <x v="1"/>
  </r>
  <r>
    <x v="15"/>
    <x v="3"/>
    <n v="8492.77"/>
    <x v="2"/>
    <x v="0"/>
    <x v="1"/>
    <x v="1"/>
  </r>
  <r>
    <x v="0"/>
    <x v="4"/>
    <n v="0"/>
    <x v="2"/>
    <x v="0"/>
    <x v="1"/>
    <x v="1"/>
  </r>
  <r>
    <x v="1"/>
    <x v="4"/>
    <n v="0"/>
    <x v="2"/>
    <x v="0"/>
    <x v="1"/>
    <x v="1"/>
  </r>
  <r>
    <x v="2"/>
    <x v="4"/>
    <n v="0"/>
    <x v="2"/>
    <x v="0"/>
    <x v="1"/>
    <x v="1"/>
  </r>
  <r>
    <x v="3"/>
    <x v="4"/>
    <n v="0"/>
    <x v="2"/>
    <x v="0"/>
    <x v="1"/>
    <x v="1"/>
  </r>
  <r>
    <x v="4"/>
    <x v="4"/>
    <n v="0"/>
    <x v="2"/>
    <x v="0"/>
    <x v="1"/>
    <x v="1"/>
  </r>
  <r>
    <x v="5"/>
    <x v="4"/>
    <n v="0"/>
    <x v="2"/>
    <x v="0"/>
    <x v="1"/>
    <x v="1"/>
  </r>
  <r>
    <x v="6"/>
    <x v="4"/>
    <n v="0"/>
    <x v="2"/>
    <x v="0"/>
    <x v="1"/>
    <x v="1"/>
  </r>
  <r>
    <x v="7"/>
    <x v="4"/>
    <n v="0"/>
    <x v="2"/>
    <x v="0"/>
    <x v="1"/>
    <x v="1"/>
  </r>
  <r>
    <x v="8"/>
    <x v="4"/>
    <n v="0"/>
    <x v="2"/>
    <x v="0"/>
    <x v="1"/>
    <x v="1"/>
  </r>
  <r>
    <x v="9"/>
    <x v="4"/>
    <n v="0"/>
    <x v="2"/>
    <x v="0"/>
    <x v="1"/>
    <x v="1"/>
  </r>
  <r>
    <x v="10"/>
    <x v="4"/>
    <n v="0"/>
    <x v="2"/>
    <x v="0"/>
    <x v="1"/>
    <x v="1"/>
  </r>
  <r>
    <x v="11"/>
    <x v="4"/>
    <n v="0"/>
    <x v="2"/>
    <x v="0"/>
    <x v="1"/>
    <x v="1"/>
  </r>
  <r>
    <x v="12"/>
    <x v="4"/>
    <n v="0"/>
    <x v="2"/>
    <x v="0"/>
    <x v="1"/>
    <x v="1"/>
  </r>
  <r>
    <x v="13"/>
    <x v="4"/>
    <n v="0"/>
    <x v="2"/>
    <x v="0"/>
    <x v="1"/>
    <x v="1"/>
  </r>
  <r>
    <x v="14"/>
    <x v="4"/>
    <n v="0"/>
    <x v="2"/>
    <x v="0"/>
    <x v="1"/>
    <x v="1"/>
  </r>
  <r>
    <x v="15"/>
    <x v="4"/>
    <n v="0"/>
    <x v="2"/>
    <x v="0"/>
    <x v="1"/>
    <x v="1"/>
  </r>
  <r>
    <x v="0"/>
    <x v="5"/>
    <n v="1789.36"/>
    <x v="2"/>
    <x v="0"/>
    <x v="1"/>
    <x v="1"/>
  </r>
  <r>
    <x v="1"/>
    <x v="5"/>
    <n v="53.5"/>
    <x v="2"/>
    <x v="0"/>
    <x v="1"/>
    <x v="1"/>
  </r>
  <r>
    <x v="2"/>
    <x v="5"/>
    <n v="53.5"/>
    <x v="2"/>
    <x v="0"/>
    <x v="1"/>
    <x v="1"/>
  </r>
  <r>
    <x v="3"/>
    <x v="5"/>
    <n v="53.5"/>
    <x v="2"/>
    <x v="0"/>
    <x v="1"/>
    <x v="1"/>
  </r>
  <r>
    <x v="4"/>
    <x v="5"/>
    <n v="53.5"/>
    <x v="2"/>
    <x v="0"/>
    <x v="1"/>
    <x v="1"/>
  </r>
  <r>
    <x v="5"/>
    <x v="5"/>
    <n v="0"/>
    <x v="2"/>
    <x v="0"/>
    <x v="1"/>
    <x v="1"/>
  </r>
  <r>
    <x v="6"/>
    <x v="5"/>
    <n v="0"/>
    <x v="2"/>
    <x v="0"/>
    <x v="1"/>
    <x v="1"/>
  </r>
  <r>
    <x v="7"/>
    <x v="5"/>
    <n v="0"/>
    <x v="2"/>
    <x v="0"/>
    <x v="1"/>
    <x v="1"/>
  </r>
  <r>
    <x v="8"/>
    <x v="5"/>
    <n v="0"/>
    <x v="2"/>
    <x v="0"/>
    <x v="1"/>
    <x v="1"/>
  </r>
  <r>
    <x v="9"/>
    <x v="5"/>
    <n v="0"/>
    <x v="2"/>
    <x v="0"/>
    <x v="1"/>
    <x v="1"/>
  </r>
  <r>
    <x v="10"/>
    <x v="5"/>
    <n v="0"/>
    <x v="2"/>
    <x v="0"/>
    <x v="1"/>
    <x v="1"/>
  </r>
  <r>
    <x v="11"/>
    <x v="5"/>
    <n v="0"/>
    <x v="2"/>
    <x v="0"/>
    <x v="1"/>
    <x v="1"/>
  </r>
  <r>
    <x v="12"/>
    <x v="5"/>
    <n v="0"/>
    <x v="2"/>
    <x v="0"/>
    <x v="1"/>
    <x v="1"/>
  </r>
  <r>
    <x v="13"/>
    <x v="5"/>
    <n v="0"/>
    <x v="2"/>
    <x v="0"/>
    <x v="1"/>
    <x v="1"/>
  </r>
  <r>
    <x v="14"/>
    <x v="5"/>
    <n v="0"/>
    <x v="2"/>
    <x v="0"/>
    <x v="1"/>
    <x v="1"/>
  </r>
  <r>
    <x v="15"/>
    <x v="5"/>
    <n v="0"/>
    <x v="2"/>
    <x v="0"/>
    <x v="1"/>
    <x v="1"/>
  </r>
  <r>
    <x v="0"/>
    <x v="6"/>
    <n v="232.5"/>
    <x v="2"/>
    <x v="0"/>
    <x v="1"/>
    <x v="1"/>
  </r>
  <r>
    <x v="1"/>
    <x v="6"/>
    <n v="1100"/>
    <x v="2"/>
    <x v="0"/>
    <x v="1"/>
    <x v="1"/>
  </r>
  <r>
    <x v="2"/>
    <x v="6"/>
    <n v="1100"/>
    <x v="2"/>
    <x v="0"/>
    <x v="1"/>
    <x v="1"/>
  </r>
  <r>
    <x v="3"/>
    <x v="6"/>
    <n v="0"/>
    <x v="2"/>
    <x v="0"/>
    <x v="1"/>
    <x v="1"/>
  </r>
  <r>
    <x v="4"/>
    <x v="6"/>
    <n v="0"/>
    <x v="2"/>
    <x v="0"/>
    <x v="1"/>
    <x v="1"/>
  </r>
  <r>
    <x v="5"/>
    <x v="6"/>
    <n v="0"/>
    <x v="2"/>
    <x v="0"/>
    <x v="1"/>
    <x v="1"/>
  </r>
  <r>
    <x v="6"/>
    <x v="6"/>
    <n v="0"/>
    <x v="2"/>
    <x v="0"/>
    <x v="1"/>
    <x v="1"/>
  </r>
  <r>
    <x v="7"/>
    <x v="6"/>
    <n v="0"/>
    <x v="2"/>
    <x v="0"/>
    <x v="1"/>
    <x v="1"/>
  </r>
  <r>
    <x v="8"/>
    <x v="6"/>
    <n v="0"/>
    <x v="2"/>
    <x v="0"/>
    <x v="1"/>
    <x v="1"/>
  </r>
  <r>
    <x v="9"/>
    <x v="6"/>
    <n v="0"/>
    <x v="2"/>
    <x v="0"/>
    <x v="1"/>
    <x v="1"/>
  </r>
  <r>
    <x v="10"/>
    <x v="6"/>
    <n v="0"/>
    <x v="2"/>
    <x v="0"/>
    <x v="1"/>
    <x v="1"/>
  </r>
  <r>
    <x v="11"/>
    <x v="6"/>
    <n v="0"/>
    <x v="2"/>
    <x v="0"/>
    <x v="1"/>
    <x v="1"/>
  </r>
  <r>
    <x v="12"/>
    <x v="6"/>
    <n v="0"/>
    <x v="2"/>
    <x v="0"/>
    <x v="1"/>
    <x v="1"/>
  </r>
  <r>
    <x v="13"/>
    <x v="6"/>
    <n v="0"/>
    <x v="2"/>
    <x v="0"/>
    <x v="1"/>
    <x v="1"/>
  </r>
  <r>
    <x v="14"/>
    <x v="6"/>
    <n v="0"/>
    <x v="2"/>
    <x v="0"/>
    <x v="1"/>
    <x v="1"/>
  </r>
  <r>
    <x v="15"/>
    <x v="6"/>
    <n v="0"/>
    <x v="2"/>
    <x v="0"/>
    <x v="1"/>
    <x v="1"/>
  </r>
  <r>
    <x v="0"/>
    <x v="7"/>
    <n v="14.85"/>
    <x v="2"/>
    <x v="0"/>
    <x v="1"/>
    <x v="1"/>
  </r>
  <r>
    <x v="1"/>
    <x v="7"/>
    <n v="0"/>
    <x v="2"/>
    <x v="0"/>
    <x v="1"/>
    <x v="1"/>
  </r>
  <r>
    <x v="2"/>
    <x v="7"/>
    <n v="0"/>
    <x v="2"/>
    <x v="0"/>
    <x v="1"/>
    <x v="1"/>
  </r>
  <r>
    <x v="3"/>
    <x v="7"/>
    <n v="0"/>
    <x v="2"/>
    <x v="0"/>
    <x v="1"/>
    <x v="1"/>
  </r>
  <r>
    <x v="4"/>
    <x v="7"/>
    <n v="0"/>
    <x v="2"/>
    <x v="0"/>
    <x v="1"/>
    <x v="1"/>
  </r>
  <r>
    <x v="5"/>
    <x v="7"/>
    <n v="0"/>
    <x v="2"/>
    <x v="0"/>
    <x v="1"/>
    <x v="1"/>
  </r>
  <r>
    <x v="6"/>
    <x v="7"/>
    <n v="0"/>
    <x v="2"/>
    <x v="0"/>
    <x v="1"/>
    <x v="1"/>
  </r>
  <r>
    <x v="7"/>
    <x v="7"/>
    <n v="0"/>
    <x v="2"/>
    <x v="0"/>
    <x v="1"/>
    <x v="1"/>
  </r>
  <r>
    <x v="8"/>
    <x v="7"/>
    <n v="0"/>
    <x v="2"/>
    <x v="0"/>
    <x v="1"/>
    <x v="1"/>
  </r>
  <r>
    <x v="9"/>
    <x v="7"/>
    <n v="0"/>
    <x v="2"/>
    <x v="0"/>
    <x v="1"/>
    <x v="1"/>
  </r>
  <r>
    <x v="10"/>
    <x v="7"/>
    <n v="0"/>
    <x v="2"/>
    <x v="0"/>
    <x v="1"/>
    <x v="1"/>
  </r>
  <r>
    <x v="11"/>
    <x v="7"/>
    <n v="0"/>
    <x v="2"/>
    <x v="0"/>
    <x v="1"/>
    <x v="1"/>
  </r>
  <r>
    <x v="12"/>
    <x v="7"/>
    <n v="0"/>
    <x v="2"/>
    <x v="0"/>
    <x v="1"/>
    <x v="1"/>
  </r>
  <r>
    <x v="13"/>
    <x v="7"/>
    <n v="0"/>
    <x v="2"/>
    <x v="0"/>
    <x v="1"/>
    <x v="1"/>
  </r>
  <r>
    <x v="14"/>
    <x v="7"/>
    <n v="0"/>
    <x v="2"/>
    <x v="0"/>
    <x v="1"/>
    <x v="1"/>
  </r>
  <r>
    <x v="15"/>
    <x v="7"/>
    <n v="0"/>
    <x v="2"/>
    <x v="0"/>
    <x v="1"/>
    <x v="1"/>
  </r>
  <r>
    <x v="0"/>
    <x v="8"/>
    <n v="9994.41"/>
    <x v="2"/>
    <x v="0"/>
    <x v="1"/>
    <x v="1"/>
  </r>
  <r>
    <x v="1"/>
    <x v="8"/>
    <n v="1539.48"/>
    <x v="2"/>
    <x v="0"/>
    <x v="1"/>
    <x v="1"/>
  </r>
  <r>
    <x v="2"/>
    <x v="8"/>
    <n v="1539.48"/>
    <x v="2"/>
    <x v="0"/>
    <x v="1"/>
    <x v="1"/>
  </r>
  <r>
    <x v="3"/>
    <x v="8"/>
    <n v="4613.03"/>
    <x v="2"/>
    <x v="0"/>
    <x v="1"/>
    <x v="1"/>
  </r>
  <r>
    <x v="4"/>
    <x v="8"/>
    <n v="4613.03"/>
    <x v="2"/>
    <x v="0"/>
    <x v="1"/>
    <x v="1"/>
  </r>
  <r>
    <x v="5"/>
    <x v="8"/>
    <n v="4933.54"/>
    <x v="2"/>
    <x v="0"/>
    <x v="1"/>
    <x v="1"/>
  </r>
  <r>
    <x v="6"/>
    <x v="8"/>
    <n v="4933.54"/>
    <x v="2"/>
    <x v="0"/>
    <x v="1"/>
    <x v="1"/>
  </r>
  <r>
    <x v="7"/>
    <x v="8"/>
    <n v="4322.28"/>
    <x v="2"/>
    <x v="0"/>
    <x v="1"/>
    <x v="1"/>
  </r>
  <r>
    <x v="8"/>
    <x v="8"/>
    <n v="4322.28"/>
    <x v="2"/>
    <x v="0"/>
    <x v="1"/>
    <x v="1"/>
  </r>
  <r>
    <x v="9"/>
    <x v="8"/>
    <n v="9127.59"/>
    <x v="2"/>
    <x v="0"/>
    <x v="1"/>
    <x v="1"/>
  </r>
  <r>
    <x v="10"/>
    <x v="8"/>
    <n v="9127.59"/>
    <x v="2"/>
    <x v="0"/>
    <x v="1"/>
    <x v="1"/>
  </r>
  <r>
    <x v="11"/>
    <x v="8"/>
    <n v="5196.0600000000004"/>
    <x v="2"/>
    <x v="0"/>
    <x v="1"/>
    <x v="1"/>
  </r>
  <r>
    <x v="12"/>
    <x v="8"/>
    <n v="5196.0600000000004"/>
    <x v="2"/>
    <x v="0"/>
    <x v="1"/>
    <x v="1"/>
  </r>
  <r>
    <x v="13"/>
    <x v="8"/>
    <n v="6019.59"/>
    <x v="2"/>
    <x v="0"/>
    <x v="1"/>
    <x v="1"/>
  </r>
  <r>
    <x v="14"/>
    <x v="8"/>
    <n v="6019.59"/>
    <x v="2"/>
    <x v="0"/>
    <x v="1"/>
    <x v="1"/>
  </r>
  <r>
    <x v="15"/>
    <x v="8"/>
    <n v="6019.59"/>
    <x v="2"/>
    <x v="0"/>
    <x v="1"/>
    <x v="1"/>
  </r>
  <r>
    <x v="0"/>
    <x v="9"/>
    <n v="8612.8700000000008"/>
    <x v="2"/>
    <x v="0"/>
    <x v="1"/>
    <x v="1"/>
  </r>
  <r>
    <x v="1"/>
    <x v="9"/>
    <n v="1618.14"/>
    <x v="2"/>
    <x v="0"/>
    <x v="1"/>
    <x v="1"/>
  </r>
  <r>
    <x v="2"/>
    <x v="9"/>
    <n v="1618.14"/>
    <x v="2"/>
    <x v="0"/>
    <x v="1"/>
    <x v="1"/>
  </r>
  <r>
    <x v="3"/>
    <x v="9"/>
    <n v="2746.7"/>
    <x v="2"/>
    <x v="0"/>
    <x v="1"/>
    <x v="1"/>
  </r>
  <r>
    <x v="4"/>
    <x v="9"/>
    <n v="2746.7"/>
    <x v="2"/>
    <x v="0"/>
    <x v="1"/>
    <x v="1"/>
  </r>
  <r>
    <x v="5"/>
    <x v="9"/>
    <n v="3812.74"/>
    <x v="2"/>
    <x v="0"/>
    <x v="1"/>
    <x v="1"/>
  </r>
  <r>
    <x v="6"/>
    <x v="9"/>
    <n v="3812.74"/>
    <x v="2"/>
    <x v="0"/>
    <x v="1"/>
    <x v="1"/>
  </r>
  <r>
    <x v="7"/>
    <x v="9"/>
    <n v="2995.3"/>
    <x v="2"/>
    <x v="0"/>
    <x v="1"/>
    <x v="1"/>
  </r>
  <r>
    <x v="8"/>
    <x v="9"/>
    <n v="2995.3"/>
    <x v="2"/>
    <x v="0"/>
    <x v="1"/>
    <x v="1"/>
  </r>
  <r>
    <x v="9"/>
    <x v="9"/>
    <n v="7129.57"/>
    <x v="2"/>
    <x v="0"/>
    <x v="1"/>
    <x v="1"/>
  </r>
  <r>
    <x v="10"/>
    <x v="9"/>
    <n v="7129.57"/>
    <x v="2"/>
    <x v="0"/>
    <x v="1"/>
    <x v="1"/>
  </r>
  <r>
    <x v="11"/>
    <x v="9"/>
    <n v="2580.61"/>
    <x v="2"/>
    <x v="0"/>
    <x v="1"/>
    <x v="1"/>
  </r>
  <r>
    <x v="12"/>
    <x v="9"/>
    <n v="2580.61"/>
    <x v="2"/>
    <x v="0"/>
    <x v="1"/>
    <x v="1"/>
  </r>
  <r>
    <x v="13"/>
    <x v="9"/>
    <n v="2801.62"/>
    <x v="2"/>
    <x v="0"/>
    <x v="1"/>
    <x v="1"/>
  </r>
  <r>
    <x v="14"/>
    <x v="9"/>
    <n v="2801.62"/>
    <x v="2"/>
    <x v="0"/>
    <x v="1"/>
    <x v="1"/>
  </r>
  <r>
    <x v="15"/>
    <x v="9"/>
    <n v="2801.62"/>
    <x v="2"/>
    <x v="0"/>
    <x v="1"/>
    <x v="1"/>
  </r>
  <r>
    <x v="0"/>
    <x v="1"/>
    <n v="102.45"/>
    <x v="2"/>
    <x v="0"/>
    <x v="1"/>
    <x v="2"/>
  </r>
  <r>
    <x v="1"/>
    <x v="1"/>
    <n v="9.5"/>
    <x v="2"/>
    <x v="0"/>
    <x v="1"/>
    <x v="2"/>
  </r>
  <r>
    <x v="2"/>
    <x v="1"/>
    <n v="9.5"/>
    <x v="2"/>
    <x v="0"/>
    <x v="1"/>
    <x v="2"/>
  </r>
  <r>
    <x v="3"/>
    <x v="1"/>
    <n v="0"/>
    <x v="2"/>
    <x v="0"/>
    <x v="1"/>
    <x v="2"/>
  </r>
  <r>
    <x v="4"/>
    <x v="1"/>
    <n v="0"/>
    <x v="2"/>
    <x v="0"/>
    <x v="1"/>
    <x v="2"/>
  </r>
  <r>
    <x v="5"/>
    <x v="1"/>
    <n v="0"/>
    <x v="2"/>
    <x v="0"/>
    <x v="1"/>
    <x v="2"/>
  </r>
  <r>
    <x v="6"/>
    <x v="1"/>
    <n v="0"/>
    <x v="2"/>
    <x v="0"/>
    <x v="1"/>
    <x v="2"/>
  </r>
  <r>
    <x v="7"/>
    <x v="1"/>
    <n v="0"/>
    <x v="2"/>
    <x v="0"/>
    <x v="1"/>
    <x v="2"/>
  </r>
  <r>
    <x v="8"/>
    <x v="1"/>
    <n v="0"/>
    <x v="2"/>
    <x v="0"/>
    <x v="1"/>
    <x v="2"/>
  </r>
  <r>
    <x v="9"/>
    <x v="1"/>
    <n v="0"/>
    <x v="2"/>
    <x v="0"/>
    <x v="1"/>
    <x v="2"/>
  </r>
  <r>
    <x v="10"/>
    <x v="1"/>
    <n v="0"/>
    <x v="2"/>
    <x v="0"/>
    <x v="1"/>
    <x v="2"/>
  </r>
  <r>
    <x v="11"/>
    <x v="1"/>
    <n v="0"/>
    <x v="2"/>
    <x v="0"/>
    <x v="1"/>
    <x v="2"/>
  </r>
  <r>
    <x v="12"/>
    <x v="1"/>
    <n v="0"/>
    <x v="2"/>
    <x v="0"/>
    <x v="1"/>
    <x v="2"/>
  </r>
  <r>
    <x v="13"/>
    <x v="1"/>
    <n v="0"/>
    <x v="2"/>
    <x v="0"/>
    <x v="1"/>
    <x v="2"/>
  </r>
  <r>
    <x v="14"/>
    <x v="1"/>
    <n v="0"/>
    <x v="2"/>
    <x v="0"/>
    <x v="1"/>
    <x v="2"/>
  </r>
  <r>
    <x v="15"/>
    <x v="1"/>
    <n v="0"/>
    <x v="2"/>
    <x v="0"/>
    <x v="1"/>
    <x v="2"/>
  </r>
  <r>
    <x v="0"/>
    <x v="2"/>
    <n v="0"/>
    <x v="2"/>
    <x v="0"/>
    <x v="1"/>
    <x v="2"/>
  </r>
  <r>
    <x v="1"/>
    <x v="2"/>
    <n v="0"/>
    <x v="2"/>
    <x v="0"/>
    <x v="1"/>
    <x v="2"/>
  </r>
  <r>
    <x v="2"/>
    <x v="2"/>
    <n v="0"/>
    <x v="2"/>
    <x v="0"/>
    <x v="1"/>
    <x v="2"/>
  </r>
  <r>
    <x v="3"/>
    <x v="2"/>
    <n v="0"/>
    <x v="2"/>
    <x v="0"/>
    <x v="1"/>
    <x v="2"/>
  </r>
  <r>
    <x v="4"/>
    <x v="2"/>
    <n v="0"/>
    <x v="2"/>
    <x v="0"/>
    <x v="1"/>
    <x v="2"/>
  </r>
  <r>
    <x v="5"/>
    <x v="2"/>
    <n v="0"/>
    <x v="2"/>
    <x v="0"/>
    <x v="1"/>
    <x v="2"/>
  </r>
  <r>
    <x v="6"/>
    <x v="2"/>
    <n v="0"/>
    <x v="2"/>
    <x v="0"/>
    <x v="1"/>
    <x v="2"/>
  </r>
  <r>
    <x v="7"/>
    <x v="2"/>
    <n v="0"/>
    <x v="2"/>
    <x v="0"/>
    <x v="1"/>
    <x v="2"/>
  </r>
  <r>
    <x v="8"/>
    <x v="2"/>
    <n v="0"/>
    <x v="2"/>
    <x v="0"/>
    <x v="1"/>
    <x v="2"/>
  </r>
  <r>
    <x v="9"/>
    <x v="2"/>
    <n v="0"/>
    <x v="2"/>
    <x v="0"/>
    <x v="1"/>
    <x v="2"/>
  </r>
  <r>
    <x v="10"/>
    <x v="2"/>
    <n v="0"/>
    <x v="2"/>
    <x v="0"/>
    <x v="1"/>
    <x v="2"/>
  </r>
  <r>
    <x v="11"/>
    <x v="2"/>
    <n v="0"/>
    <x v="2"/>
    <x v="0"/>
    <x v="1"/>
    <x v="2"/>
  </r>
  <r>
    <x v="12"/>
    <x v="2"/>
    <n v="0"/>
    <x v="2"/>
    <x v="0"/>
    <x v="1"/>
    <x v="2"/>
  </r>
  <r>
    <x v="13"/>
    <x v="2"/>
    <n v="0"/>
    <x v="2"/>
    <x v="0"/>
    <x v="1"/>
    <x v="2"/>
  </r>
  <r>
    <x v="14"/>
    <x v="2"/>
    <n v="0"/>
    <x v="2"/>
    <x v="0"/>
    <x v="1"/>
    <x v="2"/>
  </r>
  <r>
    <x v="15"/>
    <x v="2"/>
    <n v="0"/>
    <x v="2"/>
    <x v="0"/>
    <x v="1"/>
    <x v="2"/>
  </r>
  <r>
    <x v="0"/>
    <x v="3"/>
    <n v="15518.13"/>
    <x v="2"/>
    <x v="0"/>
    <x v="1"/>
    <x v="2"/>
  </r>
  <r>
    <x v="1"/>
    <x v="3"/>
    <n v="19903"/>
    <x v="2"/>
    <x v="0"/>
    <x v="1"/>
    <x v="2"/>
  </r>
  <r>
    <x v="2"/>
    <x v="3"/>
    <n v="19903"/>
    <x v="2"/>
    <x v="0"/>
    <x v="1"/>
    <x v="2"/>
  </r>
  <r>
    <x v="3"/>
    <x v="3"/>
    <n v="6388.36"/>
    <x v="2"/>
    <x v="0"/>
    <x v="1"/>
    <x v="2"/>
  </r>
  <r>
    <x v="4"/>
    <x v="3"/>
    <n v="6388.36"/>
    <x v="2"/>
    <x v="0"/>
    <x v="1"/>
    <x v="2"/>
  </r>
  <r>
    <x v="5"/>
    <x v="3"/>
    <n v="9109.7900000000009"/>
    <x v="2"/>
    <x v="0"/>
    <x v="1"/>
    <x v="2"/>
  </r>
  <r>
    <x v="6"/>
    <x v="3"/>
    <n v="9109.7900000000009"/>
    <x v="2"/>
    <x v="0"/>
    <x v="1"/>
    <x v="2"/>
  </r>
  <r>
    <x v="7"/>
    <x v="3"/>
    <n v="5780.77"/>
    <x v="2"/>
    <x v="0"/>
    <x v="1"/>
    <x v="2"/>
  </r>
  <r>
    <x v="8"/>
    <x v="3"/>
    <n v="5780.77"/>
    <x v="2"/>
    <x v="0"/>
    <x v="1"/>
    <x v="2"/>
  </r>
  <r>
    <x v="9"/>
    <x v="3"/>
    <n v="4670.1400000000003"/>
    <x v="2"/>
    <x v="0"/>
    <x v="1"/>
    <x v="2"/>
  </r>
  <r>
    <x v="10"/>
    <x v="3"/>
    <n v="4670.1400000000003"/>
    <x v="2"/>
    <x v="0"/>
    <x v="1"/>
    <x v="2"/>
  </r>
  <r>
    <x v="11"/>
    <x v="3"/>
    <n v="7677.71"/>
    <x v="2"/>
    <x v="0"/>
    <x v="1"/>
    <x v="2"/>
  </r>
  <r>
    <x v="12"/>
    <x v="3"/>
    <n v="7677.71"/>
    <x v="2"/>
    <x v="0"/>
    <x v="1"/>
    <x v="2"/>
  </r>
  <r>
    <x v="13"/>
    <x v="3"/>
    <n v="7893.11"/>
    <x v="2"/>
    <x v="0"/>
    <x v="1"/>
    <x v="2"/>
  </r>
  <r>
    <x v="14"/>
    <x v="3"/>
    <n v="7893.11"/>
    <x v="2"/>
    <x v="0"/>
    <x v="1"/>
    <x v="2"/>
  </r>
  <r>
    <x v="15"/>
    <x v="3"/>
    <n v="7893.11"/>
    <x v="2"/>
    <x v="0"/>
    <x v="1"/>
    <x v="2"/>
  </r>
  <r>
    <x v="0"/>
    <x v="4"/>
    <n v="0"/>
    <x v="2"/>
    <x v="0"/>
    <x v="1"/>
    <x v="2"/>
  </r>
  <r>
    <x v="1"/>
    <x v="4"/>
    <n v="0"/>
    <x v="2"/>
    <x v="0"/>
    <x v="1"/>
    <x v="2"/>
  </r>
  <r>
    <x v="2"/>
    <x v="4"/>
    <n v="0"/>
    <x v="2"/>
    <x v="0"/>
    <x v="1"/>
    <x v="2"/>
  </r>
  <r>
    <x v="3"/>
    <x v="4"/>
    <n v="0"/>
    <x v="2"/>
    <x v="0"/>
    <x v="1"/>
    <x v="2"/>
  </r>
  <r>
    <x v="4"/>
    <x v="4"/>
    <n v="0"/>
    <x v="2"/>
    <x v="0"/>
    <x v="1"/>
    <x v="2"/>
  </r>
  <r>
    <x v="5"/>
    <x v="4"/>
    <n v="0"/>
    <x v="2"/>
    <x v="0"/>
    <x v="1"/>
    <x v="2"/>
  </r>
  <r>
    <x v="6"/>
    <x v="4"/>
    <n v="0"/>
    <x v="2"/>
    <x v="0"/>
    <x v="1"/>
    <x v="2"/>
  </r>
  <r>
    <x v="7"/>
    <x v="4"/>
    <n v="0"/>
    <x v="2"/>
    <x v="0"/>
    <x v="1"/>
    <x v="2"/>
  </r>
  <r>
    <x v="8"/>
    <x v="4"/>
    <n v="0"/>
    <x v="2"/>
    <x v="0"/>
    <x v="1"/>
    <x v="2"/>
  </r>
  <r>
    <x v="9"/>
    <x v="4"/>
    <n v="0"/>
    <x v="2"/>
    <x v="0"/>
    <x v="1"/>
    <x v="2"/>
  </r>
  <r>
    <x v="10"/>
    <x v="4"/>
    <n v="0"/>
    <x v="2"/>
    <x v="0"/>
    <x v="1"/>
    <x v="2"/>
  </r>
  <r>
    <x v="11"/>
    <x v="4"/>
    <n v="0"/>
    <x v="2"/>
    <x v="0"/>
    <x v="1"/>
    <x v="2"/>
  </r>
  <r>
    <x v="12"/>
    <x v="4"/>
    <n v="0"/>
    <x v="2"/>
    <x v="0"/>
    <x v="1"/>
    <x v="2"/>
  </r>
  <r>
    <x v="13"/>
    <x v="4"/>
    <n v="0"/>
    <x v="2"/>
    <x v="0"/>
    <x v="1"/>
    <x v="2"/>
  </r>
  <r>
    <x v="14"/>
    <x v="4"/>
    <n v="0"/>
    <x v="2"/>
    <x v="0"/>
    <x v="1"/>
    <x v="2"/>
  </r>
  <r>
    <x v="15"/>
    <x v="4"/>
    <n v="0"/>
    <x v="2"/>
    <x v="0"/>
    <x v="1"/>
    <x v="2"/>
  </r>
  <r>
    <x v="0"/>
    <x v="5"/>
    <n v="1784.36"/>
    <x v="2"/>
    <x v="0"/>
    <x v="1"/>
    <x v="2"/>
  </r>
  <r>
    <x v="1"/>
    <x v="5"/>
    <n v="0"/>
    <x v="2"/>
    <x v="0"/>
    <x v="1"/>
    <x v="2"/>
  </r>
  <r>
    <x v="2"/>
    <x v="5"/>
    <n v="0"/>
    <x v="2"/>
    <x v="0"/>
    <x v="1"/>
    <x v="2"/>
  </r>
  <r>
    <x v="3"/>
    <x v="5"/>
    <n v="57.5"/>
    <x v="2"/>
    <x v="0"/>
    <x v="1"/>
    <x v="2"/>
  </r>
  <r>
    <x v="4"/>
    <x v="5"/>
    <n v="57.5"/>
    <x v="2"/>
    <x v="0"/>
    <x v="1"/>
    <x v="2"/>
  </r>
  <r>
    <x v="5"/>
    <x v="5"/>
    <n v="44"/>
    <x v="2"/>
    <x v="0"/>
    <x v="1"/>
    <x v="2"/>
  </r>
  <r>
    <x v="6"/>
    <x v="5"/>
    <n v="44"/>
    <x v="2"/>
    <x v="0"/>
    <x v="1"/>
    <x v="2"/>
  </r>
  <r>
    <x v="7"/>
    <x v="5"/>
    <n v="0"/>
    <x v="2"/>
    <x v="0"/>
    <x v="1"/>
    <x v="2"/>
  </r>
  <r>
    <x v="8"/>
    <x v="5"/>
    <n v="0"/>
    <x v="2"/>
    <x v="0"/>
    <x v="1"/>
    <x v="2"/>
  </r>
  <r>
    <x v="9"/>
    <x v="5"/>
    <n v="0"/>
    <x v="2"/>
    <x v="0"/>
    <x v="1"/>
    <x v="2"/>
  </r>
  <r>
    <x v="10"/>
    <x v="5"/>
    <n v="0"/>
    <x v="2"/>
    <x v="0"/>
    <x v="1"/>
    <x v="2"/>
  </r>
  <r>
    <x v="11"/>
    <x v="5"/>
    <n v="0"/>
    <x v="2"/>
    <x v="0"/>
    <x v="1"/>
    <x v="2"/>
  </r>
  <r>
    <x v="12"/>
    <x v="5"/>
    <n v="0"/>
    <x v="2"/>
    <x v="0"/>
    <x v="1"/>
    <x v="2"/>
  </r>
  <r>
    <x v="13"/>
    <x v="5"/>
    <n v="0"/>
    <x v="2"/>
    <x v="0"/>
    <x v="1"/>
    <x v="2"/>
  </r>
  <r>
    <x v="14"/>
    <x v="5"/>
    <n v="0"/>
    <x v="2"/>
    <x v="0"/>
    <x v="1"/>
    <x v="2"/>
  </r>
  <r>
    <x v="15"/>
    <x v="5"/>
    <n v="0"/>
    <x v="2"/>
    <x v="0"/>
    <x v="1"/>
    <x v="2"/>
  </r>
  <r>
    <x v="0"/>
    <x v="6"/>
    <n v="232.5"/>
    <x v="2"/>
    <x v="0"/>
    <x v="1"/>
    <x v="2"/>
  </r>
  <r>
    <x v="1"/>
    <x v="6"/>
    <n v="1100"/>
    <x v="2"/>
    <x v="0"/>
    <x v="1"/>
    <x v="2"/>
  </r>
  <r>
    <x v="2"/>
    <x v="6"/>
    <n v="1100"/>
    <x v="2"/>
    <x v="0"/>
    <x v="1"/>
    <x v="2"/>
  </r>
  <r>
    <x v="3"/>
    <x v="6"/>
    <n v="0"/>
    <x v="2"/>
    <x v="0"/>
    <x v="1"/>
    <x v="2"/>
  </r>
  <r>
    <x v="4"/>
    <x v="6"/>
    <n v="0"/>
    <x v="2"/>
    <x v="0"/>
    <x v="1"/>
    <x v="2"/>
  </r>
  <r>
    <x v="5"/>
    <x v="6"/>
    <n v="0"/>
    <x v="2"/>
    <x v="0"/>
    <x v="1"/>
    <x v="2"/>
  </r>
  <r>
    <x v="6"/>
    <x v="6"/>
    <n v="0"/>
    <x v="2"/>
    <x v="0"/>
    <x v="1"/>
    <x v="2"/>
  </r>
  <r>
    <x v="7"/>
    <x v="6"/>
    <n v="0"/>
    <x v="2"/>
    <x v="0"/>
    <x v="1"/>
    <x v="2"/>
  </r>
  <r>
    <x v="8"/>
    <x v="6"/>
    <n v="0"/>
    <x v="2"/>
    <x v="0"/>
    <x v="1"/>
    <x v="2"/>
  </r>
  <r>
    <x v="9"/>
    <x v="6"/>
    <n v="0"/>
    <x v="2"/>
    <x v="0"/>
    <x v="1"/>
    <x v="2"/>
  </r>
  <r>
    <x v="10"/>
    <x v="6"/>
    <n v="0"/>
    <x v="2"/>
    <x v="0"/>
    <x v="1"/>
    <x v="2"/>
  </r>
  <r>
    <x v="11"/>
    <x v="6"/>
    <n v="0"/>
    <x v="2"/>
    <x v="0"/>
    <x v="1"/>
    <x v="2"/>
  </r>
  <r>
    <x v="12"/>
    <x v="6"/>
    <n v="0"/>
    <x v="2"/>
    <x v="0"/>
    <x v="1"/>
    <x v="2"/>
  </r>
  <r>
    <x v="13"/>
    <x v="6"/>
    <n v="0"/>
    <x v="2"/>
    <x v="0"/>
    <x v="1"/>
    <x v="2"/>
  </r>
  <r>
    <x v="14"/>
    <x v="6"/>
    <n v="0"/>
    <x v="2"/>
    <x v="0"/>
    <x v="1"/>
    <x v="2"/>
  </r>
  <r>
    <x v="15"/>
    <x v="6"/>
    <n v="0"/>
    <x v="2"/>
    <x v="0"/>
    <x v="1"/>
    <x v="2"/>
  </r>
  <r>
    <x v="0"/>
    <x v="7"/>
    <n v="14.85"/>
    <x v="2"/>
    <x v="0"/>
    <x v="1"/>
    <x v="2"/>
  </r>
  <r>
    <x v="1"/>
    <x v="7"/>
    <n v="0"/>
    <x v="2"/>
    <x v="0"/>
    <x v="1"/>
    <x v="2"/>
  </r>
  <r>
    <x v="2"/>
    <x v="7"/>
    <n v="0"/>
    <x v="2"/>
    <x v="0"/>
    <x v="1"/>
    <x v="2"/>
  </r>
  <r>
    <x v="3"/>
    <x v="7"/>
    <n v="0"/>
    <x v="2"/>
    <x v="0"/>
    <x v="1"/>
    <x v="2"/>
  </r>
  <r>
    <x v="4"/>
    <x v="7"/>
    <n v="0"/>
    <x v="2"/>
    <x v="0"/>
    <x v="1"/>
    <x v="2"/>
  </r>
  <r>
    <x v="5"/>
    <x v="7"/>
    <n v="0"/>
    <x v="2"/>
    <x v="0"/>
    <x v="1"/>
    <x v="2"/>
  </r>
  <r>
    <x v="6"/>
    <x v="7"/>
    <n v="0"/>
    <x v="2"/>
    <x v="0"/>
    <x v="1"/>
    <x v="2"/>
  </r>
  <r>
    <x v="7"/>
    <x v="7"/>
    <n v="0"/>
    <x v="2"/>
    <x v="0"/>
    <x v="1"/>
    <x v="2"/>
  </r>
  <r>
    <x v="8"/>
    <x v="7"/>
    <n v="0"/>
    <x v="2"/>
    <x v="0"/>
    <x v="1"/>
    <x v="2"/>
  </r>
  <r>
    <x v="9"/>
    <x v="7"/>
    <n v="0"/>
    <x v="2"/>
    <x v="0"/>
    <x v="1"/>
    <x v="2"/>
  </r>
  <r>
    <x v="10"/>
    <x v="7"/>
    <n v="0"/>
    <x v="2"/>
    <x v="0"/>
    <x v="1"/>
    <x v="2"/>
  </r>
  <r>
    <x v="11"/>
    <x v="7"/>
    <n v="0"/>
    <x v="2"/>
    <x v="0"/>
    <x v="1"/>
    <x v="2"/>
  </r>
  <r>
    <x v="12"/>
    <x v="7"/>
    <n v="0"/>
    <x v="2"/>
    <x v="0"/>
    <x v="1"/>
    <x v="2"/>
  </r>
  <r>
    <x v="13"/>
    <x v="7"/>
    <n v="0"/>
    <x v="2"/>
    <x v="0"/>
    <x v="1"/>
    <x v="2"/>
  </r>
  <r>
    <x v="14"/>
    <x v="7"/>
    <n v="0"/>
    <x v="2"/>
    <x v="0"/>
    <x v="1"/>
    <x v="2"/>
  </r>
  <r>
    <x v="15"/>
    <x v="7"/>
    <n v="0"/>
    <x v="2"/>
    <x v="0"/>
    <x v="1"/>
    <x v="2"/>
  </r>
  <r>
    <x v="0"/>
    <x v="8"/>
    <n v="10229.4"/>
    <x v="2"/>
    <x v="0"/>
    <x v="1"/>
    <x v="2"/>
  </r>
  <r>
    <x v="1"/>
    <x v="8"/>
    <n v="2311.84"/>
    <x v="2"/>
    <x v="0"/>
    <x v="1"/>
    <x v="2"/>
  </r>
  <r>
    <x v="2"/>
    <x v="8"/>
    <n v="2311.84"/>
    <x v="2"/>
    <x v="0"/>
    <x v="1"/>
    <x v="2"/>
  </r>
  <r>
    <x v="3"/>
    <x v="8"/>
    <n v="4738.99"/>
    <x v="2"/>
    <x v="0"/>
    <x v="1"/>
    <x v="2"/>
  </r>
  <r>
    <x v="4"/>
    <x v="8"/>
    <n v="4738.99"/>
    <x v="2"/>
    <x v="0"/>
    <x v="1"/>
    <x v="2"/>
  </r>
  <r>
    <x v="5"/>
    <x v="8"/>
    <n v="6278.46"/>
    <x v="2"/>
    <x v="0"/>
    <x v="1"/>
    <x v="2"/>
  </r>
  <r>
    <x v="6"/>
    <x v="8"/>
    <n v="6278.46"/>
    <x v="2"/>
    <x v="0"/>
    <x v="1"/>
    <x v="2"/>
  </r>
  <r>
    <x v="7"/>
    <x v="8"/>
    <n v="5255.61"/>
    <x v="2"/>
    <x v="0"/>
    <x v="1"/>
    <x v="2"/>
  </r>
  <r>
    <x v="8"/>
    <x v="8"/>
    <n v="5255.61"/>
    <x v="2"/>
    <x v="0"/>
    <x v="1"/>
    <x v="2"/>
  </r>
  <r>
    <x v="9"/>
    <x v="8"/>
    <n v="9834.39"/>
    <x v="2"/>
    <x v="0"/>
    <x v="1"/>
    <x v="2"/>
  </r>
  <r>
    <x v="10"/>
    <x v="8"/>
    <n v="9834.39"/>
    <x v="2"/>
    <x v="0"/>
    <x v="1"/>
    <x v="2"/>
  </r>
  <r>
    <x v="11"/>
    <x v="8"/>
    <n v="6214.11"/>
    <x v="2"/>
    <x v="0"/>
    <x v="1"/>
    <x v="2"/>
  </r>
  <r>
    <x v="12"/>
    <x v="8"/>
    <n v="6214.11"/>
    <x v="2"/>
    <x v="0"/>
    <x v="1"/>
    <x v="2"/>
  </r>
  <r>
    <x v="13"/>
    <x v="8"/>
    <n v="7838.37"/>
    <x v="2"/>
    <x v="0"/>
    <x v="1"/>
    <x v="2"/>
  </r>
  <r>
    <x v="14"/>
    <x v="8"/>
    <n v="7838.37"/>
    <x v="2"/>
    <x v="0"/>
    <x v="1"/>
    <x v="2"/>
  </r>
  <r>
    <x v="15"/>
    <x v="8"/>
    <n v="7838.37"/>
    <x v="2"/>
    <x v="0"/>
    <x v="1"/>
    <x v="2"/>
  </r>
  <r>
    <x v="0"/>
    <x v="9"/>
    <n v="8659.2800000000007"/>
    <x v="2"/>
    <x v="0"/>
    <x v="1"/>
    <x v="2"/>
  </r>
  <r>
    <x v="1"/>
    <x v="9"/>
    <n v="1550.73"/>
    <x v="2"/>
    <x v="0"/>
    <x v="1"/>
    <x v="2"/>
  </r>
  <r>
    <x v="2"/>
    <x v="9"/>
    <n v="1550.73"/>
    <x v="2"/>
    <x v="0"/>
    <x v="1"/>
    <x v="2"/>
  </r>
  <r>
    <x v="3"/>
    <x v="9"/>
    <n v="2550.5500000000002"/>
    <x v="2"/>
    <x v="0"/>
    <x v="1"/>
    <x v="2"/>
  </r>
  <r>
    <x v="4"/>
    <x v="9"/>
    <n v="2550.5500000000002"/>
    <x v="2"/>
    <x v="0"/>
    <x v="1"/>
    <x v="2"/>
  </r>
  <r>
    <x v="5"/>
    <x v="9"/>
    <n v="3328.85"/>
    <x v="2"/>
    <x v="0"/>
    <x v="1"/>
    <x v="2"/>
  </r>
  <r>
    <x v="6"/>
    <x v="9"/>
    <n v="3328.85"/>
    <x v="2"/>
    <x v="0"/>
    <x v="1"/>
    <x v="2"/>
  </r>
  <r>
    <x v="7"/>
    <x v="9"/>
    <n v="3023.49"/>
    <x v="2"/>
    <x v="0"/>
    <x v="1"/>
    <x v="2"/>
  </r>
  <r>
    <x v="8"/>
    <x v="9"/>
    <n v="3023.49"/>
    <x v="2"/>
    <x v="0"/>
    <x v="1"/>
    <x v="2"/>
  </r>
  <r>
    <x v="9"/>
    <x v="9"/>
    <n v="5704.57"/>
    <x v="2"/>
    <x v="0"/>
    <x v="1"/>
    <x v="2"/>
  </r>
  <r>
    <x v="10"/>
    <x v="9"/>
    <n v="5704.57"/>
    <x v="2"/>
    <x v="0"/>
    <x v="1"/>
    <x v="2"/>
  </r>
  <r>
    <x v="11"/>
    <x v="9"/>
    <n v="2572.7199999999998"/>
    <x v="2"/>
    <x v="0"/>
    <x v="1"/>
    <x v="2"/>
  </r>
  <r>
    <x v="12"/>
    <x v="9"/>
    <n v="2572.7199999999998"/>
    <x v="2"/>
    <x v="0"/>
    <x v="1"/>
    <x v="2"/>
  </r>
  <r>
    <x v="13"/>
    <x v="9"/>
    <n v="2645.56"/>
    <x v="2"/>
    <x v="0"/>
    <x v="1"/>
    <x v="2"/>
  </r>
  <r>
    <x v="14"/>
    <x v="9"/>
    <n v="2645.56"/>
    <x v="2"/>
    <x v="0"/>
    <x v="1"/>
    <x v="2"/>
  </r>
  <r>
    <x v="15"/>
    <x v="9"/>
    <n v="2645.56"/>
    <x v="2"/>
    <x v="0"/>
    <x v="1"/>
    <x v="2"/>
  </r>
  <r>
    <x v="0"/>
    <x v="1"/>
    <n v="102.45"/>
    <x v="1"/>
    <x v="1"/>
    <x v="0"/>
    <x v="0"/>
  </r>
  <r>
    <x v="1"/>
    <x v="1"/>
    <n v="9.5"/>
    <x v="1"/>
    <x v="1"/>
    <x v="0"/>
    <x v="0"/>
  </r>
  <r>
    <x v="2"/>
    <x v="1"/>
    <n v="9.5"/>
    <x v="1"/>
    <x v="1"/>
    <x v="0"/>
    <x v="0"/>
  </r>
  <r>
    <x v="3"/>
    <x v="1"/>
    <n v="0"/>
    <x v="1"/>
    <x v="1"/>
    <x v="0"/>
    <x v="0"/>
  </r>
  <r>
    <x v="4"/>
    <x v="1"/>
    <n v="0"/>
    <x v="1"/>
    <x v="1"/>
    <x v="0"/>
    <x v="0"/>
  </r>
  <r>
    <x v="5"/>
    <x v="1"/>
    <n v="0"/>
    <x v="1"/>
    <x v="1"/>
    <x v="0"/>
    <x v="0"/>
  </r>
  <r>
    <x v="6"/>
    <x v="1"/>
    <n v="0"/>
    <x v="1"/>
    <x v="1"/>
    <x v="0"/>
    <x v="0"/>
  </r>
  <r>
    <x v="7"/>
    <x v="1"/>
    <n v="0"/>
    <x v="1"/>
    <x v="1"/>
    <x v="0"/>
    <x v="0"/>
  </r>
  <r>
    <x v="8"/>
    <x v="1"/>
    <n v="0"/>
    <x v="1"/>
    <x v="1"/>
    <x v="0"/>
    <x v="0"/>
  </r>
  <r>
    <x v="9"/>
    <x v="1"/>
    <n v="0"/>
    <x v="1"/>
    <x v="1"/>
    <x v="0"/>
    <x v="0"/>
  </r>
  <r>
    <x v="10"/>
    <x v="1"/>
    <n v="0"/>
    <x v="1"/>
    <x v="1"/>
    <x v="0"/>
    <x v="0"/>
  </r>
  <r>
    <x v="11"/>
    <x v="1"/>
    <n v="0"/>
    <x v="1"/>
    <x v="1"/>
    <x v="0"/>
    <x v="0"/>
  </r>
  <r>
    <x v="12"/>
    <x v="1"/>
    <n v="0"/>
    <x v="1"/>
    <x v="1"/>
    <x v="0"/>
    <x v="0"/>
  </r>
  <r>
    <x v="13"/>
    <x v="1"/>
    <n v="0"/>
    <x v="1"/>
    <x v="1"/>
    <x v="0"/>
    <x v="0"/>
  </r>
  <r>
    <x v="14"/>
    <x v="1"/>
    <n v="0"/>
    <x v="1"/>
    <x v="1"/>
    <x v="0"/>
    <x v="0"/>
  </r>
  <r>
    <x v="15"/>
    <x v="1"/>
    <n v="0"/>
    <x v="1"/>
    <x v="1"/>
    <x v="0"/>
    <x v="0"/>
  </r>
  <r>
    <x v="0"/>
    <x v="2"/>
    <n v="0"/>
    <x v="1"/>
    <x v="1"/>
    <x v="0"/>
    <x v="0"/>
  </r>
  <r>
    <x v="1"/>
    <x v="2"/>
    <n v="0"/>
    <x v="1"/>
    <x v="1"/>
    <x v="0"/>
    <x v="0"/>
  </r>
  <r>
    <x v="2"/>
    <x v="2"/>
    <n v="0"/>
    <x v="1"/>
    <x v="1"/>
    <x v="0"/>
    <x v="0"/>
  </r>
  <r>
    <x v="3"/>
    <x v="2"/>
    <n v="0"/>
    <x v="1"/>
    <x v="1"/>
    <x v="0"/>
    <x v="0"/>
  </r>
  <r>
    <x v="4"/>
    <x v="2"/>
    <n v="0"/>
    <x v="1"/>
    <x v="1"/>
    <x v="0"/>
    <x v="0"/>
  </r>
  <r>
    <x v="5"/>
    <x v="2"/>
    <n v="0"/>
    <x v="1"/>
    <x v="1"/>
    <x v="0"/>
    <x v="0"/>
  </r>
  <r>
    <x v="6"/>
    <x v="2"/>
    <n v="0"/>
    <x v="1"/>
    <x v="1"/>
    <x v="0"/>
    <x v="0"/>
  </r>
  <r>
    <x v="7"/>
    <x v="2"/>
    <n v="0"/>
    <x v="1"/>
    <x v="1"/>
    <x v="0"/>
    <x v="0"/>
  </r>
  <r>
    <x v="8"/>
    <x v="2"/>
    <n v="0"/>
    <x v="1"/>
    <x v="1"/>
    <x v="0"/>
    <x v="0"/>
  </r>
  <r>
    <x v="9"/>
    <x v="2"/>
    <n v="0"/>
    <x v="1"/>
    <x v="1"/>
    <x v="0"/>
    <x v="0"/>
  </r>
  <r>
    <x v="10"/>
    <x v="2"/>
    <n v="0"/>
    <x v="1"/>
    <x v="1"/>
    <x v="0"/>
    <x v="0"/>
  </r>
  <r>
    <x v="11"/>
    <x v="2"/>
    <n v="0"/>
    <x v="1"/>
    <x v="1"/>
    <x v="0"/>
    <x v="0"/>
  </r>
  <r>
    <x v="12"/>
    <x v="2"/>
    <n v="0"/>
    <x v="1"/>
    <x v="1"/>
    <x v="0"/>
    <x v="0"/>
  </r>
  <r>
    <x v="13"/>
    <x v="2"/>
    <n v="0"/>
    <x v="1"/>
    <x v="1"/>
    <x v="0"/>
    <x v="0"/>
  </r>
  <r>
    <x v="14"/>
    <x v="2"/>
    <n v="0"/>
    <x v="1"/>
    <x v="1"/>
    <x v="0"/>
    <x v="0"/>
  </r>
  <r>
    <x v="15"/>
    <x v="2"/>
    <n v="0"/>
    <x v="1"/>
    <x v="1"/>
    <x v="0"/>
    <x v="0"/>
  </r>
  <r>
    <x v="0"/>
    <x v="3"/>
    <n v="11059.73"/>
    <x v="1"/>
    <x v="1"/>
    <x v="0"/>
    <x v="0"/>
  </r>
  <r>
    <x v="1"/>
    <x v="3"/>
    <n v="0"/>
    <x v="1"/>
    <x v="1"/>
    <x v="0"/>
    <x v="0"/>
  </r>
  <r>
    <x v="2"/>
    <x v="3"/>
    <n v="0"/>
    <x v="1"/>
    <x v="1"/>
    <x v="0"/>
    <x v="0"/>
  </r>
  <r>
    <x v="3"/>
    <x v="3"/>
    <n v="0"/>
    <x v="1"/>
    <x v="1"/>
    <x v="0"/>
    <x v="0"/>
  </r>
  <r>
    <x v="4"/>
    <x v="3"/>
    <n v="0"/>
    <x v="1"/>
    <x v="1"/>
    <x v="0"/>
    <x v="0"/>
  </r>
  <r>
    <x v="5"/>
    <x v="3"/>
    <n v="0"/>
    <x v="1"/>
    <x v="1"/>
    <x v="0"/>
    <x v="0"/>
  </r>
  <r>
    <x v="6"/>
    <x v="3"/>
    <n v="0"/>
    <x v="1"/>
    <x v="1"/>
    <x v="0"/>
    <x v="0"/>
  </r>
  <r>
    <x v="7"/>
    <x v="3"/>
    <n v="0"/>
    <x v="1"/>
    <x v="1"/>
    <x v="0"/>
    <x v="0"/>
  </r>
  <r>
    <x v="8"/>
    <x v="3"/>
    <n v="0"/>
    <x v="1"/>
    <x v="1"/>
    <x v="0"/>
    <x v="0"/>
  </r>
  <r>
    <x v="9"/>
    <x v="3"/>
    <n v="0"/>
    <x v="1"/>
    <x v="1"/>
    <x v="0"/>
    <x v="0"/>
  </r>
  <r>
    <x v="10"/>
    <x v="3"/>
    <n v="0"/>
    <x v="1"/>
    <x v="1"/>
    <x v="0"/>
    <x v="0"/>
  </r>
  <r>
    <x v="11"/>
    <x v="3"/>
    <n v="0"/>
    <x v="1"/>
    <x v="1"/>
    <x v="0"/>
    <x v="0"/>
  </r>
  <r>
    <x v="12"/>
    <x v="3"/>
    <n v="0"/>
    <x v="1"/>
    <x v="1"/>
    <x v="0"/>
    <x v="0"/>
  </r>
  <r>
    <x v="13"/>
    <x v="3"/>
    <n v="0"/>
    <x v="1"/>
    <x v="1"/>
    <x v="0"/>
    <x v="0"/>
  </r>
  <r>
    <x v="14"/>
    <x v="3"/>
    <n v="0"/>
    <x v="1"/>
    <x v="1"/>
    <x v="0"/>
    <x v="0"/>
  </r>
  <r>
    <x v="15"/>
    <x v="3"/>
    <n v="0"/>
    <x v="1"/>
    <x v="1"/>
    <x v="0"/>
    <x v="0"/>
  </r>
  <r>
    <x v="0"/>
    <x v="4"/>
    <n v="0"/>
    <x v="1"/>
    <x v="1"/>
    <x v="0"/>
    <x v="0"/>
  </r>
  <r>
    <x v="1"/>
    <x v="4"/>
    <n v="0"/>
    <x v="1"/>
    <x v="1"/>
    <x v="0"/>
    <x v="0"/>
  </r>
  <r>
    <x v="2"/>
    <x v="4"/>
    <n v="0"/>
    <x v="1"/>
    <x v="1"/>
    <x v="0"/>
    <x v="0"/>
  </r>
  <r>
    <x v="3"/>
    <x v="4"/>
    <n v="0"/>
    <x v="1"/>
    <x v="1"/>
    <x v="0"/>
    <x v="0"/>
  </r>
  <r>
    <x v="4"/>
    <x v="4"/>
    <n v="0"/>
    <x v="1"/>
    <x v="1"/>
    <x v="0"/>
    <x v="0"/>
  </r>
  <r>
    <x v="5"/>
    <x v="4"/>
    <n v="0"/>
    <x v="1"/>
    <x v="1"/>
    <x v="0"/>
    <x v="0"/>
  </r>
  <r>
    <x v="6"/>
    <x v="4"/>
    <n v="0"/>
    <x v="1"/>
    <x v="1"/>
    <x v="0"/>
    <x v="0"/>
  </r>
  <r>
    <x v="7"/>
    <x v="4"/>
    <n v="0"/>
    <x v="1"/>
    <x v="1"/>
    <x v="0"/>
    <x v="0"/>
  </r>
  <r>
    <x v="8"/>
    <x v="4"/>
    <n v="0"/>
    <x v="1"/>
    <x v="1"/>
    <x v="0"/>
    <x v="0"/>
  </r>
  <r>
    <x v="9"/>
    <x v="4"/>
    <n v="0"/>
    <x v="1"/>
    <x v="1"/>
    <x v="0"/>
    <x v="0"/>
  </r>
  <r>
    <x v="10"/>
    <x v="4"/>
    <n v="0"/>
    <x v="1"/>
    <x v="1"/>
    <x v="0"/>
    <x v="0"/>
  </r>
  <r>
    <x v="11"/>
    <x v="4"/>
    <n v="0"/>
    <x v="1"/>
    <x v="1"/>
    <x v="0"/>
    <x v="0"/>
  </r>
  <r>
    <x v="12"/>
    <x v="4"/>
    <n v="0"/>
    <x v="1"/>
    <x v="1"/>
    <x v="0"/>
    <x v="0"/>
  </r>
  <r>
    <x v="13"/>
    <x v="4"/>
    <n v="0"/>
    <x v="1"/>
    <x v="1"/>
    <x v="0"/>
    <x v="0"/>
  </r>
  <r>
    <x v="14"/>
    <x v="4"/>
    <n v="0"/>
    <x v="1"/>
    <x v="1"/>
    <x v="0"/>
    <x v="0"/>
  </r>
  <r>
    <x v="15"/>
    <x v="4"/>
    <n v="0"/>
    <x v="1"/>
    <x v="1"/>
    <x v="0"/>
    <x v="0"/>
  </r>
  <r>
    <x v="0"/>
    <x v="5"/>
    <n v="2578.62"/>
    <x v="1"/>
    <x v="1"/>
    <x v="0"/>
    <x v="0"/>
  </r>
  <r>
    <x v="1"/>
    <x v="5"/>
    <n v="0"/>
    <x v="1"/>
    <x v="1"/>
    <x v="0"/>
    <x v="0"/>
  </r>
  <r>
    <x v="2"/>
    <x v="5"/>
    <n v="0"/>
    <x v="1"/>
    <x v="1"/>
    <x v="0"/>
    <x v="0"/>
  </r>
  <r>
    <x v="3"/>
    <x v="5"/>
    <n v="17.5"/>
    <x v="1"/>
    <x v="1"/>
    <x v="0"/>
    <x v="0"/>
  </r>
  <r>
    <x v="4"/>
    <x v="5"/>
    <n v="17.5"/>
    <x v="1"/>
    <x v="1"/>
    <x v="0"/>
    <x v="0"/>
  </r>
  <r>
    <x v="5"/>
    <x v="5"/>
    <n v="0.5"/>
    <x v="1"/>
    <x v="1"/>
    <x v="0"/>
    <x v="0"/>
  </r>
  <r>
    <x v="6"/>
    <x v="5"/>
    <n v="0.5"/>
    <x v="1"/>
    <x v="1"/>
    <x v="0"/>
    <x v="0"/>
  </r>
  <r>
    <x v="7"/>
    <x v="5"/>
    <n v="0"/>
    <x v="1"/>
    <x v="1"/>
    <x v="0"/>
    <x v="0"/>
  </r>
  <r>
    <x v="8"/>
    <x v="5"/>
    <n v="0"/>
    <x v="1"/>
    <x v="1"/>
    <x v="0"/>
    <x v="0"/>
  </r>
  <r>
    <x v="9"/>
    <x v="5"/>
    <n v="0"/>
    <x v="1"/>
    <x v="1"/>
    <x v="0"/>
    <x v="0"/>
  </r>
  <r>
    <x v="10"/>
    <x v="5"/>
    <n v="0"/>
    <x v="1"/>
    <x v="1"/>
    <x v="0"/>
    <x v="0"/>
  </r>
  <r>
    <x v="11"/>
    <x v="5"/>
    <n v="17.5"/>
    <x v="1"/>
    <x v="1"/>
    <x v="0"/>
    <x v="0"/>
  </r>
  <r>
    <x v="12"/>
    <x v="5"/>
    <n v="17.5"/>
    <x v="1"/>
    <x v="1"/>
    <x v="0"/>
    <x v="0"/>
  </r>
  <r>
    <x v="13"/>
    <x v="5"/>
    <n v="3.6666699999999999"/>
    <x v="1"/>
    <x v="1"/>
    <x v="0"/>
    <x v="0"/>
  </r>
  <r>
    <x v="14"/>
    <x v="5"/>
    <n v="3.6666699999999999"/>
    <x v="1"/>
    <x v="1"/>
    <x v="0"/>
    <x v="0"/>
  </r>
  <r>
    <x v="15"/>
    <x v="5"/>
    <n v="3.6666699999999999"/>
    <x v="1"/>
    <x v="1"/>
    <x v="0"/>
    <x v="0"/>
  </r>
  <r>
    <x v="0"/>
    <x v="6"/>
    <n v="232.5"/>
    <x v="1"/>
    <x v="1"/>
    <x v="0"/>
    <x v="0"/>
  </r>
  <r>
    <x v="1"/>
    <x v="6"/>
    <n v="1100"/>
    <x v="1"/>
    <x v="1"/>
    <x v="0"/>
    <x v="0"/>
  </r>
  <r>
    <x v="2"/>
    <x v="6"/>
    <n v="1100"/>
    <x v="1"/>
    <x v="1"/>
    <x v="0"/>
    <x v="0"/>
  </r>
  <r>
    <x v="3"/>
    <x v="6"/>
    <n v="0"/>
    <x v="1"/>
    <x v="1"/>
    <x v="0"/>
    <x v="0"/>
  </r>
  <r>
    <x v="4"/>
    <x v="6"/>
    <n v="0"/>
    <x v="1"/>
    <x v="1"/>
    <x v="0"/>
    <x v="0"/>
  </r>
  <r>
    <x v="5"/>
    <x v="6"/>
    <n v="0"/>
    <x v="1"/>
    <x v="1"/>
    <x v="0"/>
    <x v="0"/>
  </r>
  <r>
    <x v="6"/>
    <x v="6"/>
    <n v="0"/>
    <x v="1"/>
    <x v="1"/>
    <x v="0"/>
    <x v="0"/>
  </r>
  <r>
    <x v="7"/>
    <x v="6"/>
    <n v="0"/>
    <x v="1"/>
    <x v="1"/>
    <x v="0"/>
    <x v="0"/>
  </r>
  <r>
    <x v="8"/>
    <x v="6"/>
    <n v="0"/>
    <x v="1"/>
    <x v="1"/>
    <x v="0"/>
    <x v="0"/>
  </r>
  <r>
    <x v="9"/>
    <x v="6"/>
    <n v="0"/>
    <x v="1"/>
    <x v="1"/>
    <x v="0"/>
    <x v="0"/>
  </r>
  <r>
    <x v="10"/>
    <x v="6"/>
    <n v="0"/>
    <x v="1"/>
    <x v="1"/>
    <x v="0"/>
    <x v="0"/>
  </r>
  <r>
    <x v="11"/>
    <x v="6"/>
    <n v="0"/>
    <x v="1"/>
    <x v="1"/>
    <x v="0"/>
    <x v="0"/>
  </r>
  <r>
    <x v="12"/>
    <x v="6"/>
    <n v="0"/>
    <x v="1"/>
    <x v="1"/>
    <x v="0"/>
    <x v="0"/>
  </r>
  <r>
    <x v="13"/>
    <x v="6"/>
    <n v="0"/>
    <x v="1"/>
    <x v="1"/>
    <x v="0"/>
    <x v="0"/>
  </r>
  <r>
    <x v="14"/>
    <x v="6"/>
    <n v="0"/>
    <x v="1"/>
    <x v="1"/>
    <x v="0"/>
    <x v="0"/>
  </r>
  <r>
    <x v="15"/>
    <x v="6"/>
    <n v="0"/>
    <x v="1"/>
    <x v="1"/>
    <x v="0"/>
    <x v="0"/>
  </r>
  <r>
    <x v="0"/>
    <x v="7"/>
    <n v="14.85"/>
    <x v="1"/>
    <x v="1"/>
    <x v="0"/>
    <x v="0"/>
  </r>
  <r>
    <x v="1"/>
    <x v="7"/>
    <n v="0"/>
    <x v="1"/>
    <x v="1"/>
    <x v="0"/>
    <x v="0"/>
  </r>
  <r>
    <x v="2"/>
    <x v="7"/>
    <n v="0"/>
    <x v="1"/>
    <x v="1"/>
    <x v="0"/>
    <x v="0"/>
  </r>
  <r>
    <x v="3"/>
    <x v="7"/>
    <n v="0"/>
    <x v="1"/>
    <x v="1"/>
    <x v="0"/>
    <x v="0"/>
  </r>
  <r>
    <x v="4"/>
    <x v="7"/>
    <n v="0"/>
    <x v="1"/>
    <x v="1"/>
    <x v="0"/>
    <x v="0"/>
  </r>
  <r>
    <x v="5"/>
    <x v="7"/>
    <n v="0"/>
    <x v="1"/>
    <x v="1"/>
    <x v="0"/>
    <x v="0"/>
  </r>
  <r>
    <x v="6"/>
    <x v="7"/>
    <n v="0"/>
    <x v="1"/>
    <x v="1"/>
    <x v="0"/>
    <x v="0"/>
  </r>
  <r>
    <x v="7"/>
    <x v="7"/>
    <n v="0"/>
    <x v="1"/>
    <x v="1"/>
    <x v="0"/>
    <x v="0"/>
  </r>
  <r>
    <x v="8"/>
    <x v="7"/>
    <n v="0"/>
    <x v="1"/>
    <x v="1"/>
    <x v="0"/>
    <x v="0"/>
  </r>
  <r>
    <x v="9"/>
    <x v="7"/>
    <n v="0"/>
    <x v="1"/>
    <x v="1"/>
    <x v="0"/>
    <x v="0"/>
  </r>
  <r>
    <x v="10"/>
    <x v="7"/>
    <n v="0"/>
    <x v="1"/>
    <x v="1"/>
    <x v="0"/>
    <x v="0"/>
  </r>
  <r>
    <x v="11"/>
    <x v="7"/>
    <n v="0"/>
    <x v="1"/>
    <x v="1"/>
    <x v="0"/>
    <x v="0"/>
  </r>
  <r>
    <x v="12"/>
    <x v="7"/>
    <n v="0"/>
    <x v="1"/>
    <x v="1"/>
    <x v="0"/>
    <x v="0"/>
  </r>
  <r>
    <x v="13"/>
    <x v="7"/>
    <n v="0"/>
    <x v="1"/>
    <x v="1"/>
    <x v="0"/>
    <x v="0"/>
  </r>
  <r>
    <x v="14"/>
    <x v="7"/>
    <n v="0"/>
    <x v="1"/>
    <x v="1"/>
    <x v="0"/>
    <x v="0"/>
  </r>
  <r>
    <x v="15"/>
    <x v="7"/>
    <n v="0"/>
    <x v="1"/>
    <x v="1"/>
    <x v="0"/>
    <x v="0"/>
  </r>
  <r>
    <x v="0"/>
    <x v="8"/>
    <n v="17981.3"/>
    <x v="1"/>
    <x v="1"/>
    <x v="0"/>
    <x v="0"/>
  </r>
  <r>
    <x v="1"/>
    <x v="8"/>
    <n v="35292.6"/>
    <x v="1"/>
    <x v="1"/>
    <x v="0"/>
    <x v="0"/>
  </r>
  <r>
    <x v="2"/>
    <x v="8"/>
    <n v="35292.6"/>
    <x v="1"/>
    <x v="1"/>
    <x v="0"/>
    <x v="0"/>
  </r>
  <r>
    <x v="3"/>
    <x v="8"/>
    <n v="57147.5"/>
    <x v="1"/>
    <x v="1"/>
    <x v="0"/>
    <x v="0"/>
  </r>
  <r>
    <x v="4"/>
    <x v="8"/>
    <n v="57147.5"/>
    <x v="1"/>
    <x v="1"/>
    <x v="0"/>
    <x v="0"/>
  </r>
  <r>
    <x v="5"/>
    <x v="8"/>
    <n v="36042.699999999997"/>
    <x v="1"/>
    <x v="1"/>
    <x v="0"/>
    <x v="0"/>
  </r>
  <r>
    <x v="6"/>
    <x v="8"/>
    <n v="36042.699999999997"/>
    <x v="1"/>
    <x v="1"/>
    <x v="0"/>
    <x v="0"/>
  </r>
  <r>
    <x v="7"/>
    <x v="8"/>
    <n v="47822.7"/>
    <x v="1"/>
    <x v="1"/>
    <x v="0"/>
    <x v="0"/>
  </r>
  <r>
    <x v="8"/>
    <x v="8"/>
    <n v="47822.7"/>
    <x v="1"/>
    <x v="1"/>
    <x v="0"/>
    <x v="0"/>
  </r>
  <r>
    <x v="9"/>
    <x v="8"/>
    <n v="25994.400000000001"/>
    <x v="1"/>
    <x v="1"/>
    <x v="0"/>
    <x v="0"/>
  </r>
  <r>
    <x v="10"/>
    <x v="8"/>
    <n v="25994.400000000001"/>
    <x v="1"/>
    <x v="1"/>
    <x v="0"/>
    <x v="0"/>
  </r>
  <r>
    <x v="11"/>
    <x v="8"/>
    <n v="48177.7"/>
    <x v="1"/>
    <x v="1"/>
    <x v="0"/>
    <x v="0"/>
  </r>
  <r>
    <x v="12"/>
    <x v="8"/>
    <n v="48177.7"/>
    <x v="1"/>
    <x v="1"/>
    <x v="0"/>
    <x v="0"/>
  </r>
  <r>
    <x v="13"/>
    <x v="8"/>
    <n v="49551.5"/>
    <x v="1"/>
    <x v="1"/>
    <x v="0"/>
    <x v="0"/>
  </r>
  <r>
    <x v="14"/>
    <x v="8"/>
    <n v="49551.5"/>
    <x v="1"/>
    <x v="1"/>
    <x v="0"/>
    <x v="0"/>
  </r>
  <r>
    <x v="15"/>
    <x v="8"/>
    <n v="49551.5"/>
    <x v="1"/>
    <x v="1"/>
    <x v="0"/>
    <x v="0"/>
  </r>
  <r>
    <x v="0"/>
    <x v="9"/>
    <n v="10633.3"/>
    <x v="1"/>
    <x v="1"/>
    <x v="0"/>
    <x v="0"/>
  </r>
  <r>
    <x v="1"/>
    <x v="9"/>
    <n v="24450.1"/>
    <x v="1"/>
    <x v="1"/>
    <x v="0"/>
    <x v="0"/>
  </r>
  <r>
    <x v="2"/>
    <x v="9"/>
    <n v="24450.1"/>
    <x v="1"/>
    <x v="1"/>
    <x v="0"/>
    <x v="0"/>
  </r>
  <r>
    <x v="3"/>
    <x v="9"/>
    <n v="6531.07"/>
    <x v="1"/>
    <x v="1"/>
    <x v="0"/>
    <x v="0"/>
  </r>
  <r>
    <x v="4"/>
    <x v="9"/>
    <n v="6531.07"/>
    <x v="1"/>
    <x v="1"/>
    <x v="0"/>
    <x v="0"/>
  </r>
  <r>
    <x v="5"/>
    <x v="9"/>
    <n v="27493.200000000001"/>
    <x v="1"/>
    <x v="1"/>
    <x v="0"/>
    <x v="0"/>
  </r>
  <r>
    <x v="6"/>
    <x v="9"/>
    <n v="27493.200000000001"/>
    <x v="1"/>
    <x v="1"/>
    <x v="0"/>
    <x v="0"/>
  </r>
  <r>
    <x v="7"/>
    <x v="9"/>
    <n v="23441.9"/>
    <x v="1"/>
    <x v="1"/>
    <x v="0"/>
    <x v="0"/>
  </r>
  <r>
    <x v="8"/>
    <x v="9"/>
    <n v="23441.9"/>
    <x v="1"/>
    <x v="1"/>
    <x v="0"/>
    <x v="0"/>
  </r>
  <r>
    <x v="9"/>
    <x v="9"/>
    <n v="33827.4"/>
    <x v="1"/>
    <x v="1"/>
    <x v="0"/>
    <x v="0"/>
  </r>
  <r>
    <x v="10"/>
    <x v="9"/>
    <n v="33827.4"/>
    <x v="1"/>
    <x v="1"/>
    <x v="0"/>
    <x v="0"/>
  </r>
  <r>
    <x v="11"/>
    <x v="9"/>
    <n v="37390.1"/>
    <x v="1"/>
    <x v="1"/>
    <x v="0"/>
    <x v="0"/>
  </r>
  <r>
    <x v="12"/>
    <x v="9"/>
    <n v="37390.1"/>
    <x v="1"/>
    <x v="1"/>
    <x v="0"/>
    <x v="0"/>
  </r>
  <r>
    <x v="13"/>
    <x v="9"/>
    <n v="41578"/>
    <x v="1"/>
    <x v="1"/>
    <x v="0"/>
    <x v="0"/>
  </r>
  <r>
    <x v="14"/>
    <x v="9"/>
    <n v="41578"/>
    <x v="1"/>
    <x v="1"/>
    <x v="0"/>
    <x v="0"/>
  </r>
  <r>
    <x v="15"/>
    <x v="9"/>
    <n v="41578"/>
    <x v="1"/>
    <x v="1"/>
    <x v="0"/>
    <x v="0"/>
  </r>
  <r>
    <x v="0"/>
    <x v="1"/>
    <n v="102.45"/>
    <x v="1"/>
    <x v="1"/>
    <x v="0"/>
    <x v="1"/>
  </r>
  <r>
    <x v="1"/>
    <x v="1"/>
    <n v="9.5"/>
    <x v="1"/>
    <x v="1"/>
    <x v="0"/>
    <x v="1"/>
  </r>
  <r>
    <x v="2"/>
    <x v="1"/>
    <n v="9.5"/>
    <x v="1"/>
    <x v="1"/>
    <x v="0"/>
    <x v="1"/>
  </r>
  <r>
    <x v="3"/>
    <x v="1"/>
    <n v="0"/>
    <x v="1"/>
    <x v="1"/>
    <x v="0"/>
    <x v="1"/>
  </r>
  <r>
    <x v="4"/>
    <x v="1"/>
    <n v="0"/>
    <x v="1"/>
    <x v="1"/>
    <x v="0"/>
    <x v="1"/>
  </r>
  <r>
    <x v="5"/>
    <x v="1"/>
    <n v="0"/>
    <x v="1"/>
    <x v="1"/>
    <x v="0"/>
    <x v="1"/>
  </r>
  <r>
    <x v="6"/>
    <x v="1"/>
    <n v="0"/>
    <x v="1"/>
    <x v="1"/>
    <x v="0"/>
    <x v="1"/>
  </r>
  <r>
    <x v="7"/>
    <x v="1"/>
    <n v="0"/>
    <x v="1"/>
    <x v="1"/>
    <x v="0"/>
    <x v="1"/>
  </r>
  <r>
    <x v="8"/>
    <x v="1"/>
    <n v="0"/>
    <x v="1"/>
    <x v="1"/>
    <x v="0"/>
    <x v="1"/>
  </r>
  <r>
    <x v="9"/>
    <x v="1"/>
    <n v="0"/>
    <x v="1"/>
    <x v="1"/>
    <x v="0"/>
    <x v="1"/>
  </r>
  <r>
    <x v="10"/>
    <x v="1"/>
    <n v="0"/>
    <x v="1"/>
    <x v="1"/>
    <x v="0"/>
    <x v="1"/>
  </r>
  <r>
    <x v="11"/>
    <x v="1"/>
    <n v="0"/>
    <x v="1"/>
    <x v="1"/>
    <x v="0"/>
    <x v="1"/>
  </r>
  <r>
    <x v="12"/>
    <x v="1"/>
    <n v="0"/>
    <x v="1"/>
    <x v="1"/>
    <x v="0"/>
    <x v="1"/>
  </r>
  <r>
    <x v="13"/>
    <x v="1"/>
    <n v="0"/>
    <x v="1"/>
    <x v="1"/>
    <x v="0"/>
    <x v="1"/>
  </r>
  <r>
    <x v="14"/>
    <x v="1"/>
    <n v="0"/>
    <x v="1"/>
    <x v="1"/>
    <x v="0"/>
    <x v="1"/>
  </r>
  <r>
    <x v="15"/>
    <x v="1"/>
    <n v="0"/>
    <x v="1"/>
    <x v="1"/>
    <x v="0"/>
    <x v="1"/>
  </r>
  <r>
    <x v="0"/>
    <x v="2"/>
    <n v="0"/>
    <x v="1"/>
    <x v="1"/>
    <x v="0"/>
    <x v="1"/>
  </r>
  <r>
    <x v="1"/>
    <x v="2"/>
    <n v="0"/>
    <x v="1"/>
    <x v="1"/>
    <x v="0"/>
    <x v="1"/>
  </r>
  <r>
    <x v="2"/>
    <x v="2"/>
    <n v="0"/>
    <x v="1"/>
    <x v="1"/>
    <x v="0"/>
    <x v="1"/>
  </r>
  <r>
    <x v="3"/>
    <x v="2"/>
    <n v="0"/>
    <x v="1"/>
    <x v="1"/>
    <x v="0"/>
    <x v="1"/>
  </r>
  <r>
    <x v="4"/>
    <x v="2"/>
    <n v="0"/>
    <x v="1"/>
    <x v="1"/>
    <x v="0"/>
    <x v="1"/>
  </r>
  <r>
    <x v="5"/>
    <x v="2"/>
    <n v="0"/>
    <x v="1"/>
    <x v="1"/>
    <x v="0"/>
    <x v="1"/>
  </r>
  <r>
    <x v="6"/>
    <x v="2"/>
    <n v="0"/>
    <x v="1"/>
    <x v="1"/>
    <x v="0"/>
    <x v="1"/>
  </r>
  <r>
    <x v="7"/>
    <x v="2"/>
    <n v="0"/>
    <x v="1"/>
    <x v="1"/>
    <x v="0"/>
    <x v="1"/>
  </r>
  <r>
    <x v="8"/>
    <x v="2"/>
    <n v="0"/>
    <x v="1"/>
    <x v="1"/>
    <x v="0"/>
    <x v="1"/>
  </r>
  <r>
    <x v="9"/>
    <x v="2"/>
    <n v="0"/>
    <x v="1"/>
    <x v="1"/>
    <x v="0"/>
    <x v="1"/>
  </r>
  <r>
    <x v="10"/>
    <x v="2"/>
    <n v="0"/>
    <x v="1"/>
    <x v="1"/>
    <x v="0"/>
    <x v="1"/>
  </r>
  <r>
    <x v="11"/>
    <x v="2"/>
    <n v="0"/>
    <x v="1"/>
    <x v="1"/>
    <x v="0"/>
    <x v="1"/>
  </r>
  <r>
    <x v="12"/>
    <x v="2"/>
    <n v="0"/>
    <x v="1"/>
    <x v="1"/>
    <x v="0"/>
    <x v="1"/>
  </r>
  <r>
    <x v="13"/>
    <x v="2"/>
    <n v="0"/>
    <x v="1"/>
    <x v="1"/>
    <x v="0"/>
    <x v="1"/>
  </r>
  <r>
    <x v="14"/>
    <x v="2"/>
    <n v="0"/>
    <x v="1"/>
    <x v="1"/>
    <x v="0"/>
    <x v="1"/>
  </r>
  <r>
    <x v="15"/>
    <x v="2"/>
    <n v="0"/>
    <x v="1"/>
    <x v="1"/>
    <x v="0"/>
    <x v="1"/>
  </r>
  <r>
    <x v="0"/>
    <x v="3"/>
    <n v="11059.73"/>
    <x v="1"/>
    <x v="1"/>
    <x v="0"/>
    <x v="1"/>
  </r>
  <r>
    <x v="1"/>
    <x v="3"/>
    <n v="0"/>
    <x v="1"/>
    <x v="1"/>
    <x v="0"/>
    <x v="1"/>
  </r>
  <r>
    <x v="2"/>
    <x v="3"/>
    <n v="0"/>
    <x v="1"/>
    <x v="1"/>
    <x v="0"/>
    <x v="1"/>
  </r>
  <r>
    <x v="3"/>
    <x v="3"/>
    <n v="0"/>
    <x v="1"/>
    <x v="1"/>
    <x v="0"/>
    <x v="1"/>
  </r>
  <r>
    <x v="4"/>
    <x v="3"/>
    <n v="0"/>
    <x v="1"/>
    <x v="1"/>
    <x v="0"/>
    <x v="1"/>
  </r>
  <r>
    <x v="5"/>
    <x v="3"/>
    <n v="0"/>
    <x v="1"/>
    <x v="1"/>
    <x v="0"/>
    <x v="1"/>
  </r>
  <r>
    <x v="6"/>
    <x v="3"/>
    <n v="0"/>
    <x v="1"/>
    <x v="1"/>
    <x v="0"/>
    <x v="1"/>
  </r>
  <r>
    <x v="7"/>
    <x v="3"/>
    <n v="0"/>
    <x v="1"/>
    <x v="1"/>
    <x v="0"/>
    <x v="1"/>
  </r>
  <r>
    <x v="8"/>
    <x v="3"/>
    <n v="0"/>
    <x v="1"/>
    <x v="1"/>
    <x v="0"/>
    <x v="1"/>
  </r>
  <r>
    <x v="9"/>
    <x v="3"/>
    <n v="0"/>
    <x v="1"/>
    <x v="1"/>
    <x v="0"/>
    <x v="1"/>
  </r>
  <r>
    <x v="10"/>
    <x v="3"/>
    <n v="0"/>
    <x v="1"/>
    <x v="1"/>
    <x v="0"/>
    <x v="1"/>
  </r>
  <r>
    <x v="11"/>
    <x v="3"/>
    <n v="0"/>
    <x v="1"/>
    <x v="1"/>
    <x v="0"/>
    <x v="1"/>
  </r>
  <r>
    <x v="12"/>
    <x v="3"/>
    <n v="0"/>
    <x v="1"/>
    <x v="1"/>
    <x v="0"/>
    <x v="1"/>
  </r>
  <r>
    <x v="13"/>
    <x v="3"/>
    <n v="0"/>
    <x v="1"/>
    <x v="1"/>
    <x v="0"/>
    <x v="1"/>
  </r>
  <r>
    <x v="14"/>
    <x v="3"/>
    <n v="0"/>
    <x v="1"/>
    <x v="1"/>
    <x v="0"/>
    <x v="1"/>
  </r>
  <r>
    <x v="15"/>
    <x v="3"/>
    <n v="0"/>
    <x v="1"/>
    <x v="1"/>
    <x v="0"/>
    <x v="1"/>
  </r>
  <r>
    <x v="0"/>
    <x v="4"/>
    <n v="0"/>
    <x v="1"/>
    <x v="1"/>
    <x v="0"/>
    <x v="1"/>
  </r>
  <r>
    <x v="1"/>
    <x v="4"/>
    <n v="0"/>
    <x v="1"/>
    <x v="1"/>
    <x v="0"/>
    <x v="1"/>
  </r>
  <r>
    <x v="2"/>
    <x v="4"/>
    <n v="0"/>
    <x v="1"/>
    <x v="1"/>
    <x v="0"/>
    <x v="1"/>
  </r>
  <r>
    <x v="3"/>
    <x v="4"/>
    <n v="0"/>
    <x v="1"/>
    <x v="1"/>
    <x v="0"/>
    <x v="1"/>
  </r>
  <r>
    <x v="4"/>
    <x v="4"/>
    <n v="0"/>
    <x v="1"/>
    <x v="1"/>
    <x v="0"/>
    <x v="1"/>
  </r>
  <r>
    <x v="5"/>
    <x v="4"/>
    <n v="193.77699999999999"/>
    <x v="1"/>
    <x v="1"/>
    <x v="0"/>
    <x v="1"/>
  </r>
  <r>
    <x v="6"/>
    <x v="4"/>
    <n v="193.77699999999999"/>
    <x v="1"/>
    <x v="1"/>
    <x v="0"/>
    <x v="1"/>
  </r>
  <r>
    <x v="7"/>
    <x v="4"/>
    <n v="19.6648"/>
    <x v="1"/>
    <x v="1"/>
    <x v="0"/>
    <x v="1"/>
  </r>
  <r>
    <x v="8"/>
    <x v="4"/>
    <n v="19.6648"/>
    <x v="1"/>
    <x v="1"/>
    <x v="0"/>
    <x v="1"/>
  </r>
  <r>
    <x v="9"/>
    <x v="4"/>
    <n v="0"/>
    <x v="1"/>
    <x v="1"/>
    <x v="0"/>
    <x v="1"/>
  </r>
  <r>
    <x v="10"/>
    <x v="4"/>
    <n v="0"/>
    <x v="1"/>
    <x v="1"/>
    <x v="0"/>
    <x v="1"/>
  </r>
  <r>
    <x v="11"/>
    <x v="4"/>
    <n v="0"/>
    <x v="1"/>
    <x v="1"/>
    <x v="0"/>
    <x v="1"/>
  </r>
  <r>
    <x v="12"/>
    <x v="4"/>
    <n v="0"/>
    <x v="1"/>
    <x v="1"/>
    <x v="0"/>
    <x v="1"/>
  </r>
  <r>
    <x v="13"/>
    <x v="4"/>
    <n v="0"/>
    <x v="1"/>
    <x v="1"/>
    <x v="0"/>
    <x v="1"/>
  </r>
  <r>
    <x v="14"/>
    <x v="4"/>
    <n v="0"/>
    <x v="1"/>
    <x v="1"/>
    <x v="0"/>
    <x v="1"/>
  </r>
  <r>
    <x v="15"/>
    <x v="4"/>
    <n v="0"/>
    <x v="1"/>
    <x v="1"/>
    <x v="0"/>
    <x v="1"/>
  </r>
  <r>
    <x v="0"/>
    <x v="5"/>
    <n v="3671.5"/>
    <x v="1"/>
    <x v="1"/>
    <x v="0"/>
    <x v="1"/>
  </r>
  <r>
    <x v="1"/>
    <x v="5"/>
    <n v="0"/>
    <x v="1"/>
    <x v="1"/>
    <x v="0"/>
    <x v="1"/>
  </r>
  <r>
    <x v="2"/>
    <x v="5"/>
    <n v="0"/>
    <x v="1"/>
    <x v="1"/>
    <x v="0"/>
    <x v="1"/>
  </r>
  <r>
    <x v="3"/>
    <x v="5"/>
    <n v="52"/>
    <x v="1"/>
    <x v="1"/>
    <x v="0"/>
    <x v="1"/>
  </r>
  <r>
    <x v="4"/>
    <x v="5"/>
    <n v="52"/>
    <x v="1"/>
    <x v="1"/>
    <x v="0"/>
    <x v="1"/>
  </r>
  <r>
    <x v="5"/>
    <x v="5"/>
    <n v="24.7361"/>
    <x v="1"/>
    <x v="1"/>
    <x v="0"/>
    <x v="1"/>
  </r>
  <r>
    <x v="6"/>
    <x v="5"/>
    <n v="24.7361"/>
    <x v="1"/>
    <x v="1"/>
    <x v="0"/>
    <x v="1"/>
  </r>
  <r>
    <x v="7"/>
    <x v="5"/>
    <n v="47.413899999999998"/>
    <x v="1"/>
    <x v="1"/>
    <x v="0"/>
    <x v="1"/>
  </r>
  <r>
    <x v="8"/>
    <x v="5"/>
    <n v="47.413899999999998"/>
    <x v="1"/>
    <x v="1"/>
    <x v="0"/>
    <x v="1"/>
  </r>
  <r>
    <x v="9"/>
    <x v="5"/>
    <n v="6.5"/>
    <x v="1"/>
    <x v="1"/>
    <x v="0"/>
    <x v="1"/>
  </r>
  <r>
    <x v="10"/>
    <x v="5"/>
    <n v="6.5"/>
    <x v="1"/>
    <x v="1"/>
    <x v="0"/>
    <x v="1"/>
  </r>
  <r>
    <x v="11"/>
    <x v="5"/>
    <n v="14.895"/>
    <x v="1"/>
    <x v="1"/>
    <x v="0"/>
    <x v="1"/>
  </r>
  <r>
    <x v="12"/>
    <x v="5"/>
    <n v="14.895"/>
    <x v="1"/>
    <x v="1"/>
    <x v="0"/>
    <x v="1"/>
  </r>
  <r>
    <x v="13"/>
    <x v="5"/>
    <n v="19"/>
    <x v="1"/>
    <x v="1"/>
    <x v="0"/>
    <x v="1"/>
  </r>
  <r>
    <x v="14"/>
    <x v="5"/>
    <n v="19"/>
    <x v="1"/>
    <x v="1"/>
    <x v="0"/>
    <x v="1"/>
  </r>
  <r>
    <x v="15"/>
    <x v="5"/>
    <n v="19"/>
    <x v="1"/>
    <x v="1"/>
    <x v="0"/>
    <x v="1"/>
  </r>
  <r>
    <x v="0"/>
    <x v="6"/>
    <n v="232.5"/>
    <x v="1"/>
    <x v="1"/>
    <x v="0"/>
    <x v="1"/>
  </r>
  <r>
    <x v="1"/>
    <x v="6"/>
    <n v="1100"/>
    <x v="1"/>
    <x v="1"/>
    <x v="0"/>
    <x v="1"/>
  </r>
  <r>
    <x v="2"/>
    <x v="6"/>
    <n v="1100"/>
    <x v="1"/>
    <x v="1"/>
    <x v="0"/>
    <x v="1"/>
  </r>
  <r>
    <x v="3"/>
    <x v="6"/>
    <n v="0"/>
    <x v="1"/>
    <x v="1"/>
    <x v="0"/>
    <x v="1"/>
  </r>
  <r>
    <x v="4"/>
    <x v="6"/>
    <n v="0"/>
    <x v="1"/>
    <x v="1"/>
    <x v="0"/>
    <x v="1"/>
  </r>
  <r>
    <x v="5"/>
    <x v="6"/>
    <n v="0"/>
    <x v="1"/>
    <x v="1"/>
    <x v="0"/>
    <x v="1"/>
  </r>
  <r>
    <x v="6"/>
    <x v="6"/>
    <n v="0"/>
    <x v="1"/>
    <x v="1"/>
    <x v="0"/>
    <x v="1"/>
  </r>
  <r>
    <x v="7"/>
    <x v="6"/>
    <n v="0"/>
    <x v="1"/>
    <x v="1"/>
    <x v="0"/>
    <x v="1"/>
  </r>
  <r>
    <x v="8"/>
    <x v="6"/>
    <n v="0"/>
    <x v="1"/>
    <x v="1"/>
    <x v="0"/>
    <x v="1"/>
  </r>
  <r>
    <x v="9"/>
    <x v="6"/>
    <n v="0"/>
    <x v="1"/>
    <x v="1"/>
    <x v="0"/>
    <x v="1"/>
  </r>
  <r>
    <x v="10"/>
    <x v="6"/>
    <n v="0"/>
    <x v="1"/>
    <x v="1"/>
    <x v="0"/>
    <x v="1"/>
  </r>
  <r>
    <x v="11"/>
    <x v="6"/>
    <n v="0"/>
    <x v="1"/>
    <x v="1"/>
    <x v="0"/>
    <x v="1"/>
  </r>
  <r>
    <x v="12"/>
    <x v="6"/>
    <n v="0"/>
    <x v="1"/>
    <x v="1"/>
    <x v="0"/>
    <x v="1"/>
  </r>
  <r>
    <x v="13"/>
    <x v="6"/>
    <n v="0"/>
    <x v="1"/>
    <x v="1"/>
    <x v="0"/>
    <x v="1"/>
  </r>
  <r>
    <x v="14"/>
    <x v="6"/>
    <n v="0"/>
    <x v="1"/>
    <x v="1"/>
    <x v="0"/>
    <x v="1"/>
  </r>
  <r>
    <x v="15"/>
    <x v="6"/>
    <n v="0"/>
    <x v="1"/>
    <x v="1"/>
    <x v="0"/>
    <x v="1"/>
  </r>
  <r>
    <x v="0"/>
    <x v="7"/>
    <n v="14.85"/>
    <x v="1"/>
    <x v="1"/>
    <x v="0"/>
    <x v="1"/>
  </r>
  <r>
    <x v="1"/>
    <x v="7"/>
    <n v="0"/>
    <x v="1"/>
    <x v="1"/>
    <x v="0"/>
    <x v="1"/>
  </r>
  <r>
    <x v="2"/>
    <x v="7"/>
    <n v="0"/>
    <x v="1"/>
    <x v="1"/>
    <x v="0"/>
    <x v="1"/>
  </r>
  <r>
    <x v="3"/>
    <x v="7"/>
    <n v="0"/>
    <x v="1"/>
    <x v="1"/>
    <x v="0"/>
    <x v="1"/>
  </r>
  <r>
    <x v="4"/>
    <x v="7"/>
    <n v="0"/>
    <x v="1"/>
    <x v="1"/>
    <x v="0"/>
    <x v="1"/>
  </r>
  <r>
    <x v="5"/>
    <x v="7"/>
    <n v="0"/>
    <x v="1"/>
    <x v="1"/>
    <x v="0"/>
    <x v="1"/>
  </r>
  <r>
    <x v="6"/>
    <x v="7"/>
    <n v="0"/>
    <x v="1"/>
    <x v="1"/>
    <x v="0"/>
    <x v="1"/>
  </r>
  <r>
    <x v="7"/>
    <x v="7"/>
    <n v="0"/>
    <x v="1"/>
    <x v="1"/>
    <x v="0"/>
    <x v="1"/>
  </r>
  <r>
    <x v="8"/>
    <x v="7"/>
    <n v="0"/>
    <x v="1"/>
    <x v="1"/>
    <x v="0"/>
    <x v="1"/>
  </r>
  <r>
    <x v="9"/>
    <x v="7"/>
    <n v="0"/>
    <x v="1"/>
    <x v="1"/>
    <x v="0"/>
    <x v="1"/>
  </r>
  <r>
    <x v="10"/>
    <x v="7"/>
    <n v="0"/>
    <x v="1"/>
    <x v="1"/>
    <x v="0"/>
    <x v="1"/>
  </r>
  <r>
    <x v="11"/>
    <x v="7"/>
    <n v="0"/>
    <x v="1"/>
    <x v="1"/>
    <x v="0"/>
    <x v="1"/>
  </r>
  <r>
    <x v="12"/>
    <x v="7"/>
    <n v="0"/>
    <x v="1"/>
    <x v="1"/>
    <x v="0"/>
    <x v="1"/>
  </r>
  <r>
    <x v="13"/>
    <x v="7"/>
    <n v="0"/>
    <x v="1"/>
    <x v="1"/>
    <x v="0"/>
    <x v="1"/>
  </r>
  <r>
    <x v="14"/>
    <x v="7"/>
    <n v="0"/>
    <x v="1"/>
    <x v="1"/>
    <x v="0"/>
    <x v="1"/>
  </r>
  <r>
    <x v="15"/>
    <x v="7"/>
    <n v="0"/>
    <x v="1"/>
    <x v="1"/>
    <x v="0"/>
    <x v="1"/>
  </r>
  <r>
    <x v="0"/>
    <x v="8"/>
    <n v="13030.8"/>
    <x v="1"/>
    <x v="1"/>
    <x v="0"/>
    <x v="1"/>
  </r>
  <r>
    <x v="1"/>
    <x v="8"/>
    <n v="33148.9"/>
    <x v="1"/>
    <x v="1"/>
    <x v="0"/>
    <x v="1"/>
  </r>
  <r>
    <x v="2"/>
    <x v="8"/>
    <n v="33148.9"/>
    <x v="1"/>
    <x v="1"/>
    <x v="0"/>
    <x v="1"/>
  </r>
  <r>
    <x v="3"/>
    <x v="8"/>
    <n v="30118.7"/>
    <x v="1"/>
    <x v="1"/>
    <x v="0"/>
    <x v="1"/>
  </r>
  <r>
    <x v="4"/>
    <x v="8"/>
    <n v="30118.7"/>
    <x v="1"/>
    <x v="1"/>
    <x v="0"/>
    <x v="1"/>
  </r>
  <r>
    <x v="5"/>
    <x v="8"/>
    <n v="18511.5"/>
    <x v="1"/>
    <x v="1"/>
    <x v="0"/>
    <x v="1"/>
  </r>
  <r>
    <x v="6"/>
    <x v="8"/>
    <n v="18511.5"/>
    <x v="1"/>
    <x v="1"/>
    <x v="0"/>
    <x v="1"/>
  </r>
  <r>
    <x v="7"/>
    <x v="8"/>
    <n v="28508.799999999999"/>
    <x v="1"/>
    <x v="1"/>
    <x v="0"/>
    <x v="1"/>
  </r>
  <r>
    <x v="8"/>
    <x v="8"/>
    <n v="28508.799999999999"/>
    <x v="1"/>
    <x v="1"/>
    <x v="0"/>
    <x v="1"/>
  </r>
  <r>
    <x v="9"/>
    <x v="8"/>
    <n v="27799.599999999999"/>
    <x v="1"/>
    <x v="1"/>
    <x v="0"/>
    <x v="1"/>
  </r>
  <r>
    <x v="10"/>
    <x v="8"/>
    <n v="27799.599999999999"/>
    <x v="1"/>
    <x v="1"/>
    <x v="0"/>
    <x v="1"/>
  </r>
  <r>
    <x v="11"/>
    <x v="8"/>
    <n v="25922.400000000001"/>
    <x v="1"/>
    <x v="1"/>
    <x v="0"/>
    <x v="1"/>
  </r>
  <r>
    <x v="12"/>
    <x v="8"/>
    <n v="25922.400000000001"/>
    <x v="1"/>
    <x v="1"/>
    <x v="0"/>
    <x v="1"/>
  </r>
  <r>
    <x v="13"/>
    <x v="8"/>
    <n v="18914.599999999999"/>
    <x v="1"/>
    <x v="1"/>
    <x v="0"/>
    <x v="1"/>
  </r>
  <r>
    <x v="14"/>
    <x v="8"/>
    <n v="18914.599999999999"/>
    <x v="1"/>
    <x v="1"/>
    <x v="0"/>
    <x v="1"/>
  </r>
  <r>
    <x v="15"/>
    <x v="8"/>
    <n v="18914.599999999999"/>
    <x v="1"/>
    <x v="1"/>
    <x v="0"/>
    <x v="1"/>
  </r>
  <r>
    <x v="0"/>
    <x v="9"/>
    <n v="13276.8"/>
    <x v="1"/>
    <x v="1"/>
    <x v="0"/>
    <x v="1"/>
  </r>
  <r>
    <x v="1"/>
    <x v="9"/>
    <n v="25639"/>
    <x v="1"/>
    <x v="1"/>
    <x v="0"/>
    <x v="1"/>
  </r>
  <r>
    <x v="2"/>
    <x v="9"/>
    <n v="25639"/>
    <x v="1"/>
    <x v="1"/>
    <x v="0"/>
    <x v="1"/>
  </r>
  <r>
    <x v="3"/>
    <x v="9"/>
    <n v="21830.799999999999"/>
    <x v="1"/>
    <x v="1"/>
    <x v="0"/>
    <x v="1"/>
  </r>
  <r>
    <x v="4"/>
    <x v="9"/>
    <n v="21830.799999999999"/>
    <x v="1"/>
    <x v="1"/>
    <x v="0"/>
    <x v="1"/>
  </r>
  <r>
    <x v="5"/>
    <x v="9"/>
    <n v="37532.5"/>
    <x v="1"/>
    <x v="1"/>
    <x v="0"/>
    <x v="1"/>
  </r>
  <r>
    <x v="6"/>
    <x v="9"/>
    <n v="37532.5"/>
    <x v="1"/>
    <x v="1"/>
    <x v="0"/>
    <x v="1"/>
  </r>
  <r>
    <x v="7"/>
    <x v="9"/>
    <n v="33391.300000000003"/>
    <x v="1"/>
    <x v="1"/>
    <x v="0"/>
    <x v="1"/>
  </r>
  <r>
    <x v="8"/>
    <x v="9"/>
    <n v="33391.300000000003"/>
    <x v="1"/>
    <x v="1"/>
    <x v="0"/>
    <x v="1"/>
  </r>
  <r>
    <x v="9"/>
    <x v="9"/>
    <n v="36035"/>
    <x v="1"/>
    <x v="1"/>
    <x v="0"/>
    <x v="1"/>
  </r>
  <r>
    <x v="10"/>
    <x v="9"/>
    <n v="36035"/>
    <x v="1"/>
    <x v="1"/>
    <x v="0"/>
    <x v="1"/>
  </r>
  <r>
    <x v="11"/>
    <x v="9"/>
    <n v="51090.8"/>
    <x v="1"/>
    <x v="1"/>
    <x v="0"/>
    <x v="1"/>
  </r>
  <r>
    <x v="12"/>
    <x v="9"/>
    <n v="51090.8"/>
    <x v="1"/>
    <x v="1"/>
    <x v="0"/>
    <x v="1"/>
  </r>
  <r>
    <x v="13"/>
    <x v="9"/>
    <n v="63882.6"/>
    <x v="1"/>
    <x v="1"/>
    <x v="0"/>
    <x v="1"/>
  </r>
  <r>
    <x v="14"/>
    <x v="9"/>
    <n v="63882.6"/>
    <x v="1"/>
    <x v="1"/>
    <x v="0"/>
    <x v="1"/>
  </r>
  <r>
    <x v="15"/>
    <x v="9"/>
    <n v="63882.6"/>
    <x v="1"/>
    <x v="1"/>
    <x v="0"/>
    <x v="1"/>
  </r>
  <r>
    <x v="0"/>
    <x v="1"/>
    <n v="102.45"/>
    <x v="1"/>
    <x v="1"/>
    <x v="0"/>
    <x v="2"/>
  </r>
  <r>
    <x v="1"/>
    <x v="1"/>
    <n v="9.5"/>
    <x v="1"/>
    <x v="1"/>
    <x v="0"/>
    <x v="2"/>
  </r>
  <r>
    <x v="2"/>
    <x v="1"/>
    <n v="9.5"/>
    <x v="1"/>
    <x v="1"/>
    <x v="0"/>
    <x v="2"/>
  </r>
  <r>
    <x v="3"/>
    <x v="1"/>
    <n v="0"/>
    <x v="1"/>
    <x v="1"/>
    <x v="0"/>
    <x v="2"/>
  </r>
  <r>
    <x v="4"/>
    <x v="1"/>
    <n v="0"/>
    <x v="1"/>
    <x v="1"/>
    <x v="0"/>
    <x v="2"/>
  </r>
  <r>
    <x v="5"/>
    <x v="1"/>
    <n v="0"/>
    <x v="1"/>
    <x v="1"/>
    <x v="0"/>
    <x v="2"/>
  </r>
  <r>
    <x v="6"/>
    <x v="1"/>
    <n v="0"/>
    <x v="1"/>
    <x v="1"/>
    <x v="0"/>
    <x v="2"/>
  </r>
  <r>
    <x v="7"/>
    <x v="1"/>
    <n v="0"/>
    <x v="1"/>
    <x v="1"/>
    <x v="0"/>
    <x v="2"/>
  </r>
  <r>
    <x v="8"/>
    <x v="1"/>
    <n v="0"/>
    <x v="1"/>
    <x v="1"/>
    <x v="0"/>
    <x v="2"/>
  </r>
  <r>
    <x v="9"/>
    <x v="1"/>
    <n v="0"/>
    <x v="1"/>
    <x v="1"/>
    <x v="0"/>
    <x v="2"/>
  </r>
  <r>
    <x v="10"/>
    <x v="1"/>
    <n v="0"/>
    <x v="1"/>
    <x v="1"/>
    <x v="0"/>
    <x v="2"/>
  </r>
  <r>
    <x v="11"/>
    <x v="1"/>
    <n v="0"/>
    <x v="1"/>
    <x v="1"/>
    <x v="0"/>
    <x v="2"/>
  </r>
  <r>
    <x v="12"/>
    <x v="1"/>
    <n v="0"/>
    <x v="1"/>
    <x v="1"/>
    <x v="0"/>
    <x v="2"/>
  </r>
  <r>
    <x v="13"/>
    <x v="1"/>
    <n v="0"/>
    <x v="1"/>
    <x v="1"/>
    <x v="0"/>
    <x v="2"/>
  </r>
  <r>
    <x v="14"/>
    <x v="1"/>
    <n v="0"/>
    <x v="1"/>
    <x v="1"/>
    <x v="0"/>
    <x v="2"/>
  </r>
  <r>
    <x v="15"/>
    <x v="1"/>
    <n v="0"/>
    <x v="1"/>
    <x v="1"/>
    <x v="0"/>
    <x v="2"/>
  </r>
  <r>
    <x v="0"/>
    <x v="2"/>
    <n v="0"/>
    <x v="1"/>
    <x v="1"/>
    <x v="0"/>
    <x v="2"/>
  </r>
  <r>
    <x v="1"/>
    <x v="2"/>
    <n v="0"/>
    <x v="1"/>
    <x v="1"/>
    <x v="0"/>
    <x v="2"/>
  </r>
  <r>
    <x v="2"/>
    <x v="2"/>
    <n v="0"/>
    <x v="1"/>
    <x v="1"/>
    <x v="0"/>
    <x v="2"/>
  </r>
  <r>
    <x v="3"/>
    <x v="2"/>
    <n v="0"/>
    <x v="1"/>
    <x v="1"/>
    <x v="0"/>
    <x v="2"/>
  </r>
  <r>
    <x v="4"/>
    <x v="2"/>
    <n v="0"/>
    <x v="1"/>
    <x v="1"/>
    <x v="0"/>
    <x v="2"/>
  </r>
  <r>
    <x v="5"/>
    <x v="2"/>
    <n v="0"/>
    <x v="1"/>
    <x v="1"/>
    <x v="0"/>
    <x v="2"/>
  </r>
  <r>
    <x v="6"/>
    <x v="2"/>
    <n v="0"/>
    <x v="1"/>
    <x v="1"/>
    <x v="0"/>
    <x v="2"/>
  </r>
  <r>
    <x v="7"/>
    <x v="2"/>
    <n v="0"/>
    <x v="1"/>
    <x v="1"/>
    <x v="0"/>
    <x v="2"/>
  </r>
  <r>
    <x v="8"/>
    <x v="2"/>
    <n v="0"/>
    <x v="1"/>
    <x v="1"/>
    <x v="0"/>
    <x v="2"/>
  </r>
  <r>
    <x v="9"/>
    <x v="2"/>
    <n v="0"/>
    <x v="1"/>
    <x v="1"/>
    <x v="0"/>
    <x v="2"/>
  </r>
  <r>
    <x v="10"/>
    <x v="2"/>
    <n v="0"/>
    <x v="1"/>
    <x v="1"/>
    <x v="0"/>
    <x v="2"/>
  </r>
  <r>
    <x v="11"/>
    <x v="2"/>
    <n v="0"/>
    <x v="1"/>
    <x v="1"/>
    <x v="0"/>
    <x v="2"/>
  </r>
  <r>
    <x v="12"/>
    <x v="2"/>
    <n v="0"/>
    <x v="1"/>
    <x v="1"/>
    <x v="0"/>
    <x v="2"/>
  </r>
  <r>
    <x v="13"/>
    <x v="2"/>
    <n v="0"/>
    <x v="1"/>
    <x v="1"/>
    <x v="0"/>
    <x v="2"/>
  </r>
  <r>
    <x v="14"/>
    <x v="2"/>
    <n v="0"/>
    <x v="1"/>
    <x v="1"/>
    <x v="0"/>
    <x v="2"/>
  </r>
  <r>
    <x v="15"/>
    <x v="2"/>
    <n v="0"/>
    <x v="1"/>
    <x v="1"/>
    <x v="0"/>
    <x v="2"/>
  </r>
  <r>
    <x v="0"/>
    <x v="3"/>
    <n v="11059.73"/>
    <x v="1"/>
    <x v="1"/>
    <x v="0"/>
    <x v="2"/>
  </r>
  <r>
    <x v="1"/>
    <x v="3"/>
    <n v="0"/>
    <x v="1"/>
    <x v="1"/>
    <x v="0"/>
    <x v="2"/>
  </r>
  <r>
    <x v="2"/>
    <x v="3"/>
    <n v="0"/>
    <x v="1"/>
    <x v="1"/>
    <x v="0"/>
    <x v="2"/>
  </r>
  <r>
    <x v="3"/>
    <x v="3"/>
    <n v="0"/>
    <x v="1"/>
    <x v="1"/>
    <x v="0"/>
    <x v="2"/>
  </r>
  <r>
    <x v="4"/>
    <x v="3"/>
    <n v="0"/>
    <x v="1"/>
    <x v="1"/>
    <x v="0"/>
    <x v="2"/>
  </r>
  <r>
    <x v="5"/>
    <x v="3"/>
    <n v="0"/>
    <x v="1"/>
    <x v="1"/>
    <x v="0"/>
    <x v="2"/>
  </r>
  <r>
    <x v="6"/>
    <x v="3"/>
    <n v="0"/>
    <x v="1"/>
    <x v="1"/>
    <x v="0"/>
    <x v="2"/>
  </r>
  <r>
    <x v="7"/>
    <x v="3"/>
    <n v="0"/>
    <x v="1"/>
    <x v="1"/>
    <x v="0"/>
    <x v="2"/>
  </r>
  <r>
    <x v="8"/>
    <x v="3"/>
    <n v="0"/>
    <x v="1"/>
    <x v="1"/>
    <x v="0"/>
    <x v="2"/>
  </r>
  <r>
    <x v="9"/>
    <x v="3"/>
    <n v="0"/>
    <x v="1"/>
    <x v="1"/>
    <x v="0"/>
    <x v="2"/>
  </r>
  <r>
    <x v="10"/>
    <x v="3"/>
    <n v="0"/>
    <x v="1"/>
    <x v="1"/>
    <x v="0"/>
    <x v="2"/>
  </r>
  <r>
    <x v="11"/>
    <x v="3"/>
    <n v="0"/>
    <x v="1"/>
    <x v="1"/>
    <x v="0"/>
    <x v="2"/>
  </r>
  <r>
    <x v="12"/>
    <x v="3"/>
    <n v="0"/>
    <x v="1"/>
    <x v="1"/>
    <x v="0"/>
    <x v="2"/>
  </r>
  <r>
    <x v="13"/>
    <x v="3"/>
    <n v="0"/>
    <x v="1"/>
    <x v="1"/>
    <x v="0"/>
    <x v="2"/>
  </r>
  <r>
    <x v="14"/>
    <x v="3"/>
    <n v="0"/>
    <x v="1"/>
    <x v="1"/>
    <x v="0"/>
    <x v="2"/>
  </r>
  <r>
    <x v="15"/>
    <x v="3"/>
    <n v="0"/>
    <x v="1"/>
    <x v="1"/>
    <x v="0"/>
    <x v="2"/>
  </r>
  <r>
    <x v="0"/>
    <x v="4"/>
    <n v="0"/>
    <x v="1"/>
    <x v="1"/>
    <x v="0"/>
    <x v="2"/>
  </r>
  <r>
    <x v="1"/>
    <x v="4"/>
    <n v="0"/>
    <x v="1"/>
    <x v="1"/>
    <x v="0"/>
    <x v="2"/>
  </r>
  <r>
    <x v="2"/>
    <x v="4"/>
    <n v="0"/>
    <x v="1"/>
    <x v="1"/>
    <x v="0"/>
    <x v="2"/>
  </r>
  <r>
    <x v="3"/>
    <x v="4"/>
    <n v="0"/>
    <x v="1"/>
    <x v="1"/>
    <x v="0"/>
    <x v="2"/>
  </r>
  <r>
    <x v="4"/>
    <x v="4"/>
    <n v="0"/>
    <x v="1"/>
    <x v="1"/>
    <x v="0"/>
    <x v="2"/>
  </r>
  <r>
    <x v="5"/>
    <x v="4"/>
    <n v="0"/>
    <x v="1"/>
    <x v="1"/>
    <x v="0"/>
    <x v="2"/>
  </r>
  <r>
    <x v="6"/>
    <x v="4"/>
    <n v="0"/>
    <x v="1"/>
    <x v="1"/>
    <x v="0"/>
    <x v="2"/>
  </r>
  <r>
    <x v="7"/>
    <x v="4"/>
    <n v="0"/>
    <x v="1"/>
    <x v="1"/>
    <x v="0"/>
    <x v="2"/>
  </r>
  <r>
    <x v="8"/>
    <x v="4"/>
    <n v="0"/>
    <x v="1"/>
    <x v="1"/>
    <x v="0"/>
    <x v="2"/>
  </r>
  <r>
    <x v="9"/>
    <x v="4"/>
    <n v="0"/>
    <x v="1"/>
    <x v="1"/>
    <x v="0"/>
    <x v="2"/>
  </r>
  <r>
    <x v="10"/>
    <x v="4"/>
    <n v="0"/>
    <x v="1"/>
    <x v="1"/>
    <x v="0"/>
    <x v="2"/>
  </r>
  <r>
    <x v="11"/>
    <x v="4"/>
    <n v="0"/>
    <x v="1"/>
    <x v="1"/>
    <x v="0"/>
    <x v="2"/>
  </r>
  <r>
    <x v="12"/>
    <x v="4"/>
    <n v="0"/>
    <x v="1"/>
    <x v="1"/>
    <x v="0"/>
    <x v="2"/>
  </r>
  <r>
    <x v="13"/>
    <x v="4"/>
    <n v="0"/>
    <x v="1"/>
    <x v="1"/>
    <x v="0"/>
    <x v="2"/>
  </r>
  <r>
    <x v="14"/>
    <x v="4"/>
    <n v="0"/>
    <x v="1"/>
    <x v="1"/>
    <x v="0"/>
    <x v="2"/>
  </r>
  <r>
    <x v="15"/>
    <x v="4"/>
    <n v="0"/>
    <x v="1"/>
    <x v="1"/>
    <x v="0"/>
    <x v="2"/>
  </r>
  <r>
    <x v="0"/>
    <x v="5"/>
    <n v="2623.38"/>
    <x v="1"/>
    <x v="1"/>
    <x v="0"/>
    <x v="2"/>
  </r>
  <r>
    <x v="1"/>
    <x v="5"/>
    <n v="0"/>
    <x v="1"/>
    <x v="1"/>
    <x v="0"/>
    <x v="2"/>
  </r>
  <r>
    <x v="2"/>
    <x v="5"/>
    <n v="0"/>
    <x v="1"/>
    <x v="1"/>
    <x v="0"/>
    <x v="2"/>
  </r>
  <r>
    <x v="3"/>
    <x v="5"/>
    <n v="35"/>
    <x v="1"/>
    <x v="1"/>
    <x v="0"/>
    <x v="2"/>
  </r>
  <r>
    <x v="4"/>
    <x v="5"/>
    <n v="35"/>
    <x v="1"/>
    <x v="1"/>
    <x v="0"/>
    <x v="2"/>
  </r>
  <r>
    <x v="5"/>
    <x v="5"/>
    <n v="44.5"/>
    <x v="1"/>
    <x v="1"/>
    <x v="0"/>
    <x v="2"/>
  </r>
  <r>
    <x v="6"/>
    <x v="5"/>
    <n v="44.5"/>
    <x v="1"/>
    <x v="1"/>
    <x v="0"/>
    <x v="2"/>
  </r>
  <r>
    <x v="7"/>
    <x v="5"/>
    <n v="25"/>
    <x v="1"/>
    <x v="1"/>
    <x v="0"/>
    <x v="2"/>
  </r>
  <r>
    <x v="8"/>
    <x v="5"/>
    <n v="25"/>
    <x v="1"/>
    <x v="1"/>
    <x v="0"/>
    <x v="2"/>
  </r>
  <r>
    <x v="9"/>
    <x v="5"/>
    <n v="29.5"/>
    <x v="1"/>
    <x v="1"/>
    <x v="0"/>
    <x v="2"/>
  </r>
  <r>
    <x v="10"/>
    <x v="5"/>
    <n v="29.5"/>
    <x v="1"/>
    <x v="1"/>
    <x v="0"/>
    <x v="2"/>
  </r>
  <r>
    <x v="11"/>
    <x v="5"/>
    <n v="20.895"/>
    <x v="1"/>
    <x v="1"/>
    <x v="0"/>
    <x v="2"/>
  </r>
  <r>
    <x v="12"/>
    <x v="5"/>
    <n v="20.895"/>
    <x v="1"/>
    <x v="1"/>
    <x v="0"/>
    <x v="2"/>
  </r>
  <r>
    <x v="13"/>
    <x v="5"/>
    <n v="12.666700000000001"/>
    <x v="1"/>
    <x v="1"/>
    <x v="0"/>
    <x v="2"/>
  </r>
  <r>
    <x v="14"/>
    <x v="5"/>
    <n v="12.666700000000001"/>
    <x v="1"/>
    <x v="1"/>
    <x v="0"/>
    <x v="2"/>
  </r>
  <r>
    <x v="15"/>
    <x v="5"/>
    <n v="12.666700000000001"/>
    <x v="1"/>
    <x v="1"/>
    <x v="0"/>
    <x v="2"/>
  </r>
  <r>
    <x v="0"/>
    <x v="6"/>
    <n v="232.5"/>
    <x v="1"/>
    <x v="1"/>
    <x v="0"/>
    <x v="2"/>
  </r>
  <r>
    <x v="1"/>
    <x v="6"/>
    <n v="1100"/>
    <x v="1"/>
    <x v="1"/>
    <x v="0"/>
    <x v="2"/>
  </r>
  <r>
    <x v="2"/>
    <x v="6"/>
    <n v="1100"/>
    <x v="1"/>
    <x v="1"/>
    <x v="0"/>
    <x v="2"/>
  </r>
  <r>
    <x v="3"/>
    <x v="6"/>
    <n v="0"/>
    <x v="1"/>
    <x v="1"/>
    <x v="0"/>
    <x v="2"/>
  </r>
  <r>
    <x v="4"/>
    <x v="6"/>
    <n v="0"/>
    <x v="1"/>
    <x v="1"/>
    <x v="0"/>
    <x v="2"/>
  </r>
  <r>
    <x v="5"/>
    <x v="6"/>
    <n v="0"/>
    <x v="1"/>
    <x v="1"/>
    <x v="0"/>
    <x v="2"/>
  </r>
  <r>
    <x v="6"/>
    <x v="6"/>
    <n v="0"/>
    <x v="1"/>
    <x v="1"/>
    <x v="0"/>
    <x v="2"/>
  </r>
  <r>
    <x v="7"/>
    <x v="6"/>
    <n v="0"/>
    <x v="1"/>
    <x v="1"/>
    <x v="0"/>
    <x v="2"/>
  </r>
  <r>
    <x v="8"/>
    <x v="6"/>
    <n v="0"/>
    <x v="1"/>
    <x v="1"/>
    <x v="0"/>
    <x v="2"/>
  </r>
  <r>
    <x v="9"/>
    <x v="6"/>
    <n v="0"/>
    <x v="1"/>
    <x v="1"/>
    <x v="0"/>
    <x v="2"/>
  </r>
  <r>
    <x v="10"/>
    <x v="6"/>
    <n v="0"/>
    <x v="1"/>
    <x v="1"/>
    <x v="0"/>
    <x v="2"/>
  </r>
  <r>
    <x v="11"/>
    <x v="6"/>
    <n v="0"/>
    <x v="1"/>
    <x v="1"/>
    <x v="0"/>
    <x v="2"/>
  </r>
  <r>
    <x v="12"/>
    <x v="6"/>
    <n v="0"/>
    <x v="1"/>
    <x v="1"/>
    <x v="0"/>
    <x v="2"/>
  </r>
  <r>
    <x v="13"/>
    <x v="6"/>
    <n v="0"/>
    <x v="1"/>
    <x v="1"/>
    <x v="0"/>
    <x v="2"/>
  </r>
  <r>
    <x v="14"/>
    <x v="6"/>
    <n v="0"/>
    <x v="1"/>
    <x v="1"/>
    <x v="0"/>
    <x v="2"/>
  </r>
  <r>
    <x v="15"/>
    <x v="6"/>
    <n v="0"/>
    <x v="1"/>
    <x v="1"/>
    <x v="0"/>
    <x v="2"/>
  </r>
  <r>
    <x v="0"/>
    <x v="7"/>
    <n v="14.85"/>
    <x v="1"/>
    <x v="1"/>
    <x v="0"/>
    <x v="2"/>
  </r>
  <r>
    <x v="1"/>
    <x v="7"/>
    <n v="0"/>
    <x v="1"/>
    <x v="1"/>
    <x v="0"/>
    <x v="2"/>
  </r>
  <r>
    <x v="2"/>
    <x v="7"/>
    <n v="0"/>
    <x v="1"/>
    <x v="1"/>
    <x v="0"/>
    <x v="2"/>
  </r>
  <r>
    <x v="3"/>
    <x v="7"/>
    <n v="0"/>
    <x v="1"/>
    <x v="1"/>
    <x v="0"/>
    <x v="2"/>
  </r>
  <r>
    <x v="4"/>
    <x v="7"/>
    <n v="0"/>
    <x v="1"/>
    <x v="1"/>
    <x v="0"/>
    <x v="2"/>
  </r>
  <r>
    <x v="5"/>
    <x v="7"/>
    <n v="0"/>
    <x v="1"/>
    <x v="1"/>
    <x v="0"/>
    <x v="2"/>
  </r>
  <r>
    <x v="6"/>
    <x v="7"/>
    <n v="0"/>
    <x v="1"/>
    <x v="1"/>
    <x v="0"/>
    <x v="2"/>
  </r>
  <r>
    <x v="7"/>
    <x v="7"/>
    <n v="0"/>
    <x v="1"/>
    <x v="1"/>
    <x v="0"/>
    <x v="2"/>
  </r>
  <r>
    <x v="8"/>
    <x v="7"/>
    <n v="0"/>
    <x v="1"/>
    <x v="1"/>
    <x v="0"/>
    <x v="2"/>
  </r>
  <r>
    <x v="9"/>
    <x v="7"/>
    <n v="0"/>
    <x v="1"/>
    <x v="1"/>
    <x v="0"/>
    <x v="2"/>
  </r>
  <r>
    <x v="10"/>
    <x v="7"/>
    <n v="0"/>
    <x v="1"/>
    <x v="1"/>
    <x v="0"/>
    <x v="2"/>
  </r>
  <r>
    <x v="11"/>
    <x v="7"/>
    <n v="0"/>
    <x v="1"/>
    <x v="1"/>
    <x v="0"/>
    <x v="2"/>
  </r>
  <r>
    <x v="12"/>
    <x v="7"/>
    <n v="0"/>
    <x v="1"/>
    <x v="1"/>
    <x v="0"/>
    <x v="2"/>
  </r>
  <r>
    <x v="13"/>
    <x v="7"/>
    <n v="0"/>
    <x v="1"/>
    <x v="1"/>
    <x v="0"/>
    <x v="2"/>
  </r>
  <r>
    <x v="14"/>
    <x v="7"/>
    <n v="0"/>
    <x v="1"/>
    <x v="1"/>
    <x v="0"/>
    <x v="2"/>
  </r>
  <r>
    <x v="15"/>
    <x v="7"/>
    <n v="0"/>
    <x v="1"/>
    <x v="1"/>
    <x v="0"/>
    <x v="2"/>
  </r>
  <r>
    <x v="0"/>
    <x v="8"/>
    <n v="17974.099999999999"/>
    <x v="1"/>
    <x v="1"/>
    <x v="0"/>
    <x v="2"/>
  </r>
  <r>
    <x v="1"/>
    <x v="8"/>
    <n v="34619.5"/>
    <x v="1"/>
    <x v="1"/>
    <x v="0"/>
    <x v="2"/>
  </r>
  <r>
    <x v="2"/>
    <x v="8"/>
    <n v="34619.5"/>
    <x v="1"/>
    <x v="1"/>
    <x v="0"/>
    <x v="2"/>
  </r>
  <r>
    <x v="3"/>
    <x v="8"/>
    <n v="48544.800000000003"/>
    <x v="1"/>
    <x v="1"/>
    <x v="0"/>
    <x v="2"/>
  </r>
  <r>
    <x v="4"/>
    <x v="8"/>
    <n v="48544.800000000003"/>
    <x v="1"/>
    <x v="1"/>
    <x v="0"/>
    <x v="2"/>
  </r>
  <r>
    <x v="5"/>
    <x v="8"/>
    <n v="26225.599999999999"/>
    <x v="1"/>
    <x v="1"/>
    <x v="0"/>
    <x v="2"/>
  </r>
  <r>
    <x v="6"/>
    <x v="8"/>
    <n v="26225.599999999999"/>
    <x v="1"/>
    <x v="1"/>
    <x v="0"/>
    <x v="2"/>
  </r>
  <r>
    <x v="7"/>
    <x v="8"/>
    <n v="32955.5"/>
    <x v="1"/>
    <x v="1"/>
    <x v="0"/>
    <x v="2"/>
  </r>
  <r>
    <x v="8"/>
    <x v="8"/>
    <n v="32955.5"/>
    <x v="1"/>
    <x v="1"/>
    <x v="0"/>
    <x v="2"/>
  </r>
  <r>
    <x v="9"/>
    <x v="8"/>
    <n v="28500.799999999999"/>
    <x v="1"/>
    <x v="1"/>
    <x v="0"/>
    <x v="2"/>
  </r>
  <r>
    <x v="10"/>
    <x v="8"/>
    <n v="28500.799999999999"/>
    <x v="1"/>
    <x v="1"/>
    <x v="0"/>
    <x v="2"/>
  </r>
  <r>
    <x v="11"/>
    <x v="8"/>
    <n v="20577.7"/>
    <x v="1"/>
    <x v="1"/>
    <x v="0"/>
    <x v="2"/>
  </r>
  <r>
    <x v="12"/>
    <x v="8"/>
    <n v="20577.7"/>
    <x v="1"/>
    <x v="1"/>
    <x v="0"/>
    <x v="2"/>
  </r>
  <r>
    <x v="13"/>
    <x v="8"/>
    <n v="22770.2"/>
    <x v="1"/>
    <x v="1"/>
    <x v="0"/>
    <x v="2"/>
  </r>
  <r>
    <x v="14"/>
    <x v="8"/>
    <n v="22770.2"/>
    <x v="1"/>
    <x v="1"/>
    <x v="0"/>
    <x v="2"/>
  </r>
  <r>
    <x v="15"/>
    <x v="8"/>
    <n v="22770.2"/>
    <x v="1"/>
    <x v="1"/>
    <x v="0"/>
    <x v="2"/>
  </r>
  <r>
    <x v="0"/>
    <x v="9"/>
    <n v="10636.5"/>
    <x v="1"/>
    <x v="1"/>
    <x v="0"/>
    <x v="2"/>
  </r>
  <r>
    <x v="1"/>
    <x v="9"/>
    <n v="24804.400000000001"/>
    <x v="1"/>
    <x v="1"/>
    <x v="0"/>
    <x v="2"/>
  </r>
  <r>
    <x v="2"/>
    <x v="9"/>
    <n v="24804.400000000001"/>
    <x v="1"/>
    <x v="1"/>
    <x v="0"/>
    <x v="2"/>
  </r>
  <r>
    <x v="3"/>
    <x v="9"/>
    <n v="11452.7"/>
    <x v="1"/>
    <x v="1"/>
    <x v="0"/>
    <x v="2"/>
  </r>
  <r>
    <x v="4"/>
    <x v="9"/>
    <n v="11452.7"/>
    <x v="1"/>
    <x v="1"/>
    <x v="0"/>
    <x v="2"/>
  </r>
  <r>
    <x v="5"/>
    <x v="9"/>
    <n v="32973.300000000003"/>
    <x v="1"/>
    <x v="1"/>
    <x v="0"/>
    <x v="2"/>
  </r>
  <r>
    <x v="6"/>
    <x v="9"/>
    <n v="32973.300000000003"/>
    <x v="1"/>
    <x v="1"/>
    <x v="0"/>
    <x v="2"/>
  </r>
  <r>
    <x v="7"/>
    <x v="9"/>
    <n v="32569.1"/>
    <x v="1"/>
    <x v="1"/>
    <x v="0"/>
    <x v="2"/>
  </r>
  <r>
    <x v="8"/>
    <x v="9"/>
    <n v="32569.1"/>
    <x v="1"/>
    <x v="1"/>
    <x v="0"/>
    <x v="2"/>
  </r>
  <r>
    <x v="9"/>
    <x v="9"/>
    <n v="34620.9"/>
    <x v="1"/>
    <x v="1"/>
    <x v="0"/>
    <x v="2"/>
  </r>
  <r>
    <x v="10"/>
    <x v="9"/>
    <n v="34620.9"/>
    <x v="1"/>
    <x v="1"/>
    <x v="0"/>
    <x v="2"/>
  </r>
  <r>
    <x v="11"/>
    <x v="9"/>
    <n v="53873.5"/>
    <x v="1"/>
    <x v="1"/>
    <x v="0"/>
    <x v="2"/>
  </r>
  <r>
    <x v="12"/>
    <x v="9"/>
    <n v="53873.5"/>
    <x v="1"/>
    <x v="1"/>
    <x v="0"/>
    <x v="2"/>
  </r>
  <r>
    <x v="13"/>
    <x v="9"/>
    <n v="59924.7"/>
    <x v="1"/>
    <x v="1"/>
    <x v="0"/>
    <x v="2"/>
  </r>
  <r>
    <x v="14"/>
    <x v="9"/>
    <n v="59924.7"/>
    <x v="1"/>
    <x v="1"/>
    <x v="0"/>
    <x v="2"/>
  </r>
  <r>
    <x v="15"/>
    <x v="9"/>
    <n v="59924.7"/>
    <x v="1"/>
    <x v="1"/>
    <x v="0"/>
    <x v="2"/>
  </r>
  <r>
    <x v="0"/>
    <x v="1"/>
    <n v="102.45"/>
    <x v="0"/>
    <x v="1"/>
    <x v="0"/>
    <x v="0"/>
  </r>
  <r>
    <x v="1"/>
    <x v="1"/>
    <n v="9.5"/>
    <x v="0"/>
    <x v="1"/>
    <x v="0"/>
    <x v="0"/>
  </r>
  <r>
    <x v="2"/>
    <x v="1"/>
    <n v="9.5"/>
    <x v="0"/>
    <x v="1"/>
    <x v="0"/>
    <x v="0"/>
  </r>
  <r>
    <x v="3"/>
    <x v="1"/>
    <n v="0"/>
    <x v="0"/>
    <x v="1"/>
    <x v="0"/>
    <x v="0"/>
  </r>
  <r>
    <x v="4"/>
    <x v="1"/>
    <n v="0"/>
    <x v="0"/>
    <x v="1"/>
    <x v="0"/>
    <x v="0"/>
  </r>
  <r>
    <x v="5"/>
    <x v="1"/>
    <n v="0"/>
    <x v="0"/>
    <x v="1"/>
    <x v="0"/>
    <x v="0"/>
  </r>
  <r>
    <x v="6"/>
    <x v="1"/>
    <n v="0"/>
    <x v="0"/>
    <x v="1"/>
    <x v="0"/>
    <x v="0"/>
  </r>
  <r>
    <x v="7"/>
    <x v="1"/>
    <n v="0"/>
    <x v="0"/>
    <x v="1"/>
    <x v="0"/>
    <x v="0"/>
  </r>
  <r>
    <x v="8"/>
    <x v="1"/>
    <n v="0"/>
    <x v="0"/>
    <x v="1"/>
    <x v="0"/>
    <x v="0"/>
  </r>
  <r>
    <x v="9"/>
    <x v="1"/>
    <n v="0"/>
    <x v="0"/>
    <x v="1"/>
    <x v="0"/>
    <x v="0"/>
  </r>
  <r>
    <x v="10"/>
    <x v="1"/>
    <n v="0"/>
    <x v="0"/>
    <x v="1"/>
    <x v="0"/>
    <x v="0"/>
  </r>
  <r>
    <x v="11"/>
    <x v="1"/>
    <n v="0"/>
    <x v="0"/>
    <x v="1"/>
    <x v="0"/>
    <x v="0"/>
  </r>
  <r>
    <x v="12"/>
    <x v="1"/>
    <n v="0"/>
    <x v="0"/>
    <x v="1"/>
    <x v="0"/>
    <x v="0"/>
  </r>
  <r>
    <x v="13"/>
    <x v="1"/>
    <n v="0"/>
    <x v="0"/>
    <x v="1"/>
    <x v="0"/>
    <x v="0"/>
  </r>
  <r>
    <x v="14"/>
    <x v="1"/>
    <n v="0"/>
    <x v="0"/>
    <x v="1"/>
    <x v="0"/>
    <x v="0"/>
  </r>
  <r>
    <x v="15"/>
    <x v="1"/>
    <n v="0"/>
    <x v="0"/>
    <x v="1"/>
    <x v="0"/>
    <x v="0"/>
  </r>
  <r>
    <x v="0"/>
    <x v="2"/>
    <n v="0"/>
    <x v="0"/>
    <x v="1"/>
    <x v="0"/>
    <x v="0"/>
  </r>
  <r>
    <x v="1"/>
    <x v="2"/>
    <n v="0"/>
    <x v="0"/>
    <x v="1"/>
    <x v="0"/>
    <x v="0"/>
  </r>
  <r>
    <x v="2"/>
    <x v="2"/>
    <n v="0"/>
    <x v="0"/>
    <x v="1"/>
    <x v="0"/>
    <x v="0"/>
  </r>
  <r>
    <x v="3"/>
    <x v="2"/>
    <n v="0"/>
    <x v="0"/>
    <x v="1"/>
    <x v="0"/>
    <x v="0"/>
  </r>
  <r>
    <x v="4"/>
    <x v="2"/>
    <n v="0"/>
    <x v="0"/>
    <x v="1"/>
    <x v="0"/>
    <x v="0"/>
  </r>
  <r>
    <x v="5"/>
    <x v="2"/>
    <n v="0"/>
    <x v="0"/>
    <x v="1"/>
    <x v="0"/>
    <x v="0"/>
  </r>
  <r>
    <x v="6"/>
    <x v="2"/>
    <n v="0"/>
    <x v="0"/>
    <x v="1"/>
    <x v="0"/>
    <x v="0"/>
  </r>
  <r>
    <x v="7"/>
    <x v="2"/>
    <n v="0"/>
    <x v="0"/>
    <x v="1"/>
    <x v="0"/>
    <x v="0"/>
  </r>
  <r>
    <x v="8"/>
    <x v="2"/>
    <n v="0"/>
    <x v="0"/>
    <x v="1"/>
    <x v="0"/>
    <x v="0"/>
  </r>
  <r>
    <x v="9"/>
    <x v="2"/>
    <n v="0"/>
    <x v="0"/>
    <x v="1"/>
    <x v="0"/>
    <x v="0"/>
  </r>
  <r>
    <x v="10"/>
    <x v="2"/>
    <n v="0"/>
    <x v="0"/>
    <x v="1"/>
    <x v="0"/>
    <x v="0"/>
  </r>
  <r>
    <x v="11"/>
    <x v="2"/>
    <n v="0"/>
    <x v="0"/>
    <x v="1"/>
    <x v="0"/>
    <x v="0"/>
  </r>
  <r>
    <x v="12"/>
    <x v="2"/>
    <n v="0"/>
    <x v="0"/>
    <x v="1"/>
    <x v="0"/>
    <x v="0"/>
  </r>
  <r>
    <x v="13"/>
    <x v="2"/>
    <n v="0"/>
    <x v="0"/>
    <x v="1"/>
    <x v="0"/>
    <x v="0"/>
  </r>
  <r>
    <x v="14"/>
    <x v="2"/>
    <n v="0"/>
    <x v="0"/>
    <x v="1"/>
    <x v="0"/>
    <x v="0"/>
  </r>
  <r>
    <x v="15"/>
    <x v="2"/>
    <n v="0"/>
    <x v="0"/>
    <x v="1"/>
    <x v="0"/>
    <x v="0"/>
  </r>
  <r>
    <x v="0"/>
    <x v="3"/>
    <n v="11184.73"/>
    <x v="0"/>
    <x v="1"/>
    <x v="0"/>
    <x v="0"/>
  </r>
  <r>
    <x v="1"/>
    <x v="3"/>
    <n v="0"/>
    <x v="0"/>
    <x v="1"/>
    <x v="0"/>
    <x v="0"/>
  </r>
  <r>
    <x v="2"/>
    <x v="3"/>
    <n v="0"/>
    <x v="0"/>
    <x v="1"/>
    <x v="0"/>
    <x v="0"/>
  </r>
  <r>
    <x v="3"/>
    <x v="3"/>
    <n v="0"/>
    <x v="0"/>
    <x v="1"/>
    <x v="0"/>
    <x v="0"/>
  </r>
  <r>
    <x v="4"/>
    <x v="3"/>
    <n v="0"/>
    <x v="0"/>
    <x v="1"/>
    <x v="0"/>
    <x v="0"/>
  </r>
  <r>
    <x v="5"/>
    <x v="3"/>
    <n v="0"/>
    <x v="0"/>
    <x v="1"/>
    <x v="0"/>
    <x v="0"/>
  </r>
  <r>
    <x v="6"/>
    <x v="3"/>
    <n v="0"/>
    <x v="0"/>
    <x v="1"/>
    <x v="0"/>
    <x v="0"/>
  </r>
  <r>
    <x v="7"/>
    <x v="3"/>
    <n v="0"/>
    <x v="0"/>
    <x v="1"/>
    <x v="0"/>
    <x v="0"/>
  </r>
  <r>
    <x v="8"/>
    <x v="3"/>
    <n v="0"/>
    <x v="0"/>
    <x v="1"/>
    <x v="0"/>
    <x v="0"/>
  </r>
  <r>
    <x v="9"/>
    <x v="3"/>
    <n v="0"/>
    <x v="0"/>
    <x v="1"/>
    <x v="0"/>
    <x v="0"/>
  </r>
  <r>
    <x v="10"/>
    <x v="3"/>
    <n v="0"/>
    <x v="0"/>
    <x v="1"/>
    <x v="0"/>
    <x v="0"/>
  </r>
  <r>
    <x v="11"/>
    <x v="3"/>
    <n v="0"/>
    <x v="0"/>
    <x v="1"/>
    <x v="0"/>
    <x v="0"/>
  </r>
  <r>
    <x v="12"/>
    <x v="3"/>
    <n v="0"/>
    <x v="0"/>
    <x v="1"/>
    <x v="0"/>
    <x v="0"/>
  </r>
  <r>
    <x v="13"/>
    <x v="3"/>
    <n v="0"/>
    <x v="0"/>
    <x v="1"/>
    <x v="0"/>
    <x v="0"/>
  </r>
  <r>
    <x v="14"/>
    <x v="3"/>
    <n v="0"/>
    <x v="0"/>
    <x v="1"/>
    <x v="0"/>
    <x v="0"/>
  </r>
  <r>
    <x v="15"/>
    <x v="3"/>
    <n v="0"/>
    <x v="0"/>
    <x v="1"/>
    <x v="0"/>
    <x v="0"/>
  </r>
  <r>
    <x v="0"/>
    <x v="4"/>
    <n v="0"/>
    <x v="0"/>
    <x v="1"/>
    <x v="0"/>
    <x v="0"/>
  </r>
  <r>
    <x v="1"/>
    <x v="4"/>
    <n v="0"/>
    <x v="0"/>
    <x v="1"/>
    <x v="0"/>
    <x v="0"/>
  </r>
  <r>
    <x v="2"/>
    <x v="4"/>
    <n v="0"/>
    <x v="0"/>
    <x v="1"/>
    <x v="0"/>
    <x v="0"/>
  </r>
  <r>
    <x v="3"/>
    <x v="4"/>
    <n v="0"/>
    <x v="0"/>
    <x v="1"/>
    <x v="0"/>
    <x v="0"/>
  </r>
  <r>
    <x v="4"/>
    <x v="4"/>
    <n v="0"/>
    <x v="0"/>
    <x v="1"/>
    <x v="0"/>
    <x v="0"/>
  </r>
  <r>
    <x v="5"/>
    <x v="4"/>
    <n v="0"/>
    <x v="0"/>
    <x v="1"/>
    <x v="0"/>
    <x v="0"/>
  </r>
  <r>
    <x v="6"/>
    <x v="4"/>
    <n v="0"/>
    <x v="0"/>
    <x v="1"/>
    <x v="0"/>
    <x v="0"/>
  </r>
  <r>
    <x v="7"/>
    <x v="4"/>
    <n v="0"/>
    <x v="0"/>
    <x v="1"/>
    <x v="0"/>
    <x v="0"/>
  </r>
  <r>
    <x v="8"/>
    <x v="4"/>
    <n v="0"/>
    <x v="0"/>
    <x v="1"/>
    <x v="0"/>
    <x v="0"/>
  </r>
  <r>
    <x v="9"/>
    <x v="4"/>
    <n v="0"/>
    <x v="0"/>
    <x v="1"/>
    <x v="0"/>
    <x v="0"/>
  </r>
  <r>
    <x v="10"/>
    <x v="4"/>
    <n v="0"/>
    <x v="0"/>
    <x v="1"/>
    <x v="0"/>
    <x v="0"/>
  </r>
  <r>
    <x v="11"/>
    <x v="4"/>
    <n v="0"/>
    <x v="0"/>
    <x v="1"/>
    <x v="0"/>
    <x v="0"/>
  </r>
  <r>
    <x v="12"/>
    <x v="4"/>
    <n v="0"/>
    <x v="0"/>
    <x v="1"/>
    <x v="0"/>
    <x v="0"/>
  </r>
  <r>
    <x v="13"/>
    <x v="4"/>
    <n v="0"/>
    <x v="0"/>
    <x v="1"/>
    <x v="0"/>
    <x v="0"/>
  </r>
  <r>
    <x v="14"/>
    <x v="4"/>
    <n v="0"/>
    <x v="0"/>
    <x v="1"/>
    <x v="0"/>
    <x v="0"/>
  </r>
  <r>
    <x v="15"/>
    <x v="4"/>
    <n v="0"/>
    <x v="0"/>
    <x v="1"/>
    <x v="0"/>
    <x v="0"/>
  </r>
  <r>
    <x v="0"/>
    <x v="5"/>
    <n v="2363.86"/>
    <x v="0"/>
    <x v="1"/>
    <x v="0"/>
    <x v="0"/>
  </r>
  <r>
    <x v="1"/>
    <x v="5"/>
    <n v="0"/>
    <x v="0"/>
    <x v="1"/>
    <x v="0"/>
    <x v="0"/>
  </r>
  <r>
    <x v="2"/>
    <x v="5"/>
    <n v="0"/>
    <x v="0"/>
    <x v="1"/>
    <x v="0"/>
    <x v="0"/>
  </r>
  <r>
    <x v="3"/>
    <x v="5"/>
    <n v="58"/>
    <x v="0"/>
    <x v="1"/>
    <x v="0"/>
    <x v="0"/>
  </r>
  <r>
    <x v="4"/>
    <x v="5"/>
    <n v="58"/>
    <x v="0"/>
    <x v="1"/>
    <x v="0"/>
    <x v="0"/>
  </r>
  <r>
    <x v="5"/>
    <x v="5"/>
    <n v="6"/>
    <x v="0"/>
    <x v="1"/>
    <x v="0"/>
    <x v="0"/>
  </r>
  <r>
    <x v="6"/>
    <x v="5"/>
    <n v="6"/>
    <x v="0"/>
    <x v="1"/>
    <x v="0"/>
    <x v="0"/>
  </r>
  <r>
    <x v="7"/>
    <x v="5"/>
    <n v="19.5"/>
    <x v="0"/>
    <x v="1"/>
    <x v="0"/>
    <x v="0"/>
  </r>
  <r>
    <x v="8"/>
    <x v="5"/>
    <n v="19.5"/>
    <x v="0"/>
    <x v="1"/>
    <x v="0"/>
    <x v="0"/>
  </r>
  <r>
    <x v="9"/>
    <x v="5"/>
    <n v="0"/>
    <x v="0"/>
    <x v="1"/>
    <x v="0"/>
    <x v="0"/>
  </r>
  <r>
    <x v="10"/>
    <x v="5"/>
    <n v="0"/>
    <x v="0"/>
    <x v="1"/>
    <x v="0"/>
    <x v="0"/>
  </r>
  <r>
    <x v="11"/>
    <x v="5"/>
    <n v="0"/>
    <x v="0"/>
    <x v="1"/>
    <x v="0"/>
    <x v="0"/>
  </r>
  <r>
    <x v="12"/>
    <x v="5"/>
    <n v="0"/>
    <x v="0"/>
    <x v="1"/>
    <x v="0"/>
    <x v="0"/>
  </r>
  <r>
    <x v="13"/>
    <x v="5"/>
    <n v="0"/>
    <x v="0"/>
    <x v="1"/>
    <x v="0"/>
    <x v="0"/>
  </r>
  <r>
    <x v="14"/>
    <x v="5"/>
    <n v="0"/>
    <x v="0"/>
    <x v="1"/>
    <x v="0"/>
    <x v="0"/>
  </r>
  <r>
    <x v="15"/>
    <x v="5"/>
    <n v="0"/>
    <x v="0"/>
    <x v="1"/>
    <x v="0"/>
    <x v="0"/>
  </r>
  <r>
    <x v="0"/>
    <x v="6"/>
    <n v="232.5"/>
    <x v="0"/>
    <x v="1"/>
    <x v="0"/>
    <x v="0"/>
  </r>
  <r>
    <x v="1"/>
    <x v="6"/>
    <n v="1100"/>
    <x v="0"/>
    <x v="1"/>
    <x v="0"/>
    <x v="0"/>
  </r>
  <r>
    <x v="2"/>
    <x v="6"/>
    <n v="1100"/>
    <x v="0"/>
    <x v="1"/>
    <x v="0"/>
    <x v="0"/>
  </r>
  <r>
    <x v="3"/>
    <x v="6"/>
    <n v="0"/>
    <x v="0"/>
    <x v="1"/>
    <x v="0"/>
    <x v="0"/>
  </r>
  <r>
    <x v="4"/>
    <x v="6"/>
    <n v="0"/>
    <x v="0"/>
    <x v="1"/>
    <x v="0"/>
    <x v="0"/>
  </r>
  <r>
    <x v="5"/>
    <x v="6"/>
    <n v="0"/>
    <x v="0"/>
    <x v="1"/>
    <x v="0"/>
    <x v="0"/>
  </r>
  <r>
    <x v="6"/>
    <x v="6"/>
    <n v="0"/>
    <x v="0"/>
    <x v="1"/>
    <x v="0"/>
    <x v="0"/>
  </r>
  <r>
    <x v="7"/>
    <x v="6"/>
    <n v="0"/>
    <x v="0"/>
    <x v="1"/>
    <x v="0"/>
    <x v="0"/>
  </r>
  <r>
    <x v="8"/>
    <x v="6"/>
    <n v="0"/>
    <x v="0"/>
    <x v="1"/>
    <x v="0"/>
    <x v="0"/>
  </r>
  <r>
    <x v="9"/>
    <x v="6"/>
    <n v="0"/>
    <x v="0"/>
    <x v="1"/>
    <x v="0"/>
    <x v="0"/>
  </r>
  <r>
    <x v="10"/>
    <x v="6"/>
    <n v="0"/>
    <x v="0"/>
    <x v="1"/>
    <x v="0"/>
    <x v="0"/>
  </r>
  <r>
    <x v="11"/>
    <x v="6"/>
    <n v="0"/>
    <x v="0"/>
    <x v="1"/>
    <x v="0"/>
    <x v="0"/>
  </r>
  <r>
    <x v="12"/>
    <x v="6"/>
    <n v="0"/>
    <x v="0"/>
    <x v="1"/>
    <x v="0"/>
    <x v="0"/>
  </r>
  <r>
    <x v="13"/>
    <x v="6"/>
    <n v="0"/>
    <x v="0"/>
    <x v="1"/>
    <x v="0"/>
    <x v="0"/>
  </r>
  <r>
    <x v="14"/>
    <x v="6"/>
    <n v="0"/>
    <x v="0"/>
    <x v="1"/>
    <x v="0"/>
    <x v="0"/>
  </r>
  <r>
    <x v="15"/>
    <x v="6"/>
    <n v="0"/>
    <x v="0"/>
    <x v="1"/>
    <x v="0"/>
    <x v="0"/>
  </r>
  <r>
    <x v="0"/>
    <x v="7"/>
    <n v="14.85"/>
    <x v="0"/>
    <x v="1"/>
    <x v="0"/>
    <x v="0"/>
  </r>
  <r>
    <x v="1"/>
    <x v="7"/>
    <n v="0"/>
    <x v="0"/>
    <x v="1"/>
    <x v="0"/>
    <x v="0"/>
  </r>
  <r>
    <x v="2"/>
    <x v="7"/>
    <n v="0"/>
    <x v="0"/>
    <x v="1"/>
    <x v="0"/>
    <x v="0"/>
  </r>
  <r>
    <x v="3"/>
    <x v="7"/>
    <n v="0"/>
    <x v="0"/>
    <x v="1"/>
    <x v="0"/>
    <x v="0"/>
  </r>
  <r>
    <x v="4"/>
    <x v="7"/>
    <n v="0"/>
    <x v="0"/>
    <x v="1"/>
    <x v="0"/>
    <x v="0"/>
  </r>
  <r>
    <x v="5"/>
    <x v="7"/>
    <n v="0"/>
    <x v="0"/>
    <x v="1"/>
    <x v="0"/>
    <x v="0"/>
  </r>
  <r>
    <x v="6"/>
    <x v="7"/>
    <n v="0"/>
    <x v="0"/>
    <x v="1"/>
    <x v="0"/>
    <x v="0"/>
  </r>
  <r>
    <x v="7"/>
    <x v="7"/>
    <n v="0"/>
    <x v="0"/>
    <x v="1"/>
    <x v="0"/>
    <x v="0"/>
  </r>
  <r>
    <x v="8"/>
    <x v="7"/>
    <n v="0"/>
    <x v="0"/>
    <x v="1"/>
    <x v="0"/>
    <x v="0"/>
  </r>
  <r>
    <x v="9"/>
    <x v="7"/>
    <n v="0"/>
    <x v="0"/>
    <x v="1"/>
    <x v="0"/>
    <x v="0"/>
  </r>
  <r>
    <x v="10"/>
    <x v="7"/>
    <n v="0"/>
    <x v="0"/>
    <x v="1"/>
    <x v="0"/>
    <x v="0"/>
  </r>
  <r>
    <x v="11"/>
    <x v="7"/>
    <n v="0"/>
    <x v="0"/>
    <x v="1"/>
    <x v="0"/>
    <x v="0"/>
  </r>
  <r>
    <x v="12"/>
    <x v="7"/>
    <n v="0"/>
    <x v="0"/>
    <x v="1"/>
    <x v="0"/>
    <x v="0"/>
  </r>
  <r>
    <x v="13"/>
    <x v="7"/>
    <n v="0"/>
    <x v="0"/>
    <x v="1"/>
    <x v="0"/>
    <x v="0"/>
  </r>
  <r>
    <x v="14"/>
    <x v="7"/>
    <n v="0"/>
    <x v="0"/>
    <x v="1"/>
    <x v="0"/>
    <x v="0"/>
  </r>
  <r>
    <x v="15"/>
    <x v="7"/>
    <n v="0"/>
    <x v="0"/>
    <x v="1"/>
    <x v="0"/>
    <x v="0"/>
  </r>
  <r>
    <x v="0"/>
    <x v="8"/>
    <n v="14397.8"/>
    <x v="0"/>
    <x v="1"/>
    <x v="0"/>
    <x v="0"/>
  </r>
  <r>
    <x v="1"/>
    <x v="8"/>
    <n v="86653.6"/>
    <x v="0"/>
    <x v="1"/>
    <x v="0"/>
    <x v="0"/>
  </r>
  <r>
    <x v="2"/>
    <x v="8"/>
    <n v="86653.6"/>
    <x v="0"/>
    <x v="1"/>
    <x v="0"/>
    <x v="0"/>
  </r>
  <r>
    <x v="3"/>
    <x v="8"/>
    <n v="46872.2"/>
    <x v="0"/>
    <x v="1"/>
    <x v="0"/>
    <x v="0"/>
  </r>
  <r>
    <x v="4"/>
    <x v="8"/>
    <n v="46872.2"/>
    <x v="0"/>
    <x v="1"/>
    <x v="0"/>
    <x v="0"/>
  </r>
  <r>
    <x v="5"/>
    <x v="8"/>
    <n v="17655.7"/>
    <x v="0"/>
    <x v="1"/>
    <x v="0"/>
    <x v="0"/>
  </r>
  <r>
    <x v="6"/>
    <x v="8"/>
    <n v="17655.7"/>
    <x v="0"/>
    <x v="1"/>
    <x v="0"/>
    <x v="0"/>
  </r>
  <r>
    <x v="7"/>
    <x v="8"/>
    <n v="42747.1"/>
    <x v="0"/>
    <x v="1"/>
    <x v="0"/>
    <x v="0"/>
  </r>
  <r>
    <x v="8"/>
    <x v="8"/>
    <n v="42747.1"/>
    <x v="0"/>
    <x v="1"/>
    <x v="0"/>
    <x v="0"/>
  </r>
  <r>
    <x v="9"/>
    <x v="8"/>
    <n v="25493"/>
    <x v="0"/>
    <x v="1"/>
    <x v="0"/>
    <x v="0"/>
  </r>
  <r>
    <x v="10"/>
    <x v="8"/>
    <n v="25493"/>
    <x v="0"/>
    <x v="1"/>
    <x v="0"/>
    <x v="0"/>
  </r>
  <r>
    <x v="11"/>
    <x v="8"/>
    <n v="22203.3"/>
    <x v="0"/>
    <x v="1"/>
    <x v="0"/>
    <x v="0"/>
  </r>
  <r>
    <x v="12"/>
    <x v="8"/>
    <n v="22203.3"/>
    <x v="0"/>
    <x v="1"/>
    <x v="0"/>
    <x v="0"/>
  </r>
  <r>
    <x v="13"/>
    <x v="8"/>
    <n v="31975.200000000001"/>
    <x v="0"/>
    <x v="1"/>
    <x v="0"/>
    <x v="0"/>
  </r>
  <r>
    <x v="14"/>
    <x v="8"/>
    <n v="31975.200000000001"/>
    <x v="0"/>
    <x v="1"/>
    <x v="0"/>
    <x v="0"/>
  </r>
  <r>
    <x v="15"/>
    <x v="8"/>
    <n v="31975.200000000001"/>
    <x v="0"/>
    <x v="1"/>
    <x v="0"/>
    <x v="0"/>
  </r>
  <r>
    <x v="0"/>
    <x v="9"/>
    <n v="12328.9"/>
    <x v="0"/>
    <x v="1"/>
    <x v="0"/>
    <x v="0"/>
  </r>
  <r>
    <x v="1"/>
    <x v="9"/>
    <n v="70904.899999999994"/>
    <x v="0"/>
    <x v="1"/>
    <x v="0"/>
    <x v="0"/>
  </r>
  <r>
    <x v="2"/>
    <x v="9"/>
    <n v="70904.899999999994"/>
    <x v="0"/>
    <x v="1"/>
    <x v="0"/>
    <x v="0"/>
  </r>
  <r>
    <x v="3"/>
    <x v="9"/>
    <n v="10301.200000000001"/>
    <x v="0"/>
    <x v="1"/>
    <x v="0"/>
    <x v="0"/>
  </r>
  <r>
    <x v="4"/>
    <x v="9"/>
    <n v="10301.200000000001"/>
    <x v="0"/>
    <x v="1"/>
    <x v="0"/>
    <x v="0"/>
  </r>
  <r>
    <x v="5"/>
    <x v="9"/>
    <n v="34426.199999999997"/>
    <x v="0"/>
    <x v="1"/>
    <x v="0"/>
    <x v="0"/>
  </r>
  <r>
    <x v="6"/>
    <x v="9"/>
    <n v="34426.199999999997"/>
    <x v="0"/>
    <x v="1"/>
    <x v="0"/>
    <x v="0"/>
  </r>
  <r>
    <x v="7"/>
    <x v="9"/>
    <n v="12729.7"/>
    <x v="0"/>
    <x v="1"/>
    <x v="0"/>
    <x v="0"/>
  </r>
  <r>
    <x v="8"/>
    <x v="9"/>
    <n v="12729.7"/>
    <x v="0"/>
    <x v="1"/>
    <x v="0"/>
    <x v="0"/>
  </r>
  <r>
    <x v="9"/>
    <x v="9"/>
    <n v="15897.1"/>
    <x v="0"/>
    <x v="1"/>
    <x v="0"/>
    <x v="0"/>
  </r>
  <r>
    <x v="10"/>
    <x v="9"/>
    <n v="15897.1"/>
    <x v="0"/>
    <x v="1"/>
    <x v="0"/>
    <x v="0"/>
  </r>
  <r>
    <x v="11"/>
    <x v="9"/>
    <n v="12235.9"/>
    <x v="0"/>
    <x v="1"/>
    <x v="0"/>
    <x v="0"/>
  </r>
  <r>
    <x v="12"/>
    <x v="9"/>
    <n v="12235.9"/>
    <x v="0"/>
    <x v="1"/>
    <x v="0"/>
    <x v="0"/>
  </r>
  <r>
    <x v="13"/>
    <x v="9"/>
    <n v="21504.3"/>
    <x v="0"/>
    <x v="1"/>
    <x v="0"/>
    <x v="0"/>
  </r>
  <r>
    <x v="14"/>
    <x v="9"/>
    <n v="21504.3"/>
    <x v="0"/>
    <x v="1"/>
    <x v="0"/>
    <x v="0"/>
  </r>
  <r>
    <x v="15"/>
    <x v="9"/>
    <n v="21504.3"/>
    <x v="0"/>
    <x v="1"/>
    <x v="0"/>
    <x v="0"/>
  </r>
  <r>
    <x v="0"/>
    <x v="1"/>
    <n v="102.45"/>
    <x v="0"/>
    <x v="1"/>
    <x v="0"/>
    <x v="1"/>
  </r>
  <r>
    <x v="1"/>
    <x v="1"/>
    <n v="9.5"/>
    <x v="0"/>
    <x v="1"/>
    <x v="0"/>
    <x v="1"/>
  </r>
  <r>
    <x v="2"/>
    <x v="1"/>
    <n v="9.5"/>
    <x v="0"/>
    <x v="1"/>
    <x v="0"/>
    <x v="1"/>
  </r>
  <r>
    <x v="3"/>
    <x v="1"/>
    <n v="0"/>
    <x v="0"/>
    <x v="1"/>
    <x v="0"/>
    <x v="1"/>
  </r>
  <r>
    <x v="4"/>
    <x v="1"/>
    <n v="0"/>
    <x v="0"/>
    <x v="1"/>
    <x v="0"/>
    <x v="1"/>
  </r>
  <r>
    <x v="5"/>
    <x v="1"/>
    <n v="0"/>
    <x v="0"/>
    <x v="1"/>
    <x v="0"/>
    <x v="1"/>
  </r>
  <r>
    <x v="6"/>
    <x v="1"/>
    <n v="0"/>
    <x v="0"/>
    <x v="1"/>
    <x v="0"/>
    <x v="1"/>
  </r>
  <r>
    <x v="7"/>
    <x v="1"/>
    <n v="0"/>
    <x v="0"/>
    <x v="1"/>
    <x v="0"/>
    <x v="1"/>
  </r>
  <r>
    <x v="8"/>
    <x v="1"/>
    <n v="0"/>
    <x v="0"/>
    <x v="1"/>
    <x v="0"/>
    <x v="1"/>
  </r>
  <r>
    <x v="9"/>
    <x v="1"/>
    <n v="0"/>
    <x v="0"/>
    <x v="1"/>
    <x v="0"/>
    <x v="1"/>
  </r>
  <r>
    <x v="10"/>
    <x v="1"/>
    <n v="0"/>
    <x v="0"/>
    <x v="1"/>
    <x v="0"/>
    <x v="1"/>
  </r>
  <r>
    <x v="11"/>
    <x v="1"/>
    <n v="0"/>
    <x v="0"/>
    <x v="1"/>
    <x v="0"/>
    <x v="1"/>
  </r>
  <r>
    <x v="12"/>
    <x v="1"/>
    <n v="0"/>
    <x v="0"/>
    <x v="1"/>
    <x v="0"/>
    <x v="1"/>
  </r>
  <r>
    <x v="13"/>
    <x v="1"/>
    <n v="0"/>
    <x v="0"/>
    <x v="1"/>
    <x v="0"/>
    <x v="1"/>
  </r>
  <r>
    <x v="14"/>
    <x v="1"/>
    <n v="0"/>
    <x v="0"/>
    <x v="1"/>
    <x v="0"/>
    <x v="1"/>
  </r>
  <r>
    <x v="15"/>
    <x v="1"/>
    <n v="0"/>
    <x v="0"/>
    <x v="1"/>
    <x v="0"/>
    <x v="1"/>
  </r>
  <r>
    <x v="0"/>
    <x v="2"/>
    <n v="0"/>
    <x v="0"/>
    <x v="1"/>
    <x v="0"/>
    <x v="1"/>
  </r>
  <r>
    <x v="1"/>
    <x v="2"/>
    <n v="0"/>
    <x v="0"/>
    <x v="1"/>
    <x v="0"/>
    <x v="1"/>
  </r>
  <r>
    <x v="2"/>
    <x v="2"/>
    <n v="0"/>
    <x v="0"/>
    <x v="1"/>
    <x v="0"/>
    <x v="1"/>
  </r>
  <r>
    <x v="3"/>
    <x v="2"/>
    <n v="0"/>
    <x v="0"/>
    <x v="1"/>
    <x v="0"/>
    <x v="1"/>
  </r>
  <r>
    <x v="4"/>
    <x v="2"/>
    <n v="0"/>
    <x v="0"/>
    <x v="1"/>
    <x v="0"/>
    <x v="1"/>
  </r>
  <r>
    <x v="5"/>
    <x v="2"/>
    <n v="0"/>
    <x v="0"/>
    <x v="1"/>
    <x v="0"/>
    <x v="1"/>
  </r>
  <r>
    <x v="6"/>
    <x v="2"/>
    <n v="0"/>
    <x v="0"/>
    <x v="1"/>
    <x v="0"/>
    <x v="1"/>
  </r>
  <r>
    <x v="7"/>
    <x v="2"/>
    <n v="0"/>
    <x v="0"/>
    <x v="1"/>
    <x v="0"/>
    <x v="1"/>
  </r>
  <r>
    <x v="8"/>
    <x v="2"/>
    <n v="0"/>
    <x v="0"/>
    <x v="1"/>
    <x v="0"/>
    <x v="1"/>
  </r>
  <r>
    <x v="9"/>
    <x v="2"/>
    <n v="0"/>
    <x v="0"/>
    <x v="1"/>
    <x v="0"/>
    <x v="1"/>
  </r>
  <r>
    <x v="10"/>
    <x v="2"/>
    <n v="0"/>
    <x v="0"/>
    <x v="1"/>
    <x v="0"/>
    <x v="1"/>
  </r>
  <r>
    <x v="11"/>
    <x v="2"/>
    <n v="0"/>
    <x v="0"/>
    <x v="1"/>
    <x v="0"/>
    <x v="1"/>
  </r>
  <r>
    <x v="12"/>
    <x v="2"/>
    <n v="0"/>
    <x v="0"/>
    <x v="1"/>
    <x v="0"/>
    <x v="1"/>
  </r>
  <r>
    <x v="13"/>
    <x v="2"/>
    <n v="0"/>
    <x v="0"/>
    <x v="1"/>
    <x v="0"/>
    <x v="1"/>
  </r>
  <r>
    <x v="14"/>
    <x v="2"/>
    <n v="0"/>
    <x v="0"/>
    <x v="1"/>
    <x v="0"/>
    <x v="1"/>
  </r>
  <r>
    <x v="15"/>
    <x v="2"/>
    <n v="0"/>
    <x v="0"/>
    <x v="1"/>
    <x v="0"/>
    <x v="1"/>
  </r>
  <r>
    <x v="0"/>
    <x v="3"/>
    <n v="11184.73"/>
    <x v="0"/>
    <x v="1"/>
    <x v="0"/>
    <x v="1"/>
  </r>
  <r>
    <x v="1"/>
    <x v="3"/>
    <n v="0"/>
    <x v="0"/>
    <x v="1"/>
    <x v="0"/>
    <x v="1"/>
  </r>
  <r>
    <x v="2"/>
    <x v="3"/>
    <n v="0"/>
    <x v="0"/>
    <x v="1"/>
    <x v="0"/>
    <x v="1"/>
  </r>
  <r>
    <x v="3"/>
    <x v="3"/>
    <n v="0"/>
    <x v="0"/>
    <x v="1"/>
    <x v="0"/>
    <x v="1"/>
  </r>
  <r>
    <x v="4"/>
    <x v="3"/>
    <n v="0"/>
    <x v="0"/>
    <x v="1"/>
    <x v="0"/>
    <x v="1"/>
  </r>
  <r>
    <x v="5"/>
    <x v="3"/>
    <n v="0"/>
    <x v="0"/>
    <x v="1"/>
    <x v="0"/>
    <x v="1"/>
  </r>
  <r>
    <x v="6"/>
    <x v="3"/>
    <n v="0"/>
    <x v="0"/>
    <x v="1"/>
    <x v="0"/>
    <x v="1"/>
  </r>
  <r>
    <x v="7"/>
    <x v="3"/>
    <n v="0"/>
    <x v="0"/>
    <x v="1"/>
    <x v="0"/>
    <x v="1"/>
  </r>
  <r>
    <x v="8"/>
    <x v="3"/>
    <n v="0"/>
    <x v="0"/>
    <x v="1"/>
    <x v="0"/>
    <x v="1"/>
  </r>
  <r>
    <x v="9"/>
    <x v="3"/>
    <n v="0"/>
    <x v="0"/>
    <x v="1"/>
    <x v="0"/>
    <x v="1"/>
  </r>
  <r>
    <x v="10"/>
    <x v="3"/>
    <n v="0"/>
    <x v="0"/>
    <x v="1"/>
    <x v="0"/>
    <x v="1"/>
  </r>
  <r>
    <x v="11"/>
    <x v="3"/>
    <n v="0"/>
    <x v="0"/>
    <x v="1"/>
    <x v="0"/>
    <x v="1"/>
  </r>
  <r>
    <x v="12"/>
    <x v="3"/>
    <n v="0"/>
    <x v="0"/>
    <x v="1"/>
    <x v="0"/>
    <x v="1"/>
  </r>
  <r>
    <x v="13"/>
    <x v="3"/>
    <n v="0"/>
    <x v="0"/>
    <x v="1"/>
    <x v="0"/>
    <x v="1"/>
  </r>
  <r>
    <x v="14"/>
    <x v="3"/>
    <n v="0"/>
    <x v="0"/>
    <x v="1"/>
    <x v="0"/>
    <x v="1"/>
  </r>
  <r>
    <x v="15"/>
    <x v="3"/>
    <n v="0"/>
    <x v="0"/>
    <x v="1"/>
    <x v="0"/>
    <x v="1"/>
  </r>
  <r>
    <x v="0"/>
    <x v="4"/>
    <n v="0"/>
    <x v="0"/>
    <x v="1"/>
    <x v="0"/>
    <x v="1"/>
  </r>
  <r>
    <x v="1"/>
    <x v="4"/>
    <n v="0"/>
    <x v="0"/>
    <x v="1"/>
    <x v="0"/>
    <x v="1"/>
  </r>
  <r>
    <x v="2"/>
    <x v="4"/>
    <n v="0"/>
    <x v="0"/>
    <x v="1"/>
    <x v="0"/>
    <x v="1"/>
  </r>
  <r>
    <x v="3"/>
    <x v="4"/>
    <n v="53.1477"/>
    <x v="0"/>
    <x v="1"/>
    <x v="0"/>
    <x v="1"/>
  </r>
  <r>
    <x v="4"/>
    <x v="4"/>
    <n v="53.1477"/>
    <x v="0"/>
    <x v="1"/>
    <x v="0"/>
    <x v="1"/>
  </r>
  <r>
    <x v="5"/>
    <x v="4"/>
    <n v="140.62899999999999"/>
    <x v="0"/>
    <x v="1"/>
    <x v="0"/>
    <x v="1"/>
  </r>
  <r>
    <x v="6"/>
    <x v="4"/>
    <n v="140.62899999999999"/>
    <x v="0"/>
    <x v="1"/>
    <x v="0"/>
    <x v="1"/>
  </r>
  <r>
    <x v="7"/>
    <x v="4"/>
    <n v="56.689799999999998"/>
    <x v="0"/>
    <x v="1"/>
    <x v="0"/>
    <x v="1"/>
  </r>
  <r>
    <x v="8"/>
    <x v="4"/>
    <n v="56.689799999999998"/>
    <x v="0"/>
    <x v="1"/>
    <x v="0"/>
    <x v="1"/>
  </r>
  <r>
    <x v="9"/>
    <x v="4"/>
    <n v="0"/>
    <x v="0"/>
    <x v="1"/>
    <x v="0"/>
    <x v="1"/>
  </r>
  <r>
    <x v="10"/>
    <x v="4"/>
    <n v="0"/>
    <x v="0"/>
    <x v="1"/>
    <x v="0"/>
    <x v="1"/>
  </r>
  <r>
    <x v="11"/>
    <x v="4"/>
    <n v="0"/>
    <x v="0"/>
    <x v="1"/>
    <x v="0"/>
    <x v="1"/>
  </r>
  <r>
    <x v="12"/>
    <x v="4"/>
    <n v="0"/>
    <x v="0"/>
    <x v="1"/>
    <x v="0"/>
    <x v="1"/>
  </r>
  <r>
    <x v="13"/>
    <x v="4"/>
    <n v="0"/>
    <x v="0"/>
    <x v="1"/>
    <x v="0"/>
    <x v="1"/>
  </r>
  <r>
    <x v="14"/>
    <x v="4"/>
    <n v="0"/>
    <x v="0"/>
    <x v="1"/>
    <x v="0"/>
    <x v="1"/>
  </r>
  <r>
    <x v="15"/>
    <x v="4"/>
    <n v="0"/>
    <x v="0"/>
    <x v="1"/>
    <x v="0"/>
    <x v="1"/>
  </r>
  <r>
    <x v="0"/>
    <x v="5"/>
    <n v="3261.15"/>
    <x v="0"/>
    <x v="1"/>
    <x v="0"/>
    <x v="1"/>
  </r>
  <r>
    <x v="1"/>
    <x v="5"/>
    <n v="29.5"/>
    <x v="0"/>
    <x v="1"/>
    <x v="0"/>
    <x v="1"/>
  </r>
  <r>
    <x v="2"/>
    <x v="5"/>
    <n v="29.5"/>
    <x v="0"/>
    <x v="1"/>
    <x v="0"/>
    <x v="1"/>
  </r>
  <r>
    <x v="3"/>
    <x v="5"/>
    <n v="83.65"/>
    <x v="0"/>
    <x v="1"/>
    <x v="0"/>
    <x v="1"/>
  </r>
  <r>
    <x v="4"/>
    <x v="5"/>
    <n v="83.65"/>
    <x v="0"/>
    <x v="1"/>
    <x v="0"/>
    <x v="1"/>
  </r>
  <r>
    <x v="5"/>
    <x v="5"/>
    <n v="4"/>
    <x v="0"/>
    <x v="1"/>
    <x v="0"/>
    <x v="1"/>
  </r>
  <r>
    <x v="6"/>
    <x v="5"/>
    <n v="4"/>
    <x v="0"/>
    <x v="1"/>
    <x v="0"/>
    <x v="1"/>
  </r>
  <r>
    <x v="7"/>
    <x v="5"/>
    <n v="32.395000000000003"/>
    <x v="0"/>
    <x v="1"/>
    <x v="0"/>
    <x v="1"/>
  </r>
  <r>
    <x v="8"/>
    <x v="5"/>
    <n v="32.395000000000003"/>
    <x v="0"/>
    <x v="1"/>
    <x v="0"/>
    <x v="1"/>
  </r>
  <r>
    <x v="9"/>
    <x v="5"/>
    <n v="0"/>
    <x v="0"/>
    <x v="1"/>
    <x v="0"/>
    <x v="1"/>
  </r>
  <r>
    <x v="10"/>
    <x v="5"/>
    <n v="0"/>
    <x v="0"/>
    <x v="1"/>
    <x v="0"/>
    <x v="1"/>
  </r>
  <r>
    <x v="11"/>
    <x v="5"/>
    <n v="0"/>
    <x v="0"/>
    <x v="1"/>
    <x v="0"/>
    <x v="1"/>
  </r>
  <r>
    <x v="12"/>
    <x v="5"/>
    <n v="0"/>
    <x v="0"/>
    <x v="1"/>
    <x v="0"/>
    <x v="1"/>
  </r>
  <r>
    <x v="13"/>
    <x v="5"/>
    <n v="0"/>
    <x v="0"/>
    <x v="1"/>
    <x v="0"/>
    <x v="1"/>
  </r>
  <r>
    <x v="14"/>
    <x v="5"/>
    <n v="0"/>
    <x v="0"/>
    <x v="1"/>
    <x v="0"/>
    <x v="1"/>
  </r>
  <r>
    <x v="15"/>
    <x v="5"/>
    <n v="0"/>
    <x v="0"/>
    <x v="1"/>
    <x v="0"/>
    <x v="1"/>
  </r>
  <r>
    <x v="0"/>
    <x v="6"/>
    <n v="232.5"/>
    <x v="0"/>
    <x v="1"/>
    <x v="0"/>
    <x v="1"/>
  </r>
  <r>
    <x v="1"/>
    <x v="6"/>
    <n v="1100"/>
    <x v="0"/>
    <x v="1"/>
    <x v="0"/>
    <x v="1"/>
  </r>
  <r>
    <x v="2"/>
    <x v="6"/>
    <n v="1100"/>
    <x v="0"/>
    <x v="1"/>
    <x v="0"/>
    <x v="1"/>
  </r>
  <r>
    <x v="3"/>
    <x v="6"/>
    <n v="0"/>
    <x v="0"/>
    <x v="1"/>
    <x v="0"/>
    <x v="1"/>
  </r>
  <r>
    <x v="4"/>
    <x v="6"/>
    <n v="0"/>
    <x v="0"/>
    <x v="1"/>
    <x v="0"/>
    <x v="1"/>
  </r>
  <r>
    <x v="5"/>
    <x v="6"/>
    <n v="0"/>
    <x v="0"/>
    <x v="1"/>
    <x v="0"/>
    <x v="1"/>
  </r>
  <r>
    <x v="6"/>
    <x v="6"/>
    <n v="0"/>
    <x v="0"/>
    <x v="1"/>
    <x v="0"/>
    <x v="1"/>
  </r>
  <r>
    <x v="7"/>
    <x v="6"/>
    <n v="0"/>
    <x v="0"/>
    <x v="1"/>
    <x v="0"/>
    <x v="1"/>
  </r>
  <r>
    <x v="8"/>
    <x v="6"/>
    <n v="0"/>
    <x v="0"/>
    <x v="1"/>
    <x v="0"/>
    <x v="1"/>
  </r>
  <r>
    <x v="9"/>
    <x v="6"/>
    <n v="0"/>
    <x v="0"/>
    <x v="1"/>
    <x v="0"/>
    <x v="1"/>
  </r>
  <r>
    <x v="10"/>
    <x v="6"/>
    <n v="0"/>
    <x v="0"/>
    <x v="1"/>
    <x v="0"/>
    <x v="1"/>
  </r>
  <r>
    <x v="11"/>
    <x v="6"/>
    <n v="0"/>
    <x v="0"/>
    <x v="1"/>
    <x v="0"/>
    <x v="1"/>
  </r>
  <r>
    <x v="12"/>
    <x v="6"/>
    <n v="0"/>
    <x v="0"/>
    <x v="1"/>
    <x v="0"/>
    <x v="1"/>
  </r>
  <r>
    <x v="13"/>
    <x v="6"/>
    <n v="0"/>
    <x v="0"/>
    <x v="1"/>
    <x v="0"/>
    <x v="1"/>
  </r>
  <r>
    <x v="14"/>
    <x v="6"/>
    <n v="0"/>
    <x v="0"/>
    <x v="1"/>
    <x v="0"/>
    <x v="1"/>
  </r>
  <r>
    <x v="15"/>
    <x v="6"/>
    <n v="0"/>
    <x v="0"/>
    <x v="1"/>
    <x v="0"/>
    <x v="1"/>
  </r>
  <r>
    <x v="0"/>
    <x v="7"/>
    <n v="14.85"/>
    <x v="0"/>
    <x v="1"/>
    <x v="0"/>
    <x v="1"/>
  </r>
  <r>
    <x v="1"/>
    <x v="7"/>
    <n v="0"/>
    <x v="0"/>
    <x v="1"/>
    <x v="0"/>
    <x v="1"/>
  </r>
  <r>
    <x v="2"/>
    <x v="7"/>
    <n v="0"/>
    <x v="0"/>
    <x v="1"/>
    <x v="0"/>
    <x v="1"/>
  </r>
  <r>
    <x v="3"/>
    <x v="7"/>
    <n v="0"/>
    <x v="0"/>
    <x v="1"/>
    <x v="0"/>
    <x v="1"/>
  </r>
  <r>
    <x v="4"/>
    <x v="7"/>
    <n v="0"/>
    <x v="0"/>
    <x v="1"/>
    <x v="0"/>
    <x v="1"/>
  </r>
  <r>
    <x v="5"/>
    <x v="7"/>
    <n v="0"/>
    <x v="0"/>
    <x v="1"/>
    <x v="0"/>
    <x v="1"/>
  </r>
  <r>
    <x v="6"/>
    <x v="7"/>
    <n v="0"/>
    <x v="0"/>
    <x v="1"/>
    <x v="0"/>
    <x v="1"/>
  </r>
  <r>
    <x v="7"/>
    <x v="7"/>
    <n v="0"/>
    <x v="0"/>
    <x v="1"/>
    <x v="0"/>
    <x v="1"/>
  </r>
  <r>
    <x v="8"/>
    <x v="7"/>
    <n v="0"/>
    <x v="0"/>
    <x v="1"/>
    <x v="0"/>
    <x v="1"/>
  </r>
  <r>
    <x v="9"/>
    <x v="7"/>
    <n v="0"/>
    <x v="0"/>
    <x v="1"/>
    <x v="0"/>
    <x v="1"/>
  </r>
  <r>
    <x v="10"/>
    <x v="7"/>
    <n v="0"/>
    <x v="0"/>
    <x v="1"/>
    <x v="0"/>
    <x v="1"/>
  </r>
  <r>
    <x v="11"/>
    <x v="7"/>
    <n v="0"/>
    <x v="0"/>
    <x v="1"/>
    <x v="0"/>
    <x v="1"/>
  </r>
  <r>
    <x v="12"/>
    <x v="7"/>
    <n v="0"/>
    <x v="0"/>
    <x v="1"/>
    <x v="0"/>
    <x v="1"/>
  </r>
  <r>
    <x v="13"/>
    <x v="7"/>
    <n v="0"/>
    <x v="0"/>
    <x v="1"/>
    <x v="0"/>
    <x v="1"/>
  </r>
  <r>
    <x v="14"/>
    <x v="7"/>
    <n v="0"/>
    <x v="0"/>
    <x v="1"/>
    <x v="0"/>
    <x v="1"/>
  </r>
  <r>
    <x v="15"/>
    <x v="7"/>
    <n v="0"/>
    <x v="0"/>
    <x v="1"/>
    <x v="0"/>
    <x v="1"/>
  </r>
  <r>
    <x v="0"/>
    <x v="8"/>
    <n v="10493.1"/>
    <x v="0"/>
    <x v="1"/>
    <x v="0"/>
    <x v="1"/>
  </r>
  <r>
    <x v="1"/>
    <x v="8"/>
    <n v="30017.599999999999"/>
    <x v="0"/>
    <x v="1"/>
    <x v="0"/>
    <x v="1"/>
  </r>
  <r>
    <x v="2"/>
    <x v="8"/>
    <n v="30017.599999999999"/>
    <x v="0"/>
    <x v="1"/>
    <x v="0"/>
    <x v="1"/>
  </r>
  <r>
    <x v="3"/>
    <x v="8"/>
    <n v="33246.9"/>
    <x v="0"/>
    <x v="1"/>
    <x v="0"/>
    <x v="1"/>
  </r>
  <r>
    <x v="4"/>
    <x v="8"/>
    <n v="33246.9"/>
    <x v="0"/>
    <x v="1"/>
    <x v="0"/>
    <x v="1"/>
  </r>
  <r>
    <x v="5"/>
    <x v="8"/>
    <n v="17345.8"/>
    <x v="0"/>
    <x v="1"/>
    <x v="0"/>
    <x v="1"/>
  </r>
  <r>
    <x v="6"/>
    <x v="8"/>
    <n v="17345.8"/>
    <x v="0"/>
    <x v="1"/>
    <x v="0"/>
    <x v="1"/>
  </r>
  <r>
    <x v="7"/>
    <x v="8"/>
    <n v="20255.5"/>
    <x v="0"/>
    <x v="1"/>
    <x v="0"/>
    <x v="1"/>
  </r>
  <r>
    <x v="8"/>
    <x v="8"/>
    <n v="20255.5"/>
    <x v="0"/>
    <x v="1"/>
    <x v="0"/>
    <x v="1"/>
  </r>
  <r>
    <x v="9"/>
    <x v="8"/>
    <n v="11046.8"/>
    <x v="0"/>
    <x v="1"/>
    <x v="0"/>
    <x v="1"/>
  </r>
  <r>
    <x v="10"/>
    <x v="8"/>
    <n v="11046.8"/>
    <x v="0"/>
    <x v="1"/>
    <x v="0"/>
    <x v="1"/>
  </r>
  <r>
    <x v="11"/>
    <x v="8"/>
    <n v="8865.07"/>
    <x v="0"/>
    <x v="1"/>
    <x v="0"/>
    <x v="1"/>
  </r>
  <r>
    <x v="12"/>
    <x v="8"/>
    <n v="8865.07"/>
    <x v="0"/>
    <x v="1"/>
    <x v="0"/>
    <x v="1"/>
  </r>
  <r>
    <x v="13"/>
    <x v="8"/>
    <n v="12599.8"/>
    <x v="0"/>
    <x v="1"/>
    <x v="0"/>
    <x v="1"/>
  </r>
  <r>
    <x v="14"/>
    <x v="8"/>
    <n v="12599.8"/>
    <x v="0"/>
    <x v="1"/>
    <x v="0"/>
    <x v="1"/>
  </r>
  <r>
    <x v="15"/>
    <x v="8"/>
    <n v="12599.8"/>
    <x v="0"/>
    <x v="1"/>
    <x v="0"/>
    <x v="1"/>
  </r>
  <r>
    <x v="0"/>
    <x v="9"/>
    <n v="11010.3"/>
    <x v="0"/>
    <x v="1"/>
    <x v="0"/>
    <x v="1"/>
  </r>
  <r>
    <x v="1"/>
    <x v="9"/>
    <n v="78798.7"/>
    <x v="0"/>
    <x v="1"/>
    <x v="0"/>
    <x v="1"/>
  </r>
  <r>
    <x v="2"/>
    <x v="9"/>
    <n v="78798.7"/>
    <x v="0"/>
    <x v="1"/>
    <x v="0"/>
    <x v="1"/>
  </r>
  <r>
    <x v="3"/>
    <x v="9"/>
    <n v="12568.6"/>
    <x v="0"/>
    <x v="1"/>
    <x v="0"/>
    <x v="1"/>
  </r>
  <r>
    <x v="4"/>
    <x v="9"/>
    <n v="12568.6"/>
    <x v="0"/>
    <x v="1"/>
    <x v="0"/>
    <x v="1"/>
  </r>
  <r>
    <x v="5"/>
    <x v="9"/>
    <n v="31633.1"/>
    <x v="0"/>
    <x v="1"/>
    <x v="0"/>
    <x v="1"/>
  </r>
  <r>
    <x v="6"/>
    <x v="9"/>
    <n v="31633.1"/>
    <x v="0"/>
    <x v="1"/>
    <x v="0"/>
    <x v="1"/>
  </r>
  <r>
    <x v="7"/>
    <x v="9"/>
    <n v="16137.4"/>
    <x v="0"/>
    <x v="1"/>
    <x v="0"/>
    <x v="1"/>
  </r>
  <r>
    <x v="8"/>
    <x v="9"/>
    <n v="16137.4"/>
    <x v="0"/>
    <x v="1"/>
    <x v="0"/>
    <x v="1"/>
  </r>
  <r>
    <x v="9"/>
    <x v="9"/>
    <n v="21000.5"/>
    <x v="0"/>
    <x v="1"/>
    <x v="0"/>
    <x v="1"/>
  </r>
  <r>
    <x v="10"/>
    <x v="9"/>
    <n v="21000.5"/>
    <x v="0"/>
    <x v="1"/>
    <x v="0"/>
    <x v="1"/>
  </r>
  <r>
    <x v="11"/>
    <x v="9"/>
    <n v="17733.3"/>
    <x v="0"/>
    <x v="1"/>
    <x v="0"/>
    <x v="1"/>
  </r>
  <r>
    <x v="12"/>
    <x v="9"/>
    <n v="17733.3"/>
    <x v="0"/>
    <x v="1"/>
    <x v="0"/>
    <x v="1"/>
  </r>
  <r>
    <x v="13"/>
    <x v="9"/>
    <n v="23921.7"/>
    <x v="0"/>
    <x v="1"/>
    <x v="0"/>
    <x v="1"/>
  </r>
  <r>
    <x v="14"/>
    <x v="9"/>
    <n v="23921.7"/>
    <x v="0"/>
    <x v="1"/>
    <x v="0"/>
    <x v="1"/>
  </r>
  <r>
    <x v="15"/>
    <x v="9"/>
    <n v="23921.7"/>
    <x v="0"/>
    <x v="1"/>
    <x v="0"/>
    <x v="1"/>
  </r>
  <r>
    <x v="0"/>
    <x v="1"/>
    <n v="102.45"/>
    <x v="0"/>
    <x v="1"/>
    <x v="0"/>
    <x v="2"/>
  </r>
  <r>
    <x v="1"/>
    <x v="1"/>
    <n v="9.5"/>
    <x v="0"/>
    <x v="1"/>
    <x v="0"/>
    <x v="2"/>
  </r>
  <r>
    <x v="2"/>
    <x v="1"/>
    <n v="9.5"/>
    <x v="0"/>
    <x v="1"/>
    <x v="0"/>
    <x v="2"/>
  </r>
  <r>
    <x v="3"/>
    <x v="1"/>
    <n v="0"/>
    <x v="0"/>
    <x v="1"/>
    <x v="0"/>
    <x v="2"/>
  </r>
  <r>
    <x v="4"/>
    <x v="1"/>
    <n v="0"/>
    <x v="0"/>
    <x v="1"/>
    <x v="0"/>
    <x v="2"/>
  </r>
  <r>
    <x v="5"/>
    <x v="1"/>
    <n v="0"/>
    <x v="0"/>
    <x v="1"/>
    <x v="0"/>
    <x v="2"/>
  </r>
  <r>
    <x v="6"/>
    <x v="1"/>
    <n v="0"/>
    <x v="0"/>
    <x v="1"/>
    <x v="0"/>
    <x v="2"/>
  </r>
  <r>
    <x v="7"/>
    <x v="1"/>
    <n v="0"/>
    <x v="0"/>
    <x v="1"/>
    <x v="0"/>
    <x v="2"/>
  </r>
  <r>
    <x v="8"/>
    <x v="1"/>
    <n v="0"/>
    <x v="0"/>
    <x v="1"/>
    <x v="0"/>
    <x v="2"/>
  </r>
  <r>
    <x v="9"/>
    <x v="1"/>
    <n v="0"/>
    <x v="0"/>
    <x v="1"/>
    <x v="0"/>
    <x v="2"/>
  </r>
  <r>
    <x v="10"/>
    <x v="1"/>
    <n v="0"/>
    <x v="0"/>
    <x v="1"/>
    <x v="0"/>
    <x v="2"/>
  </r>
  <r>
    <x v="11"/>
    <x v="1"/>
    <n v="0"/>
    <x v="0"/>
    <x v="1"/>
    <x v="0"/>
    <x v="2"/>
  </r>
  <r>
    <x v="12"/>
    <x v="1"/>
    <n v="0"/>
    <x v="0"/>
    <x v="1"/>
    <x v="0"/>
    <x v="2"/>
  </r>
  <r>
    <x v="13"/>
    <x v="1"/>
    <n v="0"/>
    <x v="0"/>
    <x v="1"/>
    <x v="0"/>
    <x v="2"/>
  </r>
  <r>
    <x v="14"/>
    <x v="1"/>
    <n v="0"/>
    <x v="0"/>
    <x v="1"/>
    <x v="0"/>
    <x v="2"/>
  </r>
  <r>
    <x v="15"/>
    <x v="1"/>
    <n v="0"/>
    <x v="0"/>
    <x v="1"/>
    <x v="0"/>
    <x v="2"/>
  </r>
  <r>
    <x v="0"/>
    <x v="2"/>
    <n v="0"/>
    <x v="0"/>
    <x v="1"/>
    <x v="0"/>
    <x v="2"/>
  </r>
  <r>
    <x v="1"/>
    <x v="2"/>
    <n v="0"/>
    <x v="0"/>
    <x v="1"/>
    <x v="0"/>
    <x v="2"/>
  </r>
  <r>
    <x v="2"/>
    <x v="2"/>
    <n v="0"/>
    <x v="0"/>
    <x v="1"/>
    <x v="0"/>
    <x v="2"/>
  </r>
  <r>
    <x v="3"/>
    <x v="2"/>
    <n v="0"/>
    <x v="0"/>
    <x v="1"/>
    <x v="0"/>
    <x v="2"/>
  </r>
  <r>
    <x v="4"/>
    <x v="2"/>
    <n v="0"/>
    <x v="0"/>
    <x v="1"/>
    <x v="0"/>
    <x v="2"/>
  </r>
  <r>
    <x v="5"/>
    <x v="2"/>
    <n v="0"/>
    <x v="0"/>
    <x v="1"/>
    <x v="0"/>
    <x v="2"/>
  </r>
  <r>
    <x v="6"/>
    <x v="2"/>
    <n v="0"/>
    <x v="0"/>
    <x v="1"/>
    <x v="0"/>
    <x v="2"/>
  </r>
  <r>
    <x v="7"/>
    <x v="2"/>
    <n v="0"/>
    <x v="0"/>
    <x v="1"/>
    <x v="0"/>
    <x v="2"/>
  </r>
  <r>
    <x v="8"/>
    <x v="2"/>
    <n v="0"/>
    <x v="0"/>
    <x v="1"/>
    <x v="0"/>
    <x v="2"/>
  </r>
  <r>
    <x v="9"/>
    <x v="2"/>
    <n v="0"/>
    <x v="0"/>
    <x v="1"/>
    <x v="0"/>
    <x v="2"/>
  </r>
  <r>
    <x v="10"/>
    <x v="2"/>
    <n v="0"/>
    <x v="0"/>
    <x v="1"/>
    <x v="0"/>
    <x v="2"/>
  </r>
  <r>
    <x v="11"/>
    <x v="2"/>
    <n v="0"/>
    <x v="0"/>
    <x v="1"/>
    <x v="0"/>
    <x v="2"/>
  </r>
  <r>
    <x v="12"/>
    <x v="2"/>
    <n v="0"/>
    <x v="0"/>
    <x v="1"/>
    <x v="0"/>
    <x v="2"/>
  </r>
  <r>
    <x v="13"/>
    <x v="2"/>
    <n v="0"/>
    <x v="0"/>
    <x v="1"/>
    <x v="0"/>
    <x v="2"/>
  </r>
  <r>
    <x v="14"/>
    <x v="2"/>
    <n v="0"/>
    <x v="0"/>
    <x v="1"/>
    <x v="0"/>
    <x v="2"/>
  </r>
  <r>
    <x v="15"/>
    <x v="2"/>
    <n v="0"/>
    <x v="0"/>
    <x v="1"/>
    <x v="0"/>
    <x v="2"/>
  </r>
  <r>
    <x v="0"/>
    <x v="3"/>
    <n v="11184.73"/>
    <x v="0"/>
    <x v="1"/>
    <x v="0"/>
    <x v="2"/>
  </r>
  <r>
    <x v="1"/>
    <x v="3"/>
    <n v="0"/>
    <x v="0"/>
    <x v="1"/>
    <x v="0"/>
    <x v="2"/>
  </r>
  <r>
    <x v="2"/>
    <x v="3"/>
    <n v="0"/>
    <x v="0"/>
    <x v="1"/>
    <x v="0"/>
    <x v="2"/>
  </r>
  <r>
    <x v="3"/>
    <x v="3"/>
    <n v="0"/>
    <x v="0"/>
    <x v="1"/>
    <x v="0"/>
    <x v="2"/>
  </r>
  <r>
    <x v="4"/>
    <x v="3"/>
    <n v="0"/>
    <x v="0"/>
    <x v="1"/>
    <x v="0"/>
    <x v="2"/>
  </r>
  <r>
    <x v="5"/>
    <x v="3"/>
    <n v="0"/>
    <x v="0"/>
    <x v="1"/>
    <x v="0"/>
    <x v="2"/>
  </r>
  <r>
    <x v="6"/>
    <x v="3"/>
    <n v="0"/>
    <x v="0"/>
    <x v="1"/>
    <x v="0"/>
    <x v="2"/>
  </r>
  <r>
    <x v="7"/>
    <x v="3"/>
    <n v="0"/>
    <x v="0"/>
    <x v="1"/>
    <x v="0"/>
    <x v="2"/>
  </r>
  <r>
    <x v="8"/>
    <x v="3"/>
    <n v="0"/>
    <x v="0"/>
    <x v="1"/>
    <x v="0"/>
    <x v="2"/>
  </r>
  <r>
    <x v="9"/>
    <x v="3"/>
    <n v="0"/>
    <x v="0"/>
    <x v="1"/>
    <x v="0"/>
    <x v="2"/>
  </r>
  <r>
    <x v="10"/>
    <x v="3"/>
    <n v="0"/>
    <x v="0"/>
    <x v="1"/>
    <x v="0"/>
    <x v="2"/>
  </r>
  <r>
    <x v="11"/>
    <x v="3"/>
    <n v="0"/>
    <x v="0"/>
    <x v="1"/>
    <x v="0"/>
    <x v="2"/>
  </r>
  <r>
    <x v="12"/>
    <x v="3"/>
    <n v="0"/>
    <x v="0"/>
    <x v="1"/>
    <x v="0"/>
    <x v="2"/>
  </r>
  <r>
    <x v="13"/>
    <x v="3"/>
    <n v="0"/>
    <x v="0"/>
    <x v="1"/>
    <x v="0"/>
    <x v="2"/>
  </r>
  <r>
    <x v="14"/>
    <x v="3"/>
    <n v="0"/>
    <x v="0"/>
    <x v="1"/>
    <x v="0"/>
    <x v="2"/>
  </r>
  <r>
    <x v="15"/>
    <x v="3"/>
    <n v="0"/>
    <x v="0"/>
    <x v="1"/>
    <x v="0"/>
    <x v="2"/>
  </r>
  <r>
    <x v="0"/>
    <x v="4"/>
    <n v="0"/>
    <x v="0"/>
    <x v="1"/>
    <x v="0"/>
    <x v="2"/>
  </r>
  <r>
    <x v="1"/>
    <x v="4"/>
    <n v="0"/>
    <x v="0"/>
    <x v="1"/>
    <x v="0"/>
    <x v="2"/>
  </r>
  <r>
    <x v="2"/>
    <x v="4"/>
    <n v="0"/>
    <x v="0"/>
    <x v="1"/>
    <x v="0"/>
    <x v="2"/>
  </r>
  <r>
    <x v="3"/>
    <x v="4"/>
    <n v="0"/>
    <x v="0"/>
    <x v="1"/>
    <x v="0"/>
    <x v="2"/>
  </r>
  <r>
    <x v="4"/>
    <x v="4"/>
    <n v="0"/>
    <x v="0"/>
    <x v="1"/>
    <x v="0"/>
    <x v="2"/>
  </r>
  <r>
    <x v="5"/>
    <x v="4"/>
    <n v="0"/>
    <x v="0"/>
    <x v="1"/>
    <x v="0"/>
    <x v="2"/>
  </r>
  <r>
    <x v="6"/>
    <x v="4"/>
    <n v="0"/>
    <x v="0"/>
    <x v="1"/>
    <x v="0"/>
    <x v="2"/>
  </r>
  <r>
    <x v="7"/>
    <x v="4"/>
    <n v="0"/>
    <x v="0"/>
    <x v="1"/>
    <x v="0"/>
    <x v="2"/>
  </r>
  <r>
    <x v="8"/>
    <x v="4"/>
    <n v="0"/>
    <x v="0"/>
    <x v="1"/>
    <x v="0"/>
    <x v="2"/>
  </r>
  <r>
    <x v="9"/>
    <x v="4"/>
    <n v="0"/>
    <x v="0"/>
    <x v="1"/>
    <x v="0"/>
    <x v="2"/>
  </r>
  <r>
    <x v="10"/>
    <x v="4"/>
    <n v="0"/>
    <x v="0"/>
    <x v="1"/>
    <x v="0"/>
    <x v="2"/>
  </r>
  <r>
    <x v="11"/>
    <x v="4"/>
    <n v="0"/>
    <x v="0"/>
    <x v="1"/>
    <x v="0"/>
    <x v="2"/>
  </r>
  <r>
    <x v="12"/>
    <x v="4"/>
    <n v="0"/>
    <x v="0"/>
    <x v="1"/>
    <x v="0"/>
    <x v="2"/>
  </r>
  <r>
    <x v="13"/>
    <x v="4"/>
    <n v="0"/>
    <x v="0"/>
    <x v="1"/>
    <x v="0"/>
    <x v="2"/>
  </r>
  <r>
    <x v="14"/>
    <x v="4"/>
    <n v="0"/>
    <x v="0"/>
    <x v="1"/>
    <x v="0"/>
    <x v="2"/>
  </r>
  <r>
    <x v="15"/>
    <x v="4"/>
    <n v="0"/>
    <x v="0"/>
    <x v="1"/>
    <x v="0"/>
    <x v="2"/>
  </r>
  <r>
    <x v="0"/>
    <x v="5"/>
    <n v="2384.84"/>
    <x v="0"/>
    <x v="1"/>
    <x v="0"/>
    <x v="2"/>
  </r>
  <r>
    <x v="1"/>
    <x v="5"/>
    <n v="11"/>
    <x v="0"/>
    <x v="1"/>
    <x v="0"/>
    <x v="2"/>
  </r>
  <r>
    <x v="2"/>
    <x v="5"/>
    <n v="11"/>
    <x v="0"/>
    <x v="1"/>
    <x v="0"/>
    <x v="2"/>
  </r>
  <r>
    <x v="3"/>
    <x v="5"/>
    <n v="74.482399999999998"/>
    <x v="0"/>
    <x v="1"/>
    <x v="0"/>
    <x v="2"/>
  </r>
  <r>
    <x v="4"/>
    <x v="5"/>
    <n v="74.482399999999998"/>
    <x v="0"/>
    <x v="1"/>
    <x v="0"/>
    <x v="2"/>
  </r>
  <r>
    <x v="5"/>
    <x v="5"/>
    <n v="37"/>
    <x v="0"/>
    <x v="1"/>
    <x v="0"/>
    <x v="2"/>
  </r>
  <r>
    <x v="6"/>
    <x v="5"/>
    <n v="37"/>
    <x v="0"/>
    <x v="1"/>
    <x v="0"/>
    <x v="2"/>
  </r>
  <r>
    <x v="7"/>
    <x v="5"/>
    <n v="21"/>
    <x v="0"/>
    <x v="1"/>
    <x v="0"/>
    <x v="2"/>
  </r>
  <r>
    <x v="8"/>
    <x v="5"/>
    <n v="21"/>
    <x v="0"/>
    <x v="1"/>
    <x v="0"/>
    <x v="2"/>
  </r>
  <r>
    <x v="9"/>
    <x v="5"/>
    <n v="8"/>
    <x v="0"/>
    <x v="1"/>
    <x v="0"/>
    <x v="2"/>
  </r>
  <r>
    <x v="10"/>
    <x v="5"/>
    <n v="8"/>
    <x v="0"/>
    <x v="1"/>
    <x v="0"/>
    <x v="2"/>
  </r>
  <r>
    <x v="11"/>
    <x v="5"/>
    <n v="0"/>
    <x v="0"/>
    <x v="1"/>
    <x v="0"/>
    <x v="2"/>
  </r>
  <r>
    <x v="12"/>
    <x v="5"/>
    <n v="0"/>
    <x v="0"/>
    <x v="1"/>
    <x v="0"/>
    <x v="2"/>
  </r>
  <r>
    <x v="13"/>
    <x v="5"/>
    <n v="0"/>
    <x v="0"/>
    <x v="1"/>
    <x v="0"/>
    <x v="2"/>
  </r>
  <r>
    <x v="14"/>
    <x v="5"/>
    <n v="0"/>
    <x v="0"/>
    <x v="1"/>
    <x v="0"/>
    <x v="2"/>
  </r>
  <r>
    <x v="15"/>
    <x v="5"/>
    <n v="0"/>
    <x v="0"/>
    <x v="1"/>
    <x v="0"/>
    <x v="2"/>
  </r>
  <r>
    <x v="0"/>
    <x v="6"/>
    <n v="232.5"/>
    <x v="0"/>
    <x v="1"/>
    <x v="0"/>
    <x v="2"/>
  </r>
  <r>
    <x v="1"/>
    <x v="6"/>
    <n v="1100"/>
    <x v="0"/>
    <x v="1"/>
    <x v="0"/>
    <x v="2"/>
  </r>
  <r>
    <x v="2"/>
    <x v="6"/>
    <n v="1100"/>
    <x v="0"/>
    <x v="1"/>
    <x v="0"/>
    <x v="2"/>
  </r>
  <r>
    <x v="3"/>
    <x v="6"/>
    <n v="0"/>
    <x v="0"/>
    <x v="1"/>
    <x v="0"/>
    <x v="2"/>
  </r>
  <r>
    <x v="4"/>
    <x v="6"/>
    <n v="0"/>
    <x v="0"/>
    <x v="1"/>
    <x v="0"/>
    <x v="2"/>
  </r>
  <r>
    <x v="5"/>
    <x v="6"/>
    <n v="0"/>
    <x v="0"/>
    <x v="1"/>
    <x v="0"/>
    <x v="2"/>
  </r>
  <r>
    <x v="6"/>
    <x v="6"/>
    <n v="0"/>
    <x v="0"/>
    <x v="1"/>
    <x v="0"/>
    <x v="2"/>
  </r>
  <r>
    <x v="7"/>
    <x v="6"/>
    <n v="0"/>
    <x v="0"/>
    <x v="1"/>
    <x v="0"/>
    <x v="2"/>
  </r>
  <r>
    <x v="8"/>
    <x v="6"/>
    <n v="0"/>
    <x v="0"/>
    <x v="1"/>
    <x v="0"/>
    <x v="2"/>
  </r>
  <r>
    <x v="9"/>
    <x v="6"/>
    <n v="0"/>
    <x v="0"/>
    <x v="1"/>
    <x v="0"/>
    <x v="2"/>
  </r>
  <r>
    <x v="10"/>
    <x v="6"/>
    <n v="0"/>
    <x v="0"/>
    <x v="1"/>
    <x v="0"/>
    <x v="2"/>
  </r>
  <r>
    <x v="11"/>
    <x v="6"/>
    <n v="0"/>
    <x v="0"/>
    <x v="1"/>
    <x v="0"/>
    <x v="2"/>
  </r>
  <r>
    <x v="12"/>
    <x v="6"/>
    <n v="0"/>
    <x v="0"/>
    <x v="1"/>
    <x v="0"/>
    <x v="2"/>
  </r>
  <r>
    <x v="13"/>
    <x v="6"/>
    <n v="0"/>
    <x v="0"/>
    <x v="1"/>
    <x v="0"/>
    <x v="2"/>
  </r>
  <r>
    <x v="14"/>
    <x v="6"/>
    <n v="0"/>
    <x v="0"/>
    <x v="1"/>
    <x v="0"/>
    <x v="2"/>
  </r>
  <r>
    <x v="15"/>
    <x v="6"/>
    <n v="0"/>
    <x v="0"/>
    <x v="1"/>
    <x v="0"/>
    <x v="2"/>
  </r>
  <r>
    <x v="0"/>
    <x v="7"/>
    <n v="14.85"/>
    <x v="0"/>
    <x v="1"/>
    <x v="0"/>
    <x v="2"/>
  </r>
  <r>
    <x v="1"/>
    <x v="7"/>
    <n v="0"/>
    <x v="0"/>
    <x v="1"/>
    <x v="0"/>
    <x v="2"/>
  </r>
  <r>
    <x v="2"/>
    <x v="7"/>
    <n v="0"/>
    <x v="0"/>
    <x v="1"/>
    <x v="0"/>
    <x v="2"/>
  </r>
  <r>
    <x v="3"/>
    <x v="7"/>
    <n v="0"/>
    <x v="0"/>
    <x v="1"/>
    <x v="0"/>
    <x v="2"/>
  </r>
  <r>
    <x v="4"/>
    <x v="7"/>
    <n v="0"/>
    <x v="0"/>
    <x v="1"/>
    <x v="0"/>
    <x v="2"/>
  </r>
  <r>
    <x v="5"/>
    <x v="7"/>
    <n v="0"/>
    <x v="0"/>
    <x v="1"/>
    <x v="0"/>
    <x v="2"/>
  </r>
  <r>
    <x v="6"/>
    <x v="7"/>
    <n v="0"/>
    <x v="0"/>
    <x v="1"/>
    <x v="0"/>
    <x v="2"/>
  </r>
  <r>
    <x v="7"/>
    <x v="7"/>
    <n v="0"/>
    <x v="0"/>
    <x v="1"/>
    <x v="0"/>
    <x v="2"/>
  </r>
  <r>
    <x v="8"/>
    <x v="7"/>
    <n v="0"/>
    <x v="0"/>
    <x v="1"/>
    <x v="0"/>
    <x v="2"/>
  </r>
  <r>
    <x v="9"/>
    <x v="7"/>
    <n v="0"/>
    <x v="0"/>
    <x v="1"/>
    <x v="0"/>
    <x v="2"/>
  </r>
  <r>
    <x v="10"/>
    <x v="7"/>
    <n v="0"/>
    <x v="0"/>
    <x v="1"/>
    <x v="0"/>
    <x v="2"/>
  </r>
  <r>
    <x v="11"/>
    <x v="7"/>
    <n v="0"/>
    <x v="0"/>
    <x v="1"/>
    <x v="0"/>
    <x v="2"/>
  </r>
  <r>
    <x v="12"/>
    <x v="7"/>
    <n v="0"/>
    <x v="0"/>
    <x v="1"/>
    <x v="0"/>
    <x v="2"/>
  </r>
  <r>
    <x v="13"/>
    <x v="7"/>
    <n v="0"/>
    <x v="0"/>
    <x v="1"/>
    <x v="0"/>
    <x v="2"/>
  </r>
  <r>
    <x v="14"/>
    <x v="7"/>
    <n v="0"/>
    <x v="0"/>
    <x v="1"/>
    <x v="0"/>
    <x v="2"/>
  </r>
  <r>
    <x v="15"/>
    <x v="7"/>
    <n v="0"/>
    <x v="0"/>
    <x v="1"/>
    <x v="0"/>
    <x v="2"/>
  </r>
  <r>
    <x v="0"/>
    <x v="8"/>
    <n v="14388.7"/>
    <x v="0"/>
    <x v="1"/>
    <x v="0"/>
    <x v="2"/>
  </r>
  <r>
    <x v="1"/>
    <x v="8"/>
    <n v="81698.7"/>
    <x v="0"/>
    <x v="1"/>
    <x v="0"/>
    <x v="2"/>
  </r>
  <r>
    <x v="2"/>
    <x v="8"/>
    <n v="81698.7"/>
    <x v="0"/>
    <x v="1"/>
    <x v="0"/>
    <x v="2"/>
  </r>
  <r>
    <x v="3"/>
    <x v="8"/>
    <n v="37248.199999999997"/>
    <x v="0"/>
    <x v="1"/>
    <x v="0"/>
    <x v="2"/>
  </r>
  <r>
    <x v="4"/>
    <x v="8"/>
    <n v="37248.199999999997"/>
    <x v="0"/>
    <x v="1"/>
    <x v="0"/>
    <x v="2"/>
  </r>
  <r>
    <x v="5"/>
    <x v="8"/>
    <n v="8439.2800000000007"/>
    <x v="0"/>
    <x v="1"/>
    <x v="0"/>
    <x v="2"/>
  </r>
  <r>
    <x v="6"/>
    <x v="8"/>
    <n v="8439.2800000000007"/>
    <x v="0"/>
    <x v="1"/>
    <x v="0"/>
    <x v="2"/>
  </r>
  <r>
    <x v="7"/>
    <x v="8"/>
    <n v="17782.400000000001"/>
    <x v="0"/>
    <x v="1"/>
    <x v="0"/>
    <x v="2"/>
  </r>
  <r>
    <x v="8"/>
    <x v="8"/>
    <n v="17782.400000000001"/>
    <x v="0"/>
    <x v="1"/>
    <x v="0"/>
    <x v="2"/>
  </r>
  <r>
    <x v="9"/>
    <x v="8"/>
    <n v="15117.2"/>
    <x v="0"/>
    <x v="1"/>
    <x v="0"/>
    <x v="2"/>
  </r>
  <r>
    <x v="10"/>
    <x v="8"/>
    <n v="15117.2"/>
    <x v="0"/>
    <x v="1"/>
    <x v="0"/>
    <x v="2"/>
  </r>
  <r>
    <x v="11"/>
    <x v="8"/>
    <n v="8855.1299999999992"/>
    <x v="0"/>
    <x v="1"/>
    <x v="0"/>
    <x v="2"/>
  </r>
  <r>
    <x v="12"/>
    <x v="8"/>
    <n v="8855.1299999999992"/>
    <x v="0"/>
    <x v="1"/>
    <x v="0"/>
    <x v="2"/>
  </r>
  <r>
    <x v="13"/>
    <x v="8"/>
    <n v="12681.8"/>
    <x v="0"/>
    <x v="1"/>
    <x v="0"/>
    <x v="2"/>
  </r>
  <r>
    <x v="14"/>
    <x v="8"/>
    <n v="12681.8"/>
    <x v="0"/>
    <x v="1"/>
    <x v="0"/>
    <x v="2"/>
  </r>
  <r>
    <x v="15"/>
    <x v="8"/>
    <n v="12681.8"/>
    <x v="0"/>
    <x v="1"/>
    <x v="0"/>
    <x v="2"/>
  </r>
  <r>
    <x v="0"/>
    <x v="9"/>
    <n v="12334.1"/>
    <x v="0"/>
    <x v="1"/>
    <x v="0"/>
    <x v="2"/>
  </r>
  <r>
    <x v="1"/>
    <x v="9"/>
    <n v="69724.100000000006"/>
    <x v="0"/>
    <x v="1"/>
    <x v="0"/>
    <x v="2"/>
  </r>
  <r>
    <x v="2"/>
    <x v="9"/>
    <n v="69724.100000000006"/>
    <x v="0"/>
    <x v="1"/>
    <x v="0"/>
    <x v="2"/>
  </r>
  <r>
    <x v="3"/>
    <x v="9"/>
    <n v="9934.0300000000007"/>
    <x v="0"/>
    <x v="1"/>
    <x v="0"/>
    <x v="2"/>
  </r>
  <r>
    <x v="4"/>
    <x v="9"/>
    <n v="9934.0300000000007"/>
    <x v="0"/>
    <x v="1"/>
    <x v="0"/>
    <x v="2"/>
  </r>
  <r>
    <x v="5"/>
    <x v="9"/>
    <n v="34208.6"/>
    <x v="0"/>
    <x v="1"/>
    <x v="0"/>
    <x v="2"/>
  </r>
  <r>
    <x v="6"/>
    <x v="9"/>
    <n v="34208.6"/>
    <x v="0"/>
    <x v="1"/>
    <x v="0"/>
    <x v="2"/>
  </r>
  <r>
    <x v="7"/>
    <x v="9"/>
    <n v="15115.4"/>
    <x v="0"/>
    <x v="1"/>
    <x v="0"/>
    <x v="2"/>
  </r>
  <r>
    <x v="8"/>
    <x v="9"/>
    <n v="15115.4"/>
    <x v="0"/>
    <x v="1"/>
    <x v="0"/>
    <x v="2"/>
  </r>
  <r>
    <x v="9"/>
    <x v="9"/>
    <n v="19240.400000000001"/>
    <x v="0"/>
    <x v="1"/>
    <x v="0"/>
    <x v="2"/>
  </r>
  <r>
    <x v="10"/>
    <x v="9"/>
    <n v="19240.400000000001"/>
    <x v="0"/>
    <x v="1"/>
    <x v="0"/>
    <x v="2"/>
  </r>
  <r>
    <x v="11"/>
    <x v="9"/>
    <n v="18227.3"/>
    <x v="0"/>
    <x v="1"/>
    <x v="0"/>
    <x v="2"/>
  </r>
  <r>
    <x v="12"/>
    <x v="9"/>
    <n v="18227.3"/>
    <x v="0"/>
    <x v="1"/>
    <x v="0"/>
    <x v="2"/>
  </r>
  <r>
    <x v="13"/>
    <x v="9"/>
    <n v="22744.799999999999"/>
    <x v="0"/>
    <x v="1"/>
    <x v="0"/>
    <x v="2"/>
  </r>
  <r>
    <x v="14"/>
    <x v="9"/>
    <n v="22744.799999999999"/>
    <x v="0"/>
    <x v="1"/>
    <x v="0"/>
    <x v="2"/>
  </r>
  <r>
    <x v="15"/>
    <x v="9"/>
    <n v="22744.799999999999"/>
    <x v="0"/>
    <x v="1"/>
    <x v="0"/>
    <x v="2"/>
  </r>
  <r>
    <x v="0"/>
    <x v="1"/>
    <n v="102.45"/>
    <x v="2"/>
    <x v="1"/>
    <x v="0"/>
    <x v="0"/>
  </r>
  <r>
    <x v="1"/>
    <x v="1"/>
    <n v="9.5"/>
    <x v="2"/>
    <x v="1"/>
    <x v="0"/>
    <x v="0"/>
  </r>
  <r>
    <x v="2"/>
    <x v="1"/>
    <n v="9.5"/>
    <x v="2"/>
    <x v="1"/>
    <x v="0"/>
    <x v="0"/>
  </r>
  <r>
    <x v="3"/>
    <x v="1"/>
    <n v="0"/>
    <x v="2"/>
    <x v="1"/>
    <x v="0"/>
    <x v="0"/>
  </r>
  <r>
    <x v="4"/>
    <x v="1"/>
    <n v="0"/>
    <x v="2"/>
    <x v="1"/>
    <x v="0"/>
    <x v="0"/>
  </r>
  <r>
    <x v="5"/>
    <x v="1"/>
    <n v="0"/>
    <x v="2"/>
    <x v="1"/>
    <x v="0"/>
    <x v="0"/>
  </r>
  <r>
    <x v="6"/>
    <x v="1"/>
    <n v="0"/>
    <x v="2"/>
    <x v="1"/>
    <x v="0"/>
    <x v="0"/>
  </r>
  <r>
    <x v="7"/>
    <x v="1"/>
    <n v="0"/>
    <x v="2"/>
    <x v="1"/>
    <x v="0"/>
    <x v="0"/>
  </r>
  <r>
    <x v="8"/>
    <x v="1"/>
    <n v="0"/>
    <x v="2"/>
    <x v="1"/>
    <x v="0"/>
    <x v="0"/>
  </r>
  <r>
    <x v="9"/>
    <x v="1"/>
    <n v="0"/>
    <x v="2"/>
    <x v="1"/>
    <x v="0"/>
    <x v="0"/>
  </r>
  <r>
    <x v="10"/>
    <x v="1"/>
    <n v="0"/>
    <x v="2"/>
    <x v="1"/>
    <x v="0"/>
    <x v="0"/>
  </r>
  <r>
    <x v="11"/>
    <x v="1"/>
    <n v="0"/>
    <x v="2"/>
    <x v="1"/>
    <x v="0"/>
    <x v="0"/>
  </r>
  <r>
    <x v="12"/>
    <x v="1"/>
    <n v="0"/>
    <x v="2"/>
    <x v="1"/>
    <x v="0"/>
    <x v="0"/>
  </r>
  <r>
    <x v="13"/>
    <x v="1"/>
    <n v="0"/>
    <x v="2"/>
    <x v="1"/>
    <x v="0"/>
    <x v="0"/>
  </r>
  <r>
    <x v="14"/>
    <x v="1"/>
    <n v="0"/>
    <x v="2"/>
    <x v="1"/>
    <x v="0"/>
    <x v="0"/>
  </r>
  <r>
    <x v="15"/>
    <x v="1"/>
    <n v="0"/>
    <x v="2"/>
    <x v="1"/>
    <x v="0"/>
    <x v="0"/>
  </r>
  <r>
    <x v="0"/>
    <x v="2"/>
    <n v="0"/>
    <x v="2"/>
    <x v="1"/>
    <x v="0"/>
    <x v="0"/>
  </r>
  <r>
    <x v="1"/>
    <x v="2"/>
    <n v="0"/>
    <x v="2"/>
    <x v="1"/>
    <x v="0"/>
    <x v="0"/>
  </r>
  <r>
    <x v="2"/>
    <x v="2"/>
    <n v="0"/>
    <x v="2"/>
    <x v="1"/>
    <x v="0"/>
    <x v="0"/>
  </r>
  <r>
    <x v="3"/>
    <x v="2"/>
    <n v="0"/>
    <x v="2"/>
    <x v="1"/>
    <x v="0"/>
    <x v="0"/>
  </r>
  <r>
    <x v="4"/>
    <x v="2"/>
    <n v="0"/>
    <x v="2"/>
    <x v="1"/>
    <x v="0"/>
    <x v="0"/>
  </r>
  <r>
    <x v="5"/>
    <x v="2"/>
    <n v="0"/>
    <x v="2"/>
    <x v="1"/>
    <x v="0"/>
    <x v="0"/>
  </r>
  <r>
    <x v="6"/>
    <x v="2"/>
    <n v="0"/>
    <x v="2"/>
    <x v="1"/>
    <x v="0"/>
    <x v="0"/>
  </r>
  <r>
    <x v="7"/>
    <x v="2"/>
    <n v="0"/>
    <x v="2"/>
    <x v="1"/>
    <x v="0"/>
    <x v="0"/>
  </r>
  <r>
    <x v="8"/>
    <x v="2"/>
    <n v="0"/>
    <x v="2"/>
    <x v="1"/>
    <x v="0"/>
    <x v="0"/>
  </r>
  <r>
    <x v="9"/>
    <x v="2"/>
    <n v="0"/>
    <x v="2"/>
    <x v="1"/>
    <x v="0"/>
    <x v="0"/>
  </r>
  <r>
    <x v="10"/>
    <x v="2"/>
    <n v="0"/>
    <x v="2"/>
    <x v="1"/>
    <x v="0"/>
    <x v="0"/>
  </r>
  <r>
    <x v="11"/>
    <x v="2"/>
    <n v="0"/>
    <x v="2"/>
    <x v="1"/>
    <x v="0"/>
    <x v="0"/>
  </r>
  <r>
    <x v="12"/>
    <x v="2"/>
    <n v="0"/>
    <x v="2"/>
    <x v="1"/>
    <x v="0"/>
    <x v="0"/>
  </r>
  <r>
    <x v="13"/>
    <x v="2"/>
    <n v="0"/>
    <x v="2"/>
    <x v="1"/>
    <x v="0"/>
    <x v="0"/>
  </r>
  <r>
    <x v="14"/>
    <x v="2"/>
    <n v="0"/>
    <x v="2"/>
    <x v="1"/>
    <x v="0"/>
    <x v="0"/>
  </r>
  <r>
    <x v="15"/>
    <x v="2"/>
    <n v="0"/>
    <x v="2"/>
    <x v="1"/>
    <x v="0"/>
    <x v="0"/>
  </r>
  <r>
    <x v="0"/>
    <x v="3"/>
    <n v="13211.23"/>
    <x v="2"/>
    <x v="1"/>
    <x v="0"/>
    <x v="0"/>
  </r>
  <r>
    <x v="1"/>
    <x v="3"/>
    <n v="11036.5"/>
    <x v="2"/>
    <x v="1"/>
    <x v="0"/>
    <x v="0"/>
  </r>
  <r>
    <x v="2"/>
    <x v="3"/>
    <n v="11036.5"/>
    <x v="2"/>
    <x v="1"/>
    <x v="0"/>
    <x v="0"/>
  </r>
  <r>
    <x v="3"/>
    <x v="3"/>
    <n v="5674.93"/>
    <x v="2"/>
    <x v="1"/>
    <x v="0"/>
    <x v="0"/>
  </r>
  <r>
    <x v="4"/>
    <x v="3"/>
    <n v="5674.93"/>
    <x v="2"/>
    <x v="1"/>
    <x v="0"/>
    <x v="0"/>
  </r>
  <r>
    <x v="5"/>
    <x v="3"/>
    <n v="383.37400000000002"/>
    <x v="2"/>
    <x v="1"/>
    <x v="0"/>
    <x v="0"/>
  </r>
  <r>
    <x v="6"/>
    <x v="3"/>
    <n v="383.37400000000002"/>
    <x v="2"/>
    <x v="1"/>
    <x v="0"/>
    <x v="0"/>
  </r>
  <r>
    <x v="7"/>
    <x v="3"/>
    <n v="0"/>
    <x v="2"/>
    <x v="1"/>
    <x v="0"/>
    <x v="0"/>
  </r>
  <r>
    <x v="8"/>
    <x v="3"/>
    <n v="0"/>
    <x v="2"/>
    <x v="1"/>
    <x v="0"/>
    <x v="0"/>
  </r>
  <r>
    <x v="9"/>
    <x v="3"/>
    <n v="0"/>
    <x v="2"/>
    <x v="1"/>
    <x v="0"/>
    <x v="0"/>
  </r>
  <r>
    <x v="10"/>
    <x v="3"/>
    <n v="0"/>
    <x v="2"/>
    <x v="1"/>
    <x v="0"/>
    <x v="0"/>
  </r>
  <r>
    <x v="11"/>
    <x v="3"/>
    <n v="0"/>
    <x v="2"/>
    <x v="1"/>
    <x v="0"/>
    <x v="0"/>
  </r>
  <r>
    <x v="12"/>
    <x v="3"/>
    <n v="0"/>
    <x v="2"/>
    <x v="1"/>
    <x v="0"/>
    <x v="0"/>
  </r>
  <r>
    <x v="13"/>
    <x v="3"/>
    <n v="0"/>
    <x v="2"/>
    <x v="1"/>
    <x v="0"/>
    <x v="0"/>
  </r>
  <r>
    <x v="14"/>
    <x v="3"/>
    <n v="0"/>
    <x v="2"/>
    <x v="1"/>
    <x v="0"/>
    <x v="0"/>
  </r>
  <r>
    <x v="15"/>
    <x v="3"/>
    <n v="0"/>
    <x v="2"/>
    <x v="1"/>
    <x v="0"/>
    <x v="0"/>
  </r>
  <r>
    <x v="0"/>
    <x v="4"/>
    <n v="0"/>
    <x v="2"/>
    <x v="1"/>
    <x v="0"/>
    <x v="0"/>
  </r>
  <r>
    <x v="1"/>
    <x v="4"/>
    <n v="0"/>
    <x v="2"/>
    <x v="1"/>
    <x v="0"/>
    <x v="0"/>
  </r>
  <r>
    <x v="2"/>
    <x v="4"/>
    <n v="0"/>
    <x v="2"/>
    <x v="1"/>
    <x v="0"/>
    <x v="0"/>
  </r>
  <r>
    <x v="3"/>
    <x v="4"/>
    <n v="0"/>
    <x v="2"/>
    <x v="1"/>
    <x v="0"/>
    <x v="0"/>
  </r>
  <r>
    <x v="4"/>
    <x v="4"/>
    <n v="0"/>
    <x v="2"/>
    <x v="1"/>
    <x v="0"/>
    <x v="0"/>
  </r>
  <r>
    <x v="5"/>
    <x v="4"/>
    <n v="0"/>
    <x v="2"/>
    <x v="1"/>
    <x v="0"/>
    <x v="0"/>
  </r>
  <r>
    <x v="6"/>
    <x v="4"/>
    <n v="0"/>
    <x v="2"/>
    <x v="1"/>
    <x v="0"/>
    <x v="0"/>
  </r>
  <r>
    <x v="7"/>
    <x v="4"/>
    <n v="0"/>
    <x v="2"/>
    <x v="1"/>
    <x v="0"/>
    <x v="0"/>
  </r>
  <r>
    <x v="8"/>
    <x v="4"/>
    <n v="0"/>
    <x v="2"/>
    <x v="1"/>
    <x v="0"/>
    <x v="0"/>
  </r>
  <r>
    <x v="9"/>
    <x v="4"/>
    <n v="0"/>
    <x v="2"/>
    <x v="1"/>
    <x v="0"/>
    <x v="0"/>
  </r>
  <r>
    <x v="10"/>
    <x v="4"/>
    <n v="0"/>
    <x v="2"/>
    <x v="1"/>
    <x v="0"/>
    <x v="0"/>
  </r>
  <r>
    <x v="11"/>
    <x v="4"/>
    <n v="0"/>
    <x v="2"/>
    <x v="1"/>
    <x v="0"/>
    <x v="0"/>
  </r>
  <r>
    <x v="12"/>
    <x v="4"/>
    <n v="0"/>
    <x v="2"/>
    <x v="1"/>
    <x v="0"/>
    <x v="0"/>
  </r>
  <r>
    <x v="13"/>
    <x v="4"/>
    <n v="0"/>
    <x v="2"/>
    <x v="1"/>
    <x v="0"/>
    <x v="0"/>
  </r>
  <r>
    <x v="14"/>
    <x v="4"/>
    <n v="0"/>
    <x v="2"/>
    <x v="1"/>
    <x v="0"/>
    <x v="0"/>
  </r>
  <r>
    <x v="15"/>
    <x v="4"/>
    <n v="0"/>
    <x v="2"/>
    <x v="1"/>
    <x v="0"/>
    <x v="0"/>
  </r>
  <r>
    <x v="0"/>
    <x v="5"/>
    <n v="1527.21"/>
    <x v="2"/>
    <x v="1"/>
    <x v="0"/>
    <x v="0"/>
  </r>
  <r>
    <x v="1"/>
    <x v="5"/>
    <n v="10.65"/>
    <x v="2"/>
    <x v="1"/>
    <x v="0"/>
    <x v="0"/>
  </r>
  <r>
    <x v="2"/>
    <x v="5"/>
    <n v="10.65"/>
    <x v="2"/>
    <x v="1"/>
    <x v="0"/>
    <x v="0"/>
  </r>
  <r>
    <x v="3"/>
    <x v="5"/>
    <n v="34"/>
    <x v="2"/>
    <x v="1"/>
    <x v="0"/>
    <x v="0"/>
  </r>
  <r>
    <x v="4"/>
    <x v="5"/>
    <n v="34"/>
    <x v="2"/>
    <x v="1"/>
    <x v="0"/>
    <x v="0"/>
  </r>
  <r>
    <x v="5"/>
    <x v="5"/>
    <n v="94.5"/>
    <x v="2"/>
    <x v="1"/>
    <x v="0"/>
    <x v="0"/>
  </r>
  <r>
    <x v="6"/>
    <x v="5"/>
    <n v="94.5"/>
    <x v="2"/>
    <x v="1"/>
    <x v="0"/>
    <x v="0"/>
  </r>
  <r>
    <x v="7"/>
    <x v="5"/>
    <n v="0"/>
    <x v="2"/>
    <x v="1"/>
    <x v="0"/>
    <x v="0"/>
  </r>
  <r>
    <x v="8"/>
    <x v="5"/>
    <n v="0"/>
    <x v="2"/>
    <x v="1"/>
    <x v="0"/>
    <x v="0"/>
  </r>
  <r>
    <x v="9"/>
    <x v="5"/>
    <n v="0"/>
    <x v="2"/>
    <x v="1"/>
    <x v="0"/>
    <x v="0"/>
  </r>
  <r>
    <x v="10"/>
    <x v="5"/>
    <n v="0"/>
    <x v="2"/>
    <x v="1"/>
    <x v="0"/>
    <x v="0"/>
  </r>
  <r>
    <x v="11"/>
    <x v="5"/>
    <n v="0"/>
    <x v="2"/>
    <x v="1"/>
    <x v="0"/>
    <x v="0"/>
  </r>
  <r>
    <x v="12"/>
    <x v="5"/>
    <n v="0"/>
    <x v="2"/>
    <x v="1"/>
    <x v="0"/>
    <x v="0"/>
  </r>
  <r>
    <x v="13"/>
    <x v="5"/>
    <n v="0"/>
    <x v="2"/>
    <x v="1"/>
    <x v="0"/>
    <x v="0"/>
  </r>
  <r>
    <x v="14"/>
    <x v="5"/>
    <n v="0"/>
    <x v="2"/>
    <x v="1"/>
    <x v="0"/>
    <x v="0"/>
  </r>
  <r>
    <x v="15"/>
    <x v="5"/>
    <n v="0"/>
    <x v="2"/>
    <x v="1"/>
    <x v="0"/>
    <x v="0"/>
  </r>
  <r>
    <x v="0"/>
    <x v="6"/>
    <n v="232.5"/>
    <x v="2"/>
    <x v="1"/>
    <x v="0"/>
    <x v="0"/>
  </r>
  <r>
    <x v="1"/>
    <x v="6"/>
    <n v="1100"/>
    <x v="2"/>
    <x v="1"/>
    <x v="0"/>
    <x v="0"/>
  </r>
  <r>
    <x v="2"/>
    <x v="6"/>
    <n v="1100"/>
    <x v="2"/>
    <x v="1"/>
    <x v="0"/>
    <x v="0"/>
  </r>
  <r>
    <x v="3"/>
    <x v="6"/>
    <n v="0"/>
    <x v="2"/>
    <x v="1"/>
    <x v="0"/>
    <x v="0"/>
  </r>
  <r>
    <x v="4"/>
    <x v="6"/>
    <n v="0"/>
    <x v="2"/>
    <x v="1"/>
    <x v="0"/>
    <x v="0"/>
  </r>
  <r>
    <x v="5"/>
    <x v="6"/>
    <n v="0"/>
    <x v="2"/>
    <x v="1"/>
    <x v="0"/>
    <x v="0"/>
  </r>
  <r>
    <x v="6"/>
    <x v="6"/>
    <n v="0"/>
    <x v="2"/>
    <x v="1"/>
    <x v="0"/>
    <x v="0"/>
  </r>
  <r>
    <x v="7"/>
    <x v="6"/>
    <n v="0"/>
    <x v="2"/>
    <x v="1"/>
    <x v="0"/>
    <x v="0"/>
  </r>
  <r>
    <x v="8"/>
    <x v="6"/>
    <n v="0"/>
    <x v="2"/>
    <x v="1"/>
    <x v="0"/>
    <x v="0"/>
  </r>
  <r>
    <x v="9"/>
    <x v="6"/>
    <n v="0"/>
    <x v="2"/>
    <x v="1"/>
    <x v="0"/>
    <x v="0"/>
  </r>
  <r>
    <x v="10"/>
    <x v="6"/>
    <n v="0"/>
    <x v="2"/>
    <x v="1"/>
    <x v="0"/>
    <x v="0"/>
  </r>
  <r>
    <x v="11"/>
    <x v="6"/>
    <n v="0"/>
    <x v="2"/>
    <x v="1"/>
    <x v="0"/>
    <x v="0"/>
  </r>
  <r>
    <x v="12"/>
    <x v="6"/>
    <n v="0"/>
    <x v="2"/>
    <x v="1"/>
    <x v="0"/>
    <x v="0"/>
  </r>
  <r>
    <x v="13"/>
    <x v="6"/>
    <n v="0"/>
    <x v="2"/>
    <x v="1"/>
    <x v="0"/>
    <x v="0"/>
  </r>
  <r>
    <x v="14"/>
    <x v="6"/>
    <n v="0"/>
    <x v="2"/>
    <x v="1"/>
    <x v="0"/>
    <x v="0"/>
  </r>
  <r>
    <x v="15"/>
    <x v="6"/>
    <n v="0"/>
    <x v="2"/>
    <x v="1"/>
    <x v="0"/>
    <x v="0"/>
  </r>
  <r>
    <x v="0"/>
    <x v="7"/>
    <n v="14.85"/>
    <x v="2"/>
    <x v="1"/>
    <x v="0"/>
    <x v="0"/>
  </r>
  <r>
    <x v="1"/>
    <x v="7"/>
    <n v="0"/>
    <x v="2"/>
    <x v="1"/>
    <x v="0"/>
    <x v="0"/>
  </r>
  <r>
    <x v="2"/>
    <x v="7"/>
    <n v="0"/>
    <x v="2"/>
    <x v="1"/>
    <x v="0"/>
    <x v="0"/>
  </r>
  <r>
    <x v="3"/>
    <x v="7"/>
    <n v="0"/>
    <x v="2"/>
    <x v="1"/>
    <x v="0"/>
    <x v="0"/>
  </r>
  <r>
    <x v="4"/>
    <x v="7"/>
    <n v="0"/>
    <x v="2"/>
    <x v="1"/>
    <x v="0"/>
    <x v="0"/>
  </r>
  <r>
    <x v="5"/>
    <x v="7"/>
    <n v="0"/>
    <x v="2"/>
    <x v="1"/>
    <x v="0"/>
    <x v="0"/>
  </r>
  <r>
    <x v="6"/>
    <x v="7"/>
    <n v="0"/>
    <x v="2"/>
    <x v="1"/>
    <x v="0"/>
    <x v="0"/>
  </r>
  <r>
    <x v="7"/>
    <x v="7"/>
    <n v="0"/>
    <x v="2"/>
    <x v="1"/>
    <x v="0"/>
    <x v="0"/>
  </r>
  <r>
    <x v="8"/>
    <x v="7"/>
    <n v="0"/>
    <x v="2"/>
    <x v="1"/>
    <x v="0"/>
    <x v="0"/>
  </r>
  <r>
    <x v="9"/>
    <x v="7"/>
    <n v="0"/>
    <x v="2"/>
    <x v="1"/>
    <x v="0"/>
    <x v="0"/>
  </r>
  <r>
    <x v="10"/>
    <x v="7"/>
    <n v="0"/>
    <x v="2"/>
    <x v="1"/>
    <x v="0"/>
    <x v="0"/>
  </r>
  <r>
    <x v="11"/>
    <x v="7"/>
    <n v="0"/>
    <x v="2"/>
    <x v="1"/>
    <x v="0"/>
    <x v="0"/>
  </r>
  <r>
    <x v="12"/>
    <x v="7"/>
    <n v="0"/>
    <x v="2"/>
    <x v="1"/>
    <x v="0"/>
    <x v="0"/>
  </r>
  <r>
    <x v="13"/>
    <x v="7"/>
    <n v="0"/>
    <x v="2"/>
    <x v="1"/>
    <x v="0"/>
    <x v="0"/>
  </r>
  <r>
    <x v="14"/>
    <x v="7"/>
    <n v="0"/>
    <x v="2"/>
    <x v="1"/>
    <x v="0"/>
    <x v="0"/>
  </r>
  <r>
    <x v="15"/>
    <x v="7"/>
    <n v="0"/>
    <x v="2"/>
    <x v="1"/>
    <x v="0"/>
    <x v="0"/>
  </r>
  <r>
    <x v="0"/>
    <x v="8"/>
    <n v="10078.9"/>
    <x v="2"/>
    <x v="1"/>
    <x v="0"/>
    <x v="0"/>
  </r>
  <r>
    <x v="1"/>
    <x v="8"/>
    <n v="1890.5"/>
    <x v="2"/>
    <x v="1"/>
    <x v="0"/>
    <x v="0"/>
  </r>
  <r>
    <x v="2"/>
    <x v="8"/>
    <n v="1890.5"/>
    <x v="2"/>
    <x v="1"/>
    <x v="0"/>
    <x v="0"/>
  </r>
  <r>
    <x v="3"/>
    <x v="8"/>
    <n v="12165.9"/>
    <x v="2"/>
    <x v="1"/>
    <x v="0"/>
    <x v="0"/>
  </r>
  <r>
    <x v="4"/>
    <x v="8"/>
    <n v="12165.9"/>
    <x v="2"/>
    <x v="1"/>
    <x v="0"/>
    <x v="0"/>
  </r>
  <r>
    <x v="5"/>
    <x v="8"/>
    <n v="19256.099999999999"/>
    <x v="2"/>
    <x v="1"/>
    <x v="0"/>
    <x v="0"/>
  </r>
  <r>
    <x v="6"/>
    <x v="8"/>
    <n v="19256.099999999999"/>
    <x v="2"/>
    <x v="1"/>
    <x v="0"/>
    <x v="0"/>
  </r>
  <r>
    <x v="7"/>
    <x v="8"/>
    <n v="23878.400000000001"/>
    <x v="2"/>
    <x v="1"/>
    <x v="0"/>
    <x v="0"/>
  </r>
  <r>
    <x v="8"/>
    <x v="8"/>
    <n v="23878.400000000001"/>
    <x v="2"/>
    <x v="1"/>
    <x v="0"/>
    <x v="0"/>
  </r>
  <r>
    <x v="9"/>
    <x v="8"/>
    <n v="35205.5"/>
    <x v="2"/>
    <x v="1"/>
    <x v="0"/>
    <x v="0"/>
  </r>
  <r>
    <x v="10"/>
    <x v="8"/>
    <n v="35205.5"/>
    <x v="2"/>
    <x v="1"/>
    <x v="0"/>
    <x v="0"/>
  </r>
  <r>
    <x v="11"/>
    <x v="8"/>
    <n v="26831.3"/>
    <x v="2"/>
    <x v="1"/>
    <x v="0"/>
    <x v="0"/>
  </r>
  <r>
    <x v="12"/>
    <x v="8"/>
    <n v="26831.3"/>
    <x v="2"/>
    <x v="1"/>
    <x v="0"/>
    <x v="0"/>
  </r>
  <r>
    <x v="13"/>
    <x v="8"/>
    <n v="39655.5"/>
    <x v="2"/>
    <x v="1"/>
    <x v="0"/>
    <x v="0"/>
  </r>
  <r>
    <x v="14"/>
    <x v="8"/>
    <n v="39655.5"/>
    <x v="2"/>
    <x v="1"/>
    <x v="0"/>
    <x v="0"/>
  </r>
  <r>
    <x v="15"/>
    <x v="8"/>
    <n v="39655.5"/>
    <x v="2"/>
    <x v="1"/>
    <x v="0"/>
    <x v="0"/>
  </r>
  <r>
    <x v="0"/>
    <x v="9"/>
    <n v="8189.55"/>
    <x v="2"/>
    <x v="1"/>
    <x v="0"/>
    <x v="0"/>
  </r>
  <r>
    <x v="1"/>
    <x v="9"/>
    <n v="1599.82"/>
    <x v="2"/>
    <x v="1"/>
    <x v="0"/>
    <x v="0"/>
  </r>
  <r>
    <x v="2"/>
    <x v="9"/>
    <n v="1599.82"/>
    <x v="2"/>
    <x v="1"/>
    <x v="0"/>
    <x v="0"/>
  </r>
  <r>
    <x v="3"/>
    <x v="9"/>
    <n v="2536.35"/>
    <x v="2"/>
    <x v="1"/>
    <x v="0"/>
    <x v="0"/>
  </r>
  <r>
    <x v="4"/>
    <x v="9"/>
    <n v="2536.35"/>
    <x v="2"/>
    <x v="1"/>
    <x v="0"/>
    <x v="0"/>
  </r>
  <r>
    <x v="5"/>
    <x v="9"/>
    <n v="2518.0500000000002"/>
    <x v="2"/>
    <x v="1"/>
    <x v="0"/>
    <x v="0"/>
  </r>
  <r>
    <x v="6"/>
    <x v="9"/>
    <n v="2518.0500000000002"/>
    <x v="2"/>
    <x v="1"/>
    <x v="0"/>
    <x v="0"/>
  </r>
  <r>
    <x v="7"/>
    <x v="9"/>
    <n v="3741.93"/>
    <x v="2"/>
    <x v="1"/>
    <x v="0"/>
    <x v="0"/>
  </r>
  <r>
    <x v="8"/>
    <x v="9"/>
    <n v="3741.93"/>
    <x v="2"/>
    <x v="1"/>
    <x v="0"/>
    <x v="0"/>
  </r>
  <r>
    <x v="9"/>
    <x v="9"/>
    <n v="4221.99"/>
    <x v="2"/>
    <x v="1"/>
    <x v="0"/>
    <x v="0"/>
  </r>
  <r>
    <x v="10"/>
    <x v="9"/>
    <n v="4221.99"/>
    <x v="2"/>
    <x v="1"/>
    <x v="0"/>
    <x v="0"/>
  </r>
  <r>
    <x v="11"/>
    <x v="9"/>
    <n v="3874.2"/>
    <x v="2"/>
    <x v="1"/>
    <x v="0"/>
    <x v="0"/>
  </r>
  <r>
    <x v="12"/>
    <x v="9"/>
    <n v="3874.2"/>
    <x v="2"/>
    <x v="1"/>
    <x v="0"/>
    <x v="0"/>
  </r>
  <r>
    <x v="13"/>
    <x v="9"/>
    <n v="10103.9"/>
    <x v="2"/>
    <x v="1"/>
    <x v="0"/>
    <x v="0"/>
  </r>
  <r>
    <x v="14"/>
    <x v="9"/>
    <n v="10103.9"/>
    <x v="2"/>
    <x v="1"/>
    <x v="0"/>
    <x v="0"/>
  </r>
  <r>
    <x v="15"/>
    <x v="9"/>
    <n v="10103.9"/>
    <x v="2"/>
    <x v="1"/>
    <x v="0"/>
    <x v="0"/>
  </r>
  <r>
    <x v="0"/>
    <x v="1"/>
    <n v="102.45"/>
    <x v="2"/>
    <x v="1"/>
    <x v="0"/>
    <x v="1"/>
  </r>
  <r>
    <x v="1"/>
    <x v="1"/>
    <n v="9.5"/>
    <x v="2"/>
    <x v="1"/>
    <x v="0"/>
    <x v="1"/>
  </r>
  <r>
    <x v="2"/>
    <x v="1"/>
    <n v="9.5"/>
    <x v="2"/>
    <x v="1"/>
    <x v="0"/>
    <x v="1"/>
  </r>
  <r>
    <x v="3"/>
    <x v="1"/>
    <n v="0"/>
    <x v="2"/>
    <x v="1"/>
    <x v="0"/>
    <x v="1"/>
  </r>
  <r>
    <x v="4"/>
    <x v="1"/>
    <n v="0"/>
    <x v="2"/>
    <x v="1"/>
    <x v="0"/>
    <x v="1"/>
  </r>
  <r>
    <x v="5"/>
    <x v="1"/>
    <n v="0"/>
    <x v="2"/>
    <x v="1"/>
    <x v="0"/>
    <x v="1"/>
  </r>
  <r>
    <x v="6"/>
    <x v="1"/>
    <n v="0"/>
    <x v="2"/>
    <x v="1"/>
    <x v="0"/>
    <x v="1"/>
  </r>
  <r>
    <x v="7"/>
    <x v="1"/>
    <n v="0"/>
    <x v="2"/>
    <x v="1"/>
    <x v="0"/>
    <x v="1"/>
  </r>
  <r>
    <x v="8"/>
    <x v="1"/>
    <n v="0"/>
    <x v="2"/>
    <x v="1"/>
    <x v="0"/>
    <x v="1"/>
  </r>
  <r>
    <x v="9"/>
    <x v="1"/>
    <n v="0"/>
    <x v="2"/>
    <x v="1"/>
    <x v="0"/>
    <x v="1"/>
  </r>
  <r>
    <x v="10"/>
    <x v="1"/>
    <n v="0"/>
    <x v="2"/>
    <x v="1"/>
    <x v="0"/>
    <x v="1"/>
  </r>
  <r>
    <x v="11"/>
    <x v="1"/>
    <n v="0"/>
    <x v="2"/>
    <x v="1"/>
    <x v="0"/>
    <x v="1"/>
  </r>
  <r>
    <x v="12"/>
    <x v="1"/>
    <n v="0"/>
    <x v="2"/>
    <x v="1"/>
    <x v="0"/>
    <x v="1"/>
  </r>
  <r>
    <x v="13"/>
    <x v="1"/>
    <n v="0"/>
    <x v="2"/>
    <x v="1"/>
    <x v="0"/>
    <x v="1"/>
  </r>
  <r>
    <x v="14"/>
    <x v="1"/>
    <n v="0"/>
    <x v="2"/>
    <x v="1"/>
    <x v="0"/>
    <x v="1"/>
  </r>
  <r>
    <x v="15"/>
    <x v="1"/>
    <n v="0"/>
    <x v="2"/>
    <x v="1"/>
    <x v="0"/>
    <x v="1"/>
  </r>
  <r>
    <x v="0"/>
    <x v="2"/>
    <n v="0"/>
    <x v="2"/>
    <x v="1"/>
    <x v="0"/>
    <x v="1"/>
  </r>
  <r>
    <x v="1"/>
    <x v="2"/>
    <n v="0"/>
    <x v="2"/>
    <x v="1"/>
    <x v="0"/>
    <x v="1"/>
  </r>
  <r>
    <x v="2"/>
    <x v="2"/>
    <n v="0"/>
    <x v="2"/>
    <x v="1"/>
    <x v="0"/>
    <x v="1"/>
  </r>
  <r>
    <x v="3"/>
    <x v="2"/>
    <n v="0"/>
    <x v="2"/>
    <x v="1"/>
    <x v="0"/>
    <x v="1"/>
  </r>
  <r>
    <x v="4"/>
    <x v="2"/>
    <n v="0"/>
    <x v="2"/>
    <x v="1"/>
    <x v="0"/>
    <x v="1"/>
  </r>
  <r>
    <x v="5"/>
    <x v="2"/>
    <n v="0"/>
    <x v="2"/>
    <x v="1"/>
    <x v="0"/>
    <x v="1"/>
  </r>
  <r>
    <x v="6"/>
    <x v="2"/>
    <n v="0"/>
    <x v="2"/>
    <x v="1"/>
    <x v="0"/>
    <x v="1"/>
  </r>
  <r>
    <x v="7"/>
    <x v="2"/>
    <n v="0"/>
    <x v="2"/>
    <x v="1"/>
    <x v="0"/>
    <x v="1"/>
  </r>
  <r>
    <x v="8"/>
    <x v="2"/>
    <n v="0"/>
    <x v="2"/>
    <x v="1"/>
    <x v="0"/>
    <x v="1"/>
  </r>
  <r>
    <x v="9"/>
    <x v="2"/>
    <n v="0"/>
    <x v="2"/>
    <x v="1"/>
    <x v="0"/>
    <x v="1"/>
  </r>
  <r>
    <x v="10"/>
    <x v="2"/>
    <n v="0"/>
    <x v="2"/>
    <x v="1"/>
    <x v="0"/>
    <x v="1"/>
  </r>
  <r>
    <x v="11"/>
    <x v="2"/>
    <n v="0"/>
    <x v="2"/>
    <x v="1"/>
    <x v="0"/>
    <x v="1"/>
  </r>
  <r>
    <x v="12"/>
    <x v="2"/>
    <n v="0"/>
    <x v="2"/>
    <x v="1"/>
    <x v="0"/>
    <x v="1"/>
  </r>
  <r>
    <x v="13"/>
    <x v="2"/>
    <n v="0"/>
    <x v="2"/>
    <x v="1"/>
    <x v="0"/>
    <x v="1"/>
  </r>
  <r>
    <x v="14"/>
    <x v="2"/>
    <n v="0"/>
    <x v="2"/>
    <x v="1"/>
    <x v="0"/>
    <x v="1"/>
  </r>
  <r>
    <x v="15"/>
    <x v="2"/>
    <n v="0"/>
    <x v="2"/>
    <x v="1"/>
    <x v="0"/>
    <x v="1"/>
  </r>
  <r>
    <x v="0"/>
    <x v="3"/>
    <n v="13211.23"/>
    <x v="2"/>
    <x v="1"/>
    <x v="0"/>
    <x v="1"/>
  </r>
  <r>
    <x v="1"/>
    <x v="3"/>
    <n v="11310.6"/>
    <x v="2"/>
    <x v="1"/>
    <x v="0"/>
    <x v="1"/>
  </r>
  <r>
    <x v="2"/>
    <x v="3"/>
    <n v="11310.6"/>
    <x v="2"/>
    <x v="1"/>
    <x v="0"/>
    <x v="1"/>
  </r>
  <r>
    <x v="3"/>
    <x v="3"/>
    <n v="11233.7"/>
    <x v="2"/>
    <x v="1"/>
    <x v="0"/>
    <x v="1"/>
  </r>
  <r>
    <x v="4"/>
    <x v="3"/>
    <n v="11233.7"/>
    <x v="2"/>
    <x v="1"/>
    <x v="0"/>
    <x v="1"/>
  </r>
  <r>
    <x v="5"/>
    <x v="3"/>
    <n v="7451.38"/>
    <x v="2"/>
    <x v="1"/>
    <x v="0"/>
    <x v="1"/>
  </r>
  <r>
    <x v="6"/>
    <x v="3"/>
    <n v="7451.38"/>
    <x v="2"/>
    <x v="1"/>
    <x v="0"/>
    <x v="1"/>
  </r>
  <r>
    <x v="7"/>
    <x v="3"/>
    <n v="1328.13"/>
    <x v="2"/>
    <x v="1"/>
    <x v="0"/>
    <x v="1"/>
  </r>
  <r>
    <x v="8"/>
    <x v="3"/>
    <n v="1328.13"/>
    <x v="2"/>
    <x v="1"/>
    <x v="0"/>
    <x v="1"/>
  </r>
  <r>
    <x v="9"/>
    <x v="3"/>
    <n v="1358.62"/>
    <x v="2"/>
    <x v="1"/>
    <x v="0"/>
    <x v="1"/>
  </r>
  <r>
    <x v="10"/>
    <x v="3"/>
    <n v="1358.62"/>
    <x v="2"/>
    <x v="1"/>
    <x v="0"/>
    <x v="1"/>
  </r>
  <r>
    <x v="11"/>
    <x v="3"/>
    <n v="4662.76"/>
    <x v="2"/>
    <x v="1"/>
    <x v="0"/>
    <x v="1"/>
  </r>
  <r>
    <x v="12"/>
    <x v="3"/>
    <n v="4662.76"/>
    <x v="2"/>
    <x v="1"/>
    <x v="0"/>
    <x v="1"/>
  </r>
  <r>
    <x v="13"/>
    <x v="3"/>
    <n v="2356.5100000000002"/>
    <x v="2"/>
    <x v="1"/>
    <x v="0"/>
    <x v="1"/>
  </r>
  <r>
    <x v="14"/>
    <x v="3"/>
    <n v="2356.5100000000002"/>
    <x v="2"/>
    <x v="1"/>
    <x v="0"/>
    <x v="1"/>
  </r>
  <r>
    <x v="15"/>
    <x v="3"/>
    <n v="2356.5100000000002"/>
    <x v="2"/>
    <x v="1"/>
    <x v="0"/>
    <x v="1"/>
  </r>
  <r>
    <x v="0"/>
    <x v="4"/>
    <n v="0"/>
    <x v="2"/>
    <x v="1"/>
    <x v="0"/>
    <x v="1"/>
  </r>
  <r>
    <x v="1"/>
    <x v="4"/>
    <n v="0"/>
    <x v="2"/>
    <x v="1"/>
    <x v="0"/>
    <x v="1"/>
  </r>
  <r>
    <x v="2"/>
    <x v="4"/>
    <n v="0"/>
    <x v="2"/>
    <x v="1"/>
    <x v="0"/>
    <x v="1"/>
  </r>
  <r>
    <x v="3"/>
    <x v="4"/>
    <n v="0"/>
    <x v="2"/>
    <x v="1"/>
    <x v="0"/>
    <x v="1"/>
  </r>
  <r>
    <x v="4"/>
    <x v="4"/>
    <n v="0"/>
    <x v="2"/>
    <x v="1"/>
    <x v="0"/>
    <x v="1"/>
  </r>
  <r>
    <x v="5"/>
    <x v="4"/>
    <n v="0"/>
    <x v="2"/>
    <x v="1"/>
    <x v="0"/>
    <x v="1"/>
  </r>
  <r>
    <x v="6"/>
    <x v="4"/>
    <n v="0"/>
    <x v="2"/>
    <x v="1"/>
    <x v="0"/>
    <x v="1"/>
  </r>
  <r>
    <x v="7"/>
    <x v="4"/>
    <n v="0"/>
    <x v="2"/>
    <x v="1"/>
    <x v="0"/>
    <x v="1"/>
  </r>
  <r>
    <x v="8"/>
    <x v="4"/>
    <n v="0"/>
    <x v="2"/>
    <x v="1"/>
    <x v="0"/>
    <x v="1"/>
  </r>
  <r>
    <x v="9"/>
    <x v="4"/>
    <n v="0"/>
    <x v="2"/>
    <x v="1"/>
    <x v="0"/>
    <x v="1"/>
  </r>
  <r>
    <x v="10"/>
    <x v="4"/>
    <n v="0"/>
    <x v="2"/>
    <x v="1"/>
    <x v="0"/>
    <x v="1"/>
  </r>
  <r>
    <x v="11"/>
    <x v="4"/>
    <n v="0"/>
    <x v="2"/>
    <x v="1"/>
    <x v="0"/>
    <x v="1"/>
  </r>
  <r>
    <x v="12"/>
    <x v="4"/>
    <n v="0"/>
    <x v="2"/>
    <x v="1"/>
    <x v="0"/>
    <x v="1"/>
  </r>
  <r>
    <x v="13"/>
    <x v="4"/>
    <n v="0"/>
    <x v="2"/>
    <x v="1"/>
    <x v="0"/>
    <x v="1"/>
  </r>
  <r>
    <x v="14"/>
    <x v="4"/>
    <n v="0"/>
    <x v="2"/>
    <x v="1"/>
    <x v="0"/>
    <x v="1"/>
  </r>
  <r>
    <x v="15"/>
    <x v="4"/>
    <n v="0"/>
    <x v="2"/>
    <x v="1"/>
    <x v="0"/>
    <x v="1"/>
  </r>
  <r>
    <x v="0"/>
    <x v="5"/>
    <n v="1536.71"/>
    <x v="2"/>
    <x v="1"/>
    <x v="0"/>
    <x v="1"/>
  </r>
  <r>
    <x v="1"/>
    <x v="5"/>
    <n v="10.65"/>
    <x v="2"/>
    <x v="1"/>
    <x v="0"/>
    <x v="1"/>
  </r>
  <r>
    <x v="2"/>
    <x v="5"/>
    <n v="10.65"/>
    <x v="2"/>
    <x v="1"/>
    <x v="0"/>
    <x v="1"/>
  </r>
  <r>
    <x v="3"/>
    <x v="5"/>
    <n v="147.5"/>
    <x v="2"/>
    <x v="1"/>
    <x v="0"/>
    <x v="1"/>
  </r>
  <r>
    <x v="4"/>
    <x v="5"/>
    <n v="147.5"/>
    <x v="2"/>
    <x v="1"/>
    <x v="0"/>
    <x v="1"/>
  </r>
  <r>
    <x v="5"/>
    <x v="5"/>
    <n v="29.5"/>
    <x v="2"/>
    <x v="1"/>
    <x v="0"/>
    <x v="1"/>
  </r>
  <r>
    <x v="6"/>
    <x v="5"/>
    <n v="29.5"/>
    <x v="2"/>
    <x v="1"/>
    <x v="0"/>
    <x v="1"/>
  </r>
  <r>
    <x v="7"/>
    <x v="5"/>
    <n v="36.5"/>
    <x v="2"/>
    <x v="1"/>
    <x v="0"/>
    <x v="1"/>
  </r>
  <r>
    <x v="8"/>
    <x v="5"/>
    <n v="36.5"/>
    <x v="2"/>
    <x v="1"/>
    <x v="0"/>
    <x v="1"/>
  </r>
  <r>
    <x v="9"/>
    <x v="5"/>
    <n v="0"/>
    <x v="2"/>
    <x v="1"/>
    <x v="0"/>
    <x v="1"/>
  </r>
  <r>
    <x v="10"/>
    <x v="5"/>
    <n v="0"/>
    <x v="2"/>
    <x v="1"/>
    <x v="0"/>
    <x v="1"/>
  </r>
  <r>
    <x v="11"/>
    <x v="5"/>
    <n v="0"/>
    <x v="2"/>
    <x v="1"/>
    <x v="0"/>
    <x v="1"/>
  </r>
  <r>
    <x v="12"/>
    <x v="5"/>
    <n v="0"/>
    <x v="2"/>
    <x v="1"/>
    <x v="0"/>
    <x v="1"/>
  </r>
  <r>
    <x v="13"/>
    <x v="5"/>
    <n v="0"/>
    <x v="2"/>
    <x v="1"/>
    <x v="0"/>
    <x v="1"/>
  </r>
  <r>
    <x v="14"/>
    <x v="5"/>
    <n v="0"/>
    <x v="2"/>
    <x v="1"/>
    <x v="0"/>
    <x v="1"/>
  </r>
  <r>
    <x v="15"/>
    <x v="5"/>
    <n v="0"/>
    <x v="2"/>
    <x v="1"/>
    <x v="0"/>
    <x v="1"/>
  </r>
  <r>
    <x v="0"/>
    <x v="6"/>
    <n v="232.5"/>
    <x v="2"/>
    <x v="1"/>
    <x v="0"/>
    <x v="1"/>
  </r>
  <r>
    <x v="1"/>
    <x v="6"/>
    <n v="1100"/>
    <x v="2"/>
    <x v="1"/>
    <x v="0"/>
    <x v="1"/>
  </r>
  <r>
    <x v="2"/>
    <x v="6"/>
    <n v="1100"/>
    <x v="2"/>
    <x v="1"/>
    <x v="0"/>
    <x v="1"/>
  </r>
  <r>
    <x v="3"/>
    <x v="6"/>
    <n v="0"/>
    <x v="2"/>
    <x v="1"/>
    <x v="0"/>
    <x v="1"/>
  </r>
  <r>
    <x v="4"/>
    <x v="6"/>
    <n v="0"/>
    <x v="2"/>
    <x v="1"/>
    <x v="0"/>
    <x v="1"/>
  </r>
  <r>
    <x v="5"/>
    <x v="6"/>
    <n v="0"/>
    <x v="2"/>
    <x v="1"/>
    <x v="0"/>
    <x v="1"/>
  </r>
  <r>
    <x v="6"/>
    <x v="6"/>
    <n v="0"/>
    <x v="2"/>
    <x v="1"/>
    <x v="0"/>
    <x v="1"/>
  </r>
  <r>
    <x v="7"/>
    <x v="6"/>
    <n v="0"/>
    <x v="2"/>
    <x v="1"/>
    <x v="0"/>
    <x v="1"/>
  </r>
  <r>
    <x v="8"/>
    <x v="6"/>
    <n v="0"/>
    <x v="2"/>
    <x v="1"/>
    <x v="0"/>
    <x v="1"/>
  </r>
  <r>
    <x v="9"/>
    <x v="6"/>
    <n v="0"/>
    <x v="2"/>
    <x v="1"/>
    <x v="0"/>
    <x v="1"/>
  </r>
  <r>
    <x v="10"/>
    <x v="6"/>
    <n v="0"/>
    <x v="2"/>
    <x v="1"/>
    <x v="0"/>
    <x v="1"/>
  </r>
  <r>
    <x v="11"/>
    <x v="6"/>
    <n v="0"/>
    <x v="2"/>
    <x v="1"/>
    <x v="0"/>
    <x v="1"/>
  </r>
  <r>
    <x v="12"/>
    <x v="6"/>
    <n v="0"/>
    <x v="2"/>
    <x v="1"/>
    <x v="0"/>
    <x v="1"/>
  </r>
  <r>
    <x v="13"/>
    <x v="6"/>
    <n v="0"/>
    <x v="2"/>
    <x v="1"/>
    <x v="0"/>
    <x v="1"/>
  </r>
  <r>
    <x v="14"/>
    <x v="6"/>
    <n v="0"/>
    <x v="2"/>
    <x v="1"/>
    <x v="0"/>
    <x v="1"/>
  </r>
  <r>
    <x v="15"/>
    <x v="6"/>
    <n v="0"/>
    <x v="2"/>
    <x v="1"/>
    <x v="0"/>
    <x v="1"/>
  </r>
  <r>
    <x v="0"/>
    <x v="7"/>
    <n v="14.85"/>
    <x v="2"/>
    <x v="1"/>
    <x v="0"/>
    <x v="1"/>
  </r>
  <r>
    <x v="1"/>
    <x v="7"/>
    <n v="0"/>
    <x v="2"/>
    <x v="1"/>
    <x v="0"/>
    <x v="1"/>
  </r>
  <r>
    <x v="2"/>
    <x v="7"/>
    <n v="0"/>
    <x v="2"/>
    <x v="1"/>
    <x v="0"/>
    <x v="1"/>
  </r>
  <r>
    <x v="3"/>
    <x v="7"/>
    <n v="0"/>
    <x v="2"/>
    <x v="1"/>
    <x v="0"/>
    <x v="1"/>
  </r>
  <r>
    <x v="4"/>
    <x v="7"/>
    <n v="0"/>
    <x v="2"/>
    <x v="1"/>
    <x v="0"/>
    <x v="1"/>
  </r>
  <r>
    <x v="5"/>
    <x v="7"/>
    <n v="0"/>
    <x v="2"/>
    <x v="1"/>
    <x v="0"/>
    <x v="1"/>
  </r>
  <r>
    <x v="6"/>
    <x v="7"/>
    <n v="0"/>
    <x v="2"/>
    <x v="1"/>
    <x v="0"/>
    <x v="1"/>
  </r>
  <r>
    <x v="7"/>
    <x v="7"/>
    <n v="0"/>
    <x v="2"/>
    <x v="1"/>
    <x v="0"/>
    <x v="1"/>
  </r>
  <r>
    <x v="8"/>
    <x v="7"/>
    <n v="0"/>
    <x v="2"/>
    <x v="1"/>
    <x v="0"/>
    <x v="1"/>
  </r>
  <r>
    <x v="9"/>
    <x v="7"/>
    <n v="0"/>
    <x v="2"/>
    <x v="1"/>
    <x v="0"/>
    <x v="1"/>
  </r>
  <r>
    <x v="10"/>
    <x v="7"/>
    <n v="0"/>
    <x v="2"/>
    <x v="1"/>
    <x v="0"/>
    <x v="1"/>
  </r>
  <r>
    <x v="11"/>
    <x v="7"/>
    <n v="0"/>
    <x v="2"/>
    <x v="1"/>
    <x v="0"/>
    <x v="1"/>
  </r>
  <r>
    <x v="12"/>
    <x v="7"/>
    <n v="0"/>
    <x v="2"/>
    <x v="1"/>
    <x v="0"/>
    <x v="1"/>
  </r>
  <r>
    <x v="13"/>
    <x v="7"/>
    <n v="0"/>
    <x v="2"/>
    <x v="1"/>
    <x v="0"/>
    <x v="1"/>
  </r>
  <r>
    <x v="14"/>
    <x v="7"/>
    <n v="0"/>
    <x v="2"/>
    <x v="1"/>
    <x v="0"/>
    <x v="1"/>
  </r>
  <r>
    <x v="15"/>
    <x v="7"/>
    <n v="0"/>
    <x v="2"/>
    <x v="1"/>
    <x v="0"/>
    <x v="1"/>
  </r>
  <r>
    <x v="0"/>
    <x v="8"/>
    <n v="9632.0400000000009"/>
    <x v="2"/>
    <x v="1"/>
    <x v="0"/>
    <x v="1"/>
  </r>
  <r>
    <x v="1"/>
    <x v="8"/>
    <n v="1537.7"/>
    <x v="2"/>
    <x v="1"/>
    <x v="0"/>
    <x v="1"/>
  </r>
  <r>
    <x v="2"/>
    <x v="8"/>
    <n v="1537.7"/>
    <x v="2"/>
    <x v="1"/>
    <x v="0"/>
    <x v="1"/>
  </r>
  <r>
    <x v="3"/>
    <x v="8"/>
    <n v="4334.1000000000004"/>
    <x v="2"/>
    <x v="1"/>
    <x v="0"/>
    <x v="1"/>
  </r>
  <r>
    <x v="4"/>
    <x v="8"/>
    <n v="4334.1000000000004"/>
    <x v="2"/>
    <x v="1"/>
    <x v="0"/>
    <x v="1"/>
  </r>
  <r>
    <x v="5"/>
    <x v="8"/>
    <n v="8425.6"/>
    <x v="2"/>
    <x v="1"/>
    <x v="0"/>
    <x v="1"/>
  </r>
  <r>
    <x v="6"/>
    <x v="8"/>
    <n v="8425.6"/>
    <x v="2"/>
    <x v="1"/>
    <x v="0"/>
    <x v="1"/>
  </r>
  <r>
    <x v="7"/>
    <x v="8"/>
    <n v="12522.4"/>
    <x v="2"/>
    <x v="1"/>
    <x v="0"/>
    <x v="1"/>
  </r>
  <r>
    <x v="8"/>
    <x v="8"/>
    <n v="12522.4"/>
    <x v="2"/>
    <x v="1"/>
    <x v="0"/>
    <x v="1"/>
  </r>
  <r>
    <x v="9"/>
    <x v="8"/>
    <n v="15414.7"/>
    <x v="2"/>
    <x v="1"/>
    <x v="0"/>
    <x v="1"/>
  </r>
  <r>
    <x v="10"/>
    <x v="8"/>
    <n v="15414.7"/>
    <x v="2"/>
    <x v="1"/>
    <x v="0"/>
    <x v="1"/>
  </r>
  <r>
    <x v="11"/>
    <x v="8"/>
    <n v="11257.3"/>
    <x v="2"/>
    <x v="1"/>
    <x v="0"/>
    <x v="1"/>
  </r>
  <r>
    <x v="12"/>
    <x v="8"/>
    <n v="11257.3"/>
    <x v="2"/>
    <x v="1"/>
    <x v="0"/>
    <x v="1"/>
  </r>
  <r>
    <x v="13"/>
    <x v="8"/>
    <n v="13791.1"/>
    <x v="2"/>
    <x v="1"/>
    <x v="0"/>
    <x v="1"/>
  </r>
  <r>
    <x v="14"/>
    <x v="8"/>
    <n v="13791.1"/>
    <x v="2"/>
    <x v="1"/>
    <x v="0"/>
    <x v="1"/>
  </r>
  <r>
    <x v="15"/>
    <x v="8"/>
    <n v="13791.1"/>
    <x v="2"/>
    <x v="1"/>
    <x v="0"/>
    <x v="1"/>
  </r>
  <r>
    <x v="0"/>
    <x v="9"/>
    <n v="8218.51"/>
    <x v="2"/>
    <x v="1"/>
    <x v="0"/>
    <x v="1"/>
  </r>
  <r>
    <x v="1"/>
    <x v="9"/>
    <n v="1757.19"/>
    <x v="2"/>
    <x v="1"/>
    <x v="0"/>
    <x v="1"/>
  </r>
  <r>
    <x v="2"/>
    <x v="9"/>
    <n v="1757.19"/>
    <x v="2"/>
    <x v="1"/>
    <x v="0"/>
    <x v="1"/>
  </r>
  <r>
    <x v="3"/>
    <x v="9"/>
    <n v="2100.2399999999998"/>
    <x v="2"/>
    <x v="1"/>
    <x v="0"/>
    <x v="1"/>
  </r>
  <r>
    <x v="4"/>
    <x v="9"/>
    <n v="2100.2399999999998"/>
    <x v="2"/>
    <x v="1"/>
    <x v="0"/>
    <x v="1"/>
  </r>
  <r>
    <x v="5"/>
    <x v="9"/>
    <n v="4067.52"/>
    <x v="2"/>
    <x v="1"/>
    <x v="0"/>
    <x v="1"/>
  </r>
  <r>
    <x v="6"/>
    <x v="9"/>
    <n v="4067.52"/>
    <x v="2"/>
    <x v="1"/>
    <x v="0"/>
    <x v="1"/>
  </r>
  <r>
    <x v="7"/>
    <x v="9"/>
    <n v="4220.13"/>
    <x v="2"/>
    <x v="1"/>
    <x v="0"/>
    <x v="1"/>
  </r>
  <r>
    <x v="8"/>
    <x v="9"/>
    <n v="4220.13"/>
    <x v="2"/>
    <x v="1"/>
    <x v="0"/>
    <x v="1"/>
  </r>
  <r>
    <x v="9"/>
    <x v="9"/>
    <n v="7064.75"/>
    <x v="2"/>
    <x v="1"/>
    <x v="0"/>
    <x v="1"/>
  </r>
  <r>
    <x v="10"/>
    <x v="9"/>
    <n v="7064.75"/>
    <x v="2"/>
    <x v="1"/>
    <x v="0"/>
    <x v="1"/>
  </r>
  <r>
    <x v="11"/>
    <x v="9"/>
    <n v="3402.36"/>
    <x v="2"/>
    <x v="1"/>
    <x v="0"/>
    <x v="1"/>
  </r>
  <r>
    <x v="12"/>
    <x v="9"/>
    <n v="3402.36"/>
    <x v="2"/>
    <x v="1"/>
    <x v="0"/>
    <x v="1"/>
  </r>
  <r>
    <x v="13"/>
    <x v="9"/>
    <n v="5021.21"/>
    <x v="2"/>
    <x v="1"/>
    <x v="0"/>
    <x v="1"/>
  </r>
  <r>
    <x v="14"/>
    <x v="9"/>
    <n v="5021.21"/>
    <x v="2"/>
    <x v="1"/>
    <x v="0"/>
    <x v="1"/>
  </r>
  <r>
    <x v="15"/>
    <x v="9"/>
    <n v="5021.21"/>
    <x v="2"/>
    <x v="1"/>
    <x v="0"/>
    <x v="1"/>
  </r>
  <r>
    <x v="0"/>
    <x v="1"/>
    <n v="102.45"/>
    <x v="2"/>
    <x v="1"/>
    <x v="0"/>
    <x v="2"/>
  </r>
  <r>
    <x v="1"/>
    <x v="1"/>
    <n v="9.5"/>
    <x v="2"/>
    <x v="1"/>
    <x v="0"/>
    <x v="2"/>
  </r>
  <r>
    <x v="2"/>
    <x v="1"/>
    <n v="9.5"/>
    <x v="2"/>
    <x v="1"/>
    <x v="0"/>
    <x v="2"/>
  </r>
  <r>
    <x v="3"/>
    <x v="1"/>
    <n v="0"/>
    <x v="2"/>
    <x v="1"/>
    <x v="0"/>
    <x v="2"/>
  </r>
  <r>
    <x v="4"/>
    <x v="1"/>
    <n v="0"/>
    <x v="2"/>
    <x v="1"/>
    <x v="0"/>
    <x v="2"/>
  </r>
  <r>
    <x v="5"/>
    <x v="1"/>
    <n v="0"/>
    <x v="2"/>
    <x v="1"/>
    <x v="0"/>
    <x v="2"/>
  </r>
  <r>
    <x v="6"/>
    <x v="1"/>
    <n v="0"/>
    <x v="2"/>
    <x v="1"/>
    <x v="0"/>
    <x v="2"/>
  </r>
  <r>
    <x v="7"/>
    <x v="1"/>
    <n v="0"/>
    <x v="2"/>
    <x v="1"/>
    <x v="0"/>
    <x v="2"/>
  </r>
  <r>
    <x v="8"/>
    <x v="1"/>
    <n v="0"/>
    <x v="2"/>
    <x v="1"/>
    <x v="0"/>
    <x v="2"/>
  </r>
  <r>
    <x v="9"/>
    <x v="1"/>
    <n v="0"/>
    <x v="2"/>
    <x v="1"/>
    <x v="0"/>
    <x v="2"/>
  </r>
  <r>
    <x v="10"/>
    <x v="1"/>
    <n v="0"/>
    <x v="2"/>
    <x v="1"/>
    <x v="0"/>
    <x v="2"/>
  </r>
  <r>
    <x v="11"/>
    <x v="1"/>
    <n v="0"/>
    <x v="2"/>
    <x v="1"/>
    <x v="0"/>
    <x v="2"/>
  </r>
  <r>
    <x v="12"/>
    <x v="1"/>
    <n v="0"/>
    <x v="2"/>
    <x v="1"/>
    <x v="0"/>
    <x v="2"/>
  </r>
  <r>
    <x v="13"/>
    <x v="1"/>
    <n v="0"/>
    <x v="2"/>
    <x v="1"/>
    <x v="0"/>
    <x v="2"/>
  </r>
  <r>
    <x v="14"/>
    <x v="1"/>
    <n v="0"/>
    <x v="2"/>
    <x v="1"/>
    <x v="0"/>
    <x v="2"/>
  </r>
  <r>
    <x v="15"/>
    <x v="1"/>
    <n v="0"/>
    <x v="2"/>
    <x v="1"/>
    <x v="0"/>
    <x v="2"/>
  </r>
  <r>
    <x v="0"/>
    <x v="2"/>
    <n v="0"/>
    <x v="2"/>
    <x v="1"/>
    <x v="0"/>
    <x v="2"/>
  </r>
  <r>
    <x v="1"/>
    <x v="2"/>
    <n v="0"/>
    <x v="2"/>
    <x v="1"/>
    <x v="0"/>
    <x v="2"/>
  </r>
  <r>
    <x v="2"/>
    <x v="2"/>
    <n v="0"/>
    <x v="2"/>
    <x v="1"/>
    <x v="0"/>
    <x v="2"/>
  </r>
  <r>
    <x v="3"/>
    <x v="2"/>
    <n v="0"/>
    <x v="2"/>
    <x v="1"/>
    <x v="0"/>
    <x v="2"/>
  </r>
  <r>
    <x v="4"/>
    <x v="2"/>
    <n v="0"/>
    <x v="2"/>
    <x v="1"/>
    <x v="0"/>
    <x v="2"/>
  </r>
  <r>
    <x v="5"/>
    <x v="2"/>
    <n v="0"/>
    <x v="2"/>
    <x v="1"/>
    <x v="0"/>
    <x v="2"/>
  </r>
  <r>
    <x v="6"/>
    <x v="2"/>
    <n v="0"/>
    <x v="2"/>
    <x v="1"/>
    <x v="0"/>
    <x v="2"/>
  </r>
  <r>
    <x v="7"/>
    <x v="2"/>
    <n v="0"/>
    <x v="2"/>
    <x v="1"/>
    <x v="0"/>
    <x v="2"/>
  </r>
  <r>
    <x v="8"/>
    <x v="2"/>
    <n v="0"/>
    <x v="2"/>
    <x v="1"/>
    <x v="0"/>
    <x v="2"/>
  </r>
  <r>
    <x v="9"/>
    <x v="2"/>
    <n v="0"/>
    <x v="2"/>
    <x v="1"/>
    <x v="0"/>
    <x v="2"/>
  </r>
  <r>
    <x v="10"/>
    <x v="2"/>
    <n v="0"/>
    <x v="2"/>
    <x v="1"/>
    <x v="0"/>
    <x v="2"/>
  </r>
  <r>
    <x v="11"/>
    <x v="2"/>
    <n v="0"/>
    <x v="2"/>
    <x v="1"/>
    <x v="0"/>
    <x v="2"/>
  </r>
  <r>
    <x v="12"/>
    <x v="2"/>
    <n v="0"/>
    <x v="2"/>
    <x v="1"/>
    <x v="0"/>
    <x v="2"/>
  </r>
  <r>
    <x v="13"/>
    <x v="2"/>
    <n v="0"/>
    <x v="2"/>
    <x v="1"/>
    <x v="0"/>
    <x v="2"/>
  </r>
  <r>
    <x v="14"/>
    <x v="2"/>
    <n v="0"/>
    <x v="2"/>
    <x v="1"/>
    <x v="0"/>
    <x v="2"/>
  </r>
  <r>
    <x v="15"/>
    <x v="2"/>
    <n v="0"/>
    <x v="2"/>
    <x v="1"/>
    <x v="0"/>
    <x v="2"/>
  </r>
  <r>
    <x v="0"/>
    <x v="3"/>
    <n v="13211.23"/>
    <x v="2"/>
    <x v="1"/>
    <x v="0"/>
    <x v="2"/>
  </r>
  <r>
    <x v="1"/>
    <x v="3"/>
    <n v="11198"/>
    <x v="2"/>
    <x v="1"/>
    <x v="0"/>
    <x v="2"/>
  </r>
  <r>
    <x v="2"/>
    <x v="3"/>
    <n v="11198"/>
    <x v="2"/>
    <x v="1"/>
    <x v="0"/>
    <x v="2"/>
  </r>
  <r>
    <x v="3"/>
    <x v="3"/>
    <n v="8735.59"/>
    <x v="2"/>
    <x v="1"/>
    <x v="0"/>
    <x v="2"/>
  </r>
  <r>
    <x v="4"/>
    <x v="3"/>
    <n v="8735.59"/>
    <x v="2"/>
    <x v="1"/>
    <x v="0"/>
    <x v="2"/>
  </r>
  <r>
    <x v="5"/>
    <x v="3"/>
    <n v="2837.38"/>
    <x v="2"/>
    <x v="1"/>
    <x v="0"/>
    <x v="2"/>
  </r>
  <r>
    <x v="6"/>
    <x v="3"/>
    <n v="2837.38"/>
    <x v="2"/>
    <x v="1"/>
    <x v="0"/>
    <x v="2"/>
  </r>
  <r>
    <x v="7"/>
    <x v="3"/>
    <n v="50.023099999999999"/>
    <x v="2"/>
    <x v="1"/>
    <x v="0"/>
    <x v="2"/>
  </r>
  <r>
    <x v="8"/>
    <x v="3"/>
    <n v="50.023099999999999"/>
    <x v="2"/>
    <x v="1"/>
    <x v="0"/>
    <x v="2"/>
  </r>
  <r>
    <x v="9"/>
    <x v="3"/>
    <n v="0"/>
    <x v="2"/>
    <x v="1"/>
    <x v="0"/>
    <x v="2"/>
  </r>
  <r>
    <x v="10"/>
    <x v="3"/>
    <n v="0"/>
    <x v="2"/>
    <x v="1"/>
    <x v="0"/>
    <x v="2"/>
  </r>
  <r>
    <x v="11"/>
    <x v="3"/>
    <n v="1516.85"/>
    <x v="2"/>
    <x v="1"/>
    <x v="0"/>
    <x v="2"/>
  </r>
  <r>
    <x v="12"/>
    <x v="3"/>
    <n v="1516.85"/>
    <x v="2"/>
    <x v="1"/>
    <x v="0"/>
    <x v="2"/>
  </r>
  <r>
    <x v="13"/>
    <x v="3"/>
    <n v="5861.2"/>
    <x v="2"/>
    <x v="1"/>
    <x v="0"/>
    <x v="2"/>
  </r>
  <r>
    <x v="14"/>
    <x v="3"/>
    <n v="5861.2"/>
    <x v="2"/>
    <x v="1"/>
    <x v="0"/>
    <x v="2"/>
  </r>
  <r>
    <x v="15"/>
    <x v="3"/>
    <n v="5861.2"/>
    <x v="2"/>
    <x v="1"/>
    <x v="0"/>
    <x v="2"/>
  </r>
  <r>
    <x v="0"/>
    <x v="4"/>
    <n v="0"/>
    <x v="2"/>
    <x v="1"/>
    <x v="0"/>
    <x v="2"/>
  </r>
  <r>
    <x v="1"/>
    <x v="4"/>
    <n v="0"/>
    <x v="2"/>
    <x v="1"/>
    <x v="0"/>
    <x v="2"/>
  </r>
  <r>
    <x v="2"/>
    <x v="4"/>
    <n v="0"/>
    <x v="2"/>
    <x v="1"/>
    <x v="0"/>
    <x v="2"/>
  </r>
  <r>
    <x v="3"/>
    <x v="4"/>
    <n v="0"/>
    <x v="2"/>
    <x v="1"/>
    <x v="0"/>
    <x v="2"/>
  </r>
  <r>
    <x v="4"/>
    <x v="4"/>
    <n v="0"/>
    <x v="2"/>
    <x v="1"/>
    <x v="0"/>
    <x v="2"/>
  </r>
  <r>
    <x v="5"/>
    <x v="4"/>
    <n v="0"/>
    <x v="2"/>
    <x v="1"/>
    <x v="0"/>
    <x v="2"/>
  </r>
  <r>
    <x v="6"/>
    <x v="4"/>
    <n v="0"/>
    <x v="2"/>
    <x v="1"/>
    <x v="0"/>
    <x v="2"/>
  </r>
  <r>
    <x v="7"/>
    <x v="4"/>
    <n v="0"/>
    <x v="2"/>
    <x v="1"/>
    <x v="0"/>
    <x v="2"/>
  </r>
  <r>
    <x v="8"/>
    <x v="4"/>
    <n v="0"/>
    <x v="2"/>
    <x v="1"/>
    <x v="0"/>
    <x v="2"/>
  </r>
  <r>
    <x v="9"/>
    <x v="4"/>
    <n v="0"/>
    <x v="2"/>
    <x v="1"/>
    <x v="0"/>
    <x v="2"/>
  </r>
  <r>
    <x v="10"/>
    <x v="4"/>
    <n v="0"/>
    <x v="2"/>
    <x v="1"/>
    <x v="0"/>
    <x v="2"/>
  </r>
  <r>
    <x v="11"/>
    <x v="4"/>
    <n v="0"/>
    <x v="2"/>
    <x v="1"/>
    <x v="0"/>
    <x v="2"/>
  </r>
  <r>
    <x v="12"/>
    <x v="4"/>
    <n v="0"/>
    <x v="2"/>
    <x v="1"/>
    <x v="0"/>
    <x v="2"/>
  </r>
  <r>
    <x v="13"/>
    <x v="4"/>
    <n v="0"/>
    <x v="2"/>
    <x v="1"/>
    <x v="0"/>
    <x v="2"/>
  </r>
  <r>
    <x v="14"/>
    <x v="4"/>
    <n v="0"/>
    <x v="2"/>
    <x v="1"/>
    <x v="0"/>
    <x v="2"/>
  </r>
  <r>
    <x v="15"/>
    <x v="4"/>
    <n v="0"/>
    <x v="2"/>
    <x v="1"/>
    <x v="0"/>
    <x v="2"/>
  </r>
  <r>
    <x v="0"/>
    <x v="5"/>
    <n v="1527.21"/>
    <x v="2"/>
    <x v="1"/>
    <x v="0"/>
    <x v="2"/>
  </r>
  <r>
    <x v="1"/>
    <x v="5"/>
    <n v="10.65"/>
    <x v="2"/>
    <x v="1"/>
    <x v="0"/>
    <x v="2"/>
  </r>
  <r>
    <x v="2"/>
    <x v="5"/>
    <n v="10.65"/>
    <x v="2"/>
    <x v="1"/>
    <x v="0"/>
    <x v="2"/>
  </r>
  <r>
    <x v="3"/>
    <x v="5"/>
    <n v="50.073700000000002"/>
    <x v="2"/>
    <x v="1"/>
    <x v="0"/>
    <x v="2"/>
  </r>
  <r>
    <x v="4"/>
    <x v="5"/>
    <n v="50.073700000000002"/>
    <x v="2"/>
    <x v="1"/>
    <x v="0"/>
    <x v="2"/>
  </r>
  <r>
    <x v="5"/>
    <x v="5"/>
    <n v="101.926"/>
    <x v="2"/>
    <x v="1"/>
    <x v="0"/>
    <x v="2"/>
  </r>
  <r>
    <x v="6"/>
    <x v="5"/>
    <n v="101.926"/>
    <x v="2"/>
    <x v="1"/>
    <x v="0"/>
    <x v="2"/>
  </r>
  <r>
    <x v="7"/>
    <x v="5"/>
    <n v="25"/>
    <x v="2"/>
    <x v="1"/>
    <x v="0"/>
    <x v="2"/>
  </r>
  <r>
    <x v="8"/>
    <x v="5"/>
    <n v="25"/>
    <x v="2"/>
    <x v="1"/>
    <x v="0"/>
    <x v="2"/>
  </r>
  <r>
    <x v="9"/>
    <x v="5"/>
    <n v="19.5"/>
    <x v="2"/>
    <x v="1"/>
    <x v="0"/>
    <x v="2"/>
  </r>
  <r>
    <x v="10"/>
    <x v="5"/>
    <n v="19.5"/>
    <x v="2"/>
    <x v="1"/>
    <x v="0"/>
    <x v="2"/>
  </r>
  <r>
    <x v="11"/>
    <x v="5"/>
    <n v="0"/>
    <x v="2"/>
    <x v="1"/>
    <x v="0"/>
    <x v="2"/>
  </r>
  <r>
    <x v="12"/>
    <x v="5"/>
    <n v="0"/>
    <x v="2"/>
    <x v="1"/>
    <x v="0"/>
    <x v="2"/>
  </r>
  <r>
    <x v="13"/>
    <x v="5"/>
    <n v="0"/>
    <x v="2"/>
    <x v="1"/>
    <x v="0"/>
    <x v="2"/>
  </r>
  <r>
    <x v="14"/>
    <x v="5"/>
    <n v="0"/>
    <x v="2"/>
    <x v="1"/>
    <x v="0"/>
    <x v="2"/>
  </r>
  <r>
    <x v="15"/>
    <x v="5"/>
    <n v="0"/>
    <x v="2"/>
    <x v="1"/>
    <x v="0"/>
    <x v="2"/>
  </r>
  <r>
    <x v="0"/>
    <x v="6"/>
    <n v="232.5"/>
    <x v="2"/>
    <x v="1"/>
    <x v="0"/>
    <x v="2"/>
  </r>
  <r>
    <x v="1"/>
    <x v="6"/>
    <n v="1100"/>
    <x v="2"/>
    <x v="1"/>
    <x v="0"/>
    <x v="2"/>
  </r>
  <r>
    <x v="2"/>
    <x v="6"/>
    <n v="1100"/>
    <x v="2"/>
    <x v="1"/>
    <x v="0"/>
    <x v="2"/>
  </r>
  <r>
    <x v="3"/>
    <x v="6"/>
    <n v="0"/>
    <x v="2"/>
    <x v="1"/>
    <x v="0"/>
    <x v="2"/>
  </r>
  <r>
    <x v="4"/>
    <x v="6"/>
    <n v="0"/>
    <x v="2"/>
    <x v="1"/>
    <x v="0"/>
    <x v="2"/>
  </r>
  <r>
    <x v="5"/>
    <x v="6"/>
    <n v="0"/>
    <x v="2"/>
    <x v="1"/>
    <x v="0"/>
    <x v="2"/>
  </r>
  <r>
    <x v="6"/>
    <x v="6"/>
    <n v="0"/>
    <x v="2"/>
    <x v="1"/>
    <x v="0"/>
    <x v="2"/>
  </r>
  <r>
    <x v="7"/>
    <x v="6"/>
    <n v="0"/>
    <x v="2"/>
    <x v="1"/>
    <x v="0"/>
    <x v="2"/>
  </r>
  <r>
    <x v="8"/>
    <x v="6"/>
    <n v="0"/>
    <x v="2"/>
    <x v="1"/>
    <x v="0"/>
    <x v="2"/>
  </r>
  <r>
    <x v="9"/>
    <x v="6"/>
    <n v="0"/>
    <x v="2"/>
    <x v="1"/>
    <x v="0"/>
    <x v="2"/>
  </r>
  <r>
    <x v="10"/>
    <x v="6"/>
    <n v="0"/>
    <x v="2"/>
    <x v="1"/>
    <x v="0"/>
    <x v="2"/>
  </r>
  <r>
    <x v="11"/>
    <x v="6"/>
    <n v="0"/>
    <x v="2"/>
    <x v="1"/>
    <x v="0"/>
    <x v="2"/>
  </r>
  <r>
    <x v="12"/>
    <x v="6"/>
    <n v="0"/>
    <x v="2"/>
    <x v="1"/>
    <x v="0"/>
    <x v="2"/>
  </r>
  <r>
    <x v="13"/>
    <x v="6"/>
    <n v="0"/>
    <x v="2"/>
    <x v="1"/>
    <x v="0"/>
    <x v="2"/>
  </r>
  <r>
    <x v="14"/>
    <x v="6"/>
    <n v="0"/>
    <x v="2"/>
    <x v="1"/>
    <x v="0"/>
    <x v="2"/>
  </r>
  <r>
    <x v="15"/>
    <x v="6"/>
    <n v="0"/>
    <x v="2"/>
    <x v="1"/>
    <x v="0"/>
    <x v="2"/>
  </r>
  <r>
    <x v="0"/>
    <x v="7"/>
    <n v="14.85"/>
    <x v="2"/>
    <x v="1"/>
    <x v="0"/>
    <x v="2"/>
  </r>
  <r>
    <x v="1"/>
    <x v="7"/>
    <n v="0"/>
    <x v="2"/>
    <x v="1"/>
    <x v="0"/>
    <x v="2"/>
  </r>
  <r>
    <x v="2"/>
    <x v="7"/>
    <n v="0"/>
    <x v="2"/>
    <x v="1"/>
    <x v="0"/>
    <x v="2"/>
  </r>
  <r>
    <x v="3"/>
    <x v="7"/>
    <n v="0"/>
    <x v="2"/>
    <x v="1"/>
    <x v="0"/>
    <x v="2"/>
  </r>
  <r>
    <x v="4"/>
    <x v="7"/>
    <n v="0"/>
    <x v="2"/>
    <x v="1"/>
    <x v="0"/>
    <x v="2"/>
  </r>
  <r>
    <x v="5"/>
    <x v="7"/>
    <n v="0"/>
    <x v="2"/>
    <x v="1"/>
    <x v="0"/>
    <x v="2"/>
  </r>
  <r>
    <x v="6"/>
    <x v="7"/>
    <n v="0"/>
    <x v="2"/>
    <x v="1"/>
    <x v="0"/>
    <x v="2"/>
  </r>
  <r>
    <x v="7"/>
    <x v="7"/>
    <n v="0"/>
    <x v="2"/>
    <x v="1"/>
    <x v="0"/>
    <x v="2"/>
  </r>
  <r>
    <x v="8"/>
    <x v="7"/>
    <n v="0"/>
    <x v="2"/>
    <x v="1"/>
    <x v="0"/>
    <x v="2"/>
  </r>
  <r>
    <x v="9"/>
    <x v="7"/>
    <n v="0"/>
    <x v="2"/>
    <x v="1"/>
    <x v="0"/>
    <x v="2"/>
  </r>
  <r>
    <x v="10"/>
    <x v="7"/>
    <n v="0"/>
    <x v="2"/>
    <x v="1"/>
    <x v="0"/>
    <x v="2"/>
  </r>
  <r>
    <x v="11"/>
    <x v="7"/>
    <n v="0"/>
    <x v="2"/>
    <x v="1"/>
    <x v="0"/>
    <x v="2"/>
  </r>
  <r>
    <x v="12"/>
    <x v="7"/>
    <n v="0"/>
    <x v="2"/>
    <x v="1"/>
    <x v="0"/>
    <x v="2"/>
  </r>
  <r>
    <x v="13"/>
    <x v="7"/>
    <n v="0"/>
    <x v="2"/>
    <x v="1"/>
    <x v="0"/>
    <x v="2"/>
  </r>
  <r>
    <x v="14"/>
    <x v="7"/>
    <n v="0"/>
    <x v="2"/>
    <x v="1"/>
    <x v="0"/>
    <x v="2"/>
  </r>
  <r>
    <x v="15"/>
    <x v="7"/>
    <n v="0"/>
    <x v="2"/>
    <x v="1"/>
    <x v="0"/>
    <x v="2"/>
  </r>
  <r>
    <x v="0"/>
    <x v="8"/>
    <n v="10078.9"/>
    <x v="2"/>
    <x v="1"/>
    <x v="0"/>
    <x v="2"/>
  </r>
  <r>
    <x v="1"/>
    <x v="8"/>
    <n v="1699.08"/>
    <x v="2"/>
    <x v="1"/>
    <x v="0"/>
    <x v="2"/>
  </r>
  <r>
    <x v="2"/>
    <x v="8"/>
    <n v="1699.08"/>
    <x v="2"/>
    <x v="1"/>
    <x v="0"/>
    <x v="2"/>
  </r>
  <r>
    <x v="3"/>
    <x v="8"/>
    <n v="8244.92"/>
    <x v="2"/>
    <x v="1"/>
    <x v="0"/>
    <x v="2"/>
  </r>
  <r>
    <x v="4"/>
    <x v="8"/>
    <n v="8244.92"/>
    <x v="2"/>
    <x v="1"/>
    <x v="0"/>
    <x v="2"/>
  </r>
  <r>
    <x v="5"/>
    <x v="8"/>
    <n v="17450.3"/>
    <x v="2"/>
    <x v="1"/>
    <x v="0"/>
    <x v="2"/>
  </r>
  <r>
    <x v="6"/>
    <x v="8"/>
    <n v="17450.3"/>
    <x v="2"/>
    <x v="1"/>
    <x v="0"/>
    <x v="2"/>
  </r>
  <r>
    <x v="7"/>
    <x v="8"/>
    <n v="14933.2"/>
    <x v="2"/>
    <x v="1"/>
    <x v="0"/>
    <x v="2"/>
  </r>
  <r>
    <x v="8"/>
    <x v="8"/>
    <n v="14933.2"/>
    <x v="2"/>
    <x v="1"/>
    <x v="0"/>
    <x v="2"/>
  </r>
  <r>
    <x v="9"/>
    <x v="8"/>
    <n v="21610"/>
    <x v="2"/>
    <x v="1"/>
    <x v="0"/>
    <x v="2"/>
  </r>
  <r>
    <x v="10"/>
    <x v="8"/>
    <n v="21610"/>
    <x v="2"/>
    <x v="1"/>
    <x v="0"/>
    <x v="2"/>
  </r>
  <r>
    <x v="11"/>
    <x v="8"/>
    <n v="18487.400000000001"/>
    <x v="2"/>
    <x v="1"/>
    <x v="0"/>
    <x v="2"/>
  </r>
  <r>
    <x v="12"/>
    <x v="8"/>
    <n v="18487.400000000001"/>
    <x v="2"/>
    <x v="1"/>
    <x v="0"/>
    <x v="2"/>
  </r>
  <r>
    <x v="13"/>
    <x v="8"/>
    <n v="10741.1"/>
    <x v="2"/>
    <x v="1"/>
    <x v="0"/>
    <x v="2"/>
  </r>
  <r>
    <x v="14"/>
    <x v="8"/>
    <n v="10741.1"/>
    <x v="2"/>
    <x v="1"/>
    <x v="0"/>
    <x v="2"/>
  </r>
  <r>
    <x v="15"/>
    <x v="8"/>
    <n v="10741.1"/>
    <x v="2"/>
    <x v="1"/>
    <x v="0"/>
    <x v="2"/>
  </r>
  <r>
    <x v="0"/>
    <x v="9"/>
    <n v="8189.55"/>
    <x v="2"/>
    <x v="1"/>
    <x v="0"/>
    <x v="2"/>
  </r>
  <r>
    <x v="1"/>
    <x v="9"/>
    <n v="1576.08"/>
    <x v="2"/>
    <x v="1"/>
    <x v="0"/>
    <x v="2"/>
  </r>
  <r>
    <x v="2"/>
    <x v="9"/>
    <n v="1576.08"/>
    <x v="2"/>
    <x v="1"/>
    <x v="0"/>
    <x v="2"/>
  </r>
  <r>
    <x v="3"/>
    <x v="9"/>
    <n v="2296.2600000000002"/>
    <x v="2"/>
    <x v="1"/>
    <x v="0"/>
    <x v="2"/>
  </r>
  <r>
    <x v="4"/>
    <x v="9"/>
    <n v="2296.2600000000002"/>
    <x v="2"/>
    <x v="1"/>
    <x v="0"/>
    <x v="2"/>
  </r>
  <r>
    <x v="5"/>
    <x v="9"/>
    <n v="2946.5"/>
    <x v="2"/>
    <x v="1"/>
    <x v="0"/>
    <x v="2"/>
  </r>
  <r>
    <x v="6"/>
    <x v="9"/>
    <n v="2946.5"/>
    <x v="2"/>
    <x v="1"/>
    <x v="0"/>
    <x v="2"/>
  </r>
  <r>
    <x v="7"/>
    <x v="9"/>
    <n v="3576.52"/>
    <x v="2"/>
    <x v="1"/>
    <x v="0"/>
    <x v="2"/>
  </r>
  <r>
    <x v="8"/>
    <x v="9"/>
    <n v="3576.52"/>
    <x v="2"/>
    <x v="1"/>
    <x v="0"/>
    <x v="2"/>
  </r>
  <r>
    <x v="9"/>
    <x v="9"/>
    <n v="6839.38"/>
    <x v="2"/>
    <x v="1"/>
    <x v="0"/>
    <x v="2"/>
  </r>
  <r>
    <x v="10"/>
    <x v="9"/>
    <n v="6839.38"/>
    <x v="2"/>
    <x v="1"/>
    <x v="0"/>
    <x v="2"/>
  </r>
  <r>
    <x v="11"/>
    <x v="9"/>
    <n v="3718.65"/>
    <x v="2"/>
    <x v="1"/>
    <x v="0"/>
    <x v="2"/>
  </r>
  <r>
    <x v="12"/>
    <x v="9"/>
    <n v="3718.65"/>
    <x v="2"/>
    <x v="1"/>
    <x v="0"/>
    <x v="2"/>
  </r>
  <r>
    <x v="13"/>
    <x v="9"/>
    <n v="7309.38"/>
    <x v="2"/>
    <x v="1"/>
    <x v="0"/>
    <x v="2"/>
  </r>
  <r>
    <x v="14"/>
    <x v="9"/>
    <n v="7309.38"/>
    <x v="2"/>
    <x v="1"/>
    <x v="0"/>
    <x v="2"/>
  </r>
  <r>
    <x v="15"/>
    <x v="9"/>
    <n v="7309.38"/>
    <x v="2"/>
    <x v="1"/>
    <x v="0"/>
    <x v="2"/>
  </r>
  <r>
    <x v="0"/>
    <x v="1"/>
    <n v="102.45"/>
    <x v="1"/>
    <x v="1"/>
    <x v="1"/>
    <x v="0"/>
  </r>
  <r>
    <x v="1"/>
    <x v="1"/>
    <n v="9.5"/>
    <x v="1"/>
    <x v="1"/>
    <x v="1"/>
    <x v="0"/>
  </r>
  <r>
    <x v="2"/>
    <x v="1"/>
    <n v="9.5"/>
    <x v="1"/>
    <x v="1"/>
    <x v="1"/>
    <x v="0"/>
  </r>
  <r>
    <x v="3"/>
    <x v="1"/>
    <n v="0"/>
    <x v="1"/>
    <x v="1"/>
    <x v="1"/>
    <x v="0"/>
  </r>
  <r>
    <x v="4"/>
    <x v="1"/>
    <n v="0"/>
    <x v="1"/>
    <x v="1"/>
    <x v="1"/>
    <x v="0"/>
  </r>
  <r>
    <x v="5"/>
    <x v="1"/>
    <n v="0"/>
    <x v="1"/>
    <x v="1"/>
    <x v="1"/>
    <x v="0"/>
  </r>
  <r>
    <x v="6"/>
    <x v="1"/>
    <n v="0"/>
    <x v="1"/>
    <x v="1"/>
    <x v="1"/>
    <x v="0"/>
  </r>
  <r>
    <x v="7"/>
    <x v="1"/>
    <n v="0"/>
    <x v="1"/>
    <x v="1"/>
    <x v="1"/>
    <x v="0"/>
  </r>
  <r>
    <x v="8"/>
    <x v="1"/>
    <n v="0"/>
    <x v="1"/>
    <x v="1"/>
    <x v="1"/>
    <x v="0"/>
  </r>
  <r>
    <x v="9"/>
    <x v="1"/>
    <n v="0"/>
    <x v="1"/>
    <x v="1"/>
    <x v="1"/>
    <x v="0"/>
  </r>
  <r>
    <x v="10"/>
    <x v="1"/>
    <n v="0"/>
    <x v="1"/>
    <x v="1"/>
    <x v="1"/>
    <x v="0"/>
  </r>
  <r>
    <x v="11"/>
    <x v="1"/>
    <n v="0"/>
    <x v="1"/>
    <x v="1"/>
    <x v="1"/>
    <x v="0"/>
  </r>
  <r>
    <x v="12"/>
    <x v="1"/>
    <n v="0"/>
    <x v="1"/>
    <x v="1"/>
    <x v="1"/>
    <x v="0"/>
  </r>
  <r>
    <x v="13"/>
    <x v="1"/>
    <n v="0"/>
    <x v="1"/>
    <x v="1"/>
    <x v="1"/>
    <x v="0"/>
  </r>
  <r>
    <x v="14"/>
    <x v="1"/>
    <n v="0"/>
    <x v="1"/>
    <x v="1"/>
    <x v="1"/>
    <x v="0"/>
  </r>
  <r>
    <x v="15"/>
    <x v="1"/>
    <n v="0"/>
    <x v="1"/>
    <x v="1"/>
    <x v="1"/>
    <x v="0"/>
  </r>
  <r>
    <x v="0"/>
    <x v="2"/>
    <n v="0"/>
    <x v="1"/>
    <x v="1"/>
    <x v="1"/>
    <x v="0"/>
  </r>
  <r>
    <x v="1"/>
    <x v="2"/>
    <n v="0"/>
    <x v="1"/>
    <x v="1"/>
    <x v="1"/>
    <x v="0"/>
  </r>
  <r>
    <x v="2"/>
    <x v="2"/>
    <n v="0"/>
    <x v="1"/>
    <x v="1"/>
    <x v="1"/>
    <x v="0"/>
  </r>
  <r>
    <x v="3"/>
    <x v="2"/>
    <n v="0"/>
    <x v="1"/>
    <x v="1"/>
    <x v="1"/>
    <x v="0"/>
  </r>
  <r>
    <x v="4"/>
    <x v="2"/>
    <n v="0"/>
    <x v="1"/>
    <x v="1"/>
    <x v="1"/>
    <x v="0"/>
  </r>
  <r>
    <x v="5"/>
    <x v="2"/>
    <n v="0"/>
    <x v="1"/>
    <x v="1"/>
    <x v="1"/>
    <x v="0"/>
  </r>
  <r>
    <x v="6"/>
    <x v="2"/>
    <n v="0"/>
    <x v="1"/>
    <x v="1"/>
    <x v="1"/>
    <x v="0"/>
  </r>
  <r>
    <x v="7"/>
    <x v="2"/>
    <n v="0"/>
    <x v="1"/>
    <x v="1"/>
    <x v="1"/>
    <x v="0"/>
  </r>
  <r>
    <x v="8"/>
    <x v="2"/>
    <n v="0"/>
    <x v="1"/>
    <x v="1"/>
    <x v="1"/>
    <x v="0"/>
  </r>
  <r>
    <x v="9"/>
    <x v="2"/>
    <n v="0"/>
    <x v="1"/>
    <x v="1"/>
    <x v="1"/>
    <x v="0"/>
  </r>
  <r>
    <x v="10"/>
    <x v="2"/>
    <n v="0"/>
    <x v="1"/>
    <x v="1"/>
    <x v="1"/>
    <x v="0"/>
  </r>
  <r>
    <x v="11"/>
    <x v="2"/>
    <n v="0"/>
    <x v="1"/>
    <x v="1"/>
    <x v="1"/>
    <x v="0"/>
  </r>
  <r>
    <x v="12"/>
    <x v="2"/>
    <n v="0"/>
    <x v="1"/>
    <x v="1"/>
    <x v="1"/>
    <x v="0"/>
  </r>
  <r>
    <x v="13"/>
    <x v="2"/>
    <n v="0"/>
    <x v="1"/>
    <x v="1"/>
    <x v="1"/>
    <x v="0"/>
  </r>
  <r>
    <x v="14"/>
    <x v="2"/>
    <n v="0"/>
    <x v="1"/>
    <x v="1"/>
    <x v="1"/>
    <x v="0"/>
  </r>
  <r>
    <x v="15"/>
    <x v="2"/>
    <n v="0"/>
    <x v="1"/>
    <x v="1"/>
    <x v="1"/>
    <x v="0"/>
  </r>
  <r>
    <x v="0"/>
    <x v="3"/>
    <n v="11059.73"/>
    <x v="1"/>
    <x v="1"/>
    <x v="1"/>
    <x v="0"/>
  </r>
  <r>
    <x v="1"/>
    <x v="3"/>
    <n v="0"/>
    <x v="1"/>
    <x v="1"/>
    <x v="1"/>
    <x v="0"/>
  </r>
  <r>
    <x v="2"/>
    <x v="3"/>
    <n v="0"/>
    <x v="1"/>
    <x v="1"/>
    <x v="1"/>
    <x v="0"/>
  </r>
  <r>
    <x v="3"/>
    <x v="3"/>
    <n v="0"/>
    <x v="1"/>
    <x v="1"/>
    <x v="1"/>
    <x v="0"/>
  </r>
  <r>
    <x v="4"/>
    <x v="3"/>
    <n v="0"/>
    <x v="1"/>
    <x v="1"/>
    <x v="1"/>
    <x v="0"/>
  </r>
  <r>
    <x v="5"/>
    <x v="3"/>
    <n v="0"/>
    <x v="1"/>
    <x v="1"/>
    <x v="1"/>
    <x v="0"/>
  </r>
  <r>
    <x v="6"/>
    <x v="3"/>
    <n v="0"/>
    <x v="1"/>
    <x v="1"/>
    <x v="1"/>
    <x v="0"/>
  </r>
  <r>
    <x v="7"/>
    <x v="3"/>
    <n v="0"/>
    <x v="1"/>
    <x v="1"/>
    <x v="1"/>
    <x v="0"/>
  </r>
  <r>
    <x v="8"/>
    <x v="3"/>
    <n v="0"/>
    <x v="1"/>
    <x v="1"/>
    <x v="1"/>
    <x v="0"/>
  </r>
  <r>
    <x v="9"/>
    <x v="3"/>
    <n v="0"/>
    <x v="1"/>
    <x v="1"/>
    <x v="1"/>
    <x v="0"/>
  </r>
  <r>
    <x v="10"/>
    <x v="3"/>
    <n v="0"/>
    <x v="1"/>
    <x v="1"/>
    <x v="1"/>
    <x v="0"/>
  </r>
  <r>
    <x v="11"/>
    <x v="3"/>
    <n v="0"/>
    <x v="1"/>
    <x v="1"/>
    <x v="1"/>
    <x v="0"/>
  </r>
  <r>
    <x v="12"/>
    <x v="3"/>
    <n v="0"/>
    <x v="1"/>
    <x v="1"/>
    <x v="1"/>
    <x v="0"/>
  </r>
  <r>
    <x v="13"/>
    <x v="3"/>
    <n v="0"/>
    <x v="1"/>
    <x v="1"/>
    <x v="1"/>
    <x v="0"/>
  </r>
  <r>
    <x v="14"/>
    <x v="3"/>
    <n v="0"/>
    <x v="1"/>
    <x v="1"/>
    <x v="1"/>
    <x v="0"/>
  </r>
  <r>
    <x v="15"/>
    <x v="3"/>
    <n v="0"/>
    <x v="1"/>
    <x v="1"/>
    <x v="1"/>
    <x v="0"/>
  </r>
  <r>
    <x v="0"/>
    <x v="4"/>
    <n v="0"/>
    <x v="1"/>
    <x v="1"/>
    <x v="1"/>
    <x v="0"/>
  </r>
  <r>
    <x v="1"/>
    <x v="4"/>
    <n v="0"/>
    <x v="1"/>
    <x v="1"/>
    <x v="1"/>
    <x v="0"/>
  </r>
  <r>
    <x v="2"/>
    <x v="4"/>
    <n v="0"/>
    <x v="1"/>
    <x v="1"/>
    <x v="1"/>
    <x v="0"/>
  </r>
  <r>
    <x v="3"/>
    <x v="4"/>
    <n v="0"/>
    <x v="1"/>
    <x v="1"/>
    <x v="1"/>
    <x v="0"/>
  </r>
  <r>
    <x v="4"/>
    <x v="4"/>
    <n v="0"/>
    <x v="1"/>
    <x v="1"/>
    <x v="1"/>
    <x v="0"/>
  </r>
  <r>
    <x v="5"/>
    <x v="4"/>
    <n v="0"/>
    <x v="1"/>
    <x v="1"/>
    <x v="1"/>
    <x v="0"/>
  </r>
  <r>
    <x v="6"/>
    <x v="4"/>
    <n v="0"/>
    <x v="1"/>
    <x v="1"/>
    <x v="1"/>
    <x v="0"/>
  </r>
  <r>
    <x v="7"/>
    <x v="4"/>
    <n v="0"/>
    <x v="1"/>
    <x v="1"/>
    <x v="1"/>
    <x v="0"/>
  </r>
  <r>
    <x v="8"/>
    <x v="4"/>
    <n v="0"/>
    <x v="1"/>
    <x v="1"/>
    <x v="1"/>
    <x v="0"/>
  </r>
  <r>
    <x v="9"/>
    <x v="4"/>
    <n v="0"/>
    <x v="1"/>
    <x v="1"/>
    <x v="1"/>
    <x v="0"/>
  </r>
  <r>
    <x v="10"/>
    <x v="4"/>
    <n v="0"/>
    <x v="1"/>
    <x v="1"/>
    <x v="1"/>
    <x v="0"/>
  </r>
  <r>
    <x v="11"/>
    <x v="4"/>
    <n v="0"/>
    <x v="1"/>
    <x v="1"/>
    <x v="1"/>
    <x v="0"/>
  </r>
  <r>
    <x v="12"/>
    <x v="4"/>
    <n v="0"/>
    <x v="1"/>
    <x v="1"/>
    <x v="1"/>
    <x v="0"/>
  </r>
  <r>
    <x v="13"/>
    <x v="4"/>
    <n v="0"/>
    <x v="1"/>
    <x v="1"/>
    <x v="1"/>
    <x v="0"/>
  </r>
  <r>
    <x v="14"/>
    <x v="4"/>
    <n v="0"/>
    <x v="1"/>
    <x v="1"/>
    <x v="1"/>
    <x v="0"/>
  </r>
  <r>
    <x v="15"/>
    <x v="4"/>
    <n v="0"/>
    <x v="1"/>
    <x v="1"/>
    <x v="1"/>
    <x v="0"/>
  </r>
  <r>
    <x v="0"/>
    <x v="5"/>
    <n v="2644.52"/>
    <x v="1"/>
    <x v="1"/>
    <x v="1"/>
    <x v="0"/>
  </r>
  <r>
    <x v="1"/>
    <x v="5"/>
    <n v="0"/>
    <x v="1"/>
    <x v="1"/>
    <x v="1"/>
    <x v="0"/>
  </r>
  <r>
    <x v="2"/>
    <x v="5"/>
    <n v="0"/>
    <x v="1"/>
    <x v="1"/>
    <x v="1"/>
    <x v="0"/>
  </r>
  <r>
    <x v="3"/>
    <x v="5"/>
    <n v="17.5"/>
    <x v="1"/>
    <x v="1"/>
    <x v="1"/>
    <x v="0"/>
  </r>
  <r>
    <x v="4"/>
    <x v="5"/>
    <n v="17.5"/>
    <x v="1"/>
    <x v="1"/>
    <x v="1"/>
    <x v="0"/>
  </r>
  <r>
    <x v="5"/>
    <x v="5"/>
    <n v="0"/>
    <x v="1"/>
    <x v="1"/>
    <x v="1"/>
    <x v="0"/>
  </r>
  <r>
    <x v="6"/>
    <x v="5"/>
    <n v="0"/>
    <x v="1"/>
    <x v="1"/>
    <x v="1"/>
    <x v="0"/>
  </r>
  <r>
    <x v="7"/>
    <x v="5"/>
    <n v="0"/>
    <x v="1"/>
    <x v="1"/>
    <x v="1"/>
    <x v="0"/>
  </r>
  <r>
    <x v="8"/>
    <x v="5"/>
    <n v="0"/>
    <x v="1"/>
    <x v="1"/>
    <x v="1"/>
    <x v="0"/>
  </r>
  <r>
    <x v="9"/>
    <x v="5"/>
    <n v="0"/>
    <x v="1"/>
    <x v="1"/>
    <x v="1"/>
    <x v="0"/>
  </r>
  <r>
    <x v="10"/>
    <x v="5"/>
    <n v="0"/>
    <x v="1"/>
    <x v="1"/>
    <x v="1"/>
    <x v="0"/>
  </r>
  <r>
    <x v="11"/>
    <x v="5"/>
    <n v="11"/>
    <x v="1"/>
    <x v="1"/>
    <x v="1"/>
    <x v="0"/>
  </r>
  <r>
    <x v="12"/>
    <x v="5"/>
    <n v="11"/>
    <x v="1"/>
    <x v="1"/>
    <x v="1"/>
    <x v="0"/>
  </r>
  <r>
    <x v="13"/>
    <x v="5"/>
    <n v="3.6666699999999999"/>
    <x v="1"/>
    <x v="1"/>
    <x v="1"/>
    <x v="0"/>
  </r>
  <r>
    <x v="14"/>
    <x v="5"/>
    <n v="3.6666699999999999"/>
    <x v="1"/>
    <x v="1"/>
    <x v="1"/>
    <x v="0"/>
  </r>
  <r>
    <x v="15"/>
    <x v="5"/>
    <n v="3.6666699999999999"/>
    <x v="1"/>
    <x v="1"/>
    <x v="1"/>
    <x v="0"/>
  </r>
  <r>
    <x v="0"/>
    <x v="6"/>
    <n v="232.5"/>
    <x v="1"/>
    <x v="1"/>
    <x v="1"/>
    <x v="0"/>
  </r>
  <r>
    <x v="1"/>
    <x v="6"/>
    <n v="1100"/>
    <x v="1"/>
    <x v="1"/>
    <x v="1"/>
    <x v="0"/>
  </r>
  <r>
    <x v="2"/>
    <x v="6"/>
    <n v="1100"/>
    <x v="1"/>
    <x v="1"/>
    <x v="1"/>
    <x v="0"/>
  </r>
  <r>
    <x v="3"/>
    <x v="6"/>
    <n v="0"/>
    <x v="1"/>
    <x v="1"/>
    <x v="1"/>
    <x v="0"/>
  </r>
  <r>
    <x v="4"/>
    <x v="6"/>
    <n v="0"/>
    <x v="1"/>
    <x v="1"/>
    <x v="1"/>
    <x v="0"/>
  </r>
  <r>
    <x v="5"/>
    <x v="6"/>
    <n v="0"/>
    <x v="1"/>
    <x v="1"/>
    <x v="1"/>
    <x v="0"/>
  </r>
  <r>
    <x v="6"/>
    <x v="6"/>
    <n v="0"/>
    <x v="1"/>
    <x v="1"/>
    <x v="1"/>
    <x v="0"/>
  </r>
  <r>
    <x v="7"/>
    <x v="6"/>
    <n v="0"/>
    <x v="1"/>
    <x v="1"/>
    <x v="1"/>
    <x v="0"/>
  </r>
  <r>
    <x v="8"/>
    <x v="6"/>
    <n v="0"/>
    <x v="1"/>
    <x v="1"/>
    <x v="1"/>
    <x v="0"/>
  </r>
  <r>
    <x v="9"/>
    <x v="6"/>
    <n v="0"/>
    <x v="1"/>
    <x v="1"/>
    <x v="1"/>
    <x v="0"/>
  </r>
  <r>
    <x v="10"/>
    <x v="6"/>
    <n v="0"/>
    <x v="1"/>
    <x v="1"/>
    <x v="1"/>
    <x v="0"/>
  </r>
  <r>
    <x v="11"/>
    <x v="6"/>
    <n v="0"/>
    <x v="1"/>
    <x v="1"/>
    <x v="1"/>
    <x v="0"/>
  </r>
  <r>
    <x v="12"/>
    <x v="6"/>
    <n v="0"/>
    <x v="1"/>
    <x v="1"/>
    <x v="1"/>
    <x v="0"/>
  </r>
  <r>
    <x v="13"/>
    <x v="6"/>
    <n v="0"/>
    <x v="1"/>
    <x v="1"/>
    <x v="1"/>
    <x v="0"/>
  </r>
  <r>
    <x v="14"/>
    <x v="6"/>
    <n v="0"/>
    <x v="1"/>
    <x v="1"/>
    <x v="1"/>
    <x v="0"/>
  </r>
  <r>
    <x v="15"/>
    <x v="6"/>
    <n v="0"/>
    <x v="1"/>
    <x v="1"/>
    <x v="1"/>
    <x v="0"/>
  </r>
  <r>
    <x v="0"/>
    <x v="7"/>
    <n v="14.85"/>
    <x v="1"/>
    <x v="1"/>
    <x v="1"/>
    <x v="0"/>
  </r>
  <r>
    <x v="1"/>
    <x v="7"/>
    <n v="0"/>
    <x v="1"/>
    <x v="1"/>
    <x v="1"/>
    <x v="0"/>
  </r>
  <r>
    <x v="2"/>
    <x v="7"/>
    <n v="0"/>
    <x v="1"/>
    <x v="1"/>
    <x v="1"/>
    <x v="0"/>
  </r>
  <r>
    <x v="3"/>
    <x v="7"/>
    <n v="0"/>
    <x v="1"/>
    <x v="1"/>
    <x v="1"/>
    <x v="0"/>
  </r>
  <r>
    <x v="4"/>
    <x v="7"/>
    <n v="0"/>
    <x v="1"/>
    <x v="1"/>
    <x v="1"/>
    <x v="0"/>
  </r>
  <r>
    <x v="5"/>
    <x v="7"/>
    <n v="0"/>
    <x v="1"/>
    <x v="1"/>
    <x v="1"/>
    <x v="0"/>
  </r>
  <r>
    <x v="6"/>
    <x v="7"/>
    <n v="0"/>
    <x v="1"/>
    <x v="1"/>
    <x v="1"/>
    <x v="0"/>
  </r>
  <r>
    <x v="7"/>
    <x v="7"/>
    <n v="0"/>
    <x v="1"/>
    <x v="1"/>
    <x v="1"/>
    <x v="0"/>
  </r>
  <r>
    <x v="8"/>
    <x v="7"/>
    <n v="0"/>
    <x v="1"/>
    <x v="1"/>
    <x v="1"/>
    <x v="0"/>
  </r>
  <r>
    <x v="9"/>
    <x v="7"/>
    <n v="0"/>
    <x v="1"/>
    <x v="1"/>
    <x v="1"/>
    <x v="0"/>
  </r>
  <r>
    <x v="10"/>
    <x v="7"/>
    <n v="0"/>
    <x v="1"/>
    <x v="1"/>
    <x v="1"/>
    <x v="0"/>
  </r>
  <r>
    <x v="11"/>
    <x v="7"/>
    <n v="0"/>
    <x v="1"/>
    <x v="1"/>
    <x v="1"/>
    <x v="0"/>
  </r>
  <r>
    <x v="12"/>
    <x v="7"/>
    <n v="0"/>
    <x v="1"/>
    <x v="1"/>
    <x v="1"/>
    <x v="0"/>
  </r>
  <r>
    <x v="13"/>
    <x v="7"/>
    <n v="0"/>
    <x v="1"/>
    <x v="1"/>
    <x v="1"/>
    <x v="0"/>
  </r>
  <r>
    <x v="14"/>
    <x v="7"/>
    <n v="0"/>
    <x v="1"/>
    <x v="1"/>
    <x v="1"/>
    <x v="0"/>
  </r>
  <r>
    <x v="15"/>
    <x v="7"/>
    <n v="0"/>
    <x v="1"/>
    <x v="1"/>
    <x v="1"/>
    <x v="0"/>
  </r>
  <r>
    <x v="0"/>
    <x v="8"/>
    <n v="17689.8"/>
    <x v="1"/>
    <x v="1"/>
    <x v="1"/>
    <x v="0"/>
  </r>
  <r>
    <x v="1"/>
    <x v="8"/>
    <n v="39890.6"/>
    <x v="1"/>
    <x v="1"/>
    <x v="1"/>
    <x v="0"/>
  </r>
  <r>
    <x v="2"/>
    <x v="8"/>
    <n v="39890.6"/>
    <x v="1"/>
    <x v="1"/>
    <x v="1"/>
    <x v="0"/>
  </r>
  <r>
    <x v="3"/>
    <x v="8"/>
    <n v="51252.1"/>
    <x v="1"/>
    <x v="1"/>
    <x v="1"/>
    <x v="0"/>
  </r>
  <r>
    <x v="4"/>
    <x v="8"/>
    <n v="51252.1"/>
    <x v="1"/>
    <x v="1"/>
    <x v="1"/>
    <x v="0"/>
  </r>
  <r>
    <x v="5"/>
    <x v="8"/>
    <n v="31522.3"/>
    <x v="1"/>
    <x v="1"/>
    <x v="1"/>
    <x v="0"/>
  </r>
  <r>
    <x v="6"/>
    <x v="8"/>
    <n v="31522.3"/>
    <x v="1"/>
    <x v="1"/>
    <x v="1"/>
    <x v="0"/>
  </r>
  <r>
    <x v="7"/>
    <x v="8"/>
    <n v="40393.800000000003"/>
    <x v="1"/>
    <x v="1"/>
    <x v="1"/>
    <x v="0"/>
  </r>
  <r>
    <x v="8"/>
    <x v="8"/>
    <n v="40393.800000000003"/>
    <x v="1"/>
    <x v="1"/>
    <x v="1"/>
    <x v="0"/>
  </r>
  <r>
    <x v="9"/>
    <x v="8"/>
    <n v="45109"/>
    <x v="1"/>
    <x v="1"/>
    <x v="1"/>
    <x v="0"/>
  </r>
  <r>
    <x v="10"/>
    <x v="8"/>
    <n v="45109"/>
    <x v="1"/>
    <x v="1"/>
    <x v="1"/>
    <x v="0"/>
  </r>
  <r>
    <x v="11"/>
    <x v="8"/>
    <n v="45530"/>
    <x v="1"/>
    <x v="1"/>
    <x v="1"/>
    <x v="0"/>
  </r>
  <r>
    <x v="12"/>
    <x v="8"/>
    <n v="45530"/>
    <x v="1"/>
    <x v="1"/>
    <x v="1"/>
    <x v="0"/>
  </r>
  <r>
    <x v="13"/>
    <x v="8"/>
    <n v="51540.9"/>
    <x v="1"/>
    <x v="1"/>
    <x v="1"/>
    <x v="0"/>
  </r>
  <r>
    <x v="14"/>
    <x v="8"/>
    <n v="51540.9"/>
    <x v="1"/>
    <x v="1"/>
    <x v="1"/>
    <x v="0"/>
  </r>
  <r>
    <x v="15"/>
    <x v="8"/>
    <n v="51540.9"/>
    <x v="1"/>
    <x v="1"/>
    <x v="1"/>
    <x v="0"/>
  </r>
  <r>
    <x v="0"/>
    <x v="9"/>
    <n v="10873.6"/>
    <x v="1"/>
    <x v="1"/>
    <x v="1"/>
    <x v="0"/>
  </r>
  <r>
    <x v="1"/>
    <x v="9"/>
    <n v="21728.5"/>
    <x v="1"/>
    <x v="1"/>
    <x v="1"/>
    <x v="0"/>
  </r>
  <r>
    <x v="2"/>
    <x v="9"/>
    <n v="21728.5"/>
    <x v="1"/>
    <x v="1"/>
    <x v="1"/>
    <x v="0"/>
  </r>
  <r>
    <x v="3"/>
    <x v="9"/>
    <n v="10034"/>
    <x v="1"/>
    <x v="1"/>
    <x v="1"/>
    <x v="0"/>
  </r>
  <r>
    <x v="4"/>
    <x v="9"/>
    <n v="10034"/>
    <x v="1"/>
    <x v="1"/>
    <x v="1"/>
    <x v="0"/>
  </r>
  <r>
    <x v="5"/>
    <x v="9"/>
    <n v="29167.8"/>
    <x v="1"/>
    <x v="1"/>
    <x v="1"/>
    <x v="0"/>
  </r>
  <r>
    <x v="6"/>
    <x v="9"/>
    <n v="29167.8"/>
    <x v="1"/>
    <x v="1"/>
    <x v="1"/>
    <x v="0"/>
  </r>
  <r>
    <x v="7"/>
    <x v="9"/>
    <n v="26929.200000000001"/>
    <x v="1"/>
    <x v="1"/>
    <x v="1"/>
    <x v="0"/>
  </r>
  <r>
    <x v="8"/>
    <x v="9"/>
    <n v="26929.200000000001"/>
    <x v="1"/>
    <x v="1"/>
    <x v="1"/>
    <x v="0"/>
  </r>
  <r>
    <x v="9"/>
    <x v="9"/>
    <n v="24065.599999999999"/>
    <x v="1"/>
    <x v="1"/>
    <x v="1"/>
    <x v="0"/>
  </r>
  <r>
    <x v="10"/>
    <x v="9"/>
    <n v="24065.599999999999"/>
    <x v="1"/>
    <x v="1"/>
    <x v="1"/>
    <x v="0"/>
  </r>
  <r>
    <x v="11"/>
    <x v="9"/>
    <n v="38797.300000000003"/>
    <x v="1"/>
    <x v="1"/>
    <x v="1"/>
    <x v="0"/>
  </r>
  <r>
    <x v="12"/>
    <x v="9"/>
    <n v="38797.300000000003"/>
    <x v="1"/>
    <x v="1"/>
    <x v="1"/>
    <x v="0"/>
  </r>
  <r>
    <x v="13"/>
    <x v="9"/>
    <n v="40039.5"/>
    <x v="1"/>
    <x v="1"/>
    <x v="1"/>
    <x v="0"/>
  </r>
  <r>
    <x v="14"/>
    <x v="9"/>
    <n v="40039.5"/>
    <x v="1"/>
    <x v="1"/>
    <x v="1"/>
    <x v="0"/>
  </r>
  <r>
    <x v="15"/>
    <x v="9"/>
    <n v="40039.5"/>
    <x v="1"/>
    <x v="1"/>
    <x v="1"/>
    <x v="0"/>
  </r>
  <r>
    <x v="0"/>
    <x v="1"/>
    <n v="102.45"/>
    <x v="1"/>
    <x v="1"/>
    <x v="1"/>
    <x v="1"/>
  </r>
  <r>
    <x v="1"/>
    <x v="1"/>
    <n v="9.5"/>
    <x v="1"/>
    <x v="1"/>
    <x v="1"/>
    <x v="1"/>
  </r>
  <r>
    <x v="2"/>
    <x v="1"/>
    <n v="9.5"/>
    <x v="1"/>
    <x v="1"/>
    <x v="1"/>
    <x v="1"/>
  </r>
  <r>
    <x v="3"/>
    <x v="1"/>
    <n v="0"/>
    <x v="1"/>
    <x v="1"/>
    <x v="1"/>
    <x v="1"/>
  </r>
  <r>
    <x v="4"/>
    <x v="1"/>
    <n v="0"/>
    <x v="1"/>
    <x v="1"/>
    <x v="1"/>
    <x v="1"/>
  </r>
  <r>
    <x v="5"/>
    <x v="1"/>
    <n v="0"/>
    <x v="1"/>
    <x v="1"/>
    <x v="1"/>
    <x v="1"/>
  </r>
  <r>
    <x v="6"/>
    <x v="1"/>
    <n v="0"/>
    <x v="1"/>
    <x v="1"/>
    <x v="1"/>
    <x v="1"/>
  </r>
  <r>
    <x v="7"/>
    <x v="1"/>
    <n v="0"/>
    <x v="1"/>
    <x v="1"/>
    <x v="1"/>
    <x v="1"/>
  </r>
  <r>
    <x v="8"/>
    <x v="1"/>
    <n v="0"/>
    <x v="1"/>
    <x v="1"/>
    <x v="1"/>
    <x v="1"/>
  </r>
  <r>
    <x v="9"/>
    <x v="1"/>
    <n v="0"/>
    <x v="1"/>
    <x v="1"/>
    <x v="1"/>
    <x v="1"/>
  </r>
  <r>
    <x v="10"/>
    <x v="1"/>
    <n v="0"/>
    <x v="1"/>
    <x v="1"/>
    <x v="1"/>
    <x v="1"/>
  </r>
  <r>
    <x v="11"/>
    <x v="1"/>
    <n v="0"/>
    <x v="1"/>
    <x v="1"/>
    <x v="1"/>
    <x v="1"/>
  </r>
  <r>
    <x v="12"/>
    <x v="1"/>
    <n v="0"/>
    <x v="1"/>
    <x v="1"/>
    <x v="1"/>
    <x v="1"/>
  </r>
  <r>
    <x v="13"/>
    <x v="1"/>
    <n v="0"/>
    <x v="1"/>
    <x v="1"/>
    <x v="1"/>
    <x v="1"/>
  </r>
  <r>
    <x v="14"/>
    <x v="1"/>
    <n v="0"/>
    <x v="1"/>
    <x v="1"/>
    <x v="1"/>
    <x v="1"/>
  </r>
  <r>
    <x v="15"/>
    <x v="1"/>
    <n v="0"/>
    <x v="1"/>
    <x v="1"/>
    <x v="1"/>
    <x v="1"/>
  </r>
  <r>
    <x v="0"/>
    <x v="2"/>
    <n v="0"/>
    <x v="1"/>
    <x v="1"/>
    <x v="1"/>
    <x v="1"/>
  </r>
  <r>
    <x v="1"/>
    <x v="2"/>
    <n v="0"/>
    <x v="1"/>
    <x v="1"/>
    <x v="1"/>
    <x v="1"/>
  </r>
  <r>
    <x v="2"/>
    <x v="2"/>
    <n v="0"/>
    <x v="1"/>
    <x v="1"/>
    <x v="1"/>
    <x v="1"/>
  </r>
  <r>
    <x v="3"/>
    <x v="2"/>
    <n v="0"/>
    <x v="1"/>
    <x v="1"/>
    <x v="1"/>
    <x v="1"/>
  </r>
  <r>
    <x v="4"/>
    <x v="2"/>
    <n v="0"/>
    <x v="1"/>
    <x v="1"/>
    <x v="1"/>
    <x v="1"/>
  </r>
  <r>
    <x v="5"/>
    <x v="2"/>
    <n v="0"/>
    <x v="1"/>
    <x v="1"/>
    <x v="1"/>
    <x v="1"/>
  </r>
  <r>
    <x v="6"/>
    <x v="2"/>
    <n v="0"/>
    <x v="1"/>
    <x v="1"/>
    <x v="1"/>
    <x v="1"/>
  </r>
  <r>
    <x v="7"/>
    <x v="2"/>
    <n v="0"/>
    <x v="1"/>
    <x v="1"/>
    <x v="1"/>
    <x v="1"/>
  </r>
  <r>
    <x v="8"/>
    <x v="2"/>
    <n v="0"/>
    <x v="1"/>
    <x v="1"/>
    <x v="1"/>
    <x v="1"/>
  </r>
  <r>
    <x v="9"/>
    <x v="2"/>
    <n v="0"/>
    <x v="1"/>
    <x v="1"/>
    <x v="1"/>
    <x v="1"/>
  </r>
  <r>
    <x v="10"/>
    <x v="2"/>
    <n v="0"/>
    <x v="1"/>
    <x v="1"/>
    <x v="1"/>
    <x v="1"/>
  </r>
  <r>
    <x v="11"/>
    <x v="2"/>
    <n v="0"/>
    <x v="1"/>
    <x v="1"/>
    <x v="1"/>
    <x v="1"/>
  </r>
  <r>
    <x v="12"/>
    <x v="2"/>
    <n v="0"/>
    <x v="1"/>
    <x v="1"/>
    <x v="1"/>
    <x v="1"/>
  </r>
  <r>
    <x v="13"/>
    <x v="2"/>
    <n v="0"/>
    <x v="1"/>
    <x v="1"/>
    <x v="1"/>
    <x v="1"/>
  </r>
  <r>
    <x v="14"/>
    <x v="2"/>
    <n v="0"/>
    <x v="1"/>
    <x v="1"/>
    <x v="1"/>
    <x v="1"/>
  </r>
  <r>
    <x v="15"/>
    <x v="2"/>
    <n v="0"/>
    <x v="1"/>
    <x v="1"/>
    <x v="1"/>
    <x v="1"/>
  </r>
  <r>
    <x v="0"/>
    <x v="3"/>
    <n v="11059.73"/>
    <x v="1"/>
    <x v="1"/>
    <x v="1"/>
    <x v="1"/>
  </r>
  <r>
    <x v="1"/>
    <x v="3"/>
    <n v="0"/>
    <x v="1"/>
    <x v="1"/>
    <x v="1"/>
    <x v="1"/>
  </r>
  <r>
    <x v="2"/>
    <x v="3"/>
    <n v="0"/>
    <x v="1"/>
    <x v="1"/>
    <x v="1"/>
    <x v="1"/>
  </r>
  <r>
    <x v="3"/>
    <x v="3"/>
    <n v="0"/>
    <x v="1"/>
    <x v="1"/>
    <x v="1"/>
    <x v="1"/>
  </r>
  <r>
    <x v="4"/>
    <x v="3"/>
    <n v="0"/>
    <x v="1"/>
    <x v="1"/>
    <x v="1"/>
    <x v="1"/>
  </r>
  <r>
    <x v="5"/>
    <x v="3"/>
    <n v="0"/>
    <x v="1"/>
    <x v="1"/>
    <x v="1"/>
    <x v="1"/>
  </r>
  <r>
    <x v="6"/>
    <x v="3"/>
    <n v="0"/>
    <x v="1"/>
    <x v="1"/>
    <x v="1"/>
    <x v="1"/>
  </r>
  <r>
    <x v="7"/>
    <x v="3"/>
    <n v="0"/>
    <x v="1"/>
    <x v="1"/>
    <x v="1"/>
    <x v="1"/>
  </r>
  <r>
    <x v="8"/>
    <x v="3"/>
    <n v="0"/>
    <x v="1"/>
    <x v="1"/>
    <x v="1"/>
    <x v="1"/>
  </r>
  <r>
    <x v="9"/>
    <x v="3"/>
    <n v="0"/>
    <x v="1"/>
    <x v="1"/>
    <x v="1"/>
    <x v="1"/>
  </r>
  <r>
    <x v="10"/>
    <x v="3"/>
    <n v="0"/>
    <x v="1"/>
    <x v="1"/>
    <x v="1"/>
    <x v="1"/>
  </r>
  <r>
    <x v="11"/>
    <x v="3"/>
    <n v="0"/>
    <x v="1"/>
    <x v="1"/>
    <x v="1"/>
    <x v="1"/>
  </r>
  <r>
    <x v="12"/>
    <x v="3"/>
    <n v="0"/>
    <x v="1"/>
    <x v="1"/>
    <x v="1"/>
    <x v="1"/>
  </r>
  <r>
    <x v="13"/>
    <x v="3"/>
    <n v="0"/>
    <x v="1"/>
    <x v="1"/>
    <x v="1"/>
    <x v="1"/>
  </r>
  <r>
    <x v="14"/>
    <x v="3"/>
    <n v="0"/>
    <x v="1"/>
    <x v="1"/>
    <x v="1"/>
    <x v="1"/>
  </r>
  <r>
    <x v="15"/>
    <x v="3"/>
    <n v="0"/>
    <x v="1"/>
    <x v="1"/>
    <x v="1"/>
    <x v="1"/>
  </r>
  <r>
    <x v="0"/>
    <x v="4"/>
    <n v="0"/>
    <x v="1"/>
    <x v="1"/>
    <x v="1"/>
    <x v="1"/>
  </r>
  <r>
    <x v="1"/>
    <x v="4"/>
    <n v="0"/>
    <x v="1"/>
    <x v="1"/>
    <x v="1"/>
    <x v="1"/>
  </r>
  <r>
    <x v="2"/>
    <x v="4"/>
    <n v="0"/>
    <x v="1"/>
    <x v="1"/>
    <x v="1"/>
    <x v="1"/>
  </r>
  <r>
    <x v="3"/>
    <x v="4"/>
    <n v="0"/>
    <x v="1"/>
    <x v="1"/>
    <x v="1"/>
    <x v="1"/>
  </r>
  <r>
    <x v="4"/>
    <x v="4"/>
    <n v="0"/>
    <x v="1"/>
    <x v="1"/>
    <x v="1"/>
    <x v="1"/>
  </r>
  <r>
    <x v="5"/>
    <x v="4"/>
    <n v="49.162100000000002"/>
    <x v="1"/>
    <x v="1"/>
    <x v="1"/>
    <x v="1"/>
  </r>
  <r>
    <x v="6"/>
    <x v="4"/>
    <n v="49.162100000000002"/>
    <x v="1"/>
    <x v="1"/>
    <x v="1"/>
    <x v="1"/>
  </r>
  <r>
    <x v="7"/>
    <x v="4"/>
    <n v="164.28"/>
    <x v="1"/>
    <x v="1"/>
    <x v="1"/>
    <x v="1"/>
  </r>
  <r>
    <x v="8"/>
    <x v="4"/>
    <n v="164.28"/>
    <x v="1"/>
    <x v="1"/>
    <x v="1"/>
    <x v="1"/>
  </r>
  <r>
    <x v="9"/>
    <x v="4"/>
    <n v="0"/>
    <x v="1"/>
    <x v="1"/>
    <x v="1"/>
    <x v="1"/>
  </r>
  <r>
    <x v="10"/>
    <x v="4"/>
    <n v="0"/>
    <x v="1"/>
    <x v="1"/>
    <x v="1"/>
    <x v="1"/>
  </r>
  <r>
    <x v="11"/>
    <x v="4"/>
    <n v="0"/>
    <x v="1"/>
    <x v="1"/>
    <x v="1"/>
    <x v="1"/>
  </r>
  <r>
    <x v="12"/>
    <x v="4"/>
    <n v="0"/>
    <x v="1"/>
    <x v="1"/>
    <x v="1"/>
    <x v="1"/>
  </r>
  <r>
    <x v="13"/>
    <x v="4"/>
    <n v="0"/>
    <x v="1"/>
    <x v="1"/>
    <x v="1"/>
    <x v="1"/>
  </r>
  <r>
    <x v="14"/>
    <x v="4"/>
    <n v="0"/>
    <x v="1"/>
    <x v="1"/>
    <x v="1"/>
    <x v="1"/>
  </r>
  <r>
    <x v="15"/>
    <x v="4"/>
    <n v="0"/>
    <x v="1"/>
    <x v="1"/>
    <x v="1"/>
    <x v="1"/>
  </r>
  <r>
    <x v="0"/>
    <x v="5"/>
    <n v="3699.95"/>
    <x v="1"/>
    <x v="1"/>
    <x v="1"/>
    <x v="1"/>
  </r>
  <r>
    <x v="1"/>
    <x v="5"/>
    <n v="0"/>
    <x v="1"/>
    <x v="1"/>
    <x v="1"/>
    <x v="1"/>
  </r>
  <r>
    <x v="2"/>
    <x v="5"/>
    <n v="0"/>
    <x v="1"/>
    <x v="1"/>
    <x v="1"/>
    <x v="1"/>
  </r>
  <r>
    <x v="3"/>
    <x v="5"/>
    <n v="49"/>
    <x v="1"/>
    <x v="1"/>
    <x v="1"/>
    <x v="1"/>
  </r>
  <r>
    <x v="4"/>
    <x v="5"/>
    <n v="49"/>
    <x v="1"/>
    <x v="1"/>
    <x v="1"/>
    <x v="1"/>
  </r>
  <r>
    <x v="5"/>
    <x v="5"/>
    <n v="29.5"/>
    <x v="1"/>
    <x v="1"/>
    <x v="1"/>
    <x v="1"/>
  </r>
  <r>
    <x v="6"/>
    <x v="5"/>
    <n v="29.5"/>
    <x v="1"/>
    <x v="1"/>
    <x v="1"/>
    <x v="1"/>
  </r>
  <r>
    <x v="7"/>
    <x v="5"/>
    <n v="17"/>
    <x v="1"/>
    <x v="1"/>
    <x v="1"/>
    <x v="1"/>
  </r>
  <r>
    <x v="8"/>
    <x v="5"/>
    <n v="17"/>
    <x v="1"/>
    <x v="1"/>
    <x v="1"/>
    <x v="1"/>
  </r>
  <r>
    <x v="9"/>
    <x v="5"/>
    <n v="5"/>
    <x v="1"/>
    <x v="1"/>
    <x v="1"/>
    <x v="1"/>
  </r>
  <r>
    <x v="10"/>
    <x v="5"/>
    <n v="5"/>
    <x v="1"/>
    <x v="1"/>
    <x v="1"/>
    <x v="1"/>
  </r>
  <r>
    <x v="11"/>
    <x v="5"/>
    <n v="32.395000000000003"/>
    <x v="1"/>
    <x v="1"/>
    <x v="1"/>
    <x v="1"/>
  </r>
  <r>
    <x v="12"/>
    <x v="5"/>
    <n v="32.395000000000003"/>
    <x v="1"/>
    <x v="1"/>
    <x v="1"/>
    <x v="1"/>
  </r>
  <r>
    <x v="13"/>
    <x v="5"/>
    <n v="17.7667"/>
    <x v="1"/>
    <x v="1"/>
    <x v="1"/>
    <x v="1"/>
  </r>
  <r>
    <x v="14"/>
    <x v="5"/>
    <n v="17.7667"/>
    <x v="1"/>
    <x v="1"/>
    <x v="1"/>
    <x v="1"/>
  </r>
  <r>
    <x v="15"/>
    <x v="5"/>
    <n v="17.7667"/>
    <x v="1"/>
    <x v="1"/>
    <x v="1"/>
    <x v="1"/>
  </r>
  <r>
    <x v="0"/>
    <x v="6"/>
    <n v="232.5"/>
    <x v="1"/>
    <x v="1"/>
    <x v="1"/>
    <x v="1"/>
  </r>
  <r>
    <x v="1"/>
    <x v="6"/>
    <n v="1100"/>
    <x v="1"/>
    <x v="1"/>
    <x v="1"/>
    <x v="1"/>
  </r>
  <r>
    <x v="2"/>
    <x v="6"/>
    <n v="1100"/>
    <x v="1"/>
    <x v="1"/>
    <x v="1"/>
    <x v="1"/>
  </r>
  <r>
    <x v="3"/>
    <x v="6"/>
    <n v="0"/>
    <x v="1"/>
    <x v="1"/>
    <x v="1"/>
    <x v="1"/>
  </r>
  <r>
    <x v="4"/>
    <x v="6"/>
    <n v="0"/>
    <x v="1"/>
    <x v="1"/>
    <x v="1"/>
    <x v="1"/>
  </r>
  <r>
    <x v="5"/>
    <x v="6"/>
    <n v="0"/>
    <x v="1"/>
    <x v="1"/>
    <x v="1"/>
    <x v="1"/>
  </r>
  <r>
    <x v="6"/>
    <x v="6"/>
    <n v="0"/>
    <x v="1"/>
    <x v="1"/>
    <x v="1"/>
    <x v="1"/>
  </r>
  <r>
    <x v="7"/>
    <x v="6"/>
    <n v="0"/>
    <x v="1"/>
    <x v="1"/>
    <x v="1"/>
    <x v="1"/>
  </r>
  <r>
    <x v="8"/>
    <x v="6"/>
    <n v="0"/>
    <x v="1"/>
    <x v="1"/>
    <x v="1"/>
    <x v="1"/>
  </r>
  <r>
    <x v="9"/>
    <x v="6"/>
    <n v="0"/>
    <x v="1"/>
    <x v="1"/>
    <x v="1"/>
    <x v="1"/>
  </r>
  <r>
    <x v="10"/>
    <x v="6"/>
    <n v="0"/>
    <x v="1"/>
    <x v="1"/>
    <x v="1"/>
    <x v="1"/>
  </r>
  <r>
    <x v="11"/>
    <x v="6"/>
    <n v="0"/>
    <x v="1"/>
    <x v="1"/>
    <x v="1"/>
    <x v="1"/>
  </r>
  <r>
    <x v="12"/>
    <x v="6"/>
    <n v="0"/>
    <x v="1"/>
    <x v="1"/>
    <x v="1"/>
    <x v="1"/>
  </r>
  <r>
    <x v="13"/>
    <x v="6"/>
    <n v="0"/>
    <x v="1"/>
    <x v="1"/>
    <x v="1"/>
    <x v="1"/>
  </r>
  <r>
    <x v="14"/>
    <x v="6"/>
    <n v="0"/>
    <x v="1"/>
    <x v="1"/>
    <x v="1"/>
    <x v="1"/>
  </r>
  <r>
    <x v="15"/>
    <x v="6"/>
    <n v="0"/>
    <x v="1"/>
    <x v="1"/>
    <x v="1"/>
    <x v="1"/>
  </r>
  <r>
    <x v="0"/>
    <x v="7"/>
    <n v="14.85"/>
    <x v="1"/>
    <x v="1"/>
    <x v="1"/>
    <x v="1"/>
  </r>
  <r>
    <x v="1"/>
    <x v="7"/>
    <n v="0"/>
    <x v="1"/>
    <x v="1"/>
    <x v="1"/>
    <x v="1"/>
  </r>
  <r>
    <x v="2"/>
    <x v="7"/>
    <n v="0"/>
    <x v="1"/>
    <x v="1"/>
    <x v="1"/>
    <x v="1"/>
  </r>
  <r>
    <x v="3"/>
    <x v="7"/>
    <n v="0"/>
    <x v="1"/>
    <x v="1"/>
    <x v="1"/>
    <x v="1"/>
  </r>
  <r>
    <x v="4"/>
    <x v="7"/>
    <n v="0"/>
    <x v="1"/>
    <x v="1"/>
    <x v="1"/>
    <x v="1"/>
  </r>
  <r>
    <x v="5"/>
    <x v="7"/>
    <n v="0"/>
    <x v="1"/>
    <x v="1"/>
    <x v="1"/>
    <x v="1"/>
  </r>
  <r>
    <x v="6"/>
    <x v="7"/>
    <n v="0"/>
    <x v="1"/>
    <x v="1"/>
    <x v="1"/>
    <x v="1"/>
  </r>
  <r>
    <x v="7"/>
    <x v="7"/>
    <n v="0"/>
    <x v="1"/>
    <x v="1"/>
    <x v="1"/>
    <x v="1"/>
  </r>
  <r>
    <x v="8"/>
    <x v="7"/>
    <n v="0"/>
    <x v="1"/>
    <x v="1"/>
    <x v="1"/>
    <x v="1"/>
  </r>
  <r>
    <x v="9"/>
    <x v="7"/>
    <n v="0"/>
    <x v="1"/>
    <x v="1"/>
    <x v="1"/>
    <x v="1"/>
  </r>
  <r>
    <x v="10"/>
    <x v="7"/>
    <n v="0"/>
    <x v="1"/>
    <x v="1"/>
    <x v="1"/>
    <x v="1"/>
  </r>
  <r>
    <x v="11"/>
    <x v="7"/>
    <n v="0"/>
    <x v="1"/>
    <x v="1"/>
    <x v="1"/>
    <x v="1"/>
  </r>
  <r>
    <x v="12"/>
    <x v="7"/>
    <n v="0"/>
    <x v="1"/>
    <x v="1"/>
    <x v="1"/>
    <x v="1"/>
  </r>
  <r>
    <x v="13"/>
    <x v="7"/>
    <n v="0"/>
    <x v="1"/>
    <x v="1"/>
    <x v="1"/>
    <x v="1"/>
  </r>
  <r>
    <x v="14"/>
    <x v="7"/>
    <n v="0"/>
    <x v="1"/>
    <x v="1"/>
    <x v="1"/>
    <x v="1"/>
  </r>
  <r>
    <x v="15"/>
    <x v="7"/>
    <n v="0"/>
    <x v="1"/>
    <x v="1"/>
    <x v="1"/>
    <x v="1"/>
  </r>
  <r>
    <x v="0"/>
    <x v="8"/>
    <n v="12944.7"/>
    <x v="1"/>
    <x v="1"/>
    <x v="1"/>
    <x v="1"/>
  </r>
  <r>
    <x v="1"/>
    <x v="8"/>
    <n v="33484.699999999997"/>
    <x v="1"/>
    <x v="1"/>
    <x v="1"/>
    <x v="1"/>
  </r>
  <r>
    <x v="2"/>
    <x v="8"/>
    <n v="33484.699999999997"/>
    <x v="1"/>
    <x v="1"/>
    <x v="1"/>
    <x v="1"/>
  </r>
  <r>
    <x v="3"/>
    <x v="8"/>
    <n v="30065.4"/>
    <x v="1"/>
    <x v="1"/>
    <x v="1"/>
    <x v="1"/>
  </r>
  <r>
    <x v="4"/>
    <x v="8"/>
    <n v="30065.4"/>
    <x v="1"/>
    <x v="1"/>
    <x v="1"/>
    <x v="1"/>
  </r>
  <r>
    <x v="5"/>
    <x v="8"/>
    <n v="17789.3"/>
    <x v="1"/>
    <x v="1"/>
    <x v="1"/>
    <x v="1"/>
  </r>
  <r>
    <x v="6"/>
    <x v="8"/>
    <n v="17789.3"/>
    <x v="1"/>
    <x v="1"/>
    <x v="1"/>
    <x v="1"/>
  </r>
  <r>
    <x v="7"/>
    <x v="8"/>
    <n v="27416.5"/>
    <x v="1"/>
    <x v="1"/>
    <x v="1"/>
    <x v="1"/>
  </r>
  <r>
    <x v="8"/>
    <x v="8"/>
    <n v="27416.5"/>
    <x v="1"/>
    <x v="1"/>
    <x v="1"/>
    <x v="1"/>
  </r>
  <r>
    <x v="9"/>
    <x v="8"/>
    <n v="32305.7"/>
    <x v="1"/>
    <x v="1"/>
    <x v="1"/>
    <x v="1"/>
  </r>
  <r>
    <x v="10"/>
    <x v="8"/>
    <n v="32305.7"/>
    <x v="1"/>
    <x v="1"/>
    <x v="1"/>
    <x v="1"/>
  </r>
  <r>
    <x v="11"/>
    <x v="8"/>
    <n v="27718.5"/>
    <x v="1"/>
    <x v="1"/>
    <x v="1"/>
    <x v="1"/>
  </r>
  <r>
    <x v="12"/>
    <x v="8"/>
    <n v="27718.5"/>
    <x v="1"/>
    <x v="1"/>
    <x v="1"/>
    <x v="1"/>
  </r>
  <r>
    <x v="13"/>
    <x v="8"/>
    <n v="18492.8"/>
    <x v="1"/>
    <x v="1"/>
    <x v="1"/>
    <x v="1"/>
  </r>
  <r>
    <x v="14"/>
    <x v="8"/>
    <n v="18492.8"/>
    <x v="1"/>
    <x v="1"/>
    <x v="1"/>
    <x v="1"/>
  </r>
  <r>
    <x v="15"/>
    <x v="8"/>
    <n v="18492.8"/>
    <x v="1"/>
    <x v="1"/>
    <x v="1"/>
    <x v="1"/>
  </r>
  <r>
    <x v="0"/>
    <x v="9"/>
    <n v="13311.4"/>
    <x v="1"/>
    <x v="1"/>
    <x v="1"/>
    <x v="1"/>
  </r>
  <r>
    <x v="1"/>
    <x v="9"/>
    <n v="25538.6"/>
    <x v="1"/>
    <x v="1"/>
    <x v="1"/>
    <x v="1"/>
  </r>
  <r>
    <x v="2"/>
    <x v="9"/>
    <n v="25538.6"/>
    <x v="1"/>
    <x v="1"/>
    <x v="1"/>
    <x v="1"/>
  </r>
  <r>
    <x v="3"/>
    <x v="9"/>
    <n v="21931"/>
    <x v="1"/>
    <x v="1"/>
    <x v="1"/>
    <x v="1"/>
  </r>
  <r>
    <x v="4"/>
    <x v="9"/>
    <n v="21931"/>
    <x v="1"/>
    <x v="1"/>
    <x v="1"/>
    <x v="1"/>
  </r>
  <r>
    <x v="5"/>
    <x v="9"/>
    <n v="38256.699999999997"/>
    <x v="1"/>
    <x v="1"/>
    <x v="1"/>
    <x v="1"/>
  </r>
  <r>
    <x v="6"/>
    <x v="9"/>
    <n v="38256.699999999997"/>
    <x v="1"/>
    <x v="1"/>
    <x v="1"/>
    <x v="1"/>
  </r>
  <r>
    <x v="7"/>
    <x v="9"/>
    <n v="34818.5"/>
    <x v="1"/>
    <x v="1"/>
    <x v="1"/>
    <x v="1"/>
  </r>
  <r>
    <x v="8"/>
    <x v="9"/>
    <n v="34818.5"/>
    <x v="1"/>
    <x v="1"/>
    <x v="1"/>
    <x v="1"/>
  </r>
  <r>
    <x v="9"/>
    <x v="9"/>
    <n v="32709.9"/>
    <x v="1"/>
    <x v="1"/>
    <x v="1"/>
    <x v="1"/>
  </r>
  <r>
    <x v="10"/>
    <x v="9"/>
    <n v="32709.9"/>
    <x v="1"/>
    <x v="1"/>
    <x v="1"/>
    <x v="1"/>
  </r>
  <r>
    <x v="11"/>
    <x v="9"/>
    <n v="48953.8"/>
    <x v="1"/>
    <x v="1"/>
    <x v="1"/>
    <x v="1"/>
  </r>
  <r>
    <x v="12"/>
    <x v="9"/>
    <n v="48953.8"/>
    <x v="1"/>
    <x v="1"/>
    <x v="1"/>
    <x v="1"/>
  </r>
  <r>
    <x v="13"/>
    <x v="9"/>
    <n v="65003.8"/>
    <x v="1"/>
    <x v="1"/>
    <x v="1"/>
    <x v="1"/>
  </r>
  <r>
    <x v="14"/>
    <x v="9"/>
    <n v="65003.8"/>
    <x v="1"/>
    <x v="1"/>
    <x v="1"/>
    <x v="1"/>
  </r>
  <r>
    <x v="15"/>
    <x v="9"/>
    <n v="65003.8"/>
    <x v="1"/>
    <x v="1"/>
    <x v="1"/>
    <x v="1"/>
  </r>
  <r>
    <x v="0"/>
    <x v="1"/>
    <n v="102.45"/>
    <x v="1"/>
    <x v="1"/>
    <x v="1"/>
    <x v="2"/>
  </r>
  <r>
    <x v="1"/>
    <x v="1"/>
    <n v="9.5"/>
    <x v="1"/>
    <x v="1"/>
    <x v="1"/>
    <x v="2"/>
  </r>
  <r>
    <x v="2"/>
    <x v="1"/>
    <n v="9.5"/>
    <x v="1"/>
    <x v="1"/>
    <x v="1"/>
    <x v="2"/>
  </r>
  <r>
    <x v="3"/>
    <x v="1"/>
    <n v="0"/>
    <x v="1"/>
    <x v="1"/>
    <x v="1"/>
    <x v="2"/>
  </r>
  <r>
    <x v="4"/>
    <x v="1"/>
    <n v="0"/>
    <x v="1"/>
    <x v="1"/>
    <x v="1"/>
    <x v="2"/>
  </r>
  <r>
    <x v="5"/>
    <x v="1"/>
    <n v="0"/>
    <x v="1"/>
    <x v="1"/>
    <x v="1"/>
    <x v="2"/>
  </r>
  <r>
    <x v="6"/>
    <x v="1"/>
    <n v="0"/>
    <x v="1"/>
    <x v="1"/>
    <x v="1"/>
    <x v="2"/>
  </r>
  <r>
    <x v="7"/>
    <x v="1"/>
    <n v="0"/>
    <x v="1"/>
    <x v="1"/>
    <x v="1"/>
    <x v="2"/>
  </r>
  <r>
    <x v="8"/>
    <x v="1"/>
    <n v="0"/>
    <x v="1"/>
    <x v="1"/>
    <x v="1"/>
    <x v="2"/>
  </r>
  <r>
    <x v="9"/>
    <x v="1"/>
    <n v="0"/>
    <x v="1"/>
    <x v="1"/>
    <x v="1"/>
    <x v="2"/>
  </r>
  <r>
    <x v="10"/>
    <x v="1"/>
    <n v="0"/>
    <x v="1"/>
    <x v="1"/>
    <x v="1"/>
    <x v="2"/>
  </r>
  <r>
    <x v="11"/>
    <x v="1"/>
    <n v="0"/>
    <x v="1"/>
    <x v="1"/>
    <x v="1"/>
    <x v="2"/>
  </r>
  <r>
    <x v="12"/>
    <x v="1"/>
    <n v="0"/>
    <x v="1"/>
    <x v="1"/>
    <x v="1"/>
    <x v="2"/>
  </r>
  <r>
    <x v="13"/>
    <x v="1"/>
    <n v="0"/>
    <x v="1"/>
    <x v="1"/>
    <x v="1"/>
    <x v="2"/>
  </r>
  <r>
    <x v="14"/>
    <x v="1"/>
    <n v="0"/>
    <x v="1"/>
    <x v="1"/>
    <x v="1"/>
    <x v="2"/>
  </r>
  <r>
    <x v="15"/>
    <x v="1"/>
    <n v="0"/>
    <x v="1"/>
    <x v="1"/>
    <x v="1"/>
    <x v="2"/>
  </r>
  <r>
    <x v="0"/>
    <x v="2"/>
    <n v="0"/>
    <x v="1"/>
    <x v="1"/>
    <x v="1"/>
    <x v="2"/>
  </r>
  <r>
    <x v="1"/>
    <x v="2"/>
    <n v="0"/>
    <x v="1"/>
    <x v="1"/>
    <x v="1"/>
    <x v="2"/>
  </r>
  <r>
    <x v="2"/>
    <x v="2"/>
    <n v="0"/>
    <x v="1"/>
    <x v="1"/>
    <x v="1"/>
    <x v="2"/>
  </r>
  <r>
    <x v="3"/>
    <x v="2"/>
    <n v="0"/>
    <x v="1"/>
    <x v="1"/>
    <x v="1"/>
    <x v="2"/>
  </r>
  <r>
    <x v="4"/>
    <x v="2"/>
    <n v="0"/>
    <x v="1"/>
    <x v="1"/>
    <x v="1"/>
    <x v="2"/>
  </r>
  <r>
    <x v="5"/>
    <x v="2"/>
    <n v="0"/>
    <x v="1"/>
    <x v="1"/>
    <x v="1"/>
    <x v="2"/>
  </r>
  <r>
    <x v="6"/>
    <x v="2"/>
    <n v="0"/>
    <x v="1"/>
    <x v="1"/>
    <x v="1"/>
    <x v="2"/>
  </r>
  <r>
    <x v="7"/>
    <x v="2"/>
    <n v="0"/>
    <x v="1"/>
    <x v="1"/>
    <x v="1"/>
    <x v="2"/>
  </r>
  <r>
    <x v="8"/>
    <x v="2"/>
    <n v="0"/>
    <x v="1"/>
    <x v="1"/>
    <x v="1"/>
    <x v="2"/>
  </r>
  <r>
    <x v="9"/>
    <x v="2"/>
    <n v="0"/>
    <x v="1"/>
    <x v="1"/>
    <x v="1"/>
    <x v="2"/>
  </r>
  <r>
    <x v="10"/>
    <x v="2"/>
    <n v="0"/>
    <x v="1"/>
    <x v="1"/>
    <x v="1"/>
    <x v="2"/>
  </r>
  <r>
    <x v="11"/>
    <x v="2"/>
    <n v="0"/>
    <x v="1"/>
    <x v="1"/>
    <x v="1"/>
    <x v="2"/>
  </r>
  <r>
    <x v="12"/>
    <x v="2"/>
    <n v="0"/>
    <x v="1"/>
    <x v="1"/>
    <x v="1"/>
    <x v="2"/>
  </r>
  <r>
    <x v="13"/>
    <x v="2"/>
    <n v="0"/>
    <x v="1"/>
    <x v="1"/>
    <x v="1"/>
    <x v="2"/>
  </r>
  <r>
    <x v="14"/>
    <x v="2"/>
    <n v="0"/>
    <x v="1"/>
    <x v="1"/>
    <x v="1"/>
    <x v="2"/>
  </r>
  <r>
    <x v="15"/>
    <x v="2"/>
    <n v="0"/>
    <x v="1"/>
    <x v="1"/>
    <x v="1"/>
    <x v="2"/>
  </r>
  <r>
    <x v="0"/>
    <x v="3"/>
    <n v="11059.73"/>
    <x v="1"/>
    <x v="1"/>
    <x v="1"/>
    <x v="2"/>
  </r>
  <r>
    <x v="1"/>
    <x v="3"/>
    <n v="0"/>
    <x v="1"/>
    <x v="1"/>
    <x v="1"/>
    <x v="2"/>
  </r>
  <r>
    <x v="2"/>
    <x v="3"/>
    <n v="0"/>
    <x v="1"/>
    <x v="1"/>
    <x v="1"/>
    <x v="2"/>
  </r>
  <r>
    <x v="3"/>
    <x v="3"/>
    <n v="0"/>
    <x v="1"/>
    <x v="1"/>
    <x v="1"/>
    <x v="2"/>
  </r>
  <r>
    <x v="4"/>
    <x v="3"/>
    <n v="0"/>
    <x v="1"/>
    <x v="1"/>
    <x v="1"/>
    <x v="2"/>
  </r>
  <r>
    <x v="5"/>
    <x v="3"/>
    <n v="0"/>
    <x v="1"/>
    <x v="1"/>
    <x v="1"/>
    <x v="2"/>
  </r>
  <r>
    <x v="6"/>
    <x v="3"/>
    <n v="0"/>
    <x v="1"/>
    <x v="1"/>
    <x v="1"/>
    <x v="2"/>
  </r>
  <r>
    <x v="7"/>
    <x v="3"/>
    <n v="0"/>
    <x v="1"/>
    <x v="1"/>
    <x v="1"/>
    <x v="2"/>
  </r>
  <r>
    <x v="8"/>
    <x v="3"/>
    <n v="0"/>
    <x v="1"/>
    <x v="1"/>
    <x v="1"/>
    <x v="2"/>
  </r>
  <r>
    <x v="9"/>
    <x v="3"/>
    <n v="0"/>
    <x v="1"/>
    <x v="1"/>
    <x v="1"/>
    <x v="2"/>
  </r>
  <r>
    <x v="10"/>
    <x v="3"/>
    <n v="0"/>
    <x v="1"/>
    <x v="1"/>
    <x v="1"/>
    <x v="2"/>
  </r>
  <r>
    <x v="11"/>
    <x v="3"/>
    <n v="0"/>
    <x v="1"/>
    <x v="1"/>
    <x v="1"/>
    <x v="2"/>
  </r>
  <r>
    <x v="12"/>
    <x v="3"/>
    <n v="0"/>
    <x v="1"/>
    <x v="1"/>
    <x v="1"/>
    <x v="2"/>
  </r>
  <r>
    <x v="13"/>
    <x v="3"/>
    <n v="0"/>
    <x v="1"/>
    <x v="1"/>
    <x v="1"/>
    <x v="2"/>
  </r>
  <r>
    <x v="14"/>
    <x v="3"/>
    <n v="0"/>
    <x v="1"/>
    <x v="1"/>
    <x v="1"/>
    <x v="2"/>
  </r>
  <r>
    <x v="15"/>
    <x v="3"/>
    <n v="0"/>
    <x v="1"/>
    <x v="1"/>
    <x v="1"/>
    <x v="2"/>
  </r>
  <r>
    <x v="0"/>
    <x v="4"/>
    <n v="0"/>
    <x v="1"/>
    <x v="1"/>
    <x v="1"/>
    <x v="2"/>
  </r>
  <r>
    <x v="1"/>
    <x v="4"/>
    <n v="0"/>
    <x v="1"/>
    <x v="1"/>
    <x v="1"/>
    <x v="2"/>
  </r>
  <r>
    <x v="2"/>
    <x v="4"/>
    <n v="0"/>
    <x v="1"/>
    <x v="1"/>
    <x v="1"/>
    <x v="2"/>
  </r>
  <r>
    <x v="3"/>
    <x v="4"/>
    <n v="0"/>
    <x v="1"/>
    <x v="1"/>
    <x v="1"/>
    <x v="2"/>
  </r>
  <r>
    <x v="4"/>
    <x v="4"/>
    <n v="0"/>
    <x v="1"/>
    <x v="1"/>
    <x v="1"/>
    <x v="2"/>
  </r>
  <r>
    <x v="5"/>
    <x v="4"/>
    <n v="0"/>
    <x v="1"/>
    <x v="1"/>
    <x v="1"/>
    <x v="2"/>
  </r>
  <r>
    <x v="6"/>
    <x v="4"/>
    <n v="0"/>
    <x v="1"/>
    <x v="1"/>
    <x v="1"/>
    <x v="2"/>
  </r>
  <r>
    <x v="7"/>
    <x v="4"/>
    <n v="0"/>
    <x v="1"/>
    <x v="1"/>
    <x v="1"/>
    <x v="2"/>
  </r>
  <r>
    <x v="8"/>
    <x v="4"/>
    <n v="0"/>
    <x v="1"/>
    <x v="1"/>
    <x v="1"/>
    <x v="2"/>
  </r>
  <r>
    <x v="9"/>
    <x v="4"/>
    <n v="0"/>
    <x v="1"/>
    <x v="1"/>
    <x v="1"/>
    <x v="2"/>
  </r>
  <r>
    <x v="10"/>
    <x v="4"/>
    <n v="0"/>
    <x v="1"/>
    <x v="1"/>
    <x v="1"/>
    <x v="2"/>
  </r>
  <r>
    <x v="11"/>
    <x v="4"/>
    <n v="0"/>
    <x v="1"/>
    <x v="1"/>
    <x v="1"/>
    <x v="2"/>
  </r>
  <r>
    <x v="12"/>
    <x v="4"/>
    <n v="0"/>
    <x v="1"/>
    <x v="1"/>
    <x v="1"/>
    <x v="2"/>
  </r>
  <r>
    <x v="13"/>
    <x v="4"/>
    <n v="0"/>
    <x v="1"/>
    <x v="1"/>
    <x v="1"/>
    <x v="2"/>
  </r>
  <r>
    <x v="14"/>
    <x v="4"/>
    <n v="0"/>
    <x v="1"/>
    <x v="1"/>
    <x v="1"/>
    <x v="2"/>
  </r>
  <r>
    <x v="15"/>
    <x v="4"/>
    <n v="0"/>
    <x v="1"/>
    <x v="1"/>
    <x v="1"/>
    <x v="2"/>
  </r>
  <r>
    <x v="0"/>
    <x v="5"/>
    <n v="2661.54"/>
    <x v="1"/>
    <x v="1"/>
    <x v="1"/>
    <x v="2"/>
  </r>
  <r>
    <x v="1"/>
    <x v="5"/>
    <n v="0"/>
    <x v="1"/>
    <x v="1"/>
    <x v="1"/>
    <x v="2"/>
  </r>
  <r>
    <x v="2"/>
    <x v="5"/>
    <n v="0"/>
    <x v="1"/>
    <x v="1"/>
    <x v="1"/>
    <x v="2"/>
  </r>
  <r>
    <x v="3"/>
    <x v="5"/>
    <n v="54"/>
    <x v="1"/>
    <x v="1"/>
    <x v="1"/>
    <x v="2"/>
  </r>
  <r>
    <x v="4"/>
    <x v="5"/>
    <n v="54"/>
    <x v="1"/>
    <x v="1"/>
    <x v="1"/>
    <x v="2"/>
  </r>
  <r>
    <x v="5"/>
    <x v="5"/>
    <n v="6.5"/>
    <x v="1"/>
    <x v="1"/>
    <x v="1"/>
    <x v="2"/>
  </r>
  <r>
    <x v="6"/>
    <x v="5"/>
    <n v="6.5"/>
    <x v="1"/>
    <x v="1"/>
    <x v="1"/>
    <x v="2"/>
  </r>
  <r>
    <x v="7"/>
    <x v="5"/>
    <n v="28"/>
    <x v="1"/>
    <x v="1"/>
    <x v="1"/>
    <x v="2"/>
  </r>
  <r>
    <x v="8"/>
    <x v="5"/>
    <n v="28"/>
    <x v="1"/>
    <x v="1"/>
    <x v="1"/>
    <x v="2"/>
  </r>
  <r>
    <x v="9"/>
    <x v="5"/>
    <n v="10.5"/>
    <x v="1"/>
    <x v="1"/>
    <x v="1"/>
    <x v="2"/>
  </r>
  <r>
    <x v="10"/>
    <x v="5"/>
    <n v="10.5"/>
    <x v="1"/>
    <x v="1"/>
    <x v="1"/>
    <x v="2"/>
  </r>
  <r>
    <x v="11"/>
    <x v="5"/>
    <n v="35"/>
    <x v="1"/>
    <x v="1"/>
    <x v="1"/>
    <x v="2"/>
  </r>
  <r>
    <x v="12"/>
    <x v="5"/>
    <n v="35"/>
    <x v="1"/>
    <x v="1"/>
    <x v="1"/>
    <x v="2"/>
  </r>
  <r>
    <x v="13"/>
    <x v="5"/>
    <n v="13.666700000000001"/>
    <x v="1"/>
    <x v="1"/>
    <x v="1"/>
    <x v="2"/>
  </r>
  <r>
    <x v="14"/>
    <x v="5"/>
    <n v="13.666700000000001"/>
    <x v="1"/>
    <x v="1"/>
    <x v="1"/>
    <x v="2"/>
  </r>
  <r>
    <x v="15"/>
    <x v="5"/>
    <n v="13.666700000000001"/>
    <x v="1"/>
    <x v="1"/>
    <x v="1"/>
    <x v="2"/>
  </r>
  <r>
    <x v="0"/>
    <x v="6"/>
    <n v="232.5"/>
    <x v="1"/>
    <x v="1"/>
    <x v="1"/>
    <x v="2"/>
  </r>
  <r>
    <x v="1"/>
    <x v="6"/>
    <n v="1100"/>
    <x v="1"/>
    <x v="1"/>
    <x v="1"/>
    <x v="2"/>
  </r>
  <r>
    <x v="2"/>
    <x v="6"/>
    <n v="1100"/>
    <x v="1"/>
    <x v="1"/>
    <x v="1"/>
    <x v="2"/>
  </r>
  <r>
    <x v="3"/>
    <x v="6"/>
    <n v="0"/>
    <x v="1"/>
    <x v="1"/>
    <x v="1"/>
    <x v="2"/>
  </r>
  <r>
    <x v="4"/>
    <x v="6"/>
    <n v="0"/>
    <x v="1"/>
    <x v="1"/>
    <x v="1"/>
    <x v="2"/>
  </r>
  <r>
    <x v="5"/>
    <x v="6"/>
    <n v="0"/>
    <x v="1"/>
    <x v="1"/>
    <x v="1"/>
    <x v="2"/>
  </r>
  <r>
    <x v="6"/>
    <x v="6"/>
    <n v="0"/>
    <x v="1"/>
    <x v="1"/>
    <x v="1"/>
    <x v="2"/>
  </r>
  <r>
    <x v="7"/>
    <x v="6"/>
    <n v="0"/>
    <x v="1"/>
    <x v="1"/>
    <x v="1"/>
    <x v="2"/>
  </r>
  <r>
    <x v="8"/>
    <x v="6"/>
    <n v="0"/>
    <x v="1"/>
    <x v="1"/>
    <x v="1"/>
    <x v="2"/>
  </r>
  <r>
    <x v="9"/>
    <x v="6"/>
    <n v="0"/>
    <x v="1"/>
    <x v="1"/>
    <x v="1"/>
    <x v="2"/>
  </r>
  <r>
    <x v="10"/>
    <x v="6"/>
    <n v="0"/>
    <x v="1"/>
    <x v="1"/>
    <x v="1"/>
    <x v="2"/>
  </r>
  <r>
    <x v="11"/>
    <x v="6"/>
    <n v="0"/>
    <x v="1"/>
    <x v="1"/>
    <x v="1"/>
    <x v="2"/>
  </r>
  <r>
    <x v="12"/>
    <x v="6"/>
    <n v="0"/>
    <x v="1"/>
    <x v="1"/>
    <x v="1"/>
    <x v="2"/>
  </r>
  <r>
    <x v="13"/>
    <x v="6"/>
    <n v="0"/>
    <x v="1"/>
    <x v="1"/>
    <x v="1"/>
    <x v="2"/>
  </r>
  <r>
    <x v="14"/>
    <x v="6"/>
    <n v="0"/>
    <x v="1"/>
    <x v="1"/>
    <x v="1"/>
    <x v="2"/>
  </r>
  <r>
    <x v="15"/>
    <x v="6"/>
    <n v="0"/>
    <x v="1"/>
    <x v="1"/>
    <x v="1"/>
    <x v="2"/>
  </r>
  <r>
    <x v="0"/>
    <x v="7"/>
    <n v="14.85"/>
    <x v="1"/>
    <x v="1"/>
    <x v="1"/>
    <x v="2"/>
  </r>
  <r>
    <x v="1"/>
    <x v="7"/>
    <n v="0"/>
    <x v="1"/>
    <x v="1"/>
    <x v="1"/>
    <x v="2"/>
  </r>
  <r>
    <x v="2"/>
    <x v="7"/>
    <n v="0"/>
    <x v="1"/>
    <x v="1"/>
    <x v="1"/>
    <x v="2"/>
  </r>
  <r>
    <x v="3"/>
    <x v="7"/>
    <n v="0"/>
    <x v="1"/>
    <x v="1"/>
    <x v="1"/>
    <x v="2"/>
  </r>
  <r>
    <x v="4"/>
    <x v="7"/>
    <n v="0"/>
    <x v="1"/>
    <x v="1"/>
    <x v="1"/>
    <x v="2"/>
  </r>
  <r>
    <x v="5"/>
    <x v="7"/>
    <n v="0"/>
    <x v="1"/>
    <x v="1"/>
    <x v="1"/>
    <x v="2"/>
  </r>
  <r>
    <x v="6"/>
    <x v="7"/>
    <n v="0"/>
    <x v="1"/>
    <x v="1"/>
    <x v="1"/>
    <x v="2"/>
  </r>
  <r>
    <x v="7"/>
    <x v="7"/>
    <n v="0"/>
    <x v="1"/>
    <x v="1"/>
    <x v="1"/>
    <x v="2"/>
  </r>
  <r>
    <x v="8"/>
    <x v="7"/>
    <n v="0"/>
    <x v="1"/>
    <x v="1"/>
    <x v="1"/>
    <x v="2"/>
  </r>
  <r>
    <x v="9"/>
    <x v="7"/>
    <n v="0"/>
    <x v="1"/>
    <x v="1"/>
    <x v="1"/>
    <x v="2"/>
  </r>
  <r>
    <x v="10"/>
    <x v="7"/>
    <n v="0"/>
    <x v="1"/>
    <x v="1"/>
    <x v="1"/>
    <x v="2"/>
  </r>
  <r>
    <x v="11"/>
    <x v="7"/>
    <n v="0"/>
    <x v="1"/>
    <x v="1"/>
    <x v="1"/>
    <x v="2"/>
  </r>
  <r>
    <x v="12"/>
    <x v="7"/>
    <n v="0"/>
    <x v="1"/>
    <x v="1"/>
    <x v="1"/>
    <x v="2"/>
  </r>
  <r>
    <x v="13"/>
    <x v="7"/>
    <n v="0"/>
    <x v="1"/>
    <x v="1"/>
    <x v="1"/>
    <x v="2"/>
  </r>
  <r>
    <x v="14"/>
    <x v="7"/>
    <n v="0"/>
    <x v="1"/>
    <x v="1"/>
    <x v="1"/>
    <x v="2"/>
  </r>
  <r>
    <x v="15"/>
    <x v="7"/>
    <n v="0"/>
    <x v="1"/>
    <x v="1"/>
    <x v="1"/>
    <x v="2"/>
  </r>
  <r>
    <x v="0"/>
    <x v="8"/>
    <n v="17694.900000000001"/>
    <x v="1"/>
    <x v="1"/>
    <x v="1"/>
    <x v="2"/>
  </r>
  <r>
    <x v="1"/>
    <x v="8"/>
    <n v="38314"/>
    <x v="1"/>
    <x v="1"/>
    <x v="1"/>
    <x v="2"/>
  </r>
  <r>
    <x v="2"/>
    <x v="8"/>
    <n v="38314"/>
    <x v="1"/>
    <x v="1"/>
    <x v="1"/>
    <x v="2"/>
  </r>
  <r>
    <x v="3"/>
    <x v="8"/>
    <n v="41407.1"/>
    <x v="1"/>
    <x v="1"/>
    <x v="1"/>
    <x v="2"/>
  </r>
  <r>
    <x v="4"/>
    <x v="8"/>
    <n v="41407.1"/>
    <x v="1"/>
    <x v="1"/>
    <x v="1"/>
    <x v="2"/>
  </r>
  <r>
    <x v="5"/>
    <x v="8"/>
    <n v="25534.2"/>
    <x v="1"/>
    <x v="1"/>
    <x v="1"/>
    <x v="2"/>
  </r>
  <r>
    <x v="6"/>
    <x v="8"/>
    <n v="25534.2"/>
    <x v="1"/>
    <x v="1"/>
    <x v="1"/>
    <x v="2"/>
  </r>
  <r>
    <x v="7"/>
    <x v="8"/>
    <n v="44229.5"/>
    <x v="1"/>
    <x v="1"/>
    <x v="1"/>
    <x v="2"/>
  </r>
  <r>
    <x v="8"/>
    <x v="8"/>
    <n v="44229.5"/>
    <x v="1"/>
    <x v="1"/>
    <x v="1"/>
    <x v="2"/>
  </r>
  <r>
    <x v="9"/>
    <x v="8"/>
    <n v="22442.9"/>
    <x v="1"/>
    <x v="1"/>
    <x v="1"/>
    <x v="2"/>
  </r>
  <r>
    <x v="10"/>
    <x v="8"/>
    <n v="22442.9"/>
    <x v="1"/>
    <x v="1"/>
    <x v="1"/>
    <x v="2"/>
  </r>
  <r>
    <x v="11"/>
    <x v="8"/>
    <n v="23830.5"/>
    <x v="1"/>
    <x v="1"/>
    <x v="1"/>
    <x v="2"/>
  </r>
  <r>
    <x v="12"/>
    <x v="8"/>
    <n v="23830.5"/>
    <x v="1"/>
    <x v="1"/>
    <x v="1"/>
    <x v="2"/>
  </r>
  <r>
    <x v="13"/>
    <x v="8"/>
    <n v="32546"/>
    <x v="1"/>
    <x v="1"/>
    <x v="1"/>
    <x v="2"/>
  </r>
  <r>
    <x v="14"/>
    <x v="8"/>
    <n v="32546"/>
    <x v="1"/>
    <x v="1"/>
    <x v="1"/>
    <x v="2"/>
  </r>
  <r>
    <x v="15"/>
    <x v="8"/>
    <n v="32546"/>
    <x v="1"/>
    <x v="1"/>
    <x v="1"/>
    <x v="2"/>
  </r>
  <r>
    <x v="0"/>
    <x v="9"/>
    <n v="10873.6"/>
    <x v="1"/>
    <x v="1"/>
    <x v="1"/>
    <x v="2"/>
  </r>
  <r>
    <x v="1"/>
    <x v="9"/>
    <n v="22580.400000000001"/>
    <x v="1"/>
    <x v="1"/>
    <x v="1"/>
    <x v="2"/>
  </r>
  <r>
    <x v="2"/>
    <x v="9"/>
    <n v="22580.400000000001"/>
    <x v="1"/>
    <x v="1"/>
    <x v="1"/>
    <x v="2"/>
  </r>
  <r>
    <x v="3"/>
    <x v="9"/>
    <n v="15631.4"/>
    <x v="1"/>
    <x v="1"/>
    <x v="1"/>
    <x v="2"/>
  </r>
  <r>
    <x v="4"/>
    <x v="9"/>
    <n v="15631.4"/>
    <x v="1"/>
    <x v="1"/>
    <x v="1"/>
    <x v="2"/>
  </r>
  <r>
    <x v="5"/>
    <x v="9"/>
    <n v="33233.800000000003"/>
    <x v="1"/>
    <x v="1"/>
    <x v="1"/>
    <x v="2"/>
  </r>
  <r>
    <x v="6"/>
    <x v="9"/>
    <n v="33233.800000000003"/>
    <x v="1"/>
    <x v="1"/>
    <x v="1"/>
    <x v="2"/>
  </r>
  <r>
    <x v="7"/>
    <x v="9"/>
    <n v="25081.3"/>
    <x v="1"/>
    <x v="1"/>
    <x v="1"/>
    <x v="2"/>
  </r>
  <r>
    <x v="8"/>
    <x v="9"/>
    <n v="25081.3"/>
    <x v="1"/>
    <x v="1"/>
    <x v="1"/>
    <x v="2"/>
  </r>
  <r>
    <x v="9"/>
    <x v="9"/>
    <n v="38690.6"/>
    <x v="1"/>
    <x v="1"/>
    <x v="1"/>
    <x v="2"/>
  </r>
  <r>
    <x v="10"/>
    <x v="9"/>
    <n v="38690.6"/>
    <x v="1"/>
    <x v="1"/>
    <x v="1"/>
    <x v="2"/>
  </r>
  <r>
    <x v="11"/>
    <x v="9"/>
    <n v="52940.9"/>
    <x v="1"/>
    <x v="1"/>
    <x v="1"/>
    <x v="2"/>
  </r>
  <r>
    <x v="12"/>
    <x v="9"/>
    <n v="52940.9"/>
    <x v="1"/>
    <x v="1"/>
    <x v="1"/>
    <x v="2"/>
  </r>
  <r>
    <x v="13"/>
    <x v="9"/>
    <n v="54504"/>
    <x v="1"/>
    <x v="1"/>
    <x v="1"/>
    <x v="2"/>
  </r>
  <r>
    <x v="14"/>
    <x v="9"/>
    <n v="54504"/>
    <x v="1"/>
    <x v="1"/>
    <x v="1"/>
    <x v="2"/>
  </r>
  <r>
    <x v="15"/>
    <x v="9"/>
    <n v="54504"/>
    <x v="1"/>
    <x v="1"/>
    <x v="1"/>
    <x v="2"/>
  </r>
  <r>
    <x v="0"/>
    <x v="1"/>
    <n v="102.45"/>
    <x v="0"/>
    <x v="1"/>
    <x v="1"/>
    <x v="0"/>
  </r>
  <r>
    <x v="1"/>
    <x v="1"/>
    <n v="9.5"/>
    <x v="0"/>
    <x v="1"/>
    <x v="1"/>
    <x v="0"/>
  </r>
  <r>
    <x v="2"/>
    <x v="1"/>
    <n v="9.5"/>
    <x v="0"/>
    <x v="1"/>
    <x v="1"/>
    <x v="0"/>
  </r>
  <r>
    <x v="3"/>
    <x v="1"/>
    <n v="0"/>
    <x v="0"/>
    <x v="1"/>
    <x v="1"/>
    <x v="0"/>
  </r>
  <r>
    <x v="4"/>
    <x v="1"/>
    <n v="0"/>
    <x v="0"/>
    <x v="1"/>
    <x v="1"/>
    <x v="0"/>
  </r>
  <r>
    <x v="5"/>
    <x v="1"/>
    <n v="0"/>
    <x v="0"/>
    <x v="1"/>
    <x v="1"/>
    <x v="0"/>
  </r>
  <r>
    <x v="6"/>
    <x v="1"/>
    <n v="0"/>
    <x v="0"/>
    <x v="1"/>
    <x v="1"/>
    <x v="0"/>
  </r>
  <r>
    <x v="7"/>
    <x v="1"/>
    <n v="0"/>
    <x v="0"/>
    <x v="1"/>
    <x v="1"/>
    <x v="0"/>
  </r>
  <r>
    <x v="8"/>
    <x v="1"/>
    <n v="0"/>
    <x v="0"/>
    <x v="1"/>
    <x v="1"/>
    <x v="0"/>
  </r>
  <r>
    <x v="9"/>
    <x v="1"/>
    <n v="0"/>
    <x v="0"/>
    <x v="1"/>
    <x v="1"/>
    <x v="0"/>
  </r>
  <r>
    <x v="10"/>
    <x v="1"/>
    <n v="0"/>
    <x v="0"/>
    <x v="1"/>
    <x v="1"/>
    <x v="0"/>
  </r>
  <r>
    <x v="11"/>
    <x v="1"/>
    <n v="0"/>
    <x v="0"/>
    <x v="1"/>
    <x v="1"/>
    <x v="0"/>
  </r>
  <r>
    <x v="12"/>
    <x v="1"/>
    <n v="0"/>
    <x v="0"/>
    <x v="1"/>
    <x v="1"/>
    <x v="0"/>
  </r>
  <r>
    <x v="13"/>
    <x v="1"/>
    <n v="0"/>
    <x v="0"/>
    <x v="1"/>
    <x v="1"/>
    <x v="0"/>
  </r>
  <r>
    <x v="14"/>
    <x v="1"/>
    <n v="0"/>
    <x v="0"/>
    <x v="1"/>
    <x v="1"/>
    <x v="0"/>
  </r>
  <r>
    <x v="15"/>
    <x v="1"/>
    <n v="0"/>
    <x v="0"/>
    <x v="1"/>
    <x v="1"/>
    <x v="0"/>
  </r>
  <r>
    <x v="0"/>
    <x v="2"/>
    <n v="0"/>
    <x v="0"/>
    <x v="1"/>
    <x v="1"/>
    <x v="0"/>
  </r>
  <r>
    <x v="1"/>
    <x v="2"/>
    <n v="0"/>
    <x v="0"/>
    <x v="1"/>
    <x v="1"/>
    <x v="0"/>
  </r>
  <r>
    <x v="2"/>
    <x v="2"/>
    <n v="0"/>
    <x v="0"/>
    <x v="1"/>
    <x v="1"/>
    <x v="0"/>
  </r>
  <r>
    <x v="3"/>
    <x v="2"/>
    <n v="0"/>
    <x v="0"/>
    <x v="1"/>
    <x v="1"/>
    <x v="0"/>
  </r>
  <r>
    <x v="4"/>
    <x v="2"/>
    <n v="0"/>
    <x v="0"/>
    <x v="1"/>
    <x v="1"/>
    <x v="0"/>
  </r>
  <r>
    <x v="5"/>
    <x v="2"/>
    <n v="0"/>
    <x v="0"/>
    <x v="1"/>
    <x v="1"/>
    <x v="0"/>
  </r>
  <r>
    <x v="6"/>
    <x v="2"/>
    <n v="0"/>
    <x v="0"/>
    <x v="1"/>
    <x v="1"/>
    <x v="0"/>
  </r>
  <r>
    <x v="7"/>
    <x v="2"/>
    <n v="0"/>
    <x v="0"/>
    <x v="1"/>
    <x v="1"/>
    <x v="0"/>
  </r>
  <r>
    <x v="8"/>
    <x v="2"/>
    <n v="0"/>
    <x v="0"/>
    <x v="1"/>
    <x v="1"/>
    <x v="0"/>
  </r>
  <r>
    <x v="9"/>
    <x v="2"/>
    <n v="0"/>
    <x v="0"/>
    <x v="1"/>
    <x v="1"/>
    <x v="0"/>
  </r>
  <r>
    <x v="10"/>
    <x v="2"/>
    <n v="0"/>
    <x v="0"/>
    <x v="1"/>
    <x v="1"/>
    <x v="0"/>
  </r>
  <r>
    <x v="11"/>
    <x v="2"/>
    <n v="0"/>
    <x v="0"/>
    <x v="1"/>
    <x v="1"/>
    <x v="0"/>
  </r>
  <r>
    <x v="12"/>
    <x v="2"/>
    <n v="0"/>
    <x v="0"/>
    <x v="1"/>
    <x v="1"/>
    <x v="0"/>
  </r>
  <r>
    <x v="13"/>
    <x v="2"/>
    <n v="0"/>
    <x v="0"/>
    <x v="1"/>
    <x v="1"/>
    <x v="0"/>
  </r>
  <r>
    <x v="14"/>
    <x v="2"/>
    <n v="0"/>
    <x v="0"/>
    <x v="1"/>
    <x v="1"/>
    <x v="0"/>
  </r>
  <r>
    <x v="15"/>
    <x v="2"/>
    <n v="0"/>
    <x v="0"/>
    <x v="1"/>
    <x v="1"/>
    <x v="0"/>
  </r>
  <r>
    <x v="0"/>
    <x v="3"/>
    <n v="11184.73"/>
    <x v="0"/>
    <x v="1"/>
    <x v="1"/>
    <x v="0"/>
  </r>
  <r>
    <x v="1"/>
    <x v="3"/>
    <n v="0"/>
    <x v="0"/>
    <x v="1"/>
    <x v="1"/>
    <x v="0"/>
  </r>
  <r>
    <x v="2"/>
    <x v="3"/>
    <n v="0"/>
    <x v="0"/>
    <x v="1"/>
    <x v="1"/>
    <x v="0"/>
  </r>
  <r>
    <x v="3"/>
    <x v="3"/>
    <n v="0"/>
    <x v="0"/>
    <x v="1"/>
    <x v="1"/>
    <x v="0"/>
  </r>
  <r>
    <x v="4"/>
    <x v="3"/>
    <n v="0"/>
    <x v="0"/>
    <x v="1"/>
    <x v="1"/>
    <x v="0"/>
  </r>
  <r>
    <x v="5"/>
    <x v="3"/>
    <n v="0"/>
    <x v="0"/>
    <x v="1"/>
    <x v="1"/>
    <x v="0"/>
  </r>
  <r>
    <x v="6"/>
    <x v="3"/>
    <n v="0"/>
    <x v="0"/>
    <x v="1"/>
    <x v="1"/>
    <x v="0"/>
  </r>
  <r>
    <x v="7"/>
    <x v="3"/>
    <n v="0"/>
    <x v="0"/>
    <x v="1"/>
    <x v="1"/>
    <x v="0"/>
  </r>
  <r>
    <x v="8"/>
    <x v="3"/>
    <n v="0"/>
    <x v="0"/>
    <x v="1"/>
    <x v="1"/>
    <x v="0"/>
  </r>
  <r>
    <x v="9"/>
    <x v="3"/>
    <n v="0"/>
    <x v="0"/>
    <x v="1"/>
    <x v="1"/>
    <x v="0"/>
  </r>
  <r>
    <x v="10"/>
    <x v="3"/>
    <n v="0"/>
    <x v="0"/>
    <x v="1"/>
    <x v="1"/>
    <x v="0"/>
  </r>
  <r>
    <x v="11"/>
    <x v="3"/>
    <n v="0"/>
    <x v="0"/>
    <x v="1"/>
    <x v="1"/>
    <x v="0"/>
  </r>
  <r>
    <x v="12"/>
    <x v="3"/>
    <n v="0"/>
    <x v="0"/>
    <x v="1"/>
    <x v="1"/>
    <x v="0"/>
  </r>
  <r>
    <x v="13"/>
    <x v="3"/>
    <n v="0"/>
    <x v="0"/>
    <x v="1"/>
    <x v="1"/>
    <x v="0"/>
  </r>
  <r>
    <x v="14"/>
    <x v="3"/>
    <n v="0"/>
    <x v="0"/>
    <x v="1"/>
    <x v="1"/>
    <x v="0"/>
  </r>
  <r>
    <x v="15"/>
    <x v="3"/>
    <n v="0"/>
    <x v="0"/>
    <x v="1"/>
    <x v="1"/>
    <x v="0"/>
  </r>
  <r>
    <x v="0"/>
    <x v="4"/>
    <n v="0"/>
    <x v="0"/>
    <x v="1"/>
    <x v="1"/>
    <x v="0"/>
  </r>
  <r>
    <x v="1"/>
    <x v="4"/>
    <n v="0"/>
    <x v="0"/>
    <x v="1"/>
    <x v="1"/>
    <x v="0"/>
  </r>
  <r>
    <x v="2"/>
    <x v="4"/>
    <n v="0"/>
    <x v="0"/>
    <x v="1"/>
    <x v="1"/>
    <x v="0"/>
  </r>
  <r>
    <x v="3"/>
    <x v="4"/>
    <n v="0"/>
    <x v="0"/>
    <x v="1"/>
    <x v="1"/>
    <x v="0"/>
  </r>
  <r>
    <x v="4"/>
    <x v="4"/>
    <n v="0"/>
    <x v="0"/>
    <x v="1"/>
    <x v="1"/>
    <x v="0"/>
  </r>
  <r>
    <x v="5"/>
    <x v="4"/>
    <n v="0"/>
    <x v="0"/>
    <x v="1"/>
    <x v="1"/>
    <x v="0"/>
  </r>
  <r>
    <x v="6"/>
    <x v="4"/>
    <n v="0"/>
    <x v="0"/>
    <x v="1"/>
    <x v="1"/>
    <x v="0"/>
  </r>
  <r>
    <x v="7"/>
    <x v="4"/>
    <n v="0"/>
    <x v="0"/>
    <x v="1"/>
    <x v="1"/>
    <x v="0"/>
  </r>
  <r>
    <x v="8"/>
    <x v="4"/>
    <n v="0"/>
    <x v="0"/>
    <x v="1"/>
    <x v="1"/>
    <x v="0"/>
  </r>
  <r>
    <x v="9"/>
    <x v="4"/>
    <n v="0"/>
    <x v="0"/>
    <x v="1"/>
    <x v="1"/>
    <x v="0"/>
  </r>
  <r>
    <x v="10"/>
    <x v="4"/>
    <n v="0"/>
    <x v="0"/>
    <x v="1"/>
    <x v="1"/>
    <x v="0"/>
  </r>
  <r>
    <x v="11"/>
    <x v="4"/>
    <n v="0"/>
    <x v="0"/>
    <x v="1"/>
    <x v="1"/>
    <x v="0"/>
  </r>
  <r>
    <x v="12"/>
    <x v="4"/>
    <n v="0"/>
    <x v="0"/>
    <x v="1"/>
    <x v="1"/>
    <x v="0"/>
  </r>
  <r>
    <x v="13"/>
    <x v="4"/>
    <n v="0"/>
    <x v="0"/>
    <x v="1"/>
    <x v="1"/>
    <x v="0"/>
  </r>
  <r>
    <x v="14"/>
    <x v="4"/>
    <n v="0"/>
    <x v="0"/>
    <x v="1"/>
    <x v="1"/>
    <x v="0"/>
  </r>
  <r>
    <x v="15"/>
    <x v="4"/>
    <n v="0"/>
    <x v="0"/>
    <x v="1"/>
    <x v="1"/>
    <x v="0"/>
  </r>
  <r>
    <x v="0"/>
    <x v="5"/>
    <n v="2619.2199999999998"/>
    <x v="0"/>
    <x v="1"/>
    <x v="1"/>
    <x v="0"/>
  </r>
  <r>
    <x v="1"/>
    <x v="5"/>
    <n v="0"/>
    <x v="0"/>
    <x v="1"/>
    <x v="1"/>
    <x v="0"/>
  </r>
  <r>
    <x v="2"/>
    <x v="5"/>
    <n v="0"/>
    <x v="0"/>
    <x v="1"/>
    <x v="1"/>
    <x v="0"/>
  </r>
  <r>
    <x v="3"/>
    <x v="5"/>
    <n v="48"/>
    <x v="0"/>
    <x v="1"/>
    <x v="1"/>
    <x v="0"/>
  </r>
  <r>
    <x v="4"/>
    <x v="5"/>
    <n v="48"/>
    <x v="0"/>
    <x v="1"/>
    <x v="1"/>
    <x v="0"/>
  </r>
  <r>
    <x v="5"/>
    <x v="5"/>
    <n v="0"/>
    <x v="0"/>
    <x v="1"/>
    <x v="1"/>
    <x v="0"/>
  </r>
  <r>
    <x v="6"/>
    <x v="5"/>
    <n v="0"/>
    <x v="0"/>
    <x v="1"/>
    <x v="1"/>
    <x v="0"/>
  </r>
  <r>
    <x v="7"/>
    <x v="5"/>
    <n v="0"/>
    <x v="0"/>
    <x v="1"/>
    <x v="1"/>
    <x v="0"/>
  </r>
  <r>
    <x v="8"/>
    <x v="5"/>
    <n v="0"/>
    <x v="0"/>
    <x v="1"/>
    <x v="1"/>
    <x v="0"/>
  </r>
  <r>
    <x v="9"/>
    <x v="5"/>
    <n v="0"/>
    <x v="0"/>
    <x v="1"/>
    <x v="1"/>
    <x v="0"/>
  </r>
  <r>
    <x v="10"/>
    <x v="5"/>
    <n v="0"/>
    <x v="0"/>
    <x v="1"/>
    <x v="1"/>
    <x v="0"/>
  </r>
  <r>
    <x v="11"/>
    <x v="5"/>
    <n v="0"/>
    <x v="0"/>
    <x v="1"/>
    <x v="1"/>
    <x v="0"/>
  </r>
  <r>
    <x v="12"/>
    <x v="5"/>
    <n v="0"/>
    <x v="0"/>
    <x v="1"/>
    <x v="1"/>
    <x v="0"/>
  </r>
  <r>
    <x v="13"/>
    <x v="5"/>
    <n v="0"/>
    <x v="0"/>
    <x v="1"/>
    <x v="1"/>
    <x v="0"/>
  </r>
  <r>
    <x v="14"/>
    <x v="5"/>
    <n v="0"/>
    <x v="0"/>
    <x v="1"/>
    <x v="1"/>
    <x v="0"/>
  </r>
  <r>
    <x v="15"/>
    <x v="5"/>
    <n v="0"/>
    <x v="0"/>
    <x v="1"/>
    <x v="1"/>
    <x v="0"/>
  </r>
  <r>
    <x v="0"/>
    <x v="6"/>
    <n v="232.5"/>
    <x v="0"/>
    <x v="1"/>
    <x v="1"/>
    <x v="0"/>
  </r>
  <r>
    <x v="1"/>
    <x v="6"/>
    <n v="1100"/>
    <x v="0"/>
    <x v="1"/>
    <x v="1"/>
    <x v="0"/>
  </r>
  <r>
    <x v="2"/>
    <x v="6"/>
    <n v="1100"/>
    <x v="0"/>
    <x v="1"/>
    <x v="1"/>
    <x v="0"/>
  </r>
  <r>
    <x v="3"/>
    <x v="6"/>
    <n v="0"/>
    <x v="0"/>
    <x v="1"/>
    <x v="1"/>
    <x v="0"/>
  </r>
  <r>
    <x v="4"/>
    <x v="6"/>
    <n v="0"/>
    <x v="0"/>
    <x v="1"/>
    <x v="1"/>
    <x v="0"/>
  </r>
  <r>
    <x v="5"/>
    <x v="6"/>
    <n v="0"/>
    <x v="0"/>
    <x v="1"/>
    <x v="1"/>
    <x v="0"/>
  </r>
  <r>
    <x v="6"/>
    <x v="6"/>
    <n v="0"/>
    <x v="0"/>
    <x v="1"/>
    <x v="1"/>
    <x v="0"/>
  </r>
  <r>
    <x v="7"/>
    <x v="6"/>
    <n v="0"/>
    <x v="0"/>
    <x v="1"/>
    <x v="1"/>
    <x v="0"/>
  </r>
  <r>
    <x v="8"/>
    <x v="6"/>
    <n v="0"/>
    <x v="0"/>
    <x v="1"/>
    <x v="1"/>
    <x v="0"/>
  </r>
  <r>
    <x v="9"/>
    <x v="6"/>
    <n v="0"/>
    <x v="0"/>
    <x v="1"/>
    <x v="1"/>
    <x v="0"/>
  </r>
  <r>
    <x v="10"/>
    <x v="6"/>
    <n v="0"/>
    <x v="0"/>
    <x v="1"/>
    <x v="1"/>
    <x v="0"/>
  </r>
  <r>
    <x v="11"/>
    <x v="6"/>
    <n v="0"/>
    <x v="0"/>
    <x v="1"/>
    <x v="1"/>
    <x v="0"/>
  </r>
  <r>
    <x v="12"/>
    <x v="6"/>
    <n v="0"/>
    <x v="0"/>
    <x v="1"/>
    <x v="1"/>
    <x v="0"/>
  </r>
  <r>
    <x v="13"/>
    <x v="6"/>
    <n v="0"/>
    <x v="0"/>
    <x v="1"/>
    <x v="1"/>
    <x v="0"/>
  </r>
  <r>
    <x v="14"/>
    <x v="6"/>
    <n v="0"/>
    <x v="0"/>
    <x v="1"/>
    <x v="1"/>
    <x v="0"/>
  </r>
  <r>
    <x v="15"/>
    <x v="6"/>
    <n v="0"/>
    <x v="0"/>
    <x v="1"/>
    <x v="1"/>
    <x v="0"/>
  </r>
  <r>
    <x v="0"/>
    <x v="7"/>
    <n v="14.85"/>
    <x v="0"/>
    <x v="1"/>
    <x v="1"/>
    <x v="0"/>
  </r>
  <r>
    <x v="1"/>
    <x v="7"/>
    <n v="0"/>
    <x v="0"/>
    <x v="1"/>
    <x v="1"/>
    <x v="0"/>
  </r>
  <r>
    <x v="2"/>
    <x v="7"/>
    <n v="0"/>
    <x v="0"/>
    <x v="1"/>
    <x v="1"/>
    <x v="0"/>
  </r>
  <r>
    <x v="3"/>
    <x v="7"/>
    <n v="0"/>
    <x v="0"/>
    <x v="1"/>
    <x v="1"/>
    <x v="0"/>
  </r>
  <r>
    <x v="4"/>
    <x v="7"/>
    <n v="0"/>
    <x v="0"/>
    <x v="1"/>
    <x v="1"/>
    <x v="0"/>
  </r>
  <r>
    <x v="5"/>
    <x v="7"/>
    <n v="0"/>
    <x v="0"/>
    <x v="1"/>
    <x v="1"/>
    <x v="0"/>
  </r>
  <r>
    <x v="6"/>
    <x v="7"/>
    <n v="0"/>
    <x v="0"/>
    <x v="1"/>
    <x v="1"/>
    <x v="0"/>
  </r>
  <r>
    <x v="7"/>
    <x v="7"/>
    <n v="0"/>
    <x v="0"/>
    <x v="1"/>
    <x v="1"/>
    <x v="0"/>
  </r>
  <r>
    <x v="8"/>
    <x v="7"/>
    <n v="0"/>
    <x v="0"/>
    <x v="1"/>
    <x v="1"/>
    <x v="0"/>
  </r>
  <r>
    <x v="9"/>
    <x v="7"/>
    <n v="0"/>
    <x v="0"/>
    <x v="1"/>
    <x v="1"/>
    <x v="0"/>
  </r>
  <r>
    <x v="10"/>
    <x v="7"/>
    <n v="0"/>
    <x v="0"/>
    <x v="1"/>
    <x v="1"/>
    <x v="0"/>
  </r>
  <r>
    <x v="11"/>
    <x v="7"/>
    <n v="0"/>
    <x v="0"/>
    <x v="1"/>
    <x v="1"/>
    <x v="0"/>
  </r>
  <r>
    <x v="12"/>
    <x v="7"/>
    <n v="0"/>
    <x v="0"/>
    <x v="1"/>
    <x v="1"/>
    <x v="0"/>
  </r>
  <r>
    <x v="13"/>
    <x v="7"/>
    <n v="0"/>
    <x v="0"/>
    <x v="1"/>
    <x v="1"/>
    <x v="0"/>
  </r>
  <r>
    <x v="14"/>
    <x v="7"/>
    <n v="0"/>
    <x v="0"/>
    <x v="1"/>
    <x v="1"/>
    <x v="0"/>
  </r>
  <r>
    <x v="15"/>
    <x v="7"/>
    <n v="0"/>
    <x v="0"/>
    <x v="1"/>
    <x v="1"/>
    <x v="0"/>
  </r>
  <r>
    <x v="0"/>
    <x v="8"/>
    <n v="13071.9"/>
    <x v="0"/>
    <x v="1"/>
    <x v="1"/>
    <x v="0"/>
  </r>
  <r>
    <x v="1"/>
    <x v="8"/>
    <n v="69757.2"/>
    <x v="0"/>
    <x v="1"/>
    <x v="1"/>
    <x v="0"/>
  </r>
  <r>
    <x v="2"/>
    <x v="8"/>
    <n v="69757.2"/>
    <x v="0"/>
    <x v="1"/>
    <x v="1"/>
    <x v="0"/>
  </r>
  <r>
    <x v="3"/>
    <x v="8"/>
    <n v="40887.300000000003"/>
    <x v="0"/>
    <x v="1"/>
    <x v="1"/>
    <x v="0"/>
  </r>
  <r>
    <x v="4"/>
    <x v="8"/>
    <n v="40887.300000000003"/>
    <x v="0"/>
    <x v="1"/>
    <x v="1"/>
    <x v="0"/>
  </r>
  <r>
    <x v="5"/>
    <x v="8"/>
    <n v="12810.2"/>
    <x v="0"/>
    <x v="1"/>
    <x v="1"/>
    <x v="0"/>
  </r>
  <r>
    <x v="6"/>
    <x v="8"/>
    <n v="12810.2"/>
    <x v="0"/>
    <x v="1"/>
    <x v="1"/>
    <x v="0"/>
  </r>
  <r>
    <x v="7"/>
    <x v="8"/>
    <n v="24775.599999999999"/>
    <x v="0"/>
    <x v="1"/>
    <x v="1"/>
    <x v="0"/>
  </r>
  <r>
    <x v="8"/>
    <x v="8"/>
    <n v="24775.599999999999"/>
    <x v="0"/>
    <x v="1"/>
    <x v="1"/>
    <x v="0"/>
  </r>
  <r>
    <x v="9"/>
    <x v="8"/>
    <n v="26083.9"/>
    <x v="0"/>
    <x v="1"/>
    <x v="1"/>
    <x v="0"/>
  </r>
  <r>
    <x v="10"/>
    <x v="8"/>
    <n v="26083.9"/>
    <x v="0"/>
    <x v="1"/>
    <x v="1"/>
    <x v="0"/>
  </r>
  <r>
    <x v="11"/>
    <x v="8"/>
    <n v="13261.8"/>
    <x v="0"/>
    <x v="1"/>
    <x v="1"/>
    <x v="0"/>
  </r>
  <r>
    <x v="12"/>
    <x v="8"/>
    <n v="13261.8"/>
    <x v="0"/>
    <x v="1"/>
    <x v="1"/>
    <x v="0"/>
  </r>
  <r>
    <x v="13"/>
    <x v="8"/>
    <n v="27123.7"/>
    <x v="0"/>
    <x v="1"/>
    <x v="1"/>
    <x v="0"/>
  </r>
  <r>
    <x v="14"/>
    <x v="8"/>
    <n v="27123.7"/>
    <x v="0"/>
    <x v="1"/>
    <x v="1"/>
    <x v="0"/>
  </r>
  <r>
    <x v="15"/>
    <x v="8"/>
    <n v="27123.7"/>
    <x v="0"/>
    <x v="1"/>
    <x v="1"/>
    <x v="0"/>
  </r>
  <r>
    <x v="0"/>
    <x v="9"/>
    <n v="11238.3"/>
    <x v="0"/>
    <x v="1"/>
    <x v="1"/>
    <x v="0"/>
  </r>
  <r>
    <x v="1"/>
    <x v="9"/>
    <n v="51649.599999999999"/>
    <x v="0"/>
    <x v="1"/>
    <x v="1"/>
    <x v="0"/>
  </r>
  <r>
    <x v="2"/>
    <x v="9"/>
    <n v="51649.599999999999"/>
    <x v="0"/>
    <x v="1"/>
    <x v="1"/>
    <x v="0"/>
  </r>
  <r>
    <x v="3"/>
    <x v="9"/>
    <n v="5275.79"/>
    <x v="0"/>
    <x v="1"/>
    <x v="1"/>
    <x v="0"/>
  </r>
  <r>
    <x v="4"/>
    <x v="9"/>
    <n v="5275.79"/>
    <x v="0"/>
    <x v="1"/>
    <x v="1"/>
    <x v="0"/>
  </r>
  <r>
    <x v="5"/>
    <x v="9"/>
    <n v="15899.3"/>
    <x v="0"/>
    <x v="1"/>
    <x v="1"/>
    <x v="0"/>
  </r>
  <r>
    <x v="6"/>
    <x v="9"/>
    <n v="15899.3"/>
    <x v="0"/>
    <x v="1"/>
    <x v="1"/>
    <x v="0"/>
  </r>
  <r>
    <x v="7"/>
    <x v="9"/>
    <n v="9041.7800000000007"/>
    <x v="0"/>
    <x v="1"/>
    <x v="1"/>
    <x v="0"/>
  </r>
  <r>
    <x v="8"/>
    <x v="9"/>
    <n v="9041.7800000000007"/>
    <x v="0"/>
    <x v="1"/>
    <x v="1"/>
    <x v="0"/>
  </r>
  <r>
    <x v="9"/>
    <x v="9"/>
    <n v="15462.8"/>
    <x v="0"/>
    <x v="1"/>
    <x v="1"/>
    <x v="0"/>
  </r>
  <r>
    <x v="10"/>
    <x v="9"/>
    <n v="15462.8"/>
    <x v="0"/>
    <x v="1"/>
    <x v="1"/>
    <x v="0"/>
  </r>
  <r>
    <x v="11"/>
    <x v="9"/>
    <n v="8405.8799999999992"/>
    <x v="0"/>
    <x v="1"/>
    <x v="1"/>
    <x v="0"/>
  </r>
  <r>
    <x v="12"/>
    <x v="9"/>
    <n v="8405.8799999999992"/>
    <x v="0"/>
    <x v="1"/>
    <x v="1"/>
    <x v="0"/>
  </r>
  <r>
    <x v="13"/>
    <x v="9"/>
    <n v="8778.52"/>
    <x v="0"/>
    <x v="1"/>
    <x v="1"/>
    <x v="0"/>
  </r>
  <r>
    <x v="14"/>
    <x v="9"/>
    <n v="8778.52"/>
    <x v="0"/>
    <x v="1"/>
    <x v="1"/>
    <x v="0"/>
  </r>
  <r>
    <x v="15"/>
    <x v="9"/>
    <n v="8778.52"/>
    <x v="0"/>
    <x v="1"/>
    <x v="1"/>
    <x v="0"/>
  </r>
  <r>
    <x v="0"/>
    <x v="1"/>
    <n v="102.45"/>
    <x v="0"/>
    <x v="1"/>
    <x v="1"/>
    <x v="1"/>
  </r>
  <r>
    <x v="1"/>
    <x v="1"/>
    <n v="9.5"/>
    <x v="0"/>
    <x v="1"/>
    <x v="1"/>
    <x v="1"/>
  </r>
  <r>
    <x v="2"/>
    <x v="1"/>
    <n v="9.5"/>
    <x v="0"/>
    <x v="1"/>
    <x v="1"/>
    <x v="1"/>
  </r>
  <r>
    <x v="3"/>
    <x v="1"/>
    <n v="0"/>
    <x v="0"/>
    <x v="1"/>
    <x v="1"/>
    <x v="1"/>
  </r>
  <r>
    <x v="4"/>
    <x v="1"/>
    <n v="0"/>
    <x v="0"/>
    <x v="1"/>
    <x v="1"/>
    <x v="1"/>
  </r>
  <r>
    <x v="5"/>
    <x v="1"/>
    <n v="0"/>
    <x v="0"/>
    <x v="1"/>
    <x v="1"/>
    <x v="1"/>
  </r>
  <r>
    <x v="6"/>
    <x v="1"/>
    <n v="0"/>
    <x v="0"/>
    <x v="1"/>
    <x v="1"/>
    <x v="1"/>
  </r>
  <r>
    <x v="7"/>
    <x v="1"/>
    <n v="0"/>
    <x v="0"/>
    <x v="1"/>
    <x v="1"/>
    <x v="1"/>
  </r>
  <r>
    <x v="8"/>
    <x v="1"/>
    <n v="0"/>
    <x v="0"/>
    <x v="1"/>
    <x v="1"/>
    <x v="1"/>
  </r>
  <r>
    <x v="9"/>
    <x v="1"/>
    <n v="0"/>
    <x v="0"/>
    <x v="1"/>
    <x v="1"/>
    <x v="1"/>
  </r>
  <r>
    <x v="10"/>
    <x v="1"/>
    <n v="0"/>
    <x v="0"/>
    <x v="1"/>
    <x v="1"/>
    <x v="1"/>
  </r>
  <r>
    <x v="11"/>
    <x v="1"/>
    <n v="0"/>
    <x v="0"/>
    <x v="1"/>
    <x v="1"/>
    <x v="1"/>
  </r>
  <r>
    <x v="12"/>
    <x v="1"/>
    <n v="0"/>
    <x v="0"/>
    <x v="1"/>
    <x v="1"/>
    <x v="1"/>
  </r>
  <r>
    <x v="13"/>
    <x v="1"/>
    <n v="0"/>
    <x v="0"/>
    <x v="1"/>
    <x v="1"/>
    <x v="1"/>
  </r>
  <r>
    <x v="14"/>
    <x v="1"/>
    <n v="0"/>
    <x v="0"/>
    <x v="1"/>
    <x v="1"/>
    <x v="1"/>
  </r>
  <r>
    <x v="15"/>
    <x v="1"/>
    <n v="0"/>
    <x v="0"/>
    <x v="1"/>
    <x v="1"/>
    <x v="1"/>
  </r>
  <r>
    <x v="0"/>
    <x v="2"/>
    <n v="0"/>
    <x v="0"/>
    <x v="1"/>
    <x v="1"/>
    <x v="1"/>
  </r>
  <r>
    <x v="1"/>
    <x v="2"/>
    <n v="0"/>
    <x v="0"/>
    <x v="1"/>
    <x v="1"/>
    <x v="1"/>
  </r>
  <r>
    <x v="2"/>
    <x v="2"/>
    <n v="0"/>
    <x v="0"/>
    <x v="1"/>
    <x v="1"/>
    <x v="1"/>
  </r>
  <r>
    <x v="3"/>
    <x v="2"/>
    <n v="0"/>
    <x v="0"/>
    <x v="1"/>
    <x v="1"/>
    <x v="1"/>
  </r>
  <r>
    <x v="4"/>
    <x v="2"/>
    <n v="0"/>
    <x v="0"/>
    <x v="1"/>
    <x v="1"/>
    <x v="1"/>
  </r>
  <r>
    <x v="5"/>
    <x v="2"/>
    <n v="0"/>
    <x v="0"/>
    <x v="1"/>
    <x v="1"/>
    <x v="1"/>
  </r>
  <r>
    <x v="6"/>
    <x v="2"/>
    <n v="0"/>
    <x v="0"/>
    <x v="1"/>
    <x v="1"/>
    <x v="1"/>
  </r>
  <r>
    <x v="7"/>
    <x v="2"/>
    <n v="0"/>
    <x v="0"/>
    <x v="1"/>
    <x v="1"/>
    <x v="1"/>
  </r>
  <r>
    <x v="8"/>
    <x v="2"/>
    <n v="0"/>
    <x v="0"/>
    <x v="1"/>
    <x v="1"/>
    <x v="1"/>
  </r>
  <r>
    <x v="9"/>
    <x v="2"/>
    <n v="0"/>
    <x v="0"/>
    <x v="1"/>
    <x v="1"/>
    <x v="1"/>
  </r>
  <r>
    <x v="10"/>
    <x v="2"/>
    <n v="0"/>
    <x v="0"/>
    <x v="1"/>
    <x v="1"/>
    <x v="1"/>
  </r>
  <r>
    <x v="11"/>
    <x v="2"/>
    <n v="0"/>
    <x v="0"/>
    <x v="1"/>
    <x v="1"/>
    <x v="1"/>
  </r>
  <r>
    <x v="12"/>
    <x v="2"/>
    <n v="0"/>
    <x v="0"/>
    <x v="1"/>
    <x v="1"/>
    <x v="1"/>
  </r>
  <r>
    <x v="13"/>
    <x v="2"/>
    <n v="0"/>
    <x v="0"/>
    <x v="1"/>
    <x v="1"/>
    <x v="1"/>
  </r>
  <r>
    <x v="14"/>
    <x v="2"/>
    <n v="0"/>
    <x v="0"/>
    <x v="1"/>
    <x v="1"/>
    <x v="1"/>
  </r>
  <r>
    <x v="15"/>
    <x v="2"/>
    <n v="0"/>
    <x v="0"/>
    <x v="1"/>
    <x v="1"/>
    <x v="1"/>
  </r>
  <r>
    <x v="0"/>
    <x v="3"/>
    <n v="11184.73"/>
    <x v="0"/>
    <x v="1"/>
    <x v="1"/>
    <x v="1"/>
  </r>
  <r>
    <x v="1"/>
    <x v="3"/>
    <n v="0"/>
    <x v="0"/>
    <x v="1"/>
    <x v="1"/>
    <x v="1"/>
  </r>
  <r>
    <x v="2"/>
    <x v="3"/>
    <n v="0"/>
    <x v="0"/>
    <x v="1"/>
    <x v="1"/>
    <x v="1"/>
  </r>
  <r>
    <x v="3"/>
    <x v="3"/>
    <n v="0"/>
    <x v="0"/>
    <x v="1"/>
    <x v="1"/>
    <x v="1"/>
  </r>
  <r>
    <x v="4"/>
    <x v="3"/>
    <n v="0"/>
    <x v="0"/>
    <x v="1"/>
    <x v="1"/>
    <x v="1"/>
  </r>
  <r>
    <x v="5"/>
    <x v="3"/>
    <n v="0"/>
    <x v="0"/>
    <x v="1"/>
    <x v="1"/>
    <x v="1"/>
  </r>
  <r>
    <x v="6"/>
    <x v="3"/>
    <n v="0"/>
    <x v="0"/>
    <x v="1"/>
    <x v="1"/>
    <x v="1"/>
  </r>
  <r>
    <x v="7"/>
    <x v="3"/>
    <n v="0"/>
    <x v="0"/>
    <x v="1"/>
    <x v="1"/>
    <x v="1"/>
  </r>
  <r>
    <x v="8"/>
    <x v="3"/>
    <n v="0"/>
    <x v="0"/>
    <x v="1"/>
    <x v="1"/>
    <x v="1"/>
  </r>
  <r>
    <x v="9"/>
    <x v="3"/>
    <n v="0"/>
    <x v="0"/>
    <x v="1"/>
    <x v="1"/>
    <x v="1"/>
  </r>
  <r>
    <x v="10"/>
    <x v="3"/>
    <n v="0"/>
    <x v="0"/>
    <x v="1"/>
    <x v="1"/>
    <x v="1"/>
  </r>
  <r>
    <x v="11"/>
    <x v="3"/>
    <n v="0"/>
    <x v="0"/>
    <x v="1"/>
    <x v="1"/>
    <x v="1"/>
  </r>
  <r>
    <x v="12"/>
    <x v="3"/>
    <n v="0"/>
    <x v="0"/>
    <x v="1"/>
    <x v="1"/>
    <x v="1"/>
  </r>
  <r>
    <x v="13"/>
    <x v="3"/>
    <n v="0"/>
    <x v="0"/>
    <x v="1"/>
    <x v="1"/>
    <x v="1"/>
  </r>
  <r>
    <x v="14"/>
    <x v="3"/>
    <n v="0"/>
    <x v="0"/>
    <x v="1"/>
    <x v="1"/>
    <x v="1"/>
  </r>
  <r>
    <x v="15"/>
    <x v="3"/>
    <n v="0"/>
    <x v="0"/>
    <x v="1"/>
    <x v="1"/>
    <x v="1"/>
  </r>
  <r>
    <x v="0"/>
    <x v="4"/>
    <n v="0"/>
    <x v="0"/>
    <x v="1"/>
    <x v="1"/>
    <x v="1"/>
  </r>
  <r>
    <x v="1"/>
    <x v="4"/>
    <n v="0"/>
    <x v="0"/>
    <x v="1"/>
    <x v="1"/>
    <x v="1"/>
  </r>
  <r>
    <x v="2"/>
    <x v="4"/>
    <n v="0"/>
    <x v="0"/>
    <x v="1"/>
    <x v="1"/>
    <x v="1"/>
  </r>
  <r>
    <x v="3"/>
    <x v="4"/>
    <n v="1.56914"/>
    <x v="0"/>
    <x v="1"/>
    <x v="1"/>
    <x v="1"/>
  </r>
  <r>
    <x v="4"/>
    <x v="4"/>
    <n v="1.56914"/>
    <x v="0"/>
    <x v="1"/>
    <x v="1"/>
    <x v="1"/>
  </r>
  <r>
    <x v="5"/>
    <x v="4"/>
    <n v="192.208"/>
    <x v="0"/>
    <x v="1"/>
    <x v="1"/>
    <x v="1"/>
  </r>
  <r>
    <x v="6"/>
    <x v="4"/>
    <n v="192.208"/>
    <x v="0"/>
    <x v="1"/>
    <x v="1"/>
    <x v="1"/>
  </r>
  <r>
    <x v="7"/>
    <x v="4"/>
    <n v="57.010199999999998"/>
    <x v="0"/>
    <x v="1"/>
    <x v="1"/>
    <x v="1"/>
  </r>
  <r>
    <x v="8"/>
    <x v="4"/>
    <n v="57.010199999999998"/>
    <x v="0"/>
    <x v="1"/>
    <x v="1"/>
    <x v="1"/>
  </r>
  <r>
    <x v="9"/>
    <x v="4"/>
    <n v="0"/>
    <x v="0"/>
    <x v="1"/>
    <x v="1"/>
    <x v="1"/>
  </r>
  <r>
    <x v="10"/>
    <x v="4"/>
    <n v="0"/>
    <x v="0"/>
    <x v="1"/>
    <x v="1"/>
    <x v="1"/>
  </r>
  <r>
    <x v="11"/>
    <x v="4"/>
    <n v="0"/>
    <x v="0"/>
    <x v="1"/>
    <x v="1"/>
    <x v="1"/>
  </r>
  <r>
    <x v="12"/>
    <x v="4"/>
    <n v="0"/>
    <x v="0"/>
    <x v="1"/>
    <x v="1"/>
    <x v="1"/>
  </r>
  <r>
    <x v="13"/>
    <x v="4"/>
    <n v="0"/>
    <x v="0"/>
    <x v="1"/>
    <x v="1"/>
    <x v="1"/>
  </r>
  <r>
    <x v="14"/>
    <x v="4"/>
    <n v="0"/>
    <x v="0"/>
    <x v="1"/>
    <x v="1"/>
    <x v="1"/>
  </r>
  <r>
    <x v="15"/>
    <x v="4"/>
    <n v="0"/>
    <x v="0"/>
    <x v="1"/>
    <x v="1"/>
    <x v="1"/>
  </r>
  <r>
    <x v="0"/>
    <x v="5"/>
    <n v="3242.01"/>
    <x v="0"/>
    <x v="1"/>
    <x v="1"/>
    <x v="1"/>
  </r>
  <r>
    <x v="1"/>
    <x v="5"/>
    <n v="31.5"/>
    <x v="0"/>
    <x v="1"/>
    <x v="1"/>
    <x v="1"/>
  </r>
  <r>
    <x v="2"/>
    <x v="5"/>
    <n v="31.5"/>
    <x v="0"/>
    <x v="1"/>
    <x v="1"/>
    <x v="1"/>
  </r>
  <r>
    <x v="3"/>
    <x v="5"/>
    <n v="84"/>
    <x v="0"/>
    <x v="1"/>
    <x v="1"/>
    <x v="1"/>
  </r>
  <r>
    <x v="4"/>
    <x v="5"/>
    <n v="84"/>
    <x v="0"/>
    <x v="1"/>
    <x v="1"/>
    <x v="1"/>
  </r>
  <r>
    <x v="5"/>
    <x v="5"/>
    <n v="7.5"/>
    <x v="0"/>
    <x v="1"/>
    <x v="1"/>
    <x v="1"/>
  </r>
  <r>
    <x v="6"/>
    <x v="5"/>
    <n v="7.5"/>
    <x v="0"/>
    <x v="1"/>
    <x v="1"/>
    <x v="1"/>
  </r>
  <r>
    <x v="7"/>
    <x v="5"/>
    <n v="10"/>
    <x v="0"/>
    <x v="1"/>
    <x v="1"/>
    <x v="1"/>
  </r>
  <r>
    <x v="8"/>
    <x v="5"/>
    <n v="10"/>
    <x v="0"/>
    <x v="1"/>
    <x v="1"/>
    <x v="1"/>
  </r>
  <r>
    <x v="9"/>
    <x v="5"/>
    <n v="0"/>
    <x v="0"/>
    <x v="1"/>
    <x v="1"/>
    <x v="1"/>
  </r>
  <r>
    <x v="10"/>
    <x v="5"/>
    <n v="0"/>
    <x v="0"/>
    <x v="1"/>
    <x v="1"/>
    <x v="1"/>
  </r>
  <r>
    <x v="11"/>
    <x v="5"/>
    <n v="0"/>
    <x v="0"/>
    <x v="1"/>
    <x v="1"/>
    <x v="1"/>
  </r>
  <r>
    <x v="12"/>
    <x v="5"/>
    <n v="0"/>
    <x v="0"/>
    <x v="1"/>
    <x v="1"/>
    <x v="1"/>
  </r>
  <r>
    <x v="13"/>
    <x v="5"/>
    <n v="0"/>
    <x v="0"/>
    <x v="1"/>
    <x v="1"/>
    <x v="1"/>
  </r>
  <r>
    <x v="14"/>
    <x v="5"/>
    <n v="0"/>
    <x v="0"/>
    <x v="1"/>
    <x v="1"/>
    <x v="1"/>
  </r>
  <r>
    <x v="15"/>
    <x v="5"/>
    <n v="0"/>
    <x v="0"/>
    <x v="1"/>
    <x v="1"/>
    <x v="1"/>
  </r>
  <r>
    <x v="0"/>
    <x v="6"/>
    <n v="232.5"/>
    <x v="0"/>
    <x v="1"/>
    <x v="1"/>
    <x v="1"/>
  </r>
  <r>
    <x v="1"/>
    <x v="6"/>
    <n v="1100"/>
    <x v="0"/>
    <x v="1"/>
    <x v="1"/>
    <x v="1"/>
  </r>
  <r>
    <x v="2"/>
    <x v="6"/>
    <n v="1100"/>
    <x v="0"/>
    <x v="1"/>
    <x v="1"/>
    <x v="1"/>
  </r>
  <r>
    <x v="3"/>
    <x v="6"/>
    <n v="0"/>
    <x v="0"/>
    <x v="1"/>
    <x v="1"/>
    <x v="1"/>
  </r>
  <r>
    <x v="4"/>
    <x v="6"/>
    <n v="0"/>
    <x v="0"/>
    <x v="1"/>
    <x v="1"/>
    <x v="1"/>
  </r>
  <r>
    <x v="5"/>
    <x v="6"/>
    <n v="0"/>
    <x v="0"/>
    <x v="1"/>
    <x v="1"/>
    <x v="1"/>
  </r>
  <r>
    <x v="6"/>
    <x v="6"/>
    <n v="0"/>
    <x v="0"/>
    <x v="1"/>
    <x v="1"/>
    <x v="1"/>
  </r>
  <r>
    <x v="7"/>
    <x v="6"/>
    <n v="0"/>
    <x v="0"/>
    <x v="1"/>
    <x v="1"/>
    <x v="1"/>
  </r>
  <r>
    <x v="8"/>
    <x v="6"/>
    <n v="0"/>
    <x v="0"/>
    <x v="1"/>
    <x v="1"/>
    <x v="1"/>
  </r>
  <r>
    <x v="9"/>
    <x v="6"/>
    <n v="0"/>
    <x v="0"/>
    <x v="1"/>
    <x v="1"/>
    <x v="1"/>
  </r>
  <r>
    <x v="10"/>
    <x v="6"/>
    <n v="0"/>
    <x v="0"/>
    <x v="1"/>
    <x v="1"/>
    <x v="1"/>
  </r>
  <r>
    <x v="11"/>
    <x v="6"/>
    <n v="0"/>
    <x v="0"/>
    <x v="1"/>
    <x v="1"/>
    <x v="1"/>
  </r>
  <r>
    <x v="12"/>
    <x v="6"/>
    <n v="0"/>
    <x v="0"/>
    <x v="1"/>
    <x v="1"/>
    <x v="1"/>
  </r>
  <r>
    <x v="13"/>
    <x v="6"/>
    <n v="0"/>
    <x v="0"/>
    <x v="1"/>
    <x v="1"/>
    <x v="1"/>
  </r>
  <r>
    <x v="14"/>
    <x v="6"/>
    <n v="0"/>
    <x v="0"/>
    <x v="1"/>
    <x v="1"/>
    <x v="1"/>
  </r>
  <r>
    <x v="15"/>
    <x v="6"/>
    <n v="0"/>
    <x v="0"/>
    <x v="1"/>
    <x v="1"/>
    <x v="1"/>
  </r>
  <r>
    <x v="0"/>
    <x v="7"/>
    <n v="14.85"/>
    <x v="0"/>
    <x v="1"/>
    <x v="1"/>
    <x v="1"/>
  </r>
  <r>
    <x v="1"/>
    <x v="7"/>
    <n v="0"/>
    <x v="0"/>
    <x v="1"/>
    <x v="1"/>
    <x v="1"/>
  </r>
  <r>
    <x v="2"/>
    <x v="7"/>
    <n v="0"/>
    <x v="0"/>
    <x v="1"/>
    <x v="1"/>
    <x v="1"/>
  </r>
  <r>
    <x v="3"/>
    <x v="7"/>
    <n v="0"/>
    <x v="0"/>
    <x v="1"/>
    <x v="1"/>
    <x v="1"/>
  </r>
  <r>
    <x v="4"/>
    <x v="7"/>
    <n v="0"/>
    <x v="0"/>
    <x v="1"/>
    <x v="1"/>
    <x v="1"/>
  </r>
  <r>
    <x v="5"/>
    <x v="7"/>
    <n v="0"/>
    <x v="0"/>
    <x v="1"/>
    <x v="1"/>
    <x v="1"/>
  </r>
  <r>
    <x v="6"/>
    <x v="7"/>
    <n v="0"/>
    <x v="0"/>
    <x v="1"/>
    <x v="1"/>
    <x v="1"/>
  </r>
  <r>
    <x v="7"/>
    <x v="7"/>
    <n v="0"/>
    <x v="0"/>
    <x v="1"/>
    <x v="1"/>
    <x v="1"/>
  </r>
  <r>
    <x v="8"/>
    <x v="7"/>
    <n v="0"/>
    <x v="0"/>
    <x v="1"/>
    <x v="1"/>
    <x v="1"/>
  </r>
  <r>
    <x v="9"/>
    <x v="7"/>
    <n v="0"/>
    <x v="0"/>
    <x v="1"/>
    <x v="1"/>
    <x v="1"/>
  </r>
  <r>
    <x v="10"/>
    <x v="7"/>
    <n v="0"/>
    <x v="0"/>
    <x v="1"/>
    <x v="1"/>
    <x v="1"/>
  </r>
  <r>
    <x v="11"/>
    <x v="7"/>
    <n v="0"/>
    <x v="0"/>
    <x v="1"/>
    <x v="1"/>
    <x v="1"/>
  </r>
  <r>
    <x v="12"/>
    <x v="7"/>
    <n v="0"/>
    <x v="0"/>
    <x v="1"/>
    <x v="1"/>
    <x v="1"/>
  </r>
  <r>
    <x v="13"/>
    <x v="7"/>
    <n v="0"/>
    <x v="0"/>
    <x v="1"/>
    <x v="1"/>
    <x v="1"/>
  </r>
  <r>
    <x v="14"/>
    <x v="7"/>
    <n v="0"/>
    <x v="0"/>
    <x v="1"/>
    <x v="1"/>
    <x v="1"/>
  </r>
  <r>
    <x v="15"/>
    <x v="7"/>
    <n v="0"/>
    <x v="0"/>
    <x v="1"/>
    <x v="1"/>
    <x v="1"/>
  </r>
  <r>
    <x v="0"/>
    <x v="8"/>
    <n v="10494.5"/>
    <x v="0"/>
    <x v="1"/>
    <x v="1"/>
    <x v="1"/>
  </r>
  <r>
    <x v="1"/>
    <x v="8"/>
    <n v="21249.599999999999"/>
    <x v="0"/>
    <x v="1"/>
    <x v="1"/>
    <x v="1"/>
  </r>
  <r>
    <x v="2"/>
    <x v="8"/>
    <n v="21249.599999999999"/>
    <x v="0"/>
    <x v="1"/>
    <x v="1"/>
    <x v="1"/>
  </r>
  <r>
    <x v="3"/>
    <x v="8"/>
    <n v="30948.799999999999"/>
    <x v="0"/>
    <x v="1"/>
    <x v="1"/>
    <x v="1"/>
  </r>
  <r>
    <x v="4"/>
    <x v="8"/>
    <n v="30948.799999999999"/>
    <x v="0"/>
    <x v="1"/>
    <x v="1"/>
    <x v="1"/>
  </r>
  <r>
    <x v="5"/>
    <x v="8"/>
    <n v="8140.78"/>
    <x v="0"/>
    <x v="1"/>
    <x v="1"/>
    <x v="1"/>
  </r>
  <r>
    <x v="6"/>
    <x v="8"/>
    <n v="8140.78"/>
    <x v="0"/>
    <x v="1"/>
    <x v="1"/>
    <x v="1"/>
  </r>
  <r>
    <x v="7"/>
    <x v="8"/>
    <n v="14284.9"/>
    <x v="0"/>
    <x v="1"/>
    <x v="1"/>
    <x v="1"/>
  </r>
  <r>
    <x v="8"/>
    <x v="8"/>
    <n v="14284.9"/>
    <x v="0"/>
    <x v="1"/>
    <x v="1"/>
    <x v="1"/>
  </r>
  <r>
    <x v="9"/>
    <x v="8"/>
    <n v="14607.3"/>
    <x v="0"/>
    <x v="1"/>
    <x v="1"/>
    <x v="1"/>
  </r>
  <r>
    <x v="10"/>
    <x v="8"/>
    <n v="14607.3"/>
    <x v="0"/>
    <x v="1"/>
    <x v="1"/>
    <x v="1"/>
  </r>
  <r>
    <x v="11"/>
    <x v="8"/>
    <n v="16531.2"/>
    <x v="0"/>
    <x v="1"/>
    <x v="1"/>
    <x v="1"/>
  </r>
  <r>
    <x v="12"/>
    <x v="8"/>
    <n v="16531.2"/>
    <x v="0"/>
    <x v="1"/>
    <x v="1"/>
    <x v="1"/>
  </r>
  <r>
    <x v="13"/>
    <x v="8"/>
    <n v="16799.099999999999"/>
    <x v="0"/>
    <x v="1"/>
    <x v="1"/>
    <x v="1"/>
  </r>
  <r>
    <x v="14"/>
    <x v="8"/>
    <n v="16799.099999999999"/>
    <x v="0"/>
    <x v="1"/>
    <x v="1"/>
    <x v="1"/>
  </r>
  <r>
    <x v="15"/>
    <x v="8"/>
    <n v="16799.099999999999"/>
    <x v="0"/>
    <x v="1"/>
    <x v="1"/>
    <x v="1"/>
  </r>
  <r>
    <x v="0"/>
    <x v="9"/>
    <n v="10091.1"/>
    <x v="0"/>
    <x v="1"/>
    <x v="1"/>
    <x v="1"/>
  </r>
  <r>
    <x v="1"/>
    <x v="9"/>
    <n v="59508.4"/>
    <x v="0"/>
    <x v="1"/>
    <x v="1"/>
    <x v="1"/>
  </r>
  <r>
    <x v="2"/>
    <x v="9"/>
    <n v="59508.4"/>
    <x v="0"/>
    <x v="1"/>
    <x v="1"/>
    <x v="1"/>
  </r>
  <r>
    <x v="3"/>
    <x v="9"/>
    <n v="7375.54"/>
    <x v="0"/>
    <x v="1"/>
    <x v="1"/>
    <x v="1"/>
  </r>
  <r>
    <x v="4"/>
    <x v="9"/>
    <n v="7375.54"/>
    <x v="0"/>
    <x v="1"/>
    <x v="1"/>
    <x v="1"/>
  </r>
  <r>
    <x v="5"/>
    <x v="9"/>
    <n v="15239.4"/>
    <x v="0"/>
    <x v="1"/>
    <x v="1"/>
    <x v="1"/>
  </r>
  <r>
    <x v="6"/>
    <x v="9"/>
    <n v="15239.4"/>
    <x v="0"/>
    <x v="1"/>
    <x v="1"/>
    <x v="1"/>
  </r>
  <r>
    <x v="7"/>
    <x v="9"/>
    <n v="11111.3"/>
    <x v="0"/>
    <x v="1"/>
    <x v="1"/>
    <x v="1"/>
  </r>
  <r>
    <x v="8"/>
    <x v="9"/>
    <n v="11111.3"/>
    <x v="0"/>
    <x v="1"/>
    <x v="1"/>
    <x v="1"/>
  </r>
  <r>
    <x v="9"/>
    <x v="9"/>
    <n v="18610.2"/>
    <x v="0"/>
    <x v="1"/>
    <x v="1"/>
    <x v="1"/>
  </r>
  <r>
    <x v="10"/>
    <x v="9"/>
    <n v="18610.2"/>
    <x v="0"/>
    <x v="1"/>
    <x v="1"/>
    <x v="1"/>
  </r>
  <r>
    <x v="11"/>
    <x v="9"/>
    <n v="8452.7000000000007"/>
    <x v="0"/>
    <x v="1"/>
    <x v="1"/>
    <x v="1"/>
  </r>
  <r>
    <x v="12"/>
    <x v="9"/>
    <n v="8452.7000000000007"/>
    <x v="0"/>
    <x v="1"/>
    <x v="1"/>
    <x v="1"/>
  </r>
  <r>
    <x v="13"/>
    <x v="9"/>
    <n v="12908.2"/>
    <x v="0"/>
    <x v="1"/>
    <x v="1"/>
    <x v="1"/>
  </r>
  <r>
    <x v="14"/>
    <x v="9"/>
    <n v="12908.2"/>
    <x v="0"/>
    <x v="1"/>
    <x v="1"/>
    <x v="1"/>
  </r>
  <r>
    <x v="15"/>
    <x v="9"/>
    <n v="12908.2"/>
    <x v="0"/>
    <x v="1"/>
    <x v="1"/>
    <x v="1"/>
  </r>
  <r>
    <x v="0"/>
    <x v="1"/>
    <n v="102.45"/>
    <x v="0"/>
    <x v="1"/>
    <x v="1"/>
    <x v="2"/>
  </r>
  <r>
    <x v="1"/>
    <x v="1"/>
    <n v="9.5"/>
    <x v="0"/>
    <x v="1"/>
    <x v="1"/>
    <x v="2"/>
  </r>
  <r>
    <x v="2"/>
    <x v="1"/>
    <n v="9.5"/>
    <x v="0"/>
    <x v="1"/>
    <x v="1"/>
    <x v="2"/>
  </r>
  <r>
    <x v="3"/>
    <x v="1"/>
    <n v="0"/>
    <x v="0"/>
    <x v="1"/>
    <x v="1"/>
    <x v="2"/>
  </r>
  <r>
    <x v="4"/>
    <x v="1"/>
    <n v="0"/>
    <x v="0"/>
    <x v="1"/>
    <x v="1"/>
    <x v="2"/>
  </r>
  <r>
    <x v="5"/>
    <x v="1"/>
    <n v="0"/>
    <x v="0"/>
    <x v="1"/>
    <x v="1"/>
    <x v="2"/>
  </r>
  <r>
    <x v="6"/>
    <x v="1"/>
    <n v="0"/>
    <x v="0"/>
    <x v="1"/>
    <x v="1"/>
    <x v="2"/>
  </r>
  <r>
    <x v="7"/>
    <x v="1"/>
    <n v="0"/>
    <x v="0"/>
    <x v="1"/>
    <x v="1"/>
    <x v="2"/>
  </r>
  <r>
    <x v="8"/>
    <x v="1"/>
    <n v="0"/>
    <x v="0"/>
    <x v="1"/>
    <x v="1"/>
    <x v="2"/>
  </r>
  <r>
    <x v="9"/>
    <x v="1"/>
    <n v="0"/>
    <x v="0"/>
    <x v="1"/>
    <x v="1"/>
    <x v="2"/>
  </r>
  <r>
    <x v="10"/>
    <x v="1"/>
    <n v="0"/>
    <x v="0"/>
    <x v="1"/>
    <x v="1"/>
    <x v="2"/>
  </r>
  <r>
    <x v="11"/>
    <x v="1"/>
    <n v="0"/>
    <x v="0"/>
    <x v="1"/>
    <x v="1"/>
    <x v="2"/>
  </r>
  <r>
    <x v="12"/>
    <x v="1"/>
    <n v="0"/>
    <x v="0"/>
    <x v="1"/>
    <x v="1"/>
    <x v="2"/>
  </r>
  <r>
    <x v="13"/>
    <x v="1"/>
    <n v="0"/>
    <x v="0"/>
    <x v="1"/>
    <x v="1"/>
    <x v="2"/>
  </r>
  <r>
    <x v="14"/>
    <x v="1"/>
    <n v="0"/>
    <x v="0"/>
    <x v="1"/>
    <x v="1"/>
    <x v="2"/>
  </r>
  <r>
    <x v="15"/>
    <x v="1"/>
    <n v="0"/>
    <x v="0"/>
    <x v="1"/>
    <x v="1"/>
    <x v="2"/>
  </r>
  <r>
    <x v="0"/>
    <x v="2"/>
    <n v="0"/>
    <x v="0"/>
    <x v="1"/>
    <x v="1"/>
    <x v="2"/>
  </r>
  <r>
    <x v="1"/>
    <x v="2"/>
    <n v="0"/>
    <x v="0"/>
    <x v="1"/>
    <x v="1"/>
    <x v="2"/>
  </r>
  <r>
    <x v="2"/>
    <x v="2"/>
    <n v="0"/>
    <x v="0"/>
    <x v="1"/>
    <x v="1"/>
    <x v="2"/>
  </r>
  <r>
    <x v="3"/>
    <x v="2"/>
    <n v="0"/>
    <x v="0"/>
    <x v="1"/>
    <x v="1"/>
    <x v="2"/>
  </r>
  <r>
    <x v="4"/>
    <x v="2"/>
    <n v="0"/>
    <x v="0"/>
    <x v="1"/>
    <x v="1"/>
    <x v="2"/>
  </r>
  <r>
    <x v="5"/>
    <x v="2"/>
    <n v="0"/>
    <x v="0"/>
    <x v="1"/>
    <x v="1"/>
    <x v="2"/>
  </r>
  <r>
    <x v="6"/>
    <x v="2"/>
    <n v="0"/>
    <x v="0"/>
    <x v="1"/>
    <x v="1"/>
    <x v="2"/>
  </r>
  <r>
    <x v="7"/>
    <x v="2"/>
    <n v="0"/>
    <x v="0"/>
    <x v="1"/>
    <x v="1"/>
    <x v="2"/>
  </r>
  <r>
    <x v="8"/>
    <x v="2"/>
    <n v="0"/>
    <x v="0"/>
    <x v="1"/>
    <x v="1"/>
    <x v="2"/>
  </r>
  <r>
    <x v="9"/>
    <x v="2"/>
    <n v="0"/>
    <x v="0"/>
    <x v="1"/>
    <x v="1"/>
    <x v="2"/>
  </r>
  <r>
    <x v="10"/>
    <x v="2"/>
    <n v="0"/>
    <x v="0"/>
    <x v="1"/>
    <x v="1"/>
    <x v="2"/>
  </r>
  <r>
    <x v="11"/>
    <x v="2"/>
    <n v="0"/>
    <x v="0"/>
    <x v="1"/>
    <x v="1"/>
    <x v="2"/>
  </r>
  <r>
    <x v="12"/>
    <x v="2"/>
    <n v="0"/>
    <x v="0"/>
    <x v="1"/>
    <x v="1"/>
    <x v="2"/>
  </r>
  <r>
    <x v="13"/>
    <x v="2"/>
    <n v="0"/>
    <x v="0"/>
    <x v="1"/>
    <x v="1"/>
    <x v="2"/>
  </r>
  <r>
    <x v="14"/>
    <x v="2"/>
    <n v="0"/>
    <x v="0"/>
    <x v="1"/>
    <x v="1"/>
    <x v="2"/>
  </r>
  <r>
    <x v="15"/>
    <x v="2"/>
    <n v="0"/>
    <x v="0"/>
    <x v="1"/>
    <x v="1"/>
    <x v="2"/>
  </r>
  <r>
    <x v="0"/>
    <x v="3"/>
    <n v="11184.73"/>
    <x v="0"/>
    <x v="1"/>
    <x v="1"/>
    <x v="2"/>
  </r>
  <r>
    <x v="1"/>
    <x v="3"/>
    <n v="0"/>
    <x v="0"/>
    <x v="1"/>
    <x v="1"/>
    <x v="2"/>
  </r>
  <r>
    <x v="2"/>
    <x v="3"/>
    <n v="0"/>
    <x v="0"/>
    <x v="1"/>
    <x v="1"/>
    <x v="2"/>
  </r>
  <r>
    <x v="3"/>
    <x v="3"/>
    <n v="0"/>
    <x v="0"/>
    <x v="1"/>
    <x v="1"/>
    <x v="2"/>
  </r>
  <r>
    <x v="4"/>
    <x v="3"/>
    <n v="0"/>
    <x v="0"/>
    <x v="1"/>
    <x v="1"/>
    <x v="2"/>
  </r>
  <r>
    <x v="5"/>
    <x v="3"/>
    <n v="0"/>
    <x v="0"/>
    <x v="1"/>
    <x v="1"/>
    <x v="2"/>
  </r>
  <r>
    <x v="6"/>
    <x v="3"/>
    <n v="0"/>
    <x v="0"/>
    <x v="1"/>
    <x v="1"/>
    <x v="2"/>
  </r>
  <r>
    <x v="7"/>
    <x v="3"/>
    <n v="0"/>
    <x v="0"/>
    <x v="1"/>
    <x v="1"/>
    <x v="2"/>
  </r>
  <r>
    <x v="8"/>
    <x v="3"/>
    <n v="0"/>
    <x v="0"/>
    <x v="1"/>
    <x v="1"/>
    <x v="2"/>
  </r>
  <r>
    <x v="9"/>
    <x v="3"/>
    <n v="0"/>
    <x v="0"/>
    <x v="1"/>
    <x v="1"/>
    <x v="2"/>
  </r>
  <r>
    <x v="10"/>
    <x v="3"/>
    <n v="0"/>
    <x v="0"/>
    <x v="1"/>
    <x v="1"/>
    <x v="2"/>
  </r>
  <r>
    <x v="11"/>
    <x v="3"/>
    <n v="0"/>
    <x v="0"/>
    <x v="1"/>
    <x v="1"/>
    <x v="2"/>
  </r>
  <r>
    <x v="12"/>
    <x v="3"/>
    <n v="0"/>
    <x v="0"/>
    <x v="1"/>
    <x v="1"/>
    <x v="2"/>
  </r>
  <r>
    <x v="13"/>
    <x v="3"/>
    <n v="0"/>
    <x v="0"/>
    <x v="1"/>
    <x v="1"/>
    <x v="2"/>
  </r>
  <r>
    <x v="14"/>
    <x v="3"/>
    <n v="0"/>
    <x v="0"/>
    <x v="1"/>
    <x v="1"/>
    <x v="2"/>
  </r>
  <r>
    <x v="15"/>
    <x v="3"/>
    <n v="0"/>
    <x v="0"/>
    <x v="1"/>
    <x v="1"/>
    <x v="2"/>
  </r>
  <r>
    <x v="0"/>
    <x v="4"/>
    <n v="0"/>
    <x v="0"/>
    <x v="1"/>
    <x v="1"/>
    <x v="2"/>
  </r>
  <r>
    <x v="1"/>
    <x v="4"/>
    <n v="0"/>
    <x v="0"/>
    <x v="1"/>
    <x v="1"/>
    <x v="2"/>
  </r>
  <r>
    <x v="2"/>
    <x v="4"/>
    <n v="0"/>
    <x v="0"/>
    <x v="1"/>
    <x v="1"/>
    <x v="2"/>
  </r>
  <r>
    <x v="3"/>
    <x v="4"/>
    <n v="0"/>
    <x v="0"/>
    <x v="1"/>
    <x v="1"/>
    <x v="2"/>
  </r>
  <r>
    <x v="4"/>
    <x v="4"/>
    <n v="0"/>
    <x v="0"/>
    <x v="1"/>
    <x v="1"/>
    <x v="2"/>
  </r>
  <r>
    <x v="5"/>
    <x v="4"/>
    <n v="0"/>
    <x v="0"/>
    <x v="1"/>
    <x v="1"/>
    <x v="2"/>
  </r>
  <r>
    <x v="6"/>
    <x v="4"/>
    <n v="0"/>
    <x v="0"/>
    <x v="1"/>
    <x v="1"/>
    <x v="2"/>
  </r>
  <r>
    <x v="7"/>
    <x v="4"/>
    <n v="0"/>
    <x v="0"/>
    <x v="1"/>
    <x v="1"/>
    <x v="2"/>
  </r>
  <r>
    <x v="8"/>
    <x v="4"/>
    <n v="0"/>
    <x v="0"/>
    <x v="1"/>
    <x v="1"/>
    <x v="2"/>
  </r>
  <r>
    <x v="9"/>
    <x v="4"/>
    <n v="0"/>
    <x v="0"/>
    <x v="1"/>
    <x v="1"/>
    <x v="2"/>
  </r>
  <r>
    <x v="10"/>
    <x v="4"/>
    <n v="0"/>
    <x v="0"/>
    <x v="1"/>
    <x v="1"/>
    <x v="2"/>
  </r>
  <r>
    <x v="11"/>
    <x v="4"/>
    <n v="0"/>
    <x v="0"/>
    <x v="1"/>
    <x v="1"/>
    <x v="2"/>
  </r>
  <r>
    <x v="12"/>
    <x v="4"/>
    <n v="0"/>
    <x v="0"/>
    <x v="1"/>
    <x v="1"/>
    <x v="2"/>
  </r>
  <r>
    <x v="13"/>
    <x v="4"/>
    <n v="0"/>
    <x v="0"/>
    <x v="1"/>
    <x v="1"/>
    <x v="2"/>
  </r>
  <r>
    <x v="14"/>
    <x v="4"/>
    <n v="0"/>
    <x v="0"/>
    <x v="1"/>
    <x v="1"/>
    <x v="2"/>
  </r>
  <r>
    <x v="15"/>
    <x v="4"/>
    <n v="0"/>
    <x v="0"/>
    <x v="1"/>
    <x v="1"/>
    <x v="2"/>
  </r>
  <r>
    <x v="0"/>
    <x v="5"/>
    <n v="2648.27"/>
    <x v="0"/>
    <x v="1"/>
    <x v="1"/>
    <x v="2"/>
  </r>
  <r>
    <x v="1"/>
    <x v="5"/>
    <n v="0"/>
    <x v="0"/>
    <x v="1"/>
    <x v="1"/>
    <x v="2"/>
  </r>
  <r>
    <x v="2"/>
    <x v="5"/>
    <n v="0"/>
    <x v="0"/>
    <x v="1"/>
    <x v="1"/>
    <x v="2"/>
  </r>
  <r>
    <x v="3"/>
    <x v="5"/>
    <n v="59"/>
    <x v="0"/>
    <x v="1"/>
    <x v="1"/>
    <x v="2"/>
  </r>
  <r>
    <x v="4"/>
    <x v="5"/>
    <n v="59"/>
    <x v="0"/>
    <x v="1"/>
    <x v="1"/>
    <x v="2"/>
  </r>
  <r>
    <x v="5"/>
    <x v="5"/>
    <n v="0"/>
    <x v="0"/>
    <x v="1"/>
    <x v="1"/>
    <x v="2"/>
  </r>
  <r>
    <x v="6"/>
    <x v="5"/>
    <n v="0"/>
    <x v="0"/>
    <x v="1"/>
    <x v="1"/>
    <x v="2"/>
  </r>
  <r>
    <x v="7"/>
    <x v="5"/>
    <n v="0"/>
    <x v="0"/>
    <x v="1"/>
    <x v="1"/>
    <x v="2"/>
  </r>
  <r>
    <x v="8"/>
    <x v="5"/>
    <n v="0"/>
    <x v="0"/>
    <x v="1"/>
    <x v="1"/>
    <x v="2"/>
  </r>
  <r>
    <x v="9"/>
    <x v="5"/>
    <n v="19.5"/>
    <x v="0"/>
    <x v="1"/>
    <x v="1"/>
    <x v="2"/>
  </r>
  <r>
    <x v="10"/>
    <x v="5"/>
    <n v="19.5"/>
    <x v="0"/>
    <x v="1"/>
    <x v="1"/>
    <x v="2"/>
  </r>
  <r>
    <x v="11"/>
    <x v="5"/>
    <n v="0"/>
    <x v="0"/>
    <x v="1"/>
    <x v="1"/>
    <x v="2"/>
  </r>
  <r>
    <x v="12"/>
    <x v="5"/>
    <n v="0"/>
    <x v="0"/>
    <x v="1"/>
    <x v="1"/>
    <x v="2"/>
  </r>
  <r>
    <x v="13"/>
    <x v="5"/>
    <n v="0"/>
    <x v="0"/>
    <x v="1"/>
    <x v="1"/>
    <x v="2"/>
  </r>
  <r>
    <x v="14"/>
    <x v="5"/>
    <n v="0"/>
    <x v="0"/>
    <x v="1"/>
    <x v="1"/>
    <x v="2"/>
  </r>
  <r>
    <x v="15"/>
    <x v="5"/>
    <n v="0"/>
    <x v="0"/>
    <x v="1"/>
    <x v="1"/>
    <x v="2"/>
  </r>
  <r>
    <x v="0"/>
    <x v="6"/>
    <n v="232.5"/>
    <x v="0"/>
    <x v="1"/>
    <x v="1"/>
    <x v="2"/>
  </r>
  <r>
    <x v="1"/>
    <x v="6"/>
    <n v="1100"/>
    <x v="0"/>
    <x v="1"/>
    <x v="1"/>
    <x v="2"/>
  </r>
  <r>
    <x v="2"/>
    <x v="6"/>
    <n v="1100"/>
    <x v="0"/>
    <x v="1"/>
    <x v="1"/>
    <x v="2"/>
  </r>
  <r>
    <x v="3"/>
    <x v="6"/>
    <n v="0"/>
    <x v="0"/>
    <x v="1"/>
    <x v="1"/>
    <x v="2"/>
  </r>
  <r>
    <x v="4"/>
    <x v="6"/>
    <n v="0"/>
    <x v="0"/>
    <x v="1"/>
    <x v="1"/>
    <x v="2"/>
  </r>
  <r>
    <x v="5"/>
    <x v="6"/>
    <n v="0"/>
    <x v="0"/>
    <x v="1"/>
    <x v="1"/>
    <x v="2"/>
  </r>
  <r>
    <x v="6"/>
    <x v="6"/>
    <n v="0"/>
    <x v="0"/>
    <x v="1"/>
    <x v="1"/>
    <x v="2"/>
  </r>
  <r>
    <x v="7"/>
    <x v="6"/>
    <n v="0"/>
    <x v="0"/>
    <x v="1"/>
    <x v="1"/>
    <x v="2"/>
  </r>
  <r>
    <x v="8"/>
    <x v="6"/>
    <n v="0"/>
    <x v="0"/>
    <x v="1"/>
    <x v="1"/>
    <x v="2"/>
  </r>
  <r>
    <x v="9"/>
    <x v="6"/>
    <n v="0"/>
    <x v="0"/>
    <x v="1"/>
    <x v="1"/>
    <x v="2"/>
  </r>
  <r>
    <x v="10"/>
    <x v="6"/>
    <n v="0"/>
    <x v="0"/>
    <x v="1"/>
    <x v="1"/>
    <x v="2"/>
  </r>
  <r>
    <x v="11"/>
    <x v="6"/>
    <n v="0"/>
    <x v="0"/>
    <x v="1"/>
    <x v="1"/>
    <x v="2"/>
  </r>
  <r>
    <x v="12"/>
    <x v="6"/>
    <n v="0"/>
    <x v="0"/>
    <x v="1"/>
    <x v="1"/>
    <x v="2"/>
  </r>
  <r>
    <x v="13"/>
    <x v="6"/>
    <n v="0"/>
    <x v="0"/>
    <x v="1"/>
    <x v="1"/>
    <x v="2"/>
  </r>
  <r>
    <x v="14"/>
    <x v="6"/>
    <n v="0"/>
    <x v="0"/>
    <x v="1"/>
    <x v="1"/>
    <x v="2"/>
  </r>
  <r>
    <x v="15"/>
    <x v="6"/>
    <n v="0"/>
    <x v="0"/>
    <x v="1"/>
    <x v="1"/>
    <x v="2"/>
  </r>
  <r>
    <x v="0"/>
    <x v="7"/>
    <n v="14.85"/>
    <x v="0"/>
    <x v="1"/>
    <x v="1"/>
    <x v="2"/>
  </r>
  <r>
    <x v="1"/>
    <x v="7"/>
    <n v="0"/>
    <x v="0"/>
    <x v="1"/>
    <x v="1"/>
    <x v="2"/>
  </r>
  <r>
    <x v="2"/>
    <x v="7"/>
    <n v="0"/>
    <x v="0"/>
    <x v="1"/>
    <x v="1"/>
    <x v="2"/>
  </r>
  <r>
    <x v="3"/>
    <x v="7"/>
    <n v="0"/>
    <x v="0"/>
    <x v="1"/>
    <x v="1"/>
    <x v="2"/>
  </r>
  <r>
    <x v="4"/>
    <x v="7"/>
    <n v="0"/>
    <x v="0"/>
    <x v="1"/>
    <x v="1"/>
    <x v="2"/>
  </r>
  <r>
    <x v="5"/>
    <x v="7"/>
    <n v="0"/>
    <x v="0"/>
    <x v="1"/>
    <x v="1"/>
    <x v="2"/>
  </r>
  <r>
    <x v="6"/>
    <x v="7"/>
    <n v="0"/>
    <x v="0"/>
    <x v="1"/>
    <x v="1"/>
    <x v="2"/>
  </r>
  <r>
    <x v="7"/>
    <x v="7"/>
    <n v="0"/>
    <x v="0"/>
    <x v="1"/>
    <x v="1"/>
    <x v="2"/>
  </r>
  <r>
    <x v="8"/>
    <x v="7"/>
    <n v="0"/>
    <x v="0"/>
    <x v="1"/>
    <x v="1"/>
    <x v="2"/>
  </r>
  <r>
    <x v="9"/>
    <x v="7"/>
    <n v="0"/>
    <x v="0"/>
    <x v="1"/>
    <x v="1"/>
    <x v="2"/>
  </r>
  <r>
    <x v="10"/>
    <x v="7"/>
    <n v="0"/>
    <x v="0"/>
    <x v="1"/>
    <x v="1"/>
    <x v="2"/>
  </r>
  <r>
    <x v="11"/>
    <x v="7"/>
    <n v="0"/>
    <x v="0"/>
    <x v="1"/>
    <x v="1"/>
    <x v="2"/>
  </r>
  <r>
    <x v="12"/>
    <x v="7"/>
    <n v="0"/>
    <x v="0"/>
    <x v="1"/>
    <x v="1"/>
    <x v="2"/>
  </r>
  <r>
    <x v="13"/>
    <x v="7"/>
    <n v="0"/>
    <x v="0"/>
    <x v="1"/>
    <x v="1"/>
    <x v="2"/>
  </r>
  <r>
    <x v="14"/>
    <x v="7"/>
    <n v="0"/>
    <x v="0"/>
    <x v="1"/>
    <x v="1"/>
    <x v="2"/>
  </r>
  <r>
    <x v="15"/>
    <x v="7"/>
    <n v="0"/>
    <x v="0"/>
    <x v="1"/>
    <x v="1"/>
    <x v="2"/>
  </r>
  <r>
    <x v="0"/>
    <x v="8"/>
    <n v="13066.6"/>
    <x v="0"/>
    <x v="1"/>
    <x v="1"/>
    <x v="2"/>
  </r>
  <r>
    <x v="1"/>
    <x v="8"/>
    <n v="65600.7"/>
    <x v="0"/>
    <x v="1"/>
    <x v="1"/>
    <x v="2"/>
  </r>
  <r>
    <x v="2"/>
    <x v="8"/>
    <n v="65600.7"/>
    <x v="0"/>
    <x v="1"/>
    <x v="1"/>
    <x v="2"/>
  </r>
  <r>
    <x v="3"/>
    <x v="8"/>
    <n v="31315.1"/>
    <x v="0"/>
    <x v="1"/>
    <x v="1"/>
    <x v="2"/>
  </r>
  <r>
    <x v="4"/>
    <x v="8"/>
    <n v="31315.1"/>
    <x v="0"/>
    <x v="1"/>
    <x v="1"/>
    <x v="2"/>
  </r>
  <r>
    <x v="5"/>
    <x v="8"/>
    <n v="7517.97"/>
    <x v="0"/>
    <x v="1"/>
    <x v="1"/>
    <x v="2"/>
  </r>
  <r>
    <x v="6"/>
    <x v="8"/>
    <n v="7517.97"/>
    <x v="0"/>
    <x v="1"/>
    <x v="1"/>
    <x v="2"/>
  </r>
  <r>
    <x v="7"/>
    <x v="8"/>
    <n v="12660.4"/>
    <x v="0"/>
    <x v="1"/>
    <x v="1"/>
    <x v="2"/>
  </r>
  <r>
    <x v="8"/>
    <x v="8"/>
    <n v="12660.4"/>
    <x v="0"/>
    <x v="1"/>
    <x v="1"/>
    <x v="2"/>
  </r>
  <r>
    <x v="9"/>
    <x v="8"/>
    <n v="16950.400000000001"/>
    <x v="0"/>
    <x v="1"/>
    <x v="1"/>
    <x v="2"/>
  </r>
  <r>
    <x v="10"/>
    <x v="8"/>
    <n v="16950.400000000001"/>
    <x v="0"/>
    <x v="1"/>
    <x v="1"/>
    <x v="2"/>
  </r>
  <r>
    <x v="11"/>
    <x v="8"/>
    <n v="7478.15"/>
    <x v="0"/>
    <x v="1"/>
    <x v="1"/>
    <x v="2"/>
  </r>
  <r>
    <x v="12"/>
    <x v="8"/>
    <n v="7478.15"/>
    <x v="0"/>
    <x v="1"/>
    <x v="1"/>
    <x v="2"/>
  </r>
  <r>
    <x v="13"/>
    <x v="8"/>
    <n v="14339.4"/>
    <x v="0"/>
    <x v="1"/>
    <x v="1"/>
    <x v="2"/>
  </r>
  <r>
    <x v="14"/>
    <x v="8"/>
    <n v="14339.4"/>
    <x v="0"/>
    <x v="1"/>
    <x v="1"/>
    <x v="2"/>
  </r>
  <r>
    <x v="15"/>
    <x v="8"/>
    <n v="14339.4"/>
    <x v="0"/>
    <x v="1"/>
    <x v="1"/>
    <x v="2"/>
  </r>
  <r>
    <x v="0"/>
    <x v="9"/>
    <n v="11237.6"/>
    <x v="0"/>
    <x v="1"/>
    <x v="1"/>
    <x v="2"/>
  </r>
  <r>
    <x v="1"/>
    <x v="9"/>
    <n v="51197.3"/>
    <x v="0"/>
    <x v="1"/>
    <x v="1"/>
    <x v="2"/>
  </r>
  <r>
    <x v="2"/>
    <x v="9"/>
    <n v="51197.3"/>
    <x v="0"/>
    <x v="1"/>
    <x v="1"/>
    <x v="2"/>
  </r>
  <r>
    <x v="3"/>
    <x v="9"/>
    <n v="5531.95"/>
    <x v="0"/>
    <x v="1"/>
    <x v="1"/>
    <x v="2"/>
  </r>
  <r>
    <x v="4"/>
    <x v="9"/>
    <n v="5531.95"/>
    <x v="0"/>
    <x v="1"/>
    <x v="1"/>
    <x v="2"/>
  </r>
  <r>
    <x v="5"/>
    <x v="9"/>
    <n v="13418.2"/>
    <x v="0"/>
    <x v="1"/>
    <x v="1"/>
    <x v="2"/>
  </r>
  <r>
    <x v="6"/>
    <x v="9"/>
    <n v="13418.2"/>
    <x v="0"/>
    <x v="1"/>
    <x v="1"/>
    <x v="2"/>
  </r>
  <r>
    <x v="7"/>
    <x v="9"/>
    <n v="12440.1"/>
    <x v="0"/>
    <x v="1"/>
    <x v="1"/>
    <x v="2"/>
  </r>
  <r>
    <x v="8"/>
    <x v="9"/>
    <n v="12440.1"/>
    <x v="0"/>
    <x v="1"/>
    <x v="1"/>
    <x v="2"/>
  </r>
  <r>
    <x v="9"/>
    <x v="9"/>
    <n v="15643.3"/>
    <x v="0"/>
    <x v="1"/>
    <x v="1"/>
    <x v="2"/>
  </r>
  <r>
    <x v="10"/>
    <x v="9"/>
    <n v="15643.3"/>
    <x v="0"/>
    <x v="1"/>
    <x v="1"/>
    <x v="2"/>
  </r>
  <r>
    <x v="11"/>
    <x v="9"/>
    <n v="11932.2"/>
    <x v="0"/>
    <x v="1"/>
    <x v="1"/>
    <x v="2"/>
  </r>
  <r>
    <x v="12"/>
    <x v="9"/>
    <n v="11932.2"/>
    <x v="0"/>
    <x v="1"/>
    <x v="1"/>
    <x v="2"/>
  </r>
  <r>
    <x v="13"/>
    <x v="9"/>
    <n v="12683"/>
    <x v="0"/>
    <x v="1"/>
    <x v="1"/>
    <x v="2"/>
  </r>
  <r>
    <x v="14"/>
    <x v="9"/>
    <n v="12683"/>
    <x v="0"/>
    <x v="1"/>
    <x v="1"/>
    <x v="2"/>
  </r>
  <r>
    <x v="15"/>
    <x v="9"/>
    <n v="12683"/>
    <x v="0"/>
    <x v="1"/>
    <x v="1"/>
    <x v="2"/>
  </r>
  <r>
    <x v="0"/>
    <x v="1"/>
    <n v="102.45"/>
    <x v="2"/>
    <x v="1"/>
    <x v="1"/>
    <x v="0"/>
  </r>
  <r>
    <x v="1"/>
    <x v="1"/>
    <n v="9.5"/>
    <x v="2"/>
    <x v="1"/>
    <x v="1"/>
    <x v="0"/>
  </r>
  <r>
    <x v="2"/>
    <x v="1"/>
    <n v="9.5"/>
    <x v="2"/>
    <x v="1"/>
    <x v="1"/>
    <x v="0"/>
  </r>
  <r>
    <x v="3"/>
    <x v="1"/>
    <n v="0"/>
    <x v="2"/>
    <x v="1"/>
    <x v="1"/>
    <x v="0"/>
  </r>
  <r>
    <x v="4"/>
    <x v="1"/>
    <n v="0"/>
    <x v="2"/>
    <x v="1"/>
    <x v="1"/>
    <x v="0"/>
  </r>
  <r>
    <x v="5"/>
    <x v="1"/>
    <n v="0"/>
    <x v="2"/>
    <x v="1"/>
    <x v="1"/>
    <x v="0"/>
  </r>
  <r>
    <x v="6"/>
    <x v="1"/>
    <n v="0"/>
    <x v="2"/>
    <x v="1"/>
    <x v="1"/>
    <x v="0"/>
  </r>
  <r>
    <x v="7"/>
    <x v="1"/>
    <n v="0"/>
    <x v="2"/>
    <x v="1"/>
    <x v="1"/>
    <x v="0"/>
  </r>
  <r>
    <x v="8"/>
    <x v="1"/>
    <n v="0"/>
    <x v="2"/>
    <x v="1"/>
    <x v="1"/>
    <x v="0"/>
  </r>
  <r>
    <x v="9"/>
    <x v="1"/>
    <n v="0"/>
    <x v="2"/>
    <x v="1"/>
    <x v="1"/>
    <x v="0"/>
  </r>
  <r>
    <x v="10"/>
    <x v="1"/>
    <n v="0"/>
    <x v="2"/>
    <x v="1"/>
    <x v="1"/>
    <x v="0"/>
  </r>
  <r>
    <x v="11"/>
    <x v="1"/>
    <n v="0"/>
    <x v="2"/>
    <x v="1"/>
    <x v="1"/>
    <x v="0"/>
  </r>
  <r>
    <x v="12"/>
    <x v="1"/>
    <n v="0"/>
    <x v="2"/>
    <x v="1"/>
    <x v="1"/>
    <x v="0"/>
  </r>
  <r>
    <x v="13"/>
    <x v="1"/>
    <n v="0"/>
    <x v="2"/>
    <x v="1"/>
    <x v="1"/>
    <x v="0"/>
  </r>
  <r>
    <x v="14"/>
    <x v="1"/>
    <n v="0"/>
    <x v="2"/>
    <x v="1"/>
    <x v="1"/>
    <x v="0"/>
  </r>
  <r>
    <x v="15"/>
    <x v="1"/>
    <n v="0"/>
    <x v="2"/>
    <x v="1"/>
    <x v="1"/>
    <x v="0"/>
  </r>
  <r>
    <x v="0"/>
    <x v="2"/>
    <n v="0"/>
    <x v="2"/>
    <x v="1"/>
    <x v="1"/>
    <x v="0"/>
  </r>
  <r>
    <x v="1"/>
    <x v="2"/>
    <n v="0"/>
    <x v="2"/>
    <x v="1"/>
    <x v="1"/>
    <x v="0"/>
  </r>
  <r>
    <x v="2"/>
    <x v="2"/>
    <n v="0"/>
    <x v="2"/>
    <x v="1"/>
    <x v="1"/>
    <x v="0"/>
  </r>
  <r>
    <x v="3"/>
    <x v="2"/>
    <n v="0"/>
    <x v="2"/>
    <x v="1"/>
    <x v="1"/>
    <x v="0"/>
  </r>
  <r>
    <x v="4"/>
    <x v="2"/>
    <n v="0"/>
    <x v="2"/>
    <x v="1"/>
    <x v="1"/>
    <x v="0"/>
  </r>
  <r>
    <x v="5"/>
    <x v="2"/>
    <n v="0"/>
    <x v="2"/>
    <x v="1"/>
    <x v="1"/>
    <x v="0"/>
  </r>
  <r>
    <x v="6"/>
    <x v="2"/>
    <n v="0"/>
    <x v="2"/>
    <x v="1"/>
    <x v="1"/>
    <x v="0"/>
  </r>
  <r>
    <x v="7"/>
    <x v="2"/>
    <n v="0"/>
    <x v="2"/>
    <x v="1"/>
    <x v="1"/>
    <x v="0"/>
  </r>
  <r>
    <x v="8"/>
    <x v="2"/>
    <n v="0"/>
    <x v="2"/>
    <x v="1"/>
    <x v="1"/>
    <x v="0"/>
  </r>
  <r>
    <x v="9"/>
    <x v="2"/>
    <n v="0"/>
    <x v="2"/>
    <x v="1"/>
    <x v="1"/>
    <x v="0"/>
  </r>
  <r>
    <x v="10"/>
    <x v="2"/>
    <n v="0"/>
    <x v="2"/>
    <x v="1"/>
    <x v="1"/>
    <x v="0"/>
  </r>
  <r>
    <x v="11"/>
    <x v="2"/>
    <n v="0"/>
    <x v="2"/>
    <x v="1"/>
    <x v="1"/>
    <x v="0"/>
  </r>
  <r>
    <x v="12"/>
    <x v="2"/>
    <n v="0"/>
    <x v="2"/>
    <x v="1"/>
    <x v="1"/>
    <x v="0"/>
  </r>
  <r>
    <x v="13"/>
    <x v="2"/>
    <n v="0"/>
    <x v="2"/>
    <x v="1"/>
    <x v="1"/>
    <x v="0"/>
  </r>
  <r>
    <x v="14"/>
    <x v="2"/>
    <n v="0"/>
    <x v="2"/>
    <x v="1"/>
    <x v="1"/>
    <x v="0"/>
  </r>
  <r>
    <x v="15"/>
    <x v="2"/>
    <n v="0"/>
    <x v="2"/>
    <x v="1"/>
    <x v="1"/>
    <x v="0"/>
  </r>
  <r>
    <x v="0"/>
    <x v="3"/>
    <n v="13297.23"/>
    <x v="2"/>
    <x v="1"/>
    <x v="1"/>
    <x v="0"/>
  </r>
  <r>
    <x v="1"/>
    <x v="3"/>
    <n v="11219.4"/>
    <x v="2"/>
    <x v="1"/>
    <x v="1"/>
    <x v="0"/>
  </r>
  <r>
    <x v="2"/>
    <x v="3"/>
    <n v="11219.4"/>
    <x v="2"/>
    <x v="1"/>
    <x v="1"/>
    <x v="0"/>
  </r>
  <r>
    <x v="3"/>
    <x v="3"/>
    <n v="11164.9"/>
    <x v="2"/>
    <x v="1"/>
    <x v="1"/>
    <x v="0"/>
  </r>
  <r>
    <x v="4"/>
    <x v="3"/>
    <n v="11164.9"/>
    <x v="2"/>
    <x v="1"/>
    <x v="1"/>
    <x v="0"/>
  </r>
  <r>
    <x v="5"/>
    <x v="3"/>
    <n v="8510.69"/>
    <x v="2"/>
    <x v="1"/>
    <x v="1"/>
    <x v="0"/>
  </r>
  <r>
    <x v="6"/>
    <x v="3"/>
    <n v="8510.69"/>
    <x v="2"/>
    <x v="1"/>
    <x v="1"/>
    <x v="0"/>
  </r>
  <r>
    <x v="7"/>
    <x v="3"/>
    <n v="4426.46"/>
    <x v="2"/>
    <x v="1"/>
    <x v="1"/>
    <x v="0"/>
  </r>
  <r>
    <x v="8"/>
    <x v="3"/>
    <n v="4426.46"/>
    <x v="2"/>
    <x v="1"/>
    <x v="1"/>
    <x v="0"/>
  </r>
  <r>
    <x v="9"/>
    <x v="3"/>
    <n v="2198.19"/>
    <x v="2"/>
    <x v="1"/>
    <x v="1"/>
    <x v="0"/>
  </r>
  <r>
    <x v="10"/>
    <x v="3"/>
    <n v="2198.19"/>
    <x v="2"/>
    <x v="1"/>
    <x v="1"/>
    <x v="0"/>
  </r>
  <r>
    <x v="11"/>
    <x v="3"/>
    <n v="4582.66"/>
    <x v="2"/>
    <x v="1"/>
    <x v="1"/>
    <x v="0"/>
  </r>
  <r>
    <x v="12"/>
    <x v="3"/>
    <n v="4582.66"/>
    <x v="2"/>
    <x v="1"/>
    <x v="1"/>
    <x v="0"/>
  </r>
  <r>
    <x v="13"/>
    <x v="3"/>
    <n v="2088.38"/>
    <x v="2"/>
    <x v="1"/>
    <x v="1"/>
    <x v="0"/>
  </r>
  <r>
    <x v="14"/>
    <x v="3"/>
    <n v="2088.38"/>
    <x v="2"/>
    <x v="1"/>
    <x v="1"/>
    <x v="0"/>
  </r>
  <r>
    <x v="15"/>
    <x v="3"/>
    <n v="2088.38"/>
    <x v="2"/>
    <x v="1"/>
    <x v="1"/>
    <x v="0"/>
  </r>
  <r>
    <x v="0"/>
    <x v="4"/>
    <n v="0"/>
    <x v="2"/>
    <x v="1"/>
    <x v="1"/>
    <x v="0"/>
  </r>
  <r>
    <x v="1"/>
    <x v="4"/>
    <n v="0"/>
    <x v="2"/>
    <x v="1"/>
    <x v="1"/>
    <x v="0"/>
  </r>
  <r>
    <x v="2"/>
    <x v="4"/>
    <n v="0"/>
    <x v="2"/>
    <x v="1"/>
    <x v="1"/>
    <x v="0"/>
  </r>
  <r>
    <x v="3"/>
    <x v="4"/>
    <n v="0"/>
    <x v="2"/>
    <x v="1"/>
    <x v="1"/>
    <x v="0"/>
  </r>
  <r>
    <x v="4"/>
    <x v="4"/>
    <n v="0"/>
    <x v="2"/>
    <x v="1"/>
    <x v="1"/>
    <x v="0"/>
  </r>
  <r>
    <x v="5"/>
    <x v="4"/>
    <n v="0"/>
    <x v="2"/>
    <x v="1"/>
    <x v="1"/>
    <x v="0"/>
  </r>
  <r>
    <x v="6"/>
    <x v="4"/>
    <n v="0"/>
    <x v="2"/>
    <x v="1"/>
    <x v="1"/>
    <x v="0"/>
  </r>
  <r>
    <x v="7"/>
    <x v="4"/>
    <n v="0"/>
    <x v="2"/>
    <x v="1"/>
    <x v="1"/>
    <x v="0"/>
  </r>
  <r>
    <x v="8"/>
    <x v="4"/>
    <n v="0"/>
    <x v="2"/>
    <x v="1"/>
    <x v="1"/>
    <x v="0"/>
  </r>
  <r>
    <x v="9"/>
    <x v="4"/>
    <n v="0"/>
    <x v="2"/>
    <x v="1"/>
    <x v="1"/>
    <x v="0"/>
  </r>
  <r>
    <x v="10"/>
    <x v="4"/>
    <n v="0"/>
    <x v="2"/>
    <x v="1"/>
    <x v="1"/>
    <x v="0"/>
  </r>
  <r>
    <x v="11"/>
    <x v="4"/>
    <n v="0"/>
    <x v="2"/>
    <x v="1"/>
    <x v="1"/>
    <x v="0"/>
  </r>
  <r>
    <x v="12"/>
    <x v="4"/>
    <n v="0"/>
    <x v="2"/>
    <x v="1"/>
    <x v="1"/>
    <x v="0"/>
  </r>
  <r>
    <x v="13"/>
    <x v="4"/>
    <n v="0"/>
    <x v="2"/>
    <x v="1"/>
    <x v="1"/>
    <x v="0"/>
  </r>
  <r>
    <x v="14"/>
    <x v="4"/>
    <n v="0"/>
    <x v="2"/>
    <x v="1"/>
    <x v="1"/>
    <x v="0"/>
  </r>
  <r>
    <x v="15"/>
    <x v="4"/>
    <n v="0"/>
    <x v="2"/>
    <x v="1"/>
    <x v="1"/>
    <x v="0"/>
  </r>
  <r>
    <x v="0"/>
    <x v="5"/>
    <n v="1450.21"/>
    <x v="2"/>
    <x v="1"/>
    <x v="1"/>
    <x v="0"/>
  </r>
  <r>
    <x v="1"/>
    <x v="5"/>
    <n v="19.149999999999999"/>
    <x v="2"/>
    <x v="1"/>
    <x v="1"/>
    <x v="0"/>
  </r>
  <r>
    <x v="2"/>
    <x v="5"/>
    <n v="19.149999999999999"/>
    <x v="2"/>
    <x v="1"/>
    <x v="1"/>
    <x v="0"/>
  </r>
  <r>
    <x v="3"/>
    <x v="5"/>
    <n v="26.5"/>
    <x v="2"/>
    <x v="1"/>
    <x v="1"/>
    <x v="0"/>
  </r>
  <r>
    <x v="4"/>
    <x v="5"/>
    <n v="26.5"/>
    <x v="2"/>
    <x v="1"/>
    <x v="1"/>
    <x v="0"/>
  </r>
  <r>
    <x v="5"/>
    <x v="5"/>
    <n v="94.5"/>
    <x v="2"/>
    <x v="1"/>
    <x v="1"/>
    <x v="0"/>
  </r>
  <r>
    <x v="6"/>
    <x v="5"/>
    <n v="94.5"/>
    <x v="2"/>
    <x v="1"/>
    <x v="1"/>
    <x v="0"/>
  </r>
  <r>
    <x v="7"/>
    <x v="5"/>
    <n v="0"/>
    <x v="2"/>
    <x v="1"/>
    <x v="1"/>
    <x v="0"/>
  </r>
  <r>
    <x v="8"/>
    <x v="5"/>
    <n v="0"/>
    <x v="2"/>
    <x v="1"/>
    <x v="1"/>
    <x v="0"/>
  </r>
  <r>
    <x v="9"/>
    <x v="5"/>
    <n v="0"/>
    <x v="2"/>
    <x v="1"/>
    <x v="1"/>
    <x v="0"/>
  </r>
  <r>
    <x v="10"/>
    <x v="5"/>
    <n v="0"/>
    <x v="2"/>
    <x v="1"/>
    <x v="1"/>
    <x v="0"/>
  </r>
  <r>
    <x v="11"/>
    <x v="5"/>
    <n v="0"/>
    <x v="2"/>
    <x v="1"/>
    <x v="1"/>
    <x v="0"/>
  </r>
  <r>
    <x v="12"/>
    <x v="5"/>
    <n v="0"/>
    <x v="2"/>
    <x v="1"/>
    <x v="1"/>
    <x v="0"/>
  </r>
  <r>
    <x v="13"/>
    <x v="5"/>
    <n v="0"/>
    <x v="2"/>
    <x v="1"/>
    <x v="1"/>
    <x v="0"/>
  </r>
  <r>
    <x v="14"/>
    <x v="5"/>
    <n v="0"/>
    <x v="2"/>
    <x v="1"/>
    <x v="1"/>
    <x v="0"/>
  </r>
  <r>
    <x v="15"/>
    <x v="5"/>
    <n v="0"/>
    <x v="2"/>
    <x v="1"/>
    <x v="1"/>
    <x v="0"/>
  </r>
  <r>
    <x v="0"/>
    <x v="6"/>
    <n v="232.5"/>
    <x v="2"/>
    <x v="1"/>
    <x v="1"/>
    <x v="0"/>
  </r>
  <r>
    <x v="1"/>
    <x v="6"/>
    <n v="1100"/>
    <x v="2"/>
    <x v="1"/>
    <x v="1"/>
    <x v="0"/>
  </r>
  <r>
    <x v="2"/>
    <x v="6"/>
    <n v="1100"/>
    <x v="2"/>
    <x v="1"/>
    <x v="1"/>
    <x v="0"/>
  </r>
  <r>
    <x v="3"/>
    <x v="6"/>
    <n v="0"/>
    <x v="2"/>
    <x v="1"/>
    <x v="1"/>
    <x v="0"/>
  </r>
  <r>
    <x v="4"/>
    <x v="6"/>
    <n v="0"/>
    <x v="2"/>
    <x v="1"/>
    <x v="1"/>
    <x v="0"/>
  </r>
  <r>
    <x v="5"/>
    <x v="6"/>
    <n v="0"/>
    <x v="2"/>
    <x v="1"/>
    <x v="1"/>
    <x v="0"/>
  </r>
  <r>
    <x v="6"/>
    <x v="6"/>
    <n v="0"/>
    <x v="2"/>
    <x v="1"/>
    <x v="1"/>
    <x v="0"/>
  </r>
  <r>
    <x v="7"/>
    <x v="6"/>
    <n v="0"/>
    <x v="2"/>
    <x v="1"/>
    <x v="1"/>
    <x v="0"/>
  </r>
  <r>
    <x v="8"/>
    <x v="6"/>
    <n v="0"/>
    <x v="2"/>
    <x v="1"/>
    <x v="1"/>
    <x v="0"/>
  </r>
  <r>
    <x v="9"/>
    <x v="6"/>
    <n v="0"/>
    <x v="2"/>
    <x v="1"/>
    <x v="1"/>
    <x v="0"/>
  </r>
  <r>
    <x v="10"/>
    <x v="6"/>
    <n v="0"/>
    <x v="2"/>
    <x v="1"/>
    <x v="1"/>
    <x v="0"/>
  </r>
  <r>
    <x v="11"/>
    <x v="6"/>
    <n v="0"/>
    <x v="2"/>
    <x v="1"/>
    <x v="1"/>
    <x v="0"/>
  </r>
  <r>
    <x v="12"/>
    <x v="6"/>
    <n v="0"/>
    <x v="2"/>
    <x v="1"/>
    <x v="1"/>
    <x v="0"/>
  </r>
  <r>
    <x v="13"/>
    <x v="6"/>
    <n v="0"/>
    <x v="2"/>
    <x v="1"/>
    <x v="1"/>
    <x v="0"/>
  </r>
  <r>
    <x v="14"/>
    <x v="6"/>
    <n v="0"/>
    <x v="2"/>
    <x v="1"/>
    <x v="1"/>
    <x v="0"/>
  </r>
  <r>
    <x v="15"/>
    <x v="6"/>
    <n v="0"/>
    <x v="2"/>
    <x v="1"/>
    <x v="1"/>
    <x v="0"/>
  </r>
  <r>
    <x v="0"/>
    <x v="7"/>
    <n v="14.85"/>
    <x v="2"/>
    <x v="1"/>
    <x v="1"/>
    <x v="0"/>
  </r>
  <r>
    <x v="1"/>
    <x v="7"/>
    <n v="0"/>
    <x v="2"/>
    <x v="1"/>
    <x v="1"/>
    <x v="0"/>
  </r>
  <r>
    <x v="2"/>
    <x v="7"/>
    <n v="0"/>
    <x v="2"/>
    <x v="1"/>
    <x v="1"/>
    <x v="0"/>
  </r>
  <r>
    <x v="3"/>
    <x v="7"/>
    <n v="0"/>
    <x v="2"/>
    <x v="1"/>
    <x v="1"/>
    <x v="0"/>
  </r>
  <r>
    <x v="4"/>
    <x v="7"/>
    <n v="0"/>
    <x v="2"/>
    <x v="1"/>
    <x v="1"/>
    <x v="0"/>
  </r>
  <r>
    <x v="5"/>
    <x v="7"/>
    <n v="0"/>
    <x v="2"/>
    <x v="1"/>
    <x v="1"/>
    <x v="0"/>
  </r>
  <r>
    <x v="6"/>
    <x v="7"/>
    <n v="0"/>
    <x v="2"/>
    <x v="1"/>
    <x v="1"/>
    <x v="0"/>
  </r>
  <r>
    <x v="7"/>
    <x v="7"/>
    <n v="0"/>
    <x v="2"/>
    <x v="1"/>
    <x v="1"/>
    <x v="0"/>
  </r>
  <r>
    <x v="8"/>
    <x v="7"/>
    <n v="0"/>
    <x v="2"/>
    <x v="1"/>
    <x v="1"/>
    <x v="0"/>
  </r>
  <r>
    <x v="9"/>
    <x v="7"/>
    <n v="0"/>
    <x v="2"/>
    <x v="1"/>
    <x v="1"/>
    <x v="0"/>
  </r>
  <r>
    <x v="10"/>
    <x v="7"/>
    <n v="0"/>
    <x v="2"/>
    <x v="1"/>
    <x v="1"/>
    <x v="0"/>
  </r>
  <r>
    <x v="11"/>
    <x v="7"/>
    <n v="0"/>
    <x v="2"/>
    <x v="1"/>
    <x v="1"/>
    <x v="0"/>
  </r>
  <r>
    <x v="12"/>
    <x v="7"/>
    <n v="0"/>
    <x v="2"/>
    <x v="1"/>
    <x v="1"/>
    <x v="0"/>
  </r>
  <r>
    <x v="13"/>
    <x v="7"/>
    <n v="0"/>
    <x v="2"/>
    <x v="1"/>
    <x v="1"/>
    <x v="0"/>
  </r>
  <r>
    <x v="14"/>
    <x v="7"/>
    <n v="0"/>
    <x v="2"/>
    <x v="1"/>
    <x v="1"/>
    <x v="0"/>
  </r>
  <r>
    <x v="15"/>
    <x v="7"/>
    <n v="0"/>
    <x v="2"/>
    <x v="1"/>
    <x v="1"/>
    <x v="0"/>
  </r>
  <r>
    <x v="0"/>
    <x v="8"/>
    <n v="10078.9"/>
    <x v="2"/>
    <x v="1"/>
    <x v="1"/>
    <x v="0"/>
  </r>
  <r>
    <x v="1"/>
    <x v="8"/>
    <n v="1615.75"/>
    <x v="2"/>
    <x v="1"/>
    <x v="1"/>
    <x v="0"/>
  </r>
  <r>
    <x v="2"/>
    <x v="8"/>
    <n v="1615.75"/>
    <x v="2"/>
    <x v="1"/>
    <x v="1"/>
    <x v="0"/>
  </r>
  <r>
    <x v="3"/>
    <x v="8"/>
    <n v="5195.0200000000004"/>
    <x v="2"/>
    <x v="1"/>
    <x v="1"/>
    <x v="0"/>
  </r>
  <r>
    <x v="4"/>
    <x v="8"/>
    <n v="5195.0200000000004"/>
    <x v="2"/>
    <x v="1"/>
    <x v="1"/>
    <x v="0"/>
  </r>
  <r>
    <x v="5"/>
    <x v="8"/>
    <n v="8011.01"/>
    <x v="2"/>
    <x v="1"/>
    <x v="1"/>
    <x v="0"/>
  </r>
  <r>
    <x v="6"/>
    <x v="8"/>
    <n v="8011.01"/>
    <x v="2"/>
    <x v="1"/>
    <x v="1"/>
    <x v="0"/>
  </r>
  <r>
    <x v="7"/>
    <x v="8"/>
    <n v="8824.2900000000009"/>
    <x v="2"/>
    <x v="1"/>
    <x v="1"/>
    <x v="0"/>
  </r>
  <r>
    <x v="8"/>
    <x v="8"/>
    <n v="8824.2900000000009"/>
    <x v="2"/>
    <x v="1"/>
    <x v="1"/>
    <x v="0"/>
  </r>
  <r>
    <x v="9"/>
    <x v="8"/>
    <n v="17782.400000000001"/>
    <x v="2"/>
    <x v="1"/>
    <x v="1"/>
    <x v="0"/>
  </r>
  <r>
    <x v="10"/>
    <x v="8"/>
    <n v="17782.400000000001"/>
    <x v="2"/>
    <x v="1"/>
    <x v="1"/>
    <x v="0"/>
  </r>
  <r>
    <x v="11"/>
    <x v="8"/>
    <n v="10917"/>
    <x v="2"/>
    <x v="1"/>
    <x v="1"/>
    <x v="0"/>
  </r>
  <r>
    <x v="12"/>
    <x v="8"/>
    <n v="10917"/>
    <x v="2"/>
    <x v="1"/>
    <x v="1"/>
    <x v="0"/>
  </r>
  <r>
    <x v="13"/>
    <x v="8"/>
    <n v="18032.3"/>
    <x v="2"/>
    <x v="1"/>
    <x v="1"/>
    <x v="0"/>
  </r>
  <r>
    <x v="14"/>
    <x v="8"/>
    <n v="18032.3"/>
    <x v="2"/>
    <x v="1"/>
    <x v="1"/>
    <x v="0"/>
  </r>
  <r>
    <x v="15"/>
    <x v="8"/>
    <n v="18032.3"/>
    <x v="2"/>
    <x v="1"/>
    <x v="1"/>
    <x v="0"/>
  </r>
  <r>
    <x v="0"/>
    <x v="9"/>
    <n v="8181.05"/>
    <x v="2"/>
    <x v="1"/>
    <x v="1"/>
    <x v="0"/>
  </r>
  <r>
    <x v="1"/>
    <x v="9"/>
    <n v="1573.42"/>
    <x v="2"/>
    <x v="1"/>
    <x v="1"/>
    <x v="0"/>
  </r>
  <r>
    <x v="2"/>
    <x v="9"/>
    <n v="1573.42"/>
    <x v="2"/>
    <x v="1"/>
    <x v="1"/>
    <x v="0"/>
  </r>
  <r>
    <x v="3"/>
    <x v="9"/>
    <n v="1890.23"/>
    <x v="2"/>
    <x v="1"/>
    <x v="1"/>
    <x v="0"/>
  </r>
  <r>
    <x v="4"/>
    <x v="9"/>
    <n v="1890.23"/>
    <x v="2"/>
    <x v="1"/>
    <x v="1"/>
    <x v="0"/>
  </r>
  <r>
    <x v="5"/>
    <x v="9"/>
    <n v="1372.09"/>
    <x v="2"/>
    <x v="1"/>
    <x v="1"/>
    <x v="0"/>
  </r>
  <r>
    <x v="6"/>
    <x v="9"/>
    <n v="1372.09"/>
    <x v="2"/>
    <x v="1"/>
    <x v="1"/>
    <x v="0"/>
  </r>
  <r>
    <x v="7"/>
    <x v="9"/>
    <n v="2842.79"/>
    <x v="2"/>
    <x v="1"/>
    <x v="1"/>
    <x v="0"/>
  </r>
  <r>
    <x v="8"/>
    <x v="9"/>
    <n v="2842.79"/>
    <x v="2"/>
    <x v="1"/>
    <x v="1"/>
    <x v="0"/>
  </r>
  <r>
    <x v="9"/>
    <x v="9"/>
    <n v="5229.34"/>
    <x v="2"/>
    <x v="1"/>
    <x v="1"/>
    <x v="0"/>
  </r>
  <r>
    <x v="10"/>
    <x v="9"/>
    <n v="5229.34"/>
    <x v="2"/>
    <x v="1"/>
    <x v="1"/>
    <x v="0"/>
  </r>
  <r>
    <x v="11"/>
    <x v="9"/>
    <n v="990.774"/>
    <x v="2"/>
    <x v="1"/>
    <x v="1"/>
    <x v="0"/>
  </r>
  <r>
    <x v="12"/>
    <x v="9"/>
    <n v="990.774"/>
    <x v="2"/>
    <x v="1"/>
    <x v="1"/>
    <x v="0"/>
  </r>
  <r>
    <x v="13"/>
    <x v="9"/>
    <n v="1364.56"/>
    <x v="2"/>
    <x v="1"/>
    <x v="1"/>
    <x v="0"/>
  </r>
  <r>
    <x v="14"/>
    <x v="9"/>
    <n v="1364.56"/>
    <x v="2"/>
    <x v="1"/>
    <x v="1"/>
    <x v="0"/>
  </r>
  <r>
    <x v="15"/>
    <x v="9"/>
    <n v="1364.56"/>
    <x v="2"/>
    <x v="1"/>
    <x v="1"/>
    <x v="0"/>
  </r>
  <r>
    <x v="0"/>
    <x v="1"/>
    <n v="102.45"/>
    <x v="2"/>
    <x v="1"/>
    <x v="1"/>
    <x v="1"/>
  </r>
  <r>
    <x v="1"/>
    <x v="1"/>
    <n v="9.5"/>
    <x v="2"/>
    <x v="1"/>
    <x v="1"/>
    <x v="1"/>
  </r>
  <r>
    <x v="2"/>
    <x v="1"/>
    <n v="9.5"/>
    <x v="2"/>
    <x v="1"/>
    <x v="1"/>
    <x v="1"/>
  </r>
  <r>
    <x v="3"/>
    <x v="1"/>
    <n v="0"/>
    <x v="2"/>
    <x v="1"/>
    <x v="1"/>
    <x v="1"/>
  </r>
  <r>
    <x v="4"/>
    <x v="1"/>
    <n v="0"/>
    <x v="2"/>
    <x v="1"/>
    <x v="1"/>
    <x v="1"/>
  </r>
  <r>
    <x v="5"/>
    <x v="1"/>
    <n v="0"/>
    <x v="2"/>
    <x v="1"/>
    <x v="1"/>
    <x v="1"/>
  </r>
  <r>
    <x v="6"/>
    <x v="1"/>
    <n v="0"/>
    <x v="2"/>
    <x v="1"/>
    <x v="1"/>
    <x v="1"/>
  </r>
  <r>
    <x v="7"/>
    <x v="1"/>
    <n v="0"/>
    <x v="2"/>
    <x v="1"/>
    <x v="1"/>
    <x v="1"/>
  </r>
  <r>
    <x v="8"/>
    <x v="1"/>
    <n v="0"/>
    <x v="2"/>
    <x v="1"/>
    <x v="1"/>
    <x v="1"/>
  </r>
  <r>
    <x v="9"/>
    <x v="1"/>
    <n v="0"/>
    <x v="2"/>
    <x v="1"/>
    <x v="1"/>
    <x v="1"/>
  </r>
  <r>
    <x v="10"/>
    <x v="1"/>
    <n v="0"/>
    <x v="2"/>
    <x v="1"/>
    <x v="1"/>
    <x v="1"/>
  </r>
  <r>
    <x v="11"/>
    <x v="1"/>
    <n v="0"/>
    <x v="2"/>
    <x v="1"/>
    <x v="1"/>
    <x v="1"/>
  </r>
  <r>
    <x v="12"/>
    <x v="1"/>
    <n v="0"/>
    <x v="2"/>
    <x v="1"/>
    <x v="1"/>
    <x v="1"/>
  </r>
  <r>
    <x v="13"/>
    <x v="1"/>
    <n v="0"/>
    <x v="2"/>
    <x v="1"/>
    <x v="1"/>
    <x v="1"/>
  </r>
  <r>
    <x v="14"/>
    <x v="1"/>
    <n v="0"/>
    <x v="2"/>
    <x v="1"/>
    <x v="1"/>
    <x v="1"/>
  </r>
  <r>
    <x v="15"/>
    <x v="1"/>
    <n v="0"/>
    <x v="2"/>
    <x v="1"/>
    <x v="1"/>
    <x v="1"/>
  </r>
  <r>
    <x v="0"/>
    <x v="2"/>
    <n v="0"/>
    <x v="2"/>
    <x v="1"/>
    <x v="1"/>
    <x v="1"/>
  </r>
  <r>
    <x v="1"/>
    <x v="2"/>
    <n v="0"/>
    <x v="2"/>
    <x v="1"/>
    <x v="1"/>
    <x v="1"/>
  </r>
  <r>
    <x v="2"/>
    <x v="2"/>
    <n v="0"/>
    <x v="2"/>
    <x v="1"/>
    <x v="1"/>
    <x v="1"/>
  </r>
  <r>
    <x v="3"/>
    <x v="2"/>
    <n v="0"/>
    <x v="2"/>
    <x v="1"/>
    <x v="1"/>
    <x v="1"/>
  </r>
  <r>
    <x v="4"/>
    <x v="2"/>
    <n v="0"/>
    <x v="2"/>
    <x v="1"/>
    <x v="1"/>
    <x v="1"/>
  </r>
  <r>
    <x v="5"/>
    <x v="2"/>
    <n v="0"/>
    <x v="2"/>
    <x v="1"/>
    <x v="1"/>
    <x v="1"/>
  </r>
  <r>
    <x v="6"/>
    <x v="2"/>
    <n v="0"/>
    <x v="2"/>
    <x v="1"/>
    <x v="1"/>
    <x v="1"/>
  </r>
  <r>
    <x v="7"/>
    <x v="2"/>
    <n v="0"/>
    <x v="2"/>
    <x v="1"/>
    <x v="1"/>
    <x v="1"/>
  </r>
  <r>
    <x v="8"/>
    <x v="2"/>
    <n v="0"/>
    <x v="2"/>
    <x v="1"/>
    <x v="1"/>
    <x v="1"/>
  </r>
  <r>
    <x v="9"/>
    <x v="2"/>
    <n v="0"/>
    <x v="2"/>
    <x v="1"/>
    <x v="1"/>
    <x v="1"/>
  </r>
  <r>
    <x v="10"/>
    <x v="2"/>
    <n v="0"/>
    <x v="2"/>
    <x v="1"/>
    <x v="1"/>
    <x v="1"/>
  </r>
  <r>
    <x v="11"/>
    <x v="2"/>
    <n v="0"/>
    <x v="2"/>
    <x v="1"/>
    <x v="1"/>
    <x v="1"/>
  </r>
  <r>
    <x v="12"/>
    <x v="2"/>
    <n v="0"/>
    <x v="2"/>
    <x v="1"/>
    <x v="1"/>
    <x v="1"/>
  </r>
  <r>
    <x v="13"/>
    <x v="2"/>
    <n v="0"/>
    <x v="2"/>
    <x v="1"/>
    <x v="1"/>
    <x v="1"/>
  </r>
  <r>
    <x v="14"/>
    <x v="2"/>
    <n v="0"/>
    <x v="2"/>
    <x v="1"/>
    <x v="1"/>
    <x v="1"/>
  </r>
  <r>
    <x v="15"/>
    <x v="2"/>
    <n v="0"/>
    <x v="2"/>
    <x v="1"/>
    <x v="1"/>
    <x v="1"/>
  </r>
  <r>
    <x v="0"/>
    <x v="3"/>
    <n v="13297.03"/>
    <x v="2"/>
    <x v="1"/>
    <x v="1"/>
    <x v="1"/>
  </r>
  <r>
    <x v="1"/>
    <x v="3"/>
    <n v="11277.5"/>
    <x v="2"/>
    <x v="1"/>
    <x v="1"/>
    <x v="1"/>
  </r>
  <r>
    <x v="2"/>
    <x v="3"/>
    <n v="11277.5"/>
    <x v="2"/>
    <x v="1"/>
    <x v="1"/>
    <x v="1"/>
  </r>
  <r>
    <x v="3"/>
    <x v="3"/>
    <n v="11268.4"/>
    <x v="2"/>
    <x v="1"/>
    <x v="1"/>
    <x v="1"/>
  </r>
  <r>
    <x v="4"/>
    <x v="3"/>
    <n v="11268.4"/>
    <x v="2"/>
    <x v="1"/>
    <x v="1"/>
    <x v="1"/>
  </r>
  <r>
    <x v="5"/>
    <x v="3"/>
    <n v="10829.6"/>
    <x v="2"/>
    <x v="1"/>
    <x v="1"/>
    <x v="1"/>
  </r>
  <r>
    <x v="6"/>
    <x v="3"/>
    <n v="10829.6"/>
    <x v="2"/>
    <x v="1"/>
    <x v="1"/>
    <x v="1"/>
  </r>
  <r>
    <x v="7"/>
    <x v="3"/>
    <n v="7712.85"/>
    <x v="2"/>
    <x v="1"/>
    <x v="1"/>
    <x v="1"/>
  </r>
  <r>
    <x v="8"/>
    <x v="3"/>
    <n v="7712.85"/>
    <x v="2"/>
    <x v="1"/>
    <x v="1"/>
    <x v="1"/>
  </r>
  <r>
    <x v="9"/>
    <x v="3"/>
    <n v="5627.66"/>
    <x v="2"/>
    <x v="1"/>
    <x v="1"/>
    <x v="1"/>
  </r>
  <r>
    <x v="10"/>
    <x v="3"/>
    <n v="5627.66"/>
    <x v="2"/>
    <x v="1"/>
    <x v="1"/>
    <x v="1"/>
  </r>
  <r>
    <x v="11"/>
    <x v="3"/>
    <n v="9155.01"/>
    <x v="2"/>
    <x v="1"/>
    <x v="1"/>
    <x v="1"/>
  </r>
  <r>
    <x v="12"/>
    <x v="3"/>
    <n v="9155.01"/>
    <x v="2"/>
    <x v="1"/>
    <x v="1"/>
    <x v="1"/>
  </r>
  <r>
    <x v="13"/>
    <x v="3"/>
    <n v="8447.31"/>
    <x v="2"/>
    <x v="1"/>
    <x v="1"/>
    <x v="1"/>
  </r>
  <r>
    <x v="14"/>
    <x v="3"/>
    <n v="8447.31"/>
    <x v="2"/>
    <x v="1"/>
    <x v="1"/>
    <x v="1"/>
  </r>
  <r>
    <x v="15"/>
    <x v="3"/>
    <n v="8447.31"/>
    <x v="2"/>
    <x v="1"/>
    <x v="1"/>
    <x v="1"/>
  </r>
  <r>
    <x v="0"/>
    <x v="4"/>
    <n v="0"/>
    <x v="2"/>
    <x v="1"/>
    <x v="1"/>
    <x v="1"/>
  </r>
  <r>
    <x v="1"/>
    <x v="4"/>
    <n v="0"/>
    <x v="2"/>
    <x v="1"/>
    <x v="1"/>
    <x v="1"/>
  </r>
  <r>
    <x v="2"/>
    <x v="4"/>
    <n v="0"/>
    <x v="2"/>
    <x v="1"/>
    <x v="1"/>
    <x v="1"/>
  </r>
  <r>
    <x v="3"/>
    <x v="4"/>
    <n v="0"/>
    <x v="2"/>
    <x v="1"/>
    <x v="1"/>
    <x v="1"/>
  </r>
  <r>
    <x v="4"/>
    <x v="4"/>
    <n v="0"/>
    <x v="2"/>
    <x v="1"/>
    <x v="1"/>
    <x v="1"/>
  </r>
  <r>
    <x v="5"/>
    <x v="4"/>
    <n v="0"/>
    <x v="2"/>
    <x v="1"/>
    <x v="1"/>
    <x v="1"/>
  </r>
  <r>
    <x v="6"/>
    <x v="4"/>
    <n v="0"/>
    <x v="2"/>
    <x v="1"/>
    <x v="1"/>
    <x v="1"/>
  </r>
  <r>
    <x v="7"/>
    <x v="4"/>
    <n v="0"/>
    <x v="2"/>
    <x v="1"/>
    <x v="1"/>
    <x v="1"/>
  </r>
  <r>
    <x v="8"/>
    <x v="4"/>
    <n v="0"/>
    <x v="2"/>
    <x v="1"/>
    <x v="1"/>
    <x v="1"/>
  </r>
  <r>
    <x v="9"/>
    <x v="4"/>
    <n v="0"/>
    <x v="2"/>
    <x v="1"/>
    <x v="1"/>
    <x v="1"/>
  </r>
  <r>
    <x v="10"/>
    <x v="4"/>
    <n v="0"/>
    <x v="2"/>
    <x v="1"/>
    <x v="1"/>
    <x v="1"/>
  </r>
  <r>
    <x v="11"/>
    <x v="4"/>
    <n v="0"/>
    <x v="2"/>
    <x v="1"/>
    <x v="1"/>
    <x v="1"/>
  </r>
  <r>
    <x v="12"/>
    <x v="4"/>
    <n v="0"/>
    <x v="2"/>
    <x v="1"/>
    <x v="1"/>
    <x v="1"/>
  </r>
  <r>
    <x v="13"/>
    <x v="4"/>
    <n v="0"/>
    <x v="2"/>
    <x v="1"/>
    <x v="1"/>
    <x v="1"/>
  </r>
  <r>
    <x v="14"/>
    <x v="4"/>
    <n v="0"/>
    <x v="2"/>
    <x v="1"/>
    <x v="1"/>
    <x v="1"/>
  </r>
  <r>
    <x v="15"/>
    <x v="4"/>
    <n v="0"/>
    <x v="2"/>
    <x v="1"/>
    <x v="1"/>
    <x v="1"/>
  </r>
  <r>
    <x v="0"/>
    <x v="5"/>
    <n v="1459.71"/>
    <x v="2"/>
    <x v="1"/>
    <x v="1"/>
    <x v="1"/>
  </r>
  <r>
    <x v="1"/>
    <x v="5"/>
    <n v="19.149999999999999"/>
    <x v="2"/>
    <x v="1"/>
    <x v="1"/>
    <x v="1"/>
  </r>
  <r>
    <x v="2"/>
    <x v="5"/>
    <n v="19.149999999999999"/>
    <x v="2"/>
    <x v="1"/>
    <x v="1"/>
    <x v="1"/>
  </r>
  <r>
    <x v="3"/>
    <x v="5"/>
    <n v="121"/>
    <x v="2"/>
    <x v="1"/>
    <x v="1"/>
    <x v="1"/>
  </r>
  <r>
    <x v="4"/>
    <x v="5"/>
    <n v="121"/>
    <x v="2"/>
    <x v="1"/>
    <x v="1"/>
    <x v="1"/>
  </r>
  <r>
    <x v="5"/>
    <x v="5"/>
    <n v="19"/>
    <x v="2"/>
    <x v="1"/>
    <x v="1"/>
    <x v="1"/>
  </r>
  <r>
    <x v="6"/>
    <x v="5"/>
    <n v="19"/>
    <x v="2"/>
    <x v="1"/>
    <x v="1"/>
    <x v="1"/>
  </r>
  <r>
    <x v="7"/>
    <x v="5"/>
    <n v="0"/>
    <x v="2"/>
    <x v="1"/>
    <x v="1"/>
    <x v="1"/>
  </r>
  <r>
    <x v="8"/>
    <x v="5"/>
    <n v="0"/>
    <x v="2"/>
    <x v="1"/>
    <x v="1"/>
    <x v="1"/>
  </r>
  <r>
    <x v="9"/>
    <x v="5"/>
    <n v="0"/>
    <x v="2"/>
    <x v="1"/>
    <x v="1"/>
    <x v="1"/>
  </r>
  <r>
    <x v="10"/>
    <x v="5"/>
    <n v="0"/>
    <x v="2"/>
    <x v="1"/>
    <x v="1"/>
    <x v="1"/>
  </r>
  <r>
    <x v="11"/>
    <x v="5"/>
    <n v="0"/>
    <x v="2"/>
    <x v="1"/>
    <x v="1"/>
    <x v="1"/>
  </r>
  <r>
    <x v="12"/>
    <x v="5"/>
    <n v="0"/>
    <x v="2"/>
    <x v="1"/>
    <x v="1"/>
    <x v="1"/>
  </r>
  <r>
    <x v="13"/>
    <x v="5"/>
    <n v="0"/>
    <x v="2"/>
    <x v="1"/>
    <x v="1"/>
    <x v="1"/>
  </r>
  <r>
    <x v="14"/>
    <x v="5"/>
    <n v="0"/>
    <x v="2"/>
    <x v="1"/>
    <x v="1"/>
    <x v="1"/>
  </r>
  <r>
    <x v="15"/>
    <x v="5"/>
    <n v="0"/>
    <x v="2"/>
    <x v="1"/>
    <x v="1"/>
    <x v="1"/>
  </r>
  <r>
    <x v="0"/>
    <x v="6"/>
    <n v="232.5"/>
    <x v="2"/>
    <x v="1"/>
    <x v="1"/>
    <x v="1"/>
  </r>
  <r>
    <x v="1"/>
    <x v="6"/>
    <n v="1100"/>
    <x v="2"/>
    <x v="1"/>
    <x v="1"/>
    <x v="1"/>
  </r>
  <r>
    <x v="2"/>
    <x v="6"/>
    <n v="1100"/>
    <x v="2"/>
    <x v="1"/>
    <x v="1"/>
    <x v="1"/>
  </r>
  <r>
    <x v="3"/>
    <x v="6"/>
    <n v="0"/>
    <x v="2"/>
    <x v="1"/>
    <x v="1"/>
    <x v="1"/>
  </r>
  <r>
    <x v="4"/>
    <x v="6"/>
    <n v="0"/>
    <x v="2"/>
    <x v="1"/>
    <x v="1"/>
    <x v="1"/>
  </r>
  <r>
    <x v="5"/>
    <x v="6"/>
    <n v="0"/>
    <x v="2"/>
    <x v="1"/>
    <x v="1"/>
    <x v="1"/>
  </r>
  <r>
    <x v="6"/>
    <x v="6"/>
    <n v="0"/>
    <x v="2"/>
    <x v="1"/>
    <x v="1"/>
    <x v="1"/>
  </r>
  <r>
    <x v="7"/>
    <x v="6"/>
    <n v="0"/>
    <x v="2"/>
    <x v="1"/>
    <x v="1"/>
    <x v="1"/>
  </r>
  <r>
    <x v="8"/>
    <x v="6"/>
    <n v="0"/>
    <x v="2"/>
    <x v="1"/>
    <x v="1"/>
    <x v="1"/>
  </r>
  <r>
    <x v="9"/>
    <x v="6"/>
    <n v="0"/>
    <x v="2"/>
    <x v="1"/>
    <x v="1"/>
    <x v="1"/>
  </r>
  <r>
    <x v="10"/>
    <x v="6"/>
    <n v="0"/>
    <x v="2"/>
    <x v="1"/>
    <x v="1"/>
    <x v="1"/>
  </r>
  <r>
    <x v="11"/>
    <x v="6"/>
    <n v="0"/>
    <x v="2"/>
    <x v="1"/>
    <x v="1"/>
    <x v="1"/>
  </r>
  <r>
    <x v="12"/>
    <x v="6"/>
    <n v="0"/>
    <x v="2"/>
    <x v="1"/>
    <x v="1"/>
    <x v="1"/>
  </r>
  <r>
    <x v="13"/>
    <x v="6"/>
    <n v="0"/>
    <x v="2"/>
    <x v="1"/>
    <x v="1"/>
    <x v="1"/>
  </r>
  <r>
    <x v="14"/>
    <x v="6"/>
    <n v="0"/>
    <x v="2"/>
    <x v="1"/>
    <x v="1"/>
    <x v="1"/>
  </r>
  <r>
    <x v="15"/>
    <x v="6"/>
    <n v="0"/>
    <x v="2"/>
    <x v="1"/>
    <x v="1"/>
    <x v="1"/>
  </r>
  <r>
    <x v="0"/>
    <x v="7"/>
    <n v="14.85"/>
    <x v="2"/>
    <x v="1"/>
    <x v="1"/>
    <x v="1"/>
  </r>
  <r>
    <x v="1"/>
    <x v="7"/>
    <n v="0"/>
    <x v="2"/>
    <x v="1"/>
    <x v="1"/>
    <x v="1"/>
  </r>
  <r>
    <x v="2"/>
    <x v="7"/>
    <n v="0"/>
    <x v="2"/>
    <x v="1"/>
    <x v="1"/>
    <x v="1"/>
  </r>
  <r>
    <x v="3"/>
    <x v="7"/>
    <n v="0"/>
    <x v="2"/>
    <x v="1"/>
    <x v="1"/>
    <x v="1"/>
  </r>
  <r>
    <x v="4"/>
    <x v="7"/>
    <n v="0"/>
    <x v="2"/>
    <x v="1"/>
    <x v="1"/>
    <x v="1"/>
  </r>
  <r>
    <x v="5"/>
    <x v="7"/>
    <n v="0"/>
    <x v="2"/>
    <x v="1"/>
    <x v="1"/>
    <x v="1"/>
  </r>
  <r>
    <x v="6"/>
    <x v="7"/>
    <n v="0"/>
    <x v="2"/>
    <x v="1"/>
    <x v="1"/>
    <x v="1"/>
  </r>
  <r>
    <x v="7"/>
    <x v="7"/>
    <n v="0"/>
    <x v="2"/>
    <x v="1"/>
    <x v="1"/>
    <x v="1"/>
  </r>
  <r>
    <x v="8"/>
    <x v="7"/>
    <n v="0"/>
    <x v="2"/>
    <x v="1"/>
    <x v="1"/>
    <x v="1"/>
  </r>
  <r>
    <x v="9"/>
    <x v="7"/>
    <n v="0"/>
    <x v="2"/>
    <x v="1"/>
    <x v="1"/>
    <x v="1"/>
  </r>
  <r>
    <x v="10"/>
    <x v="7"/>
    <n v="0"/>
    <x v="2"/>
    <x v="1"/>
    <x v="1"/>
    <x v="1"/>
  </r>
  <r>
    <x v="11"/>
    <x v="7"/>
    <n v="0"/>
    <x v="2"/>
    <x v="1"/>
    <x v="1"/>
    <x v="1"/>
  </r>
  <r>
    <x v="12"/>
    <x v="7"/>
    <n v="0"/>
    <x v="2"/>
    <x v="1"/>
    <x v="1"/>
    <x v="1"/>
  </r>
  <r>
    <x v="13"/>
    <x v="7"/>
    <n v="0"/>
    <x v="2"/>
    <x v="1"/>
    <x v="1"/>
    <x v="1"/>
  </r>
  <r>
    <x v="14"/>
    <x v="7"/>
    <n v="0"/>
    <x v="2"/>
    <x v="1"/>
    <x v="1"/>
    <x v="1"/>
  </r>
  <r>
    <x v="15"/>
    <x v="7"/>
    <n v="0"/>
    <x v="2"/>
    <x v="1"/>
    <x v="1"/>
    <x v="1"/>
  </r>
  <r>
    <x v="0"/>
    <x v="8"/>
    <n v="9632.0400000000009"/>
    <x v="2"/>
    <x v="1"/>
    <x v="1"/>
    <x v="1"/>
  </r>
  <r>
    <x v="1"/>
    <x v="8"/>
    <n v="1537.7"/>
    <x v="2"/>
    <x v="1"/>
    <x v="1"/>
    <x v="1"/>
  </r>
  <r>
    <x v="2"/>
    <x v="8"/>
    <n v="1537.7"/>
    <x v="2"/>
    <x v="1"/>
    <x v="1"/>
    <x v="1"/>
  </r>
  <r>
    <x v="3"/>
    <x v="8"/>
    <n v="4192.5200000000004"/>
    <x v="2"/>
    <x v="1"/>
    <x v="1"/>
    <x v="1"/>
  </r>
  <r>
    <x v="4"/>
    <x v="8"/>
    <n v="4192.5200000000004"/>
    <x v="2"/>
    <x v="1"/>
    <x v="1"/>
    <x v="1"/>
  </r>
  <r>
    <x v="5"/>
    <x v="8"/>
    <n v="3568.77"/>
    <x v="2"/>
    <x v="1"/>
    <x v="1"/>
    <x v="1"/>
  </r>
  <r>
    <x v="6"/>
    <x v="8"/>
    <n v="3568.77"/>
    <x v="2"/>
    <x v="1"/>
    <x v="1"/>
    <x v="1"/>
  </r>
  <r>
    <x v="7"/>
    <x v="8"/>
    <n v="4656.1000000000004"/>
    <x v="2"/>
    <x v="1"/>
    <x v="1"/>
    <x v="1"/>
  </r>
  <r>
    <x v="8"/>
    <x v="8"/>
    <n v="4656.1000000000004"/>
    <x v="2"/>
    <x v="1"/>
    <x v="1"/>
    <x v="1"/>
  </r>
  <r>
    <x v="9"/>
    <x v="8"/>
    <n v="10416.1"/>
    <x v="2"/>
    <x v="1"/>
    <x v="1"/>
    <x v="1"/>
  </r>
  <r>
    <x v="10"/>
    <x v="8"/>
    <n v="10416.1"/>
    <x v="2"/>
    <x v="1"/>
    <x v="1"/>
    <x v="1"/>
  </r>
  <r>
    <x v="11"/>
    <x v="8"/>
    <n v="5599.25"/>
    <x v="2"/>
    <x v="1"/>
    <x v="1"/>
    <x v="1"/>
  </r>
  <r>
    <x v="12"/>
    <x v="8"/>
    <n v="5599.25"/>
    <x v="2"/>
    <x v="1"/>
    <x v="1"/>
    <x v="1"/>
  </r>
  <r>
    <x v="13"/>
    <x v="8"/>
    <n v="5561.57"/>
    <x v="2"/>
    <x v="1"/>
    <x v="1"/>
    <x v="1"/>
  </r>
  <r>
    <x v="14"/>
    <x v="8"/>
    <n v="5561.57"/>
    <x v="2"/>
    <x v="1"/>
    <x v="1"/>
    <x v="1"/>
  </r>
  <r>
    <x v="15"/>
    <x v="8"/>
    <n v="5561.57"/>
    <x v="2"/>
    <x v="1"/>
    <x v="1"/>
    <x v="1"/>
  </r>
  <r>
    <x v="0"/>
    <x v="9"/>
    <n v="8219.09"/>
    <x v="2"/>
    <x v="1"/>
    <x v="1"/>
    <x v="1"/>
  </r>
  <r>
    <x v="1"/>
    <x v="9"/>
    <n v="1747.83"/>
    <x v="2"/>
    <x v="1"/>
    <x v="1"/>
    <x v="1"/>
  </r>
  <r>
    <x v="2"/>
    <x v="9"/>
    <n v="1747.83"/>
    <x v="2"/>
    <x v="1"/>
    <x v="1"/>
    <x v="1"/>
  </r>
  <r>
    <x v="3"/>
    <x v="9"/>
    <n v="2124.15"/>
    <x v="2"/>
    <x v="1"/>
    <x v="1"/>
    <x v="1"/>
  </r>
  <r>
    <x v="4"/>
    <x v="9"/>
    <n v="2124.15"/>
    <x v="2"/>
    <x v="1"/>
    <x v="1"/>
    <x v="1"/>
  </r>
  <r>
    <x v="5"/>
    <x v="9"/>
    <n v="1743.05"/>
    <x v="2"/>
    <x v="1"/>
    <x v="1"/>
    <x v="1"/>
  </r>
  <r>
    <x v="6"/>
    <x v="9"/>
    <n v="1743.05"/>
    <x v="2"/>
    <x v="1"/>
    <x v="1"/>
    <x v="1"/>
  </r>
  <r>
    <x v="7"/>
    <x v="9"/>
    <n v="2193.06"/>
    <x v="2"/>
    <x v="1"/>
    <x v="1"/>
    <x v="1"/>
  </r>
  <r>
    <x v="8"/>
    <x v="9"/>
    <n v="2193.06"/>
    <x v="2"/>
    <x v="1"/>
    <x v="1"/>
    <x v="1"/>
  </r>
  <r>
    <x v="9"/>
    <x v="9"/>
    <n v="8107.23"/>
    <x v="2"/>
    <x v="1"/>
    <x v="1"/>
    <x v="1"/>
  </r>
  <r>
    <x v="10"/>
    <x v="9"/>
    <n v="8107.23"/>
    <x v="2"/>
    <x v="1"/>
    <x v="1"/>
    <x v="1"/>
  </r>
  <r>
    <x v="11"/>
    <x v="9"/>
    <n v="3001.81"/>
    <x v="2"/>
    <x v="1"/>
    <x v="1"/>
    <x v="1"/>
  </r>
  <r>
    <x v="12"/>
    <x v="9"/>
    <n v="3001.81"/>
    <x v="2"/>
    <x v="1"/>
    <x v="1"/>
    <x v="1"/>
  </r>
  <r>
    <x v="13"/>
    <x v="9"/>
    <n v="3453.73"/>
    <x v="2"/>
    <x v="1"/>
    <x v="1"/>
    <x v="1"/>
  </r>
  <r>
    <x v="14"/>
    <x v="9"/>
    <n v="3453.73"/>
    <x v="2"/>
    <x v="1"/>
    <x v="1"/>
    <x v="1"/>
  </r>
  <r>
    <x v="15"/>
    <x v="9"/>
    <n v="3453.73"/>
    <x v="2"/>
    <x v="1"/>
    <x v="1"/>
    <x v="1"/>
  </r>
  <r>
    <x v="0"/>
    <x v="1"/>
    <n v="102.45"/>
    <x v="2"/>
    <x v="1"/>
    <x v="1"/>
    <x v="2"/>
  </r>
  <r>
    <x v="1"/>
    <x v="1"/>
    <n v="9.5"/>
    <x v="2"/>
    <x v="1"/>
    <x v="1"/>
    <x v="2"/>
  </r>
  <r>
    <x v="2"/>
    <x v="1"/>
    <n v="9.5"/>
    <x v="2"/>
    <x v="1"/>
    <x v="1"/>
    <x v="2"/>
  </r>
  <r>
    <x v="3"/>
    <x v="1"/>
    <n v="0"/>
    <x v="2"/>
    <x v="1"/>
    <x v="1"/>
    <x v="2"/>
  </r>
  <r>
    <x v="4"/>
    <x v="1"/>
    <n v="0"/>
    <x v="2"/>
    <x v="1"/>
    <x v="1"/>
    <x v="2"/>
  </r>
  <r>
    <x v="5"/>
    <x v="1"/>
    <n v="0"/>
    <x v="2"/>
    <x v="1"/>
    <x v="1"/>
    <x v="2"/>
  </r>
  <r>
    <x v="6"/>
    <x v="1"/>
    <n v="0"/>
    <x v="2"/>
    <x v="1"/>
    <x v="1"/>
    <x v="2"/>
  </r>
  <r>
    <x v="7"/>
    <x v="1"/>
    <n v="0"/>
    <x v="2"/>
    <x v="1"/>
    <x v="1"/>
    <x v="2"/>
  </r>
  <r>
    <x v="8"/>
    <x v="1"/>
    <n v="0"/>
    <x v="2"/>
    <x v="1"/>
    <x v="1"/>
    <x v="2"/>
  </r>
  <r>
    <x v="9"/>
    <x v="1"/>
    <n v="0"/>
    <x v="2"/>
    <x v="1"/>
    <x v="1"/>
    <x v="2"/>
  </r>
  <r>
    <x v="10"/>
    <x v="1"/>
    <n v="0"/>
    <x v="2"/>
    <x v="1"/>
    <x v="1"/>
    <x v="2"/>
  </r>
  <r>
    <x v="11"/>
    <x v="1"/>
    <n v="0"/>
    <x v="2"/>
    <x v="1"/>
    <x v="1"/>
    <x v="2"/>
  </r>
  <r>
    <x v="12"/>
    <x v="1"/>
    <n v="0"/>
    <x v="2"/>
    <x v="1"/>
    <x v="1"/>
    <x v="2"/>
  </r>
  <r>
    <x v="13"/>
    <x v="1"/>
    <n v="0"/>
    <x v="2"/>
    <x v="1"/>
    <x v="1"/>
    <x v="2"/>
  </r>
  <r>
    <x v="14"/>
    <x v="1"/>
    <n v="0"/>
    <x v="2"/>
    <x v="1"/>
    <x v="1"/>
    <x v="2"/>
  </r>
  <r>
    <x v="15"/>
    <x v="1"/>
    <n v="0"/>
    <x v="2"/>
    <x v="1"/>
    <x v="1"/>
    <x v="2"/>
  </r>
  <r>
    <x v="0"/>
    <x v="2"/>
    <n v="0"/>
    <x v="2"/>
    <x v="1"/>
    <x v="1"/>
    <x v="2"/>
  </r>
  <r>
    <x v="1"/>
    <x v="2"/>
    <n v="0"/>
    <x v="2"/>
    <x v="1"/>
    <x v="1"/>
    <x v="2"/>
  </r>
  <r>
    <x v="2"/>
    <x v="2"/>
    <n v="0"/>
    <x v="2"/>
    <x v="1"/>
    <x v="1"/>
    <x v="2"/>
  </r>
  <r>
    <x v="3"/>
    <x v="2"/>
    <n v="0"/>
    <x v="2"/>
    <x v="1"/>
    <x v="1"/>
    <x v="2"/>
  </r>
  <r>
    <x v="4"/>
    <x v="2"/>
    <n v="0"/>
    <x v="2"/>
    <x v="1"/>
    <x v="1"/>
    <x v="2"/>
  </r>
  <r>
    <x v="5"/>
    <x v="2"/>
    <n v="0"/>
    <x v="2"/>
    <x v="1"/>
    <x v="1"/>
    <x v="2"/>
  </r>
  <r>
    <x v="6"/>
    <x v="2"/>
    <n v="0"/>
    <x v="2"/>
    <x v="1"/>
    <x v="1"/>
    <x v="2"/>
  </r>
  <r>
    <x v="7"/>
    <x v="2"/>
    <n v="0"/>
    <x v="2"/>
    <x v="1"/>
    <x v="1"/>
    <x v="2"/>
  </r>
  <r>
    <x v="8"/>
    <x v="2"/>
    <n v="0"/>
    <x v="2"/>
    <x v="1"/>
    <x v="1"/>
    <x v="2"/>
  </r>
  <r>
    <x v="9"/>
    <x v="2"/>
    <n v="0"/>
    <x v="2"/>
    <x v="1"/>
    <x v="1"/>
    <x v="2"/>
  </r>
  <r>
    <x v="10"/>
    <x v="2"/>
    <n v="0"/>
    <x v="2"/>
    <x v="1"/>
    <x v="1"/>
    <x v="2"/>
  </r>
  <r>
    <x v="11"/>
    <x v="2"/>
    <n v="0"/>
    <x v="2"/>
    <x v="1"/>
    <x v="1"/>
    <x v="2"/>
  </r>
  <r>
    <x v="12"/>
    <x v="2"/>
    <n v="0"/>
    <x v="2"/>
    <x v="1"/>
    <x v="1"/>
    <x v="2"/>
  </r>
  <r>
    <x v="13"/>
    <x v="2"/>
    <n v="0"/>
    <x v="2"/>
    <x v="1"/>
    <x v="1"/>
    <x v="2"/>
  </r>
  <r>
    <x v="14"/>
    <x v="2"/>
    <n v="0"/>
    <x v="2"/>
    <x v="1"/>
    <x v="1"/>
    <x v="2"/>
  </r>
  <r>
    <x v="15"/>
    <x v="2"/>
    <n v="0"/>
    <x v="2"/>
    <x v="1"/>
    <x v="1"/>
    <x v="2"/>
  </r>
  <r>
    <x v="0"/>
    <x v="3"/>
    <n v="13297.23"/>
    <x v="2"/>
    <x v="1"/>
    <x v="1"/>
    <x v="2"/>
  </r>
  <r>
    <x v="1"/>
    <x v="3"/>
    <n v="11288.6"/>
    <x v="2"/>
    <x v="1"/>
    <x v="1"/>
    <x v="2"/>
  </r>
  <r>
    <x v="2"/>
    <x v="3"/>
    <n v="11288.6"/>
    <x v="2"/>
    <x v="1"/>
    <x v="1"/>
    <x v="2"/>
  </r>
  <r>
    <x v="3"/>
    <x v="3"/>
    <n v="11172.1"/>
    <x v="2"/>
    <x v="1"/>
    <x v="1"/>
    <x v="2"/>
  </r>
  <r>
    <x v="4"/>
    <x v="3"/>
    <n v="11172.1"/>
    <x v="2"/>
    <x v="1"/>
    <x v="1"/>
    <x v="2"/>
  </r>
  <r>
    <x v="5"/>
    <x v="3"/>
    <n v="10739.5"/>
    <x v="2"/>
    <x v="1"/>
    <x v="1"/>
    <x v="2"/>
  </r>
  <r>
    <x v="6"/>
    <x v="3"/>
    <n v="10739.5"/>
    <x v="2"/>
    <x v="1"/>
    <x v="1"/>
    <x v="2"/>
  </r>
  <r>
    <x v="7"/>
    <x v="3"/>
    <n v="7665.94"/>
    <x v="2"/>
    <x v="1"/>
    <x v="1"/>
    <x v="2"/>
  </r>
  <r>
    <x v="8"/>
    <x v="3"/>
    <n v="7665.94"/>
    <x v="2"/>
    <x v="1"/>
    <x v="1"/>
    <x v="2"/>
  </r>
  <r>
    <x v="9"/>
    <x v="3"/>
    <n v="5379.22"/>
    <x v="2"/>
    <x v="1"/>
    <x v="1"/>
    <x v="2"/>
  </r>
  <r>
    <x v="10"/>
    <x v="3"/>
    <n v="5379.22"/>
    <x v="2"/>
    <x v="1"/>
    <x v="1"/>
    <x v="2"/>
  </r>
  <r>
    <x v="11"/>
    <x v="3"/>
    <n v="8419.06"/>
    <x v="2"/>
    <x v="1"/>
    <x v="1"/>
    <x v="2"/>
  </r>
  <r>
    <x v="12"/>
    <x v="3"/>
    <n v="8419.06"/>
    <x v="2"/>
    <x v="1"/>
    <x v="1"/>
    <x v="2"/>
  </r>
  <r>
    <x v="13"/>
    <x v="3"/>
    <n v="8036.46"/>
    <x v="2"/>
    <x v="1"/>
    <x v="1"/>
    <x v="2"/>
  </r>
  <r>
    <x v="14"/>
    <x v="3"/>
    <n v="8036.46"/>
    <x v="2"/>
    <x v="1"/>
    <x v="1"/>
    <x v="2"/>
  </r>
  <r>
    <x v="15"/>
    <x v="3"/>
    <n v="8036.46"/>
    <x v="2"/>
    <x v="1"/>
    <x v="1"/>
    <x v="2"/>
  </r>
  <r>
    <x v="0"/>
    <x v="4"/>
    <n v="0"/>
    <x v="2"/>
    <x v="1"/>
    <x v="1"/>
    <x v="2"/>
  </r>
  <r>
    <x v="1"/>
    <x v="4"/>
    <n v="0"/>
    <x v="2"/>
    <x v="1"/>
    <x v="1"/>
    <x v="2"/>
  </r>
  <r>
    <x v="2"/>
    <x v="4"/>
    <n v="0"/>
    <x v="2"/>
    <x v="1"/>
    <x v="1"/>
    <x v="2"/>
  </r>
  <r>
    <x v="3"/>
    <x v="4"/>
    <n v="0"/>
    <x v="2"/>
    <x v="1"/>
    <x v="1"/>
    <x v="2"/>
  </r>
  <r>
    <x v="4"/>
    <x v="4"/>
    <n v="0"/>
    <x v="2"/>
    <x v="1"/>
    <x v="1"/>
    <x v="2"/>
  </r>
  <r>
    <x v="5"/>
    <x v="4"/>
    <n v="0"/>
    <x v="2"/>
    <x v="1"/>
    <x v="1"/>
    <x v="2"/>
  </r>
  <r>
    <x v="6"/>
    <x v="4"/>
    <n v="0"/>
    <x v="2"/>
    <x v="1"/>
    <x v="1"/>
    <x v="2"/>
  </r>
  <r>
    <x v="7"/>
    <x v="4"/>
    <n v="0"/>
    <x v="2"/>
    <x v="1"/>
    <x v="1"/>
    <x v="2"/>
  </r>
  <r>
    <x v="8"/>
    <x v="4"/>
    <n v="0"/>
    <x v="2"/>
    <x v="1"/>
    <x v="1"/>
    <x v="2"/>
  </r>
  <r>
    <x v="9"/>
    <x v="4"/>
    <n v="0"/>
    <x v="2"/>
    <x v="1"/>
    <x v="1"/>
    <x v="2"/>
  </r>
  <r>
    <x v="10"/>
    <x v="4"/>
    <n v="0"/>
    <x v="2"/>
    <x v="1"/>
    <x v="1"/>
    <x v="2"/>
  </r>
  <r>
    <x v="11"/>
    <x v="4"/>
    <n v="0"/>
    <x v="2"/>
    <x v="1"/>
    <x v="1"/>
    <x v="2"/>
  </r>
  <r>
    <x v="12"/>
    <x v="4"/>
    <n v="0"/>
    <x v="2"/>
    <x v="1"/>
    <x v="1"/>
    <x v="2"/>
  </r>
  <r>
    <x v="13"/>
    <x v="4"/>
    <n v="0"/>
    <x v="2"/>
    <x v="1"/>
    <x v="1"/>
    <x v="2"/>
  </r>
  <r>
    <x v="14"/>
    <x v="4"/>
    <n v="0"/>
    <x v="2"/>
    <x v="1"/>
    <x v="1"/>
    <x v="2"/>
  </r>
  <r>
    <x v="15"/>
    <x v="4"/>
    <n v="0"/>
    <x v="2"/>
    <x v="1"/>
    <x v="1"/>
    <x v="2"/>
  </r>
  <r>
    <x v="0"/>
    <x v="5"/>
    <n v="1450.21"/>
    <x v="2"/>
    <x v="1"/>
    <x v="1"/>
    <x v="2"/>
  </r>
  <r>
    <x v="1"/>
    <x v="5"/>
    <n v="19.149999999999999"/>
    <x v="2"/>
    <x v="1"/>
    <x v="1"/>
    <x v="2"/>
  </r>
  <r>
    <x v="2"/>
    <x v="5"/>
    <n v="19.149999999999999"/>
    <x v="2"/>
    <x v="1"/>
    <x v="1"/>
    <x v="2"/>
  </r>
  <r>
    <x v="3"/>
    <x v="5"/>
    <n v="26.5"/>
    <x v="2"/>
    <x v="1"/>
    <x v="1"/>
    <x v="2"/>
  </r>
  <r>
    <x v="4"/>
    <x v="5"/>
    <n v="26.5"/>
    <x v="2"/>
    <x v="1"/>
    <x v="1"/>
    <x v="2"/>
  </r>
  <r>
    <x v="5"/>
    <x v="5"/>
    <n v="94.5"/>
    <x v="2"/>
    <x v="1"/>
    <x v="1"/>
    <x v="2"/>
  </r>
  <r>
    <x v="6"/>
    <x v="5"/>
    <n v="94.5"/>
    <x v="2"/>
    <x v="1"/>
    <x v="1"/>
    <x v="2"/>
  </r>
  <r>
    <x v="7"/>
    <x v="5"/>
    <n v="19"/>
    <x v="2"/>
    <x v="1"/>
    <x v="1"/>
    <x v="2"/>
  </r>
  <r>
    <x v="8"/>
    <x v="5"/>
    <n v="19"/>
    <x v="2"/>
    <x v="1"/>
    <x v="1"/>
    <x v="2"/>
  </r>
  <r>
    <x v="9"/>
    <x v="5"/>
    <n v="0"/>
    <x v="2"/>
    <x v="1"/>
    <x v="1"/>
    <x v="2"/>
  </r>
  <r>
    <x v="10"/>
    <x v="5"/>
    <n v="0"/>
    <x v="2"/>
    <x v="1"/>
    <x v="1"/>
    <x v="2"/>
  </r>
  <r>
    <x v="11"/>
    <x v="5"/>
    <n v="0"/>
    <x v="2"/>
    <x v="1"/>
    <x v="1"/>
    <x v="2"/>
  </r>
  <r>
    <x v="12"/>
    <x v="5"/>
    <n v="0"/>
    <x v="2"/>
    <x v="1"/>
    <x v="1"/>
    <x v="2"/>
  </r>
  <r>
    <x v="13"/>
    <x v="5"/>
    <n v="0"/>
    <x v="2"/>
    <x v="1"/>
    <x v="1"/>
    <x v="2"/>
  </r>
  <r>
    <x v="14"/>
    <x v="5"/>
    <n v="0"/>
    <x v="2"/>
    <x v="1"/>
    <x v="1"/>
    <x v="2"/>
  </r>
  <r>
    <x v="15"/>
    <x v="5"/>
    <n v="0"/>
    <x v="2"/>
    <x v="1"/>
    <x v="1"/>
    <x v="2"/>
  </r>
  <r>
    <x v="0"/>
    <x v="6"/>
    <n v="232.5"/>
    <x v="2"/>
    <x v="1"/>
    <x v="1"/>
    <x v="2"/>
  </r>
  <r>
    <x v="1"/>
    <x v="6"/>
    <n v="1100"/>
    <x v="2"/>
    <x v="1"/>
    <x v="1"/>
    <x v="2"/>
  </r>
  <r>
    <x v="2"/>
    <x v="6"/>
    <n v="1100"/>
    <x v="2"/>
    <x v="1"/>
    <x v="1"/>
    <x v="2"/>
  </r>
  <r>
    <x v="3"/>
    <x v="6"/>
    <n v="0"/>
    <x v="2"/>
    <x v="1"/>
    <x v="1"/>
    <x v="2"/>
  </r>
  <r>
    <x v="4"/>
    <x v="6"/>
    <n v="0"/>
    <x v="2"/>
    <x v="1"/>
    <x v="1"/>
    <x v="2"/>
  </r>
  <r>
    <x v="5"/>
    <x v="6"/>
    <n v="0"/>
    <x v="2"/>
    <x v="1"/>
    <x v="1"/>
    <x v="2"/>
  </r>
  <r>
    <x v="6"/>
    <x v="6"/>
    <n v="0"/>
    <x v="2"/>
    <x v="1"/>
    <x v="1"/>
    <x v="2"/>
  </r>
  <r>
    <x v="7"/>
    <x v="6"/>
    <n v="0"/>
    <x v="2"/>
    <x v="1"/>
    <x v="1"/>
    <x v="2"/>
  </r>
  <r>
    <x v="8"/>
    <x v="6"/>
    <n v="0"/>
    <x v="2"/>
    <x v="1"/>
    <x v="1"/>
    <x v="2"/>
  </r>
  <r>
    <x v="9"/>
    <x v="6"/>
    <n v="0"/>
    <x v="2"/>
    <x v="1"/>
    <x v="1"/>
    <x v="2"/>
  </r>
  <r>
    <x v="10"/>
    <x v="6"/>
    <n v="0"/>
    <x v="2"/>
    <x v="1"/>
    <x v="1"/>
    <x v="2"/>
  </r>
  <r>
    <x v="11"/>
    <x v="6"/>
    <n v="0"/>
    <x v="2"/>
    <x v="1"/>
    <x v="1"/>
    <x v="2"/>
  </r>
  <r>
    <x v="12"/>
    <x v="6"/>
    <n v="0"/>
    <x v="2"/>
    <x v="1"/>
    <x v="1"/>
    <x v="2"/>
  </r>
  <r>
    <x v="13"/>
    <x v="6"/>
    <n v="0"/>
    <x v="2"/>
    <x v="1"/>
    <x v="1"/>
    <x v="2"/>
  </r>
  <r>
    <x v="14"/>
    <x v="6"/>
    <n v="0"/>
    <x v="2"/>
    <x v="1"/>
    <x v="1"/>
    <x v="2"/>
  </r>
  <r>
    <x v="15"/>
    <x v="6"/>
    <n v="0"/>
    <x v="2"/>
    <x v="1"/>
    <x v="1"/>
    <x v="2"/>
  </r>
  <r>
    <x v="0"/>
    <x v="7"/>
    <n v="14.85"/>
    <x v="2"/>
    <x v="1"/>
    <x v="1"/>
    <x v="2"/>
  </r>
  <r>
    <x v="1"/>
    <x v="7"/>
    <n v="0"/>
    <x v="2"/>
    <x v="1"/>
    <x v="1"/>
    <x v="2"/>
  </r>
  <r>
    <x v="2"/>
    <x v="7"/>
    <n v="0"/>
    <x v="2"/>
    <x v="1"/>
    <x v="1"/>
    <x v="2"/>
  </r>
  <r>
    <x v="3"/>
    <x v="7"/>
    <n v="0"/>
    <x v="2"/>
    <x v="1"/>
    <x v="1"/>
    <x v="2"/>
  </r>
  <r>
    <x v="4"/>
    <x v="7"/>
    <n v="0"/>
    <x v="2"/>
    <x v="1"/>
    <x v="1"/>
    <x v="2"/>
  </r>
  <r>
    <x v="5"/>
    <x v="7"/>
    <n v="0"/>
    <x v="2"/>
    <x v="1"/>
    <x v="1"/>
    <x v="2"/>
  </r>
  <r>
    <x v="6"/>
    <x v="7"/>
    <n v="0"/>
    <x v="2"/>
    <x v="1"/>
    <x v="1"/>
    <x v="2"/>
  </r>
  <r>
    <x v="7"/>
    <x v="7"/>
    <n v="0"/>
    <x v="2"/>
    <x v="1"/>
    <x v="1"/>
    <x v="2"/>
  </r>
  <r>
    <x v="8"/>
    <x v="7"/>
    <n v="0"/>
    <x v="2"/>
    <x v="1"/>
    <x v="1"/>
    <x v="2"/>
  </r>
  <r>
    <x v="9"/>
    <x v="7"/>
    <n v="0"/>
    <x v="2"/>
    <x v="1"/>
    <x v="1"/>
    <x v="2"/>
  </r>
  <r>
    <x v="10"/>
    <x v="7"/>
    <n v="0"/>
    <x v="2"/>
    <x v="1"/>
    <x v="1"/>
    <x v="2"/>
  </r>
  <r>
    <x v="11"/>
    <x v="7"/>
    <n v="0"/>
    <x v="2"/>
    <x v="1"/>
    <x v="1"/>
    <x v="2"/>
  </r>
  <r>
    <x v="12"/>
    <x v="7"/>
    <n v="0"/>
    <x v="2"/>
    <x v="1"/>
    <x v="1"/>
    <x v="2"/>
  </r>
  <r>
    <x v="13"/>
    <x v="7"/>
    <n v="0"/>
    <x v="2"/>
    <x v="1"/>
    <x v="1"/>
    <x v="2"/>
  </r>
  <r>
    <x v="14"/>
    <x v="7"/>
    <n v="0"/>
    <x v="2"/>
    <x v="1"/>
    <x v="1"/>
    <x v="2"/>
  </r>
  <r>
    <x v="15"/>
    <x v="7"/>
    <n v="0"/>
    <x v="2"/>
    <x v="1"/>
    <x v="1"/>
    <x v="2"/>
  </r>
  <r>
    <x v="0"/>
    <x v="8"/>
    <n v="10078.9"/>
    <x v="2"/>
    <x v="1"/>
    <x v="1"/>
    <x v="2"/>
  </r>
  <r>
    <x v="1"/>
    <x v="8"/>
    <n v="1538.87"/>
    <x v="2"/>
    <x v="1"/>
    <x v="1"/>
    <x v="2"/>
  </r>
  <r>
    <x v="2"/>
    <x v="8"/>
    <n v="1538.87"/>
    <x v="2"/>
    <x v="1"/>
    <x v="1"/>
    <x v="2"/>
  </r>
  <r>
    <x v="3"/>
    <x v="8"/>
    <n v="5073.74"/>
    <x v="2"/>
    <x v="1"/>
    <x v="1"/>
    <x v="2"/>
  </r>
  <r>
    <x v="4"/>
    <x v="8"/>
    <n v="5073.74"/>
    <x v="2"/>
    <x v="1"/>
    <x v="1"/>
    <x v="2"/>
  </r>
  <r>
    <x v="5"/>
    <x v="8"/>
    <n v="5444.74"/>
    <x v="2"/>
    <x v="1"/>
    <x v="1"/>
    <x v="2"/>
  </r>
  <r>
    <x v="6"/>
    <x v="8"/>
    <n v="5444.74"/>
    <x v="2"/>
    <x v="1"/>
    <x v="1"/>
    <x v="2"/>
  </r>
  <r>
    <x v="7"/>
    <x v="8"/>
    <n v="4471.6400000000003"/>
    <x v="2"/>
    <x v="1"/>
    <x v="1"/>
    <x v="2"/>
  </r>
  <r>
    <x v="8"/>
    <x v="8"/>
    <n v="4471.6400000000003"/>
    <x v="2"/>
    <x v="1"/>
    <x v="1"/>
    <x v="2"/>
  </r>
  <r>
    <x v="9"/>
    <x v="8"/>
    <n v="11779.2"/>
    <x v="2"/>
    <x v="1"/>
    <x v="1"/>
    <x v="2"/>
  </r>
  <r>
    <x v="10"/>
    <x v="8"/>
    <n v="11779.2"/>
    <x v="2"/>
    <x v="1"/>
    <x v="1"/>
    <x v="2"/>
  </r>
  <r>
    <x v="11"/>
    <x v="8"/>
    <n v="6504.68"/>
    <x v="2"/>
    <x v="1"/>
    <x v="1"/>
    <x v="2"/>
  </r>
  <r>
    <x v="12"/>
    <x v="8"/>
    <n v="6504.68"/>
    <x v="2"/>
    <x v="1"/>
    <x v="1"/>
    <x v="2"/>
  </r>
  <r>
    <x v="13"/>
    <x v="8"/>
    <n v="7594.94"/>
    <x v="2"/>
    <x v="1"/>
    <x v="1"/>
    <x v="2"/>
  </r>
  <r>
    <x v="14"/>
    <x v="8"/>
    <n v="7594.94"/>
    <x v="2"/>
    <x v="1"/>
    <x v="1"/>
    <x v="2"/>
  </r>
  <r>
    <x v="15"/>
    <x v="8"/>
    <n v="7594.94"/>
    <x v="2"/>
    <x v="1"/>
    <x v="1"/>
    <x v="2"/>
  </r>
  <r>
    <x v="0"/>
    <x v="9"/>
    <n v="8181.05"/>
    <x v="2"/>
    <x v="1"/>
    <x v="1"/>
    <x v="2"/>
  </r>
  <r>
    <x v="1"/>
    <x v="9"/>
    <n v="1569.79"/>
    <x v="2"/>
    <x v="1"/>
    <x v="1"/>
    <x v="2"/>
  </r>
  <r>
    <x v="2"/>
    <x v="9"/>
    <n v="1569.79"/>
    <x v="2"/>
    <x v="1"/>
    <x v="1"/>
    <x v="2"/>
  </r>
  <r>
    <x v="3"/>
    <x v="9"/>
    <n v="1914.24"/>
    <x v="2"/>
    <x v="1"/>
    <x v="1"/>
    <x v="2"/>
  </r>
  <r>
    <x v="4"/>
    <x v="9"/>
    <n v="1914.24"/>
    <x v="2"/>
    <x v="1"/>
    <x v="1"/>
    <x v="2"/>
  </r>
  <r>
    <x v="5"/>
    <x v="9"/>
    <n v="1673.52"/>
    <x v="2"/>
    <x v="1"/>
    <x v="1"/>
    <x v="2"/>
  </r>
  <r>
    <x v="6"/>
    <x v="9"/>
    <n v="1673.52"/>
    <x v="2"/>
    <x v="1"/>
    <x v="1"/>
    <x v="2"/>
  </r>
  <r>
    <x v="7"/>
    <x v="9"/>
    <n v="2321.59"/>
    <x v="2"/>
    <x v="1"/>
    <x v="1"/>
    <x v="2"/>
  </r>
  <r>
    <x v="8"/>
    <x v="9"/>
    <n v="2321.59"/>
    <x v="2"/>
    <x v="1"/>
    <x v="1"/>
    <x v="2"/>
  </r>
  <r>
    <x v="9"/>
    <x v="9"/>
    <n v="6349.87"/>
    <x v="2"/>
    <x v="1"/>
    <x v="1"/>
    <x v="2"/>
  </r>
  <r>
    <x v="10"/>
    <x v="9"/>
    <n v="6349.87"/>
    <x v="2"/>
    <x v="1"/>
    <x v="1"/>
    <x v="2"/>
  </r>
  <r>
    <x v="11"/>
    <x v="9"/>
    <n v="2680.9"/>
    <x v="2"/>
    <x v="1"/>
    <x v="1"/>
    <x v="2"/>
  </r>
  <r>
    <x v="12"/>
    <x v="9"/>
    <n v="2680.9"/>
    <x v="2"/>
    <x v="1"/>
    <x v="1"/>
    <x v="2"/>
  </r>
  <r>
    <x v="13"/>
    <x v="9"/>
    <n v="2651.02"/>
    <x v="2"/>
    <x v="1"/>
    <x v="1"/>
    <x v="2"/>
  </r>
  <r>
    <x v="14"/>
    <x v="9"/>
    <n v="2651.02"/>
    <x v="2"/>
    <x v="1"/>
    <x v="1"/>
    <x v="2"/>
  </r>
  <r>
    <x v="15"/>
    <x v="9"/>
    <n v="2651.02"/>
    <x v="2"/>
    <x v="1"/>
    <x v="1"/>
    <x v="2"/>
  </r>
  <r>
    <x v="16"/>
    <x v="10"/>
    <m/>
    <x v="3"/>
    <x v="2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6:AA18" firstHeaderRow="1" firstDataRow="2" firstDataCol="1" rowPageCount="4" colPageCount="1"/>
  <pivotFields count="7">
    <pivotField axis="axisCol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4">
    <pageField fld="3" item="1" hier="-1"/>
    <pageField fld="4" item="0" hier="-1"/>
    <pageField fld="5" item="0" hier="-1"/>
    <pageField fld="6" item="1" hier="-1"/>
  </pageFields>
  <dataFields count="1">
    <dataField name="Sum of newCapacityMW" fld="2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B9" sqref="B9"/>
    </sheetView>
  </sheetViews>
  <sheetFormatPr baseColWidth="10" defaultColWidth="9" defaultRowHeight="14"/>
  <cols>
    <col min="1" max="1" width="17.796875" customWidth="1"/>
    <col min="2" max="2" width="60.796875" customWidth="1"/>
  </cols>
  <sheetData>
    <row r="1" spans="1:2">
      <c r="A1" s="1" t="s">
        <v>137</v>
      </c>
    </row>
    <row r="2" spans="1:2">
      <c r="A2" s="1" t="s">
        <v>136</v>
      </c>
    </row>
    <row r="3" spans="1:2">
      <c r="A3" s="1" t="s">
        <v>163</v>
      </c>
    </row>
    <row r="5" spans="1:2">
      <c r="A5" s="1" t="s">
        <v>0</v>
      </c>
      <c r="B5" s="2" t="s">
        <v>140</v>
      </c>
    </row>
    <row r="6" spans="1:2">
      <c r="B6" t="s">
        <v>1</v>
      </c>
    </row>
    <row r="7" spans="1:2">
      <c r="B7" s="3">
        <v>2022</v>
      </c>
    </row>
    <row r="8" spans="1:2">
      <c r="B8" t="s">
        <v>373</v>
      </c>
    </row>
    <row r="9" spans="1:2">
      <c r="B9" s="4" t="s">
        <v>358</v>
      </c>
    </row>
    <row r="10" spans="1:2">
      <c r="B10" t="s">
        <v>135</v>
      </c>
    </row>
    <row r="12" spans="1:2">
      <c r="B12" s="2" t="s">
        <v>141</v>
      </c>
    </row>
    <row r="13" spans="1:2">
      <c r="B13" t="s">
        <v>164</v>
      </c>
    </row>
    <row r="14" spans="1:2">
      <c r="B14" s="3">
        <v>2020</v>
      </c>
    </row>
    <row r="15" spans="1:2">
      <c r="B15" s="3" t="s">
        <v>165</v>
      </c>
    </row>
    <row r="16" spans="1:2">
      <c r="B16" s="4" t="s">
        <v>166</v>
      </c>
    </row>
    <row r="18" spans="1:2">
      <c r="B18" s="2" t="s">
        <v>161</v>
      </c>
    </row>
    <row r="19" spans="1:2">
      <c r="B19" t="s">
        <v>1</v>
      </c>
    </row>
    <row r="20" spans="1:2">
      <c r="B20" s="3">
        <v>2020</v>
      </c>
    </row>
    <row r="21" spans="1:2">
      <c r="B21" t="s">
        <v>122</v>
      </c>
    </row>
    <row r="22" spans="1:2">
      <c r="B22" s="4" t="s">
        <v>359</v>
      </c>
    </row>
    <row r="23" spans="1:2">
      <c r="B23" t="s">
        <v>135</v>
      </c>
    </row>
    <row r="24" spans="1:2">
      <c r="B24" s="3"/>
    </row>
    <row r="25" spans="1:2">
      <c r="A25" s="1" t="s">
        <v>2</v>
      </c>
      <c r="B25" s="3"/>
    </row>
    <row r="26" spans="1:2">
      <c r="A26" t="s">
        <v>120</v>
      </c>
    </row>
    <row r="28" spans="1:2">
      <c r="A28" t="s">
        <v>162</v>
      </c>
    </row>
    <row r="30" spans="1:2">
      <c r="A30" s="1" t="s">
        <v>143</v>
      </c>
    </row>
    <row r="31" spans="1:2">
      <c r="A31" s="3">
        <v>1000</v>
      </c>
      <c r="B31" t="s">
        <v>134</v>
      </c>
    </row>
    <row r="33" spans="1:1">
      <c r="A33" t="s">
        <v>326</v>
      </c>
    </row>
    <row r="34" spans="1:1">
      <c r="A34" t="s">
        <v>327</v>
      </c>
    </row>
    <row r="35" spans="1:1">
      <c r="A35" t="s">
        <v>328</v>
      </c>
    </row>
    <row r="36" spans="1:1">
      <c r="A36" t="s">
        <v>329</v>
      </c>
    </row>
    <row r="37" spans="1:1">
      <c r="A37" t="s">
        <v>330</v>
      </c>
    </row>
  </sheetData>
  <phoneticPr fontId="33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"/>
  <sheetViews>
    <sheetView workbookViewId="0">
      <selection activeCell="D6" sqref="D6:AG6"/>
    </sheetView>
  </sheetViews>
  <sheetFormatPr baseColWidth="10" defaultColWidth="9" defaultRowHeight="14"/>
  <cols>
    <col min="1" max="1" width="22" customWidth="1"/>
  </cols>
  <sheetData>
    <row r="1" spans="1:33"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169</v>
      </c>
      <c r="B2">
        <f>'AEO Table 9 (2020)'!C23</f>
        <v>1.3702000000000001</v>
      </c>
    </row>
    <row r="3" spans="1:33" ht="30">
      <c r="A3" s="24" t="s">
        <v>167</v>
      </c>
      <c r="C3">
        <f>GETPIVOTDATA("newCapacityMW",'2035 Report Data'!$J$6,"year",C1,"tech","battery")/1000</f>
        <v>0.79103499999999993</v>
      </c>
      <c r="D3">
        <f>GETPIVOTDATA("newCapacityMW",'2035 Report Data'!$J$6,"year",D1,"tech","battery")/1000</f>
        <v>1.54701</v>
      </c>
      <c r="E3">
        <f>GETPIVOTDATA("newCapacityMW",'2035 Report Data'!$J$6,"year",E1,"tech","battery")/1000</f>
        <v>1.54701</v>
      </c>
      <c r="F3">
        <f>GETPIVOTDATA("newCapacityMW",'2035 Report Data'!$J$6,"year",F1,"tech","battery")/1000</f>
        <v>5.00969</v>
      </c>
      <c r="G3">
        <f>GETPIVOTDATA("newCapacityMW",'2035 Report Data'!$J$6,"year",G1,"tech","battery")/1000</f>
        <v>5.00969</v>
      </c>
      <c r="H3">
        <f>GETPIVOTDATA("newCapacityMW",'2035 Report Data'!$J$6,"year",H1,"tech","battery")/1000</f>
        <v>5.9065799999999999</v>
      </c>
      <c r="I3">
        <f>GETPIVOTDATA("newCapacityMW",'2035 Report Data'!$J$6,"year",I1,"tech","battery")/1000</f>
        <v>5.9065799999999999</v>
      </c>
      <c r="J3">
        <f>GETPIVOTDATA("newCapacityMW",'2035 Report Data'!$J$6,"year",J1,"tech","battery")/1000</f>
        <v>5.3656300000000003</v>
      </c>
      <c r="K3">
        <f>GETPIVOTDATA("newCapacityMW",'2035 Report Data'!$J$6,"year",K1,"tech","battery")/1000</f>
        <v>5.3656300000000003</v>
      </c>
      <c r="L3">
        <f>GETPIVOTDATA("newCapacityMW",'2035 Report Data'!$J$6,"year",L1,"tech","battery")/1000</f>
        <v>8.4998299999999993</v>
      </c>
      <c r="M3">
        <f>GETPIVOTDATA("newCapacityMW",'2035 Report Data'!$J$6,"year",M1,"tech","battery")/1000</f>
        <v>8.4998299999999993</v>
      </c>
      <c r="N3">
        <f>GETPIVOTDATA("newCapacityMW",'2035 Report Data'!$J$6,"year",N1,"tech","battery")/1000</f>
        <v>15.590399999999999</v>
      </c>
      <c r="O3">
        <f>GETPIVOTDATA("newCapacityMW",'2035 Report Data'!$J$6,"year",O1,"tech","battery")/1000</f>
        <v>15.590399999999999</v>
      </c>
      <c r="P3">
        <f>GETPIVOTDATA("newCapacityMW",'2035 Report Data'!$J$6,"year",P1,"tech","battery")/1000</f>
        <v>19.611499999999999</v>
      </c>
      <c r="Q3">
        <f>GETPIVOTDATA("newCapacityMW",'2035 Report Data'!$J$6,"year",Q1,"tech","battery")/1000</f>
        <v>19.611499999999999</v>
      </c>
      <c r="R3">
        <f>GETPIVOTDATA("newCapacityMW",'2035 Report Data'!$J$6,"year",R1,"tech","battery")/1000</f>
        <v>19.611499999999999</v>
      </c>
      <c r="S3">
        <f>$R$3</f>
        <v>19.611499999999999</v>
      </c>
      <c r="T3">
        <f t="shared" ref="T3:AG3" si="0">$R$3</f>
        <v>19.611499999999999</v>
      </c>
      <c r="U3">
        <f t="shared" si="0"/>
        <v>19.611499999999999</v>
      </c>
      <c r="V3">
        <f t="shared" si="0"/>
        <v>19.611499999999999</v>
      </c>
      <c r="W3">
        <f t="shared" si="0"/>
        <v>19.611499999999999</v>
      </c>
      <c r="X3">
        <f t="shared" si="0"/>
        <v>19.611499999999999</v>
      </c>
      <c r="Y3">
        <f t="shared" si="0"/>
        <v>19.611499999999999</v>
      </c>
      <c r="Z3">
        <f t="shared" si="0"/>
        <v>19.611499999999999</v>
      </c>
      <c r="AA3">
        <f t="shared" si="0"/>
        <v>19.611499999999999</v>
      </c>
      <c r="AB3">
        <f t="shared" si="0"/>
        <v>19.611499999999999</v>
      </c>
      <c r="AC3">
        <f t="shared" si="0"/>
        <v>19.611499999999999</v>
      </c>
      <c r="AD3">
        <f t="shared" si="0"/>
        <v>19.611499999999999</v>
      </c>
      <c r="AE3">
        <f t="shared" si="0"/>
        <v>19.611499999999999</v>
      </c>
      <c r="AF3">
        <f t="shared" si="0"/>
        <v>19.611499999999999</v>
      </c>
      <c r="AG3">
        <f t="shared" si="0"/>
        <v>19.611499999999999</v>
      </c>
    </row>
    <row r="4" spans="1:33" ht="30">
      <c r="A4" s="24" t="s">
        <v>168</v>
      </c>
      <c r="B4" s="24"/>
      <c r="D4">
        <f>B2+C3+D3</f>
        <v>3.7082449999999998</v>
      </c>
      <c r="E4">
        <f>E3+D4</f>
        <v>5.255255</v>
      </c>
      <c r="F4">
        <f t="shared" ref="F4:Q4" si="1">F3+E4</f>
        <v>10.264945000000001</v>
      </c>
      <c r="G4">
        <f t="shared" si="1"/>
        <v>15.274635</v>
      </c>
      <c r="H4">
        <f t="shared" si="1"/>
        <v>21.181215000000002</v>
      </c>
      <c r="I4">
        <f t="shared" si="1"/>
        <v>27.087795</v>
      </c>
      <c r="J4">
        <f t="shared" si="1"/>
        <v>32.453425000000003</v>
      </c>
      <c r="K4">
        <f t="shared" si="1"/>
        <v>37.819055000000006</v>
      </c>
      <c r="L4">
        <f t="shared" si="1"/>
        <v>46.318885000000009</v>
      </c>
      <c r="M4">
        <f t="shared" si="1"/>
        <v>54.818715000000012</v>
      </c>
      <c r="N4">
        <f t="shared" si="1"/>
        <v>70.409115000000014</v>
      </c>
      <c r="O4">
        <f t="shared" si="1"/>
        <v>85.999515000000017</v>
      </c>
      <c r="P4">
        <f t="shared" si="1"/>
        <v>105.61101500000001</v>
      </c>
      <c r="Q4">
        <f t="shared" si="1"/>
        <v>125.22251500000002</v>
      </c>
      <c r="R4">
        <f>R3+Q4</f>
        <v>144.83401500000002</v>
      </c>
      <c r="S4">
        <f>R4+S3</f>
        <v>164.44551500000003</v>
      </c>
      <c r="T4">
        <f t="shared" ref="T4:AG4" si="2">S4+T3</f>
        <v>184.05701500000004</v>
      </c>
      <c r="U4">
        <f t="shared" si="2"/>
        <v>203.66851500000004</v>
      </c>
      <c r="V4">
        <f t="shared" si="2"/>
        <v>223.28001500000005</v>
      </c>
      <c r="W4">
        <f t="shared" si="2"/>
        <v>242.89151500000006</v>
      </c>
      <c r="X4">
        <f t="shared" si="2"/>
        <v>262.50301500000006</v>
      </c>
      <c r="Y4">
        <f t="shared" si="2"/>
        <v>282.11451500000004</v>
      </c>
      <c r="Z4">
        <f t="shared" si="2"/>
        <v>301.72601500000002</v>
      </c>
      <c r="AA4">
        <f t="shared" si="2"/>
        <v>321.337515</v>
      </c>
      <c r="AB4">
        <f t="shared" si="2"/>
        <v>340.94901499999997</v>
      </c>
      <c r="AC4">
        <f t="shared" si="2"/>
        <v>360.56051499999995</v>
      </c>
      <c r="AD4">
        <f t="shared" si="2"/>
        <v>380.17201499999993</v>
      </c>
      <c r="AE4">
        <f t="shared" si="2"/>
        <v>399.78351499999991</v>
      </c>
      <c r="AF4">
        <f t="shared" si="2"/>
        <v>419.39501499999989</v>
      </c>
      <c r="AG4">
        <f t="shared" si="2"/>
        <v>439.00651499999987</v>
      </c>
    </row>
    <row r="5" spans="1:33" ht="15">
      <c r="A5" s="24" t="s">
        <v>324</v>
      </c>
      <c r="B5" s="24"/>
      <c r="D5">
        <v>0.15</v>
      </c>
      <c r="E5">
        <v>0.15</v>
      </c>
      <c r="F5">
        <v>0.15</v>
      </c>
      <c r="G5">
        <v>0.15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0.5</v>
      </c>
      <c r="N5">
        <v>0.5</v>
      </c>
      <c r="O5">
        <v>0.5</v>
      </c>
      <c r="P5">
        <v>0.5</v>
      </c>
      <c r="Q5">
        <v>0.5</v>
      </c>
      <c r="R5">
        <v>0.5</v>
      </c>
    </row>
    <row r="6" spans="1:33" ht="15">
      <c r="A6" s="24" t="s">
        <v>325</v>
      </c>
      <c r="B6" s="24"/>
      <c r="D6">
        <f>D4*(1+D5)*1000</f>
        <v>4264.4817499999999</v>
      </c>
      <c r="E6">
        <f t="shared" ref="E6:R6" si="3">E4*(1+E5)*1000</f>
        <v>6043.5432499999997</v>
      </c>
      <c r="F6">
        <f t="shared" si="3"/>
        <v>11804.686750000001</v>
      </c>
      <c r="G6">
        <f t="shared" si="3"/>
        <v>17565.830249999999</v>
      </c>
      <c r="H6">
        <f t="shared" si="3"/>
        <v>26476.518750000003</v>
      </c>
      <c r="I6">
        <f t="shared" si="3"/>
        <v>33859.743750000001</v>
      </c>
      <c r="J6">
        <f t="shared" si="3"/>
        <v>40566.781250000007</v>
      </c>
      <c r="K6">
        <f t="shared" si="3"/>
        <v>47273.818750000006</v>
      </c>
      <c r="L6">
        <f t="shared" si="3"/>
        <v>57898.606250000012</v>
      </c>
      <c r="M6">
        <f t="shared" si="3"/>
        <v>82228.072500000024</v>
      </c>
      <c r="N6">
        <f t="shared" si="3"/>
        <v>105613.67250000002</v>
      </c>
      <c r="O6">
        <f t="shared" si="3"/>
        <v>128999.27250000002</v>
      </c>
      <c r="P6">
        <f t="shared" si="3"/>
        <v>158416.52250000002</v>
      </c>
      <c r="Q6">
        <f t="shared" si="3"/>
        <v>187833.77250000002</v>
      </c>
      <c r="R6">
        <f t="shared" si="3"/>
        <v>217251.02250000002</v>
      </c>
      <c r="S6">
        <f>R6+S3*1000</f>
        <v>236862.52250000002</v>
      </c>
      <c r="T6">
        <f t="shared" ref="T6:AG6" si="4">S6+T3*1000</f>
        <v>256474.02250000002</v>
      </c>
      <c r="U6">
        <f t="shared" si="4"/>
        <v>276085.52250000002</v>
      </c>
      <c r="V6">
        <f t="shared" si="4"/>
        <v>295697.02250000002</v>
      </c>
      <c r="W6">
        <f t="shared" si="4"/>
        <v>315308.52250000002</v>
      </c>
      <c r="X6">
        <f t="shared" si="4"/>
        <v>334920.02250000002</v>
      </c>
      <c r="Y6">
        <f t="shared" si="4"/>
        <v>354531.52250000002</v>
      </c>
      <c r="Z6">
        <f t="shared" si="4"/>
        <v>374143.02250000002</v>
      </c>
      <c r="AA6">
        <f t="shared" si="4"/>
        <v>393754.52250000002</v>
      </c>
      <c r="AB6">
        <f t="shared" si="4"/>
        <v>413366.02250000002</v>
      </c>
      <c r="AC6">
        <f t="shared" si="4"/>
        <v>432977.52250000002</v>
      </c>
      <c r="AD6">
        <f t="shared" si="4"/>
        <v>452589.02250000002</v>
      </c>
      <c r="AE6">
        <f t="shared" si="4"/>
        <v>472200.52250000002</v>
      </c>
      <c r="AF6">
        <f t="shared" si="4"/>
        <v>491812.02250000002</v>
      </c>
      <c r="AG6">
        <f t="shared" si="4"/>
        <v>511423.52250000002</v>
      </c>
    </row>
    <row r="8" spans="1:33">
      <c r="A8" s="24"/>
      <c r="B8" s="24"/>
    </row>
    <row r="9" spans="1:33">
      <c r="A9" s="24"/>
      <c r="B9" s="24"/>
    </row>
    <row r="10" spans="1:33">
      <c r="A10" s="24"/>
      <c r="B10" s="24"/>
    </row>
    <row r="11" spans="1:33">
      <c r="A11" s="24"/>
      <c r="B11" s="24"/>
    </row>
  </sheetData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761"/>
  <sheetViews>
    <sheetView workbookViewId="0">
      <selection activeCell="A20" sqref="A20"/>
    </sheetView>
  </sheetViews>
  <sheetFormatPr baseColWidth="10" defaultColWidth="9" defaultRowHeight="14"/>
  <cols>
    <col min="3" max="3" width="29.59765625" customWidth="1"/>
    <col min="10" max="10" width="20.796875" customWidth="1"/>
    <col min="11" max="11" width="14.796875" bestFit="1" customWidth="1"/>
    <col min="12" max="17" width="8.796875" customWidth="1"/>
    <col min="18" max="19" width="9.796875" customWidth="1"/>
    <col min="20" max="21" width="8.796875" customWidth="1"/>
    <col min="22" max="23" width="7.796875" customWidth="1"/>
    <col min="24" max="27" width="11.796875" customWidth="1"/>
    <col min="28" max="28" width="11.796875" bestFit="1" customWidth="1"/>
  </cols>
  <sheetData>
    <row r="1" spans="1:27">
      <c r="A1" t="s">
        <v>185</v>
      </c>
      <c r="B1" t="s">
        <v>186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J1" s="25" t="s">
        <v>171</v>
      </c>
      <c r="K1" t="s">
        <v>183</v>
      </c>
    </row>
    <row r="2" spans="1:27">
      <c r="A2">
        <v>2020</v>
      </c>
      <c r="B2" t="s">
        <v>187</v>
      </c>
      <c r="C2">
        <v>783.40499999999997</v>
      </c>
      <c r="D2" t="s">
        <v>175</v>
      </c>
      <c r="E2" t="s">
        <v>176</v>
      </c>
      <c r="F2" t="s">
        <v>177</v>
      </c>
      <c r="G2" t="s">
        <v>178</v>
      </c>
      <c r="J2" s="25" t="s">
        <v>172</v>
      </c>
      <c r="K2" t="s">
        <v>176</v>
      </c>
    </row>
    <row r="3" spans="1:27">
      <c r="A3">
        <v>2020</v>
      </c>
      <c r="B3" t="s">
        <v>187</v>
      </c>
      <c r="C3">
        <v>795.702</v>
      </c>
      <c r="D3" t="s">
        <v>175</v>
      </c>
      <c r="E3" t="s">
        <v>176</v>
      </c>
      <c r="F3" t="s">
        <v>177</v>
      </c>
      <c r="G3" t="s">
        <v>179</v>
      </c>
      <c r="J3" s="25" t="s">
        <v>173</v>
      </c>
      <c r="K3" t="s">
        <v>177</v>
      </c>
    </row>
    <row r="4" spans="1:27">
      <c r="A4">
        <v>2020</v>
      </c>
      <c r="B4" t="s">
        <v>187</v>
      </c>
      <c r="C4">
        <v>783.40499999999997</v>
      </c>
      <c r="D4" t="s">
        <v>175</v>
      </c>
      <c r="E4" t="s">
        <v>176</v>
      </c>
      <c r="F4" t="s">
        <v>177</v>
      </c>
      <c r="G4" t="s">
        <v>180</v>
      </c>
      <c r="J4" s="25" t="s">
        <v>174</v>
      </c>
      <c r="K4" t="s">
        <v>179</v>
      </c>
    </row>
    <row r="5" spans="1:27">
      <c r="A5">
        <v>2020</v>
      </c>
      <c r="B5" t="s">
        <v>187</v>
      </c>
      <c r="C5">
        <v>783.40499999999997</v>
      </c>
      <c r="D5" t="s">
        <v>175</v>
      </c>
      <c r="E5" t="s">
        <v>176</v>
      </c>
      <c r="F5" t="s">
        <v>181</v>
      </c>
      <c r="G5" t="s">
        <v>178</v>
      </c>
    </row>
    <row r="6" spans="1:27">
      <c r="A6">
        <v>2020</v>
      </c>
      <c r="B6" t="s">
        <v>187</v>
      </c>
      <c r="C6">
        <v>786.28300000000002</v>
      </c>
      <c r="D6" t="s">
        <v>175</v>
      </c>
      <c r="E6" t="s">
        <v>176</v>
      </c>
      <c r="F6" t="s">
        <v>181</v>
      </c>
      <c r="G6" t="s">
        <v>179</v>
      </c>
      <c r="J6" s="25" t="s">
        <v>200</v>
      </c>
      <c r="K6" s="25" t="s">
        <v>197</v>
      </c>
    </row>
    <row r="7" spans="1:27">
      <c r="A7">
        <v>2020</v>
      </c>
      <c r="B7" t="s">
        <v>187</v>
      </c>
      <c r="C7">
        <v>783.40499999999997</v>
      </c>
      <c r="D7" t="s">
        <v>175</v>
      </c>
      <c r="E7" t="s">
        <v>176</v>
      </c>
      <c r="F7" t="s">
        <v>181</v>
      </c>
      <c r="G7" t="s">
        <v>180</v>
      </c>
      <c r="J7" s="25" t="s">
        <v>199</v>
      </c>
      <c r="K7">
        <v>2020</v>
      </c>
      <c r="L7">
        <v>2021</v>
      </c>
      <c r="M7">
        <v>2022</v>
      </c>
      <c r="N7">
        <v>2023</v>
      </c>
      <c r="O7">
        <v>2024</v>
      </c>
      <c r="P7">
        <v>2025</v>
      </c>
      <c r="Q7">
        <v>2026</v>
      </c>
      <c r="R7">
        <v>2027</v>
      </c>
      <c r="S7">
        <v>2028</v>
      </c>
      <c r="T7">
        <v>2029</v>
      </c>
      <c r="U7">
        <v>2030</v>
      </c>
      <c r="V7">
        <v>2031</v>
      </c>
      <c r="W7">
        <v>2032</v>
      </c>
      <c r="X7">
        <v>2033</v>
      </c>
      <c r="Y7">
        <v>2034</v>
      </c>
      <c r="Z7">
        <v>2035</v>
      </c>
      <c r="AA7" t="s">
        <v>198</v>
      </c>
    </row>
    <row r="8" spans="1:27">
      <c r="A8">
        <v>2020</v>
      </c>
      <c r="B8" t="s">
        <v>187</v>
      </c>
      <c r="C8">
        <v>876.41899999999998</v>
      </c>
      <c r="D8" t="s">
        <v>175</v>
      </c>
      <c r="E8" t="s">
        <v>182</v>
      </c>
      <c r="F8" t="s">
        <v>177</v>
      </c>
      <c r="G8" t="s">
        <v>178</v>
      </c>
      <c r="J8" s="3" t="s">
        <v>187</v>
      </c>
      <c r="K8">
        <v>791.03499999999997</v>
      </c>
      <c r="L8">
        <v>1547.01</v>
      </c>
      <c r="M8">
        <v>1547.01</v>
      </c>
      <c r="N8">
        <v>5009.6899999999996</v>
      </c>
      <c r="O8">
        <v>5009.6899999999996</v>
      </c>
      <c r="P8">
        <v>5906.58</v>
      </c>
      <c r="Q8">
        <v>5906.58</v>
      </c>
      <c r="R8">
        <v>5365.63</v>
      </c>
      <c r="S8">
        <v>5365.63</v>
      </c>
      <c r="T8">
        <v>8499.83</v>
      </c>
      <c r="U8">
        <v>8499.83</v>
      </c>
      <c r="V8">
        <v>15590.4</v>
      </c>
      <c r="W8">
        <v>15590.4</v>
      </c>
      <c r="X8">
        <v>19611.5</v>
      </c>
      <c r="Y8">
        <v>19611.5</v>
      </c>
      <c r="Z8">
        <v>19611.5</v>
      </c>
      <c r="AA8">
        <v>143463.815</v>
      </c>
    </row>
    <row r="9" spans="1:27">
      <c r="A9">
        <v>2020</v>
      </c>
      <c r="B9" t="s">
        <v>187</v>
      </c>
      <c r="C9">
        <v>784.91099999999994</v>
      </c>
      <c r="D9" t="s">
        <v>175</v>
      </c>
      <c r="E9" t="s">
        <v>182</v>
      </c>
      <c r="F9" t="s">
        <v>177</v>
      </c>
      <c r="G9" t="s">
        <v>179</v>
      </c>
      <c r="J9" s="3" t="s">
        <v>188</v>
      </c>
      <c r="K9">
        <v>102.45</v>
      </c>
      <c r="L9">
        <v>9.5</v>
      </c>
      <c r="M9">
        <v>9.5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121.45</v>
      </c>
    </row>
    <row r="10" spans="1:27">
      <c r="A10">
        <v>2020</v>
      </c>
      <c r="B10" t="s">
        <v>187</v>
      </c>
      <c r="C10">
        <v>857.36900000000003</v>
      </c>
      <c r="D10" t="s">
        <v>175</v>
      </c>
      <c r="E10" t="s">
        <v>182</v>
      </c>
      <c r="F10" t="s">
        <v>177</v>
      </c>
      <c r="G10" t="s">
        <v>180</v>
      </c>
      <c r="J10" s="3" t="s">
        <v>189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>
        <v>2020</v>
      </c>
      <c r="B11" t="s">
        <v>187</v>
      </c>
      <c r="C11">
        <v>911.678</v>
      </c>
      <c r="D11" t="s">
        <v>175</v>
      </c>
      <c r="E11" t="s">
        <v>182</v>
      </c>
      <c r="F11" t="s">
        <v>181</v>
      </c>
      <c r="G11" t="s">
        <v>178</v>
      </c>
      <c r="J11" s="3" t="s">
        <v>190</v>
      </c>
      <c r="K11">
        <v>11059.73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11059.73</v>
      </c>
    </row>
    <row r="12" spans="1:27">
      <c r="A12">
        <v>2020</v>
      </c>
      <c r="B12" t="s">
        <v>187</v>
      </c>
      <c r="C12">
        <v>783.846</v>
      </c>
      <c r="D12" t="s">
        <v>175</v>
      </c>
      <c r="E12" t="s">
        <v>182</v>
      </c>
      <c r="F12" t="s">
        <v>181</v>
      </c>
      <c r="G12" t="s">
        <v>179</v>
      </c>
      <c r="J12" s="3" t="s">
        <v>191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>
        <v>2020</v>
      </c>
      <c r="B13" t="s">
        <v>187</v>
      </c>
      <c r="C13">
        <v>881.48599999999999</v>
      </c>
      <c r="D13" t="s">
        <v>175</v>
      </c>
      <c r="E13" t="s">
        <v>182</v>
      </c>
      <c r="F13" t="s">
        <v>181</v>
      </c>
      <c r="G13" t="s">
        <v>180</v>
      </c>
      <c r="J13" s="3" t="s">
        <v>192</v>
      </c>
      <c r="K13">
        <v>3796.81</v>
      </c>
      <c r="L13">
        <v>1</v>
      </c>
      <c r="M13">
        <v>1</v>
      </c>
      <c r="N13">
        <v>59</v>
      </c>
      <c r="O13">
        <v>59</v>
      </c>
      <c r="P13">
        <v>66.5</v>
      </c>
      <c r="Q13">
        <v>66.5</v>
      </c>
      <c r="R13">
        <v>37.895000000000003</v>
      </c>
      <c r="S13">
        <v>37.895000000000003</v>
      </c>
      <c r="T13">
        <v>11.5</v>
      </c>
      <c r="U13">
        <v>11.5</v>
      </c>
      <c r="V13">
        <v>13</v>
      </c>
      <c r="W13">
        <v>13</v>
      </c>
      <c r="X13">
        <v>19.833300000000001</v>
      </c>
      <c r="Y13">
        <v>19.833300000000001</v>
      </c>
      <c r="Z13">
        <v>19.833300000000001</v>
      </c>
      <c r="AA13">
        <v>4234.0999000000011</v>
      </c>
    </row>
    <row r="14" spans="1:27">
      <c r="A14">
        <v>2020</v>
      </c>
      <c r="B14" t="s">
        <v>187</v>
      </c>
      <c r="C14">
        <v>942.07</v>
      </c>
      <c r="D14" t="s">
        <v>183</v>
      </c>
      <c r="E14" t="s">
        <v>176</v>
      </c>
      <c r="F14" t="s">
        <v>177</v>
      </c>
      <c r="G14" t="s">
        <v>178</v>
      </c>
      <c r="J14" s="3" t="s">
        <v>193</v>
      </c>
      <c r="K14">
        <v>232.5</v>
      </c>
      <c r="L14">
        <v>1100</v>
      </c>
      <c r="M14">
        <v>1100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2432.5</v>
      </c>
    </row>
    <row r="15" spans="1:27">
      <c r="A15">
        <v>2020</v>
      </c>
      <c r="B15" t="s">
        <v>187</v>
      </c>
      <c r="C15">
        <v>791.03499999999997</v>
      </c>
      <c r="D15" t="s">
        <v>183</v>
      </c>
      <c r="E15" t="s">
        <v>176</v>
      </c>
      <c r="F15" t="s">
        <v>177</v>
      </c>
      <c r="G15" t="s">
        <v>179</v>
      </c>
      <c r="J15" s="3" t="s">
        <v>194</v>
      </c>
      <c r="K15">
        <v>14.85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14.85</v>
      </c>
    </row>
    <row r="16" spans="1:27">
      <c r="A16">
        <v>2020</v>
      </c>
      <c r="B16" t="s">
        <v>187</v>
      </c>
      <c r="C16">
        <v>929.68200000000002</v>
      </c>
      <c r="D16" t="s">
        <v>183</v>
      </c>
      <c r="E16" t="s">
        <v>176</v>
      </c>
      <c r="F16" t="s">
        <v>177</v>
      </c>
      <c r="G16" t="s">
        <v>180</v>
      </c>
      <c r="J16" s="3" t="s">
        <v>195</v>
      </c>
      <c r="K16">
        <v>13026.4</v>
      </c>
      <c r="L16">
        <v>32983.599999999999</v>
      </c>
      <c r="M16">
        <v>32983.599999999999</v>
      </c>
      <c r="N16">
        <v>30498.799999999999</v>
      </c>
      <c r="O16">
        <v>30498.799999999999</v>
      </c>
      <c r="P16">
        <v>21718.2</v>
      </c>
      <c r="Q16">
        <v>21718.2</v>
      </c>
      <c r="R16">
        <v>30857.200000000001</v>
      </c>
      <c r="S16">
        <v>30857.200000000001</v>
      </c>
      <c r="T16">
        <v>31380.400000000001</v>
      </c>
      <c r="U16">
        <v>31380.400000000001</v>
      </c>
      <c r="V16">
        <v>15860.9</v>
      </c>
      <c r="W16">
        <v>15860.9</v>
      </c>
      <c r="X16">
        <v>32889.199999999997</v>
      </c>
      <c r="Y16">
        <v>32889.199999999997</v>
      </c>
      <c r="Z16">
        <v>32889.199999999997</v>
      </c>
      <c r="AA16">
        <v>438292.20000000019</v>
      </c>
    </row>
    <row r="17" spans="1:27">
      <c r="A17">
        <v>2020</v>
      </c>
      <c r="B17" t="s">
        <v>187</v>
      </c>
      <c r="C17">
        <v>909.726</v>
      </c>
      <c r="D17" t="s">
        <v>183</v>
      </c>
      <c r="E17" t="s">
        <v>176</v>
      </c>
      <c r="F17" t="s">
        <v>181</v>
      </c>
      <c r="G17" t="s">
        <v>178</v>
      </c>
      <c r="J17" s="3" t="s">
        <v>196</v>
      </c>
      <c r="K17">
        <v>13350.8</v>
      </c>
      <c r="L17">
        <v>25891</v>
      </c>
      <c r="M17">
        <v>25891</v>
      </c>
      <c r="N17">
        <v>21768.3</v>
      </c>
      <c r="O17">
        <v>21768.3</v>
      </c>
      <c r="P17">
        <v>36012</v>
      </c>
      <c r="Q17">
        <v>36012</v>
      </c>
      <c r="R17">
        <v>33005.5</v>
      </c>
      <c r="S17">
        <v>33005.5</v>
      </c>
      <c r="T17">
        <v>32996.400000000001</v>
      </c>
      <c r="U17">
        <v>32996.400000000001</v>
      </c>
      <c r="V17">
        <v>55468.3</v>
      </c>
      <c r="W17">
        <v>55468.3</v>
      </c>
      <c r="X17">
        <v>53885.9</v>
      </c>
      <c r="Y17">
        <v>53885.9</v>
      </c>
      <c r="Z17">
        <v>53885.9</v>
      </c>
      <c r="AA17">
        <v>585291.50000000012</v>
      </c>
    </row>
    <row r="18" spans="1:27">
      <c r="A18">
        <v>2020</v>
      </c>
      <c r="B18" t="s">
        <v>187</v>
      </c>
      <c r="C18">
        <v>792.37900000000002</v>
      </c>
      <c r="D18" t="s">
        <v>183</v>
      </c>
      <c r="E18" t="s">
        <v>176</v>
      </c>
      <c r="F18" t="s">
        <v>181</v>
      </c>
      <c r="G18" t="s">
        <v>179</v>
      </c>
      <c r="J18" s="3" t="s">
        <v>198</v>
      </c>
      <c r="K18">
        <v>42374.574999999997</v>
      </c>
      <c r="L18">
        <v>61532.11</v>
      </c>
      <c r="M18">
        <v>61532.11</v>
      </c>
      <c r="N18">
        <v>57335.789999999994</v>
      </c>
      <c r="O18">
        <v>57335.789999999994</v>
      </c>
      <c r="P18">
        <v>63703.28</v>
      </c>
      <c r="Q18">
        <v>63703.28</v>
      </c>
      <c r="R18">
        <v>69266.225000000006</v>
      </c>
      <c r="S18">
        <v>69266.225000000006</v>
      </c>
      <c r="T18">
        <v>72888.13</v>
      </c>
      <c r="U18">
        <v>72888.13</v>
      </c>
      <c r="V18">
        <v>86932.6</v>
      </c>
      <c r="W18">
        <v>86932.6</v>
      </c>
      <c r="X18">
        <v>106406.4333</v>
      </c>
      <c r="Y18">
        <v>106406.4333</v>
      </c>
      <c r="Z18">
        <v>106406.4333</v>
      </c>
      <c r="AA18">
        <v>1184910.1449000002</v>
      </c>
    </row>
    <row r="19" spans="1:27">
      <c r="A19">
        <v>2020</v>
      </c>
      <c r="B19" t="s">
        <v>187</v>
      </c>
      <c r="C19">
        <v>896.16800000000001</v>
      </c>
      <c r="D19" t="s">
        <v>183</v>
      </c>
      <c r="E19" t="s">
        <v>176</v>
      </c>
      <c r="F19" t="s">
        <v>181</v>
      </c>
      <c r="G19" t="s">
        <v>180</v>
      </c>
    </row>
    <row r="20" spans="1:27">
      <c r="A20">
        <v>2020</v>
      </c>
      <c r="B20" t="s">
        <v>187</v>
      </c>
      <c r="C20">
        <v>938.93899999999996</v>
      </c>
      <c r="D20" t="s">
        <v>183</v>
      </c>
      <c r="E20" t="s">
        <v>182</v>
      </c>
      <c r="F20" t="s">
        <v>177</v>
      </c>
      <c r="G20" t="s">
        <v>178</v>
      </c>
      <c r="J20" s="3" t="s">
        <v>220</v>
      </c>
      <c r="K20">
        <f>'AEO Table 16'!C23*1000+K17</f>
        <v>120129.86</v>
      </c>
      <c r="L20">
        <f>K20+L17</f>
        <v>146020.85999999999</v>
      </c>
      <c r="M20">
        <f t="shared" ref="M20:Y20" si="0">L20+M17</f>
        <v>171911.86</v>
      </c>
      <c r="N20">
        <f t="shared" si="0"/>
        <v>193680.15999999997</v>
      </c>
      <c r="O20">
        <f t="shared" si="0"/>
        <v>215448.45999999996</v>
      </c>
      <c r="P20">
        <f t="shared" si="0"/>
        <v>251460.45999999996</v>
      </c>
      <c r="Q20">
        <f t="shared" si="0"/>
        <v>287472.45999999996</v>
      </c>
      <c r="R20">
        <f t="shared" si="0"/>
        <v>320477.95999999996</v>
      </c>
      <c r="S20">
        <f t="shared" si="0"/>
        <v>353483.45999999996</v>
      </c>
      <c r="T20">
        <f t="shared" si="0"/>
        <v>386479.86</v>
      </c>
      <c r="U20">
        <f t="shared" si="0"/>
        <v>419476.26</v>
      </c>
      <c r="V20">
        <f t="shared" si="0"/>
        <v>474944.56</v>
      </c>
      <c r="W20">
        <f t="shared" si="0"/>
        <v>530412.86</v>
      </c>
      <c r="X20">
        <f t="shared" si="0"/>
        <v>584298.76</v>
      </c>
      <c r="Y20">
        <f t="shared" si="0"/>
        <v>638184.66</v>
      </c>
      <c r="Z20">
        <f>Y20+Z17</f>
        <v>692070.56</v>
      </c>
    </row>
    <row r="21" spans="1:27">
      <c r="A21">
        <v>2020</v>
      </c>
      <c r="B21" t="s">
        <v>187</v>
      </c>
      <c r="C21">
        <v>801.01300000000003</v>
      </c>
      <c r="D21" t="s">
        <v>183</v>
      </c>
      <c r="E21" t="s">
        <v>182</v>
      </c>
      <c r="F21" t="s">
        <v>177</v>
      </c>
      <c r="G21" t="s">
        <v>179</v>
      </c>
      <c r="J21" s="3" t="s">
        <v>221</v>
      </c>
      <c r="K21">
        <f>'AEO Table 16'!C22*1000+K16</f>
        <v>48676.436000000002</v>
      </c>
      <c r="L21">
        <f>K21+L16</f>
        <v>81660.035999999993</v>
      </c>
      <c r="M21">
        <f t="shared" ref="M21:Z21" si="1">L21+M16</f>
        <v>114643.636</v>
      </c>
      <c r="N21">
        <f t="shared" si="1"/>
        <v>145142.43599999999</v>
      </c>
      <c r="O21">
        <f t="shared" si="1"/>
        <v>175641.23599999998</v>
      </c>
      <c r="P21">
        <f t="shared" si="1"/>
        <v>197359.43599999999</v>
      </c>
      <c r="Q21">
        <f t="shared" si="1"/>
        <v>219077.636</v>
      </c>
      <c r="R21">
        <f t="shared" si="1"/>
        <v>249934.83600000001</v>
      </c>
      <c r="S21">
        <f t="shared" si="1"/>
        <v>280792.03600000002</v>
      </c>
      <c r="T21">
        <f t="shared" si="1"/>
        <v>312172.43600000005</v>
      </c>
      <c r="U21">
        <f t="shared" si="1"/>
        <v>343552.83600000007</v>
      </c>
      <c r="V21">
        <f t="shared" si="1"/>
        <v>359413.73600000009</v>
      </c>
      <c r="W21">
        <f t="shared" si="1"/>
        <v>375274.63600000012</v>
      </c>
      <c r="X21">
        <f t="shared" si="1"/>
        <v>408163.83600000013</v>
      </c>
      <c r="Y21">
        <f t="shared" si="1"/>
        <v>441053.03600000014</v>
      </c>
      <c r="Z21">
        <f t="shared" si="1"/>
        <v>473942.23600000015</v>
      </c>
    </row>
    <row r="22" spans="1:27">
      <c r="A22">
        <v>2020</v>
      </c>
      <c r="B22" t="s">
        <v>187</v>
      </c>
      <c r="C22">
        <v>895.31299999999999</v>
      </c>
      <c r="D22" t="s">
        <v>183</v>
      </c>
      <c r="E22" t="s">
        <v>182</v>
      </c>
      <c r="F22" t="s">
        <v>177</v>
      </c>
      <c r="G22" t="s">
        <v>180</v>
      </c>
      <c r="J22" s="3" t="s">
        <v>323</v>
      </c>
      <c r="K22">
        <f>'AEO Table 9 (2020)'!C23*1000+K8</f>
        <v>2161.2350000000001</v>
      </c>
      <c r="L22">
        <f>K22+L8</f>
        <v>3708.2449999999999</v>
      </c>
      <c r="M22">
        <f t="shared" ref="M22:Z22" si="2">L22+M8</f>
        <v>5255.2550000000001</v>
      </c>
      <c r="N22">
        <f t="shared" si="2"/>
        <v>10264.945</v>
      </c>
      <c r="O22">
        <f t="shared" si="2"/>
        <v>15274.634999999998</v>
      </c>
      <c r="P22">
        <f t="shared" si="2"/>
        <v>21181.214999999997</v>
      </c>
      <c r="Q22">
        <f t="shared" si="2"/>
        <v>27087.794999999998</v>
      </c>
      <c r="R22">
        <f t="shared" si="2"/>
        <v>32453.424999999999</v>
      </c>
      <c r="S22">
        <f t="shared" si="2"/>
        <v>37819.055</v>
      </c>
      <c r="T22">
        <f t="shared" si="2"/>
        <v>46318.885000000002</v>
      </c>
      <c r="U22">
        <f t="shared" si="2"/>
        <v>54818.715000000004</v>
      </c>
      <c r="V22">
        <f t="shared" si="2"/>
        <v>70409.115000000005</v>
      </c>
      <c r="W22">
        <f t="shared" si="2"/>
        <v>85999.514999999999</v>
      </c>
      <c r="X22">
        <f t="shared" si="2"/>
        <v>105611.015</v>
      </c>
      <c r="Y22">
        <f t="shared" si="2"/>
        <v>125222.515</v>
      </c>
      <c r="Z22">
        <f t="shared" si="2"/>
        <v>144834.01500000001</v>
      </c>
    </row>
    <row r="23" spans="1:27" ht="45">
      <c r="A23">
        <v>2020</v>
      </c>
      <c r="B23" t="s">
        <v>187</v>
      </c>
      <c r="C23">
        <v>901.97799999999995</v>
      </c>
      <c r="D23" t="s">
        <v>183</v>
      </c>
      <c r="E23" t="s">
        <v>182</v>
      </c>
      <c r="F23" t="s">
        <v>181</v>
      </c>
      <c r="G23" t="s">
        <v>178</v>
      </c>
      <c r="J23" s="26" t="s">
        <v>201</v>
      </c>
      <c r="K23">
        <f>K22/SUM(K20:K21)</f>
        <v>1.2803047346053965E-2</v>
      </c>
      <c r="L23">
        <f t="shared" ref="L23:Z23" si="3">L22/SUM(L20:L21)</f>
        <v>1.6287027436856189E-2</v>
      </c>
      <c r="M23">
        <f t="shared" si="3"/>
        <v>1.8339396987172078E-2</v>
      </c>
      <c r="N23">
        <f t="shared" si="3"/>
        <v>3.0295928079129647E-2</v>
      </c>
      <c r="O23">
        <f t="shared" si="3"/>
        <v>3.9056603015181462E-2</v>
      </c>
      <c r="P23">
        <f t="shared" si="3"/>
        <v>4.7193128443664183E-2</v>
      </c>
      <c r="Q23">
        <f t="shared" si="3"/>
        <v>5.3475056492734332E-2</v>
      </c>
      <c r="R23">
        <f t="shared" si="3"/>
        <v>5.6894630042626182E-2</v>
      </c>
      <c r="S23">
        <f t="shared" si="3"/>
        <v>5.9625596824254418E-2</v>
      </c>
      <c r="T23">
        <f t="shared" si="3"/>
        <v>6.629747767979853E-2</v>
      </c>
      <c r="U23">
        <f t="shared" si="3"/>
        <v>7.1843544744720975E-2</v>
      </c>
      <c r="V23">
        <f t="shared" si="3"/>
        <v>8.4387145591466622E-2</v>
      </c>
      <c r="W23">
        <f t="shared" si="3"/>
        <v>9.4954954528819066E-2</v>
      </c>
      <c r="X23">
        <f t="shared" si="3"/>
        <v>0.10641309347642154</v>
      </c>
      <c r="Y23">
        <f t="shared" si="3"/>
        <v>0.11602867048113187</v>
      </c>
      <c r="Z23">
        <f t="shared" si="3"/>
        <v>0.12421305795000899</v>
      </c>
    </row>
    <row r="24" spans="1:27">
      <c r="A24">
        <v>2020</v>
      </c>
      <c r="B24" t="s">
        <v>187</v>
      </c>
      <c r="C24">
        <v>798.03099999999995</v>
      </c>
      <c r="D24" t="s">
        <v>183</v>
      </c>
      <c r="E24" t="s">
        <v>182</v>
      </c>
      <c r="F24" t="s">
        <v>181</v>
      </c>
      <c r="G24" t="s">
        <v>179</v>
      </c>
    </row>
    <row r="25" spans="1:27">
      <c r="A25">
        <v>2020</v>
      </c>
      <c r="B25" t="s">
        <v>187</v>
      </c>
      <c r="C25">
        <v>881.50800000000004</v>
      </c>
      <c r="D25" t="s">
        <v>183</v>
      </c>
      <c r="E25" t="s">
        <v>182</v>
      </c>
      <c r="F25" t="s">
        <v>181</v>
      </c>
      <c r="G25" t="s">
        <v>180</v>
      </c>
    </row>
    <row r="26" spans="1:27">
      <c r="A26">
        <v>2020</v>
      </c>
      <c r="B26" t="s">
        <v>187</v>
      </c>
      <c r="C26">
        <v>783.40499999999997</v>
      </c>
      <c r="D26" t="s">
        <v>184</v>
      </c>
      <c r="E26" t="s">
        <v>176</v>
      </c>
      <c r="F26" t="s">
        <v>177</v>
      </c>
      <c r="G26" t="s">
        <v>178</v>
      </c>
    </row>
    <row r="27" spans="1:27">
      <c r="A27">
        <v>2020</v>
      </c>
      <c r="B27" t="s">
        <v>187</v>
      </c>
      <c r="C27">
        <v>783.40499999999997</v>
      </c>
      <c r="D27" t="s">
        <v>184</v>
      </c>
      <c r="E27" t="s">
        <v>176</v>
      </c>
      <c r="F27" t="s">
        <v>177</v>
      </c>
      <c r="G27" t="s">
        <v>179</v>
      </c>
    </row>
    <row r="28" spans="1:27">
      <c r="A28">
        <v>2020</v>
      </c>
      <c r="B28" t="s">
        <v>187</v>
      </c>
      <c r="C28">
        <v>783.40499999999997</v>
      </c>
      <c r="D28" t="s">
        <v>184</v>
      </c>
      <c r="E28" t="s">
        <v>176</v>
      </c>
      <c r="F28" t="s">
        <v>177</v>
      </c>
      <c r="G28" t="s">
        <v>180</v>
      </c>
    </row>
    <row r="29" spans="1:27">
      <c r="A29">
        <v>2020</v>
      </c>
      <c r="B29" t="s">
        <v>187</v>
      </c>
      <c r="C29">
        <v>783.40499999999997</v>
      </c>
      <c r="D29" t="s">
        <v>184</v>
      </c>
      <c r="E29" t="s">
        <v>176</v>
      </c>
      <c r="F29" t="s">
        <v>181</v>
      </c>
      <c r="G29" t="s">
        <v>178</v>
      </c>
    </row>
    <row r="30" spans="1:27">
      <c r="A30">
        <v>2020</v>
      </c>
      <c r="B30" t="s">
        <v>187</v>
      </c>
      <c r="C30">
        <v>783.40499999999997</v>
      </c>
      <c r="D30" t="s">
        <v>184</v>
      </c>
      <c r="E30" t="s">
        <v>176</v>
      </c>
      <c r="F30" t="s">
        <v>181</v>
      </c>
      <c r="G30" t="s">
        <v>179</v>
      </c>
    </row>
    <row r="31" spans="1:27">
      <c r="A31">
        <v>2020</v>
      </c>
      <c r="B31" t="s">
        <v>187</v>
      </c>
      <c r="C31">
        <v>783.40499999999997</v>
      </c>
      <c r="D31" t="s">
        <v>184</v>
      </c>
      <c r="E31" t="s">
        <v>176</v>
      </c>
      <c r="F31" t="s">
        <v>181</v>
      </c>
      <c r="G31" t="s">
        <v>180</v>
      </c>
    </row>
    <row r="32" spans="1:27">
      <c r="A32">
        <v>2020</v>
      </c>
      <c r="B32" t="s">
        <v>187</v>
      </c>
      <c r="C32">
        <v>783.40499999999997</v>
      </c>
      <c r="D32" t="s">
        <v>184</v>
      </c>
      <c r="E32" t="s">
        <v>182</v>
      </c>
      <c r="F32" t="s">
        <v>177</v>
      </c>
      <c r="G32" t="s">
        <v>178</v>
      </c>
    </row>
    <row r="33" spans="1:7">
      <c r="A33">
        <v>2020</v>
      </c>
      <c r="B33" t="s">
        <v>187</v>
      </c>
      <c r="C33">
        <v>783.40499999999997</v>
      </c>
      <c r="D33" t="s">
        <v>184</v>
      </c>
      <c r="E33" t="s">
        <v>182</v>
      </c>
      <c r="F33" t="s">
        <v>177</v>
      </c>
      <c r="G33" t="s">
        <v>179</v>
      </c>
    </row>
    <row r="34" spans="1:7">
      <c r="A34">
        <v>2020</v>
      </c>
      <c r="B34" t="s">
        <v>187</v>
      </c>
      <c r="C34">
        <v>783.40499999999997</v>
      </c>
      <c r="D34" t="s">
        <v>184</v>
      </c>
      <c r="E34" t="s">
        <v>182</v>
      </c>
      <c r="F34" t="s">
        <v>177</v>
      </c>
      <c r="G34" t="s">
        <v>180</v>
      </c>
    </row>
    <row r="35" spans="1:7">
      <c r="A35">
        <v>2020</v>
      </c>
      <c r="B35" t="s">
        <v>187</v>
      </c>
      <c r="C35">
        <v>783.40499999999997</v>
      </c>
      <c r="D35" t="s">
        <v>184</v>
      </c>
      <c r="E35" t="s">
        <v>182</v>
      </c>
      <c r="F35" t="s">
        <v>181</v>
      </c>
      <c r="G35" t="s">
        <v>178</v>
      </c>
    </row>
    <row r="36" spans="1:7">
      <c r="A36">
        <v>2020</v>
      </c>
      <c r="B36" t="s">
        <v>187</v>
      </c>
      <c r="C36">
        <v>783.40499999999997</v>
      </c>
      <c r="D36" t="s">
        <v>184</v>
      </c>
      <c r="E36" t="s">
        <v>182</v>
      </c>
      <c r="F36" t="s">
        <v>181</v>
      </c>
      <c r="G36" t="s">
        <v>179</v>
      </c>
    </row>
    <row r="37" spans="1:7">
      <c r="A37">
        <v>2020</v>
      </c>
      <c r="B37" t="s">
        <v>187</v>
      </c>
      <c r="C37">
        <v>783.40499999999997</v>
      </c>
      <c r="D37" t="s">
        <v>184</v>
      </c>
      <c r="E37" t="s">
        <v>182</v>
      </c>
      <c r="F37" t="s">
        <v>181</v>
      </c>
      <c r="G37" t="s">
        <v>180</v>
      </c>
    </row>
    <row r="38" spans="1:7">
      <c r="A38">
        <v>2021</v>
      </c>
      <c r="B38" t="s">
        <v>187</v>
      </c>
      <c r="C38">
        <v>1155.94</v>
      </c>
      <c r="D38" t="s">
        <v>175</v>
      </c>
      <c r="E38" t="s">
        <v>176</v>
      </c>
      <c r="F38" t="s">
        <v>177</v>
      </c>
      <c r="G38" t="s">
        <v>178</v>
      </c>
    </row>
    <row r="39" spans="1:7">
      <c r="A39">
        <v>2021</v>
      </c>
      <c r="B39" t="s">
        <v>187</v>
      </c>
      <c r="C39">
        <v>606.16999999999996</v>
      </c>
      <c r="D39" t="s">
        <v>175</v>
      </c>
      <c r="E39" t="s">
        <v>176</v>
      </c>
      <c r="F39" t="s">
        <v>177</v>
      </c>
      <c r="G39" t="s">
        <v>179</v>
      </c>
    </row>
    <row r="40" spans="1:7">
      <c r="A40">
        <v>2021</v>
      </c>
      <c r="B40" t="s">
        <v>187</v>
      </c>
      <c r="C40">
        <v>1085.08</v>
      </c>
      <c r="D40" t="s">
        <v>175</v>
      </c>
      <c r="E40" t="s">
        <v>176</v>
      </c>
      <c r="F40" t="s">
        <v>177</v>
      </c>
      <c r="G40" t="s">
        <v>180</v>
      </c>
    </row>
    <row r="41" spans="1:7">
      <c r="A41">
        <v>2021</v>
      </c>
      <c r="B41" t="s">
        <v>187</v>
      </c>
      <c r="C41">
        <v>1553.73</v>
      </c>
      <c r="D41" t="s">
        <v>175</v>
      </c>
      <c r="E41" t="s">
        <v>176</v>
      </c>
      <c r="F41" t="s">
        <v>181</v>
      </c>
      <c r="G41" t="s">
        <v>178</v>
      </c>
    </row>
    <row r="42" spans="1:7">
      <c r="A42">
        <v>2021</v>
      </c>
      <c r="B42" t="s">
        <v>187</v>
      </c>
      <c r="C42">
        <v>606.38599999999997</v>
      </c>
      <c r="D42" t="s">
        <v>175</v>
      </c>
      <c r="E42" t="s">
        <v>176</v>
      </c>
      <c r="F42" t="s">
        <v>181</v>
      </c>
      <c r="G42" t="s">
        <v>179</v>
      </c>
    </row>
    <row r="43" spans="1:7">
      <c r="A43">
        <v>2021</v>
      </c>
      <c r="B43" t="s">
        <v>187</v>
      </c>
      <c r="C43">
        <v>1482.58</v>
      </c>
      <c r="D43" t="s">
        <v>175</v>
      </c>
      <c r="E43" t="s">
        <v>176</v>
      </c>
      <c r="F43" t="s">
        <v>181</v>
      </c>
      <c r="G43" t="s">
        <v>180</v>
      </c>
    </row>
    <row r="44" spans="1:7">
      <c r="A44">
        <v>2021</v>
      </c>
      <c r="B44" t="s">
        <v>187</v>
      </c>
      <c r="C44">
        <v>605.14800000000002</v>
      </c>
      <c r="D44" t="s">
        <v>175</v>
      </c>
      <c r="E44" t="s">
        <v>182</v>
      </c>
      <c r="F44" t="s">
        <v>177</v>
      </c>
      <c r="G44" t="s">
        <v>178</v>
      </c>
    </row>
    <row r="45" spans="1:7">
      <c r="A45">
        <v>2021</v>
      </c>
      <c r="B45" t="s">
        <v>187</v>
      </c>
      <c r="C45">
        <v>605.14499999999998</v>
      </c>
      <c r="D45" t="s">
        <v>175</v>
      </c>
      <c r="E45" t="s">
        <v>182</v>
      </c>
      <c r="F45" t="s">
        <v>177</v>
      </c>
      <c r="G45" t="s">
        <v>179</v>
      </c>
    </row>
    <row r="46" spans="1:7">
      <c r="A46">
        <v>2021</v>
      </c>
      <c r="B46" t="s">
        <v>187</v>
      </c>
      <c r="C46">
        <v>605.16300000000001</v>
      </c>
      <c r="D46" t="s">
        <v>175</v>
      </c>
      <c r="E46" t="s">
        <v>182</v>
      </c>
      <c r="F46" t="s">
        <v>177</v>
      </c>
      <c r="G46" t="s">
        <v>180</v>
      </c>
    </row>
    <row r="47" spans="1:7">
      <c r="A47">
        <v>2021</v>
      </c>
      <c r="B47" t="s">
        <v>187</v>
      </c>
      <c r="C47">
        <v>643.625</v>
      </c>
      <c r="D47" t="s">
        <v>175</v>
      </c>
      <c r="E47" t="s">
        <v>182</v>
      </c>
      <c r="F47" t="s">
        <v>181</v>
      </c>
      <c r="G47" t="s">
        <v>178</v>
      </c>
    </row>
    <row r="48" spans="1:7">
      <c r="A48">
        <v>2021</v>
      </c>
      <c r="B48" t="s">
        <v>187</v>
      </c>
      <c r="C48">
        <v>605.14499999999998</v>
      </c>
      <c r="D48" t="s">
        <v>175</v>
      </c>
      <c r="E48" t="s">
        <v>182</v>
      </c>
      <c r="F48" t="s">
        <v>181</v>
      </c>
      <c r="G48" t="s">
        <v>179</v>
      </c>
    </row>
    <row r="49" spans="1:7">
      <c r="A49">
        <v>2021</v>
      </c>
      <c r="B49" t="s">
        <v>187</v>
      </c>
      <c r="C49">
        <v>653.61</v>
      </c>
      <c r="D49" t="s">
        <v>175</v>
      </c>
      <c r="E49" t="s">
        <v>182</v>
      </c>
      <c r="F49" t="s">
        <v>181</v>
      </c>
      <c r="G49" t="s">
        <v>180</v>
      </c>
    </row>
    <row r="50" spans="1:7">
      <c r="A50">
        <v>2021</v>
      </c>
      <c r="B50" t="s">
        <v>187</v>
      </c>
      <c r="C50">
        <v>3016.74</v>
      </c>
      <c r="D50" t="s">
        <v>183</v>
      </c>
      <c r="E50" t="s">
        <v>176</v>
      </c>
      <c r="F50" t="s">
        <v>177</v>
      </c>
      <c r="G50" t="s">
        <v>178</v>
      </c>
    </row>
    <row r="51" spans="1:7">
      <c r="A51">
        <v>2021</v>
      </c>
      <c r="B51" t="s">
        <v>187</v>
      </c>
      <c r="C51">
        <v>1547.01</v>
      </c>
      <c r="D51" t="s">
        <v>183</v>
      </c>
      <c r="E51" t="s">
        <v>176</v>
      </c>
      <c r="F51" t="s">
        <v>177</v>
      </c>
      <c r="G51" t="s">
        <v>179</v>
      </c>
    </row>
    <row r="52" spans="1:7">
      <c r="A52">
        <v>2021</v>
      </c>
      <c r="B52" t="s">
        <v>187</v>
      </c>
      <c r="C52">
        <v>2924.94</v>
      </c>
      <c r="D52" t="s">
        <v>183</v>
      </c>
      <c r="E52" t="s">
        <v>176</v>
      </c>
      <c r="F52" t="s">
        <v>177</v>
      </c>
      <c r="G52" t="s">
        <v>180</v>
      </c>
    </row>
    <row r="53" spans="1:7">
      <c r="A53">
        <v>2021</v>
      </c>
      <c r="B53" t="s">
        <v>187</v>
      </c>
      <c r="C53">
        <v>2686.67</v>
      </c>
      <c r="D53" t="s">
        <v>183</v>
      </c>
      <c r="E53" t="s">
        <v>176</v>
      </c>
      <c r="F53" t="s">
        <v>181</v>
      </c>
      <c r="G53" t="s">
        <v>178</v>
      </c>
    </row>
    <row r="54" spans="1:7">
      <c r="A54">
        <v>2021</v>
      </c>
      <c r="B54" t="s">
        <v>187</v>
      </c>
      <c r="C54">
        <v>1640.88</v>
      </c>
      <c r="D54" t="s">
        <v>183</v>
      </c>
      <c r="E54" t="s">
        <v>176</v>
      </c>
      <c r="F54" t="s">
        <v>181</v>
      </c>
      <c r="G54" t="s">
        <v>179</v>
      </c>
    </row>
    <row r="55" spans="1:7">
      <c r="A55">
        <v>2021</v>
      </c>
      <c r="B55" t="s">
        <v>187</v>
      </c>
      <c r="C55">
        <v>2627.16</v>
      </c>
      <c r="D55" t="s">
        <v>183</v>
      </c>
      <c r="E55" t="s">
        <v>176</v>
      </c>
      <c r="F55" t="s">
        <v>181</v>
      </c>
      <c r="G55" t="s">
        <v>180</v>
      </c>
    </row>
    <row r="56" spans="1:7">
      <c r="A56">
        <v>2021</v>
      </c>
      <c r="B56" t="s">
        <v>187</v>
      </c>
      <c r="C56">
        <v>2921.24</v>
      </c>
      <c r="D56" t="s">
        <v>183</v>
      </c>
      <c r="E56" t="s">
        <v>182</v>
      </c>
      <c r="F56" t="s">
        <v>177</v>
      </c>
      <c r="G56" t="s">
        <v>178</v>
      </c>
    </row>
    <row r="57" spans="1:7">
      <c r="A57">
        <v>2021</v>
      </c>
      <c r="B57" t="s">
        <v>187</v>
      </c>
      <c r="C57">
        <v>1457.41</v>
      </c>
      <c r="D57" t="s">
        <v>183</v>
      </c>
      <c r="E57" t="s">
        <v>182</v>
      </c>
      <c r="F57" t="s">
        <v>177</v>
      </c>
      <c r="G57" t="s">
        <v>179</v>
      </c>
    </row>
    <row r="58" spans="1:7">
      <c r="A58">
        <v>2021</v>
      </c>
      <c r="B58" t="s">
        <v>187</v>
      </c>
      <c r="C58">
        <v>2859.38</v>
      </c>
      <c r="D58" t="s">
        <v>183</v>
      </c>
      <c r="E58" t="s">
        <v>182</v>
      </c>
      <c r="F58" t="s">
        <v>177</v>
      </c>
      <c r="G58" t="s">
        <v>180</v>
      </c>
    </row>
    <row r="59" spans="1:7">
      <c r="A59">
        <v>2021</v>
      </c>
      <c r="B59" t="s">
        <v>187</v>
      </c>
      <c r="C59">
        <v>2862.07</v>
      </c>
      <c r="D59" t="s">
        <v>183</v>
      </c>
      <c r="E59" t="s">
        <v>182</v>
      </c>
      <c r="F59" t="s">
        <v>181</v>
      </c>
      <c r="G59" t="s">
        <v>178</v>
      </c>
    </row>
    <row r="60" spans="1:7">
      <c r="A60">
        <v>2021</v>
      </c>
      <c r="B60" t="s">
        <v>187</v>
      </c>
      <c r="C60">
        <v>1442.3</v>
      </c>
      <c r="D60" t="s">
        <v>183</v>
      </c>
      <c r="E60" t="s">
        <v>182</v>
      </c>
      <c r="F60" t="s">
        <v>181</v>
      </c>
      <c r="G60" t="s">
        <v>179</v>
      </c>
    </row>
    <row r="61" spans="1:7">
      <c r="A61">
        <v>2021</v>
      </c>
      <c r="B61" t="s">
        <v>187</v>
      </c>
      <c r="C61">
        <v>2829.88</v>
      </c>
      <c r="D61" t="s">
        <v>183</v>
      </c>
      <c r="E61" t="s">
        <v>182</v>
      </c>
      <c r="F61" t="s">
        <v>181</v>
      </c>
      <c r="G61" t="s">
        <v>180</v>
      </c>
    </row>
    <row r="62" spans="1:7">
      <c r="A62">
        <v>2021</v>
      </c>
      <c r="B62" t="s">
        <v>187</v>
      </c>
      <c r="C62">
        <v>640.35799999999995</v>
      </c>
      <c r="D62" t="s">
        <v>184</v>
      </c>
      <c r="E62" t="s">
        <v>176</v>
      </c>
      <c r="F62" t="s">
        <v>177</v>
      </c>
      <c r="G62" t="s">
        <v>178</v>
      </c>
    </row>
    <row r="63" spans="1:7">
      <c r="A63">
        <v>2021</v>
      </c>
      <c r="B63" t="s">
        <v>187</v>
      </c>
      <c r="C63">
        <v>608.09299999999996</v>
      </c>
      <c r="D63" t="s">
        <v>184</v>
      </c>
      <c r="E63" t="s">
        <v>176</v>
      </c>
      <c r="F63" t="s">
        <v>177</v>
      </c>
      <c r="G63" t="s">
        <v>179</v>
      </c>
    </row>
    <row r="64" spans="1:7">
      <c r="A64">
        <v>2021</v>
      </c>
      <c r="B64" t="s">
        <v>187</v>
      </c>
      <c r="C64">
        <v>628.12800000000004</v>
      </c>
      <c r="D64" t="s">
        <v>184</v>
      </c>
      <c r="E64" t="s">
        <v>176</v>
      </c>
      <c r="F64" t="s">
        <v>177</v>
      </c>
      <c r="G64" t="s">
        <v>180</v>
      </c>
    </row>
    <row r="65" spans="1:7">
      <c r="A65">
        <v>2021</v>
      </c>
      <c r="B65" t="s">
        <v>187</v>
      </c>
      <c r="C65">
        <v>634.49599999999998</v>
      </c>
      <c r="D65" t="s">
        <v>184</v>
      </c>
      <c r="E65" t="s">
        <v>176</v>
      </c>
      <c r="F65" t="s">
        <v>181</v>
      </c>
      <c r="G65" t="s">
        <v>178</v>
      </c>
    </row>
    <row r="66" spans="1:7">
      <c r="A66">
        <v>2021</v>
      </c>
      <c r="B66" t="s">
        <v>187</v>
      </c>
      <c r="C66">
        <v>605.14499999999998</v>
      </c>
      <c r="D66" t="s">
        <v>184</v>
      </c>
      <c r="E66" t="s">
        <v>176</v>
      </c>
      <c r="F66" t="s">
        <v>181</v>
      </c>
      <c r="G66" t="s">
        <v>179</v>
      </c>
    </row>
    <row r="67" spans="1:7">
      <c r="A67">
        <v>2021</v>
      </c>
      <c r="B67" t="s">
        <v>187</v>
      </c>
      <c r="C67">
        <v>616.79399999999998</v>
      </c>
      <c r="D67" t="s">
        <v>184</v>
      </c>
      <c r="E67" t="s">
        <v>176</v>
      </c>
      <c r="F67" t="s">
        <v>181</v>
      </c>
      <c r="G67" t="s">
        <v>180</v>
      </c>
    </row>
    <row r="68" spans="1:7">
      <c r="A68">
        <v>2021</v>
      </c>
      <c r="B68" t="s">
        <v>187</v>
      </c>
      <c r="C68">
        <v>628.22</v>
      </c>
      <c r="D68" t="s">
        <v>184</v>
      </c>
      <c r="E68" t="s">
        <v>182</v>
      </c>
      <c r="F68" t="s">
        <v>177</v>
      </c>
      <c r="G68" t="s">
        <v>178</v>
      </c>
    </row>
    <row r="69" spans="1:7">
      <c r="A69">
        <v>2021</v>
      </c>
      <c r="B69" t="s">
        <v>187</v>
      </c>
      <c r="C69">
        <v>605.14499999999998</v>
      </c>
      <c r="D69" t="s">
        <v>184</v>
      </c>
      <c r="E69" t="s">
        <v>182</v>
      </c>
      <c r="F69" t="s">
        <v>177</v>
      </c>
      <c r="G69" t="s">
        <v>179</v>
      </c>
    </row>
    <row r="70" spans="1:7">
      <c r="A70">
        <v>2021</v>
      </c>
      <c r="B70" t="s">
        <v>187</v>
      </c>
      <c r="C70">
        <v>611.96299999999997</v>
      </c>
      <c r="D70" t="s">
        <v>184</v>
      </c>
      <c r="E70" t="s">
        <v>182</v>
      </c>
      <c r="F70" t="s">
        <v>177</v>
      </c>
      <c r="G70" t="s">
        <v>180</v>
      </c>
    </row>
    <row r="71" spans="1:7">
      <c r="A71">
        <v>2021</v>
      </c>
      <c r="B71" t="s">
        <v>187</v>
      </c>
      <c r="C71">
        <v>614.81200000000001</v>
      </c>
      <c r="D71" t="s">
        <v>184</v>
      </c>
      <c r="E71" t="s">
        <v>182</v>
      </c>
      <c r="F71" t="s">
        <v>181</v>
      </c>
      <c r="G71" t="s">
        <v>178</v>
      </c>
    </row>
    <row r="72" spans="1:7">
      <c r="A72">
        <v>2021</v>
      </c>
      <c r="B72" t="s">
        <v>187</v>
      </c>
      <c r="C72">
        <v>605.14499999999998</v>
      </c>
      <c r="D72" t="s">
        <v>184</v>
      </c>
      <c r="E72" t="s">
        <v>182</v>
      </c>
      <c r="F72" t="s">
        <v>181</v>
      </c>
      <c r="G72" t="s">
        <v>179</v>
      </c>
    </row>
    <row r="73" spans="1:7">
      <c r="A73">
        <v>2021</v>
      </c>
      <c r="B73" t="s">
        <v>187</v>
      </c>
      <c r="C73">
        <v>606.83900000000006</v>
      </c>
      <c r="D73" t="s">
        <v>184</v>
      </c>
      <c r="E73" t="s">
        <v>182</v>
      </c>
      <c r="F73" t="s">
        <v>181</v>
      </c>
      <c r="G73" t="s">
        <v>180</v>
      </c>
    </row>
    <row r="74" spans="1:7">
      <c r="A74">
        <v>2022</v>
      </c>
      <c r="B74" t="s">
        <v>187</v>
      </c>
      <c r="C74">
        <v>1155.94</v>
      </c>
      <c r="D74" t="s">
        <v>175</v>
      </c>
      <c r="E74" t="s">
        <v>176</v>
      </c>
      <c r="F74" t="s">
        <v>177</v>
      </c>
      <c r="G74" t="s">
        <v>178</v>
      </c>
    </row>
    <row r="75" spans="1:7">
      <c r="A75">
        <v>2022</v>
      </c>
      <c r="B75" t="s">
        <v>187</v>
      </c>
      <c r="C75">
        <v>606.16999999999996</v>
      </c>
      <c r="D75" t="s">
        <v>175</v>
      </c>
      <c r="E75" t="s">
        <v>176</v>
      </c>
      <c r="F75" t="s">
        <v>177</v>
      </c>
      <c r="G75" t="s">
        <v>179</v>
      </c>
    </row>
    <row r="76" spans="1:7">
      <c r="A76">
        <v>2022</v>
      </c>
      <c r="B76" t="s">
        <v>187</v>
      </c>
      <c r="C76">
        <v>1085.08</v>
      </c>
      <c r="D76" t="s">
        <v>175</v>
      </c>
      <c r="E76" t="s">
        <v>176</v>
      </c>
      <c r="F76" t="s">
        <v>177</v>
      </c>
      <c r="G76" t="s">
        <v>180</v>
      </c>
    </row>
    <row r="77" spans="1:7">
      <c r="A77">
        <v>2022</v>
      </c>
      <c r="B77" t="s">
        <v>187</v>
      </c>
      <c r="C77">
        <v>1553.73</v>
      </c>
      <c r="D77" t="s">
        <v>175</v>
      </c>
      <c r="E77" t="s">
        <v>176</v>
      </c>
      <c r="F77" t="s">
        <v>181</v>
      </c>
      <c r="G77" t="s">
        <v>178</v>
      </c>
    </row>
    <row r="78" spans="1:7">
      <c r="A78">
        <v>2022</v>
      </c>
      <c r="B78" t="s">
        <v>187</v>
      </c>
      <c r="C78">
        <v>606.38599999999997</v>
      </c>
      <c r="D78" t="s">
        <v>175</v>
      </c>
      <c r="E78" t="s">
        <v>176</v>
      </c>
      <c r="F78" t="s">
        <v>181</v>
      </c>
      <c r="G78" t="s">
        <v>179</v>
      </c>
    </row>
    <row r="79" spans="1:7">
      <c r="A79">
        <v>2022</v>
      </c>
      <c r="B79" t="s">
        <v>187</v>
      </c>
      <c r="C79">
        <v>1482.58</v>
      </c>
      <c r="D79" t="s">
        <v>175</v>
      </c>
      <c r="E79" t="s">
        <v>176</v>
      </c>
      <c r="F79" t="s">
        <v>181</v>
      </c>
      <c r="G79" t="s">
        <v>180</v>
      </c>
    </row>
    <row r="80" spans="1:7">
      <c r="A80">
        <v>2022</v>
      </c>
      <c r="B80" t="s">
        <v>187</v>
      </c>
      <c r="C80">
        <v>605.14800000000002</v>
      </c>
      <c r="D80" t="s">
        <v>175</v>
      </c>
      <c r="E80" t="s">
        <v>182</v>
      </c>
      <c r="F80" t="s">
        <v>177</v>
      </c>
      <c r="G80" t="s">
        <v>178</v>
      </c>
    </row>
    <row r="81" spans="1:7">
      <c r="A81">
        <v>2022</v>
      </c>
      <c r="B81" t="s">
        <v>187</v>
      </c>
      <c r="C81">
        <v>605.14499999999998</v>
      </c>
      <c r="D81" t="s">
        <v>175</v>
      </c>
      <c r="E81" t="s">
        <v>182</v>
      </c>
      <c r="F81" t="s">
        <v>177</v>
      </c>
      <c r="G81" t="s">
        <v>179</v>
      </c>
    </row>
    <row r="82" spans="1:7">
      <c r="A82">
        <v>2022</v>
      </c>
      <c r="B82" t="s">
        <v>187</v>
      </c>
      <c r="C82">
        <v>605.16300000000001</v>
      </c>
      <c r="D82" t="s">
        <v>175</v>
      </c>
      <c r="E82" t="s">
        <v>182</v>
      </c>
      <c r="F82" t="s">
        <v>177</v>
      </c>
      <c r="G82" t="s">
        <v>180</v>
      </c>
    </row>
    <row r="83" spans="1:7">
      <c r="A83">
        <v>2022</v>
      </c>
      <c r="B83" t="s">
        <v>187</v>
      </c>
      <c r="C83">
        <v>643.625</v>
      </c>
      <c r="D83" t="s">
        <v>175</v>
      </c>
      <c r="E83" t="s">
        <v>182</v>
      </c>
      <c r="F83" t="s">
        <v>181</v>
      </c>
      <c r="G83" t="s">
        <v>178</v>
      </c>
    </row>
    <row r="84" spans="1:7">
      <c r="A84">
        <v>2022</v>
      </c>
      <c r="B84" t="s">
        <v>187</v>
      </c>
      <c r="C84">
        <v>605.14499999999998</v>
      </c>
      <c r="D84" t="s">
        <v>175</v>
      </c>
      <c r="E84" t="s">
        <v>182</v>
      </c>
      <c r="F84" t="s">
        <v>181</v>
      </c>
      <c r="G84" t="s">
        <v>179</v>
      </c>
    </row>
    <row r="85" spans="1:7">
      <c r="A85">
        <v>2022</v>
      </c>
      <c r="B85" t="s">
        <v>187</v>
      </c>
      <c r="C85">
        <v>653.61</v>
      </c>
      <c r="D85" t="s">
        <v>175</v>
      </c>
      <c r="E85" t="s">
        <v>182</v>
      </c>
      <c r="F85" t="s">
        <v>181</v>
      </c>
      <c r="G85" t="s">
        <v>180</v>
      </c>
    </row>
    <row r="86" spans="1:7">
      <c r="A86">
        <v>2022</v>
      </c>
      <c r="B86" t="s">
        <v>187</v>
      </c>
      <c r="C86">
        <v>3016.74</v>
      </c>
      <c r="D86" t="s">
        <v>183</v>
      </c>
      <c r="E86" t="s">
        <v>176</v>
      </c>
      <c r="F86" t="s">
        <v>177</v>
      </c>
      <c r="G86" t="s">
        <v>178</v>
      </c>
    </row>
    <row r="87" spans="1:7">
      <c r="A87">
        <v>2022</v>
      </c>
      <c r="B87" t="s">
        <v>187</v>
      </c>
      <c r="C87">
        <v>1547.01</v>
      </c>
      <c r="D87" t="s">
        <v>183</v>
      </c>
      <c r="E87" t="s">
        <v>176</v>
      </c>
      <c r="F87" t="s">
        <v>177</v>
      </c>
      <c r="G87" t="s">
        <v>179</v>
      </c>
    </row>
    <row r="88" spans="1:7">
      <c r="A88">
        <v>2022</v>
      </c>
      <c r="B88" t="s">
        <v>187</v>
      </c>
      <c r="C88">
        <v>2924.94</v>
      </c>
      <c r="D88" t="s">
        <v>183</v>
      </c>
      <c r="E88" t="s">
        <v>176</v>
      </c>
      <c r="F88" t="s">
        <v>177</v>
      </c>
      <c r="G88" t="s">
        <v>180</v>
      </c>
    </row>
    <row r="89" spans="1:7">
      <c r="A89">
        <v>2022</v>
      </c>
      <c r="B89" t="s">
        <v>187</v>
      </c>
      <c r="C89">
        <v>2686.67</v>
      </c>
      <c r="D89" t="s">
        <v>183</v>
      </c>
      <c r="E89" t="s">
        <v>176</v>
      </c>
      <c r="F89" t="s">
        <v>181</v>
      </c>
      <c r="G89" t="s">
        <v>178</v>
      </c>
    </row>
    <row r="90" spans="1:7">
      <c r="A90">
        <v>2022</v>
      </c>
      <c r="B90" t="s">
        <v>187</v>
      </c>
      <c r="C90">
        <v>1640.88</v>
      </c>
      <c r="D90" t="s">
        <v>183</v>
      </c>
      <c r="E90" t="s">
        <v>176</v>
      </c>
      <c r="F90" t="s">
        <v>181</v>
      </c>
      <c r="G90" t="s">
        <v>179</v>
      </c>
    </row>
    <row r="91" spans="1:7">
      <c r="A91">
        <v>2022</v>
      </c>
      <c r="B91" t="s">
        <v>187</v>
      </c>
      <c r="C91">
        <v>2627.16</v>
      </c>
      <c r="D91" t="s">
        <v>183</v>
      </c>
      <c r="E91" t="s">
        <v>176</v>
      </c>
      <c r="F91" t="s">
        <v>181</v>
      </c>
      <c r="G91" t="s">
        <v>180</v>
      </c>
    </row>
    <row r="92" spans="1:7">
      <c r="A92">
        <v>2022</v>
      </c>
      <c r="B92" t="s">
        <v>187</v>
      </c>
      <c r="C92">
        <v>2921.24</v>
      </c>
      <c r="D92" t="s">
        <v>183</v>
      </c>
      <c r="E92" t="s">
        <v>182</v>
      </c>
      <c r="F92" t="s">
        <v>177</v>
      </c>
      <c r="G92" t="s">
        <v>178</v>
      </c>
    </row>
    <row r="93" spans="1:7">
      <c r="A93">
        <v>2022</v>
      </c>
      <c r="B93" t="s">
        <v>187</v>
      </c>
      <c r="C93">
        <v>1457.41</v>
      </c>
      <c r="D93" t="s">
        <v>183</v>
      </c>
      <c r="E93" t="s">
        <v>182</v>
      </c>
      <c r="F93" t="s">
        <v>177</v>
      </c>
      <c r="G93" t="s">
        <v>179</v>
      </c>
    </row>
    <row r="94" spans="1:7">
      <c r="A94">
        <v>2022</v>
      </c>
      <c r="B94" t="s">
        <v>187</v>
      </c>
      <c r="C94">
        <v>2859.38</v>
      </c>
      <c r="D94" t="s">
        <v>183</v>
      </c>
      <c r="E94" t="s">
        <v>182</v>
      </c>
      <c r="F94" t="s">
        <v>177</v>
      </c>
      <c r="G94" t="s">
        <v>180</v>
      </c>
    </row>
    <row r="95" spans="1:7">
      <c r="A95">
        <v>2022</v>
      </c>
      <c r="B95" t="s">
        <v>187</v>
      </c>
      <c r="C95">
        <v>2862.07</v>
      </c>
      <c r="D95" t="s">
        <v>183</v>
      </c>
      <c r="E95" t="s">
        <v>182</v>
      </c>
      <c r="F95" t="s">
        <v>181</v>
      </c>
      <c r="G95" t="s">
        <v>178</v>
      </c>
    </row>
    <row r="96" spans="1:7">
      <c r="A96">
        <v>2022</v>
      </c>
      <c r="B96" t="s">
        <v>187</v>
      </c>
      <c r="C96">
        <v>1442.3</v>
      </c>
      <c r="D96" t="s">
        <v>183</v>
      </c>
      <c r="E96" t="s">
        <v>182</v>
      </c>
      <c r="F96" t="s">
        <v>181</v>
      </c>
      <c r="G96" t="s">
        <v>179</v>
      </c>
    </row>
    <row r="97" spans="1:7">
      <c r="A97">
        <v>2022</v>
      </c>
      <c r="B97" t="s">
        <v>187</v>
      </c>
      <c r="C97">
        <v>2829.88</v>
      </c>
      <c r="D97" t="s">
        <v>183</v>
      </c>
      <c r="E97" t="s">
        <v>182</v>
      </c>
      <c r="F97" t="s">
        <v>181</v>
      </c>
      <c r="G97" t="s">
        <v>180</v>
      </c>
    </row>
    <row r="98" spans="1:7">
      <c r="A98">
        <v>2022</v>
      </c>
      <c r="B98" t="s">
        <v>187</v>
      </c>
      <c r="C98">
        <v>640.35799999999995</v>
      </c>
      <c r="D98" t="s">
        <v>184</v>
      </c>
      <c r="E98" t="s">
        <v>176</v>
      </c>
      <c r="F98" t="s">
        <v>177</v>
      </c>
      <c r="G98" t="s">
        <v>178</v>
      </c>
    </row>
    <row r="99" spans="1:7">
      <c r="A99">
        <v>2022</v>
      </c>
      <c r="B99" t="s">
        <v>187</v>
      </c>
      <c r="C99">
        <v>608.09299999999996</v>
      </c>
      <c r="D99" t="s">
        <v>184</v>
      </c>
      <c r="E99" t="s">
        <v>176</v>
      </c>
      <c r="F99" t="s">
        <v>177</v>
      </c>
      <c r="G99" t="s">
        <v>179</v>
      </c>
    </row>
    <row r="100" spans="1:7">
      <c r="A100">
        <v>2022</v>
      </c>
      <c r="B100" t="s">
        <v>187</v>
      </c>
      <c r="C100">
        <v>628.12800000000004</v>
      </c>
      <c r="D100" t="s">
        <v>184</v>
      </c>
      <c r="E100" t="s">
        <v>176</v>
      </c>
      <c r="F100" t="s">
        <v>177</v>
      </c>
      <c r="G100" t="s">
        <v>180</v>
      </c>
    </row>
    <row r="101" spans="1:7">
      <c r="A101">
        <v>2022</v>
      </c>
      <c r="B101" t="s">
        <v>187</v>
      </c>
      <c r="C101">
        <v>634.49599999999998</v>
      </c>
      <c r="D101" t="s">
        <v>184</v>
      </c>
      <c r="E101" t="s">
        <v>176</v>
      </c>
      <c r="F101" t="s">
        <v>181</v>
      </c>
      <c r="G101" t="s">
        <v>178</v>
      </c>
    </row>
    <row r="102" spans="1:7">
      <c r="A102">
        <v>2022</v>
      </c>
      <c r="B102" t="s">
        <v>187</v>
      </c>
      <c r="C102">
        <v>605.14499999999998</v>
      </c>
      <c r="D102" t="s">
        <v>184</v>
      </c>
      <c r="E102" t="s">
        <v>176</v>
      </c>
      <c r="F102" t="s">
        <v>181</v>
      </c>
      <c r="G102" t="s">
        <v>179</v>
      </c>
    </row>
    <row r="103" spans="1:7">
      <c r="A103">
        <v>2022</v>
      </c>
      <c r="B103" t="s">
        <v>187</v>
      </c>
      <c r="C103">
        <v>616.79399999999998</v>
      </c>
      <c r="D103" t="s">
        <v>184</v>
      </c>
      <c r="E103" t="s">
        <v>176</v>
      </c>
      <c r="F103" t="s">
        <v>181</v>
      </c>
      <c r="G103" t="s">
        <v>180</v>
      </c>
    </row>
    <row r="104" spans="1:7">
      <c r="A104">
        <v>2022</v>
      </c>
      <c r="B104" t="s">
        <v>187</v>
      </c>
      <c r="C104">
        <v>628.22</v>
      </c>
      <c r="D104" t="s">
        <v>184</v>
      </c>
      <c r="E104" t="s">
        <v>182</v>
      </c>
      <c r="F104" t="s">
        <v>177</v>
      </c>
      <c r="G104" t="s">
        <v>178</v>
      </c>
    </row>
    <row r="105" spans="1:7">
      <c r="A105">
        <v>2022</v>
      </c>
      <c r="B105" t="s">
        <v>187</v>
      </c>
      <c r="C105">
        <v>605.14499999999998</v>
      </c>
      <c r="D105" t="s">
        <v>184</v>
      </c>
      <c r="E105" t="s">
        <v>182</v>
      </c>
      <c r="F105" t="s">
        <v>177</v>
      </c>
      <c r="G105" t="s">
        <v>179</v>
      </c>
    </row>
    <row r="106" spans="1:7">
      <c r="A106">
        <v>2022</v>
      </c>
      <c r="B106" t="s">
        <v>187</v>
      </c>
      <c r="C106">
        <v>611.96299999999997</v>
      </c>
      <c r="D106" t="s">
        <v>184</v>
      </c>
      <c r="E106" t="s">
        <v>182</v>
      </c>
      <c r="F106" t="s">
        <v>177</v>
      </c>
      <c r="G106" t="s">
        <v>180</v>
      </c>
    </row>
    <row r="107" spans="1:7">
      <c r="A107">
        <v>2022</v>
      </c>
      <c r="B107" t="s">
        <v>187</v>
      </c>
      <c r="C107">
        <v>614.81200000000001</v>
      </c>
      <c r="D107" t="s">
        <v>184</v>
      </c>
      <c r="E107" t="s">
        <v>182</v>
      </c>
      <c r="F107" t="s">
        <v>181</v>
      </c>
      <c r="G107" t="s">
        <v>178</v>
      </c>
    </row>
    <row r="108" spans="1:7">
      <c r="A108">
        <v>2022</v>
      </c>
      <c r="B108" t="s">
        <v>187</v>
      </c>
      <c r="C108">
        <v>605.14499999999998</v>
      </c>
      <c r="D108" t="s">
        <v>184</v>
      </c>
      <c r="E108" t="s">
        <v>182</v>
      </c>
      <c r="F108" t="s">
        <v>181</v>
      </c>
      <c r="G108" t="s">
        <v>179</v>
      </c>
    </row>
    <row r="109" spans="1:7">
      <c r="A109">
        <v>2022</v>
      </c>
      <c r="B109" t="s">
        <v>187</v>
      </c>
      <c r="C109">
        <v>606.83900000000006</v>
      </c>
      <c r="D109" t="s">
        <v>184</v>
      </c>
      <c r="E109" t="s">
        <v>182</v>
      </c>
      <c r="F109" t="s">
        <v>181</v>
      </c>
      <c r="G109" t="s">
        <v>180</v>
      </c>
    </row>
    <row r="110" spans="1:7">
      <c r="A110">
        <v>2023</v>
      </c>
      <c r="B110" t="s">
        <v>187</v>
      </c>
      <c r="C110">
        <v>13886.7</v>
      </c>
      <c r="D110" t="s">
        <v>175</v>
      </c>
      <c r="E110" t="s">
        <v>176</v>
      </c>
      <c r="F110" t="s">
        <v>177</v>
      </c>
      <c r="G110" t="s">
        <v>178</v>
      </c>
    </row>
    <row r="111" spans="1:7">
      <c r="A111">
        <v>2023</v>
      </c>
      <c r="B111" t="s">
        <v>187</v>
      </c>
      <c r="C111">
        <v>5436.92</v>
      </c>
      <c r="D111" t="s">
        <v>175</v>
      </c>
      <c r="E111" t="s">
        <v>176</v>
      </c>
      <c r="F111" t="s">
        <v>177</v>
      </c>
      <c r="G111" t="s">
        <v>179</v>
      </c>
    </row>
    <row r="112" spans="1:7">
      <c r="A112">
        <v>2023</v>
      </c>
      <c r="B112" t="s">
        <v>187</v>
      </c>
      <c r="C112">
        <v>8377.59</v>
      </c>
      <c r="D112" t="s">
        <v>175</v>
      </c>
      <c r="E112" t="s">
        <v>176</v>
      </c>
      <c r="F112" t="s">
        <v>177</v>
      </c>
      <c r="G112" t="s">
        <v>180</v>
      </c>
    </row>
    <row r="113" spans="1:7">
      <c r="A113">
        <v>2023</v>
      </c>
      <c r="B113" t="s">
        <v>187</v>
      </c>
      <c r="C113">
        <v>9186.8700000000008</v>
      </c>
      <c r="D113" t="s">
        <v>175</v>
      </c>
      <c r="E113" t="s">
        <v>176</v>
      </c>
      <c r="F113" t="s">
        <v>181</v>
      </c>
      <c r="G113" t="s">
        <v>178</v>
      </c>
    </row>
    <row r="114" spans="1:7">
      <c r="A114">
        <v>2023</v>
      </c>
      <c r="B114" t="s">
        <v>187</v>
      </c>
      <c r="C114">
        <v>4688.9399999999996</v>
      </c>
      <c r="D114" t="s">
        <v>175</v>
      </c>
      <c r="E114" t="s">
        <v>176</v>
      </c>
      <c r="F114" t="s">
        <v>181</v>
      </c>
      <c r="G114" t="s">
        <v>179</v>
      </c>
    </row>
    <row r="115" spans="1:7">
      <c r="A115">
        <v>2023</v>
      </c>
      <c r="B115" t="s">
        <v>187</v>
      </c>
      <c r="C115">
        <v>6022.29</v>
      </c>
      <c r="D115" t="s">
        <v>175</v>
      </c>
      <c r="E115" t="s">
        <v>176</v>
      </c>
      <c r="F115" t="s">
        <v>181</v>
      </c>
      <c r="G115" t="s">
        <v>180</v>
      </c>
    </row>
    <row r="116" spans="1:7">
      <c r="A116">
        <v>2023</v>
      </c>
      <c r="B116" t="s">
        <v>187</v>
      </c>
      <c r="C116">
        <v>6554.97</v>
      </c>
      <c r="D116" t="s">
        <v>175</v>
      </c>
      <c r="E116" t="s">
        <v>182</v>
      </c>
      <c r="F116" t="s">
        <v>177</v>
      </c>
      <c r="G116" t="s">
        <v>178</v>
      </c>
    </row>
    <row r="117" spans="1:7">
      <c r="A117">
        <v>2023</v>
      </c>
      <c r="B117" t="s">
        <v>187</v>
      </c>
      <c r="C117">
        <v>3099.46</v>
      </c>
      <c r="D117" t="s">
        <v>175</v>
      </c>
      <c r="E117" t="s">
        <v>182</v>
      </c>
      <c r="F117" t="s">
        <v>177</v>
      </c>
      <c r="G117" t="s">
        <v>179</v>
      </c>
    </row>
    <row r="118" spans="1:7">
      <c r="A118">
        <v>2023</v>
      </c>
      <c r="B118" t="s">
        <v>187</v>
      </c>
      <c r="C118">
        <v>4093.11</v>
      </c>
      <c r="D118" t="s">
        <v>175</v>
      </c>
      <c r="E118" t="s">
        <v>182</v>
      </c>
      <c r="F118" t="s">
        <v>177</v>
      </c>
      <c r="G118" t="s">
        <v>180</v>
      </c>
    </row>
    <row r="119" spans="1:7">
      <c r="A119">
        <v>2023</v>
      </c>
      <c r="B119" t="s">
        <v>187</v>
      </c>
      <c r="C119">
        <v>4879.0200000000004</v>
      </c>
      <c r="D119" t="s">
        <v>175</v>
      </c>
      <c r="E119" t="s">
        <v>182</v>
      </c>
      <c r="F119" t="s">
        <v>181</v>
      </c>
      <c r="G119" t="s">
        <v>178</v>
      </c>
    </row>
    <row r="120" spans="1:7">
      <c r="A120">
        <v>2023</v>
      </c>
      <c r="B120" t="s">
        <v>187</v>
      </c>
      <c r="C120">
        <v>3325.42</v>
      </c>
      <c r="D120" t="s">
        <v>175</v>
      </c>
      <c r="E120" t="s">
        <v>182</v>
      </c>
      <c r="F120" t="s">
        <v>181</v>
      </c>
      <c r="G120" t="s">
        <v>179</v>
      </c>
    </row>
    <row r="121" spans="1:7">
      <c r="A121">
        <v>2023</v>
      </c>
      <c r="B121" t="s">
        <v>187</v>
      </c>
      <c r="C121">
        <v>3733.54</v>
      </c>
      <c r="D121" t="s">
        <v>175</v>
      </c>
      <c r="E121" t="s">
        <v>182</v>
      </c>
      <c r="F121" t="s">
        <v>181</v>
      </c>
      <c r="G121" t="s">
        <v>180</v>
      </c>
    </row>
    <row r="122" spans="1:7">
      <c r="A122">
        <v>2023</v>
      </c>
      <c r="B122" t="s">
        <v>187</v>
      </c>
      <c r="C122">
        <v>4717.08</v>
      </c>
      <c r="D122" t="s">
        <v>183</v>
      </c>
      <c r="E122" t="s">
        <v>176</v>
      </c>
      <c r="F122" t="s">
        <v>177</v>
      </c>
      <c r="G122" t="s">
        <v>178</v>
      </c>
    </row>
    <row r="123" spans="1:7">
      <c r="A123">
        <v>2023</v>
      </c>
      <c r="B123" t="s">
        <v>187</v>
      </c>
      <c r="C123">
        <v>5009.6899999999996</v>
      </c>
      <c r="D123" t="s">
        <v>183</v>
      </c>
      <c r="E123" t="s">
        <v>176</v>
      </c>
      <c r="F123" t="s">
        <v>177</v>
      </c>
      <c r="G123" t="s">
        <v>179</v>
      </c>
    </row>
    <row r="124" spans="1:7">
      <c r="A124">
        <v>2023</v>
      </c>
      <c r="B124" t="s">
        <v>187</v>
      </c>
      <c r="C124">
        <v>4542.59</v>
      </c>
      <c r="D124" t="s">
        <v>183</v>
      </c>
      <c r="E124" t="s">
        <v>176</v>
      </c>
      <c r="F124" t="s">
        <v>177</v>
      </c>
      <c r="G124" t="s">
        <v>180</v>
      </c>
    </row>
    <row r="125" spans="1:7">
      <c r="A125">
        <v>2023</v>
      </c>
      <c r="B125" t="s">
        <v>187</v>
      </c>
      <c r="C125">
        <v>4977.3900000000003</v>
      </c>
      <c r="D125" t="s">
        <v>183</v>
      </c>
      <c r="E125" t="s">
        <v>176</v>
      </c>
      <c r="F125" t="s">
        <v>181</v>
      </c>
      <c r="G125" t="s">
        <v>178</v>
      </c>
    </row>
    <row r="126" spans="1:7">
      <c r="A126">
        <v>2023</v>
      </c>
      <c r="B126" t="s">
        <v>187</v>
      </c>
      <c r="C126">
        <v>5084.33</v>
      </c>
      <c r="D126" t="s">
        <v>183</v>
      </c>
      <c r="E126" t="s">
        <v>176</v>
      </c>
      <c r="F126" t="s">
        <v>181</v>
      </c>
      <c r="G126" t="s">
        <v>179</v>
      </c>
    </row>
    <row r="127" spans="1:7">
      <c r="A127">
        <v>2023</v>
      </c>
      <c r="B127" t="s">
        <v>187</v>
      </c>
      <c r="C127">
        <v>4844.21</v>
      </c>
      <c r="D127" t="s">
        <v>183</v>
      </c>
      <c r="E127" t="s">
        <v>176</v>
      </c>
      <c r="F127" t="s">
        <v>181</v>
      </c>
      <c r="G127" t="s">
        <v>180</v>
      </c>
    </row>
    <row r="128" spans="1:7">
      <c r="A128">
        <v>2023</v>
      </c>
      <c r="B128" t="s">
        <v>187</v>
      </c>
      <c r="C128">
        <v>4866.82</v>
      </c>
      <c r="D128" t="s">
        <v>183</v>
      </c>
      <c r="E128" t="s">
        <v>182</v>
      </c>
      <c r="F128" t="s">
        <v>177</v>
      </c>
      <c r="G128" t="s">
        <v>178</v>
      </c>
    </row>
    <row r="129" spans="1:7">
      <c r="A129">
        <v>2023</v>
      </c>
      <c r="B129" t="s">
        <v>187</v>
      </c>
      <c r="C129">
        <v>4999.97</v>
      </c>
      <c r="D129" t="s">
        <v>183</v>
      </c>
      <c r="E129" t="s">
        <v>182</v>
      </c>
      <c r="F129" t="s">
        <v>177</v>
      </c>
      <c r="G129" t="s">
        <v>179</v>
      </c>
    </row>
    <row r="130" spans="1:7">
      <c r="A130">
        <v>2023</v>
      </c>
      <c r="B130" t="s">
        <v>187</v>
      </c>
      <c r="C130">
        <v>4719.63</v>
      </c>
      <c r="D130" t="s">
        <v>183</v>
      </c>
      <c r="E130" t="s">
        <v>182</v>
      </c>
      <c r="F130" t="s">
        <v>177</v>
      </c>
      <c r="G130" t="s">
        <v>180</v>
      </c>
    </row>
    <row r="131" spans="1:7">
      <c r="A131">
        <v>2023</v>
      </c>
      <c r="B131" t="s">
        <v>187</v>
      </c>
      <c r="C131">
        <v>4982.93</v>
      </c>
      <c r="D131" t="s">
        <v>183</v>
      </c>
      <c r="E131" t="s">
        <v>182</v>
      </c>
      <c r="F131" t="s">
        <v>181</v>
      </c>
      <c r="G131" t="s">
        <v>178</v>
      </c>
    </row>
    <row r="132" spans="1:7">
      <c r="A132">
        <v>2023</v>
      </c>
      <c r="B132" t="s">
        <v>187</v>
      </c>
      <c r="C132">
        <v>5384.16</v>
      </c>
      <c r="D132" t="s">
        <v>183</v>
      </c>
      <c r="E132" t="s">
        <v>182</v>
      </c>
      <c r="F132" t="s">
        <v>181</v>
      </c>
      <c r="G132" t="s">
        <v>179</v>
      </c>
    </row>
    <row r="133" spans="1:7">
      <c r="A133">
        <v>2023</v>
      </c>
      <c r="B133" t="s">
        <v>187</v>
      </c>
      <c r="C133">
        <v>4890.8500000000004</v>
      </c>
      <c r="D133" t="s">
        <v>183</v>
      </c>
      <c r="E133" t="s">
        <v>182</v>
      </c>
      <c r="F133" t="s">
        <v>181</v>
      </c>
      <c r="G133" t="s">
        <v>180</v>
      </c>
    </row>
    <row r="134" spans="1:7">
      <c r="A134">
        <v>2023</v>
      </c>
      <c r="B134" t="s">
        <v>187</v>
      </c>
      <c r="C134">
        <v>834.85</v>
      </c>
      <c r="D134" t="s">
        <v>184</v>
      </c>
      <c r="E134" t="s">
        <v>176</v>
      </c>
      <c r="F134" t="s">
        <v>177</v>
      </c>
      <c r="G134" t="s">
        <v>178</v>
      </c>
    </row>
    <row r="135" spans="1:7">
      <c r="A135">
        <v>2023</v>
      </c>
      <c r="B135" t="s">
        <v>187</v>
      </c>
      <c r="C135">
        <v>676.05700000000002</v>
      </c>
      <c r="D135" t="s">
        <v>184</v>
      </c>
      <c r="E135" t="s">
        <v>176</v>
      </c>
      <c r="F135" t="s">
        <v>177</v>
      </c>
      <c r="G135" t="s">
        <v>179</v>
      </c>
    </row>
    <row r="136" spans="1:7">
      <c r="A136">
        <v>2023</v>
      </c>
      <c r="B136" t="s">
        <v>187</v>
      </c>
      <c r="C136">
        <v>668.75699999999995</v>
      </c>
      <c r="D136" t="s">
        <v>184</v>
      </c>
      <c r="E136" t="s">
        <v>176</v>
      </c>
      <c r="F136" t="s">
        <v>177</v>
      </c>
      <c r="G136" t="s">
        <v>180</v>
      </c>
    </row>
    <row r="137" spans="1:7">
      <c r="A137">
        <v>2023</v>
      </c>
      <c r="B137" t="s">
        <v>187</v>
      </c>
      <c r="C137">
        <v>635.88</v>
      </c>
      <c r="D137" t="s">
        <v>184</v>
      </c>
      <c r="E137" t="s">
        <v>176</v>
      </c>
      <c r="F137" t="s">
        <v>181</v>
      </c>
      <c r="G137" t="s">
        <v>178</v>
      </c>
    </row>
    <row r="138" spans="1:7">
      <c r="A138">
        <v>2023</v>
      </c>
      <c r="B138" t="s">
        <v>187</v>
      </c>
      <c r="C138">
        <v>637.27099999999996</v>
      </c>
      <c r="D138" t="s">
        <v>184</v>
      </c>
      <c r="E138" t="s">
        <v>176</v>
      </c>
      <c r="F138" t="s">
        <v>181</v>
      </c>
      <c r="G138" t="s">
        <v>179</v>
      </c>
    </row>
    <row r="139" spans="1:7">
      <c r="A139">
        <v>2023</v>
      </c>
      <c r="B139" t="s">
        <v>187</v>
      </c>
      <c r="C139">
        <v>645.26800000000003</v>
      </c>
      <c r="D139" t="s">
        <v>184</v>
      </c>
      <c r="E139" t="s">
        <v>176</v>
      </c>
      <c r="F139" t="s">
        <v>181</v>
      </c>
      <c r="G139" t="s">
        <v>180</v>
      </c>
    </row>
    <row r="140" spans="1:7">
      <c r="A140">
        <v>2023</v>
      </c>
      <c r="B140" t="s">
        <v>187</v>
      </c>
      <c r="C140">
        <v>860.21299999999997</v>
      </c>
      <c r="D140" t="s">
        <v>184</v>
      </c>
      <c r="E140" t="s">
        <v>182</v>
      </c>
      <c r="F140" t="s">
        <v>177</v>
      </c>
      <c r="G140" t="s">
        <v>178</v>
      </c>
    </row>
    <row r="141" spans="1:7">
      <c r="A141">
        <v>2023</v>
      </c>
      <c r="B141" t="s">
        <v>187</v>
      </c>
      <c r="C141">
        <v>662.23099999999999</v>
      </c>
      <c r="D141" t="s">
        <v>184</v>
      </c>
      <c r="E141" t="s">
        <v>182</v>
      </c>
      <c r="F141" t="s">
        <v>177</v>
      </c>
      <c r="G141" t="s">
        <v>179</v>
      </c>
    </row>
    <row r="142" spans="1:7">
      <c r="A142">
        <v>2023</v>
      </c>
      <c r="B142" t="s">
        <v>187</v>
      </c>
      <c r="C142">
        <v>694.91300000000001</v>
      </c>
      <c r="D142" t="s">
        <v>184</v>
      </c>
      <c r="E142" t="s">
        <v>182</v>
      </c>
      <c r="F142" t="s">
        <v>177</v>
      </c>
      <c r="G142" t="s">
        <v>180</v>
      </c>
    </row>
    <row r="143" spans="1:7">
      <c r="A143">
        <v>2023</v>
      </c>
      <c r="B143" t="s">
        <v>187</v>
      </c>
      <c r="C143">
        <v>657.11800000000005</v>
      </c>
      <c r="D143" t="s">
        <v>184</v>
      </c>
      <c r="E143" t="s">
        <v>182</v>
      </c>
      <c r="F143" t="s">
        <v>181</v>
      </c>
      <c r="G143" t="s">
        <v>178</v>
      </c>
    </row>
    <row r="144" spans="1:7">
      <c r="A144">
        <v>2023</v>
      </c>
      <c r="B144" t="s">
        <v>187</v>
      </c>
      <c r="C144">
        <v>626.44500000000005</v>
      </c>
      <c r="D144" t="s">
        <v>184</v>
      </c>
      <c r="E144" t="s">
        <v>182</v>
      </c>
      <c r="F144" t="s">
        <v>181</v>
      </c>
      <c r="G144" t="s">
        <v>179</v>
      </c>
    </row>
    <row r="145" spans="1:7">
      <c r="A145">
        <v>2023</v>
      </c>
      <c r="B145" t="s">
        <v>187</v>
      </c>
      <c r="C145">
        <v>653.6</v>
      </c>
      <c r="D145" t="s">
        <v>184</v>
      </c>
      <c r="E145" t="s">
        <v>182</v>
      </c>
      <c r="F145" t="s">
        <v>181</v>
      </c>
      <c r="G145" t="s">
        <v>180</v>
      </c>
    </row>
    <row r="146" spans="1:7">
      <c r="A146">
        <v>2024</v>
      </c>
      <c r="B146" t="s">
        <v>187</v>
      </c>
      <c r="C146">
        <v>13886.7</v>
      </c>
      <c r="D146" t="s">
        <v>175</v>
      </c>
      <c r="E146" t="s">
        <v>176</v>
      </c>
      <c r="F146" t="s">
        <v>177</v>
      </c>
      <c r="G146" t="s">
        <v>178</v>
      </c>
    </row>
    <row r="147" spans="1:7">
      <c r="A147">
        <v>2024</v>
      </c>
      <c r="B147" t="s">
        <v>187</v>
      </c>
      <c r="C147">
        <v>5436.92</v>
      </c>
      <c r="D147" t="s">
        <v>175</v>
      </c>
      <c r="E147" t="s">
        <v>176</v>
      </c>
      <c r="F147" t="s">
        <v>177</v>
      </c>
      <c r="G147" t="s">
        <v>179</v>
      </c>
    </row>
    <row r="148" spans="1:7">
      <c r="A148">
        <v>2024</v>
      </c>
      <c r="B148" t="s">
        <v>187</v>
      </c>
      <c r="C148">
        <v>8377.59</v>
      </c>
      <c r="D148" t="s">
        <v>175</v>
      </c>
      <c r="E148" t="s">
        <v>176</v>
      </c>
      <c r="F148" t="s">
        <v>177</v>
      </c>
      <c r="G148" t="s">
        <v>180</v>
      </c>
    </row>
    <row r="149" spans="1:7">
      <c r="A149">
        <v>2024</v>
      </c>
      <c r="B149" t="s">
        <v>187</v>
      </c>
      <c r="C149">
        <v>9186.8700000000008</v>
      </c>
      <c r="D149" t="s">
        <v>175</v>
      </c>
      <c r="E149" t="s">
        <v>176</v>
      </c>
      <c r="F149" t="s">
        <v>181</v>
      </c>
      <c r="G149" t="s">
        <v>178</v>
      </c>
    </row>
    <row r="150" spans="1:7">
      <c r="A150">
        <v>2024</v>
      </c>
      <c r="B150" t="s">
        <v>187</v>
      </c>
      <c r="C150">
        <v>4688.9399999999996</v>
      </c>
      <c r="D150" t="s">
        <v>175</v>
      </c>
      <c r="E150" t="s">
        <v>176</v>
      </c>
      <c r="F150" t="s">
        <v>181</v>
      </c>
      <c r="G150" t="s">
        <v>179</v>
      </c>
    </row>
    <row r="151" spans="1:7">
      <c r="A151">
        <v>2024</v>
      </c>
      <c r="B151" t="s">
        <v>187</v>
      </c>
      <c r="C151">
        <v>6022.29</v>
      </c>
      <c r="D151" t="s">
        <v>175</v>
      </c>
      <c r="E151" t="s">
        <v>176</v>
      </c>
      <c r="F151" t="s">
        <v>181</v>
      </c>
      <c r="G151" t="s">
        <v>180</v>
      </c>
    </row>
    <row r="152" spans="1:7">
      <c r="A152">
        <v>2024</v>
      </c>
      <c r="B152" t="s">
        <v>187</v>
      </c>
      <c r="C152">
        <v>6554.97</v>
      </c>
      <c r="D152" t="s">
        <v>175</v>
      </c>
      <c r="E152" t="s">
        <v>182</v>
      </c>
      <c r="F152" t="s">
        <v>177</v>
      </c>
      <c r="G152" t="s">
        <v>178</v>
      </c>
    </row>
    <row r="153" spans="1:7">
      <c r="A153">
        <v>2024</v>
      </c>
      <c r="B153" t="s">
        <v>187</v>
      </c>
      <c r="C153">
        <v>3099.46</v>
      </c>
      <c r="D153" t="s">
        <v>175</v>
      </c>
      <c r="E153" t="s">
        <v>182</v>
      </c>
      <c r="F153" t="s">
        <v>177</v>
      </c>
      <c r="G153" t="s">
        <v>179</v>
      </c>
    </row>
    <row r="154" spans="1:7">
      <c r="A154">
        <v>2024</v>
      </c>
      <c r="B154" t="s">
        <v>187</v>
      </c>
      <c r="C154">
        <v>4093.11</v>
      </c>
      <c r="D154" t="s">
        <v>175</v>
      </c>
      <c r="E154" t="s">
        <v>182</v>
      </c>
      <c r="F154" t="s">
        <v>177</v>
      </c>
      <c r="G154" t="s">
        <v>180</v>
      </c>
    </row>
    <row r="155" spans="1:7">
      <c r="A155">
        <v>2024</v>
      </c>
      <c r="B155" t="s">
        <v>187</v>
      </c>
      <c r="C155">
        <v>4879.0200000000004</v>
      </c>
      <c r="D155" t="s">
        <v>175</v>
      </c>
      <c r="E155" t="s">
        <v>182</v>
      </c>
      <c r="F155" t="s">
        <v>181</v>
      </c>
      <c r="G155" t="s">
        <v>178</v>
      </c>
    </row>
    <row r="156" spans="1:7">
      <c r="A156">
        <v>2024</v>
      </c>
      <c r="B156" t="s">
        <v>187</v>
      </c>
      <c r="C156">
        <v>3325.42</v>
      </c>
      <c r="D156" t="s">
        <v>175</v>
      </c>
      <c r="E156" t="s">
        <v>182</v>
      </c>
      <c r="F156" t="s">
        <v>181</v>
      </c>
      <c r="G156" t="s">
        <v>179</v>
      </c>
    </row>
    <row r="157" spans="1:7">
      <c r="A157">
        <v>2024</v>
      </c>
      <c r="B157" t="s">
        <v>187</v>
      </c>
      <c r="C157">
        <v>3733.54</v>
      </c>
      <c r="D157" t="s">
        <v>175</v>
      </c>
      <c r="E157" t="s">
        <v>182</v>
      </c>
      <c r="F157" t="s">
        <v>181</v>
      </c>
      <c r="G157" t="s">
        <v>180</v>
      </c>
    </row>
    <row r="158" spans="1:7">
      <c r="A158">
        <v>2024</v>
      </c>
      <c r="B158" t="s">
        <v>187</v>
      </c>
      <c r="C158">
        <v>4717.08</v>
      </c>
      <c r="D158" t="s">
        <v>183</v>
      </c>
      <c r="E158" t="s">
        <v>176</v>
      </c>
      <c r="F158" t="s">
        <v>177</v>
      </c>
      <c r="G158" t="s">
        <v>178</v>
      </c>
    </row>
    <row r="159" spans="1:7">
      <c r="A159">
        <v>2024</v>
      </c>
      <c r="B159" t="s">
        <v>187</v>
      </c>
      <c r="C159">
        <v>5009.6899999999996</v>
      </c>
      <c r="D159" t="s">
        <v>183</v>
      </c>
      <c r="E159" t="s">
        <v>176</v>
      </c>
      <c r="F159" t="s">
        <v>177</v>
      </c>
      <c r="G159" t="s">
        <v>179</v>
      </c>
    </row>
    <row r="160" spans="1:7">
      <c r="A160">
        <v>2024</v>
      </c>
      <c r="B160" t="s">
        <v>187</v>
      </c>
      <c r="C160">
        <v>4542.59</v>
      </c>
      <c r="D160" t="s">
        <v>183</v>
      </c>
      <c r="E160" t="s">
        <v>176</v>
      </c>
      <c r="F160" t="s">
        <v>177</v>
      </c>
      <c r="G160" t="s">
        <v>180</v>
      </c>
    </row>
    <row r="161" spans="1:7">
      <c r="A161">
        <v>2024</v>
      </c>
      <c r="B161" t="s">
        <v>187</v>
      </c>
      <c r="C161">
        <v>4977.3900000000003</v>
      </c>
      <c r="D161" t="s">
        <v>183</v>
      </c>
      <c r="E161" t="s">
        <v>176</v>
      </c>
      <c r="F161" t="s">
        <v>181</v>
      </c>
      <c r="G161" t="s">
        <v>178</v>
      </c>
    </row>
    <row r="162" spans="1:7">
      <c r="A162">
        <v>2024</v>
      </c>
      <c r="B162" t="s">
        <v>187</v>
      </c>
      <c r="C162">
        <v>5084.33</v>
      </c>
      <c r="D162" t="s">
        <v>183</v>
      </c>
      <c r="E162" t="s">
        <v>176</v>
      </c>
      <c r="F162" t="s">
        <v>181</v>
      </c>
      <c r="G162" t="s">
        <v>179</v>
      </c>
    </row>
    <row r="163" spans="1:7">
      <c r="A163">
        <v>2024</v>
      </c>
      <c r="B163" t="s">
        <v>187</v>
      </c>
      <c r="C163">
        <v>4844.21</v>
      </c>
      <c r="D163" t="s">
        <v>183</v>
      </c>
      <c r="E163" t="s">
        <v>176</v>
      </c>
      <c r="F163" t="s">
        <v>181</v>
      </c>
      <c r="G163" t="s">
        <v>180</v>
      </c>
    </row>
    <row r="164" spans="1:7">
      <c r="A164">
        <v>2024</v>
      </c>
      <c r="B164" t="s">
        <v>187</v>
      </c>
      <c r="C164">
        <v>4866.82</v>
      </c>
      <c r="D164" t="s">
        <v>183</v>
      </c>
      <c r="E164" t="s">
        <v>182</v>
      </c>
      <c r="F164" t="s">
        <v>177</v>
      </c>
      <c r="G164" t="s">
        <v>178</v>
      </c>
    </row>
    <row r="165" spans="1:7">
      <c r="A165">
        <v>2024</v>
      </c>
      <c r="B165" t="s">
        <v>187</v>
      </c>
      <c r="C165">
        <v>4999.97</v>
      </c>
      <c r="D165" t="s">
        <v>183</v>
      </c>
      <c r="E165" t="s">
        <v>182</v>
      </c>
      <c r="F165" t="s">
        <v>177</v>
      </c>
      <c r="G165" t="s">
        <v>179</v>
      </c>
    </row>
    <row r="166" spans="1:7">
      <c r="A166">
        <v>2024</v>
      </c>
      <c r="B166" t="s">
        <v>187</v>
      </c>
      <c r="C166">
        <v>4719.63</v>
      </c>
      <c r="D166" t="s">
        <v>183</v>
      </c>
      <c r="E166" t="s">
        <v>182</v>
      </c>
      <c r="F166" t="s">
        <v>177</v>
      </c>
      <c r="G166" t="s">
        <v>180</v>
      </c>
    </row>
    <row r="167" spans="1:7">
      <c r="A167">
        <v>2024</v>
      </c>
      <c r="B167" t="s">
        <v>187</v>
      </c>
      <c r="C167">
        <v>4982.93</v>
      </c>
      <c r="D167" t="s">
        <v>183</v>
      </c>
      <c r="E167" t="s">
        <v>182</v>
      </c>
      <c r="F167" t="s">
        <v>181</v>
      </c>
      <c r="G167" t="s">
        <v>178</v>
      </c>
    </row>
    <row r="168" spans="1:7">
      <c r="A168">
        <v>2024</v>
      </c>
      <c r="B168" t="s">
        <v>187</v>
      </c>
      <c r="C168">
        <v>5384.16</v>
      </c>
      <c r="D168" t="s">
        <v>183</v>
      </c>
      <c r="E168" t="s">
        <v>182</v>
      </c>
      <c r="F168" t="s">
        <v>181</v>
      </c>
      <c r="G168" t="s">
        <v>179</v>
      </c>
    </row>
    <row r="169" spans="1:7">
      <c r="A169">
        <v>2024</v>
      </c>
      <c r="B169" t="s">
        <v>187</v>
      </c>
      <c r="C169">
        <v>4890.8500000000004</v>
      </c>
      <c r="D169" t="s">
        <v>183</v>
      </c>
      <c r="E169" t="s">
        <v>182</v>
      </c>
      <c r="F169" t="s">
        <v>181</v>
      </c>
      <c r="G169" t="s">
        <v>180</v>
      </c>
    </row>
    <row r="170" spans="1:7">
      <c r="A170">
        <v>2024</v>
      </c>
      <c r="B170" t="s">
        <v>187</v>
      </c>
      <c r="C170">
        <v>834.85</v>
      </c>
      <c r="D170" t="s">
        <v>184</v>
      </c>
      <c r="E170" t="s">
        <v>176</v>
      </c>
      <c r="F170" t="s">
        <v>177</v>
      </c>
      <c r="G170" t="s">
        <v>178</v>
      </c>
    </row>
    <row r="171" spans="1:7">
      <c r="A171">
        <v>2024</v>
      </c>
      <c r="B171" t="s">
        <v>187</v>
      </c>
      <c r="C171">
        <v>676.05700000000002</v>
      </c>
      <c r="D171" t="s">
        <v>184</v>
      </c>
      <c r="E171" t="s">
        <v>176</v>
      </c>
      <c r="F171" t="s">
        <v>177</v>
      </c>
      <c r="G171" t="s">
        <v>179</v>
      </c>
    </row>
    <row r="172" spans="1:7">
      <c r="A172">
        <v>2024</v>
      </c>
      <c r="B172" t="s">
        <v>187</v>
      </c>
      <c r="C172">
        <v>668.75699999999995</v>
      </c>
      <c r="D172" t="s">
        <v>184</v>
      </c>
      <c r="E172" t="s">
        <v>176</v>
      </c>
      <c r="F172" t="s">
        <v>177</v>
      </c>
      <c r="G172" t="s">
        <v>180</v>
      </c>
    </row>
    <row r="173" spans="1:7">
      <c r="A173">
        <v>2024</v>
      </c>
      <c r="B173" t="s">
        <v>187</v>
      </c>
      <c r="C173">
        <v>635.88</v>
      </c>
      <c r="D173" t="s">
        <v>184</v>
      </c>
      <c r="E173" t="s">
        <v>176</v>
      </c>
      <c r="F173" t="s">
        <v>181</v>
      </c>
      <c r="G173" t="s">
        <v>178</v>
      </c>
    </row>
    <row r="174" spans="1:7">
      <c r="A174">
        <v>2024</v>
      </c>
      <c r="B174" t="s">
        <v>187</v>
      </c>
      <c r="C174">
        <v>637.27099999999996</v>
      </c>
      <c r="D174" t="s">
        <v>184</v>
      </c>
      <c r="E174" t="s">
        <v>176</v>
      </c>
      <c r="F174" t="s">
        <v>181</v>
      </c>
      <c r="G174" t="s">
        <v>179</v>
      </c>
    </row>
    <row r="175" spans="1:7">
      <c r="A175">
        <v>2024</v>
      </c>
      <c r="B175" t="s">
        <v>187</v>
      </c>
      <c r="C175">
        <v>645.26800000000003</v>
      </c>
      <c r="D175" t="s">
        <v>184</v>
      </c>
      <c r="E175" t="s">
        <v>176</v>
      </c>
      <c r="F175" t="s">
        <v>181</v>
      </c>
      <c r="G175" t="s">
        <v>180</v>
      </c>
    </row>
    <row r="176" spans="1:7">
      <c r="A176">
        <v>2024</v>
      </c>
      <c r="B176" t="s">
        <v>187</v>
      </c>
      <c r="C176">
        <v>860.21299999999997</v>
      </c>
      <c r="D176" t="s">
        <v>184</v>
      </c>
      <c r="E176" t="s">
        <v>182</v>
      </c>
      <c r="F176" t="s">
        <v>177</v>
      </c>
      <c r="G176" t="s">
        <v>178</v>
      </c>
    </row>
    <row r="177" spans="1:7">
      <c r="A177">
        <v>2024</v>
      </c>
      <c r="B177" t="s">
        <v>187</v>
      </c>
      <c r="C177">
        <v>662.23099999999999</v>
      </c>
      <c r="D177" t="s">
        <v>184</v>
      </c>
      <c r="E177" t="s">
        <v>182</v>
      </c>
      <c r="F177" t="s">
        <v>177</v>
      </c>
      <c r="G177" t="s">
        <v>179</v>
      </c>
    </row>
    <row r="178" spans="1:7">
      <c r="A178">
        <v>2024</v>
      </c>
      <c r="B178" t="s">
        <v>187</v>
      </c>
      <c r="C178">
        <v>694.91300000000001</v>
      </c>
      <c r="D178" t="s">
        <v>184</v>
      </c>
      <c r="E178" t="s">
        <v>182</v>
      </c>
      <c r="F178" t="s">
        <v>177</v>
      </c>
      <c r="G178" t="s">
        <v>180</v>
      </c>
    </row>
    <row r="179" spans="1:7">
      <c r="A179">
        <v>2024</v>
      </c>
      <c r="B179" t="s">
        <v>187</v>
      </c>
      <c r="C179">
        <v>657.11800000000005</v>
      </c>
      <c r="D179" t="s">
        <v>184</v>
      </c>
      <c r="E179" t="s">
        <v>182</v>
      </c>
      <c r="F179" t="s">
        <v>181</v>
      </c>
      <c r="G179" t="s">
        <v>178</v>
      </c>
    </row>
    <row r="180" spans="1:7">
      <c r="A180">
        <v>2024</v>
      </c>
      <c r="B180" t="s">
        <v>187</v>
      </c>
      <c r="C180">
        <v>626.44500000000005</v>
      </c>
      <c r="D180" t="s">
        <v>184</v>
      </c>
      <c r="E180" t="s">
        <v>182</v>
      </c>
      <c r="F180" t="s">
        <v>181</v>
      </c>
      <c r="G180" t="s">
        <v>179</v>
      </c>
    </row>
    <row r="181" spans="1:7">
      <c r="A181">
        <v>2024</v>
      </c>
      <c r="B181" t="s">
        <v>187</v>
      </c>
      <c r="C181">
        <v>653.6</v>
      </c>
      <c r="D181" t="s">
        <v>184</v>
      </c>
      <c r="E181" t="s">
        <v>182</v>
      </c>
      <c r="F181" t="s">
        <v>181</v>
      </c>
      <c r="G181" t="s">
        <v>180</v>
      </c>
    </row>
    <row r="182" spans="1:7">
      <c r="A182">
        <v>2025</v>
      </c>
      <c r="B182" t="s">
        <v>187</v>
      </c>
      <c r="C182">
        <v>19588.3</v>
      </c>
      <c r="D182" t="s">
        <v>175</v>
      </c>
      <c r="E182" t="s">
        <v>176</v>
      </c>
      <c r="F182" t="s">
        <v>177</v>
      </c>
      <c r="G182" t="s">
        <v>178</v>
      </c>
    </row>
    <row r="183" spans="1:7">
      <c r="A183">
        <v>2025</v>
      </c>
      <c r="B183" t="s">
        <v>187</v>
      </c>
      <c r="C183">
        <v>7013.11</v>
      </c>
      <c r="D183" t="s">
        <v>175</v>
      </c>
      <c r="E183" t="s">
        <v>176</v>
      </c>
      <c r="F183" t="s">
        <v>177</v>
      </c>
      <c r="G183" t="s">
        <v>179</v>
      </c>
    </row>
    <row r="184" spans="1:7">
      <c r="A184">
        <v>2025</v>
      </c>
      <c r="B184" t="s">
        <v>187</v>
      </c>
      <c r="C184">
        <v>8413.31</v>
      </c>
      <c r="D184" t="s">
        <v>175</v>
      </c>
      <c r="E184" t="s">
        <v>176</v>
      </c>
      <c r="F184" t="s">
        <v>177</v>
      </c>
      <c r="G184" t="s">
        <v>180</v>
      </c>
    </row>
    <row r="185" spans="1:7">
      <c r="A185">
        <v>2025</v>
      </c>
      <c r="B185" t="s">
        <v>187</v>
      </c>
      <c r="C185">
        <v>9424.64</v>
      </c>
      <c r="D185" t="s">
        <v>175</v>
      </c>
      <c r="E185" t="s">
        <v>176</v>
      </c>
      <c r="F185" t="s">
        <v>181</v>
      </c>
      <c r="G185" t="s">
        <v>178</v>
      </c>
    </row>
    <row r="186" spans="1:7">
      <c r="A186">
        <v>2025</v>
      </c>
      <c r="B186" t="s">
        <v>187</v>
      </c>
      <c r="C186">
        <v>5777.41</v>
      </c>
      <c r="D186" t="s">
        <v>175</v>
      </c>
      <c r="E186" t="s">
        <v>176</v>
      </c>
      <c r="F186" t="s">
        <v>181</v>
      </c>
      <c r="G186" t="s">
        <v>179</v>
      </c>
    </row>
    <row r="187" spans="1:7">
      <c r="A187">
        <v>2025</v>
      </c>
      <c r="B187" t="s">
        <v>187</v>
      </c>
      <c r="C187">
        <v>5740.71</v>
      </c>
      <c r="D187" t="s">
        <v>175</v>
      </c>
      <c r="E187" t="s">
        <v>176</v>
      </c>
      <c r="F187" t="s">
        <v>181</v>
      </c>
      <c r="G187" t="s">
        <v>180</v>
      </c>
    </row>
    <row r="188" spans="1:7">
      <c r="A188">
        <v>2025</v>
      </c>
      <c r="B188" t="s">
        <v>187</v>
      </c>
      <c r="C188">
        <v>10499.6</v>
      </c>
      <c r="D188" t="s">
        <v>175</v>
      </c>
      <c r="E188" t="s">
        <v>182</v>
      </c>
      <c r="F188" t="s">
        <v>177</v>
      </c>
      <c r="G188" t="s">
        <v>178</v>
      </c>
    </row>
    <row r="189" spans="1:7">
      <c r="A189">
        <v>2025</v>
      </c>
      <c r="B189" t="s">
        <v>187</v>
      </c>
      <c r="C189">
        <v>3998.51</v>
      </c>
      <c r="D189" t="s">
        <v>175</v>
      </c>
      <c r="E189" t="s">
        <v>182</v>
      </c>
      <c r="F189" t="s">
        <v>177</v>
      </c>
      <c r="G189" t="s">
        <v>179</v>
      </c>
    </row>
    <row r="190" spans="1:7">
      <c r="A190">
        <v>2025</v>
      </c>
      <c r="B190" t="s">
        <v>187</v>
      </c>
      <c r="C190">
        <v>5350.13</v>
      </c>
      <c r="D190" t="s">
        <v>175</v>
      </c>
      <c r="E190" t="s">
        <v>182</v>
      </c>
      <c r="F190" t="s">
        <v>177</v>
      </c>
      <c r="G190" t="s">
        <v>180</v>
      </c>
    </row>
    <row r="191" spans="1:7">
      <c r="A191">
        <v>2025</v>
      </c>
      <c r="B191" t="s">
        <v>187</v>
      </c>
      <c r="C191">
        <v>6825.66</v>
      </c>
      <c r="D191" t="s">
        <v>175</v>
      </c>
      <c r="E191" t="s">
        <v>182</v>
      </c>
      <c r="F191" t="s">
        <v>181</v>
      </c>
      <c r="G191" t="s">
        <v>178</v>
      </c>
    </row>
    <row r="192" spans="1:7">
      <c r="A192">
        <v>2025</v>
      </c>
      <c r="B192" t="s">
        <v>187</v>
      </c>
      <c r="C192">
        <v>4658.3500000000004</v>
      </c>
      <c r="D192" t="s">
        <v>175</v>
      </c>
      <c r="E192" t="s">
        <v>182</v>
      </c>
      <c r="F192" t="s">
        <v>181</v>
      </c>
      <c r="G192" t="s">
        <v>179</v>
      </c>
    </row>
    <row r="193" spans="1:7">
      <c r="A193">
        <v>2025</v>
      </c>
      <c r="B193" t="s">
        <v>187</v>
      </c>
      <c r="C193">
        <v>4653.38</v>
      </c>
      <c r="D193" t="s">
        <v>175</v>
      </c>
      <c r="E193" t="s">
        <v>182</v>
      </c>
      <c r="F193" t="s">
        <v>181</v>
      </c>
      <c r="G193" t="s">
        <v>180</v>
      </c>
    </row>
    <row r="194" spans="1:7">
      <c r="A194">
        <v>2025</v>
      </c>
      <c r="B194" t="s">
        <v>187</v>
      </c>
      <c r="C194">
        <v>8012.45</v>
      </c>
      <c r="D194" t="s">
        <v>183</v>
      </c>
      <c r="E194" t="s">
        <v>176</v>
      </c>
      <c r="F194" t="s">
        <v>177</v>
      </c>
      <c r="G194" t="s">
        <v>178</v>
      </c>
    </row>
    <row r="195" spans="1:7">
      <c r="A195">
        <v>2025</v>
      </c>
      <c r="B195" t="s">
        <v>187</v>
      </c>
      <c r="C195">
        <v>5906.58</v>
      </c>
      <c r="D195" t="s">
        <v>183</v>
      </c>
      <c r="E195" t="s">
        <v>176</v>
      </c>
      <c r="F195" t="s">
        <v>177</v>
      </c>
      <c r="G195" t="s">
        <v>179</v>
      </c>
    </row>
    <row r="196" spans="1:7">
      <c r="A196">
        <v>2025</v>
      </c>
      <c r="B196" t="s">
        <v>187</v>
      </c>
      <c r="C196">
        <v>6031.3</v>
      </c>
      <c r="D196" t="s">
        <v>183</v>
      </c>
      <c r="E196" t="s">
        <v>176</v>
      </c>
      <c r="F196" t="s">
        <v>177</v>
      </c>
      <c r="G196" t="s">
        <v>180</v>
      </c>
    </row>
    <row r="197" spans="1:7">
      <c r="A197">
        <v>2025</v>
      </c>
      <c r="B197" t="s">
        <v>187</v>
      </c>
      <c r="C197">
        <v>7171.77</v>
      </c>
      <c r="D197" t="s">
        <v>183</v>
      </c>
      <c r="E197" t="s">
        <v>176</v>
      </c>
      <c r="F197" t="s">
        <v>181</v>
      </c>
      <c r="G197" t="s">
        <v>178</v>
      </c>
    </row>
    <row r="198" spans="1:7">
      <c r="A198">
        <v>2025</v>
      </c>
      <c r="B198" t="s">
        <v>187</v>
      </c>
      <c r="C198">
        <v>6633.76</v>
      </c>
      <c r="D198" t="s">
        <v>183</v>
      </c>
      <c r="E198" t="s">
        <v>176</v>
      </c>
      <c r="F198" t="s">
        <v>181</v>
      </c>
      <c r="G198" t="s">
        <v>179</v>
      </c>
    </row>
    <row r="199" spans="1:7">
      <c r="A199">
        <v>2025</v>
      </c>
      <c r="B199" t="s">
        <v>187</v>
      </c>
      <c r="C199">
        <v>6382.95</v>
      </c>
      <c r="D199" t="s">
        <v>183</v>
      </c>
      <c r="E199" t="s">
        <v>176</v>
      </c>
      <c r="F199" t="s">
        <v>181</v>
      </c>
      <c r="G199" t="s">
        <v>180</v>
      </c>
    </row>
    <row r="200" spans="1:7">
      <c r="A200">
        <v>2025</v>
      </c>
      <c r="B200" t="s">
        <v>187</v>
      </c>
      <c r="C200">
        <v>6510.47</v>
      </c>
      <c r="D200" t="s">
        <v>183</v>
      </c>
      <c r="E200" t="s">
        <v>182</v>
      </c>
      <c r="F200" t="s">
        <v>177</v>
      </c>
      <c r="G200" t="s">
        <v>178</v>
      </c>
    </row>
    <row r="201" spans="1:7">
      <c r="A201">
        <v>2025</v>
      </c>
      <c r="B201" t="s">
        <v>187</v>
      </c>
      <c r="C201">
        <v>6033.09</v>
      </c>
      <c r="D201" t="s">
        <v>183</v>
      </c>
      <c r="E201" t="s">
        <v>182</v>
      </c>
      <c r="F201" t="s">
        <v>177</v>
      </c>
      <c r="G201" t="s">
        <v>179</v>
      </c>
    </row>
    <row r="202" spans="1:7">
      <c r="A202">
        <v>2025</v>
      </c>
      <c r="B202" t="s">
        <v>187</v>
      </c>
      <c r="C202">
        <v>5053.13</v>
      </c>
      <c r="D202" t="s">
        <v>183</v>
      </c>
      <c r="E202" t="s">
        <v>182</v>
      </c>
      <c r="F202" t="s">
        <v>177</v>
      </c>
      <c r="G202" t="s">
        <v>180</v>
      </c>
    </row>
    <row r="203" spans="1:7">
      <c r="A203">
        <v>2025</v>
      </c>
      <c r="B203" t="s">
        <v>187</v>
      </c>
      <c r="C203">
        <v>6778.72</v>
      </c>
      <c r="D203" t="s">
        <v>183</v>
      </c>
      <c r="E203" t="s">
        <v>182</v>
      </c>
      <c r="F203" t="s">
        <v>181</v>
      </c>
      <c r="G203" t="s">
        <v>178</v>
      </c>
    </row>
    <row r="204" spans="1:7">
      <c r="A204">
        <v>2025</v>
      </c>
      <c r="B204" t="s">
        <v>187</v>
      </c>
      <c r="C204">
        <v>6185.62</v>
      </c>
      <c r="D204" t="s">
        <v>183</v>
      </c>
      <c r="E204" t="s">
        <v>182</v>
      </c>
      <c r="F204" t="s">
        <v>181</v>
      </c>
      <c r="G204" t="s">
        <v>179</v>
      </c>
    </row>
    <row r="205" spans="1:7">
      <c r="A205">
        <v>2025</v>
      </c>
      <c r="B205" t="s">
        <v>187</v>
      </c>
      <c r="C205">
        <v>5745.28</v>
      </c>
      <c r="D205" t="s">
        <v>183</v>
      </c>
      <c r="E205" t="s">
        <v>182</v>
      </c>
      <c r="F205" t="s">
        <v>181</v>
      </c>
      <c r="G205" t="s">
        <v>180</v>
      </c>
    </row>
    <row r="206" spans="1:7">
      <c r="A206">
        <v>2025</v>
      </c>
      <c r="B206" t="s">
        <v>187</v>
      </c>
      <c r="C206">
        <v>1882.57</v>
      </c>
      <c r="D206" t="s">
        <v>184</v>
      </c>
      <c r="E206" t="s">
        <v>176</v>
      </c>
      <c r="F206" t="s">
        <v>177</v>
      </c>
      <c r="G206" t="s">
        <v>178</v>
      </c>
    </row>
    <row r="207" spans="1:7">
      <c r="A207">
        <v>2025</v>
      </c>
      <c r="B207" t="s">
        <v>187</v>
      </c>
      <c r="C207">
        <v>628.35</v>
      </c>
      <c r="D207" t="s">
        <v>184</v>
      </c>
      <c r="E207" t="s">
        <v>176</v>
      </c>
      <c r="F207" t="s">
        <v>177</v>
      </c>
      <c r="G207" t="s">
        <v>179</v>
      </c>
    </row>
    <row r="208" spans="1:7">
      <c r="A208">
        <v>2025</v>
      </c>
      <c r="B208" t="s">
        <v>187</v>
      </c>
      <c r="C208">
        <v>597.33199999999999</v>
      </c>
      <c r="D208" t="s">
        <v>184</v>
      </c>
      <c r="E208" t="s">
        <v>176</v>
      </c>
      <c r="F208" t="s">
        <v>177</v>
      </c>
      <c r="G208" t="s">
        <v>180</v>
      </c>
    </row>
    <row r="209" spans="1:7">
      <c r="A209">
        <v>2025</v>
      </c>
      <c r="B209" t="s">
        <v>187</v>
      </c>
      <c r="C209">
        <v>1505.45</v>
      </c>
      <c r="D209" t="s">
        <v>184</v>
      </c>
      <c r="E209" t="s">
        <v>176</v>
      </c>
      <c r="F209" t="s">
        <v>181</v>
      </c>
      <c r="G209" t="s">
        <v>178</v>
      </c>
    </row>
    <row r="210" spans="1:7">
      <c r="A210">
        <v>2025</v>
      </c>
      <c r="B210" t="s">
        <v>187</v>
      </c>
      <c r="C210">
        <v>431.346</v>
      </c>
      <c r="D210" t="s">
        <v>184</v>
      </c>
      <c r="E210" t="s">
        <v>176</v>
      </c>
      <c r="F210" t="s">
        <v>181</v>
      </c>
      <c r="G210" t="s">
        <v>179</v>
      </c>
    </row>
    <row r="211" spans="1:7">
      <c r="A211">
        <v>2025</v>
      </c>
      <c r="B211" t="s">
        <v>187</v>
      </c>
      <c r="C211">
        <v>426.82299999999998</v>
      </c>
      <c r="D211" t="s">
        <v>184</v>
      </c>
      <c r="E211" t="s">
        <v>176</v>
      </c>
      <c r="F211" t="s">
        <v>181</v>
      </c>
      <c r="G211" t="s">
        <v>180</v>
      </c>
    </row>
    <row r="212" spans="1:7">
      <c r="A212">
        <v>2025</v>
      </c>
      <c r="B212" t="s">
        <v>187</v>
      </c>
      <c r="C212">
        <v>3044.86</v>
      </c>
      <c r="D212" t="s">
        <v>184</v>
      </c>
      <c r="E212" t="s">
        <v>182</v>
      </c>
      <c r="F212" t="s">
        <v>177</v>
      </c>
      <c r="G212" t="s">
        <v>178</v>
      </c>
    </row>
    <row r="213" spans="1:7">
      <c r="A213">
        <v>2025</v>
      </c>
      <c r="B213" t="s">
        <v>187</v>
      </c>
      <c r="C213">
        <v>808.15599999999995</v>
      </c>
      <c r="D213" t="s">
        <v>184</v>
      </c>
      <c r="E213" t="s">
        <v>182</v>
      </c>
      <c r="F213" t="s">
        <v>177</v>
      </c>
      <c r="G213" t="s">
        <v>179</v>
      </c>
    </row>
    <row r="214" spans="1:7">
      <c r="A214">
        <v>2025</v>
      </c>
      <c r="B214" t="s">
        <v>187</v>
      </c>
      <c r="C214">
        <v>637.101</v>
      </c>
      <c r="D214" t="s">
        <v>184</v>
      </c>
      <c r="E214" t="s">
        <v>182</v>
      </c>
      <c r="F214" t="s">
        <v>177</v>
      </c>
      <c r="G214" t="s">
        <v>180</v>
      </c>
    </row>
    <row r="215" spans="1:7">
      <c r="A215">
        <v>2025</v>
      </c>
      <c r="B215" t="s">
        <v>187</v>
      </c>
      <c r="C215">
        <v>1925.34</v>
      </c>
      <c r="D215" t="s">
        <v>184</v>
      </c>
      <c r="E215" t="s">
        <v>182</v>
      </c>
      <c r="F215" t="s">
        <v>181</v>
      </c>
      <c r="G215" t="s">
        <v>178</v>
      </c>
    </row>
    <row r="216" spans="1:7">
      <c r="A216">
        <v>2025</v>
      </c>
      <c r="B216" t="s">
        <v>187</v>
      </c>
      <c r="C216">
        <v>428.125</v>
      </c>
      <c r="D216" t="s">
        <v>184</v>
      </c>
      <c r="E216" t="s">
        <v>182</v>
      </c>
      <c r="F216" t="s">
        <v>181</v>
      </c>
      <c r="G216" t="s">
        <v>179</v>
      </c>
    </row>
    <row r="217" spans="1:7">
      <c r="A217">
        <v>2025</v>
      </c>
      <c r="B217" t="s">
        <v>187</v>
      </c>
      <c r="C217">
        <v>428.32600000000002</v>
      </c>
      <c r="D217" t="s">
        <v>184</v>
      </c>
      <c r="E217" t="s">
        <v>182</v>
      </c>
      <c r="F217" t="s">
        <v>181</v>
      </c>
      <c r="G217" t="s">
        <v>180</v>
      </c>
    </row>
    <row r="218" spans="1:7">
      <c r="A218">
        <v>2026</v>
      </c>
      <c r="B218" t="s">
        <v>187</v>
      </c>
      <c r="C218">
        <v>19588.3</v>
      </c>
      <c r="D218" t="s">
        <v>175</v>
      </c>
      <c r="E218" t="s">
        <v>176</v>
      </c>
      <c r="F218" t="s">
        <v>177</v>
      </c>
      <c r="G218" t="s">
        <v>178</v>
      </c>
    </row>
    <row r="219" spans="1:7">
      <c r="A219">
        <v>2026</v>
      </c>
      <c r="B219" t="s">
        <v>187</v>
      </c>
      <c r="C219">
        <v>7013.11</v>
      </c>
      <c r="D219" t="s">
        <v>175</v>
      </c>
      <c r="E219" t="s">
        <v>176</v>
      </c>
      <c r="F219" t="s">
        <v>177</v>
      </c>
      <c r="G219" t="s">
        <v>179</v>
      </c>
    </row>
    <row r="220" spans="1:7">
      <c r="A220">
        <v>2026</v>
      </c>
      <c r="B220" t="s">
        <v>187</v>
      </c>
      <c r="C220">
        <v>8413.31</v>
      </c>
      <c r="D220" t="s">
        <v>175</v>
      </c>
      <c r="E220" t="s">
        <v>176</v>
      </c>
      <c r="F220" t="s">
        <v>177</v>
      </c>
      <c r="G220" t="s">
        <v>180</v>
      </c>
    </row>
    <row r="221" spans="1:7">
      <c r="A221">
        <v>2026</v>
      </c>
      <c r="B221" t="s">
        <v>187</v>
      </c>
      <c r="C221">
        <v>9424.64</v>
      </c>
      <c r="D221" t="s">
        <v>175</v>
      </c>
      <c r="E221" t="s">
        <v>176</v>
      </c>
      <c r="F221" t="s">
        <v>181</v>
      </c>
      <c r="G221" t="s">
        <v>178</v>
      </c>
    </row>
    <row r="222" spans="1:7">
      <c r="A222">
        <v>2026</v>
      </c>
      <c r="B222" t="s">
        <v>187</v>
      </c>
      <c r="C222">
        <v>5777.41</v>
      </c>
      <c r="D222" t="s">
        <v>175</v>
      </c>
      <c r="E222" t="s">
        <v>176</v>
      </c>
      <c r="F222" t="s">
        <v>181</v>
      </c>
      <c r="G222" t="s">
        <v>179</v>
      </c>
    </row>
    <row r="223" spans="1:7">
      <c r="A223">
        <v>2026</v>
      </c>
      <c r="B223" t="s">
        <v>187</v>
      </c>
      <c r="C223">
        <v>5740.71</v>
      </c>
      <c r="D223" t="s">
        <v>175</v>
      </c>
      <c r="E223" t="s">
        <v>176</v>
      </c>
      <c r="F223" t="s">
        <v>181</v>
      </c>
      <c r="G223" t="s">
        <v>180</v>
      </c>
    </row>
    <row r="224" spans="1:7">
      <c r="A224">
        <v>2026</v>
      </c>
      <c r="B224" t="s">
        <v>187</v>
      </c>
      <c r="C224">
        <v>10499.6</v>
      </c>
      <c r="D224" t="s">
        <v>175</v>
      </c>
      <c r="E224" t="s">
        <v>182</v>
      </c>
      <c r="F224" t="s">
        <v>177</v>
      </c>
      <c r="G224" t="s">
        <v>178</v>
      </c>
    </row>
    <row r="225" spans="1:7">
      <c r="A225">
        <v>2026</v>
      </c>
      <c r="B225" t="s">
        <v>187</v>
      </c>
      <c r="C225">
        <v>3998.51</v>
      </c>
      <c r="D225" t="s">
        <v>175</v>
      </c>
      <c r="E225" t="s">
        <v>182</v>
      </c>
      <c r="F225" t="s">
        <v>177</v>
      </c>
      <c r="G225" t="s">
        <v>179</v>
      </c>
    </row>
    <row r="226" spans="1:7">
      <c r="A226">
        <v>2026</v>
      </c>
      <c r="B226" t="s">
        <v>187</v>
      </c>
      <c r="C226">
        <v>5350.13</v>
      </c>
      <c r="D226" t="s">
        <v>175</v>
      </c>
      <c r="E226" t="s">
        <v>182</v>
      </c>
      <c r="F226" t="s">
        <v>177</v>
      </c>
      <c r="G226" t="s">
        <v>180</v>
      </c>
    </row>
    <row r="227" spans="1:7">
      <c r="A227">
        <v>2026</v>
      </c>
      <c r="B227" t="s">
        <v>187</v>
      </c>
      <c r="C227">
        <v>6825.66</v>
      </c>
      <c r="D227" t="s">
        <v>175</v>
      </c>
      <c r="E227" t="s">
        <v>182</v>
      </c>
      <c r="F227" t="s">
        <v>181</v>
      </c>
      <c r="G227" t="s">
        <v>178</v>
      </c>
    </row>
    <row r="228" spans="1:7">
      <c r="A228">
        <v>2026</v>
      </c>
      <c r="B228" t="s">
        <v>187</v>
      </c>
      <c r="C228">
        <v>4658.3500000000004</v>
      </c>
      <c r="D228" t="s">
        <v>175</v>
      </c>
      <c r="E228" t="s">
        <v>182</v>
      </c>
      <c r="F228" t="s">
        <v>181</v>
      </c>
      <c r="G228" t="s">
        <v>179</v>
      </c>
    </row>
    <row r="229" spans="1:7">
      <c r="A229">
        <v>2026</v>
      </c>
      <c r="B229" t="s">
        <v>187</v>
      </c>
      <c r="C229">
        <v>4653.38</v>
      </c>
      <c r="D229" t="s">
        <v>175</v>
      </c>
      <c r="E229" t="s">
        <v>182</v>
      </c>
      <c r="F229" t="s">
        <v>181</v>
      </c>
      <c r="G229" t="s">
        <v>180</v>
      </c>
    </row>
    <row r="230" spans="1:7">
      <c r="A230">
        <v>2026</v>
      </c>
      <c r="B230" t="s">
        <v>187</v>
      </c>
      <c r="C230">
        <v>8012.45</v>
      </c>
      <c r="D230" t="s">
        <v>183</v>
      </c>
      <c r="E230" t="s">
        <v>176</v>
      </c>
      <c r="F230" t="s">
        <v>177</v>
      </c>
      <c r="G230" t="s">
        <v>178</v>
      </c>
    </row>
    <row r="231" spans="1:7">
      <c r="A231">
        <v>2026</v>
      </c>
      <c r="B231" t="s">
        <v>187</v>
      </c>
      <c r="C231">
        <v>5906.58</v>
      </c>
      <c r="D231" t="s">
        <v>183</v>
      </c>
      <c r="E231" t="s">
        <v>176</v>
      </c>
      <c r="F231" t="s">
        <v>177</v>
      </c>
      <c r="G231" t="s">
        <v>179</v>
      </c>
    </row>
    <row r="232" spans="1:7">
      <c r="A232">
        <v>2026</v>
      </c>
      <c r="B232" t="s">
        <v>187</v>
      </c>
      <c r="C232">
        <v>6031.3</v>
      </c>
      <c r="D232" t="s">
        <v>183</v>
      </c>
      <c r="E232" t="s">
        <v>176</v>
      </c>
      <c r="F232" t="s">
        <v>177</v>
      </c>
      <c r="G232" t="s">
        <v>180</v>
      </c>
    </row>
    <row r="233" spans="1:7">
      <c r="A233">
        <v>2026</v>
      </c>
      <c r="B233" t="s">
        <v>187</v>
      </c>
      <c r="C233">
        <v>7171.77</v>
      </c>
      <c r="D233" t="s">
        <v>183</v>
      </c>
      <c r="E233" t="s">
        <v>176</v>
      </c>
      <c r="F233" t="s">
        <v>181</v>
      </c>
      <c r="G233" t="s">
        <v>178</v>
      </c>
    </row>
    <row r="234" spans="1:7">
      <c r="A234">
        <v>2026</v>
      </c>
      <c r="B234" t="s">
        <v>187</v>
      </c>
      <c r="C234">
        <v>6633.76</v>
      </c>
      <c r="D234" t="s">
        <v>183</v>
      </c>
      <c r="E234" t="s">
        <v>176</v>
      </c>
      <c r="F234" t="s">
        <v>181</v>
      </c>
      <c r="G234" t="s">
        <v>179</v>
      </c>
    </row>
    <row r="235" spans="1:7">
      <c r="A235">
        <v>2026</v>
      </c>
      <c r="B235" t="s">
        <v>187</v>
      </c>
      <c r="C235">
        <v>6382.95</v>
      </c>
      <c r="D235" t="s">
        <v>183</v>
      </c>
      <c r="E235" t="s">
        <v>176</v>
      </c>
      <c r="F235" t="s">
        <v>181</v>
      </c>
      <c r="G235" t="s">
        <v>180</v>
      </c>
    </row>
    <row r="236" spans="1:7">
      <c r="A236">
        <v>2026</v>
      </c>
      <c r="B236" t="s">
        <v>187</v>
      </c>
      <c r="C236">
        <v>6510.47</v>
      </c>
      <c r="D236" t="s">
        <v>183</v>
      </c>
      <c r="E236" t="s">
        <v>182</v>
      </c>
      <c r="F236" t="s">
        <v>177</v>
      </c>
      <c r="G236" t="s">
        <v>178</v>
      </c>
    </row>
    <row r="237" spans="1:7">
      <c r="A237">
        <v>2026</v>
      </c>
      <c r="B237" t="s">
        <v>187</v>
      </c>
      <c r="C237">
        <v>6033.09</v>
      </c>
      <c r="D237" t="s">
        <v>183</v>
      </c>
      <c r="E237" t="s">
        <v>182</v>
      </c>
      <c r="F237" t="s">
        <v>177</v>
      </c>
      <c r="G237" t="s">
        <v>179</v>
      </c>
    </row>
    <row r="238" spans="1:7">
      <c r="A238">
        <v>2026</v>
      </c>
      <c r="B238" t="s">
        <v>187</v>
      </c>
      <c r="C238">
        <v>5053.13</v>
      </c>
      <c r="D238" t="s">
        <v>183</v>
      </c>
      <c r="E238" t="s">
        <v>182</v>
      </c>
      <c r="F238" t="s">
        <v>177</v>
      </c>
      <c r="G238" t="s">
        <v>180</v>
      </c>
    </row>
    <row r="239" spans="1:7">
      <c r="A239">
        <v>2026</v>
      </c>
      <c r="B239" t="s">
        <v>187</v>
      </c>
      <c r="C239">
        <v>6778.72</v>
      </c>
      <c r="D239" t="s">
        <v>183</v>
      </c>
      <c r="E239" t="s">
        <v>182</v>
      </c>
      <c r="F239" t="s">
        <v>181</v>
      </c>
      <c r="G239" t="s">
        <v>178</v>
      </c>
    </row>
    <row r="240" spans="1:7">
      <c r="A240">
        <v>2026</v>
      </c>
      <c r="B240" t="s">
        <v>187</v>
      </c>
      <c r="C240">
        <v>6185.62</v>
      </c>
      <c r="D240" t="s">
        <v>183</v>
      </c>
      <c r="E240" t="s">
        <v>182</v>
      </c>
      <c r="F240" t="s">
        <v>181</v>
      </c>
      <c r="G240" t="s">
        <v>179</v>
      </c>
    </row>
    <row r="241" spans="1:7">
      <c r="A241">
        <v>2026</v>
      </c>
      <c r="B241" t="s">
        <v>187</v>
      </c>
      <c r="C241">
        <v>5745.28</v>
      </c>
      <c r="D241" t="s">
        <v>183</v>
      </c>
      <c r="E241" t="s">
        <v>182</v>
      </c>
      <c r="F241" t="s">
        <v>181</v>
      </c>
      <c r="G241" t="s">
        <v>180</v>
      </c>
    </row>
    <row r="242" spans="1:7">
      <c r="A242">
        <v>2026</v>
      </c>
      <c r="B242" t="s">
        <v>187</v>
      </c>
      <c r="C242">
        <v>1882.57</v>
      </c>
      <c r="D242" t="s">
        <v>184</v>
      </c>
      <c r="E242" t="s">
        <v>176</v>
      </c>
      <c r="F242" t="s">
        <v>177</v>
      </c>
      <c r="G242" t="s">
        <v>178</v>
      </c>
    </row>
    <row r="243" spans="1:7">
      <c r="A243">
        <v>2026</v>
      </c>
      <c r="B243" t="s">
        <v>187</v>
      </c>
      <c r="C243">
        <v>628.35</v>
      </c>
      <c r="D243" t="s">
        <v>184</v>
      </c>
      <c r="E243" t="s">
        <v>176</v>
      </c>
      <c r="F243" t="s">
        <v>177</v>
      </c>
      <c r="G243" t="s">
        <v>179</v>
      </c>
    </row>
    <row r="244" spans="1:7">
      <c r="A244">
        <v>2026</v>
      </c>
      <c r="B244" t="s">
        <v>187</v>
      </c>
      <c r="C244">
        <v>597.33199999999999</v>
      </c>
      <c r="D244" t="s">
        <v>184</v>
      </c>
      <c r="E244" t="s">
        <v>176</v>
      </c>
      <c r="F244" t="s">
        <v>177</v>
      </c>
      <c r="G244" t="s">
        <v>180</v>
      </c>
    </row>
    <row r="245" spans="1:7">
      <c r="A245">
        <v>2026</v>
      </c>
      <c r="B245" t="s">
        <v>187</v>
      </c>
      <c r="C245">
        <v>1505.45</v>
      </c>
      <c r="D245" t="s">
        <v>184</v>
      </c>
      <c r="E245" t="s">
        <v>176</v>
      </c>
      <c r="F245" t="s">
        <v>181</v>
      </c>
      <c r="G245" t="s">
        <v>178</v>
      </c>
    </row>
    <row r="246" spans="1:7">
      <c r="A246">
        <v>2026</v>
      </c>
      <c r="B246" t="s">
        <v>187</v>
      </c>
      <c r="C246">
        <v>431.346</v>
      </c>
      <c r="D246" t="s">
        <v>184</v>
      </c>
      <c r="E246" t="s">
        <v>176</v>
      </c>
      <c r="F246" t="s">
        <v>181</v>
      </c>
      <c r="G246" t="s">
        <v>179</v>
      </c>
    </row>
    <row r="247" spans="1:7">
      <c r="A247">
        <v>2026</v>
      </c>
      <c r="B247" t="s">
        <v>187</v>
      </c>
      <c r="C247">
        <v>426.82299999999998</v>
      </c>
      <c r="D247" t="s">
        <v>184</v>
      </c>
      <c r="E247" t="s">
        <v>176</v>
      </c>
      <c r="F247" t="s">
        <v>181</v>
      </c>
      <c r="G247" t="s">
        <v>180</v>
      </c>
    </row>
    <row r="248" spans="1:7">
      <c r="A248">
        <v>2026</v>
      </c>
      <c r="B248" t="s">
        <v>187</v>
      </c>
      <c r="C248">
        <v>3044.86</v>
      </c>
      <c r="D248" t="s">
        <v>184</v>
      </c>
      <c r="E248" t="s">
        <v>182</v>
      </c>
      <c r="F248" t="s">
        <v>177</v>
      </c>
      <c r="G248" t="s">
        <v>178</v>
      </c>
    </row>
    <row r="249" spans="1:7">
      <c r="A249">
        <v>2026</v>
      </c>
      <c r="B249" t="s">
        <v>187</v>
      </c>
      <c r="C249">
        <v>808.15599999999995</v>
      </c>
      <c r="D249" t="s">
        <v>184</v>
      </c>
      <c r="E249" t="s">
        <v>182</v>
      </c>
      <c r="F249" t="s">
        <v>177</v>
      </c>
      <c r="G249" t="s">
        <v>179</v>
      </c>
    </row>
    <row r="250" spans="1:7">
      <c r="A250">
        <v>2026</v>
      </c>
      <c r="B250" t="s">
        <v>187</v>
      </c>
      <c r="C250">
        <v>637.101</v>
      </c>
      <c r="D250" t="s">
        <v>184</v>
      </c>
      <c r="E250" t="s">
        <v>182</v>
      </c>
      <c r="F250" t="s">
        <v>177</v>
      </c>
      <c r="G250" t="s">
        <v>180</v>
      </c>
    </row>
    <row r="251" spans="1:7">
      <c r="A251">
        <v>2026</v>
      </c>
      <c r="B251" t="s">
        <v>187</v>
      </c>
      <c r="C251">
        <v>1925.34</v>
      </c>
      <c r="D251" t="s">
        <v>184</v>
      </c>
      <c r="E251" t="s">
        <v>182</v>
      </c>
      <c r="F251" t="s">
        <v>181</v>
      </c>
      <c r="G251" t="s">
        <v>178</v>
      </c>
    </row>
    <row r="252" spans="1:7">
      <c r="A252">
        <v>2026</v>
      </c>
      <c r="B252" t="s">
        <v>187</v>
      </c>
      <c r="C252">
        <v>428.125</v>
      </c>
      <c r="D252" t="s">
        <v>184</v>
      </c>
      <c r="E252" t="s">
        <v>182</v>
      </c>
      <c r="F252" t="s">
        <v>181</v>
      </c>
      <c r="G252" t="s">
        <v>179</v>
      </c>
    </row>
    <row r="253" spans="1:7">
      <c r="A253">
        <v>2026</v>
      </c>
      <c r="B253" t="s">
        <v>187</v>
      </c>
      <c r="C253">
        <v>428.32600000000002</v>
      </c>
      <c r="D253" t="s">
        <v>184</v>
      </c>
      <c r="E253" t="s">
        <v>182</v>
      </c>
      <c r="F253" t="s">
        <v>181</v>
      </c>
      <c r="G253" t="s">
        <v>180</v>
      </c>
    </row>
    <row r="254" spans="1:7">
      <c r="A254">
        <v>2027</v>
      </c>
      <c r="B254" t="s">
        <v>187</v>
      </c>
      <c r="C254">
        <v>22090.2</v>
      </c>
      <c r="D254" t="s">
        <v>175</v>
      </c>
      <c r="E254" t="s">
        <v>176</v>
      </c>
      <c r="F254" t="s">
        <v>177</v>
      </c>
      <c r="G254" t="s">
        <v>178</v>
      </c>
    </row>
    <row r="255" spans="1:7">
      <c r="A255">
        <v>2027</v>
      </c>
      <c r="B255" t="s">
        <v>187</v>
      </c>
      <c r="C255">
        <v>5405.9</v>
      </c>
      <c r="D255" t="s">
        <v>175</v>
      </c>
      <c r="E255" t="s">
        <v>176</v>
      </c>
      <c r="F255" t="s">
        <v>177</v>
      </c>
      <c r="G255" t="s">
        <v>179</v>
      </c>
    </row>
    <row r="256" spans="1:7">
      <c r="A256">
        <v>2027</v>
      </c>
      <c r="B256" t="s">
        <v>187</v>
      </c>
      <c r="C256">
        <v>10495.2</v>
      </c>
      <c r="D256" t="s">
        <v>175</v>
      </c>
      <c r="E256" t="s">
        <v>176</v>
      </c>
      <c r="F256" t="s">
        <v>177</v>
      </c>
      <c r="G256" t="s">
        <v>180</v>
      </c>
    </row>
    <row r="257" spans="1:7">
      <c r="A257">
        <v>2027</v>
      </c>
      <c r="B257" t="s">
        <v>187</v>
      </c>
      <c r="C257">
        <v>8116.87</v>
      </c>
      <c r="D257" t="s">
        <v>175</v>
      </c>
      <c r="E257" t="s">
        <v>176</v>
      </c>
      <c r="F257" t="s">
        <v>181</v>
      </c>
      <c r="G257" t="s">
        <v>178</v>
      </c>
    </row>
    <row r="258" spans="1:7">
      <c r="A258">
        <v>2027</v>
      </c>
      <c r="B258" t="s">
        <v>187</v>
      </c>
      <c r="C258">
        <v>2707.16</v>
      </c>
      <c r="D258" t="s">
        <v>175</v>
      </c>
      <c r="E258" t="s">
        <v>176</v>
      </c>
      <c r="F258" t="s">
        <v>181</v>
      </c>
      <c r="G258" t="s">
        <v>179</v>
      </c>
    </row>
    <row r="259" spans="1:7">
      <c r="A259">
        <v>2027</v>
      </c>
      <c r="B259" t="s">
        <v>187</v>
      </c>
      <c r="C259">
        <v>3247.41</v>
      </c>
      <c r="D259" t="s">
        <v>175</v>
      </c>
      <c r="E259" t="s">
        <v>176</v>
      </c>
      <c r="F259" t="s">
        <v>181</v>
      </c>
      <c r="G259" t="s">
        <v>180</v>
      </c>
    </row>
    <row r="260" spans="1:7">
      <c r="A260">
        <v>2027</v>
      </c>
      <c r="B260" t="s">
        <v>187</v>
      </c>
      <c r="C260">
        <v>12116.7</v>
      </c>
      <c r="D260" t="s">
        <v>175</v>
      </c>
      <c r="E260" t="s">
        <v>182</v>
      </c>
      <c r="F260" t="s">
        <v>177</v>
      </c>
      <c r="G260" t="s">
        <v>178</v>
      </c>
    </row>
    <row r="261" spans="1:7">
      <c r="A261">
        <v>2027</v>
      </c>
      <c r="B261" t="s">
        <v>187</v>
      </c>
      <c r="C261">
        <v>3272.28</v>
      </c>
      <c r="D261" t="s">
        <v>175</v>
      </c>
      <c r="E261" t="s">
        <v>182</v>
      </c>
      <c r="F261" t="s">
        <v>177</v>
      </c>
      <c r="G261" t="s">
        <v>179</v>
      </c>
    </row>
    <row r="262" spans="1:7">
      <c r="A262">
        <v>2027</v>
      </c>
      <c r="B262" t="s">
        <v>187</v>
      </c>
      <c r="C262">
        <v>4674.24</v>
      </c>
      <c r="D262" t="s">
        <v>175</v>
      </c>
      <c r="E262" t="s">
        <v>182</v>
      </c>
      <c r="F262" t="s">
        <v>177</v>
      </c>
      <c r="G262" t="s">
        <v>180</v>
      </c>
    </row>
    <row r="263" spans="1:7">
      <c r="A263">
        <v>2027</v>
      </c>
      <c r="B263" t="s">
        <v>187</v>
      </c>
      <c r="C263">
        <v>4715.25</v>
      </c>
      <c r="D263" t="s">
        <v>175</v>
      </c>
      <c r="E263" t="s">
        <v>182</v>
      </c>
      <c r="F263" t="s">
        <v>181</v>
      </c>
      <c r="G263" t="s">
        <v>178</v>
      </c>
    </row>
    <row r="264" spans="1:7">
      <c r="A264">
        <v>2027</v>
      </c>
      <c r="B264" t="s">
        <v>187</v>
      </c>
      <c r="C264">
        <v>2547.35</v>
      </c>
      <c r="D264" t="s">
        <v>175</v>
      </c>
      <c r="E264" t="s">
        <v>182</v>
      </c>
      <c r="F264" t="s">
        <v>181</v>
      </c>
      <c r="G264" t="s">
        <v>179</v>
      </c>
    </row>
    <row r="265" spans="1:7">
      <c r="A265">
        <v>2027</v>
      </c>
      <c r="B265" t="s">
        <v>187</v>
      </c>
      <c r="C265">
        <v>2483.16</v>
      </c>
      <c r="D265" t="s">
        <v>175</v>
      </c>
      <c r="E265" t="s">
        <v>182</v>
      </c>
      <c r="F265" t="s">
        <v>181</v>
      </c>
      <c r="G265" t="s">
        <v>180</v>
      </c>
    </row>
    <row r="266" spans="1:7">
      <c r="A266">
        <v>2027</v>
      </c>
      <c r="B266" t="s">
        <v>187</v>
      </c>
      <c r="C266">
        <v>7375.72</v>
      </c>
      <c r="D266" t="s">
        <v>183</v>
      </c>
      <c r="E266" t="s">
        <v>176</v>
      </c>
      <c r="F266" t="s">
        <v>177</v>
      </c>
      <c r="G266" t="s">
        <v>178</v>
      </c>
    </row>
    <row r="267" spans="1:7">
      <c r="A267">
        <v>2027</v>
      </c>
      <c r="B267" t="s">
        <v>187</v>
      </c>
      <c r="C267">
        <v>5365.63</v>
      </c>
      <c r="D267" t="s">
        <v>183</v>
      </c>
      <c r="E267" t="s">
        <v>176</v>
      </c>
      <c r="F267" t="s">
        <v>177</v>
      </c>
      <c r="G267" t="s">
        <v>179</v>
      </c>
    </row>
    <row r="268" spans="1:7">
      <c r="A268">
        <v>2027</v>
      </c>
      <c r="B268" t="s">
        <v>187</v>
      </c>
      <c r="C268">
        <v>3745.31</v>
      </c>
      <c r="D268" t="s">
        <v>183</v>
      </c>
      <c r="E268" t="s">
        <v>176</v>
      </c>
      <c r="F268" t="s">
        <v>177</v>
      </c>
      <c r="G268" t="s">
        <v>180</v>
      </c>
    </row>
    <row r="269" spans="1:7">
      <c r="A269">
        <v>2027</v>
      </c>
      <c r="B269" t="s">
        <v>187</v>
      </c>
      <c r="C269">
        <v>6814.77</v>
      </c>
      <c r="D269" t="s">
        <v>183</v>
      </c>
      <c r="E269" t="s">
        <v>176</v>
      </c>
      <c r="F269" t="s">
        <v>181</v>
      </c>
      <c r="G269" t="s">
        <v>178</v>
      </c>
    </row>
    <row r="270" spans="1:7">
      <c r="A270">
        <v>2027</v>
      </c>
      <c r="B270" t="s">
        <v>187</v>
      </c>
      <c r="C270">
        <v>5472.49</v>
      </c>
      <c r="D270" t="s">
        <v>183</v>
      </c>
      <c r="E270" t="s">
        <v>176</v>
      </c>
      <c r="F270" t="s">
        <v>181</v>
      </c>
      <c r="G270" t="s">
        <v>179</v>
      </c>
    </row>
    <row r="271" spans="1:7">
      <c r="A271">
        <v>2027</v>
      </c>
      <c r="B271" t="s">
        <v>187</v>
      </c>
      <c r="C271">
        <v>4741.32</v>
      </c>
      <c r="D271" t="s">
        <v>183</v>
      </c>
      <c r="E271" t="s">
        <v>176</v>
      </c>
      <c r="F271" t="s">
        <v>181</v>
      </c>
      <c r="G271" t="s">
        <v>180</v>
      </c>
    </row>
    <row r="272" spans="1:7">
      <c r="A272">
        <v>2027</v>
      </c>
      <c r="B272" t="s">
        <v>187</v>
      </c>
      <c r="C272">
        <v>7628.12</v>
      </c>
      <c r="D272" t="s">
        <v>183</v>
      </c>
      <c r="E272" t="s">
        <v>182</v>
      </c>
      <c r="F272" t="s">
        <v>177</v>
      </c>
      <c r="G272" t="s">
        <v>178</v>
      </c>
    </row>
    <row r="273" spans="1:7">
      <c r="A273">
        <v>2027</v>
      </c>
      <c r="B273" t="s">
        <v>187</v>
      </c>
      <c r="C273">
        <v>6843.51</v>
      </c>
      <c r="D273" t="s">
        <v>183</v>
      </c>
      <c r="E273" t="s">
        <v>182</v>
      </c>
      <c r="F273" t="s">
        <v>177</v>
      </c>
      <c r="G273" t="s">
        <v>179</v>
      </c>
    </row>
    <row r="274" spans="1:7">
      <c r="A274">
        <v>2027</v>
      </c>
      <c r="B274" t="s">
        <v>187</v>
      </c>
      <c r="C274">
        <v>4911.3900000000003</v>
      </c>
      <c r="D274" t="s">
        <v>183</v>
      </c>
      <c r="E274" t="s">
        <v>182</v>
      </c>
      <c r="F274" t="s">
        <v>177</v>
      </c>
      <c r="G274" t="s">
        <v>180</v>
      </c>
    </row>
    <row r="275" spans="1:7">
      <c r="A275">
        <v>2027</v>
      </c>
      <c r="B275" t="s">
        <v>187</v>
      </c>
      <c r="C275">
        <v>7235.37</v>
      </c>
      <c r="D275" t="s">
        <v>183</v>
      </c>
      <c r="E275" t="s">
        <v>182</v>
      </c>
      <c r="F275" t="s">
        <v>181</v>
      </c>
      <c r="G275" t="s">
        <v>178</v>
      </c>
    </row>
    <row r="276" spans="1:7">
      <c r="A276">
        <v>2027</v>
      </c>
      <c r="B276" t="s">
        <v>187</v>
      </c>
      <c r="C276">
        <v>5931.74</v>
      </c>
      <c r="D276" t="s">
        <v>183</v>
      </c>
      <c r="E276" t="s">
        <v>182</v>
      </c>
      <c r="F276" t="s">
        <v>181</v>
      </c>
      <c r="G276" t="s">
        <v>179</v>
      </c>
    </row>
    <row r="277" spans="1:7">
      <c r="A277">
        <v>2027</v>
      </c>
      <c r="B277" t="s">
        <v>187</v>
      </c>
      <c r="C277">
        <v>5212.1899999999996</v>
      </c>
      <c r="D277" t="s">
        <v>183</v>
      </c>
      <c r="E277" t="s">
        <v>182</v>
      </c>
      <c r="F277" t="s">
        <v>181</v>
      </c>
      <c r="G277" t="s">
        <v>180</v>
      </c>
    </row>
    <row r="278" spans="1:7">
      <c r="A278">
        <v>2027</v>
      </c>
      <c r="B278" t="s">
        <v>187</v>
      </c>
      <c r="C278">
        <v>2437.36</v>
      </c>
      <c r="D278" t="s">
        <v>184</v>
      </c>
      <c r="E278" t="s">
        <v>176</v>
      </c>
      <c r="F278" t="s">
        <v>177</v>
      </c>
      <c r="G278" t="s">
        <v>178</v>
      </c>
    </row>
    <row r="279" spans="1:7">
      <c r="A279">
        <v>2027</v>
      </c>
      <c r="B279" t="s">
        <v>187</v>
      </c>
      <c r="C279">
        <v>623.65499999999997</v>
      </c>
      <c r="D279" t="s">
        <v>184</v>
      </c>
      <c r="E279" t="s">
        <v>176</v>
      </c>
      <c r="F279" t="s">
        <v>177</v>
      </c>
      <c r="G279" t="s">
        <v>179</v>
      </c>
    </row>
    <row r="280" spans="1:7">
      <c r="A280">
        <v>2027</v>
      </c>
      <c r="B280" t="s">
        <v>187</v>
      </c>
      <c r="C280">
        <v>1518.08</v>
      </c>
      <c r="D280" t="s">
        <v>184</v>
      </c>
      <c r="E280" t="s">
        <v>176</v>
      </c>
      <c r="F280" t="s">
        <v>177</v>
      </c>
      <c r="G280" t="s">
        <v>180</v>
      </c>
    </row>
    <row r="281" spans="1:7">
      <c r="A281">
        <v>2027</v>
      </c>
      <c r="B281" t="s">
        <v>187</v>
      </c>
      <c r="C281">
        <v>1503.28</v>
      </c>
      <c r="D281" t="s">
        <v>184</v>
      </c>
      <c r="E281" t="s">
        <v>176</v>
      </c>
      <c r="F281" t="s">
        <v>181</v>
      </c>
      <c r="G281" t="s">
        <v>178</v>
      </c>
    </row>
    <row r="282" spans="1:7">
      <c r="A282">
        <v>2027</v>
      </c>
      <c r="B282" t="s">
        <v>187</v>
      </c>
      <c r="C282">
        <v>464.56700000000001</v>
      </c>
      <c r="D282" t="s">
        <v>184</v>
      </c>
      <c r="E282" t="s">
        <v>176</v>
      </c>
      <c r="F282" t="s">
        <v>181</v>
      </c>
      <c r="G282" t="s">
        <v>179</v>
      </c>
    </row>
    <row r="283" spans="1:7">
      <c r="A283">
        <v>2027</v>
      </c>
      <c r="B283" t="s">
        <v>187</v>
      </c>
      <c r="C283">
        <v>482.971</v>
      </c>
      <c r="D283" t="s">
        <v>184</v>
      </c>
      <c r="E283" t="s">
        <v>176</v>
      </c>
      <c r="F283" t="s">
        <v>181</v>
      </c>
      <c r="G283" t="s">
        <v>180</v>
      </c>
    </row>
    <row r="284" spans="1:7">
      <c r="A284">
        <v>2027</v>
      </c>
      <c r="B284" t="s">
        <v>187</v>
      </c>
      <c r="C284">
        <v>1825.06</v>
      </c>
      <c r="D284" t="s">
        <v>184</v>
      </c>
      <c r="E284" t="s">
        <v>182</v>
      </c>
      <c r="F284" t="s">
        <v>177</v>
      </c>
      <c r="G284" t="s">
        <v>178</v>
      </c>
    </row>
    <row r="285" spans="1:7">
      <c r="A285">
        <v>2027</v>
      </c>
      <c r="B285" t="s">
        <v>187</v>
      </c>
      <c r="C285">
        <v>688.93600000000004</v>
      </c>
      <c r="D285" t="s">
        <v>184</v>
      </c>
      <c r="E285" t="s">
        <v>182</v>
      </c>
      <c r="F285" t="s">
        <v>177</v>
      </c>
      <c r="G285" t="s">
        <v>179</v>
      </c>
    </row>
    <row r="286" spans="1:7">
      <c r="A286">
        <v>2027</v>
      </c>
      <c r="B286" t="s">
        <v>187</v>
      </c>
      <c r="C286">
        <v>1603.23</v>
      </c>
      <c r="D286" t="s">
        <v>184</v>
      </c>
      <c r="E286" t="s">
        <v>182</v>
      </c>
      <c r="F286" t="s">
        <v>177</v>
      </c>
      <c r="G286" t="s">
        <v>180</v>
      </c>
    </row>
    <row r="287" spans="1:7">
      <c r="A287">
        <v>2027</v>
      </c>
      <c r="B287" t="s">
        <v>187</v>
      </c>
      <c r="C287">
        <v>2033.84</v>
      </c>
      <c r="D287" t="s">
        <v>184</v>
      </c>
      <c r="E287" t="s">
        <v>182</v>
      </c>
      <c r="F287" t="s">
        <v>181</v>
      </c>
      <c r="G287" t="s">
        <v>178</v>
      </c>
    </row>
    <row r="288" spans="1:7">
      <c r="A288">
        <v>2027</v>
      </c>
      <c r="B288" t="s">
        <v>187</v>
      </c>
      <c r="C288">
        <v>463.17</v>
      </c>
      <c r="D288" t="s">
        <v>184</v>
      </c>
      <c r="E288" t="s">
        <v>182</v>
      </c>
      <c r="F288" t="s">
        <v>181</v>
      </c>
      <c r="G288" t="s">
        <v>179</v>
      </c>
    </row>
    <row r="289" spans="1:7">
      <c r="A289">
        <v>2027</v>
      </c>
      <c r="B289" t="s">
        <v>187</v>
      </c>
      <c r="C289">
        <v>558.46400000000006</v>
      </c>
      <c r="D289" t="s">
        <v>184</v>
      </c>
      <c r="E289" t="s">
        <v>182</v>
      </c>
      <c r="F289" t="s">
        <v>181</v>
      </c>
      <c r="G289" t="s">
        <v>180</v>
      </c>
    </row>
    <row r="290" spans="1:7">
      <c r="A290">
        <v>2028</v>
      </c>
      <c r="B290" t="s">
        <v>187</v>
      </c>
      <c r="C290">
        <v>22090.2</v>
      </c>
      <c r="D290" t="s">
        <v>175</v>
      </c>
      <c r="E290" t="s">
        <v>176</v>
      </c>
      <c r="F290" t="s">
        <v>177</v>
      </c>
      <c r="G290" t="s">
        <v>178</v>
      </c>
    </row>
    <row r="291" spans="1:7">
      <c r="A291">
        <v>2028</v>
      </c>
      <c r="B291" t="s">
        <v>187</v>
      </c>
      <c r="C291">
        <v>5405.9</v>
      </c>
      <c r="D291" t="s">
        <v>175</v>
      </c>
      <c r="E291" t="s">
        <v>176</v>
      </c>
      <c r="F291" t="s">
        <v>177</v>
      </c>
      <c r="G291" t="s">
        <v>179</v>
      </c>
    </row>
    <row r="292" spans="1:7">
      <c r="A292">
        <v>2028</v>
      </c>
      <c r="B292" t="s">
        <v>187</v>
      </c>
      <c r="C292">
        <v>10495.2</v>
      </c>
      <c r="D292" t="s">
        <v>175</v>
      </c>
      <c r="E292" t="s">
        <v>176</v>
      </c>
      <c r="F292" t="s">
        <v>177</v>
      </c>
      <c r="G292" t="s">
        <v>180</v>
      </c>
    </row>
    <row r="293" spans="1:7">
      <c r="A293">
        <v>2028</v>
      </c>
      <c r="B293" t="s">
        <v>187</v>
      </c>
      <c r="C293">
        <v>8116.87</v>
      </c>
      <c r="D293" t="s">
        <v>175</v>
      </c>
      <c r="E293" t="s">
        <v>176</v>
      </c>
      <c r="F293" t="s">
        <v>181</v>
      </c>
      <c r="G293" t="s">
        <v>178</v>
      </c>
    </row>
    <row r="294" spans="1:7">
      <c r="A294">
        <v>2028</v>
      </c>
      <c r="B294" t="s">
        <v>187</v>
      </c>
      <c r="C294">
        <v>2707.16</v>
      </c>
      <c r="D294" t="s">
        <v>175</v>
      </c>
      <c r="E294" t="s">
        <v>176</v>
      </c>
      <c r="F294" t="s">
        <v>181</v>
      </c>
      <c r="G294" t="s">
        <v>179</v>
      </c>
    </row>
    <row r="295" spans="1:7">
      <c r="A295">
        <v>2028</v>
      </c>
      <c r="B295" t="s">
        <v>187</v>
      </c>
      <c r="C295">
        <v>3247.41</v>
      </c>
      <c r="D295" t="s">
        <v>175</v>
      </c>
      <c r="E295" t="s">
        <v>176</v>
      </c>
      <c r="F295" t="s">
        <v>181</v>
      </c>
      <c r="G295" t="s">
        <v>180</v>
      </c>
    </row>
    <row r="296" spans="1:7">
      <c r="A296">
        <v>2028</v>
      </c>
      <c r="B296" t="s">
        <v>187</v>
      </c>
      <c r="C296">
        <v>12116.7</v>
      </c>
      <c r="D296" t="s">
        <v>175</v>
      </c>
      <c r="E296" t="s">
        <v>182</v>
      </c>
      <c r="F296" t="s">
        <v>177</v>
      </c>
      <c r="G296" t="s">
        <v>178</v>
      </c>
    </row>
    <row r="297" spans="1:7">
      <c r="A297">
        <v>2028</v>
      </c>
      <c r="B297" t="s">
        <v>187</v>
      </c>
      <c r="C297">
        <v>3272.28</v>
      </c>
      <c r="D297" t="s">
        <v>175</v>
      </c>
      <c r="E297" t="s">
        <v>182</v>
      </c>
      <c r="F297" t="s">
        <v>177</v>
      </c>
      <c r="G297" t="s">
        <v>179</v>
      </c>
    </row>
    <row r="298" spans="1:7">
      <c r="A298">
        <v>2028</v>
      </c>
      <c r="B298" t="s">
        <v>187</v>
      </c>
      <c r="C298">
        <v>4674.24</v>
      </c>
      <c r="D298" t="s">
        <v>175</v>
      </c>
      <c r="E298" t="s">
        <v>182</v>
      </c>
      <c r="F298" t="s">
        <v>177</v>
      </c>
      <c r="G298" t="s">
        <v>180</v>
      </c>
    </row>
    <row r="299" spans="1:7">
      <c r="A299">
        <v>2028</v>
      </c>
      <c r="B299" t="s">
        <v>187</v>
      </c>
      <c r="C299">
        <v>4715.25</v>
      </c>
      <c r="D299" t="s">
        <v>175</v>
      </c>
      <c r="E299" t="s">
        <v>182</v>
      </c>
      <c r="F299" t="s">
        <v>181</v>
      </c>
      <c r="G299" t="s">
        <v>178</v>
      </c>
    </row>
    <row r="300" spans="1:7">
      <c r="A300">
        <v>2028</v>
      </c>
      <c r="B300" t="s">
        <v>187</v>
      </c>
      <c r="C300">
        <v>2547.35</v>
      </c>
      <c r="D300" t="s">
        <v>175</v>
      </c>
      <c r="E300" t="s">
        <v>182</v>
      </c>
      <c r="F300" t="s">
        <v>181</v>
      </c>
      <c r="G300" t="s">
        <v>179</v>
      </c>
    </row>
    <row r="301" spans="1:7">
      <c r="A301">
        <v>2028</v>
      </c>
      <c r="B301" t="s">
        <v>187</v>
      </c>
      <c r="C301">
        <v>2483.16</v>
      </c>
      <c r="D301" t="s">
        <v>175</v>
      </c>
      <c r="E301" t="s">
        <v>182</v>
      </c>
      <c r="F301" t="s">
        <v>181</v>
      </c>
      <c r="G301" t="s">
        <v>180</v>
      </c>
    </row>
    <row r="302" spans="1:7">
      <c r="A302">
        <v>2028</v>
      </c>
      <c r="B302" t="s">
        <v>187</v>
      </c>
      <c r="C302">
        <v>7375.72</v>
      </c>
      <c r="D302" t="s">
        <v>183</v>
      </c>
      <c r="E302" t="s">
        <v>176</v>
      </c>
      <c r="F302" t="s">
        <v>177</v>
      </c>
      <c r="G302" t="s">
        <v>178</v>
      </c>
    </row>
    <row r="303" spans="1:7">
      <c r="A303">
        <v>2028</v>
      </c>
      <c r="B303" t="s">
        <v>187</v>
      </c>
      <c r="C303">
        <v>5365.63</v>
      </c>
      <c r="D303" t="s">
        <v>183</v>
      </c>
      <c r="E303" t="s">
        <v>176</v>
      </c>
      <c r="F303" t="s">
        <v>177</v>
      </c>
      <c r="G303" t="s">
        <v>179</v>
      </c>
    </row>
    <row r="304" spans="1:7">
      <c r="A304">
        <v>2028</v>
      </c>
      <c r="B304" t="s">
        <v>187</v>
      </c>
      <c r="C304">
        <v>3745.31</v>
      </c>
      <c r="D304" t="s">
        <v>183</v>
      </c>
      <c r="E304" t="s">
        <v>176</v>
      </c>
      <c r="F304" t="s">
        <v>177</v>
      </c>
      <c r="G304" t="s">
        <v>180</v>
      </c>
    </row>
    <row r="305" spans="1:7">
      <c r="A305">
        <v>2028</v>
      </c>
      <c r="B305" t="s">
        <v>187</v>
      </c>
      <c r="C305">
        <v>6814.77</v>
      </c>
      <c r="D305" t="s">
        <v>183</v>
      </c>
      <c r="E305" t="s">
        <v>176</v>
      </c>
      <c r="F305" t="s">
        <v>181</v>
      </c>
      <c r="G305" t="s">
        <v>178</v>
      </c>
    </row>
    <row r="306" spans="1:7">
      <c r="A306">
        <v>2028</v>
      </c>
      <c r="B306" t="s">
        <v>187</v>
      </c>
      <c r="C306">
        <v>5472.49</v>
      </c>
      <c r="D306" t="s">
        <v>183</v>
      </c>
      <c r="E306" t="s">
        <v>176</v>
      </c>
      <c r="F306" t="s">
        <v>181</v>
      </c>
      <c r="G306" t="s">
        <v>179</v>
      </c>
    </row>
    <row r="307" spans="1:7">
      <c r="A307">
        <v>2028</v>
      </c>
      <c r="B307" t="s">
        <v>187</v>
      </c>
      <c r="C307">
        <v>4741.32</v>
      </c>
      <c r="D307" t="s">
        <v>183</v>
      </c>
      <c r="E307" t="s">
        <v>176</v>
      </c>
      <c r="F307" t="s">
        <v>181</v>
      </c>
      <c r="G307" t="s">
        <v>180</v>
      </c>
    </row>
    <row r="308" spans="1:7">
      <c r="A308">
        <v>2028</v>
      </c>
      <c r="B308" t="s">
        <v>187</v>
      </c>
      <c r="C308">
        <v>7628.12</v>
      </c>
      <c r="D308" t="s">
        <v>183</v>
      </c>
      <c r="E308" t="s">
        <v>182</v>
      </c>
      <c r="F308" t="s">
        <v>177</v>
      </c>
      <c r="G308" t="s">
        <v>178</v>
      </c>
    </row>
    <row r="309" spans="1:7">
      <c r="A309">
        <v>2028</v>
      </c>
      <c r="B309" t="s">
        <v>187</v>
      </c>
      <c r="C309">
        <v>6843.51</v>
      </c>
      <c r="D309" t="s">
        <v>183</v>
      </c>
      <c r="E309" t="s">
        <v>182</v>
      </c>
      <c r="F309" t="s">
        <v>177</v>
      </c>
      <c r="G309" t="s">
        <v>179</v>
      </c>
    </row>
    <row r="310" spans="1:7">
      <c r="A310">
        <v>2028</v>
      </c>
      <c r="B310" t="s">
        <v>187</v>
      </c>
      <c r="C310">
        <v>4911.3900000000003</v>
      </c>
      <c r="D310" t="s">
        <v>183</v>
      </c>
      <c r="E310" t="s">
        <v>182</v>
      </c>
      <c r="F310" t="s">
        <v>177</v>
      </c>
      <c r="G310" t="s">
        <v>180</v>
      </c>
    </row>
    <row r="311" spans="1:7">
      <c r="A311">
        <v>2028</v>
      </c>
      <c r="B311" t="s">
        <v>187</v>
      </c>
      <c r="C311">
        <v>7235.37</v>
      </c>
      <c r="D311" t="s">
        <v>183</v>
      </c>
      <c r="E311" t="s">
        <v>182</v>
      </c>
      <c r="F311" t="s">
        <v>181</v>
      </c>
      <c r="G311" t="s">
        <v>178</v>
      </c>
    </row>
    <row r="312" spans="1:7">
      <c r="A312">
        <v>2028</v>
      </c>
      <c r="B312" t="s">
        <v>187</v>
      </c>
      <c r="C312">
        <v>5931.74</v>
      </c>
      <c r="D312" t="s">
        <v>183</v>
      </c>
      <c r="E312" t="s">
        <v>182</v>
      </c>
      <c r="F312" t="s">
        <v>181</v>
      </c>
      <c r="G312" t="s">
        <v>179</v>
      </c>
    </row>
    <row r="313" spans="1:7">
      <c r="A313">
        <v>2028</v>
      </c>
      <c r="B313" t="s">
        <v>187</v>
      </c>
      <c r="C313">
        <v>5212.1899999999996</v>
      </c>
      <c r="D313" t="s">
        <v>183</v>
      </c>
      <c r="E313" t="s">
        <v>182</v>
      </c>
      <c r="F313" t="s">
        <v>181</v>
      </c>
      <c r="G313" t="s">
        <v>180</v>
      </c>
    </row>
    <row r="314" spans="1:7">
      <c r="A314">
        <v>2028</v>
      </c>
      <c r="B314" t="s">
        <v>187</v>
      </c>
      <c r="C314">
        <v>2437.36</v>
      </c>
      <c r="D314" t="s">
        <v>184</v>
      </c>
      <c r="E314" t="s">
        <v>176</v>
      </c>
      <c r="F314" t="s">
        <v>177</v>
      </c>
      <c r="G314" t="s">
        <v>178</v>
      </c>
    </row>
    <row r="315" spans="1:7">
      <c r="A315">
        <v>2028</v>
      </c>
      <c r="B315" t="s">
        <v>187</v>
      </c>
      <c r="C315">
        <v>623.65499999999997</v>
      </c>
      <c r="D315" t="s">
        <v>184</v>
      </c>
      <c r="E315" t="s">
        <v>176</v>
      </c>
      <c r="F315" t="s">
        <v>177</v>
      </c>
      <c r="G315" t="s">
        <v>179</v>
      </c>
    </row>
    <row r="316" spans="1:7">
      <c r="A316">
        <v>2028</v>
      </c>
      <c r="B316" t="s">
        <v>187</v>
      </c>
      <c r="C316">
        <v>1518.08</v>
      </c>
      <c r="D316" t="s">
        <v>184</v>
      </c>
      <c r="E316" t="s">
        <v>176</v>
      </c>
      <c r="F316" t="s">
        <v>177</v>
      </c>
      <c r="G316" t="s">
        <v>180</v>
      </c>
    </row>
    <row r="317" spans="1:7">
      <c r="A317">
        <v>2028</v>
      </c>
      <c r="B317" t="s">
        <v>187</v>
      </c>
      <c r="C317">
        <v>1503.28</v>
      </c>
      <c r="D317" t="s">
        <v>184</v>
      </c>
      <c r="E317" t="s">
        <v>176</v>
      </c>
      <c r="F317" t="s">
        <v>181</v>
      </c>
      <c r="G317" t="s">
        <v>178</v>
      </c>
    </row>
    <row r="318" spans="1:7">
      <c r="A318">
        <v>2028</v>
      </c>
      <c r="B318" t="s">
        <v>187</v>
      </c>
      <c r="C318">
        <v>464.56700000000001</v>
      </c>
      <c r="D318" t="s">
        <v>184</v>
      </c>
      <c r="E318" t="s">
        <v>176</v>
      </c>
      <c r="F318" t="s">
        <v>181</v>
      </c>
      <c r="G318" t="s">
        <v>179</v>
      </c>
    </row>
    <row r="319" spans="1:7">
      <c r="A319">
        <v>2028</v>
      </c>
      <c r="B319" t="s">
        <v>187</v>
      </c>
      <c r="C319">
        <v>482.971</v>
      </c>
      <c r="D319" t="s">
        <v>184</v>
      </c>
      <c r="E319" t="s">
        <v>176</v>
      </c>
      <c r="F319" t="s">
        <v>181</v>
      </c>
      <c r="G319" t="s">
        <v>180</v>
      </c>
    </row>
    <row r="320" spans="1:7">
      <c r="A320">
        <v>2028</v>
      </c>
      <c r="B320" t="s">
        <v>187</v>
      </c>
      <c r="C320">
        <v>1825.06</v>
      </c>
      <c r="D320" t="s">
        <v>184</v>
      </c>
      <c r="E320" t="s">
        <v>182</v>
      </c>
      <c r="F320" t="s">
        <v>177</v>
      </c>
      <c r="G320" t="s">
        <v>178</v>
      </c>
    </row>
    <row r="321" spans="1:7">
      <c r="A321">
        <v>2028</v>
      </c>
      <c r="B321" t="s">
        <v>187</v>
      </c>
      <c r="C321">
        <v>688.93600000000004</v>
      </c>
      <c r="D321" t="s">
        <v>184</v>
      </c>
      <c r="E321" t="s">
        <v>182</v>
      </c>
      <c r="F321" t="s">
        <v>177</v>
      </c>
      <c r="G321" t="s">
        <v>179</v>
      </c>
    </row>
    <row r="322" spans="1:7">
      <c r="A322">
        <v>2028</v>
      </c>
      <c r="B322" t="s">
        <v>187</v>
      </c>
      <c r="C322">
        <v>1603.23</v>
      </c>
      <c r="D322" t="s">
        <v>184</v>
      </c>
      <c r="E322" t="s">
        <v>182</v>
      </c>
      <c r="F322" t="s">
        <v>177</v>
      </c>
      <c r="G322" t="s">
        <v>180</v>
      </c>
    </row>
    <row r="323" spans="1:7">
      <c r="A323">
        <v>2028</v>
      </c>
      <c r="B323" t="s">
        <v>187</v>
      </c>
      <c r="C323">
        <v>2033.84</v>
      </c>
      <c r="D323" t="s">
        <v>184</v>
      </c>
      <c r="E323" t="s">
        <v>182</v>
      </c>
      <c r="F323" t="s">
        <v>181</v>
      </c>
      <c r="G323" t="s">
        <v>178</v>
      </c>
    </row>
    <row r="324" spans="1:7">
      <c r="A324">
        <v>2028</v>
      </c>
      <c r="B324" t="s">
        <v>187</v>
      </c>
      <c r="C324">
        <v>463.17</v>
      </c>
      <c r="D324" t="s">
        <v>184</v>
      </c>
      <c r="E324" t="s">
        <v>182</v>
      </c>
      <c r="F324" t="s">
        <v>181</v>
      </c>
      <c r="G324" t="s">
        <v>179</v>
      </c>
    </row>
    <row r="325" spans="1:7">
      <c r="A325">
        <v>2028</v>
      </c>
      <c r="B325" t="s">
        <v>187</v>
      </c>
      <c r="C325">
        <v>558.46400000000006</v>
      </c>
      <c r="D325" t="s">
        <v>184</v>
      </c>
      <c r="E325" t="s">
        <v>182</v>
      </c>
      <c r="F325" t="s">
        <v>181</v>
      </c>
      <c r="G325" t="s">
        <v>180</v>
      </c>
    </row>
    <row r="326" spans="1:7">
      <c r="A326">
        <v>2029</v>
      </c>
      <c r="B326" t="s">
        <v>187</v>
      </c>
      <c r="C326">
        <v>25370.7</v>
      </c>
      <c r="D326" t="s">
        <v>175</v>
      </c>
      <c r="E326" t="s">
        <v>176</v>
      </c>
      <c r="F326" t="s">
        <v>177</v>
      </c>
      <c r="G326" t="s">
        <v>178</v>
      </c>
    </row>
    <row r="327" spans="1:7">
      <c r="A327">
        <v>2029</v>
      </c>
      <c r="B327" t="s">
        <v>187</v>
      </c>
      <c r="C327">
        <v>6792.65</v>
      </c>
      <c r="D327" t="s">
        <v>175</v>
      </c>
      <c r="E327" t="s">
        <v>176</v>
      </c>
      <c r="F327" t="s">
        <v>177</v>
      </c>
      <c r="G327" t="s">
        <v>179</v>
      </c>
    </row>
    <row r="328" spans="1:7">
      <c r="A328">
        <v>2029</v>
      </c>
      <c r="B328" t="s">
        <v>187</v>
      </c>
      <c r="C328">
        <v>9727.2199999999993</v>
      </c>
      <c r="D328" t="s">
        <v>175</v>
      </c>
      <c r="E328" t="s">
        <v>176</v>
      </c>
      <c r="F328" t="s">
        <v>177</v>
      </c>
      <c r="G328" t="s">
        <v>180</v>
      </c>
    </row>
    <row r="329" spans="1:7">
      <c r="A329">
        <v>2029</v>
      </c>
      <c r="B329" t="s">
        <v>187</v>
      </c>
      <c r="C329">
        <v>9640.5</v>
      </c>
      <c r="D329" t="s">
        <v>175</v>
      </c>
      <c r="E329" t="s">
        <v>176</v>
      </c>
      <c r="F329" t="s">
        <v>181</v>
      </c>
      <c r="G329" t="s">
        <v>178</v>
      </c>
    </row>
    <row r="330" spans="1:7">
      <c r="A330">
        <v>2029</v>
      </c>
      <c r="B330" t="s">
        <v>187</v>
      </c>
      <c r="C330">
        <v>3109.15</v>
      </c>
      <c r="D330" t="s">
        <v>175</v>
      </c>
      <c r="E330" t="s">
        <v>176</v>
      </c>
      <c r="F330" t="s">
        <v>181</v>
      </c>
      <c r="G330" t="s">
        <v>179</v>
      </c>
    </row>
    <row r="331" spans="1:7">
      <c r="A331">
        <v>2029</v>
      </c>
      <c r="B331" t="s">
        <v>187</v>
      </c>
      <c r="C331">
        <v>3093</v>
      </c>
      <c r="D331" t="s">
        <v>175</v>
      </c>
      <c r="E331" t="s">
        <v>176</v>
      </c>
      <c r="F331" t="s">
        <v>181</v>
      </c>
      <c r="G331" t="s">
        <v>180</v>
      </c>
    </row>
    <row r="332" spans="1:7">
      <c r="A332">
        <v>2029</v>
      </c>
      <c r="B332" t="s">
        <v>187</v>
      </c>
      <c r="C332">
        <v>12357.3</v>
      </c>
      <c r="D332" t="s">
        <v>175</v>
      </c>
      <c r="E332" t="s">
        <v>182</v>
      </c>
      <c r="F332" t="s">
        <v>177</v>
      </c>
      <c r="G332" t="s">
        <v>178</v>
      </c>
    </row>
    <row r="333" spans="1:7">
      <c r="A333">
        <v>2029</v>
      </c>
      <c r="B333" t="s">
        <v>187</v>
      </c>
      <c r="C333">
        <v>2841.73</v>
      </c>
      <c r="D333" t="s">
        <v>175</v>
      </c>
      <c r="E333" t="s">
        <v>182</v>
      </c>
      <c r="F333" t="s">
        <v>177</v>
      </c>
      <c r="G333" t="s">
        <v>179</v>
      </c>
    </row>
    <row r="334" spans="1:7">
      <c r="A334">
        <v>2029</v>
      </c>
      <c r="B334" t="s">
        <v>187</v>
      </c>
      <c r="C334">
        <v>4061.78</v>
      </c>
      <c r="D334" t="s">
        <v>175</v>
      </c>
      <c r="E334" t="s">
        <v>182</v>
      </c>
      <c r="F334" t="s">
        <v>177</v>
      </c>
      <c r="G334" t="s">
        <v>180</v>
      </c>
    </row>
    <row r="335" spans="1:7">
      <c r="A335">
        <v>2029</v>
      </c>
      <c r="B335" t="s">
        <v>187</v>
      </c>
      <c r="C335">
        <v>3626.36</v>
      </c>
      <c r="D335" t="s">
        <v>175</v>
      </c>
      <c r="E335" t="s">
        <v>182</v>
      </c>
      <c r="F335" t="s">
        <v>181</v>
      </c>
      <c r="G335" t="s">
        <v>178</v>
      </c>
    </row>
    <row r="336" spans="1:7">
      <c r="A336">
        <v>2029</v>
      </c>
      <c r="B336" t="s">
        <v>187</v>
      </c>
      <c r="C336">
        <v>2576.35</v>
      </c>
      <c r="D336" t="s">
        <v>175</v>
      </c>
      <c r="E336" t="s">
        <v>182</v>
      </c>
      <c r="F336" t="s">
        <v>181</v>
      </c>
      <c r="G336" t="s">
        <v>179</v>
      </c>
    </row>
    <row r="337" spans="1:7">
      <c r="A337">
        <v>2029</v>
      </c>
      <c r="B337" t="s">
        <v>187</v>
      </c>
      <c r="C337">
        <v>2301.34</v>
      </c>
      <c r="D337" t="s">
        <v>175</v>
      </c>
      <c r="E337" t="s">
        <v>182</v>
      </c>
      <c r="F337" t="s">
        <v>181</v>
      </c>
      <c r="G337" t="s">
        <v>180</v>
      </c>
    </row>
    <row r="338" spans="1:7">
      <c r="A338">
        <v>2029</v>
      </c>
      <c r="B338" t="s">
        <v>187</v>
      </c>
      <c r="C338">
        <v>10944.6</v>
      </c>
      <c r="D338" t="s">
        <v>183</v>
      </c>
      <c r="E338" t="s">
        <v>176</v>
      </c>
      <c r="F338" t="s">
        <v>177</v>
      </c>
      <c r="G338" t="s">
        <v>178</v>
      </c>
    </row>
    <row r="339" spans="1:7">
      <c r="A339">
        <v>2029</v>
      </c>
      <c r="B339" t="s">
        <v>187</v>
      </c>
      <c r="C339">
        <v>8499.83</v>
      </c>
      <c r="D339" t="s">
        <v>183</v>
      </c>
      <c r="E339" t="s">
        <v>176</v>
      </c>
      <c r="F339" t="s">
        <v>177</v>
      </c>
      <c r="G339" t="s">
        <v>179</v>
      </c>
    </row>
    <row r="340" spans="1:7">
      <c r="A340">
        <v>2029</v>
      </c>
      <c r="B340" t="s">
        <v>187</v>
      </c>
      <c r="C340">
        <v>11426</v>
      </c>
      <c r="D340" t="s">
        <v>183</v>
      </c>
      <c r="E340" t="s">
        <v>176</v>
      </c>
      <c r="F340" t="s">
        <v>177</v>
      </c>
      <c r="G340" t="s">
        <v>180</v>
      </c>
    </row>
    <row r="341" spans="1:7">
      <c r="A341">
        <v>2029</v>
      </c>
      <c r="B341" t="s">
        <v>187</v>
      </c>
      <c r="C341">
        <v>12464.3</v>
      </c>
      <c r="D341" t="s">
        <v>183</v>
      </c>
      <c r="E341" t="s">
        <v>176</v>
      </c>
      <c r="F341" t="s">
        <v>181</v>
      </c>
      <c r="G341" t="s">
        <v>178</v>
      </c>
    </row>
    <row r="342" spans="1:7">
      <c r="A342">
        <v>2029</v>
      </c>
      <c r="B342" t="s">
        <v>187</v>
      </c>
      <c r="C342">
        <v>10213.6</v>
      </c>
      <c r="D342" t="s">
        <v>183</v>
      </c>
      <c r="E342" t="s">
        <v>176</v>
      </c>
      <c r="F342" t="s">
        <v>181</v>
      </c>
      <c r="G342" t="s">
        <v>179</v>
      </c>
    </row>
    <row r="343" spans="1:7">
      <c r="A343">
        <v>2029</v>
      </c>
      <c r="B343" t="s">
        <v>187</v>
      </c>
      <c r="C343">
        <v>10278.4</v>
      </c>
      <c r="D343" t="s">
        <v>183</v>
      </c>
      <c r="E343" t="s">
        <v>176</v>
      </c>
      <c r="F343" t="s">
        <v>181</v>
      </c>
      <c r="G343" t="s">
        <v>180</v>
      </c>
    </row>
    <row r="344" spans="1:7">
      <c r="A344">
        <v>2029</v>
      </c>
      <c r="B344" t="s">
        <v>187</v>
      </c>
      <c r="C344">
        <v>11684.3</v>
      </c>
      <c r="D344" t="s">
        <v>183</v>
      </c>
      <c r="E344" t="s">
        <v>182</v>
      </c>
      <c r="F344" t="s">
        <v>177</v>
      </c>
      <c r="G344" t="s">
        <v>178</v>
      </c>
    </row>
    <row r="345" spans="1:7">
      <c r="A345">
        <v>2029</v>
      </c>
      <c r="B345" t="s">
        <v>187</v>
      </c>
      <c r="C345">
        <v>8012.91</v>
      </c>
      <c r="D345" t="s">
        <v>183</v>
      </c>
      <c r="E345" t="s">
        <v>182</v>
      </c>
      <c r="F345" t="s">
        <v>177</v>
      </c>
      <c r="G345" t="s">
        <v>179</v>
      </c>
    </row>
    <row r="346" spans="1:7">
      <c r="A346">
        <v>2029</v>
      </c>
      <c r="B346" t="s">
        <v>187</v>
      </c>
      <c r="C346">
        <v>11023.3</v>
      </c>
      <c r="D346" t="s">
        <v>183</v>
      </c>
      <c r="E346" t="s">
        <v>182</v>
      </c>
      <c r="F346" t="s">
        <v>177</v>
      </c>
      <c r="G346" t="s">
        <v>180</v>
      </c>
    </row>
    <row r="347" spans="1:7">
      <c r="A347">
        <v>2029</v>
      </c>
      <c r="B347" t="s">
        <v>187</v>
      </c>
      <c r="C347">
        <v>11638.6</v>
      </c>
      <c r="D347" t="s">
        <v>183</v>
      </c>
      <c r="E347" t="s">
        <v>182</v>
      </c>
      <c r="F347" t="s">
        <v>181</v>
      </c>
      <c r="G347" t="s">
        <v>178</v>
      </c>
    </row>
    <row r="348" spans="1:7">
      <c r="A348">
        <v>2029</v>
      </c>
      <c r="B348" t="s">
        <v>187</v>
      </c>
      <c r="C348">
        <v>10431.6</v>
      </c>
      <c r="D348" t="s">
        <v>183</v>
      </c>
      <c r="E348" t="s">
        <v>182</v>
      </c>
      <c r="F348" t="s">
        <v>181</v>
      </c>
      <c r="G348" t="s">
        <v>179</v>
      </c>
    </row>
    <row r="349" spans="1:7">
      <c r="A349">
        <v>2029</v>
      </c>
      <c r="B349" t="s">
        <v>187</v>
      </c>
      <c r="C349">
        <v>11411.3</v>
      </c>
      <c r="D349" t="s">
        <v>183</v>
      </c>
      <c r="E349" t="s">
        <v>182</v>
      </c>
      <c r="F349" t="s">
        <v>181</v>
      </c>
      <c r="G349" t="s">
        <v>180</v>
      </c>
    </row>
    <row r="350" spans="1:7">
      <c r="A350">
        <v>2029</v>
      </c>
      <c r="B350" t="s">
        <v>187</v>
      </c>
      <c r="C350">
        <v>1765.52</v>
      </c>
      <c r="D350" t="s">
        <v>184</v>
      </c>
      <c r="E350" t="s">
        <v>176</v>
      </c>
      <c r="F350" t="s">
        <v>177</v>
      </c>
      <c r="G350" t="s">
        <v>178</v>
      </c>
    </row>
    <row r="351" spans="1:7">
      <c r="A351">
        <v>2029</v>
      </c>
      <c r="B351" t="s">
        <v>187</v>
      </c>
      <c r="C351">
        <v>589.529</v>
      </c>
      <c r="D351" t="s">
        <v>184</v>
      </c>
      <c r="E351" t="s">
        <v>176</v>
      </c>
      <c r="F351" t="s">
        <v>177</v>
      </c>
      <c r="G351" t="s">
        <v>179</v>
      </c>
    </row>
    <row r="352" spans="1:7">
      <c r="A352">
        <v>2029</v>
      </c>
      <c r="B352" t="s">
        <v>187</v>
      </c>
      <c r="C352">
        <v>1103.4000000000001</v>
      </c>
      <c r="D352" t="s">
        <v>184</v>
      </c>
      <c r="E352" t="s">
        <v>176</v>
      </c>
      <c r="F352" t="s">
        <v>177</v>
      </c>
      <c r="G352" t="s">
        <v>180</v>
      </c>
    </row>
    <row r="353" spans="1:7">
      <c r="A353">
        <v>2029</v>
      </c>
      <c r="B353" t="s">
        <v>187</v>
      </c>
      <c r="C353">
        <v>364.84100000000001</v>
      </c>
      <c r="D353" t="s">
        <v>184</v>
      </c>
      <c r="E353" t="s">
        <v>176</v>
      </c>
      <c r="F353" t="s">
        <v>181</v>
      </c>
      <c r="G353" t="s">
        <v>178</v>
      </c>
    </row>
    <row r="354" spans="1:7">
      <c r="A354">
        <v>2029</v>
      </c>
      <c r="B354" t="s">
        <v>187</v>
      </c>
      <c r="C354">
        <v>426.41800000000001</v>
      </c>
      <c r="D354" t="s">
        <v>184</v>
      </c>
      <c r="E354" t="s">
        <v>176</v>
      </c>
      <c r="F354" t="s">
        <v>181</v>
      </c>
      <c r="G354" t="s">
        <v>179</v>
      </c>
    </row>
    <row r="355" spans="1:7">
      <c r="A355">
        <v>2029</v>
      </c>
      <c r="B355" t="s">
        <v>187</v>
      </c>
      <c r="C355">
        <v>333.52499999999998</v>
      </c>
      <c r="D355" t="s">
        <v>184</v>
      </c>
      <c r="E355" t="s">
        <v>176</v>
      </c>
      <c r="F355" t="s">
        <v>181</v>
      </c>
      <c r="G355" t="s">
        <v>180</v>
      </c>
    </row>
    <row r="356" spans="1:7">
      <c r="A356">
        <v>2029</v>
      </c>
      <c r="B356" t="s">
        <v>187</v>
      </c>
      <c r="C356">
        <v>682.92600000000004</v>
      </c>
      <c r="D356" t="s">
        <v>184</v>
      </c>
      <c r="E356" t="s">
        <v>182</v>
      </c>
      <c r="F356" t="s">
        <v>177</v>
      </c>
      <c r="G356" t="s">
        <v>178</v>
      </c>
    </row>
    <row r="357" spans="1:7">
      <c r="A357">
        <v>2029</v>
      </c>
      <c r="B357" t="s">
        <v>187</v>
      </c>
      <c r="C357">
        <v>689.452</v>
      </c>
      <c r="D357" t="s">
        <v>184</v>
      </c>
      <c r="E357" t="s">
        <v>182</v>
      </c>
      <c r="F357" t="s">
        <v>177</v>
      </c>
      <c r="G357" t="s">
        <v>179</v>
      </c>
    </row>
    <row r="358" spans="1:7">
      <c r="A358">
        <v>2029</v>
      </c>
      <c r="B358" t="s">
        <v>187</v>
      </c>
      <c r="C358">
        <v>1124.46</v>
      </c>
      <c r="D358" t="s">
        <v>184</v>
      </c>
      <c r="E358" t="s">
        <v>182</v>
      </c>
      <c r="F358" t="s">
        <v>177</v>
      </c>
      <c r="G358" t="s">
        <v>180</v>
      </c>
    </row>
    <row r="359" spans="1:7">
      <c r="A359">
        <v>2029</v>
      </c>
      <c r="B359" t="s">
        <v>187</v>
      </c>
      <c r="C359">
        <v>459.334</v>
      </c>
      <c r="D359" t="s">
        <v>184</v>
      </c>
      <c r="E359" t="s">
        <v>182</v>
      </c>
      <c r="F359" t="s">
        <v>181</v>
      </c>
      <c r="G359" t="s">
        <v>178</v>
      </c>
    </row>
    <row r="360" spans="1:7">
      <c r="A360">
        <v>2029</v>
      </c>
      <c r="B360" t="s">
        <v>187</v>
      </c>
      <c r="C360">
        <v>501.904</v>
      </c>
      <c r="D360" t="s">
        <v>184</v>
      </c>
      <c r="E360" t="s">
        <v>182</v>
      </c>
      <c r="F360" t="s">
        <v>181</v>
      </c>
      <c r="G360" t="s">
        <v>179</v>
      </c>
    </row>
    <row r="361" spans="1:7">
      <c r="A361">
        <v>2029</v>
      </c>
      <c r="B361" t="s">
        <v>187</v>
      </c>
      <c r="C361">
        <v>354.02300000000002</v>
      </c>
      <c r="D361" t="s">
        <v>184</v>
      </c>
      <c r="E361" t="s">
        <v>182</v>
      </c>
      <c r="F361" t="s">
        <v>181</v>
      </c>
      <c r="G361" t="s">
        <v>180</v>
      </c>
    </row>
    <row r="362" spans="1:7">
      <c r="A362">
        <v>2030</v>
      </c>
      <c r="B362" t="s">
        <v>187</v>
      </c>
      <c r="C362">
        <v>25370.7</v>
      </c>
      <c r="D362" t="s">
        <v>175</v>
      </c>
      <c r="E362" t="s">
        <v>176</v>
      </c>
      <c r="F362" t="s">
        <v>177</v>
      </c>
      <c r="G362" t="s">
        <v>178</v>
      </c>
    </row>
    <row r="363" spans="1:7">
      <c r="A363">
        <v>2030</v>
      </c>
      <c r="B363" t="s">
        <v>187</v>
      </c>
      <c r="C363">
        <v>6792.65</v>
      </c>
      <c r="D363" t="s">
        <v>175</v>
      </c>
      <c r="E363" t="s">
        <v>176</v>
      </c>
      <c r="F363" t="s">
        <v>177</v>
      </c>
      <c r="G363" t="s">
        <v>179</v>
      </c>
    </row>
    <row r="364" spans="1:7">
      <c r="A364">
        <v>2030</v>
      </c>
      <c r="B364" t="s">
        <v>187</v>
      </c>
      <c r="C364">
        <v>9727.2199999999993</v>
      </c>
      <c r="D364" t="s">
        <v>175</v>
      </c>
      <c r="E364" t="s">
        <v>176</v>
      </c>
      <c r="F364" t="s">
        <v>177</v>
      </c>
      <c r="G364" t="s">
        <v>180</v>
      </c>
    </row>
    <row r="365" spans="1:7">
      <c r="A365">
        <v>2030</v>
      </c>
      <c r="B365" t="s">
        <v>187</v>
      </c>
      <c r="C365">
        <v>9640.5</v>
      </c>
      <c r="D365" t="s">
        <v>175</v>
      </c>
      <c r="E365" t="s">
        <v>176</v>
      </c>
      <c r="F365" t="s">
        <v>181</v>
      </c>
      <c r="G365" t="s">
        <v>178</v>
      </c>
    </row>
    <row r="366" spans="1:7">
      <c r="A366">
        <v>2030</v>
      </c>
      <c r="B366" t="s">
        <v>187</v>
      </c>
      <c r="C366">
        <v>3109.15</v>
      </c>
      <c r="D366" t="s">
        <v>175</v>
      </c>
      <c r="E366" t="s">
        <v>176</v>
      </c>
      <c r="F366" t="s">
        <v>181</v>
      </c>
      <c r="G366" t="s">
        <v>179</v>
      </c>
    </row>
    <row r="367" spans="1:7">
      <c r="A367">
        <v>2030</v>
      </c>
      <c r="B367" t="s">
        <v>187</v>
      </c>
      <c r="C367">
        <v>3093</v>
      </c>
      <c r="D367" t="s">
        <v>175</v>
      </c>
      <c r="E367" t="s">
        <v>176</v>
      </c>
      <c r="F367" t="s">
        <v>181</v>
      </c>
      <c r="G367" t="s">
        <v>180</v>
      </c>
    </row>
    <row r="368" spans="1:7">
      <c r="A368">
        <v>2030</v>
      </c>
      <c r="B368" t="s">
        <v>187</v>
      </c>
      <c r="C368">
        <v>12357.3</v>
      </c>
      <c r="D368" t="s">
        <v>175</v>
      </c>
      <c r="E368" t="s">
        <v>182</v>
      </c>
      <c r="F368" t="s">
        <v>177</v>
      </c>
      <c r="G368" t="s">
        <v>178</v>
      </c>
    </row>
    <row r="369" spans="1:7">
      <c r="A369">
        <v>2030</v>
      </c>
      <c r="B369" t="s">
        <v>187</v>
      </c>
      <c r="C369">
        <v>2841.73</v>
      </c>
      <c r="D369" t="s">
        <v>175</v>
      </c>
      <c r="E369" t="s">
        <v>182</v>
      </c>
      <c r="F369" t="s">
        <v>177</v>
      </c>
      <c r="G369" t="s">
        <v>179</v>
      </c>
    </row>
    <row r="370" spans="1:7">
      <c r="A370">
        <v>2030</v>
      </c>
      <c r="B370" t="s">
        <v>187</v>
      </c>
      <c r="C370">
        <v>4061.78</v>
      </c>
      <c r="D370" t="s">
        <v>175</v>
      </c>
      <c r="E370" t="s">
        <v>182</v>
      </c>
      <c r="F370" t="s">
        <v>177</v>
      </c>
      <c r="G370" t="s">
        <v>180</v>
      </c>
    </row>
    <row r="371" spans="1:7">
      <c r="A371">
        <v>2030</v>
      </c>
      <c r="B371" t="s">
        <v>187</v>
      </c>
      <c r="C371">
        <v>3626.36</v>
      </c>
      <c r="D371" t="s">
        <v>175</v>
      </c>
      <c r="E371" t="s">
        <v>182</v>
      </c>
      <c r="F371" t="s">
        <v>181</v>
      </c>
      <c r="G371" t="s">
        <v>178</v>
      </c>
    </row>
    <row r="372" spans="1:7">
      <c r="A372">
        <v>2030</v>
      </c>
      <c r="B372" t="s">
        <v>187</v>
      </c>
      <c r="C372">
        <v>2576.35</v>
      </c>
      <c r="D372" t="s">
        <v>175</v>
      </c>
      <c r="E372" t="s">
        <v>182</v>
      </c>
      <c r="F372" t="s">
        <v>181</v>
      </c>
      <c r="G372" t="s">
        <v>179</v>
      </c>
    </row>
    <row r="373" spans="1:7">
      <c r="A373">
        <v>2030</v>
      </c>
      <c r="B373" t="s">
        <v>187</v>
      </c>
      <c r="C373">
        <v>2301.34</v>
      </c>
      <c r="D373" t="s">
        <v>175</v>
      </c>
      <c r="E373" t="s">
        <v>182</v>
      </c>
      <c r="F373" t="s">
        <v>181</v>
      </c>
      <c r="G373" t="s">
        <v>180</v>
      </c>
    </row>
    <row r="374" spans="1:7">
      <c r="A374">
        <v>2030</v>
      </c>
      <c r="B374" t="s">
        <v>187</v>
      </c>
      <c r="C374">
        <v>10944.6</v>
      </c>
      <c r="D374" t="s">
        <v>183</v>
      </c>
      <c r="E374" t="s">
        <v>176</v>
      </c>
      <c r="F374" t="s">
        <v>177</v>
      </c>
      <c r="G374" t="s">
        <v>178</v>
      </c>
    </row>
    <row r="375" spans="1:7">
      <c r="A375">
        <v>2030</v>
      </c>
      <c r="B375" t="s">
        <v>187</v>
      </c>
      <c r="C375">
        <v>8499.83</v>
      </c>
      <c r="D375" t="s">
        <v>183</v>
      </c>
      <c r="E375" t="s">
        <v>176</v>
      </c>
      <c r="F375" t="s">
        <v>177</v>
      </c>
      <c r="G375" t="s">
        <v>179</v>
      </c>
    </row>
    <row r="376" spans="1:7">
      <c r="A376">
        <v>2030</v>
      </c>
      <c r="B376" t="s">
        <v>187</v>
      </c>
      <c r="C376">
        <v>11426</v>
      </c>
      <c r="D376" t="s">
        <v>183</v>
      </c>
      <c r="E376" t="s">
        <v>176</v>
      </c>
      <c r="F376" t="s">
        <v>177</v>
      </c>
      <c r="G376" t="s">
        <v>180</v>
      </c>
    </row>
    <row r="377" spans="1:7">
      <c r="A377">
        <v>2030</v>
      </c>
      <c r="B377" t="s">
        <v>187</v>
      </c>
      <c r="C377">
        <v>12464.3</v>
      </c>
      <c r="D377" t="s">
        <v>183</v>
      </c>
      <c r="E377" t="s">
        <v>176</v>
      </c>
      <c r="F377" t="s">
        <v>181</v>
      </c>
      <c r="G377" t="s">
        <v>178</v>
      </c>
    </row>
    <row r="378" spans="1:7">
      <c r="A378">
        <v>2030</v>
      </c>
      <c r="B378" t="s">
        <v>187</v>
      </c>
      <c r="C378">
        <v>10213.6</v>
      </c>
      <c r="D378" t="s">
        <v>183</v>
      </c>
      <c r="E378" t="s">
        <v>176</v>
      </c>
      <c r="F378" t="s">
        <v>181</v>
      </c>
      <c r="G378" t="s">
        <v>179</v>
      </c>
    </row>
    <row r="379" spans="1:7">
      <c r="A379">
        <v>2030</v>
      </c>
      <c r="B379" t="s">
        <v>187</v>
      </c>
      <c r="C379">
        <v>10278.4</v>
      </c>
      <c r="D379" t="s">
        <v>183</v>
      </c>
      <c r="E379" t="s">
        <v>176</v>
      </c>
      <c r="F379" t="s">
        <v>181</v>
      </c>
      <c r="G379" t="s">
        <v>180</v>
      </c>
    </row>
    <row r="380" spans="1:7">
      <c r="A380">
        <v>2030</v>
      </c>
      <c r="B380" t="s">
        <v>187</v>
      </c>
      <c r="C380">
        <v>11684.3</v>
      </c>
      <c r="D380" t="s">
        <v>183</v>
      </c>
      <c r="E380" t="s">
        <v>182</v>
      </c>
      <c r="F380" t="s">
        <v>177</v>
      </c>
      <c r="G380" t="s">
        <v>178</v>
      </c>
    </row>
    <row r="381" spans="1:7">
      <c r="A381">
        <v>2030</v>
      </c>
      <c r="B381" t="s">
        <v>187</v>
      </c>
      <c r="C381">
        <v>8012.91</v>
      </c>
      <c r="D381" t="s">
        <v>183</v>
      </c>
      <c r="E381" t="s">
        <v>182</v>
      </c>
      <c r="F381" t="s">
        <v>177</v>
      </c>
      <c r="G381" t="s">
        <v>179</v>
      </c>
    </row>
    <row r="382" spans="1:7">
      <c r="A382">
        <v>2030</v>
      </c>
      <c r="B382" t="s">
        <v>187</v>
      </c>
      <c r="C382">
        <v>11023.3</v>
      </c>
      <c r="D382" t="s">
        <v>183</v>
      </c>
      <c r="E382" t="s">
        <v>182</v>
      </c>
      <c r="F382" t="s">
        <v>177</v>
      </c>
      <c r="G382" t="s">
        <v>180</v>
      </c>
    </row>
    <row r="383" spans="1:7">
      <c r="A383">
        <v>2030</v>
      </c>
      <c r="B383" t="s">
        <v>187</v>
      </c>
      <c r="C383">
        <v>11638.6</v>
      </c>
      <c r="D383" t="s">
        <v>183</v>
      </c>
      <c r="E383" t="s">
        <v>182</v>
      </c>
      <c r="F383" t="s">
        <v>181</v>
      </c>
      <c r="G383" t="s">
        <v>178</v>
      </c>
    </row>
    <row r="384" spans="1:7">
      <c r="A384">
        <v>2030</v>
      </c>
      <c r="B384" t="s">
        <v>187</v>
      </c>
      <c r="C384">
        <v>10431.6</v>
      </c>
      <c r="D384" t="s">
        <v>183</v>
      </c>
      <c r="E384" t="s">
        <v>182</v>
      </c>
      <c r="F384" t="s">
        <v>181</v>
      </c>
      <c r="G384" t="s">
        <v>179</v>
      </c>
    </row>
    <row r="385" spans="1:7">
      <c r="A385">
        <v>2030</v>
      </c>
      <c r="B385" t="s">
        <v>187</v>
      </c>
      <c r="C385">
        <v>11411.3</v>
      </c>
      <c r="D385" t="s">
        <v>183</v>
      </c>
      <c r="E385" t="s">
        <v>182</v>
      </c>
      <c r="F385" t="s">
        <v>181</v>
      </c>
      <c r="G385" t="s">
        <v>180</v>
      </c>
    </row>
    <row r="386" spans="1:7">
      <c r="A386">
        <v>2030</v>
      </c>
      <c r="B386" t="s">
        <v>187</v>
      </c>
      <c r="C386">
        <v>1765.52</v>
      </c>
      <c r="D386" t="s">
        <v>184</v>
      </c>
      <c r="E386" t="s">
        <v>176</v>
      </c>
      <c r="F386" t="s">
        <v>177</v>
      </c>
      <c r="G386" t="s">
        <v>178</v>
      </c>
    </row>
    <row r="387" spans="1:7">
      <c r="A387">
        <v>2030</v>
      </c>
      <c r="B387" t="s">
        <v>187</v>
      </c>
      <c r="C387">
        <v>589.529</v>
      </c>
      <c r="D387" t="s">
        <v>184</v>
      </c>
      <c r="E387" t="s">
        <v>176</v>
      </c>
      <c r="F387" t="s">
        <v>177</v>
      </c>
      <c r="G387" t="s">
        <v>179</v>
      </c>
    </row>
    <row r="388" spans="1:7">
      <c r="A388">
        <v>2030</v>
      </c>
      <c r="B388" t="s">
        <v>187</v>
      </c>
      <c r="C388">
        <v>1103.4000000000001</v>
      </c>
      <c r="D388" t="s">
        <v>184</v>
      </c>
      <c r="E388" t="s">
        <v>176</v>
      </c>
      <c r="F388" t="s">
        <v>177</v>
      </c>
      <c r="G388" t="s">
        <v>180</v>
      </c>
    </row>
    <row r="389" spans="1:7">
      <c r="A389">
        <v>2030</v>
      </c>
      <c r="B389" t="s">
        <v>187</v>
      </c>
      <c r="C389">
        <v>364.84100000000001</v>
      </c>
      <c r="D389" t="s">
        <v>184</v>
      </c>
      <c r="E389" t="s">
        <v>176</v>
      </c>
      <c r="F389" t="s">
        <v>181</v>
      </c>
      <c r="G389" t="s">
        <v>178</v>
      </c>
    </row>
    <row r="390" spans="1:7">
      <c r="A390">
        <v>2030</v>
      </c>
      <c r="B390" t="s">
        <v>187</v>
      </c>
      <c r="C390">
        <v>426.41800000000001</v>
      </c>
      <c r="D390" t="s">
        <v>184</v>
      </c>
      <c r="E390" t="s">
        <v>176</v>
      </c>
      <c r="F390" t="s">
        <v>181</v>
      </c>
      <c r="G390" t="s">
        <v>179</v>
      </c>
    </row>
    <row r="391" spans="1:7">
      <c r="A391">
        <v>2030</v>
      </c>
      <c r="B391" t="s">
        <v>187</v>
      </c>
      <c r="C391">
        <v>333.52499999999998</v>
      </c>
      <c r="D391" t="s">
        <v>184</v>
      </c>
      <c r="E391" t="s">
        <v>176</v>
      </c>
      <c r="F391" t="s">
        <v>181</v>
      </c>
      <c r="G391" t="s">
        <v>180</v>
      </c>
    </row>
    <row r="392" spans="1:7">
      <c r="A392">
        <v>2030</v>
      </c>
      <c r="B392" t="s">
        <v>187</v>
      </c>
      <c r="C392">
        <v>682.92600000000004</v>
      </c>
      <c r="D392" t="s">
        <v>184</v>
      </c>
      <c r="E392" t="s">
        <v>182</v>
      </c>
      <c r="F392" t="s">
        <v>177</v>
      </c>
      <c r="G392" t="s">
        <v>178</v>
      </c>
    </row>
    <row r="393" spans="1:7">
      <c r="A393">
        <v>2030</v>
      </c>
      <c r="B393" t="s">
        <v>187</v>
      </c>
      <c r="C393">
        <v>689.452</v>
      </c>
      <c r="D393" t="s">
        <v>184</v>
      </c>
      <c r="E393" t="s">
        <v>182</v>
      </c>
      <c r="F393" t="s">
        <v>177</v>
      </c>
      <c r="G393" t="s">
        <v>179</v>
      </c>
    </row>
    <row r="394" spans="1:7">
      <c r="A394">
        <v>2030</v>
      </c>
      <c r="B394" t="s">
        <v>187</v>
      </c>
      <c r="C394">
        <v>1124.46</v>
      </c>
      <c r="D394" t="s">
        <v>184</v>
      </c>
      <c r="E394" t="s">
        <v>182</v>
      </c>
      <c r="F394" t="s">
        <v>177</v>
      </c>
      <c r="G394" t="s">
        <v>180</v>
      </c>
    </row>
    <row r="395" spans="1:7">
      <c r="A395">
        <v>2030</v>
      </c>
      <c r="B395" t="s">
        <v>187</v>
      </c>
      <c r="C395">
        <v>459.334</v>
      </c>
      <c r="D395" t="s">
        <v>184</v>
      </c>
      <c r="E395" t="s">
        <v>182</v>
      </c>
      <c r="F395" t="s">
        <v>181</v>
      </c>
      <c r="G395" t="s">
        <v>178</v>
      </c>
    </row>
    <row r="396" spans="1:7">
      <c r="A396">
        <v>2030</v>
      </c>
      <c r="B396" t="s">
        <v>187</v>
      </c>
      <c r="C396">
        <v>501.904</v>
      </c>
      <c r="D396" t="s">
        <v>184</v>
      </c>
      <c r="E396" t="s">
        <v>182</v>
      </c>
      <c r="F396" t="s">
        <v>181</v>
      </c>
      <c r="G396" t="s">
        <v>179</v>
      </c>
    </row>
    <row r="397" spans="1:7">
      <c r="A397">
        <v>2030</v>
      </c>
      <c r="B397" t="s">
        <v>187</v>
      </c>
      <c r="C397">
        <v>354.02300000000002</v>
      </c>
      <c r="D397" t="s">
        <v>184</v>
      </c>
      <c r="E397" t="s">
        <v>182</v>
      </c>
      <c r="F397" t="s">
        <v>181</v>
      </c>
      <c r="G397" t="s">
        <v>180</v>
      </c>
    </row>
    <row r="398" spans="1:7">
      <c r="A398">
        <v>2031</v>
      </c>
      <c r="B398" t="s">
        <v>187</v>
      </c>
      <c r="C398">
        <v>11412.1</v>
      </c>
      <c r="D398" t="s">
        <v>175</v>
      </c>
      <c r="E398" t="s">
        <v>176</v>
      </c>
      <c r="F398" t="s">
        <v>177</v>
      </c>
      <c r="G398" t="s">
        <v>178</v>
      </c>
    </row>
    <row r="399" spans="1:7">
      <c r="A399">
        <v>2031</v>
      </c>
      <c r="B399" t="s">
        <v>187</v>
      </c>
      <c r="C399">
        <v>5318.61</v>
      </c>
      <c r="D399" t="s">
        <v>175</v>
      </c>
      <c r="E399" t="s">
        <v>176</v>
      </c>
      <c r="F399" t="s">
        <v>177</v>
      </c>
      <c r="G399" t="s">
        <v>179</v>
      </c>
    </row>
    <row r="400" spans="1:7">
      <c r="A400">
        <v>2031</v>
      </c>
      <c r="B400" t="s">
        <v>187</v>
      </c>
      <c r="C400">
        <v>5243.11</v>
      </c>
      <c r="D400" t="s">
        <v>175</v>
      </c>
      <c r="E400" t="s">
        <v>176</v>
      </c>
      <c r="F400" t="s">
        <v>177</v>
      </c>
      <c r="G400" t="s">
        <v>180</v>
      </c>
    </row>
    <row r="401" spans="1:7">
      <c r="A401">
        <v>2031</v>
      </c>
      <c r="B401" t="s">
        <v>187</v>
      </c>
      <c r="C401">
        <v>4277.04</v>
      </c>
      <c r="D401" t="s">
        <v>175</v>
      </c>
      <c r="E401" t="s">
        <v>176</v>
      </c>
      <c r="F401" t="s">
        <v>181</v>
      </c>
      <c r="G401" t="s">
        <v>178</v>
      </c>
    </row>
    <row r="402" spans="1:7">
      <c r="A402">
        <v>2031</v>
      </c>
      <c r="B402" t="s">
        <v>187</v>
      </c>
      <c r="C402">
        <v>2867.9</v>
      </c>
      <c r="D402" t="s">
        <v>175</v>
      </c>
      <c r="E402" t="s">
        <v>176</v>
      </c>
      <c r="F402" t="s">
        <v>181</v>
      </c>
      <c r="G402" t="s">
        <v>179</v>
      </c>
    </row>
    <row r="403" spans="1:7">
      <c r="A403">
        <v>2031</v>
      </c>
      <c r="B403" t="s">
        <v>187</v>
      </c>
      <c r="C403">
        <v>3038.51</v>
      </c>
      <c r="D403" t="s">
        <v>175</v>
      </c>
      <c r="E403" t="s">
        <v>176</v>
      </c>
      <c r="F403" t="s">
        <v>181</v>
      </c>
      <c r="G403" t="s">
        <v>180</v>
      </c>
    </row>
    <row r="404" spans="1:7">
      <c r="A404">
        <v>2031</v>
      </c>
      <c r="B404" t="s">
        <v>187</v>
      </c>
      <c r="C404">
        <v>7475.16</v>
      </c>
      <c r="D404" t="s">
        <v>175</v>
      </c>
      <c r="E404" t="s">
        <v>182</v>
      </c>
      <c r="F404" t="s">
        <v>177</v>
      </c>
      <c r="G404" t="s">
        <v>178</v>
      </c>
    </row>
    <row r="405" spans="1:7">
      <c r="A405">
        <v>2031</v>
      </c>
      <c r="B405" t="s">
        <v>187</v>
      </c>
      <c r="C405">
        <v>3593.36</v>
      </c>
      <c r="D405" t="s">
        <v>175</v>
      </c>
      <c r="E405" t="s">
        <v>182</v>
      </c>
      <c r="F405" t="s">
        <v>177</v>
      </c>
      <c r="G405" t="s">
        <v>179</v>
      </c>
    </row>
    <row r="406" spans="1:7">
      <c r="A406">
        <v>2031</v>
      </c>
      <c r="B406" t="s">
        <v>187</v>
      </c>
      <c r="C406">
        <v>3396.2</v>
      </c>
      <c r="D406" t="s">
        <v>175</v>
      </c>
      <c r="E406" t="s">
        <v>182</v>
      </c>
      <c r="F406" t="s">
        <v>177</v>
      </c>
      <c r="G406" t="s">
        <v>180</v>
      </c>
    </row>
    <row r="407" spans="1:7">
      <c r="A407">
        <v>2031</v>
      </c>
      <c r="B407" t="s">
        <v>187</v>
      </c>
      <c r="C407">
        <v>3979.78</v>
      </c>
      <c r="D407" t="s">
        <v>175</v>
      </c>
      <c r="E407" t="s">
        <v>182</v>
      </c>
      <c r="F407" t="s">
        <v>181</v>
      </c>
      <c r="G407" t="s">
        <v>178</v>
      </c>
    </row>
    <row r="408" spans="1:7">
      <c r="A408">
        <v>2031</v>
      </c>
      <c r="B408" t="s">
        <v>187</v>
      </c>
      <c r="C408">
        <v>2651.19</v>
      </c>
      <c r="D408" t="s">
        <v>175</v>
      </c>
      <c r="E408" t="s">
        <v>182</v>
      </c>
      <c r="F408" t="s">
        <v>181</v>
      </c>
      <c r="G408" t="s">
        <v>179</v>
      </c>
    </row>
    <row r="409" spans="1:7">
      <c r="A409">
        <v>2031</v>
      </c>
      <c r="B409" t="s">
        <v>187</v>
      </c>
      <c r="C409">
        <v>3217.45</v>
      </c>
      <c r="D409" t="s">
        <v>175</v>
      </c>
      <c r="E409" t="s">
        <v>182</v>
      </c>
      <c r="F409" t="s">
        <v>181</v>
      </c>
      <c r="G409" t="s">
        <v>180</v>
      </c>
    </row>
    <row r="410" spans="1:7">
      <c r="A410">
        <v>2031</v>
      </c>
      <c r="B410" t="s">
        <v>187</v>
      </c>
      <c r="C410">
        <v>18053.5</v>
      </c>
      <c r="D410" t="s">
        <v>183</v>
      </c>
      <c r="E410" t="s">
        <v>176</v>
      </c>
      <c r="F410" t="s">
        <v>177</v>
      </c>
      <c r="G410" t="s">
        <v>178</v>
      </c>
    </row>
    <row r="411" spans="1:7">
      <c r="A411">
        <v>2031</v>
      </c>
      <c r="B411" t="s">
        <v>187</v>
      </c>
      <c r="C411">
        <v>15590.4</v>
      </c>
      <c r="D411" t="s">
        <v>183</v>
      </c>
      <c r="E411" t="s">
        <v>176</v>
      </c>
      <c r="F411" t="s">
        <v>177</v>
      </c>
      <c r="G411" t="s">
        <v>179</v>
      </c>
    </row>
    <row r="412" spans="1:7">
      <c r="A412">
        <v>2031</v>
      </c>
      <c r="B412" t="s">
        <v>187</v>
      </c>
      <c r="C412">
        <v>14213.7</v>
      </c>
      <c r="D412" t="s">
        <v>183</v>
      </c>
      <c r="E412" t="s">
        <v>176</v>
      </c>
      <c r="F412" t="s">
        <v>177</v>
      </c>
      <c r="G412" t="s">
        <v>180</v>
      </c>
    </row>
    <row r="413" spans="1:7">
      <c r="A413">
        <v>2031</v>
      </c>
      <c r="B413" t="s">
        <v>187</v>
      </c>
      <c r="C413">
        <v>16529.599999999999</v>
      </c>
      <c r="D413" t="s">
        <v>183</v>
      </c>
      <c r="E413" t="s">
        <v>176</v>
      </c>
      <c r="F413" t="s">
        <v>181</v>
      </c>
      <c r="G413" t="s">
        <v>178</v>
      </c>
    </row>
    <row r="414" spans="1:7">
      <c r="A414">
        <v>2031</v>
      </c>
      <c r="B414" t="s">
        <v>187</v>
      </c>
      <c r="C414">
        <v>12240.6</v>
      </c>
      <c r="D414" t="s">
        <v>183</v>
      </c>
      <c r="E414" t="s">
        <v>176</v>
      </c>
      <c r="F414" t="s">
        <v>181</v>
      </c>
      <c r="G414" t="s">
        <v>179</v>
      </c>
    </row>
    <row r="415" spans="1:7">
      <c r="A415">
        <v>2031</v>
      </c>
      <c r="B415" t="s">
        <v>187</v>
      </c>
      <c r="C415">
        <v>13303.3</v>
      </c>
      <c r="D415" t="s">
        <v>183</v>
      </c>
      <c r="E415" t="s">
        <v>176</v>
      </c>
      <c r="F415" t="s">
        <v>181</v>
      </c>
      <c r="G415" t="s">
        <v>180</v>
      </c>
    </row>
    <row r="416" spans="1:7">
      <c r="A416">
        <v>2031</v>
      </c>
      <c r="B416" t="s">
        <v>187</v>
      </c>
      <c r="C416">
        <v>17262.900000000001</v>
      </c>
      <c r="D416" t="s">
        <v>183</v>
      </c>
      <c r="E416" t="s">
        <v>182</v>
      </c>
      <c r="F416" t="s">
        <v>177</v>
      </c>
      <c r="G416" t="s">
        <v>178</v>
      </c>
    </row>
    <row r="417" spans="1:7">
      <c r="A417">
        <v>2031</v>
      </c>
      <c r="B417" t="s">
        <v>187</v>
      </c>
      <c r="C417">
        <v>11462.9</v>
      </c>
      <c r="D417" t="s">
        <v>183</v>
      </c>
      <c r="E417" t="s">
        <v>182</v>
      </c>
      <c r="F417" t="s">
        <v>177</v>
      </c>
      <c r="G417" t="s">
        <v>179</v>
      </c>
    </row>
    <row r="418" spans="1:7">
      <c r="A418">
        <v>2031</v>
      </c>
      <c r="B418" t="s">
        <v>187</v>
      </c>
      <c r="C418">
        <v>14372.9</v>
      </c>
      <c r="D418" t="s">
        <v>183</v>
      </c>
      <c r="E418" t="s">
        <v>182</v>
      </c>
      <c r="F418" t="s">
        <v>177</v>
      </c>
      <c r="G418" t="s">
        <v>180</v>
      </c>
    </row>
    <row r="419" spans="1:7">
      <c r="A419">
        <v>2031</v>
      </c>
      <c r="B419" t="s">
        <v>187</v>
      </c>
      <c r="C419">
        <v>18298.900000000001</v>
      </c>
      <c r="D419" t="s">
        <v>183</v>
      </c>
      <c r="E419" t="s">
        <v>182</v>
      </c>
      <c r="F419" t="s">
        <v>181</v>
      </c>
      <c r="G419" t="s">
        <v>178</v>
      </c>
    </row>
    <row r="420" spans="1:7">
      <c r="A420">
        <v>2031</v>
      </c>
      <c r="B420" t="s">
        <v>187</v>
      </c>
      <c r="C420">
        <v>11013.2</v>
      </c>
      <c r="D420" t="s">
        <v>183</v>
      </c>
      <c r="E420" t="s">
        <v>182</v>
      </c>
      <c r="F420" t="s">
        <v>181</v>
      </c>
      <c r="G420" t="s">
        <v>179</v>
      </c>
    </row>
    <row r="421" spans="1:7">
      <c r="A421">
        <v>2031</v>
      </c>
      <c r="B421" t="s">
        <v>187</v>
      </c>
      <c r="C421">
        <v>12560.6</v>
      </c>
      <c r="D421" t="s">
        <v>183</v>
      </c>
      <c r="E421" t="s">
        <v>182</v>
      </c>
      <c r="F421" t="s">
        <v>181</v>
      </c>
      <c r="G421" t="s">
        <v>180</v>
      </c>
    </row>
    <row r="422" spans="1:7">
      <c r="A422">
        <v>2031</v>
      </c>
      <c r="B422" t="s">
        <v>187</v>
      </c>
      <c r="C422">
        <v>3501.45</v>
      </c>
      <c r="D422" t="s">
        <v>184</v>
      </c>
      <c r="E422" t="s">
        <v>176</v>
      </c>
      <c r="F422" t="s">
        <v>177</v>
      </c>
      <c r="G422" t="s">
        <v>178</v>
      </c>
    </row>
    <row r="423" spans="1:7">
      <c r="A423">
        <v>2031</v>
      </c>
      <c r="B423" t="s">
        <v>187</v>
      </c>
      <c r="C423">
        <v>1729.33</v>
      </c>
      <c r="D423" t="s">
        <v>184</v>
      </c>
      <c r="E423" t="s">
        <v>176</v>
      </c>
      <c r="F423" t="s">
        <v>177</v>
      </c>
      <c r="G423" t="s">
        <v>179</v>
      </c>
    </row>
    <row r="424" spans="1:7">
      <c r="A424">
        <v>2031</v>
      </c>
      <c r="B424" t="s">
        <v>187</v>
      </c>
      <c r="C424">
        <v>2425.92</v>
      </c>
      <c r="D424" t="s">
        <v>184</v>
      </c>
      <c r="E424" t="s">
        <v>176</v>
      </c>
      <c r="F424" t="s">
        <v>177</v>
      </c>
      <c r="G424" t="s">
        <v>180</v>
      </c>
    </row>
    <row r="425" spans="1:7">
      <c r="A425">
        <v>2031</v>
      </c>
      <c r="B425" t="s">
        <v>187</v>
      </c>
      <c r="C425">
        <v>2144.19</v>
      </c>
      <c r="D425" t="s">
        <v>184</v>
      </c>
      <c r="E425" t="s">
        <v>176</v>
      </c>
      <c r="F425" t="s">
        <v>181</v>
      </c>
      <c r="G425" t="s">
        <v>178</v>
      </c>
    </row>
    <row r="426" spans="1:7">
      <c r="A426">
        <v>2031</v>
      </c>
      <c r="B426" t="s">
        <v>187</v>
      </c>
      <c r="C426">
        <v>250.61099999999999</v>
      </c>
      <c r="D426" t="s">
        <v>184</v>
      </c>
      <c r="E426" t="s">
        <v>176</v>
      </c>
      <c r="F426" t="s">
        <v>181</v>
      </c>
      <c r="G426" t="s">
        <v>179</v>
      </c>
    </row>
    <row r="427" spans="1:7">
      <c r="A427">
        <v>2031</v>
      </c>
      <c r="B427" t="s">
        <v>187</v>
      </c>
      <c r="C427">
        <v>1795.65</v>
      </c>
      <c r="D427" t="s">
        <v>184</v>
      </c>
      <c r="E427" t="s">
        <v>176</v>
      </c>
      <c r="F427" t="s">
        <v>181</v>
      </c>
      <c r="G427" t="s">
        <v>180</v>
      </c>
    </row>
    <row r="428" spans="1:7">
      <c r="A428">
        <v>2031</v>
      </c>
      <c r="B428" t="s">
        <v>187</v>
      </c>
      <c r="C428">
        <v>2893.83</v>
      </c>
      <c r="D428" t="s">
        <v>184</v>
      </c>
      <c r="E428" t="s">
        <v>182</v>
      </c>
      <c r="F428" t="s">
        <v>177</v>
      </c>
      <c r="G428" t="s">
        <v>178</v>
      </c>
    </row>
    <row r="429" spans="1:7">
      <c r="A429">
        <v>2031</v>
      </c>
      <c r="B429" t="s">
        <v>187</v>
      </c>
      <c r="C429">
        <v>1537.6</v>
      </c>
      <c r="D429" t="s">
        <v>184</v>
      </c>
      <c r="E429" t="s">
        <v>182</v>
      </c>
      <c r="F429" t="s">
        <v>177</v>
      </c>
      <c r="G429" t="s">
        <v>179</v>
      </c>
    </row>
    <row r="430" spans="1:7">
      <c r="A430">
        <v>2031</v>
      </c>
      <c r="B430" t="s">
        <v>187</v>
      </c>
      <c r="C430">
        <v>2648.92</v>
      </c>
      <c r="D430" t="s">
        <v>184</v>
      </c>
      <c r="E430" t="s">
        <v>182</v>
      </c>
      <c r="F430" t="s">
        <v>177</v>
      </c>
      <c r="G430" t="s">
        <v>180</v>
      </c>
    </row>
    <row r="431" spans="1:7">
      <c r="A431">
        <v>2031</v>
      </c>
      <c r="B431" t="s">
        <v>187</v>
      </c>
      <c r="C431">
        <v>2512.42</v>
      </c>
      <c r="D431" t="s">
        <v>184</v>
      </c>
      <c r="E431" t="s">
        <v>182</v>
      </c>
      <c r="F431" t="s">
        <v>181</v>
      </c>
      <c r="G431" t="s">
        <v>178</v>
      </c>
    </row>
    <row r="432" spans="1:7">
      <c r="A432">
        <v>2031</v>
      </c>
      <c r="B432" t="s">
        <v>187</v>
      </c>
      <c r="C432">
        <v>957.48199999999997</v>
      </c>
      <c r="D432" t="s">
        <v>184</v>
      </c>
      <c r="E432" t="s">
        <v>182</v>
      </c>
      <c r="F432" t="s">
        <v>181</v>
      </c>
      <c r="G432" t="s">
        <v>179</v>
      </c>
    </row>
    <row r="433" spans="1:7">
      <c r="A433">
        <v>2031</v>
      </c>
      <c r="B433" t="s">
        <v>187</v>
      </c>
      <c r="C433">
        <v>2183.38</v>
      </c>
      <c r="D433" t="s">
        <v>184</v>
      </c>
      <c r="E433" t="s">
        <v>182</v>
      </c>
      <c r="F433" t="s">
        <v>181</v>
      </c>
      <c r="G433" t="s">
        <v>180</v>
      </c>
    </row>
    <row r="434" spans="1:7">
      <c r="A434">
        <v>2032</v>
      </c>
      <c r="B434" t="s">
        <v>187</v>
      </c>
      <c r="C434">
        <v>11412.1</v>
      </c>
      <c r="D434" t="s">
        <v>175</v>
      </c>
      <c r="E434" t="s">
        <v>176</v>
      </c>
      <c r="F434" t="s">
        <v>177</v>
      </c>
      <c r="G434" t="s">
        <v>178</v>
      </c>
    </row>
    <row r="435" spans="1:7">
      <c r="A435">
        <v>2032</v>
      </c>
      <c r="B435" t="s">
        <v>187</v>
      </c>
      <c r="C435">
        <v>5318.61</v>
      </c>
      <c r="D435" t="s">
        <v>175</v>
      </c>
      <c r="E435" t="s">
        <v>176</v>
      </c>
      <c r="F435" t="s">
        <v>177</v>
      </c>
      <c r="G435" t="s">
        <v>179</v>
      </c>
    </row>
    <row r="436" spans="1:7">
      <c r="A436">
        <v>2032</v>
      </c>
      <c r="B436" t="s">
        <v>187</v>
      </c>
      <c r="C436">
        <v>5243.11</v>
      </c>
      <c r="D436" t="s">
        <v>175</v>
      </c>
      <c r="E436" t="s">
        <v>176</v>
      </c>
      <c r="F436" t="s">
        <v>177</v>
      </c>
      <c r="G436" t="s">
        <v>180</v>
      </c>
    </row>
    <row r="437" spans="1:7">
      <c r="A437">
        <v>2032</v>
      </c>
      <c r="B437" t="s">
        <v>187</v>
      </c>
      <c r="C437">
        <v>4277.04</v>
      </c>
      <c r="D437" t="s">
        <v>175</v>
      </c>
      <c r="E437" t="s">
        <v>176</v>
      </c>
      <c r="F437" t="s">
        <v>181</v>
      </c>
      <c r="G437" t="s">
        <v>178</v>
      </c>
    </row>
    <row r="438" spans="1:7">
      <c r="A438">
        <v>2032</v>
      </c>
      <c r="B438" t="s">
        <v>187</v>
      </c>
      <c r="C438">
        <v>2867.9</v>
      </c>
      <c r="D438" t="s">
        <v>175</v>
      </c>
      <c r="E438" t="s">
        <v>176</v>
      </c>
      <c r="F438" t="s">
        <v>181</v>
      </c>
      <c r="G438" t="s">
        <v>179</v>
      </c>
    </row>
    <row r="439" spans="1:7">
      <c r="A439">
        <v>2032</v>
      </c>
      <c r="B439" t="s">
        <v>187</v>
      </c>
      <c r="C439">
        <v>3038.51</v>
      </c>
      <c r="D439" t="s">
        <v>175</v>
      </c>
      <c r="E439" t="s">
        <v>176</v>
      </c>
      <c r="F439" t="s">
        <v>181</v>
      </c>
      <c r="G439" t="s">
        <v>180</v>
      </c>
    </row>
    <row r="440" spans="1:7">
      <c r="A440">
        <v>2032</v>
      </c>
      <c r="B440" t="s">
        <v>187</v>
      </c>
      <c r="C440">
        <v>7475.16</v>
      </c>
      <c r="D440" t="s">
        <v>175</v>
      </c>
      <c r="E440" t="s">
        <v>182</v>
      </c>
      <c r="F440" t="s">
        <v>177</v>
      </c>
      <c r="G440" t="s">
        <v>178</v>
      </c>
    </row>
    <row r="441" spans="1:7">
      <c r="A441">
        <v>2032</v>
      </c>
      <c r="B441" t="s">
        <v>187</v>
      </c>
      <c r="C441">
        <v>3593.36</v>
      </c>
      <c r="D441" t="s">
        <v>175</v>
      </c>
      <c r="E441" t="s">
        <v>182</v>
      </c>
      <c r="F441" t="s">
        <v>177</v>
      </c>
      <c r="G441" t="s">
        <v>179</v>
      </c>
    </row>
    <row r="442" spans="1:7">
      <c r="A442">
        <v>2032</v>
      </c>
      <c r="B442" t="s">
        <v>187</v>
      </c>
      <c r="C442">
        <v>3396.2</v>
      </c>
      <c r="D442" t="s">
        <v>175</v>
      </c>
      <c r="E442" t="s">
        <v>182</v>
      </c>
      <c r="F442" t="s">
        <v>177</v>
      </c>
      <c r="G442" t="s">
        <v>180</v>
      </c>
    </row>
    <row r="443" spans="1:7">
      <c r="A443">
        <v>2032</v>
      </c>
      <c r="B443" t="s">
        <v>187</v>
      </c>
      <c r="C443">
        <v>3979.78</v>
      </c>
      <c r="D443" t="s">
        <v>175</v>
      </c>
      <c r="E443" t="s">
        <v>182</v>
      </c>
      <c r="F443" t="s">
        <v>181</v>
      </c>
      <c r="G443" t="s">
        <v>178</v>
      </c>
    </row>
    <row r="444" spans="1:7">
      <c r="A444">
        <v>2032</v>
      </c>
      <c r="B444" t="s">
        <v>187</v>
      </c>
      <c r="C444">
        <v>2651.19</v>
      </c>
      <c r="D444" t="s">
        <v>175</v>
      </c>
      <c r="E444" t="s">
        <v>182</v>
      </c>
      <c r="F444" t="s">
        <v>181</v>
      </c>
      <c r="G444" t="s">
        <v>179</v>
      </c>
    </row>
    <row r="445" spans="1:7">
      <c r="A445">
        <v>2032</v>
      </c>
      <c r="B445" t="s">
        <v>187</v>
      </c>
      <c r="C445">
        <v>3217.45</v>
      </c>
      <c r="D445" t="s">
        <v>175</v>
      </c>
      <c r="E445" t="s">
        <v>182</v>
      </c>
      <c r="F445" t="s">
        <v>181</v>
      </c>
      <c r="G445" t="s">
        <v>180</v>
      </c>
    </row>
    <row r="446" spans="1:7">
      <c r="A446">
        <v>2032</v>
      </c>
      <c r="B446" t="s">
        <v>187</v>
      </c>
      <c r="C446">
        <v>18053.5</v>
      </c>
      <c r="D446" t="s">
        <v>183</v>
      </c>
      <c r="E446" t="s">
        <v>176</v>
      </c>
      <c r="F446" t="s">
        <v>177</v>
      </c>
      <c r="G446" t="s">
        <v>178</v>
      </c>
    </row>
    <row r="447" spans="1:7">
      <c r="A447">
        <v>2032</v>
      </c>
      <c r="B447" t="s">
        <v>187</v>
      </c>
      <c r="C447">
        <v>15590.4</v>
      </c>
      <c r="D447" t="s">
        <v>183</v>
      </c>
      <c r="E447" t="s">
        <v>176</v>
      </c>
      <c r="F447" t="s">
        <v>177</v>
      </c>
      <c r="G447" t="s">
        <v>179</v>
      </c>
    </row>
    <row r="448" spans="1:7">
      <c r="A448">
        <v>2032</v>
      </c>
      <c r="B448" t="s">
        <v>187</v>
      </c>
      <c r="C448">
        <v>14213.7</v>
      </c>
      <c r="D448" t="s">
        <v>183</v>
      </c>
      <c r="E448" t="s">
        <v>176</v>
      </c>
      <c r="F448" t="s">
        <v>177</v>
      </c>
      <c r="G448" t="s">
        <v>180</v>
      </c>
    </row>
    <row r="449" spans="1:7">
      <c r="A449">
        <v>2032</v>
      </c>
      <c r="B449" t="s">
        <v>187</v>
      </c>
      <c r="C449">
        <v>16529.599999999999</v>
      </c>
      <c r="D449" t="s">
        <v>183</v>
      </c>
      <c r="E449" t="s">
        <v>176</v>
      </c>
      <c r="F449" t="s">
        <v>181</v>
      </c>
      <c r="G449" t="s">
        <v>178</v>
      </c>
    </row>
    <row r="450" spans="1:7">
      <c r="A450">
        <v>2032</v>
      </c>
      <c r="B450" t="s">
        <v>187</v>
      </c>
      <c r="C450">
        <v>12240.6</v>
      </c>
      <c r="D450" t="s">
        <v>183</v>
      </c>
      <c r="E450" t="s">
        <v>176</v>
      </c>
      <c r="F450" t="s">
        <v>181</v>
      </c>
      <c r="G450" t="s">
        <v>179</v>
      </c>
    </row>
    <row r="451" spans="1:7">
      <c r="A451">
        <v>2032</v>
      </c>
      <c r="B451" t="s">
        <v>187</v>
      </c>
      <c r="C451">
        <v>13303.3</v>
      </c>
      <c r="D451" t="s">
        <v>183</v>
      </c>
      <c r="E451" t="s">
        <v>176</v>
      </c>
      <c r="F451" t="s">
        <v>181</v>
      </c>
      <c r="G451" t="s">
        <v>180</v>
      </c>
    </row>
    <row r="452" spans="1:7">
      <c r="A452">
        <v>2032</v>
      </c>
      <c r="B452" t="s">
        <v>187</v>
      </c>
      <c r="C452">
        <v>17262.900000000001</v>
      </c>
      <c r="D452" t="s">
        <v>183</v>
      </c>
      <c r="E452" t="s">
        <v>182</v>
      </c>
      <c r="F452" t="s">
        <v>177</v>
      </c>
      <c r="G452" t="s">
        <v>178</v>
      </c>
    </row>
    <row r="453" spans="1:7">
      <c r="A453">
        <v>2032</v>
      </c>
      <c r="B453" t="s">
        <v>187</v>
      </c>
      <c r="C453">
        <v>11462.9</v>
      </c>
      <c r="D453" t="s">
        <v>183</v>
      </c>
      <c r="E453" t="s">
        <v>182</v>
      </c>
      <c r="F453" t="s">
        <v>177</v>
      </c>
      <c r="G453" t="s">
        <v>179</v>
      </c>
    </row>
    <row r="454" spans="1:7">
      <c r="A454">
        <v>2032</v>
      </c>
      <c r="B454" t="s">
        <v>187</v>
      </c>
      <c r="C454">
        <v>14372.9</v>
      </c>
      <c r="D454" t="s">
        <v>183</v>
      </c>
      <c r="E454" t="s">
        <v>182</v>
      </c>
      <c r="F454" t="s">
        <v>177</v>
      </c>
      <c r="G454" t="s">
        <v>180</v>
      </c>
    </row>
    <row r="455" spans="1:7">
      <c r="A455">
        <v>2032</v>
      </c>
      <c r="B455" t="s">
        <v>187</v>
      </c>
      <c r="C455">
        <v>18298.900000000001</v>
      </c>
      <c r="D455" t="s">
        <v>183</v>
      </c>
      <c r="E455" t="s">
        <v>182</v>
      </c>
      <c r="F455" t="s">
        <v>181</v>
      </c>
      <c r="G455" t="s">
        <v>178</v>
      </c>
    </row>
    <row r="456" spans="1:7">
      <c r="A456">
        <v>2032</v>
      </c>
      <c r="B456" t="s">
        <v>187</v>
      </c>
      <c r="C456">
        <v>11013.2</v>
      </c>
      <c r="D456" t="s">
        <v>183</v>
      </c>
      <c r="E456" t="s">
        <v>182</v>
      </c>
      <c r="F456" t="s">
        <v>181</v>
      </c>
      <c r="G456" t="s">
        <v>179</v>
      </c>
    </row>
    <row r="457" spans="1:7">
      <c r="A457">
        <v>2032</v>
      </c>
      <c r="B457" t="s">
        <v>187</v>
      </c>
      <c r="C457">
        <v>12560.6</v>
      </c>
      <c r="D457" t="s">
        <v>183</v>
      </c>
      <c r="E457" t="s">
        <v>182</v>
      </c>
      <c r="F457" t="s">
        <v>181</v>
      </c>
      <c r="G457" t="s">
        <v>180</v>
      </c>
    </row>
    <row r="458" spans="1:7">
      <c r="A458">
        <v>2032</v>
      </c>
      <c r="B458" t="s">
        <v>187</v>
      </c>
      <c r="C458">
        <v>3501.45</v>
      </c>
      <c r="D458" t="s">
        <v>184</v>
      </c>
      <c r="E458" t="s">
        <v>176</v>
      </c>
      <c r="F458" t="s">
        <v>177</v>
      </c>
      <c r="G458" t="s">
        <v>178</v>
      </c>
    </row>
    <row r="459" spans="1:7">
      <c r="A459">
        <v>2032</v>
      </c>
      <c r="B459" t="s">
        <v>187</v>
      </c>
      <c r="C459">
        <v>1729.33</v>
      </c>
      <c r="D459" t="s">
        <v>184</v>
      </c>
      <c r="E459" t="s">
        <v>176</v>
      </c>
      <c r="F459" t="s">
        <v>177</v>
      </c>
      <c r="G459" t="s">
        <v>179</v>
      </c>
    </row>
    <row r="460" spans="1:7">
      <c r="A460">
        <v>2032</v>
      </c>
      <c r="B460" t="s">
        <v>187</v>
      </c>
      <c r="C460">
        <v>2425.92</v>
      </c>
      <c r="D460" t="s">
        <v>184</v>
      </c>
      <c r="E460" t="s">
        <v>176</v>
      </c>
      <c r="F460" t="s">
        <v>177</v>
      </c>
      <c r="G460" t="s">
        <v>180</v>
      </c>
    </row>
    <row r="461" spans="1:7">
      <c r="A461">
        <v>2032</v>
      </c>
      <c r="B461" t="s">
        <v>187</v>
      </c>
      <c r="C461">
        <v>2144.19</v>
      </c>
      <c r="D461" t="s">
        <v>184</v>
      </c>
      <c r="E461" t="s">
        <v>176</v>
      </c>
      <c r="F461" t="s">
        <v>181</v>
      </c>
      <c r="G461" t="s">
        <v>178</v>
      </c>
    </row>
    <row r="462" spans="1:7">
      <c r="A462">
        <v>2032</v>
      </c>
      <c r="B462" t="s">
        <v>187</v>
      </c>
      <c r="C462">
        <v>250.61099999999999</v>
      </c>
      <c r="D462" t="s">
        <v>184</v>
      </c>
      <c r="E462" t="s">
        <v>176</v>
      </c>
      <c r="F462" t="s">
        <v>181</v>
      </c>
      <c r="G462" t="s">
        <v>179</v>
      </c>
    </row>
    <row r="463" spans="1:7">
      <c r="A463">
        <v>2032</v>
      </c>
      <c r="B463" t="s">
        <v>187</v>
      </c>
      <c r="C463">
        <v>1795.65</v>
      </c>
      <c r="D463" t="s">
        <v>184</v>
      </c>
      <c r="E463" t="s">
        <v>176</v>
      </c>
      <c r="F463" t="s">
        <v>181</v>
      </c>
      <c r="G463" t="s">
        <v>180</v>
      </c>
    </row>
    <row r="464" spans="1:7">
      <c r="A464">
        <v>2032</v>
      </c>
      <c r="B464" t="s">
        <v>187</v>
      </c>
      <c r="C464">
        <v>2893.83</v>
      </c>
      <c r="D464" t="s">
        <v>184</v>
      </c>
      <c r="E464" t="s">
        <v>182</v>
      </c>
      <c r="F464" t="s">
        <v>177</v>
      </c>
      <c r="G464" t="s">
        <v>178</v>
      </c>
    </row>
    <row r="465" spans="1:7">
      <c r="A465">
        <v>2032</v>
      </c>
      <c r="B465" t="s">
        <v>187</v>
      </c>
      <c r="C465">
        <v>1537.6</v>
      </c>
      <c r="D465" t="s">
        <v>184</v>
      </c>
      <c r="E465" t="s">
        <v>182</v>
      </c>
      <c r="F465" t="s">
        <v>177</v>
      </c>
      <c r="G465" t="s">
        <v>179</v>
      </c>
    </row>
    <row r="466" spans="1:7">
      <c r="A466">
        <v>2032</v>
      </c>
      <c r="B466" t="s">
        <v>187</v>
      </c>
      <c r="C466">
        <v>2648.92</v>
      </c>
      <c r="D466" t="s">
        <v>184</v>
      </c>
      <c r="E466" t="s">
        <v>182</v>
      </c>
      <c r="F466" t="s">
        <v>177</v>
      </c>
      <c r="G466" t="s">
        <v>180</v>
      </c>
    </row>
    <row r="467" spans="1:7">
      <c r="A467">
        <v>2032</v>
      </c>
      <c r="B467" t="s">
        <v>187</v>
      </c>
      <c r="C467">
        <v>2512.42</v>
      </c>
      <c r="D467" t="s">
        <v>184</v>
      </c>
      <c r="E467" t="s">
        <v>182</v>
      </c>
      <c r="F467" t="s">
        <v>181</v>
      </c>
      <c r="G467" t="s">
        <v>178</v>
      </c>
    </row>
    <row r="468" spans="1:7">
      <c r="A468">
        <v>2032</v>
      </c>
      <c r="B468" t="s">
        <v>187</v>
      </c>
      <c r="C468">
        <v>957.48199999999997</v>
      </c>
      <c r="D468" t="s">
        <v>184</v>
      </c>
      <c r="E468" t="s">
        <v>182</v>
      </c>
      <c r="F468" t="s">
        <v>181</v>
      </c>
      <c r="G468" t="s">
        <v>179</v>
      </c>
    </row>
    <row r="469" spans="1:7">
      <c r="A469">
        <v>2032</v>
      </c>
      <c r="B469" t="s">
        <v>187</v>
      </c>
      <c r="C469">
        <v>2183.38</v>
      </c>
      <c r="D469" t="s">
        <v>184</v>
      </c>
      <c r="E469" t="s">
        <v>182</v>
      </c>
      <c r="F469" t="s">
        <v>181</v>
      </c>
      <c r="G469" t="s">
        <v>180</v>
      </c>
    </row>
    <row r="470" spans="1:7">
      <c r="A470">
        <v>2033</v>
      </c>
      <c r="B470" t="s">
        <v>187</v>
      </c>
      <c r="C470">
        <v>7582.78</v>
      </c>
      <c r="D470" t="s">
        <v>175</v>
      </c>
      <c r="E470" t="s">
        <v>176</v>
      </c>
      <c r="F470" t="s">
        <v>177</v>
      </c>
      <c r="G470" t="s">
        <v>178</v>
      </c>
    </row>
    <row r="471" spans="1:7">
      <c r="A471">
        <v>2033</v>
      </c>
      <c r="B471" t="s">
        <v>187</v>
      </c>
      <c r="C471">
        <v>5474.3</v>
      </c>
      <c r="D471" t="s">
        <v>175</v>
      </c>
      <c r="E471" t="s">
        <v>176</v>
      </c>
      <c r="F471" t="s">
        <v>177</v>
      </c>
      <c r="G471" t="s">
        <v>179</v>
      </c>
    </row>
    <row r="472" spans="1:7">
      <c r="A472">
        <v>2033</v>
      </c>
      <c r="B472" t="s">
        <v>187</v>
      </c>
      <c r="C472">
        <v>6782.59</v>
      </c>
      <c r="D472" t="s">
        <v>175</v>
      </c>
      <c r="E472" t="s">
        <v>176</v>
      </c>
      <c r="F472" t="s">
        <v>177</v>
      </c>
      <c r="G472" t="s">
        <v>180</v>
      </c>
    </row>
    <row r="473" spans="1:7">
      <c r="A473">
        <v>2033</v>
      </c>
      <c r="B473" t="s">
        <v>187</v>
      </c>
      <c r="C473">
        <v>7770.97</v>
      </c>
      <c r="D473" t="s">
        <v>175</v>
      </c>
      <c r="E473" t="s">
        <v>176</v>
      </c>
      <c r="F473" t="s">
        <v>181</v>
      </c>
      <c r="G473" t="s">
        <v>178</v>
      </c>
    </row>
    <row r="474" spans="1:7">
      <c r="A474">
        <v>2033</v>
      </c>
      <c r="B474" t="s">
        <v>187</v>
      </c>
      <c r="C474">
        <v>4660.46</v>
      </c>
      <c r="D474" t="s">
        <v>175</v>
      </c>
      <c r="E474" t="s">
        <v>176</v>
      </c>
      <c r="F474" t="s">
        <v>181</v>
      </c>
      <c r="G474" t="s">
        <v>179</v>
      </c>
    </row>
    <row r="475" spans="1:7">
      <c r="A475">
        <v>2033</v>
      </c>
      <c r="B475" t="s">
        <v>187</v>
      </c>
      <c r="C475">
        <v>4254.51</v>
      </c>
      <c r="D475" t="s">
        <v>175</v>
      </c>
      <c r="E475" t="s">
        <v>176</v>
      </c>
      <c r="F475" t="s">
        <v>181</v>
      </c>
      <c r="G475" t="s">
        <v>180</v>
      </c>
    </row>
    <row r="476" spans="1:7">
      <c r="A476">
        <v>2033</v>
      </c>
      <c r="B476" t="s">
        <v>187</v>
      </c>
      <c r="C476">
        <v>11612.9</v>
      </c>
      <c r="D476" t="s">
        <v>175</v>
      </c>
      <c r="E476" t="s">
        <v>182</v>
      </c>
      <c r="F476" t="s">
        <v>177</v>
      </c>
      <c r="G476" t="s">
        <v>178</v>
      </c>
    </row>
    <row r="477" spans="1:7">
      <c r="A477">
        <v>2033</v>
      </c>
      <c r="B477" t="s">
        <v>187</v>
      </c>
      <c r="C477">
        <v>4445.53</v>
      </c>
      <c r="D477" t="s">
        <v>175</v>
      </c>
      <c r="E477" t="s">
        <v>182</v>
      </c>
      <c r="F477" t="s">
        <v>177</v>
      </c>
      <c r="G477" t="s">
        <v>179</v>
      </c>
    </row>
    <row r="478" spans="1:7">
      <c r="A478">
        <v>2033</v>
      </c>
      <c r="B478" t="s">
        <v>187</v>
      </c>
      <c r="C478">
        <v>5667.26</v>
      </c>
      <c r="D478" t="s">
        <v>175</v>
      </c>
      <c r="E478" t="s">
        <v>182</v>
      </c>
      <c r="F478" t="s">
        <v>177</v>
      </c>
      <c r="G478" t="s">
        <v>180</v>
      </c>
    </row>
    <row r="479" spans="1:7">
      <c r="A479">
        <v>2033</v>
      </c>
      <c r="B479" t="s">
        <v>187</v>
      </c>
      <c r="C479">
        <v>6821.34</v>
      </c>
      <c r="D479" t="s">
        <v>175</v>
      </c>
      <c r="E479" t="s">
        <v>182</v>
      </c>
      <c r="F479" t="s">
        <v>181</v>
      </c>
      <c r="G479" t="s">
        <v>178</v>
      </c>
    </row>
    <row r="480" spans="1:7">
      <c r="A480">
        <v>2033</v>
      </c>
      <c r="B480" t="s">
        <v>187</v>
      </c>
      <c r="C480">
        <v>4323.28</v>
      </c>
      <c r="D480" t="s">
        <v>175</v>
      </c>
      <c r="E480" t="s">
        <v>182</v>
      </c>
      <c r="F480" t="s">
        <v>181</v>
      </c>
      <c r="G480" t="s">
        <v>179</v>
      </c>
    </row>
    <row r="481" spans="1:7">
      <c r="A481">
        <v>2033</v>
      </c>
      <c r="B481" t="s">
        <v>187</v>
      </c>
      <c r="C481">
        <v>4973.93</v>
      </c>
      <c r="D481" t="s">
        <v>175</v>
      </c>
      <c r="E481" t="s">
        <v>182</v>
      </c>
      <c r="F481" t="s">
        <v>181</v>
      </c>
      <c r="G481" t="s">
        <v>180</v>
      </c>
    </row>
    <row r="482" spans="1:7">
      <c r="A482">
        <v>2033</v>
      </c>
      <c r="B482" t="s">
        <v>187</v>
      </c>
      <c r="C482">
        <v>22718.6</v>
      </c>
      <c r="D482" t="s">
        <v>183</v>
      </c>
      <c r="E482" t="s">
        <v>176</v>
      </c>
      <c r="F482" t="s">
        <v>177</v>
      </c>
      <c r="G482" t="s">
        <v>178</v>
      </c>
    </row>
    <row r="483" spans="1:7">
      <c r="A483">
        <v>2033</v>
      </c>
      <c r="B483" t="s">
        <v>187</v>
      </c>
      <c r="C483">
        <v>19611.5</v>
      </c>
      <c r="D483" t="s">
        <v>183</v>
      </c>
      <c r="E483" t="s">
        <v>176</v>
      </c>
      <c r="F483" t="s">
        <v>177</v>
      </c>
      <c r="G483" t="s">
        <v>179</v>
      </c>
    </row>
    <row r="484" spans="1:7">
      <c r="A484">
        <v>2033</v>
      </c>
      <c r="B484" t="s">
        <v>187</v>
      </c>
      <c r="C484">
        <v>20609.599999999999</v>
      </c>
      <c r="D484" t="s">
        <v>183</v>
      </c>
      <c r="E484" t="s">
        <v>176</v>
      </c>
      <c r="F484" t="s">
        <v>177</v>
      </c>
      <c r="G484" t="s">
        <v>180</v>
      </c>
    </row>
    <row r="485" spans="1:7">
      <c r="A485">
        <v>2033</v>
      </c>
      <c r="B485" t="s">
        <v>187</v>
      </c>
      <c r="C485">
        <v>29770.7</v>
      </c>
      <c r="D485" t="s">
        <v>183</v>
      </c>
      <c r="E485" t="s">
        <v>176</v>
      </c>
      <c r="F485" t="s">
        <v>181</v>
      </c>
      <c r="G485" t="s">
        <v>178</v>
      </c>
    </row>
    <row r="486" spans="1:7">
      <c r="A486">
        <v>2033</v>
      </c>
      <c r="B486" t="s">
        <v>187</v>
      </c>
      <c r="C486">
        <v>21036.7</v>
      </c>
      <c r="D486" t="s">
        <v>183</v>
      </c>
      <c r="E486" t="s">
        <v>176</v>
      </c>
      <c r="F486" t="s">
        <v>181</v>
      </c>
      <c r="G486" t="s">
        <v>179</v>
      </c>
    </row>
    <row r="487" spans="1:7">
      <c r="A487">
        <v>2033</v>
      </c>
      <c r="B487" t="s">
        <v>187</v>
      </c>
      <c r="C487">
        <v>20767.3</v>
      </c>
      <c r="D487" t="s">
        <v>183</v>
      </c>
      <c r="E487" t="s">
        <v>176</v>
      </c>
      <c r="F487" t="s">
        <v>181</v>
      </c>
      <c r="G487" t="s">
        <v>180</v>
      </c>
    </row>
    <row r="488" spans="1:7">
      <c r="A488">
        <v>2033</v>
      </c>
      <c r="B488" t="s">
        <v>187</v>
      </c>
      <c r="C488">
        <v>22845.3</v>
      </c>
      <c r="D488" t="s">
        <v>183</v>
      </c>
      <c r="E488" t="s">
        <v>182</v>
      </c>
      <c r="F488" t="s">
        <v>177</v>
      </c>
      <c r="G488" t="s">
        <v>178</v>
      </c>
    </row>
    <row r="489" spans="1:7">
      <c r="A489">
        <v>2033</v>
      </c>
      <c r="B489" t="s">
        <v>187</v>
      </c>
      <c r="C489">
        <v>19038.5</v>
      </c>
      <c r="D489" t="s">
        <v>183</v>
      </c>
      <c r="E489" t="s">
        <v>182</v>
      </c>
      <c r="F489" t="s">
        <v>177</v>
      </c>
      <c r="G489" t="s">
        <v>179</v>
      </c>
    </row>
    <row r="490" spans="1:7">
      <c r="A490">
        <v>2033</v>
      </c>
      <c r="B490" t="s">
        <v>187</v>
      </c>
      <c r="C490">
        <v>18527.099999999999</v>
      </c>
      <c r="D490" t="s">
        <v>183</v>
      </c>
      <c r="E490" t="s">
        <v>182</v>
      </c>
      <c r="F490" t="s">
        <v>177</v>
      </c>
      <c r="G490" t="s">
        <v>180</v>
      </c>
    </row>
    <row r="491" spans="1:7">
      <c r="A491">
        <v>2033</v>
      </c>
      <c r="B491" t="s">
        <v>187</v>
      </c>
      <c r="C491">
        <v>26335.4</v>
      </c>
      <c r="D491" t="s">
        <v>183</v>
      </c>
      <c r="E491" t="s">
        <v>182</v>
      </c>
      <c r="F491" t="s">
        <v>181</v>
      </c>
      <c r="G491" t="s">
        <v>178</v>
      </c>
    </row>
    <row r="492" spans="1:7">
      <c r="A492">
        <v>2033</v>
      </c>
      <c r="B492" t="s">
        <v>187</v>
      </c>
      <c r="C492">
        <v>20488.3</v>
      </c>
      <c r="D492" t="s">
        <v>183</v>
      </c>
      <c r="E492" t="s">
        <v>182</v>
      </c>
      <c r="F492" t="s">
        <v>181</v>
      </c>
      <c r="G492" t="s">
        <v>179</v>
      </c>
    </row>
    <row r="493" spans="1:7">
      <c r="A493">
        <v>2033</v>
      </c>
      <c r="B493" t="s">
        <v>187</v>
      </c>
      <c r="C493">
        <v>21756.7</v>
      </c>
      <c r="D493" t="s">
        <v>183</v>
      </c>
      <c r="E493" t="s">
        <v>182</v>
      </c>
      <c r="F493" t="s">
        <v>181</v>
      </c>
      <c r="G493" t="s">
        <v>180</v>
      </c>
    </row>
    <row r="494" spans="1:7">
      <c r="A494">
        <v>2033</v>
      </c>
      <c r="B494" t="s">
        <v>187</v>
      </c>
      <c r="C494">
        <v>5128.78</v>
      </c>
      <c r="D494" t="s">
        <v>184</v>
      </c>
      <c r="E494" t="s">
        <v>176</v>
      </c>
      <c r="F494" t="s">
        <v>177</v>
      </c>
      <c r="G494" t="s">
        <v>178</v>
      </c>
    </row>
    <row r="495" spans="1:7">
      <c r="A495">
        <v>2033</v>
      </c>
      <c r="B495" t="s">
        <v>187</v>
      </c>
      <c r="C495">
        <v>1844.67</v>
      </c>
      <c r="D495" t="s">
        <v>184</v>
      </c>
      <c r="E495" t="s">
        <v>176</v>
      </c>
      <c r="F495" t="s">
        <v>177</v>
      </c>
      <c r="G495" t="s">
        <v>179</v>
      </c>
    </row>
    <row r="496" spans="1:7">
      <c r="A496">
        <v>2033</v>
      </c>
      <c r="B496" t="s">
        <v>187</v>
      </c>
      <c r="C496">
        <v>3282.08</v>
      </c>
      <c r="D496" t="s">
        <v>184</v>
      </c>
      <c r="E496" t="s">
        <v>176</v>
      </c>
      <c r="F496" t="s">
        <v>177</v>
      </c>
      <c r="G496" t="s">
        <v>180</v>
      </c>
    </row>
    <row r="497" spans="1:7">
      <c r="A497">
        <v>2033</v>
      </c>
      <c r="B497" t="s">
        <v>187</v>
      </c>
      <c r="C497">
        <v>2719.42</v>
      </c>
      <c r="D497" t="s">
        <v>184</v>
      </c>
      <c r="E497" t="s">
        <v>176</v>
      </c>
      <c r="F497" t="s">
        <v>181</v>
      </c>
      <c r="G497" t="s">
        <v>178</v>
      </c>
    </row>
    <row r="498" spans="1:7">
      <c r="A498">
        <v>2033</v>
      </c>
      <c r="B498" t="s">
        <v>187</v>
      </c>
      <c r="C498">
        <v>1470.35</v>
      </c>
      <c r="D498" t="s">
        <v>184</v>
      </c>
      <c r="E498" t="s">
        <v>176</v>
      </c>
      <c r="F498" t="s">
        <v>181</v>
      </c>
      <c r="G498" t="s">
        <v>179</v>
      </c>
    </row>
    <row r="499" spans="1:7">
      <c r="A499">
        <v>2033</v>
      </c>
      <c r="B499" t="s">
        <v>187</v>
      </c>
      <c r="C499">
        <v>2309.69</v>
      </c>
      <c r="D499" t="s">
        <v>184</v>
      </c>
      <c r="E499" t="s">
        <v>176</v>
      </c>
      <c r="F499" t="s">
        <v>181</v>
      </c>
      <c r="G499" t="s">
        <v>180</v>
      </c>
    </row>
    <row r="500" spans="1:7">
      <c r="A500">
        <v>2033</v>
      </c>
      <c r="B500" t="s">
        <v>187</v>
      </c>
      <c r="C500">
        <v>6412.36</v>
      </c>
      <c r="D500" t="s">
        <v>184</v>
      </c>
      <c r="E500" t="s">
        <v>182</v>
      </c>
      <c r="F500" t="s">
        <v>177</v>
      </c>
      <c r="G500" t="s">
        <v>178</v>
      </c>
    </row>
    <row r="501" spans="1:7">
      <c r="A501">
        <v>2033</v>
      </c>
      <c r="B501" t="s">
        <v>187</v>
      </c>
      <c r="C501">
        <v>1461.2</v>
      </c>
      <c r="D501" t="s">
        <v>184</v>
      </c>
      <c r="E501" t="s">
        <v>182</v>
      </c>
      <c r="F501" t="s">
        <v>177</v>
      </c>
      <c r="G501" t="s">
        <v>179</v>
      </c>
    </row>
    <row r="502" spans="1:7">
      <c r="A502">
        <v>2033</v>
      </c>
      <c r="B502" t="s">
        <v>187</v>
      </c>
      <c r="C502">
        <v>3421.95</v>
      </c>
      <c r="D502" t="s">
        <v>184</v>
      </c>
      <c r="E502" t="s">
        <v>182</v>
      </c>
      <c r="F502" t="s">
        <v>177</v>
      </c>
      <c r="G502" t="s">
        <v>180</v>
      </c>
    </row>
    <row r="503" spans="1:7">
      <c r="A503">
        <v>2033</v>
      </c>
      <c r="B503" t="s">
        <v>187</v>
      </c>
      <c r="C503">
        <v>2591.9299999999998</v>
      </c>
      <c r="D503" t="s">
        <v>184</v>
      </c>
      <c r="E503" t="s">
        <v>182</v>
      </c>
      <c r="F503" t="s">
        <v>181</v>
      </c>
      <c r="G503" t="s">
        <v>178</v>
      </c>
    </row>
    <row r="504" spans="1:7">
      <c r="A504">
        <v>2033</v>
      </c>
      <c r="B504" t="s">
        <v>187</v>
      </c>
      <c r="C504">
        <v>1765.5</v>
      </c>
      <c r="D504" t="s">
        <v>184</v>
      </c>
      <c r="E504" t="s">
        <v>182</v>
      </c>
      <c r="F504" t="s">
        <v>181</v>
      </c>
      <c r="G504" t="s">
        <v>179</v>
      </c>
    </row>
    <row r="505" spans="1:7">
      <c r="A505">
        <v>2033</v>
      </c>
      <c r="B505" t="s">
        <v>187</v>
      </c>
      <c r="C505">
        <v>2408.36</v>
      </c>
      <c r="D505" t="s">
        <v>184</v>
      </c>
      <c r="E505" t="s">
        <v>182</v>
      </c>
      <c r="F505" t="s">
        <v>181</v>
      </c>
      <c r="G505" t="s">
        <v>180</v>
      </c>
    </row>
    <row r="506" spans="1:7">
      <c r="A506">
        <v>2034</v>
      </c>
      <c r="B506" t="s">
        <v>187</v>
      </c>
      <c r="C506">
        <v>7582.78</v>
      </c>
      <c r="D506" t="s">
        <v>175</v>
      </c>
      <c r="E506" t="s">
        <v>176</v>
      </c>
      <c r="F506" t="s">
        <v>177</v>
      </c>
      <c r="G506" t="s">
        <v>178</v>
      </c>
    </row>
    <row r="507" spans="1:7">
      <c r="A507">
        <v>2034</v>
      </c>
      <c r="B507" t="s">
        <v>187</v>
      </c>
      <c r="C507">
        <v>5474.3</v>
      </c>
      <c r="D507" t="s">
        <v>175</v>
      </c>
      <c r="E507" t="s">
        <v>176</v>
      </c>
      <c r="F507" t="s">
        <v>177</v>
      </c>
      <c r="G507" t="s">
        <v>179</v>
      </c>
    </row>
    <row r="508" spans="1:7">
      <c r="A508">
        <v>2034</v>
      </c>
      <c r="B508" t="s">
        <v>187</v>
      </c>
      <c r="C508">
        <v>6782.59</v>
      </c>
      <c r="D508" t="s">
        <v>175</v>
      </c>
      <c r="E508" t="s">
        <v>176</v>
      </c>
      <c r="F508" t="s">
        <v>177</v>
      </c>
      <c r="G508" t="s">
        <v>180</v>
      </c>
    </row>
    <row r="509" spans="1:7">
      <c r="A509">
        <v>2034</v>
      </c>
      <c r="B509" t="s">
        <v>187</v>
      </c>
      <c r="C509">
        <v>7770.97</v>
      </c>
      <c r="D509" t="s">
        <v>175</v>
      </c>
      <c r="E509" t="s">
        <v>176</v>
      </c>
      <c r="F509" t="s">
        <v>181</v>
      </c>
      <c r="G509" t="s">
        <v>178</v>
      </c>
    </row>
    <row r="510" spans="1:7">
      <c r="A510">
        <v>2034</v>
      </c>
      <c r="B510" t="s">
        <v>187</v>
      </c>
      <c r="C510">
        <v>4660.46</v>
      </c>
      <c r="D510" t="s">
        <v>175</v>
      </c>
      <c r="E510" t="s">
        <v>176</v>
      </c>
      <c r="F510" t="s">
        <v>181</v>
      </c>
      <c r="G510" t="s">
        <v>179</v>
      </c>
    </row>
    <row r="511" spans="1:7">
      <c r="A511">
        <v>2034</v>
      </c>
      <c r="B511" t="s">
        <v>187</v>
      </c>
      <c r="C511">
        <v>4254.51</v>
      </c>
      <c r="D511" t="s">
        <v>175</v>
      </c>
      <c r="E511" t="s">
        <v>176</v>
      </c>
      <c r="F511" t="s">
        <v>181</v>
      </c>
      <c r="G511" t="s">
        <v>180</v>
      </c>
    </row>
    <row r="512" spans="1:7">
      <c r="A512">
        <v>2034</v>
      </c>
      <c r="B512" t="s">
        <v>187</v>
      </c>
      <c r="C512">
        <v>11612.9</v>
      </c>
      <c r="D512" t="s">
        <v>175</v>
      </c>
      <c r="E512" t="s">
        <v>182</v>
      </c>
      <c r="F512" t="s">
        <v>177</v>
      </c>
      <c r="G512" t="s">
        <v>178</v>
      </c>
    </row>
    <row r="513" spans="1:7">
      <c r="A513">
        <v>2034</v>
      </c>
      <c r="B513" t="s">
        <v>187</v>
      </c>
      <c r="C513">
        <v>4445.53</v>
      </c>
      <c r="D513" t="s">
        <v>175</v>
      </c>
      <c r="E513" t="s">
        <v>182</v>
      </c>
      <c r="F513" t="s">
        <v>177</v>
      </c>
      <c r="G513" t="s">
        <v>179</v>
      </c>
    </row>
    <row r="514" spans="1:7">
      <c r="A514">
        <v>2034</v>
      </c>
      <c r="B514" t="s">
        <v>187</v>
      </c>
      <c r="C514">
        <v>5667.26</v>
      </c>
      <c r="D514" t="s">
        <v>175</v>
      </c>
      <c r="E514" t="s">
        <v>182</v>
      </c>
      <c r="F514" t="s">
        <v>177</v>
      </c>
      <c r="G514" t="s">
        <v>180</v>
      </c>
    </row>
    <row r="515" spans="1:7">
      <c r="A515">
        <v>2034</v>
      </c>
      <c r="B515" t="s">
        <v>187</v>
      </c>
      <c r="C515">
        <v>6821.34</v>
      </c>
      <c r="D515" t="s">
        <v>175</v>
      </c>
      <c r="E515" t="s">
        <v>182</v>
      </c>
      <c r="F515" t="s">
        <v>181</v>
      </c>
      <c r="G515" t="s">
        <v>178</v>
      </c>
    </row>
    <row r="516" spans="1:7">
      <c r="A516">
        <v>2034</v>
      </c>
      <c r="B516" t="s">
        <v>187</v>
      </c>
      <c r="C516">
        <v>4323.28</v>
      </c>
      <c r="D516" t="s">
        <v>175</v>
      </c>
      <c r="E516" t="s">
        <v>182</v>
      </c>
      <c r="F516" t="s">
        <v>181</v>
      </c>
      <c r="G516" t="s">
        <v>179</v>
      </c>
    </row>
    <row r="517" spans="1:7">
      <c r="A517">
        <v>2034</v>
      </c>
      <c r="B517" t="s">
        <v>187</v>
      </c>
      <c r="C517">
        <v>4973.93</v>
      </c>
      <c r="D517" t="s">
        <v>175</v>
      </c>
      <c r="E517" t="s">
        <v>182</v>
      </c>
      <c r="F517" t="s">
        <v>181</v>
      </c>
      <c r="G517" t="s">
        <v>180</v>
      </c>
    </row>
    <row r="518" spans="1:7">
      <c r="A518">
        <v>2034</v>
      </c>
      <c r="B518" t="s">
        <v>187</v>
      </c>
      <c r="C518">
        <v>22718.6</v>
      </c>
      <c r="D518" t="s">
        <v>183</v>
      </c>
      <c r="E518" t="s">
        <v>176</v>
      </c>
      <c r="F518" t="s">
        <v>177</v>
      </c>
      <c r="G518" t="s">
        <v>178</v>
      </c>
    </row>
    <row r="519" spans="1:7">
      <c r="A519">
        <v>2034</v>
      </c>
      <c r="B519" t="s">
        <v>187</v>
      </c>
      <c r="C519">
        <v>19611.5</v>
      </c>
      <c r="D519" t="s">
        <v>183</v>
      </c>
      <c r="E519" t="s">
        <v>176</v>
      </c>
      <c r="F519" t="s">
        <v>177</v>
      </c>
      <c r="G519" t="s">
        <v>179</v>
      </c>
    </row>
    <row r="520" spans="1:7">
      <c r="A520">
        <v>2034</v>
      </c>
      <c r="B520" t="s">
        <v>187</v>
      </c>
      <c r="C520">
        <v>20609.599999999999</v>
      </c>
      <c r="D520" t="s">
        <v>183</v>
      </c>
      <c r="E520" t="s">
        <v>176</v>
      </c>
      <c r="F520" t="s">
        <v>177</v>
      </c>
      <c r="G520" t="s">
        <v>180</v>
      </c>
    </row>
    <row r="521" spans="1:7">
      <c r="A521">
        <v>2034</v>
      </c>
      <c r="B521" t="s">
        <v>187</v>
      </c>
      <c r="C521">
        <v>29770.7</v>
      </c>
      <c r="D521" t="s">
        <v>183</v>
      </c>
      <c r="E521" t="s">
        <v>176</v>
      </c>
      <c r="F521" t="s">
        <v>181</v>
      </c>
      <c r="G521" t="s">
        <v>178</v>
      </c>
    </row>
    <row r="522" spans="1:7">
      <c r="A522">
        <v>2034</v>
      </c>
      <c r="B522" t="s">
        <v>187</v>
      </c>
      <c r="C522">
        <v>21036.7</v>
      </c>
      <c r="D522" t="s">
        <v>183</v>
      </c>
      <c r="E522" t="s">
        <v>176</v>
      </c>
      <c r="F522" t="s">
        <v>181</v>
      </c>
      <c r="G522" t="s">
        <v>179</v>
      </c>
    </row>
    <row r="523" spans="1:7">
      <c r="A523">
        <v>2034</v>
      </c>
      <c r="B523" t="s">
        <v>187</v>
      </c>
      <c r="C523">
        <v>20767.3</v>
      </c>
      <c r="D523" t="s">
        <v>183</v>
      </c>
      <c r="E523" t="s">
        <v>176</v>
      </c>
      <c r="F523" t="s">
        <v>181</v>
      </c>
      <c r="G523" t="s">
        <v>180</v>
      </c>
    </row>
    <row r="524" spans="1:7">
      <c r="A524">
        <v>2034</v>
      </c>
      <c r="B524" t="s">
        <v>187</v>
      </c>
      <c r="C524">
        <v>22845.3</v>
      </c>
      <c r="D524" t="s">
        <v>183</v>
      </c>
      <c r="E524" t="s">
        <v>182</v>
      </c>
      <c r="F524" t="s">
        <v>177</v>
      </c>
      <c r="G524" t="s">
        <v>178</v>
      </c>
    </row>
    <row r="525" spans="1:7">
      <c r="A525">
        <v>2034</v>
      </c>
      <c r="B525" t="s">
        <v>187</v>
      </c>
      <c r="C525">
        <v>19038.5</v>
      </c>
      <c r="D525" t="s">
        <v>183</v>
      </c>
      <c r="E525" t="s">
        <v>182</v>
      </c>
      <c r="F525" t="s">
        <v>177</v>
      </c>
      <c r="G525" t="s">
        <v>179</v>
      </c>
    </row>
    <row r="526" spans="1:7">
      <c r="A526">
        <v>2034</v>
      </c>
      <c r="B526" t="s">
        <v>187</v>
      </c>
      <c r="C526">
        <v>18527.099999999999</v>
      </c>
      <c r="D526" t="s">
        <v>183</v>
      </c>
      <c r="E526" t="s">
        <v>182</v>
      </c>
      <c r="F526" t="s">
        <v>177</v>
      </c>
      <c r="G526" t="s">
        <v>180</v>
      </c>
    </row>
    <row r="527" spans="1:7">
      <c r="A527">
        <v>2034</v>
      </c>
      <c r="B527" t="s">
        <v>187</v>
      </c>
      <c r="C527">
        <v>26335.4</v>
      </c>
      <c r="D527" t="s">
        <v>183</v>
      </c>
      <c r="E527" t="s">
        <v>182</v>
      </c>
      <c r="F527" t="s">
        <v>181</v>
      </c>
      <c r="G527" t="s">
        <v>178</v>
      </c>
    </row>
    <row r="528" spans="1:7">
      <c r="A528">
        <v>2034</v>
      </c>
      <c r="B528" t="s">
        <v>187</v>
      </c>
      <c r="C528">
        <v>20488.3</v>
      </c>
      <c r="D528" t="s">
        <v>183</v>
      </c>
      <c r="E528" t="s">
        <v>182</v>
      </c>
      <c r="F528" t="s">
        <v>181</v>
      </c>
      <c r="G528" t="s">
        <v>179</v>
      </c>
    </row>
    <row r="529" spans="1:7">
      <c r="A529">
        <v>2034</v>
      </c>
      <c r="B529" t="s">
        <v>187</v>
      </c>
      <c r="C529">
        <v>21756.7</v>
      </c>
      <c r="D529" t="s">
        <v>183</v>
      </c>
      <c r="E529" t="s">
        <v>182</v>
      </c>
      <c r="F529" t="s">
        <v>181</v>
      </c>
      <c r="G529" t="s">
        <v>180</v>
      </c>
    </row>
    <row r="530" spans="1:7">
      <c r="A530">
        <v>2034</v>
      </c>
      <c r="B530" t="s">
        <v>187</v>
      </c>
      <c r="C530">
        <v>5128.78</v>
      </c>
      <c r="D530" t="s">
        <v>184</v>
      </c>
      <c r="E530" t="s">
        <v>176</v>
      </c>
      <c r="F530" t="s">
        <v>177</v>
      </c>
      <c r="G530" t="s">
        <v>178</v>
      </c>
    </row>
    <row r="531" spans="1:7">
      <c r="A531">
        <v>2034</v>
      </c>
      <c r="B531" t="s">
        <v>187</v>
      </c>
      <c r="C531">
        <v>1844.67</v>
      </c>
      <c r="D531" t="s">
        <v>184</v>
      </c>
      <c r="E531" t="s">
        <v>176</v>
      </c>
      <c r="F531" t="s">
        <v>177</v>
      </c>
      <c r="G531" t="s">
        <v>179</v>
      </c>
    </row>
    <row r="532" spans="1:7">
      <c r="A532">
        <v>2034</v>
      </c>
      <c r="B532" t="s">
        <v>187</v>
      </c>
      <c r="C532">
        <v>3282.08</v>
      </c>
      <c r="D532" t="s">
        <v>184</v>
      </c>
      <c r="E532" t="s">
        <v>176</v>
      </c>
      <c r="F532" t="s">
        <v>177</v>
      </c>
      <c r="G532" t="s">
        <v>180</v>
      </c>
    </row>
    <row r="533" spans="1:7">
      <c r="A533">
        <v>2034</v>
      </c>
      <c r="B533" t="s">
        <v>187</v>
      </c>
      <c r="C533">
        <v>2719.42</v>
      </c>
      <c r="D533" t="s">
        <v>184</v>
      </c>
      <c r="E533" t="s">
        <v>176</v>
      </c>
      <c r="F533" t="s">
        <v>181</v>
      </c>
      <c r="G533" t="s">
        <v>178</v>
      </c>
    </row>
    <row r="534" spans="1:7">
      <c r="A534">
        <v>2034</v>
      </c>
      <c r="B534" t="s">
        <v>187</v>
      </c>
      <c r="C534">
        <v>1470.35</v>
      </c>
      <c r="D534" t="s">
        <v>184</v>
      </c>
      <c r="E534" t="s">
        <v>176</v>
      </c>
      <c r="F534" t="s">
        <v>181</v>
      </c>
      <c r="G534" t="s">
        <v>179</v>
      </c>
    </row>
    <row r="535" spans="1:7">
      <c r="A535">
        <v>2034</v>
      </c>
      <c r="B535" t="s">
        <v>187</v>
      </c>
      <c r="C535">
        <v>2309.69</v>
      </c>
      <c r="D535" t="s">
        <v>184</v>
      </c>
      <c r="E535" t="s">
        <v>176</v>
      </c>
      <c r="F535" t="s">
        <v>181</v>
      </c>
      <c r="G535" t="s">
        <v>180</v>
      </c>
    </row>
    <row r="536" spans="1:7">
      <c r="A536">
        <v>2034</v>
      </c>
      <c r="B536" t="s">
        <v>187</v>
      </c>
      <c r="C536">
        <v>6412.36</v>
      </c>
      <c r="D536" t="s">
        <v>184</v>
      </c>
      <c r="E536" t="s">
        <v>182</v>
      </c>
      <c r="F536" t="s">
        <v>177</v>
      </c>
      <c r="G536" t="s">
        <v>178</v>
      </c>
    </row>
    <row r="537" spans="1:7">
      <c r="A537">
        <v>2034</v>
      </c>
      <c r="B537" t="s">
        <v>187</v>
      </c>
      <c r="C537">
        <v>1461.2</v>
      </c>
      <c r="D537" t="s">
        <v>184</v>
      </c>
      <c r="E537" t="s">
        <v>182</v>
      </c>
      <c r="F537" t="s">
        <v>177</v>
      </c>
      <c r="G537" t="s">
        <v>179</v>
      </c>
    </row>
    <row r="538" spans="1:7">
      <c r="A538">
        <v>2034</v>
      </c>
      <c r="B538" t="s">
        <v>187</v>
      </c>
      <c r="C538">
        <v>3421.95</v>
      </c>
      <c r="D538" t="s">
        <v>184</v>
      </c>
      <c r="E538" t="s">
        <v>182</v>
      </c>
      <c r="F538" t="s">
        <v>177</v>
      </c>
      <c r="G538" t="s">
        <v>180</v>
      </c>
    </row>
    <row r="539" spans="1:7">
      <c r="A539">
        <v>2034</v>
      </c>
      <c r="B539" t="s">
        <v>187</v>
      </c>
      <c r="C539">
        <v>2591.9299999999998</v>
      </c>
      <c r="D539" t="s">
        <v>184</v>
      </c>
      <c r="E539" t="s">
        <v>182</v>
      </c>
      <c r="F539" t="s">
        <v>181</v>
      </c>
      <c r="G539" t="s">
        <v>178</v>
      </c>
    </row>
    <row r="540" spans="1:7">
      <c r="A540">
        <v>2034</v>
      </c>
      <c r="B540" t="s">
        <v>187</v>
      </c>
      <c r="C540">
        <v>1765.5</v>
      </c>
      <c r="D540" t="s">
        <v>184</v>
      </c>
      <c r="E540" t="s">
        <v>182</v>
      </c>
      <c r="F540" t="s">
        <v>181</v>
      </c>
      <c r="G540" t="s">
        <v>179</v>
      </c>
    </row>
    <row r="541" spans="1:7">
      <c r="A541">
        <v>2034</v>
      </c>
      <c r="B541" t="s">
        <v>187</v>
      </c>
      <c r="C541">
        <v>2408.36</v>
      </c>
      <c r="D541" t="s">
        <v>184</v>
      </c>
      <c r="E541" t="s">
        <v>182</v>
      </c>
      <c r="F541" t="s">
        <v>181</v>
      </c>
      <c r="G541" t="s">
        <v>180</v>
      </c>
    </row>
    <row r="542" spans="1:7">
      <c r="A542">
        <v>2035</v>
      </c>
      <c r="B542" t="s">
        <v>187</v>
      </c>
      <c r="C542">
        <v>7582.78</v>
      </c>
      <c r="D542" t="s">
        <v>175</v>
      </c>
      <c r="E542" t="s">
        <v>176</v>
      </c>
      <c r="F542" t="s">
        <v>177</v>
      </c>
      <c r="G542" t="s">
        <v>178</v>
      </c>
    </row>
    <row r="543" spans="1:7">
      <c r="A543">
        <v>2035</v>
      </c>
      <c r="B543" t="s">
        <v>187</v>
      </c>
      <c r="C543">
        <v>5474.3</v>
      </c>
      <c r="D543" t="s">
        <v>175</v>
      </c>
      <c r="E543" t="s">
        <v>176</v>
      </c>
      <c r="F543" t="s">
        <v>177</v>
      </c>
      <c r="G543" t="s">
        <v>179</v>
      </c>
    </row>
    <row r="544" spans="1:7">
      <c r="A544">
        <v>2035</v>
      </c>
      <c r="B544" t="s">
        <v>187</v>
      </c>
      <c r="C544">
        <v>6782.59</v>
      </c>
      <c r="D544" t="s">
        <v>175</v>
      </c>
      <c r="E544" t="s">
        <v>176</v>
      </c>
      <c r="F544" t="s">
        <v>177</v>
      </c>
      <c r="G544" t="s">
        <v>180</v>
      </c>
    </row>
    <row r="545" spans="1:7">
      <c r="A545">
        <v>2035</v>
      </c>
      <c r="B545" t="s">
        <v>187</v>
      </c>
      <c r="C545">
        <v>7770.97</v>
      </c>
      <c r="D545" t="s">
        <v>175</v>
      </c>
      <c r="E545" t="s">
        <v>176</v>
      </c>
      <c r="F545" t="s">
        <v>181</v>
      </c>
      <c r="G545" t="s">
        <v>178</v>
      </c>
    </row>
    <row r="546" spans="1:7">
      <c r="A546">
        <v>2035</v>
      </c>
      <c r="B546" t="s">
        <v>187</v>
      </c>
      <c r="C546">
        <v>4660.46</v>
      </c>
      <c r="D546" t="s">
        <v>175</v>
      </c>
      <c r="E546" t="s">
        <v>176</v>
      </c>
      <c r="F546" t="s">
        <v>181</v>
      </c>
      <c r="G546" t="s">
        <v>179</v>
      </c>
    </row>
    <row r="547" spans="1:7">
      <c r="A547">
        <v>2035</v>
      </c>
      <c r="B547" t="s">
        <v>187</v>
      </c>
      <c r="C547">
        <v>4254.51</v>
      </c>
      <c r="D547" t="s">
        <v>175</v>
      </c>
      <c r="E547" t="s">
        <v>176</v>
      </c>
      <c r="F547" t="s">
        <v>181</v>
      </c>
      <c r="G547" t="s">
        <v>180</v>
      </c>
    </row>
    <row r="548" spans="1:7">
      <c r="A548">
        <v>2035</v>
      </c>
      <c r="B548" t="s">
        <v>187</v>
      </c>
      <c r="C548">
        <v>11612.9</v>
      </c>
      <c r="D548" t="s">
        <v>175</v>
      </c>
      <c r="E548" t="s">
        <v>182</v>
      </c>
      <c r="F548" t="s">
        <v>177</v>
      </c>
      <c r="G548" t="s">
        <v>178</v>
      </c>
    </row>
    <row r="549" spans="1:7">
      <c r="A549">
        <v>2035</v>
      </c>
      <c r="B549" t="s">
        <v>187</v>
      </c>
      <c r="C549">
        <v>4445.53</v>
      </c>
      <c r="D549" t="s">
        <v>175</v>
      </c>
      <c r="E549" t="s">
        <v>182</v>
      </c>
      <c r="F549" t="s">
        <v>177</v>
      </c>
      <c r="G549" t="s">
        <v>179</v>
      </c>
    </row>
    <row r="550" spans="1:7">
      <c r="A550">
        <v>2035</v>
      </c>
      <c r="B550" t="s">
        <v>187</v>
      </c>
      <c r="C550">
        <v>5667.26</v>
      </c>
      <c r="D550" t="s">
        <v>175</v>
      </c>
      <c r="E550" t="s">
        <v>182</v>
      </c>
      <c r="F550" t="s">
        <v>177</v>
      </c>
      <c r="G550" t="s">
        <v>180</v>
      </c>
    </row>
    <row r="551" spans="1:7">
      <c r="A551">
        <v>2035</v>
      </c>
      <c r="B551" t="s">
        <v>187</v>
      </c>
      <c r="C551">
        <v>6821.34</v>
      </c>
      <c r="D551" t="s">
        <v>175</v>
      </c>
      <c r="E551" t="s">
        <v>182</v>
      </c>
      <c r="F551" t="s">
        <v>181</v>
      </c>
      <c r="G551" t="s">
        <v>178</v>
      </c>
    </row>
    <row r="552" spans="1:7">
      <c r="A552">
        <v>2035</v>
      </c>
      <c r="B552" t="s">
        <v>187</v>
      </c>
      <c r="C552">
        <v>4323.28</v>
      </c>
      <c r="D552" t="s">
        <v>175</v>
      </c>
      <c r="E552" t="s">
        <v>182</v>
      </c>
      <c r="F552" t="s">
        <v>181</v>
      </c>
      <c r="G552" t="s">
        <v>179</v>
      </c>
    </row>
    <row r="553" spans="1:7">
      <c r="A553">
        <v>2035</v>
      </c>
      <c r="B553" t="s">
        <v>187</v>
      </c>
      <c r="C553">
        <v>4973.93</v>
      </c>
      <c r="D553" t="s">
        <v>175</v>
      </c>
      <c r="E553" t="s">
        <v>182</v>
      </c>
      <c r="F553" t="s">
        <v>181</v>
      </c>
      <c r="G553" t="s">
        <v>180</v>
      </c>
    </row>
    <row r="554" spans="1:7">
      <c r="A554">
        <v>2035</v>
      </c>
      <c r="B554" t="s">
        <v>187</v>
      </c>
      <c r="C554">
        <v>22718.6</v>
      </c>
      <c r="D554" t="s">
        <v>183</v>
      </c>
      <c r="E554" t="s">
        <v>176</v>
      </c>
      <c r="F554" t="s">
        <v>177</v>
      </c>
      <c r="G554" t="s">
        <v>178</v>
      </c>
    </row>
    <row r="555" spans="1:7">
      <c r="A555">
        <v>2035</v>
      </c>
      <c r="B555" t="s">
        <v>187</v>
      </c>
      <c r="C555">
        <v>19611.5</v>
      </c>
      <c r="D555" t="s">
        <v>183</v>
      </c>
      <c r="E555" t="s">
        <v>176</v>
      </c>
      <c r="F555" t="s">
        <v>177</v>
      </c>
      <c r="G555" t="s">
        <v>179</v>
      </c>
    </row>
    <row r="556" spans="1:7">
      <c r="A556">
        <v>2035</v>
      </c>
      <c r="B556" t="s">
        <v>187</v>
      </c>
      <c r="C556">
        <v>20609.599999999999</v>
      </c>
      <c r="D556" t="s">
        <v>183</v>
      </c>
      <c r="E556" t="s">
        <v>176</v>
      </c>
      <c r="F556" t="s">
        <v>177</v>
      </c>
      <c r="G556" t="s">
        <v>180</v>
      </c>
    </row>
    <row r="557" spans="1:7">
      <c r="A557">
        <v>2035</v>
      </c>
      <c r="B557" t="s">
        <v>187</v>
      </c>
      <c r="C557">
        <v>29770.7</v>
      </c>
      <c r="D557" t="s">
        <v>183</v>
      </c>
      <c r="E557" t="s">
        <v>176</v>
      </c>
      <c r="F557" t="s">
        <v>181</v>
      </c>
      <c r="G557" t="s">
        <v>178</v>
      </c>
    </row>
    <row r="558" spans="1:7">
      <c r="A558">
        <v>2035</v>
      </c>
      <c r="B558" t="s">
        <v>187</v>
      </c>
      <c r="C558">
        <v>21036.7</v>
      </c>
      <c r="D558" t="s">
        <v>183</v>
      </c>
      <c r="E558" t="s">
        <v>176</v>
      </c>
      <c r="F558" t="s">
        <v>181</v>
      </c>
      <c r="G558" t="s">
        <v>179</v>
      </c>
    </row>
    <row r="559" spans="1:7">
      <c r="A559">
        <v>2035</v>
      </c>
      <c r="B559" t="s">
        <v>187</v>
      </c>
      <c r="C559">
        <v>20767.3</v>
      </c>
      <c r="D559" t="s">
        <v>183</v>
      </c>
      <c r="E559" t="s">
        <v>176</v>
      </c>
      <c r="F559" t="s">
        <v>181</v>
      </c>
      <c r="G559" t="s">
        <v>180</v>
      </c>
    </row>
    <row r="560" spans="1:7">
      <c r="A560">
        <v>2035</v>
      </c>
      <c r="B560" t="s">
        <v>187</v>
      </c>
      <c r="C560">
        <v>22845.3</v>
      </c>
      <c r="D560" t="s">
        <v>183</v>
      </c>
      <c r="E560" t="s">
        <v>182</v>
      </c>
      <c r="F560" t="s">
        <v>177</v>
      </c>
      <c r="G560" t="s">
        <v>178</v>
      </c>
    </row>
    <row r="561" spans="1:7">
      <c r="A561">
        <v>2035</v>
      </c>
      <c r="B561" t="s">
        <v>187</v>
      </c>
      <c r="C561">
        <v>19038.5</v>
      </c>
      <c r="D561" t="s">
        <v>183</v>
      </c>
      <c r="E561" t="s">
        <v>182</v>
      </c>
      <c r="F561" t="s">
        <v>177</v>
      </c>
      <c r="G561" t="s">
        <v>179</v>
      </c>
    </row>
    <row r="562" spans="1:7">
      <c r="A562">
        <v>2035</v>
      </c>
      <c r="B562" t="s">
        <v>187</v>
      </c>
      <c r="C562">
        <v>18527.099999999999</v>
      </c>
      <c r="D562" t="s">
        <v>183</v>
      </c>
      <c r="E562" t="s">
        <v>182</v>
      </c>
      <c r="F562" t="s">
        <v>177</v>
      </c>
      <c r="G562" t="s">
        <v>180</v>
      </c>
    </row>
    <row r="563" spans="1:7">
      <c r="A563">
        <v>2035</v>
      </c>
      <c r="B563" t="s">
        <v>187</v>
      </c>
      <c r="C563">
        <v>26335.4</v>
      </c>
      <c r="D563" t="s">
        <v>183</v>
      </c>
      <c r="E563" t="s">
        <v>182</v>
      </c>
      <c r="F563" t="s">
        <v>181</v>
      </c>
      <c r="G563" t="s">
        <v>178</v>
      </c>
    </row>
    <row r="564" spans="1:7">
      <c r="A564">
        <v>2035</v>
      </c>
      <c r="B564" t="s">
        <v>187</v>
      </c>
      <c r="C564">
        <v>20488.3</v>
      </c>
      <c r="D564" t="s">
        <v>183</v>
      </c>
      <c r="E564" t="s">
        <v>182</v>
      </c>
      <c r="F564" t="s">
        <v>181</v>
      </c>
      <c r="G564" t="s">
        <v>179</v>
      </c>
    </row>
    <row r="565" spans="1:7">
      <c r="A565">
        <v>2035</v>
      </c>
      <c r="B565" t="s">
        <v>187</v>
      </c>
      <c r="C565">
        <v>21756.7</v>
      </c>
      <c r="D565" t="s">
        <v>183</v>
      </c>
      <c r="E565" t="s">
        <v>182</v>
      </c>
      <c r="F565" t="s">
        <v>181</v>
      </c>
      <c r="G565" t="s">
        <v>180</v>
      </c>
    </row>
    <row r="566" spans="1:7">
      <c r="A566">
        <v>2035</v>
      </c>
      <c r="B566" t="s">
        <v>187</v>
      </c>
      <c r="C566">
        <v>5128.78</v>
      </c>
      <c r="D566" t="s">
        <v>184</v>
      </c>
      <c r="E566" t="s">
        <v>176</v>
      </c>
      <c r="F566" t="s">
        <v>177</v>
      </c>
      <c r="G566" t="s">
        <v>178</v>
      </c>
    </row>
    <row r="567" spans="1:7">
      <c r="A567">
        <v>2035</v>
      </c>
      <c r="B567" t="s">
        <v>187</v>
      </c>
      <c r="C567">
        <v>1844.67</v>
      </c>
      <c r="D567" t="s">
        <v>184</v>
      </c>
      <c r="E567" t="s">
        <v>176</v>
      </c>
      <c r="F567" t="s">
        <v>177</v>
      </c>
      <c r="G567" t="s">
        <v>179</v>
      </c>
    </row>
    <row r="568" spans="1:7">
      <c r="A568">
        <v>2035</v>
      </c>
      <c r="B568" t="s">
        <v>187</v>
      </c>
      <c r="C568">
        <v>3282.08</v>
      </c>
      <c r="D568" t="s">
        <v>184</v>
      </c>
      <c r="E568" t="s">
        <v>176</v>
      </c>
      <c r="F568" t="s">
        <v>177</v>
      </c>
      <c r="G568" t="s">
        <v>180</v>
      </c>
    </row>
    <row r="569" spans="1:7">
      <c r="A569">
        <v>2035</v>
      </c>
      <c r="B569" t="s">
        <v>187</v>
      </c>
      <c r="C569">
        <v>2719.42</v>
      </c>
      <c r="D569" t="s">
        <v>184</v>
      </c>
      <c r="E569" t="s">
        <v>176</v>
      </c>
      <c r="F569" t="s">
        <v>181</v>
      </c>
      <c r="G569" t="s">
        <v>178</v>
      </c>
    </row>
    <row r="570" spans="1:7">
      <c r="A570">
        <v>2035</v>
      </c>
      <c r="B570" t="s">
        <v>187</v>
      </c>
      <c r="C570">
        <v>1470.35</v>
      </c>
      <c r="D570" t="s">
        <v>184</v>
      </c>
      <c r="E570" t="s">
        <v>176</v>
      </c>
      <c r="F570" t="s">
        <v>181</v>
      </c>
      <c r="G570" t="s">
        <v>179</v>
      </c>
    </row>
    <row r="571" spans="1:7">
      <c r="A571">
        <v>2035</v>
      </c>
      <c r="B571" t="s">
        <v>187</v>
      </c>
      <c r="C571">
        <v>2309.69</v>
      </c>
      <c r="D571" t="s">
        <v>184</v>
      </c>
      <c r="E571" t="s">
        <v>176</v>
      </c>
      <c r="F571" t="s">
        <v>181</v>
      </c>
      <c r="G571" t="s">
        <v>180</v>
      </c>
    </row>
    <row r="572" spans="1:7">
      <c r="A572">
        <v>2035</v>
      </c>
      <c r="B572" t="s">
        <v>187</v>
      </c>
      <c r="C572">
        <v>6412.36</v>
      </c>
      <c r="D572" t="s">
        <v>184</v>
      </c>
      <c r="E572" t="s">
        <v>182</v>
      </c>
      <c r="F572" t="s">
        <v>177</v>
      </c>
      <c r="G572" t="s">
        <v>178</v>
      </c>
    </row>
    <row r="573" spans="1:7">
      <c r="A573">
        <v>2035</v>
      </c>
      <c r="B573" t="s">
        <v>187</v>
      </c>
      <c r="C573">
        <v>1461.2</v>
      </c>
      <c r="D573" t="s">
        <v>184</v>
      </c>
      <c r="E573" t="s">
        <v>182</v>
      </c>
      <c r="F573" t="s">
        <v>177</v>
      </c>
      <c r="G573" t="s">
        <v>179</v>
      </c>
    </row>
    <row r="574" spans="1:7">
      <c r="A574">
        <v>2035</v>
      </c>
      <c r="B574" t="s">
        <v>187</v>
      </c>
      <c r="C574">
        <v>3421.95</v>
      </c>
      <c r="D574" t="s">
        <v>184</v>
      </c>
      <c r="E574" t="s">
        <v>182</v>
      </c>
      <c r="F574" t="s">
        <v>177</v>
      </c>
      <c r="G574" t="s">
        <v>180</v>
      </c>
    </row>
    <row r="575" spans="1:7">
      <c r="A575">
        <v>2035</v>
      </c>
      <c r="B575" t="s">
        <v>187</v>
      </c>
      <c r="C575">
        <v>2591.9299999999998</v>
      </c>
      <c r="D575" t="s">
        <v>184</v>
      </c>
      <c r="E575" t="s">
        <v>182</v>
      </c>
      <c r="F575" t="s">
        <v>181</v>
      </c>
      <c r="G575" t="s">
        <v>178</v>
      </c>
    </row>
    <row r="576" spans="1:7">
      <c r="A576">
        <v>2035</v>
      </c>
      <c r="B576" t="s">
        <v>187</v>
      </c>
      <c r="C576">
        <v>1765.5</v>
      </c>
      <c r="D576" t="s">
        <v>184</v>
      </c>
      <c r="E576" t="s">
        <v>182</v>
      </c>
      <c r="F576" t="s">
        <v>181</v>
      </c>
      <c r="G576" t="s">
        <v>179</v>
      </c>
    </row>
    <row r="577" spans="1:7">
      <c r="A577">
        <v>2035</v>
      </c>
      <c r="B577" t="s">
        <v>187</v>
      </c>
      <c r="C577">
        <v>2408.36</v>
      </c>
      <c r="D577" t="s">
        <v>184</v>
      </c>
      <c r="E577" t="s">
        <v>182</v>
      </c>
      <c r="F577" t="s">
        <v>181</v>
      </c>
      <c r="G577" t="s">
        <v>180</v>
      </c>
    </row>
    <row r="578" spans="1:7">
      <c r="A578">
        <v>2020</v>
      </c>
      <c r="B578" t="s">
        <v>188</v>
      </c>
      <c r="C578">
        <v>102.45</v>
      </c>
      <c r="D578" t="s">
        <v>183</v>
      </c>
      <c r="E578" t="s">
        <v>176</v>
      </c>
      <c r="F578" t="s">
        <v>177</v>
      </c>
      <c r="G578" t="s">
        <v>178</v>
      </c>
    </row>
    <row r="579" spans="1:7">
      <c r="A579">
        <v>2021</v>
      </c>
      <c r="B579" t="s">
        <v>188</v>
      </c>
      <c r="C579">
        <v>9.5</v>
      </c>
      <c r="D579" t="s">
        <v>183</v>
      </c>
      <c r="E579" t="s">
        <v>176</v>
      </c>
      <c r="F579" t="s">
        <v>177</v>
      </c>
      <c r="G579" t="s">
        <v>178</v>
      </c>
    </row>
    <row r="580" spans="1:7">
      <c r="A580">
        <v>2022</v>
      </c>
      <c r="B580" t="s">
        <v>188</v>
      </c>
      <c r="C580">
        <v>9.5</v>
      </c>
      <c r="D580" t="s">
        <v>183</v>
      </c>
      <c r="E580" t="s">
        <v>176</v>
      </c>
      <c r="F580" t="s">
        <v>177</v>
      </c>
      <c r="G580" t="s">
        <v>178</v>
      </c>
    </row>
    <row r="581" spans="1:7">
      <c r="A581">
        <v>2023</v>
      </c>
      <c r="B581" t="s">
        <v>188</v>
      </c>
      <c r="C581">
        <v>0</v>
      </c>
      <c r="D581" t="s">
        <v>183</v>
      </c>
      <c r="E581" t="s">
        <v>176</v>
      </c>
      <c r="F581" t="s">
        <v>177</v>
      </c>
      <c r="G581" t="s">
        <v>178</v>
      </c>
    </row>
    <row r="582" spans="1:7">
      <c r="A582">
        <v>2024</v>
      </c>
      <c r="B582" t="s">
        <v>188</v>
      </c>
      <c r="C582">
        <v>0</v>
      </c>
      <c r="D582" t="s">
        <v>183</v>
      </c>
      <c r="E582" t="s">
        <v>176</v>
      </c>
      <c r="F582" t="s">
        <v>177</v>
      </c>
      <c r="G582" t="s">
        <v>178</v>
      </c>
    </row>
    <row r="583" spans="1:7">
      <c r="A583">
        <v>2025</v>
      </c>
      <c r="B583" t="s">
        <v>188</v>
      </c>
      <c r="C583">
        <v>0</v>
      </c>
      <c r="D583" t="s">
        <v>183</v>
      </c>
      <c r="E583" t="s">
        <v>176</v>
      </c>
      <c r="F583" t="s">
        <v>177</v>
      </c>
      <c r="G583" t="s">
        <v>178</v>
      </c>
    </row>
    <row r="584" spans="1:7">
      <c r="A584">
        <v>2026</v>
      </c>
      <c r="B584" t="s">
        <v>188</v>
      </c>
      <c r="C584">
        <v>0</v>
      </c>
      <c r="D584" t="s">
        <v>183</v>
      </c>
      <c r="E584" t="s">
        <v>176</v>
      </c>
      <c r="F584" t="s">
        <v>177</v>
      </c>
      <c r="G584" t="s">
        <v>178</v>
      </c>
    </row>
    <row r="585" spans="1:7">
      <c r="A585">
        <v>2027</v>
      </c>
      <c r="B585" t="s">
        <v>188</v>
      </c>
      <c r="C585">
        <v>0</v>
      </c>
      <c r="D585" t="s">
        <v>183</v>
      </c>
      <c r="E585" t="s">
        <v>176</v>
      </c>
      <c r="F585" t="s">
        <v>177</v>
      </c>
      <c r="G585" t="s">
        <v>178</v>
      </c>
    </row>
    <row r="586" spans="1:7">
      <c r="A586">
        <v>2028</v>
      </c>
      <c r="B586" t="s">
        <v>188</v>
      </c>
      <c r="C586">
        <v>0</v>
      </c>
      <c r="D586" t="s">
        <v>183</v>
      </c>
      <c r="E586" t="s">
        <v>176</v>
      </c>
      <c r="F586" t="s">
        <v>177</v>
      </c>
      <c r="G586" t="s">
        <v>178</v>
      </c>
    </row>
    <row r="587" spans="1:7">
      <c r="A587">
        <v>2029</v>
      </c>
      <c r="B587" t="s">
        <v>188</v>
      </c>
      <c r="C587">
        <v>0</v>
      </c>
      <c r="D587" t="s">
        <v>183</v>
      </c>
      <c r="E587" t="s">
        <v>176</v>
      </c>
      <c r="F587" t="s">
        <v>177</v>
      </c>
      <c r="G587" t="s">
        <v>178</v>
      </c>
    </row>
    <row r="588" spans="1:7">
      <c r="A588">
        <v>2030</v>
      </c>
      <c r="B588" t="s">
        <v>188</v>
      </c>
      <c r="C588">
        <v>0</v>
      </c>
      <c r="D588" t="s">
        <v>183</v>
      </c>
      <c r="E588" t="s">
        <v>176</v>
      </c>
      <c r="F588" t="s">
        <v>177</v>
      </c>
      <c r="G588" t="s">
        <v>178</v>
      </c>
    </row>
    <row r="589" spans="1:7">
      <c r="A589">
        <v>2031</v>
      </c>
      <c r="B589" t="s">
        <v>188</v>
      </c>
      <c r="C589">
        <v>0</v>
      </c>
      <c r="D589" t="s">
        <v>183</v>
      </c>
      <c r="E589" t="s">
        <v>176</v>
      </c>
      <c r="F589" t="s">
        <v>177</v>
      </c>
      <c r="G589" t="s">
        <v>178</v>
      </c>
    </row>
    <row r="590" spans="1:7">
      <c r="A590">
        <v>2032</v>
      </c>
      <c r="B590" t="s">
        <v>188</v>
      </c>
      <c r="C590">
        <v>0</v>
      </c>
      <c r="D590" t="s">
        <v>183</v>
      </c>
      <c r="E590" t="s">
        <v>176</v>
      </c>
      <c r="F590" t="s">
        <v>177</v>
      </c>
      <c r="G590" t="s">
        <v>178</v>
      </c>
    </row>
    <row r="591" spans="1:7">
      <c r="A591">
        <v>2033</v>
      </c>
      <c r="B591" t="s">
        <v>188</v>
      </c>
      <c r="C591">
        <v>0</v>
      </c>
      <c r="D591" t="s">
        <v>183</v>
      </c>
      <c r="E591" t="s">
        <v>176</v>
      </c>
      <c r="F591" t="s">
        <v>177</v>
      </c>
      <c r="G591" t="s">
        <v>178</v>
      </c>
    </row>
    <row r="592" spans="1:7">
      <c r="A592">
        <v>2034</v>
      </c>
      <c r="B592" t="s">
        <v>188</v>
      </c>
      <c r="C592">
        <v>0</v>
      </c>
      <c r="D592" t="s">
        <v>183</v>
      </c>
      <c r="E592" t="s">
        <v>176</v>
      </c>
      <c r="F592" t="s">
        <v>177</v>
      </c>
      <c r="G592" t="s">
        <v>178</v>
      </c>
    </row>
    <row r="593" spans="1:7">
      <c r="A593">
        <v>2035</v>
      </c>
      <c r="B593" t="s">
        <v>188</v>
      </c>
      <c r="C593">
        <v>0</v>
      </c>
      <c r="D593" t="s">
        <v>183</v>
      </c>
      <c r="E593" t="s">
        <v>176</v>
      </c>
      <c r="F593" t="s">
        <v>177</v>
      </c>
      <c r="G593" t="s">
        <v>178</v>
      </c>
    </row>
    <row r="594" spans="1:7">
      <c r="A594">
        <v>2020</v>
      </c>
      <c r="B594" t="s">
        <v>189</v>
      </c>
      <c r="C594">
        <v>0</v>
      </c>
      <c r="D594" t="s">
        <v>183</v>
      </c>
      <c r="E594" t="s">
        <v>176</v>
      </c>
      <c r="F594" t="s">
        <v>177</v>
      </c>
      <c r="G594" t="s">
        <v>178</v>
      </c>
    </row>
    <row r="595" spans="1:7">
      <c r="A595">
        <v>2021</v>
      </c>
      <c r="B595" t="s">
        <v>189</v>
      </c>
      <c r="C595">
        <v>0</v>
      </c>
      <c r="D595" t="s">
        <v>183</v>
      </c>
      <c r="E595" t="s">
        <v>176</v>
      </c>
      <c r="F595" t="s">
        <v>177</v>
      </c>
      <c r="G595" t="s">
        <v>178</v>
      </c>
    </row>
    <row r="596" spans="1:7">
      <c r="A596">
        <v>2022</v>
      </c>
      <c r="B596" t="s">
        <v>189</v>
      </c>
      <c r="C596">
        <v>0</v>
      </c>
      <c r="D596" t="s">
        <v>183</v>
      </c>
      <c r="E596" t="s">
        <v>176</v>
      </c>
      <c r="F596" t="s">
        <v>177</v>
      </c>
      <c r="G596" t="s">
        <v>178</v>
      </c>
    </row>
    <row r="597" spans="1:7">
      <c r="A597">
        <v>2023</v>
      </c>
      <c r="B597" t="s">
        <v>189</v>
      </c>
      <c r="C597">
        <v>0</v>
      </c>
      <c r="D597" t="s">
        <v>183</v>
      </c>
      <c r="E597" t="s">
        <v>176</v>
      </c>
      <c r="F597" t="s">
        <v>177</v>
      </c>
      <c r="G597" t="s">
        <v>178</v>
      </c>
    </row>
    <row r="598" spans="1:7">
      <c r="A598">
        <v>2024</v>
      </c>
      <c r="B598" t="s">
        <v>189</v>
      </c>
      <c r="C598">
        <v>0</v>
      </c>
      <c r="D598" t="s">
        <v>183</v>
      </c>
      <c r="E598" t="s">
        <v>176</v>
      </c>
      <c r="F598" t="s">
        <v>177</v>
      </c>
      <c r="G598" t="s">
        <v>178</v>
      </c>
    </row>
    <row r="599" spans="1:7">
      <c r="A599">
        <v>2025</v>
      </c>
      <c r="B599" t="s">
        <v>189</v>
      </c>
      <c r="C599">
        <v>0</v>
      </c>
      <c r="D599" t="s">
        <v>183</v>
      </c>
      <c r="E599" t="s">
        <v>176</v>
      </c>
      <c r="F599" t="s">
        <v>177</v>
      </c>
      <c r="G599" t="s">
        <v>178</v>
      </c>
    </row>
    <row r="600" spans="1:7">
      <c r="A600">
        <v>2026</v>
      </c>
      <c r="B600" t="s">
        <v>189</v>
      </c>
      <c r="C600">
        <v>0</v>
      </c>
      <c r="D600" t="s">
        <v>183</v>
      </c>
      <c r="E600" t="s">
        <v>176</v>
      </c>
      <c r="F600" t="s">
        <v>177</v>
      </c>
      <c r="G600" t="s">
        <v>178</v>
      </c>
    </row>
    <row r="601" spans="1:7">
      <c r="A601">
        <v>2027</v>
      </c>
      <c r="B601" t="s">
        <v>189</v>
      </c>
      <c r="C601">
        <v>0</v>
      </c>
      <c r="D601" t="s">
        <v>183</v>
      </c>
      <c r="E601" t="s">
        <v>176</v>
      </c>
      <c r="F601" t="s">
        <v>177</v>
      </c>
      <c r="G601" t="s">
        <v>178</v>
      </c>
    </row>
    <row r="602" spans="1:7">
      <c r="A602">
        <v>2028</v>
      </c>
      <c r="B602" t="s">
        <v>189</v>
      </c>
      <c r="C602">
        <v>0</v>
      </c>
      <c r="D602" t="s">
        <v>183</v>
      </c>
      <c r="E602" t="s">
        <v>176</v>
      </c>
      <c r="F602" t="s">
        <v>177</v>
      </c>
      <c r="G602" t="s">
        <v>178</v>
      </c>
    </row>
    <row r="603" spans="1:7">
      <c r="A603">
        <v>2029</v>
      </c>
      <c r="B603" t="s">
        <v>189</v>
      </c>
      <c r="C603">
        <v>0</v>
      </c>
      <c r="D603" t="s">
        <v>183</v>
      </c>
      <c r="E603" t="s">
        <v>176</v>
      </c>
      <c r="F603" t="s">
        <v>177</v>
      </c>
      <c r="G603" t="s">
        <v>178</v>
      </c>
    </row>
    <row r="604" spans="1:7">
      <c r="A604">
        <v>2030</v>
      </c>
      <c r="B604" t="s">
        <v>189</v>
      </c>
      <c r="C604">
        <v>0</v>
      </c>
      <c r="D604" t="s">
        <v>183</v>
      </c>
      <c r="E604" t="s">
        <v>176</v>
      </c>
      <c r="F604" t="s">
        <v>177</v>
      </c>
      <c r="G604" t="s">
        <v>178</v>
      </c>
    </row>
    <row r="605" spans="1:7">
      <c r="A605">
        <v>2031</v>
      </c>
      <c r="B605" t="s">
        <v>189</v>
      </c>
      <c r="C605">
        <v>0</v>
      </c>
      <c r="D605" t="s">
        <v>183</v>
      </c>
      <c r="E605" t="s">
        <v>176</v>
      </c>
      <c r="F605" t="s">
        <v>177</v>
      </c>
      <c r="G605" t="s">
        <v>178</v>
      </c>
    </row>
    <row r="606" spans="1:7">
      <c r="A606">
        <v>2032</v>
      </c>
      <c r="B606" t="s">
        <v>189</v>
      </c>
      <c r="C606">
        <v>0</v>
      </c>
      <c r="D606" t="s">
        <v>183</v>
      </c>
      <c r="E606" t="s">
        <v>176</v>
      </c>
      <c r="F606" t="s">
        <v>177</v>
      </c>
      <c r="G606" t="s">
        <v>178</v>
      </c>
    </row>
    <row r="607" spans="1:7">
      <c r="A607">
        <v>2033</v>
      </c>
      <c r="B607" t="s">
        <v>189</v>
      </c>
      <c r="C607">
        <v>0</v>
      </c>
      <c r="D607" t="s">
        <v>183</v>
      </c>
      <c r="E607" t="s">
        <v>176</v>
      </c>
      <c r="F607" t="s">
        <v>177</v>
      </c>
      <c r="G607" t="s">
        <v>178</v>
      </c>
    </row>
    <row r="608" spans="1:7">
      <c r="A608">
        <v>2034</v>
      </c>
      <c r="B608" t="s">
        <v>189</v>
      </c>
      <c r="C608">
        <v>0</v>
      </c>
      <c r="D608" t="s">
        <v>183</v>
      </c>
      <c r="E608" t="s">
        <v>176</v>
      </c>
      <c r="F608" t="s">
        <v>177</v>
      </c>
      <c r="G608" t="s">
        <v>178</v>
      </c>
    </row>
    <row r="609" spans="1:7">
      <c r="A609">
        <v>2035</v>
      </c>
      <c r="B609" t="s">
        <v>189</v>
      </c>
      <c r="C609">
        <v>0</v>
      </c>
      <c r="D609" t="s">
        <v>183</v>
      </c>
      <c r="E609" t="s">
        <v>176</v>
      </c>
      <c r="F609" t="s">
        <v>177</v>
      </c>
      <c r="G609" t="s">
        <v>178</v>
      </c>
    </row>
    <row r="610" spans="1:7">
      <c r="A610">
        <v>2020</v>
      </c>
      <c r="B610" t="s">
        <v>190</v>
      </c>
      <c r="C610">
        <v>11059.73</v>
      </c>
      <c r="D610" t="s">
        <v>183</v>
      </c>
      <c r="E610" t="s">
        <v>176</v>
      </c>
      <c r="F610" t="s">
        <v>177</v>
      </c>
      <c r="G610" t="s">
        <v>178</v>
      </c>
    </row>
    <row r="611" spans="1:7">
      <c r="A611">
        <v>2021</v>
      </c>
      <c r="B611" t="s">
        <v>190</v>
      </c>
      <c r="C611">
        <v>0</v>
      </c>
      <c r="D611" t="s">
        <v>183</v>
      </c>
      <c r="E611" t="s">
        <v>176</v>
      </c>
      <c r="F611" t="s">
        <v>177</v>
      </c>
      <c r="G611" t="s">
        <v>178</v>
      </c>
    </row>
    <row r="612" spans="1:7">
      <c r="A612">
        <v>2022</v>
      </c>
      <c r="B612" t="s">
        <v>190</v>
      </c>
      <c r="C612">
        <v>0</v>
      </c>
      <c r="D612" t="s">
        <v>183</v>
      </c>
      <c r="E612" t="s">
        <v>176</v>
      </c>
      <c r="F612" t="s">
        <v>177</v>
      </c>
      <c r="G612" t="s">
        <v>178</v>
      </c>
    </row>
    <row r="613" spans="1:7">
      <c r="A613">
        <v>2023</v>
      </c>
      <c r="B613" t="s">
        <v>190</v>
      </c>
      <c r="C613">
        <v>0</v>
      </c>
      <c r="D613" t="s">
        <v>183</v>
      </c>
      <c r="E613" t="s">
        <v>176</v>
      </c>
      <c r="F613" t="s">
        <v>177</v>
      </c>
      <c r="G613" t="s">
        <v>178</v>
      </c>
    </row>
    <row r="614" spans="1:7">
      <c r="A614">
        <v>2024</v>
      </c>
      <c r="B614" t="s">
        <v>190</v>
      </c>
      <c r="C614">
        <v>0</v>
      </c>
      <c r="D614" t="s">
        <v>183</v>
      </c>
      <c r="E614" t="s">
        <v>176</v>
      </c>
      <c r="F614" t="s">
        <v>177</v>
      </c>
      <c r="G614" t="s">
        <v>178</v>
      </c>
    </row>
    <row r="615" spans="1:7">
      <c r="A615">
        <v>2025</v>
      </c>
      <c r="B615" t="s">
        <v>190</v>
      </c>
      <c r="C615">
        <v>0</v>
      </c>
      <c r="D615" t="s">
        <v>183</v>
      </c>
      <c r="E615" t="s">
        <v>176</v>
      </c>
      <c r="F615" t="s">
        <v>177</v>
      </c>
      <c r="G615" t="s">
        <v>178</v>
      </c>
    </row>
    <row r="616" spans="1:7">
      <c r="A616">
        <v>2026</v>
      </c>
      <c r="B616" t="s">
        <v>190</v>
      </c>
      <c r="C616">
        <v>0</v>
      </c>
      <c r="D616" t="s">
        <v>183</v>
      </c>
      <c r="E616" t="s">
        <v>176</v>
      </c>
      <c r="F616" t="s">
        <v>177</v>
      </c>
      <c r="G616" t="s">
        <v>178</v>
      </c>
    </row>
    <row r="617" spans="1:7">
      <c r="A617">
        <v>2027</v>
      </c>
      <c r="B617" t="s">
        <v>190</v>
      </c>
      <c r="C617">
        <v>0</v>
      </c>
      <c r="D617" t="s">
        <v>183</v>
      </c>
      <c r="E617" t="s">
        <v>176</v>
      </c>
      <c r="F617" t="s">
        <v>177</v>
      </c>
      <c r="G617" t="s">
        <v>178</v>
      </c>
    </row>
    <row r="618" spans="1:7">
      <c r="A618">
        <v>2028</v>
      </c>
      <c r="B618" t="s">
        <v>190</v>
      </c>
      <c r="C618">
        <v>0</v>
      </c>
      <c r="D618" t="s">
        <v>183</v>
      </c>
      <c r="E618" t="s">
        <v>176</v>
      </c>
      <c r="F618" t="s">
        <v>177</v>
      </c>
      <c r="G618" t="s">
        <v>178</v>
      </c>
    </row>
    <row r="619" spans="1:7">
      <c r="A619">
        <v>2029</v>
      </c>
      <c r="B619" t="s">
        <v>190</v>
      </c>
      <c r="C619">
        <v>0</v>
      </c>
      <c r="D619" t="s">
        <v>183</v>
      </c>
      <c r="E619" t="s">
        <v>176</v>
      </c>
      <c r="F619" t="s">
        <v>177</v>
      </c>
      <c r="G619" t="s">
        <v>178</v>
      </c>
    </row>
    <row r="620" spans="1:7">
      <c r="A620">
        <v>2030</v>
      </c>
      <c r="B620" t="s">
        <v>190</v>
      </c>
      <c r="C620">
        <v>0</v>
      </c>
      <c r="D620" t="s">
        <v>183</v>
      </c>
      <c r="E620" t="s">
        <v>176</v>
      </c>
      <c r="F620" t="s">
        <v>177</v>
      </c>
      <c r="G620" t="s">
        <v>178</v>
      </c>
    </row>
    <row r="621" spans="1:7">
      <c r="A621">
        <v>2031</v>
      </c>
      <c r="B621" t="s">
        <v>190</v>
      </c>
      <c r="C621">
        <v>0</v>
      </c>
      <c r="D621" t="s">
        <v>183</v>
      </c>
      <c r="E621" t="s">
        <v>176</v>
      </c>
      <c r="F621" t="s">
        <v>177</v>
      </c>
      <c r="G621" t="s">
        <v>178</v>
      </c>
    </row>
    <row r="622" spans="1:7">
      <c r="A622">
        <v>2032</v>
      </c>
      <c r="B622" t="s">
        <v>190</v>
      </c>
      <c r="C622">
        <v>0</v>
      </c>
      <c r="D622" t="s">
        <v>183</v>
      </c>
      <c r="E622" t="s">
        <v>176</v>
      </c>
      <c r="F622" t="s">
        <v>177</v>
      </c>
      <c r="G622" t="s">
        <v>178</v>
      </c>
    </row>
    <row r="623" spans="1:7">
      <c r="A623">
        <v>2033</v>
      </c>
      <c r="B623" t="s">
        <v>190</v>
      </c>
      <c r="C623">
        <v>0</v>
      </c>
      <c r="D623" t="s">
        <v>183</v>
      </c>
      <c r="E623" t="s">
        <v>176</v>
      </c>
      <c r="F623" t="s">
        <v>177</v>
      </c>
      <c r="G623" t="s">
        <v>178</v>
      </c>
    </row>
    <row r="624" spans="1:7">
      <c r="A624">
        <v>2034</v>
      </c>
      <c r="B624" t="s">
        <v>190</v>
      </c>
      <c r="C624">
        <v>0</v>
      </c>
      <c r="D624" t="s">
        <v>183</v>
      </c>
      <c r="E624" t="s">
        <v>176</v>
      </c>
      <c r="F624" t="s">
        <v>177</v>
      </c>
      <c r="G624" t="s">
        <v>178</v>
      </c>
    </row>
    <row r="625" spans="1:7">
      <c r="A625">
        <v>2035</v>
      </c>
      <c r="B625" t="s">
        <v>190</v>
      </c>
      <c r="C625">
        <v>0</v>
      </c>
      <c r="D625" t="s">
        <v>183</v>
      </c>
      <c r="E625" t="s">
        <v>176</v>
      </c>
      <c r="F625" t="s">
        <v>177</v>
      </c>
      <c r="G625" t="s">
        <v>178</v>
      </c>
    </row>
    <row r="626" spans="1:7">
      <c r="A626">
        <v>2020</v>
      </c>
      <c r="B626" t="s">
        <v>191</v>
      </c>
      <c r="C626">
        <v>0</v>
      </c>
      <c r="D626" t="s">
        <v>183</v>
      </c>
      <c r="E626" t="s">
        <v>176</v>
      </c>
      <c r="F626" t="s">
        <v>177</v>
      </c>
      <c r="G626" t="s">
        <v>178</v>
      </c>
    </row>
    <row r="627" spans="1:7">
      <c r="A627">
        <v>2021</v>
      </c>
      <c r="B627" t="s">
        <v>191</v>
      </c>
      <c r="C627">
        <v>0</v>
      </c>
      <c r="D627" t="s">
        <v>183</v>
      </c>
      <c r="E627" t="s">
        <v>176</v>
      </c>
      <c r="F627" t="s">
        <v>177</v>
      </c>
      <c r="G627" t="s">
        <v>178</v>
      </c>
    </row>
    <row r="628" spans="1:7">
      <c r="A628">
        <v>2022</v>
      </c>
      <c r="B628" t="s">
        <v>191</v>
      </c>
      <c r="C628">
        <v>0</v>
      </c>
      <c r="D628" t="s">
        <v>183</v>
      </c>
      <c r="E628" t="s">
        <v>176</v>
      </c>
      <c r="F628" t="s">
        <v>177</v>
      </c>
      <c r="G628" t="s">
        <v>178</v>
      </c>
    </row>
    <row r="629" spans="1:7">
      <c r="A629">
        <v>2023</v>
      </c>
      <c r="B629" t="s">
        <v>191</v>
      </c>
      <c r="C629">
        <v>0</v>
      </c>
      <c r="D629" t="s">
        <v>183</v>
      </c>
      <c r="E629" t="s">
        <v>176</v>
      </c>
      <c r="F629" t="s">
        <v>177</v>
      </c>
      <c r="G629" t="s">
        <v>178</v>
      </c>
    </row>
    <row r="630" spans="1:7">
      <c r="A630">
        <v>2024</v>
      </c>
      <c r="B630" t="s">
        <v>191</v>
      </c>
      <c r="C630">
        <v>0</v>
      </c>
      <c r="D630" t="s">
        <v>183</v>
      </c>
      <c r="E630" t="s">
        <v>176</v>
      </c>
      <c r="F630" t="s">
        <v>177</v>
      </c>
      <c r="G630" t="s">
        <v>178</v>
      </c>
    </row>
    <row r="631" spans="1:7">
      <c r="A631">
        <v>2025</v>
      </c>
      <c r="B631" t="s">
        <v>191</v>
      </c>
      <c r="C631">
        <v>0</v>
      </c>
      <c r="D631" t="s">
        <v>183</v>
      </c>
      <c r="E631" t="s">
        <v>176</v>
      </c>
      <c r="F631" t="s">
        <v>177</v>
      </c>
      <c r="G631" t="s">
        <v>178</v>
      </c>
    </row>
    <row r="632" spans="1:7">
      <c r="A632">
        <v>2026</v>
      </c>
      <c r="B632" t="s">
        <v>191</v>
      </c>
      <c r="C632">
        <v>0</v>
      </c>
      <c r="D632" t="s">
        <v>183</v>
      </c>
      <c r="E632" t="s">
        <v>176</v>
      </c>
      <c r="F632" t="s">
        <v>177</v>
      </c>
      <c r="G632" t="s">
        <v>178</v>
      </c>
    </row>
    <row r="633" spans="1:7">
      <c r="A633">
        <v>2027</v>
      </c>
      <c r="B633" t="s">
        <v>191</v>
      </c>
      <c r="C633">
        <v>0</v>
      </c>
      <c r="D633" t="s">
        <v>183</v>
      </c>
      <c r="E633" t="s">
        <v>176</v>
      </c>
      <c r="F633" t="s">
        <v>177</v>
      </c>
      <c r="G633" t="s">
        <v>178</v>
      </c>
    </row>
    <row r="634" spans="1:7">
      <c r="A634">
        <v>2028</v>
      </c>
      <c r="B634" t="s">
        <v>191</v>
      </c>
      <c r="C634">
        <v>0</v>
      </c>
      <c r="D634" t="s">
        <v>183</v>
      </c>
      <c r="E634" t="s">
        <v>176</v>
      </c>
      <c r="F634" t="s">
        <v>177</v>
      </c>
      <c r="G634" t="s">
        <v>178</v>
      </c>
    </row>
    <row r="635" spans="1:7">
      <c r="A635">
        <v>2029</v>
      </c>
      <c r="B635" t="s">
        <v>191</v>
      </c>
      <c r="C635">
        <v>0</v>
      </c>
      <c r="D635" t="s">
        <v>183</v>
      </c>
      <c r="E635" t="s">
        <v>176</v>
      </c>
      <c r="F635" t="s">
        <v>177</v>
      </c>
      <c r="G635" t="s">
        <v>178</v>
      </c>
    </row>
    <row r="636" spans="1:7">
      <c r="A636">
        <v>2030</v>
      </c>
      <c r="B636" t="s">
        <v>191</v>
      </c>
      <c r="C636">
        <v>0</v>
      </c>
      <c r="D636" t="s">
        <v>183</v>
      </c>
      <c r="E636" t="s">
        <v>176</v>
      </c>
      <c r="F636" t="s">
        <v>177</v>
      </c>
      <c r="G636" t="s">
        <v>178</v>
      </c>
    </row>
    <row r="637" spans="1:7">
      <c r="A637">
        <v>2031</v>
      </c>
      <c r="B637" t="s">
        <v>191</v>
      </c>
      <c r="C637">
        <v>0</v>
      </c>
      <c r="D637" t="s">
        <v>183</v>
      </c>
      <c r="E637" t="s">
        <v>176</v>
      </c>
      <c r="F637" t="s">
        <v>177</v>
      </c>
      <c r="G637" t="s">
        <v>178</v>
      </c>
    </row>
    <row r="638" spans="1:7">
      <c r="A638">
        <v>2032</v>
      </c>
      <c r="B638" t="s">
        <v>191</v>
      </c>
      <c r="C638">
        <v>0</v>
      </c>
      <c r="D638" t="s">
        <v>183</v>
      </c>
      <c r="E638" t="s">
        <v>176</v>
      </c>
      <c r="F638" t="s">
        <v>177</v>
      </c>
      <c r="G638" t="s">
        <v>178</v>
      </c>
    </row>
    <row r="639" spans="1:7">
      <c r="A639">
        <v>2033</v>
      </c>
      <c r="B639" t="s">
        <v>191</v>
      </c>
      <c r="C639">
        <v>0</v>
      </c>
      <c r="D639" t="s">
        <v>183</v>
      </c>
      <c r="E639" t="s">
        <v>176</v>
      </c>
      <c r="F639" t="s">
        <v>177</v>
      </c>
      <c r="G639" t="s">
        <v>178</v>
      </c>
    </row>
    <row r="640" spans="1:7">
      <c r="A640">
        <v>2034</v>
      </c>
      <c r="B640" t="s">
        <v>191</v>
      </c>
      <c r="C640">
        <v>0</v>
      </c>
      <c r="D640" t="s">
        <v>183</v>
      </c>
      <c r="E640" t="s">
        <v>176</v>
      </c>
      <c r="F640" t="s">
        <v>177</v>
      </c>
      <c r="G640" t="s">
        <v>178</v>
      </c>
    </row>
    <row r="641" spans="1:7">
      <c r="A641">
        <v>2035</v>
      </c>
      <c r="B641" t="s">
        <v>191</v>
      </c>
      <c r="C641">
        <v>0</v>
      </c>
      <c r="D641" t="s">
        <v>183</v>
      </c>
      <c r="E641" t="s">
        <v>176</v>
      </c>
      <c r="F641" t="s">
        <v>177</v>
      </c>
      <c r="G641" t="s">
        <v>178</v>
      </c>
    </row>
    <row r="642" spans="1:7">
      <c r="A642">
        <v>2020</v>
      </c>
      <c r="B642" t="s">
        <v>192</v>
      </c>
      <c r="C642">
        <v>2783.01</v>
      </c>
      <c r="D642" t="s">
        <v>183</v>
      </c>
      <c r="E642" t="s">
        <v>176</v>
      </c>
      <c r="F642" t="s">
        <v>177</v>
      </c>
      <c r="G642" t="s">
        <v>178</v>
      </c>
    </row>
    <row r="643" spans="1:7">
      <c r="A643">
        <v>2021</v>
      </c>
      <c r="B643" t="s">
        <v>192</v>
      </c>
      <c r="C643">
        <v>0</v>
      </c>
      <c r="D643" t="s">
        <v>183</v>
      </c>
      <c r="E643" t="s">
        <v>176</v>
      </c>
      <c r="F643" t="s">
        <v>177</v>
      </c>
      <c r="G643" t="s">
        <v>178</v>
      </c>
    </row>
    <row r="644" spans="1:7">
      <c r="A644">
        <v>2022</v>
      </c>
      <c r="B644" t="s">
        <v>192</v>
      </c>
      <c r="C644">
        <v>0</v>
      </c>
      <c r="D644" t="s">
        <v>183</v>
      </c>
      <c r="E644" t="s">
        <v>176</v>
      </c>
      <c r="F644" t="s">
        <v>177</v>
      </c>
      <c r="G644" t="s">
        <v>178</v>
      </c>
    </row>
    <row r="645" spans="1:7">
      <c r="A645">
        <v>2023</v>
      </c>
      <c r="B645" t="s">
        <v>192</v>
      </c>
      <c r="C645">
        <v>4.5</v>
      </c>
      <c r="D645" t="s">
        <v>183</v>
      </c>
      <c r="E645" t="s">
        <v>176</v>
      </c>
      <c r="F645" t="s">
        <v>177</v>
      </c>
      <c r="G645" t="s">
        <v>178</v>
      </c>
    </row>
    <row r="646" spans="1:7">
      <c r="A646">
        <v>2024</v>
      </c>
      <c r="B646" t="s">
        <v>192</v>
      </c>
      <c r="C646">
        <v>4.5</v>
      </c>
      <c r="D646" t="s">
        <v>183</v>
      </c>
      <c r="E646" t="s">
        <v>176</v>
      </c>
      <c r="F646" t="s">
        <v>177</v>
      </c>
      <c r="G646" t="s">
        <v>178</v>
      </c>
    </row>
    <row r="647" spans="1:7">
      <c r="A647">
        <v>2025</v>
      </c>
      <c r="B647" t="s">
        <v>192</v>
      </c>
      <c r="C647">
        <v>7.5</v>
      </c>
      <c r="D647" t="s">
        <v>183</v>
      </c>
      <c r="E647" t="s">
        <v>176</v>
      </c>
      <c r="F647" t="s">
        <v>177</v>
      </c>
      <c r="G647" t="s">
        <v>178</v>
      </c>
    </row>
    <row r="648" spans="1:7">
      <c r="A648">
        <v>2026</v>
      </c>
      <c r="B648" t="s">
        <v>192</v>
      </c>
      <c r="C648">
        <v>7.5</v>
      </c>
      <c r="D648" t="s">
        <v>183</v>
      </c>
      <c r="E648" t="s">
        <v>176</v>
      </c>
      <c r="F648" t="s">
        <v>177</v>
      </c>
      <c r="G648" t="s">
        <v>178</v>
      </c>
    </row>
    <row r="649" spans="1:7">
      <c r="A649">
        <v>2027</v>
      </c>
      <c r="B649" t="s">
        <v>192</v>
      </c>
      <c r="C649">
        <v>0</v>
      </c>
      <c r="D649" t="s">
        <v>183</v>
      </c>
      <c r="E649" t="s">
        <v>176</v>
      </c>
      <c r="F649" t="s">
        <v>177</v>
      </c>
      <c r="G649" t="s">
        <v>178</v>
      </c>
    </row>
    <row r="650" spans="1:7">
      <c r="A650">
        <v>2028</v>
      </c>
      <c r="B650" t="s">
        <v>192</v>
      </c>
      <c r="C650">
        <v>0</v>
      </c>
      <c r="D650" t="s">
        <v>183</v>
      </c>
      <c r="E650" t="s">
        <v>176</v>
      </c>
      <c r="F650" t="s">
        <v>177</v>
      </c>
      <c r="G650" t="s">
        <v>178</v>
      </c>
    </row>
    <row r="651" spans="1:7">
      <c r="A651">
        <v>2029</v>
      </c>
      <c r="B651" t="s">
        <v>192</v>
      </c>
      <c r="C651">
        <v>0</v>
      </c>
      <c r="D651" t="s">
        <v>183</v>
      </c>
      <c r="E651" t="s">
        <v>176</v>
      </c>
      <c r="F651" t="s">
        <v>177</v>
      </c>
      <c r="G651" t="s">
        <v>178</v>
      </c>
    </row>
    <row r="652" spans="1:7">
      <c r="A652">
        <v>2030</v>
      </c>
      <c r="B652" t="s">
        <v>192</v>
      </c>
      <c r="C652">
        <v>0</v>
      </c>
      <c r="D652" t="s">
        <v>183</v>
      </c>
      <c r="E652" t="s">
        <v>176</v>
      </c>
      <c r="F652" t="s">
        <v>177</v>
      </c>
      <c r="G652" t="s">
        <v>178</v>
      </c>
    </row>
    <row r="653" spans="1:7">
      <c r="A653">
        <v>2031</v>
      </c>
      <c r="B653" t="s">
        <v>192</v>
      </c>
      <c r="C653">
        <v>10.5</v>
      </c>
      <c r="D653" t="s">
        <v>183</v>
      </c>
      <c r="E653" t="s">
        <v>176</v>
      </c>
      <c r="F653" t="s">
        <v>177</v>
      </c>
      <c r="G653" t="s">
        <v>178</v>
      </c>
    </row>
    <row r="654" spans="1:7">
      <c r="A654">
        <v>2032</v>
      </c>
      <c r="B654" t="s">
        <v>192</v>
      </c>
      <c r="C654">
        <v>10.5</v>
      </c>
      <c r="D654" t="s">
        <v>183</v>
      </c>
      <c r="E654" t="s">
        <v>176</v>
      </c>
      <c r="F654" t="s">
        <v>177</v>
      </c>
      <c r="G654" t="s">
        <v>178</v>
      </c>
    </row>
    <row r="655" spans="1:7">
      <c r="A655">
        <v>2033</v>
      </c>
      <c r="B655" t="s">
        <v>192</v>
      </c>
      <c r="C655">
        <v>0</v>
      </c>
      <c r="D655" t="s">
        <v>183</v>
      </c>
      <c r="E655" t="s">
        <v>176</v>
      </c>
      <c r="F655" t="s">
        <v>177</v>
      </c>
      <c r="G655" t="s">
        <v>178</v>
      </c>
    </row>
    <row r="656" spans="1:7">
      <c r="A656">
        <v>2034</v>
      </c>
      <c r="B656" t="s">
        <v>192</v>
      </c>
      <c r="C656">
        <v>0</v>
      </c>
      <c r="D656" t="s">
        <v>183</v>
      </c>
      <c r="E656" t="s">
        <v>176</v>
      </c>
      <c r="F656" t="s">
        <v>177</v>
      </c>
      <c r="G656" t="s">
        <v>178</v>
      </c>
    </row>
    <row r="657" spans="1:7">
      <c r="A657">
        <v>2035</v>
      </c>
      <c r="B657" t="s">
        <v>192</v>
      </c>
      <c r="C657">
        <v>0</v>
      </c>
      <c r="D657" t="s">
        <v>183</v>
      </c>
      <c r="E657" t="s">
        <v>176</v>
      </c>
      <c r="F657" t="s">
        <v>177</v>
      </c>
      <c r="G657" t="s">
        <v>178</v>
      </c>
    </row>
    <row r="658" spans="1:7">
      <c r="A658">
        <v>2020</v>
      </c>
      <c r="B658" t="s">
        <v>193</v>
      </c>
      <c r="C658">
        <v>232.5</v>
      </c>
      <c r="D658" t="s">
        <v>183</v>
      </c>
      <c r="E658" t="s">
        <v>176</v>
      </c>
      <c r="F658" t="s">
        <v>177</v>
      </c>
      <c r="G658" t="s">
        <v>178</v>
      </c>
    </row>
    <row r="659" spans="1:7">
      <c r="A659">
        <v>2021</v>
      </c>
      <c r="B659" t="s">
        <v>193</v>
      </c>
      <c r="C659">
        <v>1100</v>
      </c>
      <c r="D659" t="s">
        <v>183</v>
      </c>
      <c r="E659" t="s">
        <v>176</v>
      </c>
      <c r="F659" t="s">
        <v>177</v>
      </c>
      <c r="G659" t="s">
        <v>178</v>
      </c>
    </row>
    <row r="660" spans="1:7">
      <c r="A660">
        <v>2022</v>
      </c>
      <c r="B660" t="s">
        <v>193</v>
      </c>
      <c r="C660">
        <v>1100</v>
      </c>
      <c r="D660" t="s">
        <v>183</v>
      </c>
      <c r="E660" t="s">
        <v>176</v>
      </c>
      <c r="F660" t="s">
        <v>177</v>
      </c>
      <c r="G660" t="s">
        <v>178</v>
      </c>
    </row>
    <row r="661" spans="1:7">
      <c r="A661">
        <v>2023</v>
      </c>
      <c r="B661" t="s">
        <v>193</v>
      </c>
      <c r="C661">
        <v>0</v>
      </c>
      <c r="D661" t="s">
        <v>183</v>
      </c>
      <c r="E661" t="s">
        <v>176</v>
      </c>
      <c r="F661" t="s">
        <v>177</v>
      </c>
      <c r="G661" t="s">
        <v>178</v>
      </c>
    </row>
    <row r="662" spans="1:7">
      <c r="A662">
        <v>2024</v>
      </c>
      <c r="B662" t="s">
        <v>193</v>
      </c>
      <c r="C662">
        <v>0</v>
      </c>
      <c r="D662" t="s">
        <v>183</v>
      </c>
      <c r="E662" t="s">
        <v>176</v>
      </c>
      <c r="F662" t="s">
        <v>177</v>
      </c>
      <c r="G662" t="s">
        <v>178</v>
      </c>
    </row>
    <row r="663" spans="1:7">
      <c r="A663">
        <v>2025</v>
      </c>
      <c r="B663" t="s">
        <v>193</v>
      </c>
      <c r="C663">
        <v>0</v>
      </c>
      <c r="D663" t="s">
        <v>183</v>
      </c>
      <c r="E663" t="s">
        <v>176</v>
      </c>
      <c r="F663" t="s">
        <v>177</v>
      </c>
      <c r="G663" t="s">
        <v>178</v>
      </c>
    </row>
    <row r="664" spans="1:7">
      <c r="A664">
        <v>2026</v>
      </c>
      <c r="B664" t="s">
        <v>193</v>
      </c>
      <c r="C664">
        <v>0</v>
      </c>
      <c r="D664" t="s">
        <v>183</v>
      </c>
      <c r="E664" t="s">
        <v>176</v>
      </c>
      <c r="F664" t="s">
        <v>177</v>
      </c>
      <c r="G664" t="s">
        <v>178</v>
      </c>
    </row>
    <row r="665" spans="1:7">
      <c r="A665">
        <v>2027</v>
      </c>
      <c r="B665" t="s">
        <v>193</v>
      </c>
      <c r="C665">
        <v>0</v>
      </c>
      <c r="D665" t="s">
        <v>183</v>
      </c>
      <c r="E665" t="s">
        <v>176</v>
      </c>
      <c r="F665" t="s">
        <v>177</v>
      </c>
      <c r="G665" t="s">
        <v>178</v>
      </c>
    </row>
    <row r="666" spans="1:7">
      <c r="A666">
        <v>2028</v>
      </c>
      <c r="B666" t="s">
        <v>193</v>
      </c>
      <c r="C666">
        <v>0</v>
      </c>
      <c r="D666" t="s">
        <v>183</v>
      </c>
      <c r="E666" t="s">
        <v>176</v>
      </c>
      <c r="F666" t="s">
        <v>177</v>
      </c>
      <c r="G666" t="s">
        <v>178</v>
      </c>
    </row>
    <row r="667" spans="1:7">
      <c r="A667">
        <v>2029</v>
      </c>
      <c r="B667" t="s">
        <v>193</v>
      </c>
      <c r="C667">
        <v>0</v>
      </c>
      <c r="D667" t="s">
        <v>183</v>
      </c>
      <c r="E667" t="s">
        <v>176</v>
      </c>
      <c r="F667" t="s">
        <v>177</v>
      </c>
      <c r="G667" t="s">
        <v>178</v>
      </c>
    </row>
    <row r="668" spans="1:7">
      <c r="A668">
        <v>2030</v>
      </c>
      <c r="B668" t="s">
        <v>193</v>
      </c>
      <c r="C668">
        <v>0</v>
      </c>
      <c r="D668" t="s">
        <v>183</v>
      </c>
      <c r="E668" t="s">
        <v>176</v>
      </c>
      <c r="F668" t="s">
        <v>177</v>
      </c>
      <c r="G668" t="s">
        <v>178</v>
      </c>
    </row>
    <row r="669" spans="1:7">
      <c r="A669">
        <v>2031</v>
      </c>
      <c r="B669" t="s">
        <v>193</v>
      </c>
      <c r="C669">
        <v>0</v>
      </c>
      <c r="D669" t="s">
        <v>183</v>
      </c>
      <c r="E669" t="s">
        <v>176</v>
      </c>
      <c r="F669" t="s">
        <v>177</v>
      </c>
      <c r="G669" t="s">
        <v>178</v>
      </c>
    </row>
    <row r="670" spans="1:7">
      <c r="A670">
        <v>2032</v>
      </c>
      <c r="B670" t="s">
        <v>193</v>
      </c>
      <c r="C670">
        <v>0</v>
      </c>
      <c r="D670" t="s">
        <v>183</v>
      </c>
      <c r="E670" t="s">
        <v>176</v>
      </c>
      <c r="F670" t="s">
        <v>177</v>
      </c>
      <c r="G670" t="s">
        <v>178</v>
      </c>
    </row>
    <row r="671" spans="1:7">
      <c r="A671">
        <v>2033</v>
      </c>
      <c r="B671" t="s">
        <v>193</v>
      </c>
      <c r="C671">
        <v>0</v>
      </c>
      <c r="D671" t="s">
        <v>183</v>
      </c>
      <c r="E671" t="s">
        <v>176</v>
      </c>
      <c r="F671" t="s">
        <v>177</v>
      </c>
      <c r="G671" t="s">
        <v>178</v>
      </c>
    </row>
    <row r="672" spans="1:7">
      <c r="A672">
        <v>2034</v>
      </c>
      <c r="B672" t="s">
        <v>193</v>
      </c>
      <c r="C672">
        <v>0</v>
      </c>
      <c r="D672" t="s">
        <v>183</v>
      </c>
      <c r="E672" t="s">
        <v>176</v>
      </c>
      <c r="F672" t="s">
        <v>177</v>
      </c>
      <c r="G672" t="s">
        <v>178</v>
      </c>
    </row>
    <row r="673" spans="1:7">
      <c r="A673">
        <v>2035</v>
      </c>
      <c r="B673" t="s">
        <v>193</v>
      </c>
      <c r="C673">
        <v>0</v>
      </c>
      <c r="D673" t="s">
        <v>183</v>
      </c>
      <c r="E673" t="s">
        <v>176</v>
      </c>
      <c r="F673" t="s">
        <v>177</v>
      </c>
      <c r="G673" t="s">
        <v>178</v>
      </c>
    </row>
    <row r="674" spans="1:7">
      <c r="A674">
        <v>2020</v>
      </c>
      <c r="B674" t="s">
        <v>194</v>
      </c>
      <c r="C674">
        <v>14.85</v>
      </c>
      <c r="D674" t="s">
        <v>183</v>
      </c>
      <c r="E674" t="s">
        <v>176</v>
      </c>
      <c r="F674" t="s">
        <v>177</v>
      </c>
      <c r="G674" t="s">
        <v>178</v>
      </c>
    </row>
    <row r="675" spans="1:7">
      <c r="A675">
        <v>2021</v>
      </c>
      <c r="B675" t="s">
        <v>194</v>
      </c>
      <c r="C675">
        <v>0</v>
      </c>
      <c r="D675" t="s">
        <v>183</v>
      </c>
      <c r="E675" t="s">
        <v>176</v>
      </c>
      <c r="F675" t="s">
        <v>177</v>
      </c>
      <c r="G675" t="s">
        <v>178</v>
      </c>
    </row>
    <row r="676" spans="1:7">
      <c r="A676">
        <v>2022</v>
      </c>
      <c r="B676" t="s">
        <v>194</v>
      </c>
      <c r="C676">
        <v>0</v>
      </c>
      <c r="D676" t="s">
        <v>183</v>
      </c>
      <c r="E676" t="s">
        <v>176</v>
      </c>
      <c r="F676" t="s">
        <v>177</v>
      </c>
      <c r="G676" t="s">
        <v>178</v>
      </c>
    </row>
    <row r="677" spans="1:7">
      <c r="A677">
        <v>2023</v>
      </c>
      <c r="B677" t="s">
        <v>194</v>
      </c>
      <c r="C677">
        <v>0</v>
      </c>
      <c r="D677" t="s">
        <v>183</v>
      </c>
      <c r="E677" t="s">
        <v>176</v>
      </c>
      <c r="F677" t="s">
        <v>177</v>
      </c>
      <c r="G677" t="s">
        <v>178</v>
      </c>
    </row>
    <row r="678" spans="1:7">
      <c r="A678">
        <v>2024</v>
      </c>
      <c r="B678" t="s">
        <v>194</v>
      </c>
      <c r="C678">
        <v>0</v>
      </c>
      <c r="D678" t="s">
        <v>183</v>
      </c>
      <c r="E678" t="s">
        <v>176</v>
      </c>
      <c r="F678" t="s">
        <v>177</v>
      </c>
      <c r="G678" t="s">
        <v>178</v>
      </c>
    </row>
    <row r="679" spans="1:7">
      <c r="A679">
        <v>2025</v>
      </c>
      <c r="B679" t="s">
        <v>194</v>
      </c>
      <c r="C679">
        <v>0</v>
      </c>
      <c r="D679" t="s">
        <v>183</v>
      </c>
      <c r="E679" t="s">
        <v>176</v>
      </c>
      <c r="F679" t="s">
        <v>177</v>
      </c>
      <c r="G679" t="s">
        <v>178</v>
      </c>
    </row>
    <row r="680" spans="1:7">
      <c r="A680">
        <v>2026</v>
      </c>
      <c r="B680" t="s">
        <v>194</v>
      </c>
      <c r="C680">
        <v>0</v>
      </c>
      <c r="D680" t="s">
        <v>183</v>
      </c>
      <c r="E680" t="s">
        <v>176</v>
      </c>
      <c r="F680" t="s">
        <v>177</v>
      </c>
      <c r="G680" t="s">
        <v>178</v>
      </c>
    </row>
    <row r="681" spans="1:7">
      <c r="A681">
        <v>2027</v>
      </c>
      <c r="B681" t="s">
        <v>194</v>
      </c>
      <c r="C681">
        <v>0</v>
      </c>
      <c r="D681" t="s">
        <v>183</v>
      </c>
      <c r="E681" t="s">
        <v>176</v>
      </c>
      <c r="F681" t="s">
        <v>177</v>
      </c>
      <c r="G681" t="s">
        <v>178</v>
      </c>
    </row>
    <row r="682" spans="1:7">
      <c r="A682">
        <v>2028</v>
      </c>
      <c r="B682" t="s">
        <v>194</v>
      </c>
      <c r="C682">
        <v>0</v>
      </c>
      <c r="D682" t="s">
        <v>183</v>
      </c>
      <c r="E682" t="s">
        <v>176</v>
      </c>
      <c r="F682" t="s">
        <v>177</v>
      </c>
      <c r="G682" t="s">
        <v>178</v>
      </c>
    </row>
    <row r="683" spans="1:7">
      <c r="A683">
        <v>2029</v>
      </c>
      <c r="B683" t="s">
        <v>194</v>
      </c>
      <c r="C683">
        <v>0</v>
      </c>
      <c r="D683" t="s">
        <v>183</v>
      </c>
      <c r="E683" t="s">
        <v>176</v>
      </c>
      <c r="F683" t="s">
        <v>177</v>
      </c>
      <c r="G683" t="s">
        <v>178</v>
      </c>
    </row>
    <row r="684" spans="1:7">
      <c r="A684">
        <v>2030</v>
      </c>
      <c r="B684" t="s">
        <v>194</v>
      </c>
      <c r="C684">
        <v>0</v>
      </c>
      <c r="D684" t="s">
        <v>183</v>
      </c>
      <c r="E684" t="s">
        <v>176</v>
      </c>
      <c r="F684" t="s">
        <v>177</v>
      </c>
      <c r="G684" t="s">
        <v>178</v>
      </c>
    </row>
    <row r="685" spans="1:7">
      <c r="A685">
        <v>2031</v>
      </c>
      <c r="B685" t="s">
        <v>194</v>
      </c>
      <c r="C685">
        <v>0</v>
      </c>
      <c r="D685" t="s">
        <v>183</v>
      </c>
      <c r="E685" t="s">
        <v>176</v>
      </c>
      <c r="F685" t="s">
        <v>177</v>
      </c>
      <c r="G685" t="s">
        <v>178</v>
      </c>
    </row>
    <row r="686" spans="1:7">
      <c r="A686">
        <v>2032</v>
      </c>
      <c r="B686" t="s">
        <v>194</v>
      </c>
      <c r="C686">
        <v>0</v>
      </c>
      <c r="D686" t="s">
        <v>183</v>
      </c>
      <c r="E686" t="s">
        <v>176</v>
      </c>
      <c r="F686" t="s">
        <v>177</v>
      </c>
      <c r="G686" t="s">
        <v>178</v>
      </c>
    </row>
    <row r="687" spans="1:7">
      <c r="A687">
        <v>2033</v>
      </c>
      <c r="B687" t="s">
        <v>194</v>
      </c>
      <c r="C687">
        <v>0</v>
      </c>
      <c r="D687" t="s">
        <v>183</v>
      </c>
      <c r="E687" t="s">
        <v>176</v>
      </c>
      <c r="F687" t="s">
        <v>177</v>
      </c>
      <c r="G687" t="s">
        <v>178</v>
      </c>
    </row>
    <row r="688" spans="1:7">
      <c r="A688">
        <v>2034</v>
      </c>
      <c r="B688" t="s">
        <v>194</v>
      </c>
      <c r="C688">
        <v>0</v>
      </c>
      <c r="D688" t="s">
        <v>183</v>
      </c>
      <c r="E688" t="s">
        <v>176</v>
      </c>
      <c r="F688" t="s">
        <v>177</v>
      </c>
      <c r="G688" t="s">
        <v>178</v>
      </c>
    </row>
    <row r="689" spans="1:7">
      <c r="A689">
        <v>2035</v>
      </c>
      <c r="B689" t="s">
        <v>194</v>
      </c>
      <c r="C689">
        <v>0</v>
      </c>
      <c r="D689" t="s">
        <v>183</v>
      </c>
      <c r="E689" t="s">
        <v>176</v>
      </c>
      <c r="F689" t="s">
        <v>177</v>
      </c>
      <c r="G689" t="s">
        <v>178</v>
      </c>
    </row>
    <row r="690" spans="1:7">
      <c r="A690">
        <v>2020</v>
      </c>
      <c r="B690" t="s">
        <v>195</v>
      </c>
      <c r="C690">
        <v>17687.099999999999</v>
      </c>
      <c r="D690" t="s">
        <v>183</v>
      </c>
      <c r="E690" t="s">
        <v>176</v>
      </c>
      <c r="F690" t="s">
        <v>177</v>
      </c>
      <c r="G690" t="s">
        <v>178</v>
      </c>
    </row>
    <row r="691" spans="1:7">
      <c r="A691">
        <v>2021</v>
      </c>
      <c r="B691" t="s">
        <v>195</v>
      </c>
      <c r="C691">
        <v>37552.300000000003</v>
      </c>
      <c r="D691" t="s">
        <v>183</v>
      </c>
      <c r="E691" t="s">
        <v>176</v>
      </c>
      <c r="F691" t="s">
        <v>177</v>
      </c>
      <c r="G691" t="s">
        <v>178</v>
      </c>
    </row>
    <row r="692" spans="1:7">
      <c r="A692">
        <v>2022</v>
      </c>
      <c r="B692" t="s">
        <v>195</v>
      </c>
      <c r="C692">
        <v>37552.300000000003</v>
      </c>
      <c r="D692" t="s">
        <v>183</v>
      </c>
      <c r="E692" t="s">
        <v>176</v>
      </c>
      <c r="F692" t="s">
        <v>177</v>
      </c>
      <c r="G692" t="s">
        <v>178</v>
      </c>
    </row>
    <row r="693" spans="1:7">
      <c r="A693">
        <v>2023</v>
      </c>
      <c r="B693" t="s">
        <v>195</v>
      </c>
      <c r="C693">
        <v>60406.1</v>
      </c>
      <c r="D693" t="s">
        <v>183</v>
      </c>
      <c r="E693" t="s">
        <v>176</v>
      </c>
      <c r="F693" t="s">
        <v>177</v>
      </c>
      <c r="G693" t="s">
        <v>178</v>
      </c>
    </row>
    <row r="694" spans="1:7">
      <c r="A694">
        <v>2024</v>
      </c>
      <c r="B694" t="s">
        <v>195</v>
      </c>
      <c r="C694">
        <v>60406.1</v>
      </c>
      <c r="D694" t="s">
        <v>183</v>
      </c>
      <c r="E694" t="s">
        <v>176</v>
      </c>
      <c r="F694" t="s">
        <v>177</v>
      </c>
      <c r="G694" t="s">
        <v>178</v>
      </c>
    </row>
    <row r="695" spans="1:7">
      <c r="A695">
        <v>2025</v>
      </c>
      <c r="B695" t="s">
        <v>195</v>
      </c>
      <c r="C695">
        <v>36775.599999999999</v>
      </c>
      <c r="D695" t="s">
        <v>183</v>
      </c>
      <c r="E695" t="s">
        <v>176</v>
      </c>
      <c r="F695" t="s">
        <v>177</v>
      </c>
      <c r="G695" t="s">
        <v>178</v>
      </c>
    </row>
    <row r="696" spans="1:7">
      <c r="A696">
        <v>2026</v>
      </c>
      <c r="B696" t="s">
        <v>195</v>
      </c>
      <c r="C696">
        <v>36775.599999999999</v>
      </c>
      <c r="D696" t="s">
        <v>183</v>
      </c>
      <c r="E696" t="s">
        <v>176</v>
      </c>
      <c r="F696" t="s">
        <v>177</v>
      </c>
      <c r="G696" t="s">
        <v>178</v>
      </c>
    </row>
    <row r="697" spans="1:7">
      <c r="A697">
        <v>2027</v>
      </c>
      <c r="B697" t="s">
        <v>195</v>
      </c>
      <c r="C697">
        <v>43888.5</v>
      </c>
      <c r="D697" t="s">
        <v>183</v>
      </c>
      <c r="E697" t="s">
        <v>176</v>
      </c>
      <c r="F697" t="s">
        <v>177</v>
      </c>
      <c r="G697" t="s">
        <v>178</v>
      </c>
    </row>
    <row r="698" spans="1:7">
      <c r="A698">
        <v>2028</v>
      </c>
      <c r="B698" t="s">
        <v>195</v>
      </c>
      <c r="C698">
        <v>43888.5</v>
      </c>
      <c r="D698" t="s">
        <v>183</v>
      </c>
      <c r="E698" t="s">
        <v>176</v>
      </c>
      <c r="F698" t="s">
        <v>177</v>
      </c>
      <c r="G698" t="s">
        <v>178</v>
      </c>
    </row>
    <row r="699" spans="1:7">
      <c r="A699">
        <v>2029</v>
      </c>
      <c r="B699" t="s">
        <v>195</v>
      </c>
      <c r="C699">
        <v>31130.1</v>
      </c>
      <c r="D699" t="s">
        <v>183</v>
      </c>
      <c r="E699" t="s">
        <v>176</v>
      </c>
      <c r="F699" t="s">
        <v>177</v>
      </c>
      <c r="G699" t="s">
        <v>178</v>
      </c>
    </row>
    <row r="700" spans="1:7">
      <c r="A700">
        <v>2030</v>
      </c>
      <c r="B700" t="s">
        <v>195</v>
      </c>
      <c r="C700">
        <v>31130.1</v>
      </c>
      <c r="D700" t="s">
        <v>183</v>
      </c>
      <c r="E700" t="s">
        <v>176</v>
      </c>
      <c r="F700" t="s">
        <v>177</v>
      </c>
      <c r="G700" t="s">
        <v>178</v>
      </c>
    </row>
    <row r="701" spans="1:7">
      <c r="A701">
        <v>2031</v>
      </c>
      <c r="B701" t="s">
        <v>195</v>
      </c>
      <c r="C701">
        <v>43792.3</v>
      </c>
      <c r="D701" t="s">
        <v>183</v>
      </c>
      <c r="E701" t="s">
        <v>176</v>
      </c>
      <c r="F701" t="s">
        <v>177</v>
      </c>
      <c r="G701" t="s">
        <v>178</v>
      </c>
    </row>
    <row r="702" spans="1:7">
      <c r="A702">
        <v>2032</v>
      </c>
      <c r="B702" t="s">
        <v>195</v>
      </c>
      <c r="C702">
        <v>43792.3</v>
      </c>
      <c r="D702" t="s">
        <v>183</v>
      </c>
      <c r="E702" t="s">
        <v>176</v>
      </c>
      <c r="F702" t="s">
        <v>177</v>
      </c>
      <c r="G702" t="s">
        <v>178</v>
      </c>
    </row>
    <row r="703" spans="1:7">
      <c r="A703">
        <v>2033</v>
      </c>
      <c r="B703" t="s">
        <v>195</v>
      </c>
      <c r="C703">
        <v>49731.3</v>
      </c>
      <c r="D703" t="s">
        <v>183</v>
      </c>
      <c r="E703" t="s">
        <v>176</v>
      </c>
      <c r="F703" t="s">
        <v>177</v>
      </c>
      <c r="G703" t="s">
        <v>178</v>
      </c>
    </row>
    <row r="704" spans="1:7">
      <c r="A704">
        <v>2034</v>
      </c>
      <c r="B704" t="s">
        <v>195</v>
      </c>
      <c r="C704">
        <v>49731.3</v>
      </c>
      <c r="D704" t="s">
        <v>183</v>
      </c>
      <c r="E704" t="s">
        <v>176</v>
      </c>
      <c r="F704" t="s">
        <v>177</v>
      </c>
      <c r="G704" t="s">
        <v>178</v>
      </c>
    </row>
    <row r="705" spans="1:7">
      <c r="A705">
        <v>2035</v>
      </c>
      <c r="B705" t="s">
        <v>195</v>
      </c>
      <c r="C705">
        <v>49731.3</v>
      </c>
      <c r="D705" t="s">
        <v>183</v>
      </c>
      <c r="E705" t="s">
        <v>176</v>
      </c>
      <c r="F705" t="s">
        <v>177</v>
      </c>
      <c r="G705" t="s">
        <v>178</v>
      </c>
    </row>
    <row r="706" spans="1:7">
      <c r="A706">
        <v>2020</v>
      </c>
      <c r="B706" t="s">
        <v>196</v>
      </c>
      <c r="C706">
        <v>12547.3</v>
      </c>
      <c r="D706" t="s">
        <v>183</v>
      </c>
      <c r="E706" t="s">
        <v>176</v>
      </c>
      <c r="F706" t="s">
        <v>177</v>
      </c>
      <c r="G706" t="s">
        <v>178</v>
      </c>
    </row>
    <row r="707" spans="1:7">
      <c r="A707">
        <v>2021</v>
      </c>
      <c r="B707" t="s">
        <v>196</v>
      </c>
      <c r="C707">
        <v>21592.1</v>
      </c>
      <c r="D707" t="s">
        <v>183</v>
      </c>
      <c r="E707" t="s">
        <v>176</v>
      </c>
      <c r="F707" t="s">
        <v>177</v>
      </c>
      <c r="G707" t="s">
        <v>178</v>
      </c>
    </row>
    <row r="708" spans="1:7">
      <c r="A708">
        <v>2022</v>
      </c>
      <c r="B708" t="s">
        <v>196</v>
      </c>
      <c r="C708">
        <v>21592.1</v>
      </c>
      <c r="D708" t="s">
        <v>183</v>
      </c>
      <c r="E708" t="s">
        <v>176</v>
      </c>
      <c r="F708" t="s">
        <v>177</v>
      </c>
      <c r="G708" t="s">
        <v>178</v>
      </c>
    </row>
    <row r="709" spans="1:7">
      <c r="A709">
        <v>2023</v>
      </c>
      <c r="B709" t="s">
        <v>196</v>
      </c>
      <c r="C709">
        <v>4666.7700000000004</v>
      </c>
      <c r="D709" t="s">
        <v>183</v>
      </c>
      <c r="E709" t="s">
        <v>176</v>
      </c>
      <c r="F709" t="s">
        <v>177</v>
      </c>
      <c r="G709" t="s">
        <v>178</v>
      </c>
    </row>
    <row r="710" spans="1:7">
      <c r="A710">
        <v>2024</v>
      </c>
      <c r="B710" t="s">
        <v>196</v>
      </c>
      <c r="C710">
        <v>4666.7700000000004</v>
      </c>
      <c r="D710" t="s">
        <v>183</v>
      </c>
      <c r="E710" t="s">
        <v>176</v>
      </c>
      <c r="F710" t="s">
        <v>177</v>
      </c>
      <c r="G710" t="s">
        <v>178</v>
      </c>
    </row>
    <row r="711" spans="1:7">
      <c r="A711">
        <v>2025</v>
      </c>
      <c r="B711" t="s">
        <v>196</v>
      </c>
      <c r="C711">
        <v>26517.200000000001</v>
      </c>
      <c r="D711" t="s">
        <v>183</v>
      </c>
      <c r="E711" t="s">
        <v>176</v>
      </c>
      <c r="F711" t="s">
        <v>177</v>
      </c>
      <c r="G711" t="s">
        <v>178</v>
      </c>
    </row>
    <row r="712" spans="1:7">
      <c r="A712">
        <v>2026</v>
      </c>
      <c r="B712" t="s">
        <v>196</v>
      </c>
      <c r="C712">
        <v>26517.200000000001</v>
      </c>
      <c r="D712" t="s">
        <v>183</v>
      </c>
      <c r="E712" t="s">
        <v>176</v>
      </c>
      <c r="F712" t="s">
        <v>177</v>
      </c>
      <c r="G712" t="s">
        <v>178</v>
      </c>
    </row>
    <row r="713" spans="1:7">
      <c r="A713">
        <v>2027</v>
      </c>
      <c r="B713" t="s">
        <v>196</v>
      </c>
      <c r="C713">
        <v>26043.599999999999</v>
      </c>
      <c r="D713" t="s">
        <v>183</v>
      </c>
      <c r="E713" t="s">
        <v>176</v>
      </c>
      <c r="F713" t="s">
        <v>177</v>
      </c>
      <c r="G713" t="s">
        <v>178</v>
      </c>
    </row>
    <row r="714" spans="1:7">
      <c r="A714">
        <v>2028</v>
      </c>
      <c r="B714" t="s">
        <v>196</v>
      </c>
      <c r="C714">
        <v>26043.599999999999</v>
      </c>
      <c r="D714" t="s">
        <v>183</v>
      </c>
      <c r="E714" t="s">
        <v>176</v>
      </c>
      <c r="F714" t="s">
        <v>177</v>
      </c>
      <c r="G714" t="s">
        <v>178</v>
      </c>
    </row>
    <row r="715" spans="1:7">
      <c r="A715">
        <v>2029</v>
      </c>
      <c r="B715" t="s">
        <v>196</v>
      </c>
      <c r="C715">
        <v>31581</v>
      </c>
      <c r="D715" t="s">
        <v>183</v>
      </c>
      <c r="E715" t="s">
        <v>176</v>
      </c>
      <c r="F715" t="s">
        <v>177</v>
      </c>
      <c r="G715" t="s">
        <v>178</v>
      </c>
    </row>
    <row r="716" spans="1:7">
      <c r="A716">
        <v>2030</v>
      </c>
      <c r="B716" t="s">
        <v>196</v>
      </c>
      <c r="C716">
        <v>31581</v>
      </c>
      <c r="D716" t="s">
        <v>183</v>
      </c>
      <c r="E716" t="s">
        <v>176</v>
      </c>
      <c r="F716" t="s">
        <v>177</v>
      </c>
      <c r="G716" t="s">
        <v>178</v>
      </c>
    </row>
    <row r="717" spans="1:7">
      <c r="A717">
        <v>2031</v>
      </c>
      <c r="B717" t="s">
        <v>196</v>
      </c>
      <c r="C717">
        <v>38609.5</v>
      </c>
      <c r="D717" t="s">
        <v>183</v>
      </c>
      <c r="E717" t="s">
        <v>176</v>
      </c>
      <c r="F717" t="s">
        <v>177</v>
      </c>
      <c r="G717" t="s">
        <v>178</v>
      </c>
    </row>
    <row r="718" spans="1:7">
      <c r="A718">
        <v>2032</v>
      </c>
      <c r="B718" t="s">
        <v>196</v>
      </c>
      <c r="C718">
        <v>38609.5</v>
      </c>
      <c r="D718" t="s">
        <v>183</v>
      </c>
      <c r="E718" t="s">
        <v>176</v>
      </c>
      <c r="F718" t="s">
        <v>177</v>
      </c>
      <c r="G718" t="s">
        <v>178</v>
      </c>
    </row>
    <row r="719" spans="1:7">
      <c r="A719">
        <v>2033</v>
      </c>
      <c r="B719" t="s">
        <v>196</v>
      </c>
      <c r="C719">
        <v>42066.5</v>
      </c>
      <c r="D719" t="s">
        <v>183</v>
      </c>
      <c r="E719" t="s">
        <v>176</v>
      </c>
      <c r="F719" t="s">
        <v>177</v>
      </c>
      <c r="G719" t="s">
        <v>178</v>
      </c>
    </row>
    <row r="720" spans="1:7">
      <c r="A720">
        <v>2034</v>
      </c>
      <c r="B720" t="s">
        <v>196</v>
      </c>
      <c r="C720">
        <v>42066.5</v>
      </c>
      <c r="D720" t="s">
        <v>183</v>
      </c>
      <c r="E720" t="s">
        <v>176</v>
      </c>
      <c r="F720" t="s">
        <v>177</v>
      </c>
      <c r="G720" t="s">
        <v>178</v>
      </c>
    </row>
    <row r="721" spans="1:7">
      <c r="A721">
        <v>2035</v>
      </c>
      <c r="B721" t="s">
        <v>196</v>
      </c>
      <c r="C721">
        <v>42066.5</v>
      </c>
      <c r="D721" t="s">
        <v>183</v>
      </c>
      <c r="E721" t="s">
        <v>176</v>
      </c>
      <c r="F721" t="s">
        <v>177</v>
      </c>
      <c r="G721" t="s">
        <v>178</v>
      </c>
    </row>
    <row r="722" spans="1:7">
      <c r="A722">
        <v>2020</v>
      </c>
      <c r="B722" t="s">
        <v>188</v>
      </c>
      <c r="C722">
        <v>102.45</v>
      </c>
      <c r="D722" t="s">
        <v>183</v>
      </c>
      <c r="E722" t="s">
        <v>176</v>
      </c>
      <c r="F722" t="s">
        <v>177</v>
      </c>
      <c r="G722" t="s">
        <v>179</v>
      </c>
    </row>
    <row r="723" spans="1:7">
      <c r="A723">
        <v>2021</v>
      </c>
      <c r="B723" t="s">
        <v>188</v>
      </c>
      <c r="C723">
        <v>9.5</v>
      </c>
      <c r="D723" t="s">
        <v>183</v>
      </c>
      <c r="E723" t="s">
        <v>176</v>
      </c>
      <c r="F723" t="s">
        <v>177</v>
      </c>
      <c r="G723" t="s">
        <v>179</v>
      </c>
    </row>
    <row r="724" spans="1:7">
      <c r="A724">
        <v>2022</v>
      </c>
      <c r="B724" t="s">
        <v>188</v>
      </c>
      <c r="C724">
        <v>9.5</v>
      </c>
      <c r="D724" t="s">
        <v>183</v>
      </c>
      <c r="E724" t="s">
        <v>176</v>
      </c>
      <c r="F724" t="s">
        <v>177</v>
      </c>
      <c r="G724" t="s">
        <v>179</v>
      </c>
    </row>
    <row r="725" spans="1:7">
      <c r="A725">
        <v>2023</v>
      </c>
      <c r="B725" t="s">
        <v>188</v>
      </c>
      <c r="C725">
        <v>0</v>
      </c>
      <c r="D725" t="s">
        <v>183</v>
      </c>
      <c r="E725" t="s">
        <v>176</v>
      </c>
      <c r="F725" t="s">
        <v>177</v>
      </c>
      <c r="G725" t="s">
        <v>179</v>
      </c>
    </row>
    <row r="726" spans="1:7">
      <c r="A726">
        <v>2024</v>
      </c>
      <c r="B726" t="s">
        <v>188</v>
      </c>
      <c r="C726">
        <v>0</v>
      </c>
      <c r="D726" t="s">
        <v>183</v>
      </c>
      <c r="E726" t="s">
        <v>176</v>
      </c>
      <c r="F726" t="s">
        <v>177</v>
      </c>
      <c r="G726" t="s">
        <v>179</v>
      </c>
    </row>
    <row r="727" spans="1:7">
      <c r="A727">
        <v>2025</v>
      </c>
      <c r="B727" t="s">
        <v>188</v>
      </c>
      <c r="C727">
        <v>0</v>
      </c>
      <c r="D727" t="s">
        <v>183</v>
      </c>
      <c r="E727" t="s">
        <v>176</v>
      </c>
      <c r="F727" t="s">
        <v>177</v>
      </c>
      <c r="G727" t="s">
        <v>179</v>
      </c>
    </row>
    <row r="728" spans="1:7">
      <c r="A728">
        <v>2026</v>
      </c>
      <c r="B728" t="s">
        <v>188</v>
      </c>
      <c r="C728">
        <v>0</v>
      </c>
      <c r="D728" t="s">
        <v>183</v>
      </c>
      <c r="E728" t="s">
        <v>176</v>
      </c>
      <c r="F728" t="s">
        <v>177</v>
      </c>
      <c r="G728" t="s">
        <v>179</v>
      </c>
    </row>
    <row r="729" spans="1:7">
      <c r="A729">
        <v>2027</v>
      </c>
      <c r="B729" t="s">
        <v>188</v>
      </c>
      <c r="C729">
        <v>0</v>
      </c>
      <c r="D729" t="s">
        <v>183</v>
      </c>
      <c r="E729" t="s">
        <v>176</v>
      </c>
      <c r="F729" t="s">
        <v>177</v>
      </c>
      <c r="G729" t="s">
        <v>179</v>
      </c>
    </row>
    <row r="730" spans="1:7">
      <c r="A730">
        <v>2028</v>
      </c>
      <c r="B730" t="s">
        <v>188</v>
      </c>
      <c r="C730">
        <v>0</v>
      </c>
      <c r="D730" t="s">
        <v>183</v>
      </c>
      <c r="E730" t="s">
        <v>176</v>
      </c>
      <c r="F730" t="s">
        <v>177</v>
      </c>
      <c r="G730" t="s">
        <v>179</v>
      </c>
    </row>
    <row r="731" spans="1:7">
      <c r="A731">
        <v>2029</v>
      </c>
      <c r="B731" t="s">
        <v>188</v>
      </c>
      <c r="C731">
        <v>0</v>
      </c>
      <c r="D731" t="s">
        <v>183</v>
      </c>
      <c r="E731" t="s">
        <v>176</v>
      </c>
      <c r="F731" t="s">
        <v>177</v>
      </c>
      <c r="G731" t="s">
        <v>179</v>
      </c>
    </row>
    <row r="732" spans="1:7">
      <c r="A732">
        <v>2030</v>
      </c>
      <c r="B732" t="s">
        <v>188</v>
      </c>
      <c r="C732">
        <v>0</v>
      </c>
      <c r="D732" t="s">
        <v>183</v>
      </c>
      <c r="E732" t="s">
        <v>176</v>
      </c>
      <c r="F732" t="s">
        <v>177</v>
      </c>
      <c r="G732" t="s">
        <v>179</v>
      </c>
    </row>
    <row r="733" spans="1:7">
      <c r="A733">
        <v>2031</v>
      </c>
      <c r="B733" t="s">
        <v>188</v>
      </c>
      <c r="C733">
        <v>0</v>
      </c>
      <c r="D733" t="s">
        <v>183</v>
      </c>
      <c r="E733" t="s">
        <v>176</v>
      </c>
      <c r="F733" t="s">
        <v>177</v>
      </c>
      <c r="G733" t="s">
        <v>179</v>
      </c>
    </row>
    <row r="734" spans="1:7">
      <c r="A734">
        <v>2032</v>
      </c>
      <c r="B734" t="s">
        <v>188</v>
      </c>
      <c r="C734">
        <v>0</v>
      </c>
      <c r="D734" t="s">
        <v>183</v>
      </c>
      <c r="E734" t="s">
        <v>176</v>
      </c>
      <c r="F734" t="s">
        <v>177</v>
      </c>
      <c r="G734" t="s">
        <v>179</v>
      </c>
    </row>
    <row r="735" spans="1:7">
      <c r="A735">
        <v>2033</v>
      </c>
      <c r="B735" t="s">
        <v>188</v>
      </c>
      <c r="C735">
        <v>0</v>
      </c>
      <c r="D735" t="s">
        <v>183</v>
      </c>
      <c r="E735" t="s">
        <v>176</v>
      </c>
      <c r="F735" t="s">
        <v>177</v>
      </c>
      <c r="G735" t="s">
        <v>179</v>
      </c>
    </row>
    <row r="736" spans="1:7">
      <c r="A736">
        <v>2034</v>
      </c>
      <c r="B736" t="s">
        <v>188</v>
      </c>
      <c r="C736">
        <v>0</v>
      </c>
      <c r="D736" t="s">
        <v>183</v>
      </c>
      <c r="E736" t="s">
        <v>176</v>
      </c>
      <c r="F736" t="s">
        <v>177</v>
      </c>
      <c r="G736" t="s">
        <v>179</v>
      </c>
    </row>
    <row r="737" spans="1:7">
      <c r="A737">
        <v>2035</v>
      </c>
      <c r="B737" t="s">
        <v>188</v>
      </c>
      <c r="C737">
        <v>0</v>
      </c>
      <c r="D737" t="s">
        <v>183</v>
      </c>
      <c r="E737" t="s">
        <v>176</v>
      </c>
      <c r="F737" t="s">
        <v>177</v>
      </c>
      <c r="G737" t="s">
        <v>179</v>
      </c>
    </row>
    <row r="738" spans="1:7">
      <c r="A738">
        <v>2020</v>
      </c>
      <c r="B738" t="s">
        <v>189</v>
      </c>
      <c r="C738">
        <v>0</v>
      </c>
      <c r="D738" t="s">
        <v>183</v>
      </c>
      <c r="E738" t="s">
        <v>176</v>
      </c>
      <c r="F738" t="s">
        <v>177</v>
      </c>
      <c r="G738" t="s">
        <v>179</v>
      </c>
    </row>
    <row r="739" spans="1:7">
      <c r="A739">
        <v>2021</v>
      </c>
      <c r="B739" t="s">
        <v>189</v>
      </c>
      <c r="C739">
        <v>0</v>
      </c>
      <c r="D739" t="s">
        <v>183</v>
      </c>
      <c r="E739" t="s">
        <v>176</v>
      </c>
      <c r="F739" t="s">
        <v>177</v>
      </c>
      <c r="G739" t="s">
        <v>179</v>
      </c>
    </row>
    <row r="740" spans="1:7">
      <c r="A740">
        <v>2022</v>
      </c>
      <c r="B740" t="s">
        <v>189</v>
      </c>
      <c r="C740">
        <v>0</v>
      </c>
      <c r="D740" t="s">
        <v>183</v>
      </c>
      <c r="E740" t="s">
        <v>176</v>
      </c>
      <c r="F740" t="s">
        <v>177</v>
      </c>
      <c r="G740" t="s">
        <v>179</v>
      </c>
    </row>
    <row r="741" spans="1:7">
      <c r="A741">
        <v>2023</v>
      </c>
      <c r="B741" t="s">
        <v>189</v>
      </c>
      <c r="C741">
        <v>0</v>
      </c>
      <c r="D741" t="s">
        <v>183</v>
      </c>
      <c r="E741" t="s">
        <v>176</v>
      </c>
      <c r="F741" t="s">
        <v>177</v>
      </c>
      <c r="G741" t="s">
        <v>179</v>
      </c>
    </row>
    <row r="742" spans="1:7">
      <c r="A742">
        <v>2024</v>
      </c>
      <c r="B742" t="s">
        <v>189</v>
      </c>
      <c r="C742">
        <v>0</v>
      </c>
      <c r="D742" t="s">
        <v>183</v>
      </c>
      <c r="E742" t="s">
        <v>176</v>
      </c>
      <c r="F742" t="s">
        <v>177</v>
      </c>
      <c r="G742" t="s">
        <v>179</v>
      </c>
    </row>
    <row r="743" spans="1:7">
      <c r="A743">
        <v>2025</v>
      </c>
      <c r="B743" t="s">
        <v>189</v>
      </c>
      <c r="C743">
        <v>0</v>
      </c>
      <c r="D743" t="s">
        <v>183</v>
      </c>
      <c r="E743" t="s">
        <v>176</v>
      </c>
      <c r="F743" t="s">
        <v>177</v>
      </c>
      <c r="G743" t="s">
        <v>179</v>
      </c>
    </row>
    <row r="744" spans="1:7">
      <c r="A744">
        <v>2026</v>
      </c>
      <c r="B744" t="s">
        <v>189</v>
      </c>
      <c r="C744">
        <v>0</v>
      </c>
      <c r="D744" t="s">
        <v>183</v>
      </c>
      <c r="E744" t="s">
        <v>176</v>
      </c>
      <c r="F744" t="s">
        <v>177</v>
      </c>
      <c r="G744" t="s">
        <v>179</v>
      </c>
    </row>
    <row r="745" spans="1:7">
      <c r="A745">
        <v>2027</v>
      </c>
      <c r="B745" t="s">
        <v>189</v>
      </c>
      <c r="C745">
        <v>0</v>
      </c>
      <c r="D745" t="s">
        <v>183</v>
      </c>
      <c r="E745" t="s">
        <v>176</v>
      </c>
      <c r="F745" t="s">
        <v>177</v>
      </c>
      <c r="G745" t="s">
        <v>179</v>
      </c>
    </row>
    <row r="746" spans="1:7">
      <c r="A746">
        <v>2028</v>
      </c>
      <c r="B746" t="s">
        <v>189</v>
      </c>
      <c r="C746">
        <v>0</v>
      </c>
      <c r="D746" t="s">
        <v>183</v>
      </c>
      <c r="E746" t="s">
        <v>176</v>
      </c>
      <c r="F746" t="s">
        <v>177</v>
      </c>
      <c r="G746" t="s">
        <v>179</v>
      </c>
    </row>
    <row r="747" spans="1:7">
      <c r="A747">
        <v>2029</v>
      </c>
      <c r="B747" t="s">
        <v>189</v>
      </c>
      <c r="C747">
        <v>0</v>
      </c>
      <c r="D747" t="s">
        <v>183</v>
      </c>
      <c r="E747" t="s">
        <v>176</v>
      </c>
      <c r="F747" t="s">
        <v>177</v>
      </c>
      <c r="G747" t="s">
        <v>179</v>
      </c>
    </row>
    <row r="748" spans="1:7">
      <c r="A748">
        <v>2030</v>
      </c>
      <c r="B748" t="s">
        <v>189</v>
      </c>
      <c r="C748">
        <v>0</v>
      </c>
      <c r="D748" t="s">
        <v>183</v>
      </c>
      <c r="E748" t="s">
        <v>176</v>
      </c>
      <c r="F748" t="s">
        <v>177</v>
      </c>
      <c r="G748" t="s">
        <v>179</v>
      </c>
    </row>
    <row r="749" spans="1:7">
      <c r="A749">
        <v>2031</v>
      </c>
      <c r="B749" t="s">
        <v>189</v>
      </c>
      <c r="C749">
        <v>0</v>
      </c>
      <c r="D749" t="s">
        <v>183</v>
      </c>
      <c r="E749" t="s">
        <v>176</v>
      </c>
      <c r="F749" t="s">
        <v>177</v>
      </c>
      <c r="G749" t="s">
        <v>179</v>
      </c>
    </row>
    <row r="750" spans="1:7">
      <c r="A750">
        <v>2032</v>
      </c>
      <c r="B750" t="s">
        <v>189</v>
      </c>
      <c r="C750">
        <v>0</v>
      </c>
      <c r="D750" t="s">
        <v>183</v>
      </c>
      <c r="E750" t="s">
        <v>176</v>
      </c>
      <c r="F750" t="s">
        <v>177</v>
      </c>
      <c r="G750" t="s">
        <v>179</v>
      </c>
    </row>
    <row r="751" spans="1:7">
      <c r="A751">
        <v>2033</v>
      </c>
      <c r="B751" t="s">
        <v>189</v>
      </c>
      <c r="C751">
        <v>0</v>
      </c>
      <c r="D751" t="s">
        <v>183</v>
      </c>
      <c r="E751" t="s">
        <v>176</v>
      </c>
      <c r="F751" t="s">
        <v>177</v>
      </c>
      <c r="G751" t="s">
        <v>179</v>
      </c>
    </row>
    <row r="752" spans="1:7">
      <c r="A752">
        <v>2034</v>
      </c>
      <c r="B752" t="s">
        <v>189</v>
      </c>
      <c r="C752">
        <v>0</v>
      </c>
      <c r="D752" t="s">
        <v>183</v>
      </c>
      <c r="E752" t="s">
        <v>176</v>
      </c>
      <c r="F752" t="s">
        <v>177</v>
      </c>
      <c r="G752" t="s">
        <v>179</v>
      </c>
    </row>
    <row r="753" spans="1:7">
      <c r="A753">
        <v>2035</v>
      </c>
      <c r="B753" t="s">
        <v>189</v>
      </c>
      <c r="C753">
        <v>0</v>
      </c>
      <c r="D753" t="s">
        <v>183</v>
      </c>
      <c r="E753" t="s">
        <v>176</v>
      </c>
      <c r="F753" t="s">
        <v>177</v>
      </c>
      <c r="G753" t="s">
        <v>179</v>
      </c>
    </row>
    <row r="754" spans="1:7">
      <c r="A754">
        <v>2020</v>
      </c>
      <c r="B754" t="s">
        <v>190</v>
      </c>
      <c r="C754">
        <v>11059.73</v>
      </c>
      <c r="D754" t="s">
        <v>183</v>
      </c>
      <c r="E754" t="s">
        <v>176</v>
      </c>
      <c r="F754" t="s">
        <v>177</v>
      </c>
      <c r="G754" t="s">
        <v>179</v>
      </c>
    </row>
    <row r="755" spans="1:7">
      <c r="A755">
        <v>2021</v>
      </c>
      <c r="B755" t="s">
        <v>190</v>
      </c>
      <c r="C755">
        <v>0</v>
      </c>
      <c r="D755" t="s">
        <v>183</v>
      </c>
      <c r="E755" t="s">
        <v>176</v>
      </c>
      <c r="F755" t="s">
        <v>177</v>
      </c>
      <c r="G755" t="s">
        <v>179</v>
      </c>
    </row>
    <row r="756" spans="1:7">
      <c r="A756">
        <v>2022</v>
      </c>
      <c r="B756" t="s">
        <v>190</v>
      </c>
      <c r="C756">
        <v>0</v>
      </c>
      <c r="D756" t="s">
        <v>183</v>
      </c>
      <c r="E756" t="s">
        <v>176</v>
      </c>
      <c r="F756" t="s">
        <v>177</v>
      </c>
      <c r="G756" t="s">
        <v>179</v>
      </c>
    </row>
    <row r="757" spans="1:7">
      <c r="A757">
        <v>2023</v>
      </c>
      <c r="B757" t="s">
        <v>190</v>
      </c>
      <c r="C757">
        <v>0</v>
      </c>
      <c r="D757" t="s">
        <v>183</v>
      </c>
      <c r="E757" t="s">
        <v>176</v>
      </c>
      <c r="F757" t="s">
        <v>177</v>
      </c>
      <c r="G757" t="s">
        <v>179</v>
      </c>
    </row>
    <row r="758" spans="1:7">
      <c r="A758">
        <v>2024</v>
      </c>
      <c r="B758" t="s">
        <v>190</v>
      </c>
      <c r="C758">
        <v>0</v>
      </c>
      <c r="D758" t="s">
        <v>183</v>
      </c>
      <c r="E758" t="s">
        <v>176</v>
      </c>
      <c r="F758" t="s">
        <v>177</v>
      </c>
      <c r="G758" t="s">
        <v>179</v>
      </c>
    </row>
    <row r="759" spans="1:7">
      <c r="A759">
        <v>2025</v>
      </c>
      <c r="B759" t="s">
        <v>190</v>
      </c>
      <c r="C759">
        <v>0</v>
      </c>
      <c r="D759" t="s">
        <v>183</v>
      </c>
      <c r="E759" t="s">
        <v>176</v>
      </c>
      <c r="F759" t="s">
        <v>177</v>
      </c>
      <c r="G759" t="s">
        <v>179</v>
      </c>
    </row>
    <row r="760" spans="1:7">
      <c r="A760">
        <v>2026</v>
      </c>
      <c r="B760" t="s">
        <v>190</v>
      </c>
      <c r="C760">
        <v>0</v>
      </c>
      <c r="D760" t="s">
        <v>183</v>
      </c>
      <c r="E760" t="s">
        <v>176</v>
      </c>
      <c r="F760" t="s">
        <v>177</v>
      </c>
      <c r="G760" t="s">
        <v>179</v>
      </c>
    </row>
    <row r="761" spans="1:7">
      <c r="A761">
        <v>2027</v>
      </c>
      <c r="B761" t="s">
        <v>190</v>
      </c>
      <c r="C761">
        <v>0</v>
      </c>
      <c r="D761" t="s">
        <v>183</v>
      </c>
      <c r="E761" t="s">
        <v>176</v>
      </c>
      <c r="F761" t="s">
        <v>177</v>
      </c>
      <c r="G761" t="s">
        <v>179</v>
      </c>
    </row>
    <row r="762" spans="1:7">
      <c r="A762">
        <v>2028</v>
      </c>
      <c r="B762" t="s">
        <v>190</v>
      </c>
      <c r="C762">
        <v>0</v>
      </c>
      <c r="D762" t="s">
        <v>183</v>
      </c>
      <c r="E762" t="s">
        <v>176</v>
      </c>
      <c r="F762" t="s">
        <v>177</v>
      </c>
      <c r="G762" t="s">
        <v>179</v>
      </c>
    </row>
    <row r="763" spans="1:7">
      <c r="A763">
        <v>2029</v>
      </c>
      <c r="B763" t="s">
        <v>190</v>
      </c>
      <c r="C763">
        <v>0</v>
      </c>
      <c r="D763" t="s">
        <v>183</v>
      </c>
      <c r="E763" t="s">
        <v>176</v>
      </c>
      <c r="F763" t="s">
        <v>177</v>
      </c>
      <c r="G763" t="s">
        <v>179</v>
      </c>
    </row>
    <row r="764" spans="1:7">
      <c r="A764">
        <v>2030</v>
      </c>
      <c r="B764" t="s">
        <v>190</v>
      </c>
      <c r="C764">
        <v>0</v>
      </c>
      <c r="D764" t="s">
        <v>183</v>
      </c>
      <c r="E764" t="s">
        <v>176</v>
      </c>
      <c r="F764" t="s">
        <v>177</v>
      </c>
      <c r="G764" t="s">
        <v>179</v>
      </c>
    </row>
    <row r="765" spans="1:7">
      <c r="A765">
        <v>2031</v>
      </c>
      <c r="B765" t="s">
        <v>190</v>
      </c>
      <c r="C765">
        <v>0</v>
      </c>
      <c r="D765" t="s">
        <v>183</v>
      </c>
      <c r="E765" t="s">
        <v>176</v>
      </c>
      <c r="F765" t="s">
        <v>177</v>
      </c>
      <c r="G765" t="s">
        <v>179</v>
      </c>
    </row>
    <row r="766" spans="1:7">
      <c r="A766">
        <v>2032</v>
      </c>
      <c r="B766" t="s">
        <v>190</v>
      </c>
      <c r="C766">
        <v>0</v>
      </c>
      <c r="D766" t="s">
        <v>183</v>
      </c>
      <c r="E766" t="s">
        <v>176</v>
      </c>
      <c r="F766" t="s">
        <v>177</v>
      </c>
      <c r="G766" t="s">
        <v>179</v>
      </c>
    </row>
    <row r="767" spans="1:7">
      <c r="A767">
        <v>2033</v>
      </c>
      <c r="B767" t="s">
        <v>190</v>
      </c>
      <c r="C767">
        <v>0</v>
      </c>
      <c r="D767" t="s">
        <v>183</v>
      </c>
      <c r="E767" t="s">
        <v>176</v>
      </c>
      <c r="F767" t="s">
        <v>177</v>
      </c>
      <c r="G767" t="s">
        <v>179</v>
      </c>
    </row>
    <row r="768" spans="1:7">
      <c r="A768">
        <v>2034</v>
      </c>
      <c r="B768" t="s">
        <v>190</v>
      </c>
      <c r="C768">
        <v>0</v>
      </c>
      <c r="D768" t="s">
        <v>183</v>
      </c>
      <c r="E768" t="s">
        <v>176</v>
      </c>
      <c r="F768" t="s">
        <v>177</v>
      </c>
      <c r="G768" t="s">
        <v>179</v>
      </c>
    </row>
    <row r="769" spans="1:7">
      <c r="A769">
        <v>2035</v>
      </c>
      <c r="B769" t="s">
        <v>190</v>
      </c>
      <c r="C769">
        <v>0</v>
      </c>
      <c r="D769" t="s">
        <v>183</v>
      </c>
      <c r="E769" t="s">
        <v>176</v>
      </c>
      <c r="F769" t="s">
        <v>177</v>
      </c>
      <c r="G769" t="s">
        <v>179</v>
      </c>
    </row>
    <row r="770" spans="1:7">
      <c r="A770">
        <v>2020</v>
      </c>
      <c r="B770" t="s">
        <v>191</v>
      </c>
      <c r="C770">
        <v>0</v>
      </c>
      <c r="D770" t="s">
        <v>183</v>
      </c>
      <c r="E770" t="s">
        <v>176</v>
      </c>
      <c r="F770" t="s">
        <v>177</v>
      </c>
      <c r="G770" t="s">
        <v>179</v>
      </c>
    </row>
    <row r="771" spans="1:7">
      <c r="A771">
        <v>2021</v>
      </c>
      <c r="B771" t="s">
        <v>191</v>
      </c>
      <c r="C771">
        <v>0</v>
      </c>
      <c r="D771" t="s">
        <v>183</v>
      </c>
      <c r="E771" t="s">
        <v>176</v>
      </c>
      <c r="F771" t="s">
        <v>177</v>
      </c>
      <c r="G771" t="s">
        <v>179</v>
      </c>
    </row>
    <row r="772" spans="1:7">
      <c r="A772">
        <v>2022</v>
      </c>
      <c r="B772" t="s">
        <v>191</v>
      </c>
      <c r="C772">
        <v>0</v>
      </c>
      <c r="D772" t="s">
        <v>183</v>
      </c>
      <c r="E772" t="s">
        <v>176</v>
      </c>
      <c r="F772" t="s">
        <v>177</v>
      </c>
      <c r="G772" t="s">
        <v>179</v>
      </c>
    </row>
    <row r="773" spans="1:7">
      <c r="A773">
        <v>2023</v>
      </c>
      <c r="B773" t="s">
        <v>191</v>
      </c>
      <c r="C773">
        <v>0</v>
      </c>
      <c r="D773" t="s">
        <v>183</v>
      </c>
      <c r="E773" t="s">
        <v>176</v>
      </c>
      <c r="F773" t="s">
        <v>177</v>
      </c>
      <c r="G773" t="s">
        <v>179</v>
      </c>
    </row>
    <row r="774" spans="1:7">
      <c r="A774">
        <v>2024</v>
      </c>
      <c r="B774" t="s">
        <v>191</v>
      </c>
      <c r="C774">
        <v>0</v>
      </c>
      <c r="D774" t="s">
        <v>183</v>
      </c>
      <c r="E774" t="s">
        <v>176</v>
      </c>
      <c r="F774" t="s">
        <v>177</v>
      </c>
      <c r="G774" t="s">
        <v>179</v>
      </c>
    </row>
    <row r="775" spans="1:7">
      <c r="A775">
        <v>2025</v>
      </c>
      <c r="B775" t="s">
        <v>191</v>
      </c>
      <c r="C775">
        <v>0</v>
      </c>
      <c r="D775" t="s">
        <v>183</v>
      </c>
      <c r="E775" t="s">
        <v>176</v>
      </c>
      <c r="F775" t="s">
        <v>177</v>
      </c>
      <c r="G775" t="s">
        <v>179</v>
      </c>
    </row>
    <row r="776" spans="1:7">
      <c r="A776">
        <v>2026</v>
      </c>
      <c r="B776" t="s">
        <v>191</v>
      </c>
      <c r="C776">
        <v>0</v>
      </c>
      <c r="D776" t="s">
        <v>183</v>
      </c>
      <c r="E776" t="s">
        <v>176</v>
      </c>
      <c r="F776" t="s">
        <v>177</v>
      </c>
      <c r="G776" t="s">
        <v>179</v>
      </c>
    </row>
    <row r="777" spans="1:7">
      <c r="A777">
        <v>2027</v>
      </c>
      <c r="B777" t="s">
        <v>191</v>
      </c>
      <c r="C777">
        <v>0</v>
      </c>
      <c r="D777" t="s">
        <v>183</v>
      </c>
      <c r="E777" t="s">
        <v>176</v>
      </c>
      <c r="F777" t="s">
        <v>177</v>
      </c>
      <c r="G777" t="s">
        <v>179</v>
      </c>
    </row>
    <row r="778" spans="1:7">
      <c r="A778">
        <v>2028</v>
      </c>
      <c r="B778" t="s">
        <v>191</v>
      </c>
      <c r="C778">
        <v>0</v>
      </c>
      <c r="D778" t="s">
        <v>183</v>
      </c>
      <c r="E778" t="s">
        <v>176</v>
      </c>
      <c r="F778" t="s">
        <v>177</v>
      </c>
      <c r="G778" t="s">
        <v>179</v>
      </c>
    </row>
    <row r="779" spans="1:7">
      <c r="A779">
        <v>2029</v>
      </c>
      <c r="B779" t="s">
        <v>191</v>
      </c>
      <c r="C779">
        <v>0</v>
      </c>
      <c r="D779" t="s">
        <v>183</v>
      </c>
      <c r="E779" t="s">
        <v>176</v>
      </c>
      <c r="F779" t="s">
        <v>177</v>
      </c>
      <c r="G779" t="s">
        <v>179</v>
      </c>
    </row>
    <row r="780" spans="1:7">
      <c r="A780">
        <v>2030</v>
      </c>
      <c r="B780" t="s">
        <v>191</v>
      </c>
      <c r="C780">
        <v>0</v>
      </c>
      <c r="D780" t="s">
        <v>183</v>
      </c>
      <c r="E780" t="s">
        <v>176</v>
      </c>
      <c r="F780" t="s">
        <v>177</v>
      </c>
      <c r="G780" t="s">
        <v>179</v>
      </c>
    </row>
    <row r="781" spans="1:7">
      <c r="A781">
        <v>2031</v>
      </c>
      <c r="B781" t="s">
        <v>191</v>
      </c>
      <c r="C781">
        <v>0</v>
      </c>
      <c r="D781" t="s">
        <v>183</v>
      </c>
      <c r="E781" t="s">
        <v>176</v>
      </c>
      <c r="F781" t="s">
        <v>177</v>
      </c>
      <c r="G781" t="s">
        <v>179</v>
      </c>
    </row>
    <row r="782" spans="1:7">
      <c r="A782">
        <v>2032</v>
      </c>
      <c r="B782" t="s">
        <v>191</v>
      </c>
      <c r="C782">
        <v>0</v>
      </c>
      <c r="D782" t="s">
        <v>183</v>
      </c>
      <c r="E782" t="s">
        <v>176</v>
      </c>
      <c r="F782" t="s">
        <v>177</v>
      </c>
      <c r="G782" t="s">
        <v>179</v>
      </c>
    </row>
    <row r="783" spans="1:7">
      <c r="A783">
        <v>2033</v>
      </c>
      <c r="B783" t="s">
        <v>191</v>
      </c>
      <c r="C783">
        <v>0</v>
      </c>
      <c r="D783" t="s">
        <v>183</v>
      </c>
      <c r="E783" t="s">
        <v>176</v>
      </c>
      <c r="F783" t="s">
        <v>177</v>
      </c>
      <c r="G783" t="s">
        <v>179</v>
      </c>
    </row>
    <row r="784" spans="1:7">
      <c r="A784">
        <v>2034</v>
      </c>
      <c r="B784" t="s">
        <v>191</v>
      </c>
      <c r="C784">
        <v>0</v>
      </c>
      <c r="D784" t="s">
        <v>183</v>
      </c>
      <c r="E784" t="s">
        <v>176</v>
      </c>
      <c r="F784" t="s">
        <v>177</v>
      </c>
      <c r="G784" t="s">
        <v>179</v>
      </c>
    </row>
    <row r="785" spans="1:7">
      <c r="A785">
        <v>2035</v>
      </c>
      <c r="B785" t="s">
        <v>191</v>
      </c>
      <c r="C785">
        <v>0</v>
      </c>
      <c r="D785" t="s">
        <v>183</v>
      </c>
      <c r="E785" t="s">
        <v>176</v>
      </c>
      <c r="F785" t="s">
        <v>177</v>
      </c>
      <c r="G785" t="s">
        <v>179</v>
      </c>
    </row>
    <row r="786" spans="1:7">
      <c r="A786">
        <v>2020</v>
      </c>
      <c r="B786" t="s">
        <v>192</v>
      </c>
      <c r="C786">
        <v>3796.81</v>
      </c>
      <c r="D786" t="s">
        <v>183</v>
      </c>
      <c r="E786" t="s">
        <v>176</v>
      </c>
      <c r="F786" t="s">
        <v>177</v>
      </c>
      <c r="G786" t="s">
        <v>179</v>
      </c>
    </row>
    <row r="787" spans="1:7">
      <c r="A787">
        <v>2021</v>
      </c>
      <c r="B787" t="s">
        <v>192</v>
      </c>
      <c r="C787">
        <v>1</v>
      </c>
      <c r="D787" t="s">
        <v>183</v>
      </c>
      <c r="E787" t="s">
        <v>176</v>
      </c>
      <c r="F787" t="s">
        <v>177</v>
      </c>
      <c r="G787" t="s">
        <v>179</v>
      </c>
    </row>
    <row r="788" spans="1:7">
      <c r="A788">
        <v>2022</v>
      </c>
      <c r="B788" t="s">
        <v>192</v>
      </c>
      <c r="C788">
        <v>1</v>
      </c>
      <c r="D788" t="s">
        <v>183</v>
      </c>
      <c r="E788" t="s">
        <v>176</v>
      </c>
      <c r="F788" t="s">
        <v>177</v>
      </c>
      <c r="G788" t="s">
        <v>179</v>
      </c>
    </row>
    <row r="789" spans="1:7">
      <c r="A789">
        <v>2023</v>
      </c>
      <c r="B789" t="s">
        <v>192</v>
      </c>
      <c r="C789">
        <v>59</v>
      </c>
      <c r="D789" t="s">
        <v>183</v>
      </c>
      <c r="E789" t="s">
        <v>176</v>
      </c>
      <c r="F789" t="s">
        <v>177</v>
      </c>
      <c r="G789" t="s">
        <v>179</v>
      </c>
    </row>
    <row r="790" spans="1:7">
      <c r="A790">
        <v>2024</v>
      </c>
      <c r="B790" t="s">
        <v>192</v>
      </c>
      <c r="C790">
        <v>59</v>
      </c>
      <c r="D790" t="s">
        <v>183</v>
      </c>
      <c r="E790" t="s">
        <v>176</v>
      </c>
      <c r="F790" t="s">
        <v>177</v>
      </c>
      <c r="G790" t="s">
        <v>179</v>
      </c>
    </row>
    <row r="791" spans="1:7">
      <c r="A791">
        <v>2025</v>
      </c>
      <c r="B791" t="s">
        <v>192</v>
      </c>
      <c r="C791">
        <v>66.5</v>
      </c>
      <c r="D791" t="s">
        <v>183</v>
      </c>
      <c r="E791" t="s">
        <v>176</v>
      </c>
      <c r="F791" t="s">
        <v>177</v>
      </c>
      <c r="G791" t="s">
        <v>179</v>
      </c>
    </row>
    <row r="792" spans="1:7">
      <c r="A792">
        <v>2026</v>
      </c>
      <c r="B792" t="s">
        <v>192</v>
      </c>
      <c r="C792">
        <v>66.5</v>
      </c>
      <c r="D792" t="s">
        <v>183</v>
      </c>
      <c r="E792" t="s">
        <v>176</v>
      </c>
      <c r="F792" t="s">
        <v>177</v>
      </c>
      <c r="G792" t="s">
        <v>179</v>
      </c>
    </row>
    <row r="793" spans="1:7">
      <c r="A793">
        <v>2027</v>
      </c>
      <c r="B793" t="s">
        <v>192</v>
      </c>
      <c r="C793">
        <v>37.895000000000003</v>
      </c>
      <c r="D793" t="s">
        <v>183</v>
      </c>
      <c r="E793" t="s">
        <v>176</v>
      </c>
      <c r="F793" t="s">
        <v>177</v>
      </c>
      <c r="G793" t="s">
        <v>179</v>
      </c>
    </row>
    <row r="794" spans="1:7">
      <c r="A794">
        <v>2028</v>
      </c>
      <c r="B794" t="s">
        <v>192</v>
      </c>
      <c r="C794">
        <v>37.895000000000003</v>
      </c>
      <c r="D794" t="s">
        <v>183</v>
      </c>
      <c r="E794" t="s">
        <v>176</v>
      </c>
      <c r="F794" t="s">
        <v>177</v>
      </c>
      <c r="G794" t="s">
        <v>179</v>
      </c>
    </row>
    <row r="795" spans="1:7">
      <c r="A795">
        <v>2029</v>
      </c>
      <c r="B795" t="s">
        <v>192</v>
      </c>
      <c r="C795">
        <v>11.5</v>
      </c>
      <c r="D795" t="s">
        <v>183</v>
      </c>
      <c r="E795" t="s">
        <v>176</v>
      </c>
      <c r="F795" t="s">
        <v>177</v>
      </c>
      <c r="G795" t="s">
        <v>179</v>
      </c>
    </row>
    <row r="796" spans="1:7">
      <c r="A796">
        <v>2030</v>
      </c>
      <c r="B796" t="s">
        <v>192</v>
      </c>
      <c r="C796">
        <v>11.5</v>
      </c>
      <c r="D796" t="s">
        <v>183</v>
      </c>
      <c r="E796" t="s">
        <v>176</v>
      </c>
      <c r="F796" t="s">
        <v>177</v>
      </c>
      <c r="G796" t="s">
        <v>179</v>
      </c>
    </row>
    <row r="797" spans="1:7">
      <c r="A797">
        <v>2031</v>
      </c>
      <c r="B797" t="s">
        <v>192</v>
      </c>
      <c r="C797">
        <v>13</v>
      </c>
      <c r="D797" t="s">
        <v>183</v>
      </c>
      <c r="E797" t="s">
        <v>176</v>
      </c>
      <c r="F797" t="s">
        <v>177</v>
      </c>
      <c r="G797" t="s">
        <v>179</v>
      </c>
    </row>
    <row r="798" spans="1:7">
      <c r="A798">
        <v>2032</v>
      </c>
      <c r="B798" t="s">
        <v>192</v>
      </c>
      <c r="C798">
        <v>13</v>
      </c>
      <c r="D798" t="s">
        <v>183</v>
      </c>
      <c r="E798" t="s">
        <v>176</v>
      </c>
      <c r="F798" t="s">
        <v>177</v>
      </c>
      <c r="G798" t="s">
        <v>179</v>
      </c>
    </row>
    <row r="799" spans="1:7">
      <c r="A799">
        <v>2033</v>
      </c>
      <c r="B799" t="s">
        <v>192</v>
      </c>
      <c r="C799">
        <v>19.833300000000001</v>
      </c>
      <c r="D799" t="s">
        <v>183</v>
      </c>
      <c r="E799" t="s">
        <v>176</v>
      </c>
      <c r="F799" t="s">
        <v>177</v>
      </c>
      <c r="G799" t="s">
        <v>179</v>
      </c>
    </row>
    <row r="800" spans="1:7">
      <c r="A800">
        <v>2034</v>
      </c>
      <c r="B800" t="s">
        <v>192</v>
      </c>
      <c r="C800">
        <v>19.833300000000001</v>
      </c>
      <c r="D800" t="s">
        <v>183</v>
      </c>
      <c r="E800" t="s">
        <v>176</v>
      </c>
      <c r="F800" t="s">
        <v>177</v>
      </c>
      <c r="G800" t="s">
        <v>179</v>
      </c>
    </row>
    <row r="801" spans="1:7">
      <c r="A801">
        <v>2035</v>
      </c>
      <c r="B801" t="s">
        <v>192</v>
      </c>
      <c r="C801">
        <v>19.833300000000001</v>
      </c>
      <c r="D801" t="s">
        <v>183</v>
      </c>
      <c r="E801" t="s">
        <v>176</v>
      </c>
      <c r="F801" t="s">
        <v>177</v>
      </c>
      <c r="G801" t="s">
        <v>179</v>
      </c>
    </row>
    <row r="802" spans="1:7">
      <c r="A802">
        <v>2020</v>
      </c>
      <c r="B802" t="s">
        <v>193</v>
      </c>
      <c r="C802">
        <v>232.5</v>
      </c>
      <c r="D802" t="s">
        <v>183</v>
      </c>
      <c r="E802" t="s">
        <v>176</v>
      </c>
      <c r="F802" t="s">
        <v>177</v>
      </c>
      <c r="G802" t="s">
        <v>179</v>
      </c>
    </row>
    <row r="803" spans="1:7">
      <c r="A803">
        <v>2021</v>
      </c>
      <c r="B803" t="s">
        <v>193</v>
      </c>
      <c r="C803">
        <v>1100</v>
      </c>
      <c r="D803" t="s">
        <v>183</v>
      </c>
      <c r="E803" t="s">
        <v>176</v>
      </c>
      <c r="F803" t="s">
        <v>177</v>
      </c>
      <c r="G803" t="s">
        <v>179</v>
      </c>
    </row>
    <row r="804" spans="1:7">
      <c r="A804">
        <v>2022</v>
      </c>
      <c r="B804" t="s">
        <v>193</v>
      </c>
      <c r="C804">
        <v>1100</v>
      </c>
      <c r="D804" t="s">
        <v>183</v>
      </c>
      <c r="E804" t="s">
        <v>176</v>
      </c>
      <c r="F804" t="s">
        <v>177</v>
      </c>
      <c r="G804" t="s">
        <v>179</v>
      </c>
    </row>
    <row r="805" spans="1:7">
      <c r="A805">
        <v>2023</v>
      </c>
      <c r="B805" t="s">
        <v>193</v>
      </c>
      <c r="C805">
        <v>0</v>
      </c>
      <c r="D805" t="s">
        <v>183</v>
      </c>
      <c r="E805" t="s">
        <v>176</v>
      </c>
      <c r="F805" t="s">
        <v>177</v>
      </c>
      <c r="G805" t="s">
        <v>179</v>
      </c>
    </row>
    <row r="806" spans="1:7">
      <c r="A806">
        <v>2024</v>
      </c>
      <c r="B806" t="s">
        <v>193</v>
      </c>
      <c r="C806">
        <v>0</v>
      </c>
      <c r="D806" t="s">
        <v>183</v>
      </c>
      <c r="E806" t="s">
        <v>176</v>
      </c>
      <c r="F806" t="s">
        <v>177</v>
      </c>
      <c r="G806" t="s">
        <v>179</v>
      </c>
    </row>
    <row r="807" spans="1:7">
      <c r="A807">
        <v>2025</v>
      </c>
      <c r="B807" t="s">
        <v>193</v>
      </c>
      <c r="C807">
        <v>0</v>
      </c>
      <c r="D807" t="s">
        <v>183</v>
      </c>
      <c r="E807" t="s">
        <v>176</v>
      </c>
      <c r="F807" t="s">
        <v>177</v>
      </c>
      <c r="G807" t="s">
        <v>179</v>
      </c>
    </row>
    <row r="808" spans="1:7">
      <c r="A808">
        <v>2026</v>
      </c>
      <c r="B808" t="s">
        <v>193</v>
      </c>
      <c r="C808">
        <v>0</v>
      </c>
      <c r="D808" t="s">
        <v>183</v>
      </c>
      <c r="E808" t="s">
        <v>176</v>
      </c>
      <c r="F808" t="s">
        <v>177</v>
      </c>
      <c r="G808" t="s">
        <v>179</v>
      </c>
    </row>
    <row r="809" spans="1:7">
      <c r="A809">
        <v>2027</v>
      </c>
      <c r="B809" t="s">
        <v>193</v>
      </c>
      <c r="C809">
        <v>0</v>
      </c>
      <c r="D809" t="s">
        <v>183</v>
      </c>
      <c r="E809" t="s">
        <v>176</v>
      </c>
      <c r="F809" t="s">
        <v>177</v>
      </c>
      <c r="G809" t="s">
        <v>179</v>
      </c>
    </row>
    <row r="810" spans="1:7">
      <c r="A810">
        <v>2028</v>
      </c>
      <c r="B810" t="s">
        <v>193</v>
      </c>
      <c r="C810">
        <v>0</v>
      </c>
      <c r="D810" t="s">
        <v>183</v>
      </c>
      <c r="E810" t="s">
        <v>176</v>
      </c>
      <c r="F810" t="s">
        <v>177</v>
      </c>
      <c r="G810" t="s">
        <v>179</v>
      </c>
    </row>
    <row r="811" spans="1:7">
      <c r="A811">
        <v>2029</v>
      </c>
      <c r="B811" t="s">
        <v>193</v>
      </c>
      <c r="C811">
        <v>0</v>
      </c>
      <c r="D811" t="s">
        <v>183</v>
      </c>
      <c r="E811" t="s">
        <v>176</v>
      </c>
      <c r="F811" t="s">
        <v>177</v>
      </c>
      <c r="G811" t="s">
        <v>179</v>
      </c>
    </row>
    <row r="812" spans="1:7">
      <c r="A812">
        <v>2030</v>
      </c>
      <c r="B812" t="s">
        <v>193</v>
      </c>
      <c r="C812">
        <v>0</v>
      </c>
      <c r="D812" t="s">
        <v>183</v>
      </c>
      <c r="E812" t="s">
        <v>176</v>
      </c>
      <c r="F812" t="s">
        <v>177</v>
      </c>
      <c r="G812" t="s">
        <v>179</v>
      </c>
    </row>
    <row r="813" spans="1:7">
      <c r="A813">
        <v>2031</v>
      </c>
      <c r="B813" t="s">
        <v>193</v>
      </c>
      <c r="C813">
        <v>0</v>
      </c>
      <c r="D813" t="s">
        <v>183</v>
      </c>
      <c r="E813" t="s">
        <v>176</v>
      </c>
      <c r="F813" t="s">
        <v>177</v>
      </c>
      <c r="G813" t="s">
        <v>179</v>
      </c>
    </row>
    <row r="814" spans="1:7">
      <c r="A814">
        <v>2032</v>
      </c>
      <c r="B814" t="s">
        <v>193</v>
      </c>
      <c r="C814">
        <v>0</v>
      </c>
      <c r="D814" t="s">
        <v>183</v>
      </c>
      <c r="E814" t="s">
        <v>176</v>
      </c>
      <c r="F814" t="s">
        <v>177</v>
      </c>
      <c r="G814" t="s">
        <v>179</v>
      </c>
    </row>
    <row r="815" spans="1:7">
      <c r="A815">
        <v>2033</v>
      </c>
      <c r="B815" t="s">
        <v>193</v>
      </c>
      <c r="C815">
        <v>0</v>
      </c>
      <c r="D815" t="s">
        <v>183</v>
      </c>
      <c r="E815" t="s">
        <v>176</v>
      </c>
      <c r="F815" t="s">
        <v>177</v>
      </c>
      <c r="G815" t="s">
        <v>179</v>
      </c>
    </row>
    <row r="816" spans="1:7">
      <c r="A816">
        <v>2034</v>
      </c>
      <c r="B816" t="s">
        <v>193</v>
      </c>
      <c r="C816">
        <v>0</v>
      </c>
      <c r="D816" t="s">
        <v>183</v>
      </c>
      <c r="E816" t="s">
        <v>176</v>
      </c>
      <c r="F816" t="s">
        <v>177</v>
      </c>
      <c r="G816" t="s">
        <v>179</v>
      </c>
    </row>
    <row r="817" spans="1:7">
      <c r="A817">
        <v>2035</v>
      </c>
      <c r="B817" t="s">
        <v>193</v>
      </c>
      <c r="C817">
        <v>0</v>
      </c>
      <c r="D817" t="s">
        <v>183</v>
      </c>
      <c r="E817" t="s">
        <v>176</v>
      </c>
      <c r="F817" t="s">
        <v>177</v>
      </c>
      <c r="G817" t="s">
        <v>179</v>
      </c>
    </row>
    <row r="818" spans="1:7">
      <c r="A818">
        <v>2020</v>
      </c>
      <c r="B818" t="s">
        <v>194</v>
      </c>
      <c r="C818">
        <v>14.85</v>
      </c>
      <c r="D818" t="s">
        <v>183</v>
      </c>
      <c r="E818" t="s">
        <v>176</v>
      </c>
      <c r="F818" t="s">
        <v>177</v>
      </c>
      <c r="G818" t="s">
        <v>179</v>
      </c>
    </row>
    <row r="819" spans="1:7">
      <c r="A819">
        <v>2021</v>
      </c>
      <c r="B819" t="s">
        <v>194</v>
      </c>
      <c r="C819">
        <v>0</v>
      </c>
      <c r="D819" t="s">
        <v>183</v>
      </c>
      <c r="E819" t="s">
        <v>176</v>
      </c>
      <c r="F819" t="s">
        <v>177</v>
      </c>
      <c r="G819" t="s">
        <v>179</v>
      </c>
    </row>
    <row r="820" spans="1:7">
      <c r="A820">
        <v>2022</v>
      </c>
      <c r="B820" t="s">
        <v>194</v>
      </c>
      <c r="C820">
        <v>0</v>
      </c>
      <c r="D820" t="s">
        <v>183</v>
      </c>
      <c r="E820" t="s">
        <v>176</v>
      </c>
      <c r="F820" t="s">
        <v>177</v>
      </c>
      <c r="G820" t="s">
        <v>179</v>
      </c>
    </row>
    <row r="821" spans="1:7">
      <c r="A821">
        <v>2023</v>
      </c>
      <c r="B821" t="s">
        <v>194</v>
      </c>
      <c r="C821">
        <v>0</v>
      </c>
      <c r="D821" t="s">
        <v>183</v>
      </c>
      <c r="E821" t="s">
        <v>176</v>
      </c>
      <c r="F821" t="s">
        <v>177</v>
      </c>
      <c r="G821" t="s">
        <v>179</v>
      </c>
    </row>
    <row r="822" spans="1:7">
      <c r="A822">
        <v>2024</v>
      </c>
      <c r="B822" t="s">
        <v>194</v>
      </c>
      <c r="C822">
        <v>0</v>
      </c>
      <c r="D822" t="s">
        <v>183</v>
      </c>
      <c r="E822" t="s">
        <v>176</v>
      </c>
      <c r="F822" t="s">
        <v>177</v>
      </c>
      <c r="G822" t="s">
        <v>179</v>
      </c>
    </row>
    <row r="823" spans="1:7">
      <c r="A823">
        <v>2025</v>
      </c>
      <c r="B823" t="s">
        <v>194</v>
      </c>
      <c r="C823">
        <v>0</v>
      </c>
      <c r="D823" t="s">
        <v>183</v>
      </c>
      <c r="E823" t="s">
        <v>176</v>
      </c>
      <c r="F823" t="s">
        <v>177</v>
      </c>
      <c r="G823" t="s">
        <v>179</v>
      </c>
    </row>
    <row r="824" spans="1:7">
      <c r="A824">
        <v>2026</v>
      </c>
      <c r="B824" t="s">
        <v>194</v>
      </c>
      <c r="C824">
        <v>0</v>
      </c>
      <c r="D824" t="s">
        <v>183</v>
      </c>
      <c r="E824" t="s">
        <v>176</v>
      </c>
      <c r="F824" t="s">
        <v>177</v>
      </c>
      <c r="G824" t="s">
        <v>179</v>
      </c>
    </row>
    <row r="825" spans="1:7">
      <c r="A825">
        <v>2027</v>
      </c>
      <c r="B825" t="s">
        <v>194</v>
      </c>
      <c r="C825">
        <v>0</v>
      </c>
      <c r="D825" t="s">
        <v>183</v>
      </c>
      <c r="E825" t="s">
        <v>176</v>
      </c>
      <c r="F825" t="s">
        <v>177</v>
      </c>
      <c r="G825" t="s">
        <v>179</v>
      </c>
    </row>
    <row r="826" spans="1:7">
      <c r="A826">
        <v>2028</v>
      </c>
      <c r="B826" t="s">
        <v>194</v>
      </c>
      <c r="C826">
        <v>0</v>
      </c>
      <c r="D826" t="s">
        <v>183</v>
      </c>
      <c r="E826" t="s">
        <v>176</v>
      </c>
      <c r="F826" t="s">
        <v>177</v>
      </c>
      <c r="G826" t="s">
        <v>179</v>
      </c>
    </row>
    <row r="827" spans="1:7">
      <c r="A827">
        <v>2029</v>
      </c>
      <c r="B827" t="s">
        <v>194</v>
      </c>
      <c r="C827">
        <v>0</v>
      </c>
      <c r="D827" t="s">
        <v>183</v>
      </c>
      <c r="E827" t="s">
        <v>176</v>
      </c>
      <c r="F827" t="s">
        <v>177</v>
      </c>
      <c r="G827" t="s">
        <v>179</v>
      </c>
    </row>
    <row r="828" spans="1:7">
      <c r="A828">
        <v>2030</v>
      </c>
      <c r="B828" t="s">
        <v>194</v>
      </c>
      <c r="C828">
        <v>0</v>
      </c>
      <c r="D828" t="s">
        <v>183</v>
      </c>
      <c r="E828" t="s">
        <v>176</v>
      </c>
      <c r="F828" t="s">
        <v>177</v>
      </c>
      <c r="G828" t="s">
        <v>179</v>
      </c>
    </row>
    <row r="829" spans="1:7">
      <c r="A829">
        <v>2031</v>
      </c>
      <c r="B829" t="s">
        <v>194</v>
      </c>
      <c r="C829">
        <v>0</v>
      </c>
      <c r="D829" t="s">
        <v>183</v>
      </c>
      <c r="E829" t="s">
        <v>176</v>
      </c>
      <c r="F829" t="s">
        <v>177</v>
      </c>
      <c r="G829" t="s">
        <v>179</v>
      </c>
    </row>
    <row r="830" spans="1:7">
      <c r="A830">
        <v>2032</v>
      </c>
      <c r="B830" t="s">
        <v>194</v>
      </c>
      <c r="C830">
        <v>0</v>
      </c>
      <c r="D830" t="s">
        <v>183</v>
      </c>
      <c r="E830" t="s">
        <v>176</v>
      </c>
      <c r="F830" t="s">
        <v>177</v>
      </c>
      <c r="G830" t="s">
        <v>179</v>
      </c>
    </row>
    <row r="831" spans="1:7">
      <c r="A831">
        <v>2033</v>
      </c>
      <c r="B831" t="s">
        <v>194</v>
      </c>
      <c r="C831">
        <v>0</v>
      </c>
      <c r="D831" t="s">
        <v>183</v>
      </c>
      <c r="E831" t="s">
        <v>176</v>
      </c>
      <c r="F831" t="s">
        <v>177</v>
      </c>
      <c r="G831" t="s">
        <v>179</v>
      </c>
    </row>
    <row r="832" spans="1:7">
      <c r="A832">
        <v>2034</v>
      </c>
      <c r="B832" t="s">
        <v>194</v>
      </c>
      <c r="C832">
        <v>0</v>
      </c>
      <c r="D832" t="s">
        <v>183</v>
      </c>
      <c r="E832" t="s">
        <v>176</v>
      </c>
      <c r="F832" t="s">
        <v>177</v>
      </c>
      <c r="G832" t="s">
        <v>179</v>
      </c>
    </row>
    <row r="833" spans="1:7">
      <c r="A833">
        <v>2035</v>
      </c>
      <c r="B833" t="s">
        <v>194</v>
      </c>
      <c r="C833">
        <v>0</v>
      </c>
      <c r="D833" t="s">
        <v>183</v>
      </c>
      <c r="E833" t="s">
        <v>176</v>
      </c>
      <c r="F833" t="s">
        <v>177</v>
      </c>
      <c r="G833" t="s">
        <v>179</v>
      </c>
    </row>
    <row r="834" spans="1:7">
      <c r="A834">
        <v>2020</v>
      </c>
      <c r="B834" t="s">
        <v>195</v>
      </c>
      <c r="C834">
        <v>13026.4</v>
      </c>
      <c r="D834" t="s">
        <v>183</v>
      </c>
      <c r="E834" t="s">
        <v>176</v>
      </c>
      <c r="F834" t="s">
        <v>177</v>
      </c>
      <c r="G834" t="s">
        <v>179</v>
      </c>
    </row>
    <row r="835" spans="1:7">
      <c r="A835">
        <v>2021</v>
      </c>
      <c r="B835" t="s">
        <v>195</v>
      </c>
      <c r="C835">
        <v>32983.599999999999</v>
      </c>
      <c r="D835" t="s">
        <v>183</v>
      </c>
      <c r="E835" t="s">
        <v>176</v>
      </c>
      <c r="F835" t="s">
        <v>177</v>
      </c>
      <c r="G835" t="s">
        <v>179</v>
      </c>
    </row>
    <row r="836" spans="1:7">
      <c r="A836">
        <v>2022</v>
      </c>
      <c r="B836" t="s">
        <v>195</v>
      </c>
      <c r="C836">
        <v>32983.599999999999</v>
      </c>
      <c r="D836" t="s">
        <v>183</v>
      </c>
      <c r="E836" t="s">
        <v>176</v>
      </c>
      <c r="F836" t="s">
        <v>177</v>
      </c>
      <c r="G836" t="s">
        <v>179</v>
      </c>
    </row>
    <row r="837" spans="1:7">
      <c r="A837">
        <v>2023</v>
      </c>
      <c r="B837" t="s">
        <v>195</v>
      </c>
      <c r="C837">
        <v>30498.799999999999</v>
      </c>
      <c r="D837" t="s">
        <v>183</v>
      </c>
      <c r="E837" t="s">
        <v>176</v>
      </c>
      <c r="F837" t="s">
        <v>177</v>
      </c>
      <c r="G837" t="s">
        <v>179</v>
      </c>
    </row>
    <row r="838" spans="1:7">
      <c r="A838">
        <v>2024</v>
      </c>
      <c r="B838" t="s">
        <v>195</v>
      </c>
      <c r="C838">
        <v>30498.799999999999</v>
      </c>
      <c r="D838" t="s">
        <v>183</v>
      </c>
      <c r="E838" t="s">
        <v>176</v>
      </c>
      <c r="F838" t="s">
        <v>177</v>
      </c>
      <c r="G838" t="s">
        <v>179</v>
      </c>
    </row>
    <row r="839" spans="1:7">
      <c r="A839">
        <v>2025</v>
      </c>
      <c r="B839" t="s">
        <v>195</v>
      </c>
      <c r="C839">
        <v>21718.2</v>
      </c>
      <c r="D839" t="s">
        <v>183</v>
      </c>
      <c r="E839" t="s">
        <v>176</v>
      </c>
      <c r="F839" t="s">
        <v>177</v>
      </c>
      <c r="G839" t="s">
        <v>179</v>
      </c>
    </row>
    <row r="840" spans="1:7">
      <c r="A840">
        <v>2026</v>
      </c>
      <c r="B840" t="s">
        <v>195</v>
      </c>
      <c r="C840">
        <v>21718.2</v>
      </c>
      <c r="D840" t="s">
        <v>183</v>
      </c>
      <c r="E840" t="s">
        <v>176</v>
      </c>
      <c r="F840" t="s">
        <v>177</v>
      </c>
      <c r="G840" t="s">
        <v>179</v>
      </c>
    </row>
    <row r="841" spans="1:7">
      <c r="A841">
        <v>2027</v>
      </c>
      <c r="B841" t="s">
        <v>195</v>
      </c>
      <c r="C841">
        <v>30857.200000000001</v>
      </c>
      <c r="D841" t="s">
        <v>183</v>
      </c>
      <c r="E841" t="s">
        <v>176</v>
      </c>
      <c r="F841" t="s">
        <v>177</v>
      </c>
      <c r="G841" t="s">
        <v>179</v>
      </c>
    </row>
    <row r="842" spans="1:7">
      <c r="A842">
        <v>2028</v>
      </c>
      <c r="B842" t="s">
        <v>195</v>
      </c>
      <c r="C842">
        <v>30857.200000000001</v>
      </c>
      <c r="D842" t="s">
        <v>183</v>
      </c>
      <c r="E842" t="s">
        <v>176</v>
      </c>
      <c r="F842" t="s">
        <v>177</v>
      </c>
      <c r="G842" t="s">
        <v>179</v>
      </c>
    </row>
    <row r="843" spans="1:7">
      <c r="A843">
        <v>2029</v>
      </c>
      <c r="B843" t="s">
        <v>195</v>
      </c>
      <c r="C843">
        <v>31380.400000000001</v>
      </c>
      <c r="D843" t="s">
        <v>183</v>
      </c>
      <c r="E843" t="s">
        <v>176</v>
      </c>
      <c r="F843" t="s">
        <v>177</v>
      </c>
      <c r="G843" t="s">
        <v>179</v>
      </c>
    </row>
    <row r="844" spans="1:7">
      <c r="A844">
        <v>2030</v>
      </c>
      <c r="B844" t="s">
        <v>195</v>
      </c>
      <c r="C844">
        <v>31380.400000000001</v>
      </c>
      <c r="D844" t="s">
        <v>183</v>
      </c>
      <c r="E844" t="s">
        <v>176</v>
      </c>
      <c r="F844" t="s">
        <v>177</v>
      </c>
      <c r="G844" t="s">
        <v>179</v>
      </c>
    </row>
    <row r="845" spans="1:7">
      <c r="A845">
        <v>2031</v>
      </c>
      <c r="B845" t="s">
        <v>195</v>
      </c>
      <c r="C845">
        <v>15860.9</v>
      </c>
      <c r="D845" t="s">
        <v>183</v>
      </c>
      <c r="E845" t="s">
        <v>176</v>
      </c>
      <c r="F845" t="s">
        <v>177</v>
      </c>
      <c r="G845" t="s">
        <v>179</v>
      </c>
    </row>
    <row r="846" spans="1:7">
      <c r="A846">
        <v>2032</v>
      </c>
      <c r="B846" t="s">
        <v>195</v>
      </c>
      <c r="C846">
        <v>15860.9</v>
      </c>
      <c r="D846" t="s">
        <v>183</v>
      </c>
      <c r="E846" t="s">
        <v>176</v>
      </c>
      <c r="F846" t="s">
        <v>177</v>
      </c>
      <c r="G846" t="s">
        <v>179</v>
      </c>
    </row>
    <row r="847" spans="1:7">
      <c r="A847">
        <v>2033</v>
      </c>
      <c r="B847" t="s">
        <v>195</v>
      </c>
      <c r="C847">
        <v>32889.199999999997</v>
      </c>
      <c r="D847" t="s">
        <v>183</v>
      </c>
      <c r="E847" t="s">
        <v>176</v>
      </c>
      <c r="F847" t="s">
        <v>177</v>
      </c>
      <c r="G847" t="s">
        <v>179</v>
      </c>
    </row>
    <row r="848" spans="1:7">
      <c r="A848">
        <v>2034</v>
      </c>
      <c r="B848" t="s">
        <v>195</v>
      </c>
      <c r="C848">
        <v>32889.199999999997</v>
      </c>
      <c r="D848" t="s">
        <v>183</v>
      </c>
      <c r="E848" t="s">
        <v>176</v>
      </c>
      <c r="F848" t="s">
        <v>177</v>
      </c>
      <c r="G848" t="s">
        <v>179</v>
      </c>
    </row>
    <row r="849" spans="1:7">
      <c r="A849">
        <v>2035</v>
      </c>
      <c r="B849" t="s">
        <v>195</v>
      </c>
      <c r="C849">
        <v>32889.199999999997</v>
      </c>
      <c r="D849" t="s">
        <v>183</v>
      </c>
      <c r="E849" t="s">
        <v>176</v>
      </c>
      <c r="F849" t="s">
        <v>177</v>
      </c>
      <c r="G849" t="s">
        <v>179</v>
      </c>
    </row>
    <row r="850" spans="1:7">
      <c r="A850">
        <v>2020</v>
      </c>
      <c r="B850" t="s">
        <v>196</v>
      </c>
      <c r="C850">
        <v>13350.8</v>
      </c>
      <c r="D850" t="s">
        <v>183</v>
      </c>
      <c r="E850" t="s">
        <v>176</v>
      </c>
      <c r="F850" t="s">
        <v>177</v>
      </c>
      <c r="G850" t="s">
        <v>179</v>
      </c>
    </row>
    <row r="851" spans="1:7">
      <c r="A851">
        <v>2021</v>
      </c>
      <c r="B851" t="s">
        <v>196</v>
      </c>
      <c r="C851">
        <v>25891</v>
      </c>
      <c r="D851" t="s">
        <v>183</v>
      </c>
      <c r="E851" t="s">
        <v>176</v>
      </c>
      <c r="F851" t="s">
        <v>177</v>
      </c>
      <c r="G851" t="s">
        <v>179</v>
      </c>
    </row>
    <row r="852" spans="1:7">
      <c r="A852">
        <v>2022</v>
      </c>
      <c r="B852" t="s">
        <v>196</v>
      </c>
      <c r="C852">
        <v>25891</v>
      </c>
      <c r="D852" t="s">
        <v>183</v>
      </c>
      <c r="E852" t="s">
        <v>176</v>
      </c>
      <c r="F852" t="s">
        <v>177</v>
      </c>
      <c r="G852" t="s">
        <v>179</v>
      </c>
    </row>
    <row r="853" spans="1:7">
      <c r="A853">
        <v>2023</v>
      </c>
      <c r="B853" t="s">
        <v>196</v>
      </c>
      <c r="C853">
        <v>21768.3</v>
      </c>
      <c r="D853" t="s">
        <v>183</v>
      </c>
      <c r="E853" t="s">
        <v>176</v>
      </c>
      <c r="F853" t="s">
        <v>177</v>
      </c>
      <c r="G853" t="s">
        <v>179</v>
      </c>
    </row>
    <row r="854" spans="1:7">
      <c r="A854">
        <v>2024</v>
      </c>
      <c r="B854" t="s">
        <v>196</v>
      </c>
      <c r="C854">
        <v>21768.3</v>
      </c>
      <c r="D854" t="s">
        <v>183</v>
      </c>
      <c r="E854" t="s">
        <v>176</v>
      </c>
      <c r="F854" t="s">
        <v>177</v>
      </c>
      <c r="G854" t="s">
        <v>179</v>
      </c>
    </row>
    <row r="855" spans="1:7">
      <c r="A855">
        <v>2025</v>
      </c>
      <c r="B855" t="s">
        <v>196</v>
      </c>
      <c r="C855">
        <v>36012</v>
      </c>
      <c r="D855" t="s">
        <v>183</v>
      </c>
      <c r="E855" t="s">
        <v>176</v>
      </c>
      <c r="F855" t="s">
        <v>177</v>
      </c>
      <c r="G855" t="s">
        <v>179</v>
      </c>
    </row>
    <row r="856" spans="1:7">
      <c r="A856">
        <v>2026</v>
      </c>
      <c r="B856" t="s">
        <v>196</v>
      </c>
      <c r="C856">
        <v>36012</v>
      </c>
      <c r="D856" t="s">
        <v>183</v>
      </c>
      <c r="E856" t="s">
        <v>176</v>
      </c>
      <c r="F856" t="s">
        <v>177</v>
      </c>
      <c r="G856" t="s">
        <v>179</v>
      </c>
    </row>
    <row r="857" spans="1:7">
      <c r="A857">
        <v>2027</v>
      </c>
      <c r="B857" t="s">
        <v>196</v>
      </c>
      <c r="C857">
        <v>33005.5</v>
      </c>
      <c r="D857" t="s">
        <v>183</v>
      </c>
      <c r="E857" t="s">
        <v>176</v>
      </c>
      <c r="F857" t="s">
        <v>177</v>
      </c>
      <c r="G857" t="s">
        <v>179</v>
      </c>
    </row>
    <row r="858" spans="1:7">
      <c r="A858">
        <v>2028</v>
      </c>
      <c r="B858" t="s">
        <v>196</v>
      </c>
      <c r="C858">
        <v>33005.5</v>
      </c>
      <c r="D858" t="s">
        <v>183</v>
      </c>
      <c r="E858" t="s">
        <v>176</v>
      </c>
      <c r="F858" t="s">
        <v>177</v>
      </c>
      <c r="G858" t="s">
        <v>179</v>
      </c>
    </row>
    <row r="859" spans="1:7">
      <c r="A859">
        <v>2029</v>
      </c>
      <c r="B859" t="s">
        <v>196</v>
      </c>
      <c r="C859">
        <v>32996.400000000001</v>
      </c>
      <c r="D859" t="s">
        <v>183</v>
      </c>
      <c r="E859" t="s">
        <v>176</v>
      </c>
      <c r="F859" t="s">
        <v>177</v>
      </c>
      <c r="G859" t="s">
        <v>179</v>
      </c>
    </row>
    <row r="860" spans="1:7">
      <c r="A860">
        <v>2030</v>
      </c>
      <c r="B860" t="s">
        <v>196</v>
      </c>
      <c r="C860">
        <v>32996.400000000001</v>
      </c>
      <c r="D860" t="s">
        <v>183</v>
      </c>
      <c r="E860" t="s">
        <v>176</v>
      </c>
      <c r="F860" t="s">
        <v>177</v>
      </c>
      <c r="G860" t="s">
        <v>179</v>
      </c>
    </row>
    <row r="861" spans="1:7">
      <c r="A861">
        <v>2031</v>
      </c>
      <c r="B861" t="s">
        <v>196</v>
      </c>
      <c r="C861">
        <v>55468.3</v>
      </c>
      <c r="D861" t="s">
        <v>183</v>
      </c>
      <c r="E861" t="s">
        <v>176</v>
      </c>
      <c r="F861" t="s">
        <v>177</v>
      </c>
      <c r="G861" t="s">
        <v>179</v>
      </c>
    </row>
    <row r="862" spans="1:7">
      <c r="A862">
        <v>2032</v>
      </c>
      <c r="B862" t="s">
        <v>196</v>
      </c>
      <c r="C862">
        <v>55468.3</v>
      </c>
      <c r="D862" t="s">
        <v>183</v>
      </c>
      <c r="E862" t="s">
        <v>176</v>
      </c>
      <c r="F862" t="s">
        <v>177</v>
      </c>
      <c r="G862" t="s">
        <v>179</v>
      </c>
    </row>
    <row r="863" spans="1:7">
      <c r="A863">
        <v>2033</v>
      </c>
      <c r="B863" t="s">
        <v>196</v>
      </c>
      <c r="C863">
        <v>53885.9</v>
      </c>
      <c r="D863" t="s">
        <v>183</v>
      </c>
      <c r="E863" t="s">
        <v>176</v>
      </c>
      <c r="F863" t="s">
        <v>177</v>
      </c>
      <c r="G863" t="s">
        <v>179</v>
      </c>
    </row>
    <row r="864" spans="1:7">
      <c r="A864">
        <v>2034</v>
      </c>
      <c r="B864" t="s">
        <v>196</v>
      </c>
      <c r="C864">
        <v>53885.9</v>
      </c>
      <c r="D864" t="s">
        <v>183</v>
      </c>
      <c r="E864" t="s">
        <v>176</v>
      </c>
      <c r="F864" t="s">
        <v>177</v>
      </c>
      <c r="G864" t="s">
        <v>179</v>
      </c>
    </row>
    <row r="865" spans="1:7">
      <c r="A865">
        <v>2035</v>
      </c>
      <c r="B865" t="s">
        <v>196</v>
      </c>
      <c r="C865">
        <v>53885.9</v>
      </c>
      <c r="D865" t="s">
        <v>183</v>
      </c>
      <c r="E865" t="s">
        <v>176</v>
      </c>
      <c r="F865" t="s">
        <v>177</v>
      </c>
      <c r="G865" t="s">
        <v>179</v>
      </c>
    </row>
    <row r="866" spans="1:7">
      <c r="A866">
        <v>2020</v>
      </c>
      <c r="B866" t="s">
        <v>188</v>
      </c>
      <c r="C866">
        <v>102.45</v>
      </c>
      <c r="D866" t="s">
        <v>183</v>
      </c>
      <c r="E866" t="s">
        <v>176</v>
      </c>
      <c r="F866" t="s">
        <v>177</v>
      </c>
      <c r="G866" t="s">
        <v>180</v>
      </c>
    </row>
    <row r="867" spans="1:7">
      <c r="A867">
        <v>2021</v>
      </c>
      <c r="B867" t="s">
        <v>188</v>
      </c>
      <c r="C867">
        <v>9.5</v>
      </c>
      <c r="D867" t="s">
        <v>183</v>
      </c>
      <c r="E867" t="s">
        <v>176</v>
      </c>
      <c r="F867" t="s">
        <v>177</v>
      </c>
      <c r="G867" t="s">
        <v>180</v>
      </c>
    </row>
    <row r="868" spans="1:7">
      <c r="A868">
        <v>2022</v>
      </c>
      <c r="B868" t="s">
        <v>188</v>
      </c>
      <c r="C868">
        <v>9.5</v>
      </c>
      <c r="D868" t="s">
        <v>183</v>
      </c>
      <c r="E868" t="s">
        <v>176</v>
      </c>
      <c r="F868" t="s">
        <v>177</v>
      </c>
      <c r="G868" t="s">
        <v>180</v>
      </c>
    </row>
    <row r="869" spans="1:7">
      <c r="A869">
        <v>2023</v>
      </c>
      <c r="B869" t="s">
        <v>188</v>
      </c>
      <c r="C869">
        <v>0</v>
      </c>
      <c r="D869" t="s">
        <v>183</v>
      </c>
      <c r="E869" t="s">
        <v>176</v>
      </c>
      <c r="F869" t="s">
        <v>177</v>
      </c>
      <c r="G869" t="s">
        <v>180</v>
      </c>
    </row>
    <row r="870" spans="1:7">
      <c r="A870">
        <v>2024</v>
      </c>
      <c r="B870" t="s">
        <v>188</v>
      </c>
      <c r="C870">
        <v>0</v>
      </c>
      <c r="D870" t="s">
        <v>183</v>
      </c>
      <c r="E870" t="s">
        <v>176</v>
      </c>
      <c r="F870" t="s">
        <v>177</v>
      </c>
      <c r="G870" t="s">
        <v>180</v>
      </c>
    </row>
    <row r="871" spans="1:7">
      <c r="A871">
        <v>2025</v>
      </c>
      <c r="B871" t="s">
        <v>188</v>
      </c>
      <c r="C871">
        <v>0</v>
      </c>
      <c r="D871" t="s">
        <v>183</v>
      </c>
      <c r="E871" t="s">
        <v>176</v>
      </c>
      <c r="F871" t="s">
        <v>177</v>
      </c>
      <c r="G871" t="s">
        <v>180</v>
      </c>
    </row>
    <row r="872" spans="1:7">
      <c r="A872">
        <v>2026</v>
      </c>
      <c r="B872" t="s">
        <v>188</v>
      </c>
      <c r="C872">
        <v>0</v>
      </c>
      <c r="D872" t="s">
        <v>183</v>
      </c>
      <c r="E872" t="s">
        <v>176</v>
      </c>
      <c r="F872" t="s">
        <v>177</v>
      </c>
      <c r="G872" t="s">
        <v>180</v>
      </c>
    </row>
    <row r="873" spans="1:7">
      <c r="A873">
        <v>2027</v>
      </c>
      <c r="B873" t="s">
        <v>188</v>
      </c>
      <c r="C873">
        <v>0</v>
      </c>
      <c r="D873" t="s">
        <v>183</v>
      </c>
      <c r="E873" t="s">
        <v>176</v>
      </c>
      <c r="F873" t="s">
        <v>177</v>
      </c>
      <c r="G873" t="s">
        <v>180</v>
      </c>
    </row>
    <row r="874" spans="1:7">
      <c r="A874">
        <v>2028</v>
      </c>
      <c r="B874" t="s">
        <v>188</v>
      </c>
      <c r="C874">
        <v>0</v>
      </c>
      <c r="D874" t="s">
        <v>183</v>
      </c>
      <c r="E874" t="s">
        <v>176</v>
      </c>
      <c r="F874" t="s">
        <v>177</v>
      </c>
      <c r="G874" t="s">
        <v>180</v>
      </c>
    </row>
    <row r="875" spans="1:7">
      <c r="A875">
        <v>2029</v>
      </c>
      <c r="B875" t="s">
        <v>188</v>
      </c>
      <c r="C875">
        <v>0</v>
      </c>
      <c r="D875" t="s">
        <v>183</v>
      </c>
      <c r="E875" t="s">
        <v>176</v>
      </c>
      <c r="F875" t="s">
        <v>177</v>
      </c>
      <c r="G875" t="s">
        <v>180</v>
      </c>
    </row>
    <row r="876" spans="1:7">
      <c r="A876">
        <v>2030</v>
      </c>
      <c r="B876" t="s">
        <v>188</v>
      </c>
      <c r="C876">
        <v>0</v>
      </c>
      <c r="D876" t="s">
        <v>183</v>
      </c>
      <c r="E876" t="s">
        <v>176</v>
      </c>
      <c r="F876" t="s">
        <v>177</v>
      </c>
      <c r="G876" t="s">
        <v>180</v>
      </c>
    </row>
    <row r="877" spans="1:7">
      <c r="A877">
        <v>2031</v>
      </c>
      <c r="B877" t="s">
        <v>188</v>
      </c>
      <c r="C877">
        <v>0</v>
      </c>
      <c r="D877" t="s">
        <v>183</v>
      </c>
      <c r="E877" t="s">
        <v>176</v>
      </c>
      <c r="F877" t="s">
        <v>177</v>
      </c>
      <c r="G877" t="s">
        <v>180</v>
      </c>
    </row>
    <row r="878" spans="1:7">
      <c r="A878">
        <v>2032</v>
      </c>
      <c r="B878" t="s">
        <v>188</v>
      </c>
      <c r="C878">
        <v>0</v>
      </c>
      <c r="D878" t="s">
        <v>183</v>
      </c>
      <c r="E878" t="s">
        <v>176</v>
      </c>
      <c r="F878" t="s">
        <v>177</v>
      </c>
      <c r="G878" t="s">
        <v>180</v>
      </c>
    </row>
    <row r="879" spans="1:7">
      <c r="A879">
        <v>2033</v>
      </c>
      <c r="B879" t="s">
        <v>188</v>
      </c>
      <c r="C879">
        <v>0</v>
      </c>
      <c r="D879" t="s">
        <v>183</v>
      </c>
      <c r="E879" t="s">
        <v>176</v>
      </c>
      <c r="F879" t="s">
        <v>177</v>
      </c>
      <c r="G879" t="s">
        <v>180</v>
      </c>
    </row>
    <row r="880" spans="1:7">
      <c r="A880">
        <v>2034</v>
      </c>
      <c r="B880" t="s">
        <v>188</v>
      </c>
      <c r="C880">
        <v>0</v>
      </c>
      <c r="D880" t="s">
        <v>183</v>
      </c>
      <c r="E880" t="s">
        <v>176</v>
      </c>
      <c r="F880" t="s">
        <v>177</v>
      </c>
      <c r="G880" t="s">
        <v>180</v>
      </c>
    </row>
    <row r="881" spans="1:7">
      <c r="A881">
        <v>2035</v>
      </c>
      <c r="B881" t="s">
        <v>188</v>
      </c>
      <c r="C881">
        <v>0</v>
      </c>
      <c r="D881" t="s">
        <v>183</v>
      </c>
      <c r="E881" t="s">
        <v>176</v>
      </c>
      <c r="F881" t="s">
        <v>177</v>
      </c>
      <c r="G881" t="s">
        <v>180</v>
      </c>
    </row>
    <row r="882" spans="1:7">
      <c r="A882">
        <v>2020</v>
      </c>
      <c r="B882" t="s">
        <v>189</v>
      </c>
      <c r="C882">
        <v>0</v>
      </c>
      <c r="D882" t="s">
        <v>183</v>
      </c>
      <c r="E882" t="s">
        <v>176</v>
      </c>
      <c r="F882" t="s">
        <v>177</v>
      </c>
      <c r="G882" t="s">
        <v>180</v>
      </c>
    </row>
    <row r="883" spans="1:7">
      <c r="A883">
        <v>2021</v>
      </c>
      <c r="B883" t="s">
        <v>189</v>
      </c>
      <c r="C883">
        <v>0</v>
      </c>
      <c r="D883" t="s">
        <v>183</v>
      </c>
      <c r="E883" t="s">
        <v>176</v>
      </c>
      <c r="F883" t="s">
        <v>177</v>
      </c>
      <c r="G883" t="s">
        <v>180</v>
      </c>
    </row>
    <row r="884" spans="1:7">
      <c r="A884">
        <v>2022</v>
      </c>
      <c r="B884" t="s">
        <v>189</v>
      </c>
      <c r="C884">
        <v>0</v>
      </c>
      <c r="D884" t="s">
        <v>183</v>
      </c>
      <c r="E884" t="s">
        <v>176</v>
      </c>
      <c r="F884" t="s">
        <v>177</v>
      </c>
      <c r="G884" t="s">
        <v>180</v>
      </c>
    </row>
    <row r="885" spans="1:7">
      <c r="A885">
        <v>2023</v>
      </c>
      <c r="B885" t="s">
        <v>189</v>
      </c>
      <c r="C885">
        <v>0</v>
      </c>
      <c r="D885" t="s">
        <v>183</v>
      </c>
      <c r="E885" t="s">
        <v>176</v>
      </c>
      <c r="F885" t="s">
        <v>177</v>
      </c>
      <c r="G885" t="s">
        <v>180</v>
      </c>
    </row>
    <row r="886" spans="1:7">
      <c r="A886">
        <v>2024</v>
      </c>
      <c r="B886" t="s">
        <v>189</v>
      </c>
      <c r="C886">
        <v>0</v>
      </c>
      <c r="D886" t="s">
        <v>183</v>
      </c>
      <c r="E886" t="s">
        <v>176</v>
      </c>
      <c r="F886" t="s">
        <v>177</v>
      </c>
      <c r="G886" t="s">
        <v>180</v>
      </c>
    </row>
    <row r="887" spans="1:7">
      <c r="A887">
        <v>2025</v>
      </c>
      <c r="B887" t="s">
        <v>189</v>
      </c>
      <c r="C887">
        <v>0</v>
      </c>
      <c r="D887" t="s">
        <v>183</v>
      </c>
      <c r="E887" t="s">
        <v>176</v>
      </c>
      <c r="F887" t="s">
        <v>177</v>
      </c>
      <c r="G887" t="s">
        <v>180</v>
      </c>
    </row>
    <row r="888" spans="1:7">
      <c r="A888">
        <v>2026</v>
      </c>
      <c r="B888" t="s">
        <v>189</v>
      </c>
      <c r="C888">
        <v>0</v>
      </c>
      <c r="D888" t="s">
        <v>183</v>
      </c>
      <c r="E888" t="s">
        <v>176</v>
      </c>
      <c r="F888" t="s">
        <v>177</v>
      </c>
      <c r="G888" t="s">
        <v>180</v>
      </c>
    </row>
    <row r="889" spans="1:7">
      <c r="A889">
        <v>2027</v>
      </c>
      <c r="B889" t="s">
        <v>189</v>
      </c>
      <c r="C889">
        <v>0</v>
      </c>
      <c r="D889" t="s">
        <v>183</v>
      </c>
      <c r="E889" t="s">
        <v>176</v>
      </c>
      <c r="F889" t="s">
        <v>177</v>
      </c>
      <c r="G889" t="s">
        <v>180</v>
      </c>
    </row>
    <row r="890" spans="1:7">
      <c r="A890">
        <v>2028</v>
      </c>
      <c r="B890" t="s">
        <v>189</v>
      </c>
      <c r="C890">
        <v>0</v>
      </c>
      <c r="D890" t="s">
        <v>183</v>
      </c>
      <c r="E890" t="s">
        <v>176</v>
      </c>
      <c r="F890" t="s">
        <v>177</v>
      </c>
      <c r="G890" t="s">
        <v>180</v>
      </c>
    </row>
    <row r="891" spans="1:7">
      <c r="A891">
        <v>2029</v>
      </c>
      <c r="B891" t="s">
        <v>189</v>
      </c>
      <c r="C891">
        <v>0</v>
      </c>
      <c r="D891" t="s">
        <v>183</v>
      </c>
      <c r="E891" t="s">
        <v>176</v>
      </c>
      <c r="F891" t="s">
        <v>177</v>
      </c>
      <c r="G891" t="s">
        <v>180</v>
      </c>
    </row>
    <row r="892" spans="1:7">
      <c r="A892">
        <v>2030</v>
      </c>
      <c r="B892" t="s">
        <v>189</v>
      </c>
      <c r="C892">
        <v>0</v>
      </c>
      <c r="D892" t="s">
        <v>183</v>
      </c>
      <c r="E892" t="s">
        <v>176</v>
      </c>
      <c r="F892" t="s">
        <v>177</v>
      </c>
      <c r="G892" t="s">
        <v>180</v>
      </c>
    </row>
    <row r="893" spans="1:7">
      <c r="A893">
        <v>2031</v>
      </c>
      <c r="B893" t="s">
        <v>189</v>
      </c>
      <c r="C893">
        <v>0</v>
      </c>
      <c r="D893" t="s">
        <v>183</v>
      </c>
      <c r="E893" t="s">
        <v>176</v>
      </c>
      <c r="F893" t="s">
        <v>177</v>
      </c>
      <c r="G893" t="s">
        <v>180</v>
      </c>
    </row>
    <row r="894" spans="1:7">
      <c r="A894">
        <v>2032</v>
      </c>
      <c r="B894" t="s">
        <v>189</v>
      </c>
      <c r="C894">
        <v>0</v>
      </c>
      <c r="D894" t="s">
        <v>183</v>
      </c>
      <c r="E894" t="s">
        <v>176</v>
      </c>
      <c r="F894" t="s">
        <v>177</v>
      </c>
      <c r="G894" t="s">
        <v>180</v>
      </c>
    </row>
    <row r="895" spans="1:7">
      <c r="A895">
        <v>2033</v>
      </c>
      <c r="B895" t="s">
        <v>189</v>
      </c>
      <c r="C895">
        <v>0</v>
      </c>
      <c r="D895" t="s">
        <v>183</v>
      </c>
      <c r="E895" t="s">
        <v>176</v>
      </c>
      <c r="F895" t="s">
        <v>177</v>
      </c>
      <c r="G895" t="s">
        <v>180</v>
      </c>
    </row>
    <row r="896" spans="1:7">
      <c r="A896">
        <v>2034</v>
      </c>
      <c r="B896" t="s">
        <v>189</v>
      </c>
      <c r="C896">
        <v>0</v>
      </c>
      <c r="D896" t="s">
        <v>183</v>
      </c>
      <c r="E896" t="s">
        <v>176</v>
      </c>
      <c r="F896" t="s">
        <v>177</v>
      </c>
      <c r="G896" t="s">
        <v>180</v>
      </c>
    </row>
    <row r="897" spans="1:7">
      <c r="A897">
        <v>2035</v>
      </c>
      <c r="B897" t="s">
        <v>189</v>
      </c>
      <c r="C897">
        <v>0</v>
      </c>
      <c r="D897" t="s">
        <v>183</v>
      </c>
      <c r="E897" t="s">
        <v>176</v>
      </c>
      <c r="F897" t="s">
        <v>177</v>
      </c>
      <c r="G897" t="s">
        <v>180</v>
      </c>
    </row>
    <row r="898" spans="1:7">
      <c r="A898">
        <v>2020</v>
      </c>
      <c r="B898" t="s">
        <v>190</v>
      </c>
      <c r="C898">
        <v>11059.73</v>
      </c>
      <c r="D898" t="s">
        <v>183</v>
      </c>
      <c r="E898" t="s">
        <v>176</v>
      </c>
      <c r="F898" t="s">
        <v>177</v>
      </c>
      <c r="G898" t="s">
        <v>180</v>
      </c>
    </row>
    <row r="899" spans="1:7">
      <c r="A899">
        <v>2021</v>
      </c>
      <c r="B899" t="s">
        <v>190</v>
      </c>
      <c r="C899">
        <v>0</v>
      </c>
      <c r="D899" t="s">
        <v>183</v>
      </c>
      <c r="E899" t="s">
        <v>176</v>
      </c>
      <c r="F899" t="s">
        <v>177</v>
      </c>
      <c r="G899" t="s">
        <v>180</v>
      </c>
    </row>
    <row r="900" spans="1:7">
      <c r="A900">
        <v>2022</v>
      </c>
      <c r="B900" t="s">
        <v>190</v>
      </c>
      <c r="C900">
        <v>0</v>
      </c>
      <c r="D900" t="s">
        <v>183</v>
      </c>
      <c r="E900" t="s">
        <v>176</v>
      </c>
      <c r="F900" t="s">
        <v>177</v>
      </c>
      <c r="G900" t="s">
        <v>180</v>
      </c>
    </row>
    <row r="901" spans="1:7">
      <c r="A901">
        <v>2023</v>
      </c>
      <c r="B901" t="s">
        <v>190</v>
      </c>
      <c r="C901">
        <v>0</v>
      </c>
      <c r="D901" t="s">
        <v>183</v>
      </c>
      <c r="E901" t="s">
        <v>176</v>
      </c>
      <c r="F901" t="s">
        <v>177</v>
      </c>
      <c r="G901" t="s">
        <v>180</v>
      </c>
    </row>
    <row r="902" spans="1:7">
      <c r="A902">
        <v>2024</v>
      </c>
      <c r="B902" t="s">
        <v>190</v>
      </c>
      <c r="C902">
        <v>0</v>
      </c>
      <c r="D902" t="s">
        <v>183</v>
      </c>
      <c r="E902" t="s">
        <v>176</v>
      </c>
      <c r="F902" t="s">
        <v>177</v>
      </c>
      <c r="G902" t="s">
        <v>180</v>
      </c>
    </row>
    <row r="903" spans="1:7">
      <c r="A903">
        <v>2025</v>
      </c>
      <c r="B903" t="s">
        <v>190</v>
      </c>
      <c r="C903">
        <v>0</v>
      </c>
      <c r="D903" t="s">
        <v>183</v>
      </c>
      <c r="E903" t="s">
        <v>176</v>
      </c>
      <c r="F903" t="s">
        <v>177</v>
      </c>
      <c r="G903" t="s">
        <v>180</v>
      </c>
    </row>
    <row r="904" spans="1:7">
      <c r="A904">
        <v>2026</v>
      </c>
      <c r="B904" t="s">
        <v>190</v>
      </c>
      <c r="C904">
        <v>0</v>
      </c>
      <c r="D904" t="s">
        <v>183</v>
      </c>
      <c r="E904" t="s">
        <v>176</v>
      </c>
      <c r="F904" t="s">
        <v>177</v>
      </c>
      <c r="G904" t="s">
        <v>180</v>
      </c>
    </row>
    <row r="905" spans="1:7">
      <c r="A905">
        <v>2027</v>
      </c>
      <c r="B905" t="s">
        <v>190</v>
      </c>
      <c r="C905">
        <v>0</v>
      </c>
      <c r="D905" t="s">
        <v>183</v>
      </c>
      <c r="E905" t="s">
        <v>176</v>
      </c>
      <c r="F905" t="s">
        <v>177</v>
      </c>
      <c r="G905" t="s">
        <v>180</v>
      </c>
    </row>
    <row r="906" spans="1:7">
      <c r="A906">
        <v>2028</v>
      </c>
      <c r="B906" t="s">
        <v>190</v>
      </c>
      <c r="C906">
        <v>0</v>
      </c>
      <c r="D906" t="s">
        <v>183</v>
      </c>
      <c r="E906" t="s">
        <v>176</v>
      </c>
      <c r="F906" t="s">
        <v>177</v>
      </c>
      <c r="G906" t="s">
        <v>180</v>
      </c>
    </row>
    <row r="907" spans="1:7">
      <c r="A907">
        <v>2029</v>
      </c>
      <c r="B907" t="s">
        <v>190</v>
      </c>
      <c r="C907">
        <v>0</v>
      </c>
      <c r="D907" t="s">
        <v>183</v>
      </c>
      <c r="E907" t="s">
        <v>176</v>
      </c>
      <c r="F907" t="s">
        <v>177</v>
      </c>
      <c r="G907" t="s">
        <v>180</v>
      </c>
    </row>
    <row r="908" spans="1:7">
      <c r="A908">
        <v>2030</v>
      </c>
      <c r="B908" t="s">
        <v>190</v>
      </c>
      <c r="C908">
        <v>0</v>
      </c>
      <c r="D908" t="s">
        <v>183</v>
      </c>
      <c r="E908" t="s">
        <v>176</v>
      </c>
      <c r="F908" t="s">
        <v>177</v>
      </c>
      <c r="G908" t="s">
        <v>180</v>
      </c>
    </row>
    <row r="909" spans="1:7">
      <c r="A909">
        <v>2031</v>
      </c>
      <c r="B909" t="s">
        <v>190</v>
      </c>
      <c r="C909">
        <v>0</v>
      </c>
      <c r="D909" t="s">
        <v>183</v>
      </c>
      <c r="E909" t="s">
        <v>176</v>
      </c>
      <c r="F909" t="s">
        <v>177</v>
      </c>
      <c r="G909" t="s">
        <v>180</v>
      </c>
    </row>
    <row r="910" spans="1:7">
      <c r="A910">
        <v>2032</v>
      </c>
      <c r="B910" t="s">
        <v>190</v>
      </c>
      <c r="C910">
        <v>0</v>
      </c>
      <c r="D910" t="s">
        <v>183</v>
      </c>
      <c r="E910" t="s">
        <v>176</v>
      </c>
      <c r="F910" t="s">
        <v>177</v>
      </c>
      <c r="G910" t="s">
        <v>180</v>
      </c>
    </row>
    <row r="911" spans="1:7">
      <c r="A911">
        <v>2033</v>
      </c>
      <c r="B911" t="s">
        <v>190</v>
      </c>
      <c r="C911">
        <v>0</v>
      </c>
      <c r="D911" t="s">
        <v>183</v>
      </c>
      <c r="E911" t="s">
        <v>176</v>
      </c>
      <c r="F911" t="s">
        <v>177</v>
      </c>
      <c r="G911" t="s">
        <v>180</v>
      </c>
    </row>
    <row r="912" spans="1:7">
      <c r="A912">
        <v>2034</v>
      </c>
      <c r="B912" t="s">
        <v>190</v>
      </c>
      <c r="C912">
        <v>0</v>
      </c>
      <c r="D912" t="s">
        <v>183</v>
      </c>
      <c r="E912" t="s">
        <v>176</v>
      </c>
      <c r="F912" t="s">
        <v>177</v>
      </c>
      <c r="G912" t="s">
        <v>180</v>
      </c>
    </row>
    <row r="913" spans="1:7">
      <c r="A913">
        <v>2035</v>
      </c>
      <c r="B913" t="s">
        <v>190</v>
      </c>
      <c r="C913">
        <v>0</v>
      </c>
      <c r="D913" t="s">
        <v>183</v>
      </c>
      <c r="E913" t="s">
        <v>176</v>
      </c>
      <c r="F913" t="s">
        <v>177</v>
      </c>
      <c r="G913" t="s">
        <v>180</v>
      </c>
    </row>
    <row r="914" spans="1:7">
      <c r="A914">
        <v>2020</v>
      </c>
      <c r="B914" t="s">
        <v>191</v>
      </c>
      <c r="C914">
        <v>0</v>
      </c>
      <c r="D914" t="s">
        <v>183</v>
      </c>
      <c r="E914" t="s">
        <v>176</v>
      </c>
      <c r="F914" t="s">
        <v>177</v>
      </c>
      <c r="G914" t="s">
        <v>180</v>
      </c>
    </row>
    <row r="915" spans="1:7">
      <c r="A915">
        <v>2021</v>
      </c>
      <c r="B915" t="s">
        <v>191</v>
      </c>
      <c r="C915">
        <v>0</v>
      </c>
      <c r="D915" t="s">
        <v>183</v>
      </c>
      <c r="E915" t="s">
        <v>176</v>
      </c>
      <c r="F915" t="s">
        <v>177</v>
      </c>
      <c r="G915" t="s">
        <v>180</v>
      </c>
    </row>
    <row r="916" spans="1:7">
      <c r="A916">
        <v>2022</v>
      </c>
      <c r="B916" t="s">
        <v>191</v>
      </c>
      <c r="C916">
        <v>0</v>
      </c>
      <c r="D916" t="s">
        <v>183</v>
      </c>
      <c r="E916" t="s">
        <v>176</v>
      </c>
      <c r="F916" t="s">
        <v>177</v>
      </c>
      <c r="G916" t="s">
        <v>180</v>
      </c>
    </row>
    <row r="917" spans="1:7">
      <c r="A917">
        <v>2023</v>
      </c>
      <c r="B917" t="s">
        <v>191</v>
      </c>
      <c r="C917">
        <v>0</v>
      </c>
      <c r="D917" t="s">
        <v>183</v>
      </c>
      <c r="E917" t="s">
        <v>176</v>
      </c>
      <c r="F917" t="s">
        <v>177</v>
      </c>
      <c r="G917" t="s">
        <v>180</v>
      </c>
    </row>
    <row r="918" spans="1:7">
      <c r="A918">
        <v>2024</v>
      </c>
      <c r="B918" t="s">
        <v>191</v>
      </c>
      <c r="C918">
        <v>0</v>
      </c>
      <c r="D918" t="s">
        <v>183</v>
      </c>
      <c r="E918" t="s">
        <v>176</v>
      </c>
      <c r="F918" t="s">
        <v>177</v>
      </c>
      <c r="G918" t="s">
        <v>180</v>
      </c>
    </row>
    <row r="919" spans="1:7">
      <c r="A919">
        <v>2025</v>
      </c>
      <c r="B919" t="s">
        <v>191</v>
      </c>
      <c r="C919">
        <v>0</v>
      </c>
      <c r="D919" t="s">
        <v>183</v>
      </c>
      <c r="E919" t="s">
        <v>176</v>
      </c>
      <c r="F919" t="s">
        <v>177</v>
      </c>
      <c r="G919" t="s">
        <v>180</v>
      </c>
    </row>
    <row r="920" spans="1:7">
      <c r="A920">
        <v>2026</v>
      </c>
      <c r="B920" t="s">
        <v>191</v>
      </c>
      <c r="C920">
        <v>0</v>
      </c>
      <c r="D920" t="s">
        <v>183</v>
      </c>
      <c r="E920" t="s">
        <v>176</v>
      </c>
      <c r="F920" t="s">
        <v>177</v>
      </c>
      <c r="G920" t="s">
        <v>180</v>
      </c>
    </row>
    <row r="921" spans="1:7">
      <c r="A921">
        <v>2027</v>
      </c>
      <c r="B921" t="s">
        <v>191</v>
      </c>
      <c r="C921">
        <v>0</v>
      </c>
      <c r="D921" t="s">
        <v>183</v>
      </c>
      <c r="E921" t="s">
        <v>176</v>
      </c>
      <c r="F921" t="s">
        <v>177</v>
      </c>
      <c r="G921" t="s">
        <v>180</v>
      </c>
    </row>
    <row r="922" spans="1:7">
      <c r="A922">
        <v>2028</v>
      </c>
      <c r="B922" t="s">
        <v>191</v>
      </c>
      <c r="C922">
        <v>0</v>
      </c>
      <c r="D922" t="s">
        <v>183</v>
      </c>
      <c r="E922" t="s">
        <v>176</v>
      </c>
      <c r="F922" t="s">
        <v>177</v>
      </c>
      <c r="G922" t="s">
        <v>180</v>
      </c>
    </row>
    <row r="923" spans="1:7">
      <c r="A923">
        <v>2029</v>
      </c>
      <c r="B923" t="s">
        <v>191</v>
      </c>
      <c r="C923">
        <v>0</v>
      </c>
      <c r="D923" t="s">
        <v>183</v>
      </c>
      <c r="E923" t="s">
        <v>176</v>
      </c>
      <c r="F923" t="s">
        <v>177</v>
      </c>
      <c r="G923" t="s">
        <v>180</v>
      </c>
    </row>
    <row r="924" spans="1:7">
      <c r="A924">
        <v>2030</v>
      </c>
      <c r="B924" t="s">
        <v>191</v>
      </c>
      <c r="C924">
        <v>0</v>
      </c>
      <c r="D924" t="s">
        <v>183</v>
      </c>
      <c r="E924" t="s">
        <v>176</v>
      </c>
      <c r="F924" t="s">
        <v>177</v>
      </c>
      <c r="G924" t="s">
        <v>180</v>
      </c>
    </row>
    <row r="925" spans="1:7">
      <c r="A925">
        <v>2031</v>
      </c>
      <c r="B925" t="s">
        <v>191</v>
      </c>
      <c r="C925">
        <v>0</v>
      </c>
      <c r="D925" t="s">
        <v>183</v>
      </c>
      <c r="E925" t="s">
        <v>176</v>
      </c>
      <c r="F925" t="s">
        <v>177</v>
      </c>
      <c r="G925" t="s">
        <v>180</v>
      </c>
    </row>
    <row r="926" spans="1:7">
      <c r="A926">
        <v>2032</v>
      </c>
      <c r="B926" t="s">
        <v>191</v>
      </c>
      <c r="C926">
        <v>0</v>
      </c>
      <c r="D926" t="s">
        <v>183</v>
      </c>
      <c r="E926" t="s">
        <v>176</v>
      </c>
      <c r="F926" t="s">
        <v>177</v>
      </c>
      <c r="G926" t="s">
        <v>180</v>
      </c>
    </row>
    <row r="927" spans="1:7">
      <c r="A927">
        <v>2033</v>
      </c>
      <c r="B927" t="s">
        <v>191</v>
      </c>
      <c r="C927">
        <v>0</v>
      </c>
      <c r="D927" t="s">
        <v>183</v>
      </c>
      <c r="E927" t="s">
        <v>176</v>
      </c>
      <c r="F927" t="s">
        <v>177</v>
      </c>
      <c r="G927" t="s">
        <v>180</v>
      </c>
    </row>
    <row r="928" spans="1:7">
      <c r="A928">
        <v>2034</v>
      </c>
      <c r="B928" t="s">
        <v>191</v>
      </c>
      <c r="C928">
        <v>0</v>
      </c>
      <c r="D928" t="s">
        <v>183</v>
      </c>
      <c r="E928" t="s">
        <v>176</v>
      </c>
      <c r="F928" t="s">
        <v>177</v>
      </c>
      <c r="G928" t="s">
        <v>180</v>
      </c>
    </row>
    <row r="929" spans="1:7">
      <c r="A929">
        <v>2035</v>
      </c>
      <c r="B929" t="s">
        <v>191</v>
      </c>
      <c r="C929">
        <v>0</v>
      </c>
      <c r="D929" t="s">
        <v>183</v>
      </c>
      <c r="E929" t="s">
        <v>176</v>
      </c>
      <c r="F929" t="s">
        <v>177</v>
      </c>
      <c r="G929" t="s">
        <v>180</v>
      </c>
    </row>
    <row r="930" spans="1:7">
      <c r="A930">
        <v>2020</v>
      </c>
      <c r="B930" t="s">
        <v>192</v>
      </c>
      <c r="C930">
        <v>2787.01</v>
      </c>
      <c r="D930" t="s">
        <v>183</v>
      </c>
      <c r="E930" t="s">
        <v>176</v>
      </c>
      <c r="F930" t="s">
        <v>177</v>
      </c>
      <c r="G930" t="s">
        <v>180</v>
      </c>
    </row>
    <row r="931" spans="1:7">
      <c r="A931">
        <v>2021</v>
      </c>
      <c r="B931" t="s">
        <v>192</v>
      </c>
      <c r="C931">
        <v>0.5</v>
      </c>
      <c r="D931" t="s">
        <v>183</v>
      </c>
      <c r="E931" t="s">
        <v>176</v>
      </c>
      <c r="F931" t="s">
        <v>177</v>
      </c>
      <c r="G931" t="s">
        <v>180</v>
      </c>
    </row>
    <row r="932" spans="1:7">
      <c r="A932">
        <v>2022</v>
      </c>
      <c r="B932" t="s">
        <v>192</v>
      </c>
      <c r="C932">
        <v>0.5</v>
      </c>
      <c r="D932" t="s">
        <v>183</v>
      </c>
      <c r="E932" t="s">
        <v>176</v>
      </c>
      <c r="F932" t="s">
        <v>177</v>
      </c>
      <c r="G932" t="s">
        <v>180</v>
      </c>
    </row>
    <row r="933" spans="1:7">
      <c r="A933">
        <v>2023</v>
      </c>
      <c r="B933" t="s">
        <v>192</v>
      </c>
      <c r="C933">
        <v>31.5</v>
      </c>
      <c r="D933" t="s">
        <v>183</v>
      </c>
      <c r="E933" t="s">
        <v>176</v>
      </c>
      <c r="F933" t="s">
        <v>177</v>
      </c>
      <c r="G933" t="s">
        <v>180</v>
      </c>
    </row>
    <row r="934" spans="1:7">
      <c r="A934">
        <v>2024</v>
      </c>
      <c r="B934" t="s">
        <v>192</v>
      </c>
      <c r="C934">
        <v>31.5</v>
      </c>
      <c r="D934" t="s">
        <v>183</v>
      </c>
      <c r="E934" t="s">
        <v>176</v>
      </c>
      <c r="F934" t="s">
        <v>177</v>
      </c>
      <c r="G934" t="s">
        <v>180</v>
      </c>
    </row>
    <row r="935" spans="1:7">
      <c r="A935">
        <v>2025</v>
      </c>
      <c r="B935" t="s">
        <v>192</v>
      </c>
      <c r="C935">
        <v>16.149999999999999</v>
      </c>
      <c r="D935" t="s">
        <v>183</v>
      </c>
      <c r="E935" t="s">
        <v>176</v>
      </c>
      <c r="F935" t="s">
        <v>177</v>
      </c>
      <c r="G935" t="s">
        <v>180</v>
      </c>
    </row>
    <row r="936" spans="1:7">
      <c r="A936">
        <v>2026</v>
      </c>
      <c r="B936" t="s">
        <v>192</v>
      </c>
      <c r="C936">
        <v>16.149999999999999</v>
      </c>
      <c r="D936" t="s">
        <v>183</v>
      </c>
      <c r="E936" t="s">
        <v>176</v>
      </c>
      <c r="F936" t="s">
        <v>177</v>
      </c>
      <c r="G936" t="s">
        <v>180</v>
      </c>
    </row>
    <row r="937" spans="1:7">
      <c r="A937">
        <v>2027</v>
      </c>
      <c r="B937" t="s">
        <v>192</v>
      </c>
      <c r="C937">
        <v>4</v>
      </c>
      <c r="D937" t="s">
        <v>183</v>
      </c>
      <c r="E937" t="s">
        <v>176</v>
      </c>
      <c r="F937" t="s">
        <v>177</v>
      </c>
      <c r="G937" t="s">
        <v>180</v>
      </c>
    </row>
    <row r="938" spans="1:7">
      <c r="A938">
        <v>2028</v>
      </c>
      <c r="B938" t="s">
        <v>192</v>
      </c>
      <c r="C938">
        <v>4</v>
      </c>
      <c r="D938" t="s">
        <v>183</v>
      </c>
      <c r="E938" t="s">
        <v>176</v>
      </c>
      <c r="F938" t="s">
        <v>177</v>
      </c>
      <c r="G938" t="s">
        <v>180</v>
      </c>
    </row>
    <row r="939" spans="1:7">
      <c r="A939">
        <v>2029</v>
      </c>
      <c r="B939" t="s">
        <v>192</v>
      </c>
      <c r="C939">
        <v>88.394999999999996</v>
      </c>
      <c r="D939" t="s">
        <v>183</v>
      </c>
      <c r="E939" t="s">
        <v>176</v>
      </c>
      <c r="F939" t="s">
        <v>177</v>
      </c>
      <c r="G939" t="s">
        <v>180</v>
      </c>
    </row>
    <row r="940" spans="1:7">
      <c r="A940">
        <v>2030</v>
      </c>
      <c r="B940" t="s">
        <v>192</v>
      </c>
      <c r="C940">
        <v>88.394999999999996</v>
      </c>
      <c r="D940" t="s">
        <v>183</v>
      </c>
      <c r="E940" t="s">
        <v>176</v>
      </c>
      <c r="F940" t="s">
        <v>177</v>
      </c>
      <c r="G940" t="s">
        <v>180</v>
      </c>
    </row>
    <row r="941" spans="1:7">
      <c r="A941">
        <v>2031</v>
      </c>
      <c r="B941" t="s">
        <v>192</v>
      </c>
      <c r="C941">
        <v>39</v>
      </c>
      <c r="D941" t="s">
        <v>183</v>
      </c>
      <c r="E941" t="s">
        <v>176</v>
      </c>
      <c r="F941" t="s">
        <v>177</v>
      </c>
      <c r="G941" t="s">
        <v>180</v>
      </c>
    </row>
    <row r="942" spans="1:7">
      <c r="A942">
        <v>2032</v>
      </c>
      <c r="B942" t="s">
        <v>192</v>
      </c>
      <c r="C942">
        <v>39</v>
      </c>
      <c r="D942" t="s">
        <v>183</v>
      </c>
      <c r="E942" t="s">
        <v>176</v>
      </c>
      <c r="F942" t="s">
        <v>177</v>
      </c>
      <c r="G942" t="s">
        <v>180</v>
      </c>
    </row>
    <row r="943" spans="1:7">
      <c r="A943">
        <v>2033</v>
      </c>
      <c r="B943" t="s">
        <v>192</v>
      </c>
      <c r="C943">
        <v>8</v>
      </c>
      <c r="D943" t="s">
        <v>183</v>
      </c>
      <c r="E943" t="s">
        <v>176</v>
      </c>
      <c r="F943" t="s">
        <v>177</v>
      </c>
      <c r="G943" t="s">
        <v>180</v>
      </c>
    </row>
    <row r="944" spans="1:7">
      <c r="A944">
        <v>2034</v>
      </c>
      <c r="B944" t="s">
        <v>192</v>
      </c>
      <c r="C944">
        <v>8</v>
      </c>
      <c r="D944" t="s">
        <v>183</v>
      </c>
      <c r="E944" t="s">
        <v>176</v>
      </c>
      <c r="F944" t="s">
        <v>177</v>
      </c>
      <c r="G944" t="s">
        <v>180</v>
      </c>
    </row>
    <row r="945" spans="1:7">
      <c r="A945">
        <v>2035</v>
      </c>
      <c r="B945" t="s">
        <v>192</v>
      </c>
      <c r="C945">
        <v>8</v>
      </c>
      <c r="D945" t="s">
        <v>183</v>
      </c>
      <c r="E945" t="s">
        <v>176</v>
      </c>
      <c r="F945" t="s">
        <v>177</v>
      </c>
      <c r="G945" t="s">
        <v>180</v>
      </c>
    </row>
    <row r="946" spans="1:7">
      <c r="A946">
        <v>2020</v>
      </c>
      <c r="B946" t="s">
        <v>193</v>
      </c>
      <c r="C946">
        <v>232.5</v>
      </c>
      <c r="D946" t="s">
        <v>183</v>
      </c>
      <c r="E946" t="s">
        <v>176</v>
      </c>
      <c r="F946" t="s">
        <v>177</v>
      </c>
      <c r="G946" t="s">
        <v>180</v>
      </c>
    </row>
    <row r="947" spans="1:7">
      <c r="A947">
        <v>2021</v>
      </c>
      <c r="B947" t="s">
        <v>193</v>
      </c>
      <c r="C947">
        <v>1100</v>
      </c>
      <c r="D947" t="s">
        <v>183</v>
      </c>
      <c r="E947" t="s">
        <v>176</v>
      </c>
      <c r="F947" t="s">
        <v>177</v>
      </c>
      <c r="G947" t="s">
        <v>180</v>
      </c>
    </row>
    <row r="948" spans="1:7">
      <c r="A948">
        <v>2022</v>
      </c>
      <c r="B948" t="s">
        <v>193</v>
      </c>
      <c r="C948">
        <v>1100</v>
      </c>
      <c r="D948" t="s">
        <v>183</v>
      </c>
      <c r="E948" t="s">
        <v>176</v>
      </c>
      <c r="F948" t="s">
        <v>177</v>
      </c>
      <c r="G948" t="s">
        <v>180</v>
      </c>
    </row>
    <row r="949" spans="1:7">
      <c r="A949">
        <v>2023</v>
      </c>
      <c r="B949" t="s">
        <v>193</v>
      </c>
      <c r="C949">
        <v>0</v>
      </c>
      <c r="D949" t="s">
        <v>183</v>
      </c>
      <c r="E949" t="s">
        <v>176</v>
      </c>
      <c r="F949" t="s">
        <v>177</v>
      </c>
      <c r="G949" t="s">
        <v>180</v>
      </c>
    </row>
    <row r="950" spans="1:7">
      <c r="A950">
        <v>2024</v>
      </c>
      <c r="B950" t="s">
        <v>193</v>
      </c>
      <c r="C950">
        <v>0</v>
      </c>
      <c r="D950" t="s">
        <v>183</v>
      </c>
      <c r="E950" t="s">
        <v>176</v>
      </c>
      <c r="F950" t="s">
        <v>177</v>
      </c>
      <c r="G950" t="s">
        <v>180</v>
      </c>
    </row>
    <row r="951" spans="1:7">
      <c r="A951">
        <v>2025</v>
      </c>
      <c r="B951" t="s">
        <v>193</v>
      </c>
      <c r="C951">
        <v>0</v>
      </c>
      <c r="D951" t="s">
        <v>183</v>
      </c>
      <c r="E951" t="s">
        <v>176</v>
      </c>
      <c r="F951" t="s">
        <v>177</v>
      </c>
      <c r="G951" t="s">
        <v>180</v>
      </c>
    </row>
    <row r="952" spans="1:7">
      <c r="A952">
        <v>2026</v>
      </c>
      <c r="B952" t="s">
        <v>193</v>
      </c>
      <c r="C952">
        <v>0</v>
      </c>
      <c r="D952" t="s">
        <v>183</v>
      </c>
      <c r="E952" t="s">
        <v>176</v>
      </c>
      <c r="F952" t="s">
        <v>177</v>
      </c>
      <c r="G952" t="s">
        <v>180</v>
      </c>
    </row>
    <row r="953" spans="1:7">
      <c r="A953">
        <v>2027</v>
      </c>
      <c r="B953" t="s">
        <v>193</v>
      </c>
      <c r="C953">
        <v>0</v>
      </c>
      <c r="D953" t="s">
        <v>183</v>
      </c>
      <c r="E953" t="s">
        <v>176</v>
      </c>
      <c r="F953" t="s">
        <v>177</v>
      </c>
      <c r="G953" t="s">
        <v>180</v>
      </c>
    </row>
    <row r="954" spans="1:7">
      <c r="A954">
        <v>2028</v>
      </c>
      <c r="B954" t="s">
        <v>193</v>
      </c>
      <c r="C954">
        <v>0</v>
      </c>
      <c r="D954" t="s">
        <v>183</v>
      </c>
      <c r="E954" t="s">
        <v>176</v>
      </c>
      <c r="F954" t="s">
        <v>177</v>
      </c>
      <c r="G954" t="s">
        <v>180</v>
      </c>
    </row>
    <row r="955" spans="1:7">
      <c r="A955">
        <v>2029</v>
      </c>
      <c r="B955" t="s">
        <v>193</v>
      </c>
      <c r="C955">
        <v>0</v>
      </c>
      <c r="D955" t="s">
        <v>183</v>
      </c>
      <c r="E955" t="s">
        <v>176</v>
      </c>
      <c r="F955" t="s">
        <v>177</v>
      </c>
      <c r="G955" t="s">
        <v>180</v>
      </c>
    </row>
    <row r="956" spans="1:7">
      <c r="A956">
        <v>2030</v>
      </c>
      <c r="B956" t="s">
        <v>193</v>
      </c>
      <c r="C956">
        <v>0</v>
      </c>
      <c r="D956" t="s">
        <v>183</v>
      </c>
      <c r="E956" t="s">
        <v>176</v>
      </c>
      <c r="F956" t="s">
        <v>177</v>
      </c>
      <c r="G956" t="s">
        <v>180</v>
      </c>
    </row>
    <row r="957" spans="1:7">
      <c r="A957">
        <v>2031</v>
      </c>
      <c r="B957" t="s">
        <v>193</v>
      </c>
      <c r="C957">
        <v>0</v>
      </c>
      <c r="D957" t="s">
        <v>183</v>
      </c>
      <c r="E957" t="s">
        <v>176</v>
      </c>
      <c r="F957" t="s">
        <v>177</v>
      </c>
      <c r="G957" t="s">
        <v>180</v>
      </c>
    </row>
    <row r="958" spans="1:7">
      <c r="A958">
        <v>2032</v>
      </c>
      <c r="B958" t="s">
        <v>193</v>
      </c>
      <c r="C958">
        <v>0</v>
      </c>
      <c r="D958" t="s">
        <v>183</v>
      </c>
      <c r="E958" t="s">
        <v>176</v>
      </c>
      <c r="F958" t="s">
        <v>177</v>
      </c>
      <c r="G958" t="s">
        <v>180</v>
      </c>
    </row>
    <row r="959" spans="1:7">
      <c r="A959">
        <v>2033</v>
      </c>
      <c r="B959" t="s">
        <v>193</v>
      </c>
      <c r="C959">
        <v>0</v>
      </c>
      <c r="D959" t="s">
        <v>183</v>
      </c>
      <c r="E959" t="s">
        <v>176</v>
      </c>
      <c r="F959" t="s">
        <v>177</v>
      </c>
      <c r="G959" t="s">
        <v>180</v>
      </c>
    </row>
    <row r="960" spans="1:7">
      <c r="A960">
        <v>2034</v>
      </c>
      <c r="B960" t="s">
        <v>193</v>
      </c>
      <c r="C960">
        <v>0</v>
      </c>
      <c r="D960" t="s">
        <v>183</v>
      </c>
      <c r="E960" t="s">
        <v>176</v>
      </c>
      <c r="F960" t="s">
        <v>177</v>
      </c>
      <c r="G960" t="s">
        <v>180</v>
      </c>
    </row>
    <row r="961" spans="1:7">
      <c r="A961">
        <v>2035</v>
      </c>
      <c r="B961" t="s">
        <v>193</v>
      </c>
      <c r="C961">
        <v>0</v>
      </c>
      <c r="D961" t="s">
        <v>183</v>
      </c>
      <c r="E961" t="s">
        <v>176</v>
      </c>
      <c r="F961" t="s">
        <v>177</v>
      </c>
      <c r="G961" t="s">
        <v>180</v>
      </c>
    </row>
    <row r="962" spans="1:7">
      <c r="A962">
        <v>2020</v>
      </c>
      <c r="B962" t="s">
        <v>194</v>
      </c>
      <c r="C962">
        <v>14.85</v>
      </c>
      <c r="D962" t="s">
        <v>183</v>
      </c>
      <c r="E962" t="s">
        <v>176</v>
      </c>
      <c r="F962" t="s">
        <v>177</v>
      </c>
      <c r="G962" t="s">
        <v>180</v>
      </c>
    </row>
    <row r="963" spans="1:7">
      <c r="A963">
        <v>2021</v>
      </c>
      <c r="B963" t="s">
        <v>194</v>
      </c>
      <c r="C963">
        <v>0</v>
      </c>
      <c r="D963" t="s">
        <v>183</v>
      </c>
      <c r="E963" t="s">
        <v>176</v>
      </c>
      <c r="F963" t="s">
        <v>177</v>
      </c>
      <c r="G963" t="s">
        <v>180</v>
      </c>
    </row>
    <row r="964" spans="1:7">
      <c r="A964">
        <v>2022</v>
      </c>
      <c r="B964" t="s">
        <v>194</v>
      </c>
      <c r="C964">
        <v>0</v>
      </c>
      <c r="D964" t="s">
        <v>183</v>
      </c>
      <c r="E964" t="s">
        <v>176</v>
      </c>
      <c r="F964" t="s">
        <v>177</v>
      </c>
      <c r="G964" t="s">
        <v>180</v>
      </c>
    </row>
    <row r="965" spans="1:7">
      <c r="A965">
        <v>2023</v>
      </c>
      <c r="B965" t="s">
        <v>194</v>
      </c>
      <c r="C965">
        <v>0</v>
      </c>
      <c r="D965" t="s">
        <v>183</v>
      </c>
      <c r="E965" t="s">
        <v>176</v>
      </c>
      <c r="F965" t="s">
        <v>177</v>
      </c>
      <c r="G965" t="s">
        <v>180</v>
      </c>
    </row>
    <row r="966" spans="1:7">
      <c r="A966">
        <v>2024</v>
      </c>
      <c r="B966" t="s">
        <v>194</v>
      </c>
      <c r="C966">
        <v>0</v>
      </c>
      <c r="D966" t="s">
        <v>183</v>
      </c>
      <c r="E966" t="s">
        <v>176</v>
      </c>
      <c r="F966" t="s">
        <v>177</v>
      </c>
      <c r="G966" t="s">
        <v>180</v>
      </c>
    </row>
    <row r="967" spans="1:7">
      <c r="A967">
        <v>2025</v>
      </c>
      <c r="B967" t="s">
        <v>194</v>
      </c>
      <c r="C967">
        <v>0</v>
      </c>
      <c r="D967" t="s">
        <v>183</v>
      </c>
      <c r="E967" t="s">
        <v>176</v>
      </c>
      <c r="F967" t="s">
        <v>177</v>
      </c>
      <c r="G967" t="s">
        <v>180</v>
      </c>
    </row>
    <row r="968" spans="1:7">
      <c r="A968">
        <v>2026</v>
      </c>
      <c r="B968" t="s">
        <v>194</v>
      </c>
      <c r="C968">
        <v>0</v>
      </c>
      <c r="D968" t="s">
        <v>183</v>
      </c>
      <c r="E968" t="s">
        <v>176</v>
      </c>
      <c r="F968" t="s">
        <v>177</v>
      </c>
      <c r="G968" t="s">
        <v>180</v>
      </c>
    </row>
    <row r="969" spans="1:7">
      <c r="A969">
        <v>2027</v>
      </c>
      <c r="B969" t="s">
        <v>194</v>
      </c>
      <c r="C969">
        <v>0</v>
      </c>
      <c r="D969" t="s">
        <v>183</v>
      </c>
      <c r="E969" t="s">
        <v>176</v>
      </c>
      <c r="F969" t="s">
        <v>177</v>
      </c>
      <c r="G969" t="s">
        <v>180</v>
      </c>
    </row>
    <row r="970" spans="1:7">
      <c r="A970">
        <v>2028</v>
      </c>
      <c r="B970" t="s">
        <v>194</v>
      </c>
      <c r="C970">
        <v>0</v>
      </c>
      <c r="D970" t="s">
        <v>183</v>
      </c>
      <c r="E970" t="s">
        <v>176</v>
      </c>
      <c r="F970" t="s">
        <v>177</v>
      </c>
      <c r="G970" t="s">
        <v>180</v>
      </c>
    </row>
    <row r="971" spans="1:7">
      <c r="A971">
        <v>2029</v>
      </c>
      <c r="B971" t="s">
        <v>194</v>
      </c>
      <c r="C971">
        <v>0</v>
      </c>
      <c r="D971" t="s">
        <v>183</v>
      </c>
      <c r="E971" t="s">
        <v>176</v>
      </c>
      <c r="F971" t="s">
        <v>177</v>
      </c>
      <c r="G971" t="s">
        <v>180</v>
      </c>
    </row>
    <row r="972" spans="1:7">
      <c r="A972">
        <v>2030</v>
      </c>
      <c r="B972" t="s">
        <v>194</v>
      </c>
      <c r="C972">
        <v>0</v>
      </c>
      <c r="D972" t="s">
        <v>183</v>
      </c>
      <c r="E972" t="s">
        <v>176</v>
      </c>
      <c r="F972" t="s">
        <v>177</v>
      </c>
      <c r="G972" t="s">
        <v>180</v>
      </c>
    </row>
    <row r="973" spans="1:7">
      <c r="A973">
        <v>2031</v>
      </c>
      <c r="B973" t="s">
        <v>194</v>
      </c>
      <c r="C973">
        <v>0</v>
      </c>
      <c r="D973" t="s">
        <v>183</v>
      </c>
      <c r="E973" t="s">
        <v>176</v>
      </c>
      <c r="F973" t="s">
        <v>177</v>
      </c>
      <c r="G973" t="s">
        <v>180</v>
      </c>
    </row>
    <row r="974" spans="1:7">
      <c r="A974">
        <v>2032</v>
      </c>
      <c r="B974" t="s">
        <v>194</v>
      </c>
      <c r="C974">
        <v>0</v>
      </c>
      <c r="D974" t="s">
        <v>183</v>
      </c>
      <c r="E974" t="s">
        <v>176</v>
      </c>
      <c r="F974" t="s">
        <v>177</v>
      </c>
      <c r="G974" t="s">
        <v>180</v>
      </c>
    </row>
    <row r="975" spans="1:7">
      <c r="A975">
        <v>2033</v>
      </c>
      <c r="B975" t="s">
        <v>194</v>
      </c>
      <c r="C975">
        <v>0</v>
      </c>
      <c r="D975" t="s">
        <v>183</v>
      </c>
      <c r="E975" t="s">
        <v>176</v>
      </c>
      <c r="F975" t="s">
        <v>177</v>
      </c>
      <c r="G975" t="s">
        <v>180</v>
      </c>
    </row>
    <row r="976" spans="1:7">
      <c r="A976">
        <v>2034</v>
      </c>
      <c r="B976" t="s">
        <v>194</v>
      </c>
      <c r="C976">
        <v>0</v>
      </c>
      <c r="D976" t="s">
        <v>183</v>
      </c>
      <c r="E976" t="s">
        <v>176</v>
      </c>
      <c r="F976" t="s">
        <v>177</v>
      </c>
      <c r="G976" t="s">
        <v>180</v>
      </c>
    </row>
    <row r="977" spans="1:7">
      <c r="A977">
        <v>2035</v>
      </c>
      <c r="B977" t="s">
        <v>194</v>
      </c>
      <c r="C977">
        <v>0</v>
      </c>
      <c r="D977" t="s">
        <v>183</v>
      </c>
      <c r="E977" t="s">
        <v>176</v>
      </c>
      <c r="F977" t="s">
        <v>177</v>
      </c>
      <c r="G977" t="s">
        <v>180</v>
      </c>
    </row>
    <row r="978" spans="1:7">
      <c r="A978">
        <v>2020</v>
      </c>
      <c r="B978" t="s">
        <v>195</v>
      </c>
      <c r="C978">
        <v>17721.7</v>
      </c>
      <c r="D978" t="s">
        <v>183</v>
      </c>
      <c r="E978" t="s">
        <v>176</v>
      </c>
      <c r="F978" t="s">
        <v>177</v>
      </c>
      <c r="G978" t="s">
        <v>180</v>
      </c>
    </row>
    <row r="979" spans="1:7">
      <c r="A979">
        <v>2021</v>
      </c>
      <c r="B979" t="s">
        <v>195</v>
      </c>
      <c r="C979">
        <v>35295.300000000003</v>
      </c>
      <c r="D979" t="s">
        <v>183</v>
      </c>
      <c r="E979" t="s">
        <v>176</v>
      </c>
      <c r="F979" t="s">
        <v>177</v>
      </c>
      <c r="G979" t="s">
        <v>180</v>
      </c>
    </row>
    <row r="980" spans="1:7">
      <c r="A980">
        <v>2022</v>
      </c>
      <c r="B980" t="s">
        <v>195</v>
      </c>
      <c r="C980">
        <v>35295.300000000003</v>
      </c>
      <c r="D980" t="s">
        <v>183</v>
      </c>
      <c r="E980" t="s">
        <v>176</v>
      </c>
      <c r="F980" t="s">
        <v>177</v>
      </c>
      <c r="G980" t="s">
        <v>180</v>
      </c>
    </row>
    <row r="981" spans="1:7">
      <c r="A981">
        <v>2023</v>
      </c>
      <c r="B981" t="s">
        <v>195</v>
      </c>
      <c r="C981">
        <v>55646.5</v>
      </c>
      <c r="D981" t="s">
        <v>183</v>
      </c>
      <c r="E981" t="s">
        <v>176</v>
      </c>
      <c r="F981" t="s">
        <v>177</v>
      </c>
      <c r="G981" t="s">
        <v>180</v>
      </c>
    </row>
    <row r="982" spans="1:7">
      <c r="A982">
        <v>2024</v>
      </c>
      <c r="B982" t="s">
        <v>195</v>
      </c>
      <c r="C982">
        <v>55646.5</v>
      </c>
      <c r="D982" t="s">
        <v>183</v>
      </c>
      <c r="E982" t="s">
        <v>176</v>
      </c>
      <c r="F982" t="s">
        <v>177</v>
      </c>
      <c r="G982" t="s">
        <v>180</v>
      </c>
    </row>
    <row r="983" spans="1:7">
      <c r="A983">
        <v>2025</v>
      </c>
      <c r="B983" t="s">
        <v>195</v>
      </c>
      <c r="C983">
        <v>28103.599999999999</v>
      </c>
      <c r="D983" t="s">
        <v>183</v>
      </c>
      <c r="E983" t="s">
        <v>176</v>
      </c>
      <c r="F983" t="s">
        <v>177</v>
      </c>
      <c r="G983" t="s">
        <v>180</v>
      </c>
    </row>
    <row r="984" spans="1:7">
      <c r="A984">
        <v>2026</v>
      </c>
      <c r="B984" t="s">
        <v>195</v>
      </c>
      <c r="C984">
        <v>28103.599999999999</v>
      </c>
      <c r="D984" t="s">
        <v>183</v>
      </c>
      <c r="E984" t="s">
        <v>176</v>
      </c>
      <c r="F984" t="s">
        <v>177</v>
      </c>
      <c r="G984" t="s">
        <v>180</v>
      </c>
    </row>
    <row r="985" spans="1:7">
      <c r="A985">
        <v>2027</v>
      </c>
      <c r="B985" t="s">
        <v>195</v>
      </c>
      <c r="C985">
        <v>33591</v>
      </c>
      <c r="D985" t="s">
        <v>183</v>
      </c>
      <c r="E985" t="s">
        <v>176</v>
      </c>
      <c r="F985" t="s">
        <v>177</v>
      </c>
      <c r="G985" t="s">
        <v>180</v>
      </c>
    </row>
    <row r="986" spans="1:7">
      <c r="A986">
        <v>2028</v>
      </c>
      <c r="B986" t="s">
        <v>195</v>
      </c>
      <c r="C986">
        <v>33591</v>
      </c>
      <c r="D986" t="s">
        <v>183</v>
      </c>
      <c r="E986" t="s">
        <v>176</v>
      </c>
      <c r="F986" t="s">
        <v>177</v>
      </c>
      <c r="G986" t="s">
        <v>180</v>
      </c>
    </row>
    <row r="987" spans="1:7">
      <c r="A987">
        <v>2029</v>
      </c>
      <c r="B987" t="s">
        <v>195</v>
      </c>
      <c r="C987">
        <v>23856.1</v>
      </c>
      <c r="D987" t="s">
        <v>183</v>
      </c>
      <c r="E987" t="s">
        <v>176</v>
      </c>
      <c r="F987" t="s">
        <v>177</v>
      </c>
      <c r="G987" t="s">
        <v>180</v>
      </c>
    </row>
    <row r="988" spans="1:7">
      <c r="A988">
        <v>2030</v>
      </c>
      <c r="B988" t="s">
        <v>195</v>
      </c>
      <c r="C988">
        <v>23856.1</v>
      </c>
      <c r="D988" t="s">
        <v>183</v>
      </c>
      <c r="E988" t="s">
        <v>176</v>
      </c>
      <c r="F988" t="s">
        <v>177</v>
      </c>
      <c r="G988" t="s">
        <v>180</v>
      </c>
    </row>
    <row r="989" spans="1:7">
      <c r="A989">
        <v>2031</v>
      </c>
      <c r="B989" t="s">
        <v>195</v>
      </c>
      <c r="C989">
        <v>20053</v>
      </c>
      <c r="D989" t="s">
        <v>183</v>
      </c>
      <c r="E989" t="s">
        <v>176</v>
      </c>
      <c r="F989" t="s">
        <v>177</v>
      </c>
      <c r="G989" t="s">
        <v>180</v>
      </c>
    </row>
    <row r="990" spans="1:7">
      <c r="A990">
        <v>2032</v>
      </c>
      <c r="B990" t="s">
        <v>195</v>
      </c>
      <c r="C990">
        <v>20053</v>
      </c>
      <c r="D990" t="s">
        <v>183</v>
      </c>
      <c r="E990" t="s">
        <v>176</v>
      </c>
      <c r="F990" t="s">
        <v>177</v>
      </c>
      <c r="G990" t="s">
        <v>180</v>
      </c>
    </row>
    <row r="991" spans="1:7">
      <c r="A991">
        <v>2033</v>
      </c>
      <c r="B991" t="s">
        <v>195</v>
      </c>
      <c r="C991">
        <v>31495.7</v>
      </c>
      <c r="D991" t="s">
        <v>183</v>
      </c>
      <c r="E991" t="s">
        <v>176</v>
      </c>
      <c r="F991" t="s">
        <v>177</v>
      </c>
      <c r="G991" t="s">
        <v>180</v>
      </c>
    </row>
    <row r="992" spans="1:7">
      <c r="A992">
        <v>2034</v>
      </c>
      <c r="B992" t="s">
        <v>195</v>
      </c>
      <c r="C992">
        <v>31495.7</v>
      </c>
      <c r="D992" t="s">
        <v>183</v>
      </c>
      <c r="E992" t="s">
        <v>176</v>
      </c>
      <c r="F992" t="s">
        <v>177</v>
      </c>
      <c r="G992" t="s">
        <v>180</v>
      </c>
    </row>
    <row r="993" spans="1:7">
      <c r="A993">
        <v>2035</v>
      </c>
      <c r="B993" t="s">
        <v>195</v>
      </c>
      <c r="C993">
        <v>31495.7</v>
      </c>
      <c r="D993" t="s">
        <v>183</v>
      </c>
      <c r="E993" t="s">
        <v>176</v>
      </c>
      <c r="F993" t="s">
        <v>177</v>
      </c>
      <c r="G993" t="s">
        <v>180</v>
      </c>
    </row>
    <row r="994" spans="1:7">
      <c r="A994">
        <v>2020</v>
      </c>
      <c r="B994" t="s">
        <v>196</v>
      </c>
      <c r="C994">
        <v>12528.9</v>
      </c>
      <c r="D994" t="s">
        <v>183</v>
      </c>
      <c r="E994" t="s">
        <v>176</v>
      </c>
      <c r="F994" t="s">
        <v>177</v>
      </c>
      <c r="G994" t="s">
        <v>180</v>
      </c>
    </row>
    <row r="995" spans="1:7">
      <c r="A995">
        <v>2021</v>
      </c>
      <c r="B995" t="s">
        <v>196</v>
      </c>
      <c r="C995">
        <v>22871.9</v>
      </c>
      <c r="D995" t="s">
        <v>183</v>
      </c>
      <c r="E995" t="s">
        <v>176</v>
      </c>
      <c r="F995" t="s">
        <v>177</v>
      </c>
      <c r="G995" t="s">
        <v>180</v>
      </c>
    </row>
    <row r="996" spans="1:7">
      <c r="A996">
        <v>2022</v>
      </c>
      <c r="B996" t="s">
        <v>196</v>
      </c>
      <c r="C996">
        <v>22871.9</v>
      </c>
      <c r="D996" t="s">
        <v>183</v>
      </c>
      <c r="E996" t="s">
        <v>176</v>
      </c>
      <c r="F996" t="s">
        <v>177</v>
      </c>
      <c r="G996" t="s">
        <v>180</v>
      </c>
    </row>
    <row r="997" spans="1:7">
      <c r="A997">
        <v>2023</v>
      </c>
      <c r="B997" t="s">
        <v>196</v>
      </c>
      <c r="C997">
        <v>7316.87</v>
      </c>
      <c r="D997" t="s">
        <v>183</v>
      </c>
      <c r="E997" t="s">
        <v>176</v>
      </c>
      <c r="F997" t="s">
        <v>177</v>
      </c>
      <c r="G997" t="s">
        <v>180</v>
      </c>
    </row>
    <row r="998" spans="1:7">
      <c r="A998">
        <v>2024</v>
      </c>
      <c r="B998" t="s">
        <v>196</v>
      </c>
      <c r="C998">
        <v>7316.87</v>
      </c>
      <c r="D998" t="s">
        <v>183</v>
      </c>
      <c r="E998" t="s">
        <v>176</v>
      </c>
      <c r="F998" t="s">
        <v>177</v>
      </c>
      <c r="G998" t="s">
        <v>180</v>
      </c>
    </row>
    <row r="999" spans="1:7">
      <c r="A999">
        <v>2025</v>
      </c>
      <c r="B999" t="s">
        <v>196</v>
      </c>
      <c r="C999">
        <v>31827.3</v>
      </c>
      <c r="D999" t="s">
        <v>183</v>
      </c>
      <c r="E999" t="s">
        <v>176</v>
      </c>
      <c r="F999" t="s">
        <v>177</v>
      </c>
      <c r="G999" t="s">
        <v>180</v>
      </c>
    </row>
    <row r="1000" spans="1:7">
      <c r="A1000">
        <v>2026</v>
      </c>
      <c r="B1000" t="s">
        <v>196</v>
      </c>
      <c r="C1000">
        <v>31827.3</v>
      </c>
      <c r="D1000" t="s">
        <v>183</v>
      </c>
      <c r="E1000" t="s">
        <v>176</v>
      </c>
      <c r="F1000" t="s">
        <v>177</v>
      </c>
      <c r="G1000" t="s">
        <v>180</v>
      </c>
    </row>
    <row r="1001" spans="1:7">
      <c r="A1001">
        <v>2027</v>
      </c>
      <c r="B1001" t="s">
        <v>196</v>
      </c>
      <c r="C1001">
        <v>32936.9</v>
      </c>
      <c r="D1001" t="s">
        <v>183</v>
      </c>
      <c r="E1001" t="s">
        <v>176</v>
      </c>
      <c r="F1001" t="s">
        <v>177</v>
      </c>
      <c r="G1001" t="s">
        <v>180</v>
      </c>
    </row>
    <row r="1002" spans="1:7">
      <c r="A1002">
        <v>2028</v>
      </c>
      <c r="B1002" t="s">
        <v>196</v>
      </c>
      <c r="C1002">
        <v>32936.9</v>
      </c>
      <c r="D1002" t="s">
        <v>183</v>
      </c>
      <c r="E1002" t="s">
        <v>176</v>
      </c>
      <c r="F1002" t="s">
        <v>177</v>
      </c>
      <c r="G1002" t="s">
        <v>180</v>
      </c>
    </row>
    <row r="1003" spans="1:7">
      <c r="A1003">
        <v>2029</v>
      </c>
      <c r="B1003" t="s">
        <v>196</v>
      </c>
      <c r="C1003">
        <v>36491.300000000003</v>
      </c>
      <c r="D1003" t="s">
        <v>183</v>
      </c>
      <c r="E1003" t="s">
        <v>176</v>
      </c>
      <c r="F1003" t="s">
        <v>177</v>
      </c>
      <c r="G1003" t="s">
        <v>180</v>
      </c>
    </row>
    <row r="1004" spans="1:7">
      <c r="A1004">
        <v>2030</v>
      </c>
      <c r="B1004" t="s">
        <v>196</v>
      </c>
      <c r="C1004">
        <v>36491.300000000003</v>
      </c>
      <c r="D1004" t="s">
        <v>183</v>
      </c>
      <c r="E1004" t="s">
        <v>176</v>
      </c>
      <c r="F1004" t="s">
        <v>177</v>
      </c>
      <c r="G1004" t="s">
        <v>180</v>
      </c>
    </row>
    <row r="1005" spans="1:7">
      <c r="A1005">
        <v>2031</v>
      </c>
      <c r="B1005" t="s">
        <v>196</v>
      </c>
      <c r="C1005">
        <v>54047.199999999997</v>
      </c>
      <c r="D1005" t="s">
        <v>183</v>
      </c>
      <c r="E1005" t="s">
        <v>176</v>
      </c>
      <c r="F1005" t="s">
        <v>177</v>
      </c>
      <c r="G1005" t="s">
        <v>180</v>
      </c>
    </row>
    <row r="1006" spans="1:7">
      <c r="A1006">
        <v>2032</v>
      </c>
      <c r="B1006" t="s">
        <v>196</v>
      </c>
      <c r="C1006">
        <v>54047.199999999997</v>
      </c>
      <c r="D1006" t="s">
        <v>183</v>
      </c>
      <c r="E1006" t="s">
        <v>176</v>
      </c>
      <c r="F1006" t="s">
        <v>177</v>
      </c>
      <c r="G1006" t="s">
        <v>180</v>
      </c>
    </row>
    <row r="1007" spans="1:7">
      <c r="A1007">
        <v>2033</v>
      </c>
      <c r="B1007" t="s">
        <v>196</v>
      </c>
      <c r="C1007">
        <v>53514.6</v>
      </c>
      <c r="D1007" t="s">
        <v>183</v>
      </c>
      <c r="E1007" t="s">
        <v>176</v>
      </c>
      <c r="F1007" t="s">
        <v>177</v>
      </c>
      <c r="G1007" t="s">
        <v>180</v>
      </c>
    </row>
    <row r="1008" spans="1:7">
      <c r="A1008">
        <v>2034</v>
      </c>
      <c r="B1008" t="s">
        <v>196</v>
      </c>
      <c r="C1008">
        <v>53514.6</v>
      </c>
      <c r="D1008" t="s">
        <v>183</v>
      </c>
      <c r="E1008" t="s">
        <v>176</v>
      </c>
      <c r="F1008" t="s">
        <v>177</v>
      </c>
      <c r="G1008" t="s">
        <v>180</v>
      </c>
    </row>
    <row r="1009" spans="1:7">
      <c r="A1009">
        <v>2035</v>
      </c>
      <c r="B1009" t="s">
        <v>196</v>
      </c>
      <c r="C1009">
        <v>53514.6</v>
      </c>
      <c r="D1009" t="s">
        <v>183</v>
      </c>
      <c r="E1009" t="s">
        <v>176</v>
      </c>
      <c r="F1009" t="s">
        <v>177</v>
      </c>
      <c r="G1009" t="s">
        <v>180</v>
      </c>
    </row>
    <row r="1010" spans="1:7">
      <c r="A1010">
        <v>2020</v>
      </c>
      <c r="B1010" t="s">
        <v>188</v>
      </c>
      <c r="C1010">
        <v>102.45</v>
      </c>
      <c r="D1010" t="s">
        <v>175</v>
      </c>
      <c r="E1010" t="s">
        <v>176</v>
      </c>
      <c r="F1010" t="s">
        <v>177</v>
      </c>
      <c r="G1010" t="s">
        <v>178</v>
      </c>
    </row>
    <row r="1011" spans="1:7">
      <c r="A1011">
        <v>2021</v>
      </c>
      <c r="B1011" t="s">
        <v>188</v>
      </c>
      <c r="C1011">
        <v>9.5</v>
      </c>
      <c r="D1011" t="s">
        <v>175</v>
      </c>
      <c r="E1011" t="s">
        <v>176</v>
      </c>
      <c r="F1011" t="s">
        <v>177</v>
      </c>
      <c r="G1011" t="s">
        <v>178</v>
      </c>
    </row>
    <row r="1012" spans="1:7">
      <c r="A1012">
        <v>2022</v>
      </c>
      <c r="B1012" t="s">
        <v>188</v>
      </c>
      <c r="C1012">
        <v>9.5</v>
      </c>
      <c r="D1012" t="s">
        <v>175</v>
      </c>
      <c r="E1012" t="s">
        <v>176</v>
      </c>
      <c r="F1012" t="s">
        <v>177</v>
      </c>
      <c r="G1012" t="s">
        <v>178</v>
      </c>
    </row>
    <row r="1013" spans="1:7">
      <c r="A1013">
        <v>2023</v>
      </c>
      <c r="B1013" t="s">
        <v>188</v>
      </c>
      <c r="C1013">
        <v>0</v>
      </c>
      <c r="D1013" t="s">
        <v>175</v>
      </c>
      <c r="E1013" t="s">
        <v>176</v>
      </c>
      <c r="F1013" t="s">
        <v>177</v>
      </c>
      <c r="G1013" t="s">
        <v>178</v>
      </c>
    </row>
    <row r="1014" spans="1:7">
      <c r="A1014">
        <v>2024</v>
      </c>
      <c r="B1014" t="s">
        <v>188</v>
      </c>
      <c r="C1014">
        <v>0</v>
      </c>
      <c r="D1014" t="s">
        <v>175</v>
      </c>
      <c r="E1014" t="s">
        <v>176</v>
      </c>
      <c r="F1014" t="s">
        <v>177</v>
      </c>
      <c r="G1014" t="s">
        <v>178</v>
      </c>
    </row>
    <row r="1015" spans="1:7">
      <c r="A1015">
        <v>2025</v>
      </c>
      <c r="B1015" t="s">
        <v>188</v>
      </c>
      <c r="C1015">
        <v>0</v>
      </c>
      <c r="D1015" t="s">
        <v>175</v>
      </c>
      <c r="E1015" t="s">
        <v>176</v>
      </c>
      <c r="F1015" t="s">
        <v>177</v>
      </c>
      <c r="G1015" t="s">
        <v>178</v>
      </c>
    </row>
    <row r="1016" spans="1:7">
      <c r="A1016">
        <v>2026</v>
      </c>
      <c r="B1016" t="s">
        <v>188</v>
      </c>
      <c r="C1016">
        <v>0</v>
      </c>
      <c r="D1016" t="s">
        <v>175</v>
      </c>
      <c r="E1016" t="s">
        <v>176</v>
      </c>
      <c r="F1016" t="s">
        <v>177</v>
      </c>
      <c r="G1016" t="s">
        <v>178</v>
      </c>
    </row>
    <row r="1017" spans="1:7">
      <c r="A1017">
        <v>2027</v>
      </c>
      <c r="B1017" t="s">
        <v>188</v>
      </c>
      <c r="C1017">
        <v>0</v>
      </c>
      <c r="D1017" t="s">
        <v>175</v>
      </c>
      <c r="E1017" t="s">
        <v>176</v>
      </c>
      <c r="F1017" t="s">
        <v>177</v>
      </c>
      <c r="G1017" t="s">
        <v>178</v>
      </c>
    </row>
    <row r="1018" spans="1:7">
      <c r="A1018">
        <v>2028</v>
      </c>
      <c r="B1018" t="s">
        <v>188</v>
      </c>
      <c r="C1018">
        <v>0</v>
      </c>
      <c r="D1018" t="s">
        <v>175</v>
      </c>
      <c r="E1018" t="s">
        <v>176</v>
      </c>
      <c r="F1018" t="s">
        <v>177</v>
      </c>
      <c r="G1018" t="s">
        <v>178</v>
      </c>
    </row>
    <row r="1019" spans="1:7">
      <c r="A1019">
        <v>2029</v>
      </c>
      <c r="B1019" t="s">
        <v>188</v>
      </c>
      <c r="C1019">
        <v>0</v>
      </c>
      <c r="D1019" t="s">
        <v>175</v>
      </c>
      <c r="E1019" t="s">
        <v>176</v>
      </c>
      <c r="F1019" t="s">
        <v>177</v>
      </c>
      <c r="G1019" t="s">
        <v>178</v>
      </c>
    </row>
    <row r="1020" spans="1:7">
      <c r="A1020">
        <v>2030</v>
      </c>
      <c r="B1020" t="s">
        <v>188</v>
      </c>
      <c r="C1020">
        <v>0</v>
      </c>
      <c r="D1020" t="s">
        <v>175</v>
      </c>
      <c r="E1020" t="s">
        <v>176</v>
      </c>
      <c r="F1020" t="s">
        <v>177</v>
      </c>
      <c r="G1020" t="s">
        <v>178</v>
      </c>
    </row>
    <row r="1021" spans="1:7">
      <c r="A1021">
        <v>2031</v>
      </c>
      <c r="B1021" t="s">
        <v>188</v>
      </c>
      <c r="C1021">
        <v>0</v>
      </c>
      <c r="D1021" t="s">
        <v>175</v>
      </c>
      <c r="E1021" t="s">
        <v>176</v>
      </c>
      <c r="F1021" t="s">
        <v>177</v>
      </c>
      <c r="G1021" t="s">
        <v>178</v>
      </c>
    </row>
    <row r="1022" spans="1:7">
      <c r="A1022">
        <v>2032</v>
      </c>
      <c r="B1022" t="s">
        <v>188</v>
      </c>
      <c r="C1022">
        <v>0</v>
      </c>
      <c r="D1022" t="s">
        <v>175</v>
      </c>
      <c r="E1022" t="s">
        <v>176</v>
      </c>
      <c r="F1022" t="s">
        <v>177</v>
      </c>
      <c r="G1022" t="s">
        <v>178</v>
      </c>
    </row>
    <row r="1023" spans="1:7">
      <c r="A1023">
        <v>2033</v>
      </c>
      <c r="B1023" t="s">
        <v>188</v>
      </c>
      <c r="C1023">
        <v>0</v>
      </c>
      <c r="D1023" t="s">
        <v>175</v>
      </c>
      <c r="E1023" t="s">
        <v>176</v>
      </c>
      <c r="F1023" t="s">
        <v>177</v>
      </c>
      <c r="G1023" t="s">
        <v>178</v>
      </c>
    </row>
    <row r="1024" spans="1:7">
      <c r="A1024">
        <v>2034</v>
      </c>
      <c r="B1024" t="s">
        <v>188</v>
      </c>
      <c r="C1024">
        <v>0</v>
      </c>
      <c r="D1024" t="s">
        <v>175</v>
      </c>
      <c r="E1024" t="s">
        <v>176</v>
      </c>
      <c r="F1024" t="s">
        <v>177</v>
      </c>
      <c r="G1024" t="s">
        <v>178</v>
      </c>
    </row>
    <row r="1025" spans="1:7">
      <c r="A1025">
        <v>2035</v>
      </c>
      <c r="B1025" t="s">
        <v>188</v>
      </c>
      <c r="C1025">
        <v>0</v>
      </c>
      <c r="D1025" t="s">
        <v>175</v>
      </c>
      <c r="E1025" t="s">
        <v>176</v>
      </c>
      <c r="F1025" t="s">
        <v>177</v>
      </c>
      <c r="G1025" t="s">
        <v>178</v>
      </c>
    </row>
    <row r="1026" spans="1:7">
      <c r="A1026">
        <v>2020</v>
      </c>
      <c r="B1026" t="s">
        <v>189</v>
      </c>
      <c r="C1026">
        <v>0</v>
      </c>
      <c r="D1026" t="s">
        <v>175</v>
      </c>
      <c r="E1026" t="s">
        <v>176</v>
      </c>
      <c r="F1026" t="s">
        <v>177</v>
      </c>
      <c r="G1026" t="s">
        <v>178</v>
      </c>
    </row>
    <row r="1027" spans="1:7">
      <c r="A1027">
        <v>2021</v>
      </c>
      <c r="B1027" t="s">
        <v>189</v>
      </c>
      <c r="C1027">
        <v>0</v>
      </c>
      <c r="D1027" t="s">
        <v>175</v>
      </c>
      <c r="E1027" t="s">
        <v>176</v>
      </c>
      <c r="F1027" t="s">
        <v>177</v>
      </c>
      <c r="G1027" t="s">
        <v>178</v>
      </c>
    </row>
    <row r="1028" spans="1:7">
      <c r="A1028">
        <v>2022</v>
      </c>
      <c r="B1028" t="s">
        <v>189</v>
      </c>
      <c r="C1028">
        <v>0</v>
      </c>
      <c r="D1028" t="s">
        <v>175</v>
      </c>
      <c r="E1028" t="s">
        <v>176</v>
      </c>
      <c r="F1028" t="s">
        <v>177</v>
      </c>
      <c r="G1028" t="s">
        <v>178</v>
      </c>
    </row>
    <row r="1029" spans="1:7">
      <c r="A1029">
        <v>2023</v>
      </c>
      <c r="B1029" t="s">
        <v>189</v>
      </c>
      <c r="C1029">
        <v>0</v>
      </c>
      <c r="D1029" t="s">
        <v>175</v>
      </c>
      <c r="E1029" t="s">
        <v>176</v>
      </c>
      <c r="F1029" t="s">
        <v>177</v>
      </c>
      <c r="G1029" t="s">
        <v>178</v>
      </c>
    </row>
    <row r="1030" spans="1:7">
      <c r="A1030">
        <v>2024</v>
      </c>
      <c r="B1030" t="s">
        <v>189</v>
      </c>
      <c r="C1030">
        <v>0</v>
      </c>
      <c r="D1030" t="s">
        <v>175</v>
      </c>
      <c r="E1030" t="s">
        <v>176</v>
      </c>
      <c r="F1030" t="s">
        <v>177</v>
      </c>
      <c r="G1030" t="s">
        <v>178</v>
      </c>
    </row>
    <row r="1031" spans="1:7">
      <c r="A1031">
        <v>2025</v>
      </c>
      <c r="B1031" t="s">
        <v>189</v>
      </c>
      <c r="C1031">
        <v>0</v>
      </c>
      <c r="D1031" t="s">
        <v>175</v>
      </c>
      <c r="E1031" t="s">
        <v>176</v>
      </c>
      <c r="F1031" t="s">
        <v>177</v>
      </c>
      <c r="G1031" t="s">
        <v>178</v>
      </c>
    </row>
    <row r="1032" spans="1:7">
      <c r="A1032">
        <v>2026</v>
      </c>
      <c r="B1032" t="s">
        <v>189</v>
      </c>
      <c r="C1032">
        <v>0</v>
      </c>
      <c r="D1032" t="s">
        <v>175</v>
      </c>
      <c r="E1032" t="s">
        <v>176</v>
      </c>
      <c r="F1032" t="s">
        <v>177</v>
      </c>
      <c r="G1032" t="s">
        <v>178</v>
      </c>
    </row>
    <row r="1033" spans="1:7">
      <c r="A1033">
        <v>2027</v>
      </c>
      <c r="B1033" t="s">
        <v>189</v>
      </c>
      <c r="C1033">
        <v>0</v>
      </c>
      <c r="D1033" t="s">
        <v>175</v>
      </c>
      <c r="E1033" t="s">
        <v>176</v>
      </c>
      <c r="F1033" t="s">
        <v>177</v>
      </c>
      <c r="G1033" t="s">
        <v>178</v>
      </c>
    </row>
    <row r="1034" spans="1:7">
      <c r="A1034">
        <v>2028</v>
      </c>
      <c r="B1034" t="s">
        <v>189</v>
      </c>
      <c r="C1034">
        <v>0</v>
      </c>
      <c r="D1034" t="s">
        <v>175</v>
      </c>
      <c r="E1034" t="s">
        <v>176</v>
      </c>
      <c r="F1034" t="s">
        <v>177</v>
      </c>
      <c r="G1034" t="s">
        <v>178</v>
      </c>
    </row>
    <row r="1035" spans="1:7">
      <c r="A1035">
        <v>2029</v>
      </c>
      <c r="B1035" t="s">
        <v>189</v>
      </c>
      <c r="C1035">
        <v>0</v>
      </c>
      <c r="D1035" t="s">
        <v>175</v>
      </c>
      <c r="E1035" t="s">
        <v>176</v>
      </c>
      <c r="F1035" t="s">
        <v>177</v>
      </c>
      <c r="G1035" t="s">
        <v>178</v>
      </c>
    </row>
    <row r="1036" spans="1:7">
      <c r="A1036">
        <v>2030</v>
      </c>
      <c r="B1036" t="s">
        <v>189</v>
      </c>
      <c r="C1036">
        <v>0</v>
      </c>
      <c r="D1036" t="s">
        <v>175</v>
      </c>
      <c r="E1036" t="s">
        <v>176</v>
      </c>
      <c r="F1036" t="s">
        <v>177</v>
      </c>
      <c r="G1036" t="s">
        <v>178</v>
      </c>
    </row>
    <row r="1037" spans="1:7">
      <c r="A1037">
        <v>2031</v>
      </c>
      <c r="B1037" t="s">
        <v>189</v>
      </c>
      <c r="C1037">
        <v>0</v>
      </c>
      <c r="D1037" t="s">
        <v>175</v>
      </c>
      <c r="E1037" t="s">
        <v>176</v>
      </c>
      <c r="F1037" t="s">
        <v>177</v>
      </c>
      <c r="G1037" t="s">
        <v>178</v>
      </c>
    </row>
    <row r="1038" spans="1:7">
      <c r="A1038">
        <v>2032</v>
      </c>
      <c r="B1038" t="s">
        <v>189</v>
      </c>
      <c r="C1038">
        <v>0</v>
      </c>
      <c r="D1038" t="s">
        <v>175</v>
      </c>
      <c r="E1038" t="s">
        <v>176</v>
      </c>
      <c r="F1038" t="s">
        <v>177</v>
      </c>
      <c r="G1038" t="s">
        <v>178</v>
      </c>
    </row>
    <row r="1039" spans="1:7">
      <c r="A1039">
        <v>2033</v>
      </c>
      <c r="B1039" t="s">
        <v>189</v>
      </c>
      <c r="C1039">
        <v>0</v>
      </c>
      <c r="D1039" t="s">
        <v>175</v>
      </c>
      <c r="E1039" t="s">
        <v>176</v>
      </c>
      <c r="F1039" t="s">
        <v>177</v>
      </c>
      <c r="G1039" t="s">
        <v>178</v>
      </c>
    </row>
    <row r="1040" spans="1:7">
      <c r="A1040">
        <v>2034</v>
      </c>
      <c r="B1040" t="s">
        <v>189</v>
      </c>
      <c r="C1040">
        <v>0</v>
      </c>
      <c r="D1040" t="s">
        <v>175</v>
      </c>
      <c r="E1040" t="s">
        <v>176</v>
      </c>
      <c r="F1040" t="s">
        <v>177</v>
      </c>
      <c r="G1040" t="s">
        <v>178</v>
      </c>
    </row>
    <row r="1041" spans="1:7">
      <c r="A1041">
        <v>2035</v>
      </c>
      <c r="B1041" t="s">
        <v>189</v>
      </c>
      <c r="C1041">
        <v>0</v>
      </c>
      <c r="D1041" t="s">
        <v>175</v>
      </c>
      <c r="E1041" t="s">
        <v>176</v>
      </c>
      <c r="F1041" t="s">
        <v>177</v>
      </c>
      <c r="G1041" t="s">
        <v>178</v>
      </c>
    </row>
    <row r="1042" spans="1:7">
      <c r="A1042">
        <v>2020</v>
      </c>
      <c r="B1042" t="s">
        <v>190</v>
      </c>
      <c r="C1042">
        <v>11184.73</v>
      </c>
      <c r="D1042" t="s">
        <v>175</v>
      </c>
      <c r="E1042" t="s">
        <v>176</v>
      </c>
      <c r="F1042" t="s">
        <v>177</v>
      </c>
      <c r="G1042" t="s">
        <v>178</v>
      </c>
    </row>
    <row r="1043" spans="1:7">
      <c r="A1043">
        <v>2021</v>
      </c>
      <c r="B1043" t="s">
        <v>190</v>
      </c>
      <c r="C1043">
        <v>0</v>
      </c>
      <c r="D1043" t="s">
        <v>175</v>
      </c>
      <c r="E1043" t="s">
        <v>176</v>
      </c>
      <c r="F1043" t="s">
        <v>177</v>
      </c>
      <c r="G1043" t="s">
        <v>178</v>
      </c>
    </row>
    <row r="1044" spans="1:7">
      <c r="A1044">
        <v>2022</v>
      </c>
      <c r="B1044" t="s">
        <v>190</v>
      </c>
      <c r="C1044">
        <v>0</v>
      </c>
      <c r="D1044" t="s">
        <v>175</v>
      </c>
      <c r="E1044" t="s">
        <v>176</v>
      </c>
      <c r="F1044" t="s">
        <v>177</v>
      </c>
      <c r="G1044" t="s">
        <v>178</v>
      </c>
    </row>
    <row r="1045" spans="1:7">
      <c r="A1045">
        <v>2023</v>
      </c>
      <c r="B1045" t="s">
        <v>190</v>
      </c>
      <c r="C1045">
        <v>0</v>
      </c>
      <c r="D1045" t="s">
        <v>175</v>
      </c>
      <c r="E1045" t="s">
        <v>176</v>
      </c>
      <c r="F1045" t="s">
        <v>177</v>
      </c>
      <c r="G1045" t="s">
        <v>178</v>
      </c>
    </row>
    <row r="1046" spans="1:7">
      <c r="A1046">
        <v>2024</v>
      </c>
      <c r="B1046" t="s">
        <v>190</v>
      </c>
      <c r="C1046">
        <v>0</v>
      </c>
      <c r="D1046" t="s">
        <v>175</v>
      </c>
      <c r="E1046" t="s">
        <v>176</v>
      </c>
      <c r="F1046" t="s">
        <v>177</v>
      </c>
      <c r="G1046" t="s">
        <v>178</v>
      </c>
    </row>
    <row r="1047" spans="1:7">
      <c r="A1047">
        <v>2025</v>
      </c>
      <c r="B1047" t="s">
        <v>190</v>
      </c>
      <c r="C1047">
        <v>0</v>
      </c>
      <c r="D1047" t="s">
        <v>175</v>
      </c>
      <c r="E1047" t="s">
        <v>176</v>
      </c>
      <c r="F1047" t="s">
        <v>177</v>
      </c>
      <c r="G1047" t="s">
        <v>178</v>
      </c>
    </row>
    <row r="1048" spans="1:7">
      <c r="A1048">
        <v>2026</v>
      </c>
      <c r="B1048" t="s">
        <v>190</v>
      </c>
      <c r="C1048">
        <v>0</v>
      </c>
      <c r="D1048" t="s">
        <v>175</v>
      </c>
      <c r="E1048" t="s">
        <v>176</v>
      </c>
      <c r="F1048" t="s">
        <v>177</v>
      </c>
      <c r="G1048" t="s">
        <v>178</v>
      </c>
    </row>
    <row r="1049" spans="1:7">
      <c r="A1049">
        <v>2027</v>
      </c>
      <c r="B1049" t="s">
        <v>190</v>
      </c>
      <c r="C1049">
        <v>0</v>
      </c>
      <c r="D1049" t="s">
        <v>175</v>
      </c>
      <c r="E1049" t="s">
        <v>176</v>
      </c>
      <c r="F1049" t="s">
        <v>177</v>
      </c>
      <c r="G1049" t="s">
        <v>178</v>
      </c>
    </row>
    <row r="1050" spans="1:7">
      <c r="A1050">
        <v>2028</v>
      </c>
      <c r="B1050" t="s">
        <v>190</v>
      </c>
      <c r="C1050">
        <v>0</v>
      </c>
      <c r="D1050" t="s">
        <v>175</v>
      </c>
      <c r="E1050" t="s">
        <v>176</v>
      </c>
      <c r="F1050" t="s">
        <v>177</v>
      </c>
      <c r="G1050" t="s">
        <v>178</v>
      </c>
    </row>
    <row r="1051" spans="1:7">
      <c r="A1051">
        <v>2029</v>
      </c>
      <c r="B1051" t="s">
        <v>190</v>
      </c>
      <c r="C1051">
        <v>0</v>
      </c>
      <c r="D1051" t="s">
        <v>175</v>
      </c>
      <c r="E1051" t="s">
        <v>176</v>
      </c>
      <c r="F1051" t="s">
        <v>177</v>
      </c>
      <c r="G1051" t="s">
        <v>178</v>
      </c>
    </row>
    <row r="1052" spans="1:7">
      <c r="A1052">
        <v>2030</v>
      </c>
      <c r="B1052" t="s">
        <v>190</v>
      </c>
      <c r="C1052">
        <v>0</v>
      </c>
      <c r="D1052" t="s">
        <v>175</v>
      </c>
      <c r="E1052" t="s">
        <v>176</v>
      </c>
      <c r="F1052" t="s">
        <v>177</v>
      </c>
      <c r="G1052" t="s">
        <v>178</v>
      </c>
    </row>
    <row r="1053" spans="1:7">
      <c r="A1053">
        <v>2031</v>
      </c>
      <c r="B1053" t="s">
        <v>190</v>
      </c>
      <c r="C1053">
        <v>0</v>
      </c>
      <c r="D1053" t="s">
        <v>175</v>
      </c>
      <c r="E1053" t="s">
        <v>176</v>
      </c>
      <c r="F1053" t="s">
        <v>177</v>
      </c>
      <c r="G1053" t="s">
        <v>178</v>
      </c>
    </row>
    <row r="1054" spans="1:7">
      <c r="A1054">
        <v>2032</v>
      </c>
      <c r="B1054" t="s">
        <v>190</v>
      </c>
      <c r="C1054">
        <v>0</v>
      </c>
      <c r="D1054" t="s">
        <v>175</v>
      </c>
      <c r="E1054" t="s">
        <v>176</v>
      </c>
      <c r="F1054" t="s">
        <v>177</v>
      </c>
      <c r="G1054" t="s">
        <v>178</v>
      </c>
    </row>
    <row r="1055" spans="1:7">
      <c r="A1055">
        <v>2033</v>
      </c>
      <c r="B1055" t="s">
        <v>190</v>
      </c>
      <c r="C1055">
        <v>0</v>
      </c>
      <c r="D1055" t="s">
        <v>175</v>
      </c>
      <c r="E1055" t="s">
        <v>176</v>
      </c>
      <c r="F1055" t="s">
        <v>177</v>
      </c>
      <c r="G1055" t="s">
        <v>178</v>
      </c>
    </row>
    <row r="1056" spans="1:7">
      <c r="A1056">
        <v>2034</v>
      </c>
      <c r="B1056" t="s">
        <v>190</v>
      </c>
      <c r="C1056">
        <v>0</v>
      </c>
      <c r="D1056" t="s">
        <v>175</v>
      </c>
      <c r="E1056" t="s">
        <v>176</v>
      </c>
      <c r="F1056" t="s">
        <v>177</v>
      </c>
      <c r="G1056" t="s">
        <v>178</v>
      </c>
    </row>
    <row r="1057" spans="1:7">
      <c r="A1057">
        <v>2035</v>
      </c>
      <c r="B1057" t="s">
        <v>190</v>
      </c>
      <c r="C1057">
        <v>0</v>
      </c>
      <c r="D1057" t="s">
        <v>175</v>
      </c>
      <c r="E1057" t="s">
        <v>176</v>
      </c>
      <c r="F1057" t="s">
        <v>177</v>
      </c>
      <c r="G1057" t="s">
        <v>178</v>
      </c>
    </row>
    <row r="1058" spans="1:7">
      <c r="A1058">
        <v>2020</v>
      </c>
      <c r="B1058" t="s">
        <v>191</v>
      </c>
      <c r="C1058">
        <v>0</v>
      </c>
      <c r="D1058" t="s">
        <v>175</v>
      </c>
      <c r="E1058" t="s">
        <v>176</v>
      </c>
      <c r="F1058" t="s">
        <v>177</v>
      </c>
      <c r="G1058" t="s">
        <v>178</v>
      </c>
    </row>
    <row r="1059" spans="1:7">
      <c r="A1059">
        <v>2021</v>
      </c>
      <c r="B1059" t="s">
        <v>191</v>
      </c>
      <c r="C1059">
        <v>0</v>
      </c>
      <c r="D1059" t="s">
        <v>175</v>
      </c>
      <c r="E1059" t="s">
        <v>176</v>
      </c>
      <c r="F1059" t="s">
        <v>177</v>
      </c>
      <c r="G1059" t="s">
        <v>178</v>
      </c>
    </row>
    <row r="1060" spans="1:7">
      <c r="A1060">
        <v>2022</v>
      </c>
      <c r="B1060" t="s">
        <v>191</v>
      </c>
      <c r="C1060">
        <v>0</v>
      </c>
      <c r="D1060" t="s">
        <v>175</v>
      </c>
      <c r="E1060" t="s">
        <v>176</v>
      </c>
      <c r="F1060" t="s">
        <v>177</v>
      </c>
      <c r="G1060" t="s">
        <v>178</v>
      </c>
    </row>
    <row r="1061" spans="1:7">
      <c r="A1061">
        <v>2023</v>
      </c>
      <c r="B1061" t="s">
        <v>191</v>
      </c>
      <c r="C1061">
        <v>0</v>
      </c>
      <c r="D1061" t="s">
        <v>175</v>
      </c>
      <c r="E1061" t="s">
        <v>176</v>
      </c>
      <c r="F1061" t="s">
        <v>177</v>
      </c>
      <c r="G1061" t="s">
        <v>178</v>
      </c>
    </row>
    <row r="1062" spans="1:7">
      <c r="A1062">
        <v>2024</v>
      </c>
      <c r="B1062" t="s">
        <v>191</v>
      </c>
      <c r="C1062">
        <v>0</v>
      </c>
      <c r="D1062" t="s">
        <v>175</v>
      </c>
      <c r="E1062" t="s">
        <v>176</v>
      </c>
      <c r="F1062" t="s">
        <v>177</v>
      </c>
      <c r="G1062" t="s">
        <v>178</v>
      </c>
    </row>
    <row r="1063" spans="1:7">
      <c r="A1063">
        <v>2025</v>
      </c>
      <c r="B1063" t="s">
        <v>191</v>
      </c>
      <c r="C1063">
        <v>0</v>
      </c>
      <c r="D1063" t="s">
        <v>175</v>
      </c>
      <c r="E1063" t="s">
        <v>176</v>
      </c>
      <c r="F1063" t="s">
        <v>177</v>
      </c>
      <c r="G1063" t="s">
        <v>178</v>
      </c>
    </row>
    <row r="1064" spans="1:7">
      <c r="A1064">
        <v>2026</v>
      </c>
      <c r="B1064" t="s">
        <v>191</v>
      </c>
      <c r="C1064">
        <v>0</v>
      </c>
      <c r="D1064" t="s">
        <v>175</v>
      </c>
      <c r="E1064" t="s">
        <v>176</v>
      </c>
      <c r="F1064" t="s">
        <v>177</v>
      </c>
      <c r="G1064" t="s">
        <v>178</v>
      </c>
    </row>
    <row r="1065" spans="1:7">
      <c r="A1065">
        <v>2027</v>
      </c>
      <c r="B1065" t="s">
        <v>191</v>
      </c>
      <c r="C1065">
        <v>0</v>
      </c>
      <c r="D1065" t="s">
        <v>175</v>
      </c>
      <c r="E1065" t="s">
        <v>176</v>
      </c>
      <c r="F1065" t="s">
        <v>177</v>
      </c>
      <c r="G1065" t="s">
        <v>178</v>
      </c>
    </row>
    <row r="1066" spans="1:7">
      <c r="A1066">
        <v>2028</v>
      </c>
      <c r="B1066" t="s">
        <v>191</v>
      </c>
      <c r="C1066">
        <v>0</v>
      </c>
      <c r="D1066" t="s">
        <v>175</v>
      </c>
      <c r="E1066" t="s">
        <v>176</v>
      </c>
      <c r="F1066" t="s">
        <v>177</v>
      </c>
      <c r="G1066" t="s">
        <v>178</v>
      </c>
    </row>
    <row r="1067" spans="1:7">
      <c r="A1067">
        <v>2029</v>
      </c>
      <c r="B1067" t="s">
        <v>191</v>
      </c>
      <c r="C1067">
        <v>0</v>
      </c>
      <c r="D1067" t="s">
        <v>175</v>
      </c>
      <c r="E1067" t="s">
        <v>176</v>
      </c>
      <c r="F1067" t="s">
        <v>177</v>
      </c>
      <c r="G1067" t="s">
        <v>178</v>
      </c>
    </row>
    <row r="1068" spans="1:7">
      <c r="A1068">
        <v>2030</v>
      </c>
      <c r="B1068" t="s">
        <v>191</v>
      </c>
      <c r="C1068">
        <v>0</v>
      </c>
      <c r="D1068" t="s">
        <v>175</v>
      </c>
      <c r="E1068" t="s">
        <v>176</v>
      </c>
      <c r="F1068" t="s">
        <v>177</v>
      </c>
      <c r="G1068" t="s">
        <v>178</v>
      </c>
    </row>
    <row r="1069" spans="1:7">
      <c r="A1069">
        <v>2031</v>
      </c>
      <c r="B1069" t="s">
        <v>191</v>
      </c>
      <c r="C1069">
        <v>0</v>
      </c>
      <c r="D1069" t="s">
        <v>175</v>
      </c>
      <c r="E1069" t="s">
        <v>176</v>
      </c>
      <c r="F1069" t="s">
        <v>177</v>
      </c>
      <c r="G1069" t="s">
        <v>178</v>
      </c>
    </row>
    <row r="1070" spans="1:7">
      <c r="A1070">
        <v>2032</v>
      </c>
      <c r="B1070" t="s">
        <v>191</v>
      </c>
      <c r="C1070">
        <v>0</v>
      </c>
      <c r="D1070" t="s">
        <v>175</v>
      </c>
      <c r="E1070" t="s">
        <v>176</v>
      </c>
      <c r="F1070" t="s">
        <v>177</v>
      </c>
      <c r="G1070" t="s">
        <v>178</v>
      </c>
    </row>
    <row r="1071" spans="1:7">
      <c r="A1071">
        <v>2033</v>
      </c>
      <c r="B1071" t="s">
        <v>191</v>
      </c>
      <c r="C1071">
        <v>0</v>
      </c>
      <c r="D1071" t="s">
        <v>175</v>
      </c>
      <c r="E1071" t="s">
        <v>176</v>
      </c>
      <c r="F1071" t="s">
        <v>177</v>
      </c>
      <c r="G1071" t="s">
        <v>178</v>
      </c>
    </row>
    <row r="1072" spans="1:7">
      <c r="A1072">
        <v>2034</v>
      </c>
      <c r="B1072" t="s">
        <v>191</v>
      </c>
      <c r="C1072">
        <v>0</v>
      </c>
      <c r="D1072" t="s">
        <v>175</v>
      </c>
      <c r="E1072" t="s">
        <v>176</v>
      </c>
      <c r="F1072" t="s">
        <v>177</v>
      </c>
      <c r="G1072" t="s">
        <v>178</v>
      </c>
    </row>
    <row r="1073" spans="1:7">
      <c r="A1073">
        <v>2035</v>
      </c>
      <c r="B1073" t="s">
        <v>191</v>
      </c>
      <c r="C1073">
        <v>0</v>
      </c>
      <c r="D1073" t="s">
        <v>175</v>
      </c>
      <c r="E1073" t="s">
        <v>176</v>
      </c>
      <c r="F1073" t="s">
        <v>177</v>
      </c>
      <c r="G1073" t="s">
        <v>178</v>
      </c>
    </row>
    <row r="1074" spans="1:7">
      <c r="A1074">
        <v>2020</v>
      </c>
      <c r="B1074" t="s">
        <v>192</v>
      </c>
      <c r="C1074">
        <v>2097.86</v>
      </c>
      <c r="D1074" t="s">
        <v>175</v>
      </c>
      <c r="E1074" t="s">
        <v>176</v>
      </c>
      <c r="F1074" t="s">
        <v>177</v>
      </c>
      <c r="G1074" t="s">
        <v>178</v>
      </c>
    </row>
    <row r="1075" spans="1:7">
      <c r="A1075">
        <v>2021</v>
      </c>
      <c r="B1075" t="s">
        <v>192</v>
      </c>
      <c r="C1075">
        <v>0</v>
      </c>
      <c r="D1075" t="s">
        <v>175</v>
      </c>
      <c r="E1075" t="s">
        <v>176</v>
      </c>
      <c r="F1075" t="s">
        <v>177</v>
      </c>
      <c r="G1075" t="s">
        <v>178</v>
      </c>
    </row>
    <row r="1076" spans="1:7">
      <c r="A1076">
        <v>2022</v>
      </c>
      <c r="B1076" t="s">
        <v>192</v>
      </c>
      <c r="C1076">
        <v>0</v>
      </c>
      <c r="D1076" t="s">
        <v>175</v>
      </c>
      <c r="E1076" t="s">
        <v>176</v>
      </c>
      <c r="F1076" t="s">
        <v>177</v>
      </c>
      <c r="G1076" t="s">
        <v>178</v>
      </c>
    </row>
    <row r="1077" spans="1:7">
      <c r="A1077">
        <v>2023</v>
      </c>
      <c r="B1077" t="s">
        <v>192</v>
      </c>
      <c r="C1077">
        <v>74.150000000000006</v>
      </c>
      <c r="D1077" t="s">
        <v>175</v>
      </c>
      <c r="E1077" t="s">
        <v>176</v>
      </c>
      <c r="F1077" t="s">
        <v>177</v>
      </c>
      <c r="G1077" t="s">
        <v>178</v>
      </c>
    </row>
    <row r="1078" spans="1:7">
      <c r="A1078">
        <v>2024</v>
      </c>
      <c r="B1078" t="s">
        <v>192</v>
      </c>
      <c r="C1078">
        <v>74.150000000000006</v>
      </c>
      <c r="D1078" t="s">
        <v>175</v>
      </c>
      <c r="E1078" t="s">
        <v>176</v>
      </c>
      <c r="F1078" t="s">
        <v>177</v>
      </c>
      <c r="G1078" t="s">
        <v>178</v>
      </c>
    </row>
    <row r="1079" spans="1:7">
      <c r="A1079">
        <v>2025</v>
      </c>
      <c r="B1079" t="s">
        <v>192</v>
      </c>
      <c r="C1079">
        <v>5.0671799999999996</v>
      </c>
      <c r="D1079" t="s">
        <v>175</v>
      </c>
      <c r="E1079" t="s">
        <v>176</v>
      </c>
      <c r="F1079" t="s">
        <v>177</v>
      </c>
      <c r="G1079" t="s">
        <v>178</v>
      </c>
    </row>
    <row r="1080" spans="1:7">
      <c r="A1080">
        <v>2026</v>
      </c>
      <c r="B1080" t="s">
        <v>192</v>
      </c>
      <c r="C1080">
        <v>5.0671799999999996</v>
      </c>
      <c r="D1080" t="s">
        <v>175</v>
      </c>
      <c r="E1080" t="s">
        <v>176</v>
      </c>
      <c r="F1080" t="s">
        <v>177</v>
      </c>
      <c r="G1080" t="s">
        <v>178</v>
      </c>
    </row>
    <row r="1081" spans="1:7">
      <c r="A1081">
        <v>2027</v>
      </c>
      <c r="B1081" t="s">
        <v>192</v>
      </c>
      <c r="C1081">
        <v>309.93299999999999</v>
      </c>
      <c r="D1081" t="s">
        <v>175</v>
      </c>
      <c r="E1081" t="s">
        <v>176</v>
      </c>
      <c r="F1081" t="s">
        <v>177</v>
      </c>
      <c r="G1081" t="s">
        <v>178</v>
      </c>
    </row>
    <row r="1082" spans="1:7">
      <c r="A1082">
        <v>2028</v>
      </c>
      <c r="B1082" t="s">
        <v>192</v>
      </c>
      <c r="C1082">
        <v>309.93299999999999</v>
      </c>
      <c r="D1082" t="s">
        <v>175</v>
      </c>
      <c r="E1082" t="s">
        <v>176</v>
      </c>
      <c r="F1082" t="s">
        <v>177</v>
      </c>
      <c r="G1082" t="s">
        <v>178</v>
      </c>
    </row>
    <row r="1083" spans="1:7">
      <c r="A1083">
        <v>2029</v>
      </c>
      <c r="B1083" t="s">
        <v>192</v>
      </c>
      <c r="C1083">
        <v>0</v>
      </c>
      <c r="D1083" t="s">
        <v>175</v>
      </c>
      <c r="E1083" t="s">
        <v>176</v>
      </c>
      <c r="F1083" t="s">
        <v>177</v>
      </c>
      <c r="G1083" t="s">
        <v>178</v>
      </c>
    </row>
    <row r="1084" spans="1:7">
      <c r="A1084">
        <v>2030</v>
      </c>
      <c r="B1084" t="s">
        <v>192</v>
      </c>
      <c r="C1084">
        <v>0</v>
      </c>
      <c r="D1084" t="s">
        <v>175</v>
      </c>
      <c r="E1084" t="s">
        <v>176</v>
      </c>
      <c r="F1084" t="s">
        <v>177</v>
      </c>
      <c r="G1084" t="s">
        <v>178</v>
      </c>
    </row>
    <row r="1085" spans="1:7">
      <c r="A1085">
        <v>2031</v>
      </c>
      <c r="B1085" t="s">
        <v>192</v>
      </c>
      <c r="C1085">
        <v>0</v>
      </c>
      <c r="D1085" t="s">
        <v>175</v>
      </c>
      <c r="E1085" t="s">
        <v>176</v>
      </c>
      <c r="F1085" t="s">
        <v>177</v>
      </c>
      <c r="G1085" t="s">
        <v>178</v>
      </c>
    </row>
    <row r="1086" spans="1:7">
      <c r="A1086">
        <v>2032</v>
      </c>
      <c r="B1086" t="s">
        <v>192</v>
      </c>
      <c r="C1086">
        <v>0</v>
      </c>
      <c r="D1086" t="s">
        <v>175</v>
      </c>
      <c r="E1086" t="s">
        <v>176</v>
      </c>
      <c r="F1086" t="s">
        <v>177</v>
      </c>
      <c r="G1086" t="s">
        <v>178</v>
      </c>
    </row>
    <row r="1087" spans="1:7">
      <c r="A1087">
        <v>2033</v>
      </c>
      <c r="B1087" t="s">
        <v>192</v>
      </c>
      <c r="C1087">
        <v>0</v>
      </c>
      <c r="D1087" t="s">
        <v>175</v>
      </c>
      <c r="E1087" t="s">
        <v>176</v>
      </c>
      <c r="F1087" t="s">
        <v>177</v>
      </c>
      <c r="G1087" t="s">
        <v>178</v>
      </c>
    </row>
    <row r="1088" spans="1:7">
      <c r="A1088">
        <v>2034</v>
      </c>
      <c r="B1088" t="s">
        <v>192</v>
      </c>
      <c r="C1088">
        <v>0</v>
      </c>
      <c r="D1088" t="s">
        <v>175</v>
      </c>
      <c r="E1088" t="s">
        <v>176</v>
      </c>
      <c r="F1088" t="s">
        <v>177</v>
      </c>
      <c r="G1088" t="s">
        <v>178</v>
      </c>
    </row>
    <row r="1089" spans="1:7">
      <c r="A1089">
        <v>2035</v>
      </c>
      <c r="B1089" t="s">
        <v>192</v>
      </c>
      <c r="C1089">
        <v>0</v>
      </c>
      <c r="D1089" t="s">
        <v>175</v>
      </c>
      <c r="E1089" t="s">
        <v>176</v>
      </c>
      <c r="F1089" t="s">
        <v>177</v>
      </c>
      <c r="G1089" t="s">
        <v>178</v>
      </c>
    </row>
    <row r="1090" spans="1:7">
      <c r="A1090">
        <v>2020</v>
      </c>
      <c r="B1090" t="s">
        <v>193</v>
      </c>
      <c r="C1090">
        <v>232.5</v>
      </c>
      <c r="D1090" t="s">
        <v>175</v>
      </c>
      <c r="E1090" t="s">
        <v>176</v>
      </c>
      <c r="F1090" t="s">
        <v>177</v>
      </c>
      <c r="G1090" t="s">
        <v>178</v>
      </c>
    </row>
    <row r="1091" spans="1:7">
      <c r="A1091">
        <v>2021</v>
      </c>
      <c r="B1091" t="s">
        <v>193</v>
      </c>
      <c r="C1091">
        <v>1100</v>
      </c>
      <c r="D1091" t="s">
        <v>175</v>
      </c>
      <c r="E1091" t="s">
        <v>176</v>
      </c>
      <c r="F1091" t="s">
        <v>177</v>
      </c>
      <c r="G1091" t="s">
        <v>178</v>
      </c>
    </row>
    <row r="1092" spans="1:7">
      <c r="A1092">
        <v>2022</v>
      </c>
      <c r="B1092" t="s">
        <v>193</v>
      </c>
      <c r="C1092">
        <v>1100</v>
      </c>
      <c r="D1092" t="s">
        <v>175</v>
      </c>
      <c r="E1092" t="s">
        <v>176</v>
      </c>
      <c r="F1092" t="s">
        <v>177</v>
      </c>
      <c r="G1092" t="s">
        <v>178</v>
      </c>
    </row>
    <row r="1093" spans="1:7">
      <c r="A1093">
        <v>2023</v>
      </c>
      <c r="B1093" t="s">
        <v>193</v>
      </c>
      <c r="C1093">
        <v>0</v>
      </c>
      <c r="D1093" t="s">
        <v>175</v>
      </c>
      <c r="E1093" t="s">
        <v>176</v>
      </c>
      <c r="F1093" t="s">
        <v>177</v>
      </c>
      <c r="G1093" t="s">
        <v>178</v>
      </c>
    </row>
    <row r="1094" spans="1:7">
      <c r="A1094">
        <v>2024</v>
      </c>
      <c r="B1094" t="s">
        <v>193</v>
      </c>
      <c r="C1094">
        <v>0</v>
      </c>
      <c r="D1094" t="s">
        <v>175</v>
      </c>
      <c r="E1094" t="s">
        <v>176</v>
      </c>
      <c r="F1094" t="s">
        <v>177</v>
      </c>
      <c r="G1094" t="s">
        <v>178</v>
      </c>
    </row>
    <row r="1095" spans="1:7">
      <c r="A1095">
        <v>2025</v>
      </c>
      <c r="B1095" t="s">
        <v>193</v>
      </c>
      <c r="C1095">
        <v>0</v>
      </c>
      <c r="D1095" t="s">
        <v>175</v>
      </c>
      <c r="E1095" t="s">
        <v>176</v>
      </c>
      <c r="F1095" t="s">
        <v>177</v>
      </c>
      <c r="G1095" t="s">
        <v>178</v>
      </c>
    </row>
    <row r="1096" spans="1:7">
      <c r="A1096">
        <v>2026</v>
      </c>
      <c r="B1096" t="s">
        <v>193</v>
      </c>
      <c r="C1096">
        <v>0</v>
      </c>
      <c r="D1096" t="s">
        <v>175</v>
      </c>
      <c r="E1096" t="s">
        <v>176</v>
      </c>
      <c r="F1096" t="s">
        <v>177</v>
      </c>
      <c r="G1096" t="s">
        <v>178</v>
      </c>
    </row>
    <row r="1097" spans="1:7">
      <c r="A1097">
        <v>2027</v>
      </c>
      <c r="B1097" t="s">
        <v>193</v>
      </c>
      <c r="C1097">
        <v>0</v>
      </c>
      <c r="D1097" t="s">
        <v>175</v>
      </c>
      <c r="E1097" t="s">
        <v>176</v>
      </c>
      <c r="F1097" t="s">
        <v>177</v>
      </c>
      <c r="G1097" t="s">
        <v>178</v>
      </c>
    </row>
    <row r="1098" spans="1:7">
      <c r="A1098">
        <v>2028</v>
      </c>
      <c r="B1098" t="s">
        <v>193</v>
      </c>
      <c r="C1098">
        <v>0</v>
      </c>
      <c r="D1098" t="s">
        <v>175</v>
      </c>
      <c r="E1098" t="s">
        <v>176</v>
      </c>
      <c r="F1098" t="s">
        <v>177</v>
      </c>
      <c r="G1098" t="s">
        <v>178</v>
      </c>
    </row>
    <row r="1099" spans="1:7">
      <c r="A1099">
        <v>2029</v>
      </c>
      <c r="B1099" t="s">
        <v>193</v>
      </c>
      <c r="C1099">
        <v>0</v>
      </c>
      <c r="D1099" t="s">
        <v>175</v>
      </c>
      <c r="E1099" t="s">
        <v>176</v>
      </c>
      <c r="F1099" t="s">
        <v>177</v>
      </c>
      <c r="G1099" t="s">
        <v>178</v>
      </c>
    </row>
    <row r="1100" spans="1:7">
      <c r="A1100">
        <v>2030</v>
      </c>
      <c r="B1100" t="s">
        <v>193</v>
      </c>
      <c r="C1100">
        <v>0</v>
      </c>
      <c r="D1100" t="s">
        <v>175</v>
      </c>
      <c r="E1100" t="s">
        <v>176</v>
      </c>
      <c r="F1100" t="s">
        <v>177</v>
      </c>
      <c r="G1100" t="s">
        <v>178</v>
      </c>
    </row>
    <row r="1101" spans="1:7">
      <c r="A1101">
        <v>2031</v>
      </c>
      <c r="B1101" t="s">
        <v>193</v>
      </c>
      <c r="C1101">
        <v>0</v>
      </c>
      <c r="D1101" t="s">
        <v>175</v>
      </c>
      <c r="E1101" t="s">
        <v>176</v>
      </c>
      <c r="F1101" t="s">
        <v>177</v>
      </c>
      <c r="G1101" t="s">
        <v>178</v>
      </c>
    </row>
    <row r="1102" spans="1:7">
      <c r="A1102">
        <v>2032</v>
      </c>
      <c r="B1102" t="s">
        <v>193</v>
      </c>
      <c r="C1102">
        <v>0</v>
      </c>
      <c r="D1102" t="s">
        <v>175</v>
      </c>
      <c r="E1102" t="s">
        <v>176</v>
      </c>
      <c r="F1102" t="s">
        <v>177</v>
      </c>
      <c r="G1102" t="s">
        <v>178</v>
      </c>
    </row>
    <row r="1103" spans="1:7">
      <c r="A1103">
        <v>2033</v>
      </c>
      <c r="B1103" t="s">
        <v>193</v>
      </c>
      <c r="C1103">
        <v>0</v>
      </c>
      <c r="D1103" t="s">
        <v>175</v>
      </c>
      <c r="E1103" t="s">
        <v>176</v>
      </c>
      <c r="F1103" t="s">
        <v>177</v>
      </c>
      <c r="G1103" t="s">
        <v>178</v>
      </c>
    </row>
    <row r="1104" spans="1:7">
      <c r="A1104">
        <v>2034</v>
      </c>
      <c r="B1104" t="s">
        <v>193</v>
      </c>
      <c r="C1104">
        <v>0</v>
      </c>
      <c r="D1104" t="s">
        <v>175</v>
      </c>
      <c r="E1104" t="s">
        <v>176</v>
      </c>
      <c r="F1104" t="s">
        <v>177</v>
      </c>
      <c r="G1104" t="s">
        <v>178</v>
      </c>
    </row>
    <row r="1105" spans="1:7">
      <c r="A1105">
        <v>2035</v>
      </c>
      <c r="B1105" t="s">
        <v>193</v>
      </c>
      <c r="C1105">
        <v>0</v>
      </c>
      <c r="D1105" t="s">
        <v>175</v>
      </c>
      <c r="E1105" t="s">
        <v>176</v>
      </c>
      <c r="F1105" t="s">
        <v>177</v>
      </c>
      <c r="G1105" t="s">
        <v>178</v>
      </c>
    </row>
    <row r="1106" spans="1:7">
      <c r="A1106">
        <v>2020</v>
      </c>
      <c r="B1106" t="s">
        <v>194</v>
      </c>
      <c r="C1106">
        <v>14.85</v>
      </c>
      <c r="D1106" t="s">
        <v>175</v>
      </c>
      <c r="E1106" t="s">
        <v>176</v>
      </c>
      <c r="F1106" t="s">
        <v>177</v>
      </c>
      <c r="G1106" t="s">
        <v>178</v>
      </c>
    </row>
    <row r="1107" spans="1:7">
      <c r="A1107">
        <v>2021</v>
      </c>
      <c r="B1107" t="s">
        <v>194</v>
      </c>
      <c r="C1107">
        <v>0</v>
      </c>
      <c r="D1107" t="s">
        <v>175</v>
      </c>
      <c r="E1107" t="s">
        <v>176</v>
      </c>
      <c r="F1107" t="s">
        <v>177</v>
      </c>
      <c r="G1107" t="s">
        <v>178</v>
      </c>
    </row>
    <row r="1108" spans="1:7">
      <c r="A1108">
        <v>2022</v>
      </c>
      <c r="B1108" t="s">
        <v>194</v>
      </c>
      <c r="C1108">
        <v>0</v>
      </c>
      <c r="D1108" t="s">
        <v>175</v>
      </c>
      <c r="E1108" t="s">
        <v>176</v>
      </c>
      <c r="F1108" t="s">
        <v>177</v>
      </c>
      <c r="G1108" t="s">
        <v>178</v>
      </c>
    </row>
    <row r="1109" spans="1:7">
      <c r="A1109">
        <v>2023</v>
      </c>
      <c r="B1109" t="s">
        <v>194</v>
      </c>
      <c r="C1109">
        <v>0</v>
      </c>
      <c r="D1109" t="s">
        <v>175</v>
      </c>
      <c r="E1109" t="s">
        <v>176</v>
      </c>
      <c r="F1109" t="s">
        <v>177</v>
      </c>
      <c r="G1109" t="s">
        <v>178</v>
      </c>
    </row>
    <row r="1110" spans="1:7">
      <c r="A1110">
        <v>2024</v>
      </c>
      <c r="B1110" t="s">
        <v>194</v>
      </c>
      <c r="C1110">
        <v>0</v>
      </c>
      <c r="D1110" t="s">
        <v>175</v>
      </c>
      <c r="E1110" t="s">
        <v>176</v>
      </c>
      <c r="F1110" t="s">
        <v>177</v>
      </c>
      <c r="G1110" t="s">
        <v>178</v>
      </c>
    </row>
    <row r="1111" spans="1:7">
      <c r="A1111">
        <v>2025</v>
      </c>
      <c r="B1111" t="s">
        <v>194</v>
      </c>
      <c r="C1111">
        <v>0</v>
      </c>
      <c r="D1111" t="s">
        <v>175</v>
      </c>
      <c r="E1111" t="s">
        <v>176</v>
      </c>
      <c r="F1111" t="s">
        <v>177</v>
      </c>
      <c r="G1111" t="s">
        <v>178</v>
      </c>
    </row>
    <row r="1112" spans="1:7">
      <c r="A1112">
        <v>2026</v>
      </c>
      <c r="B1112" t="s">
        <v>194</v>
      </c>
      <c r="C1112">
        <v>0</v>
      </c>
      <c r="D1112" t="s">
        <v>175</v>
      </c>
      <c r="E1112" t="s">
        <v>176</v>
      </c>
      <c r="F1112" t="s">
        <v>177</v>
      </c>
      <c r="G1112" t="s">
        <v>178</v>
      </c>
    </row>
    <row r="1113" spans="1:7">
      <c r="A1113">
        <v>2027</v>
      </c>
      <c r="B1113" t="s">
        <v>194</v>
      </c>
      <c r="C1113">
        <v>0</v>
      </c>
      <c r="D1113" t="s">
        <v>175</v>
      </c>
      <c r="E1113" t="s">
        <v>176</v>
      </c>
      <c r="F1113" t="s">
        <v>177</v>
      </c>
      <c r="G1113" t="s">
        <v>178</v>
      </c>
    </row>
    <row r="1114" spans="1:7">
      <c r="A1114">
        <v>2028</v>
      </c>
      <c r="B1114" t="s">
        <v>194</v>
      </c>
      <c r="C1114">
        <v>0</v>
      </c>
      <c r="D1114" t="s">
        <v>175</v>
      </c>
      <c r="E1114" t="s">
        <v>176</v>
      </c>
      <c r="F1114" t="s">
        <v>177</v>
      </c>
      <c r="G1114" t="s">
        <v>178</v>
      </c>
    </row>
    <row r="1115" spans="1:7">
      <c r="A1115">
        <v>2029</v>
      </c>
      <c r="B1115" t="s">
        <v>194</v>
      </c>
      <c r="C1115">
        <v>0</v>
      </c>
      <c r="D1115" t="s">
        <v>175</v>
      </c>
      <c r="E1115" t="s">
        <v>176</v>
      </c>
      <c r="F1115" t="s">
        <v>177</v>
      </c>
      <c r="G1115" t="s">
        <v>178</v>
      </c>
    </row>
    <row r="1116" spans="1:7">
      <c r="A1116">
        <v>2030</v>
      </c>
      <c r="B1116" t="s">
        <v>194</v>
      </c>
      <c r="C1116">
        <v>0</v>
      </c>
      <c r="D1116" t="s">
        <v>175</v>
      </c>
      <c r="E1116" t="s">
        <v>176</v>
      </c>
      <c r="F1116" t="s">
        <v>177</v>
      </c>
      <c r="G1116" t="s">
        <v>178</v>
      </c>
    </row>
    <row r="1117" spans="1:7">
      <c r="A1117">
        <v>2031</v>
      </c>
      <c r="B1117" t="s">
        <v>194</v>
      </c>
      <c r="C1117">
        <v>0</v>
      </c>
      <c r="D1117" t="s">
        <v>175</v>
      </c>
      <c r="E1117" t="s">
        <v>176</v>
      </c>
      <c r="F1117" t="s">
        <v>177</v>
      </c>
      <c r="G1117" t="s">
        <v>178</v>
      </c>
    </row>
    <row r="1118" spans="1:7">
      <c r="A1118">
        <v>2032</v>
      </c>
      <c r="B1118" t="s">
        <v>194</v>
      </c>
      <c r="C1118">
        <v>0</v>
      </c>
      <c r="D1118" t="s">
        <v>175</v>
      </c>
      <c r="E1118" t="s">
        <v>176</v>
      </c>
      <c r="F1118" t="s">
        <v>177</v>
      </c>
      <c r="G1118" t="s">
        <v>178</v>
      </c>
    </row>
    <row r="1119" spans="1:7">
      <c r="A1119">
        <v>2033</v>
      </c>
      <c r="B1119" t="s">
        <v>194</v>
      </c>
      <c r="C1119">
        <v>0</v>
      </c>
      <c r="D1119" t="s">
        <v>175</v>
      </c>
      <c r="E1119" t="s">
        <v>176</v>
      </c>
      <c r="F1119" t="s">
        <v>177</v>
      </c>
      <c r="G1119" t="s">
        <v>178</v>
      </c>
    </row>
    <row r="1120" spans="1:7">
      <c r="A1120">
        <v>2034</v>
      </c>
      <c r="B1120" t="s">
        <v>194</v>
      </c>
      <c r="C1120">
        <v>0</v>
      </c>
      <c r="D1120" t="s">
        <v>175</v>
      </c>
      <c r="E1120" t="s">
        <v>176</v>
      </c>
      <c r="F1120" t="s">
        <v>177</v>
      </c>
      <c r="G1120" t="s">
        <v>178</v>
      </c>
    </row>
    <row r="1121" spans="1:7">
      <c r="A1121">
        <v>2035</v>
      </c>
      <c r="B1121" t="s">
        <v>194</v>
      </c>
      <c r="C1121">
        <v>0</v>
      </c>
      <c r="D1121" t="s">
        <v>175</v>
      </c>
      <c r="E1121" t="s">
        <v>176</v>
      </c>
      <c r="F1121" t="s">
        <v>177</v>
      </c>
      <c r="G1121" t="s">
        <v>178</v>
      </c>
    </row>
    <row r="1122" spans="1:7">
      <c r="A1122">
        <v>2020</v>
      </c>
      <c r="B1122" t="s">
        <v>195</v>
      </c>
      <c r="C1122">
        <v>46114.7</v>
      </c>
      <c r="D1122" t="s">
        <v>175</v>
      </c>
      <c r="E1122" t="s">
        <v>176</v>
      </c>
      <c r="F1122" t="s">
        <v>177</v>
      </c>
      <c r="G1122" t="s">
        <v>178</v>
      </c>
    </row>
    <row r="1123" spans="1:7">
      <c r="A1123">
        <v>2021</v>
      </c>
      <c r="B1123" t="s">
        <v>195</v>
      </c>
      <c r="C1123">
        <v>104666</v>
      </c>
      <c r="D1123" t="s">
        <v>175</v>
      </c>
      <c r="E1123" t="s">
        <v>176</v>
      </c>
      <c r="F1123" t="s">
        <v>177</v>
      </c>
      <c r="G1123" t="s">
        <v>178</v>
      </c>
    </row>
    <row r="1124" spans="1:7">
      <c r="A1124">
        <v>2022</v>
      </c>
      <c r="B1124" t="s">
        <v>195</v>
      </c>
      <c r="C1124">
        <v>104666</v>
      </c>
      <c r="D1124" t="s">
        <v>175</v>
      </c>
      <c r="E1124" t="s">
        <v>176</v>
      </c>
      <c r="F1124" t="s">
        <v>177</v>
      </c>
      <c r="G1124" t="s">
        <v>178</v>
      </c>
    </row>
    <row r="1125" spans="1:7">
      <c r="A1125">
        <v>2023</v>
      </c>
      <c r="B1125" t="s">
        <v>195</v>
      </c>
      <c r="C1125">
        <v>16323.8</v>
      </c>
      <c r="D1125" t="s">
        <v>175</v>
      </c>
      <c r="E1125" t="s">
        <v>176</v>
      </c>
      <c r="F1125" t="s">
        <v>177</v>
      </c>
      <c r="G1125" t="s">
        <v>178</v>
      </c>
    </row>
    <row r="1126" spans="1:7">
      <c r="A1126">
        <v>2024</v>
      </c>
      <c r="B1126" t="s">
        <v>195</v>
      </c>
      <c r="C1126">
        <v>16323.8</v>
      </c>
      <c r="D1126" t="s">
        <v>175</v>
      </c>
      <c r="E1126" t="s">
        <v>176</v>
      </c>
      <c r="F1126" t="s">
        <v>177</v>
      </c>
      <c r="G1126" t="s">
        <v>178</v>
      </c>
    </row>
    <row r="1127" spans="1:7">
      <c r="A1127">
        <v>2025</v>
      </c>
      <c r="B1127" t="s">
        <v>195</v>
      </c>
      <c r="C1127">
        <v>51203.5</v>
      </c>
      <c r="D1127" t="s">
        <v>175</v>
      </c>
      <c r="E1127" t="s">
        <v>176</v>
      </c>
      <c r="F1127" t="s">
        <v>177</v>
      </c>
      <c r="G1127" t="s">
        <v>178</v>
      </c>
    </row>
    <row r="1128" spans="1:7">
      <c r="A1128">
        <v>2026</v>
      </c>
      <c r="B1128" t="s">
        <v>195</v>
      </c>
      <c r="C1128">
        <v>51203.5</v>
      </c>
      <c r="D1128" t="s">
        <v>175</v>
      </c>
      <c r="E1128" t="s">
        <v>176</v>
      </c>
      <c r="F1128" t="s">
        <v>177</v>
      </c>
      <c r="G1128" t="s">
        <v>178</v>
      </c>
    </row>
    <row r="1129" spans="1:7">
      <c r="A1129">
        <v>2027</v>
      </c>
      <c r="B1129" t="s">
        <v>195</v>
      </c>
      <c r="C1129">
        <v>18298.599999999999</v>
      </c>
      <c r="D1129" t="s">
        <v>175</v>
      </c>
      <c r="E1129" t="s">
        <v>176</v>
      </c>
      <c r="F1129" t="s">
        <v>177</v>
      </c>
      <c r="G1129" t="s">
        <v>178</v>
      </c>
    </row>
    <row r="1130" spans="1:7">
      <c r="A1130">
        <v>2028</v>
      </c>
      <c r="B1130" t="s">
        <v>195</v>
      </c>
      <c r="C1130">
        <v>18298.599999999999</v>
      </c>
      <c r="D1130" t="s">
        <v>175</v>
      </c>
      <c r="E1130" t="s">
        <v>176</v>
      </c>
      <c r="F1130" t="s">
        <v>177</v>
      </c>
      <c r="G1130" t="s">
        <v>178</v>
      </c>
    </row>
    <row r="1131" spans="1:7">
      <c r="A1131">
        <v>2029</v>
      </c>
      <c r="B1131" t="s">
        <v>195</v>
      </c>
      <c r="C1131">
        <v>42504.7</v>
      </c>
      <c r="D1131" t="s">
        <v>175</v>
      </c>
      <c r="E1131" t="s">
        <v>176</v>
      </c>
      <c r="F1131" t="s">
        <v>177</v>
      </c>
      <c r="G1131" t="s">
        <v>178</v>
      </c>
    </row>
    <row r="1132" spans="1:7">
      <c r="A1132">
        <v>2030</v>
      </c>
      <c r="B1132" t="s">
        <v>195</v>
      </c>
      <c r="C1132">
        <v>42504.7</v>
      </c>
      <c r="D1132" t="s">
        <v>175</v>
      </c>
      <c r="E1132" t="s">
        <v>176</v>
      </c>
      <c r="F1132" t="s">
        <v>177</v>
      </c>
      <c r="G1132" t="s">
        <v>178</v>
      </c>
    </row>
    <row r="1133" spans="1:7">
      <c r="A1133">
        <v>2031</v>
      </c>
      <c r="B1133" t="s">
        <v>195</v>
      </c>
      <c r="C1133">
        <v>17642.2</v>
      </c>
      <c r="D1133" t="s">
        <v>175</v>
      </c>
      <c r="E1133" t="s">
        <v>176</v>
      </c>
      <c r="F1133" t="s">
        <v>177</v>
      </c>
      <c r="G1133" t="s">
        <v>178</v>
      </c>
    </row>
    <row r="1134" spans="1:7">
      <c r="A1134">
        <v>2032</v>
      </c>
      <c r="B1134" t="s">
        <v>195</v>
      </c>
      <c r="C1134">
        <v>17642.2</v>
      </c>
      <c r="D1134" t="s">
        <v>175</v>
      </c>
      <c r="E1134" t="s">
        <v>176</v>
      </c>
      <c r="F1134" t="s">
        <v>177</v>
      </c>
      <c r="G1134" t="s">
        <v>178</v>
      </c>
    </row>
    <row r="1135" spans="1:7">
      <c r="A1135">
        <v>2033</v>
      </c>
      <c r="B1135" t="s">
        <v>195</v>
      </c>
      <c r="C1135">
        <v>22008.400000000001</v>
      </c>
      <c r="D1135" t="s">
        <v>175</v>
      </c>
      <c r="E1135" t="s">
        <v>176</v>
      </c>
      <c r="F1135" t="s">
        <v>177</v>
      </c>
      <c r="G1135" t="s">
        <v>178</v>
      </c>
    </row>
    <row r="1136" spans="1:7">
      <c r="A1136">
        <v>2034</v>
      </c>
      <c r="B1136" t="s">
        <v>195</v>
      </c>
      <c r="C1136">
        <v>22008.400000000001</v>
      </c>
      <c r="D1136" t="s">
        <v>175</v>
      </c>
      <c r="E1136" t="s">
        <v>176</v>
      </c>
      <c r="F1136" t="s">
        <v>177</v>
      </c>
      <c r="G1136" t="s">
        <v>178</v>
      </c>
    </row>
    <row r="1137" spans="1:7">
      <c r="A1137">
        <v>2035</v>
      </c>
      <c r="B1137" t="s">
        <v>195</v>
      </c>
      <c r="C1137">
        <v>22008.400000000001</v>
      </c>
      <c r="D1137" t="s">
        <v>175</v>
      </c>
      <c r="E1137" t="s">
        <v>176</v>
      </c>
      <c r="F1137" t="s">
        <v>177</v>
      </c>
      <c r="G1137" t="s">
        <v>178</v>
      </c>
    </row>
    <row r="1138" spans="1:7">
      <c r="A1138">
        <v>2020</v>
      </c>
      <c r="B1138" t="s">
        <v>196</v>
      </c>
      <c r="C1138">
        <v>36558.400000000001</v>
      </c>
      <c r="D1138" t="s">
        <v>175</v>
      </c>
      <c r="E1138" t="s">
        <v>176</v>
      </c>
      <c r="F1138" t="s">
        <v>177</v>
      </c>
      <c r="G1138" t="s">
        <v>178</v>
      </c>
    </row>
    <row r="1139" spans="1:7">
      <c r="A1139">
        <v>2021</v>
      </c>
      <c r="B1139" t="s">
        <v>196</v>
      </c>
      <c r="C1139">
        <v>93891.7</v>
      </c>
      <c r="D1139" t="s">
        <v>175</v>
      </c>
      <c r="E1139" t="s">
        <v>176</v>
      </c>
      <c r="F1139" t="s">
        <v>177</v>
      </c>
      <c r="G1139" t="s">
        <v>178</v>
      </c>
    </row>
    <row r="1140" spans="1:7">
      <c r="A1140">
        <v>2022</v>
      </c>
      <c r="B1140" t="s">
        <v>196</v>
      </c>
      <c r="C1140">
        <v>93891.7</v>
      </c>
      <c r="D1140" t="s">
        <v>175</v>
      </c>
      <c r="E1140" t="s">
        <v>176</v>
      </c>
      <c r="F1140" t="s">
        <v>177</v>
      </c>
      <c r="G1140" t="s">
        <v>178</v>
      </c>
    </row>
    <row r="1141" spans="1:7">
      <c r="A1141">
        <v>2023</v>
      </c>
      <c r="B1141" t="s">
        <v>196</v>
      </c>
      <c r="C1141">
        <v>8229.01</v>
      </c>
      <c r="D1141" t="s">
        <v>175</v>
      </c>
      <c r="E1141" t="s">
        <v>176</v>
      </c>
      <c r="F1141" t="s">
        <v>177</v>
      </c>
      <c r="G1141" t="s">
        <v>178</v>
      </c>
    </row>
    <row r="1142" spans="1:7">
      <c r="A1142">
        <v>2024</v>
      </c>
      <c r="B1142" t="s">
        <v>196</v>
      </c>
      <c r="C1142">
        <v>8229.01</v>
      </c>
      <c r="D1142" t="s">
        <v>175</v>
      </c>
      <c r="E1142" t="s">
        <v>176</v>
      </c>
      <c r="F1142" t="s">
        <v>177</v>
      </c>
      <c r="G1142" t="s">
        <v>178</v>
      </c>
    </row>
    <row r="1143" spans="1:7">
      <c r="A1143">
        <v>2025</v>
      </c>
      <c r="B1143" t="s">
        <v>196</v>
      </c>
      <c r="C1143">
        <v>31545.8</v>
      </c>
      <c r="D1143" t="s">
        <v>175</v>
      </c>
      <c r="E1143" t="s">
        <v>176</v>
      </c>
      <c r="F1143" t="s">
        <v>177</v>
      </c>
      <c r="G1143" t="s">
        <v>178</v>
      </c>
    </row>
    <row r="1144" spans="1:7">
      <c r="A1144">
        <v>2026</v>
      </c>
      <c r="B1144" t="s">
        <v>196</v>
      </c>
      <c r="C1144">
        <v>31545.8</v>
      </c>
      <c r="D1144" t="s">
        <v>175</v>
      </c>
      <c r="E1144" t="s">
        <v>176</v>
      </c>
      <c r="F1144" t="s">
        <v>177</v>
      </c>
      <c r="G1144" t="s">
        <v>178</v>
      </c>
    </row>
    <row r="1145" spans="1:7">
      <c r="A1145">
        <v>2027</v>
      </c>
      <c r="B1145" t="s">
        <v>196</v>
      </c>
      <c r="C1145">
        <v>22733</v>
      </c>
      <c r="D1145" t="s">
        <v>175</v>
      </c>
      <c r="E1145" t="s">
        <v>176</v>
      </c>
      <c r="F1145" t="s">
        <v>177</v>
      </c>
      <c r="G1145" t="s">
        <v>178</v>
      </c>
    </row>
    <row r="1146" spans="1:7">
      <c r="A1146">
        <v>2028</v>
      </c>
      <c r="B1146" t="s">
        <v>196</v>
      </c>
      <c r="C1146">
        <v>22733</v>
      </c>
      <c r="D1146" t="s">
        <v>175</v>
      </c>
      <c r="E1146" t="s">
        <v>176</v>
      </c>
      <c r="F1146" t="s">
        <v>177</v>
      </c>
      <c r="G1146" t="s">
        <v>178</v>
      </c>
    </row>
    <row r="1147" spans="1:7">
      <c r="A1147">
        <v>2029</v>
      </c>
      <c r="B1147" t="s">
        <v>196</v>
      </c>
      <c r="C1147">
        <v>10457.5</v>
      </c>
      <c r="D1147" t="s">
        <v>175</v>
      </c>
      <c r="E1147" t="s">
        <v>176</v>
      </c>
      <c r="F1147" t="s">
        <v>177</v>
      </c>
      <c r="G1147" t="s">
        <v>178</v>
      </c>
    </row>
    <row r="1148" spans="1:7">
      <c r="A1148">
        <v>2030</v>
      </c>
      <c r="B1148" t="s">
        <v>196</v>
      </c>
      <c r="C1148">
        <v>10457.5</v>
      </c>
      <c r="D1148" t="s">
        <v>175</v>
      </c>
      <c r="E1148" t="s">
        <v>176</v>
      </c>
      <c r="F1148" t="s">
        <v>177</v>
      </c>
      <c r="G1148" t="s">
        <v>178</v>
      </c>
    </row>
    <row r="1149" spans="1:7">
      <c r="A1149">
        <v>2031</v>
      </c>
      <c r="B1149" t="s">
        <v>196</v>
      </c>
      <c r="C1149">
        <v>11608.8</v>
      </c>
      <c r="D1149" t="s">
        <v>175</v>
      </c>
      <c r="E1149" t="s">
        <v>176</v>
      </c>
      <c r="F1149" t="s">
        <v>177</v>
      </c>
      <c r="G1149" t="s">
        <v>178</v>
      </c>
    </row>
    <row r="1150" spans="1:7">
      <c r="A1150">
        <v>2032</v>
      </c>
      <c r="B1150" t="s">
        <v>196</v>
      </c>
      <c r="C1150">
        <v>11608.8</v>
      </c>
      <c r="D1150" t="s">
        <v>175</v>
      </c>
      <c r="E1150" t="s">
        <v>176</v>
      </c>
      <c r="F1150" t="s">
        <v>177</v>
      </c>
      <c r="G1150" t="s">
        <v>178</v>
      </c>
    </row>
    <row r="1151" spans="1:7">
      <c r="A1151">
        <v>2033</v>
      </c>
      <c r="B1151" t="s">
        <v>196</v>
      </c>
      <c r="C1151">
        <v>14321.2</v>
      </c>
      <c r="D1151" t="s">
        <v>175</v>
      </c>
      <c r="E1151" t="s">
        <v>176</v>
      </c>
      <c r="F1151" t="s">
        <v>177</v>
      </c>
      <c r="G1151" t="s">
        <v>178</v>
      </c>
    </row>
    <row r="1152" spans="1:7">
      <c r="A1152">
        <v>2034</v>
      </c>
      <c r="B1152" t="s">
        <v>196</v>
      </c>
      <c r="C1152">
        <v>14321.2</v>
      </c>
      <c r="D1152" t="s">
        <v>175</v>
      </c>
      <c r="E1152" t="s">
        <v>176</v>
      </c>
      <c r="F1152" t="s">
        <v>177</v>
      </c>
      <c r="G1152" t="s">
        <v>178</v>
      </c>
    </row>
    <row r="1153" spans="1:7">
      <c r="A1153">
        <v>2035</v>
      </c>
      <c r="B1153" t="s">
        <v>196</v>
      </c>
      <c r="C1153">
        <v>14321.2</v>
      </c>
      <c r="D1153" t="s">
        <v>175</v>
      </c>
      <c r="E1153" t="s">
        <v>176</v>
      </c>
      <c r="F1153" t="s">
        <v>177</v>
      </c>
      <c r="G1153" t="s">
        <v>178</v>
      </c>
    </row>
    <row r="1154" spans="1:7">
      <c r="A1154">
        <v>2020</v>
      </c>
      <c r="B1154" t="s">
        <v>188</v>
      </c>
      <c r="C1154">
        <v>102.45</v>
      </c>
      <c r="D1154" t="s">
        <v>175</v>
      </c>
      <c r="E1154" t="s">
        <v>176</v>
      </c>
      <c r="F1154" t="s">
        <v>177</v>
      </c>
      <c r="G1154" t="s">
        <v>179</v>
      </c>
    </row>
    <row r="1155" spans="1:7">
      <c r="A1155">
        <v>2021</v>
      </c>
      <c r="B1155" t="s">
        <v>188</v>
      </c>
      <c r="C1155">
        <v>9.5</v>
      </c>
      <c r="D1155" t="s">
        <v>175</v>
      </c>
      <c r="E1155" t="s">
        <v>176</v>
      </c>
      <c r="F1155" t="s">
        <v>177</v>
      </c>
      <c r="G1155" t="s">
        <v>179</v>
      </c>
    </row>
    <row r="1156" spans="1:7">
      <c r="A1156">
        <v>2022</v>
      </c>
      <c r="B1156" t="s">
        <v>188</v>
      </c>
      <c r="C1156">
        <v>9.5</v>
      </c>
      <c r="D1156" t="s">
        <v>175</v>
      </c>
      <c r="E1156" t="s">
        <v>176</v>
      </c>
      <c r="F1156" t="s">
        <v>177</v>
      </c>
      <c r="G1156" t="s">
        <v>179</v>
      </c>
    </row>
    <row r="1157" spans="1:7">
      <c r="A1157">
        <v>2023</v>
      </c>
      <c r="B1157" t="s">
        <v>188</v>
      </c>
      <c r="C1157">
        <v>0</v>
      </c>
      <c r="D1157" t="s">
        <v>175</v>
      </c>
      <c r="E1157" t="s">
        <v>176</v>
      </c>
      <c r="F1157" t="s">
        <v>177</v>
      </c>
      <c r="G1157" t="s">
        <v>179</v>
      </c>
    </row>
    <row r="1158" spans="1:7">
      <c r="A1158">
        <v>2024</v>
      </c>
      <c r="B1158" t="s">
        <v>188</v>
      </c>
      <c r="C1158">
        <v>0</v>
      </c>
      <c r="D1158" t="s">
        <v>175</v>
      </c>
      <c r="E1158" t="s">
        <v>176</v>
      </c>
      <c r="F1158" t="s">
        <v>177</v>
      </c>
      <c r="G1158" t="s">
        <v>179</v>
      </c>
    </row>
    <row r="1159" spans="1:7">
      <c r="A1159">
        <v>2025</v>
      </c>
      <c r="B1159" t="s">
        <v>188</v>
      </c>
      <c r="C1159">
        <v>0</v>
      </c>
      <c r="D1159" t="s">
        <v>175</v>
      </c>
      <c r="E1159" t="s">
        <v>176</v>
      </c>
      <c r="F1159" t="s">
        <v>177</v>
      </c>
      <c r="G1159" t="s">
        <v>179</v>
      </c>
    </row>
    <row r="1160" spans="1:7">
      <c r="A1160">
        <v>2026</v>
      </c>
      <c r="B1160" t="s">
        <v>188</v>
      </c>
      <c r="C1160">
        <v>0</v>
      </c>
      <c r="D1160" t="s">
        <v>175</v>
      </c>
      <c r="E1160" t="s">
        <v>176</v>
      </c>
      <c r="F1160" t="s">
        <v>177</v>
      </c>
      <c r="G1160" t="s">
        <v>179</v>
      </c>
    </row>
    <row r="1161" spans="1:7">
      <c r="A1161">
        <v>2027</v>
      </c>
      <c r="B1161" t="s">
        <v>188</v>
      </c>
      <c r="C1161">
        <v>0</v>
      </c>
      <c r="D1161" t="s">
        <v>175</v>
      </c>
      <c r="E1161" t="s">
        <v>176</v>
      </c>
      <c r="F1161" t="s">
        <v>177</v>
      </c>
      <c r="G1161" t="s">
        <v>179</v>
      </c>
    </row>
    <row r="1162" spans="1:7">
      <c r="A1162">
        <v>2028</v>
      </c>
      <c r="B1162" t="s">
        <v>188</v>
      </c>
      <c r="C1162">
        <v>0</v>
      </c>
      <c r="D1162" t="s">
        <v>175</v>
      </c>
      <c r="E1162" t="s">
        <v>176</v>
      </c>
      <c r="F1162" t="s">
        <v>177</v>
      </c>
      <c r="G1162" t="s">
        <v>179</v>
      </c>
    </row>
    <row r="1163" spans="1:7">
      <c r="A1163">
        <v>2029</v>
      </c>
      <c r="B1163" t="s">
        <v>188</v>
      </c>
      <c r="C1163">
        <v>0</v>
      </c>
      <c r="D1163" t="s">
        <v>175</v>
      </c>
      <c r="E1163" t="s">
        <v>176</v>
      </c>
      <c r="F1163" t="s">
        <v>177</v>
      </c>
      <c r="G1163" t="s">
        <v>179</v>
      </c>
    </row>
    <row r="1164" spans="1:7">
      <c r="A1164">
        <v>2030</v>
      </c>
      <c r="B1164" t="s">
        <v>188</v>
      </c>
      <c r="C1164">
        <v>0</v>
      </c>
      <c r="D1164" t="s">
        <v>175</v>
      </c>
      <c r="E1164" t="s">
        <v>176</v>
      </c>
      <c r="F1164" t="s">
        <v>177</v>
      </c>
      <c r="G1164" t="s">
        <v>179</v>
      </c>
    </row>
    <row r="1165" spans="1:7">
      <c r="A1165">
        <v>2031</v>
      </c>
      <c r="B1165" t="s">
        <v>188</v>
      </c>
      <c r="C1165">
        <v>0</v>
      </c>
      <c r="D1165" t="s">
        <v>175</v>
      </c>
      <c r="E1165" t="s">
        <v>176</v>
      </c>
      <c r="F1165" t="s">
        <v>177</v>
      </c>
      <c r="G1165" t="s">
        <v>179</v>
      </c>
    </row>
    <row r="1166" spans="1:7">
      <c r="A1166">
        <v>2032</v>
      </c>
      <c r="B1166" t="s">
        <v>188</v>
      </c>
      <c r="C1166">
        <v>0</v>
      </c>
      <c r="D1166" t="s">
        <v>175</v>
      </c>
      <c r="E1166" t="s">
        <v>176</v>
      </c>
      <c r="F1166" t="s">
        <v>177</v>
      </c>
      <c r="G1166" t="s">
        <v>179</v>
      </c>
    </row>
    <row r="1167" spans="1:7">
      <c r="A1167">
        <v>2033</v>
      </c>
      <c r="B1167" t="s">
        <v>188</v>
      </c>
      <c r="C1167">
        <v>0</v>
      </c>
      <c r="D1167" t="s">
        <v>175</v>
      </c>
      <c r="E1167" t="s">
        <v>176</v>
      </c>
      <c r="F1167" t="s">
        <v>177</v>
      </c>
      <c r="G1167" t="s">
        <v>179</v>
      </c>
    </row>
    <row r="1168" spans="1:7">
      <c r="A1168">
        <v>2034</v>
      </c>
      <c r="B1168" t="s">
        <v>188</v>
      </c>
      <c r="C1168">
        <v>0</v>
      </c>
      <c r="D1168" t="s">
        <v>175</v>
      </c>
      <c r="E1168" t="s">
        <v>176</v>
      </c>
      <c r="F1168" t="s">
        <v>177</v>
      </c>
      <c r="G1168" t="s">
        <v>179</v>
      </c>
    </row>
    <row r="1169" spans="1:7">
      <c r="A1169">
        <v>2035</v>
      </c>
      <c r="B1169" t="s">
        <v>188</v>
      </c>
      <c r="C1169">
        <v>0</v>
      </c>
      <c r="D1169" t="s">
        <v>175</v>
      </c>
      <c r="E1169" t="s">
        <v>176</v>
      </c>
      <c r="F1169" t="s">
        <v>177</v>
      </c>
      <c r="G1169" t="s">
        <v>179</v>
      </c>
    </row>
    <row r="1170" spans="1:7">
      <c r="A1170">
        <v>2020</v>
      </c>
      <c r="B1170" t="s">
        <v>189</v>
      </c>
      <c r="C1170">
        <v>0</v>
      </c>
      <c r="D1170" t="s">
        <v>175</v>
      </c>
      <c r="E1170" t="s">
        <v>176</v>
      </c>
      <c r="F1170" t="s">
        <v>177</v>
      </c>
      <c r="G1170" t="s">
        <v>179</v>
      </c>
    </row>
    <row r="1171" spans="1:7">
      <c r="A1171">
        <v>2021</v>
      </c>
      <c r="B1171" t="s">
        <v>189</v>
      </c>
      <c r="C1171">
        <v>0</v>
      </c>
      <c r="D1171" t="s">
        <v>175</v>
      </c>
      <c r="E1171" t="s">
        <v>176</v>
      </c>
      <c r="F1171" t="s">
        <v>177</v>
      </c>
      <c r="G1171" t="s">
        <v>179</v>
      </c>
    </row>
    <row r="1172" spans="1:7">
      <c r="A1172">
        <v>2022</v>
      </c>
      <c r="B1172" t="s">
        <v>189</v>
      </c>
      <c r="C1172">
        <v>0</v>
      </c>
      <c r="D1172" t="s">
        <v>175</v>
      </c>
      <c r="E1172" t="s">
        <v>176</v>
      </c>
      <c r="F1172" t="s">
        <v>177</v>
      </c>
      <c r="G1172" t="s">
        <v>179</v>
      </c>
    </row>
    <row r="1173" spans="1:7">
      <c r="A1173">
        <v>2023</v>
      </c>
      <c r="B1173" t="s">
        <v>189</v>
      </c>
      <c r="C1173">
        <v>0</v>
      </c>
      <c r="D1173" t="s">
        <v>175</v>
      </c>
      <c r="E1173" t="s">
        <v>176</v>
      </c>
      <c r="F1173" t="s">
        <v>177</v>
      </c>
      <c r="G1173" t="s">
        <v>179</v>
      </c>
    </row>
    <row r="1174" spans="1:7">
      <c r="A1174">
        <v>2024</v>
      </c>
      <c r="B1174" t="s">
        <v>189</v>
      </c>
      <c r="C1174">
        <v>0</v>
      </c>
      <c r="D1174" t="s">
        <v>175</v>
      </c>
      <c r="E1174" t="s">
        <v>176</v>
      </c>
      <c r="F1174" t="s">
        <v>177</v>
      </c>
      <c r="G1174" t="s">
        <v>179</v>
      </c>
    </row>
    <row r="1175" spans="1:7">
      <c r="A1175">
        <v>2025</v>
      </c>
      <c r="B1175" t="s">
        <v>189</v>
      </c>
      <c r="C1175">
        <v>0</v>
      </c>
      <c r="D1175" t="s">
        <v>175</v>
      </c>
      <c r="E1175" t="s">
        <v>176</v>
      </c>
      <c r="F1175" t="s">
        <v>177</v>
      </c>
      <c r="G1175" t="s">
        <v>179</v>
      </c>
    </row>
    <row r="1176" spans="1:7">
      <c r="A1176">
        <v>2026</v>
      </c>
      <c r="B1176" t="s">
        <v>189</v>
      </c>
      <c r="C1176">
        <v>0</v>
      </c>
      <c r="D1176" t="s">
        <v>175</v>
      </c>
      <c r="E1176" t="s">
        <v>176</v>
      </c>
      <c r="F1176" t="s">
        <v>177</v>
      </c>
      <c r="G1176" t="s">
        <v>179</v>
      </c>
    </row>
    <row r="1177" spans="1:7">
      <c r="A1177">
        <v>2027</v>
      </c>
      <c r="B1177" t="s">
        <v>189</v>
      </c>
      <c r="C1177">
        <v>0</v>
      </c>
      <c r="D1177" t="s">
        <v>175</v>
      </c>
      <c r="E1177" t="s">
        <v>176</v>
      </c>
      <c r="F1177" t="s">
        <v>177</v>
      </c>
      <c r="G1177" t="s">
        <v>179</v>
      </c>
    </row>
    <row r="1178" spans="1:7">
      <c r="A1178">
        <v>2028</v>
      </c>
      <c r="B1178" t="s">
        <v>189</v>
      </c>
      <c r="C1178">
        <v>0</v>
      </c>
      <c r="D1178" t="s">
        <v>175</v>
      </c>
      <c r="E1178" t="s">
        <v>176</v>
      </c>
      <c r="F1178" t="s">
        <v>177</v>
      </c>
      <c r="G1178" t="s">
        <v>179</v>
      </c>
    </row>
    <row r="1179" spans="1:7">
      <c r="A1179">
        <v>2029</v>
      </c>
      <c r="B1179" t="s">
        <v>189</v>
      </c>
      <c r="C1179">
        <v>0</v>
      </c>
      <c r="D1179" t="s">
        <v>175</v>
      </c>
      <c r="E1179" t="s">
        <v>176</v>
      </c>
      <c r="F1179" t="s">
        <v>177</v>
      </c>
      <c r="G1179" t="s">
        <v>179</v>
      </c>
    </row>
    <row r="1180" spans="1:7">
      <c r="A1180">
        <v>2030</v>
      </c>
      <c r="B1180" t="s">
        <v>189</v>
      </c>
      <c r="C1180">
        <v>0</v>
      </c>
      <c r="D1180" t="s">
        <v>175</v>
      </c>
      <c r="E1180" t="s">
        <v>176</v>
      </c>
      <c r="F1180" t="s">
        <v>177</v>
      </c>
      <c r="G1180" t="s">
        <v>179</v>
      </c>
    </row>
    <row r="1181" spans="1:7">
      <c r="A1181">
        <v>2031</v>
      </c>
      <c r="B1181" t="s">
        <v>189</v>
      </c>
      <c r="C1181">
        <v>0</v>
      </c>
      <c r="D1181" t="s">
        <v>175</v>
      </c>
      <c r="E1181" t="s">
        <v>176</v>
      </c>
      <c r="F1181" t="s">
        <v>177</v>
      </c>
      <c r="G1181" t="s">
        <v>179</v>
      </c>
    </row>
    <row r="1182" spans="1:7">
      <c r="A1182">
        <v>2032</v>
      </c>
      <c r="B1182" t="s">
        <v>189</v>
      </c>
      <c r="C1182">
        <v>0</v>
      </c>
      <c r="D1182" t="s">
        <v>175</v>
      </c>
      <c r="E1182" t="s">
        <v>176</v>
      </c>
      <c r="F1182" t="s">
        <v>177</v>
      </c>
      <c r="G1182" t="s">
        <v>179</v>
      </c>
    </row>
    <row r="1183" spans="1:7">
      <c r="A1183">
        <v>2033</v>
      </c>
      <c r="B1183" t="s">
        <v>189</v>
      </c>
      <c r="C1183">
        <v>0</v>
      </c>
      <c r="D1183" t="s">
        <v>175</v>
      </c>
      <c r="E1183" t="s">
        <v>176</v>
      </c>
      <c r="F1183" t="s">
        <v>177</v>
      </c>
      <c r="G1183" t="s">
        <v>179</v>
      </c>
    </row>
    <row r="1184" spans="1:7">
      <c r="A1184">
        <v>2034</v>
      </c>
      <c r="B1184" t="s">
        <v>189</v>
      </c>
      <c r="C1184">
        <v>0</v>
      </c>
      <c r="D1184" t="s">
        <v>175</v>
      </c>
      <c r="E1184" t="s">
        <v>176</v>
      </c>
      <c r="F1184" t="s">
        <v>177</v>
      </c>
      <c r="G1184" t="s">
        <v>179</v>
      </c>
    </row>
    <row r="1185" spans="1:7">
      <c r="A1185">
        <v>2035</v>
      </c>
      <c r="B1185" t="s">
        <v>189</v>
      </c>
      <c r="C1185">
        <v>0</v>
      </c>
      <c r="D1185" t="s">
        <v>175</v>
      </c>
      <c r="E1185" t="s">
        <v>176</v>
      </c>
      <c r="F1185" t="s">
        <v>177</v>
      </c>
      <c r="G1185" t="s">
        <v>179</v>
      </c>
    </row>
    <row r="1186" spans="1:7">
      <c r="A1186">
        <v>2020</v>
      </c>
      <c r="B1186" t="s">
        <v>190</v>
      </c>
      <c r="C1186">
        <v>11184.73</v>
      </c>
      <c r="D1186" t="s">
        <v>175</v>
      </c>
      <c r="E1186" t="s">
        <v>176</v>
      </c>
      <c r="F1186" t="s">
        <v>177</v>
      </c>
      <c r="G1186" t="s">
        <v>179</v>
      </c>
    </row>
    <row r="1187" spans="1:7">
      <c r="A1187">
        <v>2021</v>
      </c>
      <c r="B1187" t="s">
        <v>190</v>
      </c>
      <c r="C1187">
        <v>0</v>
      </c>
      <c r="D1187" t="s">
        <v>175</v>
      </c>
      <c r="E1187" t="s">
        <v>176</v>
      </c>
      <c r="F1187" t="s">
        <v>177</v>
      </c>
      <c r="G1187" t="s">
        <v>179</v>
      </c>
    </row>
    <row r="1188" spans="1:7">
      <c r="A1188">
        <v>2022</v>
      </c>
      <c r="B1188" t="s">
        <v>190</v>
      </c>
      <c r="C1188">
        <v>0</v>
      </c>
      <c r="D1188" t="s">
        <v>175</v>
      </c>
      <c r="E1188" t="s">
        <v>176</v>
      </c>
      <c r="F1188" t="s">
        <v>177</v>
      </c>
      <c r="G1188" t="s">
        <v>179</v>
      </c>
    </row>
    <row r="1189" spans="1:7">
      <c r="A1189">
        <v>2023</v>
      </c>
      <c r="B1189" t="s">
        <v>190</v>
      </c>
      <c r="C1189">
        <v>0</v>
      </c>
      <c r="D1189" t="s">
        <v>175</v>
      </c>
      <c r="E1189" t="s">
        <v>176</v>
      </c>
      <c r="F1189" t="s">
        <v>177</v>
      </c>
      <c r="G1189" t="s">
        <v>179</v>
      </c>
    </row>
    <row r="1190" spans="1:7">
      <c r="A1190">
        <v>2024</v>
      </c>
      <c r="B1190" t="s">
        <v>190</v>
      </c>
      <c r="C1190">
        <v>0</v>
      </c>
      <c r="D1190" t="s">
        <v>175</v>
      </c>
      <c r="E1190" t="s">
        <v>176</v>
      </c>
      <c r="F1190" t="s">
        <v>177</v>
      </c>
      <c r="G1190" t="s">
        <v>179</v>
      </c>
    </row>
    <row r="1191" spans="1:7">
      <c r="A1191">
        <v>2025</v>
      </c>
      <c r="B1191" t="s">
        <v>190</v>
      </c>
      <c r="C1191">
        <v>0</v>
      </c>
      <c r="D1191" t="s">
        <v>175</v>
      </c>
      <c r="E1191" t="s">
        <v>176</v>
      </c>
      <c r="F1191" t="s">
        <v>177</v>
      </c>
      <c r="G1191" t="s">
        <v>179</v>
      </c>
    </row>
    <row r="1192" spans="1:7">
      <c r="A1192">
        <v>2026</v>
      </c>
      <c r="B1192" t="s">
        <v>190</v>
      </c>
      <c r="C1192">
        <v>0</v>
      </c>
      <c r="D1192" t="s">
        <v>175</v>
      </c>
      <c r="E1192" t="s">
        <v>176</v>
      </c>
      <c r="F1192" t="s">
        <v>177</v>
      </c>
      <c r="G1192" t="s">
        <v>179</v>
      </c>
    </row>
    <row r="1193" spans="1:7">
      <c r="A1193">
        <v>2027</v>
      </c>
      <c r="B1193" t="s">
        <v>190</v>
      </c>
      <c r="C1193">
        <v>0</v>
      </c>
      <c r="D1193" t="s">
        <v>175</v>
      </c>
      <c r="E1193" t="s">
        <v>176</v>
      </c>
      <c r="F1193" t="s">
        <v>177</v>
      </c>
      <c r="G1193" t="s">
        <v>179</v>
      </c>
    </row>
    <row r="1194" spans="1:7">
      <c r="A1194">
        <v>2028</v>
      </c>
      <c r="B1194" t="s">
        <v>190</v>
      </c>
      <c r="C1194">
        <v>0</v>
      </c>
      <c r="D1194" t="s">
        <v>175</v>
      </c>
      <c r="E1194" t="s">
        <v>176</v>
      </c>
      <c r="F1194" t="s">
        <v>177</v>
      </c>
      <c r="G1194" t="s">
        <v>179</v>
      </c>
    </row>
    <row r="1195" spans="1:7">
      <c r="A1195">
        <v>2029</v>
      </c>
      <c r="B1195" t="s">
        <v>190</v>
      </c>
      <c r="C1195">
        <v>0</v>
      </c>
      <c r="D1195" t="s">
        <v>175</v>
      </c>
      <c r="E1195" t="s">
        <v>176</v>
      </c>
      <c r="F1195" t="s">
        <v>177</v>
      </c>
      <c r="G1195" t="s">
        <v>179</v>
      </c>
    </row>
    <row r="1196" spans="1:7">
      <c r="A1196">
        <v>2030</v>
      </c>
      <c r="B1196" t="s">
        <v>190</v>
      </c>
      <c r="C1196">
        <v>0</v>
      </c>
      <c r="D1196" t="s">
        <v>175</v>
      </c>
      <c r="E1196" t="s">
        <v>176</v>
      </c>
      <c r="F1196" t="s">
        <v>177</v>
      </c>
      <c r="G1196" t="s">
        <v>179</v>
      </c>
    </row>
    <row r="1197" spans="1:7">
      <c r="A1197">
        <v>2031</v>
      </c>
      <c r="B1197" t="s">
        <v>190</v>
      </c>
      <c r="C1197">
        <v>0</v>
      </c>
      <c r="D1197" t="s">
        <v>175</v>
      </c>
      <c r="E1197" t="s">
        <v>176</v>
      </c>
      <c r="F1197" t="s">
        <v>177</v>
      </c>
      <c r="G1197" t="s">
        <v>179</v>
      </c>
    </row>
    <row r="1198" spans="1:7">
      <c r="A1198">
        <v>2032</v>
      </c>
      <c r="B1198" t="s">
        <v>190</v>
      </c>
      <c r="C1198">
        <v>0</v>
      </c>
      <c r="D1198" t="s">
        <v>175</v>
      </c>
      <c r="E1198" t="s">
        <v>176</v>
      </c>
      <c r="F1198" t="s">
        <v>177</v>
      </c>
      <c r="G1198" t="s">
        <v>179</v>
      </c>
    </row>
    <row r="1199" spans="1:7">
      <c r="A1199">
        <v>2033</v>
      </c>
      <c r="B1199" t="s">
        <v>190</v>
      </c>
      <c r="C1199">
        <v>0</v>
      </c>
      <c r="D1199" t="s">
        <v>175</v>
      </c>
      <c r="E1199" t="s">
        <v>176</v>
      </c>
      <c r="F1199" t="s">
        <v>177</v>
      </c>
      <c r="G1199" t="s">
        <v>179</v>
      </c>
    </row>
    <row r="1200" spans="1:7">
      <c r="A1200">
        <v>2034</v>
      </c>
      <c r="B1200" t="s">
        <v>190</v>
      </c>
      <c r="C1200">
        <v>0</v>
      </c>
      <c r="D1200" t="s">
        <v>175</v>
      </c>
      <c r="E1200" t="s">
        <v>176</v>
      </c>
      <c r="F1200" t="s">
        <v>177</v>
      </c>
      <c r="G1200" t="s">
        <v>179</v>
      </c>
    </row>
    <row r="1201" spans="1:7">
      <c r="A1201">
        <v>2035</v>
      </c>
      <c r="B1201" t="s">
        <v>190</v>
      </c>
      <c r="C1201">
        <v>0</v>
      </c>
      <c r="D1201" t="s">
        <v>175</v>
      </c>
      <c r="E1201" t="s">
        <v>176</v>
      </c>
      <c r="F1201" t="s">
        <v>177</v>
      </c>
      <c r="G1201" t="s">
        <v>179</v>
      </c>
    </row>
    <row r="1202" spans="1:7">
      <c r="A1202">
        <v>2020</v>
      </c>
      <c r="B1202" t="s">
        <v>191</v>
      </c>
      <c r="C1202">
        <v>0</v>
      </c>
      <c r="D1202" t="s">
        <v>175</v>
      </c>
      <c r="E1202" t="s">
        <v>176</v>
      </c>
      <c r="F1202" t="s">
        <v>177</v>
      </c>
      <c r="G1202" t="s">
        <v>179</v>
      </c>
    </row>
    <row r="1203" spans="1:7">
      <c r="A1203">
        <v>2021</v>
      </c>
      <c r="B1203" t="s">
        <v>191</v>
      </c>
      <c r="C1203">
        <v>0</v>
      </c>
      <c r="D1203" t="s">
        <v>175</v>
      </c>
      <c r="E1203" t="s">
        <v>176</v>
      </c>
      <c r="F1203" t="s">
        <v>177</v>
      </c>
      <c r="G1203" t="s">
        <v>179</v>
      </c>
    </row>
    <row r="1204" spans="1:7">
      <c r="A1204">
        <v>2022</v>
      </c>
      <c r="B1204" t="s">
        <v>191</v>
      </c>
      <c r="C1204">
        <v>0</v>
      </c>
      <c r="D1204" t="s">
        <v>175</v>
      </c>
      <c r="E1204" t="s">
        <v>176</v>
      </c>
      <c r="F1204" t="s">
        <v>177</v>
      </c>
      <c r="G1204" t="s">
        <v>179</v>
      </c>
    </row>
    <row r="1205" spans="1:7">
      <c r="A1205">
        <v>2023</v>
      </c>
      <c r="B1205" t="s">
        <v>191</v>
      </c>
      <c r="C1205">
        <v>0</v>
      </c>
      <c r="D1205" t="s">
        <v>175</v>
      </c>
      <c r="E1205" t="s">
        <v>176</v>
      </c>
      <c r="F1205" t="s">
        <v>177</v>
      </c>
      <c r="G1205" t="s">
        <v>179</v>
      </c>
    </row>
    <row r="1206" spans="1:7">
      <c r="A1206">
        <v>2024</v>
      </c>
      <c r="B1206" t="s">
        <v>191</v>
      </c>
      <c r="C1206">
        <v>0</v>
      </c>
      <c r="D1206" t="s">
        <v>175</v>
      </c>
      <c r="E1206" t="s">
        <v>176</v>
      </c>
      <c r="F1206" t="s">
        <v>177</v>
      </c>
      <c r="G1206" t="s">
        <v>179</v>
      </c>
    </row>
    <row r="1207" spans="1:7">
      <c r="A1207">
        <v>2025</v>
      </c>
      <c r="B1207" t="s">
        <v>191</v>
      </c>
      <c r="C1207">
        <v>0</v>
      </c>
      <c r="D1207" t="s">
        <v>175</v>
      </c>
      <c r="E1207" t="s">
        <v>176</v>
      </c>
      <c r="F1207" t="s">
        <v>177</v>
      </c>
      <c r="G1207" t="s">
        <v>179</v>
      </c>
    </row>
    <row r="1208" spans="1:7">
      <c r="A1208">
        <v>2026</v>
      </c>
      <c r="B1208" t="s">
        <v>191</v>
      </c>
      <c r="C1208">
        <v>0</v>
      </c>
      <c r="D1208" t="s">
        <v>175</v>
      </c>
      <c r="E1208" t="s">
        <v>176</v>
      </c>
      <c r="F1208" t="s">
        <v>177</v>
      </c>
      <c r="G1208" t="s">
        <v>179</v>
      </c>
    </row>
    <row r="1209" spans="1:7">
      <c r="A1209">
        <v>2027</v>
      </c>
      <c r="B1209" t="s">
        <v>191</v>
      </c>
      <c r="C1209">
        <v>0</v>
      </c>
      <c r="D1209" t="s">
        <v>175</v>
      </c>
      <c r="E1209" t="s">
        <v>176</v>
      </c>
      <c r="F1209" t="s">
        <v>177</v>
      </c>
      <c r="G1209" t="s">
        <v>179</v>
      </c>
    </row>
    <row r="1210" spans="1:7">
      <c r="A1210">
        <v>2028</v>
      </c>
      <c r="B1210" t="s">
        <v>191</v>
      </c>
      <c r="C1210">
        <v>0</v>
      </c>
      <c r="D1210" t="s">
        <v>175</v>
      </c>
      <c r="E1210" t="s">
        <v>176</v>
      </c>
      <c r="F1210" t="s">
        <v>177</v>
      </c>
      <c r="G1210" t="s">
        <v>179</v>
      </c>
    </row>
    <row r="1211" spans="1:7">
      <c r="A1211">
        <v>2029</v>
      </c>
      <c r="B1211" t="s">
        <v>191</v>
      </c>
      <c r="C1211">
        <v>0</v>
      </c>
      <c r="D1211" t="s">
        <v>175</v>
      </c>
      <c r="E1211" t="s">
        <v>176</v>
      </c>
      <c r="F1211" t="s">
        <v>177</v>
      </c>
      <c r="G1211" t="s">
        <v>179</v>
      </c>
    </row>
    <row r="1212" spans="1:7">
      <c r="A1212">
        <v>2030</v>
      </c>
      <c r="B1212" t="s">
        <v>191</v>
      </c>
      <c r="C1212">
        <v>0</v>
      </c>
      <c r="D1212" t="s">
        <v>175</v>
      </c>
      <c r="E1212" t="s">
        <v>176</v>
      </c>
      <c r="F1212" t="s">
        <v>177</v>
      </c>
      <c r="G1212" t="s">
        <v>179</v>
      </c>
    </row>
    <row r="1213" spans="1:7">
      <c r="A1213">
        <v>2031</v>
      </c>
      <c r="B1213" t="s">
        <v>191</v>
      </c>
      <c r="C1213">
        <v>0</v>
      </c>
      <c r="D1213" t="s">
        <v>175</v>
      </c>
      <c r="E1213" t="s">
        <v>176</v>
      </c>
      <c r="F1213" t="s">
        <v>177</v>
      </c>
      <c r="G1213" t="s">
        <v>179</v>
      </c>
    </row>
    <row r="1214" spans="1:7">
      <c r="A1214">
        <v>2032</v>
      </c>
      <c r="B1214" t="s">
        <v>191</v>
      </c>
      <c r="C1214">
        <v>0</v>
      </c>
      <c r="D1214" t="s">
        <v>175</v>
      </c>
      <c r="E1214" t="s">
        <v>176</v>
      </c>
      <c r="F1214" t="s">
        <v>177</v>
      </c>
      <c r="G1214" t="s">
        <v>179</v>
      </c>
    </row>
    <row r="1215" spans="1:7">
      <c r="A1215">
        <v>2033</v>
      </c>
      <c r="B1215" t="s">
        <v>191</v>
      </c>
      <c r="C1215">
        <v>0</v>
      </c>
      <c r="D1215" t="s">
        <v>175</v>
      </c>
      <c r="E1215" t="s">
        <v>176</v>
      </c>
      <c r="F1215" t="s">
        <v>177</v>
      </c>
      <c r="G1215" t="s">
        <v>179</v>
      </c>
    </row>
    <row r="1216" spans="1:7">
      <c r="A1216">
        <v>2034</v>
      </c>
      <c r="B1216" t="s">
        <v>191</v>
      </c>
      <c r="C1216">
        <v>0</v>
      </c>
      <c r="D1216" t="s">
        <v>175</v>
      </c>
      <c r="E1216" t="s">
        <v>176</v>
      </c>
      <c r="F1216" t="s">
        <v>177</v>
      </c>
      <c r="G1216" t="s">
        <v>179</v>
      </c>
    </row>
    <row r="1217" spans="1:7">
      <c r="A1217">
        <v>2035</v>
      </c>
      <c r="B1217" t="s">
        <v>191</v>
      </c>
      <c r="C1217">
        <v>0</v>
      </c>
      <c r="D1217" t="s">
        <v>175</v>
      </c>
      <c r="E1217" t="s">
        <v>176</v>
      </c>
      <c r="F1217" t="s">
        <v>177</v>
      </c>
      <c r="G1217" t="s">
        <v>179</v>
      </c>
    </row>
    <row r="1218" spans="1:7">
      <c r="A1218">
        <v>2020</v>
      </c>
      <c r="B1218" t="s">
        <v>192</v>
      </c>
      <c r="C1218">
        <v>2628.56</v>
      </c>
      <c r="D1218" t="s">
        <v>175</v>
      </c>
      <c r="E1218" t="s">
        <v>176</v>
      </c>
      <c r="F1218" t="s">
        <v>177</v>
      </c>
      <c r="G1218" t="s">
        <v>179</v>
      </c>
    </row>
    <row r="1219" spans="1:7">
      <c r="A1219">
        <v>2021</v>
      </c>
      <c r="B1219" t="s">
        <v>192</v>
      </c>
      <c r="C1219">
        <v>3.5</v>
      </c>
      <c r="D1219" t="s">
        <v>175</v>
      </c>
      <c r="E1219" t="s">
        <v>176</v>
      </c>
      <c r="F1219" t="s">
        <v>177</v>
      </c>
      <c r="G1219" t="s">
        <v>179</v>
      </c>
    </row>
    <row r="1220" spans="1:7">
      <c r="A1220">
        <v>2022</v>
      </c>
      <c r="B1220" t="s">
        <v>192</v>
      </c>
      <c r="C1220">
        <v>3.5</v>
      </c>
      <c r="D1220" t="s">
        <v>175</v>
      </c>
      <c r="E1220" t="s">
        <v>176</v>
      </c>
      <c r="F1220" t="s">
        <v>177</v>
      </c>
      <c r="G1220" t="s">
        <v>179</v>
      </c>
    </row>
    <row r="1221" spans="1:7">
      <c r="A1221">
        <v>2023</v>
      </c>
      <c r="B1221" t="s">
        <v>192</v>
      </c>
      <c r="C1221">
        <v>128.75</v>
      </c>
      <c r="D1221" t="s">
        <v>175</v>
      </c>
      <c r="E1221" t="s">
        <v>176</v>
      </c>
      <c r="F1221" t="s">
        <v>177</v>
      </c>
      <c r="G1221" t="s">
        <v>179</v>
      </c>
    </row>
    <row r="1222" spans="1:7">
      <c r="A1222">
        <v>2024</v>
      </c>
      <c r="B1222" t="s">
        <v>192</v>
      </c>
      <c r="C1222">
        <v>128.75</v>
      </c>
      <c r="D1222" t="s">
        <v>175</v>
      </c>
      <c r="E1222" t="s">
        <v>176</v>
      </c>
      <c r="F1222" t="s">
        <v>177</v>
      </c>
      <c r="G1222" t="s">
        <v>179</v>
      </c>
    </row>
    <row r="1223" spans="1:7">
      <c r="A1223">
        <v>2025</v>
      </c>
      <c r="B1223" t="s">
        <v>192</v>
      </c>
      <c r="C1223">
        <v>131.13999999999999</v>
      </c>
      <c r="D1223" t="s">
        <v>175</v>
      </c>
      <c r="E1223" t="s">
        <v>176</v>
      </c>
      <c r="F1223" t="s">
        <v>177</v>
      </c>
      <c r="G1223" t="s">
        <v>179</v>
      </c>
    </row>
    <row r="1224" spans="1:7">
      <c r="A1224">
        <v>2026</v>
      </c>
      <c r="B1224" t="s">
        <v>192</v>
      </c>
      <c r="C1224">
        <v>131.13999999999999</v>
      </c>
      <c r="D1224" t="s">
        <v>175</v>
      </c>
      <c r="E1224" t="s">
        <v>176</v>
      </c>
      <c r="F1224" t="s">
        <v>177</v>
      </c>
      <c r="G1224" t="s">
        <v>179</v>
      </c>
    </row>
    <row r="1225" spans="1:7">
      <c r="A1225">
        <v>2027</v>
      </c>
      <c r="B1225" t="s">
        <v>192</v>
      </c>
      <c r="C1225">
        <v>48.2545</v>
      </c>
      <c r="D1225" t="s">
        <v>175</v>
      </c>
      <c r="E1225" t="s">
        <v>176</v>
      </c>
      <c r="F1225" t="s">
        <v>177</v>
      </c>
      <c r="G1225" t="s">
        <v>179</v>
      </c>
    </row>
    <row r="1226" spans="1:7">
      <c r="A1226">
        <v>2028</v>
      </c>
      <c r="B1226" t="s">
        <v>192</v>
      </c>
      <c r="C1226">
        <v>48.2545</v>
      </c>
      <c r="D1226" t="s">
        <v>175</v>
      </c>
      <c r="E1226" t="s">
        <v>176</v>
      </c>
      <c r="F1226" t="s">
        <v>177</v>
      </c>
      <c r="G1226" t="s">
        <v>179</v>
      </c>
    </row>
    <row r="1227" spans="1:7">
      <c r="A1227">
        <v>2029</v>
      </c>
      <c r="B1227" t="s">
        <v>192</v>
      </c>
      <c r="C1227">
        <v>0</v>
      </c>
      <c r="D1227" t="s">
        <v>175</v>
      </c>
      <c r="E1227" t="s">
        <v>176</v>
      </c>
      <c r="F1227" t="s">
        <v>177</v>
      </c>
      <c r="G1227" t="s">
        <v>179</v>
      </c>
    </row>
    <row r="1228" spans="1:7">
      <c r="A1228">
        <v>2030</v>
      </c>
      <c r="B1228" t="s">
        <v>192</v>
      </c>
      <c r="C1228">
        <v>0</v>
      </c>
      <c r="D1228" t="s">
        <v>175</v>
      </c>
      <c r="E1228" t="s">
        <v>176</v>
      </c>
      <c r="F1228" t="s">
        <v>177</v>
      </c>
      <c r="G1228" t="s">
        <v>179</v>
      </c>
    </row>
    <row r="1229" spans="1:7">
      <c r="A1229">
        <v>2031</v>
      </c>
      <c r="B1229" t="s">
        <v>192</v>
      </c>
      <c r="C1229">
        <v>1.5</v>
      </c>
      <c r="D1229" t="s">
        <v>175</v>
      </c>
      <c r="E1229" t="s">
        <v>176</v>
      </c>
      <c r="F1229" t="s">
        <v>177</v>
      </c>
      <c r="G1229" t="s">
        <v>179</v>
      </c>
    </row>
    <row r="1230" spans="1:7">
      <c r="A1230">
        <v>2032</v>
      </c>
      <c r="B1230" t="s">
        <v>192</v>
      </c>
      <c r="C1230">
        <v>1.5</v>
      </c>
      <c r="D1230" t="s">
        <v>175</v>
      </c>
      <c r="E1230" t="s">
        <v>176</v>
      </c>
      <c r="F1230" t="s">
        <v>177</v>
      </c>
      <c r="G1230" t="s">
        <v>179</v>
      </c>
    </row>
    <row r="1231" spans="1:7">
      <c r="A1231">
        <v>2033</v>
      </c>
      <c r="B1231" t="s">
        <v>192</v>
      </c>
      <c r="C1231">
        <v>0</v>
      </c>
      <c r="D1231" t="s">
        <v>175</v>
      </c>
      <c r="E1231" t="s">
        <v>176</v>
      </c>
      <c r="F1231" t="s">
        <v>177</v>
      </c>
      <c r="G1231" t="s">
        <v>179</v>
      </c>
    </row>
    <row r="1232" spans="1:7">
      <c r="A1232">
        <v>2034</v>
      </c>
      <c r="B1232" t="s">
        <v>192</v>
      </c>
      <c r="C1232">
        <v>0</v>
      </c>
      <c r="D1232" t="s">
        <v>175</v>
      </c>
      <c r="E1232" t="s">
        <v>176</v>
      </c>
      <c r="F1232" t="s">
        <v>177</v>
      </c>
      <c r="G1232" t="s">
        <v>179</v>
      </c>
    </row>
    <row r="1233" spans="1:7">
      <c r="A1233">
        <v>2035</v>
      </c>
      <c r="B1233" t="s">
        <v>192</v>
      </c>
      <c r="C1233">
        <v>0</v>
      </c>
      <c r="D1233" t="s">
        <v>175</v>
      </c>
      <c r="E1233" t="s">
        <v>176</v>
      </c>
      <c r="F1233" t="s">
        <v>177</v>
      </c>
      <c r="G1233" t="s">
        <v>179</v>
      </c>
    </row>
    <row r="1234" spans="1:7">
      <c r="A1234">
        <v>2020</v>
      </c>
      <c r="B1234" t="s">
        <v>193</v>
      </c>
      <c r="C1234">
        <v>232.5</v>
      </c>
      <c r="D1234" t="s">
        <v>175</v>
      </c>
      <c r="E1234" t="s">
        <v>176</v>
      </c>
      <c r="F1234" t="s">
        <v>177</v>
      </c>
      <c r="G1234" t="s">
        <v>179</v>
      </c>
    </row>
    <row r="1235" spans="1:7">
      <c r="A1235">
        <v>2021</v>
      </c>
      <c r="B1235" t="s">
        <v>193</v>
      </c>
      <c r="C1235">
        <v>1100</v>
      </c>
      <c r="D1235" t="s">
        <v>175</v>
      </c>
      <c r="E1235" t="s">
        <v>176</v>
      </c>
      <c r="F1235" t="s">
        <v>177</v>
      </c>
      <c r="G1235" t="s">
        <v>179</v>
      </c>
    </row>
    <row r="1236" spans="1:7">
      <c r="A1236">
        <v>2022</v>
      </c>
      <c r="B1236" t="s">
        <v>193</v>
      </c>
      <c r="C1236">
        <v>1100</v>
      </c>
      <c r="D1236" t="s">
        <v>175</v>
      </c>
      <c r="E1236" t="s">
        <v>176</v>
      </c>
      <c r="F1236" t="s">
        <v>177</v>
      </c>
      <c r="G1236" t="s">
        <v>179</v>
      </c>
    </row>
    <row r="1237" spans="1:7">
      <c r="A1237">
        <v>2023</v>
      </c>
      <c r="B1237" t="s">
        <v>193</v>
      </c>
      <c r="C1237">
        <v>0</v>
      </c>
      <c r="D1237" t="s">
        <v>175</v>
      </c>
      <c r="E1237" t="s">
        <v>176</v>
      </c>
      <c r="F1237" t="s">
        <v>177</v>
      </c>
      <c r="G1237" t="s">
        <v>179</v>
      </c>
    </row>
    <row r="1238" spans="1:7">
      <c r="A1238">
        <v>2024</v>
      </c>
      <c r="B1238" t="s">
        <v>193</v>
      </c>
      <c r="C1238">
        <v>0</v>
      </c>
      <c r="D1238" t="s">
        <v>175</v>
      </c>
      <c r="E1238" t="s">
        <v>176</v>
      </c>
      <c r="F1238" t="s">
        <v>177</v>
      </c>
      <c r="G1238" t="s">
        <v>179</v>
      </c>
    </row>
    <row r="1239" spans="1:7">
      <c r="A1239">
        <v>2025</v>
      </c>
      <c r="B1239" t="s">
        <v>193</v>
      </c>
      <c r="C1239">
        <v>0</v>
      </c>
      <c r="D1239" t="s">
        <v>175</v>
      </c>
      <c r="E1239" t="s">
        <v>176</v>
      </c>
      <c r="F1239" t="s">
        <v>177</v>
      </c>
      <c r="G1239" t="s">
        <v>179</v>
      </c>
    </row>
    <row r="1240" spans="1:7">
      <c r="A1240">
        <v>2026</v>
      </c>
      <c r="B1240" t="s">
        <v>193</v>
      </c>
      <c r="C1240">
        <v>0</v>
      </c>
      <c r="D1240" t="s">
        <v>175</v>
      </c>
      <c r="E1240" t="s">
        <v>176</v>
      </c>
      <c r="F1240" t="s">
        <v>177</v>
      </c>
      <c r="G1240" t="s">
        <v>179</v>
      </c>
    </row>
    <row r="1241" spans="1:7">
      <c r="A1241">
        <v>2027</v>
      </c>
      <c r="B1241" t="s">
        <v>193</v>
      </c>
      <c r="C1241">
        <v>0</v>
      </c>
      <c r="D1241" t="s">
        <v>175</v>
      </c>
      <c r="E1241" t="s">
        <v>176</v>
      </c>
      <c r="F1241" t="s">
        <v>177</v>
      </c>
      <c r="G1241" t="s">
        <v>179</v>
      </c>
    </row>
    <row r="1242" spans="1:7">
      <c r="A1242">
        <v>2028</v>
      </c>
      <c r="B1242" t="s">
        <v>193</v>
      </c>
      <c r="C1242">
        <v>0</v>
      </c>
      <c r="D1242" t="s">
        <v>175</v>
      </c>
      <c r="E1242" t="s">
        <v>176</v>
      </c>
      <c r="F1242" t="s">
        <v>177</v>
      </c>
      <c r="G1242" t="s">
        <v>179</v>
      </c>
    </row>
    <row r="1243" spans="1:7">
      <c r="A1243">
        <v>2029</v>
      </c>
      <c r="B1243" t="s">
        <v>193</v>
      </c>
      <c r="C1243">
        <v>0</v>
      </c>
      <c r="D1243" t="s">
        <v>175</v>
      </c>
      <c r="E1243" t="s">
        <v>176</v>
      </c>
      <c r="F1243" t="s">
        <v>177</v>
      </c>
      <c r="G1243" t="s">
        <v>179</v>
      </c>
    </row>
    <row r="1244" spans="1:7">
      <c r="A1244">
        <v>2030</v>
      </c>
      <c r="B1244" t="s">
        <v>193</v>
      </c>
      <c r="C1244">
        <v>0</v>
      </c>
      <c r="D1244" t="s">
        <v>175</v>
      </c>
      <c r="E1244" t="s">
        <v>176</v>
      </c>
      <c r="F1244" t="s">
        <v>177</v>
      </c>
      <c r="G1244" t="s">
        <v>179</v>
      </c>
    </row>
    <row r="1245" spans="1:7">
      <c r="A1245">
        <v>2031</v>
      </c>
      <c r="B1245" t="s">
        <v>193</v>
      </c>
      <c r="C1245">
        <v>0</v>
      </c>
      <c r="D1245" t="s">
        <v>175</v>
      </c>
      <c r="E1245" t="s">
        <v>176</v>
      </c>
      <c r="F1245" t="s">
        <v>177</v>
      </c>
      <c r="G1245" t="s">
        <v>179</v>
      </c>
    </row>
    <row r="1246" spans="1:7">
      <c r="A1246">
        <v>2032</v>
      </c>
      <c r="B1246" t="s">
        <v>193</v>
      </c>
      <c r="C1246">
        <v>0</v>
      </c>
      <c r="D1246" t="s">
        <v>175</v>
      </c>
      <c r="E1246" t="s">
        <v>176</v>
      </c>
      <c r="F1246" t="s">
        <v>177</v>
      </c>
      <c r="G1246" t="s">
        <v>179</v>
      </c>
    </row>
    <row r="1247" spans="1:7">
      <c r="A1247">
        <v>2033</v>
      </c>
      <c r="B1247" t="s">
        <v>193</v>
      </c>
      <c r="C1247">
        <v>0</v>
      </c>
      <c r="D1247" t="s">
        <v>175</v>
      </c>
      <c r="E1247" t="s">
        <v>176</v>
      </c>
      <c r="F1247" t="s">
        <v>177</v>
      </c>
      <c r="G1247" t="s">
        <v>179</v>
      </c>
    </row>
    <row r="1248" spans="1:7">
      <c r="A1248">
        <v>2034</v>
      </c>
      <c r="B1248" t="s">
        <v>193</v>
      </c>
      <c r="C1248">
        <v>0</v>
      </c>
      <c r="D1248" t="s">
        <v>175</v>
      </c>
      <c r="E1248" t="s">
        <v>176</v>
      </c>
      <c r="F1248" t="s">
        <v>177</v>
      </c>
      <c r="G1248" t="s">
        <v>179</v>
      </c>
    </row>
    <row r="1249" spans="1:7">
      <c r="A1249">
        <v>2035</v>
      </c>
      <c r="B1249" t="s">
        <v>193</v>
      </c>
      <c r="C1249">
        <v>0</v>
      </c>
      <c r="D1249" t="s">
        <v>175</v>
      </c>
      <c r="E1249" t="s">
        <v>176</v>
      </c>
      <c r="F1249" t="s">
        <v>177</v>
      </c>
      <c r="G1249" t="s">
        <v>179</v>
      </c>
    </row>
    <row r="1250" spans="1:7">
      <c r="A1250">
        <v>2020</v>
      </c>
      <c r="B1250" t="s">
        <v>194</v>
      </c>
      <c r="C1250">
        <v>14.85</v>
      </c>
      <c r="D1250" t="s">
        <v>175</v>
      </c>
      <c r="E1250" t="s">
        <v>176</v>
      </c>
      <c r="F1250" t="s">
        <v>177</v>
      </c>
      <c r="G1250" t="s">
        <v>179</v>
      </c>
    </row>
    <row r="1251" spans="1:7">
      <c r="A1251">
        <v>2021</v>
      </c>
      <c r="B1251" t="s">
        <v>194</v>
      </c>
      <c r="C1251">
        <v>0</v>
      </c>
      <c r="D1251" t="s">
        <v>175</v>
      </c>
      <c r="E1251" t="s">
        <v>176</v>
      </c>
      <c r="F1251" t="s">
        <v>177</v>
      </c>
      <c r="G1251" t="s">
        <v>179</v>
      </c>
    </row>
    <row r="1252" spans="1:7">
      <c r="A1252">
        <v>2022</v>
      </c>
      <c r="B1252" t="s">
        <v>194</v>
      </c>
      <c r="C1252">
        <v>0</v>
      </c>
      <c r="D1252" t="s">
        <v>175</v>
      </c>
      <c r="E1252" t="s">
        <v>176</v>
      </c>
      <c r="F1252" t="s">
        <v>177</v>
      </c>
      <c r="G1252" t="s">
        <v>179</v>
      </c>
    </row>
    <row r="1253" spans="1:7">
      <c r="A1253">
        <v>2023</v>
      </c>
      <c r="B1253" t="s">
        <v>194</v>
      </c>
      <c r="C1253">
        <v>0</v>
      </c>
      <c r="D1253" t="s">
        <v>175</v>
      </c>
      <c r="E1253" t="s">
        <v>176</v>
      </c>
      <c r="F1253" t="s">
        <v>177</v>
      </c>
      <c r="G1253" t="s">
        <v>179</v>
      </c>
    </row>
    <row r="1254" spans="1:7">
      <c r="A1254">
        <v>2024</v>
      </c>
      <c r="B1254" t="s">
        <v>194</v>
      </c>
      <c r="C1254">
        <v>0</v>
      </c>
      <c r="D1254" t="s">
        <v>175</v>
      </c>
      <c r="E1254" t="s">
        <v>176</v>
      </c>
      <c r="F1254" t="s">
        <v>177</v>
      </c>
      <c r="G1254" t="s">
        <v>179</v>
      </c>
    </row>
    <row r="1255" spans="1:7">
      <c r="A1255">
        <v>2025</v>
      </c>
      <c r="B1255" t="s">
        <v>194</v>
      </c>
      <c r="C1255">
        <v>0</v>
      </c>
      <c r="D1255" t="s">
        <v>175</v>
      </c>
      <c r="E1255" t="s">
        <v>176</v>
      </c>
      <c r="F1255" t="s">
        <v>177</v>
      </c>
      <c r="G1255" t="s">
        <v>179</v>
      </c>
    </row>
    <row r="1256" spans="1:7">
      <c r="A1256">
        <v>2026</v>
      </c>
      <c r="B1256" t="s">
        <v>194</v>
      </c>
      <c r="C1256">
        <v>0</v>
      </c>
      <c r="D1256" t="s">
        <v>175</v>
      </c>
      <c r="E1256" t="s">
        <v>176</v>
      </c>
      <c r="F1256" t="s">
        <v>177</v>
      </c>
      <c r="G1256" t="s">
        <v>179</v>
      </c>
    </row>
    <row r="1257" spans="1:7">
      <c r="A1257">
        <v>2027</v>
      </c>
      <c r="B1257" t="s">
        <v>194</v>
      </c>
      <c r="C1257">
        <v>0</v>
      </c>
      <c r="D1257" t="s">
        <v>175</v>
      </c>
      <c r="E1257" t="s">
        <v>176</v>
      </c>
      <c r="F1257" t="s">
        <v>177</v>
      </c>
      <c r="G1257" t="s">
        <v>179</v>
      </c>
    </row>
    <row r="1258" spans="1:7">
      <c r="A1258">
        <v>2028</v>
      </c>
      <c r="B1258" t="s">
        <v>194</v>
      </c>
      <c r="C1258">
        <v>0</v>
      </c>
      <c r="D1258" t="s">
        <v>175</v>
      </c>
      <c r="E1258" t="s">
        <v>176</v>
      </c>
      <c r="F1258" t="s">
        <v>177</v>
      </c>
      <c r="G1258" t="s">
        <v>179</v>
      </c>
    </row>
    <row r="1259" spans="1:7">
      <c r="A1259">
        <v>2029</v>
      </c>
      <c r="B1259" t="s">
        <v>194</v>
      </c>
      <c r="C1259">
        <v>0</v>
      </c>
      <c r="D1259" t="s">
        <v>175</v>
      </c>
      <c r="E1259" t="s">
        <v>176</v>
      </c>
      <c r="F1259" t="s">
        <v>177</v>
      </c>
      <c r="G1259" t="s">
        <v>179</v>
      </c>
    </row>
    <row r="1260" spans="1:7">
      <c r="A1260">
        <v>2030</v>
      </c>
      <c r="B1260" t="s">
        <v>194</v>
      </c>
      <c r="C1260">
        <v>0</v>
      </c>
      <c r="D1260" t="s">
        <v>175</v>
      </c>
      <c r="E1260" t="s">
        <v>176</v>
      </c>
      <c r="F1260" t="s">
        <v>177</v>
      </c>
      <c r="G1260" t="s">
        <v>179</v>
      </c>
    </row>
    <row r="1261" spans="1:7">
      <c r="A1261">
        <v>2031</v>
      </c>
      <c r="B1261" t="s">
        <v>194</v>
      </c>
      <c r="C1261">
        <v>0</v>
      </c>
      <c r="D1261" t="s">
        <v>175</v>
      </c>
      <c r="E1261" t="s">
        <v>176</v>
      </c>
      <c r="F1261" t="s">
        <v>177</v>
      </c>
      <c r="G1261" t="s">
        <v>179</v>
      </c>
    </row>
    <row r="1262" spans="1:7">
      <c r="A1262">
        <v>2032</v>
      </c>
      <c r="B1262" t="s">
        <v>194</v>
      </c>
      <c r="C1262">
        <v>0</v>
      </c>
      <c r="D1262" t="s">
        <v>175</v>
      </c>
      <c r="E1262" t="s">
        <v>176</v>
      </c>
      <c r="F1262" t="s">
        <v>177</v>
      </c>
      <c r="G1262" t="s">
        <v>179</v>
      </c>
    </row>
    <row r="1263" spans="1:7">
      <c r="A1263">
        <v>2033</v>
      </c>
      <c r="B1263" t="s">
        <v>194</v>
      </c>
      <c r="C1263">
        <v>0</v>
      </c>
      <c r="D1263" t="s">
        <v>175</v>
      </c>
      <c r="E1263" t="s">
        <v>176</v>
      </c>
      <c r="F1263" t="s">
        <v>177</v>
      </c>
      <c r="G1263" t="s">
        <v>179</v>
      </c>
    </row>
    <row r="1264" spans="1:7">
      <c r="A1264">
        <v>2034</v>
      </c>
      <c r="B1264" t="s">
        <v>194</v>
      </c>
      <c r="C1264">
        <v>0</v>
      </c>
      <c r="D1264" t="s">
        <v>175</v>
      </c>
      <c r="E1264" t="s">
        <v>176</v>
      </c>
      <c r="F1264" t="s">
        <v>177</v>
      </c>
      <c r="G1264" t="s">
        <v>179</v>
      </c>
    </row>
    <row r="1265" spans="1:7">
      <c r="A1265">
        <v>2035</v>
      </c>
      <c r="B1265" t="s">
        <v>194</v>
      </c>
      <c r="C1265">
        <v>0</v>
      </c>
      <c r="D1265" t="s">
        <v>175</v>
      </c>
      <c r="E1265" t="s">
        <v>176</v>
      </c>
      <c r="F1265" t="s">
        <v>177</v>
      </c>
      <c r="G1265" t="s">
        <v>179</v>
      </c>
    </row>
    <row r="1266" spans="1:7">
      <c r="A1266">
        <v>2020</v>
      </c>
      <c r="B1266" t="s">
        <v>195</v>
      </c>
      <c r="C1266">
        <v>15226.5</v>
      </c>
      <c r="D1266" t="s">
        <v>175</v>
      </c>
      <c r="E1266" t="s">
        <v>176</v>
      </c>
      <c r="F1266" t="s">
        <v>177</v>
      </c>
      <c r="G1266" t="s">
        <v>179</v>
      </c>
    </row>
    <row r="1267" spans="1:7">
      <c r="A1267">
        <v>2021</v>
      </c>
      <c r="B1267" t="s">
        <v>195</v>
      </c>
      <c r="C1267">
        <v>68343.100000000006</v>
      </c>
      <c r="D1267" t="s">
        <v>175</v>
      </c>
      <c r="E1267" t="s">
        <v>176</v>
      </c>
      <c r="F1267" t="s">
        <v>177</v>
      </c>
      <c r="G1267" t="s">
        <v>179</v>
      </c>
    </row>
    <row r="1268" spans="1:7">
      <c r="A1268">
        <v>2022</v>
      </c>
      <c r="B1268" t="s">
        <v>195</v>
      </c>
      <c r="C1268">
        <v>68343.100000000006</v>
      </c>
      <c r="D1268" t="s">
        <v>175</v>
      </c>
      <c r="E1268" t="s">
        <v>176</v>
      </c>
      <c r="F1268" t="s">
        <v>177</v>
      </c>
      <c r="G1268" t="s">
        <v>179</v>
      </c>
    </row>
    <row r="1269" spans="1:7">
      <c r="A1269">
        <v>2023</v>
      </c>
      <c r="B1269" t="s">
        <v>195</v>
      </c>
      <c r="C1269">
        <v>34091.9</v>
      </c>
      <c r="D1269" t="s">
        <v>175</v>
      </c>
      <c r="E1269" t="s">
        <v>176</v>
      </c>
      <c r="F1269" t="s">
        <v>177</v>
      </c>
      <c r="G1269" t="s">
        <v>179</v>
      </c>
    </row>
    <row r="1270" spans="1:7">
      <c r="A1270">
        <v>2024</v>
      </c>
      <c r="B1270" t="s">
        <v>195</v>
      </c>
      <c r="C1270">
        <v>34091.9</v>
      </c>
      <c r="D1270" t="s">
        <v>175</v>
      </c>
      <c r="E1270" t="s">
        <v>176</v>
      </c>
      <c r="F1270" t="s">
        <v>177</v>
      </c>
      <c r="G1270" t="s">
        <v>179</v>
      </c>
    </row>
    <row r="1271" spans="1:7">
      <c r="A1271">
        <v>2025</v>
      </c>
      <c r="B1271" t="s">
        <v>195</v>
      </c>
      <c r="C1271">
        <v>10504.4</v>
      </c>
      <c r="D1271" t="s">
        <v>175</v>
      </c>
      <c r="E1271" t="s">
        <v>176</v>
      </c>
      <c r="F1271" t="s">
        <v>177</v>
      </c>
      <c r="G1271" t="s">
        <v>179</v>
      </c>
    </row>
    <row r="1272" spans="1:7">
      <c r="A1272">
        <v>2026</v>
      </c>
      <c r="B1272" t="s">
        <v>195</v>
      </c>
      <c r="C1272">
        <v>10504.4</v>
      </c>
      <c r="D1272" t="s">
        <v>175</v>
      </c>
      <c r="E1272" t="s">
        <v>176</v>
      </c>
      <c r="F1272" t="s">
        <v>177</v>
      </c>
      <c r="G1272" t="s">
        <v>179</v>
      </c>
    </row>
    <row r="1273" spans="1:7">
      <c r="A1273">
        <v>2027</v>
      </c>
      <c r="B1273" t="s">
        <v>195</v>
      </c>
      <c r="C1273">
        <v>14722</v>
      </c>
      <c r="D1273" t="s">
        <v>175</v>
      </c>
      <c r="E1273" t="s">
        <v>176</v>
      </c>
      <c r="F1273" t="s">
        <v>177</v>
      </c>
      <c r="G1273" t="s">
        <v>179</v>
      </c>
    </row>
    <row r="1274" spans="1:7">
      <c r="A1274">
        <v>2028</v>
      </c>
      <c r="B1274" t="s">
        <v>195</v>
      </c>
      <c r="C1274">
        <v>14722</v>
      </c>
      <c r="D1274" t="s">
        <v>175</v>
      </c>
      <c r="E1274" t="s">
        <v>176</v>
      </c>
      <c r="F1274" t="s">
        <v>177</v>
      </c>
      <c r="G1274" t="s">
        <v>179</v>
      </c>
    </row>
    <row r="1275" spans="1:7">
      <c r="A1275">
        <v>2029</v>
      </c>
      <c r="B1275" t="s">
        <v>195</v>
      </c>
      <c r="C1275">
        <v>12753.4</v>
      </c>
      <c r="D1275" t="s">
        <v>175</v>
      </c>
      <c r="E1275" t="s">
        <v>176</v>
      </c>
      <c r="F1275" t="s">
        <v>177</v>
      </c>
      <c r="G1275" t="s">
        <v>179</v>
      </c>
    </row>
    <row r="1276" spans="1:7">
      <c r="A1276">
        <v>2030</v>
      </c>
      <c r="B1276" t="s">
        <v>195</v>
      </c>
      <c r="C1276">
        <v>12753.4</v>
      </c>
      <c r="D1276" t="s">
        <v>175</v>
      </c>
      <c r="E1276" t="s">
        <v>176</v>
      </c>
      <c r="F1276" t="s">
        <v>177</v>
      </c>
      <c r="G1276" t="s">
        <v>179</v>
      </c>
    </row>
    <row r="1277" spans="1:7">
      <c r="A1277">
        <v>2031</v>
      </c>
      <c r="B1277" t="s">
        <v>195</v>
      </c>
      <c r="C1277">
        <v>8522.6200000000008</v>
      </c>
      <c r="D1277" t="s">
        <v>175</v>
      </c>
      <c r="E1277" t="s">
        <v>176</v>
      </c>
      <c r="F1277" t="s">
        <v>177</v>
      </c>
      <c r="G1277" t="s">
        <v>179</v>
      </c>
    </row>
    <row r="1278" spans="1:7">
      <c r="A1278">
        <v>2032</v>
      </c>
      <c r="B1278" t="s">
        <v>195</v>
      </c>
      <c r="C1278">
        <v>8522.6200000000008</v>
      </c>
      <c r="D1278" t="s">
        <v>175</v>
      </c>
      <c r="E1278" t="s">
        <v>176</v>
      </c>
      <c r="F1278" t="s">
        <v>177</v>
      </c>
      <c r="G1278" t="s">
        <v>179</v>
      </c>
    </row>
    <row r="1279" spans="1:7">
      <c r="A1279">
        <v>2033</v>
      </c>
      <c r="B1279" t="s">
        <v>195</v>
      </c>
      <c r="C1279">
        <v>10552.2</v>
      </c>
      <c r="D1279" t="s">
        <v>175</v>
      </c>
      <c r="E1279" t="s">
        <v>176</v>
      </c>
      <c r="F1279" t="s">
        <v>177</v>
      </c>
      <c r="G1279" t="s">
        <v>179</v>
      </c>
    </row>
    <row r="1280" spans="1:7">
      <c r="A1280">
        <v>2034</v>
      </c>
      <c r="B1280" t="s">
        <v>195</v>
      </c>
      <c r="C1280">
        <v>10552.2</v>
      </c>
      <c r="D1280" t="s">
        <v>175</v>
      </c>
      <c r="E1280" t="s">
        <v>176</v>
      </c>
      <c r="F1280" t="s">
        <v>177</v>
      </c>
      <c r="G1280" t="s">
        <v>179</v>
      </c>
    </row>
    <row r="1281" spans="1:7">
      <c r="A1281">
        <v>2035</v>
      </c>
      <c r="B1281" t="s">
        <v>195</v>
      </c>
      <c r="C1281">
        <v>10552.2</v>
      </c>
      <c r="D1281" t="s">
        <v>175</v>
      </c>
      <c r="E1281" t="s">
        <v>176</v>
      </c>
      <c r="F1281" t="s">
        <v>177</v>
      </c>
      <c r="G1281" t="s">
        <v>179</v>
      </c>
    </row>
    <row r="1282" spans="1:7">
      <c r="A1282">
        <v>2020</v>
      </c>
      <c r="B1282" t="s">
        <v>196</v>
      </c>
      <c r="C1282">
        <v>35907.599999999999</v>
      </c>
      <c r="D1282" t="s">
        <v>175</v>
      </c>
      <c r="E1282" t="s">
        <v>176</v>
      </c>
      <c r="F1282" t="s">
        <v>177</v>
      </c>
      <c r="G1282" t="s">
        <v>179</v>
      </c>
    </row>
    <row r="1283" spans="1:7">
      <c r="A1283">
        <v>2021</v>
      </c>
      <c r="B1283" t="s">
        <v>196</v>
      </c>
      <c r="C1283">
        <v>99835.1</v>
      </c>
      <c r="D1283" t="s">
        <v>175</v>
      </c>
      <c r="E1283" t="s">
        <v>176</v>
      </c>
      <c r="F1283" t="s">
        <v>177</v>
      </c>
      <c r="G1283" t="s">
        <v>179</v>
      </c>
    </row>
    <row r="1284" spans="1:7">
      <c r="A1284">
        <v>2022</v>
      </c>
      <c r="B1284" t="s">
        <v>196</v>
      </c>
      <c r="C1284">
        <v>99835.1</v>
      </c>
      <c r="D1284" t="s">
        <v>175</v>
      </c>
      <c r="E1284" t="s">
        <v>176</v>
      </c>
      <c r="F1284" t="s">
        <v>177</v>
      </c>
      <c r="G1284" t="s">
        <v>179</v>
      </c>
    </row>
    <row r="1285" spans="1:7">
      <c r="A1285">
        <v>2023</v>
      </c>
      <c r="B1285" t="s">
        <v>196</v>
      </c>
      <c r="C1285">
        <v>12143.9</v>
      </c>
      <c r="D1285" t="s">
        <v>175</v>
      </c>
      <c r="E1285" t="s">
        <v>176</v>
      </c>
      <c r="F1285" t="s">
        <v>177</v>
      </c>
      <c r="G1285" t="s">
        <v>179</v>
      </c>
    </row>
    <row r="1286" spans="1:7">
      <c r="A1286">
        <v>2024</v>
      </c>
      <c r="B1286" t="s">
        <v>196</v>
      </c>
      <c r="C1286">
        <v>12143.9</v>
      </c>
      <c r="D1286" t="s">
        <v>175</v>
      </c>
      <c r="E1286" t="s">
        <v>176</v>
      </c>
      <c r="F1286" t="s">
        <v>177</v>
      </c>
      <c r="G1286" t="s">
        <v>179</v>
      </c>
    </row>
    <row r="1287" spans="1:7">
      <c r="A1287">
        <v>2025</v>
      </c>
      <c r="B1287" t="s">
        <v>196</v>
      </c>
      <c r="C1287">
        <v>31646.6</v>
      </c>
      <c r="D1287" t="s">
        <v>175</v>
      </c>
      <c r="E1287" t="s">
        <v>176</v>
      </c>
      <c r="F1287" t="s">
        <v>177</v>
      </c>
      <c r="G1287" t="s">
        <v>179</v>
      </c>
    </row>
    <row r="1288" spans="1:7">
      <c r="A1288">
        <v>2026</v>
      </c>
      <c r="B1288" t="s">
        <v>196</v>
      </c>
      <c r="C1288">
        <v>31646.6</v>
      </c>
      <c r="D1288" t="s">
        <v>175</v>
      </c>
      <c r="E1288" t="s">
        <v>176</v>
      </c>
      <c r="F1288" t="s">
        <v>177</v>
      </c>
      <c r="G1288" t="s">
        <v>179</v>
      </c>
    </row>
    <row r="1289" spans="1:7">
      <c r="A1289">
        <v>2027</v>
      </c>
      <c r="B1289" t="s">
        <v>196</v>
      </c>
      <c r="C1289">
        <v>25451.8</v>
      </c>
      <c r="D1289" t="s">
        <v>175</v>
      </c>
      <c r="E1289" t="s">
        <v>176</v>
      </c>
      <c r="F1289" t="s">
        <v>177</v>
      </c>
      <c r="G1289" t="s">
        <v>179</v>
      </c>
    </row>
    <row r="1290" spans="1:7">
      <c r="A1290">
        <v>2028</v>
      </c>
      <c r="B1290" t="s">
        <v>196</v>
      </c>
      <c r="C1290">
        <v>25451.8</v>
      </c>
      <c r="D1290" t="s">
        <v>175</v>
      </c>
      <c r="E1290" t="s">
        <v>176</v>
      </c>
      <c r="F1290" t="s">
        <v>177</v>
      </c>
      <c r="G1290" t="s">
        <v>179</v>
      </c>
    </row>
    <row r="1291" spans="1:7">
      <c r="A1291">
        <v>2029</v>
      </c>
      <c r="B1291" t="s">
        <v>196</v>
      </c>
      <c r="C1291">
        <v>14298</v>
      </c>
      <c r="D1291" t="s">
        <v>175</v>
      </c>
      <c r="E1291" t="s">
        <v>176</v>
      </c>
      <c r="F1291" t="s">
        <v>177</v>
      </c>
      <c r="G1291" t="s">
        <v>179</v>
      </c>
    </row>
    <row r="1292" spans="1:7">
      <c r="A1292">
        <v>2030</v>
      </c>
      <c r="B1292" t="s">
        <v>196</v>
      </c>
      <c r="C1292">
        <v>14298</v>
      </c>
      <c r="D1292" t="s">
        <v>175</v>
      </c>
      <c r="E1292" t="s">
        <v>176</v>
      </c>
      <c r="F1292" t="s">
        <v>177</v>
      </c>
      <c r="G1292" t="s">
        <v>179</v>
      </c>
    </row>
    <row r="1293" spans="1:7">
      <c r="A1293">
        <v>2031</v>
      </c>
      <c r="B1293" t="s">
        <v>196</v>
      </c>
      <c r="C1293">
        <v>15826.2</v>
      </c>
      <c r="D1293" t="s">
        <v>175</v>
      </c>
      <c r="E1293" t="s">
        <v>176</v>
      </c>
      <c r="F1293" t="s">
        <v>177</v>
      </c>
      <c r="G1293" t="s">
        <v>179</v>
      </c>
    </row>
    <row r="1294" spans="1:7">
      <c r="A1294">
        <v>2032</v>
      </c>
      <c r="B1294" t="s">
        <v>196</v>
      </c>
      <c r="C1294">
        <v>15826.2</v>
      </c>
      <c r="D1294" t="s">
        <v>175</v>
      </c>
      <c r="E1294" t="s">
        <v>176</v>
      </c>
      <c r="F1294" t="s">
        <v>177</v>
      </c>
      <c r="G1294" t="s">
        <v>179</v>
      </c>
    </row>
    <row r="1295" spans="1:7">
      <c r="A1295">
        <v>2033</v>
      </c>
      <c r="B1295" t="s">
        <v>196</v>
      </c>
      <c r="C1295">
        <v>29800.6</v>
      </c>
      <c r="D1295" t="s">
        <v>175</v>
      </c>
      <c r="E1295" t="s">
        <v>176</v>
      </c>
      <c r="F1295" t="s">
        <v>177</v>
      </c>
      <c r="G1295" t="s">
        <v>179</v>
      </c>
    </row>
    <row r="1296" spans="1:7">
      <c r="A1296">
        <v>2034</v>
      </c>
      <c r="B1296" t="s">
        <v>196</v>
      </c>
      <c r="C1296">
        <v>29800.6</v>
      </c>
      <c r="D1296" t="s">
        <v>175</v>
      </c>
      <c r="E1296" t="s">
        <v>176</v>
      </c>
      <c r="F1296" t="s">
        <v>177</v>
      </c>
      <c r="G1296" t="s">
        <v>179</v>
      </c>
    </row>
    <row r="1297" spans="1:7">
      <c r="A1297">
        <v>2035</v>
      </c>
      <c r="B1297" t="s">
        <v>196</v>
      </c>
      <c r="C1297">
        <v>29800.6</v>
      </c>
      <c r="D1297" t="s">
        <v>175</v>
      </c>
      <c r="E1297" t="s">
        <v>176</v>
      </c>
      <c r="F1297" t="s">
        <v>177</v>
      </c>
      <c r="G1297" t="s">
        <v>179</v>
      </c>
    </row>
    <row r="1298" spans="1:7">
      <c r="A1298">
        <v>2020</v>
      </c>
      <c r="B1298" t="s">
        <v>188</v>
      </c>
      <c r="C1298">
        <v>102.45</v>
      </c>
      <c r="D1298" t="s">
        <v>175</v>
      </c>
      <c r="E1298" t="s">
        <v>176</v>
      </c>
      <c r="F1298" t="s">
        <v>177</v>
      </c>
      <c r="G1298" t="s">
        <v>180</v>
      </c>
    </row>
    <row r="1299" spans="1:7">
      <c r="A1299">
        <v>2021</v>
      </c>
      <c r="B1299" t="s">
        <v>188</v>
      </c>
      <c r="C1299">
        <v>9.5</v>
      </c>
      <c r="D1299" t="s">
        <v>175</v>
      </c>
      <c r="E1299" t="s">
        <v>176</v>
      </c>
      <c r="F1299" t="s">
        <v>177</v>
      </c>
      <c r="G1299" t="s">
        <v>180</v>
      </c>
    </row>
    <row r="1300" spans="1:7">
      <c r="A1300">
        <v>2022</v>
      </c>
      <c r="B1300" t="s">
        <v>188</v>
      </c>
      <c r="C1300">
        <v>9.5</v>
      </c>
      <c r="D1300" t="s">
        <v>175</v>
      </c>
      <c r="E1300" t="s">
        <v>176</v>
      </c>
      <c r="F1300" t="s">
        <v>177</v>
      </c>
      <c r="G1300" t="s">
        <v>180</v>
      </c>
    </row>
    <row r="1301" spans="1:7">
      <c r="A1301">
        <v>2023</v>
      </c>
      <c r="B1301" t="s">
        <v>188</v>
      </c>
      <c r="C1301">
        <v>0</v>
      </c>
      <c r="D1301" t="s">
        <v>175</v>
      </c>
      <c r="E1301" t="s">
        <v>176</v>
      </c>
      <c r="F1301" t="s">
        <v>177</v>
      </c>
      <c r="G1301" t="s">
        <v>180</v>
      </c>
    </row>
    <row r="1302" spans="1:7">
      <c r="A1302">
        <v>2024</v>
      </c>
      <c r="B1302" t="s">
        <v>188</v>
      </c>
      <c r="C1302">
        <v>0</v>
      </c>
      <c r="D1302" t="s">
        <v>175</v>
      </c>
      <c r="E1302" t="s">
        <v>176</v>
      </c>
      <c r="F1302" t="s">
        <v>177</v>
      </c>
      <c r="G1302" t="s">
        <v>180</v>
      </c>
    </row>
    <row r="1303" spans="1:7">
      <c r="A1303">
        <v>2025</v>
      </c>
      <c r="B1303" t="s">
        <v>188</v>
      </c>
      <c r="C1303">
        <v>0</v>
      </c>
      <c r="D1303" t="s">
        <v>175</v>
      </c>
      <c r="E1303" t="s">
        <v>176</v>
      </c>
      <c r="F1303" t="s">
        <v>177</v>
      </c>
      <c r="G1303" t="s">
        <v>180</v>
      </c>
    </row>
    <row r="1304" spans="1:7">
      <c r="A1304">
        <v>2026</v>
      </c>
      <c r="B1304" t="s">
        <v>188</v>
      </c>
      <c r="C1304">
        <v>0</v>
      </c>
      <c r="D1304" t="s">
        <v>175</v>
      </c>
      <c r="E1304" t="s">
        <v>176</v>
      </c>
      <c r="F1304" t="s">
        <v>177</v>
      </c>
      <c r="G1304" t="s">
        <v>180</v>
      </c>
    </row>
    <row r="1305" spans="1:7">
      <c r="A1305">
        <v>2027</v>
      </c>
      <c r="B1305" t="s">
        <v>188</v>
      </c>
      <c r="C1305">
        <v>0</v>
      </c>
      <c r="D1305" t="s">
        <v>175</v>
      </c>
      <c r="E1305" t="s">
        <v>176</v>
      </c>
      <c r="F1305" t="s">
        <v>177</v>
      </c>
      <c r="G1305" t="s">
        <v>180</v>
      </c>
    </row>
    <row r="1306" spans="1:7">
      <c r="A1306">
        <v>2028</v>
      </c>
      <c r="B1306" t="s">
        <v>188</v>
      </c>
      <c r="C1306">
        <v>0</v>
      </c>
      <c r="D1306" t="s">
        <v>175</v>
      </c>
      <c r="E1306" t="s">
        <v>176</v>
      </c>
      <c r="F1306" t="s">
        <v>177</v>
      </c>
      <c r="G1306" t="s">
        <v>180</v>
      </c>
    </row>
    <row r="1307" spans="1:7">
      <c r="A1307">
        <v>2029</v>
      </c>
      <c r="B1307" t="s">
        <v>188</v>
      </c>
      <c r="C1307">
        <v>0</v>
      </c>
      <c r="D1307" t="s">
        <v>175</v>
      </c>
      <c r="E1307" t="s">
        <v>176</v>
      </c>
      <c r="F1307" t="s">
        <v>177</v>
      </c>
      <c r="G1307" t="s">
        <v>180</v>
      </c>
    </row>
    <row r="1308" spans="1:7">
      <c r="A1308">
        <v>2030</v>
      </c>
      <c r="B1308" t="s">
        <v>188</v>
      </c>
      <c r="C1308">
        <v>0</v>
      </c>
      <c r="D1308" t="s">
        <v>175</v>
      </c>
      <c r="E1308" t="s">
        <v>176</v>
      </c>
      <c r="F1308" t="s">
        <v>177</v>
      </c>
      <c r="G1308" t="s">
        <v>180</v>
      </c>
    </row>
    <row r="1309" spans="1:7">
      <c r="A1309">
        <v>2031</v>
      </c>
      <c r="B1309" t="s">
        <v>188</v>
      </c>
      <c r="C1309">
        <v>0</v>
      </c>
      <c r="D1309" t="s">
        <v>175</v>
      </c>
      <c r="E1309" t="s">
        <v>176</v>
      </c>
      <c r="F1309" t="s">
        <v>177</v>
      </c>
      <c r="G1309" t="s">
        <v>180</v>
      </c>
    </row>
    <row r="1310" spans="1:7">
      <c r="A1310">
        <v>2032</v>
      </c>
      <c r="B1310" t="s">
        <v>188</v>
      </c>
      <c r="C1310">
        <v>0</v>
      </c>
      <c r="D1310" t="s">
        <v>175</v>
      </c>
      <c r="E1310" t="s">
        <v>176</v>
      </c>
      <c r="F1310" t="s">
        <v>177</v>
      </c>
      <c r="G1310" t="s">
        <v>180</v>
      </c>
    </row>
    <row r="1311" spans="1:7">
      <c r="A1311">
        <v>2033</v>
      </c>
      <c r="B1311" t="s">
        <v>188</v>
      </c>
      <c r="C1311">
        <v>0</v>
      </c>
      <c r="D1311" t="s">
        <v>175</v>
      </c>
      <c r="E1311" t="s">
        <v>176</v>
      </c>
      <c r="F1311" t="s">
        <v>177</v>
      </c>
      <c r="G1311" t="s">
        <v>180</v>
      </c>
    </row>
    <row r="1312" spans="1:7">
      <c r="A1312">
        <v>2034</v>
      </c>
      <c r="B1312" t="s">
        <v>188</v>
      </c>
      <c r="C1312">
        <v>0</v>
      </c>
      <c r="D1312" t="s">
        <v>175</v>
      </c>
      <c r="E1312" t="s">
        <v>176</v>
      </c>
      <c r="F1312" t="s">
        <v>177</v>
      </c>
      <c r="G1312" t="s">
        <v>180</v>
      </c>
    </row>
    <row r="1313" spans="1:7">
      <c r="A1313">
        <v>2035</v>
      </c>
      <c r="B1313" t="s">
        <v>188</v>
      </c>
      <c r="C1313">
        <v>0</v>
      </c>
      <c r="D1313" t="s">
        <v>175</v>
      </c>
      <c r="E1313" t="s">
        <v>176</v>
      </c>
      <c r="F1313" t="s">
        <v>177</v>
      </c>
      <c r="G1313" t="s">
        <v>180</v>
      </c>
    </row>
    <row r="1314" spans="1:7">
      <c r="A1314">
        <v>2020</v>
      </c>
      <c r="B1314" t="s">
        <v>189</v>
      </c>
      <c r="C1314">
        <v>0</v>
      </c>
      <c r="D1314" t="s">
        <v>175</v>
      </c>
      <c r="E1314" t="s">
        <v>176</v>
      </c>
      <c r="F1314" t="s">
        <v>177</v>
      </c>
      <c r="G1314" t="s">
        <v>180</v>
      </c>
    </row>
    <row r="1315" spans="1:7">
      <c r="A1315">
        <v>2021</v>
      </c>
      <c r="B1315" t="s">
        <v>189</v>
      </c>
      <c r="C1315">
        <v>0</v>
      </c>
      <c r="D1315" t="s">
        <v>175</v>
      </c>
      <c r="E1315" t="s">
        <v>176</v>
      </c>
      <c r="F1315" t="s">
        <v>177</v>
      </c>
      <c r="G1315" t="s">
        <v>180</v>
      </c>
    </row>
    <row r="1316" spans="1:7">
      <c r="A1316">
        <v>2022</v>
      </c>
      <c r="B1316" t="s">
        <v>189</v>
      </c>
      <c r="C1316">
        <v>0</v>
      </c>
      <c r="D1316" t="s">
        <v>175</v>
      </c>
      <c r="E1316" t="s">
        <v>176</v>
      </c>
      <c r="F1316" t="s">
        <v>177</v>
      </c>
      <c r="G1316" t="s">
        <v>180</v>
      </c>
    </row>
    <row r="1317" spans="1:7">
      <c r="A1317">
        <v>2023</v>
      </c>
      <c r="B1317" t="s">
        <v>189</v>
      </c>
      <c r="C1317">
        <v>0</v>
      </c>
      <c r="D1317" t="s">
        <v>175</v>
      </c>
      <c r="E1317" t="s">
        <v>176</v>
      </c>
      <c r="F1317" t="s">
        <v>177</v>
      </c>
      <c r="G1317" t="s">
        <v>180</v>
      </c>
    </row>
    <row r="1318" spans="1:7">
      <c r="A1318">
        <v>2024</v>
      </c>
      <c r="B1318" t="s">
        <v>189</v>
      </c>
      <c r="C1318">
        <v>0</v>
      </c>
      <c r="D1318" t="s">
        <v>175</v>
      </c>
      <c r="E1318" t="s">
        <v>176</v>
      </c>
      <c r="F1318" t="s">
        <v>177</v>
      </c>
      <c r="G1318" t="s">
        <v>180</v>
      </c>
    </row>
    <row r="1319" spans="1:7">
      <c r="A1319">
        <v>2025</v>
      </c>
      <c r="B1319" t="s">
        <v>189</v>
      </c>
      <c r="C1319">
        <v>0</v>
      </c>
      <c r="D1319" t="s">
        <v>175</v>
      </c>
      <c r="E1319" t="s">
        <v>176</v>
      </c>
      <c r="F1319" t="s">
        <v>177</v>
      </c>
      <c r="G1319" t="s">
        <v>180</v>
      </c>
    </row>
    <row r="1320" spans="1:7">
      <c r="A1320">
        <v>2026</v>
      </c>
      <c r="B1320" t="s">
        <v>189</v>
      </c>
      <c r="C1320">
        <v>0</v>
      </c>
      <c r="D1320" t="s">
        <v>175</v>
      </c>
      <c r="E1320" t="s">
        <v>176</v>
      </c>
      <c r="F1320" t="s">
        <v>177</v>
      </c>
      <c r="G1320" t="s">
        <v>180</v>
      </c>
    </row>
    <row r="1321" spans="1:7">
      <c r="A1321">
        <v>2027</v>
      </c>
      <c r="B1321" t="s">
        <v>189</v>
      </c>
      <c r="C1321">
        <v>0</v>
      </c>
      <c r="D1321" t="s">
        <v>175</v>
      </c>
      <c r="E1321" t="s">
        <v>176</v>
      </c>
      <c r="F1321" t="s">
        <v>177</v>
      </c>
      <c r="G1321" t="s">
        <v>180</v>
      </c>
    </row>
    <row r="1322" spans="1:7">
      <c r="A1322">
        <v>2028</v>
      </c>
      <c r="B1322" t="s">
        <v>189</v>
      </c>
      <c r="C1322">
        <v>0</v>
      </c>
      <c r="D1322" t="s">
        <v>175</v>
      </c>
      <c r="E1322" t="s">
        <v>176</v>
      </c>
      <c r="F1322" t="s">
        <v>177</v>
      </c>
      <c r="G1322" t="s">
        <v>180</v>
      </c>
    </row>
    <row r="1323" spans="1:7">
      <c r="A1323">
        <v>2029</v>
      </c>
      <c r="B1323" t="s">
        <v>189</v>
      </c>
      <c r="C1323">
        <v>0</v>
      </c>
      <c r="D1323" t="s">
        <v>175</v>
      </c>
      <c r="E1323" t="s">
        <v>176</v>
      </c>
      <c r="F1323" t="s">
        <v>177</v>
      </c>
      <c r="G1323" t="s">
        <v>180</v>
      </c>
    </row>
    <row r="1324" spans="1:7">
      <c r="A1324">
        <v>2030</v>
      </c>
      <c r="B1324" t="s">
        <v>189</v>
      </c>
      <c r="C1324">
        <v>0</v>
      </c>
      <c r="D1324" t="s">
        <v>175</v>
      </c>
      <c r="E1324" t="s">
        <v>176</v>
      </c>
      <c r="F1324" t="s">
        <v>177</v>
      </c>
      <c r="G1324" t="s">
        <v>180</v>
      </c>
    </row>
    <row r="1325" spans="1:7">
      <c r="A1325">
        <v>2031</v>
      </c>
      <c r="B1325" t="s">
        <v>189</v>
      </c>
      <c r="C1325">
        <v>0</v>
      </c>
      <c r="D1325" t="s">
        <v>175</v>
      </c>
      <c r="E1325" t="s">
        <v>176</v>
      </c>
      <c r="F1325" t="s">
        <v>177</v>
      </c>
      <c r="G1325" t="s">
        <v>180</v>
      </c>
    </row>
    <row r="1326" spans="1:7">
      <c r="A1326">
        <v>2032</v>
      </c>
      <c r="B1326" t="s">
        <v>189</v>
      </c>
      <c r="C1326">
        <v>0</v>
      </c>
      <c r="D1326" t="s">
        <v>175</v>
      </c>
      <c r="E1326" t="s">
        <v>176</v>
      </c>
      <c r="F1326" t="s">
        <v>177</v>
      </c>
      <c r="G1326" t="s">
        <v>180</v>
      </c>
    </row>
    <row r="1327" spans="1:7">
      <c r="A1327">
        <v>2033</v>
      </c>
      <c r="B1327" t="s">
        <v>189</v>
      </c>
      <c r="C1327">
        <v>0</v>
      </c>
      <c r="D1327" t="s">
        <v>175</v>
      </c>
      <c r="E1327" t="s">
        <v>176</v>
      </c>
      <c r="F1327" t="s">
        <v>177</v>
      </c>
      <c r="G1327" t="s">
        <v>180</v>
      </c>
    </row>
    <row r="1328" spans="1:7">
      <c r="A1328">
        <v>2034</v>
      </c>
      <c r="B1328" t="s">
        <v>189</v>
      </c>
      <c r="C1328">
        <v>0</v>
      </c>
      <c r="D1328" t="s">
        <v>175</v>
      </c>
      <c r="E1328" t="s">
        <v>176</v>
      </c>
      <c r="F1328" t="s">
        <v>177</v>
      </c>
      <c r="G1328" t="s">
        <v>180</v>
      </c>
    </row>
    <row r="1329" spans="1:7">
      <c r="A1329">
        <v>2035</v>
      </c>
      <c r="B1329" t="s">
        <v>189</v>
      </c>
      <c r="C1329">
        <v>0</v>
      </c>
      <c r="D1329" t="s">
        <v>175</v>
      </c>
      <c r="E1329" t="s">
        <v>176</v>
      </c>
      <c r="F1329" t="s">
        <v>177</v>
      </c>
      <c r="G1329" t="s">
        <v>180</v>
      </c>
    </row>
    <row r="1330" spans="1:7">
      <c r="A1330">
        <v>2020</v>
      </c>
      <c r="B1330" t="s">
        <v>190</v>
      </c>
      <c r="C1330">
        <v>11184.73</v>
      </c>
      <c r="D1330" t="s">
        <v>175</v>
      </c>
      <c r="E1330" t="s">
        <v>176</v>
      </c>
      <c r="F1330" t="s">
        <v>177</v>
      </c>
      <c r="G1330" t="s">
        <v>180</v>
      </c>
    </row>
    <row r="1331" spans="1:7">
      <c r="A1331">
        <v>2021</v>
      </c>
      <c r="B1331" t="s">
        <v>190</v>
      </c>
      <c r="C1331">
        <v>0</v>
      </c>
      <c r="D1331" t="s">
        <v>175</v>
      </c>
      <c r="E1331" t="s">
        <v>176</v>
      </c>
      <c r="F1331" t="s">
        <v>177</v>
      </c>
      <c r="G1331" t="s">
        <v>180</v>
      </c>
    </row>
    <row r="1332" spans="1:7">
      <c r="A1332">
        <v>2022</v>
      </c>
      <c r="B1332" t="s">
        <v>190</v>
      </c>
      <c r="C1332">
        <v>0</v>
      </c>
      <c r="D1332" t="s">
        <v>175</v>
      </c>
      <c r="E1332" t="s">
        <v>176</v>
      </c>
      <c r="F1332" t="s">
        <v>177</v>
      </c>
      <c r="G1332" t="s">
        <v>180</v>
      </c>
    </row>
    <row r="1333" spans="1:7">
      <c r="A1333">
        <v>2023</v>
      </c>
      <c r="B1333" t="s">
        <v>190</v>
      </c>
      <c r="C1333">
        <v>0</v>
      </c>
      <c r="D1333" t="s">
        <v>175</v>
      </c>
      <c r="E1333" t="s">
        <v>176</v>
      </c>
      <c r="F1333" t="s">
        <v>177</v>
      </c>
      <c r="G1333" t="s">
        <v>180</v>
      </c>
    </row>
    <row r="1334" spans="1:7">
      <c r="A1334">
        <v>2024</v>
      </c>
      <c r="B1334" t="s">
        <v>190</v>
      </c>
      <c r="C1334">
        <v>0</v>
      </c>
      <c r="D1334" t="s">
        <v>175</v>
      </c>
      <c r="E1334" t="s">
        <v>176</v>
      </c>
      <c r="F1334" t="s">
        <v>177</v>
      </c>
      <c r="G1334" t="s">
        <v>180</v>
      </c>
    </row>
    <row r="1335" spans="1:7">
      <c r="A1335">
        <v>2025</v>
      </c>
      <c r="B1335" t="s">
        <v>190</v>
      </c>
      <c r="C1335">
        <v>0</v>
      </c>
      <c r="D1335" t="s">
        <v>175</v>
      </c>
      <c r="E1335" t="s">
        <v>176</v>
      </c>
      <c r="F1335" t="s">
        <v>177</v>
      </c>
      <c r="G1335" t="s">
        <v>180</v>
      </c>
    </row>
    <row r="1336" spans="1:7">
      <c r="A1336">
        <v>2026</v>
      </c>
      <c r="B1336" t="s">
        <v>190</v>
      </c>
      <c r="C1336">
        <v>0</v>
      </c>
      <c r="D1336" t="s">
        <v>175</v>
      </c>
      <c r="E1336" t="s">
        <v>176</v>
      </c>
      <c r="F1336" t="s">
        <v>177</v>
      </c>
      <c r="G1336" t="s">
        <v>180</v>
      </c>
    </row>
    <row r="1337" spans="1:7">
      <c r="A1337">
        <v>2027</v>
      </c>
      <c r="B1337" t="s">
        <v>190</v>
      </c>
      <c r="C1337">
        <v>0</v>
      </c>
      <c r="D1337" t="s">
        <v>175</v>
      </c>
      <c r="E1337" t="s">
        <v>176</v>
      </c>
      <c r="F1337" t="s">
        <v>177</v>
      </c>
      <c r="G1337" t="s">
        <v>180</v>
      </c>
    </row>
    <row r="1338" spans="1:7">
      <c r="A1338">
        <v>2028</v>
      </c>
      <c r="B1338" t="s">
        <v>190</v>
      </c>
      <c r="C1338">
        <v>0</v>
      </c>
      <c r="D1338" t="s">
        <v>175</v>
      </c>
      <c r="E1338" t="s">
        <v>176</v>
      </c>
      <c r="F1338" t="s">
        <v>177</v>
      </c>
      <c r="G1338" t="s">
        <v>180</v>
      </c>
    </row>
    <row r="1339" spans="1:7">
      <c r="A1339">
        <v>2029</v>
      </c>
      <c r="B1339" t="s">
        <v>190</v>
      </c>
      <c r="C1339">
        <v>0</v>
      </c>
      <c r="D1339" t="s">
        <v>175</v>
      </c>
      <c r="E1339" t="s">
        <v>176</v>
      </c>
      <c r="F1339" t="s">
        <v>177</v>
      </c>
      <c r="G1339" t="s">
        <v>180</v>
      </c>
    </row>
    <row r="1340" spans="1:7">
      <c r="A1340">
        <v>2030</v>
      </c>
      <c r="B1340" t="s">
        <v>190</v>
      </c>
      <c r="C1340">
        <v>0</v>
      </c>
      <c r="D1340" t="s">
        <v>175</v>
      </c>
      <c r="E1340" t="s">
        <v>176</v>
      </c>
      <c r="F1340" t="s">
        <v>177</v>
      </c>
      <c r="G1340" t="s">
        <v>180</v>
      </c>
    </row>
    <row r="1341" spans="1:7">
      <c r="A1341">
        <v>2031</v>
      </c>
      <c r="B1341" t="s">
        <v>190</v>
      </c>
      <c r="C1341">
        <v>0</v>
      </c>
      <c r="D1341" t="s">
        <v>175</v>
      </c>
      <c r="E1341" t="s">
        <v>176</v>
      </c>
      <c r="F1341" t="s">
        <v>177</v>
      </c>
      <c r="G1341" t="s">
        <v>180</v>
      </c>
    </row>
    <row r="1342" spans="1:7">
      <c r="A1342">
        <v>2032</v>
      </c>
      <c r="B1342" t="s">
        <v>190</v>
      </c>
      <c r="C1342">
        <v>0</v>
      </c>
      <c r="D1342" t="s">
        <v>175</v>
      </c>
      <c r="E1342" t="s">
        <v>176</v>
      </c>
      <c r="F1342" t="s">
        <v>177</v>
      </c>
      <c r="G1342" t="s">
        <v>180</v>
      </c>
    </row>
    <row r="1343" spans="1:7">
      <c r="A1343">
        <v>2033</v>
      </c>
      <c r="B1343" t="s">
        <v>190</v>
      </c>
      <c r="C1343">
        <v>0</v>
      </c>
      <c r="D1343" t="s">
        <v>175</v>
      </c>
      <c r="E1343" t="s">
        <v>176</v>
      </c>
      <c r="F1343" t="s">
        <v>177</v>
      </c>
      <c r="G1343" t="s">
        <v>180</v>
      </c>
    </row>
    <row r="1344" spans="1:7">
      <c r="A1344">
        <v>2034</v>
      </c>
      <c r="B1344" t="s">
        <v>190</v>
      </c>
      <c r="C1344">
        <v>0</v>
      </c>
      <c r="D1344" t="s">
        <v>175</v>
      </c>
      <c r="E1344" t="s">
        <v>176</v>
      </c>
      <c r="F1344" t="s">
        <v>177</v>
      </c>
      <c r="G1344" t="s">
        <v>180</v>
      </c>
    </row>
    <row r="1345" spans="1:7">
      <c r="A1345">
        <v>2035</v>
      </c>
      <c r="B1345" t="s">
        <v>190</v>
      </c>
      <c r="C1345">
        <v>0</v>
      </c>
      <c r="D1345" t="s">
        <v>175</v>
      </c>
      <c r="E1345" t="s">
        <v>176</v>
      </c>
      <c r="F1345" t="s">
        <v>177</v>
      </c>
      <c r="G1345" t="s">
        <v>180</v>
      </c>
    </row>
    <row r="1346" spans="1:7">
      <c r="A1346">
        <v>2020</v>
      </c>
      <c r="B1346" t="s">
        <v>191</v>
      </c>
      <c r="C1346">
        <v>0</v>
      </c>
      <c r="D1346" t="s">
        <v>175</v>
      </c>
      <c r="E1346" t="s">
        <v>176</v>
      </c>
      <c r="F1346" t="s">
        <v>177</v>
      </c>
      <c r="G1346" t="s">
        <v>180</v>
      </c>
    </row>
    <row r="1347" spans="1:7">
      <c r="A1347">
        <v>2021</v>
      </c>
      <c r="B1347" t="s">
        <v>191</v>
      </c>
      <c r="C1347">
        <v>0</v>
      </c>
      <c r="D1347" t="s">
        <v>175</v>
      </c>
      <c r="E1347" t="s">
        <v>176</v>
      </c>
      <c r="F1347" t="s">
        <v>177</v>
      </c>
      <c r="G1347" t="s">
        <v>180</v>
      </c>
    </row>
    <row r="1348" spans="1:7">
      <c r="A1348">
        <v>2022</v>
      </c>
      <c r="B1348" t="s">
        <v>191</v>
      </c>
      <c r="C1348">
        <v>0</v>
      </c>
      <c r="D1348" t="s">
        <v>175</v>
      </c>
      <c r="E1348" t="s">
        <v>176</v>
      </c>
      <c r="F1348" t="s">
        <v>177</v>
      </c>
      <c r="G1348" t="s">
        <v>180</v>
      </c>
    </row>
    <row r="1349" spans="1:7">
      <c r="A1349">
        <v>2023</v>
      </c>
      <c r="B1349" t="s">
        <v>191</v>
      </c>
      <c r="C1349">
        <v>0</v>
      </c>
      <c r="D1349" t="s">
        <v>175</v>
      </c>
      <c r="E1349" t="s">
        <v>176</v>
      </c>
      <c r="F1349" t="s">
        <v>177</v>
      </c>
      <c r="G1349" t="s">
        <v>180</v>
      </c>
    </row>
    <row r="1350" spans="1:7">
      <c r="A1350">
        <v>2024</v>
      </c>
      <c r="B1350" t="s">
        <v>191</v>
      </c>
      <c r="C1350">
        <v>0</v>
      </c>
      <c r="D1350" t="s">
        <v>175</v>
      </c>
      <c r="E1350" t="s">
        <v>176</v>
      </c>
      <c r="F1350" t="s">
        <v>177</v>
      </c>
      <c r="G1350" t="s">
        <v>180</v>
      </c>
    </row>
    <row r="1351" spans="1:7">
      <c r="A1351">
        <v>2025</v>
      </c>
      <c r="B1351" t="s">
        <v>191</v>
      </c>
      <c r="C1351">
        <v>0</v>
      </c>
      <c r="D1351" t="s">
        <v>175</v>
      </c>
      <c r="E1351" t="s">
        <v>176</v>
      </c>
      <c r="F1351" t="s">
        <v>177</v>
      </c>
      <c r="G1351" t="s">
        <v>180</v>
      </c>
    </row>
    <row r="1352" spans="1:7">
      <c r="A1352">
        <v>2026</v>
      </c>
      <c r="B1352" t="s">
        <v>191</v>
      </c>
      <c r="C1352">
        <v>0</v>
      </c>
      <c r="D1352" t="s">
        <v>175</v>
      </c>
      <c r="E1352" t="s">
        <v>176</v>
      </c>
      <c r="F1352" t="s">
        <v>177</v>
      </c>
      <c r="G1352" t="s">
        <v>180</v>
      </c>
    </row>
    <row r="1353" spans="1:7">
      <c r="A1353">
        <v>2027</v>
      </c>
      <c r="B1353" t="s">
        <v>191</v>
      </c>
      <c r="C1353">
        <v>0</v>
      </c>
      <c r="D1353" t="s">
        <v>175</v>
      </c>
      <c r="E1353" t="s">
        <v>176</v>
      </c>
      <c r="F1353" t="s">
        <v>177</v>
      </c>
      <c r="G1353" t="s">
        <v>180</v>
      </c>
    </row>
    <row r="1354" spans="1:7">
      <c r="A1354">
        <v>2028</v>
      </c>
      <c r="B1354" t="s">
        <v>191</v>
      </c>
      <c r="C1354">
        <v>0</v>
      </c>
      <c r="D1354" t="s">
        <v>175</v>
      </c>
      <c r="E1354" t="s">
        <v>176</v>
      </c>
      <c r="F1354" t="s">
        <v>177</v>
      </c>
      <c r="G1354" t="s">
        <v>180</v>
      </c>
    </row>
    <row r="1355" spans="1:7">
      <c r="A1355">
        <v>2029</v>
      </c>
      <c r="B1355" t="s">
        <v>191</v>
      </c>
      <c r="C1355">
        <v>0</v>
      </c>
      <c r="D1355" t="s">
        <v>175</v>
      </c>
      <c r="E1355" t="s">
        <v>176</v>
      </c>
      <c r="F1355" t="s">
        <v>177</v>
      </c>
      <c r="G1355" t="s">
        <v>180</v>
      </c>
    </row>
    <row r="1356" spans="1:7">
      <c r="A1356">
        <v>2030</v>
      </c>
      <c r="B1356" t="s">
        <v>191</v>
      </c>
      <c r="C1356">
        <v>0</v>
      </c>
      <c r="D1356" t="s">
        <v>175</v>
      </c>
      <c r="E1356" t="s">
        <v>176</v>
      </c>
      <c r="F1356" t="s">
        <v>177</v>
      </c>
      <c r="G1356" t="s">
        <v>180</v>
      </c>
    </row>
    <row r="1357" spans="1:7">
      <c r="A1357">
        <v>2031</v>
      </c>
      <c r="B1357" t="s">
        <v>191</v>
      </c>
      <c r="C1357">
        <v>0</v>
      </c>
      <c r="D1357" t="s">
        <v>175</v>
      </c>
      <c r="E1357" t="s">
        <v>176</v>
      </c>
      <c r="F1357" t="s">
        <v>177</v>
      </c>
      <c r="G1357" t="s">
        <v>180</v>
      </c>
    </row>
    <row r="1358" spans="1:7">
      <c r="A1358">
        <v>2032</v>
      </c>
      <c r="B1358" t="s">
        <v>191</v>
      </c>
      <c r="C1358">
        <v>0</v>
      </c>
      <c r="D1358" t="s">
        <v>175</v>
      </c>
      <c r="E1358" t="s">
        <v>176</v>
      </c>
      <c r="F1358" t="s">
        <v>177</v>
      </c>
      <c r="G1358" t="s">
        <v>180</v>
      </c>
    </row>
    <row r="1359" spans="1:7">
      <c r="A1359">
        <v>2033</v>
      </c>
      <c r="B1359" t="s">
        <v>191</v>
      </c>
      <c r="C1359">
        <v>0</v>
      </c>
      <c r="D1359" t="s">
        <v>175</v>
      </c>
      <c r="E1359" t="s">
        <v>176</v>
      </c>
      <c r="F1359" t="s">
        <v>177</v>
      </c>
      <c r="G1359" t="s">
        <v>180</v>
      </c>
    </row>
    <row r="1360" spans="1:7">
      <c r="A1360">
        <v>2034</v>
      </c>
      <c r="B1360" t="s">
        <v>191</v>
      </c>
      <c r="C1360">
        <v>0</v>
      </c>
      <c r="D1360" t="s">
        <v>175</v>
      </c>
      <c r="E1360" t="s">
        <v>176</v>
      </c>
      <c r="F1360" t="s">
        <v>177</v>
      </c>
      <c r="G1360" t="s">
        <v>180</v>
      </c>
    </row>
    <row r="1361" spans="1:7">
      <c r="A1361">
        <v>2035</v>
      </c>
      <c r="B1361" t="s">
        <v>191</v>
      </c>
      <c r="C1361">
        <v>0</v>
      </c>
      <c r="D1361" t="s">
        <v>175</v>
      </c>
      <c r="E1361" t="s">
        <v>176</v>
      </c>
      <c r="F1361" t="s">
        <v>177</v>
      </c>
      <c r="G1361" t="s">
        <v>180</v>
      </c>
    </row>
    <row r="1362" spans="1:7">
      <c r="A1362">
        <v>2020</v>
      </c>
      <c r="B1362" t="s">
        <v>192</v>
      </c>
      <c r="C1362">
        <v>2097.86</v>
      </c>
      <c r="D1362" t="s">
        <v>175</v>
      </c>
      <c r="E1362" t="s">
        <v>176</v>
      </c>
      <c r="F1362" t="s">
        <v>177</v>
      </c>
      <c r="G1362" t="s">
        <v>180</v>
      </c>
    </row>
    <row r="1363" spans="1:7">
      <c r="A1363">
        <v>2021</v>
      </c>
      <c r="B1363" t="s">
        <v>192</v>
      </c>
      <c r="C1363">
        <v>0.5</v>
      </c>
      <c r="D1363" t="s">
        <v>175</v>
      </c>
      <c r="E1363" t="s">
        <v>176</v>
      </c>
      <c r="F1363" t="s">
        <v>177</v>
      </c>
      <c r="G1363" t="s">
        <v>180</v>
      </c>
    </row>
    <row r="1364" spans="1:7">
      <c r="A1364">
        <v>2022</v>
      </c>
      <c r="B1364" t="s">
        <v>192</v>
      </c>
      <c r="C1364">
        <v>0.5</v>
      </c>
      <c r="D1364" t="s">
        <v>175</v>
      </c>
      <c r="E1364" t="s">
        <v>176</v>
      </c>
      <c r="F1364" t="s">
        <v>177</v>
      </c>
      <c r="G1364" t="s">
        <v>180</v>
      </c>
    </row>
    <row r="1365" spans="1:7">
      <c r="A1365">
        <v>2023</v>
      </c>
      <c r="B1365" t="s">
        <v>192</v>
      </c>
      <c r="C1365">
        <v>79.650000000000006</v>
      </c>
      <c r="D1365" t="s">
        <v>175</v>
      </c>
      <c r="E1365" t="s">
        <v>176</v>
      </c>
      <c r="F1365" t="s">
        <v>177</v>
      </c>
      <c r="G1365" t="s">
        <v>180</v>
      </c>
    </row>
    <row r="1366" spans="1:7">
      <c r="A1366">
        <v>2024</v>
      </c>
      <c r="B1366" t="s">
        <v>192</v>
      </c>
      <c r="C1366">
        <v>79.650000000000006</v>
      </c>
      <c r="D1366" t="s">
        <v>175</v>
      </c>
      <c r="E1366" t="s">
        <v>176</v>
      </c>
      <c r="F1366" t="s">
        <v>177</v>
      </c>
      <c r="G1366" t="s">
        <v>180</v>
      </c>
    </row>
    <row r="1367" spans="1:7">
      <c r="A1367">
        <v>2025</v>
      </c>
      <c r="B1367" t="s">
        <v>192</v>
      </c>
      <c r="C1367">
        <v>49.645000000000003</v>
      </c>
      <c r="D1367" t="s">
        <v>175</v>
      </c>
      <c r="E1367" t="s">
        <v>176</v>
      </c>
      <c r="F1367" t="s">
        <v>177</v>
      </c>
      <c r="G1367" t="s">
        <v>180</v>
      </c>
    </row>
    <row r="1368" spans="1:7">
      <c r="A1368">
        <v>2026</v>
      </c>
      <c r="B1368" t="s">
        <v>192</v>
      </c>
      <c r="C1368">
        <v>49.645000000000003</v>
      </c>
      <c r="D1368" t="s">
        <v>175</v>
      </c>
      <c r="E1368" t="s">
        <v>176</v>
      </c>
      <c r="F1368" t="s">
        <v>177</v>
      </c>
      <c r="G1368" t="s">
        <v>180</v>
      </c>
    </row>
    <row r="1369" spans="1:7">
      <c r="A1369">
        <v>2027</v>
      </c>
      <c r="B1369" t="s">
        <v>192</v>
      </c>
      <c r="C1369">
        <v>70</v>
      </c>
      <c r="D1369" t="s">
        <v>175</v>
      </c>
      <c r="E1369" t="s">
        <v>176</v>
      </c>
      <c r="F1369" t="s">
        <v>177</v>
      </c>
      <c r="G1369" t="s">
        <v>180</v>
      </c>
    </row>
    <row r="1370" spans="1:7">
      <c r="A1370">
        <v>2028</v>
      </c>
      <c r="B1370" t="s">
        <v>192</v>
      </c>
      <c r="C1370">
        <v>70</v>
      </c>
      <c r="D1370" t="s">
        <v>175</v>
      </c>
      <c r="E1370" t="s">
        <v>176</v>
      </c>
      <c r="F1370" t="s">
        <v>177</v>
      </c>
      <c r="G1370" t="s">
        <v>180</v>
      </c>
    </row>
    <row r="1371" spans="1:7">
      <c r="A1371">
        <v>2029</v>
      </c>
      <c r="B1371" t="s">
        <v>192</v>
      </c>
      <c r="C1371">
        <v>0</v>
      </c>
      <c r="D1371" t="s">
        <v>175</v>
      </c>
      <c r="E1371" t="s">
        <v>176</v>
      </c>
      <c r="F1371" t="s">
        <v>177</v>
      </c>
      <c r="G1371" t="s">
        <v>180</v>
      </c>
    </row>
    <row r="1372" spans="1:7">
      <c r="A1372">
        <v>2030</v>
      </c>
      <c r="B1372" t="s">
        <v>192</v>
      </c>
      <c r="C1372">
        <v>0</v>
      </c>
      <c r="D1372" t="s">
        <v>175</v>
      </c>
      <c r="E1372" t="s">
        <v>176</v>
      </c>
      <c r="F1372" t="s">
        <v>177</v>
      </c>
      <c r="G1372" t="s">
        <v>180</v>
      </c>
    </row>
    <row r="1373" spans="1:7">
      <c r="A1373">
        <v>2031</v>
      </c>
      <c r="B1373" t="s">
        <v>192</v>
      </c>
      <c r="C1373">
        <v>0</v>
      </c>
      <c r="D1373" t="s">
        <v>175</v>
      </c>
      <c r="E1373" t="s">
        <v>176</v>
      </c>
      <c r="F1373" t="s">
        <v>177</v>
      </c>
      <c r="G1373" t="s">
        <v>180</v>
      </c>
    </row>
    <row r="1374" spans="1:7">
      <c r="A1374">
        <v>2032</v>
      </c>
      <c r="B1374" t="s">
        <v>192</v>
      </c>
      <c r="C1374">
        <v>0</v>
      </c>
      <c r="D1374" t="s">
        <v>175</v>
      </c>
      <c r="E1374" t="s">
        <v>176</v>
      </c>
      <c r="F1374" t="s">
        <v>177</v>
      </c>
      <c r="G1374" t="s">
        <v>180</v>
      </c>
    </row>
    <row r="1375" spans="1:7">
      <c r="A1375">
        <v>2033</v>
      </c>
      <c r="B1375" t="s">
        <v>192</v>
      </c>
      <c r="C1375">
        <v>2</v>
      </c>
      <c r="D1375" t="s">
        <v>175</v>
      </c>
      <c r="E1375" t="s">
        <v>176</v>
      </c>
      <c r="F1375" t="s">
        <v>177</v>
      </c>
      <c r="G1375" t="s">
        <v>180</v>
      </c>
    </row>
    <row r="1376" spans="1:7">
      <c r="A1376">
        <v>2034</v>
      </c>
      <c r="B1376" t="s">
        <v>192</v>
      </c>
      <c r="C1376">
        <v>2</v>
      </c>
      <c r="D1376" t="s">
        <v>175</v>
      </c>
      <c r="E1376" t="s">
        <v>176</v>
      </c>
      <c r="F1376" t="s">
        <v>177</v>
      </c>
      <c r="G1376" t="s">
        <v>180</v>
      </c>
    </row>
    <row r="1377" spans="1:7">
      <c r="A1377">
        <v>2035</v>
      </c>
      <c r="B1377" t="s">
        <v>192</v>
      </c>
      <c r="C1377">
        <v>2</v>
      </c>
      <c r="D1377" t="s">
        <v>175</v>
      </c>
      <c r="E1377" t="s">
        <v>176</v>
      </c>
      <c r="F1377" t="s">
        <v>177</v>
      </c>
      <c r="G1377" t="s">
        <v>180</v>
      </c>
    </row>
    <row r="1378" spans="1:7">
      <c r="A1378">
        <v>2020</v>
      </c>
      <c r="B1378" t="s">
        <v>193</v>
      </c>
      <c r="C1378">
        <v>232.5</v>
      </c>
      <c r="D1378" t="s">
        <v>175</v>
      </c>
      <c r="E1378" t="s">
        <v>176</v>
      </c>
      <c r="F1378" t="s">
        <v>177</v>
      </c>
      <c r="G1378" t="s">
        <v>180</v>
      </c>
    </row>
    <row r="1379" spans="1:7">
      <c r="A1379">
        <v>2021</v>
      </c>
      <c r="B1379" t="s">
        <v>193</v>
      </c>
      <c r="C1379">
        <v>1100</v>
      </c>
      <c r="D1379" t="s">
        <v>175</v>
      </c>
      <c r="E1379" t="s">
        <v>176</v>
      </c>
      <c r="F1379" t="s">
        <v>177</v>
      </c>
      <c r="G1379" t="s">
        <v>180</v>
      </c>
    </row>
    <row r="1380" spans="1:7">
      <c r="A1380">
        <v>2022</v>
      </c>
      <c r="B1380" t="s">
        <v>193</v>
      </c>
      <c r="C1380">
        <v>1100</v>
      </c>
      <c r="D1380" t="s">
        <v>175</v>
      </c>
      <c r="E1380" t="s">
        <v>176</v>
      </c>
      <c r="F1380" t="s">
        <v>177</v>
      </c>
      <c r="G1380" t="s">
        <v>180</v>
      </c>
    </row>
    <row r="1381" spans="1:7">
      <c r="A1381">
        <v>2023</v>
      </c>
      <c r="B1381" t="s">
        <v>193</v>
      </c>
      <c r="C1381">
        <v>0</v>
      </c>
      <c r="D1381" t="s">
        <v>175</v>
      </c>
      <c r="E1381" t="s">
        <v>176</v>
      </c>
      <c r="F1381" t="s">
        <v>177</v>
      </c>
      <c r="G1381" t="s">
        <v>180</v>
      </c>
    </row>
    <row r="1382" spans="1:7">
      <c r="A1382">
        <v>2024</v>
      </c>
      <c r="B1382" t="s">
        <v>193</v>
      </c>
      <c r="C1382">
        <v>0</v>
      </c>
      <c r="D1382" t="s">
        <v>175</v>
      </c>
      <c r="E1382" t="s">
        <v>176</v>
      </c>
      <c r="F1382" t="s">
        <v>177</v>
      </c>
      <c r="G1382" t="s">
        <v>180</v>
      </c>
    </row>
    <row r="1383" spans="1:7">
      <c r="A1383">
        <v>2025</v>
      </c>
      <c r="B1383" t="s">
        <v>193</v>
      </c>
      <c r="C1383">
        <v>0</v>
      </c>
      <c r="D1383" t="s">
        <v>175</v>
      </c>
      <c r="E1383" t="s">
        <v>176</v>
      </c>
      <c r="F1383" t="s">
        <v>177</v>
      </c>
      <c r="G1383" t="s">
        <v>180</v>
      </c>
    </row>
    <row r="1384" spans="1:7">
      <c r="A1384">
        <v>2026</v>
      </c>
      <c r="B1384" t="s">
        <v>193</v>
      </c>
      <c r="C1384">
        <v>0</v>
      </c>
      <c r="D1384" t="s">
        <v>175</v>
      </c>
      <c r="E1384" t="s">
        <v>176</v>
      </c>
      <c r="F1384" t="s">
        <v>177</v>
      </c>
      <c r="G1384" t="s">
        <v>180</v>
      </c>
    </row>
    <row r="1385" spans="1:7">
      <c r="A1385">
        <v>2027</v>
      </c>
      <c r="B1385" t="s">
        <v>193</v>
      </c>
      <c r="C1385">
        <v>0</v>
      </c>
      <c r="D1385" t="s">
        <v>175</v>
      </c>
      <c r="E1385" t="s">
        <v>176</v>
      </c>
      <c r="F1385" t="s">
        <v>177</v>
      </c>
      <c r="G1385" t="s">
        <v>180</v>
      </c>
    </row>
    <row r="1386" spans="1:7">
      <c r="A1386">
        <v>2028</v>
      </c>
      <c r="B1386" t="s">
        <v>193</v>
      </c>
      <c r="C1386">
        <v>0</v>
      </c>
      <c r="D1386" t="s">
        <v>175</v>
      </c>
      <c r="E1386" t="s">
        <v>176</v>
      </c>
      <c r="F1386" t="s">
        <v>177</v>
      </c>
      <c r="G1386" t="s">
        <v>180</v>
      </c>
    </row>
    <row r="1387" spans="1:7">
      <c r="A1387">
        <v>2029</v>
      </c>
      <c r="B1387" t="s">
        <v>193</v>
      </c>
      <c r="C1387">
        <v>0</v>
      </c>
      <c r="D1387" t="s">
        <v>175</v>
      </c>
      <c r="E1387" t="s">
        <v>176</v>
      </c>
      <c r="F1387" t="s">
        <v>177</v>
      </c>
      <c r="G1387" t="s">
        <v>180</v>
      </c>
    </row>
    <row r="1388" spans="1:7">
      <c r="A1388">
        <v>2030</v>
      </c>
      <c r="B1388" t="s">
        <v>193</v>
      </c>
      <c r="C1388">
        <v>0</v>
      </c>
      <c r="D1388" t="s">
        <v>175</v>
      </c>
      <c r="E1388" t="s">
        <v>176</v>
      </c>
      <c r="F1388" t="s">
        <v>177</v>
      </c>
      <c r="G1388" t="s">
        <v>180</v>
      </c>
    </row>
    <row r="1389" spans="1:7">
      <c r="A1389">
        <v>2031</v>
      </c>
      <c r="B1389" t="s">
        <v>193</v>
      </c>
      <c r="C1389">
        <v>0</v>
      </c>
      <c r="D1389" t="s">
        <v>175</v>
      </c>
      <c r="E1389" t="s">
        <v>176</v>
      </c>
      <c r="F1389" t="s">
        <v>177</v>
      </c>
      <c r="G1389" t="s">
        <v>180</v>
      </c>
    </row>
    <row r="1390" spans="1:7">
      <c r="A1390">
        <v>2032</v>
      </c>
      <c r="B1390" t="s">
        <v>193</v>
      </c>
      <c r="C1390">
        <v>0</v>
      </c>
      <c r="D1390" t="s">
        <v>175</v>
      </c>
      <c r="E1390" t="s">
        <v>176</v>
      </c>
      <c r="F1390" t="s">
        <v>177</v>
      </c>
      <c r="G1390" t="s">
        <v>180</v>
      </c>
    </row>
    <row r="1391" spans="1:7">
      <c r="A1391">
        <v>2033</v>
      </c>
      <c r="B1391" t="s">
        <v>193</v>
      </c>
      <c r="C1391">
        <v>0</v>
      </c>
      <c r="D1391" t="s">
        <v>175</v>
      </c>
      <c r="E1391" t="s">
        <v>176</v>
      </c>
      <c r="F1391" t="s">
        <v>177</v>
      </c>
      <c r="G1391" t="s">
        <v>180</v>
      </c>
    </row>
    <row r="1392" spans="1:7">
      <c r="A1392">
        <v>2034</v>
      </c>
      <c r="B1392" t="s">
        <v>193</v>
      </c>
      <c r="C1392">
        <v>0</v>
      </c>
      <c r="D1392" t="s">
        <v>175</v>
      </c>
      <c r="E1392" t="s">
        <v>176</v>
      </c>
      <c r="F1392" t="s">
        <v>177</v>
      </c>
      <c r="G1392" t="s">
        <v>180</v>
      </c>
    </row>
    <row r="1393" spans="1:7">
      <c r="A1393">
        <v>2035</v>
      </c>
      <c r="B1393" t="s">
        <v>193</v>
      </c>
      <c r="C1393">
        <v>0</v>
      </c>
      <c r="D1393" t="s">
        <v>175</v>
      </c>
      <c r="E1393" t="s">
        <v>176</v>
      </c>
      <c r="F1393" t="s">
        <v>177</v>
      </c>
      <c r="G1393" t="s">
        <v>180</v>
      </c>
    </row>
    <row r="1394" spans="1:7">
      <c r="A1394">
        <v>2020</v>
      </c>
      <c r="B1394" t="s">
        <v>194</v>
      </c>
      <c r="C1394">
        <v>14.85</v>
      </c>
      <c r="D1394" t="s">
        <v>175</v>
      </c>
      <c r="E1394" t="s">
        <v>176</v>
      </c>
      <c r="F1394" t="s">
        <v>177</v>
      </c>
      <c r="G1394" t="s">
        <v>180</v>
      </c>
    </row>
    <row r="1395" spans="1:7">
      <c r="A1395">
        <v>2021</v>
      </c>
      <c r="B1395" t="s">
        <v>194</v>
      </c>
      <c r="C1395">
        <v>0</v>
      </c>
      <c r="D1395" t="s">
        <v>175</v>
      </c>
      <c r="E1395" t="s">
        <v>176</v>
      </c>
      <c r="F1395" t="s">
        <v>177</v>
      </c>
      <c r="G1395" t="s">
        <v>180</v>
      </c>
    </row>
    <row r="1396" spans="1:7">
      <c r="A1396">
        <v>2022</v>
      </c>
      <c r="B1396" t="s">
        <v>194</v>
      </c>
      <c r="C1396">
        <v>0</v>
      </c>
      <c r="D1396" t="s">
        <v>175</v>
      </c>
      <c r="E1396" t="s">
        <v>176</v>
      </c>
      <c r="F1396" t="s">
        <v>177</v>
      </c>
      <c r="G1396" t="s">
        <v>180</v>
      </c>
    </row>
    <row r="1397" spans="1:7">
      <c r="A1397">
        <v>2023</v>
      </c>
      <c r="B1397" t="s">
        <v>194</v>
      </c>
      <c r="C1397">
        <v>0</v>
      </c>
      <c r="D1397" t="s">
        <v>175</v>
      </c>
      <c r="E1397" t="s">
        <v>176</v>
      </c>
      <c r="F1397" t="s">
        <v>177</v>
      </c>
      <c r="G1397" t="s">
        <v>180</v>
      </c>
    </row>
    <row r="1398" spans="1:7">
      <c r="A1398">
        <v>2024</v>
      </c>
      <c r="B1398" t="s">
        <v>194</v>
      </c>
      <c r="C1398">
        <v>0</v>
      </c>
      <c r="D1398" t="s">
        <v>175</v>
      </c>
      <c r="E1398" t="s">
        <v>176</v>
      </c>
      <c r="F1398" t="s">
        <v>177</v>
      </c>
      <c r="G1398" t="s">
        <v>180</v>
      </c>
    </row>
    <row r="1399" spans="1:7">
      <c r="A1399">
        <v>2025</v>
      </c>
      <c r="B1399" t="s">
        <v>194</v>
      </c>
      <c r="C1399">
        <v>0</v>
      </c>
      <c r="D1399" t="s">
        <v>175</v>
      </c>
      <c r="E1399" t="s">
        <v>176</v>
      </c>
      <c r="F1399" t="s">
        <v>177</v>
      </c>
      <c r="G1399" t="s">
        <v>180</v>
      </c>
    </row>
    <row r="1400" spans="1:7">
      <c r="A1400">
        <v>2026</v>
      </c>
      <c r="B1400" t="s">
        <v>194</v>
      </c>
      <c r="C1400">
        <v>0</v>
      </c>
      <c r="D1400" t="s">
        <v>175</v>
      </c>
      <c r="E1400" t="s">
        <v>176</v>
      </c>
      <c r="F1400" t="s">
        <v>177</v>
      </c>
      <c r="G1400" t="s">
        <v>180</v>
      </c>
    </row>
    <row r="1401" spans="1:7">
      <c r="A1401">
        <v>2027</v>
      </c>
      <c r="B1401" t="s">
        <v>194</v>
      </c>
      <c r="C1401">
        <v>0</v>
      </c>
      <c r="D1401" t="s">
        <v>175</v>
      </c>
      <c r="E1401" t="s">
        <v>176</v>
      </c>
      <c r="F1401" t="s">
        <v>177</v>
      </c>
      <c r="G1401" t="s">
        <v>180</v>
      </c>
    </row>
    <row r="1402" spans="1:7">
      <c r="A1402">
        <v>2028</v>
      </c>
      <c r="B1402" t="s">
        <v>194</v>
      </c>
      <c r="C1402">
        <v>0</v>
      </c>
      <c r="D1402" t="s">
        <v>175</v>
      </c>
      <c r="E1402" t="s">
        <v>176</v>
      </c>
      <c r="F1402" t="s">
        <v>177</v>
      </c>
      <c r="G1402" t="s">
        <v>180</v>
      </c>
    </row>
    <row r="1403" spans="1:7">
      <c r="A1403">
        <v>2029</v>
      </c>
      <c r="B1403" t="s">
        <v>194</v>
      </c>
      <c r="C1403">
        <v>0</v>
      </c>
      <c r="D1403" t="s">
        <v>175</v>
      </c>
      <c r="E1403" t="s">
        <v>176</v>
      </c>
      <c r="F1403" t="s">
        <v>177</v>
      </c>
      <c r="G1403" t="s">
        <v>180</v>
      </c>
    </row>
    <row r="1404" spans="1:7">
      <c r="A1404">
        <v>2030</v>
      </c>
      <c r="B1404" t="s">
        <v>194</v>
      </c>
      <c r="C1404">
        <v>0</v>
      </c>
      <c r="D1404" t="s">
        <v>175</v>
      </c>
      <c r="E1404" t="s">
        <v>176</v>
      </c>
      <c r="F1404" t="s">
        <v>177</v>
      </c>
      <c r="G1404" t="s">
        <v>180</v>
      </c>
    </row>
    <row r="1405" spans="1:7">
      <c r="A1405">
        <v>2031</v>
      </c>
      <c r="B1405" t="s">
        <v>194</v>
      </c>
      <c r="C1405">
        <v>0</v>
      </c>
      <c r="D1405" t="s">
        <v>175</v>
      </c>
      <c r="E1405" t="s">
        <v>176</v>
      </c>
      <c r="F1405" t="s">
        <v>177</v>
      </c>
      <c r="G1405" t="s">
        <v>180</v>
      </c>
    </row>
    <row r="1406" spans="1:7">
      <c r="A1406">
        <v>2032</v>
      </c>
      <c r="B1406" t="s">
        <v>194</v>
      </c>
      <c r="C1406">
        <v>0</v>
      </c>
      <c r="D1406" t="s">
        <v>175</v>
      </c>
      <c r="E1406" t="s">
        <v>176</v>
      </c>
      <c r="F1406" t="s">
        <v>177</v>
      </c>
      <c r="G1406" t="s">
        <v>180</v>
      </c>
    </row>
    <row r="1407" spans="1:7">
      <c r="A1407">
        <v>2033</v>
      </c>
      <c r="B1407" t="s">
        <v>194</v>
      </c>
      <c r="C1407">
        <v>0</v>
      </c>
      <c r="D1407" t="s">
        <v>175</v>
      </c>
      <c r="E1407" t="s">
        <v>176</v>
      </c>
      <c r="F1407" t="s">
        <v>177</v>
      </c>
      <c r="G1407" t="s">
        <v>180</v>
      </c>
    </row>
    <row r="1408" spans="1:7">
      <c r="A1408">
        <v>2034</v>
      </c>
      <c r="B1408" t="s">
        <v>194</v>
      </c>
      <c r="C1408">
        <v>0</v>
      </c>
      <c r="D1408" t="s">
        <v>175</v>
      </c>
      <c r="E1408" t="s">
        <v>176</v>
      </c>
      <c r="F1408" t="s">
        <v>177</v>
      </c>
      <c r="G1408" t="s">
        <v>180</v>
      </c>
    </row>
    <row r="1409" spans="1:7">
      <c r="A1409">
        <v>2035</v>
      </c>
      <c r="B1409" t="s">
        <v>194</v>
      </c>
      <c r="C1409">
        <v>0</v>
      </c>
      <c r="D1409" t="s">
        <v>175</v>
      </c>
      <c r="E1409" t="s">
        <v>176</v>
      </c>
      <c r="F1409" t="s">
        <v>177</v>
      </c>
      <c r="G1409" t="s">
        <v>180</v>
      </c>
    </row>
    <row r="1410" spans="1:7">
      <c r="A1410">
        <v>2020</v>
      </c>
      <c r="B1410" t="s">
        <v>195</v>
      </c>
      <c r="C1410">
        <v>46114.6</v>
      </c>
      <c r="D1410" t="s">
        <v>175</v>
      </c>
      <c r="E1410" t="s">
        <v>176</v>
      </c>
      <c r="F1410" t="s">
        <v>177</v>
      </c>
      <c r="G1410" t="s">
        <v>180</v>
      </c>
    </row>
    <row r="1411" spans="1:7">
      <c r="A1411">
        <v>2021</v>
      </c>
      <c r="B1411" t="s">
        <v>195</v>
      </c>
      <c r="C1411">
        <v>101969</v>
      </c>
      <c r="D1411" t="s">
        <v>175</v>
      </c>
      <c r="E1411" t="s">
        <v>176</v>
      </c>
      <c r="F1411" t="s">
        <v>177</v>
      </c>
      <c r="G1411" t="s">
        <v>180</v>
      </c>
    </row>
    <row r="1412" spans="1:7">
      <c r="A1412">
        <v>2022</v>
      </c>
      <c r="B1412" t="s">
        <v>195</v>
      </c>
      <c r="C1412">
        <v>101969</v>
      </c>
      <c r="D1412" t="s">
        <v>175</v>
      </c>
      <c r="E1412" t="s">
        <v>176</v>
      </c>
      <c r="F1412" t="s">
        <v>177</v>
      </c>
      <c r="G1412" t="s">
        <v>180</v>
      </c>
    </row>
    <row r="1413" spans="1:7">
      <c r="A1413">
        <v>2023</v>
      </c>
      <c r="B1413" t="s">
        <v>195</v>
      </c>
      <c r="C1413">
        <v>8352.09</v>
      </c>
      <c r="D1413" t="s">
        <v>175</v>
      </c>
      <c r="E1413" t="s">
        <v>176</v>
      </c>
      <c r="F1413" t="s">
        <v>177</v>
      </c>
      <c r="G1413" t="s">
        <v>180</v>
      </c>
    </row>
    <row r="1414" spans="1:7">
      <c r="A1414">
        <v>2024</v>
      </c>
      <c r="B1414" t="s">
        <v>195</v>
      </c>
      <c r="C1414">
        <v>8352.09</v>
      </c>
      <c r="D1414" t="s">
        <v>175</v>
      </c>
      <c r="E1414" t="s">
        <v>176</v>
      </c>
      <c r="F1414" t="s">
        <v>177</v>
      </c>
      <c r="G1414" t="s">
        <v>180</v>
      </c>
    </row>
    <row r="1415" spans="1:7">
      <c r="A1415">
        <v>2025</v>
      </c>
      <c r="B1415" t="s">
        <v>195</v>
      </c>
      <c r="C1415">
        <v>24609.7</v>
      </c>
      <c r="D1415" t="s">
        <v>175</v>
      </c>
      <c r="E1415" t="s">
        <v>176</v>
      </c>
      <c r="F1415" t="s">
        <v>177</v>
      </c>
      <c r="G1415" t="s">
        <v>180</v>
      </c>
    </row>
    <row r="1416" spans="1:7">
      <c r="A1416">
        <v>2026</v>
      </c>
      <c r="B1416" t="s">
        <v>195</v>
      </c>
      <c r="C1416">
        <v>24609.7</v>
      </c>
      <c r="D1416" t="s">
        <v>175</v>
      </c>
      <c r="E1416" t="s">
        <v>176</v>
      </c>
      <c r="F1416" t="s">
        <v>177</v>
      </c>
      <c r="G1416" t="s">
        <v>180</v>
      </c>
    </row>
    <row r="1417" spans="1:7">
      <c r="A1417">
        <v>2027</v>
      </c>
      <c r="B1417" t="s">
        <v>195</v>
      </c>
      <c r="C1417">
        <v>11475.5</v>
      </c>
      <c r="D1417" t="s">
        <v>175</v>
      </c>
      <c r="E1417" t="s">
        <v>176</v>
      </c>
      <c r="F1417" t="s">
        <v>177</v>
      </c>
      <c r="G1417" t="s">
        <v>180</v>
      </c>
    </row>
    <row r="1418" spans="1:7">
      <c r="A1418">
        <v>2028</v>
      </c>
      <c r="B1418" t="s">
        <v>195</v>
      </c>
      <c r="C1418">
        <v>11475.5</v>
      </c>
      <c r="D1418" t="s">
        <v>175</v>
      </c>
      <c r="E1418" t="s">
        <v>176</v>
      </c>
      <c r="F1418" t="s">
        <v>177</v>
      </c>
      <c r="G1418" t="s">
        <v>180</v>
      </c>
    </row>
    <row r="1419" spans="1:7">
      <c r="A1419">
        <v>2029</v>
      </c>
      <c r="B1419" t="s">
        <v>195</v>
      </c>
      <c r="C1419">
        <v>13288.9</v>
      </c>
      <c r="D1419" t="s">
        <v>175</v>
      </c>
      <c r="E1419" t="s">
        <v>176</v>
      </c>
      <c r="F1419" t="s">
        <v>177</v>
      </c>
      <c r="G1419" t="s">
        <v>180</v>
      </c>
    </row>
    <row r="1420" spans="1:7">
      <c r="A1420">
        <v>2030</v>
      </c>
      <c r="B1420" t="s">
        <v>195</v>
      </c>
      <c r="C1420">
        <v>13288.9</v>
      </c>
      <c r="D1420" t="s">
        <v>175</v>
      </c>
      <c r="E1420" t="s">
        <v>176</v>
      </c>
      <c r="F1420" t="s">
        <v>177</v>
      </c>
      <c r="G1420" t="s">
        <v>180</v>
      </c>
    </row>
    <row r="1421" spans="1:7">
      <c r="A1421">
        <v>2031</v>
      </c>
      <c r="B1421" t="s">
        <v>195</v>
      </c>
      <c r="C1421">
        <v>11578.2</v>
      </c>
      <c r="D1421" t="s">
        <v>175</v>
      </c>
      <c r="E1421" t="s">
        <v>176</v>
      </c>
      <c r="F1421" t="s">
        <v>177</v>
      </c>
      <c r="G1421" t="s">
        <v>180</v>
      </c>
    </row>
    <row r="1422" spans="1:7">
      <c r="A1422">
        <v>2032</v>
      </c>
      <c r="B1422" t="s">
        <v>195</v>
      </c>
      <c r="C1422">
        <v>11578.2</v>
      </c>
      <c r="D1422" t="s">
        <v>175</v>
      </c>
      <c r="E1422" t="s">
        <v>176</v>
      </c>
      <c r="F1422" t="s">
        <v>177</v>
      </c>
      <c r="G1422" t="s">
        <v>180</v>
      </c>
    </row>
    <row r="1423" spans="1:7">
      <c r="A1423">
        <v>2033</v>
      </c>
      <c r="B1423" t="s">
        <v>195</v>
      </c>
      <c r="C1423">
        <v>13680.7</v>
      </c>
      <c r="D1423" t="s">
        <v>175</v>
      </c>
      <c r="E1423" t="s">
        <v>176</v>
      </c>
      <c r="F1423" t="s">
        <v>177</v>
      </c>
      <c r="G1423" t="s">
        <v>180</v>
      </c>
    </row>
    <row r="1424" spans="1:7">
      <c r="A1424">
        <v>2034</v>
      </c>
      <c r="B1424" t="s">
        <v>195</v>
      </c>
      <c r="C1424">
        <v>13680.7</v>
      </c>
      <c r="D1424" t="s">
        <v>175</v>
      </c>
      <c r="E1424" t="s">
        <v>176</v>
      </c>
      <c r="F1424" t="s">
        <v>177</v>
      </c>
      <c r="G1424" t="s">
        <v>180</v>
      </c>
    </row>
    <row r="1425" spans="1:7">
      <c r="A1425">
        <v>2035</v>
      </c>
      <c r="B1425" t="s">
        <v>195</v>
      </c>
      <c r="C1425">
        <v>13680.7</v>
      </c>
      <c r="D1425" t="s">
        <v>175</v>
      </c>
      <c r="E1425" t="s">
        <v>176</v>
      </c>
      <c r="F1425" t="s">
        <v>177</v>
      </c>
      <c r="G1425" t="s">
        <v>180</v>
      </c>
    </row>
    <row r="1426" spans="1:7">
      <c r="A1426">
        <v>2020</v>
      </c>
      <c r="B1426" t="s">
        <v>196</v>
      </c>
      <c r="C1426">
        <v>36558.400000000001</v>
      </c>
      <c r="D1426" t="s">
        <v>175</v>
      </c>
      <c r="E1426" t="s">
        <v>176</v>
      </c>
      <c r="F1426" t="s">
        <v>177</v>
      </c>
      <c r="G1426" t="s">
        <v>180</v>
      </c>
    </row>
    <row r="1427" spans="1:7">
      <c r="A1427">
        <v>2021</v>
      </c>
      <c r="B1427" t="s">
        <v>196</v>
      </c>
      <c r="C1427">
        <v>92920.8</v>
      </c>
      <c r="D1427" t="s">
        <v>175</v>
      </c>
      <c r="E1427" t="s">
        <v>176</v>
      </c>
      <c r="F1427" t="s">
        <v>177</v>
      </c>
      <c r="G1427" t="s">
        <v>180</v>
      </c>
    </row>
    <row r="1428" spans="1:7">
      <c r="A1428">
        <v>2022</v>
      </c>
      <c r="B1428" t="s">
        <v>196</v>
      </c>
      <c r="C1428">
        <v>92920.8</v>
      </c>
      <c r="D1428" t="s">
        <v>175</v>
      </c>
      <c r="E1428" t="s">
        <v>176</v>
      </c>
      <c r="F1428" t="s">
        <v>177</v>
      </c>
      <c r="G1428" t="s">
        <v>180</v>
      </c>
    </row>
    <row r="1429" spans="1:7">
      <c r="A1429">
        <v>2023</v>
      </c>
      <c r="B1429" t="s">
        <v>196</v>
      </c>
      <c r="C1429">
        <v>8673.77</v>
      </c>
      <c r="D1429" t="s">
        <v>175</v>
      </c>
      <c r="E1429" t="s">
        <v>176</v>
      </c>
      <c r="F1429" t="s">
        <v>177</v>
      </c>
      <c r="G1429" t="s">
        <v>180</v>
      </c>
    </row>
    <row r="1430" spans="1:7">
      <c r="A1430">
        <v>2024</v>
      </c>
      <c r="B1430" t="s">
        <v>196</v>
      </c>
      <c r="C1430">
        <v>8673.77</v>
      </c>
      <c r="D1430" t="s">
        <v>175</v>
      </c>
      <c r="E1430" t="s">
        <v>176</v>
      </c>
      <c r="F1430" t="s">
        <v>177</v>
      </c>
      <c r="G1430" t="s">
        <v>180</v>
      </c>
    </row>
    <row r="1431" spans="1:7">
      <c r="A1431">
        <v>2025</v>
      </c>
      <c r="B1431" t="s">
        <v>196</v>
      </c>
      <c r="C1431">
        <v>33008.5</v>
      </c>
      <c r="D1431" t="s">
        <v>175</v>
      </c>
      <c r="E1431" t="s">
        <v>176</v>
      </c>
      <c r="F1431" t="s">
        <v>177</v>
      </c>
      <c r="G1431" t="s">
        <v>180</v>
      </c>
    </row>
    <row r="1432" spans="1:7">
      <c r="A1432">
        <v>2026</v>
      </c>
      <c r="B1432" t="s">
        <v>196</v>
      </c>
      <c r="C1432">
        <v>33008.5</v>
      </c>
      <c r="D1432" t="s">
        <v>175</v>
      </c>
      <c r="E1432" t="s">
        <v>176</v>
      </c>
      <c r="F1432" t="s">
        <v>177</v>
      </c>
      <c r="G1432" t="s">
        <v>180</v>
      </c>
    </row>
    <row r="1433" spans="1:7">
      <c r="A1433">
        <v>2027</v>
      </c>
      <c r="B1433" t="s">
        <v>196</v>
      </c>
      <c r="C1433">
        <v>23350.400000000001</v>
      </c>
      <c r="D1433" t="s">
        <v>175</v>
      </c>
      <c r="E1433" t="s">
        <v>176</v>
      </c>
      <c r="F1433" t="s">
        <v>177</v>
      </c>
      <c r="G1433" t="s">
        <v>180</v>
      </c>
    </row>
    <row r="1434" spans="1:7">
      <c r="A1434">
        <v>2028</v>
      </c>
      <c r="B1434" t="s">
        <v>196</v>
      </c>
      <c r="C1434">
        <v>23350.400000000001</v>
      </c>
      <c r="D1434" t="s">
        <v>175</v>
      </c>
      <c r="E1434" t="s">
        <v>176</v>
      </c>
      <c r="F1434" t="s">
        <v>177</v>
      </c>
      <c r="G1434" t="s">
        <v>180</v>
      </c>
    </row>
    <row r="1435" spans="1:7">
      <c r="A1435">
        <v>2029</v>
      </c>
      <c r="B1435" t="s">
        <v>196</v>
      </c>
      <c r="C1435">
        <v>14015.2</v>
      </c>
      <c r="D1435" t="s">
        <v>175</v>
      </c>
      <c r="E1435" t="s">
        <v>176</v>
      </c>
      <c r="F1435" t="s">
        <v>177</v>
      </c>
      <c r="G1435" t="s">
        <v>180</v>
      </c>
    </row>
    <row r="1436" spans="1:7">
      <c r="A1436">
        <v>2030</v>
      </c>
      <c r="B1436" t="s">
        <v>196</v>
      </c>
      <c r="C1436">
        <v>14015.2</v>
      </c>
      <c r="D1436" t="s">
        <v>175</v>
      </c>
      <c r="E1436" t="s">
        <v>176</v>
      </c>
      <c r="F1436" t="s">
        <v>177</v>
      </c>
      <c r="G1436" t="s">
        <v>180</v>
      </c>
    </row>
    <row r="1437" spans="1:7">
      <c r="A1437">
        <v>2031</v>
      </c>
      <c r="B1437" t="s">
        <v>196</v>
      </c>
      <c r="C1437">
        <v>14769.6</v>
      </c>
      <c r="D1437" t="s">
        <v>175</v>
      </c>
      <c r="E1437" t="s">
        <v>176</v>
      </c>
      <c r="F1437" t="s">
        <v>177</v>
      </c>
      <c r="G1437" t="s">
        <v>180</v>
      </c>
    </row>
    <row r="1438" spans="1:7">
      <c r="A1438">
        <v>2032</v>
      </c>
      <c r="B1438" t="s">
        <v>196</v>
      </c>
      <c r="C1438">
        <v>14769.6</v>
      </c>
      <c r="D1438" t="s">
        <v>175</v>
      </c>
      <c r="E1438" t="s">
        <v>176</v>
      </c>
      <c r="F1438" t="s">
        <v>177</v>
      </c>
      <c r="G1438" t="s">
        <v>180</v>
      </c>
    </row>
    <row r="1439" spans="1:7">
      <c r="A1439">
        <v>2033</v>
      </c>
      <c r="B1439" t="s">
        <v>196</v>
      </c>
      <c r="C1439">
        <v>28428.1</v>
      </c>
      <c r="D1439" t="s">
        <v>175</v>
      </c>
      <c r="E1439" t="s">
        <v>176</v>
      </c>
      <c r="F1439" t="s">
        <v>177</v>
      </c>
      <c r="G1439" t="s">
        <v>180</v>
      </c>
    </row>
    <row r="1440" spans="1:7">
      <c r="A1440">
        <v>2034</v>
      </c>
      <c r="B1440" t="s">
        <v>196</v>
      </c>
      <c r="C1440">
        <v>28428.1</v>
      </c>
      <c r="D1440" t="s">
        <v>175</v>
      </c>
      <c r="E1440" t="s">
        <v>176</v>
      </c>
      <c r="F1440" t="s">
        <v>177</v>
      </c>
      <c r="G1440" t="s">
        <v>180</v>
      </c>
    </row>
    <row r="1441" spans="1:7">
      <c r="A1441">
        <v>2035</v>
      </c>
      <c r="B1441" t="s">
        <v>196</v>
      </c>
      <c r="C1441">
        <v>28428.1</v>
      </c>
      <c r="D1441" t="s">
        <v>175</v>
      </c>
      <c r="E1441" t="s">
        <v>176</v>
      </c>
      <c r="F1441" t="s">
        <v>177</v>
      </c>
      <c r="G1441" t="s">
        <v>180</v>
      </c>
    </row>
    <row r="1442" spans="1:7">
      <c r="A1442">
        <v>2020</v>
      </c>
      <c r="B1442" t="s">
        <v>188</v>
      </c>
      <c r="C1442">
        <v>102.45</v>
      </c>
      <c r="D1442" t="s">
        <v>184</v>
      </c>
      <c r="E1442" t="s">
        <v>176</v>
      </c>
      <c r="F1442" t="s">
        <v>177</v>
      </c>
      <c r="G1442" t="s">
        <v>178</v>
      </c>
    </row>
    <row r="1443" spans="1:7">
      <c r="A1443">
        <v>2021</v>
      </c>
      <c r="B1443" t="s">
        <v>188</v>
      </c>
      <c r="C1443">
        <v>9.5</v>
      </c>
      <c r="D1443" t="s">
        <v>184</v>
      </c>
      <c r="E1443" t="s">
        <v>176</v>
      </c>
      <c r="F1443" t="s">
        <v>177</v>
      </c>
      <c r="G1443" t="s">
        <v>178</v>
      </c>
    </row>
    <row r="1444" spans="1:7">
      <c r="A1444">
        <v>2022</v>
      </c>
      <c r="B1444" t="s">
        <v>188</v>
      </c>
      <c r="C1444">
        <v>9.5</v>
      </c>
      <c r="D1444" t="s">
        <v>184</v>
      </c>
      <c r="E1444" t="s">
        <v>176</v>
      </c>
      <c r="F1444" t="s">
        <v>177</v>
      </c>
      <c r="G1444" t="s">
        <v>178</v>
      </c>
    </row>
    <row r="1445" spans="1:7">
      <c r="A1445">
        <v>2023</v>
      </c>
      <c r="B1445" t="s">
        <v>188</v>
      </c>
      <c r="C1445">
        <v>0</v>
      </c>
      <c r="D1445" t="s">
        <v>184</v>
      </c>
      <c r="E1445" t="s">
        <v>176</v>
      </c>
      <c r="F1445" t="s">
        <v>177</v>
      </c>
      <c r="G1445" t="s">
        <v>178</v>
      </c>
    </row>
    <row r="1446" spans="1:7">
      <c r="A1446">
        <v>2024</v>
      </c>
      <c r="B1446" t="s">
        <v>188</v>
      </c>
      <c r="C1446">
        <v>0</v>
      </c>
      <c r="D1446" t="s">
        <v>184</v>
      </c>
      <c r="E1446" t="s">
        <v>176</v>
      </c>
      <c r="F1446" t="s">
        <v>177</v>
      </c>
      <c r="G1446" t="s">
        <v>178</v>
      </c>
    </row>
    <row r="1447" spans="1:7">
      <c r="A1447">
        <v>2025</v>
      </c>
      <c r="B1447" t="s">
        <v>188</v>
      </c>
      <c r="C1447">
        <v>0</v>
      </c>
      <c r="D1447" t="s">
        <v>184</v>
      </c>
      <c r="E1447" t="s">
        <v>176</v>
      </c>
      <c r="F1447" t="s">
        <v>177</v>
      </c>
      <c r="G1447" t="s">
        <v>178</v>
      </c>
    </row>
    <row r="1448" spans="1:7">
      <c r="A1448">
        <v>2026</v>
      </c>
      <c r="B1448" t="s">
        <v>188</v>
      </c>
      <c r="C1448">
        <v>0</v>
      </c>
      <c r="D1448" t="s">
        <v>184</v>
      </c>
      <c r="E1448" t="s">
        <v>176</v>
      </c>
      <c r="F1448" t="s">
        <v>177</v>
      </c>
      <c r="G1448" t="s">
        <v>178</v>
      </c>
    </row>
    <row r="1449" spans="1:7">
      <c r="A1449">
        <v>2027</v>
      </c>
      <c r="B1449" t="s">
        <v>188</v>
      </c>
      <c r="C1449">
        <v>0</v>
      </c>
      <c r="D1449" t="s">
        <v>184</v>
      </c>
      <c r="E1449" t="s">
        <v>176</v>
      </c>
      <c r="F1449" t="s">
        <v>177</v>
      </c>
      <c r="G1449" t="s">
        <v>178</v>
      </c>
    </row>
    <row r="1450" spans="1:7">
      <c r="A1450">
        <v>2028</v>
      </c>
      <c r="B1450" t="s">
        <v>188</v>
      </c>
      <c r="C1450">
        <v>0</v>
      </c>
      <c r="D1450" t="s">
        <v>184</v>
      </c>
      <c r="E1450" t="s">
        <v>176</v>
      </c>
      <c r="F1450" t="s">
        <v>177</v>
      </c>
      <c r="G1450" t="s">
        <v>178</v>
      </c>
    </row>
    <row r="1451" spans="1:7">
      <c r="A1451">
        <v>2029</v>
      </c>
      <c r="B1451" t="s">
        <v>188</v>
      </c>
      <c r="C1451">
        <v>0</v>
      </c>
      <c r="D1451" t="s">
        <v>184</v>
      </c>
      <c r="E1451" t="s">
        <v>176</v>
      </c>
      <c r="F1451" t="s">
        <v>177</v>
      </c>
      <c r="G1451" t="s">
        <v>178</v>
      </c>
    </row>
    <row r="1452" spans="1:7">
      <c r="A1452">
        <v>2030</v>
      </c>
      <c r="B1452" t="s">
        <v>188</v>
      </c>
      <c r="C1452">
        <v>0</v>
      </c>
      <c r="D1452" t="s">
        <v>184</v>
      </c>
      <c r="E1452" t="s">
        <v>176</v>
      </c>
      <c r="F1452" t="s">
        <v>177</v>
      </c>
      <c r="G1452" t="s">
        <v>178</v>
      </c>
    </row>
    <row r="1453" spans="1:7">
      <c r="A1453">
        <v>2031</v>
      </c>
      <c r="B1453" t="s">
        <v>188</v>
      </c>
      <c r="C1453">
        <v>0</v>
      </c>
      <c r="D1453" t="s">
        <v>184</v>
      </c>
      <c r="E1453" t="s">
        <v>176</v>
      </c>
      <c r="F1453" t="s">
        <v>177</v>
      </c>
      <c r="G1453" t="s">
        <v>178</v>
      </c>
    </row>
    <row r="1454" spans="1:7">
      <c r="A1454">
        <v>2032</v>
      </c>
      <c r="B1454" t="s">
        <v>188</v>
      </c>
      <c r="C1454">
        <v>0</v>
      </c>
      <c r="D1454" t="s">
        <v>184</v>
      </c>
      <c r="E1454" t="s">
        <v>176</v>
      </c>
      <c r="F1454" t="s">
        <v>177</v>
      </c>
      <c r="G1454" t="s">
        <v>178</v>
      </c>
    </row>
    <row r="1455" spans="1:7">
      <c r="A1455">
        <v>2033</v>
      </c>
      <c r="B1455" t="s">
        <v>188</v>
      </c>
      <c r="C1455">
        <v>0</v>
      </c>
      <c r="D1455" t="s">
        <v>184</v>
      </c>
      <c r="E1455" t="s">
        <v>176</v>
      </c>
      <c r="F1455" t="s">
        <v>177</v>
      </c>
      <c r="G1455" t="s">
        <v>178</v>
      </c>
    </row>
    <row r="1456" spans="1:7">
      <c r="A1456">
        <v>2034</v>
      </c>
      <c r="B1456" t="s">
        <v>188</v>
      </c>
      <c r="C1456">
        <v>0</v>
      </c>
      <c r="D1456" t="s">
        <v>184</v>
      </c>
      <c r="E1456" t="s">
        <v>176</v>
      </c>
      <c r="F1456" t="s">
        <v>177</v>
      </c>
      <c r="G1456" t="s">
        <v>178</v>
      </c>
    </row>
    <row r="1457" spans="1:7">
      <c r="A1457">
        <v>2035</v>
      </c>
      <c r="B1457" t="s">
        <v>188</v>
      </c>
      <c r="C1457">
        <v>0</v>
      </c>
      <c r="D1457" t="s">
        <v>184</v>
      </c>
      <c r="E1457" t="s">
        <v>176</v>
      </c>
      <c r="F1457" t="s">
        <v>177</v>
      </c>
      <c r="G1457" t="s">
        <v>178</v>
      </c>
    </row>
    <row r="1458" spans="1:7">
      <c r="A1458">
        <v>2020</v>
      </c>
      <c r="B1458" t="s">
        <v>189</v>
      </c>
      <c r="C1458">
        <v>0</v>
      </c>
      <c r="D1458" t="s">
        <v>184</v>
      </c>
      <c r="E1458" t="s">
        <v>176</v>
      </c>
      <c r="F1458" t="s">
        <v>177</v>
      </c>
      <c r="G1458" t="s">
        <v>178</v>
      </c>
    </row>
    <row r="1459" spans="1:7">
      <c r="A1459">
        <v>2021</v>
      </c>
      <c r="B1459" t="s">
        <v>189</v>
      </c>
      <c r="C1459">
        <v>0</v>
      </c>
      <c r="D1459" t="s">
        <v>184</v>
      </c>
      <c r="E1459" t="s">
        <v>176</v>
      </c>
      <c r="F1459" t="s">
        <v>177</v>
      </c>
      <c r="G1459" t="s">
        <v>178</v>
      </c>
    </row>
    <row r="1460" spans="1:7">
      <c r="A1460">
        <v>2022</v>
      </c>
      <c r="B1460" t="s">
        <v>189</v>
      </c>
      <c r="C1460">
        <v>0</v>
      </c>
      <c r="D1460" t="s">
        <v>184</v>
      </c>
      <c r="E1460" t="s">
        <v>176</v>
      </c>
      <c r="F1460" t="s">
        <v>177</v>
      </c>
      <c r="G1460" t="s">
        <v>178</v>
      </c>
    </row>
    <row r="1461" spans="1:7">
      <c r="A1461">
        <v>2023</v>
      </c>
      <c r="B1461" t="s">
        <v>189</v>
      </c>
      <c r="C1461">
        <v>0</v>
      </c>
      <c r="D1461" t="s">
        <v>184</v>
      </c>
      <c r="E1461" t="s">
        <v>176</v>
      </c>
      <c r="F1461" t="s">
        <v>177</v>
      </c>
      <c r="G1461" t="s">
        <v>178</v>
      </c>
    </row>
    <row r="1462" spans="1:7">
      <c r="A1462">
        <v>2024</v>
      </c>
      <c r="B1462" t="s">
        <v>189</v>
      </c>
      <c r="C1462">
        <v>0</v>
      </c>
      <c r="D1462" t="s">
        <v>184</v>
      </c>
      <c r="E1462" t="s">
        <v>176</v>
      </c>
      <c r="F1462" t="s">
        <v>177</v>
      </c>
      <c r="G1462" t="s">
        <v>178</v>
      </c>
    </row>
    <row r="1463" spans="1:7">
      <c r="A1463">
        <v>2025</v>
      </c>
      <c r="B1463" t="s">
        <v>189</v>
      </c>
      <c r="C1463">
        <v>0</v>
      </c>
      <c r="D1463" t="s">
        <v>184</v>
      </c>
      <c r="E1463" t="s">
        <v>176</v>
      </c>
      <c r="F1463" t="s">
        <v>177</v>
      </c>
      <c r="G1463" t="s">
        <v>178</v>
      </c>
    </row>
    <row r="1464" spans="1:7">
      <c r="A1464">
        <v>2026</v>
      </c>
      <c r="B1464" t="s">
        <v>189</v>
      </c>
      <c r="C1464">
        <v>0</v>
      </c>
      <c r="D1464" t="s">
        <v>184</v>
      </c>
      <c r="E1464" t="s">
        <v>176</v>
      </c>
      <c r="F1464" t="s">
        <v>177</v>
      </c>
      <c r="G1464" t="s">
        <v>178</v>
      </c>
    </row>
    <row r="1465" spans="1:7">
      <c r="A1465">
        <v>2027</v>
      </c>
      <c r="B1465" t="s">
        <v>189</v>
      </c>
      <c r="C1465">
        <v>0</v>
      </c>
      <c r="D1465" t="s">
        <v>184</v>
      </c>
      <c r="E1465" t="s">
        <v>176</v>
      </c>
      <c r="F1465" t="s">
        <v>177</v>
      </c>
      <c r="G1465" t="s">
        <v>178</v>
      </c>
    </row>
    <row r="1466" spans="1:7">
      <c r="A1466">
        <v>2028</v>
      </c>
      <c r="B1466" t="s">
        <v>189</v>
      </c>
      <c r="C1466">
        <v>0</v>
      </c>
      <c r="D1466" t="s">
        <v>184</v>
      </c>
      <c r="E1466" t="s">
        <v>176</v>
      </c>
      <c r="F1466" t="s">
        <v>177</v>
      </c>
      <c r="G1466" t="s">
        <v>178</v>
      </c>
    </row>
    <row r="1467" spans="1:7">
      <c r="A1467">
        <v>2029</v>
      </c>
      <c r="B1467" t="s">
        <v>189</v>
      </c>
      <c r="C1467">
        <v>0</v>
      </c>
      <c r="D1467" t="s">
        <v>184</v>
      </c>
      <c r="E1467" t="s">
        <v>176</v>
      </c>
      <c r="F1467" t="s">
        <v>177</v>
      </c>
      <c r="G1467" t="s">
        <v>178</v>
      </c>
    </row>
    <row r="1468" spans="1:7">
      <c r="A1468">
        <v>2030</v>
      </c>
      <c r="B1468" t="s">
        <v>189</v>
      </c>
      <c r="C1468">
        <v>0</v>
      </c>
      <c r="D1468" t="s">
        <v>184</v>
      </c>
      <c r="E1468" t="s">
        <v>176</v>
      </c>
      <c r="F1468" t="s">
        <v>177</v>
      </c>
      <c r="G1468" t="s">
        <v>178</v>
      </c>
    </row>
    <row r="1469" spans="1:7">
      <c r="A1469">
        <v>2031</v>
      </c>
      <c r="B1469" t="s">
        <v>189</v>
      </c>
      <c r="C1469">
        <v>0</v>
      </c>
      <c r="D1469" t="s">
        <v>184</v>
      </c>
      <c r="E1469" t="s">
        <v>176</v>
      </c>
      <c r="F1469" t="s">
        <v>177</v>
      </c>
      <c r="G1469" t="s">
        <v>178</v>
      </c>
    </row>
    <row r="1470" spans="1:7">
      <c r="A1470">
        <v>2032</v>
      </c>
      <c r="B1470" t="s">
        <v>189</v>
      </c>
      <c r="C1470">
        <v>0</v>
      </c>
      <c r="D1470" t="s">
        <v>184</v>
      </c>
      <c r="E1470" t="s">
        <v>176</v>
      </c>
      <c r="F1470" t="s">
        <v>177</v>
      </c>
      <c r="G1470" t="s">
        <v>178</v>
      </c>
    </row>
    <row r="1471" spans="1:7">
      <c r="A1471">
        <v>2033</v>
      </c>
      <c r="B1471" t="s">
        <v>189</v>
      </c>
      <c r="C1471">
        <v>0</v>
      </c>
      <c r="D1471" t="s">
        <v>184</v>
      </c>
      <c r="E1471" t="s">
        <v>176</v>
      </c>
      <c r="F1471" t="s">
        <v>177</v>
      </c>
      <c r="G1471" t="s">
        <v>178</v>
      </c>
    </row>
    <row r="1472" spans="1:7">
      <c r="A1472">
        <v>2034</v>
      </c>
      <c r="B1472" t="s">
        <v>189</v>
      </c>
      <c r="C1472">
        <v>0</v>
      </c>
      <c r="D1472" t="s">
        <v>184</v>
      </c>
      <c r="E1472" t="s">
        <v>176</v>
      </c>
      <c r="F1472" t="s">
        <v>177</v>
      </c>
      <c r="G1472" t="s">
        <v>178</v>
      </c>
    </row>
    <row r="1473" spans="1:7">
      <c r="A1473">
        <v>2035</v>
      </c>
      <c r="B1473" t="s">
        <v>189</v>
      </c>
      <c r="C1473">
        <v>0</v>
      </c>
      <c r="D1473" t="s">
        <v>184</v>
      </c>
      <c r="E1473" t="s">
        <v>176</v>
      </c>
      <c r="F1473" t="s">
        <v>177</v>
      </c>
      <c r="G1473" t="s">
        <v>178</v>
      </c>
    </row>
    <row r="1474" spans="1:7">
      <c r="A1474">
        <v>2020</v>
      </c>
      <c r="B1474" t="s">
        <v>190</v>
      </c>
      <c r="C1474">
        <v>13923.83</v>
      </c>
      <c r="D1474" t="s">
        <v>184</v>
      </c>
      <c r="E1474" t="s">
        <v>176</v>
      </c>
      <c r="F1474" t="s">
        <v>177</v>
      </c>
      <c r="G1474" t="s">
        <v>178</v>
      </c>
    </row>
    <row r="1475" spans="1:7">
      <c r="A1475">
        <v>2021</v>
      </c>
      <c r="B1475" t="s">
        <v>190</v>
      </c>
      <c r="C1475">
        <v>9875.68</v>
      </c>
      <c r="D1475" t="s">
        <v>184</v>
      </c>
      <c r="E1475" t="s">
        <v>176</v>
      </c>
      <c r="F1475" t="s">
        <v>177</v>
      </c>
      <c r="G1475" t="s">
        <v>178</v>
      </c>
    </row>
    <row r="1476" spans="1:7">
      <c r="A1476">
        <v>2022</v>
      </c>
      <c r="B1476" t="s">
        <v>190</v>
      </c>
      <c r="C1476">
        <v>9875.68</v>
      </c>
      <c r="D1476" t="s">
        <v>184</v>
      </c>
      <c r="E1476" t="s">
        <v>176</v>
      </c>
      <c r="F1476" t="s">
        <v>177</v>
      </c>
      <c r="G1476" t="s">
        <v>178</v>
      </c>
    </row>
    <row r="1477" spans="1:7">
      <c r="A1477">
        <v>2023</v>
      </c>
      <c r="B1477" t="s">
        <v>190</v>
      </c>
      <c r="C1477">
        <v>3446.54</v>
      </c>
      <c r="D1477" t="s">
        <v>184</v>
      </c>
      <c r="E1477" t="s">
        <v>176</v>
      </c>
      <c r="F1477" t="s">
        <v>177</v>
      </c>
      <c r="G1477" t="s">
        <v>178</v>
      </c>
    </row>
    <row r="1478" spans="1:7">
      <c r="A1478">
        <v>2024</v>
      </c>
      <c r="B1478" t="s">
        <v>190</v>
      </c>
      <c r="C1478">
        <v>3446.54</v>
      </c>
      <c r="D1478" t="s">
        <v>184</v>
      </c>
      <c r="E1478" t="s">
        <v>176</v>
      </c>
      <c r="F1478" t="s">
        <v>177</v>
      </c>
      <c r="G1478" t="s">
        <v>178</v>
      </c>
    </row>
    <row r="1479" spans="1:7">
      <c r="A1479">
        <v>2025</v>
      </c>
      <c r="B1479" t="s">
        <v>190</v>
      </c>
      <c r="C1479">
        <v>257.83600000000001</v>
      </c>
      <c r="D1479" t="s">
        <v>184</v>
      </c>
      <c r="E1479" t="s">
        <v>176</v>
      </c>
      <c r="F1479" t="s">
        <v>177</v>
      </c>
      <c r="G1479" t="s">
        <v>178</v>
      </c>
    </row>
    <row r="1480" spans="1:7">
      <c r="A1480">
        <v>2026</v>
      </c>
      <c r="B1480" t="s">
        <v>190</v>
      </c>
      <c r="C1480">
        <v>257.83600000000001</v>
      </c>
      <c r="D1480" t="s">
        <v>184</v>
      </c>
      <c r="E1480" t="s">
        <v>176</v>
      </c>
      <c r="F1480" t="s">
        <v>177</v>
      </c>
      <c r="G1480" t="s">
        <v>178</v>
      </c>
    </row>
    <row r="1481" spans="1:7">
      <c r="A1481">
        <v>2027</v>
      </c>
      <c r="B1481" t="s">
        <v>190</v>
      </c>
      <c r="C1481">
        <v>0</v>
      </c>
      <c r="D1481" t="s">
        <v>184</v>
      </c>
      <c r="E1481" t="s">
        <v>176</v>
      </c>
      <c r="F1481" t="s">
        <v>177</v>
      </c>
      <c r="G1481" t="s">
        <v>178</v>
      </c>
    </row>
    <row r="1482" spans="1:7">
      <c r="A1482">
        <v>2028</v>
      </c>
      <c r="B1482" t="s">
        <v>190</v>
      </c>
      <c r="C1482">
        <v>0</v>
      </c>
      <c r="D1482" t="s">
        <v>184</v>
      </c>
      <c r="E1482" t="s">
        <v>176</v>
      </c>
      <c r="F1482" t="s">
        <v>177</v>
      </c>
      <c r="G1482" t="s">
        <v>178</v>
      </c>
    </row>
    <row r="1483" spans="1:7">
      <c r="A1483">
        <v>2029</v>
      </c>
      <c r="B1483" t="s">
        <v>190</v>
      </c>
      <c r="C1483">
        <v>0</v>
      </c>
      <c r="D1483" t="s">
        <v>184</v>
      </c>
      <c r="E1483" t="s">
        <v>176</v>
      </c>
      <c r="F1483" t="s">
        <v>177</v>
      </c>
      <c r="G1483" t="s">
        <v>178</v>
      </c>
    </row>
    <row r="1484" spans="1:7">
      <c r="A1484">
        <v>2030</v>
      </c>
      <c r="B1484" t="s">
        <v>190</v>
      </c>
      <c r="C1484">
        <v>0</v>
      </c>
      <c r="D1484" t="s">
        <v>184</v>
      </c>
      <c r="E1484" t="s">
        <v>176</v>
      </c>
      <c r="F1484" t="s">
        <v>177</v>
      </c>
      <c r="G1484" t="s">
        <v>178</v>
      </c>
    </row>
    <row r="1485" spans="1:7">
      <c r="A1485">
        <v>2031</v>
      </c>
      <c r="B1485" t="s">
        <v>190</v>
      </c>
      <c r="C1485">
        <v>0</v>
      </c>
      <c r="D1485" t="s">
        <v>184</v>
      </c>
      <c r="E1485" t="s">
        <v>176</v>
      </c>
      <c r="F1485" t="s">
        <v>177</v>
      </c>
      <c r="G1485" t="s">
        <v>178</v>
      </c>
    </row>
    <row r="1486" spans="1:7">
      <c r="A1486">
        <v>2032</v>
      </c>
      <c r="B1486" t="s">
        <v>190</v>
      </c>
      <c r="C1486">
        <v>0</v>
      </c>
      <c r="D1486" t="s">
        <v>184</v>
      </c>
      <c r="E1486" t="s">
        <v>176</v>
      </c>
      <c r="F1486" t="s">
        <v>177</v>
      </c>
      <c r="G1486" t="s">
        <v>178</v>
      </c>
    </row>
    <row r="1487" spans="1:7">
      <c r="A1487">
        <v>2033</v>
      </c>
      <c r="B1487" t="s">
        <v>190</v>
      </c>
      <c r="C1487">
        <v>0</v>
      </c>
      <c r="D1487" t="s">
        <v>184</v>
      </c>
      <c r="E1487" t="s">
        <v>176</v>
      </c>
      <c r="F1487" t="s">
        <v>177</v>
      </c>
      <c r="G1487" t="s">
        <v>178</v>
      </c>
    </row>
    <row r="1488" spans="1:7">
      <c r="A1488">
        <v>2034</v>
      </c>
      <c r="B1488" t="s">
        <v>190</v>
      </c>
      <c r="C1488">
        <v>0</v>
      </c>
      <c r="D1488" t="s">
        <v>184</v>
      </c>
      <c r="E1488" t="s">
        <v>176</v>
      </c>
      <c r="F1488" t="s">
        <v>177</v>
      </c>
      <c r="G1488" t="s">
        <v>178</v>
      </c>
    </row>
    <row r="1489" spans="1:7">
      <c r="A1489">
        <v>2035</v>
      </c>
      <c r="B1489" t="s">
        <v>190</v>
      </c>
      <c r="C1489">
        <v>0</v>
      </c>
      <c r="D1489" t="s">
        <v>184</v>
      </c>
      <c r="E1489" t="s">
        <v>176</v>
      </c>
      <c r="F1489" t="s">
        <v>177</v>
      </c>
      <c r="G1489" t="s">
        <v>178</v>
      </c>
    </row>
    <row r="1490" spans="1:7">
      <c r="A1490">
        <v>2020</v>
      </c>
      <c r="B1490" t="s">
        <v>191</v>
      </c>
      <c r="C1490">
        <v>0</v>
      </c>
      <c r="D1490" t="s">
        <v>184</v>
      </c>
      <c r="E1490" t="s">
        <v>176</v>
      </c>
      <c r="F1490" t="s">
        <v>177</v>
      </c>
      <c r="G1490" t="s">
        <v>178</v>
      </c>
    </row>
    <row r="1491" spans="1:7">
      <c r="A1491">
        <v>2021</v>
      </c>
      <c r="B1491" t="s">
        <v>191</v>
      </c>
      <c r="C1491">
        <v>0</v>
      </c>
      <c r="D1491" t="s">
        <v>184</v>
      </c>
      <c r="E1491" t="s">
        <v>176</v>
      </c>
      <c r="F1491" t="s">
        <v>177</v>
      </c>
      <c r="G1491" t="s">
        <v>178</v>
      </c>
    </row>
    <row r="1492" spans="1:7">
      <c r="A1492">
        <v>2022</v>
      </c>
      <c r="B1492" t="s">
        <v>191</v>
      </c>
      <c r="C1492">
        <v>0</v>
      </c>
      <c r="D1492" t="s">
        <v>184</v>
      </c>
      <c r="E1492" t="s">
        <v>176</v>
      </c>
      <c r="F1492" t="s">
        <v>177</v>
      </c>
      <c r="G1492" t="s">
        <v>178</v>
      </c>
    </row>
    <row r="1493" spans="1:7">
      <c r="A1493">
        <v>2023</v>
      </c>
      <c r="B1493" t="s">
        <v>191</v>
      </c>
      <c r="C1493">
        <v>0</v>
      </c>
      <c r="D1493" t="s">
        <v>184</v>
      </c>
      <c r="E1493" t="s">
        <v>176</v>
      </c>
      <c r="F1493" t="s">
        <v>177</v>
      </c>
      <c r="G1493" t="s">
        <v>178</v>
      </c>
    </row>
    <row r="1494" spans="1:7">
      <c r="A1494">
        <v>2024</v>
      </c>
      <c r="B1494" t="s">
        <v>191</v>
      </c>
      <c r="C1494">
        <v>0</v>
      </c>
      <c r="D1494" t="s">
        <v>184</v>
      </c>
      <c r="E1494" t="s">
        <v>176</v>
      </c>
      <c r="F1494" t="s">
        <v>177</v>
      </c>
      <c r="G1494" t="s">
        <v>178</v>
      </c>
    </row>
    <row r="1495" spans="1:7">
      <c r="A1495">
        <v>2025</v>
      </c>
      <c r="B1495" t="s">
        <v>191</v>
      </c>
      <c r="C1495">
        <v>0</v>
      </c>
      <c r="D1495" t="s">
        <v>184</v>
      </c>
      <c r="E1495" t="s">
        <v>176</v>
      </c>
      <c r="F1495" t="s">
        <v>177</v>
      </c>
      <c r="G1495" t="s">
        <v>178</v>
      </c>
    </row>
    <row r="1496" spans="1:7">
      <c r="A1496">
        <v>2026</v>
      </c>
      <c r="B1496" t="s">
        <v>191</v>
      </c>
      <c r="C1496">
        <v>0</v>
      </c>
      <c r="D1496" t="s">
        <v>184</v>
      </c>
      <c r="E1496" t="s">
        <v>176</v>
      </c>
      <c r="F1496" t="s">
        <v>177</v>
      </c>
      <c r="G1496" t="s">
        <v>178</v>
      </c>
    </row>
    <row r="1497" spans="1:7">
      <c r="A1497">
        <v>2027</v>
      </c>
      <c r="B1497" t="s">
        <v>191</v>
      </c>
      <c r="C1497">
        <v>0</v>
      </c>
      <c r="D1497" t="s">
        <v>184</v>
      </c>
      <c r="E1497" t="s">
        <v>176</v>
      </c>
      <c r="F1497" t="s">
        <v>177</v>
      </c>
      <c r="G1497" t="s">
        <v>178</v>
      </c>
    </row>
    <row r="1498" spans="1:7">
      <c r="A1498">
        <v>2028</v>
      </c>
      <c r="B1498" t="s">
        <v>191</v>
      </c>
      <c r="C1498">
        <v>0</v>
      </c>
      <c r="D1498" t="s">
        <v>184</v>
      </c>
      <c r="E1498" t="s">
        <v>176</v>
      </c>
      <c r="F1498" t="s">
        <v>177</v>
      </c>
      <c r="G1498" t="s">
        <v>178</v>
      </c>
    </row>
    <row r="1499" spans="1:7">
      <c r="A1499">
        <v>2029</v>
      </c>
      <c r="B1499" t="s">
        <v>191</v>
      </c>
      <c r="C1499">
        <v>0</v>
      </c>
      <c r="D1499" t="s">
        <v>184</v>
      </c>
      <c r="E1499" t="s">
        <v>176</v>
      </c>
      <c r="F1499" t="s">
        <v>177</v>
      </c>
      <c r="G1499" t="s">
        <v>178</v>
      </c>
    </row>
    <row r="1500" spans="1:7">
      <c r="A1500">
        <v>2030</v>
      </c>
      <c r="B1500" t="s">
        <v>191</v>
      </c>
      <c r="C1500">
        <v>0</v>
      </c>
      <c r="D1500" t="s">
        <v>184</v>
      </c>
      <c r="E1500" t="s">
        <v>176</v>
      </c>
      <c r="F1500" t="s">
        <v>177</v>
      </c>
      <c r="G1500" t="s">
        <v>178</v>
      </c>
    </row>
    <row r="1501" spans="1:7">
      <c r="A1501">
        <v>2031</v>
      </c>
      <c r="B1501" t="s">
        <v>191</v>
      </c>
      <c r="C1501">
        <v>0</v>
      </c>
      <c r="D1501" t="s">
        <v>184</v>
      </c>
      <c r="E1501" t="s">
        <v>176</v>
      </c>
      <c r="F1501" t="s">
        <v>177</v>
      </c>
      <c r="G1501" t="s">
        <v>178</v>
      </c>
    </row>
    <row r="1502" spans="1:7">
      <c r="A1502">
        <v>2032</v>
      </c>
      <c r="B1502" t="s">
        <v>191</v>
      </c>
      <c r="C1502">
        <v>0</v>
      </c>
      <c r="D1502" t="s">
        <v>184</v>
      </c>
      <c r="E1502" t="s">
        <v>176</v>
      </c>
      <c r="F1502" t="s">
        <v>177</v>
      </c>
      <c r="G1502" t="s">
        <v>178</v>
      </c>
    </row>
    <row r="1503" spans="1:7">
      <c r="A1503">
        <v>2033</v>
      </c>
      <c r="B1503" t="s">
        <v>191</v>
      </c>
      <c r="C1503">
        <v>0</v>
      </c>
      <c r="D1503" t="s">
        <v>184</v>
      </c>
      <c r="E1503" t="s">
        <v>176</v>
      </c>
      <c r="F1503" t="s">
        <v>177</v>
      </c>
      <c r="G1503" t="s">
        <v>178</v>
      </c>
    </row>
    <row r="1504" spans="1:7">
      <c r="A1504">
        <v>2034</v>
      </c>
      <c r="B1504" t="s">
        <v>191</v>
      </c>
      <c r="C1504">
        <v>0</v>
      </c>
      <c r="D1504" t="s">
        <v>184</v>
      </c>
      <c r="E1504" t="s">
        <v>176</v>
      </c>
      <c r="F1504" t="s">
        <v>177</v>
      </c>
      <c r="G1504" t="s">
        <v>178</v>
      </c>
    </row>
    <row r="1505" spans="1:7">
      <c r="A1505">
        <v>2035</v>
      </c>
      <c r="B1505" t="s">
        <v>191</v>
      </c>
      <c r="C1505">
        <v>0</v>
      </c>
      <c r="D1505" t="s">
        <v>184</v>
      </c>
      <c r="E1505" t="s">
        <v>176</v>
      </c>
      <c r="F1505" t="s">
        <v>177</v>
      </c>
      <c r="G1505" t="s">
        <v>178</v>
      </c>
    </row>
    <row r="1506" spans="1:7">
      <c r="A1506">
        <v>2020</v>
      </c>
      <c r="B1506" t="s">
        <v>192</v>
      </c>
      <c r="C1506">
        <v>1835.86</v>
      </c>
      <c r="D1506" t="s">
        <v>184</v>
      </c>
      <c r="E1506" t="s">
        <v>176</v>
      </c>
      <c r="F1506" t="s">
        <v>177</v>
      </c>
      <c r="G1506" t="s">
        <v>178</v>
      </c>
    </row>
    <row r="1507" spans="1:7">
      <c r="A1507">
        <v>2021</v>
      </c>
      <c r="B1507" t="s">
        <v>192</v>
      </c>
      <c r="C1507">
        <v>0</v>
      </c>
      <c r="D1507" t="s">
        <v>184</v>
      </c>
      <c r="E1507" t="s">
        <v>176</v>
      </c>
      <c r="F1507" t="s">
        <v>177</v>
      </c>
      <c r="G1507" t="s">
        <v>178</v>
      </c>
    </row>
    <row r="1508" spans="1:7">
      <c r="A1508">
        <v>2022</v>
      </c>
      <c r="B1508" t="s">
        <v>192</v>
      </c>
      <c r="C1508">
        <v>0</v>
      </c>
      <c r="D1508" t="s">
        <v>184</v>
      </c>
      <c r="E1508" t="s">
        <v>176</v>
      </c>
      <c r="F1508" t="s">
        <v>177</v>
      </c>
      <c r="G1508" t="s">
        <v>178</v>
      </c>
    </row>
    <row r="1509" spans="1:7">
      <c r="A1509">
        <v>2023</v>
      </c>
      <c r="B1509" t="s">
        <v>192</v>
      </c>
      <c r="C1509">
        <v>53.5</v>
      </c>
      <c r="D1509" t="s">
        <v>184</v>
      </c>
      <c r="E1509" t="s">
        <v>176</v>
      </c>
      <c r="F1509" t="s">
        <v>177</v>
      </c>
      <c r="G1509" t="s">
        <v>178</v>
      </c>
    </row>
    <row r="1510" spans="1:7">
      <c r="A1510">
        <v>2024</v>
      </c>
      <c r="B1510" t="s">
        <v>192</v>
      </c>
      <c r="C1510">
        <v>53.5</v>
      </c>
      <c r="D1510" t="s">
        <v>184</v>
      </c>
      <c r="E1510" t="s">
        <v>176</v>
      </c>
      <c r="F1510" t="s">
        <v>177</v>
      </c>
      <c r="G1510" t="s">
        <v>178</v>
      </c>
    </row>
    <row r="1511" spans="1:7">
      <c r="A1511">
        <v>2025</v>
      </c>
      <c r="B1511" t="s">
        <v>192</v>
      </c>
      <c r="C1511">
        <v>19</v>
      </c>
      <c r="D1511" t="s">
        <v>184</v>
      </c>
      <c r="E1511" t="s">
        <v>176</v>
      </c>
      <c r="F1511" t="s">
        <v>177</v>
      </c>
      <c r="G1511" t="s">
        <v>178</v>
      </c>
    </row>
    <row r="1512" spans="1:7">
      <c r="A1512">
        <v>2026</v>
      </c>
      <c r="B1512" t="s">
        <v>192</v>
      </c>
      <c r="C1512">
        <v>19</v>
      </c>
      <c r="D1512" t="s">
        <v>184</v>
      </c>
      <c r="E1512" t="s">
        <v>176</v>
      </c>
      <c r="F1512" t="s">
        <v>177</v>
      </c>
      <c r="G1512" t="s">
        <v>178</v>
      </c>
    </row>
    <row r="1513" spans="1:7">
      <c r="A1513">
        <v>2027</v>
      </c>
      <c r="B1513" t="s">
        <v>192</v>
      </c>
      <c r="C1513">
        <v>25</v>
      </c>
      <c r="D1513" t="s">
        <v>184</v>
      </c>
      <c r="E1513" t="s">
        <v>176</v>
      </c>
      <c r="F1513" t="s">
        <v>177</v>
      </c>
      <c r="G1513" t="s">
        <v>178</v>
      </c>
    </row>
    <row r="1514" spans="1:7">
      <c r="A1514">
        <v>2028</v>
      </c>
      <c r="B1514" t="s">
        <v>192</v>
      </c>
      <c r="C1514">
        <v>25</v>
      </c>
      <c r="D1514" t="s">
        <v>184</v>
      </c>
      <c r="E1514" t="s">
        <v>176</v>
      </c>
      <c r="F1514" t="s">
        <v>177</v>
      </c>
      <c r="G1514" t="s">
        <v>178</v>
      </c>
    </row>
    <row r="1515" spans="1:7">
      <c r="A1515">
        <v>2029</v>
      </c>
      <c r="B1515" t="s">
        <v>192</v>
      </c>
      <c r="C1515">
        <v>0</v>
      </c>
      <c r="D1515" t="s">
        <v>184</v>
      </c>
      <c r="E1515" t="s">
        <v>176</v>
      </c>
      <c r="F1515" t="s">
        <v>177</v>
      </c>
      <c r="G1515" t="s">
        <v>178</v>
      </c>
    </row>
    <row r="1516" spans="1:7">
      <c r="A1516">
        <v>2030</v>
      </c>
      <c r="B1516" t="s">
        <v>192</v>
      </c>
      <c r="C1516">
        <v>0</v>
      </c>
      <c r="D1516" t="s">
        <v>184</v>
      </c>
      <c r="E1516" t="s">
        <v>176</v>
      </c>
      <c r="F1516" t="s">
        <v>177</v>
      </c>
      <c r="G1516" t="s">
        <v>178</v>
      </c>
    </row>
    <row r="1517" spans="1:7">
      <c r="A1517">
        <v>2031</v>
      </c>
      <c r="B1517" t="s">
        <v>192</v>
      </c>
      <c r="C1517">
        <v>0</v>
      </c>
      <c r="D1517" t="s">
        <v>184</v>
      </c>
      <c r="E1517" t="s">
        <v>176</v>
      </c>
      <c r="F1517" t="s">
        <v>177</v>
      </c>
      <c r="G1517" t="s">
        <v>178</v>
      </c>
    </row>
    <row r="1518" spans="1:7">
      <c r="A1518">
        <v>2032</v>
      </c>
      <c r="B1518" t="s">
        <v>192</v>
      </c>
      <c r="C1518">
        <v>0</v>
      </c>
      <c r="D1518" t="s">
        <v>184</v>
      </c>
      <c r="E1518" t="s">
        <v>176</v>
      </c>
      <c r="F1518" t="s">
        <v>177</v>
      </c>
      <c r="G1518" t="s">
        <v>178</v>
      </c>
    </row>
    <row r="1519" spans="1:7">
      <c r="A1519">
        <v>2033</v>
      </c>
      <c r="B1519" t="s">
        <v>192</v>
      </c>
      <c r="C1519">
        <v>0</v>
      </c>
      <c r="D1519" t="s">
        <v>184</v>
      </c>
      <c r="E1519" t="s">
        <v>176</v>
      </c>
      <c r="F1519" t="s">
        <v>177</v>
      </c>
      <c r="G1519" t="s">
        <v>178</v>
      </c>
    </row>
    <row r="1520" spans="1:7">
      <c r="A1520">
        <v>2034</v>
      </c>
      <c r="B1520" t="s">
        <v>192</v>
      </c>
      <c r="C1520">
        <v>0</v>
      </c>
      <c r="D1520" t="s">
        <v>184</v>
      </c>
      <c r="E1520" t="s">
        <v>176</v>
      </c>
      <c r="F1520" t="s">
        <v>177</v>
      </c>
      <c r="G1520" t="s">
        <v>178</v>
      </c>
    </row>
    <row r="1521" spans="1:7">
      <c r="A1521">
        <v>2035</v>
      </c>
      <c r="B1521" t="s">
        <v>192</v>
      </c>
      <c r="C1521">
        <v>0</v>
      </c>
      <c r="D1521" t="s">
        <v>184</v>
      </c>
      <c r="E1521" t="s">
        <v>176</v>
      </c>
      <c r="F1521" t="s">
        <v>177</v>
      </c>
      <c r="G1521" t="s">
        <v>178</v>
      </c>
    </row>
    <row r="1522" spans="1:7">
      <c r="A1522">
        <v>2020</v>
      </c>
      <c r="B1522" t="s">
        <v>193</v>
      </c>
      <c r="C1522">
        <v>232.5</v>
      </c>
      <c r="D1522" t="s">
        <v>184</v>
      </c>
      <c r="E1522" t="s">
        <v>176</v>
      </c>
      <c r="F1522" t="s">
        <v>177</v>
      </c>
      <c r="G1522" t="s">
        <v>178</v>
      </c>
    </row>
    <row r="1523" spans="1:7">
      <c r="A1523">
        <v>2021</v>
      </c>
      <c r="B1523" t="s">
        <v>193</v>
      </c>
      <c r="C1523">
        <v>1100</v>
      </c>
      <c r="D1523" t="s">
        <v>184</v>
      </c>
      <c r="E1523" t="s">
        <v>176</v>
      </c>
      <c r="F1523" t="s">
        <v>177</v>
      </c>
      <c r="G1523" t="s">
        <v>178</v>
      </c>
    </row>
    <row r="1524" spans="1:7">
      <c r="A1524">
        <v>2022</v>
      </c>
      <c r="B1524" t="s">
        <v>193</v>
      </c>
      <c r="C1524">
        <v>1100</v>
      </c>
      <c r="D1524" t="s">
        <v>184</v>
      </c>
      <c r="E1524" t="s">
        <v>176</v>
      </c>
      <c r="F1524" t="s">
        <v>177</v>
      </c>
      <c r="G1524" t="s">
        <v>178</v>
      </c>
    </row>
    <row r="1525" spans="1:7">
      <c r="A1525">
        <v>2023</v>
      </c>
      <c r="B1525" t="s">
        <v>193</v>
      </c>
      <c r="C1525">
        <v>0</v>
      </c>
      <c r="D1525" t="s">
        <v>184</v>
      </c>
      <c r="E1525" t="s">
        <v>176</v>
      </c>
      <c r="F1525" t="s">
        <v>177</v>
      </c>
      <c r="G1525" t="s">
        <v>178</v>
      </c>
    </row>
    <row r="1526" spans="1:7">
      <c r="A1526">
        <v>2024</v>
      </c>
      <c r="B1526" t="s">
        <v>193</v>
      </c>
      <c r="C1526">
        <v>0</v>
      </c>
      <c r="D1526" t="s">
        <v>184</v>
      </c>
      <c r="E1526" t="s">
        <v>176</v>
      </c>
      <c r="F1526" t="s">
        <v>177</v>
      </c>
      <c r="G1526" t="s">
        <v>178</v>
      </c>
    </row>
    <row r="1527" spans="1:7">
      <c r="A1527">
        <v>2025</v>
      </c>
      <c r="B1527" t="s">
        <v>193</v>
      </c>
      <c r="C1527">
        <v>0</v>
      </c>
      <c r="D1527" t="s">
        <v>184</v>
      </c>
      <c r="E1527" t="s">
        <v>176</v>
      </c>
      <c r="F1527" t="s">
        <v>177</v>
      </c>
      <c r="G1527" t="s">
        <v>178</v>
      </c>
    </row>
    <row r="1528" spans="1:7">
      <c r="A1528">
        <v>2026</v>
      </c>
      <c r="B1528" t="s">
        <v>193</v>
      </c>
      <c r="C1528">
        <v>0</v>
      </c>
      <c r="D1528" t="s">
        <v>184</v>
      </c>
      <c r="E1528" t="s">
        <v>176</v>
      </c>
      <c r="F1528" t="s">
        <v>177</v>
      </c>
      <c r="G1528" t="s">
        <v>178</v>
      </c>
    </row>
    <row r="1529" spans="1:7">
      <c r="A1529">
        <v>2027</v>
      </c>
      <c r="B1529" t="s">
        <v>193</v>
      </c>
      <c r="C1529">
        <v>0</v>
      </c>
      <c r="D1529" t="s">
        <v>184</v>
      </c>
      <c r="E1529" t="s">
        <v>176</v>
      </c>
      <c r="F1529" t="s">
        <v>177</v>
      </c>
      <c r="G1529" t="s">
        <v>178</v>
      </c>
    </row>
    <row r="1530" spans="1:7">
      <c r="A1530">
        <v>2028</v>
      </c>
      <c r="B1530" t="s">
        <v>193</v>
      </c>
      <c r="C1530">
        <v>0</v>
      </c>
      <c r="D1530" t="s">
        <v>184</v>
      </c>
      <c r="E1530" t="s">
        <v>176</v>
      </c>
      <c r="F1530" t="s">
        <v>177</v>
      </c>
      <c r="G1530" t="s">
        <v>178</v>
      </c>
    </row>
    <row r="1531" spans="1:7">
      <c r="A1531">
        <v>2029</v>
      </c>
      <c r="B1531" t="s">
        <v>193</v>
      </c>
      <c r="C1531">
        <v>0</v>
      </c>
      <c r="D1531" t="s">
        <v>184</v>
      </c>
      <c r="E1531" t="s">
        <v>176</v>
      </c>
      <c r="F1531" t="s">
        <v>177</v>
      </c>
      <c r="G1531" t="s">
        <v>178</v>
      </c>
    </row>
    <row r="1532" spans="1:7">
      <c r="A1532">
        <v>2030</v>
      </c>
      <c r="B1532" t="s">
        <v>193</v>
      </c>
      <c r="C1532">
        <v>0</v>
      </c>
      <c r="D1532" t="s">
        <v>184</v>
      </c>
      <c r="E1532" t="s">
        <v>176</v>
      </c>
      <c r="F1532" t="s">
        <v>177</v>
      </c>
      <c r="G1532" t="s">
        <v>178</v>
      </c>
    </row>
    <row r="1533" spans="1:7">
      <c r="A1533">
        <v>2031</v>
      </c>
      <c r="B1533" t="s">
        <v>193</v>
      </c>
      <c r="C1533">
        <v>0</v>
      </c>
      <c r="D1533" t="s">
        <v>184</v>
      </c>
      <c r="E1533" t="s">
        <v>176</v>
      </c>
      <c r="F1533" t="s">
        <v>177</v>
      </c>
      <c r="G1533" t="s">
        <v>178</v>
      </c>
    </row>
    <row r="1534" spans="1:7">
      <c r="A1534">
        <v>2032</v>
      </c>
      <c r="B1534" t="s">
        <v>193</v>
      </c>
      <c r="C1534">
        <v>0</v>
      </c>
      <c r="D1534" t="s">
        <v>184</v>
      </c>
      <c r="E1534" t="s">
        <v>176</v>
      </c>
      <c r="F1534" t="s">
        <v>177</v>
      </c>
      <c r="G1534" t="s">
        <v>178</v>
      </c>
    </row>
    <row r="1535" spans="1:7">
      <c r="A1535">
        <v>2033</v>
      </c>
      <c r="B1535" t="s">
        <v>193</v>
      </c>
      <c r="C1535">
        <v>0</v>
      </c>
      <c r="D1535" t="s">
        <v>184</v>
      </c>
      <c r="E1535" t="s">
        <v>176</v>
      </c>
      <c r="F1535" t="s">
        <v>177</v>
      </c>
      <c r="G1535" t="s">
        <v>178</v>
      </c>
    </row>
    <row r="1536" spans="1:7">
      <c r="A1536">
        <v>2034</v>
      </c>
      <c r="B1536" t="s">
        <v>193</v>
      </c>
      <c r="C1536">
        <v>0</v>
      </c>
      <c r="D1536" t="s">
        <v>184</v>
      </c>
      <c r="E1536" t="s">
        <v>176</v>
      </c>
      <c r="F1536" t="s">
        <v>177</v>
      </c>
      <c r="G1536" t="s">
        <v>178</v>
      </c>
    </row>
    <row r="1537" spans="1:7">
      <c r="A1537">
        <v>2035</v>
      </c>
      <c r="B1537" t="s">
        <v>193</v>
      </c>
      <c r="C1537">
        <v>0</v>
      </c>
      <c r="D1537" t="s">
        <v>184</v>
      </c>
      <c r="E1537" t="s">
        <v>176</v>
      </c>
      <c r="F1537" t="s">
        <v>177</v>
      </c>
      <c r="G1537" t="s">
        <v>178</v>
      </c>
    </row>
    <row r="1538" spans="1:7">
      <c r="A1538">
        <v>2020</v>
      </c>
      <c r="B1538" t="s">
        <v>194</v>
      </c>
      <c r="C1538">
        <v>14.85</v>
      </c>
      <c r="D1538" t="s">
        <v>184</v>
      </c>
      <c r="E1538" t="s">
        <v>176</v>
      </c>
      <c r="F1538" t="s">
        <v>177</v>
      </c>
      <c r="G1538" t="s">
        <v>178</v>
      </c>
    </row>
    <row r="1539" spans="1:7">
      <c r="A1539">
        <v>2021</v>
      </c>
      <c r="B1539" t="s">
        <v>194</v>
      </c>
      <c r="C1539">
        <v>0</v>
      </c>
      <c r="D1539" t="s">
        <v>184</v>
      </c>
      <c r="E1539" t="s">
        <v>176</v>
      </c>
      <c r="F1539" t="s">
        <v>177</v>
      </c>
      <c r="G1539" t="s">
        <v>178</v>
      </c>
    </row>
    <row r="1540" spans="1:7">
      <c r="A1540">
        <v>2022</v>
      </c>
      <c r="B1540" t="s">
        <v>194</v>
      </c>
      <c r="C1540">
        <v>0</v>
      </c>
      <c r="D1540" t="s">
        <v>184</v>
      </c>
      <c r="E1540" t="s">
        <v>176</v>
      </c>
      <c r="F1540" t="s">
        <v>177</v>
      </c>
      <c r="G1540" t="s">
        <v>178</v>
      </c>
    </row>
    <row r="1541" spans="1:7">
      <c r="A1541">
        <v>2023</v>
      </c>
      <c r="B1541" t="s">
        <v>194</v>
      </c>
      <c r="C1541">
        <v>0</v>
      </c>
      <c r="D1541" t="s">
        <v>184</v>
      </c>
      <c r="E1541" t="s">
        <v>176</v>
      </c>
      <c r="F1541" t="s">
        <v>177</v>
      </c>
      <c r="G1541" t="s">
        <v>178</v>
      </c>
    </row>
    <row r="1542" spans="1:7">
      <c r="A1542">
        <v>2024</v>
      </c>
      <c r="B1542" t="s">
        <v>194</v>
      </c>
      <c r="C1542">
        <v>0</v>
      </c>
      <c r="D1542" t="s">
        <v>184</v>
      </c>
      <c r="E1542" t="s">
        <v>176</v>
      </c>
      <c r="F1542" t="s">
        <v>177</v>
      </c>
      <c r="G1542" t="s">
        <v>178</v>
      </c>
    </row>
    <row r="1543" spans="1:7">
      <c r="A1543">
        <v>2025</v>
      </c>
      <c r="B1543" t="s">
        <v>194</v>
      </c>
      <c r="C1543">
        <v>0</v>
      </c>
      <c r="D1543" t="s">
        <v>184</v>
      </c>
      <c r="E1543" t="s">
        <v>176</v>
      </c>
      <c r="F1543" t="s">
        <v>177</v>
      </c>
      <c r="G1543" t="s">
        <v>178</v>
      </c>
    </row>
    <row r="1544" spans="1:7">
      <c r="A1544">
        <v>2026</v>
      </c>
      <c r="B1544" t="s">
        <v>194</v>
      </c>
      <c r="C1544">
        <v>0</v>
      </c>
      <c r="D1544" t="s">
        <v>184</v>
      </c>
      <c r="E1544" t="s">
        <v>176</v>
      </c>
      <c r="F1544" t="s">
        <v>177</v>
      </c>
      <c r="G1544" t="s">
        <v>178</v>
      </c>
    </row>
    <row r="1545" spans="1:7">
      <c r="A1545">
        <v>2027</v>
      </c>
      <c r="B1545" t="s">
        <v>194</v>
      </c>
      <c r="C1545">
        <v>0</v>
      </c>
      <c r="D1545" t="s">
        <v>184</v>
      </c>
      <c r="E1545" t="s">
        <v>176</v>
      </c>
      <c r="F1545" t="s">
        <v>177</v>
      </c>
      <c r="G1545" t="s">
        <v>178</v>
      </c>
    </row>
    <row r="1546" spans="1:7">
      <c r="A1546">
        <v>2028</v>
      </c>
      <c r="B1546" t="s">
        <v>194</v>
      </c>
      <c r="C1546">
        <v>0</v>
      </c>
      <c r="D1546" t="s">
        <v>184</v>
      </c>
      <c r="E1546" t="s">
        <v>176</v>
      </c>
      <c r="F1546" t="s">
        <v>177</v>
      </c>
      <c r="G1546" t="s">
        <v>178</v>
      </c>
    </row>
    <row r="1547" spans="1:7">
      <c r="A1547">
        <v>2029</v>
      </c>
      <c r="B1547" t="s">
        <v>194</v>
      </c>
      <c r="C1547">
        <v>0</v>
      </c>
      <c r="D1547" t="s">
        <v>184</v>
      </c>
      <c r="E1547" t="s">
        <v>176</v>
      </c>
      <c r="F1547" t="s">
        <v>177</v>
      </c>
      <c r="G1547" t="s">
        <v>178</v>
      </c>
    </row>
    <row r="1548" spans="1:7">
      <c r="A1548">
        <v>2030</v>
      </c>
      <c r="B1548" t="s">
        <v>194</v>
      </c>
      <c r="C1548">
        <v>0</v>
      </c>
      <c r="D1548" t="s">
        <v>184</v>
      </c>
      <c r="E1548" t="s">
        <v>176</v>
      </c>
      <c r="F1548" t="s">
        <v>177</v>
      </c>
      <c r="G1548" t="s">
        <v>178</v>
      </c>
    </row>
    <row r="1549" spans="1:7">
      <c r="A1549">
        <v>2031</v>
      </c>
      <c r="B1549" t="s">
        <v>194</v>
      </c>
      <c r="C1549">
        <v>0</v>
      </c>
      <c r="D1549" t="s">
        <v>184</v>
      </c>
      <c r="E1549" t="s">
        <v>176</v>
      </c>
      <c r="F1549" t="s">
        <v>177</v>
      </c>
      <c r="G1549" t="s">
        <v>178</v>
      </c>
    </row>
    <row r="1550" spans="1:7">
      <c r="A1550">
        <v>2032</v>
      </c>
      <c r="B1550" t="s">
        <v>194</v>
      </c>
      <c r="C1550">
        <v>0</v>
      </c>
      <c r="D1550" t="s">
        <v>184</v>
      </c>
      <c r="E1550" t="s">
        <v>176</v>
      </c>
      <c r="F1550" t="s">
        <v>177</v>
      </c>
      <c r="G1550" t="s">
        <v>178</v>
      </c>
    </row>
    <row r="1551" spans="1:7">
      <c r="A1551">
        <v>2033</v>
      </c>
      <c r="B1551" t="s">
        <v>194</v>
      </c>
      <c r="C1551">
        <v>0</v>
      </c>
      <c r="D1551" t="s">
        <v>184</v>
      </c>
      <c r="E1551" t="s">
        <v>176</v>
      </c>
      <c r="F1551" t="s">
        <v>177</v>
      </c>
      <c r="G1551" t="s">
        <v>178</v>
      </c>
    </row>
    <row r="1552" spans="1:7">
      <c r="A1552">
        <v>2034</v>
      </c>
      <c r="B1552" t="s">
        <v>194</v>
      </c>
      <c r="C1552">
        <v>0</v>
      </c>
      <c r="D1552" t="s">
        <v>184</v>
      </c>
      <c r="E1552" t="s">
        <v>176</v>
      </c>
      <c r="F1552" t="s">
        <v>177</v>
      </c>
      <c r="G1552" t="s">
        <v>178</v>
      </c>
    </row>
    <row r="1553" spans="1:7">
      <c r="A1553">
        <v>2035</v>
      </c>
      <c r="B1553" t="s">
        <v>194</v>
      </c>
      <c r="C1553">
        <v>0</v>
      </c>
      <c r="D1553" t="s">
        <v>184</v>
      </c>
      <c r="E1553" t="s">
        <v>176</v>
      </c>
      <c r="F1553" t="s">
        <v>177</v>
      </c>
      <c r="G1553" t="s">
        <v>178</v>
      </c>
    </row>
    <row r="1554" spans="1:7">
      <c r="A1554">
        <v>2020</v>
      </c>
      <c r="B1554" t="s">
        <v>195</v>
      </c>
      <c r="C1554">
        <v>10227.299999999999</v>
      </c>
      <c r="D1554" t="s">
        <v>184</v>
      </c>
      <c r="E1554" t="s">
        <v>176</v>
      </c>
      <c r="F1554" t="s">
        <v>177</v>
      </c>
      <c r="G1554" t="s">
        <v>178</v>
      </c>
    </row>
    <row r="1555" spans="1:7">
      <c r="A1555">
        <v>2021</v>
      </c>
      <c r="B1555" t="s">
        <v>195</v>
      </c>
      <c r="C1555">
        <v>3575.41</v>
      </c>
      <c r="D1555" t="s">
        <v>184</v>
      </c>
      <c r="E1555" t="s">
        <v>176</v>
      </c>
      <c r="F1555" t="s">
        <v>177</v>
      </c>
      <c r="G1555" t="s">
        <v>178</v>
      </c>
    </row>
    <row r="1556" spans="1:7">
      <c r="A1556">
        <v>2022</v>
      </c>
      <c r="B1556" t="s">
        <v>195</v>
      </c>
      <c r="C1556">
        <v>3575.41</v>
      </c>
      <c r="D1556" t="s">
        <v>184</v>
      </c>
      <c r="E1556" t="s">
        <v>176</v>
      </c>
      <c r="F1556" t="s">
        <v>177</v>
      </c>
      <c r="G1556" t="s">
        <v>178</v>
      </c>
    </row>
    <row r="1557" spans="1:7">
      <c r="A1557">
        <v>2023</v>
      </c>
      <c r="B1557" t="s">
        <v>195</v>
      </c>
      <c r="C1557">
        <v>17608.3</v>
      </c>
      <c r="D1557" t="s">
        <v>184</v>
      </c>
      <c r="E1557" t="s">
        <v>176</v>
      </c>
      <c r="F1557" t="s">
        <v>177</v>
      </c>
      <c r="G1557" t="s">
        <v>178</v>
      </c>
    </row>
    <row r="1558" spans="1:7">
      <c r="A1558">
        <v>2024</v>
      </c>
      <c r="B1558" t="s">
        <v>195</v>
      </c>
      <c r="C1558">
        <v>17608.3</v>
      </c>
      <c r="D1558" t="s">
        <v>184</v>
      </c>
      <c r="E1558" t="s">
        <v>176</v>
      </c>
      <c r="F1558" t="s">
        <v>177</v>
      </c>
      <c r="G1558" t="s">
        <v>178</v>
      </c>
    </row>
    <row r="1559" spans="1:7">
      <c r="A1559">
        <v>2025</v>
      </c>
      <c r="B1559" t="s">
        <v>195</v>
      </c>
      <c r="C1559">
        <v>43241.599999999999</v>
      </c>
      <c r="D1559" t="s">
        <v>184</v>
      </c>
      <c r="E1559" t="s">
        <v>176</v>
      </c>
      <c r="F1559" t="s">
        <v>177</v>
      </c>
      <c r="G1559" t="s">
        <v>178</v>
      </c>
    </row>
    <row r="1560" spans="1:7">
      <c r="A1560">
        <v>2026</v>
      </c>
      <c r="B1560" t="s">
        <v>195</v>
      </c>
      <c r="C1560">
        <v>43241.599999999999</v>
      </c>
      <c r="D1560" t="s">
        <v>184</v>
      </c>
      <c r="E1560" t="s">
        <v>176</v>
      </c>
      <c r="F1560" t="s">
        <v>177</v>
      </c>
      <c r="G1560" t="s">
        <v>178</v>
      </c>
    </row>
    <row r="1561" spans="1:7">
      <c r="A1561">
        <v>2027</v>
      </c>
      <c r="B1561" t="s">
        <v>195</v>
      </c>
      <c r="C1561">
        <v>35764.1</v>
      </c>
      <c r="D1561" t="s">
        <v>184</v>
      </c>
      <c r="E1561" t="s">
        <v>176</v>
      </c>
      <c r="F1561" t="s">
        <v>177</v>
      </c>
      <c r="G1561" t="s">
        <v>178</v>
      </c>
    </row>
    <row r="1562" spans="1:7">
      <c r="A1562">
        <v>2028</v>
      </c>
      <c r="B1562" t="s">
        <v>195</v>
      </c>
      <c r="C1562">
        <v>35764.1</v>
      </c>
      <c r="D1562" t="s">
        <v>184</v>
      </c>
      <c r="E1562" t="s">
        <v>176</v>
      </c>
      <c r="F1562" t="s">
        <v>177</v>
      </c>
      <c r="G1562" t="s">
        <v>178</v>
      </c>
    </row>
    <row r="1563" spans="1:7">
      <c r="A1563">
        <v>2029</v>
      </c>
      <c r="B1563" t="s">
        <v>195</v>
      </c>
      <c r="C1563">
        <v>45329.3</v>
      </c>
      <c r="D1563" t="s">
        <v>184</v>
      </c>
      <c r="E1563" t="s">
        <v>176</v>
      </c>
      <c r="F1563" t="s">
        <v>177</v>
      </c>
      <c r="G1563" t="s">
        <v>178</v>
      </c>
    </row>
    <row r="1564" spans="1:7">
      <c r="A1564">
        <v>2030</v>
      </c>
      <c r="B1564" t="s">
        <v>195</v>
      </c>
      <c r="C1564">
        <v>45329.3</v>
      </c>
      <c r="D1564" t="s">
        <v>184</v>
      </c>
      <c r="E1564" t="s">
        <v>176</v>
      </c>
      <c r="F1564" t="s">
        <v>177</v>
      </c>
      <c r="G1564" t="s">
        <v>178</v>
      </c>
    </row>
    <row r="1565" spans="1:7">
      <c r="A1565">
        <v>2031</v>
      </c>
      <c r="B1565" t="s">
        <v>195</v>
      </c>
      <c r="C1565">
        <v>28573.5</v>
      </c>
      <c r="D1565" t="s">
        <v>184</v>
      </c>
      <c r="E1565" t="s">
        <v>176</v>
      </c>
      <c r="F1565" t="s">
        <v>177</v>
      </c>
      <c r="G1565" t="s">
        <v>178</v>
      </c>
    </row>
    <row r="1566" spans="1:7">
      <c r="A1566">
        <v>2032</v>
      </c>
      <c r="B1566" t="s">
        <v>195</v>
      </c>
      <c r="C1566">
        <v>28573.5</v>
      </c>
      <c r="D1566" t="s">
        <v>184</v>
      </c>
      <c r="E1566" t="s">
        <v>176</v>
      </c>
      <c r="F1566" t="s">
        <v>177</v>
      </c>
      <c r="G1566" t="s">
        <v>178</v>
      </c>
    </row>
    <row r="1567" spans="1:7">
      <c r="A1567">
        <v>2033</v>
      </c>
      <c r="B1567" t="s">
        <v>195</v>
      </c>
      <c r="C1567">
        <v>27246</v>
      </c>
      <c r="D1567" t="s">
        <v>184</v>
      </c>
      <c r="E1567" t="s">
        <v>176</v>
      </c>
      <c r="F1567" t="s">
        <v>177</v>
      </c>
      <c r="G1567" t="s">
        <v>178</v>
      </c>
    </row>
    <row r="1568" spans="1:7">
      <c r="A1568">
        <v>2034</v>
      </c>
      <c r="B1568" t="s">
        <v>195</v>
      </c>
      <c r="C1568">
        <v>27246</v>
      </c>
      <c r="D1568" t="s">
        <v>184</v>
      </c>
      <c r="E1568" t="s">
        <v>176</v>
      </c>
      <c r="F1568" t="s">
        <v>177</v>
      </c>
      <c r="G1568" t="s">
        <v>178</v>
      </c>
    </row>
    <row r="1569" spans="1:7">
      <c r="A1569">
        <v>2035</v>
      </c>
      <c r="B1569" t="s">
        <v>195</v>
      </c>
      <c r="C1569">
        <v>27246</v>
      </c>
      <c r="D1569" t="s">
        <v>184</v>
      </c>
      <c r="E1569" t="s">
        <v>176</v>
      </c>
      <c r="F1569" t="s">
        <v>177</v>
      </c>
      <c r="G1569" t="s">
        <v>178</v>
      </c>
    </row>
    <row r="1570" spans="1:7">
      <c r="A1570">
        <v>2020</v>
      </c>
      <c r="B1570" t="s">
        <v>196</v>
      </c>
      <c r="C1570">
        <v>10377.5</v>
      </c>
      <c r="D1570" t="s">
        <v>184</v>
      </c>
      <c r="E1570" t="s">
        <v>176</v>
      </c>
      <c r="F1570" t="s">
        <v>177</v>
      </c>
      <c r="G1570" t="s">
        <v>178</v>
      </c>
    </row>
    <row r="1571" spans="1:7">
      <c r="A1571">
        <v>2021</v>
      </c>
      <c r="B1571" t="s">
        <v>196</v>
      </c>
      <c r="C1571">
        <v>2685.5</v>
      </c>
      <c r="D1571" t="s">
        <v>184</v>
      </c>
      <c r="E1571" t="s">
        <v>176</v>
      </c>
      <c r="F1571" t="s">
        <v>177</v>
      </c>
      <c r="G1571" t="s">
        <v>178</v>
      </c>
    </row>
    <row r="1572" spans="1:7">
      <c r="A1572">
        <v>2022</v>
      </c>
      <c r="B1572" t="s">
        <v>196</v>
      </c>
      <c r="C1572">
        <v>2685.5</v>
      </c>
      <c r="D1572" t="s">
        <v>184</v>
      </c>
      <c r="E1572" t="s">
        <v>176</v>
      </c>
      <c r="F1572" t="s">
        <v>177</v>
      </c>
      <c r="G1572" t="s">
        <v>178</v>
      </c>
    </row>
    <row r="1573" spans="1:7">
      <c r="A1573">
        <v>2023</v>
      </c>
      <c r="B1573" t="s">
        <v>196</v>
      </c>
      <c r="C1573">
        <v>2545.77</v>
      </c>
      <c r="D1573" t="s">
        <v>184</v>
      </c>
      <c r="E1573" t="s">
        <v>176</v>
      </c>
      <c r="F1573" t="s">
        <v>177</v>
      </c>
      <c r="G1573" t="s">
        <v>178</v>
      </c>
    </row>
    <row r="1574" spans="1:7">
      <c r="A1574">
        <v>2024</v>
      </c>
      <c r="B1574" t="s">
        <v>196</v>
      </c>
      <c r="C1574">
        <v>2545.77</v>
      </c>
      <c r="D1574" t="s">
        <v>184</v>
      </c>
      <c r="E1574" t="s">
        <v>176</v>
      </c>
      <c r="F1574" t="s">
        <v>177</v>
      </c>
      <c r="G1574" t="s">
        <v>178</v>
      </c>
    </row>
    <row r="1575" spans="1:7">
      <c r="A1575">
        <v>2025</v>
      </c>
      <c r="B1575" t="s">
        <v>196</v>
      </c>
      <c r="C1575">
        <v>3794.17</v>
      </c>
      <c r="D1575" t="s">
        <v>184</v>
      </c>
      <c r="E1575" t="s">
        <v>176</v>
      </c>
      <c r="F1575" t="s">
        <v>177</v>
      </c>
      <c r="G1575" t="s">
        <v>178</v>
      </c>
    </row>
    <row r="1576" spans="1:7">
      <c r="A1576">
        <v>2026</v>
      </c>
      <c r="B1576" t="s">
        <v>196</v>
      </c>
      <c r="C1576">
        <v>3794.17</v>
      </c>
      <c r="D1576" t="s">
        <v>184</v>
      </c>
      <c r="E1576" t="s">
        <v>176</v>
      </c>
      <c r="F1576" t="s">
        <v>177</v>
      </c>
      <c r="G1576" t="s">
        <v>178</v>
      </c>
    </row>
    <row r="1577" spans="1:7">
      <c r="A1577">
        <v>2027</v>
      </c>
      <c r="B1577" t="s">
        <v>196</v>
      </c>
      <c r="C1577">
        <v>11687.9</v>
      </c>
      <c r="D1577" t="s">
        <v>184</v>
      </c>
      <c r="E1577" t="s">
        <v>176</v>
      </c>
      <c r="F1577" t="s">
        <v>177</v>
      </c>
      <c r="G1577" t="s">
        <v>178</v>
      </c>
    </row>
    <row r="1578" spans="1:7">
      <c r="A1578">
        <v>2028</v>
      </c>
      <c r="B1578" t="s">
        <v>196</v>
      </c>
      <c r="C1578">
        <v>11687.9</v>
      </c>
      <c r="D1578" t="s">
        <v>184</v>
      </c>
      <c r="E1578" t="s">
        <v>176</v>
      </c>
      <c r="F1578" t="s">
        <v>177</v>
      </c>
      <c r="G1578" t="s">
        <v>178</v>
      </c>
    </row>
    <row r="1579" spans="1:7">
      <c r="A1579">
        <v>2029</v>
      </c>
      <c r="B1579" t="s">
        <v>196</v>
      </c>
      <c r="C1579">
        <v>10509.3</v>
      </c>
      <c r="D1579" t="s">
        <v>184</v>
      </c>
      <c r="E1579" t="s">
        <v>176</v>
      </c>
      <c r="F1579" t="s">
        <v>177</v>
      </c>
      <c r="G1579" t="s">
        <v>178</v>
      </c>
    </row>
    <row r="1580" spans="1:7">
      <c r="A1580">
        <v>2030</v>
      </c>
      <c r="B1580" t="s">
        <v>196</v>
      </c>
      <c r="C1580">
        <v>10509.3</v>
      </c>
      <c r="D1580" t="s">
        <v>184</v>
      </c>
      <c r="E1580" t="s">
        <v>176</v>
      </c>
      <c r="F1580" t="s">
        <v>177</v>
      </c>
      <c r="G1580" t="s">
        <v>178</v>
      </c>
    </row>
    <row r="1581" spans="1:7">
      <c r="A1581">
        <v>2031</v>
      </c>
      <c r="B1581" t="s">
        <v>196</v>
      </c>
      <c r="C1581">
        <v>12768.6</v>
      </c>
      <c r="D1581" t="s">
        <v>184</v>
      </c>
      <c r="E1581" t="s">
        <v>176</v>
      </c>
      <c r="F1581" t="s">
        <v>177</v>
      </c>
      <c r="G1581" t="s">
        <v>178</v>
      </c>
    </row>
    <row r="1582" spans="1:7">
      <c r="A1582">
        <v>2032</v>
      </c>
      <c r="B1582" t="s">
        <v>196</v>
      </c>
      <c r="C1582">
        <v>12768.6</v>
      </c>
      <c r="D1582" t="s">
        <v>184</v>
      </c>
      <c r="E1582" t="s">
        <v>176</v>
      </c>
      <c r="F1582" t="s">
        <v>177</v>
      </c>
      <c r="G1582" t="s">
        <v>178</v>
      </c>
    </row>
    <row r="1583" spans="1:7">
      <c r="A1583">
        <v>2033</v>
      </c>
      <c r="B1583" t="s">
        <v>196</v>
      </c>
      <c r="C1583">
        <v>16694.3</v>
      </c>
      <c r="D1583" t="s">
        <v>184</v>
      </c>
      <c r="E1583" t="s">
        <v>176</v>
      </c>
      <c r="F1583" t="s">
        <v>177</v>
      </c>
      <c r="G1583" t="s">
        <v>178</v>
      </c>
    </row>
    <row r="1584" spans="1:7">
      <c r="A1584">
        <v>2034</v>
      </c>
      <c r="B1584" t="s">
        <v>196</v>
      </c>
      <c r="C1584">
        <v>16694.3</v>
      </c>
      <c r="D1584" t="s">
        <v>184</v>
      </c>
      <c r="E1584" t="s">
        <v>176</v>
      </c>
      <c r="F1584" t="s">
        <v>177</v>
      </c>
      <c r="G1584" t="s">
        <v>178</v>
      </c>
    </row>
    <row r="1585" spans="1:7">
      <c r="A1585">
        <v>2035</v>
      </c>
      <c r="B1585" t="s">
        <v>196</v>
      </c>
      <c r="C1585">
        <v>16694.3</v>
      </c>
      <c r="D1585" t="s">
        <v>184</v>
      </c>
      <c r="E1585" t="s">
        <v>176</v>
      </c>
      <c r="F1585" t="s">
        <v>177</v>
      </c>
      <c r="G1585" t="s">
        <v>178</v>
      </c>
    </row>
    <row r="1586" spans="1:7">
      <c r="A1586">
        <v>2020</v>
      </c>
      <c r="B1586" t="s">
        <v>188</v>
      </c>
      <c r="C1586">
        <v>102.45</v>
      </c>
      <c r="D1586" t="s">
        <v>184</v>
      </c>
      <c r="E1586" t="s">
        <v>176</v>
      </c>
      <c r="F1586" t="s">
        <v>177</v>
      </c>
      <c r="G1586" t="s">
        <v>179</v>
      </c>
    </row>
    <row r="1587" spans="1:7">
      <c r="A1587">
        <v>2021</v>
      </c>
      <c r="B1587" t="s">
        <v>188</v>
      </c>
      <c r="C1587">
        <v>9.5</v>
      </c>
      <c r="D1587" t="s">
        <v>184</v>
      </c>
      <c r="E1587" t="s">
        <v>176</v>
      </c>
      <c r="F1587" t="s">
        <v>177</v>
      </c>
      <c r="G1587" t="s">
        <v>179</v>
      </c>
    </row>
    <row r="1588" spans="1:7">
      <c r="A1588">
        <v>2022</v>
      </c>
      <c r="B1588" t="s">
        <v>188</v>
      </c>
      <c r="C1588">
        <v>9.5</v>
      </c>
      <c r="D1588" t="s">
        <v>184</v>
      </c>
      <c r="E1588" t="s">
        <v>176</v>
      </c>
      <c r="F1588" t="s">
        <v>177</v>
      </c>
      <c r="G1588" t="s">
        <v>179</v>
      </c>
    </row>
    <row r="1589" spans="1:7">
      <c r="A1589">
        <v>2023</v>
      </c>
      <c r="B1589" t="s">
        <v>188</v>
      </c>
      <c r="C1589">
        <v>0</v>
      </c>
      <c r="D1589" t="s">
        <v>184</v>
      </c>
      <c r="E1589" t="s">
        <v>176</v>
      </c>
      <c r="F1589" t="s">
        <v>177</v>
      </c>
      <c r="G1589" t="s">
        <v>179</v>
      </c>
    </row>
    <row r="1590" spans="1:7">
      <c r="A1590">
        <v>2024</v>
      </c>
      <c r="B1590" t="s">
        <v>188</v>
      </c>
      <c r="C1590">
        <v>0</v>
      </c>
      <c r="D1590" t="s">
        <v>184</v>
      </c>
      <c r="E1590" t="s">
        <v>176</v>
      </c>
      <c r="F1590" t="s">
        <v>177</v>
      </c>
      <c r="G1590" t="s">
        <v>179</v>
      </c>
    </row>
    <row r="1591" spans="1:7">
      <c r="A1591">
        <v>2025</v>
      </c>
      <c r="B1591" t="s">
        <v>188</v>
      </c>
      <c r="C1591">
        <v>0</v>
      </c>
      <c r="D1591" t="s">
        <v>184</v>
      </c>
      <c r="E1591" t="s">
        <v>176</v>
      </c>
      <c r="F1591" t="s">
        <v>177</v>
      </c>
      <c r="G1591" t="s">
        <v>179</v>
      </c>
    </row>
    <row r="1592" spans="1:7">
      <c r="A1592">
        <v>2026</v>
      </c>
      <c r="B1592" t="s">
        <v>188</v>
      </c>
      <c r="C1592">
        <v>0</v>
      </c>
      <c r="D1592" t="s">
        <v>184</v>
      </c>
      <c r="E1592" t="s">
        <v>176</v>
      </c>
      <c r="F1592" t="s">
        <v>177</v>
      </c>
      <c r="G1592" t="s">
        <v>179</v>
      </c>
    </row>
    <row r="1593" spans="1:7">
      <c r="A1593">
        <v>2027</v>
      </c>
      <c r="B1593" t="s">
        <v>188</v>
      </c>
      <c r="C1593">
        <v>0</v>
      </c>
      <c r="D1593" t="s">
        <v>184</v>
      </c>
      <c r="E1593" t="s">
        <v>176</v>
      </c>
      <c r="F1593" t="s">
        <v>177</v>
      </c>
      <c r="G1593" t="s">
        <v>179</v>
      </c>
    </row>
    <row r="1594" spans="1:7">
      <c r="A1594">
        <v>2028</v>
      </c>
      <c r="B1594" t="s">
        <v>188</v>
      </c>
      <c r="C1594">
        <v>0</v>
      </c>
      <c r="D1594" t="s">
        <v>184</v>
      </c>
      <c r="E1594" t="s">
        <v>176</v>
      </c>
      <c r="F1594" t="s">
        <v>177</v>
      </c>
      <c r="G1594" t="s">
        <v>179</v>
      </c>
    </row>
    <row r="1595" spans="1:7">
      <c r="A1595">
        <v>2029</v>
      </c>
      <c r="B1595" t="s">
        <v>188</v>
      </c>
      <c r="C1595">
        <v>0</v>
      </c>
      <c r="D1595" t="s">
        <v>184</v>
      </c>
      <c r="E1595" t="s">
        <v>176</v>
      </c>
      <c r="F1595" t="s">
        <v>177</v>
      </c>
      <c r="G1595" t="s">
        <v>179</v>
      </c>
    </row>
    <row r="1596" spans="1:7">
      <c r="A1596">
        <v>2030</v>
      </c>
      <c r="B1596" t="s">
        <v>188</v>
      </c>
      <c r="C1596">
        <v>0</v>
      </c>
      <c r="D1596" t="s">
        <v>184</v>
      </c>
      <c r="E1596" t="s">
        <v>176</v>
      </c>
      <c r="F1596" t="s">
        <v>177</v>
      </c>
      <c r="G1596" t="s">
        <v>179</v>
      </c>
    </row>
    <row r="1597" spans="1:7">
      <c r="A1597">
        <v>2031</v>
      </c>
      <c r="B1597" t="s">
        <v>188</v>
      </c>
      <c r="C1597">
        <v>0</v>
      </c>
      <c r="D1597" t="s">
        <v>184</v>
      </c>
      <c r="E1597" t="s">
        <v>176</v>
      </c>
      <c r="F1597" t="s">
        <v>177</v>
      </c>
      <c r="G1597" t="s">
        <v>179</v>
      </c>
    </row>
    <row r="1598" spans="1:7">
      <c r="A1598">
        <v>2032</v>
      </c>
      <c r="B1598" t="s">
        <v>188</v>
      </c>
      <c r="C1598">
        <v>0</v>
      </c>
      <c r="D1598" t="s">
        <v>184</v>
      </c>
      <c r="E1598" t="s">
        <v>176</v>
      </c>
      <c r="F1598" t="s">
        <v>177</v>
      </c>
      <c r="G1598" t="s">
        <v>179</v>
      </c>
    </row>
    <row r="1599" spans="1:7">
      <c r="A1599">
        <v>2033</v>
      </c>
      <c r="B1599" t="s">
        <v>188</v>
      </c>
      <c r="C1599">
        <v>0</v>
      </c>
      <c r="D1599" t="s">
        <v>184</v>
      </c>
      <c r="E1599" t="s">
        <v>176</v>
      </c>
      <c r="F1599" t="s">
        <v>177</v>
      </c>
      <c r="G1599" t="s">
        <v>179</v>
      </c>
    </row>
    <row r="1600" spans="1:7">
      <c r="A1600">
        <v>2034</v>
      </c>
      <c r="B1600" t="s">
        <v>188</v>
      </c>
      <c r="C1600">
        <v>0</v>
      </c>
      <c r="D1600" t="s">
        <v>184</v>
      </c>
      <c r="E1600" t="s">
        <v>176</v>
      </c>
      <c r="F1600" t="s">
        <v>177</v>
      </c>
      <c r="G1600" t="s">
        <v>179</v>
      </c>
    </row>
    <row r="1601" spans="1:7">
      <c r="A1601">
        <v>2035</v>
      </c>
      <c r="B1601" t="s">
        <v>188</v>
      </c>
      <c r="C1601">
        <v>0</v>
      </c>
      <c r="D1601" t="s">
        <v>184</v>
      </c>
      <c r="E1601" t="s">
        <v>176</v>
      </c>
      <c r="F1601" t="s">
        <v>177</v>
      </c>
      <c r="G1601" t="s">
        <v>179</v>
      </c>
    </row>
    <row r="1602" spans="1:7">
      <c r="A1602">
        <v>2020</v>
      </c>
      <c r="B1602" t="s">
        <v>189</v>
      </c>
      <c r="C1602">
        <v>0</v>
      </c>
      <c r="D1602" t="s">
        <v>184</v>
      </c>
      <c r="E1602" t="s">
        <v>176</v>
      </c>
      <c r="F1602" t="s">
        <v>177</v>
      </c>
      <c r="G1602" t="s">
        <v>179</v>
      </c>
    </row>
    <row r="1603" spans="1:7">
      <c r="A1603">
        <v>2021</v>
      </c>
      <c r="B1603" t="s">
        <v>189</v>
      </c>
      <c r="C1603">
        <v>0</v>
      </c>
      <c r="D1603" t="s">
        <v>184</v>
      </c>
      <c r="E1603" t="s">
        <v>176</v>
      </c>
      <c r="F1603" t="s">
        <v>177</v>
      </c>
      <c r="G1603" t="s">
        <v>179</v>
      </c>
    </row>
    <row r="1604" spans="1:7">
      <c r="A1604">
        <v>2022</v>
      </c>
      <c r="B1604" t="s">
        <v>189</v>
      </c>
      <c r="C1604">
        <v>0</v>
      </c>
      <c r="D1604" t="s">
        <v>184</v>
      </c>
      <c r="E1604" t="s">
        <v>176</v>
      </c>
      <c r="F1604" t="s">
        <v>177</v>
      </c>
      <c r="G1604" t="s">
        <v>179</v>
      </c>
    </row>
    <row r="1605" spans="1:7">
      <c r="A1605">
        <v>2023</v>
      </c>
      <c r="B1605" t="s">
        <v>189</v>
      </c>
      <c r="C1605">
        <v>0</v>
      </c>
      <c r="D1605" t="s">
        <v>184</v>
      </c>
      <c r="E1605" t="s">
        <v>176</v>
      </c>
      <c r="F1605" t="s">
        <v>177</v>
      </c>
      <c r="G1605" t="s">
        <v>179</v>
      </c>
    </row>
    <row r="1606" spans="1:7">
      <c r="A1606">
        <v>2024</v>
      </c>
      <c r="B1606" t="s">
        <v>189</v>
      </c>
      <c r="C1606">
        <v>0</v>
      </c>
      <c r="D1606" t="s">
        <v>184</v>
      </c>
      <c r="E1606" t="s">
        <v>176</v>
      </c>
      <c r="F1606" t="s">
        <v>177</v>
      </c>
      <c r="G1606" t="s">
        <v>179</v>
      </c>
    </row>
    <row r="1607" spans="1:7">
      <c r="A1607">
        <v>2025</v>
      </c>
      <c r="B1607" t="s">
        <v>189</v>
      </c>
      <c r="C1607">
        <v>0</v>
      </c>
      <c r="D1607" t="s">
        <v>184</v>
      </c>
      <c r="E1607" t="s">
        <v>176</v>
      </c>
      <c r="F1607" t="s">
        <v>177</v>
      </c>
      <c r="G1607" t="s">
        <v>179</v>
      </c>
    </row>
    <row r="1608" spans="1:7">
      <c r="A1608">
        <v>2026</v>
      </c>
      <c r="B1608" t="s">
        <v>189</v>
      </c>
      <c r="C1608">
        <v>0</v>
      </c>
      <c r="D1608" t="s">
        <v>184</v>
      </c>
      <c r="E1608" t="s">
        <v>176</v>
      </c>
      <c r="F1608" t="s">
        <v>177</v>
      </c>
      <c r="G1608" t="s">
        <v>179</v>
      </c>
    </row>
    <row r="1609" spans="1:7">
      <c r="A1609">
        <v>2027</v>
      </c>
      <c r="B1609" t="s">
        <v>189</v>
      </c>
      <c r="C1609">
        <v>0</v>
      </c>
      <c r="D1609" t="s">
        <v>184</v>
      </c>
      <c r="E1609" t="s">
        <v>176</v>
      </c>
      <c r="F1609" t="s">
        <v>177</v>
      </c>
      <c r="G1609" t="s">
        <v>179</v>
      </c>
    </row>
    <row r="1610" spans="1:7">
      <c r="A1610">
        <v>2028</v>
      </c>
      <c r="B1610" t="s">
        <v>189</v>
      </c>
      <c r="C1610">
        <v>0</v>
      </c>
      <c r="D1610" t="s">
        <v>184</v>
      </c>
      <c r="E1610" t="s">
        <v>176</v>
      </c>
      <c r="F1610" t="s">
        <v>177</v>
      </c>
      <c r="G1610" t="s">
        <v>179</v>
      </c>
    </row>
    <row r="1611" spans="1:7">
      <c r="A1611">
        <v>2029</v>
      </c>
      <c r="B1611" t="s">
        <v>189</v>
      </c>
      <c r="C1611">
        <v>0</v>
      </c>
      <c r="D1611" t="s">
        <v>184</v>
      </c>
      <c r="E1611" t="s">
        <v>176</v>
      </c>
      <c r="F1611" t="s">
        <v>177</v>
      </c>
      <c r="G1611" t="s">
        <v>179</v>
      </c>
    </row>
    <row r="1612" spans="1:7">
      <c r="A1612">
        <v>2030</v>
      </c>
      <c r="B1612" t="s">
        <v>189</v>
      </c>
      <c r="C1612">
        <v>0</v>
      </c>
      <c r="D1612" t="s">
        <v>184</v>
      </c>
      <c r="E1612" t="s">
        <v>176</v>
      </c>
      <c r="F1612" t="s">
        <v>177</v>
      </c>
      <c r="G1612" t="s">
        <v>179</v>
      </c>
    </row>
    <row r="1613" spans="1:7">
      <c r="A1613">
        <v>2031</v>
      </c>
      <c r="B1613" t="s">
        <v>189</v>
      </c>
      <c r="C1613">
        <v>0</v>
      </c>
      <c r="D1613" t="s">
        <v>184</v>
      </c>
      <c r="E1613" t="s">
        <v>176</v>
      </c>
      <c r="F1613" t="s">
        <v>177</v>
      </c>
      <c r="G1613" t="s">
        <v>179</v>
      </c>
    </row>
    <row r="1614" spans="1:7">
      <c r="A1614">
        <v>2032</v>
      </c>
      <c r="B1614" t="s">
        <v>189</v>
      </c>
      <c r="C1614">
        <v>0</v>
      </c>
      <c r="D1614" t="s">
        <v>184</v>
      </c>
      <c r="E1614" t="s">
        <v>176</v>
      </c>
      <c r="F1614" t="s">
        <v>177</v>
      </c>
      <c r="G1614" t="s">
        <v>179</v>
      </c>
    </row>
    <row r="1615" spans="1:7">
      <c r="A1615">
        <v>2033</v>
      </c>
      <c r="B1615" t="s">
        <v>189</v>
      </c>
      <c r="C1615">
        <v>0</v>
      </c>
      <c r="D1615" t="s">
        <v>184</v>
      </c>
      <c r="E1615" t="s">
        <v>176</v>
      </c>
      <c r="F1615" t="s">
        <v>177</v>
      </c>
      <c r="G1615" t="s">
        <v>179</v>
      </c>
    </row>
    <row r="1616" spans="1:7">
      <c r="A1616">
        <v>2034</v>
      </c>
      <c r="B1616" t="s">
        <v>189</v>
      </c>
      <c r="C1616">
        <v>0</v>
      </c>
      <c r="D1616" t="s">
        <v>184</v>
      </c>
      <c r="E1616" t="s">
        <v>176</v>
      </c>
      <c r="F1616" t="s">
        <v>177</v>
      </c>
      <c r="G1616" t="s">
        <v>179</v>
      </c>
    </row>
    <row r="1617" spans="1:7">
      <c r="A1617">
        <v>2035</v>
      </c>
      <c r="B1617" t="s">
        <v>189</v>
      </c>
      <c r="C1617">
        <v>0</v>
      </c>
      <c r="D1617" t="s">
        <v>184</v>
      </c>
      <c r="E1617" t="s">
        <v>176</v>
      </c>
      <c r="F1617" t="s">
        <v>177</v>
      </c>
      <c r="G1617" t="s">
        <v>179</v>
      </c>
    </row>
    <row r="1618" spans="1:7">
      <c r="A1618">
        <v>2020</v>
      </c>
      <c r="B1618" t="s">
        <v>190</v>
      </c>
      <c r="C1618">
        <v>13956.83</v>
      </c>
      <c r="D1618" t="s">
        <v>184</v>
      </c>
      <c r="E1618" t="s">
        <v>176</v>
      </c>
      <c r="F1618" t="s">
        <v>177</v>
      </c>
      <c r="G1618" t="s">
        <v>179</v>
      </c>
    </row>
    <row r="1619" spans="1:7">
      <c r="A1619">
        <v>2021</v>
      </c>
      <c r="B1619" t="s">
        <v>190</v>
      </c>
      <c r="C1619">
        <v>10820.6</v>
      </c>
      <c r="D1619" t="s">
        <v>184</v>
      </c>
      <c r="E1619" t="s">
        <v>176</v>
      </c>
      <c r="F1619" t="s">
        <v>177</v>
      </c>
      <c r="G1619" t="s">
        <v>179</v>
      </c>
    </row>
    <row r="1620" spans="1:7">
      <c r="A1620">
        <v>2022</v>
      </c>
      <c r="B1620" t="s">
        <v>190</v>
      </c>
      <c r="C1620">
        <v>10820.6</v>
      </c>
      <c r="D1620" t="s">
        <v>184</v>
      </c>
      <c r="E1620" t="s">
        <v>176</v>
      </c>
      <c r="F1620" t="s">
        <v>177</v>
      </c>
      <c r="G1620" t="s">
        <v>179</v>
      </c>
    </row>
    <row r="1621" spans="1:7">
      <c r="A1621">
        <v>2023</v>
      </c>
      <c r="B1621" t="s">
        <v>190</v>
      </c>
      <c r="C1621">
        <v>10867.9</v>
      </c>
      <c r="D1621" t="s">
        <v>184</v>
      </c>
      <c r="E1621" t="s">
        <v>176</v>
      </c>
      <c r="F1621" t="s">
        <v>177</v>
      </c>
      <c r="G1621" t="s">
        <v>179</v>
      </c>
    </row>
    <row r="1622" spans="1:7">
      <c r="A1622">
        <v>2024</v>
      </c>
      <c r="B1622" t="s">
        <v>190</v>
      </c>
      <c r="C1622">
        <v>10867.9</v>
      </c>
      <c r="D1622" t="s">
        <v>184</v>
      </c>
      <c r="E1622" t="s">
        <v>176</v>
      </c>
      <c r="F1622" t="s">
        <v>177</v>
      </c>
      <c r="G1622" t="s">
        <v>179</v>
      </c>
    </row>
    <row r="1623" spans="1:7">
      <c r="A1623">
        <v>2025</v>
      </c>
      <c r="B1623" t="s">
        <v>190</v>
      </c>
      <c r="C1623">
        <v>4611.1400000000003</v>
      </c>
      <c r="D1623" t="s">
        <v>184</v>
      </c>
      <c r="E1623" t="s">
        <v>176</v>
      </c>
      <c r="F1623" t="s">
        <v>177</v>
      </c>
      <c r="G1623" t="s">
        <v>179</v>
      </c>
    </row>
    <row r="1624" spans="1:7">
      <c r="A1624">
        <v>2026</v>
      </c>
      <c r="B1624" t="s">
        <v>190</v>
      </c>
      <c r="C1624">
        <v>4611.1400000000003</v>
      </c>
      <c r="D1624" t="s">
        <v>184</v>
      </c>
      <c r="E1624" t="s">
        <v>176</v>
      </c>
      <c r="F1624" t="s">
        <v>177</v>
      </c>
      <c r="G1624" t="s">
        <v>179</v>
      </c>
    </row>
    <row r="1625" spans="1:7">
      <c r="A1625">
        <v>2027</v>
      </c>
      <c r="B1625" t="s">
        <v>190</v>
      </c>
      <c r="C1625">
        <v>556.779</v>
      </c>
      <c r="D1625" t="s">
        <v>184</v>
      </c>
      <c r="E1625" t="s">
        <v>176</v>
      </c>
      <c r="F1625" t="s">
        <v>177</v>
      </c>
      <c r="G1625" t="s">
        <v>179</v>
      </c>
    </row>
    <row r="1626" spans="1:7">
      <c r="A1626">
        <v>2028</v>
      </c>
      <c r="B1626" t="s">
        <v>190</v>
      </c>
      <c r="C1626">
        <v>556.779</v>
      </c>
      <c r="D1626" t="s">
        <v>184</v>
      </c>
      <c r="E1626" t="s">
        <v>176</v>
      </c>
      <c r="F1626" t="s">
        <v>177</v>
      </c>
      <c r="G1626" t="s">
        <v>179</v>
      </c>
    </row>
    <row r="1627" spans="1:7">
      <c r="A1627">
        <v>2029</v>
      </c>
      <c r="B1627" t="s">
        <v>190</v>
      </c>
      <c r="C1627">
        <v>0</v>
      </c>
      <c r="D1627" t="s">
        <v>184</v>
      </c>
      <c r="E1627" t="s">
        <v>176</v>
      </c>
      <c r="F1627" t="s">
        <v>177</v>
      </c>
      <c r="G1627" t="s">
        <v>179</v>
      </c>
    </row>
    <row r="1628" spans="1:7">
      <c r="A1628">
        <v>2030</v>
      </c>
      <c r="B1628" t="s">
        <v>190</v>
      </c>
      <c r="C1628">
        <v>0</v>
      </c>
      <c r="D1628" t="s">
        <v>184</v>
      </c>
      <c r="E1628" t="s">
        <v>176</v>
      </c>
      <c r="F1628" t="s">
        <v>177</v>
      </c>
      <c r="G1628" t="s">
        <v>179</v>
      </c>
    </row>
    <row r="1629" spans="1:7">
      <c r="A1629">
        <v>2031</v>
      </c>
      <c r="B1629" t="s">
        <v>190</v>
      </c>
      <c r="C1629">
        <v>1305.72</v>
      </c>
      <c r="D1629" t="s">
        <v>184</v>
      </c>
      <c r="E1629" t="s">
        <v>176</v>
      </c>
      <c r="F1629" t="s">
        <v>177</v>
      </c>
      <c r="G1629" t="s">
        <v>179</v>
      </c>
    </row>
    <row r="1630" spans="1:7">
      <c r="A1630">
        <v>2032</v>
      </c>
      <c r="B1630" t="s">
        <v>190</v>
      </c>
      <c r="C1630">
        <v>1305.72</v>
      </c>
      <c r="D1630" t="s">
        <v>184</v>
      </c>
      <c r="E1630" t="s">
        <v>176</v>
      </c>
      <c r="F1630" t="s">
        <v>177</v>
      </c>
      <c r="G1630" t="s">
        <v>179</v>
      </c>
    </row>
    <row r="1631" spans="1:7">
      <c r="A1631">
        <v>2033</v>
      </c>
      <c r="B1631" t="s">
        <v>190</v>
      </c>
      <c r="C1631">
        <v>751.22699999999998</v>
      </c>
      <c r="D1631" t="s">
        <v>184</v>
      </c>
      <c r="E1631" t="s">
        <v>176</v>
      </c>
      <c r="F1631" t="s">
        <v>177</v>
      </c>
      <c r="G1631" t="s">
        <v>179</v>
      </c>
    </row>
    <row r="1632" spans="1:7">
      <c r="A1632">
        <v>2034</v>
      </c>
      <c r="B1632" t="s">
        <v>190</v>
      </c>
      <c r="C1632">
        <v>751.22699999999998</v>
      </c>
      <c r="D1632" t="s">
        <v>184</v>
      </c>
      <c r="E1632" t="s">
        <v>176</v>
      </c>
      <c r="F1632" t="s">
        <v>177</v>
      </c>
      <c r="G1632" t="s">
        <v>179</v>
      </c>
    </row>
    <row r="1633" spans="1:7">
      <c r="A1633">
        <v>2035</v>
      </c>
      <c r="B1633" t="s">
        <v>190</v>
      </c>
      <c r="C1633">
        <v>751.22699999999998</v>
      </c>
      <c r="D1633" t="s">
        <v>184</v>
      </c>
      <c r="E1633" t="s">
        <v>176</v>
      </c>
      <c r="F1633" t="s">
        <v>177</v>
      </c>
      <c r="G1633" t="s">
        <v>179</v>
      </c>
    </row>
    <row r="1634" spans="1:7">
      <c r="A1634">
        <v>2020</v>
      </c>
      <c r="B1634" t="s">
        <v>191</v>
      </c>
      <c r="C1634">
        <v>0</v>
      </c>
      <c r="D1634" t="s">
        <v>184</v>
      </c>
      <c r="E1634" t="s">
        <v>176</v>
      </c>
      <c r="F1634" t="s">
        <v>177</v>
      </c>
      <c r="G1634" t="s">
        <v>179</v>
      </c>
    </row>
    <row r="1635" spans="1:7">
      <c r="A1635">
        <v>2021</v>
      </c>
      <c r="B1635" t="s">
        <v>191</v>
      </c>
      <c r="C1635">
        <v>0</v>
      </c>
      <c r="D1635" t="s">
        <v>184</v>
      </c>
      <c r="E1635" t="s">
        <v>176</v>
      </c>
      <c r="F1635" t="s">
        <v>177</v>
      </c>
      <c r="G1635" t="s">
        <v>179</v>
      </c>
    </row>
    <row r="1636" spans="1:7">
      <c r="A1636">
        <v>2022</v>
      </c>
      <c r="B1636" t="s">
        <v>191</v>
      </c>
      <c r="C1636">
        <v>0</v>
      </c>
      <c r="D1636" t="s">
        <v>184</v>
      </c>
      <c r="E1636" t="s">
        <v>176</v>
      </c>
      <c r="F1636" t="s">
        <v>177</v>
      </c>
      <c r="G1636" t="s">
        <v>179</v>
      </c>
    </row>
    <row r="1637" spans="1:7">
      <c r="A1637">
        <v>2023</v>
      </c>
      <c r="B1637" t="s">
        <v>191</v>
      </c>
      <c r="C1637">
        <v>0</v>
      </c>
      <c r="D1637" t="s">
        <v>184</v>
      </c>
      <c r="E1637" t="s">
        <v>176</v>
      </c>
      <c r="F1637" t="s">
        <v>177</v>
      </c>
      <c r="G1637" t="s">
        <v>179</v>
      </c>
    </row>
    <row r="1638" spans="1:7">
      <c r="A1638">
        <v>2024</v>
      </c>
      <c r="B1638" t="s">
        <v>191</v>
      </c>
      <c r="C1638">
        <v>0</v>
      </c>
      <c r="D1638" t="s">
        <v>184</v>
      </c>
      <c r="E1638" t="s">
        <v>176</v>
      </c>
      <c r="F1638" t="s">
        <v>177</v>
      </c>
      <c r="G1638" t="s">
        <v>179</v>
      </c>
    </row>
    <row r="1639" spans="1:7">
      <c r="A1639">
        <v>2025</v>
      </c>
      <c r="B1639" t="s">
        <v>191</v>
      </c>
      <c r="C1639">
        <v>0</v>
      </c>
      <c r="D1639" t="s">
        <v>184</v>
      </c>
      <c r="E1639" t="s">
        <v>176</v>
      </c>
      <c r="F1639" t="s">
        <v>177</v>
      </c>
      <c r="G1639" t="s">
        <v>179</v>
      </c>
    </row>
    <row r="1640" spans="1:7">
      <c r="A1640">
        <v>2026</v>
      </c>
      <c r="B1640" t="s">
        <v>191</v>
      </c>
      <c r="C1640">
        <v>0</v>
      </c>
      <c r="D1640" t="s">
        <v>184</v>
      </c>
      <c r="E1640" t="s">
        <v>176</v>
      </c>
      <c r="F1640" t="s">
        <v>177</v>
      </c>
      <c r="G1640" t="s">
        <v>179</v>
      </c>
    </row>
    <row r="1641" spans="1:7">
      <c r="A1641">
        <v>2027</v>
      </c>
      <c r="B1641" t="s">
        <v>191</v>
      </c>
      <c r="C1641">
        <v>0</v>
      </c>
      <c r="D1641" t="s">
        <v>184</v>
      </c>
      <c r="E1641" t="s">
        <v>176</v>
      </c>
      <c r="F1641" t="s">
        <v>177</v>
      </c>
      <c r="G1641" t="s">
        <v>179</v>
      </c>
    </row>
    <row r="1642" spans="1:7">
      <c r="A1642">
        <v>2028</v>
      </c>
      <c r="B1642" t="s">
        <v>191</v>
      </c>
      <c r="C1642">
        <v>0</v>
      </c>
      <c r="D1642" t="s">
        <v>184</v>
      </c>
      <c r="E1642" t="s">
        <v>176</v>
      </c>
      <c r="F1642" t="s">
        <v>177</v>
      </c>
      <c r="G1642" t="s">
        <v>179</v>
      </c>
    </row>
    <row r="1643" spans="1:7">
      <c r="A1643">
        <v>2029</v>
      </c>
      <c r="B1643" t="s">
        <v>191</v>
      </c>
      <c r="C1643">
        <v>0</v>
      </c>
      <c r="D1643" t="s">
        <v>184</v>
      </c>
      <c r="E1643" t="s">
        <v>176</v>
      </c>
      <c r="F1643" t="s">
        <v>177</v>
      </c>
      <c r="G1643" t="s">
        <v>179</v>
      </c>
    </row>
    <row r="1644" spans="1:7">
      <c r="A1644">
        <v>2030</v>
      </c>
      <c r="B1644" t="s">
        <v>191</v>
      </c>
      <c r="C1644">
        <v>0</v>
      </c>
      <c r="D1644" t="s">
        <v>184</v>
      </c>
      <c r="E1644" t="s">
        <v>176</v>
      </c>
      <c r="F1644" t="s">
        <v>177</v>
      </c>
      <c r="G1644" t="s">
        <v>179</v>
      </c>
    </row>
    <row r="1645" spans="1:7">
      <c r="A1645">
        <v>2031</v>
      </c>
      <c r="B1645" t="s">
        <v>191</v>
      </c>
      <c r="C1645">
        <v>0</v>
      </c>
      <c r="D1645" t="s">
        <v>184</v>
      </c>
      <c r="E1645" t="s">
        <v>176</v>
      </c>
      <c r="F1645" t="s">
        <v>177</v>
      </c>
      <c r="G1645" t="s">
        <v>179</v>
      </c>
    </row>
    <row r="1646" spans="1:7">
      <c r="A1646">
        <v>2032</v>
      </c>
      <c r="B1646" t="s">
        <v>191</v>
      </c>
      <c r="C1646">
        <v>0</v>
      </c>
      <c r="D1646" t="s">
        <v>184</v>
      </c>
      <c r="E1646" t="s">
        <v>176</v>
      </c>
      <c r="F1646" t="s">
        <v>177</v>
      </c>
      <c r="G1646" t="s">
        <v>179</v>
      </c>
    </row>
    <row r="1647" spans="1:7">
      <c r="A1647">
        <v>2033</v>
      </c>
      <c r="B1647" t="s">
        <v>191</v>
      </c>
      <c r="C1647">
        <v>0</v>
      </c>
      <c r="D1647" t="s">
        <v>184</v>
      </c>
      <c r="E1647" t="s">
        <v>176</v>
      </c>
      <c r="F1647" t="s">
        <v>177</v>
      </c>
      <c r="G1647" t="s">
        <v>179</v>
      </c>
    </row>
    <row r="1648" spans="1:7">
      <c r="A1648">
        <v>2034</v>
      </c>
      <c r="B1648" t="s">
        <v>191</v>
      </c>
      <c r="C1648">
        <v>0</v>
      </c>
      <c r="D1648" t="s">
        <v>184</v>
      </c>
      <c r="E1648" t="s">
        <v>176</v>
      </c>
      <c r="F1648" t="s">
        <v>177</v>
      </c>
      <c r="G1648" t="s">
        <v>179</v>
      </c>
    </row>
    <row r="1649" spans="1:7">
      <c r="A1649">
        <v>2035</v>
      </c>
      <c r="B1649" t="s">
        <v>191</v>
      </c>
      <c r="C1649">
        <v>0</v>
      </c>
      <c r="D1649" t="s">
        <v>184</v>
      </c>
      <c r="E1649" t="s">
        <v>176</v>
      </c>
      <c r="F1649" t="s">
        <v>177</v>
      </c>
      <c r="G1649" t="s">
        <v>179</v>
      </c>
    </row>
    <row r="1650" spans="1:7">
      <c r="A1650">
        <v>2020</v>
      </c>
      <c r="B1650" t="s">
        <v>192</v>
      </c>
      <c r="C1650">
        <v>1838.36</v>
      </c>
      <c r="D1650" t="s">
        <v>184</v>
      </c>
      <c r="E1650" t="s">
        <v>176</v>
      </c>
      <c r="F1650" t="s">
        <v>177</v>
      </c>
      <c r="G1650" t="s">
        <v>179</v>
      </c>
    </row>
    <row r="1651" spans="1:7">
      <c r="A1651">
        <v>2021</v>
      </c>
      <c r="B1651" t="s">
        <v>192</v>
      </c>
      <c r="C1651">
        <v>53.5</v>
      </c>
      <c r="D1651" t="s">
        <v>184</v>
      </c>
      <c r="E1651" t="s">
        <v>176</v>
      </c>
      <c r="F1651" t="s">
        <v>177</v>
      </c>
      <c r="G1651" t="s">
        <v>179</v>
      </c>
    </row>
    <row r="1652" spans="1:7">
      <c r="A1652">
        <v>2022</v>
      </c>
      <c r="B1652" t="s">
        <v>192</v>
      </c>
      <c r="C1652">
        <v>53.5</v>
      </c>
      <c r="D1652" t="s">
        <v>184</v>
      </c>
      <c r="E1652" t="s">
        <v>176</v>
      </c>
      <c r="F1652" t="s">
        <v>177</v>
      </c>
      <c r="G1652" t="s">
        <v>179</v>
      </c>
    </row>
    <row r="1653" spans="1:7">
      <c r="A1653">
        <v>2023</v>
      </c>
      <c r="B1653" t="s">
        <v>192</v>
      </c>
      <c r="C1653">
        <v>49.5</v>
      </c>
      <c r="D1653" t="s">
        <v>184</v>
      </c>
      <c r="E1653" t="s">
        <v>176</v>
      </c>
      <c r="F1653" t="s">
        <v>177</v>
      </c>
      <c r="G1653" t="s">
        <v>179</v>
      </c>
    </row>
    <row r="1654" spans="1:7">
      <c r="A1654">
        <v>2024</v>
      </c>
      <c r="B1654" t="s">
        <v>192</v>
      </c>
      <c r="C1654">
        <v>49.5</v>
      </c>
      <c r="D1654" t="s">
        <v>184</v>
      </c>
      <c r="E1654" t="s">
        <v>176</v>
      </c>
      <c r="F1654" t="s">
        <v>177</v>
      </c>
      <c r="G1654" t="s">
        <v>179</v>
      </c>
    </row>
    <row r="1655" spans="1:7">
      <c r="A1655">
        <v>2025</v>
      </c>
      <c r="B1655" t="s">
        <v>192</v>
      </c>
      <c r="C1655">
        <v>46</v>
      </c>
      <c r="D1655" t="s">
        <v>184</v>
      </c>
      <c r="E1655" t="s">
        <v>176</v>
      </c>
      <c r="F1655" t="s">
        <v>177</v>
      </c>
      <c r="G1655" t="s">
        <v>179</v>
      </c>
    </row>
    <row r="1656" spans="1:7">
      <c r="A1656">
        <v>2026</v>
      </c>
      <c r="B1656" t="s">
        <v>192</v>
      </c>
      <c r="C1656">
        <v>46</v>
      </c>
      <c r="D1656" t="s">
        <v>184</v>
      </c>
      <c r="E1656" t="s">
        <v>176</v>
      </c>
      <c r="F1656" t="s">
        <v>177</v>
      </c>
      <c r="G1656" t="s">
        <v>179</v>
      </c>
    </row>
    <row r="1657" spans="1:7">
      <c r="A1657">
        <v>2027</v>
      </c>
      <c r="B1657" t="s">
        <v>192</v>
      </c>
      <c r="C1657">
        <v>32</v>
      </c>
      <c r="D1657" t="s">
        <v>184</v>
      </c>
      <c r="E1657" t="s">
        <v>176</v>
      </c>
      <c r="F1657" t="s">
        <v>177</v>
      </c>
      <c r="G1657" t="s">
        <v>179</v>
      </c>
    </row>
    <row r="1658" spans="1:7">
      <c r="A1658">
        <v>2028</v>
      </c>
      <c r="B1658" t="s">
        <v>192</v>
      </c>
      <c r="C1658">
        <v>32</v>
      </c>
      <c r="D1658" t="s">
        <v>184</v>
      </c>
      <c r="E1658" t="s">
        <v>176</v>
      </c>
      <c r="F1658" t="s">
        <v>177</v>
      </c>
      <c r="G1658" t="s">
        <v>179</v>
      </c>
    </row>
    <row r="1659" spans="1:7">
      <c r="A1659">
        <v>2029</v>
      </c>
      <c r="B1659" t="s">
        <v>192</v>
      </c>
      <c r="C1659">
        <v>0</v>
      </c>
      <c r="D1659" t="s">
        <v>184</v>
      </c>
      <c r="E1659" t="s">
        <v>176</v>
      </c>
      <c r="F1659" t="s">
        <v>177</v>
      </c>
      <c r="G1659" t="s">
        <v>179</v>
      </c>
    </row>
    <row r="1660" spans="1:7">
      <c r="A1660">
        <v>2030</v>
      </c>
      <c r="B1660" t="s">
        <v>192</v>
      </c>
      <c r="C1660">
        <v>0</v>
      </c>
      <c r="D1660" t="s">
        <v>184</v>
      </c>
      <c r="E1660" t="s">
        <v>176</v>
      </c>
      <c r="F1660" t="s">
        <v>177</v>
      </c>
      <c r="G1660" t="s">
        <v>179</v>
      </c>
    </row>
    <row r="1661" spans="1:7">
      <c r="A1661">
        <v>2031</v>
      </c>
      <c r="B1661" t="s">
        <v>192</v>
      </c>
      <c r="C1661">
        <v>0</v>
      </c>
      <c r="D1661" t="s">
        <v>184</v>
      </c>
      <c r="E1661" t="s">
        <v>176</v>
      </c>
      <c r="F1661" t="s">
        <v>177</v>
      </c>
      <c r="G1661" t="s">
        <v>179</v>
      </c>
    </row>
    <row r="1662" spans="1:7">
      <c r="A1662">
        <v>2032</v>
      </c>
      <c r="B1662" t="s">
        <v>192</v>
      </c>
      <c r="C1662">
        <v>0</v>
      </c>
      <c r="D1662" t="s">
        <v>184</v>
      </c>
      <c r="E1662" t="s">
        <v>176</v>
      </c>
      <c r="F1662" t="s">
        <v>177</v>
      </c>
      <c r="G1662" t="s">
        <v>179</v>
      </c>
    </row>
    <row r="1663" spans="1:7">
      <c r="A1663">
        <v>2033</v>
      </c>
      <c r="B1663" t="s">
        <v>192</v>
      </c>
      <c r="C1663">
        <v>0</v>
      </c>
      <c r="D1663" t="s">
        <v>184</v>
      </c>
      <c r="E1663" t="s">
        <v>176</v>
      </c>
      <c r="F1663" t="s">
        <v>177</v>
      </c>
      <c r="G1663" t="s">
        <v>179</v>
      </c>
    </row>
    <row r="1664" spans="1:7">
      <c r="A1664">
        <v>2034</v>
      </c>
      <c r="B1664" t="s">
        <v>192</v>
      </c>
      <c r="C1664">
        <v>0</v>
      </c>
      <c r="D1664" t="s">
        <v>184</v>
      </c>
      <c r="E1664" t="s">
        <v>176</v>
      </c>
      <c r="F1664" t="s">
        <v>177</v>
      </c>
      <c r="G1664" t="s">
        <v>179</v>
      </c>
    </row>
    <row r="1665" spans="1:7">
      <c r="A1665">
        <v>2035</v>
      </c>
      <c r="B1665" t="s">
        <v>192</v>
      </c>
      <c r="C1665">
        <v>0</v>
      </c>
      <c r="D1665" t="s">
        <v>184</v>
      </c>
      <c r="E1665" t="s">
        <v>176</v>
      </c>
      <c r="F1665" t="s">
        <v>177</v>
      </c>
      <c r="G1665" t="s">
        <v>179</v>
      </c>
    </row>
    <row r="1666" spans="1:7">
      <c r="A1666">
        <v>2020</v>
      </c>
      <c r="B1666" t="s">
        <v>193</v>
      </c>
      <c r="C1666">
        <v>232.5</v>
      </c>
      <c r="D1666" t="s">
        <v>184</v>
      </c>
      <c r="E1666" t="s">
        <v>176</v>
      </c>
      <c r="F1666" t="s">
        <v>177</v>
      </c>
      <c r="G1666" t="s">
        <v>179</v>
      </c>
    </row>
    <row r="1667" spans="1:7">
      <c r="A1667">
        <v>2021</v>
      </c>
      <c r="B1667" t="s">
        <v>193</v>
      </c>
      <c r="C1667">
        <v>1100</v>
      </c>
      <c r="D1667" t="s">
        <v>184</v>
      </c>
      <c r="E1667" t="s">
        <v>176</v>
      </c>
      <c r="F1667" t="s">
        <v>177</v>
      </c>
      <c r="G1667" t="s">
        <v>179</v>
      </c>
    </row>
    <row r="1668" spans="1:7">
      <c r="A1668">
        <v>2022</v>
      </c>
      <c r="B1668" t="s">
        <v>193</v>
      </c>
      <c r="C1668">
        <v>1100</v>
      </c>
      <c r="D1668" t="s">
        <v>184</v>
      </c>
      <c r="E1668" t="s">
        <v>176</v>
      </c>
      <c r="F1668" t="s">
        <v>177</v>
      </c>
      <c r="G1668" t="s">
        <v>179</v>
      </c>
    </row>
    <row r="1669" spans="1:7">
      <c r="A1669">
        <v>2023</v>
      </c>
      <c r="B1669" t="s">
        <v>193</v>
      </c>
      <c r="C1669">
        <v>0</v>
      </c>
      <c r="D1669" t="s">
        <v>184</v>
      </c>
      <c r="E1669" t="s">
        <v>176</v>
      </c>
      <c r="F1669" t="s">
        <v>177</v>
      </c>
      <c r="G1669" t="s">
        <v>179</v>
      </c>
    </row>
    <row r="1670" spans="1:7">
      <c r="A1670">
        <v>2024</v>
      </c>
      <c r="B1670" t="s">
        <v>193</v>
      </c>
      <c r="C1670">
        <v>0</v>
      </c>
      <c r="D1670" t="s">
        <v>184</v>
      </c>
      <c r="E1670" t="s">
        <v>176</v>
      </c>
      <c r="F1670" t="s">
        <v>177</v>
      </c>
      <c r="G1670" t="s">
        <v>179</v>
      </c>
    </row>
    <row r="1671" spans="1:7">
      <c r="A1671">
        <v>2025</v>
      </c>
      <c r="B1671" t="s">
        <v>193</v>
      </c>
      <c r="C1671">
        <v>0</v>
      </c>
      <c r="D1671" t="s">
        <v>184</v>
      </c>
      <c r="E1671" t="s">
        <v>176</v>
      </c>
      <c r="F1671" t="s">
        <v>177</v>
      </c>
      <c r="G1671" t="s">
        <v>179</v>
      </c>
    </row>
    <row r="1672" spans="1:7">
      <c r="A1672">
        <v>2026</v>
      </c>
      <c r="B1672" t="s">
        <v>193</v>
      </c>
      <c r="C1672">
        <v>0</v>
      </c>
      <c r="D1672" t="s">
        <v>184</v>
      </c>
      <c r="E1672" t="s">
        <v>176</v>
      </c>
      <c r="F1672" t="s">
        <v>177</v>
      </c>
      <c r="G1672" t="s">
        <v>179</v>
      </c>
    </row>
    <row r="1673" spans="1:7">
      <c r="A1673">
        <v>2027</v>
      </c>
      <c r="B1673" t="s">
        <v>193</v>
      </c>
      <c r="C1673">
        <v>0</v>
      </c>
      <c r="D1673" t="s">
        <v>184</v>
      </c>
      <c r="E1673" t="s">
        <v>176</v>
      </c>
      <c r="F1673" t="s">
        <v>177</v>
      </c>
      <c r="G1673" t="s">
        <v>179</v>
      </c>
    </row>
    <row r="1674" spans="1:7">
      <c r="A1674">
        <v>2028</v>
      </c>
      <c r="B1674" t="s">
        <v>193</v>
      </c>
      <c r="C1674">
        <v>0</v>
      </c>
      <c r="D1674" t="s">
        <v>184</v>
      </c>
      <c r="E1674" t="s">
        <v>176</v>
      </c>
      <c r="F1674" t="s">
        <v>177</v>
      </c>
      <c r="G1674" t="s">
        <v>179</v>
      </c>
    </row>
    <row r="1675" spans="1:7">
      <c r="A1675">
        <v>2029</v>
      </c>
      <c r="B1675" t="s">
        <v>193</v>
      </c>
      <c r="C1675">
        <v>0</v>
      </c>
      <c r="D1675" t="s">
        <v>184</v>
      </c>
      <c r="E1675" t="s">
        <v>176</v>
      </c>
      <c r="F1675" t="s">
        <v>177</v>
      </c>
      <c r="G1675" t="s">
        <v>179</v>
      </c>
    </row>
    <row r="1676" spans="1:7">
      <c r="A1676">
        <v>2030</v>
      </c>
      <c r="B1676" t="s">
        <v>193</v>
      </c>
      <c r="C1676">
        <v>0</v>
      </c>
      <c r="D1676" t="s">
        <v>184</v>
      </c>
      <c r="E1676" t="s">
        <v>176</v>
      </c>
      <c r="F1676" t="s">
        <v>177</v>
      </c>
      <c r="G1676" t="s">
        <v>179</v>
      </c>
    </row>
    <row r="1677" spans="1:7">
      <c r="A1677">
        <v>2031</v>
      </c>
      <c r="B1677" t="s">
        <v>193</v>
      </c>
      <c r="C1677">
        <v>0</v>
      </c>
      <c r="D1677" t="s">
        <v>184</v>
      </c>
      <c r="E1677" t="s">
        <v>176</v>
      </c>
      <c r="F1677" t="s">
        <v>177</v>
      </c>
      <c r="G1677" t="s">
        <v>179</v>
      </c>
    </row>
    <row r="1678" spans="1:7">
      <c r="A1678">
        <v>2032</v>
      </c>
      <c r="B1678" t="s">
        <v>193</v>
      </c>
      <c r="C1678">
        <v>0</v>
      </c>
      <c r="D1678" t="s">
        <v>184</v>
      </c>
      <c r="E1678" t="s">
        <v>176</v>
      </c>
      <c r="F1678" t="s">
        <v>177</v>
      </c>
      <c r="G1678" t="s">
        <v>179</v>
      </c>
    </row>
    <row r="1679" spans="1:7">
      <c r="A1679">
        <v>2033</v>
      </c>
      <c r="B1679" t="s">
        <v>193</v>
      </c>
      <c r="C1679">
        <v>0</v>
      </c>
      <c r="D1679" t="s">
        <v>184</v>
      </c>
      <c r="E1679" t="s">
        <v>176</v>
      </c>
      <c r="F1679" t="s">
        <v>177</v>
      </c>
      <c r="G1679" t="s">
        <v>179</v>
      </c>
    </row>
    <row r="1680" spans="1:7">
      <c r="A1680">
        <v>2034</v>
      </c>
      <c r="B1680" t="s">
        <v>193</v>
      </c>
      <c r="C1680">
        <v>0</v>
      </c>
      <c r="D1680" t="s">
        <v>184</v>
      </c>
      <c r="E1680" t="s">
        <v>176</v>
      </c>
      <c r="F1680" t="s">
        <v>177</v>
      </c>
      <c r="G1680" t="s">
        <v>179</v>
      </c>
    </row>
    <row r="1681" spans="1:7">
      <c r="A1681">
        <v>2035</v>
      </c>
      <c r="B1681" t="s">
        <v>193</v>
      </c>
      <c r="C1681">
        <v>0</v>
      </c>
      <c r="D1681" t="s">
        <v>184</v>
      </c>
      <c r="E1681" t="s">
        <v>176</v>
      </c>
      <c r="F1681" t="s">
        <v>177</v>
      </c>
      <c r="G1681" t="s">
        <v>179</v>
      </c>
    </row>
    <row r="1682" spans="1:7">
      <c r="A1682">
        <v>2020</v>
      </c>
      <c r="B1682" t="s">
        <v>194</v>
      </c>
      <c r="C1682">
        <v>14.85</v>
      </c>
      <c r="D1682" t="s">
        <v>184</v>
      </c>
      <c r="E1682" t="s">
        <v>176</v>
      </c>
      <c r="F1682" t="s">
        <v>177</v>
      </c>
      <c r="G1682" t="s">
        <v>179</v>
      </c>
    </row>
    <row r="1683" spans="1:7">
      <c r="A1683">
        <v>2021</v>
      </c>
      <c r="B1683" t="s">
        <v>194</v>
      </c>
      <c r="C1683">
        <v>0</v>
      </c>
      <c r="D1683" t="s">
        <v>184</v>
      </c>
      <c r="E1683" t="s">
        <v>176</v>
      </c>
      <c r="F1683" t="s">
        <v>177</v>
      </c>
      <c r="G1683" t="s">
        <v>179</v>
      </c>
    </row>
    <row r="1684" spans="1:7">
      <c r="A1684">
        <v>2022</v>
      </c>
      <c r="B1684" t="s">
        <v>194</v>
      </c>
      <c r="C1684">
        <v>0</v>
      </c>
      <c r="D1684" t="s">
        <v>184</v>
      </c>
      <c r="E1684" t="s">
        <v>176</v>
      </c>
      <c r="F1684" t="s">
        <v>177</v>
      </c>
      <c r="G1684" t="s">
        <v>179</v>
      </c>
    </row>
    <row r="1685" spans="1:7">
      <c r="A1685">
        <v>2023</v>
      </c>
      <c r="B1685" t="s">
        <v>194</v>
      </c>
      <c r="C1685">
        <v>0</v>
      </c>
      <c r="D1685" t="s">
        <v>184</v>
      </c>
      <c r="E1685" t="s">
        <v>176</v>
      </c>
      <c r="F1685" t="s">
        <v>177</v>
      </c>
      <c r="G1685" t="s">
        <v>179</v>
      </c>
    </row>
    <row r="1686" spans="1:7">
      <c r="A1686">
        <v>2024</v>
      </c>
      <c r="B1686" t="s">
        <v>194</v>
      </c>
      <c r="C1686">
        <v>0</v>
      </c>
      <c r="D1686" t="s">
        <v>184</v>
      </c>
      <c r="E1686" t="s">
        <v>176</v>
      </c>
      <c r="F1686" t="s">
        <v>177</v>
      </c>
      <c r="G1686" t="s">
        <v>179</v>
      </c>
    </row>
    <row r="1687" spans="1:7">
      <c r="A1687">
        <v>2025</v>
      </c>
      <c r="B1687" t="s">
        <v>194</v>
      </c>
      <c r="C1687">
        <v>0</v>
      </c>
      <c r="D1687" t="s">
        <v>184</v>
      </c>
      <c r="E1687" t="s">
        <v>176</v>
      </c>
      <c r="F1687" t="s">
        <v>177</v>
      </c>
      <c r="G1687" t="s">
        <v>179</v>
      </c>
    </row>
    <row r="1688" spans="1:7">
      <c r="A1688">
        <v>2026</v>
      </c>
      <c r="B1688" t="s">
        <v>194</v>
      </c>
      <c r="C1688">
        <v>0</v>
      </c>
      <c r="D1688" t="s">
        <v>184</v>
      </c>
      <c r="E1688" t="s">
        <v>176</v>
      </c>
      <c r="F1688" t="s">
        <v>177</v>
      </c>
      <c r="G1688" t="s">
        <v>179</v>
      </c>
    </row>
    <row r="1689" spans="1:7">
      <c r="A1689">
        <v>2027</v>
      </c>
      <c r="B1689" t="s">
        <v>194</v>
      </c>
      <c r="C1689">
        <v>0</v>
      </c>
      <c r="D1689" t="s">
        <v>184</v>
      </c>
      <c r="E1689" t="s">
        <v>176</v>
      </c>
      <c r="F1689" t="s">
        <v>177</v>
      </c>
      <c r="G1689" t="s">
        <v>179</v>
      </c>
    </row>
    <row r="1690" spans="1:7">
      <c r="A1690">
        <v>2028</v>
      </c>
      <c r="B1690" t="s">
        <v>194</v>
      </c>
      <c r="C1690">
        <v>0</v>
      </c>
      <c r="D1690" t="s">
        <v>184</v>
      </c>
      <c r="E1690" t="s">
        <v>176</v>
      </c>
      <c r="F1690" t="s">
        <v>177</v>
      </c>
      <c r="G1690" t="s">
        <v>179</v>
      </c>
    </row>
    <row r="1691" spans="1:7">
      <c r="A1691">
        <v>2029</v>
      </c>
      <c r="B1691" t="s">
        <v>194</v>
      </c>
      <c r="C1691">
        <v>0</v>
      </c>
      <c r="D1691" t="s">
        <v>184</v>
      </c>
      <c r="E1691" t="s">
        <v>176</v>
      </c>
      <c r="F1691" t="s">
        <v>177</v>
      </c>
      <c r="G1691" t="s">
        <v>179</v>
      </c>
    </row>
    <row r="1692" spans="1:7">
      <c r="A1692">
        <v>2030</v>
      </c>
      <c r="B1692" t="s">
        <v>194</v>
      </c>
      <c r="C1692">
        <v>0</v>
      </c>
      <c r="D1692" t="s">
        <v>184</v>
      </c>
      <c r="E1692" t="s">
        <v>176</v>
      </c>
      <c r="F1692" t="s">
        <v>177</v>
      </c>
      <c r="G1692" t="s">
        <v>179</v>
      </c>
    </row>
    <row r="1693" spans="1:7">
      <c r="A1693">
        <v>2031</v>
      </c>
      <c r="B1693" t="s">
        <v>194</v>
      </c>
      <c r="C1693">
        <v>0</v>
      </c>
      <c r="D1693" t="s">
        <v>184</v>
      </c>
      <c r="E1693" t="s">
        <v>176</v>
      </c>
      <c r="F1693" t="s">
        <v>177</v>
      </c>
      <c r="G1693" t="s">
        <v>179</v>
      </c>
    </row>
    <row r="1694" spans="1:7">
      <c r="A1694">
        <v>2032</v>
      </c>
      <c r="B1694" t="s">
        <v>194</v>
      </c>
      <c r="C1694">
        <v>0</v>
      </c>
      <c r="D1694" t="s">
        <v>184</v>
      </c>
      <c r="E1694" t="s">
        <v>176</v>
      </c>
      <c r="F1694" t="s">
        <v>177</v>
      </c>
      <c r="G1694" t="s">
        <v>179</v>
      </c>
    </row>
    <row r="1695" spans="1:7">
      <c r="A1695">
        <v>2033</v>
      </c>
      <c r="B1695" t="s">
        <v>194</v>
      </c>
      <c r="C1695">
        <v>0</v>
      </c>
      <c r="D1695" t="s">
        <v>184</v>
      </c>
      <c r="E1695" t="s">
        <v>176</v>
      </c>
      <c r="F1695" t="s">
        <v>177</v>
      </c>
      <c r="G1695" t="s">
        <v>179</v>
      </c>
    </row>
    <row r="1696" spans="1:7">
      <c r="A1696">
        <v>2034</v>
      </c>
      <c r="B1696" t="s">
        <v>194</v>
      </c>
      <c r="C1696">
        <v>0</v>
      </c>
      <c r="D1696" t="s">
        <v>184</v>
      </c>
      <c r="E1696" t="s">
        <v>176</v>
      </c>
      <c r="F1696" t="s">
        <v>177</v>
      </c>
      <c r="G1696" t="s">
        <v>179</v>
      </c>
    </row>
    <row r="1697" spans="1:7">
      <c r="A1697">
        <v>2035</v>
      </c>
      <c r="B1697" t="s">
        <v>194</v>
      </c>
      <c r="C1697">
        <v>0</v>
      </c>
      <c r="D1697" t="s">
        <v>184</v>
      </c>
      <c r="E1697" t="s">
        <v>176</v>
      </c>
      <c r="F1697" t="s">
        <v>177</v>
      </c>
      <c r="G1697" t="s">
        <v>179</v>
      </c>
    </row>
    <row r="1698" spans="1:7">
      <c r="A1698">
        <v>2020</v>
      </c>
      <c r="B1698" t="s">
        <v>195</v>
      </c>
      <c r="C1698">
        <v>9994.41</v>
      </c>
      <c r="D1698" t="s">
        <v>184</v>
      </c>
      <c r="E1698" t="s">
        <v>176</v>
      </c>
      <c r="F1698" t="s">
        <v>177</v>
      </c>
      <c r="G1698" t="s">
        <v>179</v>
      </c>
    </row>
    <row r="1699" spans="1:7">
      <c r="A1699">
        <v>2021</v>
      </c>
      <c r="B1699" t="s">
        <v>195</v>
      </c>
      <c r="C1699">
        <v>1537.7</v>
      </c>
      <c r="D1699" t="s">
        <v>184</v>
      </c>
      <c r="E1699" t="s">
        <v>176</v>
      </c>
      <c r="F1699" t="s">
        <v>177</v>
      </c>
      <c r="G1699" t="s">
        <v>179</v>
      </c>
    </row>
    <row r="1700" spans="1:7">
      <c r="A1700">
        <v>2022</v>
      </c>
      <c r="B1700" t="s">
        <v>195</v>
      </c>
      <c r="C1700">
        <v>1537.7</v>
      </c>
      <c r="D1700" t="s">
        <v>184</v>
      </c>
      <c r="E1700" t="s">
        <v>176</v>
      </c>
      <c r="F1700" t="s">
        <v>177</v>
      </c>
      <c r="G1700" t="s">
        <v>179</v>
      </c>
    </row>
    <row r="1701" spans="1:7">
      <c r="A1701">
        <v>2023</v>
      </c>
      <c r="B1701" t="s">
        <v>195</v>
      </c>
      <c r="C1701">
        <v>5174.66</v>
      </c>
      <c r="D1701" t="s">
        <v>184</v>
      </c>
      <c r="E1701" t="s">
        <v>176</v>
      </c>
      <c r="F1701" t="s">
        <v>177</v>
      </c>
      <c r="G1701" t="s">
        <v>179</v>
      </c>
    </row>
    <row r="1702" spans="1:7">
      <c r="A1702">
        <v>2024</v>
      </c>
      <c r="B1702" t="s">
        <v>195</v>
      </c>
      <c r="C1702">
        <v>5174.66</v>
      </c>
      <c r="D1702" t="s">
        <v>184</v>
      </c>
      <c r="E1702" t="s">
        <v>176</v>
      </c>
      <c r="F1702" t="s">
        <v>177</v>
      </c>
      <c r="G1702" t="s">
        <v>179</v>
      </c>
    </row>
    <row r="1703" spans="1:7">
      <c r="A1703">
        <v>2025</v>
      </c>
      <c r="B1703" t="s">
        <v>195</v>
      </c>
      <c r="C1703">
        <v>12742.5</v>
      </c>
      <c r="D1703" t="s">
        <v>184</v>
      </c>
      <c r="E1703" t="s">
        <v>176</v>
      </c>
      <c r="F1703" t="s">
        <v>177</v>
      </c>
      <c r="G1703" t="s">
        <v>179</v>
      </c>
    </row>
    <row r="1704" spans="1:7">
      <c r="A1704">
        <v>2026</v>
      </c>
      <c r="B1704" t="s">
        <v>195</v>
      </c>
      <c r="C1704">
        <v>12742.5</v>
      </c>
      <c r="D1704" t="s">
        <v>184</v>
      </c>
      <c r="E1704" t="s">
        <v>176</v>
      </c>
      <c r="F1704" t="s">
        <v>177</v>
      </c>
      <c r="G1704" t="s">
        <v>179</v>
      </c>
    </row>
    <row r="1705" spans="1:7">
      <c r="A1705">
        <v>2027</v>
      </c>
      <c r="B1705" t="s">
        <v>195</v>
      </c>
      <c r="C1705">
        <v>15848.2</v>
      </c>
      <c r="D1705" t="s">
        <v>184</v>
      </c>
      <c r="E1705" t="s">
        <v>176</v>
      </c>
      <c r="F1705" t="s">
        <v>177</v>
      </c>
      <c r="G1705" t="s">
        <v>179</v>
      </c>
    </row>
    <row r="1706" spans="1:7">
      <c r="A1706">
        <v>2028</v>
      </c>
      <c r="B1706" t="s">
        <v>195</v>
      </c>
      <c r="C1706">
        <v>15848.2</v>
      </c>
      <c r="D1706" t="s">
        <v>184</v>
      </c>
      <c r="E1706" t="s">
        <v>176</v>
      </c>
      <c r="F1706" t="s">
        <v>177</v>
      </c>
      <c r="G1706" t="s">
        <v>179</v>
      </c>
    </row>
    <row r="1707" spans="1:7">
      <c r="A1707">
        <v>2029</v>
      </c>
      <c r="B1707" t="s">
        <v>195</v>
      </c>
      <c r="C1707">
        <v>17477.599999999999</v>
      </c>
      <c r="D1707" t="s">
        <v>184</v>
      </c>
      <c r="E1707" t="s">
        <v>176</v>
      </c>
      <c r="F1707" t="s">
        <v>177</v>
      </c>
      <c r="G1707" t="s">
        <v>179</v>
      </c>
    </row>
    <row r="1708" spans="1:7">
      <c r="A1708">
        <v>2030</v>
      </c>
      <c r="B1708" t="s">
        <v>195</v>
      </c>
      <c r="C1708">
        <v>17477.599999999999</v>
      </c>
      <c r="D1708" t="s">
        <v>184</v>
      </c>
      <c r="E1708" t="s">
        <v>176</v>
      </c>
      <c r="F1708" t="s">
        <v>177</v>
      </c>
      <c r="G1708" t="s">
        <v>179</v>
      </c>
    </row>
    <row r="1709" spans="1:7">
      <c r="A1709">
        <v>2031</v>
      </c>
      <c r="B1709" t="s">
        <v>195</v>
      </c>
      <c r="C1709">
        <v>14638.9</v>
      </c>
      <c r="D1709" t="s">
        <v>184</v>
      </c>
      <c r="E1709" t="s">
        <v>176</v>
      </c>
      <c r="F1709" t="s">
        <v>177</v>
      </c>
      <c r="G1709" t="s">
        <v>179</v>
      </c>
    </row>
    <row r="1710" spans="1:7">
      <c r="A1710">
        <v>2032</v>
      </c>
      <c r="B1710" t="s">
        <v>195</v>
      </c>
      <c r="C1710">
        <v>14638.9</v>
      </c>
      <c r="D1710" t="s">
        <v>184</v>
      </c>
      <c r="E1710" t="s">
        <v>176</v>
      </c>
      <c r="F1710" t="s">
        <v>177</v>
      </c>
      <c r="G1710" t="s">
        <v>179</v>
      </c>
    </row>
    <row r="1711" spans="1:7">
      <c r="A1711">
        <v>2033</v>
      </c>
      <c r="B1711" t="s">
        <v>195</v>
      </c>
      <c r="C1711">
        <v>15755.7</v>
      </c>
      <c r="D1711" t="s">
        <v>184</v>
      </c>
      <c r="E1711" t="s">
        <v>176</v>
      </c>
      <c r="F1711" t="s">
        <v>177</v>
      </c>
      <c r="G1711" t="s">
        <v>179</v>
      </c>
    </row>
    <row r="1712" spans="1:7">
      <c r="A1712">
        <v>2034</v>
      </c>
      <c r="B1712" t="s">
        <v>195</v>
      </c>
      <c r="C1712">
        <v>15755.7</v>
      </c>
      <c r="D1712" t="s">
        <v>184</v>
      </c>
      <c r="E1712" t="s">
        <v>176</v>
      </c>
      <c r="F1712" t="s">
        <v>177</v>
      </c>
      <c r="G1712" t="s">
        <v>179</v>
      </c>
    </row>
    <row r="1713" spans="1:7">
      <c r="A1713">
        <v>2035</v>
      </c>
      <c r="B1713" t="s">
        <v>195</v>
      </c>
      <c r="C1713">
        <v>15755.7</v>
      </c>
      <c r="D1713" t="s">
        <v>184</v>
      </c>
      <c r="E1713" t="s">
        <v>176</v>
      </c>
      <c r="F1713" t="s">
        <v>177</v>
      </c>
      <c r="G1713" t="s">
        <v>179</v>
      </c>
    </row>
    <row r="1714" spans="1:7">
      <c r="A1714">
        <v>2020</v>
      </c>
      <c r="B1714" t="s">
        <v>196</v>
      </c>
      <c r="C1714">
        <v>8839.34</v>
      </c>
      <c r="D1714" t="s">
        <v>184</v>
      </c>
      <c r="E1714" t="s">
        <v>176</v>
      </c>
      <c r="F1714" t="s">
        <v>177</v>
      </c>
      <c r="G1714" t="s">
        <v>179</v>
      </c>
    </row>
    <row r="1715" spans="1:7">
      <c r="A1715">
        <v>2021</v>
      </c>
      <c r="B1715" t="s">
        <v>196</v>
      </c>
      <c r="C1715">
        <v>1578.17</v>
      </c>
      <c r="D1715" t="s">
        <v>184</v>
      </c>
      <c r="E1715" t="s">
        <v>176</v>
      </c>
      <c r="F1715" t="s">
        <v>177</v>
      </c>
      <c r="G1715" t="s">
        <v>179</v>
      </c>
    </row>
    <row r="1716" spans="1:7">
      <c r="A1716">
        <v>2022</v>
      </c>
      <c r="B1716" t="s">
        <v>196</v>
      </c>
      <c r="C1716">
        <v>1578.17</v>
      </c>
      <c r="D1716" t="s">
        <v>184</v>
      </c>
      <c r="E1716" t="s">
        <v>176</v>
      </c>
      <c r="F1716" t="s">
        <v>177</v>
      </c>
      <c r="G1716" t="s">
        <v>179</v>
      </c>
    </row>
    <row r="1717" spans="1:7">
      <c r="A1717">
        <v>2023</v>
      </c>
      <c r="B1717" t="s">
        <v>196</v>
      </c>
      <c r="C1717">
        <v>2540.6799999999998</v>
      </c>
      <c r="D1717" t="s">
        <v>184</v>
      </c>
      <c r="E1717" t="s">
        <v>176</v>
      </c>
      <c r="F1717" t="s">
        <v>177</v>
      </c>
      <c r="G1717" t="s">
        <v>179</v>
      </c>
    </row>
    <row r="1718" spans="1:7">
      <c r="A1718">
        <v>2024</v>
      </c>
      <c r="B1718" t="s">
        <v>196</v>
      </c>
      <c r="C1718">
        <v>2540.6799999999998</v>
      </c>
      <c r="D1718" t="s">
        <v>184</v>
      </c>
      <c r="E1718" t="s">
        <v>176</v>
      </c>
      <c r="F1718" t="s">
        <v>177</v>
      </c>
      <c r="G1718" t="s">
        <v>179</v>
      </c>
    </row>
    <row r="1719" spans="1:7">
      <c r="A1719">
        <v>2025</v>
      </c>
      <c r="B1719" t="s">
        <v>196</v>
      </c>
      <c r="C1719">
        <v>5651.43</v>
      </c>
      <c r="D1719" t="s">
        <v>184</v>
      </c>
      <c r="E1719" t="s">
        <v>176</v>
      </c>
      <c r="F1719" t="s">
        <v>177</v>
      </c>
      <c r="G1719" t="s">
        <v>179</v>
      </c>
    </row>
    <row r="1720" spans="1:7">
      <c r="A1720">
        <v>2026</v>
      </c>
      <c r="B1720" t="s">
        <v>196</v>
      </c>
      <c r="C1720">
        <v>5651.43</v>
      </c>
      <c r="D1720" t="s">
        <v>184</v>
      </c>
      <c r="E1720" t="s">
        <v>176</v>
      </c>
      <c r="F1720" t="s">
        <v>177</v>
      </c>
      <c r="G1720" t="s">
        <v>179</v>
      </c>
    </row>
    <row r="1721" spans="1:7">
      <c r="A1721">
        <v>2027</v>
      </c>
      <c r="B1721" t="s">
        <v>196</v>
      </c>
      <c r="C1721">
        <v>7690.1</v>
      </c>
      <c r="D1721" t="s">
        <v>184</v>
      </c>
      <c r="E1721" t="s">
        <v>176</v>
      </c>
      <c r="F1721" t="s">
        <v>177</v>
      </c>
      <c r="G1721" t="s">
        <v>179</v>
      </c>
    </row>
    <row r="1722" spans="1:7">
      <c r="A1722">
        <v>2028</v>
      </c>
      <c r="B1722" t="s">
        <v>196</v>
      </c>
      <c r="C1722">
        <v>7690.1</v>
      </c>
      <c r="D1722" t="s">
        <v>184</v>
      </c>
      <c r="E1722" t="s">
        <v>176</v>
      </c>
      <c r="F1722" t="s">
        <v>177</v>
      </c>
      <c r="G1722" t="s">
        <v>179</v>
      </c>
    </row>
    <row r="1723" spans="1:7">
      <c r="A1723">
        <v>2029</v>
      </c>
      <c r="B1723" t="s">
        <v>196</v>
      </c>
      <c r="C1723">
        <v>10139.5</v>
      </c>
      <c r="D1723" t="s">
        <v>184</v>
      </c>
      <c r="E1723" t="s">
        <v>176</v>
      </c>
      <c r="F1723" t="s">
        <v>177</v>
      </c>
      <c r="G1723" t="s">
        <v>179</v>
      </c>
    </row>
    <row r="1724" spans="1:7">
      <c r="A1724">
        <v>2030</v>
      </c>
      <c r="B1724" t="s">
        <v>196</v>
      </c>
      <c r="C1724">
        <v>10139.5</v>
      </c>
      <c r="D1724" t="s">
        <v>184</v>
      </c>
      <c r="E1724" t="s">
        <v>176</v>
      </c>
      <c r="F1724" t="s">
        <v>177</v>
      </c>
      <c r="G1724" t="s">
        <v>179</v>
      </c>
    </row>
    <row r="1725" spans="1:7">
      <c r="A1725">
        <v>2031</v>
      </c>
      <c r="B1725" t="s">
        <v>196</v>
      </c>
      <c r="C1725">
        <v>7918.02</v>
      </c>
      <c r="D1725" t="s">
        <v>184</v>
      </c>
      <c r="E1725" t="s">
        <v>176</v>
      </c>
      <c r="F1725" t="s">
        <v>177</v>
      </c>
      <c r="G1725" t="s">
        <v>179</v>
      </c>
    </row>
    <row r="1726" spans="1:7">
      <c r="A1726">
        <v>2032</v>
      </c>
      <c r="B1726" t="s">
        <v>196</v>
      </c>
      <c r="C1726">
        <v>7918.02</v>
      </c>
      <c r="D1726" t="s">
        <v>184</v>
      </c>
      <c r="E1726" t="s">
        <v>176</v>
      </c>
      <c r="F1726" t="s">
        <v>177</v>
      </c>
      <c r="G1726" t="s">
        <v>179</v>
      </c>
    </row>
    <row r="1727" spans="1:7">
      <c r="A1727">
        <v>2033</v>
      </c>
      <c r="B1727" t="s">
        <v>196</v>
      </c>
      <c r="C1727">
        <v>18026.099999999999</v>
      </c>
      <c r="D1727" t="s">
        <v>184</v>
      </c>
      <c r="E1727" t="s">
        <v>176</v>
      </c>
      <c r="F1727" t="s">
        <v>177</v>
      </c>
      <c r="G1727" t="s">
        <v>179</v>
      </c>
    </row>
    <row r="1728" spans="1:7">
      <c r="A1728">
        <v>2034</v>
      </c>
      <c r="B1728" t="s">
        <v>196</v>
      </c>
      <c r="C1728">
        <v>18026.099999999999</v>
      </c>
      <c r="D1728" t="s">
        <v>184</v>
      </c>
      <c r="E1728" t="s">
        <v>176</v>
      </c>
      <c r="F1728" t="s">
        <v>177</v>
      </c>
      <c r="G1728" t="s">
        <v>179</v>
      </c>
    </row>
    <row r="1729" spans="1:7">
      <c r="A1729">
        <v>2035</v>
      </c>
      <c r="B1729" t="s">
        <v>196</v>
      </c>
      <c r="C1729">
        <v>18026.099999999999</v>
      </c>
      <c r="D1729" t="s">
        <v>184</v>
      </c>
      <c r="E1729" t="s">
        <v>176</v>
      </c>
      <c r="F1729" t="s">
        <v>177</v>
      </c>
      <c r="G1729" t="s">
        <v>179</v>
      </c>
    </row>
    <row r="1730" spans="1:7">
      <c r="A1730">
        <v>2020</v>
      </c>
      <c r="B1730" t="s">
        <v>188</v>
      </c>
      <c r="C1730">
        <v>102.45</v>
      </c>
      <c r="D1730" t="s">
        <v>184</v>
      </c>
      <c r="E1730" t="s">
        <v>176</v>
      </c>
      <c r="F1730" t="s">
        <v>177</v>
      </c>
      <c r="G1730" t="s">
        <v>180</v>
      </c>
    </row>
    <row r="1731" spans="1:7">
      <c r="A1731">
        <v>2021</v>
      </c>
      <c r="B1731" t="s">
        <v>188</v>
      </c>
      <c r="C1731">
        <v>9.5</v>
      </c>
      <c r="D1731" t="s">
        <v>184</v>
      </c>
      <c r="E1731" t="s">
        <v>176</v>
      </c>
      <c r="F1731" t="s">
        <v>177</v>
      </c>
      <c r="G1731" t="s">
        <v>180</v>
      </c>
    </row>
    <row r="1732" spans="1:7">
      <c r="A1732">
        <v>2022</v>
      </c>
      <c r="B1732" t="s">
        <v>188</v>
      </c>
      <c r="C1732">
        <v>9.5</v>
      </c>
      <c r="D1732" t="s">
        <v>184</v>
      </c>
      <c r="E1732" t="s">
        <v>176</v>
      </c>
      <c r="F1732" t="s">
        <v>177</v>
      </c>
      <c r="G1732" t="s">
        <v>180</v>
      </c>
    </row>
    <row r="1733" spans="1:7">
      <c r="A1733">
        <v>2023</v>
      </c>
      <c r="B1733" t="s">
        <v>188</v>
      </c>
      <c r="C1733">
        <v>0</v>
      </c>
      <c r="D1733" t="s">
        <v>184</v>
      </c>
      <c r="E1733" t="s">
        <v>176</v>
      </c>
      <c r="F1733" t="s">
        <v>177</v>
      </c>
      <c r="G1733" t="s">
        <v>180</v>
      </c>
    </row>
    <row r="1734" spans="1:7">
      <c r="A1734">
        <v>2024</v>
      </c>
      <c r="B1734" t="s">
        <v>188</v>
      </c>
      <c r="C1734">
        <v>0</v>
      </c>
      <c r="D1734" t="s">
        <v>184</v>
      </c>
      <c r="E1734" t="s">
        <v>176</v>
      </c>
      <c r="F1734" t="s">
        <v>177</v>
      </c>
      <c r="G1734" t="s">
        <v>180</v>
      </c>
    </row>
    <row r="1735" spans="1:7">
      <c r="A1735">
        <v>2025</v>
      </c>
      <c r="B1735" t="s">
        <v>188</v>
      </c>
      <c r="C1735">
        <v>0</v>
      </c>
      <c r="D1735" t="s">
        <v>184</v>
      </c>
      <c r="E1735" t="s">
        <v>176</v>
      </c>
      <c r="F1735" t="s">
        <v>177</v>
      </c>
      <c r="G1735" t="s">
        <v>180</v>
      </c>
    </row>
    <row r="1736" spans="1:7">
      <c r="A1736">
        <v>2026</v>
      </c>
      <c r="B1736" t="s">
        <v>188</v>
      </c>
      <c r="C1736">
        <v>0</v>
      </c>
      <c r="D1736" t="s">
        <v>184</v>
      </c>
      <c r="E1736" t="s">
        <v>176</v>
      </c>
      <c r="F1736" t="s">
        <v>177</v>
      </c>
      <c r="G1736" t="s">
        <v>180</v>
      </c>
    </row>
    <row r="1737" spans="1:7">
      <c r="A1737">
        <v>2027</v>
      </c>
      <c r="B1737" t="s">
        <v>188</v>
      </c>
      <c r="C1737">
        <v>0</v>
      </c>
      <c r="D1737" t="s">
        <v>184</v>
      </c>
      <c r="E1737" t="s">
        <v>176</v>
      </c>
      <c r="F1737" t="s">
        <v>177</v>
      </c>
      <c r="G1737" t="s">
        <v>180</v>
      </c>
    </row>
    <row r="1738" spans="1:7">
      <c r="A1738">
        <v>2028</v>
      </c>
      <c r="B1738" t="s">
        <v>188</v>
      </c>
      <c r="C1738">
        <v>0</v>
      </c>
      <c r="D1738" t="s">
        <v>184</v>
      </c>
      <c r="E1738" t="s">
        <v>176</v>
      </c>
      <c r="F1738" t="s">
        <v>177</v>
      </c>
      <c r="G1738" t="s">
        <v>180</v>
      </c>
    </row>
    <row r="1739" spans="1:7">
      <c r="A1739">
        <v>2029</v>
      </c>
      <c r="B1739" t="s">
        <v>188</v>
      </c>
      <c r="C1739">
        <v>0</v>
      </c>
      <c r="D1739" t="s">
        <v>184</v>
      </c>
      <c r="E1739" t="s">
        <v>176</v>
      </c>
      <c r="F1739" t="s">
        <v>177</v>
      </c>
      <c r="G1739" t="s">
        <v>180</v>
      </c>
    </row>
    <row r="1740" spans="1:7">
      <c r="A1740">
        <v>2030</v>
      </c>
      <c r="B1740" t="s">
        <v>188</v>
      </c>
      <c r="C1740">
        <v>0</v>
      </c>
      <c r="D1740" t="s">
        <v>184</v>
      </c>
      <c r="E1740" t="s">
        <v>176</v>
      </c>
      <c r="F1740" t="s">
        <v>177</v>
      </c>
      <c r="G1740" t="s">
        <v>180</v>
      </c>
    </row>
    <row r="1741" spans="1:7">
      <c r="A1741">
        <v>2031</v>
      </c>
      <c r="B1741" t="s">
        <v>188</v>
      </c>
      <c r="C1741">
        <v>0</v>
      </c>
      <c r="D1741" t="s">
        <v>184</v>
      </c>
      <c r="E1741" t="s">
        <v>176</v>
      </c>
      <c r="F1741" t="s">
        <v>177</v>
      </c>
      <c r="G1741" t="s">
        <v>180</v>
      </c>
    </row>
    <row r="1742" spans="1:7">
      <c r="A1742">
        <v>2032</v>
      </c>
      <c r="B1742" t="s">
        <v>188</v>
      </c>
      <c r="C1742">
        <v>0</v>
      </c>
      <c r="D1742" t="s">
        <v>184</v>
      </c>
      <c r="E1742" t="s">
        <v>176</v>
      </c>
      <c r="F1742" t="s">
        <v>177</v>
      </c>
      <c r="G1742" t="s">
        <v>180</v>
      </c>
    </row>
    <row r="1743" spans="1:7">
      <c r="A1743">
        <v>2033</v>
      </c>
      <c r="B1743" t="s">
        <v>188</v>
      </c>
      <c r="C1743">
        <v>0</v>
      </c>
      <c r="D1743" t="s">
        <v>184</v>
      </c>
      <c r="E1743" t="s">
        <v>176</v>
      </c>
      <c r="F1743" t="s">
        <v>177</v>
      </c>
      <c r="G1743" t="s">
        <v>180</v>
      </c>
    </row>
    <row r="1744" spans="1:7">
      <c r="A1744">
        <v>2034</v>
      </c>
      <c r="B1744" t="s">
        <v>188</v>
      </c>
      <c r="C1744">
        <v>0</v>
      </c>
      <c r="D1744" t="s">
        <v>184</v>
      </c>
      <c r="E1744" t="s">
        <v>176</v>
      </c>
      <c r="F1744" t="s">
        <v>177</v>
      </c>
      <c r="G1744" t="s">
        <v>180</v>
      </c>
    </row>
    <row r="1745" spans="1:7">
      <c r="A1745">
        <v>2035</v>
      </c>
      <c r="B1745" t="s">
        <v>188</v>
      </c>
      <c r="C1745">
        <v>0</v>
      </c>
      <c r="D1745" t="s">
        <v>184</v>
      </c>
      <c r="E1745" t="s">
        <v>176</v>
      </c>
      <c r="F1745" t="s">
        <v>177</v>
      </c>
      <c r="G1745" t="s">
        <v>180</v>
      </c>
    </row>
    <row r="1746" spans="1:7">
      <c r="A1746">
        <v>2020</v>
      </c>
      <c r="B1746" t="s">
        <v>189</v>
      </c>
      <c r="C1746">
        <v>0</v>
      </c>
      <c r="D1746" t="s">
        <v>184</v>
      </c>
      <c r="E1746" t="s">
        <v>176</v>
      </c>
      <c r="F1746" t="s">
        <v>177</v>
      </c>
      <c r="G1746" t="s">
        <v>180</v>
      </c>
    </row>
    <row r="1747" spans="1:7">
      <c r="A1747">
        <v>2021</v>
      </c>
      <c r="B1747" t="s">
        <v>189</v>
      </c>
      <c r="C1747">
        <v>0</v>
      </c>
      <c r="D1747" t="s">
        <v>184</v>
      </c>
      <c r="E1747" t="s">
        <v>176</v>
      </c>
      <c r="F1747" t="s">
        <v>177</v>
      </c>
      <c r="G1747" t="s">
        <v>180</v>
      </c>
    </row>
    <row r="1748" spans="1:7">
      <c r="A1748">
        <v>2022</v>
      </c>
      <c r="B1748" t="s">
        <v>189</v>
      </c>
      <c r="C1748">
        <v>0</v>
      </c>
      <c r="D1748" t="s">
        <v>184</v>
      </c>
      <c r="E1748" t="s">
        <v>176</v>
      </c>
      <c r="F1748" t="s">
        <v>177</v>
      </c>
      <c r="G1748" t="s">
        <v>180</v>
      </c>
    </row>
    <row r="1749" spans="1:7">
      <c r="A1749">
        <v>2023</v>
      </c>
      <c r="B1749" t="s">
        <v>189</v>
      </c>
      <c r="C1749">
        <v>0</v>
      </c>
      <c r="D1749" t="s">
        <v>184</v>
      </c>
      <c r="E1749" t="s">
        <v>176</v>
      </c>
      <c r="F1749" t="s">
        <v>177</v>
      </c>
      <c r="G1749" t="s">
        <v>180</v>
      </c>
    </row>
    <row r="1750" spans="1:7">
      <c r="A1750">
        <v>2024</v>
      </c>
      <c r="B1750" t="s">
        <v>189</v>
      </c>
      <c r="C1750">
        <v>0</v>
      </c>
      <c r="D1750" t="s">
        <v>184</v>
      </c>
      <c r="E1750" t="s">
        <v>176</v>
      </c>
      <c r="F1750" t="s">
        <v>177</v>
      </c>
      <c r="G1750" t="s">
        <v>180</v>
      </c>
    </row>
    <row r="1751" spans="1:7">
      <c r="A1751">
        <v>2025</v>
      </c>
      <c r="B1751" t="s">
        <v>189</v>
      </c>
      <c r="C1751">
        <v>0</v>
      </c>
      <c r="D1751" t="s">
        <v>184</v>
      </c>
      <c r="E1751" t="s">
        <v>176</v>
      </c>
      <c r="F1751" t="s">
        <v>177</v>
      </c>
      <c r="G1751" t="s">
        <v>180</v>
      </c>
    </row>
    <row r="1752" spans="1:7">
      <c r="A1752">
        <v>2026</v>
      </c>
      <c r="B1752" t="s">
        <v>189</v>
      </c>
      <c r="C1752">
        <v>0</v>
      </c>
      <c r="D1752" t="s">
        <v>184</v>
      </c>
      <c r="E1752" t="s">
        <v>176</v>
      </c>
      <c r="F1752" t="s">
        <v>177</v>
      </c>
      <c r="G1752" t="s">
        <v>180</v>
      </c>
    </row>
    <row r="1753" spans="1:7">
      <c r="A1753">
        <v>2027</v>
      </c>
      <c r="B1753" t="s">
        <v>189</v>
      </c>
      <c r="C1753">
        <v>0</v>
      </c>
      <c r="D1753" t="s">
        <v>184</v>
      </c>
      <c r="E1753" t="s">
        <v>176</v>
      </c>
      <c r="F1753" t="s">
        <v>177</v>
      </c>
      <c r="G1753" t="s">
        <v>180</v>
      </c>
    </row>
    <row r="1754" spans="1:7">
      <c r="A1754">
        <v>2028</v>
      </c>
      <c r="B1754" t="s">
        <v>189</v>
      </c>
      <c r="C1754">
        <v>0</v>
      </c>
      <c r="D1754" t="s">
        <v>184</v>
      </c>
      <c r="E1754" t="s">
        <v>176</v>
      </c>
      <c r="F1754" t="s">
        <v>177</v>
      </c>
      <c r="G1754" t="s">
        <v>180</v>
      </c>
    </row>
    <row r="1755" spans="1:7">
      <c r="A1755">
        <v>2029</v>
      </c>
      <c r="B1755" t="s">
        <v>189</v>
      </c>
      <c r="C1755">
        <v>0</v>
      </c>
      <c r="D1755" t="s">
        <v>184</v>
      </c>
      <c r="E1755" t="s">
        <v>176</v>
      </c>
      <c r="F1755" t="s">
        <v>177</v>
      </c>
      <c r="G1755" t="s">
        <v>180</v>
      </c>
    </row>
    <row r="1756" spans="1:7">
      <c r="A1756">
        <v>2030</v>
      </c>
      <c r="B1756" t="s">
        <v>189</v>
      </c>
      <c r="C1756">
        <v>0</v>
      </c>
      <c r="D1756" t="s">
        <v>184</v>
      </c>
      <c r="E1756" t="s">
        <v>176</v>
      </c>
      <c r="F1756" t="s">
        <v>177</v>
      </c>
      <c r="G1756" t="s">
        <v>180</v>
      </c>
    </row>
    <row r="1757" spans="1:7">
      <c r="A1757">
        <v>2031</v>
      </c>
      <c r="B1757" t="s">
        <v>189</v>
      </c>
      <c r="C1757">
        <v>0</v>
      </c>
      <c r="D1757" t="s">
        <v>184</v>
      </c>
      <c r="E1757" t="s">
        <v>176</v>
      </c>
      <c r="F1757" t="s">
        <v>177</v>
      </c>
      <c r="G1757" t="s">
        <v>180</v>
      </c>
    </row>
    <row r="1758" spans="1:7">
      <c r="A1758">
        <v>2032</v>
      </c>
      <c r="B1758" t="s">
        <v>189</v>
      </c>
      <c r="C1758">
        <v>0</v>
      </c>
      <c r="D1758" t="s">
        <v>184</v>
      </c>
      <c r="E1758" t="s">
        <v>176</v>
      </c>
      <c r="F1758" t="s">
        <v>177</v>
      </c>
      <c r="G1758" t="s">
        <v>180</v>
      </c>
    </row>
    <row r="1759" spans="1:7">
      <c r="A1759">
        <v>2033</v>
      </c>
      <c r="B1759" t="s">
        <v>189</v>
      </c>
      <c r="C1759">
        <v>0</v>
      </c>
      <c r="D1759" t="s">
        <v>184</v>
      </c>
      <c r="E1759" t="s">
        <v>176</v>
      </c>
      <c r="F1759" t="s">
        <v>177</v>
      </c>
      <c r="G1759" t="s">
        <v>180</v>
      </c>
    </row>
    <row r="1760" spans="1:7">
      <c r="A1760">
        <v>2034</v>
      </c>
      <c r="B1760" t="s">
        <v>189</v>
      </c>
      <c r="C1760">
        <v>0</v>
      </c>
      <c r="D1760" t="s">
        <v>184</v>
      </c>
      <c r="E1760" t="s">
        <v>176</v>
      </c>
      <c r="F1760" t="s">
        <v>177</v>
      </c>
      <c r="G1760" t="s">
        <v>180</v>
      </c>
    </row>
    <row r="1761" spans="1:7">
      <c r="A1761">
        <v>2035</v>
      </c>
      <c r="B1761" t="s">
        <v>189</v>
      </c>
      <c r="C1761">
        <v>0</v>
      </c>
      <c r="D1761" t="s">
        <v>184</v>
      </c>
      <c r="E1761" t="s">
        <v>176</v>
      </c>
      <c r="F1761" t="s">
        <v>177</v>
      </c>
      <c r="G1761" t="s">
        <v>180</v>
      </c>
    </row>
    <row r="1762" spans="1:7">
      <c r="A1762">
        <v>2020</v>
      </c>
      <c r="B1762" t="s">
        <v>190</v>
      </c>
      <c r="C1762">
        <v>13923.83</v>
      </c>
      <c r="D1762" t="s">
        <v>184</v>
      </c>
      <c r="E1762" t="s">
        <v>176</v>
      </c>
      <c r="F1762" t="s">
        <v>177</v>
      </c>
      <c r="G1762" t="s">
        <v>180</v>
      </c>
    </row>
    <row r="1763" spans="1:7">
      <c r="A1763">
        <v>2021</v>
      </c>
      <c r="B1763" t="s">
        <v>190</v>
      </c>
      <c r="C1763">
        <v>10040.299999999999</v>
      </c>
      <c r="D1763" t="s">
        <v>184</v>
      </c>
      <c r="E1763" t="s">
        <v>176</v>
      </c>
      <c r="F1763" t="s">
        <v>177</v>
      </c>
      <c r="G1763" t="s">
        <v>180</v>
      </c>
    </row>
    <row r="1764" spans="1:7">
      <c r="A1764">
        <v>2022</v>
      </c>
      <c r="B1764" t="s">
        <v>190</v>
      </c>
      <c r="C1764">
        <v>10040.299999999999</v>
      </c>
      <c r="D1764" t="s">
        <v>184</v>
      </c>
      <c r="E1764" t="s">
        <v>176</v>
      </c>
      <c r="F1764" t="s">
        <v>177</v>
      </c>
      <c r="G1764" t="s">
        <v>180</v>
      </c>
    </row>
    <row r="1765" spans="1:7">
      <c r="A1765">
        <v>2023</v>
      </c>
      <c r="B1765" t="s">
        <v>190</v>
      </c>
      <c r="C1765">
        <v>6539.14</v>
      </c>
      <c r="D1765" t="s">
        <v>184</v>
      </c>
      <c r="E1765" t="s">
        <v>176</v>
      </c>
      <c r="F1765" t="s">
        <v>177</v>
      </c>
      <c r="G1765" t="s">
        <v>180</v>
      </c>
    </row>
    <row r="1766" spans="1:7">
      <c r="A1766">
        <v>2024</v>
      </c>
      <c r="B1766" t="s">
        <v>190</v>
      </c>
      <c r="C1766">
        <v>6539.14</v>
      </c>
      <c r="D1766" t="s">
        <v>184</v>
      </c>
      <c r="E1766" t="s">
        <v>176</v>
      </c>
      <c r="F1766" t="s">
        <v>177</v>
      </c>
      <c r="G1766" t="s">
        <v>180</v>
      </c>
    </row>
    <row r="1767" spans="1:7">
      <c r="A1767">
        <v>2025</v>
      </c>
      <c r="B1767" t="s">
        <v>190</v>
      </c>
      <c r="C1767">
        <v>1988.46</v>
      </c>
      <c r="D1767" t="s">
        <v>184</v>
      </c>
      <c r="E1767" t="s">
        <v>176</v>
      </c>
      <c r="F1767" t="s">
        <v>177</v>
      </c>
      <c r="G1767" t="s">
        <v>180</v>
      </c>
    </row>
    <row r="1768" spans="1:7">
      <c r="A1768">
        <v>2026</v>
      </c>
      <c r="B1768" t="s">
        <v>190</v>
      </c>
      <c r="C1768">
        <v>1988.46</v>
      </c>
      <c r="D1768" t="s">
        <v>184</v>
      </c>
      <c r="E1768" t="s">
        <v>176</v>
      </c>
      <c r="F1768" t="s">
        <v>177</v>
      </c>
      <c r="G1768" t="s">
        <v>180</v>
      </c>
    </row>
    <row r="1769" spans="1:7">
      <c r="A1769">
        <v>2027</v>
      </c>
      <c r="B1769" t="s">
        <v>190</v>
      </c>
      <c r="C1769">
        <v>71.283699999999996</v>
      </c>
      <c r="D1769" t="s">
        <v>184</v>
      </c>
      <c r="E1769" t="s">
        <v>176</v>
      </c>
      <c r="F1769" t="s">
        <v>177</v>
      </c>
      <c r="G1769" t="s">
        <v>180</v>
      </c>
    </row>
    <row r="1770" spans="1:7">
      <c r="A1770">
        <v>2028</v>
      </c>
      <c r="B1770" t="s">
        <v>190</v>
      </c>
      <c r="C1770">
        <v>71.283699999999996</v>
      </c>
      <c r="D1770" t="s">
        <v>184</v>
      </c>
      <c r="E1770" t="s">
        <v>176</v>
      </c>
      <c r="F1770" t="s">
        <v>177</v>
      </c>
      <c r="G1770" t="s">
        <v>180</v>
      </c>
    </row>
    <row r="1771" spans="1:7">
      <c r="A1771">
        <v>2029</v>
      </c>
      <c r="B1771" t="s">
        <v>190</v>
      </c>
      <c r="C1771">
        <v>0</v>
      </c>
      <c r="D1771" t="s">
        <v>184</v>
      </c>
      <c r="E1771" t="s">
        <v>176</v>
      </c>
      <c r="F1771" t="s">
        <v>177</v>
      </c>
      <c r="G1771" t="s">
        <v>180</v>
      </c>
    </row>
    <row r="1772" spans="1:7">
      <c r="A1772">
        <v>2030</v>
      </c>
      <c r="B1772" t="s">
        <v>190</v>
      </c>
      <c r="C1772">
        <v>0</v>
      </c>
      <c r="D1772" t="s">
        <v>184</v>
      </c>
      <c r="E1772" t="s">
        <v>176</v>
      </c>
      <c r="F1772" t="s">
        <v>177</v>
      </c>
      <c r="G1772" t="s">
        <v>180</v>
      </c>
    </row>
    <row r="1773" spans="1:7">
      <c r="A1773">
        <v>2031</v>
      </c>
      <c r="B1773" t="s">
        <v>190</v>
      </c>
      <c r="C1773">
        <v>88.633600000000001</v>
      </c>
      <c r="D1773" t="s">
        <v>184</v>
      </c>
      <c r="E1773" t="s">
        <v>176</v>
      </c>
      <c r="F1773" t="s">
        <v>177</v>
      </c>
      <c r="G1773" t="s">
        <v>180</v>
      </c>
    </row>
    <row r="1774" spans="1:7">
      <c r="A1774">
        <v>2032</v>
      </c>
      <c r="B1774" t="s">
        <v>190</v>
      </c>
      <c r="C1774">
        <v>88.633600000000001</v>
      </c>
      <c r="D1774" t="s">
        <v>184</v>
      </c>
      <c r="E1774" t="s">
        <v>176</v>
      </c>
      <c r="F1774" t="s">
        <v>177</v>
      </c>
      <c r="G1774" t="s">
        <v>180</v>
      </c>
    </row>
    <row r="1775" spans="1:7">
      <c r="A1775">
        <v>2033</v>
      </c>
      <c r="B1775" t="s">
        <v>190</v>
      </c>
      <c r="C1775">
        <v>0</v>
      </c>
      <c r="D1775" t="s">
        <v>184</v>
      </c>
      <c r="E1775" t="s">
        <v>176</v>
      </c>
      <c r="F1775" t="s">
        <v>177</v>
      </c>
      <c r="G1775" t="s">
        <v>180</v>
      </c>
    </row>
    <row r="1776" spans="1:7">
      <c r="A1776">
        <v>2034</v>
      </c>
      <c r="B1776" t="s">
        <v>190</v>
      </c>
      <c r="C1776">
        <v>0</v>
      </c>
      <c r="D1776" t="s">
        <v>184</v>
      </c>
      <c r="E1776" t="s">
        <v>176</v>
      </c>
      <c r="F1776" t="s">
        <v>177</v>
      </c>
      <c r="G1776" t="s">
        <v>180</v>
      </c>
    </row>
    <row r="1777" spans="1:7">
      <c r="A1777">
        <v>2035</v>
      </c>
      <c r="B1777" t="s">
        <v>190</v>
      </c>
      <c r="C1777">
        <v>0</v>
      </c>
      <c r="D1777" t="s">
        <v>184</v>
      </c>
      <c r="E1777" t="s">
        <v>176</v>
      </c>
      <c r="F1777" t="s">
        <v>177</v>
      </c>
      <c r="G1777" t="s">
        <v>180</v>
      </c>
    </row>
    <row r="1778" spans="1:7">
      <c r="A1778">
        <v>2020</v>
      </c>
      <c r="B1778" t="s">
        <v>191</v>
      </c>
      <c r="C1778">
        <v>0</v>
      </c>
      <c r="D1778" t="s">
        <v>184</v>
      </c>
      <c r="E1778" t="s">
        <v>176</v>
      </c>
      <c r="F1778" t="s">
        <v>177</v>
      </c>
      <c r="G1778" t="s">
        <v>180</v>
      </c>
    </row>
    <row r="1779" spans="1:7">
      <c r="A1779">
        <v>2021</v>
      </c>
      <c r="B1779" t="s">
        <v>191</v>
      </c>
      <c r="C1779">
        <v>0</v>
      </c>
      <c r="D1779" t="s">
        <v>184</v>
      </c>
      <c r="E1779" t="s">
        <v>176</v>
      </c>
      <c r="F1779" t="s">
        <v>177</v>
      </c>
      <c r="G1779" t="s">
        <v>180</v>
      </c>
    </row>
    <row r="1780" spans="1:7">
      <c r="A1780">
        <v>2022</v>
      </c>
      <c r="B1780" t="s">
        <v>191</v>
      </c>
      <c r="C1780">
        <v>0</v>
      </c>
      <c r="D1780" t="s">
        <v>184</v>
      </c>
      <c r="E1780" t="s">
        <v>176</v>
      </c>
      <c r="F1780" t="s">
        <v>177</v>
      </c>
      <c r="G1780" t="s">
        <v>180</v>
      </c>
    </row>
    <row r="1781" spans="1:7">
      <c r="A1781">
        <v>2023</v>
      </c>
      <c r="B1781" t="s">
        <v>191</v>
      </c>
      <c r="C1781">
        <v>0</v>
      </c>
      <c r="D1781" t="s">
        <v>184</v>
      </c>
      <c r="E1781" t="s">
        <v>176</v>
      </c>
      <c r="F1781" t="s">
        <v>177</v>
      </c>
      <c r="G1781" t="s">
        <v>180</v>
      </c>
    </row>
    <row r="1782" spans="1:7">
      <c r="A1782">
        <v>2024</v>
      </c>
      <c r="B1782" t="s">
        <v>191</v>
      </c>
      <c r="C1782">
        <v>0</v>
      </c>
      <c r="D1782" t="s">
        <v>184</v>
      </c>
      <c r="E1782" t="s">
        <v>176</v>
      </c>
      <c r="F1782" t="s">
        <v>177</v>
      </c>
      <c r="G1782" t="s">
        <v>180</v>
      </c>
    </row>
    <row r="1783" spans="1:7">
      <c r="A1783">
        <v>2025</v>
      </c>
      <c r="B1783" t="s">
        <v>191</v>
      </c>
      <c r="C1783">
        <v>0</v>
      </c>
      <c r="D1783" t="s">
        <v>184</v>
      </c>
      <c r="E1783" t="s">
        <v>176</v>
      </c>
      <c r="F1783" t="s">
        <v>177</v>
      </c>
      <c r="G1783" t="s">
        <v>180</v>
      </c>
    </row>
    <row r="1784" spans="1:7">
      <c r="A1784">
        <v>2026</v>
      </c>
      <c r="B1784" t="s">
        <v>191</v>
      </c>
      <c r="C1784">
        <v>0</v>
      </c>
      <c r="D1784" t="s">
        <v>184</v>
      </c>
      <c r="E1784" t="s">
        <v>176</v>
      </c>
      <c r="F1784" t="s">
        <v>177</v>
      </c>
      <c r="G1784" t="s">
        <v>180</v>
      </c>
    </row>
    <row r="1785" spans="1:7">
      <c r="A1785">
        <v>2027</v>
      </c>
      <c r="B1785" t="s">
        <v>191</v>
      </c>
      <c r="C1785">
        <v>0</v>
      </c>
      <c r="D1785" t="s">
        <v>184</v>
      </c>
      <c r="E1785" t="s">
        <v>176</v>
      </c>
      <c r="F1785" t="s">
        <v>177</v>
      </c>
      <c r="G1785" t="s">
        <v>180</v>
      </c>
    </row>
    <row r="1786" spans="1:7">
      <c r="A1786">
        <v>2028</v>
      </c>
      <c r="B1786" t="s">
        <v>191</v>
      </c>
      <c r="C1786">
        <v>0</v>
      </c>
      <c r="D1786" t="s">
        <v>184</v>
      </c>
      <c r="E1786" t="s">
        <v>176</v>
      </c>
      <c r="F1786" t="s">
        <v>177</v>
      </c>
      <c r="G1786" t="s">
        <v>180</v>
      </c>
    </row>
    <row r="1787" spans="1:7">
      <c r="A1787">
        <v>2029</v>
      </c>
      <c r="B1787" t="s">
        <v>191</v>
      </c>
      <c r="C1787">
        <v>0</v>
      </c>
      <c r="D1787" t="s">
        <v>184</v>
      </c>
      <c r="E1787" t="s">
        <v>176</v>
      </c>
      <c r="F1787" t="s">
        <v>177</v>
      </c>
      <c r="G1787" t="s">
        <v>180</v>
      </c>
    </row>
    <row r="1788" spans="1:7">
      <c r="A1788">
        <v>2030</v>
      </c>
      <c r="B1788" t="s">
        <v>191</v>
      </c>
      <c r="C1788">
        <v>0</v>
      </c>
      <c r="D1788" t="s">
        <v>184</v>
      </c>
      <c r="E1788" t="s">
        <v>176</v>
      </c>
      <c r="F1788" t="s">
        <v>177</v>
      </c>
      <c r="G1788" t="s">
        <v>180</v>
      </c>
    </row>
    <row r="1789" spans="1:7">
      <c r="A1789">
        <v>2031</v>
      </c>
      <c r="B1789" t="s">
        <v>191</v>
      </c>
      <c r="C1789">
        <v>0</v>
      </c>
      <c r="D1789" t="s">
        <v>184</v>
      </c>
      <c r="E1789" t="s">
        <v>176</v>
      </c>
      <c r="F1789" t="s">
        <v>177</v>
      </c>
      <c r="G1789" t="s">
        <v>180</v>
      </c>
    </row>
    <row r="1790" spans="1:7">
      <c r="A1790">
        <v>2032</v>
      </c>
      <c r="B1790" t="s">
        <v>191</v>
      </c>
      <c r="C1790">
        <v>0</v>
      </c>
      <c r="D1790" t="s">
        <v>184</v>
      </c>
      <c r="E1790" t="s">
        <v>176</v>
      </c>
      <c r="F1790" t="s">
        <v>177</v>
      </c>
      <c r="G1790" t="s">
        <v>180</v>
      </c>
    </row>
    <row r="1791" spans="1:7">
      <c r="A1791">
        <v>2033</v>
      </c>
      <c r="B1791" t="s">
        <v>191</v>
      </c>
      <c r="C1791">
        <v>0</v>
      </c>
      <c r="D1791" t="s">
        <v>184</v>
      </c>
      <c r="E1791" t="s">
        <v>176</v>
      </c>
      <c r="F1791" t="s">
        <v>177</v>
      </c>
      <c r="G1791" t="s">
        <v>180</v>
      </c>
    </row>
    <row r="1792" spans="1:7">
      <c r="A1792">
        <v>2034</v>
      </c>
      <c r="B1792" t="s">
        <v>191</v>
      </c>
      <c r="C1792">
        <v>0</v>
      </c>
      <c r="D1792" t="s">
        <v>184</v>
      </c>
      <c r="E1792" t="s">
        <v>176</v>
      </c>
      <c r="F1792" t="s">
        <v>177</v>
      </c>
      <c r="G1792" t="s">
        <v>180</v>
      </c>
    </row>
    <row r="1793" spans="1:7">
      <c r="A1793">
        <v>2035</v>
      </c>
      <c r="B1793" t="s">
        <v>191</v>
      </c>
      <c r="C1793">
        <v>0</v>
      </c>
      <c r="D1793" t="s">
        <v>184</v>
      </c>
      <c r="E1793" t="s">
        <v>176</v>
      </c>
      <c r="F1793" t="s">
        <v>177</v>
      </c>
      <c r="G1793" t="s">
        <v>180</v>
      </c>
    </row>
    <row r="1794" spans="1:7">
      <c r="A1794">
        <v>2020</v>
      </c>
      <c r="B1794" t="s">
        <v>192</v>
      </c>
      <c r="C1794">
        <v>1835.86</v>
      </c>
      <c r="D1794" t="s">
        <v>184</v>
      </c>
      <c r="E1794" t="s">
        <v>176</v>
      </c>
      <c r="F1794" t="s">
        <v>177</v>
      </c>
      <c r="G1794" t="s">
        <v>180</v>
      </c>
    </row>
    <row r="1795" spans="1:7">
      <c r="A1795">
        <v>2021</v>
      </c>
      <c r="B1795" t="s">
        <v>192</v>
      </c>
      <c r="C1795">
        <v>0</v>
      </c>
      <c r="D1795" t="s">
        <v>184</v>
      </c>
      <c r="E1795" t="s">
        <v>176</v>
      </c>
      <c r="F1795" t="s">
        <v>177</v>
      </c>
      <c r="G1795" t="s">
        <v>180</v>
      </c>
    </row>
    <row r="1796" spans="1:7">
      <c r="A1796">
        <v>2022</v>
      </c>
      <c r="B1796" t="s">
        <v>192</v>
      </c>
      <c r="C1796">
        <v>0</v>
      </c>
      <c r="D1796" t="s">
        <v>184</v>
      </c>
      <c r="E1796" t="s">
        <v>176</v>
      </c>
      <c r="F1796" t="s">
        <v>177</v>
      </c>
      <c r="G1796" t="s">
        <v>180</v>
      </c>
    </row>
    <row r="1797" spans="1:7">
      <c r="A1797">
        <v>2023</v>
      </c>
      <c r="B1797" t="s">
        <v>192</v>
      </c>
      <c r="C1797">
        <v>53.5</v>
      </c>
      <c r="D1797" t="s">
        <v>184</v>
      </c>
      <c r="E1797" t="s">
        <v>176</v>
      </c>
      <c r="F1797" t="s">
        <v>177</v>
      </c>
      <c r="G1797" t="s">
        <v>180</v>
      </c>
    </row>
    <row r="1798" spans="1:7">
      <c r="A1798">
        <v>2024</v>
      </c>
      <c r="B1798" t="s">
        <v>192</v>
      </c>
      <c r="C1798">
        <v>53.5</v>
      </c>
      <c r="D1798" t="s">
        <v>184</v>
      </c>
      <c r="E1798" t="s">
        <v>176</v>
      </c>
      <c r="F1798" t="s">
        <v>177</v>
      </c>
      <c r="G1798" t="s">
        <v>180</v>
      </c>
    </row>
    <row r="1799" spans="1:7">
      <c r="A1799">
        <v>2025</v>
      </c>
      <c r="B1799" t="s">
        <v>192</v>
      </c>
      <c r="C1799">
        <v>44</v>
      </c>
      <c r="D1799" t="s">
        <v>184</v>
      </c>
      <c r="E1799" t="s">
        <v>176</v>
      </c>
      <c r="F1799" t="s">
        <v>177</v>
      </c>
      <c r="G1799" t="s">
        <v>180</v>
      </c>
    </row>
    <row r="1800" spans="1:7">
      <c r="A1800">
        <v>2026</v>
      </c>
      <c r="B1800" t="s">
        <v>192</v>
      </c>
      <c r="C1800">
        <v>44</v>
      </c>
      <c r="D1800" t="s">
        <v>184</v>
      </c>
      <c r="E1800" t="s">
        <v>176</v>
      </c>
      <c r="F1800" t="s">
        <v>177</v>
      </c>
      <c r="G1800" t="s">
        <v>180</v>
      </c>
    </row>
    <row r="1801" spans="1:7">
      <c r="A1801">
        <v>2027</v>
      </c>
      <c r="B1801" t="s">
        <v>192</v>
      </c>
      <c r="C1801">
        <v>42</v>
      </c>
      <c r="D1801" t="s">
        <v>184</v>
      </c>
      <c r="E1801" t="s">
        <v>176</v>
      </c>
      <c r="F1801" t="s">
        <v>177</v>
      </c>
      <c r="G1801" t="s">
        <v>180</v>
      </c>
    </row>
    <row r="1802" spans="1:7">
      <c r="A1802">
        <v>2028</v>
      </c>
      <c r="B1802" t="s">
        <v>192</v>
      </c>
      <c r="C1802">
        <v>42</v>
      </c>
      <c r="D1802" t="s">
        <v>184</v>
      </c>
      <c r="E1802" t="s">
        <v>176</v>
      </c>
      <c r="F1802" t="s">
        <v>177</v>
      </c>
      <c r="G1802" t="s">
        <v>180</v>
      </c>
    </row>
    <row r="1803" spans="1:7">
      <c r="A1803">
        <v>2029</v>
      </c>
      <c r="B1803" t="s">
        <v>192</v>
      </c>
      <c r="C1803">
        <v>30.5</v>
      </c>
      <c r="D1803" t="s">
        <v>184</v>
      </c>
      <c r="E1803" t="s">
        <v>176</v>
      </c>
      <c r="F1803" t="s">
        <v>177</v>
      </c>
      <c r="G1803" t="s">
        <v>180</v>
      </c>
    </row>
    <row r="1804" spans="1:7">
      <c r="A1804">
        <v>2030</v>
      </c>
      <c r="B1804" t="s">
        <v>192</v>
      </c>
      <c r="C1804">
        <v>30.5</v>
      </c>
      <c r="D1804" t="s">
        <v>184</v>
      </c>
      <c r="E1804" t="s">
        <v>176</v>
      </c>
      <c r="F1804" t="s">
        <v>177</v>
      </c>
      <c r="G1804" t="s">
        <v>180</v>
      </c>
    </row>
    <row r="1805" spans="1:7">
      <c r="A1805">
        <v>2031</v>
      </c>
      <c r="B1805" t="s">
        <v>192</v>
      </c>
      <c r="C1805">
        <v>0</v>
      </c>
      <c r="D1805" t="s">
        <v>184</v>
      </c>
      <c r="E1805" t="s">
        <v>176</v>
      </c>
      <c r="F1805" t="s">
        <v>177</v>
      </c>
      <c r="G1805" t="s">
        <v>180</v>
      </c>
    </row>
    <row r="1806" spans="1:7">
      <c r="A1806">
        <v>2032</v>
      </c>
      <c r="B1806" t="s">
        <v>192</v>
      </c>
      <c r="C1806">
        <v>0</v>
      </c>
      <c r="D1806" t="s">
        <v>184</v>
      </c>
      <c r="E1806" t="s">
        <v>176</v>
      </c>
      <c r="F1806" t="s">
        <v>177</v>
      </c>
      <c r="G1806" t="s">
        <v>180</v>
      </c>
    </row>
    <row r="1807" spans="1:7">
      <c r="A1807">
        <v>2033</v>
      </c>
      <c r="B1807" t="s">
        <v>192</v>
      </c>
      <c r="C1807">
        <v>0</v>
      </c>
      <c r="D1807" t="s">
        <v>184</v>
      </c>
      <c r="E1807" t="s">
        <v>176</v>
      </c>
      <c r="F1807" t="s">
        <v>177</v>
      </c>
      <c r="G1807" t="s">
        <v>180</v>
      </c>
    </row>
    <row r="1808" spans="1:7">
      <c r="A1808">
        <v>2034</v>
      </c>
      <c r="B1808" t="s">
        <v>192</v>
      </c>
      <c r="C1808">
        <v>0</v>
      </c>
      <c r="D1808" t="s">
        <v>184</v>
      </c>
      <c r="E1808" t="s">
        <v>176</v>
      </c>
      <c r="F1808" t="s">
        <v>177</v>
      </c>
      <c r="G1808" t="s">
        <v>180</v>
      </c>
    </row>
    <row r="1809" spans="1:7">
      <c r="A1809">
        <v>2035</v>
      </c>
      <c r="B1809" t="s">
        <v>192</v>
      </c>
      <c r="C1809">
        <v>0</v>
      </c>
      <c r="D1809" t="s">
        <v>184</v>
      </c>
      <c r="E1809" t="s">
        <v>176</v>
      </c>
      <c r="F1809" t="s">
        <v>177</v>
      </c>
      <c r="G1809" t="s">
        <v>180</v>
      </c>
    </row>
    <row r="1810" spans="1:7">
      <c r="A1810">
        <v>2020</v>
      </c>
      <c r="B1810" t="s">
        <v>193</v>
      </c>
      <c r="C1810">
        <v>232.5</v>
      </c>
      <c r="D1810" t="s">
        <v>184</v>
      </c>
      <c r="E1810" t="s">
        <v>176</v>
      </c>
      <c r="F1810" t="s">
        <v>177</v>
      </c>
      <c r="G1810" t="s">
        <v>180</v>
      </c>
    </row>
    <row r="1811" spans="1:7">
      <c r="A1811">
        <v>2021</v>
      </c>
      <c r="B1811" t="s">
        <v>193</v>
      </c>
      <c r="C1811">
        <v>1100</v>
      </c>
      <c r="D1811" t="s">
        <v>184</v>
      </c>
      <c r="E1811" t="s">
        <v>176</v>
      </c>
      <c r="F1811" t="s">
        <v>177</v>
      </c>
      <c r="G1811" t="s">
        <v>180</v>
      </c>
    </row>
    <row r="1812" spans="1:7">
      <c r="A1812">
        <v>2022</v>
      </c>
      <c r="B1812" t="s">
        <v>193</v>
      </c>
      <c r="C1812">
        <v>1100</v>
      </c>
      <c r="D1812" t="s">
        <v>184</v>
      </c>
      <c r="E1812" t="s">
        <v>176</v>
      </c>
      <c r="F1812" t="s">
        <v>177</v>
      </c>
      <c r="G1812" t="s">
        <v>180</v>
      </c>
    </row>
    <row r="1813" spans="1:7">
      <c r="A1813">
        <v>2023</v>
      </c>
      <c r="B1813" t="s">
        <v>193</v>
      </c>
      <c r="C1813">
        <v>0</v>
      </c>
      <c r="D1813" t="s">
        <v>184</v>
      </c>
      <c r="E1813" t="s">
        <v>176</v>
      </c>
      <c r="F1813" t="s">
        <v>177</v>
      </c>
      <c r="G1813" t="s">
        <v>180</v>
      </c>
    </row>
    <row r="1814" spans="1:7">
      <c r="A1814">
        <v>2024</v>
      </c>
      <c r="B1814" t="s">
        <v>193</v>
      </c>
      <c r="C1814">
        <v>0</v>
      </c>
      <c r="D1814" t="s">
        <v>184</v>
      </c>
      <c r="E1814" t="s">
        <v>176</v>
      </c>
      <c r="F1814" t="s">
        <v>177</v>
      </c>
      <c r="G1814" t="s">
        <v>180</v>
      </c>
    </row>
    <row r="1815" spans="1:7">
      <c r="A1815">
        <v>2025</v>
      </c>
      <c r="B1815" t="s">
        <v>193</v>
      </c>
      <c r="C1815">
        <v>0</v>
      </c>
      <c r="D1815" t="s">
        <v>184</v>
      </c>
      <c r="E1815" t="s">
        <v>176</v>
      </c>
      <c r="F1815" t="s">
        <v>177</v>
      </c>
      <c r="G1815" t="s">
        <v>180</v>
      </c>
    </row>
    <row r="1816" spans="1:7">
      <c r="A1816">
        <v>2026</v>
      </c>
      <c r="B1816" t="s">
        <v>193</v>
      </c>
      <c r="C1816">
        <v>0</v>
      </c>
      <c r="D1816" t="s">
        <v>184</v>
      </c>
      <c r="E1816" t="s">
        <v>176</v>
      </c>
      <c r="F1816" t="s">
        <v>177</v>
      </c>
      <c r="G1816" t="s">
        <v>180</v>
      </c>
    </row>
    <row r="1817" spans="1:7">
      <c r="A1817">
        <v>2027</v>
      </c>
      <c r="B1817" t="s">
        <v>193</v>
      </c>
      <c r="C1817">
        <v>0</v>
      </c>
      <c r="D1817" t="s">
        <v>184</v>
      </c>
      <c r="E1817" t="s">
        <v>176</v>
      </c>
      <c r="F1817" t="s">
        <v>177</v>
      </c>
      <c r="G1817" t="s">
        <v>180</v>
      </c>
    </row>
    <row r="1818" spans="1:7">
      <c r="A1818">
        <v>2028</v>
      </c>
      <c r="B1818" t="s">
        <v>193</v>
      </c>
      <c r="C1818">
        <v>0</v>
      </c>
      <c r="D1818" t="s">
        <v>184</v>
      </c>
      <c r="E1818" t="s">
        <v>176</v>
      </c>
      <c r="F1818" t="s">
        <v>177</v>
      </c>
      <c r="G1818" t="s">
        <v>180</v>
      </c>
    </row>
    <row r="1819" spans="1:7">
      <c r="A1819">
        <v>2029</v>
      </c>
      <c r="B1819" t="s">
        <v>193</v>
      </c>
      <c r="C1819">
        <v>0</v>
      </c>
      <c r="D1819" t="s">
        <v>184</v>
      </c>
      <c r="E1819" t="s">
        <v>176</v>
      </c>
      <c r="F1819" t="s">
        <v>177</v>
      </c>
      <c r="G1819" t="s">
        <v>180</v>
      </c>
    </row>
    <row r="1820" spans="1:7">
      <c r="A1820">
        <v>2030</v>
      </c>
      <c r="B1820" t="s">
        <v>193</v>
      </c>
      <c r="C1820">
        <v>0</v>
      </c>
      <c r="D1820" t="s">
        <v>184</v>
      </c>
      <c r="E1820" t="s">
        <v>176</v>
      </c>
      <c r="F1820" t="s">
        <v>177</v>
      </c>
      <c r="G1820" t="s">
        <v>180</v>
      </c>
    </row>
    <row r="1821" spans="1:7">
      <c r="A1821">
        <v>2031</v>
      </c>
      <c r="B1821" t="s">
        <v>193</v>
      </c>
      <c r="C1821">
        <v>0</v>
      </c>
      <c r="D1821" t="s">
        <v>184</v>
      </c>
      <c r="E1821" t="s">
        <v>176</v>
      </c>
      <c r="F1821" t="s">
        <v>177</v>
      </c>
      <c r="G1821" t="s">
        <v>180</v>
      </c>
    </row>
    <row r="1822" spans="1:7">
      <c r="A1822">
        <v>2032</v>
      </c>
      <c r="B1822" t="s">
        <v>193</v>
      </c>
      <c r="C1822">
        <v>0</v>
      </c>
      <c r="D1822" t="s">
        <v>184</v>
      </c>
      <c r="E1822" t="s">
        <v>176</v>
      </c>
      <c r="F1822" t="s">
        <v>177</v>
      </c>
      <c r="G1822" t="s">
        <v>180</v>
      </c>
    </row>
    <row r="1823" spans="1:7">
      <c r="A1823">
        <v>2033</v>
      </c>
      <c r="B1823" t="s">
        <v>193</v>
      </c>
      <c r="C1823">
        <v>0</v>
      </c>
      <c r="D1823" t="s">
        <v>184</v>
      </c>
      <c r="E1823" t="s">
        <v>176</v>
      </c>
      <c r="F1823" t="s">
        <v>177</v>
      </c>
      <c r="G1823" t="s">
        <v>180</v>
      </c>
    </row>
    <row r="1824" spans="1:7">
      <c r="A1824">
        <v>2034</v>
      </c>
      <c r="B1824" t="s">
        <v>193</v>
      </c>
      <c r="C1824">
        <v>0</v>
      </c>
      <c r="D1824" t="s">
        <v>184</v>
      </c>
      <c r="E1824" t="s">
        <v>176</v>
      </c>
      <c r="F1824" t="s">
        <v>177</v>
      </c>
      <c r="G1824" t="s">
        <v>180</v>
      </c>
    </row>
    <row r="1825" spans="1:7">
      <c r="A1825">
        <v>2035</v>
      </c>
      <c r="B1825" t="s">
        <v>193</v>
      </c>
      <c r="C1825">
        <v>0</v>
      </c>
      <c r="D1825" t="s">
        <v>184</v>
      </c>
      <c r="E1825" t="s">
        <v>176</v>
      </c>
      <c r="F1825" t="s">
        <v>177</v>
      </c>
      <c r="G1825" t="s">
        <v>180</v>
      </c>
    </row>
    <row r="1826" spans="1:7">
      <c r="A1826">
        <v>2020</v>
      </c>
      <c r="B1826" t="s">
        <v>194</v>
      </c>
      <c r="C1826">
        <v>14.85</v>
      </c>
      <c r="D1826" t="s">
        <v>184</v>
      </c>
      <c r="E1826" t="s">
        <v>176</v>
      </c>
      <c r="F1826" t="s">
        <v>177</v>
      </c>
      <c r="G1826" t="s">
        <v>180</v>
      </c>
    </row>
    <row r="1827" spans="1:7">
      <c r="A1827">
        <v>2021</v>
      </c>
      <c r="B1827" t="s">
        <v>194</v>
      </c>
      <c r="C1827">
        <v>0</v>
      </c>
      <c r="D1827" t="s">
        <v>184</v>
      </c>
      <c r="E1827" t="s">
        <v>176</v>
      </c>
      <c r="F1827" t="s">
        <v>177</v>
      </c>
      <c r="G1827" t="s">
        <v>180</v>
      </c>
    </row>
    <row r="1828" spans="1:7">
      <c r="A1828">
        <v>2022</v>
      </c>
      <c r="B1828" t="s">
        <v>194</v>
      </c>
      <c r="C1828">
        <v>0</v>
      </c>
      <c r="D1828" t="s">
        <v>184</v>
      </c>
      <c r="E1828" t="s">
        <v>176</v>
      </c>
      <c r="F1828" t="s">
        <v>177</v>
      </c>
      <c r="G1828" t="s">
        <v>180</v>
      </c>
    </row>
    <row r="1829" spans="1:7">
      <c r="A1829">
        <v>2023</v>
      </c>
      <c r="B1829" t="s">
        <v>194</v>
      </c>
      <c r="C1829">
        <v>0</v>
      </c>
      <c r="D1829" t="s">
        <v>184</v>
      </c>
      <c r="E1829" t="s">
        <v>176</v>
      </c>
      <c r="F1829" t="s">
        <v>177</v>
      </c>
      <c r="G1829" t="s">
        <v>180</v>
      </c>
    </row>
    <row r="1830" spans="1:7">
      <c r="A1830">
        <v>2024</v>
      </c>
      <c r="B1830" t="s">
        <v>194</v>
      </c>
      <c r="C1830">
        <v>0</v>
      </c>
      <c r="D1830" t="s">
        <v>184</v>
      </c>
      <c r="E1830" t="s">
        <v>176</v>
      </c>
      <c r="F1830" t="s">
        <v>177</v>
      </c>
      <c r="G1830" t="s">
        <v>180</v>
      </c>
    </row>
    <row r="1831" spans="1:7">
      <c r="A1831">
        <v>2025</v>
      </c>
      <c r="B1831" t="s">
        <v>194</v>
      </c>
      <c r="C1831">
        <v>0</v>
      </c>
      <c r="D1831" t="s">
        <v>184</v>
      </c>
      <c r="E1831" t="s">
        <v>176</v>
      </c>
      <c r="F1831" t="s">
        <v>177</v>
      </c>
      <c r="G1831" t="s">
        <v>180</v>
      </c>
    </row>
    <row r="1832" spans="1:7">
      <c r="A1832">
        <v>2026</v>
      </c>
      <c r="B1832" t="s">
        <v>194</v>
      </c>
      <c r="C1832">
        <v>0</v>
      </c>
      <c r="D1832" t="s">
        <v>184</v>
      </c>
      <c r="E1832" t="s">
        <v>176</v>
      </c>
      <c r="F1832" t="s">
        <v>177</v>
      </c>
      <c r="G1832" t="s">
        <v>180</v>
      </c>
    </row>
    <row r="1833" spans="1:7">
      <c r="A1833">
        <v>2027</v>
      </c>
      <c r="B1833" t="s">
        <v>194</v>
      </c>
      <c r="C1833">
        <v>0</v>
      </c>
      <c r="D1833" t="s">
        <v>184</v>
      </c>
      <c r="E1833" t="s">
        <v>176</v>
      </c>
      <c r="F1833" t="s">
        <v>177</v>
      </c>
      <c r="G1833" t="s">
        <v>180</v>
      </c>
    </row>
    <row r="1834" spans="1:7">
      <c r="A1834">
        <v>2028</v>
      </c>
      <c r="B1834" t="s">
        <v>194</v>
      </c>
      <c r="C1834">
        <v>0</v>
      </c>
      <c r="D1834" t="s">
        <v>184</v>
      </c>
      <c r="E1834" t="s">
        <v>176</v>
      </c>
      <c r="F1834" t="s">
        <v>177</v>
      </c>
      <c r="G1834" t="s">
        <v>180</v>
      </c>
    </row>
    <row r="1835" spans="1:7">
      <c r="A1835">
        <v>2029</v>
      </c>
      <c r="B1835" t="s">
        <v>194</v>
      </c>
      <c r="C1835">
        <v>0</v>
      </c>
      <c r="D1835" t="s">
        <v>184</v>
      </c>
      <c r="E1835" t="s">
        <v>176</v>
      </c>
      <c r="F1835" t="s">
        <v>177</v>
      </c>
      <c r="G1835" t="s">
        <v>180</v>
      </c>
    </row>
    <row r="1836" spans="1:7">
      <c r="A1836">
        <v>2030</v>
      </c>
      <c r="B1836" t="s">
        <v>194</v>
      </c>
      <c r="C1836">
        <v>0</v>
      </c>
      <c r="D1836" t="s">
        <v>184</v>
      </c>
      <c r="E1836" t="s">
        <v>176</v>
      </c>
      <c r="F1836" t="s">
        <v>177</v>
      </c>
      <c r="G1836" t="s">
        <v>180</v>
      </c>
    </row>
    <row r="1837" spans="1:7">
      <c r="A1837">
        <v>2031</v>
      </c>
      <c r="B1837" t="s">
        <v>194</v>
      </c>
      <c r="C1837">
        <v>0</v>
      </c>
      <c r="D1837" t="s">
        <v>184</v>
      </c>
      <c r="E1837" t="s">
        <v>176</v>
      </c>
      <c r="F1837" t="s">
        <v>177</v>
      </c>
      <c r="G1837" t="s">
        <v>180</v>
      </c>
    </row>
    <row r="1838" spans="1:7">
      <c r="A1838">
        <v>2032</v>
      </c>
      <c r="B1838" t="s">
        <v>194</v>
      </c>
      <c r="C1838">
        <v>0</v>
      </c>
      <c r="D1838" t="s">
        <v>184</v>
      </c>
      <c r="E1838" t="s">
        <v>176</v>
      </c>
      <c r="F1838" t="s">
        <v>177</v>
      </c>
      <c r="G1838" t="s">
        <v>180</v>
      </c>
    </row>
    <row r="1839" spans="1:7">
      <c r="A1839">
        <v>2033</v>
      </c>
      <c r="B1839" t="s">
        <v>194</v>
      </c>
      <c r="C1839">
        <v>0</v>
      </c>
      <c r="D1839" t="s">
        <v>184</v>
      </c>
      <c r="E1839" t="s">
        <v>176</v>
      </c>
      <c r="F1839" t="s">
        <v>177</v>
      </c>
      <c r="G1839" t="s">
        <v>180</v>
      </c>
    </row>
    <row r="1840" spans="1:7">
      <c r="A1840">
        <v>2034</v>
      </c>
      <c r="B1840" t="s">
        <v>194</v>
      </c>
      <c r="C1840">
        <v>0</v>
      </c>
      <c r="D1840" t="s">
        <v>184</v>
      </c>
      <c r="E1840" t="s">
        <v>176</v>
      </c>
      <c r="F1840" t="s">
        <v>177</v>
      </c>
      <c r="G1840" t="s">
        <v>180</v>
      </c>
    </row>
    <row r="1841" spans="1:7">
      <c r="A1841">
        <v>2035</v>
      </c>
      <c r="B1841" t="s">
        <v>194</v>
      </c>
      <c r="C1841">
        <v>0</v>
      </c>
      <c r="D1841" t="s">
        <v>184</v>
      </c>
      <c r="E1841" t="s">
        <v>176</v>
      </c>
      <c r="F1841" t="s">
        <v>177</v>
      </c>
      <c r="G1841" t="s">
        <v>180</v>
      </c>
    </row>
    <row r="1842" spans="1:7">
      <c r="A1842">
        <v>2020</v>
      </c>
      <c r="B1842" t="s">
        <v>195</v>
      </c>
      <c r="C1842">
        <v>10227.299999999999</v>
      </c>
      <c r="D1842" t="s">
        <v>184</v>
      </c>
      <c r="E1842" t="s">
        <v>176</v>
      </c>
      <c r="F1842" t="s">
        <v>177</v>
      </c>
      <c r="G1842" t="s">
        <v>180</v>
      </c>
    </row>
    <row r="1843" spans="1:7">
      <c r="A1843">
        <v>2021</v>
      </c>
      <c r="B1843" t="s">
        <v>195</v>
      </c>
      <c r="C1843">
        <v>3183.33</v>
      </c>
      <c r="D1843" t="s">
        <v>184</v>
      </c>
      <c r="E1843" t="s">
        <v>176</v>
      </c>
      <c r="F1843" t="s">
        <v>177</v>
      </c>
      <c r="G1843" t="s">
        <v>180</v>
      </c>
    </row>
    <row r="1844" spans="1:7">
      <c r="A1844">
        <v>2022</v>
      </c>
      <c r="B1844" t="s">
        <v>195</v>
      </c>
      <c r="C1844">
        <v>3183.33</v>
      </c>
      <c r="D1844" t="s">
        <v>184</v>
      </c>
      <c r="E1844" t="s">
        <v>176</v>
      </c>
      <c r="F1844" t="s">
        <v>177</v>
      </c>
      <c r="G1844" t="s">
        <v>180</v>
      </c>
    </row>
    <row r="1845" spans="1:7">
      <c r="A1845">
        <v>2023</v>
      </c>
      <c r="B1845" t="s">
        <v>195</v>
      </c>
      <c r="C1845">
        <v>11346.5</v>
      </c>
      <c r="D1845" t="s">
        <v>184</v>
      </c>
      <c r="E1845" t="s">
        <v>176</v>
      </c>
      <c r="F1845" t="s">
        <v>177</v>
      </c>
      <c r="G1845" t="s">
        <v>180</v>
      </c>
    </row>
    <row r="1846" spans="1:7">
      <c r="A1846">
        <v>2024</v>
      </c>
      <c r="B1846" t="s">
        <v>195</v>
      </c>
      <c r="C1846">
        <v>11346.5</v>
      </c>
      <c r="D1846" t="s">
        <v>184</v>
      </c>
      <c r="E1846" t="s">
        <v>176</v>
      </c>
      <c r="F1846" t="s">
        <v>177</v>
      </c>
      <c r="G1846" t="s">
        <v>180</v>
      </c>
    </row>
    <row r="1847" spans="1:7">
      <c r="A1847">
        <v>2025</v>
      </c>
      <c r="B1847" t="s">
        <v>195</v>
      </c>
      <c r="C1847">
        <v>24438.5</v>
      </c>
      <c r="D1847" t="s">
        <v>184</v>
      </c>
      <c r="E1847" t="s">
        <v>176</v>
      </c>
      <c r="F1847" t="s">
        <v>177</v>
      </c>
      <c r="G1847" t="s">
        <v>180</v>
      </c>
    </row>
    <row r="1848" spans="1:7">
      <c r="A1848">
        <v>2026</v>
      </c>
      <c r="B1848" t="s">
        <v>195</v>
      </c>
      <c r="C1848">
        <v>24438.5</v>
      </c>
      <c r="D1848" t="s">
        <v>184</v>
      </c>
      <c r="E1848" t="s">
        <v>176</v>
      </c>
      <c r="F1848" t="s">
        <v>177</v>
      </c>
      <c r="G1848" t="s">
        <v>180</v>
      </c>
    </row>
    <row r="1849" spans="1:7">
      <c r="A1849">
        <v>2027</v>
      </c>
      <c r="B1849" t="s">
        <v>195</v>
      </c>
      <c r="C1849">
        <v>24379.200000000001</v>
      </c>
      <c r="D1849" t="s">
        <v>184</v>
      </c>
      <c r="E1849" t="s">
        <v>176</v>
      </c>
      <c r="F1849" t="s">
        <v>177</v>
      </c>
      <c r="G1849" t="s">
        <v>180</v>
      </c>
    </row>
    <row r="1850" spans="1:7">
      <c r="A1850">
        <v>2028</v>
      </c>
      <c r="B1850" t="s">
        <v>195</v>
      </c>
      <c r="C1850">
        <v>24379.200000000001</v>
      </c>
      <c r="D1850" t="s">
        <v>184</v>
      </c>
      <c r="E1850" t="s">
        <v>176</v>
      </c>
      <c r="F1850" t="s">
        <v>177</v>
      </c>
      <c r="G1850" t="s">
        <v>180</v>
      </c>
    </row>
    <row r="1851" spans="1:7">
      <c r="A1851">
        <v>2029</v>
      </c>
      <c r="B1851" t="s">
        <v>195</v>
      </c>
      <c r="C1851">
        <v>22073.8</v>
      </c>
      <c r="D1851" t="s">
        <v>184</v>
      </c>
      <c r="E1851" t="s">
        <v>176</v>
      </c>
      <c r="F1851" t="s">
        <v>177</v>
      </c>
      <c r="G1851" t="s">
        <v>180</v>
      </c>
    </row>
    <row r="1852" spans="1:7">
      <c r="A1852">
        <v>2030</v>
      </c>
      <c r="B1852" t="s">
        <v>195</v>
      </c>
      <c r="C1852">
        <v>22073.8</v>
      </c>
      <c r="D1852" t="s">
        <v>184</v>
      </c>
      <c r="E1852" t="s">
        <v>176</v>
      </c>
      <c r="F1852" t="s">
        <v>177</v>
      </c>
      <c r="G1852" t="s">
        <v>180</v>
      </c>
    </row>
    <row r="1853" spans="1:7">
      <c r="A1853">
        <v>2031</v>
      </c>
      <c r="B1853" t="s">
        <v>195</v>
      </c>
      <c r="C1853">
        <v>17797.599999999999</v>
      </c>
      <c r="D1853" t="s">
        <v>184</v>
      </c>
      <c r="E1853" t="s">
        <v>176</v>
      </c>
      <c r="F1853" t="s">
        <v>177</v>
      </c>
      <c r="G1853" t="s">
        <v>180</v>
      </c>
    </row>
    <row r="1854" spans="1:7">
      <c r="A1854">
        <v>2032</v>
      </c>
      <c r="B1854" t="s">
        <v>195</v>
      </c>
      <c r="C1854">
        <v>17797.599999999999</v>
      </c>
      <c r="D1854" t="s">
        <v>184</v>
      </c>
      <c r="E1854" t="s">
        <v>176</v>
      </c>
      <c r="F1854" t="s">
        <v>177</v>
      </c>
      <c r="G1854" t="s">
        <v>180</v>
      </c>
    </row>
    <row r="1855" spans="1:7">
      <c r="A1855">
        <v>2033</v>
      </c>
      <c r="B1855" t="s">
        <v>195</v>
      </c>
      <c r="C1855">
        <v>18866.8</v>
      </c>
      <c r="D1855" t="s">
        <v>184</v>
      </c>
      <c r="E1855" t="s">
        <v>176</v>
      </c>
      <c r="F1855" t="s">
        <v>177</v>
      </c>
      <c r="G1855" t="s">
        <v>180</v>
      </c>
    </row>
    <row r="1856" spans="1:7">
      <c r="A1856">
        <v>2034</v>
      </c>
      <c r="B1856" t="s">
        <v>195</v>
      </c>
      <c r="C1856">
        <v>18866.8</v>
      </c>
      <c r="D1856" t="s">
        <v>184</v>
      </c>
      <c r="E1856" t="s">
        <v>176</v>
      </c>
      <c r="F1856" t="s">
        <v>177</v>
      </c>
      <c r="G1856" t="s">
        <v>180</v>
      </c>
    </row>
    <row r="1857" spans="1:7">
      <c r="A1857">
        <v>2035</v>
      </c>
      <c r="B1857" t="s">
        <v>195</v>
      </c>
      <c r="C1857">
        <v>18866.8</v>
      </c>
      <c r="D1857" t="s">
        <v>184</v>
      </c>
      <c r="E1857" t="s">
        <v>176</v>
      </c>
      <c r="F1857" t="s">
        <v>177</v>
      </c>
      <c r="G1857" t="s">
        <v>180</v>
      </c>
    </row>
    <row r="1858" spans="1:7">
      <c r="A1858">
        <v>2020</v>
      </c>
      <c r="B1858" t="s">
        <v>196</v>
      </c>
      <c r="C1858">
        <v>10377.5</v>
      </c>
      <c r="D1858" t="s">
        <v>184</v>
      </c>
      <c r="E1858" t="s">
        <v>176</v>
      </c>
      <c r="F1858" t="s">
        <v>177</v>
      </c>
      <c r="G1858" t="s">
        <v>180</v>
      </c>
    </row>
    <row r="1859" spans="1:7">
      <c r="A1859">
        <v>2021</v>
      </c>
      <c r="B1859" t="s">
        <v>196</v>
      </c>
      <c r="C1859">
        <v>2619.75</v>
      </c>
      <c r="D1859" t="s">
        <v>184</v>
      </c>
      <c r="E1859" t="s">
        <v>176</v>
      </c>
      <c r="F1859" t="s">
        <v>177</v>
      </c>
      <c r="G1859" t="s">
        <v>180</v>
      </c>
    </row>
    <row r="1860" spans="1:7">
      <c r="A1860">
        <v>2022</v>
      </c>
      <c r="B1860" t="s">
        <v>196</v>
      </c>
      <c r="C1860">
        <v>2619.75</v>
      </c>
      <c r="D1860" t="s">
        <v>184</v>
      </c>
      <c r="E1860" t="s">
        <v>176</v>
      </c>
      <c r="F1860" t="s">
        <v>177</v>
      </c>
      <c r="G1860" t="s">
        <v>180</v>
      </c>
    </row>
    <row r="1861" spans="1:7">
      <c r="A1861">
        <v>2023</v>
      </c>
      <c r="B1861" t="s">
        <v>196</v>
      </c>
      <c r="C1861">
        <v>2546.33</v>
      </c>
      <c r="D1861" t="s">
        <v>184</v>
      </c>
      <c r="E1861" t="s">
        <v>176</v>
      </c>
      <c r="F1861" t="s">
        <v>177</v>
      </c>
      <c r="G1861" t="s">
        <v>180</v>
      </c>
    </row>
    <row r="1862" spans="1:7">
      <c r="A1862">
        <v>2024</v>
      </c>
      <c r="B1862" t="s">
        <v>196</v>
      </c>
      <c r="C1862">
        <v>2546.33</v>
      </c>
      <c r="D1862" t="s">
        <v>184</v>
      </c>
      <c r="E1862" t="s">
        <v>176</v>
      </c>
      <c r="F1862" t="s">
        <v>177</v>
      </c>
      <c r="G1862" t="s">
        <v>180</v>
      </c>
    </row>
    <row r="1863" spans="1:7">
      <c r="A1863">
        <v>2025</v>
      </c>
      <c r="B1863" t="s">
        <v>196</v>
      </c>
      <c r="C1863">
        <v>3978.35</v>
      </c>
      <c r="D1863" t="s">
        <v>184</v>
      </c>
      <c r="E1863" t="s">
        <v>176</v>
      </c>
      <c r="F1863" t="s">
        <v>177</v>
      </c>
      <c r="G1863" t="s">
        <v>180</v>
      </c>
    </row>
    <row r="1864" spans="1:7">
      <c r="A1864">
        <v>2026</v>
      </c>
      <c r="B1864" t="s">
        <v>196</v>
      </c>
      <c r="C1864">
        <v>3978.35</v>
      </c>
      <c r="D1864" t="s">
        <v>184</v>
      </c>
      <c r="E1864" t="s">
        <v>176</v>
      </c>
      <c r="F1864" t="s">
        <v>177</v>
      </c>
      <c r="G1864" t="s">
        <v>180</v>
      </c>
    </row>
    <row r="1865" spans="1:7">
      <c r="A1865">
        <v>2027</v>
      </c>
      <c r="B1865" t="s">
        <v>196</v>
      </c>
      <c r="C1865">
        <v>7254.12</v>
      </c>
      <c r="D1865" t="s">
        <v>184</v>
      </c>
      <c r="E1865" t="s">
        <v>176</v>
      </c>
      <c r="F1865" t="s">
        <v>177</v>
      </c>
      <c r="G1865" t="s">
        <v>180</v>
      </c>
    </row>
    <row r="1866" spans="1:7">
      <c r="A1866">
        <v>2028</v>
      </c>
      <c r="B1866" t="s">
        <v>196</v>
      </c>
      <c r="C1866">
        <v>7254.12</v>
      </c>
      <c r="D1866" t="s">
        <v>184</v>
      </c>
      <c r="E1866" t="s">
        <v>176</v>
      </c>
      <c r="F1866" t="s">
        <v>177</v>
      </c>
      <c r="G1866" t="s">
        <v>180</v>
      </c>
    </row>
    <row r="1867" spans="1:7">
      <c r="A1867">
        <v>2029</v>
      </c>
      <c r="B1867" t="s">
        <v>196</v>
      </c>
      <c r="C1867">
        <v>10451.299999999999</v>
      </c>
      <c r="D1867" t="s">
        <v>184</v>
      </c>
      <c r="E1867" t="s">
        <v>176</v>
      </c>
      <c r="F1867" t="s">
        <v>177</v>
      </c>
      <c r="G1867" t="s">
        <v>180</v>
      </c>
    </row>
    <row r="1868" spans="1:7">
      <c r="A1868">
        <v>2030</v>
      </c>
      <c r="B1868" t="s">
        <v>196</v>
      </c>
      <c r="C1868">
        <v>10451.299999999999</v>
      </c>
      <c r="D1868" t="s">
        <v>184</v>
      </c>
      <c r="E1868" t="s">
        <v>176</v>
      </c>
      <c r="F1868" t="s">
        <v>177</v>
      </c>
      <c r="G1868" t="s">
        <v>180</v>
      </c>
    </row>
    <row r="1869" spans="1:7">
      <c r="A1869">
        <v>2031</v>
      </c>
      <c r="B1869" t="s">
        <v>196</v>
      </c>
      <c r="C1869">
        <v>10958.7</v>
      </c>
      <c r="D1869" t="s">
        <v>184</v>
      </c>
      <c r="E1869" t="s">
        <v>176</v>
      </c>
      <c r="F1869" t="s">
        <v>177</v>
      </c>
      <c r="G1869" t="s">
        <v>180</v>
      </c>
    </row>
    <row r="1870" spans="1:7">
      <c r="A1870">
        <v>2032</v>
      </c>
      <c r="B1870" t="s">
        <v>196</v>
      </c>
      <c r="C1870">
        <v>10958.7</v>
      </c>
      <c r="D1870" t="s">
        <v>184</v>
      </c>
      <c r="E1870" t="s">
        <v>176</v>
      </c>
      <c r="F1870" t="s">
        <v>177</v>
      </c>
      <c r="G1870" t="s">
        <v>180</v>
      </c>
    </row>
    <row r="1871" spans="1:7">
      <c r="A1871">
        <v>2033</v>
      </c>
      <c r="B1871" t="s">
        <v>196</v>
      </c>
      <c r="C1871">
        <v>20546.8</v>
      </c>
      <c r="D1871" t="s">
        <v>184</v>
      </c>
      <c r="E1871" t="s">
        <v>176</v>
      </c>
      <c r="F1871" t="s">
        <v>177</v>
      </c>
      <c r="G1871" t="s">
        <v>180</v>
      </c>
    </row>
    <row r="1872" spans="1:7">
      <c r="A1872">
        <v>2034</v>
      </c>
      <c r="B1872" t="s">
        <v>196</v>
      </c>
      <c r="C1872">
        <v>20546.8</v>
      </c>
      <c r="D1872" t="s">
        <v>184</v>
      </c>
      <c r="E1872" t="s">
        <v>176</v>
      </c>
      <c r="F1872" t="s">
        <v>177</v>
      </c>
      <c r="G1872" t="s">
        <v>180</v>
      </c>
    </row>
    <row r="1873" spans="1:7">
      <c r="A1873">
        <v>2035</v>
      </c>
      <c r="B1873" t="s">
        <v>196</v>
      </c>
      <c r="C1873">
        <v>20546.8</v>
      </c>
      <c r="D1873" t="s">
        <v>184</v>
      </c>
      <c r="E1873" t="s">
        <v>176</v>
      </c>
      <c r="F1873" t="s">
        <v>177</v>
      </c>
      <c r="G1873" t="s">
        <v>180</v>
      </c>
    </row>
    <row r="1874" spans="1:7">
      <c r="A1874">
        <v>2020</v>
      </c>
      <c r="B1874" t="s">
        <v>188</v>
      </c>
      <c r="C1874">
        <v>102.45</v>
      </c>
      <c r="D1874" t="s">
        <v>183</v>
      </c>
      <c r="E1874" t="s">
        <v>176</v>
      </c>
      <c r="F1874" t="s">
        <v>181</v>
      </c>
      <c r="G1874" t="s">
        <v>178</v>
      </c>
    </row>
    <row r="1875" spans="1:7">
      <c r="A1875">
        <v>2021</v>
      </c>
      <c r="B1875" t="s">
        <v>188</v>
      </c>
      <c r="C1875">
        <v>9.5</v>
      </c>
      <c r="D1875" t="s">
        <v>183</v>
      </c>
      <c r="E1875" t="s">
        <v>176</v>
      </c>
      <c r="F1875" t="s">
        <v>181</v>
      </c>
      <c r="G1875" t="s">
        <v>178</v>
      </c>
    </row>
    <row r="1876" spans="1:7">
      <c r="A1876">
        <v>2022</v>
      </c>
      <c r="B1876" t="s">
        <v>188</v>
      </c>
      <c r="C1876">
        <v>9.5</v>
      </c>
      <c r="D1876" t="s">
        <v>183</v>
      </c>
      <c r="E1876" t="s">
        <v>176</v>
      </c>
      <c r="F1876" t="s">
        <v>181</v>
      </c>
      <c r="G1876" t="s">
        <v>178</v>
      </c>
    </row>
    <row r="1877" spans="1:7">
      <c r="A1877">
        <v>2023</v>
      </c>
      <c r="B1877" t="s">
        <v>188</v>
      </c>
      <c r="C1877">
        <v>0</v>
      </c>
      <c r="D1877" t="s">
        <v>183</v>
      </c>
      <c r="E1877" t="s">
        <v>176</v>
      </c>
      <c r="F1877" t="s">
        <v>181</v>
      </c>
      <c r="G1877" t="s">
        <v>178</v>
      </c>
    </row>
    <row r="1878" spans="1:7">
      <c r="A1878">
        <v>2024</v>
      </c>
      <c r="B1878" t="s">
        <v>188</v>
      </c>
      <c r="C1878">
        <v>0</v>
      </c>
      <c r="D1878" t="s">
        <v>183</v>
      </c>
      <c r="E1878" t="s">
        <v>176</v>
      </c>
      <c r="F1878" t="s">
        <v>181</v>
      </c>
      <c r="G1878" t="s">
        <v>178</v>
      </c>
    </row>
    <row r="1879" spans="1:7">
      <c r="A1879">
        <v>2025</v>
      </c>
      <c r="B1879" t="s">
        <v>188</v>
      </c>
      <c r="C1879">
        <v>0</v>
      </c>
      <c r="D1879" t="s">
        <v>183</v>
      </c>
      <c r="E1879" t="s">
        <v>176</v>
      </c>
      <c r="F1879" t="s">
        <v>181</v>
      </c>
      <c r="G1879" t="s">
        <v>178</v>
      </c>
    </row>
    <row r="1880" spans="1:7">
      <c r="A1880">
        <v>2026</v>
      </c>
      <c r="B1880" t="s">
        <v>188</v>
      </c>
      <c r="C1880">
        <v>0</v>
      </c>
      <c r="D1880" t="s">
        <v>183</v>
      </c>
      <c r="E1880" t="s">
        <v>176</v>
      </c>
      <c r="F1880" t="s">
        <v>181</v>
      </c>
      <c r="G1880" t="s">
        <v>178</v>
      </c>
    </row>
    <row r="1881" spans="1:7">
      <c r="A1881">
        <v>2027</v>
      </c>
      <c r="B1881" t="s">
        <v>188</v>
      </c>
      <c r="C1881">
        <v>0</v>
      </c>
      <c r="D1881" t="s">
        <v>183</v>
      </c>
      <c r="E1881" t="s">
        <v>176</v>
      </c>
      <c r="F1881" t="s">
        <v>181</v>
      </c>
      <c r="G1881" t="s">
        <v>178</v>
      </c>
    </row>
    <row r="1882" spans="1:7">
      <c r="A1882">
        <v>2028</v>
      </c>
      <c r="B1882" t="s">
        <v>188</v>
      </c>
      <c r="C1882">
        <v>0</v>
      </c>
      <c r="D1882" t="s">
        <v>183</v>
      </c>
      <c r="E1882" t="s">
        <v>176</v>
      </c>
      <c r="F1882" t="s">
        <v>181</v>
      </c>
      <c r="G1882" t="s">
        <v>178</v>
      </c>
    </row>
    <row r="1883" spans="1:7">
      <c r="A1883">
        <v>2029</v>
      </c>
      <c r="B1883" t="s">
        <v>188</v>
      </c>
      <c r="C1883">
        <v>0</v>
      </c>
      <c r="D1883" t="s">
        <v>183</v>
      </c>
      <c r="E1883" t="s">
        <v>176</v>
      </c>
      <c r="F1883" t="s">
        <v>181</v>
      </c>
      <c r="G1883" t="s">
        <v>178</v>
      </c>
    </row>
    <row r="1884" spans="1:7">
      <c r="A1884">
        <v>2030</v>
      </c>
      <c r="B1884" t="s">
        <v>188</v>
      </c>
      <c r="C1884">
        <v>0</v>
      </c>
      <c r="D1884" t="s">
        <v>183</v>
      </c>
      <c r="E1884" t="s">
        <v>176</v>
      </c>
      <c r="F1884" t="s">
        <v>181</v>
      </c>
      <c r="G1884" t="s">
        <v>178</v>
      </c>
    </row>
    <row r="1885" spans="1:7">
      <c r="A1885">
        <v>2031</v>
      </c>
      <c r="B1885" t="s">
        <v>188</v>
      </c>
      <c r="C1885">
        <v>0</v>
      </c>
      <c r="D1885" t="s">
        <v>183</v>
      </c>
      <c r="E1885" t="s">
        <v>176</v>
      </c>
      <c r="F1885" t="s">
        <v>181</v>
      </c>
      <c r="G1885" t="s">
        <v>178</v>
      </c>
    </row>
    <row r="1886" spans="1:7">
      <c r="A1886">
        <v>2032</v>
      </c>
      <c r="B1886" t="s">
        <v>188</v>
      </c>
      <c r="C1886">
        <v>0</v>
      </c>
      <c r="D1886" t="s">
        <v>183</v>
      </c>
      <c r="E1886" t="s">
        <v>176</v>
      </c>
      <c r="F1886" t="s">
        <v>181</v>
      </c>
      <c r="G1886" t="s">
        <v>178</v>
      </c>
    </row>
    <row r="1887" spans="1:7">
      <c r="A1887">
        <v>2033</v>
      </c>
      <c r="B1887" t="s">
        <v>188</v>
      </c>
      <c r="C1887">
        <v>0</v>
      </c>
      <c r="D1887" t="s">
        <v>183</v>
      </c>
      <c r="E1887" t="s">
        <v>176</v>
      </c>
      <c r="F1887" t="s">
        <v>181</v>
      </c>
      <c r="G1887" t="s">
        <v>178</v>
      </c>
    </row>
    <row r="1888" spans="1:7">
      <c r="A1888">
        <v>2034</v>
      </c>
      <c r="B1888" t="s">
        <v>188</v>
      </c>
      <c r="C1888">
        <v>0</v>
      </c>
      <c r="D1888" t="s">
        <v>183</v>
      </c>
      <c r="E1888" t="s">
        <v>176</v>
      </c>
      <c r="F1888" t="s">
        <v>181</v>
      </c>
      <c r="G1888" t="s">
        <v>178</v>
      </c>
    </row>
    <row r="1889" spans="1:7">
      <c r="A1889">
        <v>2035</v>
      </c>
      <c r="B1889" t="s">
        <v>188</v>
      </c>
      <c r="C1889">
        <v>0</v>
      </c>
      <c r="D1889" t="s">
        <v>183</v>
      </c>
      <c r="E1889" t="s">
        <v>176</v>
      </c>
      <c r="F1889" t="s">
        <v>181</v>
      </c>
      <c r="G1889" t="s">
        <v>178</v>
      </c>
    </row>
    <row r="1890" spans="1:7">
      <c r="A1890">
        <v>2020</v>
      </c>
      <c r="B1890" t="s">
        <v>189</v>
      </c>
      <c r="C1890">
        <v>0</v>
      </c>
      <c r="D1890" t="s">
        <v>183</v>
      </c>
      <c r="E1890" t="s">
        <v>176</v>
      </c>
      <c r="F1890" t="s">
        <v>181</v>
      </c>
      <c r="G1890" t="s">
        <v>178</v>
      </c>
    </row>
    <row r="1891" spans="1:7">
      <c r="A1891">
        <v>2021</v>
      </c>
      <c r="B1891" t="s">
        <v>189</v>
      </c>
      <c r="C1891">
        <v>0</v>
      </c>
      <c r="D1891" t="s">
        <v>183</v>
      </c>
      <c r="E1891" t="s">
        <v>176</v>
      </c>
      <c r="F1891" t="s">
        <v>181</v>
      </c>
      <c r="G1891" t="s">
        <v>178</v>
      </c>
    </row>
    <row r="1892" spans="1:7">
      <c r="A1892">
        <v>2022</v>
      </c>
      <c r="B1892" t="s">
        <v>189</v>
      </c>
      <c r="C1892">
        <v>0</v>
      </c>
      <c r="D1892" t="s">
        <v>183</v>
      </c>
      <c r="E1892" t="s">
        <v>176</v>
      </c>
      <c r="F1892" t="s">
        <v>181</v>
      </c>
      <c r="G1892" t="s">
        <v>178</v>
      </c>
    </row>
    <row r="1893" spans="1:7">
      <c r="A1893">
        <v>2023</v>
      </c>
      <c r="B1893" t="s">
        <v>189</v>
      </c>
      <c r="C1893">
        <v>0</v>
      </c>
      <c r="D1893" t="s">
        <v>183</v>
      </c>
      <c r="E1893" t="s">
        <v>176</v>
      </c>
      <c r="F1893" t="s">
        <v>181</v>
      </c>
      <c r="G1893" t="s">
        <v>178</v>
      </c>
    </row>
    <row r="1894" spans="1:7">
      <c r="A1894">
        <v>2024</v>
      </c>
      <c r="B1894" t="s">
        <v>189</v>
      </c>
      <c r="C1894">
        <v>0</v>
      </c>
      <c r="D1894" t="s">
        <v>183</v>
      </c>
      <c r="E1894" t="s">
        <v>176</v>
      </c>
      <c r="F1894" t="s">
        <v>181</v>
      </c>
      <c r="G1894" t="s">
        <v>178</v>
      </c>
    </row>
    <row r="1895" spans="1:7">
      <c r="A1895">
        <v>2025</v>
      </c>
      <c r="B1895" t="s">
        <v>189</v>
      </c>
      <c r="C1895">
        <v>0</v>
      </c>
      <c r="D1895" t="s">
        <v>183</v>
      </c>
      <c r="E1895" t="s">
        <v>176</v>
      </c>
      <c r="F1895" t="s">
        <v>181</v>
      </c>
      <c r="G1895" t="s">
        <v>178</v>
      </c>
    </row>
    <row r="1896" spans="1:7">
      <c r="A1896">
        <v>2026</v>
      </c>
      <c r="B1896" t="s">
        <v>189</v>
      </c>
      <c r="C1896">
        <v>0</v>
      </c>
      <c r="D1896" t="s">
        <v>183</v>
      </c>
      <c r="E1896" t="s">
        <v>176</v>
      </c>
      <c r="F1896" t="s">
        <v>181</v>
      </c>
      <c r="G1896" t="s">
        <v>178</v>
      </c>
    </row>
    <row r="1897" spans="1:7">
      <c r="A1897">
        <v>2027</v>
      </c>
      <c r="B1897" t="s">
        <v>189</v>
      </c>
      <c r="C1897">
        <v>0</v>
      </c>
      <c r="D1897" t="s">
        <v>183</v>
      </c>
      <c r="E1897" t="s">
        <v>176</v>
      </c>
      <c r="F1897" t="s">
        <v>181</v>
      </c>
      <c r="G1897" t="s">
        <v>178</v>
      </c>
    </row>
    <row r="1898" spans="1:7">
      <c r="A1898">
        <v>2028</v>
      </c>
      <c r="B1898" t="s">
        <v>189</v>
      </c>
      <c r="C1898">
        <v>0</v>
      </c>
      <c r="D1898" t="s">
        <v>183</v>
      </c>
      <c r="E1898" t="s">
        <v>176</v>
      </c>
      <c r="F1898" t="s">
        <v>181</v>
      </c>
      <c r="G1898" t="s">
        <v>178</v>
      </c>
    </row>
    <row r="1899" spans="1:7">
      <c r="A1899">
        <v>2029</v>
      </c>
      <c r="B1899" t="s">
        <v>189</v>
      </c>
      <c r="C1899">
        <v>0</v>
      </c>
      <c r="D1899" t="s">
        <v>183</v>
      </c>
      <c r="E1899" t="s">
        <v>176</v>
      </c>
      <c r="F1899" t="s">
        <v>181</v>
      </c>
      <c r="G1899" t="s">
        <v>178</v>
      </c>
    </row>
    <row r="1900" spans="1:7">
      <c r="A1900">
        <v>2030</v>
      </c>
      <c r="B1900" t="s">
        <v>189</v>
      </c>
      <c r="C1900">
        <v>0</v>
      </c>
      <c r="D1900" t="s">
        <v>183</v>
      </c>
      <c r="E1900" t="s">
        <v>176</v>
      </c>
      <c r="F1900" t="s">
        <v>181</v>
      </c>
      <c r="G1900" t="s">
        <v>178</v>
      </c>
    </row>
    <row r="1901" spans="1:7">
      <c r="A1901">
        <v>2031</v>
      </c>
      <c r="B1901" t="s">
        <v>189</v>
      </c>
      <c r="C1901">
        <v>0</v>
      </c>
      <c r="D1901" t="s">
        <v>183</v>
      </c>
      <c r="E1901" t="s">
        <v>176</v>
      </c>
      <c r="F1901" t="s">
        <v>181</v>
      </c>
      <c r="G1901" t="s">
        <v>178</v>
      </c>
    </row>
    <row r="1902" spans="1:7">
      <c r="A1902">
        <v>2032</v>
      </c>
      <c r="B1902" t="s">
        <v>189</v>
      </c>
      <c r="C1902">
        <v>0</v>
      </c>
      <c r="D1902" t="s">
        <v>183</v>
      </c>
      <c r="E1902" t="s">
        <v>176</v>
      </c>
      <c r="F1902" t="s">
        <v>181</v>
      </c>
      <c r="G1902" t="s">
        <v>178</v>
      </c>
    </row>
    <row r="1903" spans="1:7">
      <c r="A1903">
        <v>2033</v>
      </c>
      <c r="B1903" t="s">
        <v>189</v>
      </c>
      <c r="C1903">
        <v>0</v>
      </c>
      <c r="D1903" t="s">
        <v>183</v>
      </c>
      <c r="E1903" t="s">
        <v>176</v>
      </c>
      <c r="F1903" t="s">
        <v>181</v>
      </c>
      <c r="G1903" t="s">
        <v>178</v>
      </c>
    </row>
    <row r="1904" spans="1:7">
      <c r="A1904">
        <v>2034</v>
      </c>
      <c r="B1904" t="s">
        <v>189</v>
      </c>
      <c r="C1904">
        <v>0</v>
      </c>
      <c r="D1904" t="s">
        <v>183</v>
      </c>
      <c r="E1904" t="s">
        <v>176</v>
      </c>
      <c r="F1904" t="s">
        <v>181</v>
      </c>
      <c r="G1904" t="s">
        <v>178</v>
      </c>
    </row>
    <row r="1905" spans="1:7">
      <c r="A1905">
        <v>2035</v>
      </c>
      <c r="B1905" t="s">
        <v>189</v>
      </c>
      <c r="C1905">
        <v>0</v>
      </c>
      <c r="D1905" t="s">
        <v>183</v>
      </c>
      <c r="E1905" t="s">
        <v>176</v>
      </c>
      <c r="F1905" t="s">
        <v>181</v>
      </c>
      <c r="G1905" t="s">
        <v>178</v>
      </c>
    </row>
    <row r="1906" spans="1:7">
      <c r="A1906">
        <v>2020</v>
      </c>
      <c r="B1906" t="s">
        <v>190</v>
      </c>
      <c r="C1906">
        <v>11059.73</v>
      </c>
      <c r="D1906" t="s">
        <v>183</v>
      </c>
      <c r="E1906" t="s">
        <v>176</v>
      </c>
      <c r="F1906" t="s">
        <v>181</v>
      </c>
      <c r="G1906" t="s">
        <v>178</v>
      </c>
    </row>
    <row r="1907" spans="1:7">
      <c r="A1907">
        <v>2021</v>
      </c>
      <c r="B1907" t="s">
        <v>190</v>
      </c>
      <c r="C1907">
        <v>0</v>
      </c>
      <c r="D1907" t="s">
        <v>183</v>
      </c>
      <c r="E1907" t="s">
        <v>176</v>
      </c>
      <c r="F1907" t="s">
        <v>181</v>
      </c>
      <c r="G1907" t="s">
        <v>178</v>
      </c>
    </row>
    <row r="1908" spans="1:7">
      <c r="A1908">
        <v>2022</v>
      </c>
      <c r="B1908" t="s">
        <v>190</v>
      </c>
      <c r="C1908">
        <v>0</v>
      </c>
      <c r="D1908" t="s">
        <v>183</v>
      </c>
      <c r="E1908" t="s">
        <v>176</v>
      </c>
      <c r="F1908" t="s">
        <v>181</v>
      </c>
      <c r="G1908" t="s">
        <v>178</v>
      </c>
    </row>
    <row r="1909" spans="1:7">
      <c r="A1909">
        <v>2023</v>
      </c>
      <c r="B1909" t="s">
        <v>190</v>
      </c>
      <c r="C1909">
        <v>0</v>
      </c>
      <c r="D1909" t="s">
        <v>183</v>
      </c>
      <c r="E1909" t="s">
        <v>176</v>
      </c>
      <c r="F1909" t="s">
        <v>181</v>
      </c>
      <c r="G1909" t="s">
        <v>178</v>
      </c>
    </row>
    <row r="1910" spans="1:7">
      <c r="A1910">
        <v>2024</v>
      </c>
      <c r="B1910" t="s">
        <v>190</v>
      </c>
      <c r="C1910">
        <v>0</v>
      </c>
      <c r="D1910" t="s">
        <v>183</v>
      </c>
      <c r="E1910" t="s">
        <v>176</v>
      </c>
      <c r="F1910" t="s">
        <v>181</v>
      </c>
      <c r="G1910" t="s">
        <v>178</v>
      </c>
    </row>
    <row r="1911" spans="1:7">
      <c r="A1911">
        <v>2025</v>
      </c>
      <c r="B1911" t="s">
        <v>190</v>
      </c>
      <c r="C1911">
        <v>0</v>
      </c>
      <c r="D1911" t="s">
        <v>183</v>
      </c>
      <c r="E1911" t="s">
        <v>176</v>
      </c>
      <c r="F1911" t="s">
        <v>181</v>
      </c>
      <c r="G1911" t="s">
        <v>178</v>
      </c>
    </row>
    <row r="1912" spans="1:7">
      <c r="A1912">
        <v>2026</v>
      </c>
      <c r="B1912" t="s">
        <v>190</v>
      </c>
      <c r="C1912">
        <v>0</v>
      </c>
      <c r="D1912" t="s">
        <v>183</v>
      </c>
      <c r="E1912" t="s">
        <v>176</v>
      </c>
      <c r="F1912" t="s">
        <v>181</v>
      </c>
      <c r="G1912" t="s">
        <v>178</v>
      </c>
    </row>
    <row r="1913" spans="1:7">
      <c r="A1913">
        <v>2027</v>
      </c>
      <c r="B1913" t="s">
        <v>190</v>
      </c>
      <c r="C1913">
        <v>0</v>
      </c>
      <c r="D1913" t="s">
        <v>183</v>
      </c>
      <c r="E1913" t="s">
        <v>176</v>
      </c>
      <c r="F1913" t="s">
        <v>181</v>
      </c>
      <c r="G1913" t="s">
        <v>178</v>
      </c>
    </row>
    <row r="1914" spans="1:7">
      <c r="A1914">
        <v>2028</v>
      </c>
      <c r="B1914" t="s">
        <v>190</v>
      </c>
      <c r="C1914">
        <v>0</v>
      </c>
      <c r="D1914" t="s">
        <v>183</v>
      </c>
      <c r="E1914" t="s">
        <v>176</v>
      </c>
      <c r="F1914" t="s">
        <v>181</v>
      </c>
      <c r="G1914" t="s">
        <v>178</v>
      </c>
    </row>
    <row r="1915" spans="1:7">
      <c r="A1915">
        <v>2029</v>
      </c>
      <c r="B1915" t="s">
        <v>190</v>
      </c>
      <c r="C1915">
        <v>0</v>
      </c>
      <c r="D1915" t="s">
        <v>183</v>
      </c>
      <c r="E1915" t="s">
        <v>176</v>
      </c>
      <c r="F1915" t="s">
        <v>181</v>
      </c>
      <c r="G1915" t="s">
        <v>178</v>
      </c>
    </row>
    <row r="1916" spans="1:7">
      <c r="A1916">
        <v>2030</v>
      </c>
      <c r="B1916" t="s">
        <v>190</v>
      </c>
      <c r="C1916">
        <v>0</v>
      </c>
      <c r="D1916" t="s">
        <v>183</v>
      </c>
      <c r="E1916" t="s">
        <v>176</v>
      </c>
      <c r="F1916" t="s">
        <v>181</v>
      </c>
      <c r="G1916" t="s">
        <v>178</v>
      </c>
    </row>
    <row r="1917" spans="1:7">
      <c r="A1917">
        <v>2031</v>
      </c>
      <c r="B1917" t="s">
        <v>190</v>
      </c>
      <c r="C1917">
        <v>0</v>
      </c>
      <c r="D1917" t="s">
        <v>183</v>
      </c>
      <c r="E1917" t="s">
        <v>176</v>
      </c>
      <c r="F1917" t="s">
        <v>181</v>
      </c>
      <c r="G1917" t="s">
        <v>178</v>
      </c>
    </row>
    <row r="1918" spans="1:7">
      <c r="A1918">
        <v>2032</v>
      </c>
      <c r="B1918" t="s">
        <v>190</v>
      </c>
      <c r="C1918">
        <v>0</v>
      </c>
      <c r="D1918" t="s">
        <v>183</v>
      </c>
      <c r="E1918" t="s">
        <v>176</v>
      </c>
      <c r="F1918" t="s">
        <v>181</v>
      </c>
      <c r="G1918" t="s">
        <v>178</v>
      </c>
    </row>
    <row r="1919" spans="1:7">
      <c r="A1919">
        <v>2033</v>
      </c>
      <c r="B1919" t="s">
        <v>190</v>
      </c>
      <c r="C1919">
        <v>0</v>
      </c>
      <c r="D1919" t="s">
        <v>183</v>
      </c>
      <c r="E1919" t="s">
        <v>176</v>
      </c>
      <c r="F1919" t="s">
        <v>181</v>
      </c>
      <c r="G1919" t="s">
        <v>178</v>
      </c>
    </row>
    <row r="1920" spans="1:7">
      <c r="A1920">
        <v>2034</v>
      </c>
      <c r="B1920" t="s">
        <v>190</v>
      </c>
      <c r="C1920">
        <v>0</v>
      </c>
      <c r="D1920" t="s">
        <v>183</v>
      </c>
      <c r="E1920" t="s">
        <v>176</v>
      </c>
      <c r="F1920" t="s">
        <v>181</v>
      </c>
      <c r="G1920" t="s">
        <v>178</v>
      </c>
    </row>
    <row r="1921" spans="1:7">
      <c r="A1921">
        <v>2035</v>
      </c>
      <c r="B1921" t="s">
        <v>190</v>
      </c>
      <c r="C1921">
        <v>0</v>
      </c>
      <c r="D1921" t="s">
        <v>183</v>
      </c>
      <c r="E1921" t="s">
        <v>176</v>
      </c>
      <c r="F1921" t="s">
        <v>181</v>
      </c>
      <c r="G1921" t="s">
        <v>178</v>
      </c>
    </row>
    <row r="1922" spans="1:7">
      <c r="A1922">
        <v>2020</v>
      </c>
      <c r="B1922" t="s">
        <v>191</v>
      </c>
      <c r="C1922">
        <v>0</v>
      </c>
      <c r="D1922" t="s">
        <v>183</v>
      </c>
      <c r="E1922" t="s">
        <v>176</v>
      </c>
      <c r="F1922" t="s">
        <v>181</v>
      </c>
      <c r="G1922" t="s">
        <v>178</v>
      </c>
    </row>
    <row r="1923" spans="1:7">
      <c r="A1923">
        <v>2021</v>
      </c>
      <c r="B1923" t="s">
        <v>191</v>
      </c>
      <c r="C1923">
        <v>0</v>
      </c>
      <c r="D1923" t="s">
        <v>183</v>
      </c>
      <c r="E1923" t="s">
        <v>176</v>
      </c>
      <c r="F1923" t="s">
        <v>181</v>
      </c>
      <c r="G1923" t="s">
        <v>178</v>
      </c>
    </row>
    <row r="1924" spans="1:7">
      <c r="A1924">
        <v>2022</v>
      </c>
      <c r="B1924" t="s">
        <v>191</v>
      </c>
      <c r="C1924">
        <v>0</v>
      </c>
      <c r="D1924" t="s">
        <v>183</v>
      </c>
      <c r="E1924" t="s">
        <v>176</v>
      </c>
      <c r="F1924" t="s">
        <v>181</v>
      </c>
      <c r="G1924" t="s">
        <v>178</v>
      </c>
    </row>
    <row r="1925" spans="1:7">
      <c r="A1925">
        <v>2023</v>
      </c>
      <c r="B1925" t="s">
        <v>191</v>
      </c>
      <c r="C1925">
        <v>0</v>
      </c>
      <c r="D1925" t="s">
        <v>183</v>
      </c>
      <c r="E1925" t="s">
        <v>176</v>
      </c>
      <c r="F1925" t="s">
        <v>181</v>
      </c>
      <c r="G1925" t="s">
        <v>178</v>
      </c>
    </row>
    <row r="1926" spans="1:7">
      <c r="A1926">
        <v>2024</v>
      </c>
      <c r="B1926" t="s">
        <v>191</v>
      </c>
      <c r="C1926">
        <v>0</v>
      </c>
      <c r="D1926" t="s">
        <v>183</v>
      </c>
      <c r="E1926" t="s">
        <v>176</v>
      </c>
      <c r="F1926" t="s">
        <v>181</v>
      </c>
      <c r="G1926" t="s">
        <v>178</v>
      </c>
    </row>
    <row r="1927" spans="1:7">
      <c r="A1927">
        <v>2025</v>
      </c>
      <c r="B1927" t="s">
        <v>191</v>
      </c>
      <c r="C1927">
        <v>0</v>
      </c>
      <c r="D1927" t="s">
        <v>183</v>
      </c>
      <c r="E1927" t="s">
        <v>176</v>
      </c>
      <c r="F1927" t="s">
        <v>181</v>
      </c>
      <c r="G1927" t="s">
        <v>178</v>
      </c>
    </row>
    <row r="1928" spans="1:7">
      <c r="A1928">
        <v>2026</v>
      </c>
      <c r="B1928" t="s">
        <v>191</v>
      </c>
      <c r="C1928">
        <v>0</v>
      </c>
      <c r="D1928" t="s">
        <v>183</v>
      </c>
      <c r="E1928" t="s">
        <v>176</v>
      </c>
      <c r="F1928" t="s">
        <v>181</v>
      </c>
      <c r="G1928" t="s">
        <v>178</v>
      </c>
    </row>
    <row r="1929" spans="1:7">
      <c r="A1929">
        <v>2027</v>
      </c>
      <c r="B1929" t="s">
        <v>191</v>
      </c>
      <c r="C1929">
        <v>0</v>
      </c>
      <c r="D1929" t="s">
        <v>183</v>
      </c>
      <c r="E1929" t="s">
        <v>176</v>
      </c>
      <c r="F1929" t="s">
        <v>181</v>
      </c>
      <c r="G1929" t="s">
        <v>178</v>
      </c>
    </row>
    <row r="1930" spans="1:7">
      <c r="A1930">
        <v>2028</v>
      </c>
      <c r="B1930" t="s">
        <v>191</v>
      </c>
      <c r="C1930">
        <v>0</v>
      </c>
      <c r="D1930" t="s">
        <v>183</v>
      </c>
      <c r="E1930" t="s">
        <v>176</v>
      </c>
      <c r="F1930" t="s">
        <v>181</v>
      </c>
      <c r="G1930" t="s">
        <v>178</v>
      </c>
    </row>
    <row r="1931" spans="1:7">
      <c r="A1931">
        <v>2029</v>
      </c>
      <c r="B1931" t="s">
        <v>191</v>
      </c>
      <c r="C1931">
        <v>0</v>
      </c>
      <c r="D1931" t="s">
        <v>183</v>
      </c>
      <c r="E1931" t="s">
        <v>176</v>
      </c>
      <c r="F1931" t="s">
        <v>181</v>
      </c>
      <c r="G1931" t="s">
        <v>178</v>
      </c>
    </row>
    <row r="1932" spans="1:7">
      <c r="A1932">
        <v>2030</v>
      </c>
      <c r="B1932" t="s">
        <v>191</v>
      </c>
      <c r="C1932">
        <v>0</v>
      </c>
      <c r="D1932" t="s">
        <v>183</v>
      </c>
      <c r="E1932" t="s">
        <v>176</v>
      </c>
      <c r="F1932" t="s">
        <v>181</v>
      </c>
      <c r="G1932" t="s">
        <v>178</v>
      </c>
    </row>
    <row r="1933" spans="1:7">
      <c r="A1933">
        <v>2031</v>
      </c>
      <c r="B1933" t="s">
        <v>191</v>
      </c>
      <c r="C1933">
        <v>0</v>
      </c>
      <c r="D1933" t="s">
        <v>183</v>
      </c>
      <c r="E1933" t="s">
        <v>176</v>
      </c>
      <c r="F1933" t="s">
        <v>181</v>
      </c>
      <c r="G1933" t="s">
        <v>178</v>
      </c>
    </row>
    <row r="1934" spans="1:7">
      <c r="A1934">
        <v>2032</v>
      </c>
      <c r="B1934" t="s">
        <v>191</v>
      </c>
      <c r="C1934">
        <v>0</v>
      </c>
      <c r="D1934" t="s">
        <v>183</v>
      </c>
      <c r="E1934" t="s">
        <v>176</v>
      </c>
      <c r="F1934" t="s">
        <v>181</v>
      </c>
      <c r="G1934" t="s">
        <v>178</v>
      </c>
    </row>
    <row r="1935" spans="1:7">
      <c r="A1935">
        <v>2033</v>
      </c>
      <c r="B1935" t="s">
        <v>191</v>
      </c>
      <c r="C1935">
        <v>0</v>
      </c>
      <c r="D1935" t="s">
        <v>183</v>
      </c>
      <c r="E1935" t="s">
        <v>176</v>
      </c>
      <c r="F1935" t="s">
        <v>181</v>
      </c>
      <c r="G1935" t="s">
        <v>178</v>
      </c>
    </row>
    <row r="1936" spans="1:7">
      <c r="A1936">
        <v>2034</v>
      </c>
      <c r="B1936" t="s">
        <v>191</v>
      </c>
      <c r="C1936">
        <v>0</v>
      </c>
      <c r="D1936" t="s">
        <v>183</v>
      </c>
      <c r="E1936" t="s">
        <v>176</v>
      </c>
      <c r="F1936" t="s">
        <v>181</v>
      </c>
      <c r="G1936" t="s">
        <v>178</v>
      </c>
    </row>
    <row r="1937" spans="1:7">
      <c r="A1937">
        <v>2035</v>
      </c>
      <c r="B1937" t="s">
        <v>191</v>
      </c>
      <c r="C1937">
        <v>0</v>
      </c>
      <c r="D1937" t="s">
        <v>183</v>
      </c>
      <c r="E1937" t="s">
        <v>176</v>
      </c>
      <c r="F1937" t="s">
        <v>181</v>
      </c>
      <c r="G1937" t="s">
        <v>178</v>
      </c>
    </row>
    <row r="1938" spans="1:7">
      <c r="A1938">
        <v>2020</v>
      </c>
      <c r="B1938" t="s">
        <v>192</v>
      </c>
      <c r="C1938">
        <v>2925.26</v>
      </c>
      <c r="D1938" t="s">
        <v>183</v>
      </c>
      <c r="E1938" t="s">
        <v>176</v>
      </c>
      <c r="F1938" t="s">
        <v>181</v>
      </c>
      <c r="G1938" t="s">
        <v>178</v>
      </c>
    </row>
    <row r="1939" spans="1:7">
      <c r="A1939">
        <v>2021</v>
      </c>
      <c r="B1939" t="s">
        <v>192</v>
      </c>
      <c r="C1939">
        <v>0</v>
      </c>
      <c r="D1939" t="s">
        <v>183</v>
      </c>
      <c r="E1939" t="s">
        <v>176</v>
      </c>
      <c r="F1939" t="s">
        <v>181</v>
      </c>
      <c r="G1939" t="s">
        <v>178</v>
      </c>
    </row>
    <row r="1940" spans="1:7">
      <c r="A1940">
        <v>2022</v>
      </c>
      <c r="B1940" t="s">
        <v>192</v>
      </c>
      <c r="C1940">
        <v>0</v>
      </c>
      <c r="D1940" t="s">
        <v>183</v>
      </c>
      <c r="E1940" t="s">
        <v>176</v>
      </c>
      <c r="F1940" t="s">
        <v>181</v>
      </c>
      <c r="G1940" t="s">
        <v>178</v>
      </c>
    </row>
    <row r="1941" spans="1:7">
      <c r="A1941">
        <v>2023</v>
      </c>
      <c r="B1941" t="s">
        <v>192</v>
      </c>
      <c r="C1941">
        <v>15</v>
      </c>
      <c r="D1941" t="s">
        <v>183</v>
      </c>
      <c r="E1941" t="s">
        <v>176</v>
      </c>
      <c r="F1941" t="s">
        <v>181</v>
      </c>
      <c r="G1941" t="s">
        <v>178</v>
      </c>
    </row>
    <row r="1942" spans="1:7">
      <c r="A1942">
        <v>2024</v>
      </c>
      <c r="B1942" t="s">
        <v>192</v>
      </c>
      <c r="C1942">
        <v>15</v>
      </c>
      <c r="D1942" t="s">
        <v>183</v>
      </c>
      <c r="E1942" t="s">
        <v>176</v>
      </c>
      <c r="F1942" t="s">
        <v>181</v>
      </c>
      <c r="G1942" t="s">
        <v>178</v>
      </c>
    </row>
    <row r="1943" spans="1:7">
      <c r="A1943">
        <v>2025</v>
      </c>
      <c r="B1943" t="s">
        <v>192</v>
      </c>
      <c r="C1943">
        <v>9.5</v>
      </c>
      <c r="D1943" t="s">
        <v>183</v>
      </c>
      <c r="E1943" t="s">
        <v>176</v>
      </c>
      <c r="F1943" t="s">
        <v>181</v>
      </c>
      <c r="G1943" t="s">
        <v>178</v>
      </c>
    </row>
    <row r="1944" spans="1:7">
      <c r="A1944">
        <v>2026</v>
      </c>
      <c r="B1944" t="s">
        <v>192</v>
      </c>
      <c r="C1944">
        <v>9.5</v>
      </c>
      <c r="D1944" t="s">
        <v>183</v>
      </c>
      <c r="E1944" t="s">
        <v>176</v>
      </c>
      <c r="F1944" t="s">
        <v>181</v>
      </c>
      <c r="G1944" t="s">
        <v>178</v>
      </c>
    </row>
    <row r="1945" spans="1:7">
      <c r="A1945">
        <v>2027</v>
      </c>
      <c r="B1945" t="s">
        <v>192</v>
      </c>
      <c r="C1945">
        <v>0</v>
      </c>
      <c r="D1945" t="s">
        <v>183</v>
      </c>
      <c r="E1945" t="s">
        <v>176</v>
      </c>
      <c r="F1945" t="s">
        <v>181</v>
      </c>
      <c r="G1945" t="s">
        <v>178</v>
      </c>
    </row>
    <row r="1946" spans="1:7">
      <c r="A1946">
        <v>2028</v>
      </c>
      <c r="B1946" t="s">
        <v>192</v>
      </c>
      <c r="C1946">
        <v>0</v>
      </c>
      <c r="D1946" t="s">
        <v>183</v>
      </c>
      <c r="E1946" t="s">
        <v>176</v>
      </c>
      <c r="F1946" t="s">
        <v>181</v>
      </c>
      <c r="G1946" t="s">
        <v>178</v>
      </c>
    </row>
    <row r="1947" spans="1:7">
      <c r="A1947">
        <v>2029</v>
      </c>
      <c r="B1947" t="s">
        <v>192</v>
      </c>
      <c r="C1947">
        <v>0</v>
      </c>
      <c r="D1947" t="s">
        <v>183</v>
      </c>
      <c r="E1947" t="s">
        <v>176</v>
      </c>
      <c r="F1947" t="s">
        <v>181</v>
      </c>
      <c r="G1947" t="s">
        <v>178</v>
      </c>
    </row>
    <row r="1948" spans="1:7">
      <c r="A1948">
        <v>2030</v>
      </c>
      <c r="B1948" t="s">
        <v>192</v>
      </c>
      <c r="C1948">
        <v>0</v>
      </c>
      <c r="D1948" t="s">
        <v>183</v>
      </c>
      <c r="E1948" t="s">
        <v>176</v>
      </c>
      <c r="F1948" t="s">
        <v>181</v>
      </c>
      <c r="G1948" t="s">
        <v>178</v>
      </c>
    </row>
    <row r="1949" spans="1:7">
      <c r="A1949">
        <v>2031</v>
      </c>
      <c r="B1949" t="s">
        <v>192</v>
      </c>
      <c r="C1949">
        <v>6.5</v>
      </c>
      <c r="D1949" t="s">
        <v>183</v>
      </c>
      <c r="E1949" t="s">
        <v>176</v>
      </c>
      <c r="F1949" t="s">
        <v>181</v>
      </c>
      <c r="G1949" t="s">
        <v>178</v>
      </c>
    </row>
    <row r="1950" spans="1:7">
      <c r="A1950">
        <v>2032</v>
      </c>
      <c r="B1950" t="s">
        <v>192</v>
      </c>
      <c r="C1950">
        <v>6.5</v>
      </c>
      <c r="D1950" t="s">
        <v>183</v>
      </c>
      <c r="E1950" t="s">
        <v>176</v>
      </c>
      <c r="F1950" t="s">
        <v>181</v>
      </c>
      <c r="G1950" t="s">
        <v>178</v>
      </c>
    </row>
    <row r="1951" spans="1:7">
      <c r="A1951">
        <v>2033</v>
      </c>
      <c r="B1951" t="s">
        <v>192</v>
      </c>
      <c r="C1951">
        <v>1.6666700000000001</v>
      </c>
      <c r="D1951" t="s">
        <v>183</v>
      </c>
      <c r="E1951" t="s">
        <v>176</v>
      </c>
      <c r="F1951" t="s">
        <v>181</v>
      </c>
      <c r="G1951" t="s">
        <v>178</v>
      </c>
    </row>
    <row r="1952" spans="1:7">
      <c r="A1952">
        <v>2034</v>
      </c>
      <c r="B1952" t="s">
        <v>192</v>
      </c>
      <c r="C1952">
        <v>1.6666700000000001</v>
      </c>
      <c r="D1952" t="s">
        <v>183</v>
      </c>
      <c r="E1952" t="s">
        <v>176</v>
      </c>
      <c r="F1952" t="s">
        <v>181</v>
      </c>
      <c r="G1952" t="s">
        <v>178</v>
      </c>
    </row>
    <row r="1953" spans="1:7">
      <c r="A1953">
        <v>2035</v>
      </c>
      <c r="B1953" t="s">
        <v>192</v>
      </c>
      <c r="C1953">
        <v>1.6666700000000001</v>
      </c>
      <c r="D1953" t="s">
        <v>183</v>
      </c>
      <c r="E1953" t="s">
        <v>176</v>
      </c>
      <c r="F1953" t="s">
        <v>181</v>
      </c>
      <c r="G1953" t="s">
        <v>178</v>
      </c>
    </row>
    <row r="1954" spans="1:7">
      <c r="A1954">
        <v>2020</v>
      </c>
      <c r="B1954" t="s">
        <v>193</v>
      </c>
      <c r="C1954">
        <v>232.5</v>
      </c>
      <c r="D1954" t="s">
        <v>183</v>
      </c>
      <c r="E1954" t="s">
        <v>176</v>
      </c>
      <c r="F1954" t="s">
        <v>181</v>
      </c>
      <c r="G1954" t="s">
        <v>178</v>
      </c>
    </row>
    <row r="1955" spans="1:7">
      <c r="A1955">
        <v>2021</v>
      </c>
      <c r="B1955" t="s">
        <v>193</v>
      </c>
      <c r="C1955">
        <v>1100</v>
      </c>
      <c r="D1955" t="s">
        <v>183</v>
      </c>
      <c r="E1955" t="s">
        <v>176</v>
      </c>
      <c r="F1955" t="s">
        <v>181</v>
      </c>
      <c r="G1955" t="s">
        <v>178</v>
      </c>
    </row>
    <row r="1956" spans="1:7">
      <c r="A1956">
        <v>2022</v>
      </c>
      <c r="B1956" t="s">
        <v>193</v>
      </c>
      <c r="C1956">
        <v>1100</v>
      </c>
      <c r="D1956" t="s">
        <v>183</v>
      </c>
      <c r="E1956" t="s">
        <v>176</v>
      </c>
      <c r="F1956" t="s">
        <v>181</v>
      </c>
      <c r="G1956" t="s">
        <v>178</v>
      </c>
    </row>
    <row r="1957" spans="1:7">
      <c r="A1957">
        <v>2023</v>
      </c>
      <c r="B1957" t="s">
        <v>193</v>
      </c>
      <c r="C1957">
        <v>0</v>
      </c>
      <c r="D1957" t="s">
        <v>183</v>
      </c>
      <c r="E1957" t="s">
        <v>176</v>
      </c>
      <c r="F1957" t="s">
        <v>181</v>
      </c>
      <c r="G1957" t="s">
        <v>178</v>
      </c>
    </row>
    <row r="1958" spans="1:7">
      <c r="A1958">
        <v>2024</v>
      </c>
      <c r="B1958" t="s">
        <v>193</v>
      </c>
      <c r="C1958">
        <v>0</v>
      </c>
      <c r="D1958" t="s">
        <v>183</v>
      </c>
      <c r="E1958" t="s">
        <v>176</v>
      </c>
      <c r="F1958" t="s">
        <v>181</v>
      </c>
      <c r="G1958" t="s">
        <v>178</v>
      </c>
    </row>
    <row r="1959" spans="1:7">
      <c r="A1959">
        <v>2025</v>
      </c>
      <c r="B1959" t="s">
        <v>193</v>
      </c>
      <c r="C1959">
        <v>0</v>
      </c>
      <c r="D1959" t="s">
        <v>183</v>
      </c>
      <c r="E1959" t="s">
        <v>176</v>
      </c>
      <c r="F1959" t="s">
        <v>181</v>
      </c>
      <c r="G1959" t="s">
        <v>178</v>
      </c>
    </row>
    <row r="1960" spans="1:7">
      <c r="A1960">
        <v>2026</v>
      </c>
      <c r="B1960" t="s">
        <v>193</v>
      </c>
      <c r="C1960">
        <v>0</v>
      </c>
      <c r="D1960" t="s">
        <v>183</v>
      </c>
      <c r="E1960" t="s">
        <v>176</v>
      </c>
      <c r="F1960" t="s">
        <v>181</v>
      </c>
      <c r="G1960" t="s">
        <v>178</v>
      </c>
    </row>
    <row r="1961" spans="1:7">
      <c r="A1961">
        <v>2027</v>
      </c>
      <c r="B1961" t="s">
        <v>193</v>
      </c>
      <c r="C1961">
        <v>0</v>
      </c>
      <c r="D1961" t="s">
        <v>183</v>
      </c>
      <c r="E1961" t="s">
        <v>176</v>
      </c>
      <c r="F1961" t="s">
        <v>181</v>
      </c>
      <c r="G1961" t="s">
        <v>178</v>
      </c>
    </row>
    <row r="1962" spans="1:7">
      <c r="A1962">
        <v>2028</v>
      </c>
      <c r="B1962" t="s">
        <v>193</v>
      </c>
      <c r="C1962">
        <v>0</v>
      </c>
      <c r="D1962" t="s">
        <v>183</v>
      </c>
      <c r="E1962" t="s">
        <v>176</v>
      </c>
      <c r="F1962" t="s">
        <v>181</v>
      </c>
      <c r="G1962" t="s">
        <v>178</v>
      </c>
    </row>
    <row r="1963" spans="1:7">
      <c r="A1963">
        <v>2029</v>
      </c>
      <c r="B1963" t="s">
        <v>193</v>
      </c>
      <c r="C1963">
        <v>0</v>
      </c>
      <c r="D1963" t="s">
        <v>183</v>
      </c>
      <c r="E1963" t="s">
        <v>176</v>
      </c>
      <c r="F1963" t="s">
        <v>181</v>
      </c>
      <c r="G1963" t="s">
        <v>178</v>
      </c>
    </row>
    <row r="1964" spans="1:7">
      <c r="A1964">
        <v>2030</v>
      </c>
      <c r="B1964" t="s">
        <v>193</v>
      </c>
      <c r="C1964">
        <v>0</v>
      </c>
      <c r="D1964" t="s">
        <v>183</v>
      </c>
      <c r="E1964" t="s">
        <v>176</v>
      </c>
      <c r="F1964" t="s">
        <v>181</v>
      </c>
      <c r="G1964" t="s">
        <v>178</v>
      </c>
    </row>
    <row r="1965" spans="1:7">
      <c r="A1965">
        <v>2031</v>
      </c>
      <c r="B1965" t="s">
        <v>193</v>
      </c>
      <c r="C1965">
        <v>0</v>
      </c>
      <c r="D1965" t="s">
        <v>183</v>
      </c>
      <c r="E1965" t="s">
        <v>176</v>
      </c>
      <c r="F1965" t="s">
        <v>181</v>
      </c>
      <c r="G1965" t="s">
        <v>178</v>
      </c>
    </row>
    <row r="1966" spans="1:7">
      <c r="A1966">
        <v>2032</v>
      </c>
      <c r="B1966" t="s">
        <v>193</v>
      </c>
      <c r="C1966">
        <v>0</v>
      </c>
      <c r="D1966" t="s">
        <v>183</v>
      </c>
      <c r="E1966" t="s">
        <v>176</v>
      </c>
      <c r="F1966" t="s">
        <v>181</v>
      </c>
      <c r="G1966" t="s">
        <v>178</v>
      </c>
    </row>
    <row r="1967" spans="1:7">
      <c r="A1967">
        <v>2033</v>
      </c>
      <c r="B1967" t="s">
        <v>193</v>
      </c>
      <c r="C1967">
        <v>0</v>
      </c>
      <c r="D1967" t="s">
        <v>183</v>
      </c>
      <c r="E1967" t="s">
        <v>176</v>
      </c>
      <c r="F1967" t="s">
        <v>181</v>
      </c>
      <c r="G1967" t="s">
        <v>178</v>
      </c>
    </row>
    <row r="1968" spans="1:7">
      <c r="A1968">
        <v>2034</v>
      </c>
      <c r="B1968" t="s">
        <v>193</v>
      </c>
      <c r="C1968">
        <v>0</v>
      </c>
      <c r="D1968" t="s">
        <v>183</v>
      </c>
      <c r="E1968" t="s">
        <v>176</v>
      </c>
      <c r="F1968" t="s">
        <v>181</v>
      </c>
      <c r="G1968" t="s">
        <v>178</v>
      </c>
    </row>
    <row r="1969" spans="1:7">
      <c r="A1969">
        <v>2035</v>
      </c>
      <c r="B1969" t="s">
        <v>193</v>
      </c>
      <c r="C1969">
        <v>0</v>
      </c>
      <c r="D1969" t="s">
        <v>183</v>
      </c>
      <c r="E1969" t="s">
        <v>176</v>
      </c>
      <c r="F1969" t="s">
        <v>181</v>
      </c>
      <c r="G1969" t="s">
        <v>178</v>
      </c>
    </row>
    <row r="1970" spans="1:7">
      <c r="A1970">
        <v>2020</v>
      </c>
      <c r="B1970" t="s">
        <v>194</v>
      </c>
      <c r="C1970">
        <v>14.85</v>
      </c>
      <c r="D1970" t="s">
        <v>183</v>
      </c>
      <c r="E1970" t="s">
        <v>176</v>
      </c>
      <c r="F1970" t="s">
        <v>181</v>
      </c>
      <c r="G1970" t="s">
        <v>178</v>
      </c>
    </row>
    <row r="1971" spans="1:7">
      <c r="A1971">
        <v>2021</v>
      </c>
      <c r="B1971" t="s">
        <v>194</v>
      </c>
      <c r="C1971">
        <v>0</v>
      </c>
      <c r="D1971" t="s">
        <v>183</v>
      </c>
      <c r="E1971" t="s">
        <v>176</v>
      </c>
      <c r="F1971" t="s">
        <v>181</v>
      </c>
      <c r="G1971" t="s">
        <v>178</v>
      </c>
    </row>
    <row r="1972" spans="1:7">
      <c r="A1972">
        <v>2022</v>
      </c>
      <c r="B1972" t="s">
        <v>194</v>
      </c>
      <c r="C1972">
        <v>0</v>
      </c>
      <c r="D1972" t="s">
        <v>183</v>
      </c>
      <c r="E1972" t="s">
        <v>176</v>
      </c>
      <c r="F1972" t="s">
        <v>181</v>
      </c>
      <c r="G1972" t="s">
        <v>178</v>
      </c>
    </row>
    <row r="1973" spans="1:7">
      <c r="A1973">
        <v>2023</v>
      </c>
      <c r="B1973" t="s">
        <v>194</v>
      </c>
      <c r="C1973">
        <v>0</v>
      </c>
      <c r="D1973" t="s">
        <v>183</v>
      </c>
      <c r="E1973" t="s">
        <v>176</v>
      </c>
      <c r="F1973" t="s">
        <v>181</v>
      </c>
      <c r="G1973" t="s">
        <v>178</v>
      </c>
    </row>
    <row r="1974" spans="1:7">
      <c r="A1974">
        <v>2024</v>
      </c>
      <c r="B1974" t="s">
        <v>194</v>
      </c>
      <c r="C1974">
        <v>0</v>
      </c>
      <c r="D1974" t="s">
        <v>183</v>
      </c>
      <c r="E1974" t="s">
        <v>176</v>
      </c>
      <c r="F1974" t="s">
        <v>181</v>
      </c>
      <c r="G1974" t="s">
        <v>178</v>
      </c>
    </row>
    <row r="1975" spans="1:7">
      <c r="A1975">
        <v>2025</v>
      </c>
      <c r="B1975" t="s">
        <v>194</v>
      </c>
      <c r="C1975">
        <v>0</v>
      </c>
      <c r="D1975" t="s">
        <v>183</v>
      </c>
      <c r="E1975" t="s">
        <v>176</v>
      </c>
      <c r="F1975" t="s">
        <v>181</v>
      </c>
      <c r="G1975" t="s">
        <v>178</v>
      </c>
    </row>
    <row r="1976" spans="1:7">
      <c r="A1976">
        <v>2026</v>
      </c>
      <c r="B1976" t="s">
        <v>194</v>
      </c>
      <c r="C1976">
        <v>0</v>
      </c>
      <c r="D1976" t="s">
        <v>183</v>
      </c>
      <c r="E1976" t="s">
        <v>176</v>
      </c>
      <c r="F1976" t="s">
        <v>181</v>
      </c>
      <c r="G1976" t="s">
        <v>178</v>
      </c>
    </row>
    <row r="1977" spans="1:7">
      <c r="A1977">
        <v>2027</v>
      </c>
      <c r="B1977" t="s">
        <v>194</v>
      </c>
      <c r="C1977">
        <v>0</v>
      </c>
      <c r="D1977" t="s">
        <v>183</v>
      </c>
      <c r="E1977" t="s">
        <v>176</v>
      </c>
      <c r="F1977" t="s">
        <v>181</v>
      </c>
      <c r="G1977" t="s">
        <v>178</v>
      </c>
    </row>
    <row r="1978" spans="1:7">
      <c r="A1978">
        <v>2028</v>
      </c>
      <c r="B1978" t="s">
        <v>194</v>
      </c>
      <c r="C1978">
        <v>0</v>
      </c>
      <c r="D1978" t="s">
        <v>183</v>
      </c>
      <c r="E1978" t="s">
        <v>176</v>
      </c>
      <c r="F1978" t="s">
        <v>181</v>
      </c>
      <c r="G1978" t="s">
        <v>178</v>
      </c>
    </row>
    <row r="1979" spans="1:7">
      <c r="A1979">
        <v>2029</v>
      </c>
      <c r="B1979" t="s">
        <v>194</v>
      </c>
      <c r="C1979">
        <v>0</v>
      </c>
      <c r="D1979" t="s">
        <v>183</v>
      </c>
      <c r="E1979" t="s">
        <v>176</v>
      </c>
      <c r="F1979" t="s">
        <v>181</v>
      </c>
      <c r="G1979" t="s">
        <v>178</v>
      </c>
    </row>
    <row r="1980" spans="1:7">
      <c r="A1980">
        <v>2030</v>
      </c>
      <c r="B1980" t="s">
        <v>194</v>
      </c>
      <c r="C1980">
        <v>0</v>
      </c>
      <c r="D1980" t="s">
        <v>183</v>
      </c>
      <c r="E1980" t="s">
        <v>176</v>
      </c>
      <c r="F1980" t="s">
        <v>181</v>
      </c>
      <c r="G1980" t="s">
        <v>178</v>
      </c>
    </row>
    <row r="1981" spans="1:7">
      <c r="A1981">
        <v>2031</v>
      </c>
      <c r="B1981" t="s">
        <v>194</v>
      </c>
      <c r="C1981">
        <v>0</v>
      </c>
      <c r="D1981" t="s">
        <v>183</v>
      </c>
      <c r="E1981" t="s">
        <v>176</v>
      </c>
      <c r="F1981" t="s">
        <v>181</v>
      </c>
      <c r="G1981" t="s">
        <v>178</v>
      </c>
    </row>
    <row r="1982" spans="1:7">
      <c r="A1982">
        <v>2032</v>
      </c>
      <c r="B1982" t="s">
        <v>194</v>
      </c>
      <c r="C1982">
        <v>0</v>
      </c>
      <c r="D1982" t="s">
        <v>183</v>
      </c>
      <c r="E1982" t="s">
        <v>176</v>
      </c>
      <c r="F1982" t="s">
        <v>181</v>
      </c>
      <c r="G1982" t="s">
        <v>178</v>
      </c>
    </row>
    <row r="1983" spans="1:7">
      <c r="A1983">
        <v>2033</v>
      </c>
      <c r="B1983" t="s">
        <v>194</v>
      </c>
      <c r="C1983">
        <v>0</v>
      </c>
      <c r="D1983" t="s">
        <v>183</v>
      </c>
      <c r="E1983" t="s">
        <v>176</v>
      </c>
      <c r="F1983" t="s">
        <v>181</v>
      </c>
      <c r="G1983" t="s">
        <v>178</v>
      </c>
    </row>
    <row r="1984" spans="1:7">
      <c r="A1984">
        <v>2034</v>
      </c>
      <c r="B1984" t="s">
        <v>194</v>
      </c>
      <c r="C1984">
        <v>0</v>
      </c>
      <c r="D1984" t="s">
        <v>183</v>
      </c>
      <c r="E1984" t="s">
        <v>176</v>
      </c>
      <c r="F1984" t="s">
        <v>181</v>
      </c>
      <c r="G1984" t="s">
        <v>178</v>
      </c>
    </row>
    <row r="1985" spans="1:7">
      <c r="A1985">
        <v>2035</v>
      </c>
      <c r="B1985" t="s">
        <v>194</v>
      </c>
      <c r="C1985">
        <v>0</v>
      </c>
      <c r="D1985" t="s">
        <v>183</v>
      </c>
      <c r="E1985" t="s">
        <v>176</v>
      </c>
      <c r="F1985" t="s">
        <v>181</v>
      </c>
      <c r="G1985" t="s">
        <v>178</v>
      </c>
    </row>
    <row r="1986" spans="1:7">
      <c r="A1986">
        <v>2020</v>
      </c>
      <c r="B1986" t="s">
        <v>195</v>
      </c>
      <c r="C1986">
        <v>16866</v>
      </c>
      <c r="D1986" t="s">
        <v>183</v>
      </c>
      <c r="E1986" t="s">
        <v>176</v>
      </c>
      <c r="F1986" t="s">
        <v>181</v>
      </c>
      <c r="G1986" t="s">
        <v>178</v>
      </c>
    </row>
    <row r="1987" spans="1:7">
      <c r="A1987">
        <v>2021</v>
      </c>
      <c r="B1987" t="s">
        <v>195</v>
      </c>
      <c r="C1987">
        <v>44207.4</v>
      </c>
      <c r="D1987" t="s">
        <v>183</v>
      </c>
      <c r="E1987" t="s">
        <v>176</v>
      </c>
      <c r="F1987" t="s">
        <v>181</v>
      </c>
      <c r="G1987" t="s">
        <v>178</v>
      </c>
    </row>
    <row r="1988" spans="1:7">
      <c r="A1988">
        <v>2022</v>
      </c>
      <c r="B1988" t="s">
        <v>195</v>
      </c>
      <c r="C1988">
        <v>44207.4</v>
      </c>
      <c r="D1988" t="s">
        <v>183</v>
      </c>
      <c r="E1988" t="s">
        <v>176</v>
      </c>
      <c r="F1988" t="s">
        <v>181</v>
      </c>
      <c r="G1988" t="s">
        <v>178</v>
      </c>
    </row>
    <row r="1989" spans="1:7">
      <c r="A1989">
        <v>2023</v>
      </c>
      <c r="B1989" t="s">
        <v>195</v>
      </c>
      <c r="C1989">
        <v>54825</v>
      </c>
      <c r="D1989" t="s">
        <v>183</v>
      </c>
      <c r="E1989" t="s">
        <v>176</v>
      </c>
      <c r="F1989" t="s">
        <v>181</v>
      </c>
      <c r="G1989" t="s">
        <v>178</v>
      </c>
    </row>
    <row r="1990" spans="1:7">
      <c r="A1990">
        <v>2024</v>
      </c>
      <c r="B1990" t="s">
        <v>195</v>
      </c>
      <c r="C1990">
        <v>54825</v>
      </c>
      <c r="D1990" t="s">
        <v>183</v>
      </c>
      <c r="E1990" t="s">
        <v>176</v>
      </c>
      <c r="F1990" t="s">
        <v>181</v>
      </c>
      <c r="G1990" t="s">
        <v>178</v>
      </c>
    </row>
    <row r="1991" spans="1:7">
      <c r="A1991">
        <v>2025</v>
      </c>
      <c r="B1991" t="s">
        <v>195</v>
      </c>
      <c r="C1991">
        <v>27762.1</v>
      </c>
      <c r="D1991" t="s">
        <v>183</v>
      </c>
      <c r="E1991" t="s">
        <v>176</v>
      </c>
      <c r="F1991" t="s">
        <v>181</v>
      </c>
      <c r="G1991" t="s">
        <v>178</v>
      </c>
    </row>
    <row r="1992" spans="1:7">
      <c r="A1992">
        <v>2026</v>
      </c>
      <c r="B1992" t="s">
        <v>195</v>
      </c>
      <c r="C1992">
        <v>27762.1</v>
      </c>
      <c r="D1992" t="s">
        <v>183</v>
      </c>
      <c r="E1992" t="s">
        <v>176</v>
      </c>
      <c r="F1992" t="s">
        <v>181</v>
      </c>
      <c r="G1992" t="s">
        <v>178</v>
      </c>
    </row>
    <row r="1993" spans="1:7">
      <c r="A1993">
        <v>2027</v>
      </c>
      <c r="B1993" t="s">
        <v>195</v>
      </c>
      <c r="C1993">
        <v>46670.9</v>
      </c>
      <c r="D1993" t="s">
        <v>183</v>
      </c>
      <c r="E1993" t="s">
        <v>176</v>
      </c>
      <c r="F1993" t="s">
        <v>181</v>
      </c>
      <c r="G1993" t="s">
        <v>178</v>
      </c>
    </row>
    <row r="1994" spans="1:7">
      <c r="A1994">
        <v>2028</v>
      </c>
      <c r="B1994" t="s">
        <v>195</v>
      </c>
      <c r="C1994">
        <v>46670.9</v>
      </c>
      <c r="D1994" t="s">
        <v>183</v>
      </c>
      <c r="E1994" t="s">
        <v>176</v>
      </c>
      <c r="F1994" t="s">
        <v>181</v>
      </c>
      <c r="G1994" t="s">
        <v>178</v>
      </c>
    </row>
    <row r="1995" spans="1:7">
      <c r="A1995">
        <v>2029</v>
      </c>
      <c r="B1995" t="s">
        <v>195</v>
      </c>
      <c r="C1995">
        <v>43406.8</v>
      </c>
      <c r="D1995" t="s">
        <v>183</v>
      </c>
      <c r="E1995" t="s">
        <v>176</v>
      </c>
      <c r="F1995" t="s">
        <v>181</v>
      </c>
      <c r="G1995" t="s">
        <v>178</v>
      </c>
    </row>
    <row r="1996" spans="1:7">
      <c r="A1996">
        <v>2030</v>
      </c>
      <c r="B1996" t="s">
        <v>195</v>
      </c>
      <c r="C1996">
        <v>43406.8</v>
      </c>
      <c r="D1996" t="s">
        <v>183</v>
      </c>
      <c r="E1996" t="s">
        <v>176</v>
      </c>
      <c r="F1996" t="s">
        <v>181</v>
      </c>
      <c r="G1996" t="s">
        <v>178</v>
      </c>
    </row>
    <row r="1997" spans="1:7">
      <c r="A1997">
        <v>2031</v>
      </c>
      <c r="B1997" t="s">
        <v>195</v>
      </c>
      <c r="C1997">
        <v>40075</v>
      </c>
      <c r="D1997" t="s">
        <v>183</v>
      </c>
      <c r="E1997" t="s">
        <v>176</v>
      </c>
      <c r="F1997" t="s">
        <v>181</v>
      </c>
      <c r="G1997" t="s">
        <v>178</v>
      </c>
    </row>
    <row r="1998" spans="1:7">
      <c r="A1998">
        <v>2032</v>
      </c>
      <c r="B1998" t="s">
        <v>195</v>
      </c>
      <c r="C1998">
        <v>40075</v>
      </c>
      <c r="D1998" t="s">
        <v>183</v>
      </c>
      <c r="E1998" t="s">
        <v>176</v>
      </c>
      <c r="F1998" t="s">
        <v>181</v>
      </c>
      <c r="G1998" t="s">
        <v>178</v>
      </c>
    </row>
    <row r="1999" spans="1:7">
      <c r="A1999">
        <v>2033</v>
      </c>
      <c r="B1999" t="s">
        <v>195</v>
      </c>
      <c r="C1999">
        <v>55365.3</v>
      </c>
      <c r="D1999" t="s">
        <v>183</v>
      </c>
      <c r="E1999" t="s">
        <v>176</v>
      </c>
      <c r="F1999" t="s">
        <v>181</v>
      </c>
      <c r="G1999" t="s">
        <v>178</v>
      </c>
    </row>
    <row r="2000" spans="1:7">
      <c r="A2000">
        <v>2034</v>
      </c>
      <c r="B2000" t="s">
        <v>195</v>
      </c>
      <c r="C2000">
        <v>55365.3</v>
      </c>
      <c r="D2000" t="s">
        <v>183</v>
      </c>
      <c r="E2000" t="s">
        <v>176</v>
      </c>
      <c r="F2000" t="s">
        <v>181</v>
      </c>
      <c r="G2000" t="s">
        <v>178</v>
      </c>
    </row>
    <row r="2001" spans="1:7">
      <c r="A2001">
        <v>2035</v>
      </c>
      <c r="B2001" t="s">
        <v>195</v>
      </c>
      <c r="C2001">
        <v>55365.3</v>
      </c>
      <c r="D2001" t="s">
        <v>183</v>
      </c>
      <c r="E2001" t="s">
        <v>176</v>
      </c>
      <c r="F2001" t="s">
        <v>181</v>
      </c>
      <c r="G2001" t="s">
        <v>178</v>
      </c>
    </row>
    <row r="2002" spans="1:7">
      <c r="A2002">
        <v>2020</v>
      </c>
      <c r="B2002" t="s">
        <v>196</v>
      </c>
      <c r="C2002">
        <v>11405.9</v>
      </c>
      <c r="D2002" t="s">
        <v>183</v>
      </c>
      <c r="E2002" t="s">
        <v>176</v>
      </c>
      <c r="F2002" t="s">
        <v>181</v>
      </c>
      <c r="G2002" t="s">
        <v>178</v>
      </c>
    </row>
    <row r="2003" spans="1:7">
      <c r="A2003">
        <v>2021</v>
      </c>
      <c r="B2003" t="s">
        <v>196</v>
      </c>
      <c r="C2003">
        <v>19243.3</v>
      </c>
      <c r="D2003" t="s">
        <v>183</v>
      </c>
      <c r="E2003" t="s">
        <v>176</v>
      </c>
      <c r="F2003" t="s">
        <v>181</v>
      </c>
      <c r="G2003" t="s">
        <v>178</v>
      </c>
    </row>
    <row r="2004" spans="1:7">
      <c r="A2004">
        <v>2022</v>
      </c>
      <c r="B2004" t="s">
        <v>196</v>
      </c>
      <c r="C2004">
        <v>19243.3</v>
      </c>
      <c r="D2004" t="s">
        <v>183</v>
      </c>
      <c r="E2004" t="s">
        <v>176</v>
      </c>
      <c r="F2004" t="s">
        <v>181</v>
      </c>
      <c r="G2004" t="s">
        <v>178</v>
      </c>
    </row>
    <row r="2005" spans="1:7">
      <c r="A2005">
        <v>2023</v>
      </c>
      <c r="B2005" t="s">
        <v>196</v>
      </c>
      <c r="C2005">
        <v>8010.15</v>
      </c>
      <c r="D2005" t="s">
        <v>183</v>
      </c>
      <c r="E2005" t="s">
        <v>176</v>
      </c>
      <c r="F2005" t="s">
        <v>181</v>
      </c>
      <c r="G2005" t="s">
        <v>178</v>
      </c>
    </row>
    <row r="2006" spans="1:7">
      <c r="A2006">
        <v>2024</v>
      </c>
      <c r="B2006" t="s">
        <v>196</v>
      </c>
      <c r="C2006">
        <v>8010.15</v>
      </c>
      <c r="D2006" t="s">
        <v>183</v>
      </c>
      <c r="E2006" t="s">
        <v>176</v>
      </c>
      <c r="F2006" t="s">
        <v>181</v>
      </c>
      <c r="G2006" t="s">
        <v>178</v>
      </c>
    </row>
    <row r="2007" spans="1:7">
      <c r="A2007">
        <v>2025</v>
      </c>
      <c r="B2007" t="s">
        <v>196</v>
      </c>
      <c r="C2007">
        <v>31097.4</v>
      </c>
      <c r="D2007" t="s">
        <v>183</v>
      </c>
      <c r="E2007" t="s">
        <v>176</v>
      </c>
      <c r="F2007" t="s">
        <v>181</v>
      </c>
      <c r="G2007" t="s">
        <v>178</v>
      </c>
    </row>
    <row r="2008" spans="1:7">
      <c r="A2008">
        <v>2026</v>
      </c>
      <c r="B2008" t="s">
        <v>196</v>
      </c>
      <c r="C2008">
        <v>31097.4</v>
      </c>
      <c r="D2008" t="s">
        <v>183</v>
      </c>
      <c r="E2008" t="s">
        <v>176</v>
      </c>
      <c r="F2008" t="s">
        <v>181</v>
      </c>
      <c r="G2008" t="s">
        <v>178</v>
      </c>
    </row>
    <row r="2009" spans="1:7">
      <c r="A2009">
        <v>2027</v>
      </c>
      <c r="B2009" t="s">
        <v>196</v>
      </c>
      <c r="C2009">
        <v>23624.5</v>
      </c>
      <c r="D2009" t="s">
        <v>183</v>
      </c>
      <c r="E2009" t="s">
        <v>176</v>
      </c>
      <c r="F2009" t="s">
        <v>181</v>
      </c>
      <c r="G2009" t="s">
        <v>178</v>
      </c>
    </row>
    <row r="2010" spans="1:7">
      <c r="A2010">
        <v>2028</v>
      </c>
      <c r="B2010" t="s">
        <v>196</v>
      </c>
      <c r="C2010">
        <v>23624.5</v>
      </c>
      <c r="D2010" t="s">
        <v>183</v>
      </c>
      <c r="E2010" t="s">
        <v>176</v>
      </c>
      <c r="F2010" t="s">
        <v>181</v>
      </c>
      <c r="G2010" t="s">
        <v>178</v>
      </c>
    </row>
    <row r="2011" spans="1:7">
      <c r="A2011">
        <v>2029</v>
      </c>
      <c r="B2011" t="s">
        <v>196</v>
      </c>
      <c r="C2011">
        <v>25435.3</v>
      </c>
      <c r="D2011" t="s">
        <v>183</v>
      </c>
      <c r="E2011" t="s">
        <v>176</v>
      </c>
      <c r="F2011" t="s">
        <v>181</v>
      </c>
      <c r="G2011" t="s">
        <v>178</v>
      </c>
    </row>
    <row r="2012" spans="1:7">
      <c r="A2012">
        <v>2030</v>
      </c>
      <c r="B2012" t="s">
        <v>196</v>
      </c>
      <c r="C2012">
        <v>25435.3</v>
      </c>
      <c r="D2012" t="s">
        <v>183</v>
      </c>
      <c r="E2012" t="s">
        <v>176</v>
      </c>
      <c r="F2012" t="s">
        <v>181</v>
      </c>
      <c r="G2012" t="s">
        <v>178</v>
      </c>
    </row>
    <row r="2013" spans="1:7">
      <c r="A2013">
        <v>2031</v>
      </c>
      <c r="B2013" t="s">
        <v>196</v>
      </c>
      <c r="C2013">
        <v>41628.9</v>
      </c>
      <c r="D2013" t="s">
        <v>183</v>
      </c>
      <c r="E2013" t="s">
        <v>176</v>
      </c>
      <c r="F2013" t="s">
        <v>181</v>
      </c>
      <c r="G2013" t="s">
        <v>178</v>
      </c>
    </row>
    <row r="2014" spans="1:7">
      <c r="A2014">
        <v>2032</v>
      </c>
      <c r="B2014" t="s">
        <v>196</v>
      </c>
      <c r="C2014">
        <v>41628.9</v>
      </c>
      <c r="D2014" t="s">
        <v>183</v>
      </c>
      <c r="E2014" t="s">
        <v>176</v>
      </c>
      <c r="F2014" t="s">
        <v>181</v>
      </c>
      <c r="G2014" t="s">
        <v>178</v>
      </c>
    </row>
    <row r="2015" spans="1:7">
      <c r="A2015">
        <v>2033</v>
      </c>
      <c r="B2015" t="s">
        <v>196</v>
      </c>
      <c r="C2015">
        <v>36990.199999999997</v>
      </c>
      <c r="D2015" t="s">
        <v>183</v>
      </c>
      <c r="E2015" t="s">
        <v>176</v>
      </c>
      <c r="F2015" t="s">
        <v>181</v>
      </c>
      <c r="G2015" t="s">
        <v>178</v>
      </c>
    </row>
    <row r="2016" spans="1:7">
      <c r="A2016">
        <v>2034</v>
      </c>
      <c r="B2016" t="s">
        <v>196</v>
      </c>
      <c r="C2016">
        <v>36990.199999999997</v>
      </c>
      <c r="D2016" t="s">
        <v>183</v>
      </c>
      <c r="E2016" t="s">
        <v>176</v>
      </c>
      <c r="F2016" t="s">
        <v>181</v>
      </c>
      <c r="G2016" t="s">
        <v>178</v>
      </c>
    </row>
    <row r="2017" spans="1:7">
      <c r="A2017">
        <v>2035</v>
      </c>
      <c r="B2017" t="s">
        <v>196</v>
      </c>
      <c r="C2017">
        <v>36990.199999999997</v>
      </c>
      <c r="D2017" t="s">
        <v>183</v>
      </c>
      <c r="E2017" t="s">
        <v>176</v>
      </c>
      <c r="F2017" t="s">
        <v>181</v>
      </c>
      <c r="G2017" t="s">
        <v>178</v>
      </c>
    </row>
    <row r="2018" spans="1:7">
      <c r="A2018">
        <v>2020</v>
      </c>
      <c r="B2018" t="s">
        <v>188</v>
      </c>
      <c r="C2018">
        <v>102.45</v>
      </c>
      <c r="D2018" t="s">
        <v>183</v>
      </c>
      <c r="E2018" t="s">
        <v>176</v>
      </c>
      <c r="F2018" t="s">
        <v>181</v>
      </c>
      <c r="G2018" t="s">
        <v>179</v>
      </c>
    </row>
    <row r="2019" spans="1:7">
      <c r="A2019">
        <v>2021</v>
      </c>
      <c r="B2019" t="s">
        <v>188</v>
      </c>
      <c r="C2019">
        <v>9.5</v>
      </c>
      <c r="D2019" t="s">
        <v>183</v>
      </c>
      <c r="E2019" t="s">
        <v>176</v>
      </c>
      <c r="F2019" t="s">
        <v>181</v>
      </c>
      <c r="G2019" t="s">
        <v>179</v>
      </c>
    </row>
    <row r="2020" spans="1:7">
      <c r="A2020">
        <v>2022</v>
      </c>
      <c r="B2020" t="s">
        <v>188</v>
      </c>
      <c r="C2020">
        <v>9.5</v>
      </c>
      <c r="D2020" t="s">
        <v>183</v>
      </c>
      <c r="E2020" t="s">
        <v>176</v>
      </c>
      <c r="F2020" t="s">
        <v>181</v>
      </c>
      <c r="G2020" t="s">
        <v>179</v>
      </c>
    </row>
    <row r="2021" spans="1:7">
      <c r="A2021">
        <v>2023</v>
      </c>
      <c r="B2021" t="s">
        <v>188</v>
      </c>
      <c r="C2021">
        <v>0</v>
      </c>
      <c r="D2021" t="s">
        <v>183</v>
      </c>
      <c r="E2021" t="s">
        <v>176</v>
      </c>
      <c r="F2021" t="s">
        <v>181</v>
      </c>
      <c r="G2021" t="s">
        <v>179</v>
      </c>
    </row>
    <row r="2022" spans="1:7">
      <c r="A2022">
        <v>2024</v>
      </c>
      <c r="B2022" t="s">
        <v>188</v>
      </c>
      <c r="C2022">
        <v>0</v>
      </c>
      <c r="D2022" t="s">
        <v>183</v>
      </c>
      <c r="E2022" t="s">
        <v>176</v>
      </c>
      <c r="F2022" t="s">
        <v>181</v>
      </c>
      <c r="G2022" t="s">
        <v>179</v>
      </c>
    </row>
    <row r="2023" spans="1:7">
      <c r="A2023">
        <v>2025</v>
      </c>
      <c r="B2023" t="s">
        <v>188</v>
      </c>
      <c r="C2023">
        <v>0</v>
      </c>
      <c r="D2023" t="s">
        <v>183</v>
      </c>
      <c r="E2023" t="s">
        <v>176</v>
      </c>
      <c r="F2023" t="s">
        <v>181</v>
      </c>
      <c r="G2023" t="s">
        <v>179</v>
      </c>
    </row>
    <row r="2024" spans="1:7">
      <c r="A2024">
        <v>2026</v>
      </c>
      <c r="B2024" t="s">
        <v>188</v>
      </c>
      <c r="C2024">
        <v>0</v>
      </c>
      <c r="D2024" t="s">
        <v>183</v>
      </c>
      <c r="E2024" t="s">
        <v>176</v>
      </c>
      <c r="F2024" t="s">
        <v>181</v>
      </c>
      <c r="G2024" t="s">
        <v>179</v>
      </c>
    </row>
    <row r="2025" spans="1:7">
      <c r="A2025">
        <v>2027</v>
      </c>
      <c r="B2025" t="s">
        <v>188</v>
      </c>
      <c r="C2025">
        <v>0</v>
      </c>
      <c r="D2025" t="s">
        <v>183</v>
      </c>
      <c r="E2025" t="s">
        <v>176</v>
      </c>
      <c r="F2025" t="s">
        <v>181</v>
      </c>
      <c r="G2025" t="s">
        <v>179</v>
      </c>
    </row>
    <row r="2026" spans="1:7">
      <c r="A2026">
        <v>2028</v>
      </c>
      <c r="B2026" t="s">
        <v>188</v>
      </c>
      <c r="C2026">
        <v>0</v>
      </c>
      <c r="D2026" t="s">
        <v>183</v>
      </c>
      <c r="E2026" t="s">
        <v>176</v>
      </c>
      <c r="F2026" t="s">
        <v>181</v>
      </c>
      <c r="G2026" t="s">
        <v>179</v>
      </c>
    </row>
    <row r="2027" spans="1:7">
      <c r="A2027">
        <v>2029</v>
      </c>
      <c r="B2027" t="s">
        <v>188</v>
      </c>
      <c r="C2027">
        <v>0</v>
      </c>
      <c r="D2027" t="s">
        <v>183</v>
      </c>
      <c r="E2027" t="s">
        <v>176</v>
      </c>
      <c r="F2027" t="s">
        <v>181</v>
      </c>
      <c r="G2027" t="s">
        <v>179</v>
      </c>
    </row>
    <row r="2028" spans="1:7">
      <c r="A2028">
        <v>2030</v>
      </c>
      <c r="B2028" t="s">
        <v>188</v>
      </c>
      <c r="C2028">
        <v>0</v>
      </c>
      <c r="D2028" t="s">
        <v>183</v>
      </c>
      <c r="E2028" t="s">
        <v>176</v>
      </c>
      <c r="F2028" t="s">
        <v>181</v>
      </c>
      <c r="G2028" t="s">
        <v>179</v>
      </c>
    </row>
    <row r="2029" spans="1:7">
      <c r="A2029">
        <v>2031</v>
      </c>
      <c r="B2029" t="s">
        <v>188</v>
      </c>
      <c r="C2029">
        <v>0</v>
      </c>
      <c r="D2029" t="s">
        <v>183</v>
      </c>
      <c r="E2029" t="s">
        <v>176</v>
      </c>
      <c r="F2029" t="s">
        <v>181</v>
      </c>
      <c r="G2029" t="s">
        <v>179</v>
      </c>
    </row>
    <row r="2030" spans="1:7">
      <c r="A2030">
        <v>2032</v>
      </c>
      <c r="B2030" t="s">
        <v>188</v>
      </c>
      <c r="C2030">
        <v>0</v>
      </c>
      <c r="D2030" t="s">
        <v>183</v>
      </c>
      <c r="E2030" t="s">
        <v>176</v>
      </c>
      <c r="F2030" t="s">
        <v>181</v>
      </c>
      <c r="G2030" t="s">
        <v>179</v>
      </c>
    </row>
    <row r="2031" spans="1:7">
      <c r="A2031">
        <v>2033</v>
      </c>
      <c r="B2031" t="s">
        <v>188</v>
      </c>
      <c r="C2031">
        <v>0</v>
      </c>
      <c r="D2031" t="s">
        <v>183</v>
      </c>
      <c r="E2031" t="s">
        <v>176</v>
      </c>
      <c r="F2031" t="s">
        <v>181</v>
      </c>
      <c r="G2031" t="s">
        <v>179</v>
      </c>
    </row>
    <row r="2032" spans="1:7">
      <c r="A2032">
        <v>2034</v>
      </c>
      <c r="B2032" t="s">
        <v>188</v>
      </c>
      <c r="C2032">
        <v>0</v>
      </c>
      <c r="D2032" t="s">
        <v>183</v>
      </c>
      <c r="E2032" t="s">
        <v>176</v>
      </c>
      <c r="F2032" t="s">
        <v>181</v>
      </c>
      <c r="G2032" t="s">
        <v>179</v>
      </c>
    </row>
    <row r="2033" spans="1:7">
      <c r="A2033">
        <v>2035</v>
      </c>
      <c r="B2033" t="s">
        <v>188</v>
      </c>
      <c r="C2033">
        <v>0</v>
      </c>
      <c r="D2033" t="s">
        <v>183</v>
      </c>
      <c r="E2033" t="s">
        <v>176</v>
      </c>
      <c r="F2033" t="s">
        <v>181</v>
      </c>
      <c r="G2033" t="s">
        <v>179</v>
      </c>
    </row>
    <row r="2034" spans="1:7">
      <c r="A2034">
        <v>2020</v>
      </c>
      <c r="B2034" t="s">
        <v>189</v>
      </c>
      <c r="C2034">
        <v>0</v>
      </c>
      <c r="D2034" t="s">
        <v>183</v>
      </c>
      <c r="E2034" t="s">
        <v>176</v>
      </c>
      <c r="F2034" t="s">
        <v>181</v>
      </c>
      <c r="G2034" t="s">
        <v>179</v>
      </c>
    </row>
    <row r="2035" spans="1:7">
      <c r="A2035">
        <v>2021</v>
      </c>
      <c r="B2035" t="s">
        <v>189</v>
      </c>
      <c r="C2035">
        <v>0</v>
      </c>
      <c r="D2035" t="s">
        <v>183</v>
      </c>
      <c r="E2035" t="s">
        <v>176</v>
      </c>
      <c r="F2035" t="s">
        <v>181</v>
      </c>
      <c r="G2035" t="s">
        <v>179</v>
      </c>
    </row>
    <row r="2036" spans="1:7">
      <c r="A2036">
        <v>2022</v>
      </c>
      <c r="B2036" t="s">
        <v>189</v>
      </c>
      <c r="C2036">
        <v>0</v>
      </c>
      <c r="D2036" t="s">
        <v>183</v>
      </c>
      <c r="E2036" t="s">
        <v>176</v>
      </c>
      <c r="F2036" t="s">
        <v>181</v>
      </c>
      <c r="G2036" t="s">
        <v>179</v>
      </c>
    </row>
    <row r="2037" spans="1:7">
      <c r="A2037">
        <v>2023</v>
      </c>
      <c r="B2037" t="s">
        <v>189</v>
      </c>
      <c r="C2037">
        <v>0</v>
      </c>
      <c r="D2037" t="s">
        <v>183</v>
      </c>
      <c r="E2037" t="s">
        <v>176</v>
      </c>
      <c r="F2037" t="s">
        <v>181</v>
      </c>
      <c r="G2037" t="s">
        <v>179</v>
      </c>
    </row>
    <row r="2038" spans="1:7">
      <c r="A2038">
        <v>2024</v>
      </c>
      <c r="B2038" t="s">
        <v>189</v>
      </c>
      <c r="C2038">
        <v>0</v>
      </c>
      <c r="D2038" t="s">
        <v>183</v>
      </c>
      <c r="E2038" t="s">
        <v>176</v>
      </c>
      <c r="F2038" t="s">
        <v>181</v>
      </c>
      <c r="G2038" t="s">
        <v>179</v>
      </c>
    </row>
    <row r="2039" spans="1:7">
      <c r="A2039">
        <v>2025</v>
      </c>
      <c r="B2039" t="s">
        <v>189</v>
      </c>
      <c r="C2039">
        <v>0</v>
      </c>
      <c r="D2039" t="s">
        <v>183</v>
      </c>
      <c r="E2039" t="s">
        <v>176</v>
      </c>
      <c r="F2039" t="s">
        <v>181</v>
      </c>
      <c r="G2039" t="s">
        <v>179</v>
      </c>
    </row>
    <row r="2040" spans="1:7">
      <c r="A2040">
        <v>2026</v>
      </c>
      <c r="B2040" t="s">
        <v>189</v>
      </c>
      <c r="C2040">
        <v>0</v>
      </c>
      <c r="D2040" t="s">
        <v>183</v>
      </c>
      <c r="E2040" t="s">
        <v>176</v>
      </c>
      <c r="F2040" t="s">
        <v>181</v>
      </c>
      <c r="G2040" t="s">
        <v>179</v>
      </c>
    </row>
    <row r="2041" spans="1:7">
      <c r="A2041">
        <v>2027</v>
      </c>
      <c r="B2041" t="s">
        <v>189</v>
      </c>
      <c r="C2041">
        <v>0</v>
      </c>
      <c r="D2041" t="s">
        <v>183</v>
      </c>
      <c r="E2041" t="s">
        <v>176</v>
      </c>
      <c r="F2041" t="s">
        <v>181</v>
      </c>
      <c r="G2041" t="s">
        <v>179</v>
      </c>
    </row>
    <row r="2042" spans="1:7">
      <c r="A2042">
        <v>2028</v>
      </c>
      <c r="B2042" t="s">
        <v>189</v>
      </c>
      <c r="C2042">
        <v>0</v>
      </c>
      <c r="D2042" t="s">
        <v>183</v>
      </c>
      <c r="E2042" t="s">
        <v>176</v>
      </c>
      <c r="F2042" t="s">
        <v>181</v>
      </c>
      <c r="G2042" t="s">
        <v>179</v>
      </c>
    </row>
    <row r="2043" spans="1:7">
      <c r="A2043">
        <v>2029</v>
      </c>
      <c r="B2043" t="s">
        <v>189</v>
      </c>
      <c r="C2043">
        <v>0</v>
      </c>
      <c r="D2043" t="s">
        <v>183</v>
      </c>
      <c r="E2043" t="s">
        <v>176</v>
      </c>
      <c r="F2043" t="s">
        <v>181</v>
      </c>
      <c r="G2043" t="s">
        <v>179</v>
      </c>
    </row>
    <row r="2044" spans="1:7">
      <c r="A2044">
        <v>2030</v>
      </c>
      <c r="B2044" t="s">
        <v>189</v>
      </c>
      <c r="C2044">
        <v>0</v>
      </c>
      <c r="D2044" t="s">
        <v>183</v>
      </c>
      <c r="E2044" t="s">
        <v>176</v>
      </c>
      <c r="F2044" t="s">
        <v>181</v>
      </c>
      <c r="G2044" t="s">
        <v>179</v>
      </c>
    </row>
    <row r="2045" spans="1:7">
      <c r="A2045">
        <v>2031</v>
      </c>
      <c r="B2045" t="s">
        <v>189</v>
      </c>
      <c r="C2045">
        <v>0</v>
      </c>
      <c r="D2045" t="s">
        <v>183</v>
      </c>
      <c r="E2045" t="s">
        <v>176</v>
      </c>
      <c r="F2045" t="s">
        <v>181</v>
      </c>
      <c r="G2045" t="s">
        <v>179</v>
      </c>
    </row>
    <row r="2046" spans="1:7">
      <c r="A2046">
        <v>2032</v>
      </c>
      <c r="B2046" t="s">
        <v>189</v>
      </c>
      <c r="C2046">
        <v>0</v>
      </c>
      <c r="D2046" t="s">
        <v>183</v>
      </c>
      <c r="E2046" t="s">
        <v>176</v>
      </c>
      <c r="F2046" t="s">
        <v>181</v>
      </c>
      <c r="G2046" t="s">
        <v>179</v>
      </c>
    </row>
    <row r="2047" spans="1:7">
      <c r="A2047">
        <v>2033</v>
      </c>
      <c r="B2047" t="s">
        <v>189</v>
      </c>
      <c r="C2047">
        <v>0</v>
      </c>
      <c r="D2047" t="s">
        <v>183</v>
      </c>
      <c r="E2047" t="s">
        <v>176</v>
      </c>
      <c r="F2047" t="s">
        <v>181</v>
      </c>
      <c r="G2047" t="s">
        <v>179</v>
      </c>
    </row>
    <row r="2048" spans="1:7">
      <c r="A2048">
        <v>2034</v>
      </c>
      <c r="B2048" t="s">
        <v>189</v>
      </c>
      <c r="C2048">
        <v>0</v>
      </c>
      <c r="D2048" t="s">
        <v>183</v>
      </c>
      <c r="E2048" t="s">
        <v>176</v>
      </c>
      <c r="F2048" t="s">
        <v>181</v>
      </c>
      <c r="G2048" t="s">
        <v>179</v>
      </c>
    </row>
    <row r="2049" spans="1:7">
      <c r="A2049">
        <v>2035</v>
      </c>
      <c r="B2049" t="s">
        <v>189</v>
      </c>
      <c r="C2049">
        <v>0</v>
      </c>
      <c r="D2049" t="s">
        <v>183</v>
      </c>
      <c r="E2049" t="s">
        <v>176</v>
      </c>
      <c r="F2049" t="s">
        <v>181</v>
      </c>
      <c r="G2049" t="s">
        <v>179</v>
      </c>
    </row>
    <row r="2050" spans="1:7">
      <c r="A2050">
        <v>2020</v>
      </c>
      <c r="B2050" t="s">
        <v>190</v>
      </c>
      <c r="C2050">
        <v>11059.73</v>
      </c>
      <c r="D2050" t="s">
        <v>183</v>
      </c>
      <c r="E2050" t="s">
        <v>176</v>
      </c>
      <c r="F2050" t="s">
        <v>181</v>
      </c>
      <c r="G2050" t="s">
        <v>179</v>
      </c>
    </row>
    <row r="2051" spans="1:7">
      <c r="A2051">
        <v>2021</v>
      </c>
      <c r="B2051" t="s">
        <v>190</v>
      </c>
      <c r="C2051">
        <v>0</v>
      </c>
      <c r="D2051" t="s">
        <v>183</v>
      </c>
      <c r="E2051" t="s">
        <v>176</v>
      </c>
      <c r="F2051" t="s">
        <v>181</v>
      </c>
      <c r="G2051" t="s">
        <v>179</v>
      </c>
    </row>
    <row r="2052" spans="1:7">
      <c r="A2052">
        <v>2022</v>
      </c>
      <c r="B2052" t="s">
        <v>190</v>
      </c>
      <c r="C2052">
        <v>0</v>
      </c>
      <c r="D2052" t="s">
        <v>183</v>
      </c>
      <c r="E2052" t="s">
        <v>176</v>
      </c>
      <c r="F2052" t="s">
        <v>181</v>
      </c>
      <c r="G2052" t="s">
        <v>179</v>
      </c>
    </row>
    <row r="2053" spans="1:7">
      <c r="A2053">
        <v>2023</v>
      </c>
      <c r="B2053" t="s">
        <v>190</v>
      </c>
      <c r="C2053">
        <v>0</v>
      </c>
      <c r="D2053" t="s">
        <v>183</v>
      </c>
      <c r="E2053" t="s">
        <v>176</v>
      </c>
      <c r="F2053" t="s">
        <v>181</v>
      </c>
      <c r="G2053" t="s">
        <v>179</v>
      </c>
    </row>
    <row r="2054" spans="1:7">
      <c r="A2054">
        <v>2024</v>
      </c>
      <c r="B2054" t="s">
        <v>190</v>
      </c>
      <c r="C2054">
        <v>0</v>
      </c>
      <c r="D2054" t="s">
        <v>183</v>
      </c>
      <c r="E2054" t="s">
        <v>176</v>
      </c>
      <c r="F2054" t="s">
        <v>181</v>
      </c>
      <c r="G2054" t="s">
        <v>179</v>
      </c>
    </row>
    <row r="2055" spans="1:7">
      <c r="A2055">
        <v>2025</v>
      </c>
      <c r="B2055" t="s">
        <v>190</v>
      </c>
      <c r="C2055">
        <v>0</v>
      </c>
      <c r="D2055" t="s">
        <v>183</v>
      </c>
      <c r="E2055" t="s">
        <v>176</v>
      </c>
      <c r="F2055" t="s">
        <v>181</v>
      </c>
      <c r="G2055" t="s">
        <v>179</v>
      </c>
    </row>
    <row r="2056" spans="1:7">
      <c r="A2056">
        <v>2026</v>
      </c>
      <c r="B2056" t="s">
        <v>190</v>
      </c>
      <c r="C2056">
        <v>0</v>
      </c>
      <c r="D2056" t="s">
        <v>183</v>
      </c>
      <c r="E2056" t="s">
        <v>176</v>
      </c>
      <c r="F2056" t="s">
        <v>181</v>
      </c>
      <c r="G2056" t="s">
        <v>179</v>
      </c>
    </row>
    <row r="2057" spans="1:7">
      <c r="A2057">
        <v>2027</v>
      </c>
      <c r="B2057" t="s">
        <v>190</v>
      </c>
      <c r="C2057">
        <v>0</v>
      </c>
      <c r="D2057" t="s">
        <v>183</v>
      </c>
      <c r="E2057" t="s">
        <v>176</v>
      </c>
      <c r="F2057" t="s">
        <v>181</v>
      </c>
      <c r="G2057" t="s">
        <v>179</v>
      </c>
    </row>
    <row r="2058" spans="1:7">
      <c r="A2058">
        <v>2028</v>
      </c>
      <c r="B2058" t="s">
        <v>190</v>
      </c>
      <c r="C2058">
        <v>0</v>
      </c>
      <c r="D2058" t="s">
        <v>183</v>
      </c>
      <c r="E2058" t="s">
        <v>176</v>
      </c>
      <c r="F2058" t="s">
        <v>181</v>
      </c>
      <c r="G2058" t="s">
        <v>179</v>
      </c>
    </row>
    <row r="2059" spans="1:7">
      <c r="A2059">
        <v>2029</v>
      </c>
      <c r="B2059" t="s">
        <v>190</v>
      </c>
      <c r="C2059">
        <v>0</v>
      </c>
      <c r="D2059" t="s">
        <v>183</v>
      </c>
      <c r="E2059" t="s">
        <v>176</v>
      </c>
      <c r="F2059" t="s">
        <v>181</v>
      </c>
      <c r="G2059" t="s">
        <v>179</v>
      </c>
    </row>
    <row r="2060" spans="1:7">
      <c r="A2060">
        <v>2030</v>
      </c>
      <c r="B2060" t="s">
        <v>190</v>
      </c>
      <c r="C2060">
        <v>0</v>
      </c>
      <c r="D2060" t="s">
        <v>183</v>
      </c>
      <c r="E2060" t="s">
        <v>176</v>
      </c>
      <c r="F2060" t="s">
        <v>181</v>
      </c>
      <c r="G2060" t="s">
        <v>179</v>
      </c>
    </row>
    <row r="2061" spans="1:7">
      <c r="A2061">
        <v>2031</v>
      </c>
      <c r="B2061" t="s">
        <v>190</v>
      </c>
      <c r="C2061">
        <v>0</v>
      </c>
      <c r="D2061" t="s">
        <v>183</v>
      </c>
      <c r="E2061" t="s">
        <v>176</v>
      </c>
      <c r="F2061" t="s">
        <v>181</v>
      </c>
      <c r="G2061" t="s">
        <v>179</v>
      </c>
    </row>
    <row r="2062" spans="1:7">
      <c r="A2062">
        <v>2032</v>
      </c>
      <c r="B2062" t="s">
        <v>190</v>
      </c>
      <c r="C2062">
        <v>0</v>
      </c>
      <c r="D2062" t="s">
        <v>183</v>
      </c>
      <c r="E2062" t="s">
        <v>176</v>
      </c>
      <c r="F2062" t="s">
        <v>181</v>
      </c>
      <c r="G2062" t="s">
        <v>179</v>
      </c>
    </row>
    <row r="2063" spans="1:7">
      <c r="A2063">
        <v>2033</v>
      </c>
      <c r="B2063" t="s">
        <v>190</v>
      </c>
      <c r="C2063">
        <v>0</v>
      </c>
      <c r="D2063" t="s">
        <v>183</v>
      </c>
      <c r="E2063" t="s">
        <v>176</v>
      </c>
      <c r="F2063" t="s">
        <v>181</v>
      </c>
      <c r="G2063" t="s">
        <v>179</v>
      </c>
    </row>
    <row r="2064" spans="1:7">
      <c r="A2064">
        <v>2034</v>
      </c>
      <c r="B2064" t="s">
        <v>190</v>
      </c>
      <c r="C2064">
        <v>0</v>
      </c>
      <c r="D2064" t="s">
        <v>183</v>
      </c>
      <c r="E2064" t="s">
        <v>176</v>
      </c>
      <c r="F2064" t="s">
        <v>181</v>
      </c>
      <c r="G2064" t="s">
        <v>179</v>
      </c>
    </row>
    <row r="2065" spans="1:7">
      <c r="A2065">
        <v>2035</v>
      </c>
      <c r="B2065" t="s">
        <v>190</v>
      </c>
      <c r="C2065">
        <v>0</v>
      </c>
      <c r="D2065" t="s">
        <v>183</v>
      </c>
      <c r="E2065" t="s">
        <v>176</v>
      </c>
      <c r="F2065" t="s">
        <v>181</v>
      </c>
      <c r="G2065" t="s">
        <v>179</v>
      </c>
    </row>
    <row r="2066" spans="1:7">
      <c r="A2066">
        <v>2020</v>
      </c>
      <c r="B2066" t="s">
        <v>191</v>
      </c>
      <c r="C2066">
        <v>0</v>
      </c>
      <c r="D2066" t="s">
        <v>183</v>
      </c>
      <c r="E2066" t="s">
        <v>176</v>
      </c>
      <c r="F2066" t="s">
        <v>181</v>
      </c>
      <c r="G2066" t="s">
        <v>179</v>
      </c>
    </row>
    <row r="2067" spans="1:7">
      <c r="A2067">
        <v>2021</v>
      </c>
      <c r="B2067" t="s">
        <v>191</v>
      </c>
      <c r="C2067">
        <v>0</v>
      </c>
      <c r="D2067" t="s">
        <v>183</v>
      </c>
      <c r="E2067" t="s">
        <v>176</v>
      </c>
      <c r="F2067" t="s">
        <v>181</v>
      </c>
      <c r="G2067" t="s">
        <v>179</v>
      </c>
    </row>
    <row r="2068" spans="1:7">
      <c r="A2068">
        <v>2022</v>
      </c>
      <c r="B2068" t="s">
        <v>191</v>
      </c>
      <c r="C2068">
        <v>0</v>
      </c>
      <c r="D2068" t="s">
        <v>183</v>
      </c>
      <c r="E2068" t="s">
        <v>176</v>
      </c>
      <c r="F2068" t="s">
        <v>181</v>
      </c>
      <c r="G2068" t="s">
        <v>179</v>
      </c>
    </row>
    <row r="2069" spans="1:7">
      <c r="A2069">
        <v>2023</v>
      </c>
      <c r="B2069" t="s">
        <v>191</v>
      </c>
      <c r="C2069">
        <v>0</v>
      </c>
      <c r="D2069" t="s">
        <v>183</v>
      </c>
      <c r="E2069" t="s">
        <v>176</v>
      </c>
      <c r="F2069" t="s">
        <v>181</v>
      </c>
      <c r="G2069" t="s">
        <v>179</v>
      </c>
    </row>
    <row r="2070" spans="1:7">
      <c r="A2070">
        <v>2024</v>
      </c>
      <c r="B2070" t="s">
        <v>191</v>
      </c>
      <c r="C2070">
        <v>0</v>
      </c>
      <c r="D2070" t="s">
        <v>183</v>
      </c>
      <c r="E2070" t="s">
        <v>176</v>
      </c>
      <c r="F2070" t="s">
        <v>181</v>
      </c>
      <c r="G2070" t="s">
        <v>179</v>
      </c>
    </row>
    <row r="2071" spans="1:7">
      <c r="A2071">
        <v>2025</v>
      </c>
      <c r="B2071" t="s">
        <v>191</v>
      </c>
      <c r="C2071">
        <v>0</v>
      </c>
      <c r="D2071" t="s">
        <v>183</v>
      </c>
      <c r="E2071" t="s">
        <v>176</v>
      </c>
      <c r="F2071" t="s">
        <v>181</v>
      </c>
      <c r="G2071" t="s">
        <v>179</v>
      </c>
    </row>
    <row r="2072" spans="1:7">
      <c r="A2072">
        <v>2026</v>
      </c>
      <c r="B2072" t="s">
        <v>191</v>
      </c>
      <c r="C2072">
        <v>0</v>
      </c>
      <c r="D2072" t="s">
        <v>183</v>
      </c>
      <c r="E2072" t="s">
        <v>176</v>
      </c>
      <c r="F2072" t="s">
        <v>181</v>
      </c>
      <c r="G2072" t="s">
        <v>179</v>
      </c>
    </row>
    <row r="2073" spans="1:7">
      <c r="A2073">
        <v>2027</v>
      </c>
      <c r="B2073" t="s">
        <v>191</v>
      </c>
      <c r="C2073">
        <v>0</v>
      </c>
      <c r="D2073" t="s">
        <v>183</v>
      </c>
      <c r="E2073" t="s">
        <v>176</v>
      </c>
      <c r="F2073" t="s">
        <v>181</v>
      </c>
      <c r="G2073" t="s">
        <v>179</v>
      </c>
    </row>
    <row r="2074" spans="1:7">
      <c r="A2074">
        <v>2028</v>
      </c>
      <c r="B2074" t="s">
        <v>191</v>
      </c>
      <c r="C2074">
        <v>0</v>
      </c>
      <c r="D2074" t="s">
        <v>183</v>
      </c>
      <c r="E2074" t="s">
        <v>176</v>
      </c>
      <c r="F2074" t="s">
        <v>181</v>
      </c>
      <c r="G2074" t="s">
        <v>179</v>
      </c>
    </row>
    <row r="2075" spans="1:7">
      <c r="A2075">
        <v>2029</v>
      </c>
      <c r="B2075" t="s">
        <v>191</v>
      </c>
      <c r="C2075">
        <v>0</v>
      </c>
      <c r="D2075" t="s">
        <v>183</v>
      </c>
      <c r="E2075" t="s">
        <v>176</v>
      </c>
      <c r="F2075" t="s">
        <v>181</v>
      </c>
      <c r="G2075" t="s">
        <v>179</v>
      </c>
    </row>
    <row r="2076" spans="1:7">
      <c r="A2076">
        <v>2030</v>
      </c>
      <c r="B2076" t="s">
        <v>191</v>
      </c>
      <c r="C2076">
        <v>0</v>
      </c>
      <c r="D2076" t="s">
        <v>183</v>
      </c>
      <c r="E2076" t="s">
        <v>176</v>
      </c>
      <c r="F2076" t="s">
        <v>181</v>
      </c>
      <c r="G2076" t="s">
        <v>179</v>
      </c>
    </row>
    <row r="2077" spans="1:7">
      <c r="A2077">
        <v>2031</v>
      </c>
      <c r="B2077" t="s">
        <v>191</v>
      </c>
      <c r="C2077">
        <v>0</v>
      </c>
      <c r="D2077" t="s">
        <v>183</v>
      </c>
      <c r="E2077" t="s">
        <v>176</v>
      </c>
      <c r="F2077" t="s">
        <v>181</v>
      </c>
      <c r="G2077" t="s">
        <v>179</v>
      </c>
    </row>
    <row r="2078" spans="1:7">
      <c r="A2078">
        <v>2032</v>
      </c>
      <c r="B2078" t="s">
        <v>191</v>
      </c>
      <c r="C2078">
        <v>0</v>
      </c>
      <c r="D2078" t="s">
        <v>183</v>
      </c>
      <c r="E2078" t="s">
        <v>176</v>
      </c>
      <c r="F2078" t="s">
        <v>181</v>
      </c>
      <c r="G2078" t="s">
        <v>179</v>
      </c>
    </row>
    <row r="2079" spans="1:7">
      <c r="A2079">
        <v>2033</v>
      </c>
      <c r="B2079" t="s">
        <v>191</v>
      </c>
      <c r="C2079">
        <v>0</v>
      </c>
      <c r="D2079" t="s">
        <v>183</v>
      </c>
      <c r="E2079" t="s">
        <v>176</v>
      </c>
      <c r="F2079" t="s">
        <v>181</v>
      </c>
      <c r="G2079" t="s">
        <v>179</v>
      </c>
    </row>
    <row r="2080" spans="1:7">
      <c r="A2080">
        <v>2034</v>
      </c>
      <c r="B2080" t="s">
        <v>191</v>
      </c>
      <c r="C2080">
        <v>0</v>
      </c>
      <c r="D2080" t="s">
        <v>183</v>
      </c>
      <c r="E2080" t="s">
        <v>176</v>
      </c>
      <c r="F2080" t="s">
        <v>181</v>
      </c>
      <c r="G2080" t="s">
        <v>179</v>
      </c>
    </row>
    <row r="2081" spans="1:7">
      <c r="A2081">
        <v>2035</v>
      </c>
      <c r="B2081" t="s">
        <v>191</v>
      </c>
      <c r="C2081">
        <v>0</v>
      </c>
      <c r="D2081" t="s">
        <v>183</v>
      </c>
      <c r="E2081" t="s">
        <v>176</v>
      </c>
      <c r="F2081" t="s">
        <v>181</v>
      </c>
      <c r="G2081" t="s">
        <v>179</v>
      </c>
    </row>
    <row r="2082" spans="1:7">
      <c r="A2082">
        <v>2020</v>
      </c>
      <c r="B2082" t="s">
        <v>192</v>
      </c>
      <c r="C2082">
        <v>3821.68</v>
      </c>
      <c r="D2082" t="s">
        <v>183</v>
      </c>
      <c r="E2082" t="s">
        <v>176</v>
      </c>
      <c r="F2082" t="s">
        <v>181</v>
      </c>
      <c r="G2082" t="s">
        <v>179</v>
      </c>
    </row>
    <row r="2083" spans="1:7">
      <c r="A2083">
        <v>2021</v>
      </c>
      <c r="B2083" t="s">
        <v>192</v>
      </c>
      <c r="C2083">
        <v>1</v>
      </c>
      <c r="D2083" t="s">
        <v>183</v>
      </c>
      <c r="E2083" t="s">
        <v>176</v>
      </c>
      <c r="F2083" t="s">
        <v>181</v>
      </c>
      <c r="G2083" t="s">
        <v>179</v>
      </c>
    </row>
    <row r="2084" spans="1:7">
      <c r="A2084">
        <v>2022</v>
      </c>
      <c r="B2084" t="s">
        <v>192</v>
      </c>
      <c r="C2084">
        <v>1</v>
      </c>
      <c r="D2084" t="s">
        <v>183</v>
      </c>
      <c r="E2084" t="s">
        <v>176</v>
      </c>
      <c r="F2084" t="s">
        <v>181</v>
      </c>
      <c r="G2084" t="s">
        <v>179</v>
      </c>
    </row>
    <row r="2085" spans="1:7">
      <c r="A2085">
        <v>2023</v>
      </c>
      <c r="B2085" t="s">
        <v>192</v>
      </c>
      <c r="C2085">
        <v>71.5</v>
      </c>
      <c r="D2085" t="s">
        <v>183</v>
      </c>
      <c r="E2085" t="s">
        <v>176</v>
      </c>
      <c r="F2085" t="s">
        <v>181</v>
      </c>
      <c r="G2085" t="s">
        <v>179</v>
      </c>
    </row>
    <row r="2086" spans="1:7">
      <c r="A2086">
        <v>2024</v>
      </c>
      <c r="B2086" t="s">
        <v>192</v>
      </c>
      <c r="C2086">
        <v>71.5</v>
      </c>
      <c r="D2086" t="s">
        <v>183</v>
      </c>
      <c r="E2086" t="s">
        <v>176</v>
      </c>
      <c r="F2086" t="s">
        <v>181</v>
      </c>
      <c r="G2086" t="s">
        <v>179</v>
      </c>
    </row>
    <row r="2087" spans="1:7">
      <c r="A2087">
        <v>2025</v>
      </c>
      <c r="B2087" t="s">
        <v>192</v>
      </c>
      <c r="C2087">
        <v>36</v>
      </c>
      <c r="D2087" t="s">
        <v>183</v>
      </c>
      <c r="E2087" t="s">
        <v>176</v>
      </c>
      <c r="F2087" t="s">
        <v>181</v>
      </c>
      <c r="G2087" t="s">
        <v>179</v>
      </c>
    </row>
    <row r="2088" spans="1:7">
      <c r="A2088">
        <v>2026</v>
      </c>
      <c r="B2088" t="s">
        <v>192</v>
      </c>
      <c r="C2088">
        <v>36</v>
      </c>
      <c r="D2088" t="s">
        <v>183</v>
      </c>
      <c r="E2088" t="s">
        <v>176</v>
      </c>
      <c r="F2088" t="s">
        <v>181</v>
      </c>
      <c r="G2088" t="s">
        <v>179</v>
      </c>
    </row>
    <row r="2089" spans="1:7">
      <c r="A2089">
        <v>2027</v>
      </c>
      <c r="B2089" t="s">
        <v>192</v>
      </c>
      <c r="C2089">
        <v>19.895</v>
      </c>
      <c r="D2089" t="s">
        <v>183</v>
      </c>
      <c r="E2089" t="s">
        <v>176</v>
      </c>
      <c r="F2089" t="s">
        <v>181</v>
      </c>
      <c r="G2089" t="s">
        <v>179</v>
      </c>
    </row>
    <row r="2090" spans="1:7">
      <c r="A2090">
        <v>2028</v>
      </c>
      <c r="B2090" t="s">
        <v>192</v>
      </c>
      <c r="C2090">
        <v>19.895</v>
      </c>
      <c r="D2090" t="s">
        <v>183</v>
      </c>
      <c r="E2090" t="s">
        <v>176</v>
      </c>
      <c r="F2090" t="s">
        <v>181</v>
      </c>
      <c r="G2090" t="s">
        <v>179</v>
      </c>
    </row>
    <row r="2091" spans="1:7">
      <c r="A2091">
        <v>2029</v>
      </c>
      <c r="B2091" t="s">
        <v>192</v>
      </c>
      <c r="C2091">
        <v>14.5</v>
      </c>
      <c r="D2091" t="s">
        <v>183</v>
      </c>
      <c r="E2091" t="s">
        <v>176</v>
      </c>
      <c r="F2091" t="s">
        <v>181</v>
      </c>
      <c r="G2091" t="s">
        <v>179</v>
      </c>
    </row>
    <row r="2092" spans="1:7">
      <c r="A2092">
        <v>2030</v>
      </c>
      <c r="B2092" t="s">
        <v>192</v>
      </c>
      <c r="C2092">
        <v>14.5</v>
      </c>
      <c r="D2092" t="s">
        <v>183</v>
      </c>
      <c r="E2092" t="s">
        <v>176</v>
      </c>
      <c r="F2092" t="s">
        <v>181</v>
      </c>
      <c r="G2092" t="s">
        <v>179</v>
      </c>
    </row>
    <row r="2093" spans="1:7">
      <c r="A2093">
        <v>2031</v>
      </c>
      <c r="B2093" t="s">
        <v>192</v>
      </c>
      <c r="C2093">
        <v>41</v>
      </c>
      <c r="D2093" t="s">
        <v>183</v>
      </c>
      <c r="E2093" t="s">
        <v>176</v>
      </c>
      <c r="F2093" t="s">
        <v>181</v>
      </c>
      <c r="G2093" t="s">
        <v>179</v>
      </c>
    </row>
    <row r="2094" spans="1:7">
      <c r="A2094">
        <v>2032</v>
      </c>
      <c r="B2094" t="s">
        <v>192</v>
      </c>
      <c r="C2094">
        <v>41</v>
      </c>
      <c r="D2094" t="s">
        <v>183</v>
      </c>
      <c r="E2094" t="s">
        <v>176</v>
      </c>
      <c r="F2094" t="s">
        <v>181</v>
      </c>
      <c r="G2094" t="s">
        <v>179</v>
      </c>
    </row>
    <row r="2095" spans="1:7">
      <c r="A2095">
        <v>2033</v>
      </c>
      <c r="B2095" t="s">
        <v>192</v>
      </c>
      <c r="C2095">
        <v>19.5</v>
      </c>
      <c r="D2095" t="s">
        <v>183</v>
      </c>
      <c r="E2095" t="s">
        <v>176</v>
      </c>
      <c r="F2095" t="s">
        <v>181</v>
      </c>
      <c r="G2095" t="s">
        <v>179</v>
      </c>
    </row>
    <row r="2096" spans="1:7">
      <c r="A2096">
        <v>2034</v>
      </c>
      <c r="B2096" t="s">
        <v>192</v>
      </c>
      <c r="C2096">
        <v>19.5</v>
      </c>
      <c r="D2096" t="s">
        <v>183</v>
      </c>
      <c r="E2096" t="s">
        <v>176</v>
      </c>
      <c r="F2096" t="s">
        <v>181</v>
      </c>
      <c r="G2096" t="s">
        <v>179</v>
      </c>
    </row>
    <row r="2097" spans="1:7">
      <c r="A2097">
        <v>2035</v>
      </c>
      <c r="B2097" t="s">
        <v>192</v>
      </c>
      <c r="C2097">
        <v>19.5</v>
      </c>
      <c r="D2097" t="s">
        <v>183</v>
      </c>
      <c r="E2097" t="s">
        <v>176</v>
      </c>
      <c r="F2097" t="s">
        <v>181</v>
      </c>
      <c r="G2097" t="s">
        <v>179</v>
      </c>
    </row>
    <row r="2098" spans="1:7">
      <c r="A2098">
        <v>2020</v>
      </c>
      <c r="B2098" t="s">
        <v>193</v>
      </c>
      <c r="C2098">
        <v>232.5</v>
      </c>
      <c r="D2098" t="s">
        <v>183</v>
      </c>
      <c r="E2098" t="s">
        <v>176</v>
      </c>
      <c r="F2098" t="s">
        <v>181</v>
      </c>
      <c r="G2098" t="s">
        <v>179</v>
      </c>
    </row>
    <row r="2099" spans="1:7">
      <c r="A2099">
        <v>2021</v>
      </c>
      <c r="B2099" t="s">
        <v>193</v>
      </c>
      <c r="C2099">
        <v>1100</v>
      </c>
      <c r="D2099" t="s">
        <v>183</v>
      </c>
      <c r="E2099" t="s">
        <v>176</v>
      </c>
      <c r="F2099" t="s">
        <v>181</v>
      </c>
      <c r="G2099" t="s">
        <v>179</v>
      </c>
    </row>
    <row r="2100" spans="1:7">
      <c r="A2100">
        <v>2022</v>
      </c>
      <c r="B2100" t="s">
        <v>193</v>
      </c>
      <c r="C2100">
        <v>1100</v>
      </c>
      <c r="D2100" t="s">
        <v>183</v>
      </c>
      <c r="E2100" t="s">
        <v>176</v>
      </c>
      <c r="F2100" t="s">
        <v>181</v>
      </c>
      <c r="G2100" t="s">
        <v>179</v>
      </c>
    </row>
    <row r="2101" spans="1:7">
      <c r="A2101">
        <v>2023</v>
      </c>
      <c r="B2101" t="s">
        <v>193</v>
      </c>
      <c r="C2101">
        <v>0</v>
      </c>
      <c r="D2101" t="s">
        <v>183</v>
      </c>
      <c r="E2101" t="s">
        <v>176</v>
      </c>
      <c r="F2101" t="s">
        <v>181</v>
      </c>
      <c r="G2101" t="s">
        <v>179</v>
      </c>
    </row>
    <row r="2102" spans="1:7">
      <c r="A2102">
        <v>2024</v>
      </c>
      <c r="B2102" t="s">
        <v>193</v>
      </c>
      <c r="C2102">
        <v>0</v>
      </c>
      <c r="D2102" t="s">
        <v>183</v>
      </c>
      <c r="E2102" t="s">
        <v>176</v>
      </c>
      <c r="F2102" t="s">
        <v>181</v>
      </c>
      <c r="G2102" t="s">
        <v>179</v>
      </c>
    </row>
    <row r="2103" spans="1:7">
      <c r="A2103">
        <v>2025</v>
      </c>
      <c r="B2103" t="s">
        <v>193</v>
      </c>
      <c r="C2103">
        <v>0</v>
      </c>
      <c r="D2103" t="s">
        <v>183</v>
      </c>
      <c r="E2103" t="s">
        <v>176</v>
      </c>
      <c r="F2103" t="s">
        <v>181</v>
      </c>
      <c r="G2103" t="s">
        <v>179</v>
      </c>
    </row>
    <row r="2104" spans="1:7">
      <c r="A2104">
        <v>2026</v>
      </c>
      <c r="B2104" t="s">
        <v>193</v>
      </c>
      <c r="C2104">
        <v>0</v>
      </c>
      <c r="D2104" t="s">
        <v>183</v>
      </c>
      <c r="E2104" t="s">
        <v>176</v>
      </c>
      <c r="F2104" t="s">
        <v>181</v>
      </c>
      <c r="G2104" t="s">
        <v>179</v>
      </c>
    </row>
    <row r="2105" spans="1:7">
      <c r="A2105">
        <v>2027</v>
      </c>
      <c r="B2105" t="s">
        <v>193</v>
      </c>
      <c r="C2105">
        <v>0</v>
      </c>
      <c r="D2105" t="s">
        <v>183</v>
      </c>
      <c r="E2105" t="s">
        <v>176</v>
      </c>
      <c r="F2105" t="s">
        <v>181</v>
      </c>
      <c r="G2105" t="s">
        <v>179</v>
      </c>
    </row>
    <row r="2106" spans="1:7">
      <c r="A2106">
        <v>2028</v>
      </c>
      <c r="B2106" t="s">
        <v>193</v>
      </c>
      <c r="C2106">
        <v>0</v>
      </c>
      <c r="D2106" t="s">
        <v>183</v>
      </c>
      <c r="E2106" t="s">
        <v>176</v>
      </c>
      <c r="F2106" t="s">
        <v>181</v>
      </c>
      <c r="G2106" t="s">
        <v>179</v>
      </c>
    </row>
    <row r="2107" spans="1:7">
      <c r="A2107">
        <v>2029</v>
      </c>
      <c r="B2107" t="s">
        <v>193</v>
      </c>
      <c r="C2107">
        <v>0</v>
      </c>
      <c r="D2107" t="s">
        <v>183</v>
      </c>
      <c r="E2107" t="s">
        <v>176</v>
      </c>
      <c r="F2107" t="s">
        <v>181</v>
      </c>
      <c r="G2107" t="s">
        <v>179</v>
      </c>
    </row>
    <row r="2108" spans="1:7">
      <c r="A2108">
        <v>2030</v>
      </c>
      <c r="B2108" t="s">
        <v>193</v>
      </c>
      <c r="C2108">
        <v>0</v>
      </c>
      <c r="D2108" t="s">
        <v>183</v>
      </c>
      <c r="E2108" t="s">
        <v>176</v>
      </c>
      <c r="F2108" t="s">
        <v>181</v>
      </c>
      <c r="G2108" t="s">
        <v>179</v>
      </c>
    </row>
    <row r="2109" spans="1:7">
      <c r="A2109">
        <v>2031</v>
      </c>
      <c r="B2109" t="s">
        <v>193</v>
      </c>
      <c r="C2109">
        <v>0</v>
      </c>
      <c r="D2109" t="s">
        <v>183</v>
      </c>
      <c r="E2109" t="s">
        <v>176</v>
      </c>
      <c r="F2109" t="s">
        <v>181</v>
      </c>
      <c r="G2109" t="s">
        <v>179</v>
      </c>
    </row>
    <row r="2110" spans="1:7">
      <c r="A2110">
        <v>2032</v>
      </c>
      <c r="B2110" t="s">
        <v>193</v>
      </c>
      <c r="C2110">
        <v>0</v>
      </c>
      <c r="D2110" t="s">
        <v>183</v>
      </c>
      <c r="E2110" t="s">
        <v>176</v>
      </c>
      <c r="F2110" t="s">
        <v>181</v>
      </c>
      <c r="G2110" t="s">
        <v>179</v>
      </c>
    </row>
    <row r="2111" spans="1:7">
      <c r="A2111">
        <v>2033</v>
      </c>
      <c r="B2111" t="s">
        <v>193</v>
      </c>
      <c r="C2111">
        <v>0</v>
      </c>
      <c r="D2111" t="s">
        <v>183</v>
      </c>
      <c r="E2111" t="s">
        <v>176</v>
      </c>
      <c r="F2111" t="s">
        <v>181</v>
      </c>
      <c r="G2111" t="s">
        <v>179</v>
      </c>
    </row>
    <row r="2112" spans="1:7">
      <c r="A2112">
        <v>2034</v>
      </c>
      <c r="B2112" t="s">
        <v>193</v>
      </c>
      <c r="C2112">
        <v>0</v>
      </c>
      <c r="D2112" t="s">
        <v>183</v>
      </c>
      <c r="E2112" t="s">
        <v>176</v>
      </c>
      <c r="F2112" t="s">
        <v>181</v>
      </c>
      <c r="G2112" t="s">
        <v>179</v>
      </c>
    </row>
    <row r="2113" spans="1:7">
      <c r="A2113">
        <v>2035</v>
      </c>
      <c r="B2113" t="s">
        <v>193</v>
      </c>
      <c r="C2113">
        <v>0</v>
      </c>
      <c r="D2113" t="s">
        <v>183</v>
      </c>
      <c r="E2113" t="s">
        <v>176</v>
      </c>
      <c r="F2113" t="s">
        <v>181</v>
      </c>
      <c r="G2113" t="s">
        <v>179</v>
      </c>
    </row>
    <row r="2114" spans="1:7">
      <c r="A2114">
        <v>2020</v>
      </c>
      <c r="B2114" t="s">
        <v>194</v>
      </c>
      <c r="C2114">
        <v>14.85</v>
      </c>
      <c r="D2114" t="s">
        <v>183</v>
      </c>
      <c r="E2114" t="s">
        <v>176</v>
      </c>
      <c r="F2114" t="s">
        <v>181</v>
      </c>
      <c r="G2114" t="s">
        <v>179</v>
      </c>
    </row>
    <row r="2115" spans="1:7">
      <c r="A2115">
        <v>2021</v>
      </c>
      <c r="B2115" t="s">
        <v>194</v>
      </c>
      <c r="C2115">
        <v>0</v>
      </c>
      <c r="D2115" t="s">
        <v>183</v>
      </c>
      <c r="E2115" t="s">
        <v>176</v>
      </c>
      <c r="F2115" t="s">
        <v>181</v>
      </c>
      <c r="G2115" t="s">
        <v>179</v>
      </c>
    </row>
    <row r="2116" spans="1:7">
      <c r="A2116">
        <v>2022</v>
      </c>
      <c r="B2116" t="s">
        <v>194</v>
      </c>
      <c r="C2116">
        <v>0</v>
      </c>
      <c r="D2116" t="s">
        <v>183</v>
      </c>
      <c r="E2116" t="s">
        <v>176</v>
      </c>
      <c r="F2116" t="s">
        <v>181</v>
      </c>
      <c r="G2116" t="s">
        <v>179</v>
      </c>
    </row>
    <row r="2117" spans="1:7">
      <c r="A2117">
        <v>2023</v>
      </c>
      <c r="B2117" t="s">
        <v>194</v>
      </c>
      <c r="C2117">
        <v>0</v>
      </c>
      <c r="D2117" t="s">
        <v>183</v>
      </c>
      <c r="E2117" t="s">
        <v>176</v>
      </c>
      <c r="F2117" t="s">
        <v>181</v>
      </c>
      <c r="G2117" t="s">
        <v>179</v>
      </c>
    </row>
    <row r="2118" spans="1:7">
      <c r="A2118">
        <v>2024</v>
      </c>
      <c r="B2118" t="s">
        <v>194</v>
      </c>
      <c r="C2118">
        <v>0</v>
      </c>
      <c r="D2118" t="s">
        <v>183</v>
      </c>
      <c r="E2118" t="s">
        <v>176</v>
      </c>
      <c r="F2118" t="s">
        <v>181</v>
      </c>
      <c r="G2118" t="s">
        <v>179</v>
      </c>
    </row>
    <row r="2119" spans="1:7">
      <c r="A2119">
        <v>2025</v>
      </c>
      <c r="B2119" t="s">
        <v>194</v>
      </c>
      <c r="C2119">
        <v>0</v>
      </c>
      <c r="D2119" t="s">
        <v>183</v>
      </c>
      <c r="E2119" t="s">
        <v>176</v>
      </c>
      <c r="F2119" t="s">
        <v>181</v>
      </c>
      <c r="G2119" t="s">
        <v>179</v>
      </c>
    </row>
    <row r="2120" spans="1:7">
      <c r="A2120">
        <v>2026</v>
      </c>
      <c r="B2120" t="s">
        <v>194</v>
      </c>
      <c r="C2120">
        <v>0</v>
      </c>
      <c r="D2120" t="s">
        <v>183</v>
      </c>
      <c r="E2120" t="s">
        <v>176</v>
      </c>
      <c r="F2120" t="s">
        <v>181</v>
      </c>
      <c r="G2120" t="s">
        <v>179</v>
      </c>
    </row>
    <row r="2121" spans="1:7">
      <c r="A2121">
        <v>2027</v>
      </c>
      <c r="B2121" t="s">
        <v>194</v>
      </c>
      <c r="C2121">
        <v>0</v>
      </c>
      <c r="D2121" t="s">
        <v>183</v>
      </c>
      <c r="E2121" t="s">
        <v>176</v>
      </c>
      <c r="F2121" t="s">
        <v>181</v>
      </c>
      <c r="G2121" t="s">
        <v>179</v>
      </c>
    </row>
    <row r="2122" spans="1:7">
      <c r="A2122">
        <v>2028</v>
      </c>
      <c r="B2122" t="s">
        <v>194</v>
      </c>
      <c r="C2122">
        <v>0</v>
      </c>
      <c r="D2122" t="s">
        <v>183</v>
      </c>
      <c r="E2122" t="s">
        <v>176</v>
      </c>
      <c r="F2122" t="s">
        <v>181</v>
      </c>
      <c r="G2122" t="s">
        <v>179</v>
      </c>
    </row>
    <row r="2123" spans="1:7">
      <c r="A2123">
        <v>2029</v>
      </c>
      <c r="B2123" t="s">
        <v>194</v>
      </c>
      <c r="C2123">
        <v>0</v>
      </c>
      <c r="D2123" t="s">
        <v>183</v>
      </c>
      <c r="E2123" t="s">
        <v>176</v>
      </c>
      <c r="F2123" t="s">
        <v>181</v>
      </c>
      <c r="G2123" t="s">
        <v>179</v>
      </c>
    </row>
    <row r="2124" spans="1:7">
      <c r="A2124">
        <v>2030</v>
      </c>
      <c r="B2124" t="s">
        <v>194</v>
      </c>
      <c r="C2124">
        <v>0</v>
      </c>
      <c r="D2124" t="s">
        <v>183</v>
      </c>
      <c r="E2124" t="s">
        <v>176</v>
      </c>
      <c r="F2124" t="s">
        <v>181</v>
      </c>
      <c r="G2124" t="s">
        <v>179</v>
      </c>
    </row>
    <row r="2125" spans="1:7">
      <c r="A2125">
        <v>2031</v>
      </c>
      <c r="B2125" t="s">
        <v>194</v>
      </c>
      <c r="C2125">
        <v>0</v>
      </c>
      <c r="D2125" t="s">
        <v>183</v>
      </c>
      <c r="E2125" t="s">
        <v>176</v>
      </c>
      <c r="F2125" t="s">
        <v>181</v>
      </c>
      <c r="G2125" t="s">
        <v>179</v>
      </c>
    </row>
    <row r="2126" spans="1:7">
      <c r="A2126">
        <v>2032</v>
      </c>
      <c r="B2126" t="s">
        <v>194</v>
      </c>
      <c r="C2126">
        <v>0</v>
      </c>
      <c r="D2126" t="s">
        <v>183</v>
      </c>
      <c r="E2126" t="s">
        <v>176</v>
      </c>
      <c r="F2126" t="s">
        <v>181</v>
      </c>
      <c r="G2126" t="s">
        <v>179</v>
      </c>
    </row>
    <row r="2127" spans="1:7">
      <c r="A2127">
        <v>2033</v>
      </c>
      <c r="B2127" t="s">
        <v>194</v>
      </c>
      <c r="C2127">
        <v>0</v>
      </c>
      <c r="D2127" t="s">
        <v>183</v>
      </c>
      <c r="E2127" t="s">
        <v>176</v>
      </c>
      <c r="F2127" t="s">
        <v>181</v>
      </c>
      <c r="G2127" t="s">
        <v>179</v>
      </c>
    </row>
    <row r="2128" spans="1:7">
      <c r="A2128">
        <v>2034</v>
      </c>
      <c r="B2128" t="s">
        <v>194</v>
      </c>
      <c r="C2128">
        <v>0</v>
      </c>
      <c r="D2128" t="s">
        <v>183</v>
      </c>
      <c r="E2128" t="s">
        <v>176</v>
      </c>
      <c r="F2128" t="s">
        <v>181</v>
      </c>
      <c r="G2128" t="s">
        <v>179</v>
      </c>
    </row>
    <row r="2129" spans="1:7">
      <c r="A2129">
        <v>2035</v>
      </c>
      <c r="B2129" t="s">
        <v>194</v>
      </c>
      <c r="C2129">
        <v>0</v>
      </c>
      <c r="D2129" t="s">
        <v>183</v>
      </c>
      <c r="E2129" t="s">
        <v>176</v>
      </c>
      <c r="F2129" t="s">
        <v>181</v>
      </c>
      <c r="G2129" t="s">
        <v>179</v>
      </c>
    </row>
    <row r="2130" spans="1:7">
      <c r="A2130">
        <v>2020</v>
      </c>
      <c r="B2130" t="s">
        <v>195</v>
      </c>
      <c r="C2130">
        <v>12966.3</v>
      </c>
      <c r="D2130" t="s">
        <v>183</v>
      </c>
      <c r="E2130" t="s">
        <v>176</v>
      </c>
      <c r="F2130" t="s">
        <v>181</v>
      </c>
      <c r="G2130" t="s">
        <v>179</v>
      </c>
    </row>
    <row r="2131" spans="1:7">
      <c r="A2131">
        <v>2021</v>
      </c>
      <c r="B2131" t="s">
        <v>195</v>
      </c>
      <c r="C2131">
        <v>33026.6</v>
      </c>
      <c r="D2131" t="s">
        <v>183</v>
      </c>
      <c r="E2131" t="s">
        <v>176</v>
      </c>
      <c r="F2131" t="s">
        <v>181</v>
      </c>
      <c r="G2131" t="s">
        <v>179</v>
      </c>
    </row>
    <row r="2132" spans="1:7">
      <c r="A2132">
        <v>2022</v>
      </c>
      <c r="B2132" t="s">
        <v>195</v>
      </c>
      <c r="C2132">
        <v>33026.6</v>
      </c>
      <c r="D2132" t="s">
        <v>183</v>
      </c>
      <c r="E2132" t="s">
        <v>176</v>
      </c>
      <c r="F2132" t="s">
        <v>181</v>
      </c>
      <c r="G2132" t="s">
        <v>179</v>
      </c>
    </row>
    <row r="2133" spans="1:7">
      <c r="A2133">
        <v>2023</v>
      </c>
      <c r="B2133" t="s">
        <v>195</v>
      </c>
      <c r="C2133">
        <v>30749.9</v>
      </c>
      <c r="D2133" t="s">
        <v>183</v>
      </c>
      <c r="E2133" t="s">
        <v>176</v>
      </c>
      <c r="F2133" t="s">
        <v>181</v>
      </c>
      <c r="G2133" t="s">
        <v>179</v>
      </c>
    </row>
    <row r="2134" spans="1:7">
      <c r="A2134">
        <v>2024</v>
      </c>
      <c r="B2134" t="s">
        <v>195</v>
      </c>
      <c r="C2134">
        <v>30749.9</v>
      </c>
      <c r="D2134" t="s">
        <v>183</v>
      </c>
      <c r="E2134" t="s">
        <v>176</v>
      </c>
      <c r="F2134" t="s">
        <v>181</v>
      </c>
      <c r="G2134" t="s">
        <v>179</v>
      </c>
    </row>
    <row r="2135" spans="1:7">
      <c r="A2135">
        <v>2025</v>
      </c>
      <c r="B2135" t="s">
        <v>195</v>
      </c>
      <c r="C2135">
        <v>20888.5</v>
      </c>
      <c r="D2135" t="s">
        <v>183</v>
      </c>
      <c r="E2135" t="s">
        <v>176</v>
      </c>
      <c r="F2135" t="s">
        <v>181</v>
      </c>
      <c r="G2135" t="s">
        <v>179</v>
      </c>
    </row>
    <row r="2136" spans="1:7">
      <c r="A2136">
        <v>2026</v>
      </c>
      <c r="B2136" t="s">
        <v>195</v>
      </c>
      <c r="C2136">
        <v>20888.5</v>
      </c>
      <c r="D2136" t="s">
        <v>183</v>
      </c>
      <c r="E2136" t="s">
        <v>176</v>
      </c>
      <c r="F2136" t="s">
        <v>181</v>
      </c>
      <c r="G2136" t="s">
        <v>179</v>
      </c>
    </row>
    <row r="2137" spans="1:7">
      <c r="A2137">
        <v>2027</v>
      </c>
      <c r="B2137" t="s">
        <v>195</v>
      </c>
      <c r="C2137">
        <v>30849</v>
      </c>
      <c r="D2137" t="s">
        <v>183</v>
      </c>
      <c r="E2137" t="s">
        <v>176</v>
      </c>
      <c r="F2137" t="s">
        <v>181</v>
      </c>
      <c r="G2137" t="s">
        <v>179</v>
      </c>
    </row>
    <row r="2138" spans="1:7">
      <c r="A2138">
        <v>2028</v>
      </c>
      <c r="B2138" t="s">
        <v>195</v>
      </c>
      <c r="C2138">
        <v>30849</v>
      </c>
      <c r="D2138" t="s">
        <v>183</v>
      </c>
      <c r="E2138" t="s">
        <v>176</v>
      </c>
      <c r="F2138" t="s">
        <v>181</v>
      </c>
      <c r="G2138" t="s">
        <v>179</v>
      </c>
    </row>
    <row r="2139" spans="1:7">
      <c r="A2139">
        <v>2029</v>
      </c>
      <c r="B2139" t="s">
        <v>195</v>
      </c>
      <c r="C2139">
        <v>32535.7</v>
      </c>
      <c r="D2139" t="s">
        <v>183</v>
      </c>
      <c r="E2139" t="s">
        <v>176</v>
      </c>
      <c r="F2139" t="s">
        <v>181</v>
      </c>
      <c r="G2139" t="s">
        <v>179</v>
      </c>
    </row>
    <row r="2140" spans="1:7">
      <c r="A2140">
        <v>2030</v>
      </c>
      <c r="B2140" t="s">
        <v>195</v>
      </c>
      <c r="C2140">
        <v>32535.7</v>
      </c>
      <c r="D2140" t="s">
        <v>183</v>
      </c>
      <c r="E2140" t="s">
        <v>176</v>
      </c>
      <c r="F2140" t="s">
        <v>181</v>
      </c>
      <c r="G2140" t="s">
        <v>179</v>
      </c>
    </row>
    <row r="2141" spans="1:7">
      <c r="A2141">
        <v>2031</v>
      </c>
      <c r="B2141" t="s">
        <v>195</v>
      </c>
      <c r="C2141">
        <v>20795.2</v>
      </c>
      <c r="D2141" t="s">
        <v>183</v>
      </c>
      <c r="E2141" t="s">
        <v>176</v>
      </c>
      <c r="F2141" t="s">
        <v>181</v>
      </c>
      <c r="G2141" t="s">
        <v>179</v>
      </c>
    </row>
    <row r="2142" spans="1:7">
      <c r="A2142">
        <v>2032</v>
      </c>
      <c r="B2142" t="s">
        <v>195</v>
      </c>
      <c r="C2142">
        <v>20795.2</v>
      </c>
      <c r="D2142" t="s">
        <v>183</v>
      </c>
      <c r="E2142" t="s">
        <v>176</v>
      </c>
      <c r="F2142" t="s">
        <v>181</v>
      </c>
      <c r="G2142" t="s">
        <v>179</v>
      </c>
    </row>
    <row r="2143" spans="1:7">
      <c r="A2143">
        <v>2033</v>
      </c>
      <c r="B2143" t="s">
        <v>195</v>
      </c>
      <c r="C2143">
        <v>21891.599999999999</v>
      </c>
      <c r="D2143" t="s">
        <v>183</v>
      </c>
      <c r="E2143" t="s">
        <v>176</v>
      </c>
      <c r="F2143" t="s">
        <v>181</v>
      </c>
      <c r="G2143" t="s">
        <v>179</v>
      </c>
    </row>
    <row r="2144" spans="1:7">
      <c r="A2144">
        <v>2034</v>
      </c>
      <c r="B2144" t="s">
        <v>195</v>
      </c>
      <c r="C2144">
        <v>21891.599999999999</v>
      </c>
      <c r="D2144" t="s">
        <v>183</v>
      </c>
      <c r="E2144" t="s">
        <v>176</v>
      </c>
      <c r="F2144" t="s">
        <v>181</v>
      </c>
      <c r="G2144" t="s">
        <v>179</v>
      </c>
    </row>
    <row r="2145" spans="1:7">
      <c r="A2145">
        <v>2035</v>
      </c>
      <c r="B2145" t="s">
        <v>195</v>
      </c>
      <c r="C2145">
        <v>21891.599999999999</v>
      </c>
      <c r="D2145" t="s">
        <v>183</v>
      </c>
      <c r="E2145" t="s">
        <v>176</v>
      </c>
      <c r="F2145" t="s">
        <v>181</v>
      </c>
      <c r="G2145" t="s">
        <v>179</v>
      </c>
    </row>
    <row r="2146" spans="1:7">
      <c r="A2146">
        <v>2020</v>
      </c>
      <c r="B2146" t="s">
        <v>196</v>
      </c>
      <c r="C2146">
        <v>13328.7</v>
      </c>
      <c r="D2146" t="s">
        <v>183</v>
      </c>
      <c r="E2146" t="s">
        <v>176</v>
      </c>
      <c r="F2146" t="s">
        <v>181</v>
      </c>
      <c r="G2146" t="s">
        <v>179</v>
      </c>
    </row>
    <row r="2147" spans="1:7">
      <c r="A2147">
        <v>2021</v>
      </c>
      <c r="B2147" t="s">
        <v>196</v>
      </c>
      <c r="C2147">
        <v>26166.6</v>
      </c>
      <c r="D2147" t="s">
        <v>183</v>
      </c>
      <c r="E2147" t="s">
        <v>176</v>
      </c>
      <c r="F2147" t="s">
        <v>181</v>
      </c>
      <c r="G2147" t="s">
        <v>179</v>
      </c>
    </row>
    <row r="2148" spans="1:7">
      <c r="A2148">
        <v>2022</v>
      </c>
      <c r="B2148" t="s">
        <v>196</v>
      </c>
      <c r="C2148">
        <v>26166.6</v>
      </c>
      <c r="D2148" t="s">
        <v>183</v>
      </c>
      <c r="E2148" t="s">
        <v>176</v>
      </c>
      <c r="F2148" t="s">
        <v>181</v>
      </c>
      <c r="G2148" t="s">
        <v>179</v>
      </c>
    </row>
    <row r="2149" spans="1:7">
      <c r="A2149">
        <v>2023</v>
      </c>
      <c r="B2149" t="s">
        <v>196</v>
      </c>
      <c r="C2149">
        <v>21437.599999999999</v>
      </c>
      <c r="D2149" t="s">
        <v>183</v>
      </c>
      <c r="E2149" t="s">
        <v>176</v>
      </c>
      <c r="F2149" t="s">
        <v>181</v>
      </c>
      <c r="G2149" t="s">
        <v>179</v>
      </c>
    </row>
    <row r="2150" spans="1:7">
      <c r="A2150">
        <v>2024</v>
      </c>
      <c r="B2150" t="s">
        <v>196</v>
      </c>
      <c r="C2150">
        <v>21437.599999999999</v>
      </c>
      <c r="D2150" t="s">
        <v>183</v>
      </c>
      <c r="E2150" t="s">
        <v>176</v>
      </c>
      <c r="F2150" t="s">
        <v>181</v>
      </c>
      <c r="G2150" t="s">
        <v>179</v>
      </c>
    </row>
    <row r="2151" spans="1:7">
      <c r="A2151">
        <v>2025</v>
      </c>
      <c r="B2151" t="s">
        <v>196</v>
      </c>
      <c r="C2151">
        <v>36386.199999999997</v>
      </c>
      <c r="D2151" t="s">
        <v>183</v>
      </c>
      <c r="E2151" t="s">
        <v>176</v>
      </c>
      <c r="F2151" t="s">
        <v>181</v>
      </c>
      <c r="G2151" t="s">
        <v>179</v>
      </c>
    </row>
    <row r="2152" spans="1:7">
      <c r="A2152">
        <v>2026</v>
      </c>
      <c r="B2152" t="s">
        <v>196</v>
      </c>
      <c r="C2152">
        <v>36386.199999999997</v>
      </c>
      <c r="D2152" t="s">
        <v>183</v>
      </c>
      <c r="E2152" t="s">
        <v>176</v>
      </c>
      <c r="F2152" t="s">
        <v>181</v>
      </c>
      <c r="G2152" t="s">
        <v>179</v>
      </c>
    </row>
    <row r="2153" spans="1:7">
      <c r="A2153">
        <v>2027</v>
      </c>
      <c r="B2153" t="s">
        <v>196</v>
      </c>
      <c r="C2153">
        <v>33317.300000000003</v>
      </c>
      <c r="D2153" t="s">
        <v>183</v>
      </c>
      <c r="E2153" t="s">
        <v>176</v>
      </c>
      <c r="F2153" t="s">
        <v>181</v>
      </c>
      <c r="G2153" t="s">
        <v>179</v>
      </c>
    </row>
    <row r="2154" spans="1:7">
      <c r="A2154">
        <v>2028</v>
      </c>
      <c r="B2154" t="s">
        <v>196</v>
      </c>
      <c r="C2154">
        <v>33317.300000000003</v>
      </c>
      <c r="D2154" t="s">
        <v>183</v>
      </c>
      <c r="E2154" t="s">
        <v>176</v>
      </c>
      <c r="F2154" t="s">
        <v>181</v>
      </c>
      <c r="G2154" t="s">
        <v>179</v>
      </c>
    </row>
    <row r="2155" spans="1:7">
      <c r="A2155">
        <v>2029</v>
      </c>
      <c r="B2155" t="s">
        <v>196</v>
      </c>
      <c r="C2155">
        <v>31602.7</v>
      </c>
      <c r="D2155" t="s">
        <v>183</v>
      </c>
      <c r="E2155" t="s">
        <v>176</v>
      </c>
      <c r="F2155" t="s">
        <v>181</v>
      </c>
      <c r="G2155" t="s">
        <v>179</v>
      </c>
    </row>
    <row r="2156" spans="1:7">
      <c r="A2156">
        <v>2030</v>
      </c>
      <c r="B2156" t="s">
        <v>196</v>
      </c>
      <c r="C2156">
        <v>31602.7</v>
      </c>
      <c r="D2156" t="s">
        <v>183</v>
      </c>
      <c r="E2156" t="s">
        <v>176</v>
      </c>
      <c r="F2156" t="s">
        <v>181</v>
      </c>
      <c r="G2156" t="s">
        <v>179</v>
      </c>
    </row>
    <row r="2157" spans="1:7">
      <c r="A2157">
        <v>2031</v>
      </c>
      <c r="B2157" t="s">
        <v>196</v>
      </c>
      <c r="C2157">
        <v>53627.199999999997</v>
      </c>
      <c r="D2157" t="s">
        <v>183</v>
      </c>
      <c r="E2157" t="s">
        <v>176</v>
      </c>
      <c r="F2157" t="s">
        <v>181</v>
      </c>
      <c r="G2157" t="s">
        <v>179</v>
      </c>
    </row>
    <row r="2158" spans="1:7">
      <c r="A2158">
        <v>2032</v>
      </c>
      <c r="B2158" t="s">
        <v>196</v>
      </c>
      <c r="C2158">
        <v>53627.199999999997</v>
      </c>
      <c r="D2158" t="s">
        <v>183</v>
      </c>
      <c r="E2158" t="s">
        <v>176</v>
      </c>
      <c r="F2158" t="s">
        <v>181</v>
      </c>
      <c r="G2158" t="s">
        <v>179</v>
      </c>
    </row>
    <row r="2159" spans="1:7">
      <c r="A2159">
        <v>2033</v>
      </c>
      <c r="B2159" t="s">
        <v>196</v>
      </c>
      <c r="C2159">
        <v>61105.2</v>
      </c>
      <c r="D2159" t="s">
        <v>183</v>
      </c>
      <c r="E2159" t="s">
        <v>176</v>
      </c>
      <c r="F2159" t="s">
        <v>181</v>
      </c>
      <c r="G2159" t="s">
        <v>179</v>
      </c>
    </row>
    <row r="2160" spans="1:7">
      <c r="A2160">
        <v>2034</v>
      </c>
      <c r="B2160" t="s">
        <v>196</v>
      </c>
      <c r="C2160">
        <v>61105.2</v>
      </c>
      <c r="D2160" t="s">
        <v>183</v>
      </c>
      <c r="E2160" t="s">
        <v>176</v>
      </c>
      <c r="F2160" t="s">
        <v>181</v>
      </c>
      <c r="G2160" t="s">
        <v>179</v>
      </c>
    </row>
    <row r="2161" spans="1:7">
      <c r="A2161">
        <v>2035</v>
      </c>
      <c r="B2161" t="s">
        <v>196</v>
      </c>
      <c r="C2161">
        <v>61105.2</v>
      </c>
      <c r="D2161" t="s">
        <v>183</v>
      </c>
      <c r="E2161" t="s">
        <v>176</v>
      </c>
      <c r="F2161" t="s">
        <v>181</v>
      </c>
      <c r="G2161" t="s">
        <v>179</v>
      </c>
    </row>
    <row r="2162" spans="1:7">
      <c r="A2162">
        <v>2020</v>
      </c>
      <c r="B2162" t="s">
        <v>188</v>
      </c>
      <c r="C2162">
        <v>102.45</v>
      </c>
      <c r="D2162" t="s">
        <v>183</v>
      </c>
      <c r="E2162" t="s">
        <v>176</v>
      </c>
      <c r="F2162" t="s">
        <v>181</v>
      </c>
      <c r="G2162" t="s">
        <v>180</v>
      </c>
    </row>
    <row r="2163" spans="1:7">
      <c r="A2163">
        <v>2021</v>
      </c>
      <c r="B2163" t="s">
        <v>188</v>
      </c>
      <c r="C2163">
        <v>9.5</v>
      </c>
      <c r="D2163" t="s">
        <v>183</v>
      </c>
      <c r="E2163" t="s">
        <v>176</v>
      </c>
      <c r="F2163" t="s">
        <v>181</v>
      </c>
      <c r="G2163" t="s">
        <v>180</v>
      </c>
    </row>
    <row r="2164" spans="1:7">
      <c r="A2164">
        <v>2022</v>
      </c>
      <c r="B2164" t="s">
        <v>188</v>
      </c>
      <c r="C2164">
        <v>9.5</v>
      </c>
      <c r="D2164" t="s">
        <v>183</v>
      </c>
      <c r="E2164" t="s">
        <v>176</v>
      </c>
      <c r="F2164" t="s">
        <v>181</v>
      </c>
      <c r="G2164" t="s">
        <v>180</v>
      </c>
    </row>
    <row r="2165" spans="1:7">
      <c r="A2165">
        <v>2023</v>
      </c>
      <c r="B2165" t="s">
        <v>188</v>
      </c>
      <c r="C2165">
        <v>0</v>
      </c>
      <c r="D2165" t="s">
        <v>183</v>
      </c>
      <c r="E2165" t="s">
        <v>176</v>
      </c>
      <c r="F2165" t="s">
        <v>181</v>
      </c>
      <c r="G2165" t="s">
        <v>180</v>
      </c>
    </row>
    <row r="2166" spans="1:7">
      <c r="A2166">
        <v>2024</v>
      </c>
      <c r="B2166" t="s">
        <v>188</v>
      </c>
      <c r="C2166">
        <v>0</v>
      </c>
      <c r="D2166" t="s">
        <v>183</v>
      </c>
      <c r="E2166" t="s">
        <v>176</v>
      </c>
      <c r="F2166" t="s">
        <v>181</v>
      </c>
      <c r="G2166" t="s">
        <v>180</v>
      </c>
    </row>
    <row r="2167" spans="1:7">
      <c r="A2167">
        <v>2025</v>
      </c>
      <c r="B2167" t="s">
        <v>188</v>
      </c>
      <c r="C2167">
        <v>0</v>
      </c>
      <c r="D2167" t="s">
        <v>183</v>
      </c>
      <c r="E2167" t="s">
        <v>176</v>
      </c>
      <c r="F2167" t="s">
        <v>181</v>
      </c>
      <c r="G2167" t="s">
        <v>180</v>
      </c>
    </row>
    <row r="2168" spans="1:7">
      <c r="A2168">
        <v>2026</v>
      </c>
      <c r="B2168" t="s">
        <v>188</v>
      </c>
      <c r="C2168">
        <v>0</v>
      </c>
      <c r="D2168" t="s">
        <v>183</v>
      </c>
      <c r="E2168" t="s">
        <v>176</v>
      </c>
      <c r="F2168" t="s">
        <v>181</v>
      </c>
      <c r="G2168" t="s">
        <v>180</v>
      </c>
    </row>
    <row r="2169" spans="1:7">
      <c r="A2169">
        <v>2027</v>
      </c>
      <c r="B2169" t="s">
        <v>188</v>
      </c>
      <c r="C2169">
        <v>0</v>
      </c>
      <c r="D2169" t="s">
        <v>183</v>
      </c>
      <c r="E2169" t="s">
        <v>176</v>
      </c>
      <c r="F2169" t="s">
        <v>181</v>
      </c>
      <c r="G2169" t="s">
        <v>180</v>
      </c>
    </row>
    <row r="2170" spans="1:7">
      <c r="A2170">
        <v>2028</v>
      </c>
      <c r="B2170" t="s">
        <v>188</v>
      </c>
      <c r="C2170">
        <v>0</v>
      </c>
      <c r="D2170" t="s">
        <v>183</v>
      </c>
      <c r="E2170" t="s">
        <v>176</v>
      </c>
      <c r="F2170" t="s">
        <v>181</v>
      </c>
      <c r="G2170" t="s">
        <v>180</v>
      </c>
    </row>
    <row r="2171" spans="1:7">
      <c r="A2171">
        <v>2029</v>
      </c>
      <c r="B2171" t="s">
        <v>188</v>
      </c>
      <c r="C2171">
        <v>0</v>
      </c>
      <c r="D2171" t="s">
        <v>183</v>
      </c>
      <c r="E2171" t="s">
        <v>176</v>
      </c>
      <c r="F2171" t="s">
        <v>181</v>
      </c>
      <c r="G2171" t="s">
        <v>180</v>
      </c>
    </row>
    <row r="2172" spans="1:7">
      <c r="A2172">
        <v>2030</v>
      </c>
      <c r="B2172" t="s">
        <v>188</v>
      </c>
      <c r="C2172">
        <v>0</v>
      </c>
      <c r="D2172" t="s">
        <v>183</v>
      </c>
      <c r="E2172" t="s">
        <v>176</v>
      </c>
      <c r="F2172" t="s">
        <v>181</v>
      </c>
      <c r="G2172" t="s">
        <v>180</v>
      </c>
    </row>
    <row r="2173" spans="1:7">
      <c r="A2173">
        <v>2031</v>
      </c>
      <c r="B2173" t="s">
        <v>188</v>
      </c>
      <c r="C2173">
        <v>0</v>
      </c>
      <c r="D2173" t="s">
        <v>183</v>
      </c>
      <c r="E2173" t="s">
        <v>176</v>
      </c>
      <c r="F2173" t="s">
        <v>181</v>
      </c>
      <c r="G2173" t="s">
        <v>180</v>
      </c>
    </row>
    <row r="2174" spans="1:7">
      <c r="A2174">
        <v>2032</v>
      </c>
      <c r="B2174" t="s">
        <v>188</v>
      </c>
      <c r="C2174">
        <v>0</v>
      </c>
      <c r="D2174" t="s">
        <v>183</v>
      </c>
      <c r="E2174" t="s">
        <v>176</v>
      </c>
      <c r="F2174" t="s">
        <v>181</v>
      </c>
      <c r="G2174" t="s">
        <v>180</v>
      </c>
    </row>
    <row r="2175" spans="1:7">
      <c r="A2175">
        <v>2033</v>
      </c>
      <c r="B2175" t="s">
        <v>188</v>
      </c>
      <c r="C2175">
        <v>0</v>
      </c>
      <c r="D2175" t="s">
        <v>183</v>
      </c>
      <c r="E2175" t="s">
        <v>176</v>
      </c>
      <c r="F2175" t="s">
        <v>181</v>
      </c>
      <c r="G2175" t="s">
        <v>180</v>
      </c>
    </row>
    <row r="2176" spans="1:7">
      <c r="A2176">
        <v>2034</v>
      </c>
      <c r="B2176" t="s">
        <v>188</v>
      </c>
      <c r="C2176">
        <v>0</v>
      </c>
      <c r="D2176" t="s">
        <v>183</v>
      </c>
      <c r="E2176" t="s">
        <v>176</v>
      </c>
      <c r="F2176" t="s">
        <v>181</v>
      </c>
      <c r="G2176" t="s">
        <v>180</v>
      </c>
    </row>
    <row r="2177" spans="1:7">
      <c r="A2177">
        <v>2035</v>
      </c>
      <c r="B2177" t="s">
        <v>188</v>
      </c>
      <c r="C2177">
        <v>0</v>
      </c>
      <c r="D2177" t="s">
        <v>183</v>
      </c>
      <c r="E2177" t="s">
        <v>176</v>
      </c>
      <c r="F2177" t="s">
        <v>181</v>
      </c>
      <c r="G2177" t="s">
        <v>180</v>
      </c>
    </row>
    <row r="2178" spans="1:7">
      <c r="A2178">
        <v>2020</v>
      </c>
      <c r="B2178" t="s">
        <v>189</v>
      </c>
      <c r="C2178">
        <v>0</v>
      </c>
      <c r="D2178" t="s">
        <v>183</v>
      </c>
      <c r="E2178" t="s">
        <v>176</v>
      </c>
      <c r="F2178" t="s">
        <v>181</v>
      </c>
      <c r="G2178" t="s">
        <v>180</v>
      </c>
    </row>
    <row r="2179" spans="1:7">
      <c r="A2179">
        <v>2021</v>
      </c>
      <c r="B2179" t="s">
        <v>189</v>
      </c>
      <c r="C2179">
        <v>0</v>
      </c>
      <c r="D2179" t="s">
        <v>183</v>
      </c>
      <c r="E2179" t="s">
        <v>176</v>
      </c>
      <c r="F2179" t="s">
        <v>181</v>
      </c>
      <c r="G2179" t="s">
        <v>180</v>
      </c>
    </row>
    <row r="2180" spans="1:7">
      <c r="A2180">
        <v>2022</v>
      </c>
      <c r="B2180" t="s">
        <v>189</v>
      </c>
      <c r="C2180">
        <v>0</v>
      </c>
      <c r="D2180" t="s">
        <v>183</v>
      </c>
      <c r="E2180" t="s">
        <v>176</v>
      </c>
      <c r="F2180" t="s">
        <v>181</v>
      </c>
      <c r="G2180" t="s">
        <v>180</v>
      </c>
    </row>
    <row r="2181" spans="1:7">
      <c r="A2181">
        <v>2023</v>
      </c>
      <c r="B2181" t="s">
        <v>189</v>
      </c>
      <c r="C2181">
        <v>0</v>
      </c>
      <c r="D2181" t="s">
        <v>183</v>
      </c>
      <c r="E2181" t="s">
        <v>176</v>
      </c>
      <c r="F2181" t="s">
        <v>181</v>
      </c>
      <c r="G2181" t="s">
        <v>180</v>
      </c>
    </row>
    <row r="2182" spans="1:7">
      <c r="A2182">
        <v>2024</v>
      </c>
      <c r="B2182" t="s">
        <v>189</v>
      </c>
      <c r="C2182">
        <v>0</v>
      </c>
      <c r="D2182" t="s">
        <v>183</v>
      </c>
      <c r="E2182" t="s">
        <v>176</v>
      </c>
      <c r="F2182" t="s">
        <v>181</v>
      </c>
      <c r="G2182" t="s">
        <v>180</v>
      </c>
    </row>
    <row r="2183" spans="1:7">
      <c r="A2183">
        <v>2025</v>
      </c>
      <c r="B2183" t="s">
        <v>189</v>
      </c>
      <c r="C2183">
        <v>0</v>
      </c>
      <c r="D2183" t="s">
        <v>183</v>
      </c>
      <c r="E2183" t="s">
        <v>176</v>
      </c>
      <c r="F2183" t="s">
        <v>181</v>
      </c>
      <c r="G2183" t="s">
        <v>180</v>
      </c>
    </row>
    <row r="2184" spans="1:7">
      <c r="A2184">
        <v>2026</v>
      </c>
      <c r="B2184" t="s">
        <v>189</v>
      </c>
      <c r="C2184">
        <v>0</v>
      </c>
      <c r="D2184" t="s">
        <v>183</v>
      </c>
      <c r="E2184" t="s">
        <v>176</v>
      </c>
      <c r="F2184" t="s">
        <v>181</v>
      </c>
      <c r="G2184" t="s">
        <v>180</v>
      </c>
    </row>
    <row r="2185" spans="1:7">
      <c r="A2185">
        <v>2027</v>
      </c>
      <c r="B2185" t="s">
        <v>189</v>
      </c>
      <c r="C2185">
        <v>0</v>
      </c>
      <c r="D2185" t="s">
        <v>183</v>
      </c>
      <c r="E2185" t="s">
        <v>176</v>
      </c>
      <c r="F2185" t="s">
        <v>181</v>
      </c>
      <c r="G2185" t="s">
        <v>180</v>
      </c>
    </row>
    <row r="2186" spans="1:7">
      <c r="A2186">
        <v>2028</v>
      </c>
      <c r="B2186" t="s">
        <v>189</v>
      </c>
      <c r="C2186">
        <v>0</v>
      </c>
      <c r="D2186" t="s">
        <v>183</v>
      </c>
      <c r="E2186" t="s">
        <v>176</v>
      </c>
      <c r="F2186" t="s">
        <v>181</v>
      </c>
      <c r="G2186" t="s">
        <v>180</v>
      </c>
    </row>
    <row r="2187" spans="1:7">
      <c r="A2187">
        <v>2029</v>
      </c>
      <c r="B2187" t="s">
        <v>189</v>
      </c>
      <c r="C2187">
        <v>0</v>
      </c>
      <c r="D2187" t="s">
        <v>183</v>
      </c>
      <c r="E2187" t="s">
        <v>176</v>
      </c>
      <c r="F2187" t="s">
        <v>181</v>
      </c>
      <c r="G2187" t="s">
        <v>180</v>
      </c>
    </row>
    <row r="2188" spans="1:7">
      <c r="A2188">
        <v>2030</v>
      </c>
      <c r="B2188" t="s">
        <v>189</v>
      </c>
      <c r="C2188">
        <v>0</v>
      </c>
      <c r="D2188" t="s">
        <v>183</v>
      </c>
      <c r="E2188" t="s">
        <v>176</v>
      </c>
      <c r="F2188" t="s">
        <v>181</v>
      </c>
      <c r="G2188" t="s">
        <v>180</v>
      </c>
    </row>
    <row r="2189" spans="1:7">
      <c r="A2189">
        <v>2031</v>
      </c>
      <c r="B2189" t="s">
        <v>189</v>
      </c>
      <c r="C2189">
        <v>0</v>
      </c>
      <c r="D2189" t="s">
        <v>183</v>
      </c>
      <c r="E2189" t="s">
        <v>176</v>
      </c>
      <c r="F2189" t="s">
        <v>181</v>
      </c>
      <c r="G2189" t="s">
        <v>180</v>
      </c>
    </row>
    <row r="2190" spans="1:7">
      <c r="A2190">
        <v>2032</v>
      </c>
      <c r="B2190" t="s">
        <v>189</v>
      </c>
      <c r="C2190">
        <v>0</v>
      </c>
      <c r="D2190" t="s">
        <v>183</v>
      </c>
      <c r="E2190" t="s">
        <v>176</v>
      </c>
      <c r="F2190" t="s">
        <v>181</v>
      </c>
      <c r="G2190" t="s">
        <v>180</v>
      </c>
    </row>
    <row r="2191" spans="1:7">
      <c r="A2191">
        <v>2033</v>
      </c>
      <c r="B2191" t="s">
        <v>189</v>
      </c>
      <c r="C2191">
        <v>0</v>
      </c>
      <c r="D2191" t="s">
        <v>183</v>
      </c>
      <c r="E2191" t="s">
        <v>176</v>
      </c>
      <c r="F2191" t="s">
        <v>181</v>
      </c>
      <c r="G2191" t="s">
        <v>180</v>
      </c>
    </row>
    <row r="2192" spans="1:7">
      <c r="A2192">
        <v>2034</v>
      </c>
      <c r="B2192" t="s">
        <v>189</v>
      </c>
      <c r="C2192">
        <v>0</v>
      </c>
      <c r="D2192" t="s">
        <v>183</v>
      </c>
      <c r="E2192" t="s">
        <v>176</v>
      </c>
      <c r="F2192" t="s">
        <v>181</v>
      </c>
      <c r="G2192" t="s">
        <v>180</v>
      </c>
    </row>
    <row r="2193" spans="1:7">
      <c r="A2193">
        <v>2035</v>
      </c>
      <c r="B2193" t="s">
        <v>189</v>
      </c>
      <c r="C2193">
        <v>0</v>
      </c>
      <c r="D2193" t="s">
        <v>183</v>
      </c>
      <c r="E2193" t="s">
        <v>176</v>
      </c>
      <c r="F2193" t="s">
        <v>181</v>
      </c>
      <c r="G2193" t="s">
        <v>180</v>
      </c>
    </row>
    <row r="2194" spans="1:7">
      <c r="A2194">
        <v>2020</v>
      </c>
      <c r="B2194" t="s">
        <v>190</v>
      </c>
      <c r="C2194">
        <v>11059.73</v>
      </c>
      <c r="D2194" t="s">
        <v>183</v>
      </c>
      <c r="E2194" t="s">
        <v>176</v>
      </c>
      <c r="F2194" t="s">
        <v>181</v>
      </c>
      <c r="G2194" t="s">
        <v>180</v>
      </c>
    </row>
    <row r="2195" spans="1:7">
      <c r="A2195">
        <v>2021</v>
      </c>
      <c r="B2195" t="s">
        <v>190</v>
      </c>
      <c r="C2195">
        <v>0</v>
      </c>
      <c r="D2195" t="s">
        <v>183</v>
      </c>
      <c r="E2195" t="s">
        <v>176</v>
      </c>
      <c r="F2195" t="s">
        <v>181</v>
      </c>
      <c r="G2195" t="s">
        <v>180</v>
      </c>
    </row>
    <row r="2196" spans="1:7">
      <c r="A2196">
        <v>2022</v>
      </c>
      <c r="B2196" t="s">
        <v>190</v>
      </c>
      <c r="C2196">
        <v>0</v>
      </c>
      <c r="D2196" t="s">
        <v>183</v>
      </c>
      <c r="E2196" t="s">
        <v>176</v>
      </c>
      <c r="F2196" t="s">
        <v>181</v>
      </c>
      <c r="G2196" t="s">
        <v>180</v>
      </c>
    </row>
    <row r="2197" spans="1:7">
      <c r="A2197">
        <v>2023</v>
      </c>
      <c r="B2197" t="s">
        <v>190</v>
      </c>
      <c r="C2197">
        <v>0</v>
      </c>
      <c r="D2197" t="s">
        <v>183</v>
      </c>
      <c r="E2197" t="s">
        <v>176</v>
      </c>
      <c r="F2197" t="s">
        <v>181</v>
      </c>
      <c r="G2197" t="s">
        <v>180</v>
      </c>
    </row>
    <row r="2198" spans="1:7">
      <c r="A2198">
        <v>2024</v>
      </c>
      <c r="B2198" t="s">
        <v>190</v>
      </c>
      <c r="C2198">
        <v>0</v>
      </c>
      <c r="D2198" t="s">
        <v>183</v>
      </c>
      <c r="E2198" t="s">
        <v>176</v>
      </c>
      <c r="F2198" t="s">
        <v>181</v>
      </c>
      <c r="G2198" t="s">
        <v>180</v>
      </c>
    </row>
    <row r="2199" spans="1:7">
      <c r="A2199">
        <v>2025</v>
      </c>
      <c r="B2199" t="s">
        <v>190</v>
      </c>
      <c r="C2199">
        <v>0</v>
      </c>
      <c r="D2199" t="s">
        <v>183</v>
      </c>
      <c r="E2199" t="s">
        <v>176</v>
      </c>
      <c r="F2199" t="s">
        <v>181</v>
      </c>
      <c r="G2199" t="s">
        <v>180</v>
      </c>
    </row>
    <row r="2200" spans="1:7">
      <c r="A2200">
        <v>2026</v>
      </c>
      <c r="B2200" t="s">
        <v>190</v>
      </c>
      <c r="C2200">
        <v>0</v>
      </c>
      <c r="D2200" t="s">
        <v>183</v>
      </c>
      <c r="E2200" t="s">
        <v>176</v>
      </c>
      <c r="F2200" t="s">
        <v>181</v>
      </c>
      <c r="G2200" t="s">
        <v>180</v>
      </c>
    </row>
    <row r="2201" spans="1:7">
      <c r="A2201">
        <v>2027</v>
      </c>
      <c r="B2201" t="s">
        <v>190</v>
      </c>
      <c r="C2201">
        <v>0</v>
      </c>
      <c r="D2201" t="s">
        <v>183</v>
      </c>
      <c r="E2201" t="s">
        <v>176</v>
      </c>
      <c r="F2201" t="s">
        <v>181</v>
      </c>
      <c r="G2201" t="s">
        <v>180</v>
      </c>
    </row>
    <row r="2202" spans="1:7">
      <c r="A2202">
        <v>2028</v>
      </c>
      <c r="B2202" t="s">
        <v>190</v>
      </c>
      <c r="C2202">
        <v>0</v>
      </c>
      <c r="D2202" t="s">
        <v>183</v>
      </c>
      <c r="E2202" t="s">
        <v>176</v>
      </c>
      <c r="F2202" t="s">
        <v>181</v>
      </c>
      <c r="G2202" t="s">
        <v>180</v>
      </c>
    </row>
    <row r="2203" spans="1:7">
      <c r="A2203">
        <v>2029</v>
      </c>
      <c r="B2203" t="s">
        <v>190</v>
      </c>
      <c r="C2203">
        <v>0</v>
      </c>
      <c r="D2203" t="s">
        <v>183</v>
      </c>
      <c r="E2203" t="s">
        <v>176</v>
      </c>
      <c r="F2203" t="s">
        <v>181</v>
      </c>
      <c r="G2203" t="s">
        <v>180</v>
      </c>
    </row>
    <row r="2204" spans="1:7">
      <c r="A2204">
        <v>2030</v>
      </c>
      <c r="B2204" t="s">
        <v>190</v>
      </c>
      <c r="C2204">
        <v>0</v>
      </c>
      <c r="D2204" t="s">
        <v>183</v>
      </c>
      <c r="E2204" t="s">
        <v>176</v>
      </c>
      <c r="F2204" t="s">
        <v>181</v>
      </c>
      <c r="G2204" t="s">
        <v>180</v>
      </c>
    </row>
    <row r="2205" spans="1:7">
      <c r="A2205">
        <v>2031</v>
      </c>
      <c r="B2205" t="s">
        <v>190</v>
      </c>
      <c r="C2205">
        <v>0</v>
      </c>
      <c r="D2205" t="s">
        <v>183</v>
      </c>
      <c r="E2205" t="s">
        <v>176</v>
      </c>
      <c r="F2205" t="s">
        <v>181</v>
      </c>
      <c r="G2205" t="s">
        <v>180</v>
      </c>
    </row>
    <row r="2206" spans="1:7">
      <c r="A2206">
        <v>2032</v>
      </c>
      <c r="B2206" t="s">
        <v>190</v>
      </c>
      <c r="C2206">
        <v>0</v>
      </c>
      <c r="D2206" t="s">
        <v>183</v>
      </c>
      <c r="E2206" t="s">
        <v>176</v>
      </c>
      <c r="F2206" t="s">
        <v>181</v>
      </c>
      <c r="G2206" t="s">
        <v>180</v>
      </c>
    </row>
    <row r="2207" spans="1:7">
      <c r="A2207">
        <v>2033</v>
      </c>
      <c r="B2207" t="s">
        <v>190</v>
      </c>
      <c r="C2207">
        <v>0</v>
      </c>
      <c r="D2207" t="s">
        <v>183</v>
      </c>
      <c r="E2207" t="s">
        <v>176</v>
      </c>
      <c r="F2207" t="s">
        <v>181</v>
      </c>
      <c r="G2207" t="s">
        <v>180</v>
      </c>
    </row>
    <row r="2208" spans="1:7">
      <c r="A2208">
        <v>2034</v>
      </c>
      <c r="B2208" t="s">
        <v>190</v>
      </c>
      <c r="C2208">
        <v>0</v>
      </c>
      <c r="D2208" t="s">
        <v>183</v>
      </c>
      <c r="E2208" t="s">
        <v>176</v>
      </c>
      <c r="F2208" t="s">
        <v>181</v>
      </c>
      <c r="G2208" t="s">
        <v>180</v>
      </c>
    </row>
    <row r="2209" spans="1:7">
      <c r="A2209">
        <v>2035</v>
      </c>
      <c r="B2209" t="s">
        <v>190</v>
      </c>
      <c r="C2209">
        <v>0</v>
      </c>
      <c r="D2209" t="s">
        <v>183</v>
      </c>
      <c r="E2209" t="s">
        <v>176</v>
      </c>
      <c r="F2209" t="s">
        <v>181</v>
      </c>
      <c r="G2209" t="s">
        <v>180</v>
      </c>
    </row>
    <row r="2210" spans="1:7">
      <c r="A2210">
        <v>2020</v>
      </c>
      <c r="B2210" t="s">
        <v>191</v>
      </c>
      <c r="C2210">
        <v>0</v>
      </c>
      <c r="D2210" t="s">
        <v>183</v>
      </c>
      <c r="E2210" t="s">
        <v>176</v>
      </c>
      <c r="F2210" t="s">
        <v>181</v>
      </c>
      <c r="G2210" t="s">
        <v>180</v>
      </c>
    </row>
    <row r="2211" spans="1:7">
      <c r="A2211">
        <v>2021</v>
      </c>
      <c r="B2211" t="s">
        <v>191</v>
      </c>
      <c r="C2211">
        <v>0</v>
      </c>
      <c r="D2211" t="s">
        <v>183</v>
      </c>
      <c r="E2211" t="s">
        <v>176</v>
      </c>
      <c r="F2211" t="s">
        <v>181</v>
      </c>
      <c r="G2211" t="s">
        <v>180</v>
      </c>
    </row>
    <row r="2212" spans="1:7">
      <c r="A2212">
        <v>2022</v>
      </c>
      <c r="B2212" t="s">
        <v>191</v>
      </c>
      <c r="C2212">
        <v>0</v>
      </c>
      <c r="D2212" t="s">
        <v>183</v>
      </c>
      <c r="E2212" t="s">
        <v>176</v>
      </c>
      <c r="F2212" t="s">
        <v>181</v>
      </c>
      <c r="G2212" t="s">
        <v>180</v>
      </c>
    </row>
    <row r="2213" spans="1:7">
      <c r="A2213">
        <v>2023</v>
      </c>
      <c r="B2213" t="s">
        <v>191</v>
      </c>
      <c r="C2213">
        <v>0</v>
      </c>
      <c r="D2213" t="s">
        <v>183</v>
      </c>
      <c r="E2213" t="s">
        <v>176</v>
      </c>
      <c r="F2213" t="s">
        <v>181</v>
      </c>
      <c r="G2213" t="s">
        <v>180</v>
      </c>
    </row>
    <row r="2214" spans="1:7">
      <c r="A2214">
        <v>2024</v>
      </c>
      <c r="B2214" t="s">
        <v>191</v>
      </c>
      <c r="C2214">
        <v>0</v>
      </c>
      <c r="D2214" t="s">
        <v>183</v>
      </c>
      <c r="E2214" t="s">
        <v>176</v>
      </c>
      <c r="F2214" t="s">
        <v>181</v>
      </c>
      <c r="G2214" t="s">
        <v>180</v>
      </c>
    </row>
    <row r="2215" spans="1:7">
      <c r="A2215">
        <v>2025</v>
      </c>
      <c r="B2215" t="s">
        <v>191</v>
      </c>
      <c r="C2215">
        <v>0</v>
      </c>
      <c r="D2215" t="s">
        <v>183</v>
      </c>
      <c r="E2215" t="s">
        <v>176</v>
      </c>
      <c r="F2215" t="s">
        <v>181</v>
      </c>
      <c r="G2215" t="s">
        <v>180</v>
      </c>
    </row>
    <row r="2216" spans="1:7">
      <c r="A2216">
        <v>2026</v>
      </c>
      <c r="B2216" t="s">
        <v>191</v>
      </c>
      <c r="C2216">
        <v>0</v>
      </c>
      <c r="D2216" t="s">
        <v>183</v>
      </c>
      <c r="E2216" t="s">
        <v>176</v>
      </c>
      <c r="F2216" t="s">
        <v>181</v>
      </c>
      <c r="G2216" t="s">
        <v>180</v>
      </c>
    </row>
    <row r="2217" spans="1:7">
      <c r="A2217">
        <v>2027</v>
      </c>
      <c r="B2217" t="s">
        <v>191</v>
      </c>
      <c r="C2217">
        <v>0</v>
      </c>
      <c r="D2217" t="s">
        <v>183</v>
      </c>
      <c r="E2217" t="s">
        <v>176</v>
      </c>
      <c r="F2217" t="s">
        <v>181</v>
      </c>
      <c r="G2217" t="s">
        <v>180</v>
      </c>
    </row>
    <row r="2218" spans="1:7">
      <c r="A2218">
        <v>2028</v>
      </c>
      <c r="B2218" t="s">
        <v>191</v>
      </c>
      <c r="C2218">
        <v>0</v>
      </c>
      <c r="D2218" t="s">
        <v>183</v>
      </c>
      <c r="E2218" t="s">
        <v>176</v>
      </c>
      <c r="F2218" t="s">
        <v>181</v>
      </c>
      <c r="G2218" t="s">
        <v>180</v>
      </c>
    </row>
    <row r="2219" spans="1:7">
      <c r="A2219">
        <v>2029</v>
      </c>
      <c r="B2219" t="s">
        <v>191</v>
      </c>
      <c r="C2219">
        <v>0</v>
      </c>
      <c r="D2219" t="s">
        <v>183</v>
      </c>
      <c r="E2219" t="s">
        <v>176</v>
      </c>
      <c r="F2219" t="s">
        <v>181</v>
      </c>
      <c r="G2219" t="s">
        <v>180</v>
      </c>
    </row>
    <row r="2220" spans="1:7">
      <c r="A2220">
        <v>2030</v>
      </c>
      <c r="B2220" t="s">
        <v>191</v>
      </c>
      <c r="C2220">
        <v>0</v>
      </c>
      <c r="D2220" t="s">
        <v>183</v>
      </c>
      <c r="E2220" t="s">
        <v>176</v>
      </c>
      <c r="F2220" t="s">
        <v>181</v>
      </c>
      <c r="G2220" t="s">
        <v>180</v>
      </c>
    </row>
    <row r="2221" spans="1:7">
      <c r="A2221">
        <v>2031</v>
      </c>
      <c r="B2221" t="s">
        <v>191</v>
      </c>
      <c r="C2221">
        <v>0</v>
      </c>
      <c r="D2221" t="s">
        <v>183</v>
      </c>
      <c r="E2221" t="s">
        <v>176</v>
      </c>
      <c r="F2221" t="s">
        <v>181</v>
      </c>
      <c r="G2221" t="s">
        <v>180</v>
      </c>
    </row>
    <row r="2222" spans="1:7">
      <c r="A2222">
        <v>2032</v>
      </c>
      <c r="B2222" t="s">
        <v>191</v>
      </c>
      <c r="C2222">
        <v>0</v>
      </c>
      <c r="D2222" t="s">
        <v>183</v>
      </c>
      <c r="E2222" t="s">
        <v>176</v>
      </c>
      <c r="F2222" t="s">
        <v>181</v>
      </c>
      <c r="G2222" t="s">
        <v>180</v>
      </c>
    </row>
    <row r="2223" spans="1:7">
      <c r="A2223">
        <v>2033</v>
      </c>
      <c r="B2223" t="s">
        <v>191</v>
      </c>
      <c r="C2223">
        <v>0</v>
      </c>
      <c r="D2223" t="s">
        <v>183</v>
      </c>
      <c r="E2223" t="s">
        <v>176</v>
      </c>
      <c r="F2223" t="s">
        <v>181</v>
      </c>
      <c r="G2223" t="s">
        <v>180</v>
      </c>
    </row>
    <row r="2224" spans="1:7">
      <c r="A2224">
        <v>2034</v>
      </c>
      <c r="B2224" t="s">
        <v>191</v>
      </c>
      <c r="C2224">
        <v>0</v>
      </c>
      <c r="D2224" t="s">
        <v>183</v>
      </c>
      <c r="E2224" t="s">
        <v>176</v>
      </c>
      <c r="F2224" t="s">
        <v>181</v>
      </c>
      <c r="G2224" t="s">
        <v>180</v>
      </c>
    </row>
    <row r="2225" spans="1:7">
      <c r="A2225">
        <v>2035</v>
      </c>
      <c r="B2225" t="s">
        <v>191</v>
      </c>
      <c r="C2225">
        <v>0</v>
      </c>
      <c r="D2225" t="s">
        <v>183</v>
      </c>
      <c r="E2225" t="s">
        <v>176</v>
      </c>
      <c r="F2225" t="s">
        <v>181</v>
      </c>
      <c r="G2225" t="s">
        <v>180</v>
      </c>
    </row>
    <row r="2226" spans="1:7">
      <c r="A2226">
        <v>2020</v>
      </c>
      <c r="B2226" t="s">
        <v>192</v>
      </c>
      <c r="C2226">
        <v>2937.13</v>
      </c>
      <c r="D2226" t="s">
        <v>183</v>
      </c>
      <c r="E2226" t="s">
        <v>176</v>
      </c>
      <c r="F2226" t="s">
        <v>181</v>
      </c>
      <c r="G2226" t="s">
        <v>180</v>
      </c>
    </row>
    <row r="2227" spans="1:7">
      <c r="A2227">
        <v>2021</v>
      </c>
      <c r="B2227" t="s">
        <v>192</v>
      </c>
      <c r="C2227">
        <v>0</v>
      </c>
      <c r="D2227" t="s">
        <v>183</v>
      </c>
      <c r="E2227" t="s">
        <v>176</v>
      </c>
      <c r="F2227" t="s">
        <v>181</v>
      </c>
      <c r="G2227" t="s">
        <v>180</v>
      </c>
    </row>
    <row r="2228" spans="1:7">
      <c r="A2228">
        <v>2022</v>
      </c>
      <c r="B2228" t="s">
        <v>192</v>
      </c>
      <c r="C2228">
        <v>0</v>
      </c>
      <c r="D2228" t="s">
        <v>183</v>
      </c>
      <c r="E2228" t="s">
        <v>176</v>
      </c>
      <c r="F2228" t="s">
        <v>181</v>
      </c>
      <c r="G2228" t="s">
        <v>180</v>
      </c>
    </row>
    <row r="2229" spans="1:7">
      <c r="A2229">
        <v>2023</v>
      </c>
      <c r="B2229" t="s">
        <v>192</v>
      </c>
      <c r="C2229">
        <v>47</v>
      </c>
      <c r="D2229" t="s">
        <v>183</v>
      </c>
      <c r="E2229" t="s">
        <v>176</v>
      </c>
      <c r="F2229" t="s">
        <v>181</v>
      </c>
      <c r="G2229" t="s">
        <v>180</v>
      </c>
    </row>
    <row r="2230" spans="1:7">
      <c r="A2230">
        <v>2024</v>
      </c>
      <c r="B2230" t="s">
        <v>192</v>
      </c>
      <c r="C2230">
        <v>47</v>
      </c>
      <c r="D2230" t="s">
        <v>183</v>
      </c>
      <c r="E2230" t="s">
        <v>176</v>
      </c>
      <c r="F2230" t="s">
        <v>181</v>
      </c>
      <c r="G2230" t="s">
        <v>180</v>
      </c>
    </row>
    <row r="2231" spans="1:7">
      <c r="A2231">
        <v>2025</v>
      </c>
      <c r="B2231" t="s">
        <v>192</v>
      </c>
      <c r="C2231">
        <v>10</v>
      </c>
      <c r="D2231" t="s">
        <v>183</v>
      </c>
      <c r="E2231" t="s">
        <v>176</v>
      </c>
      <c r="F2231" t="s">
        <v>181</v>
      </c>
      <c r="G2231" t="s">
        <v>180</v>
      </c>
    </row>
    <row r="2232" spans="1:7">
      <c r="A2232">
        <v>2026</v>
      </c>
      <c r="B2232" t="s">
        <v>192</v>
      </c>
      <c r="C2232">
        <v>10</v>
      </c>
      <c r="D2232" t="s">
        <v>183</v>
      </c>
      <c r="E2232" t="s">
        <v>176</v>
      </c>
      <c r="F2232" t="s">
        <v>181</v>
      </c>
      <c r="G2232" t="s">
        <v>180</v>
      </c>
    </row>
    <row r="2233" spans="1:7">
      <c r="A2233">
        <v>2027</v>
      </c>
      <c r="B2233" t="s">
        <v>192</v>
      </c>
      <c r="C2233">
        <v>32.895000000000003</v>
      </c>
      <c r="D2233" t="s">
        <v>183</v>
      </c>
      <c r="E2233" t="s">
        <v>176</v>
      </c>
      <c r="F2233" t="s">
        <v>181</v>
      </c>
      <c r="G2233" t="s">
        <v>180</v>
      </c>
    </row>
    <row r="2234" spans="1:7">
      <c r="A2234">
        <v>2028</v>
      </c>
      <c r="B2234" t="s">
        <v>192</v>
      </c>
      <c r="C2234">
        <v>32.895000000000003</v>
      </c>
      <c r="D2234" t="s">
        <v>183</v>
      </c>
      <c r="E2234" t="s">
        <v>176</v>
      </c>
      <c r="F2234" t="s">
        <v>181</v>
      </c>
      <c r="G2234" t="s">
        <v>180</v>
      </c>
    </row>
    <row r="2235" spans="1:7">
      <c r="A2235">
        <v>2029</v>
      </c>
      <c r="B2235" t="s">
        <v>192</v>
      </c>
      <c r="C2235">
        <v>41</v>
      </c>
      <c r="D2235" t="s">
        <v>183</v>
      </c>
      <c r="E2235" t="s">
        <v>176</v>
      </c>
      <c r="F2235" t="s">
        <v>181</v>
      </c>
      <c r="G2235" t="s">
        <v>180</v>
      </c>
    </row>
    <row r="2236" spans="1:7">
      <c r="A2236">
        <v>2030</v>
      </c>
      <c r="B2236" t="s">
        <v>192</v>
      </c>
      <c r="C2236">
        <v>41</v>
      </c>
      <c r="D2236" t="s">
        <v>183</v>
      </c>
      <c r="E2236" t="s">
        <v>176</v>
      </c>
      <c r="F2236" t="s">
        <v>181</v>
      </c>
      <c r="G2236" t="s">
        <v>180</v>
      </c>
    </row>
    <row r="2237" spans="1:7">
      <c r="A2237">
        <v>2031</v>
      </c>
      <c r="B2237" t="s">
        <v>192</v>
      </c>
      <c r="C2237">
        <v>47.15</v>
      </c>
      <c r="D2237" t="s">
        <v>183</v>
      </c>
      <c r="E2237" t="s">
        <v>176</v>
      </c>
      <c r="F2237" t="s">
        <v>181</v>
      </c>
      <c r="G2237" t="s">
        <v>180</v>
      </c>
    </row>
    <row r="2238" spans="1:7">
      <c r="A2238">
        <v>2032</v>
      </c>
      <c r="B2238" t="s">
        <v>192</v>
      </c>
      <c r="C2238">
        <v>47.15</v>
      </c>
      <c r="D2238" t="s">
        <v>183</v>
      </c>
      <c r="E2238" t="s">
        <v>176</v>
      </c>
      <c r="F2238" t="s">
        <v>181</v>
      </c>
      <c r="G2238" t="s">
        <v>180</v>
      </c>
    </row>
    <row r="2239" spans="1:7">
      <c r="A2239">
        <v>2033</v>
      </c>
      <c r="B2239" t="s">
        <v>192</v>
      </c>
      <c r="C2239">
        <v>15</v>
      </c>
      <c r="D2239" t="s">
        <v>183</v>
      </c>
      <c r="E2239" t="s">
        <v>176</v>
      </c>
      <c r="F2239" t="s">
        <v>181</v>
      </c>
      <c r="G2239" t="s">
        <v>180</v>
      </c>
    </row>
    <row r="2240" spans="1:7">
      <c r="A2240">
        <v>2034</v>
      </c>
      <c r="B2240" t="s">
        <v>192</v>
      </c>
      <c r="C2240">
        <v>15</v>
      </c>
      <c r="D2240" t="s">
        <v>183</v>
      </c>
      <c r="E2240" t="s">
        <v>176</v>
      </c>
      <c r="F2240" t="s">
        <v>181</v>
      </c>
      <c r="G2240" t="s">
        <v>180</v>
      </c>
    </row>
    <row r="2241" spans="1:7">
      <c r="A2241">
        <v>2035</v>
      </c>
      <c r="B2241" t="s">
        <v>192</v>
      </c>
      <c r="C2241">
        <v>15</v>
      </c>
      <c r="D2241" t="s">
        <v>183</v>
      </c>
      <c r="E2241" t="s">
        <v>176</v>
      </c>
      <c r="F2241" t="s">
        <v>181</v>
      </c>
      <c r="G2241" t="s">
        <v>180</v>
      </c>
    </row>
    <row r="2242" spans="1:7">
      <c r="A2242">
        <v>2020</v>
      </c>
      <c r="B2242" t="s">
        <v>193</v>
      </c>
      <c r="C2242">
        <v>232.5</v>
      </c>
      <c r="D2242" t="s">
        <v>183</v>
      </c>
      <c r="E2242" t="s">
        <v>176</v>
      </c>
      <c r="F2242" t="s">
        <v>181</v>
      </c>
      <c r="G2242" t="s">
        <v>180</v>
      </c>
    </row>
    <row r="2243" spans="1:7">
      <c r="A2243">
        <v>2021</v>
      </c>
      <c r="B2243" t="s">
        <v>193</v>
      </c>
      <c r="C2243">
        <v>1100</v>
      </c>
      <c r="D2243" t="s">
        <v>183</v>
      </c>
      <c r="E2243" t="s">
        <v>176</v>
      </c>
      <c r="F2243" t="s">
        <v>181</v>
      </c>
      <c r="G2243" t="s">
        <v>180</v>
      </c>
    </row>
    <row r="2244" spans="1:7">
      <c r="A2244">
        <v>2022</v>
      </c>
      <c r="B2244" t="s">
        <v>193</v>
      </c>
      <c r="C2244">
        <v>1100</v>
      </c>
      <c r="D2244" t="s">
        <v>183</v>
      </c>
      <c r="E2244" t="s">
        <v>176</v>
      </c>
      <c r="F2244" t="s">
        <v>181</v>
      </c>
      <c r="G2244" t="s">
        <v>180</v>
      </c>
    </row>
    <row r="2245" spans="1:7">
      <c r="A2245">
        <v>2023</v>
      </c>
      <c r="B2245" t="s">
        <v>193</v>
      </c>
      <c r="C2245">
        <v>0</v>
      </c>
      <c r="D2245" t="s">
        <v>183</v>
      </c>
      <c r="E2245" t="s">
        <v>176</v>
      </c>
      <c r="F2245" t="s">
        <v>181</v>
      </c>
      <c r="G2245" t="s">
        <v>180</v>
      </c>
    </row>
    <row r="2246" spans="1:7">
      <c r="A2246">
        <v>2024</v>
      </c>
      <c r="B2246" t="s">
        <v>193</v>
      </c>
      <c r="C2246">
        <v>0</v>
      </c>
      <c r="D2246" t="s">
        <v>183</v>
      </c>
      <c r="E2246" t="s">
        <v>176</v>
      </c>
      <c r="F2246" t="s">
        <v>181</v>
      </c>
      <c r="G2246" t="s">
        <v>180</v>
      </c>
    </row>
    <row r="2247" spans="1:7">
      <c r="A2247">
        <v>2025</v>
      </c>
      <c r="B2247" t="s">
        <v>193</v>
      </c>
      <c r="C2247">
        <v>0</v>
      </c>
      <c r="D2247" t="s">
        <v>183</v>
      </c>
      <c r="E2247" t="s">
        <v>176</v>
      </c>
      <c r="F2247" t="s">
        <v>181</v>
      </c>
      <c r="G2247" t="s">
        <v>180</v>
      </c>
    </row>
    <row r="2248" spans="1:7">
      <c r="A2248">
        <v>2026</v>
      </c>
      <c r="B2248" t="s">
        <v>193</v>
      </c>
      <c r="C2248">
        <v>0</v>
      </c>
      <c r="D2248" t="s">
        <v>183</v>
      </c>
      <c r="E2248" t="s">
        <v>176</v>
      </c>
      <c r="F2248" t="s">
        <v>181</v>
      </c>
      <c r="G2248" t="s">
        <v>180</v>
      </c>
    </row>
    <row r="2249" spans="1:7">
      <c r="A2249">
        <v>2027</v>
      </c>
      <c r="B2249" t="s">
        <v>193</v>
      </c>
      <c r="C2249">
        <v>0</v>
      </c>
      <c r="D2249" t="s">
        <v>183</v>
      </c>
      <c r="E2249" t="s">
        <v>176</v>
      </c>
      <c r="F2249" t="s">
        <v>181</v>
      </c>
      <c r="G2249" t="s">
        <v>180</v>
      </c>
    </row>
    <row r="2250" spans="1:7">
      <c r="A2250">
        <v>2028</v>
      </c>
      <c r="B2250" t="s">
        <v>193</v>
      </c>
      <c r="C2250">
        <v>0</v>
      </c>
      <c r="D2250" t="s">
        <v>183</v>
      </c>
      <c r="E2250" t="s">
        <v>176</v>
      </c>
      <c r="F2250" t="s">
        <v>181</v>
      </c>
      <c r="G2250" t="s">
        <v>180</v>
      </c>
    </row>
    <row r="2251" spans="1:7">
      <c r="A2251">
        <v>2029</v>
      </c>
      <c r="B2251" t="s">
        <v>193</v>
      </c>
      <c r="C2251">
        <v>0</v>
      </c>
      <c r="D2251" t="s">
        <v>183</v>
      </c>
      <c r="E2251" t="s">
        <v>176</v>
      </c>
      <c r="F2251" t="s">
        <v>181</v>
      </c>
      <c r="G2251" t="s">
        <v>180</v>
      </c>
    </row>
    <row r="2252" spans="1:7">
      <c r="A2252">
        <v>2030</v>
      </c>
      <c r="B2252" t="s">
        <v>193</v>
      </c>
      <c r="C2252">
        <v>0</v>
      </c>
      <c r="D2252" t="s">
        <v>183</v>
      </c>
      <c r="E2252" t="s">
        <v>176</v>
      </c>
      <c r="F2252" t="s">
        <v>181</v>
      </c>
      <c r="G2252" t="s">
        <v>180</v>
      </c>
    </row>
    <row r="2253" spans="1:7">
      <c r="A2253">
        <v>2031</v>
      </c>
      <c r="B2253" t="s">
        <v>193</v>
      </c>
      <c r="C2253">
        <v>0</v>
      </c>
      <c r="D2253" t="s">
        <v>183</v>
      </c>
      <c r="E2253" t="s">
        <v>176</v>
      </c>
      <c r="F2253" t="s">
        <v>181</v>
      </c>
      <c r="G2253" t="s">
        <v>180</v>
      </c>
    </row>
    <row r="2254" spans="1:7">
      <c r="A2254">
        <v>2032</v>
      </c>
      <c r="B2254" t="s">
        <v>193</v>
      </c>
      <c r="C2254">
        <v>0</v>
      </c>
      <c r="D2254" t="s">
        <v>183</v>
      </c>
      <c r="E2254" t="s">
        <v>176</v>
      </c>
      <c r="F2254" t="s">
        <v>181</v>
      </c>
      <c r="G2254" t="s">
        <v>180</v>
      </c>
    </row>
    <row r="2255" spans="1:7">
      <c r="A2255">
        <v>2033</v>
      </c>
      <c r="B2255" t="s">
        <v>193</v>
      </c>
      <c r="C2255">
        <v>0</v>
      </c>
      <c r="D2255" t="s">
        <v>183</v>
      </c>
      <c r="E2255" t="s">
        <v>176</v>
      </c>
      <c r="F2255" t="s">
        <v>181</v>
      </c>
      <c r="G2255" t="s">
        <v>180</v>
      </c>
    </row>
    <row r="2256" spans="1:7">
      <c r="A2256">
        <v>2034</v>
      </c>
      <c r="B2256" t="s">
        <v>193</v>
      </c>
      <c r="C2256">
        <v>0</v>
      </c>
      <c r="D2256" t="s">
        <v>183</v>
      </c>
      <c r="E2256" t="s">
        <v>176</v>
      </c>
      <c r="F2256" t="s">
        <v>181</v>
      </c>
      <c r="G2256" t="s">
        <v>180</v>
      </c>
    </row>
    <row r="2257" spans="1:7">
      <c r="A2257">
        <v>2035</v>
      </c>
      <c r="B2257" t="s">
        <v>193</v>
      </c>
      <c r="C2257">
        <v>0</v>
      </c>
      <c r="D2257" t="s">
        <v>183</v>
      </c>
      <c r="E2257" t="s">
        <v>176</v>
      </c>
      <c r="F2257" t="s">
        <v>181</v>
      </c>
      <c r="G2257" t="s">
        <v>180</v>
      </c>
    </row>
    <row r="2258" spans="1:7">
      <c r="A2258">
        <v>2020</v>
      </c>
      <c r="B2258" t="s">
        <v>194</v>
      </c>
      <c r="C2258">
        <v>14.85</v>
      </c>
      <c r="D2258" t="s">
        <v>183</v>
      </c>
      <c r="E2258" t="s">
        <v>176</v>
      </c>
      <c r="F2258" t="s">
        <v>181</v>
      </c>
      <c r="G2258" t="s">
        <v>180</v>
      </c>
    </row>
    <row r="2259" spans="1:7">
      <c r="A2259">
        <v>2021</v>
      </c>
      <c r="B2259" t="s">
        <v>194</v>
      </c>
      <c r="C2259">
        <v>0</v>
      </c>
      <c r="D2259" t="s">
        <v>183</v>
      </c>
      <c r="E2259" t="s">
        <v>176</v>
      </c>
      <c r="F2259" t="s">
        <v>181</v>
      </c>
      <c r="G2259" t="s">
        <v>180</v>
      </c>
    </row>
    <row r="2260" spans="1:7">
      <c r="A2260">
        <v>2022</v>
      </c>
      <c r="B2260" t="s">
        <v>194</v>
      </c>
      <c r="C2260">
        <v>0</v>
      </c>
      <c r="D2260" t="s">
        <v>183</v>
      </c>
      <c r="E2260" t="s">
        <v>176</v>
      </c>
      <c r="F2260" t="s">
        <v>181</v>
      </c>
      <c r="G2260" t="s">
        <v>180</v>
      </c>
    </row>
    <row r="2261" spans="1:7">
      <c r="A2261">
        <v>2023</v>
      </c>
      <c r="B2261" t="s">
        <v>194</v>
      </c>
      <c r="C2261">
        <v>0</v>
      </c>
      <c r="D2261" t="s">
        <v>183</v>
      </c>
      <c r="E2261" t="s">
        <v>176</v>
      </c>
      <c r="F2261" t="s">
        <v>181</v>
      </c>
      <c r="G2261" t="s">
        <v>180</v>
      </c>
    </row>
    <row r="2262" spans="1:7">
      <c r="A2262">
        <v>2024</v>
      </c>
      <c r="B2262" t="s">
        <v>194</v>
      </c>
      <c r="C2262">
        <v>0</v>
      </c>
      <c r="D2262" t="s">
        <v>183</v>
      </c>
      <c r="E2262" t="s">
        <v>176</v>
      </c>
      <c r="F2262" t="s">
        <v>181</v>
      </c>
      <c r="G2262" t="s">
        <v>180</v>
      </c>
    </row>
    <row r="2263" spans="1:7">
      <c r="A2263">
        <v>2025</v>
      </c>
      <c r="B2263" t="s">
        <v>194</v>
      </c>
      <c r="C2263">
        <v>0</v>
      </c>
      <c r="D2263" t="s">
        <v>183</v>
      </c>
      <c r="E2263" t="s">
        <v>176</v>
      </c>
      <c r="F2263" t="s">
        <v>181</v>
      </c>
      <c r="G2263" t="s">
        <v>180</v>
      </c>
    </row>
    <row r="2264" spans="1:7">
      <c r="A2264">
        <v>2026</v>
      </c>
      <c r="B2264" t="s">
        <v>194</v>
      </c>
      <c r="C2264">
        <v>0</v>
      </c>
      <c r="D2264" t="s">
        <v>183</v>
      </c>
      <c r="E2264" t="s">
        <v>176</v>
      </c>
      <c r="F2264" t="s">
        <v>181</v>
      </c>
      <c r="G2264" t="s">
        <v>180</v>
      </c>
    </row>
    <row r="2265" spans="1:7">
      <c r="A2265">
        <v>2027</v>
      </c>
      <c r="B2265" t="s">
        <v>194</v>
      </c>
      <c r="C2265">
        <v>0</v>
      </c>
      <c r="D2265" t="s">
        <v>183</v>
      </c>
      <c r="E2265" t="s">
        <v>176</v>
      </c>
      <c r="F2265" t="s">
        <v>181</v>
      </c>
      <c r="G2265" t="s">
        <v>180</v>
      </c>
    </row>
    <row r="2266" spans="1:7">
      <c r="A2266">
        <v>2028</v>
      </c>
      <c r="B2266" t="s">
        <v>194</v>
      </c>
      <c r="C2266">
        <v>0</v>
      </c>
      <c r="D2266" t="s">
        <v>183</v>
      </c>
      <c r="E2266" t="s">
        <v>176</v>
      </c>
      <c r="F2266" t="s">
        <v>181</v>
      </c>
      <c r="G2266" t="s">
        <v>180</v>
      </c>
    </row>
    <row r="2267" spans="1:7">
      <c r="A2267">
        <v>2029</v>
      </c>
      <c r="B2267" t="s">
        <v>194</v>
      </c>
      <c r="C2267">
        <v>0</v>
      </c>
      <c r="D2267" t="s">
        <v>183</v>
      </c>
      <c r="E2267" t="s">
        <v>176</v>
      </c>
      <c r="F2267" t="s">
        <v>181</v>
      </c>
      <c r="G2267" t="s">
        <v>180</v>
      </c>
    </row>
    <row r="2268" spans="1:7">
      <c r="A2268">
        <v>2030</v>
      </c>
      <c r="B2268" t="s">
        <v>194</v>
      </c>
      <c r="C2268">
        <v>0</v>
      </c>
      <c r="D2268" t="s">
        <v>183</v>
      </c>
      <c r="E2268" t="s">
        <v>176</v>
      </c>
      <c r="F2268" t="s">
        <v>181</v>
      </c>
      <c r="G2268" t="s">
        <v>180</v>
      </c>
    </row>
    <row r="2269" spans="1:7">
      <c r="A2269">
        <v>2031</v>
      </c>
      <c r="B2269" t="s">
        <v>194</v>
      </c>
      <c r="C2269">
        <v>0</v>
      </c>
      <c r="D2269" t="s">
        <v>183</v>
      </c>
      <c r="E2269" t="s">
        <v>176</v>
      </c>
      <c r="F2269" t="s">
        <v>181</v>
      </c>
      <c r="G2269" t="s">
        <v>180</v>
      </c>
    </row>
    <row r="2270" spans="1:7">
      <c r="A2270">
        <v>2032</v>
      </c>
      <c r="B2270" t="s">
        <v>194</v>
      </c>
      <c r="C2270">
        <v>0</v>
      </c>
      <c r="D2270" t="s">
        <v>183</v>
      </c>
      <c r="E2270" t="s">
        <v>176</v>
      </c>
      <c r="F2270" t="s">
        <v>181</v>
      </c>
      <c r="G2270" t="s">
        <v>180</v>
      </c>
    </row>
    <row r="2271" spans="1:7">
      <c r="A2271">
        <v>2033</v>
      </c>
      <c r="B2271" t="s">
        <v>194</v>
      </c>
      <c r="C2271">
        <v>0</v>
      </c>
      <c r="D2271" t="s">
        <v>183</v>
      </c>
      <c r="E2271" t="s">
        <v>176</v>
      </c>
      <c r="F2271" t="s">
        <v>181</v>
      </c>
      <c r="G2271" t="s">
        <v>180</v>
      </c>
    </row>
    <row r="2272" spans="1:7">
      <c r="A2272">
        <v>2034</v>
      </c>
      <c r="B2272" t="s">
        <v>194</v>
      </c>
      <c r="C2272">
        <v>0</v>
      </c>
      <c r="D2272" t="s">
        <v>183</v>
      </c>
      <c r="E2272" t="s">
        <v>176</v>
      </c>
      <c r="F2272" t="s">
        <v>181</v>
      </c>
      <c r="G2272" t="s">
        <v>180</v>
      </c>
    </row>
    <row r="2273" spans="1:7">
      <c r="A2273">
        <v>2035</v>
      </c>
      <c r="B2273" t="s">
        <v>194</v>
      </c>
      <c r="C2273">
        <v>0</v>
      </c>
      <c r="D2273" t="s">
        <v>183</v>
      </c>
      <c r="E2273" t="s">
        <v>176</v>
      </c>
      <c r="F2273" t="s">
        <v>181</v>
      </c>
      <c r="G2273" t="s">
        <v>180</v>
      </c>
    </row>
    <row r="2274" spans="1:7">
      <c r="A2274">
        <v>2020</v>
      </c>
      <c r="B2274" t="s">
        <v>195</v>
      </c>
      <c r="C2274">
        <v>16872.900000000001</v>
      </c>
      <c r="D2274" t="s">
        <v>183</v>
      </c>
      <c r="E2274" t="s">
        <v>176</v>
      </c>
      <c r="F2274" t="s">
        <v>181</v>
      </c>
      <c r="G2274" t="s">
        <v>180</v>
      </c>
    </row>
    <row r="2275" spans="1:7">
      <c r="A2275">
        <v>2021</v>
      </c>
      <c r="B2275" t="s">
        <v>195</v>
      </c>
      <c r="C2275">
        <v>43040.4</v>
      </c>
      <c r="D2275" t="s">
        <v>183</v>
      </c>
      <c r="E2275" t="s">
        <v>176</v>
      </c>
      <c r="F2275" t="s">
        <v>181</v>
      </c>
      <c r="G2275" t="s">
        <v>180</v>
      </c>
    </row>
    <row r="2276" spans="1:7">
      <c r="A2276">
        <v>2022</v>
      </c>
      <c r="B2276" t="s">
        <v>195</v>
      </c>
      <c r="C2276">
        <v>43040.4</v>
      </c>
      <c r="D2276" t="s">
        <v>183</v>
      </c>
      <c r="E2276" t="s">
        <v>176</v>
      </c>
      <c r="F2276" t="s">
        <v>181</v>
      </c>
      <c r="G2276" t="s">
        <v>180</v>
      </c>
    </row>
    <row r="2277" spans="1:7">
      <c r="A2277">
        <v>2023</v>
      </c>
      <c r="B2277" t="s">
        <v>195</v>
      </c>
      <c r="C2277">
        <v>46061.7</v>
      </c>
      <c r="D2277" t="s">
        <v>183</v>
      </c>
      <c r="E2277" t="s">
        <v>176</v>
      </c>
      <c r="F2277" t="s">
        <v>181</v>
      </c>
      <c r="G2277" t="s">
        <v>180</v>
      </c>
    </row>
    <row r="2278" spans="1:7">
      <c r="A2278">
        <v>2024</v>
      </c>
      <c r="B2278" t="s">
        <v>195</v>
      </c>
      <c r="C2278">
        <v>46061.7</v>
      </c>
      <c r="D2278" t="s">
        <v>183</v>
      </c>
      <c r="E2278" t="s">
        <v>176</v>
      </c>
      <c r="F2278" t="s">
        <v>181</v>
      </c>
      <c r="G2278" t="s">
        <v>180</v>
      </c>
    </row>
    <row r="2279" spans="1:7">
      <c r="A2279">
        <v>2025</v>
      </c>
      <c r="B2279" t="s">
        <v>195</v>
      </c>
      <c r="C2279">
        <v>24092.799999999999</v>
      </c>
      <c r="D2279" t="s">
        <v>183</v>
      </c>
      <c r="E2279" t="s">
        <v>176</v>
      </c>
      <c r="F2279" t="s">
        <v>181</v>
      </c>
      <c r="G2279" t="s">
        <v>180</v>
      </c>
    </row>
    <row r="2280" spans="1:7">
      <c r="A2280">
        <v>2026</v>
      </c>
      <c r="B2280" t="s">
        <v>195</v>
      </c>
      <c r="C2280">
        <v>24092.799999999999</v>
      </c>
      <c r="D2280" t="s">
        <v>183</v>
      </c>
      <c r="E2280" t="s">
        <v>176</v>
      </c>
      <c r="F2280" t="s">
        <v>181</v>
      </c>
      <c r="G2280" t="s">
        <v>180</v>
      </c>
    </row>
    <row r="2281" spans="1:7">
      <c r="A2281">
        <v>2027</v>
      </c>
      <c r="B2281" t="s">
        <v>195</v>
      </c>
      <c r="C2281">
        <v>36073.5</v>
      </c>
      <c r="D2281" t="s">
        <v>183</v>
      </c>
      <c r="E2281" t="s">
        <v>176</v>
      </c>
      <c r="F2281" t="s">
        <v>181</v>
      </c>
      <c r="G2281" t="s">
        <v>180</v>
      </c>
    </row>
    <row r="2282" spans="1:7">
      <c r="A2282">
        <v>2028</v>
      </c>
      <c r="B2282" t="s">
        <v>195</v>
      </c>
      <c r="C2282">
        <v>36073.5</v>
      </c>
      <c r="D2282" t="s">
        <v>183</v>
      </c>
      <c r="E2282" t="s">
        <v>176</v>
      </c>
      <c r="F2282" t="s">
        <v>181</v>
      </c>
      <c r="G2282" t="s">
        <v>180</v>
      </c>
    </row>
    <row r="2283" spans="1:7">
      <c r="A2283">
        <v>2029</v>
      </c>
      <c r="B2283" t="s">
        <v>195</v>
      </c>
      <c r="C2283">
        <v>23615.7</v>
      </c>
      <c r="D2283" t="s">
        <v>183</v>
      </c>
      <c r="E2283" t="s">
        <v>176</v>
      </c>
      <c r="F2283" t="s">
        <v>181</v>
      </c>
      <c r="G2283" t="s">
        <v>180</v>
      </c>
    </row>
    <row r="2284" spans="1:7">
      <c r="A2284">
        <v>2030</v>
      </c>
      <c r="B2284" t="s">
        <v>195</v>
      </c>
      <c r="C2284">
        <v>23615.7</v>
      </c>
      <c r="D2284" t="s">
        <v>183</v>
      </c>
      <c r="E2284" t="s">
        <v>176</v>
      </c>
      <c r="F2284" t="s">
        <v>181</v>
      </c>
      <c r="G2284" t="s">
        <v>180</v>
      </c>
    </row>
    <row r="2285" spans="1:7">
      <c r="A2285">
        <v>2031</v>
      </c>
      <c r="B2285" t="s">
        <v>195</v>
      </c>
      <c r="C2285">
        <v>30835.9</v>
      </c>
      <c r="D2285" t="s">
        <v>183</v>
      </c>
      <c r="E2285" t="s">
        <v>176</v>
      </c>
      <c r="F2285" t="s">
        <v>181</v>
      </c>
      <c r="G2285" t="s">
        <v>180</v>
      </c>
    </row>
    <row r="2286" spans="1:7">
      <c r="A2286">
        <v>2032</v>
      </c>
      <c r="B2286" t="s">
        <v>195</v>
      </c>
      <c r="C2286">
        <v>30835.9</v>
      </c>
      <c r="D2286" t="s">
        <v>183</v>
      </c>
      <c r="E2286" t="s">
        <v>176</v>
      </c>
      <c r="F2286" t="s">
        <v>181</v>
      </c>
      <c r="G2286" t="s">
        <v>180</v>
      </c>
    </row>
    <row r="2287" spans="1:7">
      <c r="A2287">
        <v>2033</v>
      </c>
      <c r="B2287" t="s">
        <v>195</v>
      </c>
      <c r="C2287">
        <v>36147.1</v>
      </c>
      <c r="D2287" t="s">
        <v>183</v>
      </c>
      <c r="E2287" t="s">
        <v>176</v>
      </c>
      <c r="F2287" t="s">
        <v>181</v>
      </c>
      <c r="G2287" t="s">
        <v>180</v>
      </c>
    </row>
    <row r="2288" spans="1:7">
      <c r="A2288">
        <v>2034</v>
      </c>
      <c r="B2288" t="s">
        <v>195</v>
      </c>
      <c r="C2288">
        <v>36147.1</v>
      </c>
      <c r="D2288" t="s">
        <v>183</v>
      </c>
      <c r="E2288" t="s">
        <v>176</v>
      </c>
      <c r="F2288" t="s">
        <v>181</v>
      </c>
      <c r="G2288" t="s">
        <v>180</v>
      </c>
    </row>
    <row r="2289" spans="1:7">
      <c r="A2289">
        <v>2035</v>
      </c>
      <c r="B2289" t="s">
        <v>195</v>
      </c>
      <c r="C2289">
        <v>36147.1</v>
      </c>
      <c r="D2289" t="s">
        <v>183</v>
      </c>
      <c r="E2289" t="s">
        <v>176</v>
      </c>
      <c r="F2289" t="s">
        <v>181</v>
      </c>
      <c r="G2289" t="s">
        <v>180</v>
      </c>
    </row>
    <row r="2290" spans="1:7">
      <c r="A2290">
        <v>2020</v>
      </c>
      <c r="B2290" t="s">
        <v>196</v>
      </c>
      <c r="C2290">
        <v>11402.3</v>
      </c>
      <c r="D2290" t="s">
        <v>183</v>
      </c>
      <c r="E2290" t="s">
        <v>176</v>
      </c>
      <c r="F2290" t="s">
        <v>181</v>
      </c>
      <c r="G2290" t="s">
        <v>180</v>
      </c>
    </row>
    <row r="2291" spans="1:7">
      <c r="A2291">
        <v>2021</v>
      </c>
      <c r="B2291" t="s">
        <v>196</v>
      </c>
      <c r="C2291">
        <v>19882.900000000001</v>
      </c>
      <c r="D2291" t="s">
        <v>183</v>
      </c>
      <c r="E2291" t="s">
        <v>176</v>
      </c>
      <c r="F2291" t="s">
        <v>181</v>
      </c>
      <c r="G2291" t="s">
        <v>180</v>
      </c>
    </row>
    <row r="2292" spans="1:7">
      <c r="A2292">
        <v>2022</v>
      </c>
      <c r="B2292" t="s">
        <v>196</v>
      </c>
      <c r="C2292">
        <v>19882.900000000001</v>
      </c>
      <c r="D2292" t="s">
        <v>183</v>
      </c>
      <c r="E2292" t="s">
        <v>176</v>
      </c>
      <c r="F2292" t="s">
        <v>181</v>
      </c>
      <c r="G2292" t="s">
        <v>180</v>
      </c>
    </row>
    <row r="2293" spans="1:7">
      <c r="A2293">
        <v>2023</v>
      </c>
      <c r="B2293" t="s">
        <v>196</v>
      </c>
      <c r="C2293">
        <v>12910.3</v>
      </c>
      <c r="D2293" t="s">
        <v>183</v>
      </c>
      <c r="E2293" t="s">
        <v>176</v>
      </c>
      <c r="F2293" t="s">
        <v>181</v>
      </c>
      <c r="G2293" t="s">
        <v>180</v>
      </c>
    </row>
    <row r="2294" spans="1:7">
      <c r="A2294">
        <v>2024</v>
      </c>
      <c r="B2294" t="s">
        <v>196</v>
      </c>
      <c r="C2294">
        <v>12910.3</v>
      </c>
      <c r="D2294" t="s">
        <v>183</v>
      </c>
      <c r="E2294" t="s">
        <v>176</v>
      </c>
      <c r="F2294" t="s">
        <v>181</v>
      </c>
      <c r="G2294" t="s">
        <v>180</v>
      </c>
    </row>
    <row r="2295" spans="1:7">
      <c r="A2295">
        <v>2025</v>
      </c>
      <c r="B2295" t="s">
        <v>196</v>
      </c>
      <c r="C2295">
        <v>33532.199999999997</v>
      </c>
      <c r="D2295" t="s">
        <v>183</v>
      </c>
      <c r="E2295" t="s">
        <v>176</v>
      </c>
      <c r="F2295" t="s">
        <v>181</v>
      </c>
      <c r="G2295" t="s">
        <v>180</v>
      </c>
    </row>
    <row r="2296" spans="1:7">
      <c r="A2296">
        <v>2026</v>
      </c>
      <c r="B2296" t="s">
        <v>196</v>
      </c>
      <c r="C2296">
        <v>33532.199999999997</v>
      </c>
      <c r="D2296" t="s">
        <v>183</v>
      </c>
      <c r="E2296" t="s">
        <v>176</v>
      </c>
      <c r="F2296" t="s">
        <v>181</v>
      </c>
      <c r="G2296" t="s">
        <v>180</v>
      </c>
    </row>
    <row r="2297" spans="1:7">
      <c r="A2297">
        <v>2027</v>
      </c>
      <c r="B2297" t="s">
        <v>196</v>
      </c>
      <c r="C2297">
        <v>30198.2</v>
      </c>
      <c r="D2297" t="s">
        <v>183</v>
      </c>
      <c r="E2297" t="s">
        <v>176</v>
      </c>
      <c r="F2297" t="s">
        <v>181</v>
      </c>
      <c r="G2297" t="s">
        <v>180</v>
      </c>
    </row>
    <row r="2298" spans="1:7">
      <c r="A2298">
        <v>2028</v>
      </c>
      <c r="B2298" t="s">
        <v>196</v>
      </c>
      <c r="C2298">
        <v>30198.2</v>
      </c>
      <c r="D2298" t="s">
        <v>183</v>
      </c>
      <c r="E2298" t="s">
        <v>176</v>
      </c>
      <c r="F2298" t="s">
        <v>181</v>
      </c>
      <c r="G2298" t="s">
        <v>180</v>
      </c>
    </row>
    <row r="2299" spans="1:7">
      <c r="A2299">
        <v>2029</v>
      </c>
      <c r="B2299" t="s">
        <v>196</v>
      </c>
      <c r="C2299">
        <v>38087.4</v>
      </c>
      <c r="D2299" t="s">
        <v>183</v>
      </c>
      <c r="E2299" t="s">
        <v>176</v>
      </c>
      <c r="F2299" t="s">
        <v>181</v>
      </c>
      <c r="G2299" t="s">
        <v>180</v>
      </c>
    </row>
    <row r="2300" spans="1:7">
      <c r="A2300">
        <v>2030</v>
      </c>
      <c r="B2300" t="s">
        <v>196</v>
      </c>
      <c r="C2300">
        <v>38087.4</v>
      </c>
      <c r="D2300" t="s">
        <v>183</v>
      </c>
      <c r="E2300" t="s">
        <v>176</v>
      </c>
      <c r="F2300" t="s">
        <v>181</v>
      </c>
      <c r="G2300" t="s">
        <v>180</v>
      </c>
    </row>
    <row r="2301" spans="1:7">
      <c r="A2301">
        <v>2031</v>
      </c>
      <c r="B2301" t="s">
        <v>196</v>
      </c>
      <c r="C2301">
        <v>48234.1</v>
      </c>
      <c r="D2301" t="s">
        <v>183</v>
      </c>
      <c r="E2301" t="s">
        <v>176</v>
      </c>
      <c r="F2301" t="s">
        <v>181</v>
      </c>
      <c r="G2301" t="s">
        <v>180</v>
      </c>
    </row>
    <row r="2302" spans="1:7">
      <c r="A2302">
        <v>2032</v>
      </c>
      <c r="B2302" t="s">
        <v>196</v>
      </c>
      <c r="C2302">
        <v>48234.1</v>
      </c>
      <c r="D2302" t="s">
        <v>183</v>
      </c>
      <c r="E2302" t="s">
        <v>176</v>
      </c>
      <c r="F2302" t="s">
        <v>181</v>
      </c>
      <c r="G2302" t="s">
        <v>180</v>
      </c>
    </row>
    <row r="2303" spans="1:7">
      <c r="A2303">
        <v>2033</v>
      </c>
      <c r="B2303" t="s">
        <v>196</v>
      </c>
      <c r="C2303">
        <v>53124.2</v>
      </c>
      <c r="D2303" t="s">
        <v>183</v>
      </c>
      <c r="E2303" t="s">
        <v>176</v>
      </c>
      <c r="F2303" t="s">
        <v>181</v>
      </c>
      <c r="G2303" t="s">
        <v>180</v>
      </c>
    </row>
    <row r="2304" spans="1:7">
      <c r="A2304">
        <v>2034</v>
      </c>
      <c r="B2304" t="s">
        <v>196</v>
      </c>
      <c r="C2304">
        <v>53124.2</v>
      </c>
      <c r="D2304" t="s">
        <v>183</v>
      </c>
      <c r="E2304" t="s">
        <v>176</v>
      </c>
      <c r="F2304" t="s">
        <v>181</v>
      </c>
      <c r="G2304" t="s">
        <v>180</v>
      </c>
    </row>
    <row r="2305" spans="1:7">
      <c r="A2305">
        <v>2035</v>
      </c>
      <c r="B2305" t="s">
        <v>196</v>
      </c>
      <c r="C2305">
        <v>53124.2</v>
      </c>
      <c r="D2305" t="s">
        <v>183</v>
      </c>
      <c r="E2305" t="s">
        <v>176</v>
      </c>
      <c r="F2305" t="s">
        <v>181</v>
      </c>
      <c r="G2305" t="s">
        <v>180</v>
      </c>
    </row>
    <row r="2306" spans="1:7">
      <c r="A2306">
        <v>2020</v>
      </c>
      <c r="B2306" t="s">
        <v>188</v>
      </c>
      <c r="C2306">
        <v>102.45</v>
      </c>
      <c r="D2306" t="s">
        <v>175</v>
      </c>
      <c r="E2306" t="s">
        <v>176</v>
      </c>
      <c r="F2306" t="s">
        <v>181</v>
      </c>
      <c r="G2306" t="s">
        <v>178</v>
      </c>
    </row>
    <row r="2307" spans="1:7">
      <c r="A2307">
        <v>2021</v>
      </c>
      <c r="B2307" t="s">
        <v>188</v>
      </c>
      <c r="C2307">
        <v>9.5</v>
      </c>
      <c r="D2307" t="s">
        <v>175</v>
      </c>
      <c r="E2307" t="s">
        <v>176</v>
      </c>
      <c r="F2307" t="s">
        <v>181</v>
      </c>
      <c r="G2307" t="s">
        <v>178</v>
      </c>
    </row>
    <row r="2308" spans="1:7">
      <c r="A2308">
        <v>2022</v>
      </c>
      <c r="B2308" t="s">
        <v>188</v>
      </c>
      <c r="C2308">
        <v>9.5</v>
      </c>
      <c r="D2308" t="s">
        <v>175</v>
      </c>
      <c r="E2308" t="s">
        <v>176</v>
      </c>
      <c r="F2308" t="s">
        <v>181</v>
      </c>
      <c r="G2308" t="s">
        <v>178</v>
      </c>
    </row>
    <row r="2309" spans="1:7">
      <c r="A2309">
        <v>2023</v>
      </c>
      <c r="B2309" t="s">
        <v>188</v>
      </c>
      <c r="C2309">
        <v>0</v>
      </c>
      <c r="D2309" t="s">
        <v>175</v>
      </c>
      <c r="E2309" t="s">
        <v>176</v>
      </c>
      <c r="F2309" t="s">
        <v>181</v>
      </c>
      <c r="G2309" t="s">
        <v>178</v>
      </c>
    </row>
    <row r="2310" spans="1:7">
      <c r="A2310">
        <v>2024</v>
      </c>
      <c r="B2310" t="s">
        <v>188</v>
      </c>
      <c r="C2310">
        <v>0</v>
      </c>
      <c r="D2310" t="s">
        <v>175</v>
      </c>
      <c r="E2310" t="s">
        <v>176</v>
      </c>
      <c r="F2310" t="s">
        <v>181</v>
      </c>
      <c r="G2310" t="s">
        <v>178</v>
      </c>
    </row>
    <row r="2311" spans="1:7">
      <c r="A2311">
        <v>2025</v>
      </c>
      <c r="B2311" t="s">
        <v>188</v>
      </c>
      <c r="C2311">
        <v>0</v>
      </c>
      <c r="D2311" t="s">
        <v>175</v>
      </c>
      <c r="E2311" t="s">
        <v>176</v>
      </c>
      <c r="F2311" t="s">
        <v>181</v>
      </c>
      <c r="G2311" t="s">
        <v>178</v>
      </c>
    </row>
    <row r="2312" spans="1:7">
      <c r="A2312">
        <v>2026</v>
      </c>
      <c r="B2312" t="s">
        <v>188</v>
      </c>
      <c r="C2312">
        <v>0</v>
      </c>
      <c r="D2312" t="s">
        <v>175</v>
      </c>
      <c r="E2312" t="s">
        <v>176</v>
      </c>
      <c r="F2312" t="s">
        <v>181</v>
      </c>
      <c r="G2312" t="s">
        <v>178</v>
      </c>
    </row>
    <row r="2313" spans="1:7">
      <c r="A2313">
        <v>2027</v>
      </c>
      <c r="B2313" t="s">
        <v>188</v>
      </c>
      <c r="C2313">
        <v>0</v>
      </c>
      <c r="D2313" t="s">
        <v>175</v>
      </c>
      <c r="E2313" t="s">
        <v>176</v>
      </c>
      <c r="F2313" t="s">
        <v>181</v>
      </c>
      <c r="G2313" t="s">
        <v>178</v>
      </c>
    </row>
    <row r="2314" spans="1:7">
      <c r="A2314">
        <v>2028</v>
      </c>
      <c r="B2314" t="s">
        <v>188</v>
      </c>
      <c r="C2314">
        <v>0</v>
      </c>
      <c r="D2314" t="s">
        <v>175</v>
      </c>
      <c r="E2314" t="s">
        <v>176</v>
      </c>
      <c r="F2314" t="s">
        <v>181</v>
      </c>
      <c r="G2314" t="s">
        <v>178</v>
      </c>
    </row>
    <row r="2315" spans="1:7">
      <c r="A2315">
        <v>2029</v>
      </c>
      <c r="B2315" t="s">
        <v>188</v>
      </c>
      <c r="C2315">
        <v>0</v>
      </c>
      <c r="D2315" t="s">
        <v>175</v>
      </c>
      <c r="E2315" t="s">
        <v>176</v>
      </c>
      <c r="F2315" t="s">
        <v>181</v>
      </c>
      <c r="G2315" t="s">
        <v>178</v>
      </c>
    </row>
    <row r="2316" spans="1:7">
      <c r="A2316">
        <v>2030</v>
      </c>
      <c r="B2316" t="s">
        <v>188</v>
      </c>
      <c r="C2316">
        <v>0</v>
      </c>
      <c r="D2316" t="s">
        <v>175</v>
      </c>
      <c r="E2316" t="s">
        <v>176</v>
      </c>
      <c r="F2316" t="s">
        <v>181</v>
      </c>
      <c r="G2316" t="s">
        <v>178</v>
      </c>
    </row>
    <row r="2317" spans="1:7">
      <c r="A2317">
        <v>2031</v>
      </c>
      <c r="B2317" t="s">
        <v>188</v>
      </c>
      <c r="C2317">
        <v>0</v>
      </c>
      <c r="D2317" t="s">
        <v>175</v>
      </c>
      <c r="E2317" t="s">
        <v>176</v>
      </c>
      <c r="F2317" t="s">
        <v>181</v>
      </c>
      <c r="G2317" t="s">
        <v>178</v>
      </c>
    </row>
    <row r="2318" spans="1:7">
      <c r="A2318">
        <v>2032</v>
      </c>
      <c r="B2318" t="s">
        <v>188</v>
      </c>
      <c r="C2318">
        <v>0</v>
      </c>
      <c r="D2318" t="s">
        <v>175</v>
      </c>
      <c r="E2318" t="s">
        <v>176</v>
      </c>
      <c r="F2318" t="s">
        <v>181</v>
      </c>
      <c r="G2318" t="s">
        <v>178</v>
      </c>
    </row>
    <row r="2319" spans="1:7">
      <c r="A2319">
        <v>2033</v>
      </c>
      <c r="B2319" t="s">
        <v>188</v>
      </c>
      <c r="C2319">
        <v>0</v>
      </c>
      <c r="D2319" t="s">
        <v>175</v>
      </c>
      <c r="E2319" t="s">
        <v>176</v>
      </c>
      <c r="F2319" t="s">
        <v>181</v>
      </c>
      <c r="G2319" t="s">
        <v>178</v>
      </c>
    </row>
    <row r="2320" spans="1:7">
      <c r="A2320">
        <v>2034</v>
      </c>
      <c r="B2320" t="s">
        <v>188</v>
      </c>
      <c r="C2320">
        <v>0</v>
      </c>
      <c r="D2320" t="s">
        <v>175</v>
      </c>
      <c r="E2320" t="s">
        <v>176</v>
      </c>
      <c r="F2320" t="s">
        <v>181</v>
      </c>
      <c r="G2320" t="s">
        <v>178</v>
      </c>
    </row>
    <row r="2321" spans="1:7">
      <c r="A2321">
        <v>2035</v>
      </c>
      <c r="B2321" t="s">
        <v>188</v>
      </c>
      <c r="C2321">
        <v>0</v>
      </c>
      <c r="D2321" t="s">
        <v>175</v>
      </c>
      <c r="E2321" t="s">
        <v>176</v>
      </c>
      <c r="F2321" t="s">
        <v>181</v>
      </c>
      <c r="G2321" t="s">
        <v>178</v>
      </c>
    </row>
    <row r="2322" spans="1:7">
      <c r="A2322">
        <v>2020</v>
      </c>
      <c r="B2322" t="s">
        <v>189</v>
      </c>
      <c r="C2322">
        <v>0</v>
      </c>
      <c r="D2322" t="s">
        <v>175</v>
      </c>
      <c r="E2322" t="s">
        <v>176</v>
      </c>
      <c r="F2322" t="s">
        <v>181</v>
      </c>
      <c r="G2322" t="s">
        <v>178</v>
      </c>
    </row>
    <row r="2323" spans="1:7">
      <c r="A2323">
        <v>2021</v>
      </c>
      <c r="B2323" t="s">
        <v>189</v>
      </c>
      <c r="C2323">
        <v>0</v>
      </c>
      <c r="D2323" t="s">
        <v>175</v>
      </c>
      <c r="E2323" t="s">
        <v>176</v>
      </c>
      <c r="F2323" t="s">
        <v>181</v>
      </c>
      <c r="G2323" t="s">
        <v>178</v>
      </c>
    </row>
    <row r="2324" spans="1:7">
      <c r="A2324">
        <v>2022</v>
      </c>
      <c r="B2324" t="s">
        <v>189</v>
      </c>
      <c r="C2324">
        <v>0</v>
      </c>
      <c r="D2324" t="s">
        <v>175</v>
      </c>
      <c r="E2324" t="s">
        <v>176</v>
      </c>
      <c r="F2324" t="s">
        <v>181</v>
      </c>
      <c r="G2324" t="s">
        <v>178</v>
      </c>
    </row>
    <row r="2325" spans="1:7">
      <c r="A2325">
        <v>2023</v>
      </c>
      <c r="B2325" t="s">
        <v>189</v>
      </c>
      <c r="C2325">
        <v>0</v>
      </c>
      <c r="D2325" t="s">
        <v>175</v>
      </c>
      <c r="E2325" t="s">
        <v>176</v>
      </c>
      <c r="F2325" t="s">
        <v>181</v>
      </c>
      <c r="G2325" t="s">
        <v>178</v>
      </c>
    </row>
    <row r="2326" spans="1:7">
      <c r="A2326">
        <v>2024</v>
      </c>
      <c r="B2326" t="s">
        <v>189</v>
      </c>
      <c r="C2326">
        <v>0</v>
      </c>
      <c r="D2326" t="s">
        <v>175</v>
      </c>
      <c r="E2326" t="s">
        <v>176</v>
      </c>
      <c r="F2326" t="s">
        <v>181</v>
      </c>
      <c r="G2326" t="s">
        <v>178</v>
      </c>
    </row>
    <row r="2327" spans="1:7">
      <c r="A2327">
        <v>2025</v>
      </c>
      <c r="B2327" t="s">
        <v>189</v>
      </c>
      <c r="C2327">
        <v>0</v>
      </c>
      <c r="D2327" t="s">
        <v>175</v>
      </c>
      <c r="E2327" t="s">
        <v>176</v>
      </c>
      <c r="F2327" t="s">
        <v>181</v>
      </c>
      <c r="G2327" t="s">
        <v>178</v>
      </c>
    </row>
    <row r="2328" spans="1:7">
      <c r="A2328">
        <v>2026</v>
      </c>
      <c r="B2328" t="s">
        <v>189</v>
      </c>
      <c r="C2328">
        <v>0</v>
      </c>
      <c r="D2328" t="s">
        <v>175</v>
      </c>
      <c r="E2328" t="s">
        <v>176</v>
      </c>
      <c r="F2328" t="s">
        <v>181</v>
      </c>
      <c r="G2328" t="s">
        <v>178</v>
      </c>
    </row>
    <row r="2329" spans="1:7">
      <c r="A2329">
        <v>2027</v>
      </c>
      <c r="B2329" t="s">
        <v>189</v>
      </c>
      <c r="C2329">
        <v>0</v>
      </c>
      <c r="D2329" t="s">
        <v>175</v>
      </c>
      <c r="E2329" t="s">
        <v>176</v>
      </c>
      <c r="F2329" t="s">
        <v>181</v>
      </c>
      <c r="G2329" t="s">
        <v>178</v>
      </c>
    </row>
    <row r="2330" spans="1:7">
      <c r="A2330">
        <v>2028</v>
      </c>
      <c r="B2330" t="s">
        <v>189</v>
      </c>
      <c r="C2330">
        <v>0</v>
      </c>
      <c r="D2330" t="s">
        <v>175</v>
      </c>
      <c r="E2330" t="s">
        <v>176</v>
      </c>
      <c r="F2330" t="s">
        <v>181</v>
      </c>
      <c r="G2330" t="s">
        <v>178</v>
      </c>
    </row>
    <row r="2331" spans="1:7">
      <c r="A2331">
        <v>2029</v>
      </c>
      <c r="B2331" t="s">
        <v>189</v>
      </c>
      <c r="C2331">
        <v>0</v>
      </c>
      <c r="D2331" t="s">
        <v>175</v>
      </c>
      <c r="E2331" t="s">
        <v>176</v>
      </c>
      <c r="F2331" t="s">
        <v>181</v>
      </c>
      <c r="G2331" t="s">
        <v>178</v>
      </c>
    </row>
    <row r="2332" spans="1:7">
      <c r="A2332">
        <v>2030</v>
      </c>
      <c r="B2332" t="s">
        <v>189</v>
      </c>
      <c r="C2332">
        <v>0</v>
      </c>
      <c r="D2332" t="s">
        <v>175</v>
      </c>
      <c r="E2332" t="s">
        <v>176</v>
      </c>
      <c r="F2332" t="s">
        <v>181</v>
      </c>
      <c r="G2332" t="s">
        <v>178</v>
      </c>
    </row>
    <row r="2333" spans="1:7">
      <c r="A2333">
        <v>2031</v>
      </c>
      <c r="B2333" t="s">
        <v>189</v>
      </c>
      <c r="C2333">
        <v>0</v>
      </c>
      <c r="D2333" t="s">
        <v>175</v>
      </c>
      <c r="E2333" t="s">
        <v>176</v>
      </c>
      <c r="F2333" t="s">
        <v>181</v>
      </c>
      <c r="G2333" t="s">
        <v>178</v>
      </c>
    </row>
    <row r="2334" spans="1:7">
      <c r="A2334">
        <v>2032</v>
      </c>
      <c r="B2334" t="s">
        <v>189</v>
      </c>
      <c r="C2334">
        <v>0</v>
      </c>
      <c r="D2334" t="s">
        <v>175</v>
      </c>
      <c r="E2334" t="s">
        <v>176</v>
      </c>
      <c r="F2334" t="s">
        <v>181</v>
      </c>
      <c r="G2334" t="s">
        <v>178</v>
      </c>
    </row>
    <row r="2335" spans="1:7">
      <c r="A2335">
        <v>2033</v>
      </c>
      <c r="B2335" t="s">
        <v>189</v>
      </c>
      <c r="C2335">
        <v>0</v>
      </c>
      <c r="D2335" t="s">
        <v>175</v>
      </c>
      <c r="E2335" t="s">
        <v>176</v>
      </c>
      <c r="F2335" t="s">
        <v>181</v>
      </c>
      <c r="G2335" t="s">
        <v>178</v>
      </c>
    </row>
    <row r="2336" spans="1:7">
      <c r="A2336">
        <v>2034</v>
      </c>
      <c r="B2336" t="s">
        <v>189</v>
      </c>
      <c r="C2336">
        <v>0</v>
      </c>
      <c r="D2336" t="s">
        <v>175</v>
      </c>
      <c r="E2336" t="s">
        <v>176</v>
      </c>
      <c r="F2336" t="s">
        <v>181</v>
      </c>
      <c r="G2336" t="s">
        <v>178</v>
      </c>
    </row>
    <row r="2337" spans="1:7">
      <c r="A2337">
        <v>2035</v>
      </c>
      <c r="B2337" t="s">
        <v>189</v>
      </c>
      <c r="C2337">
        <v>0</v>
      </c>
      <c r="D2337" t="s">
        <v>175</v>
      </c>
      <c r="E2337" t="s">
        <v>176</v>
      </c>
      <c r="F2337" t="s">
        <v>181</v>
      </c>
      <c r="G2337" t="s">
        <v>178</v>
      </c>
    </row>
    <row r="2338" spans="1:7">
      <c r="A2338">
        <v>2020</v>
      </c>
      <c r="B2338" t="s">
        <v>190</v>
      </c>
      <c r="C2338">
        <v>11184.73</v>
      </c>
      <c r="D2338" t="s">
        <v>175</v>
      </c>
      <c r="E2338" t="s">
        <v>176</v>
      </c>
      <c r="F2338" t="s">
        <v>181</v>
      </c>
      <c r="G2338" t="s">
        <v>178</v>
      </c>
    </row>
    <row r="2339" spans="1:7">
      <c r="A2339">
        <v>2021</v>
      </c>
      <c r="B2339" t="s">
        <v>190</v>
      </c>
      <c r="C2339">
        <v>0</v>
      </c>
      <c r="D2339" t="s">
        <v>175</v>
      </c>
      <c r="E2339" t="s">
        <v>176</v>
      </c>
      <c r="F2339" t="s">
        <v>181</v>
      </c>
      <c r="G2339" t="s">
        <v>178</v>
      </c>
    </row>
    <row r="2340" spans="1:7">
      <c r="A2340">
        <v>2022</v>
      </c>
      <c r="B2340" t="s">
        <v>190</v>
      </c>
      <c r="C2340">
        <v>0</v>
      </c>
      <c r="D2340" t="s">
        <v>175</v>
      </c>
      <c r="E2340" t="s">
        <v>176</v>
      </c>
      <c r="F2340" t="s">
        <v>181</v>
      </c>
      <c r="G2340" t="s">
        <v>178</v>
      </c>
    </row>
    <row r="2341" spans="1:7">
      <c r="A2341">
        <v>2023</v>
      </c>
      <c r="B2341" t="s">
        <v>190</v>
      </c>
      <c r="C2341">
        <v>0</v>
      </c>
      <c r="D2341" t="s">
        <v>175</v>
      </c>
      <c r="E2341" t="s">
        <v>176</v>
      </c>
      <c r="F2341" t="s">
        <v>181</v>
      </c>
      <c r="G2341" t="s">
        <v>178</v>
      </c>
    </row>
    <row r="2342" spans="1:7">
      <c r="A2342">
        <v>2024</v>
      </c>
      <c r="B2342" t="s">
        <v>190</v>
      </c>
      <c r="C2342">
        <v>0</v>
      </c>
      <c r="D2342" t="s">
        <v>175</v>
      </c>
      <c r="E2342" t="s">
        <v>176</v>
      </c>
      <c r="F2342" t="s">
        <v>181</v>
      </c>
      <c r="G2342" t="s">
        <v>178</v>
      </c>
    </row>
    <row r="2343" spans="1:7">
      <c r="A2343">
        <v>2025</v>
      </c>
      <c r="B2343" t="s">
        <v>190</v>
      </c>
      <c r="C2343">
        <v>0</v>
      </c>
      <c r="D2343" t="s">
        <v>175</v>
      </c>
      <c r="E2343" t="s">
        <v>176</v>
      </c>
      <c r="F2343" t="s">
        <v>181</v>
      </c>
      <c r="G2343" t="s">
        <v>178</v>
      </c>
    </row>
    <row r="2344" spans="1:7">
      <c r="A2344">
        <v>2026</v>
      </c>
      <c r="B2344" t="s">
        <v>190</v>
      </c>
      <c r="C2344">
        <v>0</v>
      </c>
      <c r="D2344" t="s">
        <v>175</v>
      </c>
      <c r="E2344" t="s">
        <v>176</v>
      </c>
      <c r="F2344" t="s">
        <v>181</v>
      </c>
      <c r="G2344" t="s">
        <v>178</v>
      </c>
    </row>
    <row r="2345" spans="1:7">
      <c r="A2345">
        <v>2027</v>
      </c>
      <c r="B2345" t="s">
        <v>190</v>
      </c>
      <c r="C2345">
        <v>0</v>
      </c>
      <c r="D2345" t="s">
        <v>175</v>
      </c>
      <c r="E2345" t="s">
        <v>176</v>
      </c>
      <c r="F2345" t="s">
        <v>181</v>
      </c>
      <c r="G2345" t="s">
        <v>178</v>
      </c>
    </row>
    <row r="2346" spans="1:7">
      <c r="A2346">
        <v>2028</v>
      </c>
      <c r="B2346" t="s">
        <v>190</v>
      </c>
      <c r="C2346">
        <v>0</v>
      </c>
      <c r="D2346" t="s">
        <v>175</v>
      </c>
      <c r="E2346" t="s">
        <v>176</v>
      </c>
      <c r="F2346" t="s">
        <v>181</v>
      </c>
      <c r="G2346" t="s">
        <v>178</v>
      </c>
    </row>
    <row r="2347" spans="1:7">
      <c r="A2347">
        <v>2029</v>
      </c>
      <c r="B2347" t="s">
        <v>190</v>
      </c>
      <c r="C2347">
        <v>0</v>
      </c>
      <c r="D2347" t="s">
        <v>175</v>
      </c>
      <c r="E2347" t="s">
        <v>176</v>
      </c>
      <c r="F2347" t="s">
        <v>181</v>
      </c>
      <c r="G2347" t="s">
        <v>178</v>
      </c>
    </row>
    <row r="2348" spans="1:7">
      <c r="A2348">
        <v>2030</v>
      </c>
      <c r="B2348" t="s">
        <v>190</v>
      </c>
      <c r="C2348">
        <v>0</v>
      </c>
      <c r="D2348" t="s">
        <v>175</v>
      </c>
      <c r="E2348" t="s">
        <v>176</v>
      </c>
      <c r="F2348" t="s">
        <v>181</v>
      </c>
      <c r="G2348" t="s">
        <v>178</v>
      </c>
    </row>
    <row r="2349" spans="1:7">
      <c r="A2349">
        <v>2031</v>
      </c>
      <c r="B2349" t="s">
        <v>190</v>
      </c>
      <c r="C2349">
        <v>0</v>
      </c>
      <c r="D2349" t="s">
        <v>175</v>
      </c>
      <c r="E2349" t="s">
        <v>176</v>
      </c>
      <c r="F2349" t="s">
        <v>181</v>
      </c>
      <c r="G2349" t="s">
        <v>178</v>
      </c>
    </row>
    <row r="2350" spans="1:7">
      <c r="A2350">
        <v>2032</v>
      </c>
      <c r="B2350" t="s">
        <v>190</v>
      </c>
      <c r="C2350">
        <v>0</v>
      </c>
      <c r="D2350" t="s">
        <v>175</v>
      </c>
      <c r="E2350" t="s">
        <v>176</v>
      </c>
      <c r="F2350" t="s">
        <v>181</v>
      </c>
      <c r="G2350" t="s">
        <v>178</v>
      </c>
    </row>
    <row r="2351" spans="1:7">
      <c r="A2351">
        <v>2033</v>
      </c>
      <c r="B2351" t="s">
        <v>190</v>
      </c>
      <c r="C2351">
        <v>0</v>
      </c>
      <c r="D2351" t="s">
        <v>175</v>
      </c>
      <c r="E2351" t="s">
        <v>176</v>
      </c>
      <c r="F2351" t="s">
        <v>181</v>
      </c>
      <c r="G2351" t="s">
        <v>178</v>
      </c>
    </row>
    <row r="2352" spans="1:7">
      <c r="A2352">
        <v>2034</v>
      </c>
      <c r="B2352" t="s">
        <v>190</v>
      </c>
      <c r="C2352">
        <v>0</v>
      </c>
      <c r="D2352" t="s">
        <v>175</v>
      </c>
      <c r="E2352" t="s">
        <v>176</v>
      </c>
      <c r="F2352" t="s">
        <v>181</v>
      </c>
      <c r="G2352" t="s">
        <v>178</v>
      </c>
    </row>
    <row r="2353" spans="1:7">
      <c r="A2353">
        <v>2035</v>
      </c>
      <c r="B2353" t="s">
        <v>190</v>
      </c>
      <c r="C2353">
        <v>0</v>
      </c>
      <c r="D2353" t="s">
        <v>175</v>
      </c>
      <c r="E2353" t="s">
        <v>176</v>
      </c>
      <c r="F2353" t="s">
        <v>181</v>
      </c>
      <c r="G2353" t="s">
        <v>178</v>
      </c>
    </row>
    <row r="2354" spans="1:7">
      <c r="A2354">
        <v>2020</v>
      </c>
      <c r="B2354" t="s">
        <v>191</v>
      </c>
      <c r="C2354">
        <v>0</v>
      </c>
      <c r="D2354" t="s">
        <v>175</v>
      </c>
      <c r="E2354" t="s">
        <v>176</v>
      </c>
      <c r="F2354" t="s">
        <v>181</v>
      </c>
      <c r="G2354" t="s">
        <v>178</v>
      </c>
    </row>
    <row r="2355" spans="1:7">
      <c r="A2355">
        <v>2021</v>
      </c>
      <c r="B2355" t="s">
        <v>191</v>
      </c>
      <c r="C2355">
        <v>0</v>
      </c>
      <c r="D2355" t="s">
        <v>175</v>
      </c>
      <c r="E2355" t="s">
        <v>176</v>
      </c>
      <c r="F2355" t="s">
        <v>181</v>
      </c>
      <c r="G2355" t="s">
        <v>178</v>
      </c>
    </row>
    <row r="2356" spans="1:7">
      <c r="A2356">
        <v>2022</v>
      </c>
      <c r="B2356" t="s">
        <v>191</v>
      </c>
      <c r="C2356">
        <v>0</v>
      </c>
      <c r="D2356" t="s">
        <v>175</v>
      </c>
      <c r="E2356" t="s">
        <v>176</v>
      </c>
      <c r="F2356" t="s">
        <v>181</v>
      </c>
      <c r="G2356" t="s">
        <v>178</v>
      </c>
    </row>
    <row r="2357" spans="1:7">
      <c r="A2357">
        <v>2023</v>
      </c>
      <c r="B2357" t="s">
        <v>191</v>
      </c>
      <c r="C2357">
        <v>0</v>
      </c>
      <c r="D2357" t="s">
        <v>175</v>
      </c>
      <c r="E2357" t="s">
        <v>176</v>
      </c>
      <c r="F2357" t="s">
        <v>181</v>
      </c>
      <c r="G2357" t="s">
        <v>178</v>
      </c>
    </row>
    <row r="2358" spans="1:7">
      <c r="A2358">
        <v>2024</v>
      </c>
      <c r="B2358" t="s">
        <v>191</v>
      </c>
      <c r="C2358">
        <v>0</v>
      </c>
      <c r="D2358" t="s">
        <v>175</v>
      </c>
      <c r="E2358" t="s">
        <v>176</v>
      </c>
      <c r="F2358" t="s">
        <v>181</v>
      </c>
      <c r="G2358" t="s">
        <v>178</v>
      </c>
    </row>
    <row r="2359" spans="1:7">
      <c r="A2359">
        <v>2025</v>
      </c>
      <c r="B2359" t="s">
        <v>191</v>
      </c>
      <c r="C2359">
        <v>0</v>
      </c>
      <c r="D2359" t="s">
        <v>175</v>
      </c>
      <c r="E2359" t="s">
        <v>176</v>
      </c>
      <c r="F2359" t="s">
        <v>181</v>
      </c>
      <c r="G2359" t="s">
        <v>178</v>
      </c>
    </row>
    <row r="2360" spans="1:7">
      <c r="A2360">
        <v>2026</v>
      </c>
      <c r="B2360" t="s">
        <v>191</v>
      </c>
      <c r="C2360">
        <v>0</v>
      </c>
      <c r="D2360" t="s">
        <v>175</v>
      </c>
      <c r="E2360" t="s">
        <v>176</v>
      </c>
      <c r="F2360" t="s">
        <v>181</v>
      </c>
      <c r="G2360" t="s">
        <v>178</v>
      </c>
    </row>
    <row r="2361" spans="1:7">
      <c r="A2361">
        <v>2027</v>
      </c>
      <c r="B2361" t="s">
        <v>191</v>
      </c>
      <c r="C2361">
        <v>0</v>
      </c>
      <c r="D2361" t="s">
        <v>175</v>
      </c>
      <c r="E2361" t="s">
        <v>176</v>
      </c>
      <c r="F2361" t="s">
        <v>181</v>
      </c>
      <c r="G2361" t="s">
        <v>178</v>
      </c>
    </row>
    <row r="2362" spans="1:7">
      <c r="A2362">
        <v>2028</v>
      </c>
      <c r="B2362" t="s">
        <v>191</v>
      </c>
      <c r="C2362">
        <v>0</v>
      </c>
      <c r="D2362" t="s">
        <v>175</v>
      </c>
      <c r="E2362" t="s">
        <v>176</v>
      </c>
      <c r="F2362" t="s">
        <v>181</v>
      </c>
      <c r="G2362" t="s">
        <v>178</v>
      </c>
    </row>
    <row r="2363" spans="1:7">
      <c r="A2363">
        <v>2029</v>
      </c>
      <c r="B2363" t="s">
        <v>191</v>
      </c>
      <c r="C2363">
        <v>0</v>
      </c>
      <c r="D2363" t="s">
        <v>175</v>
      </c>
      <c r="E2363" t="s">
        <v>176</v>
      </c>
      <c r="F2363" t="s">
        <v>181</v>
      </c>
      <c r="G2363" t="s">
        <v>178</v>
      </c>
    </row>
    <row r="2364" spans="1:7">
      <c r="A2364">
        <v>2030</v>
      </c>
      <c r="B2364" t="s">
        <v>191</v>
      </c>
      <c r="C2364">
        <v>0</v>
      </c>
      <c r="D2364" t="s">
        <v>175</v>
      </c>
      <c r="E2364" t="s">
        <v>176</v>
      </c>
      <c r="F2364" t="s">
        <v>181</v>
      </c>
      <c r="G2364" t="s">
        <v>178</v>
      </c>
    </row>
    <row r="2365" spans="1:7">
      <c r="A2365">
        <v>2031</v>
      </c>
      <c r="B2365" t="s">
        <v>191</v>
      </c>
      <c r="C2365">
        <v>0</v>
      </c>
      <c r="D2365" t="s">
        <v>175</v>
      </c>
      <c r="E2365" t="s">
        <v>176</v>
      </c>
      <c r="F2365" t="s">
        <v>181</v>
      </c>
      <c r="G2365" t="s">
        <v>178</v>
      </c>
    </row>
    <row r="2366" spans="1:7">
      <c r="A2366">
        <v>2032</v>
      </c>
      <c r="B2366" t="s">
        <v>191</v>
      </c>
      <c r="C2366">
        <v>0</v>
      </c>
      <c r="D2366" t="s">
        <v>175</v>
      </c>
      <c r="E2366" t="s">
        <v>176</v>
      </c>
      <c r="F2366" t="s">
        <v>181</v>
      </c>
      <c r="G2366" t="s">
        <v>178</v>
      </c>
    </row>
    <row r="2367" spans="1:7">
      <c r="A2367">
        <v>2033</v>
      </c>
      <c r="B2367" t="s">
        <v>191</v>
      </c>
      <c r="C2367">
        <v>0</v>
      </c>
      <c r="D2367" t="s">
        <v>175</v>
      </c>
      <c r="E2367" t="s">
        <v>176</v>
      </c>
      <c r="F2367" t="s">
        <v>181</v>
      </c>
      <c r="G2367" t="s">
        <v>178</v>
      </c>
    </row>
    <row r="2368" spans="1:7">
      <c r="A2368">
        <v>2034</v>
      </c>
      <c r="B2368" t="s">
        <v>191</v>
      </c>
      <c r="C2368">
        <v>0</v>
      </c>
      <c r="D2368" t="s">
        <v>175</v>
      </c>
      <c r="E2368" t="s">
        <v>176</v>
      </c>
      <c r="F2368" t="s">
        <v>181</v>
      </c>
      <c r="G2368" t="s">
        <v>178</v>
      </c>
    </row>
    <row r="2369" spans="1:7">
      <c r="A2369">
        <v>2035</v>
      </c>
      <c r="B2369" t="s">
        <v>191</v>
      </c>
      <c r="C2369">
        <v>0</v>
      </c>
      <c r="D2369" t="s">
        <v>175</v>
      </c>
      <c r="E2369" t="s">
        <v>176</v>
      </c>
      <c r="F2369" t="s">
        <v>181</v>
      </c>
      <c r="G2369" t="s">
        <v>178</v>
      </c>
    </row>
    <row r="2370" spans="1:7">
      <c r="A2370">
        <v>2020</v>
      </c>
      <c r="B2370" t="s">
        <v>192</v>
      </c>
      <c r="C2370">
        <v>2066.36</v>
      </c>
      <c r="D2370" t="s">
        <v>175</v>
      </c>
      <c r="E2370" t="s">
        <v>176</v>
      </c>
      <c r="F2370" t="s">
        <v>181</v>
      </c>
      <c r="G2370" t="s">
        <v>178</v>
      </c>
    </row>
    <row r="2371" spans="1:7">
      <c r="A2371">
        <v>2021</v>
      </c>
      <c r="B2371" t="s">
        <v>192</v>
      </c>
      <c r="C2371">
        <v>0.5</v>
      </c>
      <c r="D2371" t="s">
        <v>175</v>
      </c>
      <c r="E2371" t="s">
        <v>176</v>
      </c>
      <c r="F2371" t="s">
        <v>181</v>
      </c>
      <c r="G2371" t="s">
        <v>178</v>
      </c>
    </row>
    <row r="2372" spans="1:7">
      <c r="A2372">
        <v>2022</v>
      </c>
      <c r="B2372" t="s">
        <v>192</v>
      </c>
      <c r="C2372">
        <v>0.5</v>
      </c>
      <c r="D2372" t="s">
        <v>175</v>
      </c>
      <c r="E2372" t="s">
        <v>176</v>
      </c>
      <c r="F2372" t="s">
        <v>181</v>
      </c>
      <c r="G2372" t="s">
        <v>178</v>
      </c>
    </row>
    <row r="2373" spans="1:7">
      <c r="A2373">
        <v>2023</v>
      </c>
      <c r="B2373" t="s">
        <v>192</v>
      </c>
      <c r="C2373">
        <v>28.5</v>
      </c>
      <c r="D2373" t="s">
        <v>175</v>
      </c>
      <c r="E2373" t="s">
        <v>176</v>
      </c>
      <c r="F2373" t="s">
        <v>181</v>
      </c>
      <c r="G2373" t="s">
        <v>178</v>
      </c>
    </row>
    <row r="2374" spans="1:7">
      <c r="A2374">
        <v>2024</v>
      </c>
      <c r="B2374" t="s">
        <v>192</v>
      </c>
      <c r="C2374">
        <v>28.5</v>
      </c>
      <c r="D2374" t="s">
        <v>175</v>
      </c>
      <c r="E2374" t="s">
        <v>176</v>
      </c>
      <c r="F2374" t="s">
        <v>181</v>
      </c>
      <c r="G2374" t="s">
        <v>178</v>
      </c>
    </row>
    <row r="2375" spans="1:7">
      <c r="A2375">
        <v>2025</v>
      </c>
      <c r="B2375" t="s">
        <v>192</v>
      </c>
      <c r="C2375">
        <v>0</v>
      </c>
      <c r="D2375" t="s">
        <v>175</v>
      </c>
      <c r="E2375" t="s">
        <v>176</v>
      </c>
      <c r="F2375" t="s">
        <v>181</v>
      </c>
      <c r="G2375" t="s">
        <v>178</v>
      </c>
    </row>
    <row r="2376" spans="1:7">
      <c r="A2376">
        <v>2026</v>
      </c>
      <c r="B2376" t="s">
        <v>192</v>
      </c>
      <c r="C2376">
        <v>0</v>
      </c>
      <c r="D2376" t="s">
        <v>175</v>
      </c>
      <c r="E2376" t="s">
        <v>176</v>
      </c>
      <c r="F2376" t="s">
        <v>181</v>
      </c>
      <c r="G2376" t="s">
        <v>178</v>
      </c>
    </row>
    <row r="2377" spans="1:7">
      <c r="A2377">
        <v>2027</v>
      </c>
      <c r="B2377" t="s">
        <v>192</v>
      </c>
      <c r="C2377">
        <v>0</v>
      </c>
      <c r="D2377" t="s">
        <v>175</v>
      </c>
      <c r="E2377" t="s">
        <v>176</v>
      </c>
      <c r="F2377" t="s">
        <v>181</v>
      </c>
      <c r="G2377" t="s">
        <v>178</v>
      </c>
    </row>
    <row r="2378" spans="1:7">
      <c r="A2378">
        <v>2028</v>
      </c>
      <c r="B2378" t="s">
        <v>192</v>
      </c>
      <c r="C2378">
        <v>0</v>
      </c>
      <c r="D2378" t="s">
        <v>175</v>
      </c>
      <c r="E2378" t="s">
        <v>176</v>
      </c>
      <c r="F2378" t="s">
        <v>181</v>
      </c>
      <c r="G2378" t="s">
        <v>178</v>
      </c>
    </row>
    <row r="2379" spans="1:7">
      <c r="A2379">
        <v>2029</v>
      </c>
      <c r="B2379" t="s">
        <v>192</v>
      </c>
      <c r="C2379">
        <v>0</v>
      </c>
      <c r="D2379" t="s">
        <v>175</v>
      </c>
      <c r="E2379" t="s">
        <v>176</v>
      </c>
      <c r="F2379" t="s">
        <v>181</v>
      </c>
      <c r="G2379" t="s">
        <v>178</v>
      </c>
    </row>
    <row r="2380" spans="1:7">
      <c r="A2380">
        <v>2030</v>
      </c>
      <c r="B2380" t="s">
        <v>192</v>
      </c>
      <c r="C2380">
        <v>0</v>
      </c>
      <c r="D2380" t="s">
        <v>175</v>
      </c>
      <c r="E2380" t="s">
        <v>176</v>
      </c>
      <c r="F2380" t="s">
        <v>181</v>
      </c>
      <c r="G2380" t="s">
        <v>178</v>
      </c>
    </row>
    <row r="2381" spans="1:7">
      <c r="A2381">
        <v>2031</v>
      </c>
      <c r="B2381" t="s">
        <v>192</v>
      </c>
      <c r="C2381">
        <v>0</v>
      </c>
      <c r="D2381" t="s">
        <v>175</v>
      </c>
      <c r="E2381" t="s">
        <v>176</v>
      </c>
      <c r="F2381" t="s">
        <v>181</v>
      </c>
      <c r="G2381" t="s">
        <v>178</v>
      </c>
    </row>
    <row r="2382" spans="1:7">
      <c r="A2382">
        <v>2032</v>
      </c>
      <c r="B2382" t="s">
        <v>192</v>
      </c>
      <c r="C2382">
        <v>0</v>
      </c>
      <c r="D2382" t="s">
        <v>175</v>
      </c>
      <c r="E2382" t="s">
        <v>176</v>
      </c>
      <c r="F2382" t="s">
        <v>181</v>
      </c>
      <c r="G2382" t="s">
        <v>178</v>
      </c>
    </row>
    <row r="2383" spans="1:7">
      <c r="A2383">
        <v>2033</v>
      </c>
      <c r="B2383" t="s">
        <v>192</v>
      </c>
      <c r="C2383">
        <v>0</v>
      </c>
      <c r="D2383" t="s">
        <v>175</v>
      </c>
      <c r="E2383" t="s">
        <v>176</v>
      </c>
      <c r="F2383" t="s">
        <v>181</v>
      </c>
      <c r="G2383" t="s">
        <v>178</v>
      </c>
    </row>
    <row r="2384" spans="1:7">
      <c r="A2384">
        <v>2034</v>
      </c>
      <c r="B2384" t="s">
        <v>192</v>
      </c>
      <c r="C2384">
        <v>0</v>
      </c>
      <c r="D2384" t="s">
        <v>175</v>
      </c>
      <c r="E2384" t="s">
        <v>176</v>
      </c>
      <c r="F2384" t="s">
        <v>181</v>
      </c>
      <c r="G2384" t="s">
        <v>178</v>
      </c>
    </row>
    <row r="2385" spans="1:7">
      <c r="A2385">
        <v>2035</v>
      </c>
      <c r="B2385" t="s">
        <v>192</v>
      </c>
      <c r="C2385">
        <v>0</v>
      </c>
      <c r="D2385" t="s">
        <v>175</v>
      </c>
      <c r="E2385" t="s">
        <v>176</v>
      </c>
      <c r="F2385" t="s">
        <v>181</v>
      </c>
      <c r="G2385" t="s">
        <v>178</v>
      </c>
    </row>
    <row r="2386" spans="1:7">
      <c r="A2386">
        <v>2020</v>
      </c>
      <c r="B2386" t="s">
        <v>193</v>
      </c>
      <c r="C2386">
        <v>232.5</v>
      </c>
      <c r="D2386" t="s">
        <v>175</v>
      </c>
      <c r="E2386" t="s">
        <v>176</v>
      </c>
      <c r="F2386" t="s">
        <v>181</v>
      </c>
      <c r="G2386" t="s">
        <v>178</v>
      </c>
    </row>
    <row r="2387" spans="1:7">
      <c r="A2387">
        <v>2021</v>
      </c>
      <c r="B2387" t="s">
        <v>193</v>
      </c>
      <c r="C2387">
        <v>1100</v>
      </c>
      <c r="D2387" t="s">
        <v>175</v>
      </c>
      <c r="E2387" t="s">
        <v>176</v>
      </c>
      <c r="F2387" t="s">
        <v>181</v>
      </c>
      <c r="G2387" t="s">
        <v>178</v>
      </c>
    </row>
    <row r="2388" spans="1:7">
      <c r="A2388">
        <v>2022</v>
      </c>
      <c r="B2388" t="s">
        <v>193</v>
      </c>
      <c r="C2388">
        <v>1100</v>
      </c>
      <c r="D2388" t="s">
        <v>175</v>
      </c>
      <c r="E2388" t="s">
        <v>176</v>
      </c>
      <c r="F2388" t="s">
        <v>181</v>
      </c>
      <c r="G2388" t="s">
        <v>178</v>
      </c>
    </row>
    <row r="2389" spans="1:7">
      <c r="A2389">
        <v>2023</v>
      </c>
      <c r="B2389" t="s">
        <v>193</v>
      </c>
      <c r="C2389">
        <v>0</v>
      </c>
      <c r="D2389" t="s">
        <v>175</v>
      </c>
      <c r="E2389" t="s">
        <v>176</v>
      </c>
      <c r="F2389" t="s">
        <v>181</v>
      </c>
      <c r="G2389" t="s">
        <v>178</v>
      </c>
    </row>
    <row r="2390" spans="1:7">
      <c r="A2390">
        <v>2024</v>
      </c>
      <c r="B2390" t="s">
        <v>193</v>
      </c>
      <c r="C2390">
        <v>0</v>
      </c>
      <c r="D2390" t="s">
        <v>175</v>
      </c>
      <c r="E2390" t="s">
        <v>176</v>
      </c>
      <c r="F2390" t="s">
        <v>181</v>
      </c>
      <c r="G2390" t="s">
        <v>178</v>
      </c>
    </row>
    <row r="2391" spans="1:7">
      <c r="A2391">
        <v>2025</v>
      </c>
      <c r="B2391" t="s">
        <v>193</v>
      </c>
      <c r="C2391">
        <v>0</v>
      </c>
      <c r="D2391" t="s">
        <v>175</v>
      </c>
      <c r="E2391" t="s">
        <v>176</v>
      </c>
      <c r="F2391" t="s">
        <v>181</v>
      </c>
      <c r="G2391" t="s">
        <v>178</v>
      </c>
    </row>
    <row r="2392" spans="1:7">
      <c r="A2392">
        <v>2026</v>
      </c>
      <c r="B2392" t="s">
        <v>193</v>
      </c>
      <c r="C2392">
        <v>0</v>
      </c>
      <c r="D2392" t="s">
        <v>175</v>
      </c>
      <c r="E2392" t="s">
        <v>176</v>
      </c>
      <c r="F2392" t="s">
        <v>181</v>
      </c>
      <c r="G2392" t="s">
        <v>178</v>
      </c>
    </row>
    <row r="2393" spans="1:7">
      <c r="A2393">
        <v>2027</v>
      </c>
      <c r="B2393" t="s">
        <v>193</v>
      </c>
      <c r="C2393">
        <v>0</v>
      </c>
      <c r="D2393" t="s">
        <v>175</v>
      </c>
      <c r="E2393" t="s">
        <v>176</v>
      </c>
      <c r="F2393" t="s">
        <v>181</v>
      </c>
      <c r="G2393" t="s">
        <v>178</v>
      </c>
    </row>
    <row r="2394" spans="1:7">
      <c r="A2394">
        <v>2028</v>
      </c>
      <c r="B2394" t="s">
        <v>193</v>
      </c>
      <c r="C2394">
        <v>0</v>
      </c>
      <c r="D2394" t="s">
        <v>175</v>
      </c>
      <c r="E2394" t="s">
        <v>176</v>
      </c>
      <c r="F2394" t="s">
        <v>181</v>
      </c>
      <c r="G2394" t="s">
        <v>178</v>
      </c>
    </row>
    <row r="2395" spans="1:7">
      <c r="A2395">
        <v>2029</v>
      </c>
      <c r="B2395" t="s">
        <v>193</v>
      </c>
      <c r="C2395">
        <v>0</v>
      </c>
      <c r="D2395" t="s">
        <v>175</v>
      </c>
      <c r="E2395" t="s">
        <v>176</v>
      </c>
      <c r="F2395" t="s">
        <v>181</v>
      </c>
      <c r="G2395" t="s">
        <v>178</v>
      </c>
    </row>
    <row r="2396" spans="1:7">
      <c r="A2396">
        <v>2030</v>
      </c>
      <c r="B2396" t="s">
        <v>193</v>
      </c>
      <c r="C2396">
        <v>0</v>
      </c>
      <c r="D2396" t="s">
        <v>175</v>
      </c>
      <c r="E2396" t="s">
        <v>176</v>
      </c>
      <c r="F2396" t="s">
        <v>181</v>
      </c>
      <c r="G2396" t="s">
        <v>178</v>
      </c>
    </row>
    <row r="2397" spans="1:7">
      <c r="A2397">
        <v>2031</v>
      </c>
      <c r="B2397" t="s">
        <v>193</v>
      </c>
      <c r="C2397">
        <v>0</v>
      </c>
      <c r="D2397" t="s">
        <v>175</v>
      </c>
      <c r="E2397" t="s">
        <v>176</v>
      </c>
      <c r="F2397" t="s">
        <v>181</v>
      </c>
      <c r="G2397" t="s">
        <v>178</v>
      </c>
    </row>
    <row r="2398" spans="1:7">
      <c r="A2398">
        <v>2032</v>
      </c>
      <c r="B2398" t="s">
        <v>193</v>
      </c>
      <c r="C2398">
        <v>0</v>
      </c>
      <c r="D2398" t="s">
        <v>175</v>
      </c>
      <c r="E2398" t="s">
        <v>176</v>
      </c>
      <c r="F2398" t="s">
        <v>181</v>
      </c>
      <c r="G2398" t="s">
        <v>178</v>
      </c>
    </row>
    <row r="2399" spans="1:7">
      <c r="A2399">
        <v>2033</v>
      </c>
      <c r="B2399" t="s">
        <v>193</v>
      </c>
      <c r="C2399">
        <v>0</v>
      </c>
      <c r="D2399" t="s">
        <v>175</v>
      </c>
      <c r="E2399" t="s">
        <v>176</v>
      </c>
      <c r="F2399" t="s">
        <v>181</v>
      </c>
      <c r="G2399" t="s">
        <v>178</v>
      </c>
    </row>
    <row r="2400" spans="1:7">
      <c r="A2400">
        <v>2034</v>
      </c>
      <c r="B2400" t="s">
        <v>193</v>
      </c>
      <c r="C2400">
        <v>0</v>
      </c>
      <c r="D2400" t="s">
        <v>175</v>
      </c>
      <c r="E2400" t="s">
        <v>176</v>
      </c>
      <c r="F2400" t="s">
        <v>181</v>
      </c>
      <c r="G2400" t="s">
        <v>178</v>
      </c>
    </row>
    <row r="2401" spans="1:7">
      <c r="A2401">
        <v>2035</v>
      </c>
      <c r="B2401" t="s">
        <v>193</v>
      </c>
      <c r="C2401">
        <v>0</v>
      </c>
      <c r="D2401" t="s">
        <v>175</v>
      </c>
      <c r="E2401" t="s">
        <v>176</v>
      </c>
      <c r="F2401" t="s">
        <v>181</v>
      </c>
      <c r="G2401" t="s">
        <v>178</v>
      </c>
    </row>
    <row r="2402" spans="1:7">
      <c r="A2402">
        <v>2020</v>
      </c>
      <c r="B2402" t="s">
        <v>194</v>
      </c>
      <c r="C2402">
        <v>14.85</v>
      </c>
      <c r="D2402" t="s">
        <v>175</v>
      </c>
      <c r="E2402" t="s">
        <v>176</v>
      </c>
      <c r="F2402" t="s">
        <v>181</v>
      </c>
      <c r="G2402" t="s">
        <v>178</v>
      </c>
    </row>
    <row r="2403" spans="1:7">
      <c r="A2403">
        <v>2021</v>
      </c>
      <c r="B2403" t="s">
        <v>194</v>
      </c>
      <c r="C2403">
        <v>0</v>
      </c>
      <c r="D2403" t="s">
        <v>175</v>
      </c>
      <c r="E2403" t="s">
        <v>176</v>
      </c>
      <c r="F2403" t="s">
        <v>181</v>
      </c>
      <c r="G2403" t="s">
        <v>178</v>
      </c>
    </row>
    <row r="2404" spans="1:7">
      <c r="A2404">
        <v>2022</v>
      </c>
      <c r="B2404" t="s">
        <v>194</v>
      </c>
      <c r="C2404">
        <v>0</v>
      </c>
      <c r="D2404" t="s">
        <v>175</v>
      </c>
      <c r="E2404" t="s">
        <v>176</v>
      </c>
      <c r="F2404" t="s">
        <v>181</v>
      </c>
      <c r="G2404" t="s">
        <v>178</v>
      </c>
    </row>
    <row r="2405" spans="1:7">
      <c r="A2405">
        <v>2023</v>
      </c>
      <c r="B2405" t="s">
        <v>194</v>
      </c>
      <c r="C2405">
        <v>0</v>
      </c>
      <c r="D2405" t="s">
        <v>175</v>
      </c>
      <c r="E2405" t="s">
        <v>176</v>
      </c>
      <c r="F2405" t="s">
        <v>181</v>
      </c>
      <c r="G2405" t="s">
        <v>178</v>
      </c>
    </row>
    <row r="2406" spans="1:7">
      <c r="A2406">
        <v>2024</v>
      </c>
      <c r="B2406" t="s">
        <v>194</v>
      </c>
      <c r="C2406">
        <v>0</v>
      </c>
      <c r="D2406" t="s">
        <v>175</v>
      </c>
      <c r="E2406" t="s">
        <v>176</v>
      </c>
      <c r="F2406" t="s">
        <v>181</v>
      </c>
      <c r="G2406" t="s">
        <v>178</v>
      </c>
    </row>
    <row r="2407" spans="1:7">
      <c r="A2407">
        <v>2025</v>
      </c>
      <c r="B2407" t="s">
        <v>194</v>
      </c>
      <c r="C2407">
        <v>0</v>
      </c>
      <c r="D2407" t="s">
        <v>175</v>
      </c>
      <c r="E2407" t="s">
        <v>176</v>
      </c>
      <c r="F2407" t="s">
        <v>181</v>
      </c>
      <c r="G2407" t="s">
        <v>178</v>
      </c>
    </row>
    <row r="2408" spans="1:7">
      <c r="A2408">
        <v>2026</v>
      </c>
      <c r="B2408" t="s">
        <v>194</v>
      </c>
      <c r="C2408">
        <v>0</v>
      </c>
      <c r="D2408" t="s">
        <v>175</v>
      </c>
      <c r="E2408" t="s">
        <v>176</v>
      </c>
      <c r="F2408" t="s">
        <v>181</v>
      </c>
      <c r="G2408" t="s">
        <v>178</v>
      </c>
    </row>
    <row r="2409" spans="1:7">
      <c r="A2409">
        <v>2027</v>
      </c>
      <c r="B2409" t="s">
        <v>194</v>
      </c>
      <c r="C2409">
        <v>0</v>
      </c>
      <c r="D2409" t="s">
        <v>175</v>
      </c>
      <c r="E2409" t="s">
        <v>176</v>
      </c>
      <c r="F2409" t="s">
        <v>181</v>
      </c>
      <c r="G2409" t="s">
        <v>178</v>
      </c>
    </row>
    <row r="2410" spans="1:7">
      <c r="A2410">
        <v>2028</v>
      </c>
      <c r="B2410" t="s">
        <v>194</v>
      </c>
      <c r="C2410">
        <v>0</v>
      </c>
      <c r="D2410" t="s">
        <v>175</v>
      </c>
      <c r="E2410" t="s">
        <v>176</v>
      </c>
      <c r="F2410" t="s">
        <v>181</v>
      </c>
      <c r="G2410" t="s">
        <v>178</v>
      </c>
    </row>
    <row r="2411" spans="1:7">
      <c r="A2411">
        <v>2029</v>
      </c>
      <c r="B2411" t="s">
        <v>194</v>
      </c>
      <c r="C2411">
        <v>0</v>
      </c>
      <c r="D2411" t="s">
        <v>175</v>
      </c>
      <c r="E2411" t="s">
        <v>176</v>
      </c>
      <c r="F2411" t="s">
        <v>181</v>
      </c>
      <c r="G2411" t="s">
        <v>178</v>
      </c>
    </row>
    <row r="2412" spans="1:7">
      <c r="A2412">
        <v>2030</v>
      </c>
      <c r="B2412" t="s">
        <v>194</v>
      </c>
      <c r="C2412">
        <v>0</v>
      </c>
      <c r="D2412" t="s">
        <v>175</v>
      </c>
      <c r="E2412" t="s">
        <v>176</v>
      </c>
      <c r="F2412" t="s">
        <v>181</v>
      </c>
      <c r="G2412" t="s">
        <v>178</v>
      </c>
    </row>
    <row r="2413" spans="1:7">
      <c r="A2413">
        <v>2031</v>
      </c>
      <c r="B2413" t="s">
        <v>194</v>
      </c>
      <c r="C2413">
        <v>0</v>
      </c>
      <c r="D2413" t="s">
        <v>175</v>
      </c>
      <c r="E2413" t="s">
        <v>176</v>
      </c>
      <c r="F2413" t="s">
        <v>181</v>
      </c>
      <c r="G2413" t="s">
        <v>178</v>
      </c>
    </row>
    <row r="2414" spans="1:7">
      <c r="A2414">
        <v>2032</v>
      </c>
      <c r="B2414" t="s">
        <v>194</v>
      </c>
      <c r="C2414">
        <v>0</v>
      </c>
      <c r="D2414" t="s">
        <v>175</v>
      </c>
      <c r="E2414" t="s">
        <v>176</v>
      </c>
      <c r="F2414" t="s">
        <v>181</v>
      </c>
      <c r="G2414" t="s">
        <v>178</v>
      </c>
    </row>
    <row r="2415" spans="1:7">
      <c r="A2415">
        <v>2033</v>
      </c>
      <c r="B2415" t="s">
        <v>194</v>
      </c>
      <c r="C2415">
        <v>0</v>
      </c>
      <c r="D2415" t="s">
        <v>175</v>
      </c>
      <c r="E2415" t="s">
        <v>176</v>
      </c>
      <c r="F2415" t="s">
        <v>181</v>
      </c>
      <c r="G2415" t="s">
        <v>178</v>
      </c>
    </row>
    <row r="2416" spans="1:7">
      <c r="A2416">
        <v>2034</v>
      </c>
      <c r="B2416" t="s">
        <v>194</v>
      </c>
      <c r="C2416">
        <v>0</v>
      </c>
      <c r="D2416" t="s">
        <v>175</v>
      </c>
      <c r="E2416" t="s">
        <v>176</v>
      </c>
      <c r="F2416" t="s">
        <v>181</v>
      </c>
      <c r="G2416" t="s">
        <v>178</v>
      </c>
    </row>
    <row r="2417" spans="1:7">
      <c r="A2417">
        <v>2035</v>
      </c>
      <c r="B2417" t="s">
        <v>194</v>
      </c>
      <c r="C2417">
        <v>0</v>
      </c>
      <c r="D2417" t="s">
        <v>175</v>
      </c>
      <c r="E2417" t="s">
        <v>176</v>
      </c>
      <c r="F2417" t="s">
        <v>181</v>
      </c>
      <c r="G2417" t="s">
        <v>178</v>
      </c>
    </row>
    <row r="2418" spans="1:7">
      <c r="A2418">
        <v>2020</v>
      </c>
      <c r="B2418" t="s">
        <v>195</v>
      </c>
      <c r="C2418">
        <v>36883.199999999997</v>
      </c>
      <c r="D2418" t="s">
        <v>175</v>
      </c>
      <c r="E2418" t="s">
        <v>176</v>
      </c>
      <c r="F2418" t="s">
        <v>181</v>
      </c>
      <c r="G2418" t="s">
        <v>178</v>
      </c>
    </row>
    <row r="2419" spans="1:7">
      <c r="A2419">
        <v>2021</v>
      </c>
      <c r="B2419" t="s">
        <v>195</v>
      </c>
      <c r="C2419">
        <v>89418.4</v>
      </c>
      <c r="D2419" t="s">
        <v>175</v>
      </c>
      <c r="E2419" t="s">
        <v>176</v>
      </c>
      <c r="F2419" t="s">
        <v>181</v>
      </c>
      <c r="G2419" t="s">
        <v>178</v>
      </c>
    </row>
    <row r="2420" spans="1:7">
      <c r="A2420">
        <v>2022</v>
      </c>
      <c r="B2420" t="s">
        <v>195</v>
      </c>
      <c r="C2420">
        <v>89418.4</v>
      </c>
      <c r="D2420" t="s">
        <v>175</v>
      </c>
      <c r="E2420" t="s">
        <v>176</v>
      </c>
      <c r="F2420" t="s">
        <v>181</v>
      </c>
      <c r="G2420" t="s">
        <v>178</v>
      </c>
    </row>
    <row r="2421" spans="1:7">
      <c r="A2421">
        <v>2023</v>
      </c>
      <c r="B2421" t="s">
        <v>195</v>
      </c>
      <c r="C2421">
        <v>20462.2</v>
      </c>
      <c r="D2421" t="s">
        <v>175</v>
      </c>
      <c r="E2421" t="s">
        <v>176</v>
      </c>
      <c r="F2421" t="s">
        <v>181</v>
      </c>
      <c r="G2421" t="s">
        <v>178</v>
      </c>
    </row>
    <row r="2422" spans="1:7">
      <c r="A2422">
        <v>2024</v>
      </c>
      <c r="B2422" t="s">
        <v>195</v>
      </c>
      <c r="C2422">
        <v>20462.2</v>
      </c>
      <c r="D2422" t="s">
        <v>175</v>
      </c>
      <c r="E2422" t="s">
        <v>176</v>
      </c>
      <c r="F2422" t="s">
        <v>181</v>
      </c>
      <c r="G2422" t="s">
        <v>178</v>
      </c>
    </row>
    <row r="2423" spans="1:7">
      <c r="A2423">
        <v>2025</v>
      </c>
      <c r="B2423" t="s">
        <v>195</v>
      </c>
      <c r="C2423">
        <v>12091.6</v>
      </c>
      <c r="D2423" t="s">
        <v>175</v>
      </c>
      <c r="E2423" t="s">
        <v>176</v>
      </c>
      <c r="F2423" t="s">
        <v>181</v>
      </c>
      <c r="G2423" t="s">
        <v>178</v>
      </c>
    </row>
    <row r="2424" spans="1:7">
      <c r="A2424">
        <v>2026</v>
      </c>
      <c r="B2424" t="s">
        <v>195</v>
      </c>
      <c r="C2424">
        <v>12091.6</v>
      </c>
      <c r="D2424" t="s">
        <v>175</v>
      </c>
      <c r="E2424" t="s">
        <v>176</v>
      </c>
      <c r="F2424" t="s">
        <v>181</v>
      </c>
      <c r="G2424" t="s">
        <v>178</v>
      </c>
    </row>
    <row r="2425" spans="1:7">
      <c r="A2425">
        <v>2027</v>
      </c>
      <c r="B2425" t="s">
        <v>195</v>
      </c>
      <c r="C2425">
        <v>35793.599999999999</v>
      </c>
      <c r="D2425" t="s">
        <v>175</v>
      </c>
      <c r="E2425" t="s">
        <v>176</v>
      </c>
      <c r="F2425" t="s">
        <v>181</v>
      </c>
      <c r="G2425" t="s">
        <v>178</v>
      </c>
    </row>
    <row r="2426" spans="1:7">
      <c r="A2426">
        <v>2028</v>
      </c>
      <c r="B2426" t="s">
        <v>195</v>
      </c>
      <c r="C2426">
        <v>35793.599999999999</v>
      </c>
      <c r="D2426" t="s">
        <v>175</v>
      </c>
      <c r="E2426" t="s">
        <v>176</v>
      </c>
      <c r="F2426" t="s">
        <v>181</v>
      </c>
      <c r="G2426" t="s">
        <v>178</v>
      </c>
    </row>
    <row r="2427" spans="1:7">
      <c r="A2427">
        <v>2029</v>
      </c>
      <c r="B2427" t="s">
        <v>195</v>
      </c>
      <c r="C2427">
        <v>25474.7</v>
      </c>
      <c r="D2427" t="s">
        <v>175</v>
      </c>
      <c r="E2427" t="s">
        <v>176</v>
      </c>
      <c r="F2427" t="s">
        <v>181</v>
      </c>
      <c r="G2427" t="s">
        <v>178</v>
      </c>
    </row>
    <row r="2428" spans="1:7">
      <c r="A2428">
        <v>2030</v>
      </c>
      <c r="B2428" t="s">
        <v>195</v>
      </c>
      <c r="C2428">
        <v>25474.7</v>
      </c>
      <c r="D2428" t="s">
        <v>175</v>
      </c>
      <c r="E2428" t="s">
        <v>176</v>
      </c>
      <c r="F2428" t="s">
        <v>181</v>
      </c>
      <c r="G2428" t="s">
        <v>178</v>
      </c>
    </row>
    <row r="2429" spans="1:7">
      <c r="A2429">
        <v>2031</v>
      </c>
      <c r="B2429" t="s">
        <v>195</v>
      </c>
      <c r="C2429">
        <v>15921.5</v>
      </c>
      <c r="D2429" t="s">
        <v>175</v>
      </c>
      <c r="E2429" t="s">
        <v>176</v>
      </c>
      <c r="F2429" t="s">
        <v>181</v>
      </c>
      <c r="G2429" t="s">
        <v>178</v>
      </c>
    </row>
    <row r="2430" spans="1:7">
      <c r="A2430">
        <v>2032</v>
      </c>
      <c r="B2430" t="s">
        <v>195</v>
      </c>
      <c r="C2430">
        <v>15921.5</v>
      </c>
      <c r="D2430" t="s">
        <v>175</v>
      </c>
      <c r="E2430" t="s">
        <v>176</v>
      </c>
      <c r="F2430" t="s">
        <v>181</v>
      </c>
      <c r="G2430" t="s">
        <v>178</v>
      </c>
    </row>
    <row r="2431" spans="1:7">
      <c r="A2431">
        <v>2033</v>
      </c>
      <c r="B2431" t="s">
        <v>195</v>
      </c>
      <c r="C2431">
        <v>28406.6</v>
      </c>
      <c r="D2431" t="s">
        <v>175</v>
      </c>
      <c r="E2431" t="s">
        <v>176</v>
      </c>
      <c r="F2431" t="s">
        <v>181</v>
      </c>
      <c r="G2431" t="s">
        <v>178</v>
      </c>
    </row>
    <row r="2432" spans="1:7">
      <c r="A2432">
        <v>2034</v>
      </c>
      <c r="B2432" t="s">
        <v>195</v>
      </c>
      <c r="C2432">
        <v>28406.6</v>
      </c>
      <c r="D2432" t="s">
        <v>175</v>
      </c>
      <c r="E2432" t="s">
        <v>176</v>
      </c>
      <c r="F2432" t="s">
        <v>181</v>
      </c>
      <c r="G2432" t="s">
        <v>178</v>
      </c>
    </row>
    <row r="2433" spans="1:7">
      <c r="A2433">
        <v>2035</v>
      </c>
      <c r="B2433" t="s">
        <v>195</v>
      </c>
      <c r="C2433">
        <v>28406.6</v>
      </c>
      <c r="D2433" t="s">
        <v>175</v>
      </c>
      <c r="E2433" t="s">
        <v>176</v>
      </c>
      <c r="F2433" t="s">
        <v>181</v>
      </c>
      <c r="G2433" t="s">
        <v>178</v>
      </c>
    </row>
    <row r="2434" spans="1:7">
      <c r="A2434">
        <v>2020</v>
      </c>
      <c r="B2434" t="s">
        <v>196</v>
      </c>
      <c r="C2434">
        <v>32268.6</v>
      </c>
      <c r="D2434" t="s">
        <v>175</v>
      </c>
      <c r="E2434" t="s">
        <v>176</v>
      </c>
      <c r="F2434" t="s">
        <v>181</v>
      </c>
      <c r="G2434" t="s">
        <v>178</v>
      </c>
    </row>
    <row r="2435" spans="1:7">
      <c r="A2435">
        <v>2021</v>
      </c>
      <c r="B2435" t="s">
        <v>196</v>
      </c>
      <c r="C2435">
        <v>70625.7</v>
      </c>
      <c r="D2435" t="s">
        <v>175</v>
      </c>
      <c r="E2435" t="s">
        <v>176</v>
      </c>
      <c r="F2435" t="s">
        <v>181</v>
      </c>
      <c r="G2435" t="s">
        <v>178</v>
      </c>
    </row>
    <row r="2436" spans="1:7">
      <c r="A2436">
        <v>2022</v>
      </c>
      <c r="B2436" t="s">
        <v>196</v>
      </c>
      <c r="C2436">
        <v>70625.7</v>
      </c>
      <c r="D2436" t="s">
        <v>175</v>
      </c>
      <c r="E2436" t="s">
        <v>176</v>
      </c>
      <c r="F2436" t="s">
        <v>181</v>
      </c>
      <c r="G2436" t="s">
        <v>178</v>
      </c>
    </row>
    <row r="2437" spans="1:7">
      <c r="A2437">
        <v>2023</v>
      </c>
      <c r="B2437" t="s">
        <v>196</v>
      </c>
      <c r="C2437">
        <v>4904.25</v>
      </c>
      <c r="D2437" t="s">
        <v>175</v>
      </c>
      <c r="E2437" t="s">
        <v>176</v>
      </c>
      <c r="F2437" t="s">
        <v>181</v>
      </c>
      <c r="G2437" t="s">
        <v>178</v>
      </c>
    </row>
    <row r="2438" spans="1:7">
      <c r="A2438">
        <v>2024</v>
      </c>
      <c r="B2438" t="s">
        <v>196</v>
      </c>
      <c r="C2438">
        <v>4904.25</v>
      </c>
      <c r="D2438" t="s">
        <v>175</v>
      </c>
      <c r="E2438" t="s">
        <v>176</v>
      </c>
      <c r="F2438" t="s">
        <v>181</v>
      </c>
      <c r="G2438" t="s">
        <v>178</v>
      </c>
    </row>
    <row r="2439" spans="1:7">
      <c r="A2439">
        <v>2025</v>
      </c>
      <c r="B2439" t="s">
        <v>196</v>
      </c>
      <c r="C2439">
        <v>9891.59</v>
      </c>
      <c r="D2439" t="s">
        <v>175</v>
      </c>
      <c r="E2439" t="s">
        <v>176</v>
      </c>
      <c r="F2439" t="s">
        <v>181</v>
      </c>
      <c r="G2439" t="s">
        <v>178</v>
      </c>
    </row>
    <row r="2440" spans="1:7">
      <c r="A2440">
        <v>2026</v>
      </c>
      <c r="B2440" t="s">
        <v>196</v>
      </c>
      <c r="C2440">
        <v>9891.59</v>
      </c>
      <c r="D2440" t="s">
        <v>175</v>
      </c>
      <c r="E2440" t="s">
        <v>176</v>
      </c>
      <c r="F2440" t="s">
        <v>181</v>
      </c>
      <c r="G2440" t="s">
        <v>178</v>
      </c>
    </row>
    <row r="2441" spans="1:7">
      <c r="A2441">
        <v>2027</v>
      </c>
      <c r="B2441" t="s">
        <v>196</v>
      </c>
      <c r="C2441">
        <v>10543</v>
      </c>
      <c r="D2441" t="s">
        <v>175</v>
      </c>
      <c r="E2441" t="s">
        <v>176</v>
      </c>
      <c r="F2441" t="s">
        <v>181</v>
      </c>
      <c r="G2441" t="s">
        <v>178</v>
      </c>
    </row>
    <row r="2442" spans="1:7">
      <c r="A2442">
        <v>2028</v>
      </c>
      <c r="B2442" t="s">
        <v>196</v>
      </c>
      <c r="C2442">
        <v>10543</v>
      </c>
      <c r="D2442" t="s">
        <v>175</v>
      </c>
      <c r="E2442" t="s">
        <v>176</v>
      </c>
      <c r="F2442" t="s">
        <v>181</v>
      </c>
      <c r="G2442" t="s">
        <v>178</v>
      </c>
    </row>
    <row r="2443" spans="1:7">
      <c r="A2443">
        <v>2029</v>
      </c>
      <c r="B2443" t="s">
        <v>196</v>
      </c>
      <c r="C2443">
        <v>10033.6</v>
      </c>
      <c r="D2443" t="s">
        <v>175</v>
      </c>
      <c r="E2443" t="s">
        <v>176</v>
      </c>
      <c r="F2443" t="s">
        <v>181</v>
      </c>
      <c r="G2443" t="s">
        <v>178</v>
      </c>
    </row>
    <row r="2444" spans="1:7">
      <c r="A2444">
        <v>2030</v>
      </c>
      <c r="B2444" t="s">
        <v>196</v>
      </c>
      <c r="C2444">
        <v>10033.6</v>
      </c>
      <c r="D2444" t="s">
        <v>175</v>
      </c>
      <c r="E2444" t="s">
        <v>176</v>
      </c>
      <c r="F2444" t="s">
        <v>181</v>
      </c>
      <c r="G2444" t="s">
        <v>178</v>
      </c>
    </row>
    <row r="2445" spans="1:7">
      <c r="A2445">
        <v>2031</v>
      </c>
      <c r="B2445" t="s">
        <v>196</v>
      </c>
      <c r="C2445">
        <v>9883.35</v>
      </c>
      <c r="D2445" t="s">
        <v>175</v>
      </c>
      <c r="E2445" t="s">
        <v>176</v>
      </c>
      <c r="F2445" t="s">
        <v>181</v>
      </c>
      <c r="G2445" t="s">
        <v>178</v>
      </c>
    </row>
    <row r="2446" spans="1:7">
      <c r="A2446">
        <v>2032</v>
      </c>
      <c r="B2446" t="s">
        <v>196</v>
      </c>
      <c r="C2446">
        <v>9883.35</v>
      </c>
      <c r="D2446" t="s">
        <v>175</v>
      </c>
      <c r="E2446" t="s">
        <v>176</v>
      </c>
      <c r="F2446" t="s">
        <v>181</v>
      </c>
      <c r="G2446" t="s">
        <v>178</v>
      </c>
    </row>
    <row r="2447" spans="1:7">
      <c r="A2447">
        <v>2033</v>
      </c>
      <c r="B2447" t="s">
        <v>196</v>
      </c>
      <c r="C2447">
        <v>12754.7</v>
      </c>
      <c r="D2447" t="s">
        <v>175</v>
      </c>
      <c r="E2447" t="s">
        <v>176</v>
      </c>
      <c r="F2447" t="s">
        <v>181</v>
      </c>
      <c r="G2447" t="s">
        <v>178</v>
      </c>
    </row>
    <row r="2448" spans="1:7">
      <c r="A2448">
        <v>2034</v>
      </c>
      <c r="B2448" t="s">
        <v>196</v>
      </c>
      <c r="C2448">
        <v>12754.7</v>
      </c>
      <c r="D2448" t="s">
        <v>175</v>
      </c>
      <c r="E2448" t="s">
        <v>176</v>
      </c>
      <c r="F2448" t="s">
        <v>181</v>
      </c>
      <c r="G2448" t="s">
        <v>178</v>
      </c>
    </row>
    <row r="2449" spans="1:7">
      <c r="A2449">
        <v>2035</v>
      </c>
      <c r="B2449" t="s">
        <v>196</v>
      </c>
      <c r="C2449">
        <v>12754.7</v>
      </c>
      <c r="D2449" t="s">
        <v>175</v>
      </c>
      <c r="E2449" t="s">
        <v>176</v>
      </c>
      <c r="F2449" t="s">
        <v>181</v>
      </c>
      <c r="G2449" t="s">
        <v>178</v>
      </c>
    </row>
    <row r="2450" spans="1:7">
      <c r="A2450">
        <v>2020</v>
      </c>
      <c r="B2450" t="s">
        <v>188</v>
      </c>
      <c r="C2450">
        <v>102.45</v>
      </c>
      <c r="D2450" t="s">
        <v>175</v>
      </c>
      <c r="E2450" t="s">
        <v>176</v>
      </c>
      <c r="F2450" t="s">
        <v>181</v>
      </c>
      <c r="G2450" t="s">
        <v>179</v>
      </c>
    </row>
    <row r="2451" spans="1:7">
      <c r="A2451">
        <v>2021</v>
      </c>
      <c r="B2451" t="s">
        <v>188</v>
      </c>
      <c r="C2451">
        <v>9.5</v>
      </c>
      <c r="D2451" t="s">
        <v>175</v>
      </c>
      <c r="E2451" t="s">
        <v>176</v>
      </c>
      <c r="F2451" t="s">
        <v>181</v>
      </c>
      <c r="G2451" t="s">
        <v>179</v>
      </c>
    </row>
    <row r="2452" spans="1:7">
      <c r="A2452">
        <v>2022</v>
      </c>
      <c r="B2452" t="s">
        <v>188</v>
      </c>
      <c r="C2452">
        <v>9.5</v>
      </c>
      <c r="D2452" t="s">
        <v>175</v>
      </c>
      <c r="E2452" t="s">
        <v>176</v>
      </c>
      <c r="F2452" t="s">
        <v>181</v>
      </c>
      <c r="G2452" t="s">
        <v>179</v>
      </c>
    </row>
    <row r="2453" spans="1:7">
      <c r="A2453">
        <v>2023</v>
      </c>
      <c r="B2453" t="s">
        <v>188</v>
      </c>
      <c r="C2453">
        <v>0</v>
      </c>
      <c r="D2453" t="s">
        <v>175</v>
      </c>
      <c r="E2453" t="s">
        <v>176</v>
      </c>
      <c r="F2453" t="s">
        <v>181</v>
      </c>
      <c r="G2453" t="s">
        <v>179</v>
      </c>
    </row>
    <row r="2454" spans="1:7">
      <c r="A2454">
        <v>2024</v>
      </c>
      <c r="B2454" t="s">
        <v>188</v>
      </c>
      <c r="C2454">
        <v>0</v>
      </c>
      <c r="D2454" t="s">
        <v>175</v>
      </c>
      <c r="E2454" t="s">
        <v>176</v>
      </c>
      <c r="F2454" t="s">
        <v>181</v>
      </c>
      <c r="G2454" t="s">
        <v>179</v>
      </c>
    </row>
    <row r="2455" spans="1:7">
      <c r="A2455">
        <v>2025</v>
      </c>
      <c r="B2455" t="s">
        <v>188</v>
      </c>
      <c r="C2455">
        <v>0</v>
      </c>
      <c r="D2455" t="s">
        <v>175</v>
      </c>
      <c r="E2455" t="s">
        <v>176</v>
      </c>
      <c r="F2455" t="s">
        <v>181</v>
      </c>
      <c r="G2455" t="s">
        <v>179</v>
      </c>
    </row>
    <row r="2456" spans="1:7">
      <c r="A2456">
        <v>2026</v>
      </c>
      <c r="B2456" t="s">
        <v>188</v>
      </c>
      <c r="C2456">
        <v>0</v>
      </c>
      <c r="D2456" t="s">
        <v>175</v>
      </c>
      <c r="E2456" t="s">
        <v>176</v>
      </c>
      <c r="F2456" t="s">
        <v>181</v>
      </c>
      <c r="G2456" t="s">
        <v>179</v>
      </c>
    </row>
    <row r="2457" spans="1:7">
      <c r="A2457">
        <v>2027</v>
      </c>
      <c r="B2457" t="s">
        <v>188</v>
      </c>
      <c r="C2457">
        <v>0</v>
      </c>
      <c r="D2457" t="s">
        <v>175</v>
      </c>
      <c r="E2457" t="s">
        <v>176</v>
      </c>
      <c r="F2457" t="s">
        <v>181</v>
      </c>
      <c r="G2457" t="s">
        <v>179</v>
      </c>
    </row>
    <row r="2458" spans="1:7">
      <c r="A2458">
        <v>2028</v>
      </c>
      <c r="B2458" t="s">
        <v>188</v>
      </c>
      <c r="C2458">
        <v>0</v>
      </c>
      <c r="D2458" t="s">
        <v>175</v>
      </c>
      <c r="E2458" t="s">
        <v>176</v>
      </c>
      <c r="F2458" t="s">
        <v>181</v>
      </c>
      <c r="G2458" t="s">
        <v>179</v>
      </c>
    </row>
    <row r="2459" spans="1:7">
      <c r="A2459">
        <v>2029</v>
      </c>
      <c r="B2459" t="s">
        <v>188</v>
      </c>
      <c r="C2459">
        <v>0</v>
      </c>
      <c r="D2459" t="s">
        <v>175</v>
      </c>
      <c r="E2459" t="s">
        <v>176</v>
      </c>
      <c r="F2459" t="s">
        <v>181</v>
      </c>
      <c r="G2459" t="s">
        <v>179</v>
      </c>
    </row>
    <row r="2460" spans="1:7">
      <c r="A2460">
        <v>2030</v>
      </c>
      <c r="B2460" t="s">
        <v>188</v>
      </c>
      <c r="C2460">
        <v>0</v>
      </c>
      <c r="D2460" t="s">
        <v>175</v>
      </c>
      <c r="E2460" t="s">
        <v>176</v>
      </c>
      <c r="F2460" t="s">
        <v>181</v>
      </c>
      <c r="G2460" t="s">
        <v>179</v>
      </c>
    </row>
    <row r="2461" spans="1:7">
      <c r="A2461">
        <v>2031</v>
      </c>
      <c r="B2461" t="s">
        <v>188</v>
      </c>
      <c r="C2461">
        <v>0</v>
      </c>
      <c r="D2461" t="s">
        <v>175</v>
      </c>
      <c r="E2461" t="s">
        <v>176</v>
      </c>
      <c r="F2461" t="s">
        <v>181</v>
      </c>
      <c r="G2461" t="s">
        <v>179</v>
      </c>
    </row>
    <row r="2462" spans="1:7">
      <c r="A2462">
        <v>2032</v>
      </c>
      <c r="B2462" t="s">
        <v>188</v>
      </c>
      <c r="C2462">
        <v>0</v>
      </c>
      <c r="D2462" t="s">
        <v>175</v>
      </c>
      <c r="E2462" t="s">
        <v>176</v>
      </c>
      <c r="F2462" t="s">
        <v>181</v>
      </c>
      <c r="G2462" t="s">
        <v>179</v>
      </c>
    </row>
    <row r="2463" spans="1:7">
      <c r="A2463">
        <v>2033</v>
      </c>
      <c r="B2463" t="s">
        <v>188</v>
      </c>
      <c r="C2463">
        <v>0</v>
      </c>
      <c r="D2463" t="s">
        <v>175</v>
      </c>
      <c r="E2463" t="s">
        <v>176</v>
      </c>
      <c r="F2463" t="s">
        <v>181</v>
      </c>
      <c r="G2463" t="s">
        <v>179</v>
      </c>
    </row>
    <row r="2464" spans="1:7">
      <c r="A2464">
        <v>2034</v>
      </c>
      <c r="B2464" t="s">
        <v>188</v>
      </c>
      <c r="C2464">
        <v>0</v>
      </c>
      <c r="D2464" t="s">
        <v>175</v>
      </c>
      <c r="E2464" t="s">
        <v>176</v>
      </c>
      <c r="F2464" t="s">
        <v>181</v>
      </c>
      <c r="G2464" t="s">
        <v>179</v>
      </c>
    </row>
    <row r="2465" spans="1:7">
      <c r="A2465">
        <v>2035</v>
      </c>
      <c r="B2465" t="s">
        <v>188</v>
      </c>
      <c r="C2465">
        <v>0</v>
      </c>
      <c r="D2465" t="s">
        <v>175</v>
      </c>
      <c r="E2465" t="s">
        <v>176</v>
      </c>
      <c r="F2465" t="s">
        <v>181</v>
      </c>
      <c r="G2465" t="s">
        <v>179</v>
      </c>
    </row>
    <row r="2466" spans="1:7">
      <c r="A2466">
        <v>2020</v>
      </c>
      <c r="B2466" t="s">
        <v>189</v>
      </c>
      <c r="C2466">
        <v>0</v>
      </c>
      <c r="D2466" t="s">
        <v>175</v>
      </c>
      <c r="E2466" t="s">
        <v>176</v>
      </c>
      <c r="F2466" t="s">
        <v>181</v>
      </c>
      <c r="G2466" t="s">
        <v>179</v>
      </c>
    </row>
    <row r="2467" spans="1:7">
      <c r="A2467">
        <v>2021</v>
      </c>
      <c r="B2467" t="s">
        <v>189</v>
      </c>
      <c r="C2467">
        <v>0</v>
      </c>
      <c r="D2467" t="s">
        <v>175</v>
      </c>
      <c r="E2467" t="s">
        <v>176</v>
      </c>
      <c r="F2467" t="s">
        <v>181</v>
      </c>
      <c r="G2467" t="s">
        <v>179</v>
      </c>
    </row>
    <row r="2468" spans="1:7">
      <c r="A2468">
        <v>2022</v>
      </c>
      <c r="B2468" t="s">
        <v>189</v>
      </c>
      <c r="C2468">
        <v>0</v>
      </c>
      <c r="D2468" t="s">
        <v>175</v>
      </c>
      <c r="E2468" t="s">
        <v>176</v>
      </c>
      <c r="F2468" t="s">
        <v>181</v>
      </c>
      <c r="G2468" t="s">
        <v>179</v>
      </c>
    </row>
    <row r="2469" spans="1:7">
      <c r="A2469">
        <v>2023</v>
      </c>
      <c r="B2469" t="s">
        <v>189</v>
      </c>
      <c r="C2469">
        <v>0</v>
      </c>
      <c r="D2469" t="s">
        <v>175</v>
      </c>
      <c r="E2469" t="s">
        <v>176</v>
      </c>
      <c r="F2469" t="s">
        <v>181</v>
      </c>
      <c r="G2469" t="s">
        <v>179</v>
      </c>
    </row>
    <row r="2470" spans="1:7">
      <c r="A2470">
        <v>2024</v>
      </c>
      <c r="B2470" t="s">
        <v>189</v>
      </c>
      <c r="C2470">
        <v>0</v>
      </c>
      <c r="D2470" t="s">
        <v>175</v>
      </c>
      <c r="E2470" t="s">
        <v>176</v>
      </c>
      <c r="F2470" t="s">
        <v>181</v>
      </c>
      <c r="G2470" t="s">
        <v>179</v>
      </c>
    </row>
    <row r="2471" spans="1:7">
      <c r="A2471">
        <v>2025</v>
      </c>
      <c r="B2471" t="s">
        <v>189</v>
      </c>
      <c r="C2471">
        <v>0</v>
      </c>
      <c r="D2471" t="s">
        <v>175</v>
      </c>
      <c r="E2471" t="s">
        <v>176</v>
      </c>
      <c r="F2471" t="s">
        <v>181</v>
      </c>
      <c r="G2471" t="s">
        <v>179</v>
      </c>
    </row>
    <row r="2472" spans="1:7">
      <c r="A2472">
        <v>2026</v>
      </c>
      <c r="B2472" t="s">
        <v>189</v>
      </c>
      <c r="C2472">
        <v>0</v>
      </c>
      <c r="D2472" t="s">
        <v>175</v>
      </c>
      <c r="E2472" t="s">
        <v>176</v>
      </c>
      <c r="F2472" t="s">
        <v>181</v>
      </c>
      <c r="G2472" t="s">
        <v>179</v>
      </c>
    </row>
    <row r="2473" spans="1:7">
      <c r="A2473">
        <v>2027</v>
      </c>
      <c r="B2473" t="s">
        <v>189</v>
      </c>
      <c r="C2473">
        <v>0</v>
      </c>
      <c r="D2473" t="s">
        <v>175</v>
      </c>
      <c r="E2473" t="s">
        <v>176</v>
      </c>
      <c r="F2473" t="s">
        <v>181</v>
      </c>
      <c r="G2473" t="s">
        <v>179</v>
      </c>
    </row>
    <row r="2474" spans="1:7">
      <c r="A2474">
        <v>2028</v>
      </c>
      <c r="B2474" t="s">
        <v>189</v>
      </c>
      <c r="C2474">
        <v>0</v>
      </c>
      <c r="D2474" t="s">
        <v>175</v>
      </c>
      <c r="E2474" t="s">
        <v>176</v>
      </c>
      <c r="F2474" t="s">
        <v>181</v>
      </c>
      <c r="G2474" t="s">
        <v>179</v>
      </c>
    </row>
    <row r="2475" spans="1:7">
      <c r="A2475">
        <v>2029</v>
      </c>
      <c r="B2475" t="s">
        <v>189</v>
      </c>
      <c r="C2475">
        <v>0</v>
      </c>
      <c r="D2475" t="s">
        <v>175</v>
      </c>
      <c r="E2475" t="s">
        <v>176</v>
      </c>
      <c r="F2475" t="s">
        <v>181</v>
      </c>
      <c r="G2475" t="s">
        <v>179</v>
      </c>
    </row>
    <row r="2476" spans="1:7">
      <c r="A2476">
        <v>2030</v>
      </c>
      <c r="B2476" t="s">
        <v>189</v>
      </c>
      <c r="C2476">
        <v>0</v>
      </c>
      <c r="D2476" t="s">
        <v>175</v>
      </c>
      <c r="E2476" t="s">
        <v>176</v>
      </c>
      <c r="F2476" t="s">
        <v>181</v>
      </c>
      <c r="G2476" t="s">
        <v>179</v>
      </c>
    </row>
    <row r="2477" spans="1:7">
      <c r="A2477">
        <v>2031</v>
      </c>
      <c r="B2477" t="s">
        <v>189</v>
      </c>
      <c r="C2477">
        <v>0</v>
      </c>
      <c r="D2477" t="s">
        <v>175</v>
      </c>
      <c r="E2477" t="s">
        <v>176</v>
      </c>
      <c r="F2477" t="s">
        <v>181</v>
      </c>
      <c r="G2477" t="s">
        <v>179</v>
      </c>
    </row>
    <row r="2478" spans="1:7">
      <c r="A2478">
        <v>2032</v>
      </c>
      <c r="B2478" t="s">
        <v>189</v>
      </c>
      <c r="C2478">
        <v>0</v>
      </c>
      <c r="D2478" t="s">
        <v>175</v>
      </c>
      <c r="E2478" t="s">
        <v>176</v>
      </c>
      <c r="F2478" t="s">
        <v>181</v>
      </c>
      <c r="G2478" t="s">
        <v>179</v>
      </c>
    </row>
    <row r="2479" spans="1:7">
      <c r="A2479">
        <v>2033</v>
      </c>
      <c r="B2479" t="s">
        <v>189</v>
      </c>
      <c r="C2479">
        <v>0</v>
      </c>
      <c r="D2479" t="s">
        <v>175</v>
      </c>
      <c r="E2479" t="s">
        <v>176</v>
      </c>
      <c r="F2479" t="s">
        <v>181</v>
      </c>
      <c r="G2479" t="s">
        <v>179</v>
      </c>
    </row>
    <row r="2480" spans="1:7">
      <c r="A2480">
        <v>2034</v>
      </c>
      <c r="B2480" t="s">
        <v>189</v>
      </c>
      <c r="C2480">
        <v>0</v>
      </c>
      <c r="D2480" t="s">
        <v>175</v>
      </c>
      <c r="E2480" t="s">
        <v>176</v>
      </c>
      <c r="F2480" t="s">
        <v>181</v>
      </c>
      <c r="G2480" t="s">
        <v>179</v>
      </c>
    </row>
    <row r="2481" spans="1:7">
      <c r="A2481">
        <v>2035</v>
      </c>
      <c r="B2481" t="s">
        <v>189</v>
      </c>
      <c r="C2481">
        <v>0</v>
      </c>
      <c r="D2481" t="s">
        <v>175</v>
      </c>
      <c r="E2481" t="s">
        <v>176</v>
      </c>
      <c r="F2481" t="s">
        <v>181</v>
      </c>
      <c r="G2481" t="s">
        <v>179</v>
      </c>
    </row>
    <row r="2482" spans="1:7">
      <c r="A2482">
        <v>2020</v>
      </c>
      <c r="B2482" t="s">
        <v>190</v>
      </c>
      <c r="C2482">
        <v>11184.73</v>
      </c>
      <c r="D2482" t="s">
        <v>175</v>
      </c>
      <c r="E2482" t="s">
        <v>176</v>
      </c>
      <c r="F2482" t="s">
        <v>181</v>
      </c>
      <c r="G2482" t="s">
        <v>179</v>
      </c>
    </row>
    <row r="2483" spans="1:7">
      <c r="A2483">
        <v>2021</v>
      </c>
      <c r="B2483" t="s">
        <v>190</v>
      </c>
      <c r="C2483">
        <v>0</v>
      </c>
      <c r="D2483" t="s">
        <v>175</v>
      </c>
      <c r="E2483" t="s">
        <v>176</v>
      </c>
      <c r="F2483" t="s">
        <v>181</v>
      </c>
      <c r="G2483" t="s">
        <v>179</v>
      </c>
    </row>
    <row r="2484" spans="1:7">
      <c r="A2484">
        <v>2022</v>
      </c>
      <c r="B2484" t="s">
        <v>190</v>
      </c>
      <c r="C2484">
        <v>0</v>
      </c>
      <c r="D2484" t="s">
        <v>175</v>
      </c>
      <c r="E2484" t="s">
        <v>176</v>
      </c>
      <c r="F2484" t="s">
        <v>181</v>
      </c>
      <c r="G2484" t="s">
        <v>179</v>
      </c>
    </row>
    <row r="2485" spans="1:7">
      <c r="A2485">
        <v>2023</v>
      </c>
      <c r="B2485" t="s">
        <v>190</v>
      </c>
      <c r="C2485">
        <v>0</v>
      </c>
      <c r="D2485" t="s">
        <v>175</v>
      </c>
      <c r="E2485" t="s">
        <v>176</v>
      </c>
      <c r="F2485" t="s">
        <v>181</v>
      </c>
      <c r="G2485" t="s">
        <v>179</v>
      </c>
    </row>
    <row r="2486" spans="1:7">
      <c r="A2486">
        <v>2024</v>
      </c>
      <c r="B2486" t="s">
        <v>190</v>
      </c>
      <c r="C2486">
        <v>0</v>
      </c>
      <c r="D2486" t="s">
        <v>175</v>
      </c>
      <c r="E2486" t="s">
        <v>176</v>
      </c>
      <c r="F2486" t="s">
        <v>181</v>
      </c>
      <c r="G2486" t="s">
        <v>179</v>
      </c>
    </row>
    <row r="2487" spans="1:7">
      <c r="A2487">
        <v>2025</v>
      </c>
      <c r="B2487" t="s">
        <v>190</v>
      </c>
      <c r="C2487">
        <v>0</v>
      </c>
      <c r="D2487" t="s">
        <v>175</v>
      </c>
      <c r="E2487" t="s">
        <v>176</v>
      </c>
      <c r="F2487" t="s">
        <v>181</v>
      </c>
      <c r="G2487" t="s">
        <v>179</v>
      </c>
    </row>
    <row r="2488" spans="1:7">
      <c r="A2488">
        <v>2026</v>
      </c>
      <c r="B2488" t="s">
        <v>190</v>
      </c>
      <c r="C2488">
        <v>0</v>
      </c>
      <c r="D2488" t="s">
        <v>175</v>
      </c>
      <c r="E2488" t="s">
        <v>176</v>
      </c>
      <c r="F2488" t="s">
        <v>181</v>
      </c>
      <c r="G2488" t="s">
        <v>179</v>
      </c>
    </row>
    <row r="2489" spans="1:7">
      <c r="A2489">
        <v>2027</v>
      </c>
      <c r="B2489" t="s">
        <v>190</v>
      </c>
      <c r="C2489">
        <v>0</v>
      </c>
      <c r="D2489" t="s">
        <v>175</v>
      </c>
      <c r="E2489" t="s">
        <v>176</v>
      </c>
      <c r="F2489" t="s">
        <v>181</v>
      </c>
      <c r="G2489" t="s">
        <v>179</v>
      </c>
    </row>
    <row r="2490" spans="1:7">
      <c r="A2490">
        <v>2028</v>
      </c>
      <c r="B2490" t="s">
        <v>190</v>
      </c>
      <c r="C2490">
        <v>0</v>
      </c>
      <c r="D2490" t="s">
        <v>175</v>
      </c>
      <c r="E2490" t="s">
        <v>176</v>
      </c>
      <c r="F2490" t="s">
        <v>181</v>
      </c>
      <c r="G2490" t="s">
        <v>179</v>
      </c>
    </row>
    <row r="2491" spans="1:7">
      <c r="A2491">
        <v>2029</v>
      </c>
      <c r="B2491" t="s">
        <v>190</v>
      </c>
      <c r="C2491">
        <v>0</v>
      </c>
      <c r="D2491" t="s">
        <v>175</v>
      </c>
      <c r="E2491" t="s">
        <v>176</v>
      </c>
      <c r="F2491" t="s">
        <v>181</v>
      </c>
      <c r="G2491" t="s">
        <v>179</v>
      </c>
    </row>
    <row r="2492" spans="1:7">
      <c r="A2492">
        <v>2030</v>
      </c>
      <c r="B2492" t="s">
        <v>190</v>
      </c>
      <c r="C2492">
        <v>0</v>
      </c>
      <c r="D2492" t="s">
        <v>175</v>
      </c>
      <c r="E2492" t="s">
        <v>176</v>
      </c>
      <c r="F2492" t="s">
        <v>181</v>
      </c>
      <c r="G2492" t="s">
        <v>179</v>
      </c>
    </row>
    <row r="2493" spans="1:7">
      <c r="A2493">
        <v>2031</v>
      </c>
      <c r="B2493" t="s">
        <v>190</v>
      </c>
      <c r="C2493">
        <v>0</v>
      </c>
      <c r="D2493" t="s">
        <v>175</v>
      </c>
      <c r="E2493" t="s">
        <v>176</v>
      </c>
      <c r="F2493" t="s">
        <v>181</v>
      </c>
      <c r="G2493" t="s">
        <v>179</v>
      </c>
    </row>
    <row r="2494" spans="1:7">
      <c r="A2494">
        <v>2032</v>
      </c>
      <c r="B2494" t="s">
        <v>190</v>
      </c>
      <c r="C2494">
        <v>0</v>
      </c>
      <c r="D2494" t="s">
        <v>175</v>
      </c>
      <c r="E2494" t="s">
        <v>176</v>
      </c>
      <c r="F2494" t="s">
        <v>181</v>
      </c>
      <c r="G2494" t="s">
        <v>179</v>
      </c>
    </row>
    <row r="2495" spans="1:7">
      <c r="A2495">
        <v>2033</v>
      </c>
      <c r="B2495" t="s">
        <v>190</v>
      </c>
      <c r="C2495">
        <v>0</v>
      </c>
      <c r="D2495" t="s">
        <v>175</v>
      </c>
      <c r="E2495" t="s">
        <v>176</v>
      </c>
      <c r="F2495" t="s">
        <v>181</v>
      </c>
      <c r="G2495" t="s">
        <v>179</v>
      </c>
    </row>
    <row r="2496" spans="1:7">
      <c r="A2496">
        <v>2034</v>
      </c>
      <c r="B2496" t="s">
        <v>190</v>
      </c>
      <c r="C2496">
        <v>0</v>
      </c>
      <c r="D2496" t="s">
        <v>175</v>
      </c>
      <c r="E2496" t="s">
        <v>176</v>
      </c>
      <c r="F2496" t="s">
        <v>181</v>
      </c>
      <c r="G2496" t="s">
        <v>179</v>
      </c>
    </row>
    <row r="2497" spans="1:7">
      <c r="A2497">
        <v>2035</v>
      </c>
      <c r="B2497" t="s">
        <v>190</v>
      </c>
      <c r="C2497">
        <v>0</v>
      </c>
      <c r="D2497" t="s">
        <v>175</v>
      </c>
      <c r="E2497" t="s">
        <v>176</v>
      </c>
      <c r="F2497" t="s">
        <v>181</v>
      </c>
      <c r="G2497" t="s">
        <v>179</v>
      </c>
    </row>
    <row r="2498" spans="1:7">
      <c r="A2498">
        <v>2020</v>
      </c>
      <c r="B2498" t="s">
        <v>191</v>
      </c>
      <c r="C2498">
        <v>0</v>
      </c>
      <c r="D2498" t="s">
        <v>175</v>
      </c>
      <c r="E2498" t="s">
        <v>176</v>
      </c>
      <c r="F2498" t="s">
        <v>181</v>
      </c>
      <c r="G2498" t="s">
        <v>179</v>
      </c>
    </row>
    <row r="2499" spans="1:7">
      <c r="A2499">
        <v>2021</v>
      </c>
      <c r="B2499" t="s">
        <v>191</v>
      </c>
      <c r="C2499">
        <v>0</v>
      </c>
      <c r="D2499" t="s">
        <v>175</v>
      </c>
      <c r="E2499" t="s">
        <v>176</v>
      </c>
      <c r="F2499" t="s">
        <v>181</v>
      </c>
      <c r="G2499" t="s">
        <v>179</v>
      </c>
    </row>
    <row r="2500" spans="1:7">
      <c r="A2500">
        <v>2022</v>
      </c>
      <c r="B2500" t="s">
        <v>191</v>
      </c>
      <c r="C2500">
        <v>0</v>
      </c>
      <c r="D2500" t="s">
        <v>175</v>
      </c>
      <c r="E2500" t="s">
        <v>176</v>
      </c>
      <c r="F2500" t="s">
        <v>181</v>
      </c>
      <c r="G2500" t="s">
        <v>179</v>
      </c>
    </row>
    <row r="2501" spans="1:7">
      <c r="A2501">
        <v>2023</v>
      </c>
      <c r="B2501" t="s">
        <v>191</v>
      </c>
      <c r="C2501">
        <v>0</v>
      </c>
      <c r="D2501" t="s">
        <v>175</v>
      </c>
      <c r="E2501" t="s">
        <v>176</v>
      </c>
      <c r="F2501" t="s">
        <v>181</v>
      </c>
      <c r="G2501" t="s">
        <v>179</v>
      </c>
    </row>
    <row r="2502" spans="1:7">
      <c r="A2502">
        <v>2024</v>
      </c>
      <c r="B2502" t="s">
        <v>191</v>
      </c>
      <c r="C2502">
        <v>0</v>
      </c>
      <c r="D2502" t="s">
        <v>175</v>
      </c>
      <c r="E2502" t="s">
        <v>176</v>
      </c>
      <c r="F2502" t="s">
        <v>181</v>
      </c>
      <c r="G2502" t="s">
        <v>179</v>
      </c>
    </row>
    <row r="2503" spans="1:7">
      <c r="A2503">
        <v>2025</v>
      </c>
      <c r="B2503" t="s">
        <v>191</v>
      </c>
      <c r="C2503">
        <v>0</v>
      </c>
      <c r="D2503" t="s">
        <v>175</v>
      </c>
      <c r="E2503" t="s">
        <v>176</v>
      </c>
      <c r="F2503" t="s">
        <v>181</v>
      </c>
      <c r="G2503" t="s">
        <v>179</v>
      </c>
    </row>
    <row r="2504" spans="1:7">
      <c r="A2504">
        <v>2026</v>
      </c>
      <c r="B2504" t="s">
        <v>191</v>
      </c>
      <c r="C2504">
        <v>0</v>
      </c>
      <c r="D2504" t="s">
        <v>175</v>
      </c>
      <c r="E2504" t="s">
        <v>176</v>
      </c>
      <c r="F2504" t="s">
        <v>181</v>
      </c>
      <c r="G2504" t="s">
        <v>179</v>
      </c>
    </row>
    <row r="2505" spans="1:7">
      <c r="A2505">
        <v>2027</v>
      </c>
      <c r="B2505" t="s">
        <v>191</v>
      </c>
      <c r="C2505">
        <v>0</v>
      </c>
      <c r="D2505" t="s">
        <v>175</v>
      </c>
      <c r="E2505" t="s">
        <v>176</v>
      </c>
      <c r="F2505" t="s">
        <v>181</v>
      </c>
      <c r="G2505" t="s">
        <v>179</v>
      </c>
    </row>
    <row r="2506" spans="1:7">
      <c r="A2506">
        <v>2028</v>
      </c>
      <c r="B2506" t="s">
        <v>191</v>
      </c>
      <c r="C2506">
        <v>0</v>
      </c>
      <c r="D2506" t="s">
        <v>175</v>
      </c>
      <c r="E2506" t="s">
        <v>176</v>
      </c>
      <c r="F2506" t="s">
        <v>181</v>
      </c>
      <c r="G2506" t="s">
        <v>179</v>
      </c>
    </row>
    <row r="2507" spans="1:7">
      <c r="A2507">
        <v>2029</v>
      </c>
      <c r="B2507" t="s">
        <v>191</v>
      </c>
      <c r="C2507">
        <v>0</v>
      </c>
      <c r="D2507" t="s">
        <v>175</v>
      </c>
      <c r="E2507" t="s">
        <v>176</v>
      </c>
      <c r="F2507" t="s">
        <v>181</v>
      </c>
      <c r="G2507" t="s">
        <v>179</v>
      </c>
    </row>
    <row r="2508" spans="1:7">
      <c r="A2508">
        <v>2030</v>
      </c>
      <c r="B2508" t="s">
        <v>191</v>
      </c>
      <c r="C2508">
        <v>0</v>
      </c>
      <c r="D2508" t="s">
        <v>175</v>
      </c>
      <c r="E2508" t="s">
        <v>176</v>
      </c>
      <c r="F2508" t="s">
        <v>181</v>
      </c>
      <c r="G2508" t="s">
        <v>179</v>
      </c>
    </row>
    <row r="2509" spans="1:7">
      <c r="A2509">
        <v>2031</v>
      </c>
      <c r="B2509" t="s">
        <v>191</v>
      </c>
      <c r="C2509">
        <v>0</v>
      </c>
      <c r="D2509" t="s">
        <v>175</v>
      </c>
      <c r="E2509" t="s">
        <v>176</v>
      </c>
      <c r="F2509" t="s">
        <v>181</v>
      </c>
      <c r="G2509" t="s">
        <v>179</v>
      </c>
    </row>
    <row r="2510" spans="1:7">
      <c r="A2510">
        <v>2032</v>
      </c>
      <c r="B2510" t="s">
        <v>191</v>
      </c>
      <c r="C2510">
        <v>0</v>
      </c>
      <c r="D2510" t="s">
        <v>175</v>
      </c>
      <c r="E2510" t="s">
        <v>176</v>
      </c>
      <c r="F2510" t="s">
        <v>181</v>
      </c>
      <c r="G2510" t="s">
        <v>179</v>
      </c>
    </row>
    <row r="2511" spans="1:7">
      <c r="A2511">
        <v>2033</v>
      </c>
      <c r="B2511" t="s">
        <v>191</v>
      </c>
      <c r="C2511">
        <v>0</v>
      </c>
      <c r="D2511" t="s">
        <v>175</v>
      </c>
      <c r="E2511" t="s">
        <v>176</v>
      </c>
      <c r="F2511" t="s">
        <v>181</v>
      </c>
      <c r="G2511" t="s">
        <v>179</v>
      </c>
    </row>
    <row r="2512" spans="1:7">
      <c r="A2512">
        <v>2034</v>
      </c>
      <c r="B2512" t="s">
        <v>191</v>
      </c>
      <c r="C2512">
        <v>0</v>
      </c>
      <c r="D2512" t="s">
        <v>175</v>
      </c>
      <c r="E2512" t="s">
        <v>176</v>
      </c>
      <c r="F2512" t="s">
        <v>181</v>
      </c>
      <c r="G2512" t="s">
        <v>179</v>
      </c>
    </row>
    <row r="2513" spans="1:7">
      <c r="A2513">
        <v>2035</v>
      </c>
      <c r="B2513" t="s">
        <v>191</v>
      </c>
      <c r="C2513">
        <v>0</v>
      </c>
      <c r="D2513" t="s">
        <v>175</v>
      </c>
      <c r="E2513" t="s">
        <v>176</v>
      </c>
      <c r="F2513" t="s">
        <v>181</v>
      </c>
      <c r="G2513" t="s">
        <v>179</v>
      </c>
    </row>
    <row r="2514" spans="1:7">
      <c r="A2514">
        <v>2020</v>
      </c>
      <c r="B2514" t="s">
        <v>192</v>
      </c>
      <c r="C2514">
        <v>3007.63</v>
      </c>
      <c r="D2514" t="s">
        <v>175</v>
      </c>
      <c r="E2514" t="s">
        <v>176</v>
      </c>
      <c r="F2514" t="s">
        <v>181</v>
      </c>
      <c r="G2514" t="s">
        <v>179</v>
      </c>
    </row>
    <row r="2515" spans="1:7">
      <c r="A2515">
        <v>2021</v>
      </c>
      <c r="B2515" t="s">
        <v>192</v>
      </c>
      <c r="C2515">
        <v>0</v>
      </c>
      <c r="D2515" t="s">
        <v>175</v>
      </c>
      <c r="E2515" t="s">
        <v>176</v>
      </c>
      <c r="F2515" t="s">
        <v>181</v>
      </c>
      <c r="G2515" t="s">
        <v>179</v>
      </c>
    </row>
    <row r="2516" spans="1:7">
      <c r="A2516">
        <v>2022</v>
      </c>
      <c r="B2516" t="s">
        <v>192</v>
      </c>
      <c r="C2516">
        <v>0</v>
      </c>
      <c r="D2516" t="s">
        <v>175</v>
      </c>
      <c r="E2516" t="s">
        <v>176</v>
      </c>
      <c r="F2516" t="s">
        <v>181</v>
      </c>
      <c r="G2516" t="s">
        <v>179</v>
      </c>
    </row>
    <row r="2517" spans="1:7">
      <c r="A2517">
        <v>2023</v>
      </c>
      <c r="B2517" t="s">
        <v>192</v>
      </c>
      <c r="C2517">
        <v>97</v>
      </c>
      <c r="D2517" t="s">
        <v>175</v>
      </c>
      <c r="E2517" t="s">
        <v>176</v>
      </c>
      <c r="F2517" t="s">
        <v>181</v>
      </c>
      <c r="G2517" t="s">
        <v>179</v>
      </c>
    </row>
    <row r="2518" spans="1:7">
      <c r="A2518">
        <v>2024</v>
      </c>
      <c r="B2518" t="s">
        <v>192</v>
      </c>
      <c r="C2518">
        <v>97</v>
      </c>
      <c r="D2518" t="s">
        <v>175</v>
      </c>
      <c r="E2518" t="s">
        <v>176</v>
      </c>
      <c r="F2518" t="s">
        <v>181</v>
      </c>
      <c r="G2518" t="s">
        <v>179</v>
      </c>
    </row>
    <row r="2519" spans="1:7">
      <c r="A2519">
        <v>2025</v>
      </c>
      <c r="B2519" t="s">
        <v>192</v>
      </c>
      <c r="C2519">
        <v>24.395</v>
      </c>
      <c r="D2519" t="s">
        <v>175</v>
      </c>
      <c r="E2519" t="s">
        <v>176</v>
      </c>
      <c r="F2519" t="s">
        <v>181</v>
      </c>
      <c r="G2519" t="s">
        <v>179</v>
      </c>
    </row>
    <row r="2520" spans="1:7">
      <c r="A2520">
        <v>2026</v>
      </c>
      <c r="B2520" t="s">
        <v>192</v>
      </c>
      <c r="C2520">
        <v>24.395</v>
      </c>
      <c r="D2520" t="s">
        <v>175</v>
      </c>
      <c r="E2520" t="s">
        <v>176</v>
      </c>
      <c r="F2520" t="s">
        <v>181</v>
      </c>
      <c r="G2520" t="s">
        <v>179</v>
      </c>
    </row>
    <row r="2521" spans="1:7">
      <c r="A2521">
        <v>2027</v>
      </c>
      <c r="B2521" t="s">
        <v>192</v>
      </c>
      <c r="C2521">
        <v>4</v>
      </c>
      <c r="D2521" t="s">
        <v>175</v>
      </c>
      <c r="E2521" t="s">
        <v>176</v>
      </c>
      <c r="F2521" t="s">
        <v>181</v>
      </c>
      <c r="G2521" t="s">
        <v>179</v>
      </c>
    </row>
    <row r="2522" spans="1:7">
      <c r="A2522">
        <v>2028</v>
      </c>
      <c r="B2522" t="s">
        <v>192</v>
      </c>
      <c r="C2522">
        <v>4</v>
      </c>
      <c r="D2522" t="s">
        <v>175</v>
      </c>
      <c r="E2522" t="s">
        <v>176</v>
      </c>
      <c r="F2522" t="s">
        <v>181</v>
      </c>
      <c r="G2522" t="s">
        <v>179</v>
      </c>
    </row>
    <row r="2523" spans="1:7">
      <c r="A2523">
        <v>2029</v>
      </c>
      <c r="B2523" t="s">
        <v>192</v>
      </c>
      <c r="C2523">
        <v>0</v>
      </c>
      <c r="D2523" t="s">
        <v>175</v>
      </c>
      <c r="E2523" t="s">
        <v>176</v>
      </c>
      <c r="F2523" t="s">
        <v>181</v>
      </c>
      <c r="G2523" t="s">
        <v>179</v>
      </c>
    </row>
    <row r="2524" spans="1:7">
      <c r="A2524">
        <v>2030</v>
      </c>
      <c r="B2524" t="s">
        <v>192</v>
      </c>
      <c r="C2524">
        <v>0</v>
      </c>
      <c r="D2524" t="s">
        <v>175</v>
      </c>
      <c r="E2524" t="s">
        <v>176</v>
      </c>
      <c r="F2524" t="s">
        <v>181</v>
      </c>
      <c r="G2524" t="s">
        <v>179</v>
      </c>
    </row>
    <row r="2525" spans="1:7">
      <c r="A2525">
        <v>2031</v>
      </c>
      <c r="B2525" t="s">
        <v>192</v>
      </c>
      <c r="C2525">
        <v>0</v>
      </c>
      <c r="D2525" t="s">
        <v>175</v>
      </c>
      <c r="E2525" t="s">
        <v>176</v>
      </c>
      <c r="F2525" t="s">
        <v>181</v>
      </c>
      <c r="G2525" t="s">
        <v>179</v>
      </c>
    </row>
    <row r="2526" spans="1:7">
      <c r="A2526">
        <v>2032</v>
      </c>
      <c r="B2526" t="s">
        <v>192</v>
      </c>
      <c r="C2526">
        <v>0</v>
      </c>
      <c r="D2526" t="s">
        <v>175</v>
      </c>
      <c r="E2526" t="s">
        <v>176</v>
      </c>
      <c r="F2526" t="s">
        <v>181</v>
      </c>
      <c r="G2526" t="s">
        <v>179</v>
      </c>
    </row>
    <row r="2527" spans="1:7">
      <c r="A2527">
        <v>2033</v>
      </c>
      <c r="B2527" t="s">
        <v>192</v>
      </c>
      <c r="C2527">
        <v>0</v>
      </c>
      <c r="D2527" t="s">
        <v>175</v>
      </c>
      <c r="E2527" t="s">
        <v>176</v>
      </c>
      <c r="F2527" t="s">
        <v>181</v>
      </c>
      <c r="G2527" t="s">
        <v>179</v>
      </c>
    </row>
    <row r="2528" spans="1:7">
      <c r="A2528">
        <v>2034</v>
      </c>
      <c r="B2528" t="s">
        <v>192</v>
      </c>
      <c r="C2528">
        <v>0</v>
      </c>
      <c r="D2528" t="s">
        <v>175</v>
      </c>
      <c r="E2528" t="s">
        <v>176</v>
      </c>
      <c r="F2528" t="s">
        <v>181</v>
      </c>
      <c r="G2528" t="s">
        <v>179</v>
      </c>
    </row>
    <row r="2529" spans="1:7">
      <c r="A2529">
        <v>2035</v>
      </c>
      <c r="B2529" t="s">
        <v>192</v>
      </c>
      <c r="C2529">
        <v>0</v>
      </c>
      <c r="D2529" t="s">
        <v>175</v>
      </c>
      <c r="E2529" t="s">
        <v>176</v>
      </c>
      <c r="F2529" t="s">
        <v>181</v>
      </c>
      <c r="G2529" t="s">
        <v>179</v>
      </c>
    </row>
    <row r="2530" spans="1:7">
      <c r="A2530">
        <v>2020</v>
      </c>
      <c r="B2530" t="s">
        <v>193</v>
      </c>
      <c r="C2530">
        <v>232.5</v>
      </c>
      <c r="D2530" t="s">
        <v>175</v>
      </c>
      <c r="E2530" t="s">
        <v>176</v>
      </c>
      <c r="F2530" t="s">
        <v>181</v>
      </c>
      <c r="G2530" t="s">
        <v>179</v>
      </c>
    </row>
    <row r="2531" spans="1:7">
      <c r="A2531">
        <v>2021</v>
      </c>
      <c r="B2531" t="s">
        <v>193</v>
      </c>
      <c r="C2531">
        <v>1100</v>
      </c>
      <c r="D2531" t="s">
        <v>175</v>
      </c>
      <c r="E2531" t="s">
        <v>176</v>
      </c>
      <c r="F2531" t="s">
        <v>181</v>
      </c>
      <c r="G2531" t="s">
        <v>179</v>
      </c>
    </row>
    <row r="2532" spans="1:7">
      <c r="A2532">
        <v>2022</v>
      </c>
      <c r="B2532" t="s">
        <v>193</v>
      </c>
      <c r="C2532">
        <v>1100</v>
      </c>
      <c r="D2532" t="s">
        <v>175</v>
      </c>
      <c r="E2532" t="s">
        <v>176</v>
      </c>
      <c r="F2532" t="s">
        <v>181</v>
      </c>
      <c r="G2532" t="s">
        <v>179</v>
      </c>
    </row>
    <row r="2533" spans="1:7">
      <c r="A2533">
        <v>2023</v>
      </c>
      <c r="B2533" t="s">
        <v>193</v>
      </c>
      <c r="C2533">
        <v>0</v>
      </c>
      <c r="D2533" t="s">
        <v>175</v>
      </c>
      <c r="E2533" t="s">
        <v>176</v>
      </c>
      <c r="F2533" t="s">
        <v>181</v>
      </c>
      <c r="G2533" t="s">
        <v>179</v>
      </c>
    </row>
    <row r="2534" spans="1:7">
      <c r="A2534">
        <v>2024</v>
      </c>
      <c r="B2534" t="s">
        <v>193</v>
      </c>
      <c r="C2534">
        <v>0</v>
      </c>
      <c r="D2534" t="s">
        <v>175</v>
      </c>
      <c r="E2534" t="s">
        <v>176</v>
      </c>
      <c r="F2534" t="s">
        <v>181</v>
      </c>
      <c r="G2534" t="s">
        <v>179</v>
      </c>
    </row>
    <row r="2535" spans="1:7">
      <c r="A2535">
        <v>2025</v>
      </c>
      <c r="B2535" t="s">
        <v>193</v>
      </c>
      <c r="C2535">
        <v>0</v>
      </c>
      <c r="D2535" t="s">
        <v>175</v>
      </c>
      <c r="E2535" t="s">
        <v>176</v>
      </c>
      <c r="F2535" t="s">
        <v>181</v>
      </c>
      <c r="G2535" t="s">
        <v>179</v>
      </c>
    </row>
    <row r="2536" spans="1:7">
      <c r="A2536">
        <v>2026</v>
      </c>
      <c r="B2536" t="s">
        <v>193</v>
      </c>
      <c r="C2536">
        <v>0</v>
      </c>
      <c r="D2536" t="s">
        <v>175</v>
      </c>
      <c r="E2536" t="s">
        <v>176</v>
      </c>
      <c r="F2536" t="s">
        <v>181</v>
      </c>
      <c r="G2536" t="s">
        <v>179</v>
      </c>
    </row>
    <row r="2537" spans="1:7">
      <c r="A2537">
        <v>2027</v>
      </c>
      <c r="B2537" t="s">
        <v>193</v>
      </c>
      <c r="C2537">
        <v>0</v>
      </c>
      <c r="D2537" t="s">
        <v>175</v>
      </c>
      <c r="E2537" t="s">
        <v>176</v>
      </c>
      <c r="F2537" t="s">
        <v>181</v>
      </c>
      <c r="G2537" t="s">
        <v>179</v>
      </c>
    </row>
    <row r="2538" spans="1:7">
      <c r="A2538">
        <v>2028</v>
      </c>
      <c r="B2538" t="s">
        <v>193</v>
      </c>
      <c r="C2538">
        <v>0</v>
      </c>
      <c r="D2538" t="s">
        <v>175</v>
      </c>
      <c r="E2538" t="s">
        <v>176</v>
      </c>
      <c r="F2538" t="s">
        <v>181</v>
      </c>
      <c r="G2538" t="s">
        <v>179</v>
      </c>
    </row>
    <row r="2539" spans="1:7">
      <c r="A2539">
        <v>2029</v>
      </c>
      <c r="B2539" t="s">
        <v>193</v>
      </c>
      <c r="C2539">
        <v>0</v>
      </c>
      <c r="D2539" t="s">
        <v>175</v>
      </c>
      <c r="E2539" t="s">
        <v>176</v>
      </c>
      <c r="F2539" t="s">
        <v>181</v>
      </c>
      <c r="G2539" t="s">
        <v>179</v>
      </c>
    </row>
    <row r="2540" spans="1:7">
      <c r="A2540">
        <v>2030</v>
      </c>
      <c r="B2540" t="s">
        <v>193</v>
      </c>
      <c r="C2540">
        <v>0</v>
      </c>
      <c r="D2540" t="s">
        <v>175</v>
      </c>
      <c r="E2540" t="s">
        <v>176</v>
      </c>
      <c r="F2540" t="s">
        <v>181</v>
      </c>
      <c r="G2540" t="s">
        <v>179</v>
      </c>
    </row>
    <row r="2541" spans="1:7">
      <c r="A2541">
        <v>2031</v>
      </c>
      <c r="B2541" t="s">
        <v>193</v>
      </c>
      <c r="C2541">
        <v>0</v>
      </c>
      <c r="D2541" t="s">
        <v>175</v>
      </c>
      <c r="E2541" t="s">
        <v>176</v>
      </c>
      <c r="F2541" t="s">
        <v>181</v>
      </c>
      <c r="G2541" t="s">
        <v>179</v>
      </c>
    </row>
    <row r="2542" spans="1:7">
      <c r="A2542">
        <v>2032</v>
      </c>
      <c r="B2542" t="s">
        <v>193</v>
      </c>
      <c r="C2542">
        <v>0</v>
      </c>
      <c r="D2542" t="s">
        <v>175</v>
      </c>
      <c r="E2542" t="s">
        <v>176</v>
      </c>
      <c r="F2542" t="s">
        <v>181</v>
      </c>
      <c r="G2542" t="s">
        <v>179</v>
      </c>
    </row>
    <row r="2543" spans="1:7">
      <c r="A2543">
        <v>2033</v>
      </c>
      <c r="B2543" t="s">
        <v>193</v>
      </c>
      <c r="C2543">
        <v>0</v>
      </c>
      <c r="D2543" t="s">
        <v>175</v>
      </c>
      <c r="E2543" t="s">
        <v>176</v>
      </c>
      <c r="F2543" t="s">
        <v>181</v>
      </c>
      <c r="G2543" t="s">
        <v>179</v>
      </c>
    </row>
    <row r="2544" spans="1:7">
      <c r="A2544">
        <v>2034</v>
      </c>
      <c r="B2544" t="s">
        <v>193</v>
      </c>
      <c r="C2544">
        <v>0</v>
      </c>
      <c r="D2544" t="s">
        <v>175</v>
      </c>
      <c r="E2544" t="s">
        <v>176</v>
      </c>
      <c r="F2544" t="s">
        <v>181</v>
      </c>
      <c r="G2544" t="s">
        <v>179</v>
      </c>
    </row>
    <row r="2545" spans="1:7">
      <c r="A2545">
        <v>2035</v>
      </c>
      <c r="B2545" t="s">
        <v>193</v>
      </c>
      <c r="C2545">
        <v>0</v>
      </c>
      <c r="D2545" t="s">
        <v>175</v>
      </c>
      <c r="E2545" t="s">
        <v>176</v>
      </c>
      <c r="F2545" t="s">
        <v>181</v>
      </c>
      <c r="G2545" t="s">
        <v>179</v>
      </c>
    </row>
    <row r="2546" spans="1:7">
      <c r="A2546">
        <v>2020</v>
      </c>
      <c r="B2546" t="s">
        <v>194</v>
      </c>
      <c r="C2546">
        <v>14.85</v>
      </c>
      <c r="D2546" t="s">
        <v>175</v>
      </c>
      <c r="E2546" t="s">
        <v>176</v>
      </c>
      <c r="F2546" t="s">
        <v>181</v>
      </c>
      <c r="G2546" t="s">
        <v>179</v>
      </c>
    </row>
    <row r="2547" spans="1:7">
      <c r="A2547">
        <v>2021</v>
      </c>
      <c r="B2547" t="s">
        <v>194</v>
      </c>
      <c r="C2547">
        <v>0</v>
      </c>
      <c r="D2547" t="s">
        <v>175</v>
      </c>
      <c r="E2547" t="s">
        <v>176</v>
      </c>
      <c r="F2547" t="s">
        <v>181</v>
      </c>
      <c r="G2547" t="s">
        <v>179</v>
      </c>
    </row>
    <row r="2548" spans="1:7">
      <c r="A2548">
        <v>2022</v>
      </c>
      <c r="B2548" t="s">
        <v>194</v>
      </c>
      <c r="C2548">
        <v>0</v>
      </c>
      <c r="D2548" t="s">
        <v>175</v>
      </c>
      <c r="E2548" t="s">
        <v>176</v>
      </c>
      <c r="F2548" t="s">
        <v>181</v>
      </c>
      <c r="G2548" t="s">
        <v>179</v>
      </c>
    </row>
    <row r="2549" spans="1:7">
      <c r="A2549">
        <v>2023</v>
      </c>
      <c r="B2549" t="s">
        <v>194</v>
      </c>
      <c r="C2549">
        <v>0</v>
      </c>
      <c r="D2549" t="s">
        <v>175</v>
      </c>
      <c r="E2549" t="s">
        <v>176</v>
      </c>
      <c r="F2549" t="s">
        <v>181</v>
      </c>
      <c r="G2549" t="s">
        <v>179</v>
      </c>
    </row>
    <row r="2550" spans="1:7">
      <c r="A2550">
        <v>2024</v>
      </c>
      <c r="B2550" t="s">
        <v>194</v>
      </c>
      <c r="C2550">
        <v>0</v>
      </c>
      <c r="D2550" t="s">
        <v>175</v>
      </c>
      <c r="E2550" t="s">
        <v>176</v>
      </c>
      <c r="F2550" t="s">
        <v>181</v>
      </c>
      <c r="G2550" t="s">
        <v>179</v>
      </c>
    </row>
    <row r="2551" spans="1:7">
      <c r="A2551">
        <v>2025</v>
      </c>
      <c r="B2551" t="s">
        <v>194</v>
      </c>
      <c r="C2551">
        <v>0</v>
      </c>
      <c r="D2551" t="s">
        <v>175</v>
      </c>
      <c r="E2551" t="s">
        <v>176</v>
      </c>
      <c r="F2551" t="s">
        <v>181</v>
      </c>
      <c r="G2551" t="s">
        <v>179</v>
      </c>
    </row>
    <row r="2552" spans="1:7">
      <c r="A2552">
        <v>2026</v>
      </c>
      <c r="B2552" t="s">
        <v>194</v>
      </c>
      <c r="C2552">
        <v>0</v>
      </c>
      <c r="D2552" t="s">
        <v>175</v>
      </c>
      <c r="E2552" t="s">
        <v>176</v>
      </c>
      <c r="F2552" t="s">
        <v>181</v>
      </c>
      <c r="G2552" t="s">
        <v>179</v>
      </c>
    </row>
    <row r="2553" spans="1:7">
      <c r="A2553">
        <v>2027</v>
      </c>
      <c r="B2553" t="s">
        <v>194</v>
      </c>
      <c r="C2553">
        <v>0</v>
      </c>
      <c r="D2553" t="s">
        <v>175</v>
      </c>
      <c r="E2553" t="s">
        <v>176</v>
      </c>
      <c r="F2553" t="s">
        <v>181</v>
      </c>
      <c r="G2553" t="s">
        <v>179</v>
      </c>
    </row>
    <row r="2554" spans="1:7">
      <c r="A2554">
        <v>2028</v>
      </c>
      <c r="B2554" t="s">
        <v>194</v>
      </c>
      <c r="C2554">
        <v>0</v>
      </c>
      <c r="D2554" t="s">
        <v>175</v>
      </c>
      <c r="E2554" t="s">
        <v>176</v>
      </c>
      <c r="F2554" t="s">
        <v>181</v>
      </c>
      <c r="G2554" t="s">
        <v>179</v>
      </c>
    </row>
    <row r="2555" spans="1:7">
      <c r="A2555">
        <v>2029</v>
      </c>
      <c r="B2555" t="s">
        <v>194</v>
      </c>
      <c r="C2555">
        <v>0</v>
      </c>
      <c r="D2555" t="s">
        <v>175</v>
      </c>
      <c r="E2555" t="s">
        <v>176</v>
      </c>
      <c r="F2555" t="s">
        <v>181</v>
      </c>
      <c r="G2555" t="s">
        <v>179</v>
      </c>
    </row>
    <row r="2556" spans="1:7">
      <c r="A2556">
        <v>2030</v>
      </c>
      <c r="B2556" t="s">
        <v>194</v>
      </c>
      <c r="C2556">
        <v>0</v>
      </c>
      <c r="D2556" t="s">
        <v>175</v>
      </c>
      <c r="E2556" t="s">
        <v>176</v>
      </c>
      <c r="F2556" t="s">
        <v>181</v>
      </c>
      <c r="G2556" t="s">
        <v>179</v>
      </c>
    </row>
    <row r="2557" spans="1:7">
      <c r="A2557">
        <v>2031</v>
      </c>
      <c r="B2557" t="s">
        <v>194</v>
      </c>
      <c r="C2557">
        <v>0</v>
      </c>
      <c r="D2557" t="s">
        <v>175</v>
      </c>
      <c r="E2557" t="s">
        <v>176</v>
      </c>
      <c r="F2557" t="s">
        <v>181</v>
      </c>
      <c r="G2557" t="s">
        <v>179</v>
      </c>
    </row>
    <row r="2558" spans="1:7">
      <c r="A2558">
        <v>2032</v>
      </c>
      <c r="B2558" t="s">
        <v>194</v>
      </c>
      <c r="C2558">
        <v>0</v>
      </c>
      <c r="D2558" t="s">
        <v>175</v>
      </c>
      <c r="E2558" t="s">
        <v>176</v>
      </c>
      <c r="F2558" t="s">
        <v>181</v>
      </c>
      <c r="G2558" t="s">
        <v>179</v>
      </c>
    </row>
    <row r="2559" spans="1:7">
      <c r="A2559">
        <v>2033</v>
      </c>
      <c r="B2559" t="s">
        <v>194</v>
      </c>
      <c r="C2559">
        <v>0</v>
      </c>
      <c r="D2559" t="s">
        <v>175</v>
      </c>
      <c r="E2559" t="s">
        <v>176</v>
      </c>
      <c r="F2559" t="s">
        <v>181</v>
      </c>
      <c r="G2559" t="s">
        <v>179</v>
      </c>
    </row>
    <row r="2560" spans="1:7">
      <c r="A2560">
        <v>2034</v>
      </c>
      <c r="B2560" t="s">
        <v>194</v>
      </c>
      <c r="C2560">
        <v>0</v>
      </c>
      <c r="D2560" t="s">
        <v>175</v>
      </c>
      <c r="E2560" t="s">
        <v>176</v>
      </c>
      <c r="F2560" t="s">
        <v>181</v>
      </c>
      <c r="G2560" t="s">
        <v>179</v>
      </c>
    </row>
    <row r="2561" spans="1:7">
      <c r="A2561">
        <v>2035</v>
      </c>
      <c r="B2561" t="s">
        <v>194</v>
      </c>
      <c r="C2561">
        <v>0</v>
      </c>
      <c r="D2561" t="s">
        <v>175</v>
      </c>
      <c r="E2561" t="s">
        <v>176</v>
      </c>
      <c r="F2561" t="s">
        <v>181</v>
      </c>
      <c r="G2561" t="s">
        <v>179</v>
      </c>
    </row>
    <row r="2562" spans="1:7">
      <c r="A2562">
        <v>2020</v>
      </c>
      <c r="B2562" t="s">
        <v>195</v>
      </c>
      <c r="C2562">
        <v>12387.2</v>
      </c>
      <c r="D2562" t="s">
        <v>175</v>
      </c>
      <c r="E2562" t="s">
        <v>176</v>
      </c>
      <c r="F2562" t="s">
        <v>181</v>
      </c>
      <c r="G2562" t="s">
        <v>179</v>
      </c>
    </row>
    <row r="2563" spans="1:7">
      <c r="A2563">
        <v>2021</v>
      </c>
      <c r="B2563" t="s">
        <v>195</v>
      </c>
      <c r="C2563">
        <v>50170.400000000001</v>
      </c>
      <c r="D2563" t="s">
        <v>175</v>
      </c>
      <c r="E2563" t="s">
        <v>176</v>
      </c>
      <c r="F2563" t="s">
        <v>181</v>
      </c>
      <c r="G2563" t="s">
        <v>179</v>
      </c>
    </row>
    <row r="2564" spans="1:7">
      <c r="A2564">
        <v>2022</v>
      </c>
      <c r="B2564" t="s">
        <v>195</v>
      </c>
      <c r="C2564">
        <v>50170.400000000001</v>
      </c>
      <c r="D2564" t="s">
        <v>175</v>
      </c>
      <c r="E2564" t="s">
        <v>176</v>
      </c>
      <c r="F2564" t="s">
        <v>181</v>
      </c>
      <c r="G2564" t="s">
        <v>179</v>
      </c>
    </row>
    <row r="2565" spans="1:7">
      <c r="A2565">
        <v>2023</v>
      </c>
      <c r="B2565" t="s">
        <v>195</v>
      </c>
      <c r="C2565">
        <v>33062.400000000001</v>
      </c>
      <c r="D2565" t="s">
        <v>175</v>
      </c>
      <c r="E2565" t="s">
        <v>176</v>
      </c>
      <c r="F2565" t="s">
        <v>181</v>
      </c>
      <c r="G2565" t="s">
        <v>179</v>
      </c>
    </row>
    <row r="2566" spans="1:7">
      <c r="A2566">
        <v>2024</v>
      </c>
      <c r="B2566" t="s">
        <v>195</v>
      </c>
      <c r="C2566">
        <v>33062.400000000001</v>
      </c>
      <c r="D2566" t="s">
        <v>175</v>
      </c>
      <c r="E2566" t="s">
        <v>176</v>
      </c>
      <c r="F2566" t="s">
        <v>181</v>
      </c>
      <c r="G2566" t="s">
        <v>179</v>
      </c>
    </row>
    <row r="2567" spans="1:7">
      <c r="A2567">
        <v>2025</v>
      </c>
      <c r="B2567" t="s">
        <v>195</v>
      </c>
      <c r="C2567">
        <v>7249.15</v>
      </c>
      <c r="D2567" t="s">
        <v>175</v>
      </c>
      <c r="E2567" t="s">
        <v>176</v>
      </c>
      <c r="F2567" t="s">
        <v>181</v>
      </c>
      <c r="G2567" t="s">
        <v>179</v>
      </c>
    </row>
    <row r="2568" spans="1:7">
      <c r="A2568">
        <v>2026</v>
      </c>
      <c r="B2568" t="s">
        <v>195</v>
      </c>
      <c r="C2568">
        <v>7249.15</v>
      </c>
      <c r="D2568" t="s">
        <v>175</v>
      </c>
      <c r="E2568" t="s">
        <v>176</v>
      </c>
      <c r="F2568" t="s">
        <v>181</v>
      </c>
      <c r="G2568" t="s">
        <v>179</v>
      </c>
    </row>
    <row r="2569" spans="1:7">
      <c r="A2569">
        <v>2027</v>
      </c>
      <c r="B2569" t="s">
        <v>195</v>
      </c>
      <c r="C2569">
        <v>13876.7</v>
      </c>
      <c r="D2569" t="s">
        <v>175</v>
      </c>
      <c r="E2569" t="s">
        <v>176</v>
      </c>
      <c r="F2569" t="s">
        <v>181</v>
      </c>
      <c r="G2569" t="s">
        <v>179</v>
      </c>
    </row>
    <row r="2570" spans="1:7">
      <c r="A2570">
        <v>2028</v>
      </c>
      <c r="B2570" t="s">
        <v>195</v>
      </c>
      <c r="C2570">
        <v>13876.7</v>
      </c>
      <c r="D2570" t="s">
        <v>175</v>
      </c>
      <c r="E2570" t="s">
        <v>176</v>
      </c>
      <c r="F2570" t="s">
        <v>181</v>
      </c>
      <c r="G2570" t="s">
        <v>179</v>
      </c>
    </row>
    <row r="2571" spans="1:7">
      <c r="A2571">
        <v>2029</v>
      </c>
      <c r="B2571" t="s">
        <v>195</v>
      </c>
      <c r="C2571">
        <v>14483.2</v>
      </c>
      <c r="D2571" t="s">
        <v>175</v>
      </c>
      <c r="E2571" t="s">
        <v>176</v>
      </c>
      <c r="F2571" t="s">
        <v>181</v>
      </c>
      <c r="G2571" t="s">
        <v>179</v>
      </c>
    </row>
    <row r="2572" spans="1:7">
      <c r="A2572">
        <v>2030</v>
      </c>
      <c r="B2572" t="s">
        <v>195</v>
      </c>
      <c r="C2572">
        <v>14483.2</v>
      </c>
      <c r="D2572" t="s">
        <v>175</v>
      </c>
      <c r="E2572" t="s">
        <v>176</v>
      </c>
      <c r="F2572" t="s">
        <v>181</v>
      </c>
      <c r="G2572" t="s">
        <v>179</v>
      </c>
    </row>
    <row r="2573" spans="1:7">
      <c r="A2573">
        <v>2031</v>
      </c>
      <c r="B2573" t="s">
        <v>195</v>
      </c>
      <c r="C2573">
        <v>7974.67</v>
      </c>
      <c r="D2573" t="s">
        <v>175</v>
      </c>
      <c r="E2573" t="s">
        <v>176</v>
      </c>
      <c r="F2573" t="s">
        <v>181</v>
      </c>
      <c r="G2573" t="s">
        <v>179</v>
      </c>
    </row>
    <row r="2574" spans="1:7">
      <c r="A2574">
        <v>2032</v>
      </c>
      <c r="B2574" t="s">
        <v>195</v>
      </c>
      <c r="C2574">
        <v>7974.67</v>
      </c>
      <c r="D2574" t="s">
        <v>175</v>
      </c>
      <c r="E2574" t="s">
        <v>176</v>
      </c>
      <c r="F2574" t="s">
        <v>181</v>
      </c>
      <c r="G2574" t="s">
        <v>179</v>
      </c>
    </row>
    <row r="2575" spans="1:7">
      <c r="A2575">
        <v>2033</v>
      </c>
      <c r="B2575" t="s">
        <v>195</v>
      </c>
      <c r="C2575">
        <v>12482.5</v>
      </c>
      <c r="D2575" t="s">
        <v>175</v>
      </c>
      <c r="E2575" t="s">
        <v>176</v>
      </c>
      <c r="F2575" t="s">
        <v>181</v>
      </c>
      <c r="G2575" t="s">
        <v>179</v>
      </c>
    </row>
    <row r="2576" spans="1:7">
      <c r="A2576">
        <v>2034</v>
      </c>
      <c r="B2576" t="s">
        <v>195</v>
      </c>
      <c r="C2576">
        <v>12482.5</v>
      </c>
      <c r="D2576" t="s">
        <v>175</v>
      </c>
      <c r="E2576" t="s">
        <v>176</v>
      </c>
      <c r="F2576" t="s">
        <v>181</v>
      </c>
      <c r="G2576" t="s">
        <v>179</v>
      </c>
    </row>
    <row r="2577" spans="1:7">
      <c r="A2577">
        <v>2035</v>
      </c>
      <c r="B2577" t="s">
        <v>195</v>
      </c>
      <c r="C2577">
        <v>12482.5</v>
      </c>
      <c r="D2577" t="s">
        <v>175</v>
      </c>
      <c r="E2577" t="s">
        <v>176</v>
      </c>
      <c r="F2577" t="s">
        <v>181</v>
      </c>
      <c r="G2577" t="s">
        <v>179</v>
      </c>
    </row>
    <row r="2578" spans="1:7">
      <c r="A2578">
        <v>2020</v>
      </c>
      <c r="B2578" t="s">
        <v>196</v>
      </c>
      <c r="C2578">
        <v>30327.4</v>
      </c>
      <c r="D2578" t="s">
        <v>175</v>
      </c>
      <c r="E2578" t="s">
        <v>176</v>
      </c>
      <c r="F2578" t="s">
        <v>181</v>
      </c>
      <c r="G2578" t="s">
        <v>179</v>
      </c>
    </row>
    <row r="2579" spans="1:7">
      <c r="A2579">
        <v>2021</v>
      </c>
      <c r="B2579" t="s">
        <v>196</v>
      </c>
      <c r="C2579">
        <v>80633.2</v>
      </c>
      <c r="D2579" t="s">
        <v>175</v>
      </c>
      <c r="E2579" t="s">
        <v>176</v>
      </c>
      <c r="F2579" t="s">
        <v>181</v>
      </c>
      <c r="G2579" t="s">
        <v>179</v>
      </c>
    </row>
    <row r="2580" spans="1:7">
      <c r="A2580">
        <v>2022</v>
      </c>
      <c r="B2580" t="s">
        <v>196</v>
      </c>
      <c r="C2580">
        <v>80633.2</v>
      </c>
      <c r="D2580" t="s">
        <v>175</v>
      </c>
      <c r="E2580" t="s">
        <v>176</v>
      </c>
      <c r="F2580" t="s">
        <v>181</v>
      </c>
      <c r="G2580" t="s">
        <v>179</v>
      </c>
    </row>
    <row r="2581" spans="1:7">
      <c r="A2581">
        <v>2023</v>
      </c>
      <c r="B2581" t="s">
        <v>196</v>
      </c>
      <c r="C2581">
        <v>4059.83</v>
      </c>
      <c r="D2581" t="s">
        <v>175</v>
      </c>
      <c r="E2581" t="s">
        <v>176</v>
      </c>
      <c r="F2581" t="s">
        <v>181</v>
      </c>
      <c r="G2581" t="s">
        <v>179</v>
      </c>
    </row>
    <row r="2582" spans="1:7">
      <c r="A2582">
        <v>2024</v>
      </c>
      <c r="B2582" t="s">
        <v>196</v>
      </c>
      <c r="C2582">
        <v>4059.83</v>
      </c>
      <c r="D2582" t="s">
        <v>175</v>
      </c>
      <c r="E2582" t="s">
        <v>176</v>
      </c>
      <c r="F2582" t="s">
        <v>181</v>
      </c>
      <c r="G2582" t="s">
        <v>179</v>
      </c>
    </row>
    <row r="2583" spans="1:7">
      <c r="A2583">
        <v>2025</v>
      </c>
      <c r="B2583" t="s">
        <v>196</v>
      </c>
      <c r="C2583">
        <v>9554.5499999999993</v>
      </c>
      <c r="D2583" t="s">
        <v>175</v>
      </c>
      <c r="E2583" t="s">
        <v>176</v>
      </c>
      <c r="F2583" t="s">
        <v>181</v>
      </c>
      <c r="G2583" t="s">
        <v>179</v>
      </c>
    </row>
    <row r="2584" spans="1:7">
      <c r="A2584">
        <v>2026</v>
      </c>
      <c r="B2584" t="s">
        <v>196</v>
      </c>
      <c r="C2584">
        <v>9554.5499999999993</v>
      </c>
      <c r="D2584" t="s">
        <v>175</v>
      </c>
      <c r="E2584" t="s">
        <v>176</v>
      </c>
      <c r="F2584" t="s">
        <v>181</v>
      </c>
      <c r="G2584" t="s">
        <v>179</v>
      </c>
    </row>
    <row r="2585" spans="1:7">
      <c r="A2585">
        <v>2027</v>
      </c>
      <c r="B2585" t="s">
        <v>196</v>
      </c>
      <c r="C2585">
        <v>14128.7</v>
      </c>
      <c r="D2585" t="s">
        <v>175</v>
      </c>
      <c r="E2585" t="s">
        <v>176</v>
      </c>
      <c r="F2585" t="s">
        <v>181</v>
      </c>
      <c r="G2585" t="s">
        <v>179</v>
      </c>
    </row>
    <row r="2586" spans="1:7">
      <c r="A2586">
        <v>2028</v>
      </c>
      <c r="B2586" t="s">
        <v>196</v>
      </c>
      <c r="C2586">
        <v>14128.7</v>
      </c>
      <c r="D2586" t="s">
        <v>175</v>
      </c>
      <c r="E2586" t="s">
        <v>176</v>
      </c>
      <c r="F2586" t="s">
        <v>181</v>
      </c>
      <c r="G2586" t="s">
        <v>179</v>
      </c>
    </row>
    <row r="2587" spans="1:7">
      <c r="A2587">
        <v>2029</v>
      </c>
      <c r="B2587" t="s">
        <v>196</v>
      </c>
      <c r="C2587">
        <v>12310.4</v>
      </c>
      <c r="D2587" t="s">
        <v>175</v>
      </c>
      <c r="E2587" t="s">
        <v>176</v>
      </c>
      <c r="F2587" t="s">
        <v>181</v>
      </c>
      <c r="G2587" t="s">
        <v>179</v>
      </c>
    </row>
    <row r="2588" spans="1:7">
      <c r="A2588">
        <v>2030</v>
      </c>
      <c r="B2588" t="s">
        <v>196</v>
      </c>
      <c r="C2588">
        <v>12310.4</v>
      </c>
      <c r="D2588" t="s">
        <v>175</v>
      </c>
      <c r="E2588" t="s">
        <v>176</v>
      </c>
      <c r="F2588" t="s">
        <v>181</v>
      </c>
      <c r="G2588" t="s">
        <v>179</v>
      </c>
    </row>
    <row r="2589" spans="1:7">
      <c r="A2589">
        <v>2031</v>
      </c>
      <c r="B2589" t="s">
        <v>196</v>
      </c>
      <c r="C2589">
        <v>13046.2</v>
      </c>
      <c r="D2589" t="s">
        <v>175</v>
      </c>
      <c r="E2589" t="s">
        <v>176</v>
      </c>
      <c r="F2589" t="s">
        <v>181</v>
      </c>
      <c r="G2589" t="s">
        <v>179</v>
      </c>
    </row>
    <row r="2590" spans="1:7">
      <c r="A2590">
        <v>2032</v>
      </c>
      <c r="B2590" t="s">
        <v>196</v>
      </c>
      <c r="C2590">
        <v>13046.2</v>
      </c>
      <c r="D2590" t="s">
        <v>175</v>
      </c>
      <c r="E2590" t="s">
        <v>176</v>
      </c>
      <c r="F2590" t="s">
        <v>181</v>
      </c>
      <c r="G2590" t="s">
        <v>179</v>
      </c>
    </row>
    <row r="2591" spans="1:7">
      <c r="A2591">
        <v>2033</v>
      </c>
      <c r="B2591" t="s">
        <v>196</v>
      </c>
      <c r="C2591">
        <v>14384.2</v>
      </c>
      <c r="D2591" t="s">
        <v>175</v>
      </c>
      <c r="E2591" t="s">
        <v>176</v>
      </c>
      <c r="F2591" t="s">
        <v>181</v>
      </c>
      <c r="G2591" t="s">
        <v>179</v>
      </c>
    </row>
    <row r="2592" spans="1:7">
      <c r="A2592">
        <v>2034</v>
      </c>
      <c r="B2592" t="s">
        <v>196</v>
      </c>
      <c r="C2592">
        <v>14384.2</v>
      </c>
      <c r="D2592" t="s">
        <v>175</v>
      </c>
      <c r="E2592" t="s">
        <v>176</v>
      </c>
      <c r="F2592" t="s">
        <v>181</v>
      </c>
      <c r="G2592" t="s">
        <v>179</v>
      </c>
    </row>
    <row r="2593" spans="1:7">
      <c r="A2593">
        <v>2035</v>
      </c>
      <c r="B2593" t="s">
        <v>196</v>
      </c>
      <c r="C2593">
        <v>14384.2</v>
      </c>
      <c r="D2593" t="s">
        <v>175</v>
      </c>
      <c r="E2593" t="s">
        <v>176</v>
      </c>
      <c r="F2593" t="s">
        <v>181</v>
      </c>
      <c r="G2593" t="s">
        <v>179</v>
      </c>
    </row>
    <row r="2594" spans="1:7">
      <c r="A2594">
        <v>2020</v>
      </c>
      <c r="B2594" t="s">
        <v>188</v>
      </c>
      <c r="C2594">
        <v>102.45</v>
      </c>
      <c r="D2594" t="s">
        <v>175</v>
      </c>
      <c r="E2594" t="s">
        <v>176</v>
      </c>
      <c r="F2594" t="s">
        <v>181</v>
      </c>
      <c r="G2594" t="s">
        <v>180</v>
      </c>
    </row>
    <row r="2595" spans="1:7">
      <c r="A2595">
        <v>2021</v>
      </c>
      <c r="B2595" t="s">
        <v>188</v>
      </c>
      <c r="C2595">
        <v>9.5</v>
      </c>
      <c r="D2595" t="s">
        <v>175</v>
      </c>
      <c r="E2595" t="s">
        <v>176</v>
      </c>
      <c r="F2595" t="s">
        <v>181</v>
      </c>
      <c r="G2595" t="s">
        <v>180</v>
      </c>
    </row>
    <row r="2596" spans="1:7">
      <c r="A2596">
        <v>2022</v>
      </c>
      <c r="B2596" t="s">
        <v>188</v>
      </c>
      <c r="C2596">
        <v>9.5</v>
      </c>
      <c r="D2596" t="s">
        <v>175</v>
      </c>
      <c r="E2596" t="s">
        <v>176</v>
      </c>
      <c r="F2596" t="s">
        <v>181</v>
      </c>
      <c r="G2596" t="s">
        <v>180</v>
      </c>
    </row>
    <row r="2597" spans="1:7">
      <c r="A2597">
        <v>2023</v>
      </c>
      <c r="B2597" t="s">
        <v>188</v>
      </c>
      <c r="C2597">
        <v>0</v>
      </c>
      <c r="D2597" t="s">
        <v>175</v>
      </c>
      <c r="E2597" t="s">
        <v>176</v>
      </c>
      <c r="F2597" t="s">
        <v>181</v>
      </c>
      <c r="G2597" t="s">
        <v>180</v>
      </c>
    </row>
    <row r="2598" spans="1:7">
      <c r="A2598">
        <v>2024</v>
      </c>
      <c r="B2598" t="s">
        <v>188</v>
      </c>
      <c r="C2598">
        <v>0</v>
      </c>
      <c r="D2598" t="s">
        <v>175</v>
      </c>
      <c r="E2598" t="s">
        <v>176</v>
      </c>
      <c r="F2598" t="s">
        <v>181</v>
      </c>
      <c r="G2598" t="s">
        <v>180</v>
      </c>
    </row>
    <row r="2599" spans="1:7">
      <c r="A2599">
        <v>2025</v>
      </c>
      <c r="B2599" t="s">
        <v>188</v>
      </c>
      <c r="C2599">
        <v>0</v>
      </c>
      <c r="D2599" t="s">
        <v>175</v>
      </c>
      <c r="E2599" t="s">
        <v>176</v>
      </c>
      <c r="F2599" t="s">
        <v>181</v>
      </c>
      <c r="G2599" t="s">
        <v>180</v>
      </c>
    </row>
    <row r="2600" spans="1:7">
      <c r="A2600">
        <v>2026</v>
      </c>
      <c r="B2600" t="s">
        <v>188</v>
      </c>
      <c r="C2600">
        <v>0</v>
      </c>
      <c r="D2600" t="s">
        <v>175</v>
      </c>
      <c r="E2600" t="s">
        <v>176</v>
      </c>
      <c r="F2600" t="s">
        <v>181</v>
      </c>
      <c r="G2600" t="s">
        <v>180</v>
      </c>
    </row>
    <row r="2601" spans="1:7">
      <c r="A2601">
        <v>2027</v>
      </c>
      <c r="B2601" t="s">
        <v>188</v>
      </c>
      <c r="C2601">
        <v>0</v>
      </c>
      <c r="D2601" t="s">
        <v>175</v>
      </c>
      <c r="E2601" t="s">
        <v>176</v>
      </c>
      <c r="F2601" t="s">
        <v>181</v>
      </c>
      <c r="G2601" t="s">
        <v>180</v>
      </c>
    </row>
    <row r="2602" spans="1:7">
      <c r="A2602">
        <v>2028</v>
      </c>
      <c r="B2602" t="s">
        <v>188</v>
      </c>
      <c r="C2602">
        <v>0</v>
      </c>
      <c r="D2602" t="s">
        <v>175</v>
      </c>
      <c r="E2602" t="s">
        <v>176</v>
      </c>
      <c r="F2602" t="s">
        <v>181</v>
      </c>
      <c r="G2602" t="s">
        <v>180</v>
      </c>
    </row>
    <row r="2603" spans="1:7">
      <c r="A2603">
        <v>2029</v>
      </c>
      <c r="B2603" t="s">
        <v>188</v>
      </c>
      <c r="C2603">
        <v>0</v>
      </c>
      <c r="D2603" t="s">
        <v>175</v>
      </c>
      <c r="E2603" t="s">
        <v>176</v>
      </c>
      <c r="F2603" t="s">
        <v>181</v>
      </c>
      <c r="G2603" t="s">
        <v>180</v>
      </c>
    </row>
    <row r="2604" spans="1:7">
      <c r="A2604">
        <v>2030</v>
      </c>
      <c r="B2604" t="s">
        <v>188</v>
      </c>
      <c r="C2604">
        <v>0</v>
      </c>
      <c r="D2604" t="s">
        <v>175</v>
      </c>
      <c r="E2604" t="s">
        <v>176</v>
      </c>
      <c r="F2604" t="s">
        <v>181</v>
      </c>
      <c r="G2604" t="s">
        <v>180</v>
      </c>
    </row>
    <row r="2605" spans="1:7">
      <c r="A2605">
        <v>2031</v>
      </c>
      <c r="B2605" t="s">
        <v>188</v>
      </c>
      <c r="C2605">
        <v>0</v>
      </c>
      <c r="D2605" t="s">
        <v>175</v>
      </c>
      <c r="E2605" t="s">
        <v>176</v>
      </c>
      <c r="F2605" t="s">
        <v>181</v>
      </c>
      <c r="G2605" t="s">
        <v>180</v>
      </c>
    </row>
    <row r="2606" spans="1:7">
      <c r="A2606">
        <v>2032</v>
      </c>
      <c r="B2606" t="s">
        <v>188</v>
      </c>
      <c r="C2606">
        <v>0</v>
      </c>
      <c r="D2606" t="s">
        <v>175</v>
      </c>
      <c r="E2606" t="s">
        <v>176</v>
      </c>
      <c r="F2606" t="s">
        <v>181</v>
      </c>
      <c r="G2606" t="s">
        <v>180</v>
      </c>
    </row>
    <row r="2607" spans="1:7">
      <c r="A2607">
        <v>2033</v>
      </c>
      <c r="B2607" t="s">
        <v>188</v>
      </c>
      <c r="C2607">
        <v>0</v>
      </c>
      <c r="D2607" t="s">
        <v>175</v>
      </c>
      <c r="E2607" t="s">
        <v>176</v>
      </c>
      <c r="F2607" t="s">
        <v>181</v>
      </c>
      <c r="G2607" t="s">
        <v>180</v>
      </c>
    </row>
    <row r="2608" spans="1:7">
      <c r="A2608">
        <v>2034</v>
      </c>
      <c r="B2608" t="s">
        <v>188</v>
      </c>
      <c r="C2608">
        <v>0</v>
      </c>
      <c r="D2608" t="s">
        <v>175</v>
      </c>
      <c r="E2608" t="s">
        <v>176</v>
      </c>
      <c r="F2608" t="s">
        <v>181</v>
      </c>
      <c r="G2608" t="s">
        <v>180</v>
      </c>
    </row>
    <row r="2609" spans="1:7">
      <c r="A2609">
        <v>2035</v>
      </c>
      <c r="B2609" t="s">
        <v>188</v>
      </c>
      <c r="C2609">
        <v>0</v>
      </c>
      <c r="D2609" t="s">
        <v>175</v>
      </c>
      <c r="E2609" t="s">
        <v>176</v>
      </c>
      <c r="F2609" t="s">
        <v>181</v>
      </c>
      <c r="G2609" t="s">
        <v>180</v>
      </c>
    </row>
    <row r="2610" spans="1:7">
      <c r="A2610">
        <v>2020</v>
      </c>
      <c r="B2610" t="s">
        <v>189</v>
      </c>
      <c r="C2610">
        <v>0</v>
      </c>
      <c r="D2610" t="s">
        <v>175</v>
      </c>
      <c r="E2610" t="s">
        <v>176</v>
      </c>
      <c r="F2610" t="s">
        <v>181</v>
      </c>
      <c r="G2610" t="s">
        <v>180</v>
      </c>
    </row>
    <row r="2611" spans="1:7">
      <c r="A2611">
        <v>2021</v>
      </c>
      <c r="B2611" t="s">
        <v>189</v>
      </c>
      <c r="C2611">
        <v>0</v>
      </c>
      <c r="D2611" t="s">
        <v>175</v>
      </c>
      <c r="E2611" t="s">
        <v>176</v>
      </c>
      <c r="F2611" t="s">
        <v>181</v>
      </c>
      <c r="G2611" t="s">
        <v>180</v>
      </c>
    </row>
    <row r="2612" spans="1:7">
      <c r="A2612">
        <v>2022</v>
      </c>
      <c r="B2612" t="s">
        <v>189</v>
      </c>
      <c r="C2612">
        <v>0</v>
      </c>
      <c r="D2612" t="s">
        <v>175</v>
      </c>
      <c r="E2612" t="s">
        <v>176</v>
      </c>
      <c r="F2612" t="s">
        <v>181</v>
      </c>
      <c r="G2612" t="s">
        <v>180</v>
      </c>
    </row>
    <row r="2613" spans="1:7">
      <c r="A2613">
        <v>2023</v>
      </c>
      <c r="B2613" t="s">
        <v>189</v>
      </c>
      <c r="C2613">
        <v>0</v>
      </c>
      <c r="D2613" t="s">
        <v>175</v>
      </c>
      <c r="E2613" t="s">
        <v>176</v>
      </c>
      <c r="F2613" t="s">
        <v>181</v>
      </c>
      <c r="G2613" t="s">
        <v>180</v>
      </c>
    </row>
    <row r="2614" spans="1:7">
      <c r="A2614">
        <v>2024</v>
      </c>
      <c r="B2614" t="s">
        <v>189</v>
      </c>
      <c r="C2614">
        <v>0</v>
      </c>
      <c r="D2614" t="s">
        <v>175</v>
      </c>
      <c r="E2614" t="s">
        <v>176</v>
      </c>
      <c r="F2614" t="s">
        <v>181</v>
      </c>
      <c r="G2614" t="s">
        <v>180</v>
      </c>
    </row>
    <row r="2615" spans="1:7">
      <c r="A2615">
        <v>2025</v>
      </c>
      <c r="B2615" t="s">
        <v>189</v>
      </c>
      <c r="C2615">
        <v>0</v>
      </c>
      <c r="D2615" t="s">
        <v>175</v>
      </c>
      <c r="E2615" t="s">
        <v>176</v>
      </c>
      <c r="F2615" t="s">
        <v>181</v>
      </c>
      <c r="G2615" t="s">
        <v>180</v>
      </c>
    </row>
    <row r="2616" spans="1:7">
      <c r="A2616">
        <v>2026</v>
      </c>
      <c r="B2616" t="s">
        <v>189</v>
      </c>
      <c r="C2616">
        <v>0</v>
      </c>
      <c r="D2616" t="s">
        <v>175</v>
      </c>
      <c r="E2616" t="s">
        <v>176</v>
      </c>
      <c r="F2616" t="s">
        <v>181</v>
      </c>
      <c r="G2616" t="s">
        <v>180</v>
      </c>
    </row>
    <row r="2617" spans="1:7">
      <c r="A2617">
        <v>2027</v>
      </c>
      <c r="B2617" t="s">
        <v>189</v>
      </c>
      <c r="C2617">
        <v>0</v>
      </c>
      <c r="D2617" t="s">
        <v>175</v>
      </c>
      <c r="E2617" t="s">
        <v>176</v>
      </c>
      <c r="F2617" t="s">
        <v>181</v>
      </c>
      <c r="G2617" t="s">
        <v>180</v>
      </c>
    </row>
    <row r="2618" spans="1:7">
      <c r="A2618">
        <v>2028</v>
      </c>
      <c r="B2618" t="s">
        <v>189</v>
      </c>
      <c r="C2618">
        <v>0</v>
      </c>
      <c r="D2618" t="s">
        <v>175</v>
      </c>
      <c r="E2618" t="s">
        <v>176</v>
      </c>
      <c r="F2618" t="s">
        <v>181</v>
      </c>
      <c r="G2618" t="s">
        <v>180</v>
      </c>
    </row>
    <row r="2619" spans="1:7">
      <c r="A2619">
        <v>2029</v>
      </c>
      <c r="B2619" t="s">
        <v>189</v>
      </c>
      <c r="C2619">
        <v>0</v>
      </c>
      <c r="D2619" t="s">
        <v>175</v>
      </c>
      <c r="E2619" t="s">
        <v>176</v>
      </c>
      <c r="F2619" t="s">
        <v>181</v>
      </c>
      <c r="G2619" t="s">
        <v>180</v>
      </c>
    </row>
    <row r="2620" spans="1:7">
      <c r="A2620">
        <v>2030</v>
      </c>
      <c r="B2620" t="s">
        <v>189</v>
      </c>
      <c r="C2620">
        <v>0</v>
      </c>
      <c r="D2620" t="s">
        <v>175</v>
      </c>
      <c r="E2620" t="s">
        <v>176</v>
      </c>
      <c r="F2620" t="s">
        <v>181</v>
      </c>
      <c r="G2620" t="s">
        <v>180</v>
      </c>
    </row>
    <row r="2621" spans="1:7">
      <c r="A2621">
        <v>2031</v>
      </c>
      <c r="B2621" t="s">
        <v>189</v>
      </c>
      <c r="C2621">
        <v>0</v>
      </c>
      <c r="D2621" t="s">
        <v>175</v>
      </c>
      <c r="E2621" t="s">
        <v>176</v>
      </c>
      <c r="F2621" t="s">
        <v>181</v>
      </c>
      <c r="G2621" t="s">
        <v>180</v>
      </c>
    </row>
    <row r="2622" spans="1:7">
      <c r="A2622">
        <v>2032</v>
      </c>
      <c r="B2622" t="s">
        <v>189</v>
      </c>
      <c r="C2622">
        <v>0</v>
      </c>
      <c r="D2622" t="s">
        <v>175</v>
      </c>
      <c r="E2622" t="s">
        <v>176</v>
      </c>
      <c r="F2622" t="s">
        <v>181</v>
      </c>
      <c r="G2622" t="s">
        <v>180</v>
      </c>
    </row>
    <row r="2623" spans="1:7">
      <c r="A2623">
        <v>2033</v>
      </c>
      <c r="B2623" t="s">
        <v>189</v>
      </c>
      <c r="C2623">
        <v>0</v>
      </c>
      <c r="D2623" t="s">
        <v>175</v>
      </c>
      <c r="E2623" t="s">
        <v>176</v>
      </c>
      <c r="F2623" t="s">
        <v>181</v>
      </c>
      <c r="G2623" t="s">
        <v>180</v>
      </c>
    </row>
    <row r="2624" spans="1:7">
      <c r="A2624">
        <v>2034</v>
      </c>
      <c r="B2624" t="s">
        <v>189</v>
      </c>
      <c r="C2624">
        <v>0</v>
      </c>
      <c r="D2624" t="s">
        <v>175</v>
      </c>
      <c r="E2624" t="s">
        <v>176</v>
      </c>
      <c r="F2624" t="s">
        <v>181</v>
      </c>
      <c r="G2624" t="s">
        <v>180</v>
      </c>
    </row>
    <row r="2625" spans="1:7">
      <c r="A2625">
        <v>2035</v>
      </c>
      <c r="B2625" t="s">
        <v>189</v>
      </c>
      <c r="C2625">
        <v>0</v>
      </c>
      <c r="D2625" t="s">
        <v>175</v>
      </c>
      <c r="E2625" t="s">
        <v>176</v>
      </c>
      <c r="F2625" t="s">
        <v>181</v>
      </c>
      <c r="G2625" t="s">
        <v>180</v>
      </c>
    </row>
    <row r="2626" spans="1:7">
      <c r="A2626">
        <v>2020</v>
      </c>
      <c r="B2626" t="s">
        <v>190</v>
      </c>
      <c r="C2626">
        <v>11184.73</v>
      </c>
      <c r="D2626" t="s">
        <v>175</v>
      </c>
      <c r="E2626" t="s">
        <v>176</v>
      </c>
      <c r="F2626" t="s">
        <v>181</v>
      </c>
      <c r="G2626" t="s">
        <v>180</v>
      </c>
    </row>
    <row r="2627" spans="1:7">
      <c r="A2627">
        <v>2021</v>
      </c>
      <c r="B2627" t="s">
        <v>190</v>
      </c>
      <c r="C2627">
        <v>0</v>
      </c>
      <c r="D2627" t="s">
        <v>175</v>
      </c>
      <c r="E2627" t="s">
        <v>176</v>
      </c>
      <c r="F2627" t="s">
        <v>181</v>
      </c>
      <c r="G2627" t="s">
        <v>180</v>
      </c>
    </row>
    <row r="2628" spans="1:7">
      <c r="A2628">
        <v>2022</v>
      </c>
      <c r="B2628" t="s">
        <v>190</v>
      </c>
      <c r="C2628">
        <v>0</v>
      </c>
      <c r="D2628" t="s">
        <v>175</v>
      </c>
      <c r="E2628" t="s">
        <v>176</v>
      </c>
      <c r="F2628" t="s">
        <v>181</v>
      </c>
      <c r="G2628" t="s">
        <v>180</v>
      </c>
    </row>
    <row r="2629" spans="1:7">
      <c r="A2629">
        <v>2023</v>
      </c>
      <c r="B2629" t="s">
        <v>190</v>
      </c>
      <c r="C2629">
        <v>0</v>
      </c>
      <c r="D2629" t="s">
        <v>175</v>
      </c>
      <c r="E2629" t="s">
        <v>176</v>
      </c>
      <c r="F2629" t="s">
        <v>181</v>
      </c>
      <c r="G2629" t="s">
        <v>180</v>
      </c>
    </row>
    <row r="2630" spans="1:7">
      <c r="A2630">
        <v>2024</v>
      </c>
      <c r="B2630" t="s">
        <v>190</v>
      </c>
      <c r="C2630">
        <v>0</v>
      </c>
      <c r="D2630" t="s">
        <v>175</v>
      </c>
      <c r="E2630" t="s">
        <v>176</v>
      </c>
      <c r="F2630" t="s">
        <v>181</v>
      </c>
      <c r="G2630" t="s">
        <v>180</v>
      </c>
    </row>
    <row r="2631" spans="1:7">
      <c r="A2631">
        <v>2025</v>
      </c>
      <c r="B2631" t="s">
        <v>190</v>
      </c>
      <c r="C2631">
        <v>0</v>
      </c>
      <c r="D2631" t="s">
        <v>175</v>
      </c>
      <c r="E2631" t="s">
        <v>176</v>
      </c>
      <c r="F2631" t="s">
        <v>181</v>
      </c>
      <c r="G2631" t="s">
        <v>180</v>
      </c>
    </row>
    <row r="2632" spans="1:7">
      <c r="A2632">
        <v>2026</v>
      </c>
      <c r="B2632" t="s">
        <v>190</v>
      </c>
      <c r="C2632">
        <v>0</v>
      </c>
      <c r="D2632" t="s">
        <v>175</v>
      </c>
      <c r="E2632" t="s">
        <v>176</v>
      </c>
      <c r="F2632" t="s">
        <v>181</v>
      </c>
      <c r="G2632" t="s">
        <v>180</v>
      </c>
    </row>
    <row r="2633" spans="1:7">
      <c r="A2633">
        <v>2027</v>
      </c>
      <c r="B2633" t="s">
        <v>190</v>
      </c>
      <c r="C2633">
        <v>0</v>
      </c>
      <c r="D2633" t="s">
        <v>175</v>
      </c>
      <c r="E2633" t="s">
        <v>176</v>
      </c>
      <c r="F2633" t="s">
        <v>181</v>
      </c>
      <c r="G2633" t="s">
        <v>180</v>
      </c>
    </row>
    <row r="2634" spans="1:7">
      <c r="A2634">
        <v>2028</v>
      </c>
      <c r="B2634" t="s">
        <v>190</v>
      </c>
      <c r="C2634">
        <v>0</v>
      </c>
      <c r="D2634" t="s">
        <v>175</v>
      </c>
      <c r="E2634" t="s">
        <v>176</v>
      </c>
      <c r="F2634" t="s">
        <v>181</v>
      </c>
      <c r="G2634" t="s">
        <v>180</v>
      </c>
    </row>
    <row r="2635" spans="1:7">
      <c r="A2635">
        <v>2029</v>
      </c>
      <c r="B2635" t="s">
        <v>190</v>
      </c>
      <c r="C2635">
        <v>0</v>
      </c>
      <c r="D2635" t="s">
        <v>175</v>
      </c>
      <c r="E2635" t="s">
        <v>176</v>
      </c>
      <c r="F2635" t="s">
        <v>181</v>
      </c>
      <c r="G2635" t="s">
        <v>180</v>
      </c>
    </row>
    <row r="2636" spans="1:7">
      <c r="A2636">
        <v>2030</v>
      </c>
      <c r="B2636" t="s">
        <v>190</v>
      </c>
      <c r="C2636">
        <v>0</v>
      </c>
      <c r="D2636" t="s">
        <v>175</v>
      </c>
      <c r="E2636" t="s">
        <v>176</v>
      </c>
      <c r="F2636" t="s">
        <v>181</v>
      </c>
      <c r="G2636" t="s">
        <v>180</v>
      </c>
    </row>
    <row r="2637" spans="1:7">
      <c r="A2637">
        <v>2031</v>
      </c>
      <c r="B2637" t="s">
        <v>190</v>
      </c>
      <c r="C2637">
        <v>0</v>
      </c>
      <c r="D2637" t="s">
        <v>175</v>
      </c>
      <c r="E2637" t="s">
        <v>176</v>
      </c>
      <c r="F2637" t="s">
        <v>181</v>
      </c>
      <c r="G2637" t="s">
        <v>180</v>
      </c>
    </row>
    <row r="2638" spans="1:7">
      <c r="A2638">
        <v>2032</v>
      </c>
      <c r="B2638" t="s">
        <v>190</v>
      </c>
      <c r="C2638">
        <v>0</v>
      </c>
      <c r="D2638" t="s">
        <v>175</v>
      </c>
      <c r="E2638" t="s">
        <v>176</v>
      </c>
      <c r="F2638" t="s">
        <v>181</v>
      </c>
      <c r="G2638" t="s">
        <v>180</v>
      </c>
    </row>
    <row r="2639" spans="1:7">
      <c r="A2639">
        <v>2033</v>
      </c>
      <c r="B2639" t="s">
        <v>190</v>
      </c>
      <c r="C2639">
        <v>0</v>
      </c>
      <c r="D2639" t="s">
        <v>175</v>
      </c>
      <c r="E2639" t="s">
        <v>176</v>
      </c>
      <c r="F2639" t="s">
        <v>181</v>
      </c>
      <c r="G2639" t="s">
        <v>180</v>
      </c>
    </row>
    <row r="2640" spans="1:7">
      <c r="A2640">
        <v>2034</v>
      </c>
      <c r="B2640" t="s">
        <v>190</v>
      </c>
      <c r="C2640">
        <v>0</v>
      </c>
      <c r="D2640" t="s">
        <v>175</v>
      </c>
      <c r="E2640" t="s">
        <v>176</v>
      </c>
      <c r="F2640" t="s">
        <v>181</v>
      </c>
      <c r="G2640" t="s">
        <v>180</v>
      </c>
    </row>
    <row r="2641" spans="1:7">
      <c r="A2641">
        <v>2035</v>
      </c>
      <c r="B2641" t="s">
        <v>190</v>
      </c>
      <c r="C2641">
        <v>0</v>
      </c>
      <c r="D2641" t="s">
        <v>175</v>
      </c>
      <c r="E2641" t="s">
        <v>176</v>
      </c>
      <c r="F2641" t="s">
        <v>181</v>
      </c>
      <c r="G2641" t="s">
        <v>180</v>
      </c>
    </row>
    <row r="2642" spans="1:7">
      <c r="A2642">
        <v>2020</v>
      </c>
      <c r="B2642" t="s">
        <v>191</v>
      </c>
      <c r="C2642">
        <v>0</v>
      </c>
      <c r="D2642" t="s">
        <v>175</v>
      </c>
      <c r="E2642" t="s">
        <v>176</v>
      </c>
      <c r="F2642" t="s">
        <v>181</v>
      </c>
      <c r="G2642" t="s">
        <v>180</v>
      </c>
    </row>
    <row r="2643" spans="1:7">
      <c r="A2643">
        <v>2021</v>
      </c>
      <c r="B2643" t="s">
        <v>191</v>
      </c>
      <c r="C2643">
        <v>0</v>
      </c>
      <c r="D2643" t="s">
        <v>175</v>
      </c>
      <c r="E2643" t="s">
        <v>176</v>
      </c>
      <c r="F2643" t="s">
        <v>181</v>
      </c>
      <c r="G2643" t="s">
        <v>180</v>
      </c>
    </row>
    <row r="2644" spans="1:7">
      <c r="A2644">
        <v>2022</v>
      </c>
      <c r="B2644" t="s">
        <v>191</v>
      </c>
      <c r="C2644">
        <v>0</v>
      </c>
      <c r="D2644" t="s">
        <v>175</v>
      </c>
      <c r="E2644" t="s">
        <v>176</v>
      </c>
      <c r="F2644" t="s">
        <v>181</v>
      </c>
      <c r="G2644" t="s">
        <v>180</v>
      </c>
    </row>
    <row r="2645" spans="1:7">
      <c r="A2645">
        <v>2023</v>
      </c>
      <c r="B2645" t="s">
        <v>191</v>
      </c>
      <c r="C2645">
        <v>0</v>
      </c>
      <c r="D2645" t="s">
        <v>175</v>
      </c>
      <c r="E2645" t="s">
        <v>176</v>
      </c>
      <c r="F2645" t="s">
        <v>181</v>
      </c>
      <c r="G2645" t="s">
        <v>180</v>
      </c>
    </row>
    <row r="2646" spans="1:7">
      <c r="A2646">
        <v>2024</v>
      </c>
      <c r="B2646" t="s">
        <v>191</v>
      </c>
      <c r="C2646">
        <v>0</v>
      </c>
      <c r="D2646" t="s">
        <v>175</v>
      </c>
      <c r="E2646" t="s">
        <v>176</v>
      </c>
      <c r="F2646" t="s">
        <v>181</v>
      </c>
      <c r="G2646" t="s">
        <v>180</v>
      </c>
    </row>
    <row r="2647" spans="1:7">
      <c r="A2647">
        <v>2025</v>
      </c>
      <c r="B2647" t="s">
        <v>191</v>
      </c>
      <c r="C2647">
        <v>0</v>
      </c>
      <c r="D2647" t="s">
        <v>175</v>
      </c>
      <c r="E2647" t="s">
        <v>176</v>
      </c>
      <c r="F2647" t="s">
        <v>181</v>
      </c>
      <c r="G2647" t="s">
        <v>180</v>
      </c>
    </row>
    <row r="2648" spans="1:7">
      <c r="A2648">
        <v>2026</v>
      </c>
      <c r="B2648" t="s">
        <v>191</v>
      </c>
      <c r="C2648">
        <v>0</v>
      </c>
      <c r="D2648" t="s">
        <v>175</v>
      </c>
      <c r="E2648" t="s">
        <v>176</v>
      </c>
      <c r="F2648" t="s">
        <v>181</v>
      </c>
      <c r="G2648" t="s">
        <v>180</v>
      </c>
    </row>
    <row r="2649" spans="1:7">
      <c r="A2649">
        <v>2027</v>
      </c>
      <c r="B2649" t="s">
        <v>191</v>
      </c>
      <c r="C2649">
        <v>0</v>
      </c>
      <c r="D2649" t="s">
        <v>175</v>
      </c>
      <c r="E2649" t="s">
        <v>176</v>
      </c>
      <c r="F2649" t="s">
        <v>181</v>
      </c>
      <c r="G2649" t="s">
        <v>180</v>
      </c>
    </row>
    <row r="2650" spans="1:7">
      <c r="A2650">
        <v>2028</v>
      </c>
      <c r="B2650" t="s">
        <v>191</v>
      </c>
      <c r="C2650">
        <v>0</v>
      </c>
      <c r="D2650" t="s">
        <v>175</v>
      </c>
      <c r="E2650" t="s">
        <v>176</v>
      </c>
      <c r="F2650" t="s">
        <v>181</v>
      </c>
      <c r="G2650" t="s">
        <v>180</v>
      </c>
    </row>
    <row r="2651" spans="1:7">
      <c r="A2651">
        <v>2029</v>
      </c>
      <c r="B2651" t="s">
        <v>191</v>
      </c>
      <c r="C2651">
        <v>0</v>
      </c>
      <c r="D2651" t="s">
        <v>175</v>
      </c>
      <c r="E2651" t="s">
        <v>176</v>
      </c>
      <c r="F2651" t="s">
        <v>181</v>
      </c>
      <c r="G2651" t="s">
        <v>180</v>
      </c>
    </row>
    <row r="2652" spans="1:7">
      <c r="A2652">
        <v>2030</v>
      </c>
      <c r="B2652" t="s">
        <v>191</v>
      </c>
      <c r="C2652">
        <v>0</v>
      </c>
      <c r="D2652" t="s">
        <v>175</v>
      </c>
      <c r="E2652" t="s">
        <v>176</v>
      </c>
      <c r="F2652" t="s">
        <v>181</v>
      </c>
      <c r="G2652" t="s">
        <v>180</v>
      </c>
    </row>
    <row r="2653" spans="1:7">
      <c r="A2653">
        <v>2031</v>
      </c>
      <c r="B2653" t="s">
        <v>191</v>
      </c>
      <c r="C2653">
        <v>0</v>
      </c>
      <c r="D2653" t="s">
        <v>175</v>
      </c>
      <c r="E2653" t="s">
        <v>176</v>
      </c>
      <c r="F2653" t="s">
        <v>181</v>
      </c>
      <c r="G2653" t="s">
        <v>180</v>
      </c>
    </row>
    <row r="2654" spans="1:7">
      <c r="A2654">
        <v>2032</v>
      </c>
      <c r="B2654" t="s">
        <v>191</v>
      </c>
      <c r="C2654">
        <v>0</v>
      </c>
      <c r="D2654" t="s">
        <v>175</v>
      </c>
      <c r="E2654" t="s">
        <v>176</v>
      </c>
      <c r="F2654" t="s">
        <v>181</v>
      </c>
      <c r="G2654" t="s">
        <v>180</v>
      </c>
    </row>
    <row r="2655" spans="1:7">
      <c r="A2655">
        <v>2033</v>
      </c>
      <c r="B2655" t="s">
        <v>191</v>
      </c>
      <c r="C2655">
        <v>0</v>
      </c>
      <c r="D2655" t="s">
        <v>175</v>
      </c>
      <c r="E2655" t="s">
        <v>176</v>
      </c>
      <c r="F2655" t="s">
        <v>181</v>
      </c>
      <c r="G2655" t="s">
        <v>180</v>
      </c>
    </row>
    <row r="2656" spans="1:7">
      <c r="A2656">
        <v>2034</v>
      </c>
      <c r="B2656" t="s">
        <v>191</v>
      </c>
      <c r="C2656">
        <v>0</v>
      </c>
      <c r="D2656" t="s">
        <v>175</v>
      </c>
      <c r="E2656" t="s">
        <v>176</v>
      </c>
      <c r="F2656" t="s">
        <v>181</v>
      </c>
      <c r="G2656" t="s">
        <v>180</v>
      </c>
    </row>
    <row r="2657" spans="1:7">
      <c r="A2657">
        <v>2035</v>
      </c>
      <c r="B2657" t="s">
        <v>191</v>
      </c>
      <c r="C2657">
        <v>0</v>
      </c>
      <c r="D2657" t="s">
        <v>175</v>
      </c>
      <c r="E2657" t="s">
        <v>176</v>
      </c>
      <c r="F2657" t="s">
        <v>181</v>
      </c>
      <c r="G2657" t="s">
        <v>180</v>
      </c>
    </row>
    <row r="2658" spans="1:7">
      <c r="A2658">
        <v>2020</v>
      </c>
      <c r="B2658" t="s">
        <v>192</v>
      </c>
      <c r="C2658">
        <v>2066.36</v>
      </c>
      <c r="D2658" t="s">
        <v>175</v>
      </c>
      <c r="E2658" t="s">
        <v>176</v>
      </c>
      <c r="F2658" t="s">
        <v>181</v>
      </c>
      <c r="G2658" t="s">
        <v>180</v>
      </c>
    </row>
    <row r="2659" spans="1:7">
      <c r="A2659">
        <v>2021</v>
      </c>
      <c r="B2659" t="s">
        <v>192</v>
      </c>
      <c r="C2659">
        <v>0.5</v>
      </c>
      <c r="D2659" t="s">
        <v>175</v>
      </c>
      <c r="E2659" t="s">
        <v>176</v>
      </c>
      <c r="F2659" t="s">
        <v>181</v>
      </c>
      <c r="G2659" t="s">
        <v>180</v>
      </c>
    </row>
    <row r="2660" spans="1:7">
      <c r="A2660">
        <v>2022</v>
      </c>
      <c r="B2660" t="s">
        <v>192</v>
      </c>
      <c r="C2660">
        <v>0.5</v>
      </c>
      <c r="D2660" t="s">
        <v>175</v>
      </c>
      <c r="E2660" t="s">
        <v>176</v>
      </c>
      <c r="F2660" t="s">
        <v>181</v>
      </c>
      <c r="G2660" t="s">
        <v>180</v>
      </c>
    </row>
    <row r="2661" spans="1:7">
      <c r="A2661">
        <v>2023</v>
      </c>
      <c r="B2661" t="s">
        <v>192</v>
      </c>
      <c r="C2661">
        <v>35.65</v>
      </c>
      <c r="D2661" t="s">
        <v>175</v>
      </c>
      <c r="E2661" t="s">
        <v>176</v>
      </c>
      <c r="F2661" t="s">
        <v>181</v>
      </c>
      <c r="G2661" t="s">
        <v>180</v>
      </c>
    </row>
    <row r="2662" spans="1:7">
      <c r="A2662">
        <v>2024</v>
      </c>
      <c r="B2662" t="s">
        <v>192</v>
      </c>
      <c r="C2662">
        <v>35.65</v>
      </c>
      <c r="D2662" t="s">
        <v>175</v>
      </c>
      <c r="E2662" t="s">
        <v>176</v>
      </c>
      <c r="F2662" t="s">
        <v>181</v>
      </c>
      <c r="G2662" t="s">
        <v>180</v>
      </c>
    </row>
    <row r="2663" spans="1:7">
      <c r="A2663">
        <v>2025</v>
      </c>
      <c r="B2663" t="s">
        <v>192</v>
      </c>
      <c r="C2663">
        <v>18.895</v>
      </c>
      <c r="D2663" t="s">
        <v>175</v>
      </c>
      <c r="E2663" t="s">
        <v>176</v>
      </c>
      <c r="F2663" t="s">
        <v>181</v>
      </c>
      <c r="G2663" t="s">
        <v>180</v>
      </c>
    </row>
    <row r="2664" spans="1:7">
      <c r="A2664">
        <v>2026</v>
      </c>
      <c r="B2664" t="s">
        <v>192</v>
      </c>
      <c r="C2664">
        <v>18.895</v>
      </c>
      <c r="D2664" t="s">
        <v>175</v>
      </c>
      <c r="E2664" t="s">
        <v>176</v>
      </c>
      <c r="F2664" t="s">
        <v>181</v>
      </c>
      <c r="G2664" t="s">
        <v>180</v>
      </c>
    </row>
    <row r="2665" spans="1:7">
      <c r="A2665">
        <v>2027</v>
      </c>
      <c r="B2665" t="s">
        <v>192</v>
      </c>
      <c r="C2665">
        <v>51</v>
      </c>
      <c r="D2665" t="s">
        <v>175</v>
      </c>
      <c r="E2665" t="s">
        <v>176</v>
      </c>
      <c r="F2665" t="s">
        <v>181</v>
      </c>
      <c r="G2665" t="s">
        <v>180</v>
      </c>
    </row>
    <row r="2666" spans="1:7">
      <c r="A2666">
        <v>2028</v>
      </c>
      <c r="B2666" t="s">
        <v>192</v>
      </c>
      <c r="C2666">
        <v>51</v>
      </c>
      <c r="D2666" t="s">
        <v>175</v>
      </c>
      <c r="E2666" t="s">
        <v>176</v>
      </c>
      <c r="F2666" t="s">
        <v>181</v>
      </c>
      <c r="G2666" t="s">
        <v>180</v>
      </c>
    </row>
    <row r="2667" spans="1:7">
      <c r="A2667">
        <v>2029</v>
      </c>
      <c r="B2667" t="s">
        <v>192</v>
      </c>
      <c r="C2667">
        <v>9</v>
      </c>
      <c r="D2667" t="s">
        <v>175</v>
      </c>
      <c r="E2667" t="s">
        <v>176</v>
      </c>
      <c r="F2667" t="s">
        <v>181</v>
      </c>
      <c r="G2667" t="s">
        <v>180</v>
      </c>
    </row>
    <row r="2668" spans="1:7">
      <c r="A2668">
        <v>2030</v>
      </c>
      <c r="B2668" t="s">
        <v>192</v>
      </c>
      <c r="C2668">
        <v>9</v>
      </c>
      <c r="D2668" t="s">
        <v>175</v>
      </c>
      <c r="E2668" t="s">
        <v>176</v>
      </c>
      <c r="F2668" t="s">
        <v>181</v>
      </c>
      <c r="G2668" t="s">
        <v>180</v>
      </c>
    </row>
    <row r="2669" spans="1:7">
      <c r="A2669">
        <v>2031</v>
      </c>
      <c r="B2669" t="s">
        <v>192</v>
      </c>
      <c r="C2669">
        <v>0</v>
      </c>
      <c r="D2669" t="s">
        <v>175</v>
      </c>
      <c r="E2669" t="s">
        <v>176</v>
      </c>
      <c r="F2669" t="s">
        <v>181</v>
      </c>
      <c r="G2669" t="s">
        <v>180</v>
      </c>
    </row>
    <row r="2670" spans="1:7">
      <c r="A2670">
        <v>2032</v>
      </c>
      <c r="B2670" t="s">
        <v>192</v>
      </c>
      <c r="C2670">
        <v>0</v>
      </c>
      <c r="D2670" t="s">
        <v>175</v>
      </c>
      <c r="E2670" t="s">
        <v>176</v>
      </c>
      <c r="F2670" t="s">
        <v>181</v>
      </c>
      <c r="G2670" t="s">
        <v>180</v>
      </c>
    </row>
    <row r="2671" spans="1:7">
      <c r="A2671">
        <v>2033</v>
      </c>
      <c r="B2671" t="s">
        <v>192</v>
      </c>
      <c r="C2671">
        <v>0</v>
      </c>
      <c r="D2671" t="s">
        <v>175</v>
      </c>
      <c r="E2671" t="s">
        <v>176</v>
      </c>
      <c r="F2671" t="s">
        <v>181</v>
      </c>
      <c r="G2671" t="s">
        <v>180</v>
      </c>
    </row>
    <row r="2672" spans="1:7">
      <c r="A2672">
        <v>2034</v>
      </c>
      <c r="B2672" t="s">
        <v>192</v>
      </c>
      <c r="C2672">
        <v>0</v>
      </c>
      <c r="D2672" t="s">
        <v>175</v>
      </c>
      <c r="E2672" t="s">
        <v>176</v>
      </c>
      <c r="F2672" t="s">
        <v>181</v>
      </c>
      <c r="G2672" t="s">
        <v>180</v>
      </c>
    </row>
    <row r="2673" spans="1:7">
      <c r="A2673">
        <v>2035</v>
      </c>
      <c r="B2673" t="s">
        <v>192</v>
      </c>
      <c r="C2673">
        <v>0</v>
      </c>
      <c r="D2673" t="s">
        <v>175</v>
      </c>
      <c r="E2673" t="s">
        <v>176</v>
      </c>
      <c r="F2673" t="s">
        <v>181</v>
      </c>
      <c r="G2673" t="s">
        <v>180</v>
      </c>
    </row>
    <row r="2674" spans="1:7">
      <c r="A2674">
        <v>2020</v>
      </c>
      <c r="B2674" t="s">
        <v>193</v>
      </c>
      <c r="C2674">
        <v>232.5</v>
      </c>
      <c r="D2674" t="s">
        <v>175</v>
      </c>
      <c r="E2674" t="s">
        <v>176</v>
      </c>
      <c r="F2674" t="s">
        <v>181</v>
      </c>
      <c r="G2674" t="s">
        <v>180</v>
      </c>
    </row>
    <row r="2675" spans="1:7">
      <c r="A2675">
        <v>2021</v>
      </c>
      <c r="B2675" t="s">
        <v>193</v>
      </c>
      <c r="C2675">
        <v>1100</v>
      </c>
      <c r="D2675" t="s">
        <v>175</v>
      </c>
      <c r="E2675" t="s">
        <v>176</v>
      </c>
      <c r="F2675" t="s">
        <v>181</v>
      </c>
      <c r="G2675" t="s">
        <v>180</v>
      </c>
    </row>
    <row r="2676" spans="1:7">
      <c r="A2676">
        <v>2022</v>
      </c>
      <c r="B2676" t="s">
        <v>193</v>
      </c>
      <c r="C2676">
        <v>1100</v>
      </c>
      <c r="D2676" t="s">
        <v>175</v>
      </c>
      <c r="E2676" t="s">
        <v>176</v>
      </c>
      <c r="F2676" t="s">
        <v>181</v>
      </c>
      <c r="G2676" t="s">
        <v>180</v>
      </c>
    </row>
    <row r="2677" spans="1:7">
      <c r="A2677">
        <v>2023</v>
      </c>
      <c r="B2677" t="s">
        <v>193</v>
      </c>
      <c r="C2677">
        <v>0</v>
      </c>
      <c r="D2677" t="s">
        <v>175</v>
      </c>
      <c r="E2677" t="s">
        <v>176</v>
      </c>
      <c r="F2677" t="s">
        <v>181</v>
      </c>
      <c r="G2677" t="s">
        <v>180</v>
      </c>
    </row>
    <row r="2678" spans="1:7">
      <c r="A2678">
        <v>2024</v>
      </c>
      <c r="B2678" t="s">
        <v>193</v>
      </c>
      <c r="C2678">
        <v>0</v>
      </c>
      <c r="D2678" t="s">
        <v>175</v>
      </c>
      <c r="E2678" t="s">
        <v>176</v>
      </c>
      <c r="F2678" t="s">
        <v>181</v>
      </c>
      <c r="G2678" t="s">
        <v>180</v>
      </c>
    </row>
    <row r="2679" spans="1:7">
      <c r="A2679">
        <v>2025</v>
      </c>
      <c r="B2679" t="s">
        <v>193</v>
      </c>
      <c r="C2679">
        <v>0</v>
      </c>
      <c r="D2679" t="s">
        <v>175</v>
      </c>
      <c r="E2679" t="s">
        <v>176</v>
      </c>
      <c r="F2679" t="s">
        <v>181</v>
      </c>
      <c r="G2679" t="s">
        <v>180</v>
      </c>
    </row>
    <row r="2680" spans="1:7">
      <c r="A2680">
        <v>2026</v>
      </c>
      <c r="B2680" t="s">
        <v>193</v>
      </c>
      <c r="C2680">
        <v>0</v>
      </c>
      <c r="D2680" t="s">
        <v>175</v>
      </c>
      <c r="E2680" t="s">
        <v>176</v>
      </c>
      <c r="F2680" t="s">
        <v>181</v>
      </c>
      <c r="G2680" t="s">
        <v>180</v>
      </c>
    </row>
    <row r="2681" spans="1:7">
      <c r="A2681">
        <v>2027</v>
      </c>
      <c r="B2681" t="s">
        <v>193</v>
      </c>
      <c r="C2681">
        <v>0</v>
      </c>
      <c r="D2681" t="s">
        <v>175</v>
      </c>
      <c r="E2681" t="s">
        <v>176</v>
      </c>
      <c r="F2681" t="s">
        <v>181</v>
      </c>
      <c r="G2681" t="s">
        <v>180</v>
      </c>
    </row>
    <row r="2682" spans="1:7">
      <c r="A2682">
        <v>2028</v>
      </c>
      <c r="B2682" t="s">
        <v>193</v>
      </c>
      <c r="C2682">
        <v>0</v>
      </c>
      <c r="D2682" t="s">
        <v>175</v>
      </c>
      <c r="E2682" t="s">
        <v>176</v>
      </c>
      <c r="F2682" t="s">
        <v>181</v>
      </c>
      <c r="G2682" t="s">
        <v>180</v>
      </c>
    </row>
    <row r="2683" spans="1:7">
      <c r="A2683">
        <v>2029</v>
      </c>
      <c r="B2683" t="s">
        <v>193</v>
      </c>
      <c r="C2683">
        <v>0</v>
      </c>
      <c r="D2683" t="s">
        <v>175</v>
      </c>
      <c r="E2683" t="s">
        <v>176</v>
      </c>
      <c r="F2683" t="s">
        <v>181</v>
      </c>
      <c r="G2683" t="s">
        <v>180</v>
      </c>
    </row>
    <row r="2684" spans="1:7">
      <c r="A2684">
        <v>2030</v>
      </c>
      <c r="B2684" t="s">
        <v>193</v>
      </c>
      <c r="C2684">
        <v>0</v>
      </c>
      <c r="D2684" t="s">
        <v>175</v>
      </c>
      <c r="E2684" t="s">
        <v>176</v>
      </c>
      <c r="F2684" t="s">
        <v>181</v>
      </c>
      <c r="G2684" t="s">
        <v>180</v>
      </c>
    </row>
    <row r="2685" spans="1:7">
      <c r="A2685">
        <v>2031</v>
      </c>
      <c r="B2685" t="s">
        <v>193</v>
      </c>
      <c r="C2685">
        <v>0</v>
      </c>
      <c r="D2685" t="s">
        <v>175</v>
      </c>
      <c r="E2685" t="s">
        <v>176</v>
      </c>
      <c r="F2685" t="s">
        <v>181</v>
      </c>
      <c r="G2685" t="s">
        <v>180</v>
      </c>
    </row>
    <row r="2686" spans="1:7">
      <c r="A2686">
        <v>2032</v>
      </c>
      <c r="B2686" t="s">
        <v>193</v>
      </c>
      <c r="C2686">
        <v>0</v>
      </c>
      <c r="D2686" t="s">
        <v>175</v>
      </c>
      <c r="E2686" t="s">
        <v>176</v>
      </c>
      <c r="F2686" t="s">
        <v>181</v>
      </c>
      <c r="G2686" t="s">
        <v>180</v>
      </c>
    </row>
    <row r="2687" spans="1:7">
      <c r="A2687">
        <v>2033</v>
      </c>
      <c r="B2687" t="s">
        <v>193</v>
      </c>
      <c r="C2687">
        <v>0</v>
      </c>
      <c r="D2687" t="s">
        <v>175</v>
      </c>
      <c r="E2687" t="s">
        <v>176</v>
      </c>
      <c r="F2687" t="s">
        <v>181</v>
      </c>
      <c r="G2687" t="s">
        <v>180</v>
      </c>
    </row>
    <row r="2688" spans="1:7">
      <c r="A2688">
        <v>2034</v>
      </c>
      <c r="B2688" t="s">
        <v>193</v>
      </c>
      <c r="C2688">
        <v>0</v>
      </c>
      <c r="D2688" t="s">
        <v>175</v>
      </c>
      <c r="E2688" t="s">
        <v>176</v>
      </c>
      <c r="F2688" t="s">
        <v>181</v>
      </c>
      <c r="G2688" t="s">
        <v>180</v>
      </c>
    </row>
    <row r="2689" spans="1:7">
      <c r="A2689">
        <v>2035</v>
      </c>
      <c r="B2689" t="s">
        <v>193</v>
      </c>
      <c r="C2689">
        <v>0</v>
      </c>
      <c r="D2689" t="s">
        <v>175</v>
      </c>
      <c r="E2689" t="s">
        <v>176</v>
      </c>
      <c r="F2689" t="s">
        <v>181</v>
      </c>
      <c r="G2689" t="s">
        <v>180</v>
      </c>
    </row>
    <row r="2690" spans="1:7">
      <c r="A2690">
        <v>2020</v>
      </c>
      <c r="B2690" t="s">
        <v>194</v>
      </c>
      <c r="C2690">
        <v>14.85</v>
      </c>
      <c r="D2690" t="s">
        <v>175</v>
      </c>
      <c r="E2690" t="s">
        <v>176</v>
      </c>
      <c r="F2690" t="s">
        <v>181</v>
      </c>
      <c r="G2690" t="s">
        <v>180</v>
      </c>
    </row>
    <row r="2691" spans="1:7">
      <c r="A2691">
        <v>2021</v>
      </c>
      <c r="B2691" t="s">
        <v>194</v>
      </c>
      <c r="C2691">
        <v>0</v>
      </c>
      <c r="D2691" t="s">
        <v>175</v>
      </c>
      <c r="E2691" t="s">
        <v>176</v>
      </c>
      <c r="F2691" t="s">
        <v>181</v>
      </c>
      <c r="G2691" t="s">
        <v>180</v>
      </c>
    </row>
    <row r="2692" spans="1:7">
      <c r="A2692">
        <v>2022</v>
      </c>
      <c r="B2692" t="s">
        <v>194</v>
      </c>
      <c r="C2692">
        <v>0</v>
      </c>
      <c r="D2692" t="s">
        <v>175</v>
      </c>
      <c r="E2692" t="s">
        <v>176</v>
      </c>
      <c r="F2692" t="s">
        <v>181</v>
      </c>
      <c r="G2692" t="s">
        <v>180</v>
      </c>
    </row>
    <row r="2693" spans="1:7">
      <c r="A2693">
        <v>2023</v>
      </c>
      <c r="B2693" t="s">
        <v>194</v>
      </c>
      <c r="C2693">
        <v>0</v>
      </c>
      <c r="D2693" t="s">
        <v>175</v>
      </c>
      <c r="E2693" t="s">
        <v>176</v>
      </c>
      <c r="F2693" t="s">
        <v>181</v>
      </c>
      <c r="G2693" t="s">
        <v>180</v>
      </c>
    </row>
    <row r="2694" spans="1:7">
      <c r="A2694">
        <v>2024</v>
      </c>
      <c r="B2694" t="s">
        <v>194</v>
      </c>
      <c r="C2694">
        <v>0</v>
      </c>
      <c r="D2694" t="s">
        <v>175</v>
      </c>
      <c r="E2694" t="s">
        <v>176</v>
      </c>
      <c r="F2694" t="s">
        <v>181</v>
      </c>
      <c r="G2694" t="s">
        <v>180</v>
      </c>
    </row>
    <row r="2695" spans="1:7">
      <c r="A2695">
        <v>2025</v>
      </c>
      <c r="B2695" t="s">
        <v>194</v>
      </c>
      <c r="C2695">
        <v>0</v>
      </c>
      <c r="D2695" t="s">
        <v>175</v>
      </c>
      <c r="E2695" t="s">
        <v>176</v>
      </c>
      <c r="F2695" t="s">
        <v>181</v>
      </c>
      <c r="G2695" t="s">
        <v>180</v>
      </c>
    </row>
    <row r="2696" spans="1:7">
      <c r="A2696">
        <v>2026</v>
      </c>
      <c r="B2696" t="s">
        <v>194</v>
      </c>
      <c r="C2696">
        <v>0</v>
      </c>
      <c r="D2696" t="s">
        <v>175</v>
      </c>
      <c r="E2696" t="s">
        <v>176</v>
      </c>
      <c r="F2696" t="s">
        <v>181</v>
      </c>
      <c r="G2696" t="s">
        <v>180</v>
      </c>
    </row>
    <row r="2697" spans="1:7">
      <c r="A2697">
        <v>2027</v>
      </c>
      <c r="B2697" t="s">
        <v>194</v>
      </c>
      <c r="C2697">
        <v>0</v>
      </c>
      <c r="D2697" t="s">
        <v>175</v>
      </c>
      <c r="E2697" t="s">
        <v>176</v>
      </c>
      <c r="F2697" t="s">
        <v>181</v>
      </c>
      <c r="G2697" t="s">
        <v>180</v>
      </c>
    </row>
    <row r="2698" spans="1:7">
      <c r="A2698">
        <v>2028</v>
      </c>
      <c r="B2698" t="s">
        <v>194</v>
      </c>
      <c r="C2698">
        <v>0</v>
      </c>
      <c r="D2698" t="s">
        <v>175</v>
      </c>
      <c r="E2698" t="s">
        <v>176</v>
      </c>
      <c r="F2698" t="s">
        <v>181</v>
      </c>
      <c r="G2698" t="s">
        <v>180</v>
      </c>
    </row>
    <row r="2699" spans="1:7">
      <c r="A2699">
        <v>2029</v>
      </c>
      <c r="B2699" t="s">
        <v>194</v>
      </c>
      <c r="C2699">
        <v>0</v>
      </c>
      <c r="D2699" t="s">
        <v>175</v>
      </c>
      <c r="E2699" t="s">
        <v>176</v>
      </c>
      <c r="F2699" t="s">
        <v>181</v>
      </c>
      <c r="G2699" t="s">
        <v>180</v>
      </c>
    </row>
    <row r="2700" spans="1:7">
      <c r="A2700">
        <v>2030</v>
      </c>
      <c r="B2700" t="s">
        <v>194</v>
      </c>
      <c r="C2700">
        <v>0</v>
      </c>
      <c r="D2700" t="s">
        <v>175</v>
      </c>
      <c r="E2700" t="s">
        <v>176</v>
      </c>
      <c r="F2700" t="s">
        <v>181</v>
      </c>
      <c r="G2700" t="s">
        <v>180</v>
      </c>
    </row>
    <row r="2701" spans="1:7">
      <c r="A2701">
        <v>2031</v>
      </c>
      <c r="B2701" t="s">
        <v>194</v>
      </c>
      <c r="C2701">
        <v>0</v>
      </c>
      <c r="D2701" t="s">
        <v>175</v>
      </c>
      <c r="E2701" t="s">
        <v>176</v>
      </c>
      <c r="F2701" t="s">
        <v>181</v>
      </c>
      <c r="G2701" t="s">
        <v>180</v>
      </c>
    </row>
    <row r="2702" spans="1:7">
      <c r="A2702">
        <v>2032</v>
      </c>
      <c r="B2702" t="s">
        <v>194</v>
      </c>
      <c r="C2702">
        <v>0</v>
      </c>
      <c r="D2702" t="s">
        <v>175</v>
      </c>
      <c r="E2702" t="s">
        <v>176</v>
      </c>
      <c r="F2702" t="s">
        <v>181</v>
      </c>
      <c r="G2702" t="s">
        <v>180</v>
      </c>
    </row>
    <row r="2703" spans="1:7">
      <c r="A2703">
        <v>2033</v>
      </c>
      <c r="B2703" t="s">
        <v>194</v>
      </c>
      <c r="C2703">
        <v>0</v>
      </c>
      <c r="D2703" t="s">
        <v>175</v>
      </c>
      <c r="E2703" t="s">
        <v>176</v>
      </c>
      <c r="F2703" t="s">
        <v>181</v>
      </c>
      <c r="G2703" t="s">
        <v>180</v>
      </c>
    </row>
    <row r="2704" spans="1:7">
      <c r="A2704">
        <v>2034</v>
      </c>
      <c r="B2704" t="s">
        <v>194</v>
      </c>
      <c r="C2704">
        <v>0</v>
      </c>
      <c r="D2704" t="s">
        <v>175</v>
      </c>
      <c r="E2704" t="s">
        <v>176</v>
      </c>
      <c r="F2704" t="s">
        <v>181</v>
      </c>
      <c r="G2704" t="s">
        <v>180</v>
      </c>
    </row>
    <row r="2705" spans="1:7">
      <c r="A2705">
        <v>2035</v>
      </c>
      <c r="B2705" t="s">
        <v>194</v>
      </c>
      <c r="C2705">
        <v>0</v>
      </c>
      <c r="D2705" t="s">
        <v>175</v>
      </c>
      <c r="E2705" t="s">
        <v>176</v>
      </c>
      <c r="F2705" t="s">
        <v>181</v>
      </c>
      <c r="G2705" t="s">
        <v>180</v>
      </c>
    </row>
    <row r="2706" spans="1:7">
      <c r="A2706">
        <v>2020</v>
      </c>
      <c r="B2706" t="s">
        <v>195</v>
      </c>
      <c r="C2706">
        <v>36883</v>
      </c>
      <c r="D2706" t="s">
        <v>175</v>
      </c>
      <c r="E2706" t="s">
        <v>176</v>
      </c>
      <c r="F2706" t="s">
        <v>181</v>
      </c>
      <c r="G2706" t="s">
        <v>180</v>
      </c>
    </row>
    <row r="2707" spans="1:7">
      <c r="A2707">
        <v>2021</v>
      </c>
      <c r="B2707" t="s">
        <v>195</v>
      </c>
      <c r="C2707">
        <v>84614.2</v>
      </c>
      <c r="D2707" t="s">
        <v>175</v>
      </c>
      <c r="E2707" t="s">
        <v>176</v>
      </c>
      <c r="F2707" t="s">
        <v>181</v>
      </c>
      <c r="G2707" t="s">
        <v>180</v>
      </c>
    </row>
    <row r="2708" spans="1:7">
      <c r="A2708">
        <v>2022</v>
      </c>
      <c r="B2708" t="s">
        <v>195</v>
      </c>
      <c r="C2708">
        <v>84614.2</v>
      </c>
      <c r="D2708" t="s">
        <v>175</v>
      </c>
      <c r="E2708" t="s">
        <v>176</v>
      </c>
      <c r="F2708" t="s">
        <v>181</v>
      </c>
      <c r="G2708" t="s">
        <v>180</v>
      </c>
    </row>
    <row r="2709" spans="1:7">
      <c r="A2709">
        <v>2023</v>
      </c>
      <c r="B2709" t="s">
        <v>195</v>
      </c>
      <c r="C2709">
        <v>16824.3</v>
      </c>
      <c r="D2709" t="s">
        <v>175</v>
      </c>
      <c r="E2709" t="s">
        <v>176</v>
      </c>
      <c r="F2709" t="s">
        <v>181</v>
      </c>
      <c r="G2709" t="s">
        <v>180</v>
      </c>
    </row>
    <row r="2710" spans="1:7">
      <c r="A2710">
        <v>2024</v>
      </c>
      <c r="B2710" t="s">
        <v>195</v>
      </c>
      <c r="C2710">
        <v>16824.3</v>
      </c>
      <c r="D2710" t="s">
        <v>175</v>
      </c>
      <c r="E2710" t="s">
        <v>176</v>
      </c>
      <c r="F2710" t="s">
        <v>181</v>
      </c>
      <c r="G2710" t="s">
        <v>180</v>
      </c>
    </row>
    <row r="2711" spans="1:7">
      <c r="A2711">
        <v>2025</v>
      </c>
      <c r="B2711" t="s">
        <v>195</v>
      </c>
      <c r="C2711">
        <v>7265.73</v>
      </c>
      <c r="D2711" t="s">
        <v>175</v>
      </c>
      <c r="E2711" t="s">
        <v>176</v>
      </c>
      <c r="F2711" t="s">
        <v>181</v>
      </c>
      <c r="G2711" t="s">
        <v>180</v>
      </c>
    </row>
    <row r="2712" spans="1:7">
      <c r="A2712">
        <v>2026</v>
      </c>
      <c r="B2712" t="s">
        <v>195</v>
      </c>
      <c r="C2712">
        <v>7265.73</v>
      </c>
      <c r="D2712" t="s">
        <v>175</v>
      </c>
      <c r="E2712" t="s">
        <v>176</v>
      </c>
      <c r="F2712" t="s">
        <v>181</v>
      </c>
      <c r="G2712" t="s">
        <v>180</v>
      </c>
    </row>
    <row r="2713" spans="1:7">
      <c r="A2713">
        <v>2027</v>
      </c>
      <c r="B2713" t="s">
        <v>195</v>
      </c>
      <c r="C2713">
        <v>12837.1</v>
      </c>
      <c r="D2713" t="s">
        <v>175</v>
      </c>
      <c r="E2713" t="s">
        <v>176</v>
      </c>
      <c r="F2713" t="s">
        <v>181</v>
      </c>
      <c r="G2713" t="s">
        <v>180</v>
      </c>
    </row>
    <row r="2714" spans="1:7">
      <c r="A2714">
        <v>2028</v>
      </c>
      <c r="B2714" t="s">
        <v>195</v>
      </c>
      <c r="C2714">
        <v>12837.1</v>
      </c>
      <c r="D2714" t="s">
        <v>175</v>
      </c>
      <c r="E2714" t="s">
        <v>176</v>
      </c>
      <c r="F2714" t="s">
        <v>181</v>
      </c>
      <c r="G2714" t="s">
        <v>180</v>
      </c>
    </row>
    <row r="2715" spans="1:7">
      <c r="A2715">
        <v>2029</v>
      </c>
      <c r="B2715" t="s">
        <v>195</v>
      </c>
      <c r="C2715">
        <v>14265.2</v>
      </c>
      <c r="D2715" t="s">
        <v>175</v>
      </c>
      <c r="E2715" t="s">
        <v>176</v>
      </c>
      <c r="F2715" t="s">
        <v>181</v>
      </c>
      <c r="G2715" t="s">
        <v>180</v>
      </c>
    </row>
    <row r="2716" spans="1:7">
      <c r="A2716">
        <v>2030</v>
      </c>
      <c r="B2716" t="s">
        <v>195</v>
      </c>
      <c r="C2716">
        <v>14265.2</v>
      </c>
      <c r="D2716" t="s">
        <v>175</v>
      </c>
      <c r="E2716" t="s">
        <v>176</v>
      </c>
      <c r="F2716" t="s">
        <v>181</v>
      </c>
      <c r="G2716" t="s">
        <v>180</v>
      </c>
    </row>
    <row r="2717" spans="1:7">
      <c r="A2717">
        <v>2031</v>
      </c>
      <c r="B2717" t="s">
        <v>195</v>
      </c>
      <c r="C2717">
        <v>8655.4699999999993</v>
      </c>
      <c r="D2717" t="s">
        <v>175</v>
      </c>
      <c r="E2717" t="s">
        <v>176</v>
      </c>
      <c r="F2717" t="s">
        <v>181</v>
      </c>
      <c r="G2717" t="s">
        <v>180</v>
      </c>
    </row>
    <row r="2718" spans="1:7">
      <c r="A2718">
        <v>2032</v>
      </c>
      <c r="B2718" t="s">
        <v>195</v>
      </c>
      <c r="C2718">
        <v>8655.4699999999993</v>
      </c>
      <c r="D2718" t="s">
        <v>175</v>
      </c>
      <c r="E2718" t="s">
        <v>176</v>
      </c>
      <c r="F2718" t="s">
        <v>181</v>
      </c>
      <c r="G2718" t="s">
        <v>180</v>
      </c>
    </row>
    <row r="2719" spans="1:7">
      <c r="A2719">
        <v>2033</v>
      </c>
      <c r="B2719" t="s">
        <v>195</v>
      </c>
      <c r="C2719">
        <v>11012.9</v>
      </c>
      <c r="D2719" t="s">
        <v>175</v>
      </c>
      <c r="E2719" t="s">
        <v>176</v>
      </c>
      <c r="F2719" t="s">
        <v>181</v>
      </c>
      <c r="G2719" t="s">
        <v>180</v>
      </c>
    </row>
    <row r="2720" spans="1:7">
      <c r="A2720">
        <v>2034</v>
      </c>
      <c r="B2720" t="s">
        <v>195</v>
      </c>
      <c r="C2720">
        <v>11012.9</v>
      </c>
      <c r="D2720" t="s">
        <v>175</v>
      </c>
      <c r="E2720" t="s">
        <v>176</v>
      </c>
      <c r="F2720" t="s">
        <v>181</v>
      </c>
      <c r="G2720" t="s">
        <v>180</v>
      </c>
    </row>
    <row r="2721" spans="1:7">
      <c r="A2721">
        <v>2035</v>
      </c>
      <c r="B2721" t="s">
        <v>195</v>
      </c>
      <c r="C2721">
        <v>11012.9</v>
      </c>
      <c r="D2721" t="s">
        <v>175</v>
      </c>
      <c r="E2721" t="s">
        <v>176</v>
      </c>
      <c r="F2721" t="s">
        <v>181</v>
      </c>
      <c r="G2721" t="s">
        <v>180</v>
      </c>
    </row>
    <row r="2722" spans="1:7">
      <c r="A2722">
        <v>2020</v>
      </c>
      <c r="B2722" t="s">
        <v>196</v>
      </c>
      <c r="C2722">
        <v>32268.6</v>
      </c>
      <c r="D2722" t="s">
        <v>175</v>
      </c>
      <c r="E2722" t="s">
        <v>176</v>
      </c>
      <c r="F2722" t="s">
        <v>181</v>
      </c>
      <c r="G2722" t="s">
        <v>180</v>
      </c>
    </row>
    <row r="2723" spans="1:7">
      <c r="A2723">
        <v>2021</v>
      </c>
      <c r="B2723" t="s">
        <v>196</v>
      </c>
      <c r="C2723">
        <v>70365</v>
      </c>
      <c r="D2723" t="s">
        <v>175</v>
      </c>
      <c r="E2723" t="s">
        <v>176</v>
      </c>
      <c r="F2723" t="s">
        <v>181</v>
      </c>
      <c r="G2723" t="s">
        <v>180</v>
      </c>
    </row>
    <row r="2724" spans="1:7">
      <c r="A2724">
        <v>2022</v>
      </c>
      <c r="B2724" t="s">
        <v>196</v>
      </c>
      <c r="C2724">
        <v>70365</v>
      </c>
      <c r="D2724" t="s">
        <v>175</v>
      </c>
      <c r="E2724" t="s">
        <v>176</v>
      </c>
      <c r="F2724" t="s">
        <v>181</v>
      </c>
      <c r="G2724" t="s">
        <v>180</v>
      </c>
    </row>
    <row r="2725" spans="1:7">
      <c r="A2725">
        <v>2023</v>
      </c>
      <c r="B2725" t="s">
        <v>196</v>
      </c>
      <c r="C2725">
        <v>3497.57</v>
      </c>
      <c r="D2725" t="s">
        <v>175</v>
      </c>
      <c r="E2725" t="s">
        <v>176</v>
      </c>
      <c r="F2725" t="s">
        <v>181</v>
      </c>
      <c r="G2725" t="s">
        <v>180</v>
      </c>
    </row>
    <row r="2726" spans="1:7">
      <c r="A2726">
        <v>2024</v>
      </c>
      <c r="B2726" t="s">
        <v>196</v>
      </c>
      <c r="C2726">
        <v>3497.57</v>
      </c>
      <c r="D2726" t="s">
        <v>175</v>
      </c>
      <c r="E2726" t="s">
        <v>176</v>
      </c>
      <c r="F2726" t="s">
        <v>181</v>
      </c>
      <c r="G2726" t="s">
        <v>180</v>
      </c>
    </row>
    <row r="2727" spans="1:7">
      <c r="A2727">
        <v>2025</v>
      </c>
      <c r="B2727" t="s">
        <v>196</v>
      </c>
      <c r="C2727">
        <v>9407.81</v>
      </c>
      <c r="D2727" t="s">
        <v>175</v>
      </c>
      <c r="E2727" t="s">
        <v>176</v>
      </c>
      <c r="F2727" t="s">
        <v>181</v>
      </c>
      <c r="G2727" t="s">
        <v>180</v>
      </c>
    </row>
    <row r="2728" spans="1:7">
      <c r="A2728">
        <v>2026</v>
      </c>
      <c r="B2728" t="s">
        <v>196</v>
      </c>
      <c r="C2728">
        <v>9407.81</v>
      </c>
      <c r="D2728" t="s">
        <v>175</v>
      </c>
      <c r="E2728" t="s">
        <v>176</v>
      </c>
      <c r="F2728" t="s">
        <v>181</v>
      </c>
      <c r="G2728" t="s">
        <v>180</v>
      </c>
    </row>
    <row r="2729" spans="1:7">
      <c r="A2729">
        <v>2027</v>
      </c>
      <c r="B2729" t="s">
        <v>196</v>
      </c>
      <c r="C2729">
        <v>14036.4</v>
      </c>
      <c r="D2729" t="s">
        <v>175</v>
      </c>
      <c r="E2729" t="s">
        <v>176</v>
      </c>
      <c r="F2729" t="s">
        <v>181</v>
      </c>
      <c r="G2729" t="s">
        <v>180</v>
      </c>
    </row>
    <row r="2730" spans="1:7">
      <c r="A2730">
        <v>2028</v>
      </c>
      <c r="B2730" t="s">
        <v>196</v>
      </c>
      <c r="C2730">
        <v>14036.4</v>
      </c>
      <c r="D2730" t="s">
        <v>175</v>
      </c>
      <c r="E2730" t="s">
        <v>176</v>
      </c>
      <c r="F2730" t="s">
        <v>181</v>
      </c>
      <c r="G2730" t="s">
        <v>180</v>
      </c>
    </row>
    <row r="2731" spans="1:7">
      <c r="A2731">
        <v>2029</v>
      </c>
      <c r="B2731" t="s">
        <v>196</v>
      </c>
      <c r="C2731">
        <v>11855</v>
      </c>
      <c r="D2731" t="s">
        <v>175</v>
      </c>
      <c r="E2731" t="s">
        <v>176</v>
      </c>
      <c r="F2731" t="s">
        <v>181</v>
      </c>
      <c r="G2731" t="s">
        <v>180</v>
      </c>
    </row>
    <row r="2732" spans="1:7">
      <c r="A2732">
        <v>2030</v>
      </c>
      <c r="B2732" t="s">
        <v>196</v>
      </c>
      <c r="C2732">
        <v>11855</v>
      </c>
      <c r="D2732" t="s">
        <v>175</v>
      </c>
      <c r="E2732" t="s">
        <v>176</v>
      </c>
      <c r="F2732" t="s">
        <v>181</v>
      </c>
      <c r="G2732" t="s">
        <v>180</v>
      </c>
    </row>
    <row r="2733" spans="1:7">
      <c r="A2733">
        <v>2031</v>
      </c>
      <c r="B2733" t="s">
        <v>196</v>
      </c>
      <c r="C2733">
        <v>12096.8</v>
      </c>
      <c r="D2733" t="s">
        <v>175</v>
      </c>
      <c r="E2733" t="s">
        <v>176</v>
      </c>
      <c r="F2733" t="s">
        <v>181</v>
      </c>
      <c r="G2733" t="s">
        <v>180</v>
      </c>
    </row>
    <row r="2734" spans="1:7">
      <c r="A2734">
        <v>2032</v>
      </c>
      <c r="B2734" t="s">
        <v>196</v>
      </c>
      <c r="C2734">
        <v>12096.8</v>
      </c>
      <c r="D2734" t="s">
        <v>175</v>
      </c>
      <c r="E2734" t="s">
        <v>176</v>
      </c>
      <c r="F2734" t="s">
        <v>181</v>
      </c>
      <c r="G2734" t="s">
        <v>180</v>
      </c>
    </row>
    <row r="2735" spans="1:7">
      <c r="A2735">
        <v>2033</v>
      </c>
      <c r="B2735" t="s">
        <v>196</v>
      </c>
      <c r="C2735">
        <v>14821</v>
      </c>
      <c r="D2735" t="s">
        <v>175</v>
      </c>
      <c r="E2735" t="s">
        <v>176</v>
      </c>
      <c r="F2735" t="s">
        <v>181</v>
      </c>
      <c r="G2735" t="s">
        <v>180</v>
      </c>
    </row>
    <row r="2736" spans="1:7">
      <c r="A2736">
        <v>2034</v>
      </c>
      <c r="B2736" t="s">
        <v>196</v>
      </c>
      <c r="C2736">
        <v>14821</v>
      </c>
      <c r="D2736" t="s">
        <v>175</v>
      </c>
      <c r="E2736" t="s">
        <v>176</v>
      </c>
      <c r="F2736" t="s">
        <v>181</v>
      </c>
      <c r="G2736" t="s">
        <v>180</v>
      </c>
    </row>
    <row r="2737" spans="1:7">
      <c r="A2737">
        <v>2035</v>
      </c>
      <c r="B2737" t="s">
        <v>196</v>
      </c>
      <c r="C2737">
        <v>14821</v>
      </c>
      <c r="D2737" t="s">
        <v>175</v>
      </c>
      <c r="E2737" t="s">
        <v>176</v>
      </c>
      <c r="F2737" t="s">
        <v>181</v>
      </c>
      <c r="G2737" t="s">
        <v>180</v>
      </c>
    </row>
    <row r="2738" spans="1:7">
      <c r="A2738">
        <v>2020</v>
      </c>
      <c r="B2738" t="s">
        <v>188</v>
      </c>
      <c r="C2738">
        <v>102.45</v>
      </c>
      <c r="D2738" t="s">
        <v>184</v>
      </c>
      <c r="E2738" t="s">
        <v>176</v>
      </c>
      <c r="F2738" t="s">
        <v>181</v>
      </c>
      <c r="G2738" t="s">
        <v>178</v>
      </c>
    </row>
    <row r="2739" spans="1:7">
      <c r="A2739">
        <v>2021</v>
      </c>
      <c r="B2739" t="s">
        <v>188</v>
      </c>
      <c r="C2739">
        <v>9.5</v>
      </c>
      <c r="D2739" t="s">
        <v>184</v>
      </c>
      <c r="E2739" t="s">
        <v>176</v>
      </c>
      <c r="F2739" t="s">
        <v>181</v>
      </c>
      <c r="G2739" t="s">
        <v>178</v>
      </c>
    </row>
    <row r="2740" spans="1:7">
      <c r="A2740">
        <v>2022</v>
      </c>
      <c r="B2740" t="s">
        <v>188</v>
      </c>
      <c r="C2740">
        <v>9.5</v>
      </c>
      <c r="D2740" t="s">
        <v>184</v>
      </c>
      <c r="E2740" t="s">
        <v>176</v>
      </c>
      <c r="F2740" t="s">
        <v>181</v>
      </c>
      <c r="G2740" t="s">
        <v>178</v>
      </c>
    </row>
    <row r="2741" spans="1:7">
      <c r="A2741">
        <v>2023</v>
      </c>
      <c r="B2741" t="s">
        <v>188</v>
      </c>
      <c r="C2741">
        <v>0</v>
      </c>
      <c r="D2741" t="s">
        <v>184</v>
      </c>
      <c r="E2741" t="s">
        <v>176</v>
      </c>
      <c r="F2741" t="s">
        <v>181</v>
      </c>
      <c r="G2741" t="s">
        <v>178</v>
      </c>
    </row>
    <row r="2742" spans="1:7">
      <c r="A2742">
        <v>2024</v>
      </c>
      <c r="B2742" t="s">
        <v>188</v>
      </c>
      <c r="C2742">
        <v>0</v>
      </c>
      <c r="D2742" t="s">
        <v>184</v>
      </c>
      <c r="E2742" t="s">
        <v>176</v>
      </c>
      <c r="F2742" t="s">
        <v>181</v>
      </c>
      <c r="G2742" t="s">
        <v>178</v>
      </c>
    </row>
    <row r="2743" spans="1:7">
      <c r="A2743">
        <v>2025</v>
      </c>
      <c r="B2743" t="s">
        <v>188</v>
      </c>
      <c r="C2743">
        <v>0</v>
      </c>
      <c r="D2743" t="s">
        <v>184</v>
      </c>
      <c r="E2743" t="s">
        <v>176</v>
      </c>
      <c r="F2743" t="s">
        <v>181</v>
      </c>
      <c r="G2743" t="s">
        <v>178</v>
      </c>
    </row>
    <row r="2744" spans="1:7">
      <c r="A2744">
        <v>2026</v>
      </c>
      <c r="B2744" t="s">
        <v>188</v>
      </c>
      <c r="C2744">
        <v>0</v>
      </c>
      <c r="D2744" t="s">
        <v>184</v>
      </c>
      <c r="E2744" t="s">
        <v>176</v>
      </c>
      <c r="F2744" t="s">
        <v>181</v>
      </c>
      <c r="G2744" t="s">
        <v>178</v>
      </c>
    </row>
    <row r="2745" spans="1:7">
      <c r="A2745">
        <v>2027</v>
      </c>
      <c r="B2745" t="s">
        <v>188</v>
      </c>
      <c r="C2745">
        <v>0</v>
      </c>
      <c r="D2745" t="s">
        <v>184</v>
      </c>
      <c r="E2745" t="s">
        <v>176</v>
      </c>
      <c r="F2745" t="s">
        <v>181</v>
      </c>
      <c r="G2745" t="s">
        <v>178</v>
      </c>
    </row>
    <row r="2746" spans="1:7">
      <c r="A2746">
        <v>2028</v>
      </c>
      <c r="B2746" t="s">
        <v>188</v>
      </c>
      <c r="C2746">
        <v>0</v>
      </c>
      <c r="D2746" t="s">
        <v>184</v>
      </c>
      <c r="E2746" t="s">
        <v>176</v>
      </c>
      <c r="F2746" t="s">
        <v>181</v>
      </c>
      <c r="G2746" t="s">
        <v>178</v>
      </c>
    </row>
    <row r="2747" spans="1:7">
      <c r="A2747">
        <v>2029</v>
      </c>
      <c r="B2747" t="s">
        <v>188</v>
      </c>
      <c r="C2747">
        <v>0</v>
      </c>
      <c r="D2747" t="s">
        <v>184</v>
      </c>
      <c r="E2747" t="s">
        <v>176</v>
      </c>
      <c r="F2747" t="s">
        <v>181</v>
      </c>
      <c r="G2747" t="s">
        <v>178</v>
      </c>
    </row>
    <row r="2748" spans="1:7">
      <c r="A2748">
        <v>2030</v>
      </c>
      <c r="B2748" t="s">
        <v>188</v>
      </c>
      <c r="C2748">
        <v>0</v>
      </c>
      <c r="D2748" t="s">
        <v>184</v>
      </c>
      <c r="E2748" t="s">
        <v>176</v>
      </c>
      <c r="F2748" t="s">
        <v>181</v>
      </c>
      <c r="G2748" t="s">
        <v>178</v>
      </c>
    </row>
    <row r="2749" spans="1:7">
      <c r="A2749">
        <v>2031</v>
      </c>
      <c r="B2749" t="s">
        <v>188</v>
      </c>
      <c r="C2749">
        <v>0</v>
      </c>
      <c r="D2749" t="s">
        <v>184</v>
      </c>
      <c r="E2749" t="s">
        <v>176</v>
      </c>
      <c r="F2749" t="s">
        <v>181</v>
      </c>
      <c r="G2749" t="s">
        <v>178</v>
      </c>
    </row>
    <row r="2750" spans="1:7">
      <c r="A2750">
        <v>2032</v>
      </c>
      <c r="B2750" t="s">
        <v>188</v>
      </c>
      <c r="C2750">
        <v>0</v>
      </c>
      <c r="D2750" t="s">
        <v>184</v>
      </c>
      <c r="E2750" t="s">
        <v>176</v>
      </c>
      <c r="F2750" t="s">
        <v>181</v>
      </c>
      <c r="G2750" t="s">
        <v>178</v>
      </c>
    </row>
    <row r="2751" spans="1:7">
      <c r="A2751">
        <v>2033</v>
      </c>
      <c r="B2751" t="s">
        <v>188</v>
      </c>
      <c r="C2751">
        <v>0</v>
      </c>
      <c r="D2751" t="s">
        <v>184</v>
      </c>
      <c r="E2751" t="s">
        <v>176</v>
      </c>
      <c r="F2751" t="s">
        <v>181</v>
      </c>
      <c r="G2751" t="s">
        <v>178</v>
      </c>
    </row>
    <row r="2752" spans="1:7">
      <c r="A2752">
        <v>2034</v>
      </c>
      <c r="B2752" t="s">
        <v>188</v>
      </c>
      <c r="C2752">
        <v>0</v>
      </c>
      <c r="D2752" t="s">
        <v>184</v>
      </c>
      <c r="E2752" t="s">
        <v>176</v>
      </c>
      <c r="F2752" t="s">
        <v>181</v>
      </c>
      <c r="G2752" t="s">
        <v>178</v>
      </c>
    </row>
    <row r="2753" spans="1:7">
      <c r="A2753">
        <v>2035</v>
      </c>
      <c r="B2753" t="s">
        <v>188</v>
      </c>
      <c r="C2753">
        <v>0</v>
      </c>
      <c r="D2753" t="s">
        <v>184</v>
      </c>
      <c r="E2753" t="s">
        <v>176</v>
      </c>
      <c r="F2753" t="s">
        <v>181</v>
      </c>
      <c r="G2753" t="s">
        <v>178</v>
      </c>
    </row>
    <row r="2754" spans="1:7">
      <c r="A2754">
        <v>2020</v>
      </c>
      <c r="B2754" t="s">
        <v>189</v>
      </c>
      <c r="C2754">
        <v>0</v>
      </c>
      <c r="D2754" t="s">
        <v>184</v>
      </c>
      <c r="E2754" t="s">
        <v>176</v>
      </c>
      <c r="F2754" t="s">
        <v>181</v>
      </c>
      <c r="G2754" t="s">
        <v>178</v>
      </c>
    </row>
    <row r="2755" spans="1:7">
      <c r="A2755">
        <v>2021</v>
      </c>
      <c r="B2755" t="s">
        <v>189</v>
      </c>
      <c r="C2755">
        <v>0</v>
      </c>
      <c r="D2755" t="s">
        <v>184</v>
      </c>
      <c r="E2755" t="s">
        <v>176</v>
      </c>
      <c r="F2755" t="s">
        <v>181</v>
      </c>
      <c r="G2755" t="s">
        <v>178</v>
      </c>
    </row>
    <row r="2756" spans="1:7">
      <c r="A2756">
        <v>2022</v>
      </c>
      <c r="B2756" t="s">
        <v>189</v>
      </c>
      <c r="C2756">
        <v>0</v>
      </c>
      <c r="D2756" t="s">
        <v>184</v>
      </c>
      <c r="E2756" t="s">
        <v>176</v>
      </c>
      <c r="F2756" t="s">
        <v>181</v>
      </c>
      <c r="G2756" t="s">
        <v>178</v>
      </c>
    </row>
    <row r="2757" spans="1:7">
      <c r="A2757">
        <v>2023</v>
      </c>
      <c r="B2757" t="s">
        <v>189</v>
      </c>
      <c r="C2757">
        <v>0</v>
      </c>
      <c r="D2757" t="s">
        <v>184</v>
      </c>
      <c r="E2757" t="s">
        <v>176</v>
      </c>
      <c r="F2757" t="s">
        <v>181</v>
      </c>
      <c r="G2757" t="s">
        <v>178</v>
      </c>
    </row>
    <row r="2758" spans="1:7">
      <c r="A2758">
        <v>2024</v>
      </c>
      <c r="B2758" t="s">
        <v>189</v>
      </c>
      <c r="C2758">
        <v>0</v>
      </c>
      <c r="D2758" t="s">
        <v>184</v>
      </c>
      <c r="E2758" t="s">
        <v>176</v>
      </c>
      <c r="F2758" t="s">
        <v>181</v>
      </c>
      <c r="G2758" t="s">
        <v>178</v>
      </c>
    </row>
    <row r="2759" spans="1:7">
      <c r="A2759">
        <v>2025</v>
      </c>
      <c r="B2759" t="s">
        <v>189</v>
      </c>
      <c r="C2759">
        <v>0</v>
      </c>
      <c r="D2759" t="s">
        <v>184</v>
      </c>
      <c r="E2759" t="s">
        <v>176</v>
      </c>
      <c r="F2759" t="s">
        <v>181</v>
      </c>
      <c r="G2759" t="s">
        <v>178</v>
      </c>
    </row>
    <row r="2760" spans="1:7">
      <c r="A2760">
        <v>2026</v>
      </c>
      <c r="B2760" t="s">
        <v>189</v>
      </c>
      <c r="C2760">
        <v>0</v>
      </c>
      <c r="D2760" t="s">
        <v>184</v>
      </c>
      <c r="E2760" t="s">
        <v>176</v>
      </c>
      <c r="F2760" t="s">
        <v>181</v>
      </c>
      <c r="G2760" t="s">
        <v>178</v>
      </c>
    </row>
    <row r="2761" spans="1:7">
      <c r="A2761">
        <v>2027</v>
      </c>
      <c r="B2761" t="s">
        <v>189</v>
      </c>
      <c r="C2761">
        <v>0</v>
      </c>
      <c r="D2761" t="s">
        <v>184</v>
      </c>
      <c r="E2761" t="s">
        <v>176</v>
      </c>
      <c r="F2761" t="s">
        <v>181</v>
      </c>
      <c r="G2761" t="s">
        <v>178</v>
      </c>
    </row>
    <row r="2762" spans="1:7">
      <c r="A2762">
        <v>2028</v>
      </c>
      <c r="B2762" t="s">
        <v>189</v>
      </c>
      <c r="C2762">
        <v>0</v>
      </c>
      <c r="D2762" t="s">
        <v>184</v>
      </c>
      <c r="E2762" t="s">
        <v>176</v>
      </c>
      <c r="F2762" t="s">
        <v>181</v>
      </c>
      <c r="G2762" t="s">
        <v>178</v>
      </c>
    </row>
    <row r="2763" spans="1:7">
      <c r="A2763">
        <v>2029</v>
      </c>
      <c r="B2763" t="s">
        <v>189</v>
      </c>
      <c r="C2763">
        <v>0</v>
      </c>
      <c r="D2763" t="s">
        <v>184</v>
      </c>
      <c r="E2763" t="s">
        <v>176</v>
      </c>
      <c r="F2763" t="s">
        <v>181</v>
      </c>
      <c r="G2763" t="s">
        <v>178</v>
      </c>
    </row>
    <row r="2764" spans="1:7">
      <c r="A2764">
        <v>2030</v>
      </c>
      <c r="B2764" t="s">
        <v>189</v>
      </c>
      <c r="C2764">
        <v>0</v>
      </c>
      <c r="D2764" t="s">
        <v>184</v>
      </c>
      <c r="E2764" t="s">
        <v>176</v>
      </c>
      <c r="F2764" t="s">
        <v>181</v>
      </c>
      <c r="G2764" t="s">
        <v>178</v>
      </c>
    </row>
    <row r="2765" spans="1:7">
      <c r="A2765">
        <v>2031</v>
      </c>
      <c r="B2765" t="s">
        <v>189</v>
      </c>
      <c r="C2765">
        <v>0</v>
      </c>
      <c r="D2765" t="s">
        <v>184</v>
      </c>
      <c r="E2765" t="s">
        <v>176</v>
      </c>
      <c r="F2765" t="s">
        <v>181</v>
      </c>
      <c r="G2765" t="s">
        <v>178</v>
      </c>
    </row>
    <row r="2766" spans="1:7">
      <c r="A2766">
        <v>2032</v>
      </c>
      <c r="B2766" t="s">
        <v>189</v>
      </c>
      <c r="C2766">
        <v>0</v>
      </c>
      <c r="D2766" t="s">
        <v>184</v>
      </c>
      <c r="E2766" t="s">
        <v>176</v>
      </c>
      <c r="F2766" t="s">
        <v>181</v>
      </c>
      <c r="G2766" t="s">
        <v>178</v>
      </c>
    </row>
    <row r="2767" spans="1:7">
      <c r="A2767">
        <v>2033</v>
      </c>
      <c r="B2767" t="s">
        <v>189</v>
      </c>
      <c r="C2767">
        <v>0</v>
      </c>
      <c r="D2767" t="s">
        <v>184</v>
      </c>
      <c r="E2767" t="s">
        <v>176</v>
      </c>
      <c r="F2767" t="s">
        <v>181</v>
      </c>
      <c r="G2767" t="s">
        <v>178</v>
      </c>
    </row>
    <row r="2768" spans="1:7">
      <c r="A2768">
        <v>2034</v>
      </c>
      <c r="B2768" t="s">
        <v>189</v>
      </c>
      <c r="C2768">
        <v>0</v>
      </c>
      <c r="D2768" t="s">
        <v>184</v>
      </c>
      <c r="E2768" t="s">
        <v>176</v>
      </c>
      <c r="F2768" t="s">
        <v>181</v>
      </c>
      <c r="G2768" t="s">
        <v>178</v>
      </c>
    </row>
    <row r="2769" spans="1:7">
      <c r="A2769">
        <v>2035</v>
      </c>
      <c r="B2769" t="s">
        <v>189</v>
      </c>
      <c r="C2769">
        <v>0</v>
      </c>
      <c r="D2769" t="s">
        <v>184</v>
      </c>
      <c r="E2769" t="s">
        <v>176</v>
      </c>
      <c r="F2769" t="s">
        <v>181</v>
      </c>
      <c r="G2769" t="s">
        <v>178</v>
      </c>
    </row>
    <row r="2770" spans="1:7">
      <c r="A2770">
        <v>2020</v>
      </c>
      <c r="B2770" t="s">
        <v>190</v>
      </c>
      <c r="C2770">
        <v>15518.13</v>
      </c>
      <c r="D2770" t="s">
        <v>184</v>
      </c>
      <c r="E2770" t="s">
        <v>176</v>
      </c>
      <c r="F2770" t="s">
        <v>181</v>
      </c>
      <c r="G2770" t="s">
        <v>178</v>
      </c>
    </row>
    <row r="2771" spans="1:7">
      <c r="A2771">
        <v>2021</v>
      </c>
      <c r="B2771" t="s">
        <v>190</v>
      </c>
      <c r="C2771">
        <v>19857</v>
      </c>
      <c r="D2771" t="s">
        <v>184</v>
      </c>
      <c r="E2771" t="s">
        <v>176</v>
      </c>
      <c r="F2771" t="s">
        <v>181</v>
      </c>
      <c r="G2771" t="s">
        <v>178</v>
      </c>
    </row>
    <row r="2772" spans="1:7">
      <c r="A2772">
        <v>2022</v>
      </c>
      <c r="B2772" t="s">
        <v>190</v>
      </c>
      <c r="C2772">
        <v>19857</v>
      </c>
      <c r="D2772" t="s">
        <v>184</v>
      </c>
      <c r="E2772" t="s">
        <v>176</v>
      </c>
      <c r="F2772" t="s">
        <v>181</v>
      </c>
      <c r="G2772" t="s">
        <v>178</v>
      </c>
    </row>
    <row r="2773" spans="1:7">
      <c r="A2773">
        <v>2023</v>
      </c>
      <c r="B2773" t="s">
        <v>190</v>
      </c>
      <c r="C2773">
        <v>6437.6</v>
      </c>
      <c r="D2773" t="s">
        <v>184</v>
      </c>
      <c r="E2773" t="s">
        <v>176</v>
      </c>
      <c r="F2773" t="s">
        <v>181</v>
      </c>
      <c r="G2773" t="s">
        <v>178</v>
      </c>
    </row>
    <row r="2774" spans="1:7">
      <c r="A2774">
        <v>2024</v>
      </c>
      <c r="B2774" t="s">
        <v>190</v>
      </c>
      <c r="C2774">
        <v>6437.6</v>
      </c>
      <c r="D2774" t="s">
        <v>184</v>
      </c>
      <c r="E2774" t="s">
        <v>176</v>
      </c>
      <c r="F2774" t="s">
        <v>181</v>
      </c>
      <c r="G2774" t="s">
        <v>178</v>
      </c>
    </row>
    <row r="2775" spans="1:7">
      <c r="A2775">
        <v>2025</v>
      </c>
      <c r="B2775" t="s">
        <v>190</v>
      </c>
      <c r="C2775">
        <v>8008.04</v>
      </c>
      <c r="D2775" t="s">
        <v>184</v>
      </c>
      <c r="E2775" t="s">
        <v>176</v>
      </c>
      <c r="F2775" t="s">
        <v>181</v>
      </c>
      <c r="G2775" t="s">
        <v>178</v>
      </c>
    </row>
    <row r="2776" spans="1:7">
      <c r="A2776">
        <v>2026</v>
      </c>
      <c r="B2776" t="s">
        <v>190</v>
      </c>
      <c r="C2776">
        <v>8008.04</v>
      </c>
      <c r="D2776" t="s">
        <v>184</v>
      </c>
      <c r="E2776" t="s">
        <v>176</v>
      </c>
      <c r="F2776" t="s">
        <v>181</v>
      </c>
      <c r="G2776" t="s">
        <v>178</v>
      </c>
    </row>
    <row r="2777" spans="1:7">
      <c r="A2777">
        <v>2027</v>
      </c>
      <c r="B2777" t="s">
        <v>190</v>
      </c>
      <c r="C2777">
        <v>3355.97</v>
      </c>
      <c r="D2777" t="s">
        <v>184</v>
      </c>
      <c r="E2777" t="s">
        <v>176</v>
      </c>
      <c r="F2777" t="s">
        <v>181</v>
      </c>
      <c r="G2777" t="s">
        <v>178</v>
      </c>
    </row>
    <row r="2778" spans="1:7">
      <c r="A2778">
        <v>2028</v>
      </c>
      <c r="B2778" t="s">
        <v>190</v>
      </c>
      <c r="C2778">
        <v>3355.97</v>
      </c>
      <c r="D2778" t="s">
        <v>184</v>
      </c>
      <c r="E2778" t="s">
        <v>176</v>
      </c>
      <c r="F2778" t="s">
        <v>181</v>
      </c>
      <c r="G2778" t="s">
        <v>178</v>
      </c>
    </row>
    <row r="2779" spans="1:7">
      <c r="A2779">
        <v>2029</v>
      </c>
      <c r="B2779" t="s">
        <v>190</v>
      </c>
      <c r="C2779">
        <v>2406.2399999999998</v>
      </c>
      <c r="D2779" t="s">
        <v>184</v>
      </c>
      <c r="E2779" t="s">
        <v>176</v>
      </c>
      <c r="F2779" t="s">
        <v>181</v>
      </c>
      <c r="G2779" t="s">
        <v>178</v>
      </c>
    </row>
    <row r="2780" spans="1:7">
      <c r="A2780">
        <v>2030</v>
      </c>
      <c r="B2780" t="s">
        <v>190</v>
      </c>
      <c r="C2780">
        <v>2406.2399999999998</v>
      </c>
      <c r="D2780" t="s">
        <v>184</v>
      </c>
      <c r="E2780" t="s">
        <v>176</v>
      </c>
      <c r="F2780" t="s">
        <v>181</v>
      </c>
      <c r="G2780" t="s">
        <v>178</v>
      </c>
    </row>
    <row r="2781" spans="1:7">
      <c r="A2781">
        <v>2031</v>
      </c>
      <c r="B2781" t="s">
        <v>190</v>
      </c>
      <c r="C2781">
        <v>3875.51</v>
      </c>
      <c r="D2781" t="s">
        <v>184</v>
      </c>
      <c r="E2781" t="s">
        <v>176</v>
      </c>
      <c r="F2781" t="s">
        <v>181</v>
      </c>
      <c r="G2781" t="s">
        <v>178</v>
      </c>
    </row>
    <row r="2782" spans="1:7">
      <c r="A2782">
        <v>2032</v>
      </c>
      <c r="B2782" t="s">
        <v>190</v>
      </c>
      <c r="C2782">
        <v>3875.51</v>
      </c>
      <c r="D2782" t="s">
        <v>184</v>
      </c>
      <c r="E2782" t="s">
        <v>176</v>
      </c>
      <c r="F2782" t="s">
        <v>181</v>
      </c>
      <c r="G2782" t="s">
        <v>178</v>
      </c>
    </row>
    <row r="2783" spans="1:7">
      <c r="A2783">
        <v>2033</v>
      </c>
      <c r="B2783" t="s">
        <v>190</v>
      </c>
      <c r="C2783">
        <v>1785.21</v>
      </c>
      <c r="D2783" t="s">
        <v>184</v>
      </c>
      <c r="E2783" t="s">
        <v>176</v>
      </c>
      <c r="F2783" t="s">
        <v>181</v>
      </c>
      <c r="G2783" t="s">
        <v>178</v>
      </c>
    </row>
    <row r="2784" spans="1:7">
      <c r="A2784">
        <v>2034</v>
      </c>
      <c r="B2784" t="s">
        <v>190</v>
      </c>
      <c r="C2784">
        <v>1785.21</v>
      </c>
      <c r="D2784" t="s">
        <v>184</v>
      </c>
      <c r="E2784" t="s">
        <v>176</v>
      </c>
      <c r="F2784" t="s">
        <v>181</v>
      </c>
      <c r="G2784" t="s">
        <v>178</v>
      </c>
    </row>
    <row r="2785" spans="1:7">
      <c r="A2785">
        <v>2035</v>
      </c>
      <c r="B2785" t="s">
        <v>190</v>
      </c>
      <c r="C2785">
        <v>1785.21</v>
      </c>
      <c r="D2785" t="s">
        <v>184</v>
      </c>
      <c r="E2785" t="s">
        <v>176</v>
      </c>
      <c r="F2785" t="s">
        <v>181</v>
      </c>
      <c r="G2785" t="s">
        <v>178</v>
      </c>
    </row>
    <row r="2786" spans="1:7">
      <c r="A2786">
        <v>2020</v>
      </c>
      <c r="B2786" t="s">
        <v>191</v>
      </c>
      <c r="C2786">
        <v>0</v>
      </c>
      <c r="D2786" t="s">
        <v>184</v>
      </c>
      <c r="E2786" t="s">
        <v>176</v>
      </c>
      <c r="F2786" t="s">
        <v>181</v>
      </c>
      <c r="G2786" t="s">
        <v>178</v>
      </c>
    </row>
    <row r="2787" spans="1:7">
      <c r="A2787">
        <v>2021</v>
      </c>
      <c r="B2787" t="s">
        <v>191</v>
      </c>
      <c r="C2787">
        <v>0</v>
      </c>
      <c r="D2787" t="s">
        <v>184</v>
      </c>
      <c r="E2787" t="s">
        <v>176</v>
      </c>
      <c r="F2787" t="s">
        <v>181</v>
      </c>
      <c r="G2787" t="s">
        <v>178</v>
      </c>
    </row>
    <row r="2788" spans="1:7">
      <c r="A2788">
        <v>2022</v>
      </c>
      <c r="B2788" t="s">
        <v>191</v>
      </c>
      <c r="C2788">
        <v>0</v>
      </c>
      <c r="D2788" t="s">
        <v>184</v>
      </c>
      <c r="E2788" t="s">
        <v>176</v>
      </c>
      <c r="F2788" t="s">
        <v>181</v>
      </c>
      <c r="G2788" t="s">
        <v>178</v>
      </c>
    </row>
    <row r="2789" spans="1:7">
      <c r="A2789">
        <v>2023</v>
      </c>
      <c r="B2789" t="s">
        <v>191</v>
      </c>
      <c r="C2789">
        <v>0</v>
      </c>
      <c r="D2789" t="s">
        <v>184</v>
      </c>
      <c r="E2789" t="s">
        <v>176</v>
      </c>
      <c r="F2789" t="s">
        <v>181</v>
      </c>
      <c r="G2789" t="s">
        <v>178</v>
      </c>
    </row>
    <row r="2790" spans="1:7">
      <c r="A2790">
        <v>2024</v>
      </c>
      <c r="B2790" t="s">
        <v>191</v>
      </c>
      <c r="C2790">
        <v>0</v>
      </c>
      <c r="D2790" t="s">
        <v>184</v>
      </c>
      <c r="E2790" t="s">
        <v>176</v>
      </c>
      <c r="F2790" t="s">
        <v>181</v>
      </c>
      <c r="G2790" t="s">
        <v>178</v>
      </c>
    </row>
    <row r="2791" spans="1:7">
      <c r="A2791">
        <v>2025</v>
      </c>
      <c r="B2791" t="s">
        <v>191</v>
      </c>
      <c r="C2791">
        <v>0</v>
      </c>
      <c r="D2791" t="s">
        <v>184</v>
      </c>
      <c r="E2791" t="s">
        <v>176</v>
      </c>
      <c r="F2791" t="s">
        <v>181</v>
      </c>
      <c r="G2791" t="s">
        <v>178</v>
      </c>
    </row>
    <row r="2792" spans="1:7">
      <c r="A2792">
        <v>2026</v>
      </c>
      <c r="B2792" t="s">
        <v>191</v>
      </c>
      <c r="C2792">
        <v>0</v>
      </c>
      <c r="D2792" t="s">
        <v>184</v>
      </c>
      <c r="E2792" t="s">
        <v>176</v>
      </c>
      <c r="F2792" t="s">
        <v>181</v>
      </c>
      <c r="G2792" t="s">
        <v>178</v>
      </c>
    </row>
    <row r="2793" spans="1:7">
      <c r="A2793">
        <v>2027</v>
      </c>
      <c r="B2793" t="s">
        <v>191</v>
      </c>
      <c r="C2793">
        <v>0</v>
      </c>
      <c r="D2793" t="s">
        <v>184</v>
      </c>
      <c r="E2793" t="s">
        <v>176</v>
      </c>
      <c r="F2793" t="s">
        <v>181</v>
      </c>
      <c r="G2793" t="s">
        <v>178</v>
      </c>
    </row>
    <row r="2794" spans="1:7">
      <c r="A2794">
        <v>2028</v>
      </c>
      <c r="B2794" t="s">
        <v>191</v>
      </c>
      <c r="C2794">
        <v>0</v>
      </c>
      <c r="D2794" t="s">
        <v>184</v>
      </c>
      <c r="E2794" t="s">
        <v>176</v>
      </c>
      <c r="F2794" t="s">
        <v>181</v>
      </c>
      <c r="G2794" t="s">
        <v>178</v>
      </c>
    </row>
    <row r="2795" spans="1:7">
      <c r="A2795">
        <v>2029</v>
      </c>
      <c r="B2795" t="s">
        <v>191</v>
      </c>
      <c r="C2795">
        <v>0</v>
      </c>
      <c r="D2795" t="s">
        <v>184</v>
      </c>
      <c r="E2795" t="s">
        <v>176</v>
      </c>
      <c r="F2795" t="s">
        <v>181</v>
      </c>
      <c r="G2795" t="s">
        <v>178</v>
      </c>
    </row>
    <row r="2796" spans="1:7">
      <c r="A2796">
        <v>2030</v>
      </c>
      <c r="B2796" t="s">
        <v>191</v>
      </c>
      <c r="C2796">
        <v>0</v>
      </c>
      <c r="D2796" t="s">
        <v>184</v>
      </c>
      <c r="E2796" t="s">
        <v>176</v>
      </c>
      <c r="F2796" t="s">
        <v>181</v>
      </c>
      <c r="G2796" t="s">
        <v>178</v>
      </c>
    </row>
    <row r="2797" spans="1:7">
      <c r="A2797">
        <v>2031</v>
      </c>
      <c r="B2797" t="s">
        <v>191</v>
      </c>
      <c r="C2797">
        <v>0</v>
      </c>
      <c r="D2797" t="s">
        <v>184</v>
      </c>
      <c r="E2797" t="s">
        <v>176</v>
      </c>
      <c r="F2797" t="s">
        <v>181</v>
      </c>
      <c r="G2797" t="s">
        <v>178</v>
      </c>
    </row>
    <row r="2798" spans="1:7">
      <c r="A2798">
        <v>2032</v>
      </c>
      <c r="B2798" t="s">
        <v>191</v>
      </c>
      <c r="C2798">
        <v>0</v>
      </c>
      <c r="D2798" t="s">
        <v>184</v>
      </c>
      <c r="E2798" t="s">
        <v>176</v>
      </c>
      <c r="F2798" t="s">
        <v>181</v>
      </c>
      <c r="G2798" t="s">
        <v>178</v>
      </c>
    </row>
    <row r="2799" spans="1:7">
      <c r="A2799">
        <v>2033</v>
      </c>
      <c r="B2799" t="s">
        <v>191</v>
      </c>
      <c r="C2799">
        <v>0</v>
      </c>
      <c r="D2799" t="s">
        <v>184</v>
      </c>
      <c r="E2799" t="s">
        <v>176</v>
      </c>
      <c r="F2799" t="s">
        <v>181</v>
      </c>
      <c r="G2799" t="s">
        <v>178</v>
      </c>
    </row>
    <row r="2800" spans="1:7">
      <c r="A2800">
        <v>2034</v>
      </c>
      <c r="B2800" t="s">
        <v>191</v>
      </c>
      <c r="C2800">
        <v>0</v>
      </c>
      <c r="D2800" t="s">
        <v>184</v>
      </c>
      <c r="E2800" t="s">
        <v>176</v>
      </c>
      <c r="F2800" t="s">
        <v>181</v>
      </c>
      <c r="G2800" t="s">
        <v>178</v>
      </c>
    </row>
    <row r="2801" spans="1:7">
      <c r="A2801">
        <v>2035</v>
      </c>
      <c r="B2801" t="s">
        <v>191</v>
      </c>
      <c r="C2801">
        <v>0</v>
      </c>
      <c r="D2801" t="s">
        <v>184</v>
      </c>
      <c r="E2801" t="s">
        <v>176</v>
      </c>
      <c r="F2801" t="s">
        <v>181</v>
      </c>
      <c r="G2801" t="s">
        <v>178</v>
      </c>
    </row>
    <row r="2802" spans="1:7">
      <c r="A2802">
        <v>2020</v>
      </c>
      <c r="B2802" t="s">
        <v>192</v>
      </c>
      <c r="C2802">
        <v>1784.36</v>
      </c>
      <c r="D2802" t="s">
        <v>184</v>
      </c>
      <c r="E2802" t="s">
        <v>176</v>
      </c>
      <c r="F2802" t="s">
        <v>181</v>
      </c>
      <c r="G2802" t="s">
        <v>178</v>
      </c>
    </row>
    <row r="2803" spans="1:7">
      <c r="A2803">
        <v>2021</v>
      </c>
      <c r="B2803" t="s">
        <v>192</v>
      </c>
      <c r="C2803">
        <v>0</v>
      </c>
      <c r="D2803" t="s">
        <v>184</v>
      </c>
      <c r="E2803" t="s">
        <v>176</v>
      </c>
      <c r="F2803" t="s">
        <v>181</v>
      </c>
      <c r="G2803" t="s">
        <v>178</v>
      </c>
    </row>
    <row r="2804" spans="1:7">
      <c r="A2804">
        <v>2022</v>
      </c>
      <c r="B2804" t="s">
        <v>192</v>
      </c>
      <c r="C2804">
        <v>0</v>
      </c>
      <c r="D2804" t="s">
        <v>184</v>
      </c>
      <c r="E2804" t="s">
        <v>176</v>
      </c>
      <c r="F2804" t="s">
        <v>181</v>
      </c>
      <c r="G2804" t="s">
        <v>178</v>
      </c>
    </row>
    <row r="2805" spans="1:7">
      <c r="A2805">
        <v>2023</v>
      </c>
      <c r="B2805" t="s">
        <v>192</v>
      </c>
      <c r="C2805">
        <v>4</v>
      </c>
      <c r="D2805" t="s">
        <v>184</v>
      </c>
      <c r="E2805" t="s">
        <v>176</v>
      </c>
      <c r="F2805" t="s">
        <v>181</v>
      </c>
      <c r="G2805" t="s">
        <v>178</v>
      </c>
    </row>
    <row r="2806" spans="1:7">
      <c r="A2806">
        <v>2024</v>
      </c>
      <c r="B2806" t="s">
        <v>192</v>
      </c>
      <c r="C2806">
        <v>4</v>
      </c>
      <c r="D2806" t="s">
        <v>184</v>
      </c>
      <c r="E2806" t="s">
        <v>176</v>
      </c>
      <c r="F2806" t="s">
        <v>181</v>
      </c>
      <c r="G2806" t="s">
        <v>178</v>
      </c>
    </row>
    <row r="2807" spans="1:7">
      <c r="A2807">
        <v>2025</v>
      </c>
      <c r="B2807" t="s">
        <v>192</v>
      </c>
      <c r="C2807">
        <v>72.5</v>
      </c>
      <c r="D2807" t="s">
        <v>184</v>
      </c>
      <c r="E2807" t="s">
        <v>176</v>
      </c>
      <c r="F2807" t="s">
        <v>181</v>
      </c>
      <c r="G2807" t="s">
        <v>178</v>
      </c>
    </row>
    <row r="2808" spans="1:7">
      <c r="A2808">
        <v>2026</v>
      </c>
      <c r="B2808" t="s">
        <v>192</v>
      </c>
      <c r="C2808">
        <v>72.5</v>
      </c>
      <c r="D2808" t="s">
        <v>184</v>
      </c>
      <c r="E2808" t="s">
        <v>176</v>
      </c>
      <c r="F2808" t="s">
        <v>181</v>
      </c>
      <c r="G2808" t="s">
        <v>178</v>
      </c>
    </row>
    <row r="2809" spans="1:7">
      <c r="A2809">
        <v>2027</v>
      </c>
      <c r="B2809" t="s">
        <v>192</v>
      </c>
      <c r="C2809">
        <v>0</v>
      </c>
      <c r="D2809" t="s">
        <v>184</v>
      </c>
      <c r="E2809" t="s">
        <v>176</v>
      </c>
      <c r="F2809" t="s">
        <v>181</v>
      </c>
      <c r="G2809" t="s">
        <v>178</v>
      </c>
    </row>
    <row r="2810" spans="1:7">
      <c r="A2810">
        <v>2028</v>
      </c>
      <c r="B2810" t="s">
        <v>192</v>
      </c>
      <c r="C2810">
        <v>0</v>
      </c>
      <c r="D2810" t="s">
        <v>184</v>
      </c>
      <c r="E2810" t="s">
        <v>176</v>
      </c>
      <c r="F2810" t="s">
        <v>181</v>
      </c>
      <c r="G2810" t="s">
        <v>178</v>
      </c>
    </row>
    <row r="2811" spans="1:7">
      <c r="A2811">
        <v>2029</v>
      </c>
      <c r="B2811" t="s">
        <v>192</v>
      </c>
      <c r="C2811">
        <v>0</v>
      </c>
      <c r="D2811" t="s">
        <v>184</v>
      </c>
      <c r="E2811" t="s">
        <v>176</v>
      </c>
      <c r="F2811" t="s">
        <v>181</v>
      </c>
      <c r="G2811" t="s">
        <v>178</v>
      </c>
    </row>
    <row r="2812" spans="1:7">
      <c r="A2812">
        <v>2030</v>
      </c>
      <c r="B2812" t="s">
        <v>192</v>
      </c>
      <c r="C2812">
        <v>0</v>
      </c>
      <c r="D2812" t="s">
        <v>184</v>
      </c>
      <c r="E2812" t="s">
        <v>176</v>
      </c>
      <c r="F2812" t="s">
        <v>181</v>
      </c>
      <c r="G2812" t="s">
        <v>178</v>
      </c>
    </row>
    <row r="2813" spans="1:7">
      <c r="A2813">
        <v>2031</v>
      </c>
      <c r="B2813" t="s">
        <v>192</v>
      </c>
      <c r="C2813">
        <v>0</v>
      </c>
      <c r="D2813" t="s">
        <v>184</v>
      </c>
      <c r="E2813" t="s">
        <v>176</v>
      </c>
      <c r="F2813" t="s">
        <v>181</v>
      </c>
      <c r="G2813" t="s">
        <v>178</v>
      </c>
    </row>
    <row r="2814" spans="1:7">
      <c r="A2814">
        <v>2032</v>
      </c>
      <c r="B2814" t="s">
        <v>192</v>
      </c>
      <c r="C2814">
        <v>0</v>
      </c>
      <c r="D2814" t="s">
        <v>184</v>
      </c>
      <c r="E2814" t="s">
        <v>176</v>
      </c>
      <c r="F2814" t="s">
        <v>181</v>
      </c>
      <c r="G2814" t="s">
        <v>178</v>
      </c>
    </row>
    <row r="2815" spans="1:7">
      <c r="A2815">
        <v>2033</v>
      </c>
      <c r="B2815" t="s">
        <v>192</v>
      </c>
      <c r="C2815">
        <v>0</v>
      </c>
      <c r="D2815" t="s">
        <v>184</v>
      </c>
      <c r="E2815" t="s">
        <v>176</v>
      </c>
      <c r="F2815" t="s">
        <v>181</v>
      </c>
      <c r="G2815" t="s">
        <v>178</v>
      </c>
    </row>
    <row r="2816" spans="1:7">
      <c r="A2816">
        <v>2034</v>
      </c>
      <c r="B2816" t="s">
        <v>192</v>
      </c>
      <c r="C2816">
        <v>0</v>
      </c>
      <c r="D2816" t="s">
        <v>184</v>
      </c>
      <c r="E2816" t="s">
        <v>176</v>
      </c>
      <c r="F2816" t="s">
        <v>181</v>
      </c>
      <c r="G2816" t="s">
        <v>178</v>
      </c>
    </row>
    <row r="2817" spans="1:7">
      <c r="A2817">
        <v>2035</v>
      </c>
      <c r="B2817" t="s">
        <v>192</v>
      </c>
      <c r="C2817">
        <v>0</v>
      </c>
      <c r="D2817" t="s">
        <v>184</v>
      </c>
      <c r="E2817" t="s">
        <v>176</v>
      </c>
      <c r="F2817" t="s">
        <v>181</v>
      </c>
      <c r="G2817" t="s">
        <v>178</v>
      </c>
    </row>
    <row r="2818" spans="1:7">
      <c r="A2818">
        <v>2020</v>
      </c>
      <c r="B2818" t="s">
        <v>193</v>
      </c>
      <c r="C2818">
        <v>232.5</v>
      </c>
      <c r="D2818" t="s">
        <v>184</v>
      </c>
      <c r="E2818" t="s">
        <v>176</v>
      </c>
      <c r="F2818" t="s">
        <v>181</v>
      </c>
      <c r="G2818" t="s">
        <v>178</v>
      </c>
    </row>
    <row r="2819" spans="1:7">
      <c r="A2819">
        <v>2021</v>
      </c>
      <c r="B2819" t="s">
        <v>193</v>
      </c>
      <c r="C2819">
        <v>1100</v>
      </c>
      <c r="D2819" t="s">
        <v>184</v>
      </c>
      <c r="E2819" t="s">
        <v>176</v>
      </c>
      <c r="F2819" t="s">
        <v>181</v>
      </c>
      <c r="G2819" t="s">
        <v>178</v>
      </c>
    </row>
    <row r="2820" spans="1:7">
      <c r="A2820">
        <v>2022</v>
      </c>
      <c r="B2820" t="s">
        <v>193</v>
      </c>
      <c r="C2820">
        <v>1100</v>
      </c>
      <c r="D2820" t="s">
        <v>184</v>
      </c>
      <c r="E2820" t="s">
        <v>176</v>
      </c>
      <c r="F2820" t="s">
        <v>181</v>
      </c>
      <c r="G2820" t="s">
        <v>178</v>
      </c>
    </row>
    <row r="2821" spans="1:7">
      <c r="A2821">
        <v>2023</v>
      </c>
      <c r="B2821" t="s">
        <v>193</v>
      </c>
      <c r="C2821">
        <v>0</v>
      </c>
      <c r="D2821" t="s">
        <v>184</v>
      </c>
      <c r="E2821" t="s">
        <v>176</v>
      </c>
      <c r="F2821" t="s">
        <v>181</v>
      </c>
      <c r="G2821" t="s">
        <v>178</v>
      </c>
    </row>
    <row r="2822" spans="1:7">
      <c r="A2822">
        <v>2024</v>
      </c>
      <c r="B2822" t="s">
        <v>193</v>
      </c>
      <c r="C2822">
        <v>0</v>
      </c>
      <c r="D2822" t="s">
        <v>184</v>
      </c>
      <c r="E2822" t="s">
        <v>176</v>
      </c>
      <c r="F2822" t="s">
        <v>181</v>
      </c>
      <c r="G2822" t="s">
        <v>178</v>
      </c>
    </row>
    <row r="2823" spans="1:7">
      <c r="A2823">
        <v>2025</v>
      </c>
      <c r="B2823" t="s">
        <v>193</v>
      </c>
      <c r="C2823">
        <v>0</v>
      </c>
      <c r="D2823" t="s">
        <v>184</v>
      </c>
      <c r="E2823" t="s">
        <v>176</v>
      </c>
      <c r="F2823" t="s">
        <v>181</v>
      </c>
      <c r="G2823" t="s">
        <v>178</v>
      </c>
    </row>
    <row r="2824" spans="1:7">
      <c r="A2824">
        <v>2026</v>
      </c>
      <c r="B2824" t="s">
        <v>193</v>
      </c>
      <c r="C2824">
        <v>0</v>
      </c>
      <c r="D2824" t="s">
        <v>184</v>
      </c>
      <c r="E2824" t="s">
        <v>176</v>
      </c>
      <c r="F2824" t="s">
        <v>181</v>
      </c>
      <c r="G2824" t="s">
        <v>178</v>
      </c>
    </row>
    <row r="2825" spans="1:7">
      <c r="A2825">
        <v>2027</v>
      </c>
      <c r="B2825" t="s">
        <v>193</v>
      </c>
      <c r="C2825">
        <v>0</v>
      </c>
      <c r="D2825" t="s">
        <v>184</v>
      </c>
      <c r="E2825" t="s">
        <v>176</v>
      </c>
      <c r="F2825" t="s">
        <v>181</v>
      </c>
      <c r="G2825" t="s">
        <v>178</v>
      </c>
    </row>
    <row r="2826" spans="1:7">
      <c r="A2826">
        <v>2028</v>
      </c>
      <c r="B2826" t="s">
        <v>193</v>
      </c>
      <c r="C2826">
        <v>0</v>
      </c>
      <c r="D2826" t="s">
        <v>184</v>
      </c>
      <c r="E2826" t="s">
        <v>176</v>
      </c>
      <c r="F2826" t="s">
        <v>181</v>
      </c>
      <c r="G2826" t="s">
        <v>178</v>
      </c>
    </row>
    <row r="2827" spans="1:7">
      <c r="A2827">
        <v>2029</v>
      </c>
      <c r="B2827" t="s">
        <v>193</v>
      </c>
      <c r="C2827">
        <v>0</v>
      </c>
      <c r="D2827" t="s">
        <v>184</v>
      </c>
      <c r="E2827" t="s">
        <v>176</v>
      </c>
      <c r="F2827" t="s">
        <v>181</v>
      </c>
      <c r="G2827" t="s">
        <v>178</v>
      </c>
    </row>
    <row r="2828" spans="1:7">
      <c r="A2828">
        <v>2030</v>
      </c>
      <c r="B2828" t="s">
        <v>193</v>
      </c>
      <c r="C2828">
        <v>0</v>
      </c>
      <c r="D2828" t="s">
        <v>184</v>
      </c>
      <c r="E2828" t="s">
        <v>176</v>
      </c>
      <c r="F2828" t="s">
        <v>181</v>
      </c>
      <c r="G2828" t="s">
        <v>178</v>
      </c>
    </row>
    <row r="2829" spans="1:7">
      <c r="A2829">
        <v>2031</v>
      </c>
      <c r="B2829" t="s">
        <v>193</v>
      </c>
      <c r="C2829">
        <v>0</v>
      </c>
      <c r="D2829" t="s">
        <v>184</v>
      </c>
      <c r="E2829" t="s">
        <v>176</v>
      </c>
      <c r="F2829" t="s">
        <v>181</v>
      </c>
      <c r="G2829" t="s">
        <v>178</v>
      </c>
    </row>
    <row r="2830" spans="1:7">
      <c r="A2830">
        <v>2032</v>
      </c>
      <c r="B2830" t="s">
        <v>193</v>
      </c>
      <c r="C2830">
        <v>0</v>
      </c>
      <c r="D2830" t="s">
        <v>184</v>
      </c>
      <c r="E2830" t="s">
        <v>176</v>
      </c>
      <c r="F2830" t="s">
        <v>181</v>
      </c>
      <c r="G2830" t="s">
        <v>178</v>
      </c>
    </row>
    <row r="2831" spans="1:7">
      <c r="A2831">
        <v>2033</v>
      </c>
      <c r="B2831" t="s">
        <v>193</v>
      </c>
      <c r="C2831">
        <v>0</v>
      </c>
      <c r="D2831" t="s">
        <v>184</v>
      </c>
      <c r="E2831" t="s">
        <v>176</v>
      </c>
      <c r="F2831" t="s">
        <v>181</v>
      </c>
      <c r="G2831" t="s">
        <v>178</v>
      </c>
    </row>
    <row r="2832" spans="1:7">
      <c r="A2832">
        <v>2034</v>
      </c>
      <c r="B2832" t="s">
        <v>193</v>
      </c>
      <c r="C2832">
        <v>0</v>
      </c>
      <c r="D2832" t="s">
        <v>184</v>
      </c>
      <c r="E2832" t="s">
        <v>176</v>
      </c>
      <c r="F2832" t="s">
        <v>181</v>
      </c>
      <c r="G2832" t="s">
        <v>178</v>
      </c>
    </row>
    <row r="2833" spans="1:7">
      <c r="A2833">
        <v>2035</v>
      </c>
      <c r="B2833" t="s">
        <v>193</v>
      </c>
      <c r="C2833">
        <v>0</v>
      </c>
      <c r="D2833" t="s">
        <v>184</v>
      </c>
      <c r="E2833" t="s">
        <v>176</v>
      </c>
      <c r="F2833" t="s">
        <v>181</v>
      </c>
      <c r="G2833" t="s">
        <v>178</v>
      </c>
    </row>
    <row r="2834" spans="1:7">
      <c r="A2834">
        <v>2020</v>
      </c>
      <c r="B2834" t="s">
        <v>194</v>
      </c>
      <c r="C2834">
        <v>14.85</v>
      </c>
      <c r="D2834" t="s">
        <v>184</v>
      </c>
      <c r="E2834" t="s">
        <v>176</v>
      </c>
      <c r="F2834" t="s">
        <v>181</v>
      </c>
      <c r="G2834" t="s">
        <v>178</v>
      </c>
    </row>
    <row r="2835" spans="1:7">
      <c r="A2835">
        <v>2021</v>
      </c>
      <c r="B2835" t="s">
        <v>194</v>
      </c>
      <c r="C2835">
        <v>0</v>
      </c>
      <c r="D2835" t="s">
        <v>184</v>
      </c>
      <c r="E2835" t="s">
        <v>176</v>
      </c>
      <c r="F2835" t="s">
        <v>181</v>
      </c>
      <c r="G2835" t="s">
        <v>178</v>
      </c>
    </row>
    <row r="2836" spans="1:7">
      <c r="A2836">
        <v>2022</v>
      </c>
      <c r="B2836" t="s">
        <v>194</v>
      </c>
      <c r="C2836">
        <v>0</v>
      </c>
      <c r="D2836" t="s">
        <v>184</v>
      </c>
      <c r="E2836" t="s">
        <v>176</v>
      </c>
      <c r="F2836" t="s">
        <v>181</v>
      </c>
      <c r="G2836" t="s">
        <v>178</v>
      </c>
    </row>
    <row r="2837" spans="1:7">
      <c r="A2837">
        <v>2023</v>
      </c>
      <c r="B2837" t="s">
        <v>194</v>
      </c>
      <c r="C2837">
        <v>0</v>
      </c>
      <c r="D2837" t="s">
        <v>184</v>
      </c>
      <c r="E2837" t="s">
        <v>176</v>
      </c>
      <c r="F2837" t="s">
        <v>181</v>
      </c>
      <c r="G2837" t="s">
        <v>178</v>
      </c>
    </row>
    <row r="2838" spans="1:7">
      <c r="A2838">
        <v>2024</v>
      </c>
      <c r="B2838" t="s">
        <v>194</v>
      </c>
      <c r="C2838">
        <v>0</v>
      </c>
      <c r="D2838" t="s">
        <v>184</v>
      </c>
      <c r="E2838" t="s">
        <v>176</v>
      </c>
      <c r="F2838" t="s">
        <v>181</v>
      </c>
      <c r="G2838" t="s">
        <v>178</v>
      </c>
    </row>
    <row r="2839" spans="1:7">
      <c r="A2839">
        <v>2025</v>
      </c>
      <c r="B2839" t="s">
        <v>194</v>
      </c>
      <c r="C2839">
        <v>0</v>
      </c>
      <c r="D2839" t="s">
        <v>184</v>
      </c>
      <c r="E2839" t="s">
        <v>176</v>
      </c>
      <c r="F2839" t="s">
        <v>181</v>
      </c>
      <c r="G2839" t="s">
        <v>178</v>
      </c>
    </row>
    <row r="2840" spans="1:7">
      <c r="A2840">
        <v>2026</v>
      </c>
      <c r="B2840" t="s">
        <v>194</v>
      </c>
      <c r="C2840">
        <v>0</v>
      </c>
      <c r="D2840" t="s">
        <v>184</v>
      </c>
      <c r="E2840" t="s">
        <v>176</v>
      </c>
      <c r="F2840" t="s">
        <v>181</v>
      </c>
      <c r="G2840" t="s">
        <v>178</v>
      </c>
    </row>
    <row r="2841" spans="1:7">
      <c r="A2841">
        <v>2027</v>
      </c>
      <c r="B2841" t="s">
        <v>194</v>
      </c>
      <c r="C2841">
        <v>0</v>
      </c>
      <c r="D2841" t="s">
        <v>184</v>
      </c>
      <c r="E2841" t="s">
        <v>176</v>
      </c>
      <c r="F2841" t="s">
        <v>181</v>
      </c>
      <c r="G2841" t="s">
        <v>178</v>
      </c>
    </row>
    <row r="2842" spans="1:7">
      <c r="A2842">
        <v>2028</v>
      </c>
      <c r="B2842" t="s">
        <v>194</v>
      </c>
      <c r="C2842">
        <v>0</v>
      </c>
      <c r="D2842" t="s">
        <v>184</v>
      </c>
      <c r="E2842" t="s">
        <v>176</v>
      </c>
      <c r="F2842" t="s">
        <v>181</v>
      </c>
      <c r="G2842" t="s">
        <v>178</v>
      </c>
    </row>
    <row r="2843" spans="1:7">
      <c r="A2843">
        <v>2029</v>
      </c>
      <c r="B2843" t="s">
        <v>194</v>
      </c>
      <c r="C2843">
        <v>0</v>
      </c>
      <c r="D2843" t="s">
        <v>184</v>
      </c>
      <c r="E2843" t="s">
        <v>176</v>
      </c>
      <c r="F2843" t="s">
        <v>181</v>
      </c>
      <c r="G2843" t="s">
        <v>178</v>
      </c>
    </row>
    <row r="2844" spans="1:7">
      <c r="A2844">
        <v>2030</v>
      </c>
      <c r="B2844" t="s">
        <v>194</v>
      </c>
      <c r="C2844">
        <v>0</v>
      </c>
      <c r="D2844" t="s">
        <v>184</v>
      </c>
      <c r="E2844" t="s">
        <v>176</v>
      </c>
      <c r="F2844" t="s">
        <v>181</v>
      </c>
      <c r="G2844" t="s">
        <v>178</v>
      </c>
    </row>
    <row r="2845" spans="1:7">
      <c r="A2845">
        <v>2031</v>
      </c>
      <c r="B2845" t="s">
        <v>194</v>
      </c>
      <c r="C2845">
        <v>0</v>
      </c>
      <c r="D2845" t="s">
        <v>184</v>
      </c>
      <c r="E2845" t="s">
        <v>176</v>
      </c>
      <c r="F2845" t="s">
        <v>181</v>
      </c>
      <c r="G2845" t="s">
        <v>178</v>
      </c>
    </row>
    <row r="2846" spans="1:7">
      <c r="A2846">
        <v>2032</v>
      </c>
      <c r="B2846" t="s">
        <v>194</v>
      </c>
      <c r="C2846">
        <v>0</v>
      </c>
      <c r="D2846" t="s">
        <v>184</v>
      </c>
      <c r="E2846" t="s">
        <v>176</v>
      </c>
      <c r="F2846" t="s">
        <v>181</v>
      </c>
      <c r="G2846" t="s">
        <v>178</v>
      </c>
    </row>
    <row r="2847" spans="1:7">
      <c r="A2847">
        <v>2033</v>
      </c>
      <c r="B2847" t="s">
        <v>194</v>
      </c>
      <c r="C2847">
        <v>0</v>
      </c>
      <c r="D2847" t="s">
        <v>184</v>
      </c>
      <c r="E2847" t="s">
        <v>176</v>
      </c>
      <c r="F2847" t="s">
        <v>181</v>
      </c>
      <c r="G2847" t="s">
        <v>178</v>
      </c>
    </row>
    <row r="2848" spans="1:7">
      <c r="A2848">
        <v>2034</v>
      </c>
      <c r="B2848" t="s">
        <v>194</v>
      </c>
      <c r="C2848">
        <v>0</v>
      </c>
      <c r="D2848" t="s">
        <v>184</v>
      </c>
      <c r="E2848" t="s">
        <v>176</v>
      </c>
      <c r="F2848" t="s">
        <v>181</v>
      </c>
      <c r="G2848" t="s">
        <v>178</v>
      </c>
    </row>
    <row r="2849" spans="1:7">
      <c r="A2849">
        <v>2035</v>
      </c>
      <c r="B2849" t="s">
        <v>194</v>
      </c>
      <c r="C2849">
        <v>0</v>
      </c>
      <c r="D2849" t="s">
        <v>184</v>
      </c>
      <c r="E2849" t="s">
        <v>176</v>
      </c>
      <c r="F2849" t="s">
        <v>181</v>
      </c>
      <c r="G2849" t="s">
        <v>178</v>
      </c>
    </row>
    <row r="2850" spans="1:7">
      <c r="A2850">
        <v>2020</v>
      </c>
      <c r="B2850" t="s">
        <v>195</v>
      </c>
      <c r="C2850">
        <v>10229.4</v>
      </c>
      <c r="D2850" t="s">
        <v>184</v>
      </c>
      <c r="E2850" t="s">
        <v>176</v>
      </c>
      <c r="F2850" t="s">
        <v>181</v>
      </c>
      <c r="G2850" t="s">
        <v>178</v>
      </c>
    </row>
    <row r="2851" spans="1:7">
      <c r="A2851">
        <v>2021</v>
      </c>
      <c r="B2851" t="s">
        <v>195</v>
      </c>
      <c r="C2851">
        <v>2418.86</v>
      </c>
      <c r="D2851" t="s">
        <v>184</v>
      </c>
      <c r="E2851" t="s">
        <v>176</v>
      </c>
      <c r="F2851" t="s">
        <v>181</v>
      </c>
      <c r="G2851" t="s">
        <v>178</v>
      </c>
    </row>
    <row r="2852" spans="1:7">
      <c r="A2852">
        <v>2022</v>
      </c>
      <c r="B2852" t="s">
        <v>195</v>
      </c>
      <c r="C2852">
        <v>2418.86</v>
      </c>
      <c r="D2852" t="s">
        <v>184</v>
      </c>
      <c r="E2852" t="s">
        <v>176</v>
      </c>
      <c r="F2852" t="s">
        <v>181</v>
      </c>
      <c r="G2852" t="s">
        <v>178</v>
      </c>
    </row>
    <row r="2853" spans="1:7">
      <c r="A2853">
        <v>2023</v>
      </c>
      <c r="B2853" t="s">
        <v>195</v>
      </c>
      <c r="C2853">
        <v>4793.1899999999996</v>
      </c>
      <c r="D2853" t="s">
        <v>184</v>
      </c>
      <c r="E2853" t="s">
        <v>176</v>
      </c>
      <c r="F2853" t="s">
        <v>181</v>
      </c>
      <c r="G2853" t="s">
        <v>178</v>
      </c>
    </row>
    <row r="2854" spans="1:7">
      <c r="A2854">
        <v>2024</v>
      </c>
      <c r="B2854" t="s">
        <v>195</v>
      </c>
      <c r="C2854">
        <v>4793.1899999999996</v>
      </c>
      <c r="D2854" t="s">
        <v>184</v>
      </c>
      <c r="E2854" t="s">
        <v>176</v>
      </c>
      <c r="F2854" t="s">
        <v>181</v>
      </c>
      <c r="G2854" t="s">
        <v>178</v>
      </c>
    </row>
    <row r="2855" spans="1:7">
      <c r="A2855">
        <v>2025</v>
      </c>
      <c r="B2855" t="s">
        <v>195</v>
      </c>
      <c r="C2855">
        <v>8494.65</v>
      </c>
      <c r="D2855" t="s">
        <v>184</v>
      </c>
      <c r="E2855" t="s">
        <v>176</v>
      </c>
      <c r="F2855" t="s">
        <v>181</v>
      </c>
      <c r="G2855" t="s">
        <v>178</v>
      </c>
    </row>
    <row r="2856" spans="1:7">
      <c r="A2856">
        <v>2026</v>
      </c>
      <c r="B2856" t="s">
        <v>195</v>
      </c>
      <c r="C2856">
        <v>8494.65</v>
      </c>
      <c r="D2856" t="s">
        <v>184</v>
      </c>
      <c r="E2856" t="s">
        <v>176</v>
      </c>
      <c r="F2856" t="s">
        <v>181</v>
      </c>
      <c r="G2856" t="s">
        <v>178</v>
      </c>
    </row>
    <row r="2857" spans="1:7">
      <c r="A2857">
        <v>2027</v>
      </c>
      <c r="B2857" t="s">
        <v>195</v>
      </c>
      <c r="C2857">
        <v>10472.5</v>
      </c>
      <c r="D2857" t="s">
        <v>184</v>
      </c>
      <c r="E2857" t="s">
        <v>176</v>
      </c>
      <c r="F2857" t="s">
        <v>181</v>
      </c>
      <c r="G2857" t="s">
        <v>178</v>
      </c>
    </row>
    <row r="2858" spans="1:7">
      <c r="A2858">
        <v>2028</v>
      </c>
      <c r="B2858" t="s">
        <v>195</v>
      </c>
      <c r="C2858">
        <v>10472.5</v>
      </c>
      <c r="D2858" t="s">
        <v>184</v>
      </c>
      <c r="E2858" t="s">
        <v>176</v>
      </c>
      <c r="F2858" t="s">
        <v>181</v>
      </c>
      <c r="G2858" t="s">
        <v>178</v>
      </c>
    </row>
    <row r="2859" spans="1:7">
      <c r="A2859">
        <v>2029</v>
      </c>
      <c r="B2859" t="s">
        <v>195</v>
      </c>
      <c r="C2859">
        <v>24660.799999999999</v>
      </c>
      <c r="D2859" t="s">
        <v>184</v>
      </c>
      <c r="E2859" t="s">
        <v>176</v>
      </c>
      <c r="F2859" t="s">
        <v>181</v>
      </c>
      <c r="G2859" t="s">
        <v>178</v>
      </c>
    </row>
    <row r="2860" spans="1:7">
      <c r="A2860">
        <v>2030</v>
      </c>
      <c r="B2860" t="s">
        <v>195</v>
      </c>
      <c r="C2860">
        <v>24660.799999999999</v>
      </c>
      <c r="D2860" t="s">
        <v>184</v>
      </c>
      <c r="E2860" t="s">
        <v>176</v>
      </c>
      <c r="F2860" t="s">
        <v>181</v>
      </c>
      <c r="G2860" t="s">
        <v>178</v>
      </c>
    </row>
    <row r="2861" spans="1:7">
      <c r="A2861">
        <v>2031</v>
      </c>
      <c r="B2861" t="s">
        <v>195</v>
      </c>
      <c r="C2861">
        <v>12268.1</v>
      </c>
      <c r="D2861" t="s">
        <v>184</v>
      </c>
      <c r="E2861" t="s">
        <v>176</v>
      </c>
      <c r="F2861" t="s">
        <v>181</v>
      </c>
      <c r="G2861" t="s">
        <v>178</v>
      </c>
    </row>
    <row r="2862" spans="1:7">
      <c r="A2862">
        <v>2032</v>
      </c>
      <c r="B2862" t="s">
        <v>195</v>
      </c>
      <c r="C2862">
        <v>12268.1</v>
      </c>
      <c r="D2862" t="s">
        <v>184</v>
      </c>
      <c r="E2862" t="s">
        <v>176</v>
      </c>
      <c r="F2862" t="s">
        <v>181</v>
      </c>
      <c r="G2862" t="s">
        <v>178</v>
      </c>
    </row>
    <row r="2863" spans="1:7">
      <c r="A2863">
        <v>2033</v>
      </c>
      <c r="B2863" t="s">
        <v>195</v>
      </c>
      <c r="C2863">
        <v>18888.2</v>
      </c>
      <c r="D2863" t="s">
        <v>184</v>
      </c>
      <c r="E2863" t="s">
        <v>176</v>
      </c>
      <c r="F2863" t="s">
        <v>181</v>
      </c>
      <c r="G2863" t="s">
        <v>178</v>
      </c>
    </row>
    <row r="2864" spans="1:7">
      <c r="A2864">
        <v>2034</v>
      </c>
      <c r="B2864" t="s">
        <v>195</v>
      </c>
      <c r="C2864">
        <v>18888.2</v>
      </c>
      <c r="D2864" t="s">
        <v>184</v>
      </c>
      <c r="E2864" t="s">
        <v>176</v>
      </c>
      <c r="F2864" t="s">
        <v>181</v>
      </c>
      <c r="G2864" t="s">
        <v>178</v>
      </c>
    </row>
    <row r="2865" spans="1:7">
      <c r="A2865">
        <v>2035</v>
      </c>
      <c r="B2865" t="s">
        <v>195</v>
      </c>
      <c r="C2865">
        <v>18888.2</v>
      </c>
      <c r="D2865" t="s">
        <v>184</v>
      </c>
      <c r="E2865" t="s">
        <v>176</v>
      </c>
      <c r="F2865" t="s">
        <v>181</v>
      </c>
      <c r="G2865" t="s">
        <v>178</v>
      </c>
    </row>
    <row r="2866" spans="1:7">
      <c r="A2866">
        <v>2020</v>
      </c>
      <c r="B2866" t="s">
        <v>196</v>
      </c>
      <c r="C2866">
        <v>8659.2800000000007</v>
      </c>
      <c r="D2866" t="s">
        <v>184</v>
      </c>
      <c r="E2866" t="s">
        <v>176</v>
      </c>
      <c r="F2866" t="s">
        <v>181</v>
      </c>
      <c r="G2866" t="s">
        <v>178</v>
      </c>
    </row>
    <row r="2867" spans="1:7">
      <c r="A2867">
        <v>2021</v>
      </c>
      <c r="B2867" t="s">
        <v>196</v>
      </c>
      <c r="C2867">
        <v>1550.72</v>
      </c>
      <c r="D2867" t="s">
        <v>184</v>
      </c>
      <c r="E2867" t="s">
        <v>176</v>
      </c>
      <c r="F2867" t="s">
        <v>181</v>
      </c>
      <c r="G2867" t="s">
        <v>178</v>
      </c>
    </row>
    <row r="2868" spans="1:7">
      <c r="A2868">
        <v>2022</v>
      </c>
      <c r="B2868" t="s">
        <v>196</v>
      </c>
      <c r="C2868">
        <v>1550.72</v>
      </c>
      <c r="D2868" t="s">
        <v>184</v>
      </c>
      <c r="E2868" t="s">
        <v>176</v>
      </c>
      <c r="F2868" t="s">
        <v>181</v>
      </c>
      <c r="G2868" t="s">
        <v>178</v>
      </c>
    </row>
    <row r="2869" spans="1:7">
      <c r="A2869">
        <v>2023</v>
      </c>
      <c r="B2869" t="s">
        <v>196</v>
      </c>
      <c r="C2869">
        <v>2550.5500000000002</v>
      </c>
      <c r="D2869" t="s">
        <v>184</v>
      </c>
      <c r="E2869" t="s">
        <v>176</v>
      </c>
      <c r="F2869" t="s">
        <v>181</v>
      </c>
      <c r="G2869" t="s">
        <v>178</v>
      </c>
    </row>
    <row r="2870" spans="1:7">
      <c r="A2870">
        <v>2024</v>
      </c>
      <c r="B2870" t="s">
        <v>196</v>
      </c>
      <c r="C2870">
        <v>2550.5500000000002</v>
      </c>
      <c r="D2870" t="s">
        <v>184</v>
      </c>
      <c r="E2870" t="s">
        <v>176</v>
      </c>
      <c r="F2870" t="s">
        <v>181</v>
      </c>
      <c r="G2870" t="s">
        <v>178</v>
      </c>
    </row>
    <row r="2871" spans="1:7">
      <c r="A2871">
        <v>2025</v>
      </c>
      <c r="B2871" t="s">
        <v>196</v>
      </c>
      <c r="C2871">
        <v>2467.7399999999998</v>
      </c>
      <c r="D2871" t="s">
        <v>184</v>
      </c>
      <c r="E2871" t="s">
        <v>176</v>
      </c>
      <c r="F2871" t="s">
        <v>181</v>
      </c>
      <c r="G2871" t="s">
        <v>178</v>
      </c>
    </row>
    <row r="2872" spans="1:7">
      <c r="A2872">
        <v>2026</v>
      </c>
      <c r="B2872" t="s">
        <v>196</v>
      </c>
      <c r="C2872">
        <v>2467.7399999999998</v>
      </c>
      <c r="D2872" t="s">
        <v>184</v>
      </c>
      <c r="E2872" t="s">
        <v>176</v>
      </c>
      <c r="F2872" t="s">
        <v>181</v>
      </c>
      <c r="G2872" t="s">
        <v>178</v>
      </c>
    </row>
    <row r="2873" spans="1:7">
      <c r="A2873">
        <v>2027</v>
      </c>
      <c r="B2873" t="s">
        <v>196</v>
      </c>
      <c r="C2873">
        <v>2230.04</v>
      </c>
      <c r="D2873" t="s">
        <v>184</v>
      </c>
      <c r="E2873" t="s">
        <v>176</v>
      </c>
      <c r="F2873" t="s">
        <v>181</v>
      </c>
      <c r="G2873" t="s">
        <v>178</v>
      </c>
    </row>
    <row r="2874" spans="1:7">
      <c r="A2874">
        <v>2028</v>
      </c>
      <c r="B2874" t="s">
        <v>196</v>
      </c>
      <c r="C2874">
        <v>2230.04</v>
      </c>
      <c r="D2874" t="s">
        <v>184</v>
      </c>
      <c r="E2874" t="s">
        <v>176</v>
      </c>
      <c r="F2874" t="s">
        <v>181</v>
      </c>
      <c r="G2874" t="s">
        <v>178</v>
      </c>
    </row>
    <row r="2875" spans="1:7">
      <c r="A2875">
        <v>2029</v>
      </c>
      <c r="B2875" t="s">
        <v>196</v>
      </c>
      <c r="C2875">
        <v>4196.8999999999996</v>
      </c>
      <c r="D2875" t="s">
        <v>184</v>
      </c>
      <c r="E2875" t="s">
        <v>176</v>
      </c>
      <c r="F2875" t="s">
        <v>181</v>
      </c>
      <c r="G2875" t="s">
        <v>178</v>
      </c>
    </row>
    <row r="2876" spans="1:7">
      <c r="A2876">
        <v>2030</v>
      </c>
      <c r="B2876" t="s">
        <v>196</v>
      </c>
      <c r="C2876">
        <v>4196.8999999999996</v>
      </c>
      <c r="D2876" t="s">
        <v>184</v>
      </c>
      <c r="E2876" t="s">
        <v>176</v>
      </c>
      <c r="F2876" t="s">
        <v>181</v>
      </c>
      <c r="G2876" t="s">
        <v>178</v>
      </c>
    </row>
    <row r="2877" spans="1:7">
      <c r="A2877">
        <v>2031</v>
      </c>
      <c r="B2877" t="s">
        <v>196</v>
      </c>
      <c r="C2877">
        <v>1016.05</v>
      </c>
      <c r="D2877" t="s">
        <v>184</v>
      </c>
      <c r="E2877" t="s">
        <v>176</v>
      </c>
      <c r="F2877" t="s">
        <v>181</v>
      </c>
      <c r="G2877" t="s">
        <v>178</v>
      </c>
    </row>
    <row r="2878" spans="1:7">
      <c r="A2878">
        <v>2032</v>
      </c>
      <c r="B2878" t="s">
        <v>196</v>
      </c>
      <c r="C2878">
        <v>1016.05</v>
      </c>
      <c r="D2878" t="s">
        <v>184</v>
      </c>
      <c r="E2878" t="s">
        <v>176</v>
      </c>
      <c r="F2878" t="s">
        <v>181</v>
      </c>
      <c r="G2878" t="s">
        <v>178</v>
      </c>
    </row>
    <row r="2879" spans="1:7">
      <c r="A2879">
        <v>2033</v>
      </c>
      <c r="B2879" t="s">
        <v>196</v>
      </c>
      <c r="C2879">
        <v>1354.25</v>
      </c>
      <c r="D2879" t="s">
        <v>184</v>
      </c>
      <c r="E2879" t="s">
        <v>176</v>
      </c>
      <c r="F2879" t="s">
        <v>181</v>
      </c>
      <c r="G2879" t="s">
        <v>178</v>
      </c>
    </row>
    <row r="2880" spans="1:7">
      <c r="A2880">
        <v>2034</v>
      </c>
      <c r="B2880" t="s">
        <v>196</v>
      </c>
      <c r="C2880">
        <v>1354.25</v>
      </c>
      <c r="D2880" t="s">
        <v>184</v>
      </c>
      <c r="E2880" t="s">
        <v>176</v>
      </c>
      <c r="F2880" t="s">
        <v>181</v>
      </c>
      <c r="G2880" t="s">
        <v>178</v>
      </c>
    </row>
    <row r="2881" spans="1:7">
      <c r="A2881">
        <v>2035</v>
      </c>
      <c r="B2881" t="s">
        <v>196</v>
      </c>
      <c r="C2881">
        <v>1354.25</v>
      </c>
      <c r="D2881" t="s">
        <v>184</v>
      </c>
      <c r="E2881" t="s">
        <v>176</v>
      </c>
      <c r="F2881" t="s">
        <v>181</v>
      </c>
      <c r="G2881" t="s">
        <v>178</v>
      </c>
    </row>
    <row r="2882" spans="1:7">
      <c r="A2882">
        <v>2020</v>
      </c>
      <c r="B2882" t="s">
        <v>188</v>
      </c>
      <c r="C2882">
        <v>102.45</v>
      </c>
      <c r="D2882" t="s">
        <v>184</v>
      </c>
      <c r="E2882" t="s">
        <v>176</v>
      </c>
      <c r="F2882" t="s">
        <v>181</v>
      </c>
      <c r="G2882" t="s">
        <v>179</v>
      </c>
    </row>
    <row r="2883" spans="1:7">
      <c r="A2883">
        <v>2021</v>
      </c>
      <c r="B2883" t="s">
        <v>188</v>
      </c>
      <c r="C2883">
        <v>9.5</v>
      </c>
      <c r="D2883" t="s">
        <v>184</v>
      </c>
      <c r="E2883" t="s">
        <v>176</v>
      </c>
      <c r="F2883" t="s">
        <v>181</v>
      </c>
      <c r="G2883" t="s">
        <v>179</v>
      </c>
    </row>
    <row r="2884" spans="1:7">
      <c r="A2884">
        <v>2022</v>
      </c>
      <c r="B2884" t="s">
        <v>188</v>
      </c>
      <c r="C2884">
        <v>9.5</v>
      </c>
      <c r="D2884" t="s">
        <v>184</v>
      </c>
      <c r="E2884" t="s">
        <v>176</v>
      </c>
      <c r="F2884" t="s">
        <v>181</v>
      </c>
      <c r="G2884" t="s">
        <v>179</v>
      </c>
    </row>
    <row r="2885" spans="1:7">
      <c r="A2885">
        <v>2023</v>
      </c>
      <c r="B2885" t="s">
        <v>188</v>
      </c>
      <c r="C2885">
        <v>0</v>
      </c>
      <c r="D2885" t="s">
        <v>184</v>
      </c>
      <c r="E2885" t="s">
        <v>176</v>
      </c>
      <c r="F2885" t="s">
        <v>181</v>
      </c>
      <c r="G2885" t="s">
        <v>179</v>
      </c>
    </row>
    <row r="2886" spans="1:7">
      <c r="A2886">
        <v>2024</v>
      </c>
      <c r="B2886" t="s">
        <v>188</v>
      </c>
      <c r="C2886">
        <v>0</v>
      </c>
      <c r="D2886" t="s">
        <v>184</v>
      </c>
      <c r="E2886" t="s">
        <v>176</v>
      </c>
      <c r="F2886" t="s">
        <v>181</v>
      </c>
      <c r="G2886" t="s">
        <v>179</v>
      </c>
    </row>
    <row r="2887" spans="1:7">
      <c r="A2887">
        <v>2025</v>
      </c>
      <c r="B2887" t="s">
        <v>188</v>
      </c>
      <c r="C2887">
        <v>0</v>
      </c>
      <c r="D2887" t="s">
        <v>184</v>
      </c>
      <c r="E2887" t="s">
        <v>176</v>
      </c>
      <c r="F2887" t="s">
        <v>181</v>
      </c>
      <c r="G2887" t="s">
        <v>179</v>
      </c>
    </row>
    <row r="2888" spans="1:7">
      <c r="A2888">
        <v>2026</v>
      </c>
      <c r="B2888" t="s">
        <v>188</v>
      </c>
      <c r="C2888">
        <v>0</v>
      </c>
      <c r="D2888" t="s">
        <v>184</v>
      </c>
      <c r="E2888" t="s">
        <v>176</v>
      </c>
      <c r="F2888" t="s">
        <v>181</v>
      </c>
      <c r="G2888" t="s">
        <v>179</v>
      </c>
    </row>
    <row r="2889" spans="1:7">
      <c r="A2889">
        <v>2027</v>
      </c>
      <c r="B2889" t="s">
        <v>188</v>
      </c>
      <c r="C2889">
        <v>0</v>
      </c>
      <c r="D2889" t="s">
        <v>184</v>
      </c>
      <c r="E2889" t="s">
        <v>176</v>
      </c>
      <c r="F2889" t="s">
        <v>181</v>
      </c>
      <c r="G2889" t="s">
        <v>179</v>
      </c>
    </row>
    <row r="2890" spans="1:7">
      <c r="A2890">
        <v>2028</v>
      </c>
      <c r="B2890" t="s">
        <v>188</v>
      </c>
      <c r="C2890">
        <v>0</v>
      </c>
      <c r="D2890" t="s">
        <v>184</v>
      </c>
      <c r="E2890" t="s">
        <v>176</v>
      </c>
      <c r="F2890" t="s">
        <v>181</v>
      </c>
      <c r="G2890" t="s">
        <v>179</v>
      </c>
    </row>
    <row r="2891" spans="1:7">
      <c r="A2891">
        <v>2029</v>
      </c>
      <c r="B2891" t="s">
        <v>188</v>
      </c>
      <c r="C2891">
        <v>0</v>
      </c>
      <c r="D2891" t="s">
        <v>184</v>
      </c>
      <c r="E2891" t="s">
        <v>176</v>
      </c>
      <c r="F2891" t="s">
        <v>181</v>
      </c>
      <c r="G2891" t="s">
        <v>179</v>
      </c>
    </row>
    <row r="2892" spans="1:7">
      <c r="A2892">
        <v>2030</v>
      </c>
      <c r="B2892" t="s">
        <v>188</v>
      </c>
      <c r="C2892">
        <v>0</v>
      </c>
      <c r="D2892" t="s">
        <v>184</v>
      </c>
      <c r="E2892" t="s">
        <v>176</v>
      </c>
      <c r="F2892" t="s">
        <v>181</v>
      </c>
      <c r="G2892" t="s">
        <v>179</v>
      </c>
    </row>
    <row r="2893" spans="1:7">
      <c r="A2893">
        <v>2031</v>
      </c>
      <c r="B2893" t="s">
        <v>188</v>
      </c>
      <c r="C2893">
        <v>0</v>
      </c>
      <c r="D2893" t="s">
        <v>184</v>
      </c>
      <c r="E2893" t="s">
        <v>176</v>
      </c>
      <c r="F2893" t="s">
        <v>181</v>
      </c>
      <c r="G2893" t="s">
        <v>179</v>
      </c>
    </row>
    <row r="2894" spans="1:7">
      <c r="A2894">
        <v>2032</v>
      </c>
      <c r="B2894" t="s">
        <v>188</v>
      </c>
      <c r="C2894">
        <v>0</v>
      </c>
      <c r="D2894" t="s">
        <v>184</v>
      </c>
      <c r="E2894" t="s">
        <v>176</v>
      </c>
      <c r="F2894" t="s">
        <v>181</v>
      </c>
      <c r="G2894" t="s">
        <v>179</v>
      </c>
    </row>
    <row r="2895" spans="1:7">
      <c r="A2895">
        <v>2033</v>
      </c>
      <c r="B2895" t="s">
        <v>188</v>
      </c>
      <c r="C2895">
        <v>0</v>
      </c>
      <c r="D2895" t="s">
        <v>184</v>
      </c>
      <c r="E2895" t="s">
        <v>176</v>
      </c>
      <c r="F2895" t="s">
        <v>181</v>
      </c>
      <c r="G2895" t="s">
        <v>179</v>
      </c>
    </row>
    <row r="2896" spans="1:7">
      <c r="A2896">
        <v>2034</v>
      </c>
      <c r="B2896" t="s">
        <v>188</v>
      </c>
      <c r="C2896">
        <v>0</v>
      </c>
      <c r="D2896" t="s">
        <v>184</v>
      </c>
      <c r="E2896" t="s">
        <v>176</v>
      </c>
      <c r="F2896" t="s">
        <v>181</v>
      </c>
      <c r="G2896" t="s">
        <v>179</v>
      </c>
    </row>
    <row r="2897" spans="1:7">
      <c r="A2897">
        <v>2035</v>
      </c>
      <c r="B2897" t="s">
        <v>188</v>
      </c>
      <c r="C2897">
        <v>0</v>
      </c>
      <c r="D2897" t="s">
        <v>184</v>
      </c>
      <c r="E2897" t="s">
        <v>176</v>
      </c>
      <c r="F2897" t="s">
        <v>181</v>
      </c>
      <c r="G2897" t="s">
        <v>179</v>
      </c>
    </row>
    <row r="2898" spans="1:7">
      <c r="A2898">
        <v>2020</v>
      </c>
      <c r="B2898" t="s">
        <v>189</v>
      </c>
      <c r="C2898">
        <v>0</v>
      </c>
      <c r="D2898" t="s">
        <v>184</v>
      </c>
      <c r="E2898" t="s">
        <v>176</v>
      </c>
      <c r="F2898" t="s">
        <v>181</v>
      </c>
      <c r="G2898" t="s">
        <v>179</v>
      </c>
    </row>
    <row r="2899" spans="1:7">
      <c r="A2899">
        <v>2021</v>
      </c>
      <c r="B2899" t="s">
        <v>189</v>
      </c>
      <c r="C2899">
        <v>0</v>
      </c>
      <c r="D2899" t="s">
        <v>184</v>
      </c>
      <c r="E2899" t="s">
        <v>176</v>
      </c>
      <c r="F2899" t="s">
        <v>181</v>
      </c>
      <c r="G2899" t="s">
        <v>179</v>
      </c>
    </row>
    <row r="2900" spans="1:7">
      <c r="A2900">
        <v>2022</v>
      </c>
      <c r="B2900" t="s">
        <v>189</v>
      </c>
      <c r="C2900">
        <v>0</v>
      </c>
      <c r="D2900" t="s">
        <v>184</v>
      </c>
      <c r="E2900" t="s">
        <v>176</v>
      </c>
      <c r="F2900" t="s">
        <v>181</v>
      </c>
      <c r="G2900" t="s">
        <v>179</v>
      </c>
    </row>
    <row r="2901" spans="1:7">
      <c r="A2901">
        <v>2023</v>
      </c>
      <c r="B2901" t="s">
        <v>189</v>
      </c>
      <c r="C2901">
        <v>0</v>
      </c>
      <c r="D2901" t="s">
        <v>184</v>
      </c>
      <c r="E2901" t="s">
        <v>176</v>
      </c>
      <c r="F2901" t="s">
        <v>181</v>
      </c>
      <c r="G2901" t="s">
        <v>179</v>
      </c>
    </row>
    <row r="2902" spans="1:7">
      <c r="A2902">
        <v>2024</v>
      </c>
      <c r="B2902" t="s">
        <v>189</v>
      </c>
      <c r="C2902">
        <v>0</v>
      </c>
      <c r="D2902" t="s">
        <v>184</v>
      </c>
      <c r="E2902" t="s">
        <v>176</v>
      </c>
      <c r="F2902" t="s">
        <v>181</v>
      </c>
      <c r="G2902" t="s">
        <v>179</v>
      </c>
    </row>
    <row r="2903" spans="1:7">
      <c r="A2903">
        <v>2025</v>
      </c>
      <c r="B2903" t="s">
        <v>189</v>
      </c>
      <c r="C2903">
        <v>0</v>
      </c>
      <c r="D2903" t="s">
        <v>184</v>
      </c>
      <c r="E2903" t="s">
        <v>176</v>
      </c>
      <c r="F2903" t="s">
        <v>181</v>
      </c>
      <c r="G2903" t="s">
        <v>179</v>
      </c>
    </row>
    <row r="2904" spans="1:7">
      <c r="A2904">
        <v>2026</v>
      </c>
      <c r="B2904" t="s">
        <v>189</v>
      </c>
      <c r="C2904">
        <v>0</v>
      </c>
      <c r="D2904" t="s">
        <v>184</v>
      </c>
      <c r="E2904" t="s">
        <v>176</v>
      </c>
      <c r="F2904" t="s">
        <v>181</v>
      </c>
      <c r="G2904" t="s">
        <v>179</v>
      </c>
    </row>
    <row r="2905" spans="1:7">
      <c r="A2905">
        <v>2027</v>
      </c>
      <c r="B2905" t="s">
        <v>189</v>
      </c>
      <c r="C2905">
        <v>0</v>
      </c>
      <c r="D2905" t="s">
        <v>184</v>
      </c>
      <c r="E2905" t="s">
        <v>176</v>
      </c>
      <c r="F2905" t="s">
        <v>181</v>
      </c>
      <c r="G2905" t="s">
        <v>179</v>
      </c>
    </row>
    <row r="2906" spans="1:7">
      <c r="A2906">
        <v>2028</v>
      </c>
      <c r="B2906" t="s">
        <v>189</v>
      </c>
      <c r="C2906">
        <v>0</v>
      </c>
      <c r="D2906" t="s">
        <v>184</v>
      </c>
      <c r="E2906" t="s">
        <v>176</v>
      </c>
      <c r="F2906" t="s">
        <v>181</v>
      </c>
      <c r="G2906" t="s">
        <v>179</v>
      </c>
    </row>
    <row r="2907" spans="1:7">
      <c r="A2907">
        <v>2029</v>
      </c>
      <c r="B2907" t="s">
        <v>189</v>
      </c>
      <c r="C2907">
        <v>0</v>
      </c>
      <c r="D2907" t="s">
        <v>184</v>
      </c>
      <c r="E2907" t="s">
        <v>176</v>
      </c>
      <c r="F2907" t="s">
        <v>181</v>
      </c>
      <c r="G2907" t="s">
        <v>179</v>
      </c>
    </row>
    <row r="2908" spans="1:7">
      <c r="A2908">
        <v>2030</v>
      </c>
      <c r="B2908" t="s">
        <v>189</v>
      </c>
      <c r="C2908">
        <v>0</v>
      </c>
      <c r="D2908" t="s">
        <v>184</v>
      </c>
      <c r="E2908" t="s">
        <v>176</v>
      </c>
      <c r="F2908" t="s">
        <v>181</v>
      </c>
      <c r="G2908" t="s">
        <v>179</v>
      </c>
    </row>
    <row r="2909" spans="1:7">
      <c r="A2909">
        <v>2031</v>
      </c>
      <c r="B2909" t="s">
        <v>189</v>
      </c>
      <c r="C2909">
        <v>0</v>
      </c>
      <c r="D2909" t="s">
        <v>184</v>
      </c>
      <c r="E2909" t="s">
        <v>176</v>
      </c>
      <c r="F2909" t="s">
        <v>181</v>
      </c>
      <c r="G2909" t="s">
        <v>179</v>
      </c>
    </row>
    <row r="2910" spans="1:7">
      <c r="A2910">
        <v>2032</v>
      </c>
      <c r="B2910" t="s">
        <v>189</v>
      </c>
      <c r="C2910">
        <v>0</v>
      </c>
      <c r="D2910" t="s">
        <v>184</v>
      </c>
      <c r="E2910" t="s">
        <v>176</v>
      </c>
      <c r="F2910" t="s">
        <v>181</v>
      </c>
      <c r="G2910" t="s">
        <v>179</v>
      </c>
    </row>
    <row r="2911" spans="1:7">
      <c r="A2911">
        <v>2033</v>
      </c>
      <c r="B2911" t="s">
        <v>189</v>
      </c>
      <c r="C2911">
        <v>0</v>
      </c>
      <c r="D2911" t="s">
        <v>184</v>
      </c>
      <c r="E2911" t="s">
        <v>176</v>
      </c>
      <c r="F2911" t="s">
        <v>181</v>
      </c>
      <c r="G2911" t="s">
        <v>179</v>
      </c>
    </row>
    <row r="2912" spans="1:7">
      <c r="A2912">
        <v>2034</v>
      </c>
      <c r="B2912" t="s">
        <v>189</v>
      </c>
      <c r="C2912">
        <v>0</v>
      </c>
      <c r="D2912" t="s">
        <v>184</v>
      </c>
      <c r="E2912" t="s">
        <v>176</v>
      </c>
      <c r="F2912" t="s">
        <v>181</v>
      </c>
      <c r="G2912" t="s">
        <v>179</v>
      </c>
    </row>
    <row r="2913" spans="1:7">
      <c r="A2913">
        <v>2035</v>
      </c>
      <c r="B2913" t="s">
        <v>189</v>
      </c>
      <c r="C2913">
        <v>0</v>
      </c>
      <c r="D2913" t="s">
        <v>184</v>
      </c>
      <c r="E2913" t="s">
        <v>176</v>
      </c>
      <c r="F2913" t="s">
        <v>181</v>
      </c>
      <c r="G2913" t="s">
        <v>179</v>
      </c>
    </row>
    <row r="2914" spans="1:7">
      <c r="A2914">
        <v>2020</v>
      </c>
      <c r="B2914" t="s">
        <v>190</v>
      </c>
      <c r="C2914">
        <v>15599.93</v>
      </c>
      <c r="D2914" t="s">
        <v>184</v>
      </c>
      <c r="E2914" t="s">
        <v>176</v>
      </c>
      <c r="F2914" t="s">
        <v>181</v>
      </c>
      <c r="G2914" t="s">
        <v>179</v>
      </c>
    </row>
    <row r="2915" spans="1:7">
      <c r="A2915">
        <v>2021</v>
      </c>
      <c r="B2915" t="s">
        <v>190</v>
      </c>
      <c r="C2915">
        <v>19940.7</v>
      </c>
      <c r="D2915" t="s">
        <v>184</v>
      </c>
      <c r="E2915" t="s">
        <v>176</v>
      </c>
      <c r="F2915" t="s">
        <v>181</v>
      </c>
      <c r="G2915" t="s">
        <v>179</v>
      </c>
    </row>
    <row r="2916" spans="1:7">
      <c r="A2916">
        <v>2022</v>
      </c>
      <c r="B2916" t="s">
        <v>190</v>
      </c>
      <c r="C2916">
        <v>19940.7</v>
      </c>
      <c r="D2916" t="s">
        <v>184</v>
      </c>
      <c r="E2916" t="s">
        <v>176</v>
      </c>
      <c r="F2916" t="s">
        <v>181</v>
      </c>
      <c r="G2916" t="s">
        <v>179</v>
      </c>
    </row>
    <row r="2917" spans="1:7">
      <c r="A2917">
        <v>2023</v>
      </c>
      <c r="B2917" t="s">
        <v>190</v>
      </c>
      <c r="C2917">
        <v>6235.96</v>
      </c>
      <c r="D2917" t="s">
        <v>184</v>
      </c>
      <c r="E2917" t="s">
        <v>176</v>
      </c>
      <c r="F2917" t="s">
        <v>181</v>
      </c>
      <c r="G2917" t="s">
        <v>179</v>
      </c>
    </row>
    <row r="2918" spans="1:7">
      <c r="A2918">
        <v>2024</v>
      </c>
      <c r="B2918" t="s">
        <v>190</v>
      </c>
      <c r="C2918">
        <v>6235.96</v>
      </c>
      <c r="D2918" t="s">
        <v>184</v>
      </c>
      <c r="E2918" t="s">
        <v>176</v>
      </c>
      <c r="F2918" t="s">
        <v>181</v>
      </c>
      <c r="G2918" t="s">
        <v>179</v>
      </c>
    </row>
    <row r="2919" spans="1:7">
      <c r="A2919">
        <v>2025</v>
      </c>
      <c r="B2919" t="s">
        <v>190</v>
      </c>
      <c r="C2919">
        <v>9261.0499999999993</v>
      </c>
      <c r="D2919" t="s">
        <v>184</v>
      </c>
      <c r="E2919" t="s">
        <v>176</v>
      </c>
      <c r="F2919" t="s">
        <v>181</v>
      </c>
      <c r="G2919" t="s">
        <v>179</v>
      </c>
    </row>
    <row r="2920" spans="1:7">
      <c r="A2920">
        <v>2026</v>
      </c>
      <c r="B2920" t="s">
        <v>190</v>
      </c>
      <c r="C2920">
        <v>9261.0499999999993</v>
      </c>
      <c r="D2920" t="s">
        <v>184</v>
      </c>
      <c r="E2920" t="s">
        <v>176</v>
      </c>
      <c r="F2920" t="s">
        <v>181</v>
      </c>
      <c r="G2920" t="s">
        <v>179</v>
      </c>
    </row>
    <row r="2921" spans="1:7">
      <c r="A2921">
        <v>2027</v>
      </c>
      <c r="B2921" t="s">
        <v>190</v>
      </c>
      <c r="C2921">
        <v>5804.57</v>
      </c>
      <c r="D2921" t="s">
        <v>184</v>
      </c>
      <c r="E2921" t="s">
        <v>176</v>
      </c>
      <c r="F2921" t="s">
        <v>181</v>
      </c>
      <c r="G2921" t="s">
        <v>179</v>
      </c>
    </row>
    <row r="2922" spans="1:7">
      <c r="A2922">
        <v>2028</v>
      </c>
      <c r="B2922" t="s">
        <v>190</v>
      </c>
      <c r="C2922">
        <v>5804.57</v>
      </c>
      <c r="D2922" t="s">
        <v>184</v>
      </c>
      <c r="E2922" t="s">
        <v>176</v>
      </c>
      <c r="F2922" t="s">
        <v>181</v>
      </c>
      <c r="G2922" t="s">
        <v>179</v>
      </c>
    </row>
    <row r="2923" spans="1:7">
      <c r="A2923">
        <v>2029</v>
      </c>
      <c r="B2923" t="s">
        <v>190</v>
      </c>
      <c r="C2923">
        <v>4514.2700000000004</v>
      </c>
      <c r="D2923" t="s">
        <v>184</v>
      </c>
      <c r="E2923" t="s">
        <v>176</v>
      </c>
      <c r="F2923" t="s">
        <v>181</v>
      </c>
      <c r="G2923" t="s">
        <v>179</v>
      </c>
    </row>
    <row r="2924" spans="1:7">
      <c r="A2924">
        <v>2030</v>
      </c>
      <c r="B2924" t="s">
        <v>190</v>
      </c>
      <c r="C2924">
        <v>4514.2700000000004</v>
      </c>
      <c r="D2924" t="s">
        <v>184</v>
      </c>
      <c r="E2924" t="s">
        <v>176</v>
      </c>
      <c r="F2924" t="s">
        <v>181</v>
      </c>
      <c r="G2924" t="s">
        <v>179</v>
      </c>
    </row>
    <row r="2925" spans="1:7">
      <c r="A2925">
        <v>2031</v>
      </c>
      <c r="B2925" t="s">
        <v>190</v>
      </c>
      <c r="C2925">
        <v>9220.8799999999992</v>
      </c>
      <c r="D2925" t="s">
        <v>184</v>
      </c>
      <c r="E2925" t="s">
        <v>176</v>
      </c>
      <c r="F2925" t="s">
        <v>181</v>
      </c>
      <c r="G2925" t="s">
        <v>179</v>
      </c>
    </row>
    <row r="2926" spans="1:7">
      <c r="A2926">
        <v>2032</v>
      </c>
      <c r="B2926" t="s">
        <v>190</v>
      </c>
      <c r="C2926">
        <v>9220.8799999999992</v>
      </c>
      <c r="D2926" t="s">
        <v>184</v>
      </c>
      <c r="E2926" t="s">
        <v>176</v>
      </c>
      <c r="F2926" t="s">
        <v>181</v>
      </c>
      <c r="G2926" t="s">
        <v>179</v>
      </c>
    </row>
    <row r="2927" spans="1:7">
      <c r="A2927">
        <v>2033</v>
      </c>
      <c r="B2927" t="s">
        <v>190</v>
      </c>
      <c r="C2927">
        <v>8492.77</v>
      </c>
      <c r="D2927" t="s">
        <v>184</v>
      </c>
      <c r="E2927" t="s">
        <v>176</v>
      </c>
      <c r="F2927" t="s">
        <v>181</v>
      </c>
      <c r="G2927" t="s">
        <v>179</v>
      </c>
    </row>
    <row r="2928" spans="1:7">
      <c r="A2928">
        <v>2034</v>
      </c>
      <c r="B2928" t="s">
        <v>190</v>
      </c>
      <c r="C2928">
        <v>8492.77</v>
      </c>
      <c r="D2928" t="s">
        <v>184</v>
      </c>
      <c r="E2928" t="s">
        <v>176</v>
      </c>
      <c r="F2928" t="s">
        <v>181</v>
      </c>
      <c r="G2928" t="s">
        <v>179</v>
      </c>
    </row>
    <row r="2929" spans="1:7">
      <c r="A2929">
        <v>2035</v>
      </c>
      <c r="B2929" t="s">
        <v>190</v>
      </c>
      <c r="C2929">
        <v>8492.77</v>
      </c>
      <c r="D2929" t="s">
        <v>184</v>
      </c>
      <c r="E2929" t="s">
        <v>176</v>
      </c>
      <c r="F2929" t="s">
        <v>181</v>
      </c>
      <c r="G2929" t="s">
        <v>179</v>
      </c>
    </row>
    <row r="2930" spans="1:7">
      <c r="A2930">
        <v>2020</v>
      </c>
      <c r="B2930" t="s">
        <v>191</v>
      </c>
      <c r="C2930">
        <v>0</v>
      </c>
      <c r="D2930" t="s">
        <v>184</v>
      </c>
      <c r="E2930" t="s">
        <v>176</v>
      </c>
      <c r="F2930" t="s">
        <v>181</v>
      </c>
      <c r="G2930" t="s">
        <v>179</v>
      </c>
    </row>
    <row r="2931" spans="1:7">
      <c r="A2931">
        <v>2021</v>
      </c>
      <c r="B2931" t="s">
        <v>191</v>
      </c>
      <c r="C2931">
        <v>0</v>
      </c>
      <c r="D2931" t="s">
        <v>184</v>
      </c>
      <c r="E2931" t="s">
        <v>176</v>
      </c>
      <c r="F2931" t="s">
        <v>181</v>
      </c>
      <c r="G2931" t="s">
        <v>179</v>
      </c>
    </row>
    <row r="2932" spans="1:7">
      <c r="A2932">
        <v>2022</v>
      </c>
      <c r="B2932" t="s">
        <v>191</v>
      </c>
      <c r="C2932">
        <v>0</v>
      </c>
      <c r="D2932" t="s">
        <v>184</v>
      </c>
      <c r="E2932" t="s">
        <v>176</v>
      </c>
      <c r="F2932" t="s">
        <v>181</v>
      </c>
      <c r="G2932" t="s">
        <v>179</v>
      </c>
    </row>
    <row r="2933" spans="1:7">
      <c r="A2933">
        <v>2023</v>
      </c>
      <c r="B2933" t="s">
        <v>191</v>
      </c>
      <c r="C2933">
        <v>0</v>
      </c>
      <c r="D2933" t="s">
        <v>184</v>
      </c>
      <c r="E2933" t="s">
        <v>176</v>
      </c>
      <c r="F2933" t="s">
        <v>181</v>
      </c>
      <c r="G2933" t="s">
        <v>179</v>
      </c>
    </row>
    <row r="2934" spans="1:7">
      <c r="A2934">
        <v>2024</v>
      </c>
      <c r="B2934" t="s">
        <v>191</v>
      </c>
      <c r="C2934">
        <v>0</v>
      </c>
      <c r="D2934" t="s">
        <v>184</v>
      </c>
      <c r="E2934" t="s">
        <v>176</v>
      </c>
      <c r="F2934" t="s">
        <v>181</v>
      </c>
      <c r="G2934" t="s">
        <v>179</v>
      </c>
    </row>
    <row r="2935" spans="1:7">
      <c r="A2935">
        <v>2025</v>
      </c>
      <c r="B2935" t="s">
        <v>191</v>
      </c>
      <c r="C2935">
        <v>0</v>
      </c>
      <c r="D2935" t="s">
        <v>184</v>
      </c>
      <c r="E2935" t="s">
        <v>176</v>
      </c>
      <c r="F2935" t="s">
        <v>181</v>
      </c>
      <c r="G2935" t="s">
        <v>179</v>
      </c>
    </row>
    <row r="2936" spans="1:7">
      <c r="A2936">
        <v>2026</v>
      </c>
      <c r="B2936" t="s">
        <v>191</v>
      </c>
      <c r="C2936">
        <v>0</v>
      </c>
      <c r="D2936" t="s">
        <v>184</v>
      </c>
      <c r="E2936" t="s">
        <v>176</v>
      </c>
      <c r="F2936" t="s">
        <v>181</v>
      </c>
      <c r="G2936" t="s">
        <v>179</v>
      </c>
    </row>
    <row r="2937" spans="1:7">
      <c r="A2937">
        <v>2027</v>
      </c>
      <c r="B2937" t="s">
        <v>191</v>
      </c>
      <c r="C2937">
        <v>0</v>
      </c>
      <c r="D2937" t="s">
        <v>184</v>
      </c>
      <c r="E2937" t="s">
        <v>176</v>
      </c>
      <c r="F2937" t="s">
        <v>181</v>
      </c>
      <c r="G2937" t="s">
        <v>179</v>
      </c>
    </row>
    <row r="2938" spans="1:7">
      <c r="A2938">
        <v>2028</v>
      </c>
      <c r="B2938" t="s">
        <v>191</v>
      </c>
      <c r="C2938">
        <v>0</v>
      </c>
      <c r="D2938" t="s">
        <v>184</v>
      </c>
      <c r="E2938" t="s">
        <v>176</v>
      </c>
      <c r="F2938" t="s">
        <v>181</v>
      </c>
      <c r="G2938" t="s">
        <v>179</v>
      </c>
    </row>
    <row r="2939" spans="1:7">
      <c r="A2939">
        <v>2029</v>
      </c>
      <c r="B2939" t="s">
        <v>191</v>
      </c>
      <c r="C2939">
        <v>0</v>
      </c>
      <c r="D2939" t="s">
        <v>184</v>
      </c>
      <c r="E2939" t="s">
        <v>176</v>
      </c>
      <c r="F2939" t="s">
        <v>181</v>
      </c>
      <c r="G2939" t="s">
        <v>179</v>
      </c>
    </row>
    <row r="2940" spans="1:7">
      <c r="A2940">
        <v>2030</v>
      </c>
      <c r="B2940" t="s">
        <v>191</v>
      </c>
      <c r="C2940">
        <v>0</v>
      </c>
      <c r="D2940" t="s">
        <v>184</v>
      </c>
      <c r="E2940" t="s">
        <v>176</v>
      </c>
      <c r="F2940" t="s">
        <v>181</v>
      </c>
      <c r="G2940" t="s">
        <v>179</v>
      </c>
    </row>
    <row r="2941" spans="1:7">
      <c r="A2941">
        <v>2031</v>
      </c>
      <c r="B2941" t="s">
        <v>191</v>
      </c>
      <c r="C2941">
        <v>0</v>
      </c>
      <c r="D2941" t="s">
        <v>184</v>
      </c>
      <c r="E2941" t="s">
        <v>176</v>
      </c>
      <c r="F2941" t="s">
        <v>181</v>
      </c>
      <c r="G2941" t="s">
        <v>179</v>
      </c>
    </row>
    <row r="2942" spans="1:7">
      <c r="A2942">
        <v>2032</v>
      </c>
      <c r="B2942" t="s">
        <v>191</v>
      </c>
      <c r="C2942">
        <v>0</v>
      </c>
      <c r="D2942" t="s">
        <v>184</v>
      </c>
      <c r="E2942" t="s">
        <v>176</v>
      </c>
      <c r="F2942" t="s">
        <v>181</v>
      </c>
      <c r="G2942" t="s">
        <v>179</v>
      </c>
    </row>
    <row r="2943" spans="1:7">
      <c r="A2943">
        <v>2033</v>
      </c>
      <c r="B2943" t="s">
        <v>191</v>
      </c>
      <c r="C2943">
        <v>0</v>
      </c>
      <c r="D2943" t="s">
        <v>184</v>
      </c>
      <c r="E2943" t="s">
        <v>176</v>
      </c>
      <c r="F2943" t="s">
        <v>181</v>
      </c>
      <c r="G2943" t="s">
        <v>179</v>
      </c>
    </row>
    <row r="2944" spans="1:7">
      <c r="A2944">
        <v>2034</v>
      </c>
      <c r="B2944" t="s">
        <v>191</v>
      </c>
      <c r="C2944">
        <v>0</v>
      </c>
      <c r="D2944" t="s">
        <v>184</v>
      </c>
      <c r="E2944" t="s">
        <v>176</v>
      </c>
      <c r="F2944" t="s">
        <v>181</v>
      </c>
      <c r="G2944" t="s">
        <v>179</v>
      </c>
    </row>
    <row r="2945" spans="1:7">
      <c r="A2945">
        <v>2035</v>
      </c>
      <c r="B2945" t="s">
        <v>191</v>
      </c>
      <c r="C2945">
        <v>0</v>
      </c>
      <c r="D2945" t="s">
        <v>184</v>
      </c>
      <c r="E2945" t="s">
        <v>176</v>
      </c>
      <c r="F2945" t="s">
        <v>181</v>
      </c>
      <c r="G2945" t="s">
        <v>179</v>
      </c>
    </row>
    <row r="2946" spans="1:7">
      <c r="A2946">
        <v>2020</v>
      </c>
      <c r="B2946" t="s">
        <v>192</v>
      </c>
      <c r="C2946">
        <v>1789.36</v>
      </c>
      <c r="D2946" t="s">
        <v>184</v>
      </c>
      <c r="E2946" t="s">
        <v>176</v>
      </c>
      <c r="F2946" t="s">
        <v>181</v>
      </c>
      <c r="G2946" t="s">
        <v>179</v>
      </c>
    </row>
    <row r="2947" spans="1:7">
      <c r="A2947">
        <v>2021</v>
      </c>
      <c r="B2947" t="s">
        <v>192</v>
      </c>
      <c r="C2947">
        <v>53.5</v>
      </c>
      <c r="D2947" t="s">
        <v>184</v>
      </c>
      <c r="E2947" t="s">
        <v>176</v>
      </c>
      <c r="F2947" t="s">
        <v>181</v>
      </c>
      <c r="G2947" t="s">
        <v>179</v>
      </c>
    </row>
    <row r="2948" spans="1:7">
      <c r="A2948">
        <v>2022</v>
      </c>
      <c r="B2948" t="s">
        <v>192</v>
      </c>
      <c r="C2948">
        <v>53.5</v>
      </c>
      <c r="D2948" t="s">
        <v>184</v>
      </c>
      <c r="E2948" t="s">
        <v>176</v>
      </c>
      <c r="F2948" t="s">
        <v>181</v>
      </c>
      <c r="G2948" t="s">
        <v>179</v>
      </c>
    </row>
    <row r="2949" spans="1:7">
      <c r="A2949">
        <v>2023</v>
      </c>
      <c r="B2949" t="s">
        <v>192</v>
      </c>
      <c r="C2949">
        <v>53.5</v>
      </c>
      <c r="D2949" t="s">
        <v>184</v>
      </c>
      <c r="E2949" t="s">
        <v>176</v>
      </c>
      <c r="F2949" t="s">
        <v>181</v>
      </c>
      <c r="G2949" t="s">
        <v>179</v>
      </c>
    </row>
    <row r="2950" spans="1:7">
      <c r="A2950">
        <v>2024</v>
      </c>
      <c r="B2950" t="s">
        <v>192</v>
      </c>
      <c r="C2950">
        <v>53.5</v>
      </c>
      <c r="D2950" t="s">
        <v>184</v>
      </c>
      <c r="E2950" t="s">
        <v>176</v>
      </c>
      <c r="F2950" t="s">
        <v>181</v>
      </c>
      <c r="G2950" t="s">
        <v>179</v>
      </c>
    </row>
    <row r="2951" spans="1:7">
      <c r="A2951">
        <v>2025</v>
      </c>
      <c r="B2951" t="s">
        <v>192</v>
      </c>
      <c r="C2951">
        <v>0</v>
      </c>
      <c r="D2951" t="s">
        <v>184</v>
      </c>
      <c r="E2951" t="s">
        <v>176</v>
      </c>
      <c r="F2951" t="s">
        <v>181</v>
      </c>
      <c r="G2951" t="s">
        <v>179</v>
      </c>
    </row>
    <row r="2952" spans="1:7">
      <c r="A2952">
        <v>2026</v>
      </c>
      <c r="B2952" t="s">
        <v>192</v>
      </c>
      <c r="C2952">
        <v>0</v>
      </c>
      <c r="D2952" t="s">
        <v>184</v>
      </c>
      <c r="E2952" t="s">
        <v>176</v>
      </c>
      <c r="F2952" t="s">
        <v>181</v>
      </c>
      <c r="G2952" t="s">
        <v>179</v>
      </c>
    </row>
    <row r="2953" spans="1:7">
      <c r="A2953">
        <v>2027</v>
      </c>
      <c r="B2953" t="s">
        <v>192</v>
      </c>
      <c r="C2953">
        <v>0</v>
      </c>
      <c r="D2953" t="s">
        <v>184</v>
      </c>
      <c r="E2953" t="s">
        <v>176</v>
      </c>
      <c r="F2953" t="s">
        <v>181</v>
      </c>
      <c r="G2953" t="s">
        <v>179</v>
      </c>
    </row>
    <row r="2954" spans="1:7">
      <c r="A2954">
        <v>2028</v>
      </c>
      <c r="B2954" t="s">
        <v>192</v>
      </c>
      <c r="C2954">
        <v>0</v>
      </c>
      <c r="D2954" t="s">
        <v>184</v>
      </c>
      <c r="E2954" t="s">
        <v>176</v>
      </c>
      <c r="F2954" t="s">
        <v>181</v>
      </c>
      <c r="G2954" t="s">
        <v>179</v>
      </c>
    </row>
    <row r="2955" spans="1:7">
      <c r="A2955">
        <v>2029</v>
      </c>
      <c r="B2955" t="s">
        <v>192</v>
      </c>
      <c r="C2955">
        <v>0</v>
      </c>
      <c r="D2955" t="s">
        <v>184</v>
      </c>
      <c r="E2955" t="s">
        <v>176</v>
      </c>
      <c r="F2955" t="s">
        <v>181</v>
      </c>
      <c r="G2955" t="s">
        <v>179</v>
      </c>
    </row>
    <row r="2956" spans="1:7">
      <c r="A2956">
        <v>2030</v>
      </c>
      <c r="B2956" t="s">
        <v>192</v>
      </c>
      <c r="C2956">
        <v>0</v>
      </c>
      <c r="D2956" t="s">
        <v>184</v>
      </c>
      <c r="E2956" t="s">
        <v>176</v>
      </c>
      <c r="F2956" t="s">
        <v>181</v>
      </c>
      <c r="G2956" t="s">
        <v>179</v>
      </c>
    </row>
    <row r="2957" spans="1:7">
      <c r="A2957">
        <v>2031</v>
      </c>
      <c r="B2957" t="s">
        <v>192</v>
      </c>
      <c r="C2957">
        <v>0</v>
      </c>
      <c r="D2957" t="s">
        <v>184</v>
      </c>
      <c r="E2957" t="s">
        <v>176</v>
      </c>
      <c r="F2957" t="s">
        <v>181</v>
      </c>
      <c r="G2957" t="s">
        <v>179</v>
      </c>
    </row>
    <row r="2958" spans="1:7">
      <c r="A2958">
        <v>2032</v>
      </c>
      <c r="B2958" t="s">
        <v>192</v>
      </c>
      <c r="C2958">
        <v>0</v>
      </c>
      <c r="D2958" t="s">
        <v>184</v>
      </c>
      <c r="E2958" t="s">
        <v>176</v>
      </c>
      <c r="F2958" t="s">
        <v>181</v>
      </c>
      <c r="G2958" t="s">
        <v>179</v>
      </c>
    </row>
    <row r="2959" spans="1:7">
      <c r="A2959">
        <v>2033</v>
      </c>
      <c r="B2959" t="s">
        <v>192</v>
      </c>
      <c r="C2959">
        <v>0</v>
      </c>
      <c r="D2959" t="s">
        <v>184</v>
      </c>
      <c r="E2959" t="s">
        <v>176</v>
      </c>
      <c r="F2959" t="s">
        <v>181</v>
      </c>
      <c r="G2959" t="s">
        <v>179</v>
      </c>
    </row>
    <row r="2960" spans="1:7">
      <c r="A2960">
        <v>2034</v>
      </c>
      <c r="B2960" t="s">
        <v>192</v>
      </c>
      <c r="C2960">
        <v>0</v>
      </c>
      <c r="D2960" t="s">
        <v>184</v>
      </c>
      <c r="E2960" t="s">
        <v>176</v>
      </c>
      <c r="F2960" t="s">
        <v>181</v>
      </c>
      <c r="G2960" t="s">
        <v>179</v>
      </c>
    </row>
    <row r="2961" spans="1:7">
      <c r="A2961">
        <v>2035</v>
      </c>
      <c r="B2961" t="s">
        <v>192</v>
      </c>
      <c r="C2961">
        <v>0</v>
      </c>
      <c r="D2961" t="s">
        <v>184</v>
      </c>
      <c r="E2961" t="s">
        <v>176</v>
      </c>
      <c r="F2961" t="s">
        <v>181</v>
      </c>
      <c r="G2961" t="s">
        <v>179</v>
      </c>
    </row>
    <row r="2962" spans="1:7">
      <c r="A2962">
        <v>2020</v>
      </c>
      <c r="B2962" t="s">
        <v>193</v>
      </c>
      <c r="C2962">
        <v>232.5</v>
      </c>
      <c r="D2962" t="s">
        <v>184</v>
      </c>
      <c r="E2962" t="s">
        <v>176</v>
      </c>
      <c r="F2962" t="s">
        <v>181</v>
      </c>
      <c r="G2962" t="s">
        <v>179</v>
      </c>
    </row>
    <row r="2963" spans="1:7">
      <c r="A2963">
        <v>2021</v>
      </c>
      <c r="B2963" t="s">
        <v>193</v>
      </c>
      <c r="C2963">
        <v>1100</v>
      </c>
      <c r="D2963" t="s">
        <v>184</v>
      </c>
      <c r="E2963" t="s">
        <v>176</v>
      </c>
      <c r="F2963" t="s">
        <v>181</v>
      </c>
      <c r="G2963" t="s">
        <v>179</v>
      </c>
    </row>
    <row r="2964" spans="1:7">
      <c r="A2964">
        <v>2022</v>
      </c>
      <c r="B2964" t="s">
        <v>193</v>
      </c>
      <c r="C2964">
        <v>1100</v>
      </c>
      <c r="D2964" t="s">
        <v>184</v>
      </c>
      <c r="E2964" t="s">
        <v>176</v>
      </c>
      <c r="F2964" t="s">
        <v>181</v>
      </c>
      <c r="G2964" t="s">
        <v>179</v>
      </c>
    </row>
    <row r="2965" spans="1:7">
      <c r="A2965">
        <v>2023</v>
      </c>
      <c r="B2965" t="s">
        <v>193</v>
      </c>
      <c r="C2965">
        <v>0</v>
      </c>
      <c r="D2965" t="s">
        <v>184</v>
      </c>
      <c r="E2965" t="s">
        <v>176</v>
      </c>
      <c r="F2965" t="s">
        <v>181</v>
      </c>
      <c r="G2965" t="s">
        <v>179</v>
      </c>
    </row>
    <row r="2966" spans="1:7">
      <c r="A2966">
        <v>2024</v>
      </c>
      <c r="B2966" t="s">
        <v>193</v>
      </c>
      <c r="C2966">
        <v>0</v>
      </c>
      <c r="D2966" t="s">
        <v>184</v>
      </c>
      <c r="E2966" t="s">
        <v>176</v>
      </c>
      <c r="F2966" t="s">
        <v>181</v>
      </c>
      <c r="G2966" t="s">
        <v>179</v>
      </c>
    </row>
    <row r="2967" spans="1:7">
      <c r="A2967">
        <v>2025</v>
      </c>
      <c r="B2967" t="s">
        <v>193</v>
      </c>
      <c r="C2967">
        <v>0</v>
      </c>
      <c r="D2967" t="s">
        <v>184</v>
      </c>
      <c r="E2967" t="s">
        <v>176</v>
      </c>
      <c r="F2967" t="s">
        <v>181</v>
      </c>
      <c r="G2967" t="s">
        <v>179</v>
      </c>
    </row>
    <row r="2968" spans="1:7">
      <c r="A2968">
        <v>2026</v>
      </c>
      <c r="B2968" t="s">
        <v>193</v>
      </c>
      <c r="C2968">
        <v>0</v>
      </c>
      <c r="D2968" t="s">
        <v>184</v>
      </c>
      <c r="E2968" t="s">
        <v>176</v>
      </c>
      <c r="F2968" t="s">
        <v>181</v>
      </c>
      <c r="G2968" t="s">
        <v>179</v>
      </c>
    </row>
    <row r="2969" spans="1:7">
      <c r="A2969">
        <v>2027</v>
      </c>
      <c r="B2969" t="s">
        <v>193</v>
      </c>
      <c r="C2969">
        <v>0</v>
      </c>
      <c r="D2969" t="s">
        <v>184</v>
      </c>
      <c r="E2969" t="s">
        <v>176</v>
      </c>
      <c r="F2969" t="s">
        <v>181</v>
      </c>
      <c r="G2969" t="s">
        <v>179</v>
      </c>
    </row>
    <row r="2970" spans="1:7">
      <c r="A2970">
        <v>2028</v>
      </c>
      <c r="B2970" t="s">
        <v>193</v>
      </c>
      <c r="C2970">
        <v>0</v>
      </c>
      <c r="D2970" t="s">
        <v>184</v>
      </c>
      <c r="E2970" t="s">
        <v>176</v>
      </c>
      <c r="F2970" t="s">
        <v>181</v>
      </c>
      <c r="G2970" t="s">
        <v>179</v>
      </c>
    </row>
    <row r="2971" spans="1:7">
      <c r="A2971">
        <v>2029</v>
      </c>
      <c r="B2971" t="s">
        <v>193</v>
      </c>
      <c r="C2971">
        <v>0</v>
      </c>
      <c r="D2971" t="s">
        <v>184</v>
      </c>
      <c r="E2971" t="s">
        <v>176</v>
      </c>
      <c r="F2971" t="s">
        <v>181</v>
      </c>
      <c r="G2971" t="s">
        <v>179</v>
      </c>
    </row>
    <row r="2972" spans="1:7">
      <c r="A2972">
        <v>2030</v>
      </c>
      <c r="B2972" t="s">
        <v>193</v>
      </c>
      <c r="C2972">
        <v>0</v>
      </c>
      <c r="D2972" t="s">
        <v>184</v>
      </c>
      <c r="E2972" t="s">
        <v>176</v>
      </c>
      <c r="F2972" t="s">
        <v>181</v>
      </c>
      <c r="G2972" t="s">
        <v>179</v>
      </c>
    </row>
    <row r="2973" spans="1:7">
      <c r="A2973">
        <v>2031</v>
      </c>
      <c r="B2973" t="s">
        <v>193</v>
      </c>
      <c r="C2973">
        <v>0</v>
      </c>
      <c r="D2973" t="s">
        <v>184</v>
      </c>
      <c r="E2973" t="s">
        <v>176</v>
      </c>
      <c r="F2973" t="s">
        <v>181</v>
      </c>
      <c r="G2973" t="s">
        <v>179</v>
      </c>
    </row>
    <row r="2974" spans="1:7">
      <c r="A2974">
        <v>2032</v>
      </c>
      <c r="B2974" t="s">
        <v>193</v>
      </c>
      <c r="C2974">
        <v>0</v>
      </c>
      <c r="D2974" t="s">
        <v>184</v>
      </c>
      <c r="E2974" t="s">
        <v>176</v>
      </c>
      <c r="F2974" t="s">
        <v>181</v>
      </c>
      <c r="G2974" t="s">
        <v>179</v>
      </c>
    </row>
    <row r="2975" spans="1:7">
      <c r="A2975">
        <v>2033</v>
      </c>
      <c r="B2975" t="s">
        <v>193</v>
      </c>
      <c r="C2975">
        <v>0</v>
      </c>
      <c r="D2975" t="s">
        <v>184</v>
      </c>
      <c r="E2975" t="s">
        <v>176</v>
      </c>
      <c r="F2975" t="s">
        <v>181</v>
      </c>
      <c r="G2975" t="s">
        <v>179</v>
      </c>
    </row>
    <row r="2976" spans="1:7">
      <c r="A2976">
        <v>2034</v>
      </c>
      <c r="B2976" t="s">
        <v>193</v>
      </c>
      <c r="C2976">
        <v>0</v>
      </c>
      <c r="D2976" t="s">
        <v>184</v>
      </c>
      <c r="E2976" t="s">
        <v>176</v>
      </c>
      <c r="F2976" t="s">
        <v>181</v>
      </c>
      <c r="G2976" t="s">
        <v>179</v>
      </c>
    </row>
    <row r="2977" spans="1:7">
      <c r="A2977">
        <v>2035</v>
      </c>
      <c r="B2977" t="s">
        <v>193</v>
      </c>
      <c r="C2977">
        <v>0</v>
      </c>
      <c r="D2977" t="s">
        <v>184</v>
      </c>
      <c r="E2977" t="s">
        <v>176</v>
      </c>
      <c r="F2977" t="s">
        <v>181</v>
      </c>
      <c r="G2977" t="s">
        <v>179</v>
      </c>
    </row>
    <row r="2978" spans="1:7">
      <c r="A2978">
        <v>2020</v>
      </c>
      <c r="B2978" t="s">
        <v>194</v>
      </c>
      <c r="C2978">
        <v>14.85</v>
      </c>
      <c r="D2978" t="s">
        <v>184</v>
      </c>
      <c r="E2978" t="s">
        <v>176</v>
      </c>
      <c r="F2978" t="s">
        <v>181</v>
      </c>
      <c r="G2978" t="s">
        <v>179</v>
      </c>
    </row>
    <row r="2979" spans="1:7">
      <c r="A2979">
        <v>2021</v>
      </c>
      <c r="B2979" t="s">
        <v>194</v>
      </c>
      <c r="C2979">
        <v>0</v>
      </c>
      <c r="D2979" t="s">
        <v>184</v>
      </c>
      <c r="E2979" t="s">
        <v>176</v>
      </c>
      <c r="F2979" t="s">
        <v>181</v>
      </c>
      <c r="G2979" t="s">
        <v>179</v>
      </c>
    </row>
    <row r="2980" spans="1:7">
      <c r="A2980">
        <v>2022</v>
      </c>
      <c r="B2980" t="s">
        <v>194</v>
      </c>
      <c r="C2980">
        <v>0</v>
      </c>
      <c r="D2980" t="s">
        <v>184</v>
      </c>
      <c r="E2980" t="s">
        <v>176</v>
      </c>
      <c r="F2980" t="s">
        <v>181</v>
      </c>
      <c r="G2980" t="s">
        <v>179</v>
      </c>
    </row>
    <row r="2981" spans="1:7">
      <c r="A2981">
        <v>2023</v>
      </c>
      <c r="B2981" t="s">
        <v>194</v>
      </c>
      <c r="C2981">
        <v>0</v>
      </c>
      <c r="D2981" t="s">
        <v>184</v>
      </c>
      <c r="E2981" t="s">
        <v>176</v>
      </c>
      <c r="F2981" t="s">
        <v>181</v>
      </c>
      <c r="G2981" t="s">
        <v>179</v>
      </c>
    </row>
    <row r="2982" spans="1:7">
      <c r="A2982">
        <v>2024</v>
      </c>
      <c r="B2982" t="s">
        <v>194</v>
      </c>
      <c r="C2982">
        <v>0</v>
      </c>
      <c r="D2982" t="s">
        <v>184</v>
      </c>
      <c r="E2982" t="s">
        <v>176</v>
      </c>
      <c r="F2982" t="s">
        <v>181</v>
      </c>
      <c r="G2982" t="s">
        <v>179</v>
      </c>
    </row>
    <row r="2983" spans="1:7">
      <c r="A2983">
        <v>2025</v>
      </c>
      <c r="B2983" t="s">
        <v>194</v>
      </c>
      <c r="C2983">
        <v>0</v>
      </c>
      <c r="D2983" t="s">
        <v>184</v>
      </c>
      <c r="E2983" t="s">
        <v>176</v>
      </c>
      <c r="F2983" t="s">
        <v>181</v>
      </c>
      <c r="G2983" t="s">
        <v>179</v>
      </c>
    </row>
    <row r="2984" spans="1:7">
      <c r="A2984">
        <v>2026</v>
      </c>
      <c r="B2984" t="s">
        <v>194</v>
      </c>
      <c r="C2984">
        <v>0</v>
      </c>
      <c r="D2984" t="s">
        <v>184</v>
      </c>
      <c r="E2984" t="s">
        <v>176</v>
      </c>
      <c r="F2984" t="s">
        <v>181</v>
      </c>
      <c r="G2984" t="s">
        <v>179</v>
      </c>
    </row>
    <row r="2985" spans="1:7">
      <c r="A2985">
        <v>2027</v>
      </c>
      <c r="B2985" t="s">
        <v>194</v>
      </c>
      <c r="C2985">
        <v>0</v>
      </c>
      <c r="D2985" t="s">
        <v>184</v>
      </c>
      <c r="E2985" t="s">
        <v>176</v>
      </c>
      <c r="F2985" t="s">
        <v>181</v>
      </c>
      <c r="G2985" t="s">
        <v>179</v>
      </c>
    </row>
    <row r="2986" spans="1:7">
      <c r="A2986">
        <v>2028</v>
      </c>
      <c r="B2986" t="s">
        <v>194</v>
      </c>
      <c r="C2986">
        <v>0</v>
      </c>
      <c r="D2986" t="s">
        <v>184</v>
      </c>
      <c r="E2986" t="s">
        <v>176</v>
      </c>
      <c r="F2986" t="s">
        <v>181</v>
      </c>
      <c r="G2986" t="s">
        <v>179</v>
      </c>
    </row>
    <row r="2987" spans="1:7">
      <c r="A2987">
        <v>2029</v>
      </c>
      <c r="B2987" t="s">
        <v>194</v>
      </c>
      <c r="C2987">
        <v>0</v>
      </c>
      <c r="D2987" t="s">
        <v>184</v>
      </c>
      <c r="E2987" t="s">
        <v>176</v>
      </c>
      <c r="F2987" t="s">
        <v>181</v>
      </c>
      <c r="G2987" t="s">
        <v>179</v>
      </c>
    </row>
    <row r="2988" spans="1:7">
      <c r="A2988">
        <v>2030</v>
      </c>
      <c r="B2988" t="s">
        <v>194</v>
      </c>
      <c r="C2988">
        <v>0</v>
      </c>
      <c r="D2988" t="s">
        <v>184</v>
      </c>
      <c r="E2988" t="s">
        <v>176</v>
      </c>
      <c r="F2988" t="s">
        <v>181</v>
      </c>
      <c r="G2988" t="s">
        <v>179</v>
      </c>
    </row>
    <row r="2989" spans="1:7">
      <c r="A2989">
        <v>2031</v>
      </c>
      <c r="B2989" t="s">
        <v>194</v>
      </c>
      <c r="C2989">
        <v>0</v>
      </c>
      <c r="D2989" t="s">
        <v>184</v>
      </c>
      <c r="E2989" t="s">
        <v>176</v>
      </c>
      <c r="F2989" t="s">
        <v>181</v>
      </c>
      <c r="G2989" t="s">
        <v>179</v>
      </c>
    </row>
    <row r="2990" spans="1:7">
      <c r="A2990">
        <v>2032</v>
      </c>
      <c r="B2990" t="s">
        <v>194</v>
      </c>
      <c r="C2990">
        <v>0</v>
      </c>
      <c r="D2990" t="s">
        <v>184</v>
      </c>
      <c r="E2990" t="s">
        <v>176</v>
      </c>
      <c r="F2990" t="s">
        <v>181</v>
      </c>
      <c r="G2990" t="s">
        <v>179</v>
      </c>
    </row>
    <row r="2991" spans="1:7">
      <c r="A2991">
        <v>2033</v>
      </c>
      <c r="B2991" t="s">
        <v>194</v>
      </c>
      <c r="C2991">
        <v>0</v>
      </c>
      <c r="D2991" t="s">
        <v>184</v>
      </c>
      <c r="E2991" t="s">
        <v>176</v>
      </c>
      <c r="F2991" t="s">
        <v>181</v>
      </c>
      <c r="G2991" t="s">
        <v>179</v>
      </c>
    </row>
    <row r="2992" spans="1:7">
      <c r="A2992">
        <v>2034</v>
      </c>
      <c r="B2992" t="s">
        <v>194</v>
      </c>
      <c r="C2992">
        <v>0</v>
      </c>
      <c r="D2992" t="s">
        <v>184</v>
      </c>
      <c r="E2992" t="s">
        <v>176</v>
      </c>
      <c r="F2992" t="s">
        <v>181</v>
      </c>
      <c r="G2992" t="s">
        <v>179</v>
      </c>
    </row>
    <row r="2993" spans="1:7">
      <c r="A2993">
        <v>2035</v>
      </c>
      <c r="B2993" t="s">
        <v>194</v>
      </c>
      <c r="C2993">
        <v>0</v>
      </c>
      <c r="D2993" t="s">
        <v>184</v>
      </c>
      <c r="E2993" t="s">
        <v>176</v>
      </c>
      <c r="F2993" t="s">
        <v>181</v>
      </c>
      <c r="G2993" t="s">
        <v>179</v>
      </c>
    </row>
    <row r="2994" spans="1:7">
      <c r="A2994">
        <v>2020</v>
      </c>
      <c r="B2994" t="s">
        <v>195</v>
      </c>
      <c r="C2994">
        <v>9994.41</v>
      </c>
      <c r="D2994" t="s">
        <v>184</v>
      </c>
      <c r="E2994" t="s">
        <v>176</v>
      </c>
      <c r="F2994" t="s">
        <v>181</v>
      </c>
      <c r="G2994" t="s">
        <v>179</v>
      </c>
    </row>
    <row r="2995" spans="1:7">
      <c r="A2995">
        <v>2021</v>
      </c>
      <c r="B2995" t="s">
        <v>195</v>
      </c>
      <c r="C2995">
        <v>1539.48</v>
      </c>
      <c r="D2995" t="s">
        <v>184</v>
      </c>
      <c r="E2995" t="s">
        <v>176</v>
      </c>
      <c r="F2995" t="s">
        <v>181</v>
      </c>
      <c r="G2995" t="s">
        <v>179</v>
      </c>
    </row>
    <row r="2996" spans="1:7">
      <c r="A2996">
        <v>2022</v>
      </c>
      <c r="B2996" t="s">
        <v>195</v>
      </c>
      <c r="C2996">
        <v>1539.48</v>
      </c>
      <c r="D2996" t="s">
        <v>184</v>
      </c>
      <c r="E2996" t="s">
        <v>176</v>
      </c>
      <c r="F2996" t="s">
        <v>181</v>
      </c>
      <c r="G2996" t="s">
        <v>179</v>
      </c>
    </row>
    <row r="2997" spans="1:7">
      <c r="A2997">
        <v>2023</v>
      </c>
      <c r="B2997" t="s">
        <v>195</v>
      </c>
      <c r="C2997">
        <v>4613.03</v>
      </c>
      <c r="D2997" t="s">
        <v>184</v>
      </c>
      <c r="E2997" t="s">
        <v>176</v>
      </c>
      <c r="F2997" t="s">
        <v>181</v>
      </c>
      <c r="G2997" t="s">
        <v>179</v>
      </c>
    </row>
    <row r="2998" spans="1:7">
      <c r="A2998">
        <v>2024</v>
      </c>
      <c r="B2998" t="s">
        <v>195</v>
      </c>
      <c r="C2998">
        <v>4613.03</v>
      </c>
      <c r="D2998" t="s">
        <v>184</v>
      </c>
      <c r="E2998" t="s">
        <v>176</v>
      </c>
      <c r="F2998" t="s">
        <v>181</v>
      </c>
      <c r="G2998" t="s">
        <v>179</v>
      </c>
    </row>
    <row r="2999" spans="1:7">
      <c r="A2999">
        <v>2025</v>
      </c>
      <c r="B2999" t="s">
        <v>195</v>
      </c>
      <c r="C2999">
        <v>4933.54</v>
      </c>
      <c r="D2999" t="s">
        <v>184</v>
      </c>
      <c r="E2999" t="s">
        <v>176</v>
      </c>
      <c r="F2999" t="s">
        <v>181</v>
      </c>
      <c r="G2999" t="s">
        <v>179</v>
      </c>
    </row>
    <row r="3000" spans="1:7">
      <c r="A3000">
        <v>2026</v>
      </c>
      <c r="B3000" t="s">
        <v>195</v>
      </c>
      <c r="C3000">
        <v>4933.54</v>
      </c>
      <c r="D3000" t="s">
        <v>184</v>
      </c>
      <c r="E3000" t="s">
        <v>176</v>
      </c>
      <c r="F3000" t="s">
        <v>181</v>
      </c>
      <c r="G3000" t="s">
        <v>179</v>
      </c>
    </row>
    <row r="3001" spans="1:7">
      <c r="A3001">
        <v>2027</v>
      </c>
      <c r="B3001" t="s">
        <v>195</v>
      </c>
      <c r="C3001">
        <v>4322.28</v>
      </c>
      <c r="D3001" t="s">
        <v>184</v>
      </c>
      <c r="E3001" t="s">
        <v>176</v>
      </c>
      <c r="F3001" t="s">
        <v>181</v>
      </c>
      <c r="G3001" t="s">
        <v>179</v>
      </c>
    </row>
    <row r="3002" spans="1:7">
      <c r="A3002">
        <v>2028</v>
      </c>
      <c r="B3002" t="s">
        <v>195</v>
      </c>
      <c r="C3002">
        <v>4322.28</v>
      </c>
      <c r="D3002" t="s">
        <v>184</v>
      </c>
      <c r="E3002" t="s">
        <v>176</v>
      </c>
      <c r="F3002" t="s">
        <v>181</v>
      </c>
      <c r="G3002" t="s">
        <v>179</v>
      </c>
    </row>
    <row r="3003" spans="1:7">
      <c r="A3003">
        <v>2029</v>
      </c>
      <c r="B3003" t="s">
        <v>195</v>
      </c>
      <c r="C3003">
        <v>9127.59</v>
      </c>
      <c r="D3003" t="s">
        <v>184</v>
      </c>
      <c r="E3003" t="s">
        <v>176</v>
      </c>
      <c r="F3003" t="s">
        <v>181</v>
      </c>
      <c r="G3003" t="s">
        <v>179</v>
      </c>
    </row>
    <row r="3004" spans="1:7">
      <c r="A3004">
        <v>2030</v>
      </c>
      <c r="B3004" t="s">
        <v>195</v>
      </c>
      <c r="C3004">
        <v>9127.59</v>
      </c>
      <c r="D3004" t="s">
        <v>184</v>
      </c>
      <c r="E3004" t="s">
        <v>176</v>
      </c>
      <c r="F3004" t="s">
        <v>181</v>
      </c>
      <c r="G3004" t="s">
        <v>179</v>
      </c>
    </row>
    <row r="3005" spans="1:7">
      <c r="A3005">
        <v>2031</v>
      </c>
      <c r="B3005" t="s">
        <v>195</v>
      </c>
      <c r="C3005">
        <v>5196.0600000000004</v>
      </c>
      <c r="D3005" t="s">
        <v>184</v>
      </c>
      <c r="E3005" t="s">
        <v>176</v>
      </c>
      <c r="F3005" t="s">
        <v>181</v>
      </c>
      <c r="G3005" t="s">
        <v>179</v>
      </c>
    </row>
    <row r="3006" spans="1:7">
      <c r="A3006">
        <v>2032</v>
      </c>
      <c r="B3006" t="s">
        <v>195</v>
      </c>
      <c r="C3006">
        <v>5196.0600000000004</v>
      </c>
      <c r="D3006" t="s">
        <v>184</v>
      </c>
      <c r="E3006" t="s">
        <v>176</v>
      </c>
      <c r="F3006" t="s">
        <v>181</v>
      </c>
      <c r="G3006" t="s">
        <v>179</v>
      </c>
    </row>
    <row r="3007" spans="1:7">
      <c r="A3007">
        <v>2033</v>
      </c>
      <c r="B3007" t="s">
        <v>195</v>
      </c>
      <c r="C3007">
        <v>6019.59</v>
      </c>
      <c r="D3007" t="s">
        <v>184</v>
      </c>
      <c r="E3007" t="s">
        <v>176</v>
      </c>
      <c r="F3007" t="s">
        <v>181</v>
      </c>
      <c r="G3007" t="s">
        <v>179</v>
      </c>
    </row>
    <row r="3008" spans="1:7">
      <c r="A3008">
        <v>2034</v>
      </c>
      <c r="B3008" t="s">
        <v>195</v>
      </c>
      <c r="C3008">
        <v>6019.59</v>
      </c>
      <c r="D3008" t="s">
        <v>184</v>
      </c>
      <c r="E3008" t="s">
        <v>176</v>
      </c>
      <c r="F3008" t="s">
        <v>181</v>
      </c>
      <c r="G3008" t="s">
        <v>179</v>
      </c>
    </row>
    <row r="3009" spans="1:7">
      <c r="A3009">
        <v>2035</v>
      </c>
      <c r="B3009" t="s">
        <v>195</v>
      </c>
      <c r="C3009">
        <v>6019.59</v>
      </c>
      <c r="D3009" t="s">
        <v>184</v>
      </c>
      <c r="E3009" t="s">
        <v>176</v>
      </c>
      <c r="F3009" t="s">
        <v>181</v>
      </c>
      <c r="G3009" t="s">
        <v>179</v>
      </c>
    </row>
    <row r="3010" spans="1:7">
      <c r="A3010">
        <v>2020</v>
      </c>
      <c r="B3010" t="s">
        <v>196</v>
      </c>
      <c r="C3010">
        <v>8612.8700000000008</v>
      </c>
      <c r="D3010" t="s">
        <v>184</v>
      </c>
      <c r="E3010" t="s">
        <v>176</v>
      </c>
      <c r="F3010" t="s">
        <v>181</v>
      </c>
      <c r="G3010" t="s">
        <v>179</v>
      </c>
    </row>
    <row r="3011" spans="1:7">
      <c r="A3011">
        <v>2021</v>
      </c>
      <c r="B3011" t="s">
        <v>196</v>
      </c>
      <c r="C3011">
        <v>1618.14</v>
      </c>
      <c r="D3011" t="s">
        <v>184</v>
      </c>
      <c r="E3011" t="s">
        <v>176</v>
      </c>
      <c r="F3011" t="s">
        <v>181</v>
      </c>
      <c r="G3011" t="s">
        <v>179</v>
      </c>
    </row>
    <row r="3012" spans="1:7">
      <c r="A3012">
        <v>2022</v>
      </c>
      <c r="B3012" t="s">
        <v>196</v>
      </c>
      <c r="C3012">
        <v>1618.14</v>
      </c>
      <c r="D3012" t="s">
        <v>184</v>
      </c>
      <c r="E3012" t="s">
        <v>176</v>
      </c>
      <c r="F3012" t="s">
        <v>181</v>
      </c>
      <c r="G3012" t="s">
        <v>179</v>
      </c>
    </row>
    <row r="3013" spans="1:7">
      <c r="A3013">
        <v>2023</v>
      </c>
      <c r="B3013" t="s">
        <v>196</v>
      </c>
      <c r="C3013">
        <v>2746.7</v>
      </c>
      <c r="D3013" t="s">
        <v>184</v>
      </c>
      <c r="E3013" t="s">
        <v>176</v>
      </c>
      <c r="F3013" t="s">
        <v>181</v>
      </c>
      <c r="G3013" t="s">
        <v>179</v>
      </c>
    </row>
    <row r="3014" spans="1:7">
      <c r="A3014">
        <v>2024</v>
      </c>
      <c r="B3014" t="s">
        <v>196</v>
      </c>
      <c r="C3014">
        <v>2746.7</v>
      </c>
      <c r="D3014" t="s">
        <v>184</v>
      </c>
      <c r="E3014" t="s">
        <v>176</v>
      </c>
      <c r="F3014" t="s">
        <v>181</v>
      </c>
      <c r="G3014" t="s">
        <v>179</v>
      </c>
    </row>
    <row r="3015" spans="1:7">
      <c r="A3015">
        <v>2025</v>
      </c>
      <c r="B3015" t="s">
        <v>196</v>
      </c>
      <c r="C3015">
        <v>3812.74</v>
      </c>
      <c r="D3015" t="s">
        <v>184</v>
      </c>
      <c r="E3015" t="s">
        <v>176</v>
      </c>
      <c r="F3015" t="s">
        <v>181</v>
      </c>
      <c r="G3015" t="s">
        <v>179</v>
      </c>
    </row>
    <row r="3016" spans="1:7">
      <c r="A3016">
        <v>2026</v>
      </c>
      <c r="B3016" t="s">
        <v>196</v>
      </c>
      <c r="C3016">
        <v>3812.74</v>
      </c>
      <c r="D3016" t="s">
        <v>184</v>
      </c>
      <c r="E3016" t="s">
        <v>176</v>
      </c>
      <c r="F3016" t="s">
        <v>181</v>
      </c>
      <c r="G3016" t="s">
        <v>179</v>
      </c>
    </row>
    <row r="3017" spans="1:7">
      <c r="A3017">
        <v>2027</v>
      </c>
      <c r="B3017" t="s">
        <v>196</v>
      </c>
      <c r="C3017">
        <v>2995.3</v>
      </c>
      <c r="D3017" t="s">
        <v>184</v>
      </c>
      <c r="E3017" t="s">
        <v>176</v>
      </c>
      <c r="F3017" t="s">
        <v>181</v>
      </c>
      <c r="G3017" t="s">
        <v>179</v>
      </c>
    </row>
    <row r="3018" spans="1:7">
      <c r="A3018">
        <v>2028</v>
      </c>
      <c r="B3018" t="s">
        <v>196</v>
      </c>
      <c r="C3018">
        <v>2995.3</v>
      </c>
      <c r="D3018" t="s">
        <v>184</v>
      </c>
      <c r="E3018" t="s">
        <v>176</v>
      </c>
      <c r="F3018" t="s">
        <v>181</v>
      </c>
      <c r="G3018" t="s">
        <v>179</v>
      </c>
    </row>
    <row r="3019" spans="1:7">
      <c r="A3019">
        <v>2029</v>
      </c>
      <c r="B3019" t="s">
        <v>196</v>
      </c>
      <c r="C3019">
        <v>7129.57</v>
      </c>
      <c r="D3019" t="s">
        <v>184</v>
      </c>
      <c r="E3019" t="s">
        <v>176</v>
      </c>
      <c r="F3019" t="s">
        <v>181</v>
      </c>
      <c r="G3019" t="s">
        <v>179</v>
      </c>
    </row>
    <row r="3020" spans="1:7">
      <c r="A3020">
        <v>2030</v>
      </c>
      <c r="B3020" t="s">
        <v>196</v>
      </c>
      <c r="C3020">
        <v>7129.57</v>
      </c>
      <c r="D3020" t="s">
        <v>184</v>
      </c>
      <c r="E3020" t="s">
        <v>176</v>
      </c>
      <c r="F3020" t="s">
        <v>181</v>
      </c>
      <c r="G3020" t="s">
        <v>179</v>
      </c>
    </row>
    <row r="3021" spans="1:7">
      <c r="A3021">
        <v>2031</v>
      </c>
      <c r="B3021" t="s">
        <v>196</v>
      </c>
      <c r="C3021">
        <v>2580.61</v>
      </c>
      <c r="D3021" t="s">
        <v>184</v>
      </c>
      <c r="E3021" t="s">
        <v>176</v>
      </c>
      <c r="F3021" t="s">
        <v>181</v>
      </c>
      <c r="G3021" t="s">
        <v>179</v>
      </c>
    </row>
    <row r="3022" spans="1:7">
      <c r="A3022">
        <v>2032</v>
      </c>
      <c r="B3022" t="s">
        <v>196</v>
      </c>
      <c r="C3022">
        <v>2580.61</v>
      </c>
      <c r="D3022" t="s">
        <v>184</v>
      </c>
      <c r="E3022" t="s">
        <v>176</v>
      </c>
      <c r="F3022" t="s">
        <v>181</v>
      </c>
      <c r="G3022" t="s">
        <v>179</v>
      </c>
    </row>
    <row r="3023" spans="1:7">
      <c r="A3023">
        <v>2033</v>
      </c>
      <c r="B3023" t="s">
        <v>196</v>
      </c>
      <c r="C3023">
        <v>2801.62</v>
      </c>
      <c r="D3023" t="s">
        <v>184</v>
      </c>
      <c r="E3023" t="s">
        <v>176</v>
      </c>
      <c r="F3023" t="s">
        <v>181</v>
      </c>
      <c r="G3023" t="s">
        <v>179</v>
      </c>
    </row>
    <row r="3024" spans="1:7">
      <c r="A3024">
        <v>2034</v>
      </c>
      <c r="B3024" t="s">
        <v>196</v>
      </c>
      <c r="C3024">
        <v>2801.62</v>
      </c>
      <c r="D3024" t="s">
        <v>184</v>
      </c>
      <c r="E3024" t="s">
        <v>176</v>
      </c>
      <c r="F3024" t="s">
        <v>181</v>
      </c>
      <c r="G3024" t="s">
        <v>179</v>
      </c>
    </row>
    <row r="3025" spans="1:7">
      <c r="A3025">
        <v>2035</v>
      </c>
      <c r="B3025" t="s">
        <v>196</v>
      </c>
      <c r="C3025">
        <v>2801.62</v>
      </c>
      <c r="D3025" t="s">
        <v>184</v>
      </c>
      <c r="E3025" t="s">
        <v>176</v>
      </c>
      <c r="F3025" t="s">
        <v>181</v>
      </c>
      <c r="G3025" t="s">
        <v>179</v>
      </c>
    </row>
    <row r="3026" spans="1:7">
      <c r="A3026">
        <v>2020</v>
      </c>
      <c r="B3026" t="s">
        <v>188</v>
      </c>
      <c r="C3026">
        <v>102.45</v>
      </c>
      <c r="D3026" t="s">
        <v>184</v>
      </c>
      <c r="E3026" t="s">
        <v>176</v>
      </c>
      <c r="F3026" t="s">
        <v>181</v>
      </c>
      <c r="G3026" t="s">
        <v>180</v>
      </c>
    </row>
    <row r="3027" spans="1:7">
      <c r="A3027">
        <v>2021</v>
      </c>
      <c r="B3027" t="s">
        <v>188</v>
      </c>
      <c r="C3027">
        <v>9.5</v>
      </c>
      <c r="D3027" t="s">
        <v>184</v>
      </c>
      <c r="E3027" t="s">
        <v>176</v>
      </c>
      <c r="F3027" t="s">
        <v>181</v>
      </c>
      <c r="G3027" t="s">
        <v>180</v>
      </c>
    </row>
    <row r="3028" spans="1:7">
      <c r="A3028">
        <v>2022</v>
      </c>
      <c r="B3028" t="s">
        <v>188</v>
      </c>
      <c r="C3028">
        <v>9.5</v>
      </c>
      <c r="D3028" t="s">
        <v>184</v>
      </c>
      <c r="E3028" t="s">
        <v>176</v>
      </c>
      <c r="F3028" t="s">
        <v>181</v>
      </c>
      <c r="G3028" t="s">
        <v>180</v>
      </c>
    </row>
    <row r="3029" spans="1:7">
      <c r="A3029">
        <v>2023</v>
      </c>
      <c r="B3029" t="s">
        <v>188</v>
      </c>
      <c r="C3029">
        <v>0</v>
      </c>
      <c r="D3029" t="s">
        <v>184</v>
      </c>
      <c r="E3029" t="s">
        <v>176</v>
      </c>
      <c r="F3029" t="s">
        <v>181</v>
      </c>
      <c r="G3029" t="s">
        <v>180</v>
      </c>
    </row>
    <row r="3030" spans="1:7">
      <c r="A3030">
        <v>2024</v>
      </c>
      <c r="B3030" t="s">
        <v>188</v>
      </c>
      <c r="C3030">
        <v>0</v>
      </c>
      <c r="D3030" t="s">
        <v>184</v>
      </c>
      <c r="E3030" t="s">
        <v>176</v>
      </c>
      <c r="F3030" t="s">
        <v>181</v>
      </c>
      <c r="G3030" t="s">
        <v>180</v>
      </c>
    </row>
    <row r="3031" spans="1:7">
      <c r="A3031">
        <v>2025</v>
      </c>
      <c r="B3031" t="s">
        <v>188</v>
      </c>
      <c r="C3031">
        <v>0</v>
      </c>
      <c r="D3031" t="s">
        <v>184</v>
      </c>
      <c r="E3031" t="s">
        <v>176</v>
      </c>
      <c r="F3031" t="s">
        <v>181</v>
      </c>
      <c r="G3031" t="s">
        <v>180</v>
      </c>
    </row>
    <row r="3032" spans="1:7">
      <c r="A3032">
        <v>2026</v>
      </c>
      <c r="B3032" t="s">
        <v>188</v>
      </c>
      <c r="C3032">
        <v>0</v>
      </c>
      <c r="D3032" t="s">
        <v>184</v>
      </c>
      <c r="E3032" t="s">
        <v>176</v>
      </c>
      <c r="F3032" t="s">
        <v>181</v>
      </c>
      <c r="G3032" t="s">
        <v>180</v>
      </c>
    </row>
    <row r="3033" spans="1:7">
      <c r="A3033">
        <v>2027</v>
      </c>
      <c r="B3033" t="s">
        <v>188</v>
      </c>
      <c r="C3033">
        <v>0</v>
      </c>
      <c r="D3033" t="s">
        <v>184</v>
      </c>
      <c r="E3033" t="s">
        <v>176</v>
      </c>
      <c r="F3033" t="s">
        <v>181</v>
      </c>
      <c r="G3033" t="s">
        <v>180</v>
      </c>
    </row>
    <row r="3034" spans="1:7">
      <c r="A3034">
        <v>2028</v>
      </c>
      <c r="B3034" t="s">
        <v>188</v>
      </c>
      <c r="C3034">
        <v>0</v>
      </c>
      <c r="D3034" t="s">
        <v>184</v>
      </c>
      <c r="E3034" t="s">
        <v>176</v>
      </c>
      <c r="F3034" t="s">
        <v>181</v>
      </c>
      <c r="G3034" t="s">
        <v>180</v>
      </c>
    </row>
    <row r="3035" spans="1:7">
      <c r="A3035">
        <v>2029</v>
      </c>
      <c r="B3035" t="s">
        <v>188</v>
      </c>
      <c r="C3035">
        <v>0</v>
      </c>
      <c r="D3035" t="s">
        <v>184</v>
      </c>
      <c r="E3035" t="s">
        <v>176</v>
      </c>
      <c r="F3035" t="s">
        <v>181</v>
      </c>
      <c r="G3035" t="s">
        <v>180</v>
      </c>
    </row>
    <row r="3036" spans="1:7">
      <c r="A3036">
        <v>2030</v>
      </c>
      <c r="B3036" t="s">
        <v>188</v>
      </c>
      <c r="C3036">
        <v>0</v>
      </c>
      <c r="D3036" t="s">
        <v>184</v>
      </c>
      <c r="E3036" t="s">
        <v>176</v>
      </c>
      <c r="F3036" t="s">
        <v>181</v>
      </c>
      <c r="G3036" t="s">
        <v>180</v>
      </c>
    </row>
    <row r="3037" spans="1:7">
      <c r="A3037">
        <v>2031</v>
      </c>
      <c r="B3037" t="s">
        <v>188</v>
      </c>
      <c r="C3037">
        <v>0</v>
      </c>
      <c r="D3037" t="s">
        <v>184</v>
      </c>
      <c r="E3037" t="s">
        <v>176</v>
      </c>
      <c r="F3037" t="s">
        <v>181</v>
      </c>
      <c r="G3037" t="s">
        <v>180</v>
      </c>
    </row>
    <row r="3038" spans="1:7">
      <c r="A3038">
        <v>2032</v>
      </c>
      <c r="B3038" t="s">
        <v>188</v>
      </c>
      <c r="C3038">
        <v>0</v>
      </c>
      <c r="D3038" t="s">
        <v>184</v>
      </c>
      <c r="E3038" t="s">
        <v>176</v>
      </c>
      <c r="F3038" t="s">
        <v>181</v>
      </c>
      <c r="G3038" t="s">
        <v>180</v>
      </c>
    </row>
    <row r="3039" spans="1:7">
      <c r="A3039">
        <v>2033</v>
      </c>
      <c r="B3039" t="s">
        <v>188</v>
      </c>
      <c r="C3039">
        <v>0</v>
      </c>
      <c r="D3039" t="s">
        <v>184</v>
      </c>
      <c r="E3039" t="s">
        <v>176</v>
      </c>
      <c r="F3039" t="s">
        <v>181</v>
      </c>
      <c r="G3039" t="s">
        <v>180</v>
      </c>
    </row>
    <row r="3040" spans="1:7">
      <c r="A3040">
        <v>2034</v>
      </c>
      <c r="B3040" t="s">
        <v>188</v>
      </c>
      <c r="C3040">
        <v>0</v>
      </c>
      <c r="D3040" t="s">
        <v>184</v>
      </c>
      <c r="E3040" t="s">
        <v>176</v>
      </c>
      <c r="F3040" t="s">
        <v>181</v>
      </c>
      <c r="G3040" t="s">
        <v>180</v>
      </c>
    </row>
    <row r="3041" spans="1:7">
      <c r="A3041">
        <v>2035</v>
      </c>
      <c r="B3041" t="s">
        <v>188</v>
      </c>
      <c r="C3041">
        <v>0</v>
      </c>
      <c r="D3041" t="s">
        <v>184</v>
      </c>
      <c r="E3041" t="s">
        <v>176</v>
      </c>
      <c r="F3041" t="s">
        <v>181</v>
      </c>
      <c r="G3041" t="s">
        <v>180</v>
      </c>
    </row>
    <row r="3042" spans="1:7">
      <c r="A3042">
        <v>2020</v>
      </c>
      <c r="B3042" t="s">
        <v>189</v>
      </c>
      <c r="C3042">
        <v>0</v>
      </c>
      <c r="D3042" t="s">
        <v>184</v>
      </c>
      <c r="E3042" t="s">
        <v>176</v>
      </c>
      <c r="F3042" t="s">
        <v>181</v>
      </c>
      <c r="G3042" t="s">
        <v>180</v>
      </c>
    </row>
    <row r="3043" spans="1:7">
      <c r="A3043">
        <v>2021</v>
      </c>
      <c r="B3043" t="s">
        <v>189</v>
      </c>
      <c r="C3043">
        <v>0</v>
      </c>
      <c r="D3043" t="s">
        <v>184</v>
      </c>
      <c r="E3043" t="s">
        <v>176</v>
      </c>
      <c r="F3043" t="s">
        <v>181</v>
      </c>
      <c r="G3043" t="s">
        <v>180</v>
      </c>
    </row>
    <row r="3044" spans="1:7">
      <c r="A3044">
        <v>2022</v>
      </c>
      <c r="B3044" t="s">
        <v>189</v>
      </c>
      <c r="C3044">
        <v>0</v>
      </c>
      <c r="D3044" t="s">
        <v>184</v>
      </c>
      <c r="E3044" t="s">
        <v>176</v>
      </c>
      <c r="F3044" t="s">
        <v>181</v>
      </c>
      <c r="G3044" t="s">
        <v>180</v>
      </c>
    </row>
    <row r="3045" spans="1:7">
      <c r="A3045">
        <v>2023</v>
      </c>
      <c r="B3045" t="s">
        <v>189</v>
      </c>
      <c r="C3045">
        <v>0</v>
      </c>
      <c r="D3045" t="s">
        <v>184</v>
      </c>
      <c r="E3045" t="s">
        <v>176</v>
      </c>
      <c r="F3045" t="s">
        <v>181</v>
      </c>
      <c r="G3045" t="s">
        <v>180</v>
      </c>
    </row>
    <row r="3046" spans="1:7">
      <c r="A3046">
        <v>2024</v>
      </c>
      <c r="B3046" t="s">
        <v>189</v>
      </c>
      <c r="C3046">
        <v>0</v>
      </c>
      <c r="D3046" t="s">
        <v>184</v>
      </c>
      <c r="E3046" t="s">
        <v>176</v>
      </c>
      <c r="F3046" t="s">
        <v>181</v>
      </c>
      <c r="G3046" t="s">
        <v>180</v>
      </c>
    </row>
    <row r="3047" spans="1:7">
      <c r="A3047">
        <v>2025</v>
      </c>
      <c r="B3047" t="s">
        <v>189</v>
      </c>
      <c r="C3047">
        <v>0</v>
      </c>
      <c r="D3047" t="s">
        <v>184</v>
      </c>
      <c r="E3047" t="s">
        <v>176</v>
      </c>
      <c r="F3047" t="s">
        <v>181</v>
      </c>
      <c r="G3047" t="s">
        <v>180</v>
      </c>
    </row>
    <row r="3048" spans="1:7">
      <c r="A3048">
        <v>2026</v>
      </c>
      <c r="B3048" t="s">
        <v>189</v>
      </c>
      <c r="C3048">
        <v>0</v>
      </c>
      <c r="D3048" t="s">
        <v>184</v>
      </c>
      <c r="E3048" t="s">
        <v>176</v>
      </c>
      <c r="F3048" t="s">
        <v>181</v>
      </c>
      <c r="G3048" t="s">
        <v>180</v>
      </c>
    </row>
    <row r="3049" spans="1:7">
      <c r="A3049">
        <v>2027</v>
      </c>
      <c r="B3049" t="s">
        <v>189</v>
      </c>
      <c r="C3049">
        <v>0</v>
      </c>
      <c r="D3049" t="s">
        <v>184</v>
      </c>
      <c r="E3049" t="s">
        <v>176</v>
      </c>
      <c r="F3049" t="s">
        <v>181</v>
      </c>
      <c r="G3049" t="s">
        <v>180</v>
      </c>
    </row>
    <row r="3050" spans="1:7">
      <c r="A3050">
        <v>2028</v>
      </c>
      <c r="B3050" t="s">
        <v>189</v>
      </c>
      <c r="C3050">
        <v>0</v>
      </c>
      <c r="D3050" t="s">
        <v>184</v>
      </c>
      <c r="E3050" t="s">
        <v>176</v>
      </c>
      <c r="F3050" t="s">
        <v>181</v>
      </c>
      <c r="G3050" t="s">
        <v>180</v>
      </c>
    </row>
    <row r="3051" spans="1:7">
      <c r="A3051">
        <v>2029</v>
      </c>
      <c r="B3051" t="s">
        <v>189</v>
      </c>
      <c r="C3051">
        <v>0</v>
      </c>
      <c r="D3051" t="s">
        <v>184</v>
      </c>
      <c r="E3051" t="s">
        <v>176</v>
      </c>
      <c r="F3051" t="s">
        <v>181</v>
      </c>
      <c r="G3051" t="s">
        <v>180</v>
      </c>
    </row>
    <row r="3052" spans="1:7">
      <c r="A3052">
        <v>2030</v>
      </c>
      <c r="B3052" t="s">
        <v>189</v>
      </c>
      <c r="C3052">
        <v>0</v>
      </c>
      <c r="D3052" t="s">
        <v>184</v>
      </c>
      <c r="E3052" t="s">
        <v>176</v>
      </c>
      <c r="F3052" t="s">
        <v>181</v>
      </c>
      <c r="G3052" t="s">
        <v>180</v>
      </c>
    </row>
    <row r="3053" spans="1:7">
      <c r="A3053">
        <v>2031</v>
      </c>
      <c r="B3053" t="s">
        <v>189</v>
      </c>
      <c r="C3053">
        <v>0</v>
      </c>
      <c r="D3053" t="s">
        <v>184</v>
      </c>
      <c r="E3053" t="s">
        <v>176</v>
      </c>
      <c r="F3053" t="s">
        <v>181</v>
      </c>
      <c r="G3053" t="s">
        <v>180</v>
      </c>
    </row>
    <row r="3054" spans="1:7">
      <c r="A3054">
        <v>2032</v>
      </c>
      <c r="B3054" t="s">
        <v>189</v>
      </c>
      <c r="C3054">
        <v>0</v>
      </c>
      <c r="D3054" t="s">
        <v>184</v>
      </c>
      <c r="E3054" t="s">
        <v>176</v>
      </c>
      <c r="F3054" t="s">
        <v>181</v>
      </c>
      <c r="G3054" t="s">
        <v>180</v>
      </c>
    </row>
    <row r="3055" spans="1:7">
      <c r="A3055">
        <v>2033</v>
      </c>
      <c r="B3055" t="s">
        <v>189</v>
      </c>
      <c r="C3055">
        <v>0</v>
      </c>
      <c r="D3055" t="s">
        <v>184</v>
      </c>
      <c r="E3055" t="s">
        <v>176</v>
      </c>
      <c r="F3055" t="s">
        <v>181</v>
      </c>
      <c r="G3055" t="s">
        <v>180</v>
      </c>
    </row>
    <row r="3056" spans="1:7">
      <c r="A3056">
        <v>2034</v>
      </c>
      <c r="B3056" t="s">
        <v>189</v>
      </c>
      <c r="C3056">
        <v>0</v>
      </c>
      <c r="D3056" t="s">
        <v>184</v>
      </c>
      <c r="E3056" t="s">
        <v>176</v>
      </c>
      <c r="F3056" t="s">
        <v>181</v>
      </c>
      <c r="G3056" t="s">
        <v>180</v>
      </c>
    </row>
    <row r="3057" spans="1:7">
      <c r="A3057">
        <v>2035</v>
      </c>
      <c r="B3057" t="s">
        <v>189</v>
      </c>
      <c r="C3057">
        <v>0</v>
      </c>
      <c r="D3057" t="s">
        <v>184</v>
      </c>
      <c r="E3057" t="s">
        <v>176</v>
      </c>
      <c r="F3057" t="s">
        <v>181</v>
      </c>
      <c r="G3057" t="s">
        <v>180</v>
      </c>
    </row>
    <row r="3058" spans="1:7">
      <c r="A3058">
        <v>2020</v>
      </c>
      <c r="B3058" t="s">
        <v>190</v>
      </c>
      <c r="C3058">
        <v>15518.13</v>
      </c>
      <c r="D3058" t="s">
        <v>184</v>
      </c>
      <c r="E3058" t="s">
        <v>176</v>
      </c>
      <c r="F3058" t="s">
        <v>181</v>
      </c>
      <c r="G3058" t="s">
        <v>180</v>
      </c>
    </row>
    <row r="3059" spans="1:7">
      <c r="A3059">
        <v>2021</v>
      </c>
      <c r="B3059" t="s">
        <v>190</v>
      </c>
      <c r="C3059">
        <v>19903</v>
      </c>
      <c r="D3059" t="s">
        <v>184</v>
      </c>
      <c r="E3059" t="s">
        <v>176</v>
      </c>
      <c r="F3059" t="s">
        <v>181</v>
      </c>
      <c r="G3059" t="s">
        <v>180</v>
      </c>
    </row>
    <row r="3060" spans="1:7">
      <c r="A3060">
        <v>2022</v>
      </c>
      <c r="B3060" t="s">
        <v>190</v>
      </c>
      <c r="C3060">
        <v>19903</v>
      </c>
      <c r="D3060" t="s">
        <v>184</v>
      </c>
      <c r="E3060" t="s">
        <v>176</v>
      </c>
      <c r="F3060" t="s">
        <v>181</v>
      </c>
      <c r="G3060" t="s">
        <v>180</v>
      </c>
    </row>
    <row r="3061" spans="1:7">
      <c r="A3061">
        <v>2023</v>
      </c>
      <c r="B3061" t="s">
        <v>190</v>
      </c>
      <c r="C3061">
        <v>6388.36</v>
      </c>
      <c r="D3061" t="s">
        <v>184</v>
      </c>
      <c r="E3061" t="s">
        <v>176</v>
      </c>
      <c r="F3061" t="s">
        <v>181</v>
      </c>
      <c r="G3061" t="s">
        <v>180</v>
      </c>
    </row>
    <row r="3062" spans="1:7">
      <c r="A3062">
        <v>2024</v>
      </c>
      <c r="B3062" t="s">
        <v>190</v>
      </c>
      <c r="C3062">
        <v>6388.36</v>
      </c>
      <c r="D3062" t="s">
        <v>184</v>
      </c>
      <c r="E3062" t="s">
        <v>176</v>
      </c>
      <c r="F3062" t="s">
        <v>181</v>
      </c>
      <c r="G3062" t="s">
        <v>180</v>
      </c>
    </row>
    <row r="3063" spans="1:7">
      <c r="A3063">
        <v>2025</v>
      </c>
      <c r="B3063" t="s">
        <v>190</v>
      </c>
      <c r="C3063">
        <v>9109.7900000000009</v>
      </c>
      <c r="D3063" t="s">
        <v>184</v>
      </c>
      <c r="E3063" t="s">
        <v>176</v>
      </c>
      <c r="F3063" t="s">
        <v>181</v>
      </c>
      <c r="G3063" t="s">
        <v>180</v>
      </c>
    </row>
    <row r="3064" spans="1:7">
      <c r="A3064">
        <v>2026</v>
      </c>
      <c r="B3064" t="s">
        <v>190</v>
      </c>
      <c r="C3064">
        <v>9109.7900000000009</v>
      </c>
      <c r="D3064" t="s">
        <v>184</v>
      </c>
      <c r="E3064" t="s">
        <v>176</v>
      </c>
      <c r="F3064" t="s">
        <v>181</v>
      </c>
      <c r="G3064" t="s">
        <v>180</v>
      </c>
    </row>
    <row r="3065" spans="1:7">
      <c r="A3065">
        <v>2027</v>
      </c>
      <c r="B3065" t="s">
        <v>190</v>
      </c>
      <c r="C3065">
        <v>5780.77</v>
      </c>
      <c r="D3065" t="s">
        <v>184</v>
      </c>
      <c r="E3065" t="s">
        <v>176</v>
      </c>
      <c r="F3065" t="s">
        <v>181</v>
      </c>
      <c r="G3065" t="s">
        <v>180</v>
      </c>
    </row>
    <row r="3066" spans="1:7">
      <c r="A3066">
        <v>2028</v>
      </c>
      <c r="B3066" t="s">
        <v>190</v>
      </c>
      <c r="C3066">
        <v>5780.77</v>
      </c>
      <c r="D3066" t="s">
        <v>184</v>
      </c>
      <c r="E3066" t="s">
        <v>176</v>
      </c>
      <c r="F3066" t="s">
        <v>181</v>
      </c>
      <c r="G3066" t="s">
        <v>180</v>
      </c>
    </row>
    <row r="3067" spans="1:7">
      <c r="A3067">
        <v>2029</v>
      </c>
      <c r="B3067" t="s">
        <v>190</v>
      </c>
      <c r="C3067">
        <v>4670.1400000000003</v>
      </c>
      <c r="D3067" t="s">
        <v>184</v>
      </c>
      <c r="E3067" t="s">
        <v>176</v>
      </c>
      <c r="F3067" t="s">
        <v>181</v>
      </c>
      <c r="G3067" t="s">
        <v>180</v>
      </c>
    </row>
    <row r="3068" spans="1:7">
      <c r="A3068">
        <v>2030</v>
      </c>
      <c r="B3068" t="s">
        <v>190</v>
      </c>
      <c r="C3068">
        <v>4670.1400000000003</v>
      </c>
      <c r="D3068" t="s">
        <v>184</v>
      </c>
      <c r="E3068" t="s">
        <v>176</v>
      </c>
      <c r="F3068" t="s">
        <v>181</v>
      </c>
      <c r="G3068" t="s">
        <v>180</v>
      </c>
    </row>
    <row r="3069" spans="1:7">
      <c r="A3069">
        <v>2031</v>
      </c>
      <c r="B3069" t="s">
        <v>190</v>
      </c>
      <c r="C3069">
        <v>7677.71</v>
      </c>
      <c r="D3069" t="s">
        <v>184</v>
      </c>
      <c r="E3069" t="s">
        <v>176</v>
      </c>
      <c r="F3069" t="s">
        <v>181</v>
      </c>
      <c r="G3069" t="s">
        <v>180</v>
      </c>
    </row>
    <row r="3070" spans="1:7">
      <c r="A3070">
        <v>2032</v>
      </c>
      <c r="B3070" t="s">
        <v>190</v>
      </c>
      <c r="C3070">
        <v>7677.71</v>
      </c>
      <c r="D3070" t="s">
        <v>184</v>
      </c>
      <c r="E3070" t="s">
        <v>176</v>
      </c>
      <c r="F3070" t="s">
        <v>181</v>
      </c>
      <c r="G3070" t="s">
        <v>180</v>
      </c>
    </row>
    <row r="3071" spans="1:7">
      <c r="A3071">
        <v>2033</v>
      </c>
      <c r="B3071" t="s">
        <v>190</v>
      </c>
      <c r="C3071">
        <v>7893.11</v>
      </c>
      <c r="D3071" t="s">
        <v>184</v>
      </c>
      <c r="E3071" t="s">
        <v>176</v>
      </c>
      <c r="F3071" t="s">
        <v>181</v>
      </c>
      <c r="G3071" t="s">
        <v>180</v>
      </c>
    </row>
    <row r="3072" spans="1:7">
      <c r="A3072">
        <v>2034</v>
      </c>
      <c r="B3072" t="s">
        <v>190</v>
      </c>
      <c r="C3072">
        <v>7893.11</v>
      </c>
      <c r="D3072" t="s">
        <v>184</v>
      </c>
      <c r="E3072" t="s">
        <v>176</v>
      </c>
      <c r="F3072" t="s">
        <v>181</v>
      </c>
      <c r="G3072" t="s">
        <v>180</v>
      </c>
    </row>
    <row r="3073" spans="1:7">
      <c r="A3073">
        <v>2035</v>
      </c>
      <c r="B3073" t="s">
        <v>190</v>
      </c>
      <c r="C3073">
        <v>7893.11</v>
      </c>
      <c r="D3073" t="s">
        <v>184</v>
      </c>
      <c r="E3073" t="s">
        <v>176</v>
      </c>
      <c r="F3073" t="s">
        <v>181</v>
      </c>
      <c r="G3073" t="s">
        <v>180</v>
      </c>
    </row>
    <row r="3074" spans="1:7">
      <c r="A3074">
        <v>2020</v>
      </c>
      <c r="B3074" t="s">
        <v>191</v>
      </c>
      <c r="C3074">
        <v>0</v>
      </c>
      <c r="D3074" t="s">
        <v>184</v>
      </c>
      <c r="E3074" t="s">
        <v>176</v>
      </c>
      <c r="F3074" t="s">
        <v>181</v>
      </c>
      <c r="G3074" t="s">
        <v>180</v>
      </c>
    </row>
    <row r="3075" spans="1:7">
      <c r="A3075">
        <v>2021</v>
      </c>
      <c r="B3075" t="s">
        <v>191</v>
      </c>
      <c r="C3075">
        <v>0</v>
      </c>
      <c r="D3075" t="s">
        <v>184</v>
      </c>
      <c r="E3075" t="s">
        <v>176</v>
      </c>
      <c r="F3075" t="s">
        <v>181</v>
      </c>
      <c r="G3075" t="s">
        <v>180</v>
      </c>
    </row>
    <row r="3076" spans="1:7">
      <c r="A3076">
        <v>2022</v>
      </c>
      <c r="B3076" t="s">
        <v>191</v>
      </c>
      <c r="C3076">
        <v>0</v>
      </c>
      <c r="D3076" t="s">
        <v>184</v>
      </c>
      <c r="E3076" t="s">
        <v>176</v>
      </c>
      <c r="F3076" t="s">
        <v>181</v>
      </c>
      <c r="G3076" t="s">
        <v>180</v>
      </c>
    </row>
    <row r="3077" spans="1:7">
      <c r="A3077">
        <v>2023</v>
      </c>
      <c r="B3077" t="s">
        <v>191</v>
      </c>
      <c r="C3077">
        <v>0</v>
      </c>
      <c r="D3077" t="s">
        <v>184</v>
      </c>
      <c r="E3077" t="s">
        <v>176</v>
      </c>
      <c r="F3077" t="s">
        <v>181</v>
      </c>
      <c r="G3077" t="s">
        <v>180</v>
      </c>
    </row>
    <row r="3078" spans="1:7">
      <c r="A3078">
        <v>2024</v>
      </c>
      <c r="B3078" t="s">
        <v>191</v>
      </c>
      <c r="C3078">
        <v>0</v>
      </c>
      <c r="D3078" t="s">
        <v>184</v>
      </c>
      <c r="E3078" t="s">
        <v>176</v>
      </c>
      <c r="F3078" t="s">
        <v>181</v>
      </c>
      <c r="G3078" t="s">
        <v>180</v>
      </c>
    </row>
    <row r="3079" spans="1:7">
      <c r="A3079">
        <v>2025</v>
      </c>
      <c r="B3079" t="s">
        <v>191</v>
      </c>
      <c r="C3079">
        <v>0</v>
      </c>
      <c r="D3079" t="s">
        <v>184</v>
      </c>
      <c r="E3079" t="s">
        <v>176</v>
      </c>
      <c r="F3079" t="s">
        <v>181</v>
      </c>
      <c r="G3079" t="s">
        <v>180</v>
      </c>
    </row>
    <row r="3080" spans="1:7">
      <c r="A3080">
        <v>2026</v>
      </c>
      <c r="B3080" t="s">
        <v>191</v>
      </c>
      <c r="C3080">
        <v>0</v>
      </c>
      <c r="D3080" t="s">
        <v>184</v>
      </c>
      <c r="E3080" t="s">
        <v>176</v>
      </c>
      <c r="F3080" t="s">
        <v>181</v>
      </c>
      <c r="G3080" t="s">
        <v>180</v>
      </c>
    </row>
    <row r="3081" spans="1:7">
      <c r="A3081">
        <v>2027</v>
      </c>
      <c r="B3081" t="s">
        <v>191</v>
      </c>
      <c r="C3081">
        <v>0</v>
      </c>
      <c r="D3081" t="s">
        <v>184</v>
      </c>
      <c r="E3081" t="s">
        <v>176</v>
      </c>
      <c r="F3081" t="s">
        <v>181</v>
      </c>
      <c r="G3081" t="s">
        <v>180</v>
      </c>
    </row>
    <row r="3082" spans="1:7">
      <c r="A3082">
        <v>2028</v>
      </c>
      <c r="B3082" t="s">
        <v>191</v>
      </c>
      <c r="C3082">
        <v>0</v>
      </c>
      <c r="D3082" t="s">
        <v>184</v>
      </c>
      <c r="E3082" t="s">
        <v>176</v>
      </c>
      <c r="F3082" t="s">
        <v>181</v>
      </c>
      <c r="G3082" t="s">
        <v>180</v>
      </c>
    </row>
    <row r="3083" spans="1:7">
      <c r="A3083">
        <v>2029</v>
      </c>
      <c r="B3083" t="s">
        <v>191</v>
      </c>
      <c r="C3083">
        <v>0</v>
      </c>
      <c r="D3083" t="s">
        <v>184</v>
      </c>
      <c r="E3083" t="s">
        <v>176</v>
      </c>
      <c r="F3083" t="s">
        <v>181</v>
      </c>
      <c r="G3083" t="s">
        <v>180</v>
      </c>
    </row>
    <row r="3084" spans="1:7">
      <c r="A3084">
        <v>2030</v>
      </c>
      <c r="B3084" t="s">
        <v>191</v>
      </c>
      <c r="C3084">
        <v>0</v>
      </c>
      <c r="D3084" t="s">
        <v>184</v>
      </c>
      <c r="E3084" t="s">
        <v>176</v>
      </c>
      <c r="F3084" t="s">
        <v>181</v>
      </c>
      <c r="G3084" t="s">
        <v>180</v>
      </c>
    </row>
    <row r="3085" spans="1:7">
      <c r="A3085">
        <v>2031</v>
      </c>
      <c r="B3085" t="s">
        <v>191</v>
      </c>
      <c r="C3085">
        <v>0</v>
      </c>
      <c r="D3085" t="s">
        <v>184</v>
      </c>
      <c r="E3085" t="s">
        <v>176</v>
      </c>
      <c r="F3085" t="s">
        <v>181</v>
      </c>
      <c r="G3085" t="s">
        <v>180</v>
      </c>
    </row>
    <row r="3086" spans="1:7">
      <c r="A3086">
        <v>2032</v>
      </c>
      <c r="B3086" t="s">
        <v>191</v>
      </c>
      <c r="C3086">
        <v>0</v>
      </c>
      <c r="D3086" t="s">
        <v>184</v>
      </c>
      <c r="E3086" t="s">
        <v>176</v>
      </c>
      <c r="F3086" t="s">
        <v>181</v>
      </c>
      <c r="G3086" t="s">
        <v>180</v>
      </c>
    </row>
    <row r="3087" spans="1:7">
      <c r="A3087">
        <v>2033</v>
      </c>
      <c r="B3087" t="s">
        <v>191</v>
      </c>
      <c r="C3087">
        <v>0</v>
      </c>
      <c r="D3087" t="s">
        <v>184</v>
      </c>
      <c r="E3087" t="s">
        <v>176</v>
      </c>
      <c r="F3087" t="s">
        <v>181</v>
      </c>
      <c r="G3087" t="s">
        <v>180</v>
      </c>
    </row>
    <row r="3088" spans="1:7">
      <c r="A3088">
        <v>2034</v>
      </c>
      <c r="B3088" t="s">
        <v>191</v>
      </c>
      <c r="C3088">
        <v>0</v>
      </c>
      <c r="D3088" t="s">
        <v>184</v>
      </c>
      <c r="E3088" t="s">
        <v>176</v>
      </c>
      <c r="F3088" t="s">
        <v>181</v>
      </c>
      <c r="G3088" t="s">
        <v>180</v>
      </c>
    </row>
    <row r="3089" spans="1:7">
      <c r="A3089">
        <v>2035</v>
      </c>
      <c r="B3089" t="s">
        <v>191</v>
      </c>
      <c r="C3089">
        <v>0</v>
      </c>
      <c r="D3089" t="s">
        <v>184</v>
      </c>
      <c r="E3089" t="s">
        <v>176</v>
      </c>
      <c r="F3089" t="s">
        <v>181</v>
      </c>
      <c r="G3089" t="s">
        <v>180</v>
      </c>
    </row>
    <row r="3090" spans="1:7">
      <c r="A3090">
        <v>2020</v>
      </c>
      <c r="B3090" t="s">
        <v>192</v>
      </c>
      <c r="C3090">
        <v>1784.36</v>
      </c>
      <c r="D3090" t="s">
        <v>184</v>
      </c>
      <c r="E3090" t="s">
        <v>176</v>
      </c>
      <c r="F3090" t="s">
        <v>181</v>
      </c>
      <c r="G3090" t="s">
        <v>180</v>
      </c>
    </row>
    <row r="3091" spans="1:7">
      <c r="A3091">
        <v>2021</v>
      </c>
      <c r="B3091" t="s">
        <v>192</v>
      </c>
      <c r="C3091">
        <v>0</v>
      </c>
      <c r="D3091" t="s">
        <v>184</v>
      </c>
      <c r="E3091" t="s">
        <v>176</v>
      </c>
      <c r="F3091" t="s">
        <v>181</v>
      </c>
      <c r="G3091" t="s">
        <v>180</v>
      </c>
    </row>
    <row r="3092" spans="1:7">
      <c r="A3092">
        <v>2022</v>
      </c>
      <c r="B3092" t="s">
        <v>192</v>
      </c>
      <c r="C3092">
        <v>0</v>
      </c>
      <c r="D3092" t="s">
        <v>184</v>
      </c>
      <c r="E3092" t="s">
        <v>176</v>
      </c>
      <c r="F3092" t="s">
        <v>181</v>
      </c>
      <c r="G3092" t="s">
        <v>180</v>
      </c>
    </row>
    <row r="3093" spans="1:7">
      <c r="A3093">
        <v>2023</v>
      </c>
      <c r="B3093" t="s">
        <v>192</v>
      </c>
      <c r="C3093">
        <v>57.5</v>
      </c>
      <c r="D3093" t="s">
        <v>184</v>
      </c>
      <c r="E3093" t="s">
        <v>176</v>
      </c>
      <c r="F3093" t="s">
        <v>181</v>
      </c>
      <c r="G3093" t="s">
        <v>180</v>
      </c>
    </row>
    <row r="3094" spans="1:7">
      <c r="A3094">
        <v>2024</v>
      </c>
      <c r="B3094" t="s">
        <v>192</v>
      </c>
      <c r="C3094">
        <v>57.5</v>
      </c>
      <c r="D3094" t="s">
        <v>184</v>
      </c>
      <c r="E3094" t="s">
        <v>176</v>
      </c>
      <c r="F3094" t="s">
        <v>181</v>
      </c>
      <c r="G3094" t="s">
        <v>180</v>
      </c>
    </row>
    <row r="3095" spans="1:7">
      <c r="A3095">
        <v>2025</v>
      </c>
      <c r="B3095" t="s">
        <v>192</v>
      </c>
      <c r="C3095">
        <v>44</v>
      </c>
      <c r="D3095" t="s">
        <v>184</v>
      </c>
      <c r="E3095" t="s">
        <v>176</v>
      </c>
      <c r="F3095" t="s">
        <v>181</v>
      </c>
      <c r="G3095" t="s">
        <v>180</v>
      </c>
    </row>
    <row r="3096" spans="1:7">
      <c r="A3096">
        <v>2026</v>
      </c>
      <c r="B3096" t="s">
        <v>192</v>
      </c>
      <c r="C3096">
        <v>44</v>
      </c>
      <c r="D3096" t="s">
        <v>184</v>
      </c>
      <c r="E3096" t="s">
        <v>176</v>
      </c>
      <c r="F3096" t="s">
        <v>181</v>
      </c>
      <c r="G3096" t="s">
        <v>180</v>
      </c>
    </row>
    <row r="3097" spans="1:7">
      <c r="A3097">
        <v>2027</v>
      </c>
      <c r="B3097" t="s">
        <v>192</v>
      </c>
      <c r="C3097">
        <v>0</v>
      </c>
      <c r="D3097" t="s">
        <v>184</v>
      </c>
      <c r="E3097" t="s">
        <v>176</v>
      </c>
      <c r="F3097" t="s">
        <v>181</v>
      </c>
      <c r="G3097" t="s">
        <v>180</v>
      </c>
    </row>
    <row r="3098" spans="1:7">
      <c r="A3098">
        <v>2028</v>
      </c>
      <c r="B3098" t="s">
        <v>192</v>
      </c>
      <c r="C3098">
        <v>0</v>
      </c>
      <c r="D3098" t="s">
        <v>184</v>
      </c>
      <c r="E3098" t="s">
        <v>176</v>
      </c>
      <c r="F3098" t="s">
        <v>181</v>
      </c>
      <c r="G3098" t="s">
        <v>180</v>
      </c>
    </row>
    <row r="3099" spans="1:7">
      <c r="A3099">
        <v>2029</v>
      </c>
      <c r="B3099" t="s">
        <v>192</v>
      </c>
      <c r="C3099">
        <v>0</v>
      </c>
      <c r="D3099" t="s">
        <v>184</v>
      </c>
      <c r="E3099" t="s">
        <v>176</v>
      </c>
      <c r="F3099" t="s">
        <v>181</v>
      </c>
      <c r="G3099" t="s">
        <v>180</v>
      </c>
    </row>
    <row r="3100" spans="1:7">
      <c r="A3100">
        <v>2030</v>
      </c>
      <c r="B3100" t="s">
        <v>192</v>
      </c>
      <c r="C3100">
        <v>0</v>
      </c>
      <c r="D3100" t="s">
        <v>184</v>
      </c>
      <c r="E3100" t="s">
        <v>176</v>
      </c>
      <c r="F3100" t="s">
        <v>181</v>
      </c>
      <c r="G3100" t="s">
        <v>180</v>
      </c>
    </row>
    <row r="3101" spans="1:7">
      <c r="A3101">
        <v>2031</v>
      </c>
      <c r="B3101" t="s">
        <v>192</v>
      </c>
      <c r="C3101">
        <v>0</v>
      </c>
      <c r="D3101" t="s">
        <v>184</v>
      </c>
      <c r="E3101" t="s">
        <v>176</v>
      </c>
      <c r="F3101" t="s">
        <v>181</v>
      </c>
      <c r="G3101" t="s">
        <v>180</v>
      </c>
    </row>
    <row r="3102" spans="1:7">
      <c r="A3102">
        <v>2032</v>
      </c>
      <c r="B3102" t="s">
        <v>192</v>
      </c>
      <c r="C3102">
        <v>0</v>
      </c>
      <c r="D3102" t="s">
        <v>184</v>
      </c>
      <c r="E3102" t="s">
        <v>176</v>
      </c>
      <c r="F3102" t="s">
        <v>181</v>
      </c>
      <c r="G3102" t="s">
        <v>180</v>
      </c>
    </row>
    <row r="3103" spans="1:7">
      <c r="A3103">
        <v>2033</v>
      </c>
      <c r="B3103" t="s">
        <v>192</v>
      </c>
      <c r="C3103">
        <v>0</v>
      </c>
      <c r="D3103" t="s">
        <v>184</v>
      </c>
      <c r="E3103" t="s">
        <v>176</v>
      </c>
      <c r="F3103" t="s">
        <v>181</v>
      </c>
      <c r="G3103" t="s">
        <v>180</v>
      </c>
    </row>
    <row r="3104" spans="1:7">
      <c r="A3104">
        <v>2034</v>
      </c>
      <c r="B3104" t="s">
        <v>192</v>
      </c>
      <c r="C3104">
        <v>0</v>
      </c>
      <c r="D3104" t="s">
        <v>184</v>
      </c>
      <c r="E3104" t="s">
        <v>176</v>
      </c>
      <c r="F3104" t="s">
        <v>181</v>
      </c>
      <c r="G3104" t="s">
        <v>180</v>
      </c>
    </row>
    <row r="3105" spans="1:7">
      <c r="A3105">
        <v>2035</v>
      </c>
      <c r="B3105" t="s">
        <v>192</v>
      </c>
      <c r="C3105">
        <v>0</v>
      </c>
      <c r="D3105" t="s">
        <v>184</v>
      </c>
      <c r="E3105" t="s">
        <v>176</v>
      </c>
      <c r="F3105" t="s">
        <v>181</v>
      </c>
      <c r="G3105" t="s">
        <v>180</v>
      </c>
    </row>
    <row r="3106" spans="1:7">
      <c r="A3106">
        <v>2020</v>
      </c>
      <c r="B3106" t="s">
        <v>193</v>
      </c>
      <c r="C3106">
        <v>232.5</v>
      </c>
      <c r="D3106" t="s">
        <v>184</v>
      </c>
      <c r="E3106" t="s">
        <v>176</v>
      </c>
      <c r="F3106" t="s">
        <v>181</v>
      </c>
      <c r="G3106" t="s">
        <v>180</v>
      </c>
    </row>
    <row r="3107" spans="1:7">
      <c r="A3107">
        <v>2021</v>
      </c>
      <c r="B3107" t="s">
        <v>193</v>
      </c>
      <c r="C3107">
        <v>1100</v>
      </c>
      <c r="D3107" t="s">
        <v>184</v>
      </c>
      <c r="E3107" t="s">
        <v>176</v>
      </c>
      <c r="F3107" t="s">
        <v>181</v>
      </c>
      <c r="G3107" t="s">
        <v>180</v>
      </c>
    </row>
    <row r="3108" spans="1:7">
      <c r="A3108">
        <v>2022</v>
      </c>
      <c r="B3108" t="s">
        <v>193</v>
      </c>
      <c r="C3108">
        <v>1100</v>
      </c>
      <c r="D3108" t="s">
        <v>184</v>
      </c>
      <c r="E3108" t="s">
        <v>176</v>
      </c>
      <c r="F3108" t="s">
        <v>181</v>
      </c>
      <c r="G3108" t="s">
        <v>180</v>
      </c>
    </row>
    <row r="3109" spans="1:7">
      <c r="A3109">
        <v>2023</v>
      </c>
      <c r="B3109" t="s">
        <v>193</v>
      </c>
      <c r="C3109">
        <v>0</v>
      </c>
      <c r="D3109" t="s">
        <v>184</v>
      </c>
      <c r="E3109" t="s">
        <v>176</v>
      </c>
      <c r="F3109" t="s">
        <v>181</v>
      </c>
      <c r="G3109" t="s">
        <v>180</v>
      </c>
    </row>
    <row r="3110" spans="1:7">
      <c r="A3110">
        <v>2024</v>
      </c>
      <c r="B3110" t="s">
        <v>193</v>
      </c>
      <c r="C3110">
        <v>0</v>
      </c>
      <c r="D3110" t="s">
        <v>184</v>
      </c>
      <c r="E3110" t="s">
        <v>176</v>
      </c>
      <c r="F3110" t="s">
        <v>181</v>
      </c>
      <c r="G3110" t="s">
        <v>180</v>
      </c>
    </row>
    <row r="3111" spans="1:7">
      <c r="A3111">
        <v>2025</v>
      </c>
      <c r="B3111" t="s">
        <v>193</v>
      </c>
      <c r="C3111">
        <v>0</v>
      </c>
      <c r="D3111" t="s">
        <v>184</v>
      </c>
      <c r="E3111" t="s">
        <v>176</v>
      </c>
      <c r="F3111" t="s">
        <v>181</v>
      </c>
      <c r="G3111" t="s">
        <v>180</v>
      </c>
    </row>
    <row r="3112" spans="1:7">
      <c r="A3112">
        <v>2026</v>
      </c>
      <c r="B3112" t="s">
        <v>193</v>
      </c>
      <c r="C3112">
        <v>0</v>
      </c>
      <c r="D3112" t="s">
        <v>184</v>
      </c>
      <c r="E3112" t="s">
        <v>176</v>
      </c>
      <c r="F3112" t="s">
        <v>181</v>
      </c>
      <c r="G3112" t="s">
        <v>180</v>
      </c>
    </row>
    <row r="3113" spans="1:7">
      <c r="A3113">
        <v>2027</v>
      </c>
      <c r="B3113" t="s">
        <v>193</v>
      </c>
      <c r="C3113">
        <v>0</v>
      </c>
      <c r="D3113" t="s">
        <v>184</v>
      </c>
      <c r="E3113" t="s">
        <v>176</v>
      </c>
      <c r="F3113" t="s">
        <v>181</v>
      </c>
      <c r="G3113" t="s">
        <v>180</v>
      </c>
    </row>
    <row r="3114" spans="1:7">
      <c r="A3114">
        <v>2028</v>
      </c>
      <c r="B3114" t="s">
        <v>193</v>
      </c>
      <c r="C3114">
        <v>0</v>
      </c>
      <c r="D3114" t="s">
        <v>184</v>
      </c>
      <c r="E3114" t="s">
        <v>176</v>
      </c>
      <c r="F3114" t="s">
        <v>181</v>
      </c>
      <c r="G3114" t="s">
        <v>180</v>
      </c>
    </row>
    <row r="3115" spans="1:7">
      <c r="A3115">
        <v>2029</v>
      </c>
      <c r="B3115" t="s">
        <v>193</v>
      </c>
      <c r="C3115">
        <v>0</v>
      </c>
      <c r="D3115" t="s">
        <v>184</v>
      </c>
      <c r="E3115" t="s">
        <v>176</v>
      </c>
      <c r="F3115" t="s">
        <v>181</v>
      </c>
      <c r="G3115" t="s">
        <v>180</v>
      </c>
    </row>
    <row r="3116" spans="1:7">
      <c r="A3116">
        <v>2030</v>
      </c>
      <c r="B3116" t="s">
        <v>193</v>
      </c>
      <c r="C3116">
        <v>0</v>
      </c>
      <c r="D3116" t="s">
        <v>184</v>
      </c>
      <c r="E3116" t="s">
        <v>176</v>
      </c>
      <c r="F3116" t="s">
        <v>181</v>
      </c>
      <c r="G3116" t="s">
        <v>180</v>
      </c>
    </row>
    <row r="3117" spans="1:7">
      <c r="A3117">
        <v>2031</v>
      </c>
      <c r="B3117" t="s">
        <v>193</v>
      </c>
      <c r="C3117">
        <v>0</v>
      </c>
      <c r="D3117" t="s">
        <v>184</v>
      </c>
      <c r="E3117" t="s">
        <v>176</v>
      </c>
      <c r="F3117" t="s">
        <v>181</v>
      </c>
      <c r="G3117" t="s">
        <v>180</v>
      </c>
    </row>
    <row r="3118" spans="1:7">
      <c r="A3118">
        <v>2032</v>
      </c>
      <c r="B3118" t="s">
        <v>193</v>
      </c>
      <c r="C3118">
        <v>0</v>
      </c>
      <c r="D3118" t="s">
        <v>184</v>
      </c>
      <c r="E3118" t="s">
        <v>176</v>
      </c>
      <c r="F3118" t="s">
        <v>181</v>
      </c>
      <c r="G3118" t="s">
        <v>180</v>
      </c>
    </row>
    <row r="3119" spans="1:7">
      <c r="A3119">
        <v>2033</v>
      </c>
      <c r="B3119" t="s">
        <v>193</v>
      </c>
      <c r="C3119">
        <v>0</v>
      </c>
      <c r="D3119" t="s">
        <v>184</v>
      </c>
      <c r="E3119" t="s">
        <v>176</v>
      </c>
      <c r="F3119" t="s">
        <v>181</v>
      </c>
      <c r="G3119" t="s">
        <v>180</v>
      </c>
    </row>
    <row r="3120" spans="1:7">
      <c r="A3120">
        <v>2034</v>
      </c>
      <c r="B3120" t="s">
        <v>193</v>
      </c>
      <c r="C3120">
        <v>0</v>
      </c>
      <c r="D3120" t="s">
        <v>184</v>
      </c>
      <c r="E3120" t="s">
        <v>176</v>
      </c>
      <c r="F3120" t="s">
        <v>181</v>
      </c>
      <c r="G3120" t="s">
        <v>180</v>
      </c>
    </row>
    <row r="3121" spans="1:7">
      <c r="A3121">
        <v>2035</v>
      </c>
      <c r="B3121" t="s">
        <v>193</v>
      </c>
      <c r="C3121">
        <v>0</v>
      </c>
      <c r="D3121" t="s">
        <v>184</v>
      </c>
      <c r="E3121" t="s">
        <v>176</v>
      </c>
      <c r="F3121" t="s">
        <v>181</v>
      </c>
      <c r="G3121" t="s">
        <v>180</v>
      </c>
    </row>
    <row r="3122" spans="1:7">
      <c r="A3122">
        <v>2020</v>
      </c>
      <c r="B3122" t="s">
        <v>194</v>
      </c>
      <c r="C3122">
        <v>14.85</v>
      </c>
      <c r="D3122" t="s">
        <v>184</v>
      </c>
      <c r="E3122" t="s">
        <v>176</v>
      </c>
      <c r="F3122" t="s">
        <v>181</v>
      </c>
      <c r="G3122" t="s">
        <v>180</v>
      </c>
    </row>
    <row r="3123" spans="1:7">
      <c r="A3123">
        <v>2021</v>
      </c>
      <c r="B3123" t="s">
        <v>194</v>
      </c>
      <c r="C3123">
        <v>0</v>
      </c>
      <c r="D3123" t="s">
        <v>184</v>
      </c>
      <c r="E3123" t="s">
        <v>176</v>
      </c>
      <c r="F3123" t="s">
        <v>181</v>
      </c>
      <c r="G3123" t="s">
        <v>180</v>
      </c>
    </row>
    <row r="3124" spans="1:7">
      <c r="A3124">
        <v>2022</v>
      </c>
      <c r="B3124" t="s">
        <v>194</v>
      </c>
      <c r="C3124">
        <v>0</v>
      </c>
      <c r="D3124" t="s">
        <v>184</v>
      </c>
      <c r="E3124" t="s">
        <v>176</v>
      </c>
      <c r="F3124" t="s">
        <v>181</v>
      </c>
      <c r="G3124" t="s">
        <v>180</v>
      </c>
    </row>
    <row r="3125" spans="1:7">
      <c r="A3125">
        <v>2023</v>
      </c>
      <c r="B3125" t="s">
        <v>194</v>
      </c>
      <c r="C3125">
        <v>0</v>
      </c>
      <c r="D3125" t="s">
        <v>184</v>
      </c>
      <c r="E3125" t="s">
        <v>176</v>
      </c>
      <c r="F3125" t="s">
        <v>181</v>
      </c>
      <c r="G3125" t="s">
        <v>180</v>
      </c>
    </row>
    <row r="3126" spans="1:7">
      <c r="A3126">
        <v>2024</v>
      </c>
      <c r="B3126" t="s">
        <v>194</v>
      </c>
      <c r="C3126">
        <v>0</v>
      </c>
      <c r="D3126" t="s">
        <v>184</v>
      </c>
      <c r="E3126" t="s">
        <v>176</v>
      </c>
      <c r="F3126" t="s">
        <v>181</v>
      </c>
      <c r="G3126" t="s">
        <v>180</v>
      </c>
    </row>
    <row r="3127" spans="1:7">
      <c r="A3127">
        <v>2025</v>
      </c>
      <c r="B3127" t="s">
        <v>194</v>
      </c>
      <c r="C3127">
        <v>0</v>
      </c>
      <c r="D3127" t="s">
        <v>184</v>
      </c>
      <c r="E3127" t="s">
        <v>176</v>
      </c>
      <c r="F3127" t="s">
        <v>181</v>
      </c>
      <c r="G3127" t="s">
        <v>180</v>
      </c>
    </row>
    <row r="3128" spans="1:7">
      <c r="A3128">
        <v>2026</v>
      </c>
      <c r="B3128" t="s">
        <v>194</v>
      </c>
      <c r="C3128">
        <v>0</v>
      </c>
      <c r="D3128" t="s">
        <v>184</v>
      </c>
      <c r="E3128" t="s">
        <v>176</v>
      </c>
      <c r="F3128" t="s">
        <v>181</v>
      </c>
      <c r="G3128" t="s">
        <v>180</v>
      </c>
    </row>
    <row r="3129" spans="1:7">
      <c r="A3129">
        <v>2027</v>
      </c>
      <c r="B3129" t="s">
        <v>194</v>
      </c>
      <c r="C3129">
        <v>0</v>
      </c>
      <c r="D3129" t="s">
        <v>184</v>
      </c>
      <c r="E3129" t="s">
        <v>176</v>
      </c>
      <c r="F3129" t="s">
        <v>181</v>
      </c>
      <c r="G3129" t="s">
        <v>180</v>
      </c>
    </row>
    <row r="3130" spans="1:7">
      <c r="A3130">
        <v>2028</v>
      </c>
      <c r="B3130" t="s">
        <v>194</v>
      </c>
      <c r="C3130">
        <v>0</v>
      </c>
      <c r="D3130" t="s">
        <v>184</v>
      </c>
      <c r="E3130" t="s">
        <v>176</v>
      </c>
      <c r="F3130" t="s">
        <v>181</v>
      </c>
      <c r="G3130" t="s">
        <v>180</v>
      </c>
    </row>
    <row r="3131" spans="1:7">
      <c r="A3131">
        <v>2029</v>
      </c>
      <c r="B3131" t="s">
        <v>194</v>
      </c>
      <c r="C3131">
        <v>0</v>
      </c>
      <c r="D3131" t="s">
        <v>184</v>
      </c>
      <c r="E3131" t="s">
        <v>176</v>
      </c>
      <c r="F3131" t="s">
        <v>181</v>
      </c>
      <c r="G3131" t="s">
        <v>180</v>
      </c>
    </row>
    <row r="3132" spans="1:7">
      <c r="A3132">
        <v>2030</v>
      </c>
      <c r="B3132" t="s">
        <v>194</v>
      </c>
      <c r="C3132">
        <v>0</v>
      </c>
      <c r="D3132" t="s">
        <v>184</v>
      </c>
      <c r="E3132" t="s">
        <v>176</v>
      </c>
      <c r="F3132" t="s">
        <v>181</v>
      </c>
      <c r="G3132" t="s">
        <v>180</v>
      </c>
    </row>
    <row r="3133" spans="1:7">
      <c r="A3133">
        <v>2031</v>
      </c>
      <c r="B3133" t="s">
        <v>194</v>
      </c>
      <c r="C3133">
        <v>0</v>
      </c>
      <c r="D3133" t="s">
        <v>184</v>
      </c>
      <c r="E3133" t="s">
        <v>176</v>
      </c>
      <c r="F3133" t="s">
        <v>181</v>
      </c>
      <c r="G3133" t="s">
        <v>180</v>
      </c>
    </row>
    <row r="3134" spans="1:7">
      <c r="A3134">
        <v>2032</v>
      </c>
      <c r="B3134" t="s">
        <v>194</v>
      </c>
      <c r="C3134">
        <v>0</v>
      </c>
      <c r="D3134" t="s">
        <v>184</v>
      </c>
      <c r="E3134" t="s">
        <v>176</v>
      </c>
      <c r="F3134" t="s">
        <v>181</v>
      </c>
      <c r="G3134" t="s">
        <v>180</v>
      </c>
    </row>
    <row r="3135" spans="1:7">
      <c r="A3135">
        <v>2033</v>
      </c>
      <c r="B3135" t="s">
        <v>194</v>
      </c>
      <c r="C3135">
        <v>0</v>
      </c>
      <c r="D3135" t="s">
        <v>184</v>
      </c>
      <c r="E3135" t="s">
        <v>176</v>
      </c>
      <c r="F3135" t="s">
        <v>181</v>
      </c>
      <c r="G3135" t="s">
        <v>180</v>
      </c>
    </row>
    <row r="3136" spans="1:7">
      <c r="A3136">
        <v>2034</v>
      </c>
      <c r="B3136" t="s">
        <v>194</v>
      </c>
      <c r="C3136">
        <v>0</v>
      </c>
      <c r="D3136" t="s">
        <v>184</v>
      </c>
      <c r="E3136" t="s">
        <v>176</v>
      </c>
      <c r="F3136" t="s">
        <v>181</v>
      </c>
      <c r="G3136" t="s">
        <v>180</v>
      </c>
    </row>
    <row r="3137" spans="1:7">
      <c r="A3137">
        <v>2035</v>
      </c>
      <c r="B3137" t="s">
        <v>194</v>
      </c>
      <c r="C3137">
        <v>0</v>
      </c>
      <c r="D3137" t="s">
        <v>184</v>
      </c>
      <c r="E3137" t="s">
        <v>176</v>
      </c>
      <c r="F3137" t="s">
        <v>181</v>
      </c>
      <c r="G3137" t="s">
        <v>180</v>
      </c>
    </row>
    <row r="3138" spans="1:7">
      <c r="A3138">
        <v>2020</v>
      </c>
      <c r="B3138" t="s">
        <v>195</v>
      </c>
      <c r="C3138">
        <v>10229.4</v>
      </c>
      <c r="D3138" t="s">
        <v>184</v>
      </c>
      <c r="E3138" t="s">
        <v>176</v>
      </c>
      <c r="F3138" t="s">
        <v>181</v>
      </c>
      <c r="G3138" t="s">
        <v>180</v>
      </c>
    </row>
    <row r="3139" spans="1:7">
      <c r="A3139">
        <v>2021</v>
      </c>
      <c r="B3139" t="s">
        <v>195</v>
      </c>
      <c r="C3139">
        <v>2311.84</v>
      </c>
      <c r="D3139" t="s">
        <v>184</v>
      </c>
      <c r="E3139" t="s">
        <v>176</v>
      </c>
      <c r="F3139" t="s">
        <v>181</v>
      </c>
      <c r="G3139" t="s">
        <v>180</v>
      </c>
    </row>
    <row r="3140" spans="1:7">
      <c r="A3140">
        <v>2022</v>
      </c>
      <c r="B3140" t="s">
        <v>195</v>
      </c>
      <c r="C3140">
        <v>2311.84</v>
      </c>
      <c r="D3140" t="s">
        <v>184</v>
      </c>
      <c r="E3140" t="s">
        <v>176</v>
      </c>
      <c r="F3140" t="s">
        <v>181</v>
      </c>
      <c r="G3140" t="s">
        <v>180</v>
      </c>
    </row>
    <row r="3141" spans="1:7">
      <c r="A3141">
        <v>2023</v>
      </c>
      <c r="B3141" t="s">
        <v>195</v>
      </c>
      <c r="C3141">
        <v>4738.99</v>
      </c>
      <c r="D3141" t="s">
        <v>184</v>
      </c>
      <c r="E3141" t="s">
        <v>176</v>
      </c>
      <c r="F3141" t="s">
        <v>181</v>
      </c>
      <c r="G3141" t="s">
        <v>180</v>
      </c>
    </row>
    <row r="3142" spans="1:7">
      <c r="A3142">
        <v>2024</v>
      </c>
      <c r="B3142" t="s">
        <v>195</v>
      </c>
      <c r="C3142">
        <v>4738.99</v>
      </c>
      <c r="D3142" t="s">
        <v>184</v>
      </c>
      <c r="E3142" t="s">
        <v>176</v>
      </c>
      <c r="F3142" t="s">
        <v>181</v>
      </c>
      <c r="G3142" t="s">
        <v>180</v>
      </c>
    </row>
    <row r="3143" spans="1:7">
      <c r="A3143">
        <v>2025</v>
      </c>
      <c r="B3143" t="s">
        <v>195</v>
      </c>
      <c r="C3143">
        <v>6278.46</v>
      </c>
      <c r="D3143" t="s">
        <v>184</v>
      </c>
      <c r="E3143" t="s">
        <v>176</v>
      </c>
      <c r="F3143" t="s">
        <v>181</v>
      </c>
      <c r="G3143" t="s">
        <v>180</v>
      </c>
    </row>
    <row r="3144" spans="1:7">
      <c r="A3144">
        <v>2026</v>
      </c>
      <c r="B3144" t="s">
        <v>195</v>
      </c>
      <c r="C3144">
        <v>6278.46</v>
      </c>
      <c r="D3144" t="s">
        <v>184</v>
      </c>
      <c r="E3144" t="s">
        <v>176</v>
      </c>
      <c r="F3144" t="s">
        <v>181</v>
      </c>
      <c r="G3144" t="s">
        <v>180</v>
      </c>
    </row>
    <row r="3145" spans="1:7">
      <c r="A3145">
        <v>2027</v>
      </c>
      <c r="B3145" t="s">
        <v>195</v>
      </c>
      <c r="C3145">
        <v>5255.61</v>
      </c>
      <c r="D3145" t="s">
        <v>184</v>
      </c>
      <c r="E3145" t="s">
        <v>176</v>
      </c>
      <c r="F3145" t="s">
        <v>181</v>
      </c>
      <c r="G3145" t="s">
        <v>180</v>
      </c>
    </row>
    <row r="3146" spans="1:7">
      <c r="A3146">
        <v>2028</v>
      </c>
      <c r="B3146" t="s">
        <v>195</v>
      </c>
      <c r="C3146">
        <v>5255.61</v>
      </c>
      <c r="D3146" t="s">
        <v>184</v>
      </c>
      <c r="E3146" t="s">
        <v>176</v>
      </c>
      <c r="F3146" t="s">
        <v>181</v>
      </c>
      <c r="G3146" t="s">
        <v>180</v>
      </c>
    </row>
    <row r="3147" spans="1:7">
      <c r="A3147">
        <v>2029</v>
      </c>
      <c r="B3147" t="s">
        <v>195</v>
      </c>
      <c r="C3147">
        <v>9834.39</v>
      </c>
      <c r="D3147" t="s">
        <v>184</v>
      </c>
      <c r="E3147" t="s">
        <v>176</v>
      </c>
      <c r="F3147" t="s">
        <v>181</v>
      </c>
      <c r="G3147" t="s">
        <v>180</v>
      </c>
    </row>
    <row r="3148" spans="1:7">
      <c r="A3148">
        <v>2030</v>
      </c>
      <c r="B3148" t="s">
        <v>195</v>
      </c>
      <c r="C3148">
        <v>9834.39</v>
      </c>
      <c r="D3148" t="s">
        <v>184</v>
      </c>
      <c r="E3148" t="s">
        <v>176</v>
      </c>
      <c r="F3148" t="s">
        <v>181</v>
      </c>
      <c r="G3148" t="s">
        <v>180</v>
      </c>
    </row>
    <row r="3149" spans="1:7">
      <c r="A3149">
        <v>2031</v>
      </c>
      <c r="B3149" t="s">
        <v>195</v>
      </c>
      <c r="C3149">
        <v>6214.11</v>
      </c>
      <c r="D3149" t="s">
        <v>184</v>
      </c>
      <c r="E3149" t="s">
        <v>176</v>
      </c>
      <c r="F3149" t="s">
        <v>181</v>
      </c>
      <c r="G3149" t="s">
        <v>180</v>
      </c>
    </row>
    <row r="3150" spans="1:7">
      <c r="A3150">
        <v>2032</v>
      </c>
      <c r="B3150" t="s">
        <v>195</v>
      </c>
      <c r="C3150">
        <v>6214.11</v>
      </c>
      <c r="D3150" t="s">
        <v>184</v>
      </c>
      <c r="E3150" t="s">
        <v>176</v>
      </c>
      <c r="F3150" t="s">
        <v>181</v>
      </c>
      <c r="G3150" t="s">
        <v>180</v>
      </c>
    </row>
    <row r="3151" spans="1:7">
      <c r="A3151">
        <v>2033</v>
      </c>
      <c r="B3151" t="s">
        <v>195</v>
      </c>
      <c r="C3151">
        <v>7838.37</v>
      </c>
      <c r="D3151" t="s">
        <v>184</v>
      </c>
      <c r="E3151" t="s">
        <v>176</v>
      </c>
      <c r="F3151" t="s">
        <v>181</v>
      </c>
      <c r="G3151" t="s">
        <v>180</v>
      </c>
    </row>
    <row r="3152" spans="1:7">
      <c r="A3152">
        <v>2034</v>
      </c>
      <c r="B3152" t="s">
        <v>195</v>
      </c>
      <c r="C3152">
        <v>7838.37</v>
      </c>
      <c r="D3152" t="s">
        <v>184</v>
      </c>
      <c r="E3152" t="s">
        <v>176</v>
      </c>
      <c r="F3152" t="s">
        <v>181</v>
      </c>
      <c r="G3152" t="s">
        <v>180</v>
      </c>
    </row>
    <row r="3153" spans="1:7">
      <c r="A3153">
        <v>2035</v>
      </c>
      <c r="B3153" t="s">
        <v>195</v>
      </c>
      <c r="C3153">
        <v>7838.37</v>
      </c>
      <c r="D3153" t="s">
        <v>184</v>
      </c>
      <c r="E3153" t="s">
        <v>176</v>
      </c>
      <c r="F3153" t="s">
        <v>181</v>
      </c>
      <c r="G3153" t="s">
        <v>180</v>
      </c>
    </row>
    <row r="3154" spans="1:7">
      <c r="A3154">
        <v>2020</v>
      </c>
      <c r="B3154" t="s">
        <v>196</v>
      </c>
      <c r="C3154">
        <v>8659.2800000000007</v>
      </c>
      <c r="D3154" t="s">
        <v>184</v>
      </c>
      <c r="E3154" t="s">
        <v>176</v>
      </c>
      <c r="F3154" t="s">
        <v>181</v>
      </c>
      <c r="G3154" t="s">
        <v>180</v>
      </c>
    </row>
    <row r="3155" spans="1:7">
      <c r="A3155">
        <v>2021</v>
      </c>
      <c r="B3155" t="s">
        <v>196</v>
      </c>
      <c r="C3155">
        <v>1550.73</v>
      </c>
      <c r="D3155" t="s">
        <v>184</v>
      </c>
      <c r="E3155" t="s">
        <v>176</v>
      </c>
      <c r="F3155" t="s">
        <v>181</v>
      </c>
      <c r="G3155" t="s">
        <v>180</v>
      </c>
    </row>
    <row r="3156" spans="1:7">
      <c r="A3156">
        <v>2022</v>
      </c>
      <c r="B3156" t="s">
        <v>196</v>
      </c>
      <c r="C3156">
        <v>1550.73</v>
      </c>
      <c r="D3156" t="s">
        <v>184</v>
      </c>
      <c r="E3156" t="s">
        <v>176</v>
      </c>
      <c r="F3156" t="s">
        <v>181</v>
      </c>
      <c r="G3156" t="s">
        <v>180</v>
      </c>
    </row>
    <row r="3157" spans="1:7">
      <c r="A3157">
        <v>2023</v>
      </c>
      <c r="B3157" t="s">
        <v>196</v>
      </c>
      <c r="C3157">
        <v>2550.5500000000002</v>
      </c>
      <c r="D3157" t="s">
        <v>184</v>
      </c>
      <c r="E3157" t="s">
        <v>176</v>
      </c>
      <c r="F3157" t="s">
        <v>181</v>
      </c>
      <c r="G3157" t="s">
        <v>180</v>
      </c>
    </row>
    <row r="3158" spans="1:7">
      <c r="A3158">
        <v>2024</v>
      </c>
      <c r="B3158" t="s">
        <v>196</v>
      </c>
      <c r="C3158">
        <v>2550.5500000000002</v>
      </c>
      <c r="D3158" t="s">
        <v>184</v>
      </c>
      <c r="E3158" t="s">
        <v>176</v>
      </c>
      <c r="F3158" t="s">
        <v>181</v>
      </c>
      <c r="G3158" t="s">
        <v>180</v>
      </c>
    </row>
    <row r="3159" spans="1:7">
      <c r="A3159">
        <v>2025</v>
      </c>
      <c r="B3159" t="s">
        <v>196</v>
      </c>
      <c r="C3159">
        <v>3328.85</v>
      </c>
      <c r="D3159" t="s">
        <v>184</v>
      </c>
      <c r="E3159" t="s">
        <v>176</v>
      </c>
      <c r="F3159" t="s">
        <v>181</v>
      </c>
      <c r="G3159" t="s">
        <v>180</v>
      </c>
    </row>
    <row r="3160" spans="1:7">
      <c r="A3160">
        <v>2026</v>
      </c>
      <c r="B3160" t="s">
        <v>196</v>
      </c>
      <c r="C3160">
        <v>3328.85</v>
      </c>
      <c r="D3160" t="s">
        <v>184</v>
      </c>
      <c r="E3160" t="s">
        <v>176</v>
      </c>
      <c r="F3160" t="s">
        <v>181</v>
      </c>
      <c r="G3160" t="s">
        <v>180</v>
      </c>
    </row>
    <row r="3161" spans="1:7">
      <c r="A3161">
        <v>2027</v>
      </c>
      <c r="B3161" t="s">
        <v>196</v>
      </c>
      <c r="C3161">
        <v>3023.49</v>
      </c>
      <c r="D3161" t="s">
        <v>184</v>
      </c>
      <c r="E3161" t="s">
        <v>176</v>
      </c>
      <c r="F3161" t="s">
        <v>181</v>
      </c>
      <c r="G3161" t="s">
        <v>180</v>
      </c>
    </row>
    <row r="3162" spans="1:7">
      <c r="A3162">
        <v>2028</v>
      </c>
      <c r="B3162" t="s">
        <v>196</v>
      </c>
      <c r="C3162">
        <v>3023.49</v>
      </c>
      <c r="D3162" t="s">
        <v>184</v>
      </c>
      <c r="E3162" t="s">
        <v>176</v>
      </c>
      <c r="F3162" t="s">
        <v>181</v>
      </c>
      <c r="G3162" t="s">
        <v>180</v>
      </c>
    </row>
    <row r="3163" spans="1:7">
      <c r="A3163">
        <v>2029</v>
      </c>
      <c r="B3163" t="s">
        <v>196</v>
      </c>
      <c r="C3163">
        <v>5704.57</v>
      </c>
      <c r="D3163" t="s">
        <v>184</v>
      </c>
      <c r="E3163" t="s">
        <v>176</v>
      </c>
      <c r="F3163" t="s">
        <v>181</v>
      </c>
      <c r="G3163" t="s">
        <v>180</v>
      </c>
    </row>
    <row r="3164" spans="1:7">
      <c r="A3164">
        <v>2030</v>
      </c>
      <c r="B3164" t="s">
        <v>196</v>
      </c>
      <c r="C3164">
        <v>5704.57</v>
      </c>
      <c r="D3164" t="s">
        <v>184</v>
      </c>
      <c r="E3164" t="s">
        <v>176</v>
      </c>
      <c r="F3164" t="s">
        <v>181</v>
      </c>
      <c r="G3164" t="s">
        <v>180</v>
      </c>
    </row>
    <row r="3165" spans="1:7">
      <c r="A3165">
        <v>2031</v>
      </c>
      <c r="B3165" t="s">
        <v>196</v>
      </c>
      <c r="C3165">
        <v>2572.7199999999998</v>
      </c>
      <c r="D3165" t="s">
        <v>184</v>
      </c>
      <c r="E3165" t="s">
        <v>176</v>
      </c>
      <c r="F3165" t="s">
        <v>181</v>
      </c>
      <c r="G3165" t="s">
        <v>180</v>
      </c>
    </row>
    <row r="3166" spans="1:7">
      <c r="A3166">
        <v>2032</v>
      </c>
      <c r="B3166" t="s">
        <v>196</v>
      </c>
      <c r="C3166">
        <v>2572.7199999999998</v>
      </c>
      <c r="D3166" t="s">
        <v>184</v>
      </c>
      <c r="E3166" t="s">
        <v>176</v>
      </c>
      <c r="F3166" t="s">
        <v>181</v>
      </c>
      <c r="G3166" t="s">
        <v>180</v>
      </c>
    </row>
    <row r="3167" spans="1:7">
      <c r="A3167">
        <v>2033</v>
      </c>
      <c r="B3167" t="s">
        <v>196</v>
      </c>
      <c r="C3167">
        <v>2645.56</v>
      </c>
      <c r="D3167" t="s">
        <v>184</v>
      </c>
      <c r="E3167" t="s">
        <v>176</v>
      </c>
      <c r="F3167" t="s">
        <v>181</v>
      </c>
      <c r="G3167" t="s">
        <v>180</v>
      </c>
    </row>
    <row r="3168" spans="1:7">
      <c r="A3168">
        <v>2034</v>
      </c>
      <c r="B3168" t="s">
        <v>196</v>
      </c>
      <c r="C3168">
        <v>2645.56</v>
      </c>
      <c r="D3168" t="s">
        <v>184</v>
      </c>
      <c r="E3168" t="s">
        <v>176</v>
      </c>
      <c r="F3168" t="s">
        <v>181</v>
      </c>
      <c r="G3168" t="s">
        <v>180</v>
      </c>
    </row>
    <row r="3169" spans="1:7">
      <c r="A3169">
        <v>2035</v>
      </c>
      <c r="B3169" t="s">
        <v>196</v>
      </c>
      <c r="C3169">
        <v>2645.56</v>
      </c>
      <c r="D3169" t="s">
        <v>184</v>
      </c>
      <c r="E3169" t="s">
        <v>176</v>
      </c>
      <c r="F3169" t="s">
        <v>181</v>
      </c>
      <c r="G3169" t="s">
        <v>180</v>
      </c>
    </row>
    <row r="3170" spans="1:7">
      <c r="A3170">
        <v>2020</v>
      </c>
      <c r="B3170" t="s">
        <v>188</v>
      </c>
      <c r="C3170">
        <v>102.45</v>
      </c>
      <c r="D3170" t="s">
        <v>183</v>
      </c>
      <c r="E3170" t="s">
        <v>182</v>
      </c>
      <c r="F3170" t="s">
        <v>177</v>
      </c>
      <c r="G3170" t="s">
        <v>178</v>
      </c>
    </row>
    <row r="3171" spans="1:7">
      <c r="A3171">
        <v>2021</v>
      </c>
      <c r="B3171" t="s">
        <v>188</v>
      </c>
      <c r="C3171">
        <v>9.5</v>
      </c>
      <c r="D3171" t="s">
        <v>183</v>
      </c>
      <c r="E3171" t="s">
        <v>182</v>
      </c>
      <c r="F3171" t="s">
        <v>177</v>
      </c>
      <c r="G3171" t="s">
        <v>178</v>
      </c>
    </row>
    <row r="3172" spans="1:7">
      <c r="A3172">
        <v>2022</v>
      </c>
      <c r="B3172" t="s">
        <v>188</v>
      </c>
      <c r="C3172">
        <v>9.5</v>
      </c>
      <c r="D3172" t="s">
        <v>183</v>
      </c>
      <c r="E3172" t="s">
        <v>182</v>
      </c>
      <c r="F3172" t="s">
        <v>177</v>
      </c>
      <c r="G3172" t="s">
        <v>178</v>
      </c>
    </row>
    <row r="3173" spans="1:7">
      <c r="A3173">
        <v>2023</v>
      </c>
      <c r="B3173" t="s">
        <v>188</v>
      </c>
      <c r="C3173">
        <v>0</v>
      </c>
      <c r="D3173" t="s">
        <v>183</v>
      </c>
      <c r="E3173" t="s">
        <v>182</v>
      </c>
      <c r="F3173" t="s">
        <v>177</v>
      </c>
      <c r="G3173" t="s">
        <v>178</v>
      </c>
    </row>
    <row r="3174" spans="1:7">
      <c r="A3174">
        <v>2024</v>
      </c>
      <c r="B3174" t="s">
        <v>188</v>
      </c>
      <c r="C3174">
        <v>0</v>
      </c>
      <c r="D3174" t="s">
        <v>183</v>
      </c>
      <c r="E3174" t="s">
        <v>182</v>
      </c>
      <c r="F3174" t="s">
        <v>177</v>
      </c>
      <c r="G3174" t="s">
        <v>178</v>
      </c>
    </row>
    <row r="3175" spans="1:7">
      <c r="A3175">
        <v>2025</v>
      </c>
      <c r="B3175" t="s">
        <v>188</v>
      </c>
      <c r="C3175">
        <v>0</v>
      </c>
      <c r="D3175" t="s">
        <v>183</v>
      </c>
      <c r="E3175" t="s">
        <v>182</v>
      </c>
      <c r="F3175" t="s">
        <v>177</v>
      </c>
      <c r="G3175" t="s">
        <v>178</v>
      </c>
    </row>
    <row r="3176" spans="1:7">
      <c r="A3176">
        <v>2026</v>
      </c>
      <c r="B3176" t="s">
        <v>188</v>
      </c>
      <c r="C3176">
        <v>0</v>
      </c>
      <c r="D3176" t="s">
        <v>183</v>
      </c>
      <c r="E3176" t="s">
        <v>182</v>
      </c>
      <c r="F3176" t="s">
        <v>177</v>
      </c>
      <c r="G3176" t="s">
        <v>178</v>
      </c>
    </row>
    <row r="3177" spans="1:7">
      <c r="A3177">
        <v>2027</v>
      </c>
      <c r="B3177" t="s">
        <v>188</v>
      </c>
      <c r="C3177">
        <v>0</v>
      </c>
      <c r="D3177" t="s">
        <v>183</v>
      </c>
      <c r="E3177" t="s">
        <v>182</v>
      </c>
      <c r="F3177" t="s">
        <v>177</v>
      </c>
      <c r="G3177" t="s">
        <v>178</v>
      </c>
    </row>
    <row r="3178" spans="1:7">
      <c r="A3178">
        <v>2028</v>
      </c>
      <c r="B3178" t="s">
        <v>188</v>
      </c>
      <c r="C3178">
        <v>0</v>
      </c>
      <c r="D3178" t="s">
        <v>183</v>
      </c>
      <c r="E3178" t="s">
        <v>182</v>
      </c>
      <c r="F3178" t="s">
        <v>177</v>
      </c>
      <c r="G3178" t="s">
        <v>178</v>
      </c>
    </row>
    <row r="3179" spans="1:7">
      <c r="A3179">
        <v>2029</v>
      </c>
      <c r="B3179" t="s">
        <v>188</v>
      </c>
      <c r="C3179">
        <v>0</v>
      </c>
      <c r="D3179" t="s">
        <v>183</v>
      </c>
      <c r="E3179" t="s">
        <v>182</v>
      </c>
      <c r="F3179" t="s">
        <v>177</v>
      </c>
      <c r="G3179" t="s">
        <v>178</v>
      </c>
    </row>
    <row r="3180" spans="1:7">
      <c r="A3180">
        <v>2030</v>
      </c>
      <c r="B3180" t="s">
        <v>188</v>
      </c>
      <c r="C3180">
        <v>0</v>
      </c>
      <c r="D3180" t="s">
        <v>183</v>
      </c>
      <c r="E3180" t="s">
        <v>182</v>
      </c>
      <c r="F3180" t="s">
        <v>177</v>
      </c>
      <c r="G3180" t="s">
        <v>178</v>
      </c>
    </row>
    <row r="3181" spans="1:7">
      <c r="A3181">
        <v>2031</v>
      </c>
      <c r="B3181" t="s">
        <v>188</v>
      </c>
      <c r="C3181">
        <v>0</v>
      </c>
      <c r="D3181" t="s">
        <v>183</v>
      </c>
      <c r="E3181" t="s">
        <v>182</v>
      </c>
      <c r="F3181" t="s">
        <v>177</v>
      </c>
      <c r="G3181" t="s">
        <v>178</v>
      </c>
    </row>
    <row r="3182" spans="1:7">
      <c r="A3182">
        <v>2032</v>
      </c>
      <c r="B3182" t="s">
        <v>188</v>
      </c>
      <c r="C3182">
        <v>0</v>
      </c>
      <c r="D3182" t="s">
        <v>183</v>
      </c>
      <c r="E3182" t="s">
        <v>182</v>
      </c>
      <c r="F3182" t="s">
        <v>177</v>
      </c>
      <c r="G3182" t="s">
        <v>178</v>
      </c>
    </row>
    <row r="3183" spans="1:7">
      <c r="A3183">
        <v>2033</v>
      </c>
      <c r="B3183" t="s">
        <v>188</v>
      </c>
      <c r="C3183">
        <v>0</v>
      </c>
      <c r="D3183" t="s">
        <v>183</v>
      </c>
      <c r="E3183" t="s">
        <v>182</v>
      </c>
      <c r="F3183" t="s">
        <v>177</v>
      </c>
      <c r="G3183" t="s">
        <v>178</v>
      </c>
    </row>
    <row r="3184" spans="1:7">
      <c r="A3184">
        <v>2034</v>
      </c>
      <c r="B3184" t="s">
        <v>188</v>
      </c>
      <c r="C3184">
        <v>0</v>
      </c>
      <c r="D3184" t="s">
        <v>183</v>
      </c>
      <c r="E3184" t="s">
        <v>182</v>
      </c>
      <c r="F3184" t="s">
        <v>177</v>
      </c>
      <c r="G3184" t="s">
        <v>178</v>
      </c>
    </row>
    <row r="3185" spans="1:7">
      <c r="A3185">
        <v>2035</v>
      </c>
      <c r="B3185" t="s">
        <v>188</v>
      </c>
      <c r="C3185">
        <v>0</v>
      </c>
      <c r="D3185" t="s">
        <v>183</v>
      </c>
      <c r="E3185" t="s">
        <v>182</v>
      </c>
      <c r="F3185" t="s">
        <v>177</v>
      </c>
      <c r="G3185" t="s">
        <v>178</v>
      </c>
    </row>
    <row r="3186" spans="1:7">
      <c r="A3186">
        <v>2020</v>
      </c>
      <c r="B3186" t="s">
        <v>189</v>
      </c>
      <c r="C3186">
        <v>0</v>
      </c>
      <c r="D3186" t="s">
        <v>183</v>
      </c>
      <c r="E3186" t="s">
        <v>182</v>
      </c>
      <c r="F3186" t="s">
        <v>177</v>
      </c>
      <c r="G3186" t="s">
        <v>178</v>
      </c>
    </row>
    <row r="3187" spans="1:7">
      <c r="A3187">
        <v>2021</v>
      </c>
      <c r="B3187" t="s">
        <v>189</v>
      </c>
      <c r="C3187">
        <v>0</v>
      </c>
      <c r="D3187" t="s">
        <v>183</v>
      </c>
      <c r="E3187" t="s">
        <v>182</v>
      </c>
      <c r="F3187" t="s">
        <v>177</v>
      </c>
      <c r="G3187" t="s">
        <v>178</v>
      </c>
    </row>
    <row r="3188" spans="1:7">
      <c r="A3188">
        <v>2022</v>
      </c>
      <c r="B3188" t="s">
        <v>189</v>
      </c>
      <c r="C3188">
        <v>0</v>
      </c>
      <c r="D3188" t="s">
        <v>183</v>
      </c>
      <c r="E3188" t="s">
        <v>182</v>
      </c>
      <c r="F3188" t="s">
        <v>177</v>
      </c>
      <c r="G3188" t="s">
        <v>178</v>
      </c>
    </row>
    <row r="3189" spans="1:7">
      <c r="A3189">
        <v>2023</v>
      </c>
      <c r="B3189" t="s">
        <v>189</v>
      </c>
      <c r="C3189">
        <v>0</v>
      </c>
      <c r="D3189" t="s">
        <v>183</v>
      </c>
      <c r="E3189" t="s">
        <v>182</v>
      </c>
      <c r="F3189" t="s">
        <v>177</v>
      </c>
      <c r="G3189" t="s">
        <v>178</v>
      </c>
    </row>
    <row r="3190" spans="1:7">
      <c r="A3190">
        <v>2024</v>
      </c>
      <c r="B3190" t="s">
        <v>189</v>
      </c>
      <c r="C3190">
        <v>0</v>
      </c>
      <c r="D3190" t="s">
        <v>183</v>
      </c>
      <c r="E3190" t="s">
        <v>182</v>
      </c>
      <c r="F3190" t="s">
        <v>177</v>
      </c>
      <c r="G3190" t="s">
        <v>178</v>
      </c>
    </row>
    <row r="3191" spans="1:7">
      <c r="A3191">
        <v>2025</v>
      </c>
      <c r="B3191" t="s">
        <v>189</v>
      </c>
      <c r="C3191">
        <v>0</v>
      </c>
      <c r="D3191" t="s">
        <v>183</v>
      </c>
      <c r="E3191" t="s">
        <v>182</v>
      </c>
      <c r="F3191" t="s">
        <v>177</v>
      </c>
      <c r="G3191" t="s">
        <v>178</v>
      </c>
    </row>
    <row r="3192" spans="1:7">
      <c r="A3192">
        <v>2026</v>
      </c>
      <c r="B3192" t="s">
        <v>189</v>
      </c>
      <c r="C3192">
        <v>0</v>
      </c>
      <c r="D3192" t="s">
        <v>183</v>
      </c>
      <c r="E3192" t="s">
        <v>182</v>
      </c>
      <c r="F3192" t="s">
        <v>177</v>
      </c>
      <c r="G3192" t="s">
        <v>178</v>
      </c>
    </row>
    <row r="3193" spans="1:7">
      <c r="A3193">
        <v>2027</v>
      </c>
      <c r="B3193" t="s">
        <v>189</v>
      </c>
      <c r="C3193">
        <v>0</v>
      </c>
      <c r="D3193" t="s">
        <v>183</v>
      </c>
      <c r="E3193" t="s">
        <v>182</v>
      </c>
      <c r="F3193" t="s">
        <v>177</v>
      </c>
      <c r="G3193" t="s">
        <v>178</v>
      </c>
    </row>
    <row r="3194" spans="1:7">
      <c r="A3194">
        <v>2028</v>
      </c>
      <c r="B3194" t="s">
        <v>189</v>
      </c>
      <c r="C3194">
        <v>0</v>
      </c>
      <c r="D3194" t="s">
        <v>183</v>
      </c>
      <c r="E3194" t="s">
        <v>182</v>
      </c>
      <c r="F3194" t="s">
        <v>177</v>
      </c>
      <c r="G3194" t="s">
        <v>178</v>
      </c>
    </row>
    <row r="3195" spans="1:7">
      <c r="A3195">
        <v>2029</v>
      </c>
      <c r="B3195" t="s">
        <v>189</v>
      </c>
      <c r="C3195">
        <v>0</v>
      </c>
      <c r="D3195" t="s">
        <v>183</v>
      </c>
      <c r="E3195" t="s">
        <v>182</v>
      </c>
      <c r="F3195" t="s">
        <v>177</v>
      </c>
      <c r="G3195" t="s">
        <v>178</v>
      </c>
    </row>
    <row r="3196" spans="1:7">
      <c r="A3196">
        <v>2030</v>
      </c>
      <c r="B3196" t="s">
        <v>189</v>
      </c>
      <c r="C3196">
        <v>0</v>
      </c>
      <c r="D3196" t="s">
        <v>183</v>
      </c>
      <c r="E3196" t="s">
        <v>182</v>
      </c>
      <c r="F3196" t="s">
        <v>177</v>
      </c>
      <c r="G3196" t="s">
        <v>178</v>
      </c>
    </row>
    <row r="3197" spans="1:7">
      <c r="A3197">
        <v>2031</v>
      </c>
      <c r="B3197" t="s">
        <v>189</v>
      </c>
      <c r="C3197">
        <v>0</v>
      </c>
      <c r="D3197" t="s">
        <v>183</v>
      </c>
      <c r="E3197" t="s">
        <v>182</v>
      </c>
      <c r="F3197" t="s">
        <v>177</v>
      </c>
      <c r="G3197" t="s">
        <v>178</v>
      </c>
    </row>
    <row r="3198" spans="1:7">
      <c r="A3198">
        <v>2032</v>
      </c>
      <c r="B3198" t="s">
        <v>189</v>
      </c>
      <c r="C3198">
        <v>0</v>
      </c>
      <c r="D3198" t="s">
        <v>183</v>
      </c>
      <c r="E3198" t="s">
        <v>182</v>
      </c>
      <c r="F3198" t="s">
        <v>177</v>
      </c>
      <c r="G3198" t="s">
        <v>178</v>
      </c>
    </row>
    <row r="3199" spans="1:7">
      <c r="A3199">
        <v>2033</v>
      </c>
      <c r="B3199" t="s">
        <v>189</v>
      </c>
      <c r="C3199">
        <v>0</v>
      </c>
      <c r="D3199" t="s">
        <v>183</v>
      </c>
      <c r="E3199" t="s">
        <v>182</v>
      </c>
      <c r="F3199" t="s">
        <v>177</v>
      </c>
      <c r="G3199" t="s">
        <v>178</v>
      </c>
    </row>
    <row r="3200" spans="1:7">
      <c r="A3200">
        <v>2034</v>
      </c>
      <c r="B3200" t="s">
        <v>189</v>
      </c>
      <c r="C3200">
        <v>0</v>
      </c>
      <c r="D3200" t="s">
        <v>183</v>
      </c>
      <c r="E3200" t="s">
        <v>182</v>
      </c>
      <c r="F3200" t="s">
        <v>177</v>
      </c>
      <c r="G3200" t="s">
        <v>178</v>
      </c>
    </row>
    <row r="3201" spans="1:7">
      <c r="A3201">
        <v>2035</v>
      </c>
      <c r="B3201" t="s">
        <v>189</v>
      </c>
      <c r="C3201">
        <v>0</v>
      </c>
      <c r="D3201" t="s">
        <v>183</v>
      </c>
      <c r="E3201" t="s">
        <v>182</v>
      </c>
      <c r="F3201" t="s">
        <v>177</v>
      </c>
      <c r="G3201" t="s">
        <v>178</v>
      </c>
    </row>
    <row r="3202" spans="1:7">
      <c r="A3202">
        <v>2020</v>
      </c>
      <c r="B3202" t="s">
        <v>190</v>
      </c>
      <c r="C3202">
        <v>11059.73</v>
      </c>
      <c r="D3202" t="s">
        <v>183</v>
      </c>
      <c r="E3202" t="s">
        <v>182</v>
      </c>
      <c r="F3202" t="s">
        <v>177</v>
      </c>
      <c r="G3202" t="s">
        <v>178</v>
      </c>
    </row>
    <row r="3203" spans="1:7">
      <c r="A3203">
        <v>2021</v>
      </c>
      <c r="B3203" t="s">
        <v>190</v>
      </c>
      <c r="C3203">
        <v>0</v>
      </c>
      <c r="D3203" t="s">
        <v>183</v>
      </c>
      <c r="E3203" t="s">
        <v>182</v>
      </c>
      <c r="F3203" t="s">
        <v>177</v>
      </c>
      <c r="G3203" t="s">
        <v>178</v>
      </c>
    </row>
    <row r="3204" spans="1:7">
      <c r="A3204">
        <v>2022</v>
      </c>
      <c r="B3204" t="s">
        <v>190</v>
      </c>
      <c r="C3204">
        <v>0</v>
      </c>
      <c r="D3204" t="s">
        <v>183</v>
      </c>
      <c r="E3204" t="s">
        <v>182</v>
      </c>
      <c r="F3204" t="s">
        <v>177</v>
      </c>
      <c r="G3204" t="s">
        <v>178</v>
      </c>
    </row>
    <row r="3205" spans="1:7">
      <c r="A3205">
        <v>2023</v>
      </c>
      <c r="B3205" t="s">
        <v>190</v>
      </c>
      <c r="C3205">
        <v>0</v>
      </c>
      <c r="D3205" t="s">
        <v>183</v>
      </c>
      <c r="E3205" t="s">
        <v>182</v>
      </c>
      <c r="F3205" t="s">
        <v>177</v>
      </c>
      <c r="G3205" t="s">
        <v>178</v>
      </c>
    </row>
    <row r="3206" spans="1:7">
      <c r="A3206">
        <v>2024</v>
      </c>
      <c r="B3206" t="s">
        <v>190</v>
      </c>
      <c r="C3206">
        <v>0</v>
      </c>
      <c r="D3206" t="s">
        <v>183</v>
      </c>
      <c r="E3206" t="s">
        <v>182</v>
      </c>
      <c r="F3206" t="s">
        <v>177</v>
      </c>
      <c r="G3206" t="s">
        <v>178</v>
      </c>
    </row>
    <row r="3207" spans="1:7">
      <c r="A3207">
        <v>2025</v>
      </c>
      <c r="B3207" t="s">
        <v>190</v>
      </c>
      <c r="C3207">
        <v>0</v>
      </c>
      <c r="D3207" t="s">
        <v>183</v>
      </c>
      <c r="E3207" t="s">
        <v>182</v>
      </c>
      <c r="F3207" t="s">
        <v>177</v>
      </c>
      <c r="G3207" t="s">
        <v>178</v>
      </c>
    </row>
    <row r="3208" spans="1:7">
      <c r="A3208">
        <v>2026</v>
      </c>
      <c r="B3208" t="s">
        <v>190</v>
      </c>
      <c r="C3208">
        <v>0</v>
      </c>
      <c r="D3208" t="s">
        <v>183</v>
      </c>
      <c r="E3208" t="s">
        <v>182</v>
      </c>
      <c r="F3208" t="s">
        <v>177</v>
      </c>
      <c r="G3208" t="s">
        <v>178</v>
      </c>
    </row>
    <row r="3209" spans="1:7">
      <c r="A3209">
        <v>2027</v>
      </c>
      <c r="B3209" t="s">
        <v>190</v>
      </c>
      <c r="C3209">
        <v>0</v>
      </c>
      <c r="D3209" t="s">
        <v>183</v>
      </c>
      <c r="E3209" t="s">
        <v>182</v>
      </c>
      <c r="F3209" t="s">
        <v>177</v>
      </c>
      <c r="G3209" t="s">
        <v>178</v>
      </c>
    </row>
    <row r="3210" spans="1:7">
      <c r="A3210">
        <v>2028</v>
      </c>
      <c r="B3210" t="s">
        <v>190</v>
      </c>
      <c r="C3210">
        <v>0</v>
      </c>
      <c r="D3210" t="s">
        <v>183</v>
      </c>
      <c r="E3210" t="s">
        <v>182</v>
      </c>
      <c r="F3210" t="s">
        <v>177</v>
      </c>
      <c r="G3210" t="s">
        <v>178</v>
      </c>
    </row>
    <row r="3211" spans="1:7">
      <c r="A3211">
        <v>2029</v>
      </c>
      <c r="B3211" t="s">
        <v>190</v>
      </c>
      <c r="C3211">
        <v>0</v>
      </c>
      <c r="D3211" t="s">
        <v>183</v>
      </c>
      <c r="E3211" t="s">
        <v>182</v>
      </c>
      <c r="F3211" t="s">
        <v>177</v>
      </c>
      <c r="G3211" t="s">
        <v>178</v>
      </c>
    </row>
    <row r="3212" spans="1:7">
      <c r="A3212">
        <v>2030</v>
      </c>
      <c r="B3212" t="s">
        <v>190</v>
      </c>
      <c r="C3212">
        <v>0</v>
      </c>
      <c r="D3212" t="s">
        <v>183</v>
      </c>
      <c r="E3212" t="s">
        <v>182</v>
      </c>
      <c r="F3212" t="s">
        <v>177</v>
      </c>
      <c r="G3212" t="s">
        <v>178</v>
      </c>
    </row>
    <row r="3213" spans="1:7">
      <c r="A3213">
        <v>2031</v>
      </c>
      <c r="B3213" t="s">
        <v>190</v>
      </c>
      <c r="C3213">
        <v>0</v>
      </c>
      <c r="D3213" t="s">
        <v>183</v>
      </c>
      <c r="E3213" t="s">
        <v>182</v>
      </c>
      <c r="F3213" t="s">
        <v>177</v>
      </c>
      <c r="G3213" t="s">
        <v>178</v>
      </c>
    </row>
    <row r="3214" spans="1:7">
      <c r="A3214">
        <v>2032</v>
      </c>
      <c r="B3214" t="s">
        <v>190</v>
      </c>
      <c r="C3214">
        <v>0</v>
      </c>
      <c r="D3214" t="s">
        <v>183</v>
      </c>
      <c r="E3214" t="s">
        <v>182</v>
      </c>
      <c r="F3214" t="s">
        <v>177</v>
      </c>
      <c r="G3214" t="s">
        <v>178</v>
      </c>
    </row>
    <row r="3215" spans="1:7">
      <c r="A3215">
        <v>2033</v>
      </c>
      <c r="B3215" t="s">
        <v>190</v>
      </c>
      <c r="C3215">
        <v>0</v>
      </c>
      <c r="D3215" t="s">
        <v>183</v>
      </c>
      <c r="E3215" t="s">
        <v>182</v>
      </c>
      <c r="F3215" t="s">
        <v>177</v>
      </c>
      <c r="G3215" t="s">
        <v>178</v>
      </c>
    </row>
    <row r="3216" spans="1:7">
      <c r="A3216">
        <v>2034</v>
      </c>
      <c r="B3216" t="s">
        <v>190</v>
      </c>
      <c r="C3216">
        <v>0</v>
      </c>
      <c r="D3216" t="s">
        <v>183</v>
      </c>
      <c r="E3216" t="s">
        <v>182</v>
      </c>
      <c r="F3216" t="s">
        <v>177</v>
      </c>
      <c r="G3216" t="s">
        <v>178</v>
      </c>
    </row>
    <row r="3217" spans="1:7">
      <c r="A3217">
        <v>2035</v>
      </c>
      <c r="B3217" t="s">
        <v>190</v>
      </c>
      <c r="C3217">
        <v>0</v>
      </c>
      <c r="D3217" t="s">
        <v>183</v>
      </c>
      <c r="E3217" t="s">
        <v>182</v>
      </c>
      <c r="F3217" t="s">
        <v>177</v>
      </c>
      <c r="G3217" t="s">
        <v>178</v>
      </c>
    </row>
    <row r="3218" spans="1:7">
      <c r="A3218">
        <v>2020</v>
      </c>
      <c r="B3218" t="s">
        <v>191</v>
      </c>
      <c r="C3218">
        <v>0</v>
      </c>
      <c r="D3218" t="s">
        <v>183</v>
      </c>
      <c r="E3218" t="s">
        <v>182</v>
      </c>
      <c r="F3218" t="s">
        <v>177</v>
      </c>
      <c r="G3218" t="s">
        <v>178</v>
      </c>
    </row>
    <row r="3219" spans="1:7">
      <c r="A3219">
        <v>2021</v>
      </c>
      <c r="B3219" t="s">
        <v>191</v>
      </c>
      <c r="C3219">
        <v>0</v>
      </c>
      <c r="D3219" t="s">
        <v>183</v>
      </c>
      <c r="E3219" t="s">
        <v>182</v>
      </c>
      <c r="F3219" t="s">
        <v>177</v>
      </c>
      <c r="G3219" t="s">
        <v>178</v>
      </c>
    </row>
    <row r="3220" spans="1:7">
      <c r="A3220">
        <v>2022</v>
      </c>
      <c r="B3220" t="s">
        <v>191</v>
      </c>
      <c r="C3220">
        <v>0</v>
      </c>
      <c r="D3220" t="s">
        <v>183</v>
      </c>
      <c r="E3220" t="s">
        <v>182</v>
      </c>
      <c r="F3220" t="s">
        <v>177</v>
      </c>
      <c r="G3220" t="s">
        <v>178</v>
      </c>
    </row>
    <row r="3221" spans="1:7">
      <c r="A3221">
        <v>2023</v>
      </c>
      <c r="B3221" t="s">
        <v>191</v>
      </c>
      <c r="C3221">
        <v>0</v>
      </c>
      <c r="D3221" t="s">
        <v>183</v>
      </c>
      <c r="E3221" t="s">
        <v>182</v>
      </c>
      <c r="F3221" t="s">
        <v>177</v>
      </c>
      <c r="G3221" t="s">
        <v>178</v>
      </c>
    </row>
    <row r="3222" spans="1:7">
      <c r="A3222">
        <v>2024</v>
      </c>
      <c r="B3222" t="s">
        <v>191</v>
      </c>
      <c r="C3222">
        <v>0</v>
      </c>
      <c r="D3222" t="s">
        <v>183</v>
      </c>
      <c r="E3222" t="s">
        <v>182</v>
      </c>
      <c r="F3222" t="s">
        <v>177</v>
      </c>
      <c r="G3222" t="s">
        <v>178</v>
      </c>
    </row>
    <row r="3223" spans="1:7">
      <c r="A3223">
        <v>2025</v>
      </c>
      <c r="B3223" t="s">
        <v>191</v>
      </c>
      <c r="C3223">
        <v>0</v>
      </c>
      <c r="D3223" t="s">
        <v>183</v>
      </c>
      <c r="E3223" t="s">
        <v>182</v>
      </c>
      <c r="F3223" t="s">
        <v>177</v>
      </c>
      <c r="G3223" t="s">
        <v>178</v>
      </c>
    </row>
    <row r="3224" spans="1:7">
      <c r="A3224">
        <v>2026</v>
      </c>
      <c r="B3224" t="s">
        <v>191</v>
      </c>
      <c r="C3224">
        <v>0</v>
      </c>
      <c r="D3224" t="s">
        <v>183</v>
      </c>
      <c r="E3224" t="s">
        <v>182</v>
      </c>
      <c r="F3224" t="s">
        <v>177</v>
      </c>
      <c r="G3224" t="s">
        <v>178</v>
      </c>
    </row>
    <row r="3225" spans="1:7">
      <c r="A3225">
        <v>2027</v>
      </c>
      <c r="B3225" t="s">
        <v>191</v>
      </c>
      <c r="C3225">
        <v>0</v>
      </c>
      <c r="D3225" t="s">
        <v>183</v>
      </c>
      <c r="E3225" t="s">
        <v>182</v>
      </c>
      <c r="F3225" t="s">
        <v>177</v>
      </c>
      <c r="G3225" t="s">
        <v>178</v>
      </c>
    </row>
    <row r="3226" spans="1:7">
      <c r="A3226">
        <v>2028</v>
      </c>
      <c r="B3226" t="s">
        <v>191</v>
      </c>
      <c r="C3226">
        <v>0</v>
      </c>
      <c r="D3226" t="s">
        <v>183</v>
      </c>
      <c r="E3226" t="s">
        <v>182</v>
      </c>
      <c r="F3226" t="s">
        <v>177</v>
      </c>
      <c r="G3226" t="s">
        <v>178</v>
      </c>
    </row>
    <row r="3227" spans="1:7">
      <c r="A3227">
        <v>2029</v>
      </c>
      <c r="B3227" t="s">
        <v>191</v>
      </c>
      <c r="C3227">
        <v>0</v>
      </c>
      <c r="D3227" t="s">
        <v>183</v>
      </c>
      <c r="E3227" t="s">
        <v>182</v>
      </c>
      <c r="F3227" t="s">
        <v>177</v>
      </c>
      <c r="G3227" t="s">
        <v>178</v>
      </c>
    </row>
    <row r="3228" spans="1:7">
      <c r="A3228">
        <v>2030</v>
      </c>
      <c r="B3228" t="s">
        <v>191</v>
      </c>
      <c r="C3228">
        <v>0</v>
      </c>
      <c r="D3228" t="s">
        <v>183</v>
      </c>
      <c r="E3228" t="s">
        <v>182</v>
      </c>
      <c r="F3228" t="s">
        <v>177</v>
      </c>
      <c r="G3228" t="s">
        <v>178</v>
      </c>
    </row>
    <row r="3229" spans="1:7">
      <c r="A3229">
        <v>2031</v>
      </c>
      <c r="B3229" t="s">
        <v>191</v>
      </c>
      <c r="C3229">
        <v>0</v>
      </c>
      <c r="D3229" t="s">
        <v>183</v>
      </c>
      <c r="E3229" t="s">
        <v>182</v>
      </c>
      <c r="F3229" t="s">
        <v>177</v>
      </c>
      <c r="G3229" t="s">
        <v>178</v>
      </c>
    </row>
    <row r="3230" spans="1:7">
      <c r="A3230">
        <v>2032</v>
      </c>
      <c r="B3230" t="s">
        <v>191</v>
      </c>
      <c r="C3230">
        <v>0</v>
      </c>
      <c r="D3230" t="s">
        <v>183</v>
      </c>
      <c r="E3230" t="s">
        <v>182</v>
      </c>
      <c r="F3230" t="s">
        <v>177</v>
      </c>
      <c r="G3230" t="s">
        <v>178</v>
      </c>
    </row>
    <row r="3231" spans="1:7">
      <c r="A3231">
        <v>2033</v>
      </c>
      <c r="B3231" t="s">
        <v>191</v>
      </c>
      <c r="C3231">
        <v>0</v>
      </c>
      <c r="D3231" t="s">
        <v>183</v>
      </c>
      <c r="E3231" t="s">
        <v>182</v>
      </c>
      <c r="F3231" t="s">
        <v>177</v>
      </c>
      <c r="G3231" t="s">
        <v>178</v>
      </c>
    </row>
    <row r="3232" spans="1:7">
      <c r="A3232">
        <v>2034</v>
      </c>
      <c r="B3232" t="s">
        <v>191</v>
      </c>
      <c r="C3232">
        <v>0</v>
      </c>
      <c r="D3232" t="s">
        <v>183</v>
      </c>
      <c r="E3232" t="s">
        <v>182</v>
      </c>
      <c r="F3232" t="s">
        <v>177</v>
      </c>
      <c r="G3232" t="s">
        <v>178</v>
      </c>
    </row>
    <row r="3233" spans="1:7">
      <c r="A3233">
        <v>2035</v>
      </c>
      <c r="B3233" t="s">
        <v>191</v>
      </c>
      <c r="C3233">
        <v>0</v>
      </c>
      <c r="D3233" t="s">
        <v>183</v>
      </c>
      <c r="E3233" t="s">
        <v>182</v>
      </c>
      <c r="F3233" t="s">
        <v>177</v>
      </c>
      <c r="G3233" t="s">
        <v>178</v>
      </c>
    </row>
    <row r="3234" spans="1:7">
      <c r="A3234">
        <v>2020</v>
      </c>
      <c r="B3234" t="s">
        <v>192</v>
      </c>
      <c r="C3234">
        <v>2578.62</v>
      </c>
      <c r="D3234" t="s">
        <v>183</v>
      </c>
      <c r="E3234" t="s">
        <v>182</v>
      </c>
      <c r="F3234" t="s">
        <v>177</v>
      </c>
      <c r="G3234" t="s">
        <v>178</v>
      </c>
    </row>
    <row r="3235" spans="1:7">
      <c r="A3235">
        <v>2021</v>
      </c>
      <c r="B3235" t="s">
        <v>192</v>
      </c>
      <c r="C3235">
        <v>0</v>
      </c>
      <c r="D3235" t="s">
        <v>183</v>
      </c>
      <c r="E3235" t="s">
        <v>182</v>
      </c>
      <c r="F3235" t="s">
        <v>177</v>
      </c>
      <c r="G3235" t="s">
        <v>178</v>
      </c>
    </row>
    <row r="3236" spans="1:7">
      <c r="A3236">
        <v>2022</v>
      </c>
      <c r="B3236" t="s">
        <v>192</v>
      </c>
      <c r="C3236">
        <v>0</v>
      </c>
      <c r="D3236" t="s">
        <v>183</v>
      </c>
      <c r="E3236" t="s">
        <v>182</v>
      </c>
      <c r="F3236" t="s">
        <v>177</v>
      </c>
      <c r="G3236" t="s">
        <v>178</v>
      </c>
    </row>
    <row r="3237" spans="1:7">
      <c r="A3237">
        <v>2023</v>
      </c>
      <c r="B3237" t="s">
        <v>192</v>
      </c>
      <c r="C3237">
        <v>17.5</v>
      </c>
      <c r="D3237" t="s">
        <v>183</v>
      </c>
      <c r="E3237" t="s">
        <v>182</v>
      </c>
      <c r="F3237" t="s">
        <v>177</v>
      </c>
      <c r="G3237" t="s">
        <v>178</v>
      </c>
    </row>
    <row r="3238" spans="1:7">
      <c r="A3238">
        <v>2024</v>
      </c>
      <c r="B3238" t="s">
        <v>192</v>
      </c>
      <c r="C3238">
        <v>17.5</v>
      </c>
      <c r="D3238" t="s">
        <v>183</v>
      </c>
      <c r="E3238" t="s">
        <v>182</v>
      </c>
      <c r="F3238" t="s">
        <v>177</v>
      </c>
      <c r="G3238" t="s">
        <v>178</v>
      </c>
    </row>
    <row r="3239" spans="1:7">
      <c r="A3239">
        <v>2025</v>
      </c>
      <c r="B3239" t="s">
        <v>192</v>
      </c>
      <c r="C3239">
        <v>0.5</v>
      </c>
      <c r="D3239" t="s">
        <v>183</v>
      </c>
      <c r="E3239" t="s">
        <v>182</v>
      </c>
      <c r="F3239" t="s">
        <v>177</v>
      </c>
      <c r="G3239" t="s">
        <v>178</v>
      </c>
    </row>
    <row r="3240" spans="1:7">
      <c r="A3240">
        <v>2026</v>
      </c>
      <c r="B3240" t="s">
        <v>192</v>
      </c>
      <c r="C3240">
        <v>0.5</v>
      </c>
      <c r="D3240" t="s">
        <v>183</v>
      </c>
      <c r="E3240" t="s">
        <v>182</v>
      </c>
      <c r="F3240" t="s">
        <v>177</v>
      </c>
      <c r="G3240" t="s">
        <v>178</v>
      </c>
    </row>
    <row r="3241" spans="1:7">
      <c r="A3241">
        <v>2027</v>
      </c>
      <c r="B3241" t="s">
        <v>192</v>
      </c>
      <c r="C3241">
        <v>0</v>
      </c>
      <c r="D3241" t="s">
        <v>183</v>
      </c>
      <c r="E3241" t="s">
        <v>182</v>
      </c>
      <c r="F3241" t="s">
        <v>177</v>
      </c>
      <c r="G3241" t="s">
        <v>178</v>
      </c>
    </row>
    <row r="3242" spans="1:7">
      <c r="A3242">
        <v>2028</v>
      </c>
      <c r="B3242" t="s">
        <v>192</v>
      </c>
      <c r="C3242">
        <v>0</v>
      </c>
      <c r="D3242" t="s">
        <v>183</v>
      </c>
      <c r="E3242" t="s">
        <v>182</v>
      </c>
      <c r="F3242" t="s">
        <v>177</v>
      </c>
      <c r="G3242" t="s">
        <v>178</v>
      </c>
    </row>
    <row r="3243" spans="1:7">
      <c r="A3243">
        <v>2029</v>
      </c>
      <c r="B3243" t="s">
        <v>192</v>
      </c>
      <c r="C3243">
        <v>0</v>
      </c>
      <c r="D3243" t="s">
        <v>183</v>
      </c>
      <c r="E3243" t="s">
        <v>182</v>
      </c>
      <c r="F3243" t="s">
        <v>177</v>
      </c>
      <c r="G3243" t="s">
        <v>178</v>
      </c>
    </row>
    <row r="3244" spans="1:7">
      <c r="A3244">
        <v>2030</v>
      </c>
      <c r="B3244" t="s">
        <v>192</v>
      </c>
      <c r="C3244">
        <v>0</v>
      </c>
      <c r="D3244" t="s">
        <v>183</v>
      </c>
      <c r="E3244" t="s">
        <v>182</v>
      </c>
      <c r="F3244" t="s">
        <v>177</v>
      </c>
      <c r="G3244" t="s">
        <v>178</v>
      </c>
    </row>
    <row r="3245" spans="1:7">
      <c r="A3245">
        <v>2031</v>
      </c>
      <c r="B3245" t="s">
        <v>192</v>
      </c>
      <c r="C3245">
        <v>17.5</v>
      </c>
      <c r="D3245" t="s">
        <v>183</v>
      </c>
      <c r="E3245" t="s">
        <v>182</v>
      </c>
      <c r="F3245" t="s">
        <v>177</v>
      </c>
      <c r="G3245" t="s">
        <v>178</v>
      </c>
    </row>
    <row r="3246" spans="1:7">
      <c r="A3246">
        <v>2032</v>
      </c>
      <c r="B3246" t="s">
        <v>192</v>
      </c>
      <c r="C3246">
        <v>17.5</v>
      </c>
      <c r="D3246" t="s">
        <v>183</v>
      </c>
      <c r="E3246" t="s">
        <v>182</v>
      </c>
      <c r="F3246" t="s">
        <v>177</v>
      </c>
      <c r="G3246" t="s">
        <v>178</v>
      </c>
    </row>
    <row r="3247" spans="1:7">
      <c r="A3247">
        <v>2033</v>
      </c>
      <c r="B3247" t="s">
        <v>192</v>
      </c>
      <c r="C3247">
        <v>3.6666699999999999</v>
      </c>
      <c r="D3247" t="s">
        <v>183</v>
      </c>
      <c r="E3247" t="s">
        <v>182</v>
      </c>
      <c r="F3247" t="s">
        <v>177</v>
      </c>
      <c r="G3247" t="s">
        <v>178</v>
      </c>
    </row>
    <row r="3248" spans="1:7">
      <c r="A3248">
        <v>2034</v>
      </c>
      <c r="B3248" t="s">
        <v>192</v>
      </c>
      <c r="C3248">
        <v>3.6666699999999999</v>
      </c>
      <c r="D3248" t="s">
        <v>183</v>
      </c>
      <c r="E3248" t="s">
        <v>182</v>
      </c>
      <c r="F3248" t="s">
        <v>177</v>
      </c>
      <c r="G3248" t="s">
        <v>178</v>
      </c>
    </row>
    <row r="3249" spans="1:7">
      <c r="A3249">
        <v>2035</v>
      </c>
      <c r="B3249" t="s">
        <v>192</v>
      </c>
      <c r="C3249">
        <v>3.6666699999999999</v>
      </c>
      <c r="D3249" t="s">
        <v>183</v>
      </c>
      <c r="E3249" t="s">
        <v>182</v>
      </c>
      <c r="F3249" t="s">
        <v>177</v>
      </c>
      <c r="G3249" t="s">
        <v>178</v>
      </c>
    </row>
    <row r="3250" spans="1:7">
      <c r="A3250">
        <v>2020</v>
      </c>
      <c r="B3250" t="s">
        <v>193</v>
      </c>
      <c r="C3250">
        <v>232.5</v>
      </c>
      <c r="D3250" t="s">
        <v>183</v>
      </c>
      <c r="E3250" t="s">
        <v>182</v>
      </c>
      <c r="F3250" t="s">
        <v>177</v>
      </c>
      <c r="G3250" t="s">
        <v>178</v>
      </c>
    </row>
    <row r="3251" spans="1:7">
      <c r="A3251">
        <v>2021</v>
      </c>
      <c r="B3251" t="s">
        <v>193</v>
      </c>
      <c r="C3251">
        <v>1100</v>
      </c>
      <c r="D3251" t="s">
        <v>183</v>
      </c>
      <c r="E3251" t="s">
        <v>182</v>
      </c>
      <c r="F3251" t="s">
        <v>177</v>
      </c>
      <c r="G3251" t="s">
        <v>178</v>
      </c>
    </row>
    <row r="3252" spans="1:7">
      <c r="A3252">
        <v>2022</v>
      </c>
      <c r="B3252" t="s">
        <v>193</v>
      </c>
      <c r="C3252">
        <v>1100</v>
      </c>
      <c r="D3252" t="s">
        <v>183</v>
      </c>
      <c r="E3252" t="s">
        <v>182</v>
      </c>
      <c r="F3252" t="s">
        <v>177</v>
      </c>
      <c r="G3252" t="s">
        <v>178</v>
      </c>
    </row>
    <row r="3253" spans="1:7">
      <c r="A3253">
        <v>2023</v>
      </c>
      <c r="B3253" t="s">
        <v>193</v>
      </c>
      <c r="C3253">
        <v>0</v>
      </c>
      <c r="D3253" t="s">
        <v>183</v>
      </c>
      <c r="E3253" t="s">
        <v>182</v>
      </c>
      <c r="F3253" t="s">
        <v>177</v>
      </c>
      <c r="G3253" t="s">
        <v>178</v>
      </c>
    </row>
    <row r="3254" spans="1:7">
      <c r="A3254">
        <v>2024</v>
      </c>
      <c r="B3254" t="s">
        <v>193</v>
      </c>
      <c r="C3254">
        <v>0</v>
      </c>
      <c r="D3254" t="s">
        <v>183</v>
      </c>
      <c r="E3254" t="s">
        <v>182</v>
      </c>
      <c r="F3254" t="s">
        <v>177</v>
      </c>
      <c r="G3254" t="s">
        <v>178</v>
      </c>
    </row>
    <row r="3255" spans="1:7">
      <c r="A3255">
        <v>2025</v>
      </c>
      <c r="B3255" t="s">
        <v>193</v>
      </c>
      <c r="C3255">
        <v>0</v>
      </c>
      <c r="D3255" t="s">
        <v>183</v>
      </c>
      <c r="E3255" t="s">
        <v>182</v>
      </c>
      <c r="F3255" t="s">
        <v>177</v>
      </c>
      <c r="G3255" t="s">
        <v>178</v>
      </c>
    </row>
    <row r="3256" spans="1:7">
      <c r="A3256">
        <v>2026</v>
      </c>
      <c r="B3256" t="s">
        <v>193</v>
      </c>
      <c r="C3256">
        <v>0</v>
      </c>
      <c r="D3256" t="s">
        <v>183</v>
      </c>
      <c r="E3256" t="s">
        <v>182</v>
      </c>
      <c r="F3256" t="s">
        <v>177</v>
      </c>
      <c r="G3256" t="s">
        <v>178</v>
      </c>
    </row>
    <row r="3257" spans="1:7">
      <c r="A3257">
        <v>2027</v>
      </c>
      <c r="B3257" t="s">
        <v>193</v>
      </c>
      <c r="C3257">
        <v>0</v>
      </c>
      <c r="D3257" t="s">
        <v>183</v>
      </c>
      <c r="E3257" t="s">
        <v>182</v>
      </c>
      <c r="F3257" t="s">
        <v>177</v>
      </c>
      <c r="G3257" t="s">
        <v>178</v>
      </c>
    </row>
    <row r="3258" spans="1:7">
      <c r="A3258">
        <v>2028</v>
      </c>
      <c r="B3258" t="s">
        <v>193</v>
      </c>
      <c r="C3258">
        <v>0</v>
      </c>
      <c r="D3258" t="s">
        <v>183</v>
      </c>
      <c r="E3258" t="s">
        <v>182</v>
      </c>
      <c r="F3258" t="s">
        <v>177</v>
      </c>
      <c r="G3258" t="s">
        <v>178</v>
      </c>
    </row>
    <row r="3259" spans="1:7">
      <c r="A3259">
        <v>2029</v>
      </c>
      <c r="B3259" t="s">
        <v>193</v>
      </c>
      <c r="C3259">
        <v>0</v>
      </c>
      <c r="D3259" t="s">
        <v>183</v>
      </c>
      <c r="E3259" t="s">
        <v>182</v>
      </c>
      <c r="F3259" t="s">
        <v>177</v>
      </c>
      <c r="G3259" t="s">
        <v>178</v>
      </c>
    </row>
    <row r="3260" spans="1:7">
      <c r="A3260">
        <v>2030</v>
      </c>
      <c r="B3260" t="s">
        <v>193</v>
      </c>
      <c r="C3260">
        <v>0</v>
      </c>
      <c r="D3260" t="s">
        <v>183</v>
      </c>
      <c r="E3260" t="s">
        <v>182</v>
      </c>
      <c r="F3260" t="s">
        <v>177</v>
      </c>
      <c r="G3260" t="s">
        <v>178</v>
      </c>
    </row>
    <row r="3261" spans="1:7">
      <c r="A3261">
        <v>2031</v>
      </c>
      <c r="B3261" t="s">
        <v>193</v>
      </c>
      <c r="C3261">
        <v>0</v>
      </c>
      <c r="D3261" t="s">
        <v>183</v>
      </c>
      <c r="E3261" t="s">
        <v>182</v>
      </c>
      <c r="F3261" t="s">
        <v>177</v>
      </c>
      <c r="G3261" t="s">
        <v>178</v>
      </c>
    </row>
    <row r="3262" spans="1:7">
      <c r="A3262">
        <v>2032</v>
      </c>
      <c r="B3262" t="s">
        <v>193</v>
      </c>
      <c r="C3262">
        <v>0</v>
      </c>
      <c r="D3262" t="s">
        <v>183</v>
      </c>
      <c r="E3262" t="s">
        <v>182</v>
      </c>
      <c r="F3262" t="s">
        <v>177</v>
      </c>
      <c r="G3262" t="s">
        <v>178</v>
      </c>
    </row>
    <row r="3263" spans="1:7">
      <c r="A3263">
        <v>2033</v>
      </c>
      <c r="B3263" t="s">
        <v>193</v>
      </c>
      <c r="C3263">
        <v>0</v>
      </c>
      <c r="D3263" t="s">
        <v>183</v>
      </c>
      <c r="E3263" t="s">
        <v>182</v>
      </c>
      <c r="F3263" t="s">
        <v>177</v>
      </c>
      <c r="G3263" t="s">
        <v>178</v>
      </c>
    </row>
    <row r="3264" spans="1:7">
      <c r="A3264">
        <v>2034</v>
      </c>
      <c r="B3264" t="s">
        <v>193</v>
      </c>
      <c r="C3264">
        <v>0</v>
      </c>
      <c r="D3264" t="s">
        <v>183</v>
      </c>
      <c r="E3264" t="s">
        <v>182</v>
      </c>
      <c r="F3264" t="s">
        <v>177</v>
      </c>
      <c r="G3264" t="s">
        <v>178</v>
      </c>
    </row>
    <row r="3265" spans="1:7">
      <c r="A3265">
        <v>2035</v>
      </c>
      <c r="B3265" t="s">
        <v>193</v>
      </c>
      <c r="C3265">
        <v>0</v>
      </c>
      <c r="D3265" t="s">
        <v>183</v>
      </c>
      <c r="E3265" t="s">
        <v>182</v>
      </c>
      <c r="F3265" t="s">
        <v>177</v>
      </c>
      <c r="G3265" t="s">
        <v>178</v>
      </c>
    </row>
    <row r="3266" spans="1:7">
      <c r="A3266">
        <v>2020</v>
      </c>
      <c r="B3266" t="s">
        <v>194</v>
      </c>
      <c r="C3266">
        <v>14.85</v>
      </c>
      <c r="D3266" t="s">
        <v>183</v>
      </c>
      <c r="E3266" t="s">
        <v>182</v>
      </c>
      <c r="F3266" t="s">
        <v>177</v>
      </c>
      <c r="G3266" t="s">
        <v>178</v>
      </c>
    </row>
    <row r="3267" spans="1:7">
      <c r="A3267">
        <v>2021</v>
      </c>
      <c r="B3267" t="s">
        <v>194</v>
      </c>
      <c r="C3267">
        <v>0</v>
      </c>
      <c r="D3267" t="s">
        <v>183</v>
      </c>
      <c r="E3267" t="s">
        <v>182</v>
      </c>
      <c r="F3267" t="s">
        <v>177</v>
      </c>
      <c r="G3267" t="s">
        <v>178</v>
      </c>
    </row>
    <row r="3268" spans="1:7">
      <c r="A3268">
        <v>2022</v>
      </c>
      <c r="B3268" t="s">
        <v>194</v>
      </c>
      <c r="C3268">
        <v>0</v>
      </c>
      <c r="D3268" t="s">
        <v>183</v>
      </c>
      <c r="E3268" t="s">
        <v>182</v>
      </c>
      <c r="F3268" t="s">
        <v>177</v>
      </c>
      <c r="G3268" t="s">
        <v>178</v>
      </c>
    </row>
    <row r="3269" spans="1:7">
      <c r="A3269">
        <v>2023</v>
      </c>
      <c r="B3269" t="s">
        <v>194</v>
      </c>
      <c r="C3269">
        <v>0</v>
      </c>
      <c r="D3269" t="s">
        <v>183</v>
      </c>
      <c r="E3269" t="s">
        <v>182</v>
      </c>
      <c r="F3269" t="s">
        <v>177</v>
      </c>
      <c r="G3269" t="s">
        <v>178</v>
      </c>
    </row>
    <row r="3270" spans="1:7">
      <c r="A3270">
        <v>2024</v>
      </c>
      <c r="B3270" t="s">
        <v>194</v>
      </c>
      <c r="C3270">
        <v>0</v>
      </c>
      <c r="D3270" t="s">
        <v>183</v>
      </c>
      <c r="E3270" t="s">
        <v>182</v>
      </c>
      <c r="F3270" t="s">
        <v>177</v>
      </c>
      <c r="G3270" t="s">
        <v>178</v>
      </c>
    </row>
    <row r="3271" spans="1:7">
      <c r="A3271">
        <v>2025</v>
      </c>
      <c r="B3271" t="s">
        <v>194</v>
      </c>
      <c r="C3271">
        <v>0</v>
      </c>
      <c r="D3271" t="s">
        <v>183</v>
      </c>
      <c r="E3271" t="s">
        <v>182</v>
      </c>
      <c r="F3271" t="s">
        <v>177</v>
      </c>
      <c r="G3271" t="s">
        <v>178</v>
      </c>
    </row>
    <row r="3272" spans="1:7">
      <c r="A3272">
        <v>2026</v>
      </c>
      <c r="B3272" t="s">
        <v>194</v>
      </c>
      <c r="C3272">
        <v>0</v>
      </c>
      <c r="D3272" t="s">
        <v>183</v>
      </c>
      <c r="E3272" t="s">
        <v>182</v>
      </c>
      <c r="F3272" t="s">
        <v>177</v>
      </c>
      <c r="G3272" t="s">
        <v>178</v>
      </c>
    </row>
    <row r="3273" spans="1:7">
      <c r="A3273">
        <v>2027</v>
      </c>
      <c r="B3273" t="s">
        <v>194</v>
      </c>
      <c r="C3273">
        <v>0</v>
      </c>
      <c r="D3273" t="s">
        <v>183</v>
      </c>
      <c r="E3273" t="s">
        <v>182</v>
      </c>
      <c r="F3273" t="s">
        <v>177</v>
      </c>
      <c r="G3273" t="s">
        <v>178</v>
      </c>
    </row>
    <row r="3274" spans="1:7">
      <c r="A3274">
        <v>2028</v>
      </c>
      <c r="B3274" t="s">
        <v>194</v>
      </c>
      <c r="C3274">
        <v>0</v>
      </c>
      <c r="D3274" t="s">
        <v>183</v>
      </c>
      <c r="E3274" t="s">
        <v>182</v>
      </c>
      <c r="F3274" t="s">
        <v>177</v>
      </c>
      <c r="G3274" t="s">
        <v>178</v>
      </c>
    </row>
    <row r="3275" spans="1:7">
      <c r="A3275">
        <v>2029</v>
      </c>
      <c r="B3275" t="s">
        <v>194</v>
      </c>
      <c r="C3275">
        <v>0</v>
      </c>
      <c r="D3275" t="s">
        <v>183</v>
      </c>
      <c r="E3275" t="s">
        <v>182</v>
      </c>
      <c r="F3275" t="s">
        <v>177</v>
      </c>
      <c r="G3275" t="s">
        <v>178</v>
      </c>
    </row>
    <row r="3276" spans="1:7">
      <c r="A3276">
        <v>2030</v>
      </c>
      <c r="B3276" t="s">
        <v>194</v>
      </c>
      <c r="C3276">
        <v>0</v>
      </c>
      <c r="D3276" t="s">
        <v>183</v>
      </c>
      <c r="E3276" t="s">
        <v>182</v>
      </c>
      <c r="F3276" t="s">
        <v>177</v>
      </c>
      <c r="G3276" t="s">
        <v>178</v>
      </c>
    </row>
    <row r="3277" spans="1:7">
      <c r="A3277">
        <v>2031</v>
      </c>
      <c r="B3277" t="s">
        <v>194</v>
      </c>
      <c r="C3277">
        <v>0</v>
      </c>
      <c r="D3277" t="s">
        <v>183</v>
      </c>
      <c r="E3277" t="s">
        <v>182</v>
      </c>
      <c r="F3277" t="s">
        <v>177</v>
      </c>
      <c r="G3277" t="s">
        <v>178</v>
      </c>
    </row>
    <row r="3278" spans="1:7">
      <c r="A3278">
        <v>2032</v>
      </c>
      <c r="B3278" t="s">
        <v>194</v>
      </c>
      <c r="C3278">
        <v>0</v>
      </c>
      <c r="D3278" t="s">
        <v>183</v>
      </c>
      <c r="E3278" t="s">
        <v>182</v>
      </c>
      <c r="F3278" t="s">
        <v>177</v>
      </c>
      <c r="G3278" t="s">
        <v>178</v>
      </c>
    </row>
    <row r="3279" spans="1:7">
      <c r="A3279">
        <v>2033</v>
      </c>
      <c r="B3279" t="s">
        <v>194</v>
      </c>
      <c r="C3279">
        <v>0</v>
      </c>
      <c r="D3279" t="s">
        <v>183</v>
      </c>
      <c r="E3279" t="s">
        <v>182</v>
      </c>
      <c r="F3279" t="s">
        <v>177</v>
      </c>
      <c r="G3279" t="s">
        <v>178</v>
      </c>
    </row>
    <row r="3280" spans="1:7">
      <c r="A3280">
        <v>2034</v>
      </c>
      <c r="B3280" t="s">
        <v>194</v>
      </c>
      <c r="C3280">
        <v>0</v>
      </c>
      <c r="D3280" t="s">
        <v>183</v>
      </c>
      <c r="E3280" t="s">
        <v>182</v>
      </c>
      <c r="F3280" t="s">
        <v>177</v>
      </c>
      <c r="G3280" t="s">
        <v>178</v>
      </c>
    </row>
    <row r="3281" spans="1:7">
      <c r="A3281">
        <v>2035</v>
      </c>
      <c r="B3281" t="s">
        <v>194</v>
      </c>
      <c r="C3281">
        <v>0</v>
      </c>
      <c r="D3281" t="s">
        <v>183</v>
      </c>
      <c r="E3281" t="s">
        <v>182</v>
      </c>
      <c r="F3281" t="s">
        <v>177</v>
      </c>
      <c r="G3281" t="s">
        <v>178</v>
      </c>
    </row>
    <row r="3282" spans="1:7">
      <c r="A3282">
        <v>2020</v>
      </c>
      <c r="B3282" t="s">
        <v>195</v>
      </c>
      <c r="C3282">
        <v>17981.3</v>
      </c>
      <c r="D3282" t="s">
        <v>183</v>
      </c>
      <c r="E3282" t="s">
        <v>182</v>
      </c>
      <c r="F3282" t="s">
        <v>177</v>
      </c>
      <c r="G3282" t="s">
        <v>178</v>
      </c>
    </row>
    <row r="3283" spans="1:7">
      <c r="A3283">
        <v>2021</v>
      </c>
      <c r="B3283" t="s">
        <v>195</v>
      </c>
      <c r="C3283">
        <v>35292.6</v>
      </c>
      <c r="D3283" t="s">
        <v>183</v>
      </c>
      <c r="E3283" t="s">
        <v>182</v>
      </c>
      <c r="F3283" t="s">
        <v>177</v>
      </c>
      <c r="G3283" t="s">
        <v>178</v>
      </c>
    </row>
    <row r="3284" spans="1:7">
      <c r="A3284">
        <v>2022</v>
      </c>
      <c r="B3284" t="s">
        <v>195</v>
      </c>
      <c r="C3284">
        <v>35292.6</v>
      </c>
      <c r="D3284" t="s">
        <v>183</v>
      </c>
      <c r="E3284" t="s">
        <v>182</v>
      </c>
      <c r="F3284" t="s">
        <v>177</v>
      </c>
      <c r="G3284" t="s">
        <v>178</v>
      </c>
    </row>
    <row r="3285" spans="1:7">
      <c r="A3285">
        <v>2023</v>
      </c>
      <c r="B3285" t="s">
        <v>195</v>
      </c>
      <c r="C3285">
        <v>57147.5</v>
      </c>
      <c r="D3285" t="s">
        <v>183</v>
      </c>
      <c r="E3285" t="s">
        <v>182</v>
      </c>
      <c r="F3285" t="s">
        <v>177</v>
      </c>
      <c r="G3285" t="s">
        <v>178</v>
      </c>
    </row>
    <row r="3286" spans="1:7">
      <c r="A3286">
        <v>2024</v>
      </c>
      <c r="B3286" t="s">
        <v>195</v>
      </c>
      <c r="C3286">
        <v>57147.5</v>
      </c>
      <c r="D3286" t="s">
        <v>183</v>
      </c>
      <c r="E3286" t="s">
        <v>182</v>
      </c>
      <c r="F3286" t="s">
        <v>177</v>
      </c>
      <c r="G3286" t="s">
        <v>178</v>
      </c>
    </row>
    <row r="3287" spans="1:7">
      <c r="A3287">
        <v>2025</v>
      </c>
      <c r="B3287" t="s">
        <v>195</v>
      </c>
      <c r="C3287">
        <v>36042.699999999997</v>
      </c>
      <c r="D3287" t="s">
        <v>183</v>
      </c>
      <c r="E3287" t="s">
        <v>182</v>
      </c>
      <c r="F3287" t="s">
        <v>177</v>
      </c>
      <c r="G3287" t="s">
        <v>178</v>
      </c>
    </row>
    <row r="3288" spans="1:7">
      <c r="A3288">
        <v>2026</v>
      </c>
      <c r="B3288" t="s">
        <v>195</v>
      </c>
      <c r="C3288">
        <v>36042.699999999997</v>
      </c>
      <c r="D3288" t="s">
        <v>183</v>
      </c>
      <c r="E3288" t="s">
        <v>182</v>
      </c>
      <c r="F3288" t="s">
        <v>177</v>
      </c>
      <c r="G3288" t="s">
        <v>178</v>
      </c>
    </row>
    <row r="3289" spans="1:7">
      <c r="A3289">
        <v>2027</v>
      </c>
      <c r="B3289" t="s">
        <v>195</v>
      </c>
      <c r="C3289">
        <v>47822.7</v>
      </c>
      <c r="D3289" t="s">
        <v>183</v>
      </c>
      <c r="E3289" t="s">
        <v>182</v>
      </c>
      <c r="F3289" t="s">
        <v>177</v>
      </c>
      <c r="G3289" t="s">
        <v>178</v>
      </c>
    </row>
    <row r="3290" spans="1:7">
      <c r="A3290">
        <v>2028</v>
      </c>
      <c r="B3290" t="s">
        <v>195</v>
      </c>
      <c r="C3290">
        <v>47822.7</v>
      </c>
      <c r="D3290" t="s">
        <v>183</v>
      </c>
      <c r="E3290" t="s">
        <v>182</v>
      </c>
      <c r="F3290" t="s">
        <v>177</v>
      </c>
      <c r="G3290" t="s">
        <v>178</v>
      </c>
    </row>
    <row r="3291" spans="1:7">
      <c r="A3291">
        <v>2029</v>
      </c>
      <c r="B3291" t="s">
        <v>195</v>
      </c>
      <c r="C3291">
        <v>25994.400000000001</v>
      </c>
      <c r="D3291" t="s">
        <v>183</v>
      </c>
      <c r="E3291" t="s">
        <v>182</v>
      </c>
      <c r="F3291" t="s">
        <v>177</v>
      </c>
      <c r="G3291" t="s">
        <v>178</v>
      </c>
    </row>
    <row r="3292" spans="1:7">
      <c r="A3292">
        <v>2030</v>
      </c>
      <c r="B3292" t="s">
        <v>195</v>
      </c>
      <c r="C3292">
        <v>25994.400000000001</v>
      </c>
      <c r="D3292" t="s">
        <v>183</v>
      </c>
      <c r="E3292" t="s">
        <v>182</v>
      </c>
      <c r="F3292" t="s">
        <v>177</v>
      </c>
      <c r="G3292" t="s">
        <v>178</v>
      </c>
    </row>
    <row r="3293" spans="1:7">
      <c r="A3293">
        <v>2031</v>
      </c>
      <c r="B3293" t="s">
        <v>195</v>
      </c>
      <c r="C3293">
        <v>48177.7</v>
      </c>
      <c r="D3293" t="s">
        <v>183</v>
      </c>
      <c r="E3293" t="s">
        <v>182</v>
      </c>
      <c r="F3293" t="s">
        <v>177</v>
      </c>
      <c r="G3293" t="s">
        <v>178</v>
      </c>
    </row>
    <row r="3294" spans="1:7">
      <c r="A3294">
        <v>2032</v>
      </c>
      <c r="B3294" t="s">
        <v>195</v>
      </c>
      <c r="C3294">
        <v>48177.7</v>
      </c>
      <c r="D3294" t="s">
        <v>183</v>
      </c>
      <c r="E3294" t="s">
        <v>182</v>
      </c>
      <c r="F3294" t="s">
        <v>177</v>
      </c>
      <c r="G3294" t="s">
        <v>178</v>
      </c>
    </row>
    <row r="3295" spans="1:7">
      <c r="A3295">
        <v>2033</v>
      </c>
      <c r="B3295" t="s">
        <v>195</v>
      </c>
      <c r="C3295">
        <v>49551.5</v>
      </c>
      <c r="D3295" t="s">
        <v>183</v>
      </c>
      <c r="E3295" t="s">
        <v>182</v>
      </c>
      <c r="F3295" t="s">
        <v>177</v>
      </c>
      <c r="G3295" t="s">
        <v>178</v>
      </c>
    </row>
    <row r="3296" spans="1:7">
      <c r="A3296">
        <v>2034</v>
      </c>
      <c r="B3296" t="s">
        <v>195</v>
      </c>
      <c r="C3296">
        <v>49551.5</v>
      </c>
      <c r="D3296" t="s">
        <v>183</v>
      </c>
      <c r="E3296" t="s">
        <v>182</v>
      </c>
      <c r="F3296" t="s">
        <v>177</v>
      </c>
      <c r="G3296" t="s">
        <v>178</v>
      </c>
    </row>
    <row r="3297" spans="1:7">
      <c r="A3297">
        <v>2035</v>
      </c>
      <c r="B3297" t="s">
        <v>195</v>
      </c>
      <c r="C3297">
        <v>49551.5</v>
      </c>
      <c r="D3297" t="s">
        <v>183</v>
      </c>
      <c r="E3297" t="s">
        <v>182</v>
      </c>
      <c r="F3297" t="s">
        <v>177</v>
      </c>
      <c r="G3297" t="s">
        <v>178</v>
      </c>
    </row>
    <row r="3298" spans="1:7">
      <c r="A3298">
        <v>2020</v>
      </c>
      <c r="B3298" t="s">
        <v>196</v>
      </c>
      <c r="C3298">
        <v>10633.3</v>
      </c>
      <c r="D3298" t="s">
        <v>183</v>
      </c>
      <c r="E3298" t="s">
        <v>182</v>
      </c>
      <c r="F3298" t="s">
        <v>177</v>
      </c>
      <c r="G3298" t="s">
        <v>178</v>
      </c>
    </row>
    <row r="3299" spans="1:7">
      <c r="A3299">
        <v>2021</v>
      </c>
      <c r="B3299" t="s">
        <v>196</v>
      </c>
      <c r="C3299">
        <v>24450.1</v>
      </c>
      <c r="D3299" t="s">
        <v>183</v>
      </c>
      <c r="E3299" t="s">
        <v>182</v>
      </c>
      <c r="F3299" t="s">
        <v>177</v>
      </c>
      <c r="G3299" t="s">
        <v>178</v>
      </c>
    </row>
    <row r="3300" spans="1:7">
      <c r="A3300">
        <v>2022</v>
      </c>
      <c r="B3300" t="s">
        <v>196</v>
      </c>
      <c r="C3300">
        <v>24450.1</v>
      </c>
      <c r="D3300" t="s">
        <v>183</v>
      </c>
      <c r="E3300" t="s">
        <v>182</v>
      </c>
      <c r="F3300" t="s">
        <v>177</v>
      </c>
      <c r="G3300" t="s">
        <v>178</v>
      </c>
    </row>
    <row r="3301" spans="1:7">
      <c r="A3301">
        <v>2023</v>
      </c>
      <c r="B3301" t="s">
        <v>196</v>
      </c>
      <c r="C3301">
        <v>6531.07</v>
      </c>
      <c r="D3301" t="s">
        <v>183</v>
      </c>
      <c r="E3301" t="s">
        <v>182</v>
      </c>
      <c r="F3301" t="s">
        <v>177</v>
      </c>
      <c r="G3301" t="s">
        <v>178</v>
      </c>
    </row>
    <row r="3302" spans="1:7">
      <c r="A3302">
        <v>2024</v>
      </c>
      <c r="B3302" t="s">
        <v>196</v>
      </c>
      <c r="C3302">
        <v>6531.07</v>
      </c>
      <c r="D3302" t="s">
        <v>183</v>
      </c>
      <c r="E3302" t="s">
        <v>182</v>
      </c>
      <c r="F3302" t="s">
        <v>177</v>
      </c>
      <c r="G3302" t="s">
        <v>178</v>
      </c>
    </row>
    <row r="3303" spans="1:7">
      <c r="A3303">
        <v>2025</v>
      </c>
      <c r="B3303" t="s">
        <v>196</v>
      </c>
      <c r="C3303">
        <v>27493.200000000001</v>
      </c>
      <c r="D3303" t="s">
        <v>183</v>
      </c>
      <c r="E3303" t="s">
        <v>182</v>
      </c>
      <c r="F3303" t="s">
        <v>177</v>
      </c>
      <c r="G3303" t="s">
        <v>178</v>
      </c>
    </row>
    <row r="3304" spans="1:7">
      <c r="A3304">
        <v>2026</v>
      </c>
      <c r="B3304" t="s">
        <v>196</v>
      </c>
      <c r="C3304">
        <v>27493.200000000001</v>
      </c>
      <c r="D3304" t="s">
        <v>183</v>
      </c>
      <c r="E3304" t="s">
        <v>182</v>
      </c>
      <c r="F3304" t="s">
        <v>177</v>
      </c>
      <c r="G3304" t="s">
        <v>178</v>
      </c>
    </row>
    <row r="3305" spans="1:7">
      <c r="A3305">
        <v>2027</v>
      </c>
      <c r="B3305" t="s">
        <v>196</v>
      </c>
      <c r="C3305">
        <v>23441.9</v>
      </c>
      <c r="D3305" t="s">
        <v>183</v>
      </c>
      <c r="E3305" t="s">
        <v>182</v>
      </c>
      <c r="F3305" t="s">
        <v>177</v>
      </c>
      <c r="G3305" t="s">
        <v>178</v>
      </c>
    </row>
    <row r="3306" spans="1:7">
      <c r="A3306">
        <v>2028</v>
      </c>
      <c r="B3306" t="s">
        <v>196</v>
      </c>
      <c r="C3306">
        <v>23441.9</v>
      </c>
      <c r="D3306" t="s">
        <v>183</v>
      </c>
      <c r="E3306" t="s">
        <v>182</v>
      </c>
      <c r="F3306" t="s">
        <v>177</v>
      </c>
      <c r="G3306" t="s">
        <v>178</v>
      </c>
    </row>
    <row r="3307" spans="1:7">
      <c r="A3307">
        <v>2029</v>
      </c>
      <c r="B3307" t="s">
        <v>196</v>
      </c>
      <c r="C3307">
        <v>33827.4</v>
      </c>
      <c r="D3307" t="s">
        <v>183</v>
      </c>
      <c r="E3307" t="s">
        <v>182</v>
      </c>
      <c r="F3307" t="s">
        <v>177</v>
      </c>
      <c r="G3307" t="s">
        <v>178</v>
      </c>
    </row>
    <row r="3308" spans="1:7">
      <c r="A3308">
        <v>2030</v>
      </c>
      <c r="B3308" t="s">
        <v>196</v>
      </c>
      <c r="C3308">
        <v>33827.4</v>
      </c>
      <c r="D3308" t="s">
        <v>183</v>
      </c>
      <c r="E3308" t="s">
        <v>182</v>
      </c>
      <c r="F3308" t="s">
        <v>177</v>
      </c>
      <c r="G3308" t="s">
        <v>178</v>
      </c>
    </row>
    <row r="3309" spans="1:7">
      <c r="A3309">
        <v>2031</v>
      </c>
      <c r="B3309" t="s">
        <v>196</v>
      </c>
      <c r="C3309">
        <v>37390.1</v>
      </c>
      <c r="D3309" t="s">
        <v>183</v>
      </c>
      <c r="E3309" t="s">
        <v>182</v>
      </c>
      <c r="F3309" t="s">
        <v>177</v>
      </c>
      <c r="G3309" t="s">
        <v>178</v>
      </c>
    </row>
    <row r="3310" spans="1:7">
      <c r="A3310">
        <v>2032</v>
      </c>
      <c r="B3310" t="s">
        <v>196</v>
      </c>
      <c r="C3310">
        <v>37390.1</v>
      </c>
      <c r="D3310" t="s">
        <v>183</v>
      </c>
      <c r="E3310" t="s">
        <v>182</v>
      </c>
      <c r="F3310" t="s">
        <v>177</v>
      </c>
      <c r="G3310" t="s">
        <v>178</v>
      </c>
    </row>
    <row r="3311" spans="1:7">
      <c r="A3311">
        <v>2033</v>
      </c>
      <c r="B3311" t="s">
        <v>196</v>
      </c>
      <c r="C3311">
        <v>41578</v>
      </c>
      <c r="D3311" t="s">
        <v>183</v>
      </c>
      <c r="E3311" t="s">
        <v>182</v>
      </c>
      <c r="F3311" t="s">
        <v>177</v>
      </c>
      <c r="G3311" t="s">
        <v>178</v>
      </c>
    </row>
    <row r="3312" spans="1:7">
      <c r="A3312">
        <v>2034</v>
      </c>
      <c r="B3312" t="s">
        <v>196</v>
      </c>
      <c r="C3312">
        <v>41578</v>
      </c>
      <c r="D3312" t="s">
        <v>183</v>
      </c>
      <c r="E3312" t="s">
        <v>182</v>
      </c>
      <c r="F3312" t="s">
        <v>177</v>
      </c>
      <c r="G3312" t="s">
        <v>178</v>
      </c>
    </row>
    <row r="3313" spans="1:7">
      <c r="A3313">
        <v>2035</v>
      </c>
      <c r="B3313" t="s">
        <v>196</v>
      </c>
      <c r="C3313">
        <v>41578</v>
      </c>
      <c r="D3313" t="s">
        <v>183</v>
      </c>
      <c r="E3313" t="s">
        <v>182</v>
      </c>
      <c r="F3313" t="s">
        <v>177</v>
      </c>
      <c r="G3313" t="s">
        <v>178</v>
      </c>
    </row>
    <row r="3314" spans="1:7">
      <c r="A3314">
        <v>2020</v>
      </c>
      <c r="B3314" t="s">
        <v>188</v>
      </c>
      <c r="C3314">
        <v>102.45</v>
      </c>
      <c r="D3314" t="s">
        <v>183</v>
      </c>
      <c r="E3314" t="s">
        <v>182</v>
      </c>
      <c r="F3314" t="s">
        <v>177</v>
      </c>
      <c r="G3314" t="s">
        <v>179</v>
      </c>
    </row>
    <row r="3315" spans="1:7">
      <c r="A3315">
        <v>2021</v>
      </c>
      <c r="B3315" t="s">
        <v>188</v>
      </c>
      <c r="C3315">
        <v>9.5</v>
      </c>
      <c r="D3315" t="s">
        <v>183</v>
      </c>
      <c r="E3315" t="s">
        <v>182</v>
      </c>
      <c r="F3315" t="s">
        <v>177</v>
      </c>
      <c r="G3315" t="s">
        <v>179</v>
      </c>
    </row>
    <row r="3316" spans="1:7">
      <c r="A3316">
        <v>2022</v>
      </c>
      <c r="B3316" t="s">
        <v>188</v>
      </c>
      <c r="C3316">
        <v>9.5</v>
      </c>
      <c r="D3316" t="s">
        <v>183</v>
      </c>
      <c r="E3316" t="s">
        <v>182</v>
      </c>
      <c r="F3316" t="s">
        <v>177</v>
      </c>
      <c r="G3316" t="s">
        <v>179</v>
      </c>
    </row>
    <row r="3317" spans="1:7">
      <c r="A3317">
        <v>2023</v>
      </c>
      <c r="B3317" t="s">
        <v>188</v>
      </c>
      <c r="C3317">
        <v>0</v>
      </c>
      <c r="D3317" t="s">
        <v>183</v>
      </c>
      <c r="E3317" t="s">
        <v>182</v>
      </c>
      <c r="F3317" t="s">
        <v>177</v>
      </c>
      <c r="G3317" t="s">
        <v>179</v>
      </c>
    </row>
    <row r="3318" spans="1:7">
      <c r="A3318">
        <v>2024</v>
      </c>
      <c r="B3318" t="s">
        <v>188</v>
      </c>
      <c r="C3318">
        <v>0</v>
      </c>
      <c r="D3318" t="s">
        <v>183</v>
      </c>
      <c r="E3318" t="s">
        <v>182</v>
      </c>
      <c r="F3318" t="s">
        <v>177</v>
      </c>
      <c r="G3318" t="s">
        <v>179</v>
      </c>
    </row>
    <row r="3319" spans="1:7">
      <c r="A3319">
        <v>2025</v>
      </c>
      <c r="B3319" t="s">
        <v>188</v>
      </c>
      <c r="C3319">
        <v>0</v>
      </c>
      <c r="D3319" t="s">
        <v>183</v>
      </c>
      <c r="E3319" t="s">
        <v>182</v>
      </c>
      <c r="F3319" t="s">
        <v>177</v>
      </c>
      <c r="G3319" t="s">
        <v>179</v>
      </c>
    </row>
    <row r="3320" spans="1:7">
      <c r="A3320">
        <v>2026</v>
      </c>
      <c r="B3320" t="s">
        <v>188</v>
      </c>
      <c r="C3320">
        <v>0</v>
      </c>
      <c r="D3320" t="s">
        <v>183</v>
      </c>
      <c r="E3320" t="s">
        <v>182</v>
      </c>
      <c r="F3320" t="s">
        <v>177</v>
      </c>
      <c r="G3320" t="s">
        <v>179</v>
      </c>
    </row>
    <row r="3321" spans="1:7">
      <c r="A3321">
        <v>2027</v>
      </c>
      <c r="B3321" t="s">
        <v>188</v>
      </c>
      <c r="C3321">
        <v>0</v>
      </c>
      <c r="D3321" t="s">
        <v>183</v>
      </c>
      <c r="E3321" t="s">
        <v>182</v>
      </c>
      <c r="F3321" t="s">
        <v>177</v>
      </c>
      <c r="G3321" t="s">
        <v>179</v>
      </c>
    </row>
    <row r="3322" spans="1:7">
      <c r="A3322">
        <v>2028</v>
      </c>
      <c r="B3322" t="s">
        <v>188</v>
      </c>
      <c r="C3322">
        <v>0</v>
      </c>
      <c r="D3322" t="s">
        <v>183</v>
      </c>
      <c r="E3322" t="s">
        <v>182</v>
      </c>
      <c r="F3322" t="s">
        <v>177</v>
      </c>
      <c r="G3322" t="s">
        <v>179</v>
      </c>
    </row>
    <row r="3323" spans="1:7">
      <c r="A3323">
        <v>2029</v>
      </c>
      <c r="B3323" t="s">
        <v>188</v>
      </c>
      <c r="C3323">
        <v>0</v>
      </c>
      <c r="D3323" t="s">
        <v>183</v>
      </c>
      <c r="E3323" t="s">
        <v>182</v>
      </c>
      <c r="F3323" t="s">
        <v>177</v>
      </c>
      <c r="G3323" t="s">
        <v>179</v>
      </c>
    </row>
    <row r="3324" spans="1:7">
      <c r="A3324">
        <v>2030</v>
      </c>
      <c r="B3324" t="s">
        <v>188</v>
      </c>
      <c r="C3324">
        <v>0</v>
      </c>
      <c r="D3324" t="s">
        <v>183</v>
      </c>
      <c r="E3324" t="s">
        <v>182</v>
      </c>
      <c r="F3324" t="s">
        <v>177</v>
      </c>
      <c r="G3324" t="s">
        <v>179</v>
      </c>
    </row>
    <row r="3325" spans="1:7">
      <c r="A3325">
        <v>2031</v>
      </c>
      <c r="B3325" t="s">
        <v>188</v>
      </c>
      <c r="C3325">
        <v>0</v>
      </c>
      <c r="D3325" t="s">
        <v>183</v>
      </c>
      <c r="E3325" t="s">
        <v>182</v>
      </c>
      <c r="F3325" t="s">
        <v>177</v>
      </c>
      <c r="G3325" t="s">
        <v>179</v>
      </c>
    </row>
    <row r="3326" spans="1:7">
      <c r="A3326">
        <v>2032</v>
      </c>
      <c r="B3326" t="s">
        <v>188</v>
      </c>
      <c r="C3326">
        <v>0</v>
      </c>
      <c r="D3326" t="s">
        <v>183</v>
      </c>
      <c r="E3326" t="s">
        <v>182</v>
      </c>
      <c r="F3326" t="s">
        <v>177</v>
      </c>
      <c r="G3326" t="s">
        <v>179</v>
      </c>
    </row>
    <row r="3327" spans="1:7">
      <c r="A3327">
        <v>2033</v>
      </c>
      <c r="B3327" t="s">
        <v>188</v>
      </c>
      <c r="C3327">
        <v>0</v>
      </c>
      <c r="D3327" t="s">
        <v>183</v>
      </c>
      <c r="E3327" t="s">
        <v>182</v>
      </c>
      <c r="F3327" t="s">
        <v>177</v>
      </c>
      <c r="G3327" t="s">
        <v>179</v>
      </c>
    </row>
    <row r="3328" spans="1:7">
      <c r="A3328">
        <v>2034</v>
      </c>
      <c r="B3328" t="s">
        <v>188</v>
      </c>
      <c r="C3328">
        <v>0</v>
      </c>
      <c r="D3328" t="s">
        <v>183</v>
      </c>
      <c r="E3328" t="s">
        <v>182</v>
      </c>
      <c r="F3328" t="s">
        <v>177</v>
      </c>
      <c r="G3328" t="s">
        <v>179</v>
      </c>
    </row>
    <row r="3329" spans="1:7">
      <c r="A3329">
        <v>2035</v>
      </c>
      <c r="B3329" t="s">
        <v>188</v>
      </c>
      <c r="C3329">
        <v>0</v>
      </c>
      <c r="D3329" t="s">
        <v>183</v>
      </c>
      <c r="E3329" t="s">
        <v>182</v>
      </c>
      <c r="F3329" t="s">
        <v>177</v>
      </c>
      <c r="G3329" t="s">
        <v>179</v>
      </c>
    </row>
    <row r="3330" spans="1:7">
      <c r="A3330">
        <v>2020</v>
      </c>
      <c r="B3330" t="s">
        <v>189</v>
      </c>
      <c r="C3330">
        <v>0</v>
      </c>
      <c r="D3330" t="s">
        <v>183</v>
      </c>
      <c r="E3330" t="s">
        <v>182</v>
      </c>
      <c r="F3330" t="s">
        <v>177</v>
      </c>
      <c r="G3330" t="s">
        <v>179</v>
      </c>
    </row>
    <row r="3331" spans="1:7">
      <c r="A3331">
        <v>2021</v>
      </c>
      <c r="B3331" t="s">
        <v>189</v>
      </c>
      <c r="C3331">
        <v>0</v>
      </c>
      <c r="D3331" t="s">
        <v>183</v>
      </c>
      <c r="E3331" t="s">
        <v>182</v>
      </c>
      <c r="F3331" t="s">
        <v>177</v>
      </c>
      <c r="G3331" t="s">
        <v>179</v>
      </c>
    </row>
    <row r="3332" spans="1:7">
      <c r="A3332">
        <v>2022</v>
      </c>
      <c r="B3332" t="s">
        <v>189</v>
      </c>
      <c r="C3332">
        <v>0</v>
      </c>
      <c r="D3332" t="s">
        <v>183</v>
      </c>
      <c r="E3332" t="s">
        <v>182</v>
      </c>
      <c r="F3332" t="s">
        <v>177</v>
      </c>
      <c r="G3332" t="s">
        <v>179</v>
      </c>
    </row>
    <row r="3333" spans="1:7">
      <c r="A3333">
        <v>2023</v>
      </c>
      <c r="B3333" t="s">
        <v>189</v>
      </c>
      <c r="C3333">
        <v>0</v>
      </c>
      <c r="D3333" t="s">
        <v>183</v>
      </c>
      <c r="E3333" t="s">
        <v>182</v>
      </c>
      <c r="F3333" t="s">
        <v>177</v>
      </c>
      <c r="G3333" t="s">
        <v>179</v>
      </c>
    </row>
    <row r="3334" spans="1:7">
      <c r="A3334">
        <v>2024</v>
      </c>
      <c r="B3334" t="s">
        <v>189</v>
      </c>
      <c r="C3334">
        <v>0</v>
      </c>
      <c r="D3334" t="s">
        <v>183</v>
      </c>
      <c r="E3334" t="s">
        <v>182</v>
      </c>
      <c r="F3334" t="s">
        <v>177</v>
      </c>
      <c r="G3334" t="s">
        <v>179</v>
      </c>
    </row>
    <row r="3335" spans="1:7">
      <c r="A3335">
        <v>2025</v>
      </c>
      <c r="B3335" t="s">
        <v>189</v>
      </c>
      <c r="C3335">
        <v>0</v>
      </c>
      <c r="D3335" t="s">
        <v>183</v>
      </c>
      <c r="E3335" t="s">
        <v>182</v>
      </c>
      <c r="F3335" t="s">
        <v>177</v>
      </c>
      <c r="G3335" t="s">
        <v>179</v>
      </c>
    </row>
    <row r="3336" spans="1:7">
      <c r="A3336">
        <v>2026</v>
      </c>
      <c r="B3336" t="s">
        <v>189</v>
      </c>
      <c r="C3336">
        <v>0</v>
      </c>
      <c r="D3336" t="s">
        <v>183</v>
      </c>
      <c r="E3336" t="s">
        <v>182</v>
      </c>
      <c r="F3336" t="s">
        <v>177</v>
      </c>
      <c r="G3336" t="s">
        <v>179</v>
      </c>
    </row>
    <row r="3337" spans="1:7">
      <c r="A3337">
        <v>2027</v>
      </c>
      <c r="B3337" t="s">
        <v>189</v>
      </c>
      <c r="C3337">
        <v>0</v>
      </c>
      <c r="D3337" t="s">
        <v>183</v>
      </c>
      <c r="E3337" t="s">
        <v>182</v>
      </c>
      <c r="F3337" t="s">
        <v>177</v>
      </c>
      <c r="G3337" t="s">
        <v>179</v>
      </c>
    </row>
    <row r="3338" spans="1:7">
      <c r="A3338">
        <v>2028</v>
      </c>
      <c r="B3338" t="s">
        <v>189</v>
      </c>
      <c r="C3338">
        <v>0</v>
      </c>
      <c r="D3338" t="s">
        <v>183</v>
      </c>
      <c r="E3338" t="s">
        <v>182</v>
      </c>
      <c r="F3338" t="s">
        <v>177</v>
      </c>
      <c r="G3338" t="s">
        <v>179</v>
      </c>
    </row>
    <row r="3339" spans="1:7">
      <c r="A3339">
        <v>2029</v>
      </c>
      <c r="B3339" t="s">
        <v>189</v>
      </c>
      <c r="C3339">
        <v>0</v>
      </c>
      <c r="D3339" t="s">
        <v>183</v>
      </c>
      <c r="E3339" t="s">
        <v>182</v>
      </c>
      <c r="F3339" t="s">
        <v>177</v>
      </c>
      <c r="G3339" t="s">
        <v>179</v>
      </c>
    </row>
    <row r="3340" spans="1:7">
      <c r="A3340">
        <v>2030</v>
      </c>
      <c r="B3340" t="s">
        <v>189</v>
      </c>
      <c r="C3340">
        <v>0</v>
      </c>
      <c r="D3340" t="s">
        <v>183</v>
      </c>
      <c r="E3340" t="s">
        <v>182</v>
      </c>
      <c r="F3340" t="s">
        <v>177</v>
      </c>
      <c r="G3340" t="s">
        <v>179</v>
      </c>
    </row>
    <row r="3341" spans="1:7">
      <c r="A3341">
        <v>2031</v>
      </c>
      <c r="B3341" t="s">
        <v>189</v>
      </c>
      <c r="C3341">
        <v>0</v>
      </c>
      <c r="D3341" t="s">
        <v>183</v>
      </c>
      <c r="E3341" t="s">
        <v>182</v>
      </c>
      <c r="F3341" t="s">
        <v>177</v>
      </c>
      <c r="G3341" t="s">
        <v>179</v>
      </c>
    </row>
    <row r="3342" spans="1:7">
      <c r="A3342">
        <v>2032</v>
      </c>
      <c r="B3342" t="s">
        <v>189</v>
      </c>
      <c r="C3342">
        <v>0</v>
      </c>
      <c r="D3342" t="s">
        <v>183</v>
      </c>
      <c r="E3342" t="s">
        <v>182</v>
      </c>
      <c r="F3342" t="s">
        <v>177</v>
      </c>
      <c r="G3342" t="s">
        <v>179</v>
      </c>
    </row>
    <row r="3343" spans="1:7">
      <c r="A3343">
        <v>2033</v>
      </c>
      <c r="B3343" t="s">
        <v>189</v>
      </c>
      <c r="C3343">
        <v>0</v>
      </c>
      <c r="D3343" t="s">
        <v>183</v>
      </c>
      <c r="E3343" t="s">
        <v>182</v>
      </c>
      <c r="F3343" t="s">
        <v>177</v>
      </c>
      <c r="G3343" t="s">
        <v>179</v>
      </c>
    </row>
    <row r="3344" spans="1:7">
      <c r="A3344">
        <v>2034</v>
      </c>
      <c r="B3344" t="s">
        <v>189</v>
      </c>
      <c r="C3344">
        <v>0</v>
      </c>
      <c r="D3344" t="s">
        <v>183</v>
      </c>
      <c r="E3344" t="s">
        <v>182</v>
      </c>
      <c r="F3344" t="s">
        <v>177</v>
      </c>
      <c r="G3344" t="s">
        <v>179</v>
      </c>
    </row>
    <row r="3345" spans="1:7">
      <c r="A3345">
        <v>2035</v>
      </c>
      <c r="B3345" t="s">
        <v>189</v>
      </c>
      <c r="C3345">
        <v>0</v>
      </c>
      <c r="D3345" t="s">
        <v>183</v>
      </c>
      <c r="E3345" t="s">
        <v>182</v>
      </c>
      <c r="F3345" t="s">
        <v>177</v>
      </c>
      <c r="G3345" t="s">
        <v>179</v>
      </c>
    </row>
    <row r="3346" spans="1:7">
      <c r="A3346">
        <v>2020</v>
      </c>
      <c r="B3346" t="s">
        <v>190</v>
      </c>
      <c r="C3346">
        <v>11059.73</v>
      </c>
      <c r="D3346" t="s">
        <v>183</v>
      </c>
      <c r="E3346" t="s">
        <v>182</v>
      </c>
      <c r="F3346" t="s">
        <v>177</v>
      </c>
      <c r="G3346" t="s">
        <v>179</v>
      </c>
    </row>
    <row r="3347" spans="1:7">
      <c r="A3347">
        <v>2021</v>
      </c>
      <c r="B3347" t="s">
        <v>190</v>
      </c>
      <c r="C3347">
        <v>0</v>
      </c>
      <c r="D3347" t="s">
        <v>183</v>
      </c>
      <c r="E3347" t="s">
        <v>182</v>
      </c>
      <c r="F3347" t="s">
        <v>177</v>
      </c>
      <c r="G3347" t="s">
        <v>179</v>
      </c>
    </row>
    <row r="3348" spans="1:7">
      <c r="A3348">
        <v>2022</v>
      </c>
      <c r="B3348" t="s">
        <v>190</v>
      </c>
      <c r="C3348">
        <v>0</v>
      </c>
      <c r="D3348" t="s">
        <v>183</v>
      </c>
      <c r="E3348" t="s">
        <v>182</v>
      </c>
      <c r="F3348" t="s">
        <v>177</v>
      </c>
      <c r="G3348" t="s">
        <v>179</v>
      </c>
    </row>
    <row r="3349" spans="1:7">
      <c r="A3349">
        <v>2023</v>
      </c>
      <c r="B3349" t="s">
        <v>190</v>
      </c>
      <c r="C3349">
        <v>0</v>
      </c>
      <c r="D3349" t="s">
        <v>183</v>
      </c>
      <c r="E3349" t="s">
        <v>182</v>
      </c>
      <c r="F3349" t="s">
        <v>177</v>
      </c>
      <c r="G3349" t="s">
        <v>179</v>
      </c>
    </row>
    <row r="3350" spans="1:7">
      <c r="A3350">
        <v>2024</v>
      </c>
      <c r="B3350" t="s">
        <v>190</v>
      </c>
      <c r="C3350">
        <v>0</v>
      </c>
      <c r="D3350" t="s">
        <v>183</v>
      </c>
      <c r="E3350" t="s">
        <v>182</v>
      </c>
      <c r="F3350" t="s">
        <v>177</v>
      </c>
      <c r="G3350" t="s">
        <v>179</v>
      </c>
    </row>
    <row r="3351" spans="1:7">
      <c r="A3351">
        <v>2025</v>
      </c>
      <c r="B3351" t="s">
        <v>190</v>
      </c>
      <c r="C3351">
        <v>0</v>
      </c>
      <c r="D3351" t="s">
        <v>183</v>
      </c>
      <c r="E3351" t="s">
        <v>182</v>
      </c>
      <c r="F3351" t="s">
        <v>177</v>
      </c>
      <c r="G3351" t="s">
        <v>179</v>
      </c>
    </row>
    <row r="3352" spans="1:7">
      <c r="A3352">
        <v>2026</v>
      </c>
      <c r="B3352" t="s">
        <v>190</v>
      </c>
      <c r="C3352">
        <v>0</v>
      </c>
      <c r="D3352" t="s">
        <v>183</v>
      </c>
      <c r="E3352" t="s">
        <v>182</v>
      </c>
      <c r="F3352" t="s">
        <v>177</v>
      </c>
      <c r="G3352" t="s">
        <v>179</v>
      </c>
    </row>
    <row r="3353" spans="1:7">
      <c r="A3353">
        <v>2027</v>
      </c>
      <c r="B3353" t="s">
        <v>190</v>
      </c>
      <c r="C3353">
        <v>0</v>
      </c>
      <c r="D3353" t="s">
        <v>183</v>
      </c>
      <c r="E3353" t="s">
        <v>182</v>
      </c>
      <c r="F3353" t="s">
        <v>177</v>
      </c>
      <c r="G3353" t="s">
        <v>179</v>
      </c>
    </row>
    <row r="3354" spans="1:7">
      <c r="A3354">
        <v>2028</v>
      </c>
      <c r="B3354" t="s">
        <v>190</v>
      </c>
      <c r="C3354">
        <v>0</v>
      </c>
      <c r="D3354" t="s">
        <v>183</v>
      </c>
      <c r="E3354" t="s">
        <v>182</v>
      </c>
      <c r="F3354" t="s">
        <v>177</v>
      </c>
      <c r="G3354" t="s">
        <v>179</v>
      </c>
    </row>
    <row r="3355" spans="1:7">
      <c r="A3355">
        <v>2029</v>
      </c>
      <c r="B3355" t="s">
        <v>190</v>
      </c>
      <c r="C3355">
        <v>0</v>
      </c>
      <c r="D3355" t="s">
        <v>183</v>
      </c>
      <c r="E3355" t="s">
        <v>182</v>
      </c>
      <c r="F3355" t="s">
        <v>177</v>
      </c>
      <c r="G3355" t="s">
        <v>179</v>
      </c>
    </row>
    <row r="3356" spans="1:7">
      <c r="A3356">
        <v>2030</v>
      </c>
      <c r="B3356" t="s">
        <v>190</v>
      </c>
      <c r="C3356">
        <v>0</v>
      </c>
      <c r="D3356" t="s">
        <v>183</v>
      </c>
      <c r="E3356" t="s">
        <v>182</v>
      </c>
      <c r="F3356" t="s">
        <v>177</v>
      </c>
      <c r="G3356" t="s">
        <v>179</v>
      </c>
    </row>
    <row r="3357" spans="1:7">
      <c r="A3357">
        <v>2031</v>
      </c>
      <c r="B3357" t="s">
        <v>190</v>
      </c>
      <c r="C3357">
        <v>0</v>
      </c>
      <c r="D3357" t="s">
        <v>183</v>
      </c>
      <c r="E3357" t="s">
        <v>182</v>
      </c>
      <c r="F3357" t="s">
        <v>177</v>
      </c>
      <c r="G3357" t="s">
        <v>179</v>
      </c>
    </row>
    <row r="3358" spans="1:7">
      <c r="A3358">
        <v>2032</v>
      </c>
      <c r="B3358" t="s">
        <v>190</v>
      </c>
      <c r="C3358">
        <v>0</v>
      </c>
      <c r="D3358" t="s">
        <v>183</v>
      </c>
      <c r="E3358" t="s">
        <v>182</v>
      </c>
      <c r="F3358" t="s">
        <v>177</v>
      </c>
      <c r="G3358" t="s">
        <v>179</v>
      </c>
    </row>
    <row r="3359" spans="1:7">
      <c r="A3359">
        <v>2033</v>
      </c>
      <c r="B3359" t="s">
        <v>190</v>
      </c>
      <c r="C3359">
        <v>0</v>
      </c>
      <c r="D3359" t="s">
        <v>183</v>
      </c>
      <c r="E3359" t="s">
        <v>182</v>
      </c>
      <c r="F3359" t="s">
        <v>177</v>
      </c>
      <c r="G3359" t="s">
        <v>179</v>
      </c>
    </row>
    <row r="3360" spans="1:7">
      <c r="A3360">
        <v>2034</v>
      </c>
      <c r="B3360" t="s">
        <v>190</v>
      </c>
      <c r="C3360">
        <v>0</v>
      </c>
      <c r="D3360" t="s">
        <v>183</v>
      </c>
      <c r="E3360" t="s">
        <v>182</v>
      </c>
      <c r="F3360" t="s">
        <v>177</v>
      </c>
      <c r="G3360" t="s">
        <v>179</v>
      </c>
    </row>
    <row r="3361" spans="1:7">
      <c r="A3361">
        <v>2035</v>
      </c>
      <c r="B3361" t="s">
        <v>190</v>
      </c>
      <c r="C3361">
        <v>0</v>
      </c>
      <c r="D3361" t="s">
        <v>183</v>
      </c>
      <c r="E3361" t="s">
        <v>182</v>
      </c>
      <c r="F3361" t="s">
        <v>177</v>
      </c>
      <c r="G3361" t="s">
        <v>179</v>
      </c>
    </row>
    <row r="3362" spans="1:7">
      <c r="A3362">
        <v>2020</v>
      </c>
      <c r="B3362" t="s">
        <v>191</v>
      </c>
      <c r="C3362">
        <v>0</v>
      </c>
      <c r="D3362" t="s">
        <v>183</v>
      </c>
      <c r="E3362" t="s">
        <v>182</v>
      </c>
      <c r="F3362" t="s">
        <v>177</v>
      </c>
      <c r="G3362" t="s">
        <v>179</v>
      </c>
    </row>
    <row r="3363" spans="1:7">
      <c r="A3363">
        <v>2021</v>
      </c>
      <c r="B3363" t="s">
        <v>191</v>
      </c>
      <c r="C3363">
        <v>0</v>
      </c>
      <c r="D3363" t="s">
        <v>183</v>
      </c>
      <c r="E3363" t="s">
        <v>182</v>
      </c>
      <c r="F3363" t="s">
        <v>177</v>
      </c>
      <c r="G3363" t="s">
        <v>179</v>
      </c>
    </row>
    <row r="3364" spans="1:7">
      <c r="A3364">
        <v>2022</v>
      </c>
      <c r="B3364" t="s">
        <v>191</v>
      </c>
      <c r="C3364">
        <v>0</v>
      </c>
      <c r="D3364" t="s">
        <v>183</v>
      </c>
      <c r="E3364" t="s">
        <v>182</v>
      </c>
      <c r="F3364" t="s">
        <v>177</v>
      </c>
      <c r="G3364" t="s">
        <v>179</v>
      </c>
    </row>
    <row r="3365" spans="1:7">
      <c r="A3365">
        <v>2023</v>
      </c>
      <c r="B3365" t="s">
        <v>191</v>
      </c>
      <c r="C3365">
        <v>0</v>
      </c>
      <c r="D3365" t="s">
        <v>183</v>
      </c>
      <c r="E3365" t="s">
        <v>182</v>
      </c>
      <c r="F3365" t="s">
        <v>177</v>
      </c>
      <c r="G3365" t="s">
        <v>179</v>
      </c>
    </row>
    <row r="3366" spans="1:7">
      <c r="A3366">
        <v>2024</v>
      </c>
      <c r="B3366" t="s">
        <v>191</v>
      </c>
      <c r="C3366">
        <v>0</v>
      </c>
      <c r="D3366" t="s">
        <v>183</v>
      </c>
      <c r="E3366" t="s">
        <v>182</v>
      </c>
      <c r="F3366" t="s">
        <v>177</v>
      </c>
      <c r="G3366" t="s">
        <v>179</v>
      </c>
    </row>
    <row r="3367" spans="1:7">
      <c r="A3367">
        <v>2025</v>
      </c>
      <c r="B3367" t="s">
        <v>191</v>
      </c>
      <c r="C3367">
        <v>193.77699999999999</v>
      </c>
      <c r="D3367" t="s">
        <v>183</v>
      </c>
      <c r="E3367" t="s">
        <v>182</v>
      </c>
      <c r="F3367" t="s">
        <v>177</v>
      </c>
      <c r="G3367" t="s">
        <v>179</v>
      </c>
    </row>
    <row r="3368" spans="1:7">
      <c r="A3368">
        <v>2026</v>
      </c>
      <c r="B3368" t="s">
        <v>191</v>
      </c>
      <c r="C3368">
        <v>193.77699999999999</v>
      </c>
      <c r="D3368" t="s">
        <v>183</v>
      </c>
      <c r="E3368" t="s">
        <v>182</v>
      </c>
      <c r="F3368" t="s">
        <v>177</v>
      </c>
      <c r="G3368" t="s">
        <v>179</v>
      </c>
    </row>
    <row r="3369" spans="1:7">
      <c r="A3369">
        <v>2027</v>
      </c>
      <c r="B3369" t="s">
        <v>191</v>
      </c>
      <c r="C3369">
        <v>19.6648</v>
      </c>
      <c r="D3369" t="s">
        <v>183</v>
      </c>
      <c r="E3369" t="s">
        <v>182</v>
      </c>
      <c r="F3369" t="s">
        <v>177</v>
      </c>
      <c r="G3369" t="s">
        <v>179</v>
      </c>
    </row>
    <row r="3370" spans="1:7">
      <c r="A3370">
        <v>2028</v>
      </c>
      <c r="B3370" t="s">
        <v>191</v>
      </c>
      <c r="C3370">
        <v>19.6648</v>
      </c>
      <c r="D3370" t="s">
        <v>183</v>
      </c>
      <c r="E3370" t="s">
        <v>182</v>
      </c>
      <c r="F3370" t="s">
        <v>177</v>
      </c>
      <c r="G3370" t="s">
        <v>179</v>
      </c>
    </row>
    <row r="3371" spans="1:7">
      <c r="A3371">
        <v>2029</v>
      </c>
      <c r="B3371" t="s">
        <v>191</v>
      </c>
      <c r="C3371">
        <v>0</v>
      </c>
      <c r="D3371" t="s">
        <v>183</v>
      </c>
      <c r="E3371" t="s">
        <v>182</v>
      </c>
      <c r="F3371" t="s">
        <v>177</v>
      </c>
      <c r="G3371" t="s">
        <v>179</v>
      </c>
    </row>
    <row r="3372" spans="1:7">
      <c r="A3372">
        <v>2030</v>
      </c>
      <c r="B3372" t="s">
        <v>191</v>
      </c>
      <c r="C3372">
        <v>0</v>
      </c>
      <c r="D3372" t="s">
        <v>183</v>
      </c>
      <c r="E3372" t="s">
        <v>182</v>
      </c>
      <c r="F3372" t="s">
        <v>177</v>
      </c>
      <c r="G3372" t="s">
        <v>179</v>
      </c>
    </row>
    <row r="3373" spans="1:7">
      <c r="A3373">
        <v>2031</v>
      </c>
      <c r="B3373" t="s">
        <v>191</v>
      </c>
      <c r="C3373">
        <v>0</v>
      </c>
      <c r="D3373" t="s">
        <v>183</v>
      </c>
      <c r="E3373" t="s">
        <v>182</v>
      </c>
      <c r="F3373" t="s">
        <v>177</v>
      </c>
      <c r="G3373" t="s">
        <v>179</v>
      </c>
    </row>
    <row r="3374" spans="1:7">
      <c r="A3374">
        <v>2032</v>
      </c>
      <c r="B3374" t="s">
        <v>191</v>
      </c>
      <c r="C3374">
        <v>0</v>
      </c>
      <c r="D3374" t="s">
        <v>183</v>
      </c>
      <c r="E3374" t="s">
        <v>182</v>
      </c>
      <c r="F3374" t="s">
        <v>177</v>
      </c>
      <c r="G3374" t="s">
        <v>179</v>
      </c>
    </row>
    <row r="3375" spans="1:7">
      <c r="A3375">
        <v>2033</v>
      </c>
      <c r="B3375" t="s">
        <v>191</v>
      </c>
      <c r="C3375">
        <v>0</v>
      </c>
      <c r="D3375" t="s">
        <v>183</v>
      </c>
      <c r="E3375" t="s">
        <v>182</v>
      </c>
      <c r="F3375" t="s">
        <v>177</v>
      </c>
      <c r="G3375" t="s">
        <v>179</v>
      </c>
    </row>
    <row r="3376" spans="1:7">
      <c r="A3376">
        <v>2034</v>
      </c>
      <c r="B3376" t="s">
        <v>191</v>
      </c>
      <c r="C3376">
        <v>0</v>
      </c>
      <c r="D3376" t="s">
        <v>183</v>
      </c>
      <c r="E3376" t="s">
        <v>182</v>
      </c>
      <c r="F3376" t="s">
        <v>177</v>
      </c>
      <c r="G3376" t="s">
        <v>179</v>
      </c>
    </row>
    <row r="3377" spans="1:7">
      <c r="A3377">
        <v>2035</v>
      </c>
      <c r="B3377" t="s">
        <v>191</v>
      </c>
      <c r="C3377">
        <v>0</v>
      </c>
      <c r="D3377" t="s">
        <v>183</v>
      </c>
      <c r="E3377" t="s">
        <v>182</v>
      </c>
      <c r="F3377" t="s">
        <v>177</v>
      </c>
      <c r="G3377" t="s">
        <v>179</v>
      </c>
    </row>
    <row r="3378" spans="1:7">
      <c r="A3378">
        <v>2020</v>
      </c>
      <c r="B3378" t="s">
        <v>192</v>
      </c>
      <c r="C3378">
        <v>3671.5</v>
      </c>
      <c r="D3378" t="s">
        <v>183</v>
      </c>
      <c r="E3378" t="s">
        <v>182</v>
      </c>
      <c r="F3378" t="s">
        <v>177</v>
      </c>
      <c r="G3378" t="s">
        <v>179</v>
      </c>
    </row>
    <row r="3379" spans="1:7">
      <c r="A3379">
        <v>2021</v>
      </c>
      <c r="B3379" t="s">
        <v>192</v>
      </c>
      <c r="C3379">
        <v>0</v>
      </c>
      <c r="D3379" t="s">
        <v>183</v>
      </c>
      <c r="E3379" t="s">
        <v>182</v>
      </c>
      <c r="F3379" t="s">
        <v>177</v>
      </c>
      <c r="G3379" t="s">
        <v>179</v>
      </c>
    </row>
    <row r="3380" spans="1:7">
      <c r="A3380">
        <v>2022</v>
      </c>
      <c r="B3380" t="s">
        <v>192</v>
      </c>
      <c r="C3380">
        <v>0</v>
      </c>
      <c r="D3380" t="s">
        <v>183</v>
      </c>
      <c r="E3380" t="s">
        <v>182</v>
      </c>
      <c r="F3380" t="s">
        <v>177</v>
      </c>
      <c r="G3380" t="s">
        <v>179</v>
      </c>
    </row>
    <row r="3381" spans="1:7">
      <c r="A3381">
        <v>2023</v>
      </c>
      <c r="B3381" t="s">
        <v>192</v>
      </c>
      <c r="C3381">
        <v>52</v>
      </c>
      <c r="D3381" t="s">
        <v>183</v>
      </c>
      <c r="E3381" t="s">
        <v>182</v>
      </c>
      <c r="F3381" t="s">
        <v>177</v>
      </c>
      <c r="G3381" t="s">
        <v>179</v>
      </c>
    </row>
    <row r="3382" spans="1:7">
      <c r="A3382">
        <v>2024</v>
      </c>
      <c r="B3382" t="s">
        <v>192</v>
      </c>
      <c r="C3382">
        <v>52</v>
      </c>
      <c r="D3382" t="s">
        <v>183</v>
      </c>
      <c r="E3382" t="s">
        <v>182</v>
      </c>
      <c r="F3382" t="s">
        <v>177</v>
      </c>
      <c r="G3382" t="s">
        <v>179</v>
      </c>
    </row>
    <row r="3383" spans="1:7">
      <c r="A3383">
        <v>2025</v>
      </c>
      <c r="B3383" t="s">
        <v>192</v>
      </c>
      <c r="C3383">
        <v>24.7361</v>
      </c>
      <c r="D3383" t="s">
        <v>183</v>
      </c>
      <c r="E3383" t="s">
        <v>182</v>
      </c>
      <c r="F3383" t="s">
        <v>177</v>
      </c>
      <c r="G3383" t="s">
        <v>179</v>
      </c>
    </row>
    <row r="3384" spans="1:7">
      <c r="A3384">
        <v>2026</v>
      </c>
      <c r="B3384" t="s">
        <v>192</v>
      </c>
      <c r="C3384">
        <v>24.7361</v>
      </c>
      <c r="D3384" t="s">
        <v>183</v>
      </c>
      <c r="E3384" t="s">
        <v>182</v>
      </c>
      <c r="F3384" t="s">
        <v>177</v>
      </c>
      <c r="G3384" t="s">
        <v>179</v>
      </c>
    </row>
    <row r="3385" spans="1:7">
      <c r="A3385">
        <v>2027</v>
      </c>
      <c r="B3385" t="s">
        <v>192</v>
      </c>
      <c r="C3385">
        <v>47.413899999999998</v>
      </c>
      <c r="D3385" t="s">
        <v>183</v>
      </c>
      <c r="E3385" t="s">
        <v>182</v>
      </c>
      <c r="F3385" t="s">
        <v>177</v>
      </c>
      <c r="G3385" t="s">
        <v>179</v>
      </c>
    </row>
    <row r="3386" spans="1:7">
      <c r="A3386">
        <v>2028</v>
      </c>
      <c r="B3386" t="s">
        <v>192</v>
      </c>
      <c r="C3386">
        <v>47.413899999999998</v>
      </c>
      <c r="D3386" t="s">
        <v>183</v>
      </c>
      <c r="E3386" t="s">
        <v>182</v>
      </c>
      <c r="F3386" t="s">
        <v>177</v>
      </c>
      <c r="G3386" t="s">
        <v>179</v>
      </c>
    </row>
    <row r="3387" spans="1:7">
      <c r="A3387">
        <v>2029</v>
      </c>
      <c r="B3387" t="s">
        <v>192</v>
      </c>
      <c r="C3387">
        <v>6.5</v>
      </c>
      <c r="D3387" t="s">
        <v>183</v>
      </c>
      <c r="E3387" t="s">
        <v>182</v>
      </c>
      <c r="F3387" t="s">
        <v>177</v>
      </c>
      <c r="G3387" t="s">
        <v>179</v>
      </c>
    </row>
    <row r="3388" spans="1:7">
      <c r="A3388">
        <v>2030</v>
      </c>
      <c r="B3388" t="s">
        <v>192</v>
      </c>
      <c r="C3388">
        <v>6.5</v>
      </c>
      <c r="D3388" t="s">
        <v>183</v>
      </c>
      <c r="E3388" t="s">
        <v>182</v>
      </c>
      <c r="F3388" t="s">
        <v>177</v>
      </c>
      <c r="G3388" t="s">
        <v>179</v>
      </c>
    </row>
    <row r="3389" spans="1:7">
      <c r="A3389">
        <v>2031</v>
      </c>
      <c r="B3389" t="s">
        <v>192</v>
      </c>
      <c r="C3389">
        <v>14.895</v>
      </c>
      <c r="D3389" t="s">
        <v>183</v>
      </c>
      <c r="E3389" t="s">
        <v>182</v>
      </c>
      <c r="F3389" t="s">
        <v>177</v>
      </c>
      <c r="G3389" t="s">
        <v>179</v>
      </c>
    </row>
    <row r="3390" spans="1:7">
      <c r="A3390">
        <v>2032</v>
      </c>
      <c r="B3390" t="s">
        <v>192</v>
      </c>
      <c r="C3390">
        <v>14.895</v>
      </c>
      <c r="D3390" t="s">
        <v>183</v>
      </c>
      <c r="E3390" t="s">
        <v>182</v>
      </c>
      <c r="F3390" t="s">
        <v>177</v>
      </c>
      <c r="G3390" t="s">
        <v>179</v>
      </c>
    </row>
    <row r="3391" spans="1:7">
      <c r="A3391">
        <v>2033</v>
      </c>
      <c r="B3391" t="s">
        <v>192</v>
      </c>
      <c r="C3391">
        <v>19</v>
      </c>
      <c r="D3391" t="s">
        <v>183</v>
      </c>
      <c r="E3391" t="s">
        <v>182</v>
      </c>
      <c r="F3391" t="s">
        <v>177</v>
      </c>
      <c r="G3391" t="s">
        <v>179</v>
      </c>
    </row>
    <row r="3392" spans="1:7">
      <c r="A3392">
        <v>2034</v>
      </c>
      <c r="B3392" t="s">
        <v>192</v>
      </c>
      <c r="C3392">
        <v>19</v>
      </c>
      <c r="D3392" t="s">
        <v>183</v>
      </c>
      <c r="E3392" t="s">
        <v>182</v>
      </c>
      <c r="F3392" t="s">
        <v>177</v>
      </c>
      <c r="G3392" t="s">
        <v>179</v>
      </c>
    </row>
    <row r="3393" spans="1:7">
      <c r="A3393">
        <v>2035</v>
      </c>
      <c r="B3393" t="s">
        <v>192</v>
      </c>
      <c r="C3393">
        <v>19</v>
      </c>
      <c r="D3393" t="s">
        <v>183</v>
      </c>
      <c r="E3393" t="s">
        <v>182</v>
      </c>
      <c r="F3393" t="s">
        <v>177</v>
      </c>
      <c r="G3393" t="s">
        <v>179</v>
      </c>
    </row>
    <row r="3394" spans="1:7">
      <c r="A3394">
        <v>2020</v>
      </c>
      <c r="B3394" t="s">
        <v>193</v>
      </c>
      <c r="C3394">
        <v>232.5</v>
      </c>
      <c r="D3394" t="s">
        <v>183</v>
      </c>
      <c r="E3394" t="s">
        <v>182</v>
      </c>
      <c r="F3394" t="s">
        <v>177</v>
      </c>
      <c r="G3394" t="s">
        <v>179</v>
      </c>
    </row>
    <row r="3395" spans="1:7">
      <c r="A3395">
        <v>2021</v>
      </c>
      <c r="B3395" t="s">
        <v>193</v>
      </c>
      <c r="C3395">
        <v>1100</v>
      </c>
      <c r="D3395" t="s">
        <v>183</v>
      </c>
      <c r="E3395" t="s">
        <v>182</v>
      </c>
      <c r="F3395" t="s">
        <v>177</v>
      </c>
      <c r="G3395" t="s">
        <v>179</v>
      </c>
    </row>
    <row r="3396" spans="1:7">
      <c r="A3396">
        <v>2022</v>
      </c>
      <c r="B3396" t="s">
        <v>193</v>
      </c>
      <c r="C3396">
        <v>1100</v>
      </c>
      <c r="D3396" t="s">
        <v>183</v>
      </c>
      <c r="E3396" t="s">
        <v>182</v>
      </c>
      <c r="F3396" t="s">
        <v>177</v>
      </c>
      <c r="G3396" t="s">
        <v>179</v>
      </c>
    </row>
    <row r="3397" spans="1:7">
      <c r="A3397">
        <v>2023</v>
      </c>
      <c r="B3397" t="s">
        <v>193</v>
      </c>
      <c r="C3397">
        <v>0</v>
      </c>
      <c r="D3397" t="s">
        <v>183</v>
      </c>
      <c r="E3397" t="s">
        <v>182</v>
      </c>
      <c r="F3397" t="s">
        <v>177</v>
      </c>
      <c r="G3397" t="s">
        <v>179</v>
      </c>
    </row>
    <row r="3398" spans="1:7">
      <c r="A3398">
        <v>2024</v>
      </c>
      <c r="B3398" t="s">
        <v>193</v>
      </c>
      <c r="C3398">
        <v>0</v>
      </c>
      <c r="D3398" t="s">
        <v>183</v>
      </c>
      <c r="E3398" t="s">
        <v>182</v>
      </c>
      <c r="F3398" t="s">
        <v>177</v>
      </c>
      <c r="G3398" t="s">
        <v>179</v>
      </c>
    </row>
    <row r="3399" spans="1:7">
      <c r="A3399">
        <v>2025</v>
      </c>
      <c r="B3399" t="s">
        <v>193</v>
      </c>
      <c r="C3399">
        <v>0</v>
      </c>
      <c r="D3399" t="s">
        <v>183</v>
      </c>
      <c r="E3399" t="s">
        <v>182</v>
      </c>
      <c r="F3399" t="s">
        <v>177</v>
      </c>
      <c r="G3399" t="s">
        <v>179</v>
      </c>
    </row>
    <row r="3400" spans="1:7">
      <c r="A3400">
        <v>2026</v>
      </c>
      <c r="B3400" t="s">
        <v>193</v>
      </c>
      <c r="C3400">
        <v>0</v>
      </c>
      <c r="D3400" t="s">
        <v>183</v>
      </c>
      <c r="E3400" t="s">
        <v>182</v>
      </c>
      <c r="F3400" t="s">
        <v>177</v>
      </c>
      <c r="G3400" t="s">
        <v>179</v>
      </c>
    </row>
    <row r="3401" spans="1:7">
      <c r="A3401">
        <v>2027</v>
      </c>
      <c r="B3401" t="s">
        <v>193</v>
      </c>
      <c r="C3401">
        <v>0</v>
      </c>
      <c r="D3401" t="s">
        <v>183</v>
      </c>
      <c r="E3401" t="s">
        <v>182</v>
      </c>
      <c r="F3401" t="s">
        <v>177</v>
      </c>
      <c r="G3401" t="s">
        <v>179</v>
      </c>
    </row>
    <row r="3402" spans="1:7">
      <c r="A3402">
        <v>2028</v>
      </c>
      <c r="B3402" t="s">
        <v>193</v>
      </c>
      <c r="C3402">
        <v>0</v>
      </c>
      <c r="D3402" t="s">
        <v>183</v>
      </c>
      <c r="E3402" t="s">
        <v>182</v>
      </c>
      <c r="F3402" t="s">
        <v>177</v>
      </c>
      <c r="G3402" t="s">
        <v>179</v>
      </c>
    </row>
    <row r="3403" spans="1:7">
      <c r="A3403">
        <v>2029</v>
      </c>
      <c r="B3403" t="s">
        <v>193</v>
      </c>
      <c r="C3403">
        <v>0</v>
      </c>
      <c r="D3403" t="s">
        <v>183</v>
      </c>
      <c r="E3403" t="s">
        <v>182</v>
      </c>
      <c r="F3403" t="s">
        <v>177</v>
      </c>
      <c r="G3403" t="s">
        <v>179</v>
      </c>
    </row>
    <row r="3404" spans="1:7">
      <c r="A3404">
        <v>2030</v>
      </c>
      <c r="B3404" t="s">
        <v>193</v>
      </c>
      <c r="C3404">
        <v>0</v>
      </c>
      <c r="D3404" t="s">
        <v>183</v>
      </c>
      <c r="E3404" t="s">
        <v>182</v>
      </c>
      <c r="F3404" t="s">
        <v>177</v>
      </c>
      <c r="G3404" t="s">
        <v>179</v>
      </c>
    </row>
    <row r="3405" spans="1:7">
      <c r="A3405">
        <v>2031</v>
      </c>
      <c r="B3405" t="s">
        <v>193</v>
      </c>
      <c r="C3405">
        <v>0</v>
      </c>
      <c r="D3405" t="s">
        <v>183</v>
      </c>
      <c r="E3405" t="s">
        <v>182</v>
      </c>
      <c r="F3405" t="s">
        <v>177</v>
      </c>
      <c r="G3405" t="s">
        <v>179</v>
      </c>
    </row>
    <row r="3406" spans="1:7">
      <c r="A3406">
        <v>2032</v>
      </c>
      <c r="B3406" t="s">
        <v>193</v>
      </c>
      <c r="C3406">
        <v>0</v>
      </c>
      <c r="D3406" t="s">
        <v>183</v>
      </c>
      <c r="E3406" t="s">
        <v>182</v>
      </c>
      <c r="F3406" t="s">
        <v>177</v>
      </c>
      <c r="G3406" t="s">
        <v>179</v>
      </c>
    </row>
    <row r="3407" spans="1:7">
      <c r="A3407">
        <v>2033</v>
      </c>
      <c r="B3407" t="s">
        <v>193</v>
      </c>
      <c r="C3407">
        <v>0</v>
      </c>
      <c r="D3407" t="s">
        <v>183</v>
      </c>
      <c r="E3407" t="s">
        <v>182</v>
      </c>
      <c r="F3407" t="s">
        <v>177</v>
      </c>
      <c r="G3407" t="s">
        <v>179</v>
      </c>
    </row>
    <row r="3408" spans="1:7">
      <c r="A3408">
        <v>2034</v>
      </c>
      <c r="B3408" t="s">
        <v>193</v>
      </c>
      <c r="C3408">
        <v>0</v>
      </c>
      <c r="D3408" t="s">
        <v>183</v>
      </c>
      <c r="E3408" t="s">
        <v>182</v>
      </c>
      <c r="F3408" t="s">
        <v>177</v>
      </c>
      <c r="G3408" t="s">
        <v>179</v>
      </c>
    </row>
    <row r="3409" spans="1:7">
      <c r="A3409">
        <v>2035</v>
      </c>
      <c r="B3409" t="s">
        <v>193</v>
      </c>
      <c r="C3409">
        <v>0</v>
      </c>
      <c r="D3409" t="s">
        <v>183</v>
      </c>
      <c r="E3409" t="s">
        <v>182</v>
      </c>
      <c r="F3409" t="s">
        <v>177</v>
      </c>
      <c r="G3409" t="s">
        <v>179</v>
      </c>
    </row>
    <row r="3410" spans="1:7">
      <c r="A3410">
        <v>2020</v>
      </c>
      <c r="B3410" t="s">
        <v>194</v>
      </c>
      <c r="C3410">
        <v>14.85</v>
      </c>
      <c r="D3410" t="s">
        <v>183</v>
      </c>
      <c r="E3410" t="s">
        <v>182</v>
      </c>
      <c r="F3410" t="s">
        <v>177</v>
      </c>
      <c r="G3410" t="s">
        <v>179</v>
      </c>
    </row>
    <row r="3411" spans="1:7">
      <c r="A3411">
        <v>2021</v>
      </c>
      <c r="B3411" t="s">
        <v>194</v>
      </c>
      <c r="C3411">
        <v>0</v>
      </c>
      <c r="D3411" t="s">
        <v>183</v>
      </c>
      <c r="E3411" t="s">
        <v>182</v>
      </c>
      <c r="F3411" t="s">
        <v>177</v>
      </c>
      <c r="G3411" t="s">
        <v>179</v>
      </c>
    </row>
    <row r="3412" spans="1:7">
      <c r="A3412">
        <v>2022</v>
      </c>
      <c r="B3412" t="s">
        <v>194</v>
      </c>
      <c r="C3412">
        <v>0</v>
      </c>
      <c r="D3412" t="s">
        <v>183</v>
      </c>
      <c r="E3412" t="s">
        <v>182</v>
      </c>
      <c r="F3412" t="s">
        <v>177</v>
      </c>
      <c r="G3412" t="s">
        <v>179</v>
      </c>
    </row>
    <row r="3413" spans="1:7">
      <c r="A3413">
        <v>2023</v>
      </c>
      <c r="B3413" t="s">
        <v>194</v>
      </c>
      <c r="C3413">
        <v>0</v>
      </c>
      <c r="D3413" t="s">
        <v>183</v>
      </c>
      <c r="E3413" t="s">
        <v>182</v>
      </c>
      <c r="F3413" t="s">
        <v>177</v>
      </c>
      <c r="G3413" t="s">
        <v>179</v>
      </c>
    </row>
    <row r="3414" spans="1:7">
      <c r="A3414">
        <v>2024</v>
      </c>
      <c r="B3414" t="s">
        <v>194</v>
      </c>
      <c r="C3414">
        <v>0</v>
      </c>
      <c r="D3414" t="s">
        <v>183</v>
      </c>
      <c r="E3414" t="s">
        <v>182</v>
      </c>
      <c r="F3414" t="s">
        <v>177</v>
      </c>
      <c r="G3414" t="s">
        <v>179</v>
      </c>
    </row>
    <row r="3415" spans="1:7">
      <c r="A3415">
        <v>2025</v>
      </c>
      <c r="B3415" t="s">
        <v>194</v>
      </c>
      <c r="C3415">
        <v>0</v>
      </c>
      <c r="D3415" t="s">
        <v>183</v>
      </c>
      <c r="E3415" t="s">
        <v>182</v>
      </c>
      <c r="F3415" t="s">
        <v>177</v>
      </c>
      <c r="G3415" t="s">
        <v>179</v>
      </c>
    </row>
    <row r="3416" spans="1:7">
      <c r="A3416">
        <v>2026</v>
      </c>
      <c r="B3416" t="s">
        <v>194</v>
      </c>
      <c r="C3416">
        <v>0</v>
      </c>
      <c r="D3416" t="s">
        <v>183</v>
      </c>
      <c r="E3416" t="s">
        <v>182</v>
      </c>
      <c r="F3416" t="s">
        <v>177</v>
      </c>
      <c r="G3416" t="s">
        <v>179</v>
      </c>
    </row>
    <row r="3417" spans="1:7">
      <c r="A3417">
        <v>2027</v>
      </c>
      <c r="B3417" t="s">
        <v>194</v>
      </c>
      <c r="C3417">
        <v>0</v>
      </c>
      <c r="D3417" t="s">
        <v>183</v>
      </c>
      <c r="E3417" t="s">
        <v>182</v>
      </c>
      <c r="F3417" t="s">
        <v>177</v>
      </c>
      <c r="G3417" t="s">
        <v>179</v>
      </c>
    </row>
    <row r="3418" spans="1:7">
      <c r="A3418">
        <v>2028</v>
      </c>
      <c r="B3418" t="s">
        <v>194</v>
      </c>
      <c r="C3418">
        <v>0</v>
      </c>
      <c r="D3418" t="s">
        <v>183</v>
      </c>
      <c r="E3418" t="s">
        <v>182</v>
      </c>
      <c r="F3418" t="s">
        <v>177</v>
      </c>
      <c r="G3418" t="s">
        <v>179</v>
      </c>
    </row>
    <row r="3419" spans="1:7">
      <c r="A3419">
        <v>2029</v>
      </c>
      <c r="B3419" t="s">
        <v>194</v>
      </c>
      <c r="C3419">
        <v>0</v>
      </c>
      <c r="D3419" t="s">
        <v>183</v>
      </c>
      <c r="E3419" t="s">
        <v>182</v>
      </c>
      <c r="F3419" t="s">
        <v>177</v>
      </c>
      <c r="G3419" t="s">
        <v>179</v>
      </c>
    </row>
    <row r="3420" spans="1:7">
      <c r="A3420">
        <v>2030</v>
      </c>
      <c r="B3420" t="s">
        <v>194</v>
      </c>
      <c r="C3420">
        <v>0</v>
      </c>
      <c r="D3420" t="s">
        <v>183</v>
      </c>
      <c r="E3420" t="s">
        <v>182</v>
      </c>
      <c r="F3420" t="s">
        <v>177</v>
      </c>
      <c r="G3420" t="s">
        <v>179</v>
      </c>
    </row>
    <row r="3421" spans="1:7">
      <c r="A3421">
        <v>2031</v>
      </c>
      <c r="B3421" t="s">
        <v>194</v>
      </c>
      <c r="C3421">
        <v>0</v>
      </c>
      <c r="D3421" t="s">
        <v>183</v>
      </c>
      <c r="E3421" t="s">
        <v>182</v>
      </c>
      <c r="F3421" t="s">
        <v>177</v>
      </c>
      <c r="G3421" t="s">
        <v>179</v>
      </c>
    </row>
    <row r="3422" spans="1:7">
      <c r="A3422">
        <v>2032</v>
      </c>
      <c r="B3422" t="s">
        <v>194</v>
      </c>
      <c r="C3422">
        <v>0</v>
      </c>
      <c r="D3422" t="s">
        <v>183</v>
      </c>
      <c r="E3422" t="s">
        <v>182</v>
      </c>
      <c r="F3422" t="s">
        <v>177</v>
      </c>
      <c r="G3422" t="s">
        <v>179</v>
      </c>
    </row>
    <row r="3423" spans="1:7">
      <c r="A3423">
        <v>2033</v>
      </c>
      <c r="B3423" t="s">
        <v>194</v>
      </c>
      <c r="C3423">
        <v>0</v>
      </c>
      <c r="D3423" t="s">
        <v>183</v>
      </c>
      <c r="E3423" t="s">
        <v>182</v>
      </c>
      <c r="F3423" t="s">
        <v>177</v>
      </c>
      <c r="G3423" t="s">
        <v>179</v>
      </c>
    </row>
    <row r="3424" spans="1:7">
      <c r="A3424">
        <v>2034</v>
      </c>
      <c r="B3424" t="s">
        <v>194</v>
      </c>
      <c r="C3424">
        <v>0</v>
      </c>
      <c r="D3424" t="s">
        <v>183</v>
      </c>
      <c r="E3424" t="s">
        <v>182</v>
      </c>
      <c r="F3424" t="s">
        <v>177</v>
      </c>
      <c r="G3424" t="s">
        <v>179</v>
      </c>
    </row>
    <row r="3425" spans="1:7">
      <c r="A3425">
        <v>2035</v>
      </c>
      <c r="B3425" t="s">
        <v>194</v>
      </c>
      <c r="C3425">
        <v>0</v>
      </c>
      <c r="D3425" t="s">
        <v>183</v>
      </c>
      <c r="E3425" t="s">
        <v>182</v>
      </c>
      <c r="F3425" t="s">
        <v>177</v>
      </c>
      <c r="G3425" t="s">
        <v>179</v>
      </c>
    </row>
    <row r="3426" spans="1:7">
      <c r="A3426">
        <v>2020</v>
      </c>
      <c r="B3426" t="s">
        <v>195</v>
      </c>
      <c r="C3426">
        <v>13030.8</v>
      </c>
      <c r="D3426" t="s">
        <v>183</v>
      </c>
      <c r="E3426" t="s">
        <v>182</v>
      </c>
      <c r="F3426" t="s">
        <v>177</v>
      </c>
      <c r="G3426" t="s">
        <v>179</v>
      </c>
    </row>
    <row r="3427" spans="1:7">
      <c r="A3427">
        <v>2021</v>
      </c>
      <c r="B3427" t="s">
        <v>195</v>
      </c>
      <c r="C3427">
        <v>33148.9</v>
      </c>
      <c r="D3427" t="s">
        <v>183</v>
      </c>
      <c r="E3427" t="s">
        <v>182</v>
      </c>
      <c r="F3427" t="s">
        <v>177</v>
      </c>
      <c r="G3427" t="s">
        <v>179</v>
      </c>
    </row>
    <row r="3428" spans="1:7">
      <c r="A3428">
        <v>2022</v>
      </c>
      <c r="B3428" t="s">
        <v>195</v>
      </c>
      <c r="C3428">
        <v>33148.9</v>
      </c>
      <c r="D3428" t="s">
        <v>183</v>
      </c>
      <c r="E3428" t="s">
        <v>182</v>
      </c>
      <c r="F3428" t="s">
        <v>177</v>
      </c>
      <c r="G3428" t="s">
        <v>179</v>
      </c>
    </row>
    <row r="3429" spans="1:7">
      <c r="A3429">
        <v>2023</v>
      </c>
      <c r="B3429" t="s">
        <v>195</v>
      </c>
      <c r="C3429">
        <v>30118.7</v>
      </c>
      <c r="D3429" t="s">
        <v>183</v>
      </c>
      <c r="E3429" t="s">
        <v>182</v>
      </c>
      <c r="F3429" t="s">
        <v>177</v>
      </c>
      <c r="G3429" t="s">
        <v>179</v>
      </c>
    </row>
    <row r="3430" spans="1:7">
      <c r="A3430">
        <v>2024</v>
      </c>
      <c r="B3430" t="s">
        <v>195</v>
      </c>
      <c r="C3430">
        <v>30118.7</v>
      </c>
      <c r="D3430" t="s">
        <v>183</v>
      </c>
      <c r="E3430" t="s">
        <v>182</v>
      </c>
      <c r="F3430" t="s">
        <v>177</v>
      </c>
      <c r="G3430" t="s">
        <v>179</v>
      </c>
    </row>
    <row r="3431" spans="1:7">
      <c r="A3431">
        <v>2025</v>
      </c>
      <c r="B3431" t="s">
        <v>195</v>
      </c>
      <c r="C3431">
        <v>18511.5</v>
      </c>
      <c r="D3431" t="s">
        <v>183</v>
      </c>
      <c r="E3431" t="s">
        <v>182</v>
      </c>
      <c r="F3431" t="s">
        <v>177</v>
      </c>
      <c r="G3431" t="s">
        <v>179</v>
      </c>
    </row>
    <row r="3432" spans="1:7">
      <c r="A3432">
        <v>2026</v>
      </c>
      <c r="B3432" t="s">
        <v>195</v>
      </c>
      <c r="C3432">
        <v>18511.5</v>
      </c>
      <c r="D3432" t="s">
        <v>183</v>
      </c>
      <c r="E3432" t="s">
        <v>182</v>
      </c>
      <c r="F3432" t="s">
        <v>177</v>
      </c>
      <c r="G3432" t="s">
        <v>179</v>
      </c>
    </row>
    <row r="3433" spans="1:7">
      <c r="A3433">
        <v>2027</v>
      </c>
      <c r="B3433" t="s">
        <v>195</v>
      </c>
      <c r="C3433">
        <v>28508.799999999999</v>
      </c>
      <c r="D3433" t="s">
        <v>183</v>
      </c>
      <c r="E3433" t="s">
        <v>182</v>
      </c>
      <c r="F3433" t="s">
        <v>177</v>
      </c>
      <c r="G3433" t="s">
        <v>179</v>
      </c>
    </row>
    <row r="3434" spans="1:7">
      <c r="A3434">
        <v>2028</v>
      </c>
      <c r="B3434" t="s">
        <v>195</v>
      </c>
      <c r="C3434">
        <v>28508.799999999999</v>
      </c>
      <c r="D3434" t="s">
        <v>183</v>
      </c>
      <c r="E3434" t="s">
        <v>182</v>
      </c>
      <c r="F3434" t="s">
        <v>177</v>
      </c>
      <c r="G3434" t="s">
        <v>179</v>
      </c>
    </row>
    <row r="3435" spans="1:7">
      <c r="A3435">
        <v>2029</v>
      </c>
      <c r="B3435" t="s">
        <v>195</v>
      </c>
      <c r="C3435">
        <v>27799.599999999999</v>
      </c>
      <c r="D3435" t="s">
        <v>183</v>
      </c>
      <c r="E3435" t="s">
        <v>182</v>
      </c>
      <c r="F3435" t="s">
        <v>177</v>
      </c>
      <c r="G3435" t="s">
        <v>179</v>
      </c>
    </row>
    <row r="3436" spans="1:7">
      <c r="A3436">
        <v>2030</v>
      </c>
      <c r="B3436" t="s">
        <v>195</v>
      </c>
      <c r="C3436">
        <v>27799.599999999999</v>
      </c>
      <c r="D3436" t="s">
        <v>183</v>
      </c>
      <c r="E3436" t="s">
        <v>182</v>
      </c>
      <c r="F3436" t="s">
        <v>177</v>
      </c>
      <c r="G3436" t="s">
        <v>179</v>
      </c>
    </row>
    <row r="3437" spans="1:7">
      <c r="A3437">
        <v>2031</v>
      </c>
      <c r="B3437" t="s">
        <v>195</v>
      </c>
      <c r="C3437">
        <v>25922.400000000001</v>
      </c>
      <c r="D3437" t="s">
        <v>183</v>
      </c>
      <c r="E3437" t="s">
        <v>182</v>
      </c>
      <c r="F3437" t="s">
        <v>177</v>
      </c>
      <c r="G3437" t="s">
        <v>179</v>
      </c>
    </row>
    <row r="3438" spans="1:7">
      <c r="A3438">
        <v>2032</v>
      </c>
      <c r="B3438" t="s">
        <v>195</v>
      </c>
      <c r="C3438">
        <v>25922.400000000001</v>
      </c>
      <c r="D3438" t="s">
        <v>183</v>
      </c>
      <c r="E3438" t="s">
        <v>182</v>
      </c>
      <c r="F3438" t="s">
        <v>177</v>
      </c>
      <c r="G3438" t="s">
        <v>179</v>
      </c>
    </row>
    <row r="3439" spans="1:7">
      <c r="A3439">
        <v>2033</v>
      </c>
      <c r="B3439" t="s">
        <v>195</v>
      </c>
      <c r="C3439">
        <v>18914.599999999999</v>
      </c>
      <c r="D3439" t="s">
        <v>183</v>
      </c>
      <c r="E3439" t="s">
        <v>182</v>
      </c>
      <c r="F3439" t="s">
        <v>177</v>
      </c>
      <c r="G3439" t="s">
        <v>179</v>
      </c>
    </row>
    <row r="3440" spans="1:7">
      <c r="A3440">
        <v>2034</v>
      </c>
      <c r="B3440" t="s">
        <v>195</v>
      </c>
      <c r="C3440">
        <v>18914.599999999999</v>
      </c>
      <c r="D3440" t="s">
        <v>183</v>
      </c>
      <c r="E3440" t="s">
        <v>182</v>
      </c>
      <c r="F3440" t="s">
        <v>177</v>
      </c>
      <c r="G3440" t="s">
        <v>179</v>
      </c>
    </row>
    <row r="3441" spans="1:7">
      <c r="A3441">
        <v>2035</v>
      </c>
      <c r="B3441" t="s">
        <v>195</v>
      </c>
      <c r="C3441">
        <v>18914.599999999999</v>
      </c>
      <c r="D3441" t="s">
        <v>183</v>
      </c>
      <c r="E3441" t="s">
        <v>182</v>
      </c>
      <c r="F3441" t="s">
        <v>177</v>
      </c>
      <c r="G3441" t="s">
        <v>179</v>
      </c>
    </row>
    <row r="3442" spans="1:7">
      <c r="A3442">
        <v>2020</v>
      </c>
      <c r="B3442" t="s">
        <v>196</v>
      </c>
      <c r="C3442">
        <v>13276.8</v>
      </c>
      <c r="D3442" t="s">
        <v>183</v>
      </c>
      <c r="E3442" t="s">
        <v>182</v>
      </c>
      <c r="F3442" t="s">
        <v>177</v>
      </c>
      <c r="G3442" t="s">
        <v>179</v>
      </c>
    </row>
    <row r="3443" spans="1:7">
      <c r="A3443">
        <v>2021</v>
      </c>
      <c r="B3443" t="s">
        <v>196</v>
      </c>
      <c r="C3443">
        <v>25639</v>
      </c>
      <c r="D3443" t="s">
        <v>183</v>
      </c>
      <c r="E3443" t="s">
        <v>182</v>
      </c>
      <c r="F3443" t="s">
        <v>177</v>
      </c>
      <c r="G3443" t="s">
        <v>179</v>
      </c>
    </row>
    <row r="3444" spans="1:7">
      <c r="A3444">
        <v>2022</v>
      </c>
      <c r="B3444" t="s">
        <v>196</v>
      </c>
      <c r="C3444">
        <v>25639</v>
      </c>
      <c r="D3444" t="s">
        <v>183</v>
      </c>
      <c r="E3444" t="s">
        <v>182</v>
      </c>
      <c r="F3444" t="s">
        <v>177</v>
      </c>
      <c r="G3444" t="s">
        <v>179</v>
      </c>
    </row>
    <row r="3445" spans="1:7">
      <c r="A3445">
        <v>2023</v>
      </c>
      <c r="B3445" t="s">
        <v>196</v>
      </c>
      <c r="C3445">
        <v>21830.799999999999</v>
      </c>
      <c r="D3445" t="s">
        <v>183</v>
      </c>
      <c r="E3445" t="s">
        <v>182</v>
      </c>
      <c r="F3445" t="s">
        <v>177</v>
      </c>
      <c r="G3445" t="s">
        <v>179</v>
      </c>
    </row>
    <row r="3446" spans="1:7">
      <c r="A3446">
        <v>2024</v>
      </c>
      <c r="B3446" t="s">
        <v>196</v>
      </c>
      <c r="C3446">
        <v>21830.799999999999</v>
      </c>
      <c r="D3446" t="s">
        <v>183</v>
      </c>
      <c r="E3446" t="s">
        <v>182</v>
      </c>
      <c r="F3446" t="s">
        <v>177</v>
      </c>
      <c r="G3446" t="s">
        <v>179</v>
      </c>
    </row>
    <row r="3447" spans="1:7">
      <c r="A3447">
        <v>2025</v>
      </c>
      <c r="B3447" t="s">
        <v>196</v>
      </c>
      <c r="C3447">
        <v>37532.5</v>
      </c>
      <c r="D3447" t="s">
        <v>183</v>
      </c>
      <c r="E3447" t="s">
        <v>182</v>
      </c>
      <c r="F3447" t="s">
        <v>177</v>
      </c>
      <c r="G3447" t="s">
        <v>179</v>
      </c>
    </row>
    <row r="3448" spans="1:7">
      <c r="A3448">
        <v>2026</v>
      </c>
      <c r="B3448" t="s">
        <v>196</v>
      </c>
      <c r="C3448">
        <v>37532.5</v>
      </c>
      <c r="D3448" t="s">
        <v>183</v>
      </c>
      <c r="E3448" t="s">
        <v>182</v>
      </c>
      <c r="F3448" t="s">
        <v>177</v>
      </c>
      <c r="G3448" t="s">
        <v>179</v>
      </c>
    </row>
    <row r="3449" spans="1:7">
      <c r="A3449">
        <v>2027</v>
      </c>
      <c r="B3449" t="s">
        <v>196</v>
      </c>
      <c r="C3449">
        <v>33391.300000000003</v>
      </c>
      <c r="D3449" t="s">
        <v>183</v>
      </c>
      <c r="E3449" t="s">
        <v>182</v>
      </c>
      <c r="F3449" t="s">
        <v>177</v>
      </c>
      <c r="G3449" t="s">
        <v>179</v>
      </c>
    </row>
    <row r="3450" spans="1:7">
      <c r="A3450">
        <v>2028</v>
      </c>
      <c r="B3450" t="s">
        <v>196</v>
      </c>
      <c r="C3450">
        <v>33391.300000000003</v>
      </c>
      <c r="D3450" t="s">
        <v>183</v>
      </c>
      <c r="E3450" t="s">
        <v>182</v>
      </c>
      <c r="F3450" t="s">
        <v>177</v>
      </c>
      <c r="G3450" t="s">
        <v>179</v>
      </c>
    </row>
    <row r="3451" spans="1:7">
      <c r="A3451">
        <v>2029</v>
      </c>
      <c r="B3451" t="s">
        <v>196</v>
      </c>
      <c r="C3451">
        <v>36035</v>
      </c>
      <c r="D3451" t="s">
        <v>183</v>
      </c>
      <c r="E3451" t="s">
        <v>182</v>
      </c>
      <c r="F3451" t="s">
        <v>177</v>
      </c>
      <c r="G3451" t="s">
        <v>179</v>
      </c>
    </row>
    <row r="3452" spans="1:7">
      <c r="A3452">
        <v>2030</v>
      </c>
      <c r="B3452" t="s">
        <v>196</v>
      </c>
      <c r="C3452">
        <v>36035</v>
      </c>
      <c r="D3452" t="s">
        <v>183</v>
      </c>
      <c r="E3452" t="s">
        <v>182</v>
      </c>
      <c r="F3452" t="s">
        <v>177</v>
      </c>
      <c r="G3452" t="s">
        <v>179</v>
      </c>
    </row>
    <row r="3453" spans="1:7">
      <c r="A3453">
        <v>2031</v>
      </c>
      <c r="B3453" t="s">
        <v>196</v>
      </c>
      <c r="C3453">
        <v>51090.8</v>
      </c>
      <c r="D3453" t="s">
        <v>183</v>
      </c>
      <c r="E3453" t="s">
        <v>182</v>
      </c>
      <c r="F3453" t="s">
        <v>177</v>
      </c>
      <c r="G3453" t="s">
        <v>179</v>
      </c>
    </row>
    <row r="3454" spans="1:7">
      <c r="A3454">
        <v>2032</v>
      </c>
      <c r="B3454" t="s">
        <v>196</v>
      </c>
      <c r="C3454">
        <v>51090.8</v>
      </c>
      <c r="D3454" t="s">
        <v>183</v>
      </c>
      <c r="E3454" t="s">
        <v>182</v>
      </c>
      <c r="F3454" t="s">
        <v>177</v>
      </c>
      <c r="G3454" t="s">
        <v>179</v>
      </c>
    </row>
    <row r="3455" spans="1:7">
      <c r="A3455">
        <v>2033</v>
      </c>
      <c r="B3455" t="s">
        <v>196</v>
      </c>
      <c r="C3455">
        <v>63882.6</v>
      </c>
      <c r="D3455" t="s">
        <v>183</v>
      </c>
      <c r="E3455" t="s">
        <v>182</v>
      </c>
      <c r="F3455" t="s">
        <v>177</v>
      </c>
      <c r="G3455" t="s">
        <v>179</v>
      </c>
    </row>
    <row r="3456" spans="1:7">
      <c r="A3456">
        <v>2034</v>
      </c>
      <c r="B3456" t="s">
        <v>196</v>
      </c>
      <c r="C3456">
        <v>63882.6</v>
      </c>
      <c r="D3456" t="s">
        <v>183</v>
      </c>
      <c r="E3456" t="s">
        <v>182</v>
      </c>
      <c r="F3456" t="s">
        <v>177</v>
      </c>
      <c r="G3456" t="s">
        <v>179</v>
      </c>
    </row>
    <row r="3457" spans="1:7">
      <c r="A3457">
        <v>2035</v>
      </c>
      <c r="B3457" t="s">
        <v>196</v>
      </c>
      <c r="C3457">
        <v>63882.6</v>
      </c>
      <c r="D3457" t="s">
        <v>183</v>
      </c>
      <c r="E3457" t="s">
        <v>182</v>
      </c>
      <c r="F3457" t="s">
        <v>177</v>
      </c>
      <c r="G3457" t="s">
        <v>179</v>
      </c>
    </row>
    <row r="3458" spans="1:7">
      <c r="A3458">
        <v>2020</v>
      </c>
      <c r="B3458" t="s">
        <v>188</v>
      </c>
      <c r="C3458">
        <v>102.45</v>
      </c>
      <c r="D3458" t="s">
        <v>183</v>
      </c>
      <c r="E3458" t="s">
        <v>182</v>
      </c>
      <c r="F3458" t="s">
        <v>177</v>
      </c>
      <c r="G3458" t="s">
        <v>180</v>
      </c>
    </row>
    <row r="3459" spans="1:7">
      <c r="A3459">
        <v>2021</v>
      </c>
      <c r="B3459" t="s">
        <v>188</v>
      </c>
      <c r="C3459">
        <v>9.5</v>
      </c>
      <c r="D3459" t="s">
        <v>183</v>
      </c>
      <c r="E3459" t="s">
        <v>182</v>
      </c>
      <c r="F3459" t="s">
        <v>177</v>
      </c>
      <c r="G3459" t="s">
        <v>180</v>
      </c>
    </row>
    <row r="3460" spans="1:7">
      <c r="A3460">
        <v>2022</v>
      </c>
      <c r="B3460" t="s">
        <v>188</v>
      </c>
      <c r="C3460">
        <v>9.5</v>
      </c>
      <c r="D3460" t="s">
        <v>183</v>
      </c>
      <c r="E3460" t="s">
        <v>182</v>
      </c>
      <c r="F3460" t="s">
        <v>177</v>
      </c>
      <c r="G3460" t="s">
        <v>180</v>
      </c>
    </row>
    <row r="3461" spans="1:7">
      <c r="A3461">
        <v>2023</v>
      </c>
      <c r="B3461" t="s">
        <v>188</v>
      </c>
      <c r="C3461">
        <v>0</v>
      </c>
      <c r="D3461" t="s">
        <v>183</v>
      </c>
      <c r="E3461" t="s">
        <v>182</v>
      </c>
      <c r="F3461" t="s">
        <v>177</v>
      </c>
      <c r="G3461" t="s">
        <v>180</v>
      </c>
    </row>
    <row r="3462" spans="1:7">
      <c r="A3462">
        <v>2024</v>
      </c>
      <c r="B3462" t="s">
        <v>188</v>
      </c>
      <c r="C3462">
        <v>0</v>
      </c>
      <c r="D3462" t="s">
        <v>183</v>
      </c>
      <c r="E3462" t="s">
        <v>182</v>
      </c>
      <c r="F3462" t="s">
        <v>177</v>
      </c>
      <c r="G3462" t="s">
        <v>180</v>
      </c>
    </row>
    <row r="3463" spans="1:7">
      <c r="A3463">
        <v>2025</v>
      </c>
      <c r="B3463" t="s">
        <v>188</v>
      </c>
      <c r="C3463">
        <v>0</v>
      </c>
      <c r="D3463" t="s">
        <v>183</v>
      </c>
      <c r="E3463" t="s">
        <v>182</v>
      </c>
      <c r="F3463" t="s">
        <v>177</v>
      </c>
      <c r="G3463" t="s">
        <v>180</v>
      </c>
    </row>
    <row r="3464" spans="1:7">
      <c r="A3464">
        <v>2026</v>
      </c>
      <c r="B3464" t="s">
        <v>188</v>
      </c>
      <c r="C3464">
        <v>0</v>
      </c>
      <c r="D3464" t="s">
        <v>183</v>
      </c>
      <c r="E3464" t="s">
        <v>182</v>
      </c>
      <c r="F3464" t="s">
        <v>177</v>
      </c>
      <c r="G3464" t="s">
        <v>180</v>
      </c>
    </row>
    <row r="3465" spans="1:7">
      <c r="A3465">
        <v>2027</v>
      </c>
      <c r="B3465" t="s">
        <v>188</v>
      </c>
      <c r="C3465">
        <v>0</v>
      </c>
      <c r="D3465" t="s">
        <v>183</v>
      </c>
      <c r="E3465" t="s">
        <v>182</v>
      </c>
      <c r="F3465" t="s">
        <v>177</v>
      </c>
      <c r="G3465" t="s">
        <v>180</v>
      </c>
    </row>
    <row r="3466" spans="1:7">
      <c r="A3466">
        <v>2028</v>
      </c>
      <c r="B3466" t="s">
        <v>188</v>
      </c>
      <c r="C3466">
        <v>0</v>
      </c>
      <c r="D3466" t="s">
        <v>183</v>
      </c>
      <c r="E3466" t="s">
        <v>182</v>
      </c>
      <c r="F3466" t="s">
        <v>177</v>
      </c>
      <c r="G3466" t="s">
        <v>180</v>
      </c>
    </row>
    <row r="3467" spans="1:7">
      <c r="A3467">
        <v>2029</v>
      </c>
      <c r="B3467" t="s">
        <v>188</v>
      </c>
      <c r="C3467">
        <v>0</v>
      </c>
      <c r="D3467" t="s">
        <v>183</v>
      </c>
      <c r="E3467" t="s">
        <v>182</v>
      </c>
      <c r="F3467" t="s">
        <v>177</v>
      </c>
      <c r="G3467" t="s">
        <v>180</v>
      </c>
    </row>
    <row r="3468" spans="1:7">
      <c r="A3468">
        <v>2030</v>
      </c>
      <c r="B3468" t="s">
        <v>188</v>
      </c>
      <c r="C3468">
        <v>0</v>
      </c>
      <c r="D3468" t="s">
        <v>183</v>
      </c>
      <c r="E3468" t="s">
        <v>182</v>
      </c>
      <c r="F3468" t="s">
        <v>177</v>
      </c>
      <c r="G3468" t="s">
        <v>180</v>
      </c>
    </row>
    <row r="3469" spans="1:7">
      <c r="A3469">
        <v>2031</v>
      </c>
      <c r="B3469" t="s">
        <v>188</v>
      </c>
      <c r="C3469">
        <v>0</v>
      </c>
      <c r="D3469" t="s">
        <v>183</v>
      </c>
      <c r="E3469" t="s">
        <v>182</v>
      </c>
      <c r="F3469" t="s">
        <v>177</v>
      </c>
      <c r="G3469" t="s">
        <v>180</v>
      </c>
    </row>
    <row r="3470" spans="1:7">
      <c r="A3470">
        <v>2032</v>
      </c>
      <c r="B3470" t="s">
        <v>188</v>
      </c>
      <c r="C3470">
        <v>0</v>
      </c>
      <c r="D3470" t="s">
        <v>183</v>
      </c>
      <c r="E3470" t="s">
        <v>182</v>
      </c>
      <c r="F3470" t="s">
        <v>177</v>
      </c>
      <c r="G3470" t="s">
        <v>180</v>
      </c>
    </row>
    <row r="3471" spans="1:7">
      <c r="A3471">
        <v>2033</v>
      </c>
      <c r="B3471" t="s">
        <v>188</v>
      </c>
      <c r="C3471">
        <v>0</v>
      </c>
      <c r="D3471" t="s">
        <v>183</v>
      </c>
      <c r="E3471" t="s">
        <v>182</v>
      </c>
      <c r="F3471" t="s">
        <v>177</v>
      </c>
      <c r="G3471" t="s">
        <v>180</v>
      </c>
    </row>
    <row r="3472" spans="1:7">
      <c r="A3472">
        <v>2034</v>
      </c>
      <c r="B3472" t="s">
        <v>188</v>
      </c>
      <c r="C3472">
        <v>0</v>
      </c>
      <c r="D3472" t="s">
        <v>183</v>
      </c>
      <c r="E3472" t="s">
        <v>182</v>
      </c>
      <c r="F3472" t="s">
        <v>177</v>
      </c>
      <c r="G3472" t="s">
        <v>180</v>
      </c>
    </row>
    <row r="3473" spans="1:7">
      <c r="A3473">
        <v>2035</v>
      </c>
      <c r="B3473" t="s">
        <v>188</v>
      </c>
      <c r="C3473">
        <v>0</v>
      </c>
      <c r="D3473" t="s">
        <v>183</v>
      </c>
      <c r="E3473" t="s">
        <v>182</v>
      </c>
      <c r="F3473" t="s">
        <v>177</v>
      </c>
      <c r="G3473" t="s">
        <v>180</v>
      </c>
    </row>
    <row r="3474" spans="1:7">
      <c r="A3474">
        <v>2020</v>
      </c>
      <c r="B3474" t="s">
        <v>189</v>
      </c>
      <c r="C3474">
        <v>0</v>
      </c>
      <c r="D3474" t="s">
        <v>183</v>
      </c>
      <c r="E3474" t="s">
        <v>182</v>
      </c>
      <c r="F3474" t="s">
        <v>177</v>
      </c>
      <c r="G3474" t="s">
        <v>180</v>
      </c>
    </row>
    <row r="3475" spans="1:7">
      <c r="A3475">
        <v>2021</v>
      </c>
      <c r="B3475" t="s">
        <v>189</v>
      </c>
      <c r="C3475">
        <v>0</v>
      </c>
      <c r="D3475" t="s">
        <v>183</v>
      </c>
      <c r="E3475" t="s">
        <v>182</v>
      </c>
      <c r="F3475" t="s">
        <v>177</v>
      </c>
      <c r="G3475" t="s">
        <v>180</v>
      </c>
    </row>
    <row r="3476" spans="1:7">
      <c r="A3476">
        <v>2022</v>
      </c>
      <c r="B3476" t="s">
        <v>189</v>
      </c>
      <c r="C3476">
        <v>0</v>
      </c>
      <c r="D3476" t="s">
        <v>183</v>
      </c>
      <c r="E3476" t="s">
        <v>182</v>
      </c>
      <c r="F3476" t="s">
        <v>177</v>
      </c>
      <c r="G3476" t="s">
        <v>180</v>
      </c>
    </row>
    <row r="3477" spans="1:7">
      <c r="A3477">
        <v>2023</v>
      </c>
      <c r="B3477" t="s">
        <v>189</v>
      </c>
      <c r="C3477">
        <v>0</v>
      </c>
      <c r="D3477" t="s">
        <v>183</v>
      </c>
      <c r="E3477" t="s">
        <v>182</v>
      </c>
      <c r="F3477" t="s">
        <v>177</v>
      </c>
      <c r="G3477" t="s">
        <v>180</v>
      </c>
    </row>
    <row r="3478" spans="1:7">
      <c r="A3478">
        <v>2024</v>
      </c>
      <c r="B3478" t="s">
        <v>189</v>
      </c>
      <c r="C3478">
        <v>0</v>
      </c>
      <c r="D3478" t="s">
        <v>183</v>
      </c>
      <c r="E3478" t="s">
        <v>182</v>
      </c>
      <c r="F3478" t="s">
        <v>177</v>
      </c>
      <c r="G3478" t="s">
        <v>180</v>
      </c>
    </row>
    <row r="3479" spans="1:7">
      <c r="A3479">
        <v>2025</v>
      </c>
      <c r="B3479" t="s">
        <v>189</v>
      </c>
      <c r="C3479">
        <v>0</v>
      </c>
      <c r="D3479" t="s">
        <v>183</v>
      </c>
      <c r="E3479" t="s">
        <v>182</v>
      </c>
      <c r="F3479" t="s">
        <v>177</v>
      </c>
      <c r="G3479" t="s">
        <v>180</v>
      </c>
    </row>
    <row r="3480" spans="1:7">
      <c r="A3480">
        <v>2026</v>
      </c>
      <c r="B3480" t="s">
        <v>189</v>
      </c>
      <c r="C3480">
        <v>0</v>
      </c>
      <c r="D3480" t="s">
        <v>183</v>
      </c>
      <c r="E3480" t="s">
        <v>182</v>
      </c>
      <c r="F3480" t="s">
        <v>177</v>
      </c>
      <c r="G3480" t="s">
        <v>180</v>
      </c>
    </row>
    <row r="3481" spans="1:7">
      <c r="A3481">
        <v>2027</v>
      </c>
      <c r="B3481" t="s">
        <v>189</v>
      </c>
      <c r="C3481">
        <v>0</v>
      </c>
      <c r="D3481" t="s">
        <v>183</v>
      </c>
      <c r="E3481" t="s">
        <v>182</v>
      </c>
      <c r="F3481" t="s">
        <v>177</v>
      </c>
      <c r="G3481" t="s">
        <v>180</v>
      </c>
    </row>
    <row r="3482" spans="1:7">
      <c r="A3482">
        <v>2028</v>
      </c>
      <c r="B3482" t="s">
        <v>189</v>
      </c>
      <c r="C3482">
        <v>0</v>
      </c>
      <c r="D3482" t="s">
        <v>183</v>
      </c>
      <c r="E3482" t="s">
        <v>182</v>
      </c>
      <c r="F3482" t="s">
        <v>177</v>
      </c>
      <c r="G3482" t="s">
        <v>180</v>
      </c>
    </row>
    <row r="3483" spans="1:7">
      <c r="A3483">
        <v>2029</v>
      </c>
      <c r="B3483" t="s">
        <v>189</v>
      </c>
      <c r="C3483">
        <v>0</v>
      </c>
      <c r="D3483" t="s">
        <v>183</v>
      </c>
      <c r="E3483" t="s">
        <v>182</v>
      </c>
      <c r="F3483" t="s">
        <v>177</v>
      </c>
      <c r="G3483" t="s">
        <v>180</v>
      </c>
    </row>
    <row r="3484" spans="1:7">
      <c r="A3484">
        <v>2030</v>
      </c>
      <c r="B3484" t="s">
        <v>189</v>
      </c>
      <c r="C3484">
        <v>0</v>
      </c>
      <c r="D3484" t="s">
        <v>183</v>
      </c>
      <c r="E3484" t="s">
        <v>182</v>
      </c>
      <c r="F3484" t="s">
        <v>177</v>
      </c>
      <c r="G3484" t="s">
        <v>180</v>
      </c>
    </row>
    <row r="3485" spans="1:7">
      <c r="A3485">
        <v>2031</v>
      </c>
      <c r="B3485" t="s">
        <v>189</v>
      </c>
      <c r="C3485">
        <v>0</v>
      </c>
      <c r="D3485" t="s">
        <v>183</v>
      </c>
      <c r="E3485" t="s">
        <v>182</v>
      </c>
      <c r="F3485" t="s">
        <v>177</v>
      </c>
      <c r="G3485" t="s">
        <v>180</v>
      </c>
    </row>
    <row r="3486" spans="1:7">
      <c r="A3486">
        <v>2032</v>
      </c>
      <c r="B3486" t="s">
        <v>189</v>
      </c>
      <c r="C3486">
        <v>0</v>
      </c>
      <c r="D3486" t="s">
        <v>183</v>
      </c>
      <c r="E3486" t="s">
        <v>182</v>
      </c>
      <c r="F3486" t="s">
        <v>177</v>
      </c>
      <c r="G3486" t="s">
        <v>180</v>
      </c>
    </row>
    <row r="3487" spans="1:7">
      <c r="A3487">
        <v>2033</v>
      </c>
      <c r="B3487" t="s">
        <v>189</v>
      </c>
      <c r="C3487">
        <v>0</v>
      </c>
      <c r="D3487" t="s">
        <v>183</v>
      </c>
      <c r="E3487" t="s">
        <v>182</v>
      </c>
      <c r="F3487" t="s">
        <v>177</v>
      </c>
      <c r="G3487" t="s">
        <v>180</v>
      </c>
    </row>
    <row r="3488" spans="1:7">
      <c r="A3488">
        <v>2034</v>
      </c>
      <c r="B3488" t="s">
        <v>189</v>
      </c>
      <c r="C3488">
        <v>0</v>
      </c>
      <c r="D3488" t="s">
        <v>183</v>
      </c>
      <c r="E3488" t="s">
        <v>182</v>
      </c>
      <c r="F3488" t="s">
        <v>177</v>
      </c>
      <c r="G3488" t="s">
        <v>180</v>
      </c>
    </row>
    <row r="3489" spans="1:7">
      <c r="A3489">
        <v>2035</v>
      </c>
      <c r="B3489" t="s">
        <v>189</v>
      </c>
      <c r="C3489">
        <v>0</v>
      </c>
      <c r="D3489" t="s">
        <v>183</v>
      </c>
      <c r="E3489" t="s">
        <v>182</v>
      </c>
      <c r="F3489" t="s">
        <v>177</v>
      </c>
      <c r="G3489" t="s">
        <v>180</v>
      </c>
    </row>
    <row r="3490" spans="1:7">
      <c r="A3490">
        <v>2020</v>
      </c>
      <c r="B3490" t="s">
        <v>190</v>
      </c>
      <c r="C3490">
        <v>11059.73</v>
      </c>
      <c r="D3490" t="s">
        <v>183</v>
      </c>
      <c r="E3490" t="s">
        <v>182</v>
      </c>
      <c r="F3490" t="s">
        <v>177</v>
      </c>
      <c r="G3490" t="s">
        <v>180</v>
      </c>
    </row>
    <row r="3491" spans="1:7">
      <c r="A3491">
        <v>2021</v>
      </c>
      <c r="B3491" t="s">
        <v>190</v>
      </c>
      <c r="C3491">
        <v>0</v>
      </c>
      <c r="D3491" t="s">
        <v>183</v>
      </c>
      <c r="E3491" t="s">
        <v>182</v>
      </c>
      <c r="F3491" t="s">
        <v>177</v>
      </c>
      <c r="G3491" t="s">
        <v>180</v>
      </c>
    </row>
    <row r="3492" spans="1:7">
      <c r="A3492">
        <v>2022</v>
      </c>
      <c r="B3492" t="s">
        <v>190</v>
      </c>
      <c r="C3492">
        <v>0</v>
      </c>
      <c r="D3492" t="s">
        <v>183</v>
      </c>
      <c r="E3492" t="s">
        <v>182</v>
      </c>
      <c r="F3492" t="s">
        <v>177</v>
      </c>
      <c r="G3492" t="s">
        <v>180</v>
      </c>
    </row>
    <row r="3493" spans="1:7">
      <c r="A3493">
        <v>2023</v>
      </c>
      <c r="B3493" t="s">
        <v>190</v>
      </c>
      <c r="C3493">
        <v>0</v>
      </c>
      <c r="D3493" t="s">
        <v>183</v>
      </c>
      <c r="E3493" t="s">
        <v>182</v>
      </c>
      <c r="F3493" t="s">
        <v>177</v>
      </c>
      <c r="G3493" t="s">
        <v>180</v>
      </c>
    </row>
    <row r="3494" spans="1:7">
      <c r="A3494">
        <v>2024</v>
      </c>
      <c r="B3494" t="s">
        <v>190</v>
      </c>
      <c r="C3494">
        <v>0</v>
      </c>
      <c r="D3494" t="s">
        <v>183</v>
      </c>
      <c r="E3494" t="s">
        <v>182</v>
      </c>
      <c r="F3494" t="s">
        <v>177</v>
      </c>
      <c r="G3494" t="s">
        <v>180</v>
      </c>
    </row>
    <row r="3495" spans="1:7">
      <c r="A3495">
        <v>2025</v>
      </c>
      <c r="B3495" t="s">
        <v>190</v>
      </c>
      <c r="C3495">
        <v>0</v>
      </c>
      <c r="D3495" t="s">
        <v>183</v>
      </c>
      <c r="E3495" t="s">
        <v>182</v>
      </c>
      <c r="F3495" t="s">
        <v>177</v>
      </c>
      <c r="G3495" t="s">
        <v>180</v>
      </c>
    </row>
    <row r="3496" spans="1:7">
      <c r="A3496">
        <v>2026</v>
      </c>
      <c r="B3496" t="s">
        <v>190</v>
      </c>
      <c r="C3496">
        <v>0</v>
      </c>
      <c r="D3496" t="s">
        <v>183</v>
      </c>
      <c r="E3496" t="s">
        <v>182</v>
      </c>
      <c r="F3496" t="s">
        <v>177</v>
      </c>
      <c r="G3496" t="s">
        <v>180</v>
      </c>
    </row>
    <row r="3497" spans="1:7">
      <c r="A3497">
        <v>2027</v>
      </c>
      <c r="B3497" t="s">
        <v>190</v>
      </c>
      <c r="C3497">
        <v>0</v>
      </c>
      <c r="D3497" t="s">
        <v>183</v>
      </c>
      <c r="E3497" t="s">
        <v>182</v>
      </c>
      <c r="F3497" t="s">
        <v>177</v>
      </c>
      <c r="G3497" t="s">
        <v>180</v>
      </c>
    </row>
    <row r="3498" spans="1:7">
      <c r="A3498">
        <v>2028</v>
      </c>
      <c r="B3498" t="s">
        <v>190</v>
      </c>
      <c r="C3498">
        <v>0</v>
      </c>
      <c r="D3498" t="s">
        <v>183</v>
      </c>
      <c r="E3498" t="s">
        <v>182</v>
      </c>
      <c r="F3498" t="s">
        <v>177</v>
      </c>
      <c r="G3498" t="s">
        <v>180</v>
      </c>
    </row>
    <row r="3499" spans="1:7">
      <c r="A3499">
        <v>2029</v>
      </c>
      <c r="B3499" t="s">
        <v>190</v>
      </c>
      <c r="C3499">
        <v>0</v>
      </c>
      <c r="D3499" t="s">
        <v>183</v>
      </c>
      <c r="E3499" t="s">
        <v>182</v>
      </c>
      <c r="F3499" t="s">
        <v>177</v>
      </c>
      <c r="G3499" t="s">
        <v>180</v>
      </c>
    </row>
    <row r="3500" spans="1:7">
      <c r="A3500">
        <v>2030</v>
      </c>
      <c r="B3500" t="s">
        <v>190</v>
      </c>
      <c r="C3500">
        <v>0</v>
      </c>
      <c r="D3500" t="s">
        <v>183</v>
      </c>
      <c r="E3500" t="s">
        <v>182</v>
      </c>
      <c r="F3500" t="s">
        <v>177</v>
      </c>
      <c r="G3500" t="s">
        <v>180</v>
      </c>
    </row>
    <row r="3501" spans="1:7">
      <c r="A3501">
        <v>2031</v>
      </c>
      <c r="B3501" t="s">
        <v>190</v>
      </c>
      <c r="C3501">
        <v>0</v>
      </c>
      <c r="D3501" t="s">
        <v>183</v>
      </c>
      <c r="E3501" t="s">
        <v>182</v>
      </c>
      <c r="F3501" t="s">
        <v>177</v>
      </c>
      <c r="G3501" t="s">
        <v>180</v>
      </c>
    </row>
    <row r="3502" spans="1:7">
      <c r="A3502">
        <v>2032</v>
      </c>
      <c r="B3502" t="s">
        <v>190</v>
      </c>
      <c r="C3502">
        <v>0</v>
      </c>
      <c r="D3502" t="s">
        <v>183</v>
      </c>
      <c r="E3502" t="s">
        <v>182</v>
      </c>
      <c r="F3502" t="s">
        <v>177</v>
      </c>
      <c r="G3502" t="s">
        <v>180</v>
      </c>
    </row>
    <row r="3503" spans="1:7">
      <c r="A3503">
        <v>2033</v>
      </c>
      <c r="B3503" t="s">
        <v>190</v>
      </c>
      <c r="C3503">
        <v>0</v>
      </c>
      <c r="D3503" t="s">
        <v>183</v>
      </c>
      <c r="E3503" t="s">
        <v>182</v>
      </c>
      <c r="F3503" t="s">
        <v>177</v>
      </c>
      <c r="G3503" t="s">
        <v>180</v>
      </c>
    </row>
    <row r="3504" spans="1:7">
      <c r="A3504">
        <v>2034</v>
      </c>
      <c r="B3504" t="s">
        <v>190</v>
      </c>
      <c r="C3504">
        <v>0</v>
      </c>
      <c r="D3504" t="s">
        <v>183</v>
      </c>
      <c r="E3504" t="s">
        <v>182</v>
      </c>
      <c r="F3504" t="s">
        <v>177</v>
      </c>
      <c r="G3504" t="s">
        <v>180</v>
      </c>
    </row>
    <row r="3505" spans="1:7">
      <c r="A3505">
        <v>2035</v>
      </c>
      <c r="B3505" t="s">
        <v>190</v>
      </c>
      <c r="C3505">
        <v>0</v>
      </c>
      <c r="D3505" t="s">
        <v>183</v>
      </c>
      <c r="E3505" t="s">
        <v>182</v>
      </c>
      <c r="F3505" t="s">
        <v>177</v>
      </c>
      <c r="G3505" t="s">
        <v>180</v>
      </c>
    </row>
    <row r="3506" spans="1:7">
      <c r="A3506">
        <v>2020</v>
      </c>
      <c r="B3506" t="s">
        <v>191</v>
      </c>
      <c r="C3506">
        <v>0</v>
      </c>
      <c r="D3506" t="s">
        <v>183</v>
      </c>
      <c r="E3506" t="s">
        <v>182</v>
      </c>
      <c r="F3506" t="s">
        <v>177</v>
      </c>
      <c r="G3506" t="s">
        <v>180</v>
      </c>
    </row>
    <row r="3507" spans="1:7">
      <c r="A3507">
        <v>2021</v>
      </c>
      <c r="B3507" t="s">
        <v>191</v>
      </c>
      <c r="C3507">
        <v>0</v>
      </c>
      <c r="D3507" t="s">
        <v>183</v>
      </c>
      <c r="E3507" t="s">
        <v>182</v>
      </c>
      <c r="F3507" t="s">
        <v>177</v>
      </c>
      <c r="G3507" t="s">
        <v>180</v>
      </c>
    </row>
    <row r="3508" spans="1:7">
      <c r="A3508">
        <v>2022</v>
      </c>
      <c r="B3508" t="s">
        <v>191</v>
      </c>
      <c r="C3508">
        <v>0</v>
      </c>
      <c r="D3508" t="s">
        <v>183</v>
      </c>
      <c r="E3508" t="s">
        <v>182</v>
      </c>
      <c r="F3508" t="s">
        <v>177</v>
      </c>
      <c r="G3508" t="s">
        <v>180</v>
      </c>
    </row>
    <row r="3509" spans="1:7">
      <c r="A3509">
        <v>2023</v>
      </c>
      <c r="B3509" t="s">
        <v>191</v>
      </c>
      <c r="C3509">
        <v>0</v>
      </c>
      <c r="D3509" t="s">
        <v>183</v>
      </c>
      <c r="E3509" t="s">
        <v>182</v>
      </c>
      <c r="F3509" t="s">
        <v>177</v>
      </c>
      <c r="G3509" t="s">
        <v>180</v>
      </c>
    </row>
    <row r="3510" spans="1:7">
      <c r="A3510">
        <v>2024</v>
      </c>
      <c r="B3510" t="s">
        <v>191</v>
      </c>
      <c r="C3510">
        <v>0</v>
      </c>
      <c r="D3510" t="s">
        <v>183</v>
      </c>
      <c r="E3510" t="s">
        <v>182</v>
      </c>
      <c r="F3510" t="s">
        <v>177</v>
      </c>
      <c r="G3510" t="s">
        <v>180</v>
      </c>
    </row>
    <row r="3511" spans="1:7">
      <c r="A3511">
        <v>2025</v>
      </c>
      <c r="B3511" t="s">
        <v>191</v>
      </c>
      <c r="C3511">
        <v>0</v>
      </c>
      <c r="D3511" t="s">
        <v>183</v>
      </c>
      <c r="E3511" t="s">
        <v>182</v>
      </c>
      <c r="F3511" t="s">
        <v>177</v>
      </c>
      <c r="G3511" t="s">
        <v>180</v>
      </c>
    </row>
    <row r="3512" spans="1:7">
      <c r="A3512">
        <v>2026</v>
      </c>
      <c r="B3512" t="s">
        <v>191</v>
      </c>
      <c r="C3512">
        <v>0</v>
      </c>
      <c r="D3512" t="s">
        <v>183</v>
      </c>
      <c r="E3512" t="s">
        <v>182</v>
      </c>
      <c r="F3512" t="s">
        <v>177</v>
      </c>
      <c r="G3512" t="s">
        <v>180</v>
      </c>
    </row>
    <row r="3513" spans="1:7">
      <c r="A3513">
        <v>2027</v>
      </c>
      <c r="B3513" t="s">
        <v>191</v>
      </c>
      <c r="C3513">
        <v>0</v>
      </c>
      <c r="D3513" t="s">
        <v>183</v>
      </c>
      <c r="E3513" t="s">
        <v>182</v>
      </c>
      <c r="F3513" t="s">
        <v>177</v>
      </c>
      <c r="G3513" t="s">
        <v>180</v>
      </c>
    </row>
    <row r="3514" spans="1:7">
      <c r="A3514">
        <v>2028</v>
      </c>
      <c r="B3514" t="s">
        <v>191</v>
      </c>
      <c r="C3514">
        <v>0</v>
      </c>
      <c r="D3514" t="s">
        <v>183</v>
      </c>
      <c r="E3514" t="s">
        <v>182</v>
      </c>
      <c r="F3514" t="s">
        <v>177</v>
      </c>
      <c r="G3514" t="s">
        <v>180</v>
      </c>
    </row>
    <row r="3515" spans="1:7">
      <c r="A3515">
        <v>2029</v>
      </c>
      <c r="B3515" t="s">
        <v>191</v>
      </c>
      <c r="C3515">
        <v>0</v>
      </c>
      <c r="D3515" t="s">
        <v>183</v>
      </c>
      <c r="E3515" t="s">
        <v>182</v>
      </c>
      <c r="F3515" t="s">
        <v>177</v>
      </c>
      <c r="G3515" t="s">
        <v>180</v>
      </c>
    </row>
    <row r="3516" spans="1:7">
      <c r="A3516">
        <v>2030</v>
      </c>
      <c r="B3516" t="s">
        <v>191</v>
      </c>
      <c r="C3516">
        <v>0</v>
      </c>
      <c r="D3516" t="s">
        <v>183</v>
      </c>
      <c r="E3516" t="s">
        <v>182</v>
      </c>
      <c r="F3516" t="s">
        <v>177</v>
      </c>
      <c r="G3516" t="s">
        <v>180</v>
      </c>
    </row>
    <row r="3517" spans="1:7">
      <c r="A3517">
        <v>2031</v>
      </c>
      <c r="B3517" t="s">
        <v>191</v>
      </c>
      <c r="C3517">
        <v>0</v>
      </c>
      <c r="D3517" t="s">
        <v>183</v>
      </c>
      <c r="E3517" t="s">
        <v>182</v>
      </c>
      <c r="F3517" t="s">
        <v>177</v>
      </c>
      <c r="G3517" t="s">
        <v>180</v>
      </c>
    </row>
    <row r="3518" spans="1:7">
      <c r="A3518">
        <v>2032</v>
      </c>
      <c r="B3518" t="s">
        <v>191</v>
      </c>
      <c r="C3518">
        <v>0</v>
      </c>
      <c r="D3518" t="s">
        <v>183</v>
      </c>
      <c r="E3518" t="s">
        <v>182</v>
      </c>
      <c r="F3518" t="s">
        <v>177</v>
      </c>
      <c r="G3518" t="s">
        <v>180</v>
      </c>
    </row>
    <row r="3519" spans="1:7">
      <c r="A3519">
        <v>2033</v>
      </c>
      <c r="B3519" t="s">
        <v>191</v>
      </c>
      <c r="C3519">
        <v>0</v>
      </c>
      <c r="D3519" t="s">
        <v>183</v>
      </c>
      <c r="E3519" t="s">
        <v>182</v>
      </c>
      <c r="F3519" t="s">
        <v>177</v>
      </c>
      <c r="G3519" t="s">
        <v>180</v>
      </c>
    </row>
    <row r="3520" spans="1:7">
      <c r="A3520">
        <v>2034</v>
      </c>
      <c r="B3520" t="s">
        <v>191</v>
      </c>
      <c r="C3520">
        <v>0</v>
      </c>
      <c r="D3520" t="s">
        <v>183</v>
      </c>
      <c r="E3520" t="s">
        <v>182</v>
      </c>
      <c r="F3520" t="s">
        <v>177</v>
      </c>
      <c r="G3520" t="s">
        <v>180</v>
      </c>
    </row>
    <row r="3521" spans="1:7">
      <c r="A3521">
        <v>2035</v>
      </c>
      <c r="B3521" t="s">
        <v>191</v>
      </c>
      <c r="C3521">
        <v>0</v>
      </c>
      <c r="D3521" t="s">
        <v>183</v>
      </c>
      <c r="E3521" t="s">
        <v>182</v>
      </c>
      <c r="F3521" t="s">
        <v>177</v>
      </c>
      <c r="G3521" t="s">
        <v>180</v>
      </c>
    </row>
    <row r="3522" spans="1:7">
      <c r="A3522">
        <v>2020</v>
      </c>
      <c r="B3522" t="s">
        <v>192</v>
      </c>
      <c r="C3522">
        <v>2623.38</v>
      </c>
      <c r="D3522" t="s">
        <v>183</v>
      </c>
      <c r="E3522" t="s">
        <v>182</v>
      </c>
      <c r="F3522" t="s">
        <v>177</v>
      </c>
      <c r="G3522" t="s">
        <v>180</v>
      </c>
    </row>
    <row r="3523" spans="1:7">
      <c r="A3523">
        <v>2021</v>
      </c>
      <c r="B3523" t="s">
        <v>192</v>
      </c>
      <c r="C3523">
        <v>0</v>
      </c>
      <c r="D3523" t="s">
        <v>183</v>
      </c>
      <c r="E3523" t="s">
        <v>182</v>
      </c>
      <c r="F3523" t="s">
        <v>177</v>
      </c>
      <c r="G3523" t="s">
        <v>180</v>
      </c>
    </row>
    <row r="3524" spans="1:7">
      <c r="A3524">
        <v>2022</v>
      </c>
      <c r="B3524" t="s">
        <v>192</v>
      </c>
      <c r="C3524">
        <v>0</v>
      </c>
      <c r="D3524" t="s">
        <v>183</v>
      </c>
      <c r="E3524" t="s">
        <v>182</v>
      </c>
      <c r="F3524" t="s">
        <v>177</v>
      </c>
      <c r="G3524" t="s">
        <v>180</v>
      </c>
    </row>
    <row r="3525" spans="1:7">
      <c r="A3525">
        <v>2023</v>
      </c>
      <c r="B3525" t="s">
        <v>192</v>
      </c>
      <c r="C3525">
        <v>35</v>
      </c>
      <c r="D3525" t="s">
        <v>183</v>
      </c>
      <c r="E3525" t="s">
        <v>182</v>
      </c>
      <c r="F3525" t="s">
        <v>177</v>
      </c>
      <c r="G3525" t="s">
        <v>180</v>
      </c>
    </row>
    <row r="3526" spans="1:7">
      <c r="A3526">
        <v>2024</v>
      </c>
      <c r="B3526" t="s">
        <v>192</v>
      </c>
      <c r="C3526">
        <v>35</v>
      </c>
      <c r="D3526" t="s">
        <v>183</v>
      </c>
      <c r="E3526" t="s">
        <v>182</v>
      </c>
      <c r="F3526" t="s">
        <v>177</v>
      </c>
      <c r="G3526" t="s">
        <v>180</v>
      </c>
    </row>
    <row r="3527" spans="1:7">
      <c r="A3527">
        <v>2025</v>
      </c>
      <c r="B3527" t="s">
        <v>192</v>
      </c>
      <c r="C3527">
        <v>44.5</v>
      </c>
      <c r="D3527" t="s">
        <v>183</v>
      </c>
      <c r="E3527" t="s">
        <v>182</v>
      </c>
      <c r="F3527" t="s">
        <v>177</v>
      </c>
      <c r="G3527" t="s">
        <v>180</v>
      </c>
    </row>
    <row r="3528" spans="1:7">
      <c r="A3528">
        <v>2026</v>
      </c>
      <c r="B3528" t="s">
        <v>192</v>
      </c>
      <c r="C3528">
        <v>44.5</v>
      </c>
      <c r="D3528" t="s">
        <v>183</v>
      </c>
      <c r="E3528" t="s">
        <v>182</v>
      </c>
      <c r="F3528" t="s">
        <v>177</v>
      </c>
      <c r="G3528" t="s">
        <v>180</v>
      </c>
    </row>
    <row r="3529" spans="1:7">
      <c r="A3529">
        <v>2027</v>
      </c>
      <c r="B3529" t="s">
        <v>192</v>
      </c>
      <c r="C3529">
        <v>25</v>
      </c>
      <c r="D3529" t="s">
        <v>183</v>
      </c>
      <c r="E3529" t="s">
        <v>182</v>
      </c>
      <c r="F3529" t="s">
        <v>177</v>
      </c>
      <c r="G3529" t="s">
        <v>180</v>
      </c>
    </row>
    <row r="3530" spans="1:7">
      <c r="A3530">
        <v>2028</v>
      </c>
      <c r="B3530" t="s">
        <v>192</v>
      </c>
      <c r="C3530">
        <v>25</v>
      </c>
      <c r="D3530" t="s">
        <v>183</v>
      </c>
      <c r="E3530" t="s">
        <v>182</v>
      </c>
      <c r="F3530" t="s">
        <v>177</v>
      </c>
      <c r="G3530" t="s">
        <v>180</v>
      </c>
    </row>
    <row r="3531" spans="1:7">
      <c r="A3531">
        <v>2029</v>
      </c>
      <c r="B3531" t="s">
        <v>192</v>
      </c>
      <c r="C3531">
        <v>29.5</v>
      </c>
      <c r="D3531" t="s">
        <v>183</v>
      </c>
      <c r="E3531" t="s">
        <v>182</v>
      </c>
      <c r="F3531" t="s">
        <v>177</v>
      </c>
      <c r="G3531" t="s">
        <v>180</v>
      </c>
    </row>
    <row r="3532" spans="1:7">
      <c r="A3532">
        <v>2030</v>
      </c>
      <c r="B3532" t="s">
        <v>192</v>
      </c>
      <c r="C3532">
        <v>29.5</v>
      </c>
      <c r="D3532" t="s">
        <v>183</v>
      </c>
      <c r="E3532" t="s">
        <v>182</v>
      </c>
      <c r="F3532" t="s">
        <v>177</v>
      </c>
      <c r="G3532" t="s">
        <v>180</v>
      </c>
    </row>
    <row r="3533" spans="1:7">
      <c r="A3533">
        <v>2031</v>
      </c>
      <c r="B3533" t="s">
        <v>192</v>
      </c>
      <c r="C3533">
        <v>20.895</v>
      </c>
      <c r="D3533" t="s">
        <v>183</v>
      </c>
      <c r="E3533" t="s">
        <v>182</v>
      </c>
      <c r="F3533" t="s">
        <v>177</v>
      </c>
      <c r="G3533" t="s">
        <v>180</v>
      </c>
    </row>
    <row r="3534" spans="1:7">
      <c r="A3534">
        <v>2032</v>
      </c>
      <c r="B3534" t="s">
        <v>192</v>
      </c>
      <c r="C3534">
        <v>20.895</v>
      </c>
      <c r="D3534" t="s">
        <v>183</v>
      </c>
      <c r="E3534" t="s">
        <v>182</v>
      </c>
      <c r="F3534" t="s">
        <v>177</v>
      </c>
      <c r="G3534" t="s">
        <v>180</v>
      </c>
    </row>
    <row r="3535" spans="1:7">
      <c r="A3535">
        <v>2033</v>
      </c>
      <c r="B3535" t="s">
        <v>192</v>
      </c>
      <c r="C3535">
        <v>12.666700000000001</v>
      </c>
      <c r="D3535" t="s">
        <v>183</v>
      </c>
      <c r="E3535" t="s">
        <v>182</v>
      </c>
      <c r="F3535" t="s">
        <v>177</v>
      </c>
      <c r="G3535" t="s">
        <v>180</v>
      </c>
    </row>
    <row r="3536" spans="1:7">
      <c r="A3536">
        <v>2034</v>
      </c>
      <c r="B3536" t="s">
        <v>192</v>
      </c>
      <c r="C3536">
        <v>12.666700000000001</v>
      </c>
      <c r="D3536" t="s">
        <v>183</v>
      </c>
      <c r="E3536" t="s">
        <v>182</v>
      </c>
      <c r="F3536" t="s">
        <v>177</v>
      </c>
      <c r="G3536" t="s">
        <v>180</v>
      </c>
    </row>
    <row r="3537" spans="1:7">
      <c r="A3537">
        <v>2035</v>
      </c>
      <c r="B3537" t="s">
        <v>192</v>
      </c>
      <c r="C3537">
        <v>12.666700000000001</v>
      </c>
      <c r="D3537" t="s">
        <v>183</v>
      </c>
      <c r="E3537" t="s">
        <v>182</v>
      </c>
      <c r="F3537" t="s">
        <v>177</v>
      </c>
      <c r="G3537" t="s">
        <v>180</v>
      </c>
    </row>
    <row r="3538" spans="1:7">
      <c r="A3538">
        <v>2020</v>
      </c>
      <c r="B3538" t="s">
        <v>193</v>
      </c>
      <c r="C3538">
        <v>232.5</v>
      </c>
      <c r="D3538" t="s">
        <v>183</v>
      </c>
      <c r="E3538" t="s">
        <v>182</v>
      </c>
      <c r="F3538" t="s">
        <v>177</v>
      </c>
      <c r="G3538" t="s">
        <v>180</v>
      </c>
    </row>
    <row r="3539" spans="1:7">
      <c r="A3539">
        <v>2021</v>
      </c>
      <c r="B3539" t="s">
        <v>193</v>
      </c>
      <c r="C3539">
        <v>1100</v>
      </c>
      <c r="D3539" t="s">
        <v>183</v>
      </c>
      <c r="E3539" t="s">
        <v>182</v>
      </c>
      <c r="F3539" t="s">
        <v>177</v>
      </c>
      <c r="G3539" t="s">
        <v>180</v>
      </c>
    </row>
    <row r="3540" spans="1:7">
      <c r="A3540">
        <v>2022</v>
      </c>
      <c r="B3540" t="s">
        <v>193</v>
      </c>
      <c r="C3540">
        <v>1100</v>
      </c>
      <c r="D3540" t="s">
        <v>183</v>
      </c>
      <c r="E3540" t="s">
        <v>182</v>
      </c>
      <c r="F3540" t="s">
        <v>177</v>
      </c>
      <c r="G3540" t="s">
        <v>180</v>
      </c>
    </row>
    <row r="3541" spans="1:7">
      <c r="A3541">
        <v>2023</v>
      </c>
      <c r="B3541" t="s">
        <v>193</v>
      </c>
      <c r="C3541">
        <v>0</v>
      </c>
      <c r="D3541" t="s">
        <v>183</v>
      </c>
      <c r="E3541" t="s">
        <v>182</v>
      </c>
      <c r="F3541" t="s">
        <v>177</v>
      </c>
      <c r="G3541" t="s">
        <v>180</v>
      </c>
    </row>
    <row r="3542" spans="1:7">
      <c r="A3542">
        <v>2024</v>
      </c>
      <c r="B3542" t="s">
        <v>193</v>
      </c>
      <c r="C3542">
        <v>0</v>
      </c>
      <c r="D3542" t="s">
        <v>183</v>
      </c>
      <c r="E3542" t="s">
        <v>182</v>
      </c>
      <c r="F3542" t="s">
        <v>177</v>
      </c>
      <c r="G3542" t="s">
        <v>180</v>
      </c>
    </row>
    <row r="3543" spans="1:7">
      <c r="A3543">
        <v>2025</v>
      </c>
      <c r="B3543" t="s">
        <v>193</v>
      </c>
      <c r="C3543">
        <v>0</v>
      </c>
      <c r="D3543" t="s">
        <v>183</v>
      </c>
      <c r="E3543" t="s">
        <v>182</v>
      </c>
      <c r="F3543" t="s">
        <v>177</v>
      </c>
      <c r="G3543" t="s">
        <v>180</v>
      </c>
    </row>
    <row r="3544" spans="1:7">
      <c r="A3544">
        <v>2026</v>
      </c>
      <c r="B3544" t="s">
        <v>193</v>
      </c>
      <c r="C3544">
        <v>0</v>
      </c>
      <c r="D3544" t="s">
        <v>183</v>
      </c>
      <c r="E3544" t="s">
        <v>182</v>
      </c>
      <c r="F3544" t="s">
        <v>177</v>
      </c>
      <c r="G3544" t="s">
        <v>180</v>
      </c>
    </row>
    <row r="3545" spans="1:7">
      <c r="A3545">
        <v>2027</v>
      </c>
      <c r="B3545" t="s">
        <v>193</v>
      </c>
      <c r="C3545">
        <v>0</v>
      </c>
      <c r="D3545" t="s">
        <v>183</v>
      </c>
      <c r="E3545" t="s">
        <v>182</v>
      </c>
      <c r="F3545" t="s">
        <v>177</v>
      </c>
      <c r="G3545" t="s">
        <v>180</v>
      </c>
    </row>
    <row r="3546" spans="1:7">
      <c r="A3546">
        <v>2028</v>
      </c>
      <c r="B3546" t="s">
        <v>193</v>
      </c>
      <c r="C3546">
        <v>0</v>
      </c>
      <c r="D3546" t="s">
        <v>183</v>
      </c>
      <c r="E3546" t="s">
        <v>182</v>
      </c>
      <c r="F3546" t="s">
        <v>177</v>
      </c>
      <c r="G3546" t="s">
        <v>180</v>
      </c>
    </row>
    <row r="3547" spans="1:7">
      <c r="A3547">
        <v>2029</v>
      </c>
      <c r="B3547" t="s">
        <v>193</v>
      </c>
      <c r="C3547">
        <v>0</v>
      </c>
      <c r="D3547" t="s">
        <v>183</v>
      </c>
      <c r="E3547" t="s">
        <v>182</v>
      </c>
      <c r="F3547" t="s">
        <v>177</v>
      </c>
      <c r="G3547" t="s">
        <v>180</v>
      </c>
    </row>
    <row r="3548" spans="1:7">
      <c r="A3548">
        <v>2030</v>
      </c>
      <c r="B3548" t="s">
        <v>193</v>
      </c>
      <c r="C3548">
        <v>0</v>
      </c>
      <c r="D3548" t="s">
        <v>183</v>
      </c>
      <c r="E3548" t="s">
        <v>182</v>
      </c>
      <c r="F3548" t="s">
        <v>177</v>
      </c>
      <c r="G3548" t="s">
        <v>180</v>
      </c>
    </row>
    <row r="3549" spans="1:7">
      <c r="A3549">
        <v>2031</v>
      </c>
      <c r="B3549" t="s">
        <v>193</v>
      </c>
      <c r="C3549">
        <v>0</v>
      </c>
      <c r="D3549" t="s">
        <v>183</v>
      </c>
      <c r="E3549" t="s">
        <v>182</v>
      </c>
      <c r="F3549" t="s">
        <v>177</v>
      </c>
      <c r="G3549" t="s">
        <v>180</v>
      </c>
    </row>
    <row r="3550" spans="1:7">
      <c r="A3550">
        <v>2032</v>
      </c>
      <c r="B3550" t="s">
        <v>193</v>
      </c>
      <c r="C3550">
        <v>0</v>
      </c>
      <c r="D3550" t="s">
        <v>183</v>
      </c>
      <c r="E3550" t="s">
        <v>182</v>
      </c>
      <c r="F3550" t="s">
        <v>177</v>
      </c>
      <c r="G3550" t="s">
        <v>180</v>
      </c>
    </row>
    <row r="3551" spans="1:7">
      <c r="A3551">
        <v>2033</v>
      </c>
      <c r="B3551" t="s">
        <v>193</v>
      </c>
      <c r="C3551">
        <v>0</v>
      </c>
      <c r="D3551" t="s">
        <v>183</v>
      </c>
      <c r="E3551" t="s">
        <v>182</v>
      </c>
      <c r="F3551" t="s">
        <v>177</v>
      </c>
      <c r="G3551" t="s">
        <v>180</v>
      </c>
    </row>
    <row r="3552" spans="1:7">
      <c r="A3552">
        <v>2034</v>
      </c>
      <c r="B3552" t="s">
        <v>193</v>
      </c>
      <c r="C3552">
        <v>0</v>
      </c>
      <c r="D3552" t="s">
        <v>183</v>
      </c>
      <c r="E3552" t="s">
        <v>182</v>
      </c>
      <c r="F3552" t="s">
        <v>177</v>
      </c>
      <c r="G3552" t="s">
        <v>180</v>
      </c>
    </row>
    <row r="3553" spans="1:7">
      <c r="A3553">
        <v>2035</v>
      </c>
      <c r="B3553" t="s">
        <v>193</v>
      </c>
      <c r="C3553">
        <v>0</v>
      </c>
      <c r="D3553" t="s">
        <v>183</v>
      </c>
      <c r="E3553" t="s">
        <v>182</v>
      </c>
      <c r="F3553" t="s">
        <v>177</v>
      </c>
      <c r="G3553" t="s">
        <v>180</v>
      </c>
    </row>
    <row r="3554" spans="1:7">
      <c r="A3554">
        <v>2020</v>
      </c>
      <c r="B3554" t="s">
        <v>194</v>
      </c>
      <c r="C3554">
        <v>14.85</v>
      </c>
      <c r="D3554" t="s">
        <v>183</v>
      </c>
      <c r="E3554" t="s">
        <v>182</v>
      </c>
      <c r="F3554" t="s">
        <v>177</v>
      </c>
      <c r="G3554" t="s">
        <v>180</v>
      </c>
    </row>
    <row r="3555" spans="1:7">
      <c r="A3555">
        <v>2021</v>
      </c>
      <c r="B3555" t="s">
        <v>194</v>
      </c>
      <c r="C3555">
        <v>0</v>
      </c>
      <c r="D3555" t="s">
        <v>183</v>
      </c>
      <c r="E3555" t="s">
        <v>182</v>
      </c>
      <c r="F3555" t="s">
        <v>177</v>
      </c>
      <c r="G3555" t="s">
        <v>180</v>
      </c>
    </row>
    <row r="3556" spans="1:7">
      <c r="A3556">
        <v>2022</v>
      </c>
      <c r="B3556" t="s">
        <v>194</v>
      </c>
      <c r="C3556">
        <v>0</v>
      </c>
      <c r="D3556" t="s">
        <v>183</v>
      </c>
      <c r="E3556" t="s">
        <v>182</v>
      </c>
      <c r="F3556" t="s">
        <v>177</v>
      </c>
      <c r="G3556" t="s">
        <v>180</v>
      </c>
    </row>
    <row r="3557" spans="1:7">
      <c r="A3557">
        <v>2023</v>
      </c>
      <c r="B3557" t="s">
        <v>194</v>
      </c>
      <c r="C3557">
        <v>0</v>
      </c>
      <c r="D3557" t="s">
        <v>183</v>
      </c>
      <c r="E3557" t="s">
        <v>182</v>
      </c>
      <c r="F3557" t="s">
        <v>177</v>
      </c>
      <c r="G3557" t="s">
        <v>180</v>
      </c>
    </row>
    <row r="3558" spans="1:7">
      <c r="A3558">
        <v>2024</v>
      </c>
      <c r="B3558" t="s">
        <v>194</v>
      </c>
      <c r="C3558">
        <v>0</v>
      </c>
      <c r="D3558" t="s">
        <v>183</v>
      </c>
      <c r="E3558" t="s">
        <v>182</v>
      </c>
      <c r="F3558" t="s">
        <v>177</v>
      </c>
      <c r="G3558" t="s">
        <v>180</v>
      </c>
    </row>
    <row r="3559" spans="1:7">
      <c r="A3559">
        <v>2025</v>
      </c>
      <c r="B3559" t="s">
        <v>194</v>
      </c>
      <c r="C3559">
        <v>0</v>
      </c>
      <c r="D3559" t="s">
        <v>183</v>
      </c>
      <c r="E3559" t="s">
        <v>182</v>
      </c>
      <c r="F3559" t="s">
        <v>177</v>
      </c>
      <c r="G3559" t="s">
        <v>180</v>
      </c>
    </row>
    <row r="3560" spans="1:7">
      <c r="A3560">
        <v>2026</v>
      </c>
      <c r="B3560" t="s">
        <v>194</v>
      </c>
      <c r="C3560">
        <v>0</v>
      </c>
      <c r="D3560" t="s">
        <v>183</v>
      </c>
      <c r="E3560" t="s">
        <v>182</v>
      </c>
      <c r="F3560" t="s">
        <v>177</v>
      </c>
      <c r="G3560" t="s">
        <v>180</v>
      </c>
    </row>
    <row r="3561" spans="1:7">
      <c r="A3561">
        <v>2027</v>
      </c>
      <c r="B3561" t="s">
        <v>194</v>
      </c>
      <c r="C3561">
        <v>0</v>
      </c>
      <c r="D3561" t="s">
        <v>183</v>
      </c>
      <c r="E3561" t="s">
        <v>182</v>
      </c>
      <c r="F3561" t="s">
        <v>177</v>
      </c>
      <c r="G3561" t="s">
        <v>180</v>
      </c>
    </row>
    <row r="3562" spans="1:7">
      <c r="A3562">
        <v>2028</v>
      </c>
      <c r="B3562" t="s">
        <v>194</v>
      </c>
      <c r="C3562">
        <v>0</v>
      </c>
      <c r="D3562" t="s">
        <v>183</v>
      </c>
      <c r="E3562" t="s">
        <v>182</v>
      </c>
      <c r="F3562" t="s">
        <v>177</v>
      </c>
      <c r="G3562" t="s">
        <v>180</v>
      </c>
    </row>
    <row r="3563" spans="1:7">
      <c r="A3563">
        <v>2029</v>
      </c>
      <c r="B3563" t="s">
        <v>194</v>
      </c>
      <c r="C3563">
        <v>0</v>
      </c>
      <c r="D3563" t="s">
        <v>183</v>
      </c>
      <c r="E3563" t="s">
        <v>182</v>
      </c>
      <c r="F3563" t="s">
        <v>177</v>
      </c>
      <c r="G3563" t="s">
        <v>180</v>
      </c>
    </row>
    <row r="3564" spans="1:7">
      <c r="A3564">
        <v>2030</v>
      </c>
      <c r="B3564" t="s">
        <v>194</v>
      </c>
      <c r="C3564">
        <v>0</v>
      </c>
      <c r="D3564" t="s">
        <v>183</v>
      </c>
      <c r="E3564" t="s">
        <v>182</v>
      </c>
      <c r="F3564" t="s">
        <v>177</v>
      </c>
      <c r="G3564" t="s">
        <v>180</v>
      </c>
    </row>
    <row r="3565" spans="1:7">
      <c r="A3565">
        <v>2031</v>
      </c>
      <c r="B3565" t="s">
        <v>194</v>
      </c>
      <c r="C3565">
        <v>0</v>
      </c>
      <c r="D3565" t="s">
        <v>183</v>
      </c>
      <c r="E3565" t="s">
        <v>182</v>
      </c>
      <c r="F3565" t="s">
        <v>177</v>
      </c>
      <c r="G3565" t="s">
        <v>180</v>
      </c>
    </row>
    <row r="3566" spans="1:7">
      <c r="A3566">
        <v>2032</v>
      </c>
      <c r="B3566" t="s">
        <v>194</v>
      </c>
      <c r="C3566">
        <v>0</v>
      </c>
      <c r="D3566" t="s">
        <v>183</v>
      </c>
      <c r="E3566" t="s">
        <v>182</v>
      </c>
      <c r="F3566" t="s">
        <v>177</v>
      </c>
      <c r="G3566" t="s">
        <v>180</v>
      </c>
    </row>
    <row r="3567" spans="1:7">
      <c r="A3567">
        <v>2033</v>
      </c>
      <c r="B3567" t="s">
        <v>194</v>
      </c>
      <c r="C3567">
        <v>0</v>
      </c>
      <c r="D3567" t="s">
        <v>183</v>
      </c>
      <c r="E3567" t="s">
        <v>182</v>
      </c>
      <c r="F3567" t="s">
        <v>177</v>
      </c>
      <c r="G3567" t="s">
        <v>180</v>
      </c>
    </row>
    <row r="3568" spans="1:7">
      <c r="A3568">
        <v>2034</v>
      </c>
      <c r="B3568" t="s">
        <v>194</v>
      </c>
      <c r="C3568">
        <v>0</v>
      </c>
      <c r="D3568" t="s">
        <v>183</v>
      </c>
      <c r="E3568" t="s">
        <v>182</v>
      </c>
      <c r="F3568" t="s">
        <v>177</v>
      </c>
      <c r="G3568" t="s">
        <v>180</v>
      </c>
    </row>
    <row r="3569" spans="1:7">
      <c r="A3569">
        <v>2035</v>
      </c>
      <c r="B3569" t="s">
        <v>194</v>
      </c>
      <c r="C3569">
        <v>0</v>
      </c>
      <c r="D3569" t="s">
        <v>183</v>
      </c>
      <c r="E3569" t="s">
        <v>182</v>
      </c>
      <c r="F3569" t="s">
        <v>177</v>
      </c>
      <c r="G3569" t="s">
        <v>180</v>
      </c>
    </row>
    <row r="3570" spans="1:7">
      <c r="A3570">
        <v>2020</v>
      </c>
      <c r="B3570" t="s">
        <v>195</v>
      </c>
      <c r="C3570">
        <v>17974.099999999999</v>
      </c>
      <c r="D3570" t="s">
        <v>183</v>
      </c>
      <c r="E3570" t="s">
        <v>182</v>
      </c>
      <c r="F3570" t="s">
        <v>177</v>
      </c>
      <c r="G3570" t="s">
        <v>180</v>
      </c>
    </row>
    <row r="3571" spans="1:7">
      <c r="A3571">
        <v>2021</v>
      </c>
      <c r="B3571" t="s">
        <v>195</v>
      </c>
      <c r="C3571">
        <v>34619.5</v>
      </c>
      <c r="D3571" t="s">
        <v>183</v>
      </c>
      <c r="E3571" t="s">
        <v>182</v>
      </c>
      <c r="F3571" t="s">
        <v>177</v>
      </c>
      <c r="G3571" t="s">
        <v>180</v>
      </c>
    </row>
    <row r="3572" spans="1:7">
      <c r="A3572">
        <v>2022</v>
      </c>
      <c r="B3572" t="s">
        <v>195</v>
      </c>
      <c r="C3572">
        <v>34619.5</v>
      </c>
      <c r="D3572" t="s">
        <v>183</v>
      </c>
      <c r="E3572" t="s">
        <v>182</v>
      </c>
      <c r="F3572" t="s">
        <v>177</v>
      </c>
      <c r="G3572" t="s">
        <v>180</v>
      </c>
    </row>
    <row r="3573" spans="1:7">
      <c r="A3573">
        <v>2023</v>
      </c>
      <c r="B3573" t="s">
        <v>195</v>
      </c>
      <c r="C3573">
        <v>48544.800000000003</v>
      </c>
      <c r="D3573" t="s">
        <v>183</v>
      </c>
      <c r="E3573" t="s">
        <v>182</v>
      </c>
      <c r="F3573" t="s">
        <v>177</v>
      </c>
      <c r="G3573" t="s">
        <v>180</v>
      </c>
    </row>
    <row r="3574" spans="1:7">
      <c r="A3574">
        <v>2024</v>
      </c>
      <c r="B3574" t="s">
        <v>195</v>
      </c>
      <c r="C3574">
        <v>48544.800000000003</v>
      </c>
      <c r="D3574" t="s">
        <v>183</v>
      </c>
      <c r="E3574" t="s">
        <v>182</v>
      </c>
      <c r="F3574" t="s">
        <v>177</v>
      </c>
      <c r="G3574" t="s">
        <v>180</v>
      </c>
    </row>
    <row r="3575" spans="1:7">
      <c r="A3575">
        <v>2025</v>
      </c>
      <c r="B3575" t="s">
        <v>195</v>
      </c>
      <c r="C3575">
        <v>26225.599999999999</v>
      </c>
      <c r="D3575" t="s">
        <v>183</v>
      </c>
      <c r="E3575" t="s">
        <v>182</v>
      </c>
      <c r="F3575" t="s">
        <v>177</v>
      </c>
      <c r="G3575" t="s">
        <v>180</v>
      </c>
    </row>
    <row r="3576" spans="1:7">
      <c r="A3576">
        <v>2026</v>
      </c>
      <c r="B3576" t="s">
        <v>195</v>
      </c>
      <c r="C3576">
        <v>26225.599999999999</v>
      </c>
      <c r="D3576" t="s">
        <v>183</v>
      </c>
      <c r="E3576" t="s">
        <v>182</v>
      </c>
      <c r="F3576" t="s">
        <v>177</v>
      </c>
      <c r="G3576" t="s">
        <v>180</v>
      </c>
    </row>
    <row r="3577" spans="1:7">
      <c r="A3577">
        <v>2027</v>
      </c>
      <c r="B3577" t="s">
        <v>195</v>
      </c>
      <c r="C3577">
        <v>32955.5</v>
      </c>
      <c r="D3577" t="s">
        <v>183</v>
      </c>
      <c r="E3577" t="s">
        <v>182</v>
      </c>
      <c r="F3577" t="s">
        <v>177</v>
      </c>
      <c r="G3577" t="s">
        <v>180</v>
      </c>
    </row>
    <row r="3578" spans="1:7">
      <c r="A3578">
        <v>2028</v>
      </c>
      <c r="B3578" t="s">
        <v>195</v>
      </c>
      <c r="C3578">
        <v>32955.5</v>
      </c>
      <c r="D3578" t="s">
        <v>183</v>
      </c>
      <c r="E3578" t="s">
        <v>182</v>
      </c>
      <c r="F3578" t="s">
        <v>177</v>
      </c>
      <c r="G3578" t="s">
        <v>180</v>
      </c>
    </row>
    <row r="3579" spans="1:7">
      <c r="A3579">
        <v>2029</v>
      </c>
      <c r="B3579" t="s">
        <v>195</v>
      </c>
      <c r="C3579">
        <v>28500.799999999999</v>
      </c>
      <c r="D3579" t="s">
        <v>183</v>
      </c>
      <c r="E3579" t="s">
        <v>182</v>
      </c>
      <c r="F3579" t="s">
        <v>177</v>
      </c>
      <c r="G3579" t="s">
        <v>180</v>
      </c>
    </row>
    <row r="3580" spans="1:7">
      <c r="A3580">
        <v>2030</v>
      </c>
      <c r="B3580" t="s">
        <v>195</v>
      </c>
      <c r="C3580">
        <v>28500.799999999999</v>
      </c>
      <c r="D3580" t="s">
        <v>183</v>
      </c>
      <c r="E3580" t="s">
        <v>182</v>
      </c>
      <c r="F3580" t="s">
        <v>177</v>
      </c>
      <c r="G3580" t="s">
        <v>180</v>
      </c>
    </row>
    <row r="3581" spans="1:7">
      <c r="A3581">
        <v>2031</v>
      </c>
      <c r="B3581" t="s">
        <v>195</v>
      </c>
      <c r="C3581">
        <v>20577.7</v>
      </c>
      <c r="D3581" t="s">
        <v>183</v>
      </c>
      <c r="E3581" t="s">
        <v>182</v>
      </c>
      <c r="F3581" t="s">
        <v>177</v>
      </c>
      <c r="G3581" t="s">
        <v>180</v>
      </c>
    </row>
    <row r="3582" spans="1:7">
      <c r="A3582">
        <v>2032</v>
      </c>
      <c r="B3582" t="s">
        <v>195</v>
      </c>
      <c r="C3582">
        <v>20577.7</v>
      </c>
      <c r="D3582" t="s">
        <v>183</v>
      </c>
      <c r="E3582" t="s">
        <v>182</v>
      </c>
      <c r="F3582" t="s">
        <v>177</v>
      </c>
      <c r="G3582" t="s">
        <v>180</v>
      </c>
    </row>
    <row r="3583" spans="1:7">
      <c r="A3583">
        <v>2033</v>
      </c>
      <c r="B3583" t="s">
        <v>195</v>
      </c>
      <c r="C3583">
        <v>22770.2</v>
      </c>
      <c r="D3583" t="s">
        <v>183</v>
      </c>
      <c r="E3583" t="s">
        <v>182</v>
      </c>
      <c r="F3583" t="s">
        <v>177</v>
      </c>
      <c r="G3583" t="s">
        <v>180</v>
      </c>
    </row>
    <row r="3584" spans="1:7">
      <c r="A3584">
        <v>2034</v>
      </c>
      <c r="B3584" t="s">
        <v>195</v>
      </c>
      <c r="C3584">
        <v>22770.2</v>
      </c>
      <c r="D3584" t="s">
        <v>183</v>
      </c>
      <c r="E3584" t="s">
        <v>182</v>
      </c>
      <c r="F3584" t="s">
        <v>177</v>
      </c>
      <c r="G3584" t="s">
        <v>180</v>
      </c>
    </row>
    <row r="3585" spans="1:7">
      <c r="A3585">
        <v>2035</v>
      </c>
      <c r="B3585" t="s">
        <v>195</v>
      </c>
      <c r="C3585">
        <v>22770.2</v>
      </c>
      <c r="D3585" t="s">
        <v>183</v>
      </c>
      <c r="E3585" t="s">
        <v>182</v>
      </c>
      <c r="F3585" t="s">
        <v>177</v>
      </c>
      <c r="G3585" t="s">
        <v>180</v>
      </c>
    </row>
    <row r="3586" spans="1:7">
      <c r="A3586">
        <v>2020</v>
      </c>
      <c r="B3586" t="s">
        <v>196</v>
      </c>
      <c r="C3586">
        <v>10636.5</v>
      </c>
      <c r="D3586" t="s">
        <v>183</v>
      </c>
      <c r="E3586" t="s">
        <v>182</v>
      </c>
      <c r="F3586" t="s">
        <v>177</v>
      </c>
      <c r="G3586" t="s">
        <v>180</v>
      </c>
    </row>
    <row r="3587" spans="1:7">
      <c r="A3587">
        <v>2021</v>
      </c>
      <c r="B3587" t="s">
        <v>196</v>
      </c>
      <c r="C3587">
        <v>24804.400000000001</v>
      </c>
      <c r="D3587" t="s">
        <v>183</v>
      </c>
      <c r="E3587" t="s">
        <v>182</v>
      </c>
      <c r="F3587" t="s">
        <v>177</v>
      </c>
      <c r="G3587" t="s">
        <v>180</v>
      </c>
    </row>
    <row r="3588" spans="1:7">
      <c r="A3588">
        <v>2022</v>
      </c>
      <c r="B3588" t="s">
        <v>196</v>
      </c>
      <c r="C3588">
        <v>24804.400000000001</v>
      </c>
      <c r="D3588" t="s">
        <v>183</v>
      </c>
      <c r="E3588" t="s">
        <v>182</v>
      </c>
      <c r="F3588" t="s">
        <v>177</v>
      </c>
      <c r="G3588" t="s">
        <v>180</v>
      </c>
    </row>
    <row r="3589" spans="1:7">
      <c r="A3589">
        <v>2023</v>
      </c>
      <c r="B3589" t="s">
        <v>196</v>
      </c>
      <c r="C3589">
        <v>11452.7</v>
      </c>
      <c r="D3589" t="s">
        <v>183</v>
      </c>
      <c r="E3589" t="s">
        <v>182</v>
      </c>
      <c r="F3589" t="s">
        <v>177</v>
      </c>
      <c r="G3589" t="s">
        <v>180</v>
      </c>
    </row>
    <row r="3590" spans="1:7">
      <c r="A3590">
        <v>2024</v>
      </c>
      <c r="B3590" t="s">
        <v>196</v>
      </c>
      <c r="C3590">
        <v>11452.7</v>
      </c>
      <c r="D3590" t="s">
        <v>183</v>
      </c>
      <c r="E3590" t="s">
        <v>182</v>
      </c>
      <c r="F3590" t="s">
        <v>177</v>
      </c>
      <c r="G3590" t="s">
        <v>180</v>
      </c>
    </row>
    <row r="3591" spans="1:7">
      <c r="A3591">
        <v>2025</v>
      </c>
      <c r="B3591" t="s">
        <v>196</v>
      </c>
      <c r="C3591">
        <v>32973.300000000003</v>
      </c>
      <c r="D3591" t="s">
        <v>183</v>
      </c>
      <c r="E3591" t="s">
        <v>182</v>
      </c>
      <c r="F3591" t="s">
        <v>177</v>
      </c>
      <c r="G3591" t="s">
        <v>180</v>
      </c>
    </row>
    <row r="3592" spans="1:7">
      <c r="A3592">
        <v>2026</v>
      </c>
      <c r="B3592" t="s">
        <v>196</v>
      </c>
      <c r="C3592">
        <v>32973.300000000003</v>
      </c>
      <c r="D3592" t="s">
        <v>183</v>
      </c>
      <c r="E3592" t="s">
        <v>182</v>
      </c>
      <c r="F3592" t="s">
        <v>177</v>
      </c>
      <c r="G3592" t="s">
        <v>180</v>
      </c>
    </row>
    <row r="3593" spans="1:7">
      <c r="A3593">
        <v>2027</v>
      </c>
      <c r="B3593" t="s">
        <v>196</v>
      </c>
      <c r="C3593">
        <v>32569.1</v>
      </c>
      <c r="D3593" t="s">
        <v>183</v>
      </c>
      <c r="E3593" t="s">
        <v>182</v>
      </c>
      <c r="F3593" t="s">
        <v>177</v>
      </c>
      <c r="G3593" t="s">
        <v>180</v>
      </c>
    </row>
    <row r="3594" spans="1:7">
      <c r="A3594">
        <v>2028</v>
      </c>
      <c r="B3594" t="s">
        <v>196</v>
      </c>
      <c r="C3594">
        <v>32569.1</v>
      </c>
      <c r="D3594" t="s">
        <v>183</v>
      </c>
      <c r="E3594" t="s">
        <v>182</v>
      </c>
      <c r="F3594" t="s">
        <v>177</v>
      </c>
      <c r="G3594" t="s">
        <v>180</v>
      </c>
    </row>
    <row r="3595" spans="1:7">
      <c r="A3595">
        <v>2029</v>
      </c>
      <c r="B3595" t="s">
        <v>196</v>
      </c>
      <c r="C3595">
        <v>34620.9</v>
      </c>
      <c r="D3595" t="s">
        <v>183</v>
      </c>
      <c r="E3595" t="s">
        <v>182</v>
      </c>
      <c r="F3595" t="s">
        <v>177</v>
      </c>
      <c r="G3595" t="s">
        <v>180</v>
      </c>
    </row>
    <row r="3596" spans="1:7">
      <c r="A3596">
        <v>2030</v>
      </c>
      <c r="B3596" t="s">
        <v>196</v>
      </c>
      <c r="C3596">
        <v>34620.9</v>
      </c>
      <c r="D3596" t="s">
        <v>183</v>
      </c>
      <c r="E3596" t="s">
        <v>182</v>
      </c>
      <c r="F3596" t="s">
        <v>177</v>
      </c>
      <c r="G3596" t="s">
        <v>180</v>
      </c>
    </row>
    <row r="3597" spans="1:7">
      <c r="A3597">
        <v>2031</v>
      </c>
      <c r="B3597" t="s">
        <v>196</v>
      </c>
      <c r="C3597">
        <v>53873.5</v>
      </c>
      <c r="D3597" t="s">
        <v>183</v>
      </c>
      <c r="E3597" t="s">
        <v>182</v>
      </c>
      <c r="F3597" t="s">
        <v>177</v>
      </c>
      <c r="G3597" t="s">
        <v>180</v>
      </c>
    </row>
    <row r="3598" spans="1:7">
      <c r="A3598">
        <v>2032</v>
      </c>
      <c r="B3598" t="s">
        <v>196</v>
      </c>
      <c r="C3598">
        <v>53873.5</v>
      </c>
      <c r="D3598" t="s">
        <v>183</v>
      </c>
      <c r="E3598" t="s">
        <v>182</v>
      </c>
      <c r="F3598" t="s">
        <v>177</v>
      </c>
      <c r="G3598" t="s">
        <v>180</v>
      </c>
    </row>
    <row r="3599" spans="1:7">
      <c r="A3599">
        <v>2033</v>
      </c>
      <c r="B3599" t="s">
        <v>196</v>
      </c>
      <c r="C3599">
        <v>59924.7</v>
      </c>
      <c r="D3599" t="s">
        <v>183</v>
      </c>
      <c r="E3599" t="s">
        <v>182</v>
      </c>
      <c r="F3599" t="s">
        <v>177</v>
      </c>
      <c r="G3599" t="s">
        <v>180</v>
      </c>
    </row>
    <row r="3600" spans="1:7">
      <c r="A3600">
        <v>2034</v>
      </c>
      <c r="B3600" t="s">
        <v>196</v>
      </c>
      <c r="C3600">
        <v>59924.7</v>
      </c>
      <c r="D3600" t="s">
        <v>183</v>
      </c>
      <c r="E3600" t="s">
        <v>182</v>
      </c>
      <c r="F3600" t="s">
        <v>177</v>
      </c>
      <c r="G3600" t="s">
        <v>180</v>
      </c>
    </row>
    <row r="3601" spans="1:7">
      <c r="A3601">
        <v>2035</v>
      </c>
      <c r="B3601" t="s">
        <v>196</v>
      </c>
      <c r="C3601">
        <v>59924.7</v>
      </c>
      <c r="D3601" t="s">
        <v>183</v>
      </c>
      <c r="E3601" t="s">
        <v>182</v>
      </c>
      <c r="F3601" t="s">
        <v>177</v>
      </c>
      <c r="G3601" t="s">
        <v>180</v>
      </c>
    </row>
    <row r="3602" spans="1:7">
      <c r="A3602">
        <v>2020</v>
      </c>
      <c r="B3602" t="s">
        <v>188</v>
      </c>
      <c r="C3602">
        <v>102.45</v>
      </c>
      <c r="D3602" t="s">
        <v>175</v>
      </c>
      <c r="E3602" t="s">
        <v>182</v>
      </c>
      <c r="F3602" t="s">
        <v>177</v>
      </c>
      <c r="G3602" t="s">
        <v>178</v>
      </c>
    </row>
    <row r="3603" spans="1:7">
      <c r="A3603">
        <v>2021</v>
      </c>
      <c r="B3603" t="s">
        <v>188</v>
      </c>
      <c r="C3603">
        <v>9.5</v>
      </c>
      <c r="D3603" t="s">
        <v>175</v>
      </c>
      <c r="E3603" t="s">
        <v>182</v>
      </c>
      <c r="F3603" t="s">
        <v>177</v>
      </c>
      <c r="G3603" t="s">
        <v>178</v>
      </c>
    </row>
    <row r="3604" spans="1:7">
      <c r="A3604">
        <v>2022</v>
      </c>
      <c r="B3604" t="s">
        <v>188</v>
      </c>
      <c r="C3604">
        <v>9.5</v>
      </c>
      <c r="D3604" t="s">
        <v>175</v>
      </c>
      <c r="E3604" t="s">
        <v>182</v>
      </c>
      <c r="F3604" t="s">
        <v>177</v>
      </c>
      <c r="G3604" t="s">
        <v>178</v>
      </c>
    </row>
    <row r="3605" spans="1:7">
      <c r="A3605">
        <v>2023</v>
      </c>
      <c r="B3605" t="s">
        <v>188</v>
      </c>
      <c r="C3605">
        <v>0</v>
      </c>
      <c r="D3605" t="s">
        <v>175</v>
      </c>
      <c r="E3605" t="s">
        <v>182</v>
      </c>
      <c r="F3605" t="s">
        <v>177</v>
      </c>
      <c r="G3605" t="s">
        <v>178</v>
      </c>
    </row>
    <row r="3606" spans="1:7">
      <c r="A3606">
        <v>2024</v>
      </c>
      <c r="B3606" t="s">
        <v>188</v>
      </c>
      <c r="C3606">
        <v>0</v>
      </c>
      <c r="D3606" t="s">
        <v>175</v>
      </c>
      <c r="E3606" t="s">
        <v>182</v>
      </c>
      <c r="F3606" t="s">
        <v>177</v>
      </c>
      <c r="G3606" t="s">
        <v>178</v>
      </c>
    </row>
    <row r="3607" spans="1:7">
      <c r="A3607">
        <v>2025</v>
      </c>
      <c r="B3607" t="s">
        <v>188</v>
      </c>
      <c r="C3607">
        <v>0</v>
      </c>
      <c r="D3607" t="s">
        <v>175</v>
      </c>
      <c r="E3607" t="s">
        <v>182</v>
      </c>
      <c r="F3607" t="s">
        <v>177</v>
      </c>
      <c r="G3607" t="s">
        <v>178</v>
      </c>
    </row>
    <row r="3608" spans="1:7">
      <c r="A3608">
        <v>2026</v>
      </c>
      <c r="B3608" t="s">
        <v>188</v>
      </c>
      <c r="C3608">
        <v>0</v>
      </c>
      <c r="D3608" t="s">
        <v>175</v>
      </c>
      <c r="E3608" t="s">
        <v>182</v>
      </c>
      <c r="F3608" t="s">
        <v>177</v>
      </c>
      <c r="G3608" t="s">
        <v>178</v>
      </c>
    </row>
    <row r="3609" spans="1:7">
      <c r="A3609">
        <v>2027</v>
      </c>
      <c r="B3609" t="s">
        <v>188</v>
      </c>
      <c r="C3609">
        <v>0</v>
      </c>
      <c r="D3609" t="s">
        <v>175</v>
      </c>
      <c r="E3609" t="s">
        <v>182</v>
      </c>
      <c r="F3609" t="s">
        <v>177</v>
      </c>
      <c r="G3609" t="s">
        <v>178</v>
      </c>
    </row>
    <row r="3610" spans="1:7">
      <c r="A3610">
        <v>2028</v>
      </c>
      <c r="B3610" t="s">
        <v>188</v>
      </c>
      <c r="C3610">
        <v>0</v>
      </c>
      <c r="D3610" t="s">
        <v>175</v>
      </c>
      <c r="E3610" t="s">
        <v>182</v>
      </c>
      <c r="F3610" t="s">
        <v>177</v>
      </c>
      <c r="G3610" t="s">
        <v>178</v>
      </c>
    </row>
    <row r="3611" spans="1:7">
      <c r="A3611">
        <v>2029</v>
      </c>
      <c r="B3611" t="s">
        <v>188</v>
      </c>
      <c r="C3611">
        <v>0</v>
      </c>
      <c r="D3611" t="s">
        <v>175</v>
      </c>
      <c r="E3611" t="s">
        <v>182</v>
      </c>
      <c r="F3611" t="s">
        <v>177</v>
      </c>
      <c r="G3611" t="s">
        <v>178</v>
      </c>
    </row>
    <row r="3612" spans="1:7">
      <c r="A3612">
        <v>2030</v>
      </c>
      <c r="B3612" t="s">
        <v>188</v>
      </c>
      <c r="C3612">
        <v>0</v>
      </c>
      <c r="D3612" t="s">
        <v>175</v>
      </c>
      <c r="E3612" t="s">
        <v>182</v>
      </c>
      <c r="F3612" t="s">
        <v>177</v>
      </c>
      <c r="G3612" t="s">
        <v>178</v>
      </c>
    </row>
    <row r="3613" spans="1:7">
      <c r="A3613">
        <v>2031</v>
      </c>
      <c r="B3613" t="s">
        <v>188</v>
      </c>
      <c r="C3613">
        <v>0</v>
      </c>
      <c r="D3613" t="s">
        <v>175</v>
      </c>
      <c r="E3613" t="s">
        <v>182</v>
      </c>
      <c r="F3613" t="s">
        <v>177</v>
      </c>
      <c r="G3613" t="s">
        <v>178</v>
      </c>
    </row>
    <row r="3614" spans="1:7">
      <c r="A3614">
        <v>2032</v>
      </c>
      <c r="B3614" t="s">
        <v>188</v>
      </c>
      <c r="C3614">
        <v>0</v>
      </c>
      <c r="D3614" t="s">
        <v>175</v>
      </c>
      <c r="E3614" t="s">
        <v>182</v>
      </c>
      <c r="F3614" t="s">
        <v>177</v>
      </c>
      <c r="G3614" t="s">
        <v>178</v>
      </c>
    </row>
    <row r="3615" spans="1:7">
      <c r="A3615">
        <v>2033</v>
      </c>
      <c r="B3615" t="s">
        <v>188</v>
      </c>
      <c r="C3615">
        <v>0</v>
      </c>
      <c r="D3615" t="s">
        <v>175</v>
      </c>
      <c r="E3615" t="s">
        <v>182</v>
      </c>
      <c r="F3615" t="s">
        <v>177</v>
      </c>
      <c r="G3615" t="s">
        <v>178</v>
      </c>
    </row>
    <row r="3616" spans="1:7">
      <c r="A3616">
        <v>2034</v>
      </c>
      <c r="B3616" t="s">
        <v>188</v>
      </c>
      <c r="C3616">
        <v>0</v>
      </c>
      <c r="D3616" t="s">
        <v>175</v>
      </c>
      <c r="E3616" t="s">
        <v>182</v>
      </c>
      <c r="F3616" t="s">
        <v>177</v>
      </c>
      <c r="G3616" t="s">
        <v>178</v>
      </c>
    </row>
    <row r="3617" spans="1:7">
      <c r="A3617">
        <v>2035</v>
      </c>
      <c r="B3617" t="s">
        <v>188</v>
      </c>
      <c r="C3617">
        <v>0</v>
      </c>
      <c r="D3617" t="s">
        <v>175</v>
      </c>
      <c r="E3617" t="s">
        <v>182</v>
      </c>
      <c r="F3617" t="s">
        <v>177</v>
      </c>
      <c r="G3617" t="s">
        <v>178</v>
      </c>
    </row>
    <row r="3618" spans="1:7">
      <c r="A3618">
        <v>2020</v>
      </c>
      <c r="B3618" t="s">
        <v>189</v>
      </c>
      <c r="C3618">
        <v>0</v>
      </c>
      <c r="D3618" t="s">
        <v>175</v>
      </c>
      <c r="E3618" t="s">
        <v>182</v>
      </c>
      <c r="F3618" t="s">
        <v>177</v>
      </c>
      <c r="G3618" t="s">
        <v>178</v>
      </c>
    </row>
    <row r="3619" spans="1:7">
      <c r="A3619">
        <v>2021</v>
      </c>
      <c r="B3619" t="s">
        <v>189</v>
      </c>
      <c r="C3619">
        <v>0</v>
      </c>
      <c r="D3619" t="s">
        <v>175</v>
      </c>
      <c r="E3619" t="s">
        <v>182</v>
      </c>
      <c r="F3619" t="s">
        <v>177</v>
      </c>
      <c r="G3619" t="s">
        <v>178</v>
      </c>
    </row>
    <row r="3620" spans="1:7">
      <c r="A3620">
        <v>2022</v>
      </c>
      <c r="B3620" t="s">
        <v>189</v>
      </c>
      <c r="C3620">
        <v>0</v>
      </c>
      <c r="D3620" t="s">
        <v>175</v>
      </c>
      <c r="E3620" t="s">
        <v>182</v>
      </c>
      <c r="F3620" t="s">
        <v>177</v>
      </c>
      <c r="G3620" t="s">
        <v>178</v>
      </c>
    </row>
    <row r="3621" spans="1:7">
      <c r="A3621">
        <v>2023</v>
      </c>
      <c r="B3621" t="s">
        <v>189</v>
      </c>
      <c r="C3621">
        <v>0</v>
      </c>
      <c r="D3621" t="s">
        <v>175</v>
      </c>
      <c r="E3621" t="s">
        <v>182</v>
      </c>
      <c r="F3621" t="s">
        <v>177</v>
      </c>
      <c r="G3621" t="s">
        <v>178</v>
      </c>
    </row>
    <row r="3622" spans="1:7">
      <c r="A3622">
        <v>2024</v>
      </c>
      <c r="B3622" t="s">
        <v>189</v>
      </c>
      <c r="C3622">
        <v>0</v>
      </c>
      <c r="D3622" t="s">
        <v>175</v>
      </c>
      <c r="E3622" t="s">
        <v>182</v>
      </c>
      <c r="F3622" t="s">
        <v>177</v>
      </c>
      <c r="G3622" t="s">
        <v>178</v>
      </c>
    </row>
    <row r="3623" spans="1:7">
      <c r="A3623">
        <v>2025</v>
      </c>
      <c r="B3623" t="s">
        <v>189</v>
      </c>
      <c r="C3623">
        <v>0</v>
      </c>
      <c r="D3623" t="s">
        <v>175</v>
      </c>
      <c r="E3623" t="s">
        <v>182</v>
      </c>
      <c r="F3623" t="s">
        <v>177</v>
      </c>
      <c r="G3623" t="s">
        <v>178</v>
      </c>
    </row>
    <row r="3624" spans="1:7">
      <c r="A3624">
        <v>2026</v>
      </c>
      <c r="B3624" t="s">
        <v>189</v>
      </c>
      <c r="C3624">
        <v>0</v>
      </c>
      <c r="D3624" t="s">
        <v>175</v>
      </c>
      <c r="E3624" t="s">
        <v>182</v>
      </c>
      <c r="F3624" t="s">
        <v>177</v>
      </c>
      <c r="G3624" t="s">
        <v>178</v>
      </c>
    </row>
    <row r="3625" spans="1:7">
      <c r="A3625">
        <v>2027</v>
      </c>
      <c r="B3625" t="s">
        <v>189</v>
      </c>
      <c r="C3625">
        <v>0</v>
      </c>
      <c r="D3625" t="s">
        <v>175</v>
      </c>
      <c r="E3625" t="s">
        <v>182</v>
      </c>
      <c r="F3625" t="s">
        <v>177</v>
      </c>
      <c r="G3625" t="s">
        <v>178</v>
      </c>
    </row>
    <row r="3626" spans="1:7">
      <c r="A3626">
        <v>2028</v>
      </c>
      <c r="B3626" t="s">
        <v>189</v>
      </c>
      <c r="C3626">
        <v>0</v>
      </c>
      <c r="D3626" t="s">
        <v>175</v>
      </c>
      <c r="E3626" t="s">
        <v>182</v>
      </c>
      <c r="F3626" t="s">
        <v>177</v>
      </c>
      <c r="G3626" t="s">
        <v>178</v>
      </c>
    </row>
    <row r="3627" spans="1:7">
      <c r="A3627">
        <v>2029</v>
      </c>
      <c r="B3627" t="s">
        <v>189</v>
      </c>
      <c r="C3627">
        <v>0</v>
      </c>
      <c r="D3627" t="s">
        <v>175</v>
      </c>
      <c r="E3627" t="s">
        <v>182</v>
      </c>
      <c r="F3627" t="s">
        <v>177</v>
      </c>
      <c r="G3627" t="s">
        <v>178</v>
      </c>
    </row>
    <row r="3628" spans="1:7">
      <c r="A3628">
        <v>2030</v>
      </c>
      <c r="B3628" t="s">
        <v>189</v>
      </c>
      <c r="C3628">
        <v>0</v>
      </c>
      <c r="D3628" t="s">
        <v>175</v>
      </c>
      <c r="E3628" t="s">
        <v>182</v>
      </c>
      <c r="F3628" t="s">
        <v>177</v>
      </c>
      <c r="G3628" t="s">
        <v>178</v>
      </c>
    </row>
    <row r="3629" spans="1:7">
      <c r="A3629">
        <v>2031</v>
      </c>
      <c r="B3629" t="s">
        <v>189</v>
      </c>
      <c r="C3629">
        <v>0</v>
      </c>
      <c r="D3629" t="s">
        <v>175</v>
      </c>
      <c r="E3629" t="s">
        <v>182</v>
      </c>
      <c r="F3629" t="s">
        <v>177</v>
      </c>
      <c r="G3629" t="s">
        <v>178</v>
      </c>
    </row>
    <row r="3630" spans="1:7">
      <c r="A3630">
        <v>2032</v>
      </c>
      <c r="B3630" t="s">
        <v>189</v>
      </c>
      <c r="C3630">
        <v>0</v>
      </c>
      <c r="D3630" t="s">
        <v>175</v>
      </c>
      <c r="E3630" t="s">
        <v>182</v>
      </c>
      <c r="F3630" t="s">
        <v>177</v>
      </c>
      <c r="G3630" t="s">
        <v>178</v>
      </c>
    </row>
    <row r="3631" spans="1:7">
      <c r="A3631">
        <v>2033</v>
      </c>
      <c r="B3631" t="s">
        <v>189</v>
      </c>
      <c r="C3631">
        <v>0</v>
      </c>
      <c r="D3631" t="s">
        <v>175</v>
      </c>
      <c r="E3631" t="s">
        <v>182</v>
      </c>
      <c r="F3631" t="s">
        <v>177</v>
      </c>
      <c r="G3631" t="s">
        <v>178</v>
      </c>
    </row>
    <row r="3632" spans="1:7">
      <c r="A3632">
        <v>2034</v>
      </c>
      <c r="B3632" t="s">
        <v>189</v>
      </c>
      <c r="C3632">
        <v>0</v>
      </c>
      <c r="D3632" t="s">
        <v>175</v>
      </c>
      <c r="E3632" t="s">
        <v>182</v>
      </c>
      <c r="F3632" t="s">
        <v>177</v>
      </c>
      <c r="G3632" t="s">
        <v>178</v>
      </c>
    </row>
    <row r="3633" spans="1:7">
      <c r="A3633">
        <v>2035</v>
      </c>
      <c r="B3633" t="s">
        <v>189</v>
      </c>
      <c r="C3633">
        <v>0</v>
      </c>
      <c r="D3633" t="s">
        <v>175</v>
      </c>
      <c r="E3633" t="s">
        <v>182</v>
      </c>
      <c r="F3633" t="s">
        <v>177</v>
      </c>
      <c r="G3633" t="s">
        <v>178</v>
      </c>
    </row>
    <row r="3634" spans="1:7">
      <c r="A3634">
        <v>2020</v>
      </c>
      <c r="B3634" t="s">
        <v>190</v>
      </c>
      <c r="C3634">
        <v>11184.73</v>
      </c>
      <c r="D3634" t="s">
        <v>175</v>
      </c>
      <c r="E3634" t="s">
        <v>182</v>
      </c>
      <c r="F3634" t="s">
        <v>177</v>
      </c>
      <c r="G3634" t="s">
        <v>178</v>
      </c>
    </row>
    <row r="3635" spans="1:7">
      <c r="A3635">
        <v>2021</v>
      </c>
      <c r="B3635" t="s">
        <v>190</v>
      </c>
      <c r="C3635">
        <v>0</v>
      </c>
      <c r="D3635" t="s">
        <v>175</v>
      </c>
      <c r="E3635" t="s">
        <v>182</v>
      </c>
      <c r="F3635" t="s">
        <v>177</v>
      </c>
      <c r="G3635" t="s">
        <v>178</v>
      </c>
    </row>
    <row r="3636" spans="1:7">
      <c r="A3636">
        <v>2022</v>
      </c>
      <c r="B3636" t="s">
        <v>190</v>
      </c>
      <c r="C3636">
        <v>0</v>
      </c>
      <c r="D3636" t="s">
        <v>175</v>
      </c>
      <c r="E3636" t="s">
        <v>182</v>
      </c>
      <c r="F3636" t="s">
        <v>177</v>
      </c>
      <c r="G3636" t="s">
        <v>178</v>
      </c>
    </row>
    <row r="3637" spans="1:7">
      <c r="A3637">
        <v>2023</v>
      </c>
      <c r="B3637" t="s">
        <v>190</v>
      </c>
      <c r="C3637">
        <v>0</v>
      </c>
      <c r="D3637" t="s">
        <v>175</v>
      </c>
      <c r="E3637" t="s">
        <v>182</v>
      </c>
      <c r="F3637" t="s">
        <v>177</v>
      </c>
      <c r="G3637" t="s">
        <v>178</v>
      </c>
    </row>
    <row r="3638" spans="1:7">
      <c r="A3638">
        <v>2024</v>
      </c>
      <c r="B3638" t="s">
        <v>190</v>
      </c>
      <c r="C3638">
        <v>0</v>
      </c>
      <c r="D3638" t="s">
        <v>175</v>
      </c>
      <c r="E3638" t="s">
        <v>182</v>
      </c>
      <c r="F3638" t="s">
        <v>177</v>
      </c>
      <c r="G3638" t="s">
        <v>178</v>
      </c>
    </row>
    <row r="3639" spans="1:7">
      <c r="A3639">
        <v>2025</v>
      </c>
      <c r="B3639" t="s">
        <v>190</v>
      </c>
      <c r="C3639">
        <v>0</v>
      </c>
      <c r="D3639" t="s">
        <v>175</v>
      </c>
      <c r="E3639" t="s">
        <v>182</v>
      </c>
      <c r="F3639" t="s">
        <v>177</v>
      </c>
      <c r="G3639" t="s">
        <v>178</v>
      </c>
    </row>
    <row r="3640" spans="1:7">
      <c r="A3640">
        <v>2026</v>
      </c>
      <c r="B3640" t="s">
        <v>190</v>
      </c>
      <c r="C3640">
        <v>0</v>
      </c>
      <c r="D3640" t="s">
        <v>175</v>
      </c>
      <c r="E3640" t="s">
        <v>182</v>
      </c>
      <c r="F3640" t="s">
        <v>177</v>
      </c>
      <c r="G3640" t="s">
        <v>178</v>
      </c>
    </row>
    <row r="3641" spans="1:7">
      <c r="A3641">
        <v>2027</v>
      </c>
      <c r="B3641" t="s">
        <v>190</v>
      </c>
      <c r="C3641">
        <v>0</v>
      </c>
      <c r="D3641" t="s">
        <v>175</v>
      </c>
      <c r="E3641" t="s">
        <v>182</v>
      </c>
      <c r="F3641" t="s">
        <v>177</v>
      </c>
      <c r="G3641" t="s">
        <v>178</v>
      </c>
    </row>
    <row r="3642" spans="1:7">
      <c r="A3642">
        <v>2028</v>
      </c>
      <c r="B3642" t="s">
        <v>190</v>
      </c>
      <c r="C3642">
        <v>0</v>
      </c>
      <c r="D3642" t="s">
        <v>175</v>
      </c>
      <c r="E3642" t="s">
        <v>182</v>
      </c>
      <c r="F3642" t="s">
        <v>177</v>
      </c>
      <c r="G3642" t="s">
        <v>178</v>
      </c>
    </row>
    <row r="3643" spans="1:7">
      <c r="A3643">
        <v>2029</v>
      </c>
      <c r="B3643" t="s">
        <v>190</v>
      </c>
      <c r="C3643">
        <v>0</v>
      </c>
      <c r="D3643" t="s">
        <v>175</v>
      </c>
      <c r="E3643" t="s">
        <v>182</v>
      </c>
      <c r="F3643" t="s">
        <v>177</v>
      </c>
      <c r="G3643" t="s">
        <v>178</v>
      </c>
    </row>
    <row r="3644" spans="1:7">
      <c r="A3644">
        <v>2030</v>
      </c>
      <c r="B3644" t="s">
        <v>190</v>
      </c>
      <c r="C3644">
        <v>0</v>
      </c>
      <c r="D3644" t="s">
        <v>175</v>
      </c>
      <c r="E3644" t="s">
        <v>182</v>
      </c>
      <c r="F3644" t="s">
        <v>177</v>
      </c>
      <c r="G3644" t="s">
        <v>178</v>
      </c>
    </row>
    <row r="3645" spans="1:7">
      <c r="A3645">
        <v>2031</v>
      </c>
      <c r="B3645" t="s">
        <v>190</v>
      </c>
      <c r="C3645">
        <v>0</v>
      </c>
      <c r="D3645" t="s">
        <v>175</v>
      </c>
      <c r="E3645" t="s">
        <v>182</v>
      </c>
      <c r="F3645" t="s">
        <v>177</v>
      </c>
      <c r="G3645" t="s">
        <v>178</v>
      </c>
    </row>
    <row r="3646" spans="1:7">
      <c r="A3646">
        <v>2032</v>
      </c>
      <c r="B3646" t="s">
        <v>190</v>
      </c>
      <c r="C3646">
        <v>0</v>
      </c>
      <c r="D3646" t="s">
        <v>175</v>
      </c>
      <c r="E3646" t="s">
        <v>182</v>
      </c>
      <c r="F3646" t="s">
        <v>177</v>
      </c>
      <c r="G3646" t="s">
        <v>178</v>
      </c>
    </row>
    <row r="3647" spans="1:7">
      <c r="A3647">
        <v>2033</v>
      </c>
      <c r="B3647" t="s">
        <v>190</v>
      </c>
      <c r="C3647">
        <v>0</v>
      </c>
      <c r="D3647" t="s">
        <v>175</v>
      </c>
      <c r="E3647" t="s">
        <v>182</v>
      </c>
      <c r="F3647" t="s">
        <v>177</v>
      </c>
      <c r="G3647" t="s">
        <v>178</v>
      </c>
    </row>
    <row r="3648" spans="1:7">
      <c r="A3648">
        <v>2034</v>
      </c>
      <c r="B3648" t="s">
        <v>190</v>
      </c>
      <c r="C3648">
        <v>0</v>
      </c>
      <c r="D3648" t="s">
        <v>175</v>
      </c>
      <c r="E3648" t="s">
        <v>182</v>
      </c>
      <c r="F3648" t="s">
        <v>177</v>
      </c>
      <c r="G3648" t="s">
        <v>178</v>
      </c>
    </row>
    <row r="3649" spans="1:7">
      <c r="A3649">
        <v>2035</v>
      </c>
      <c r="B3649" t="s">
        <v>190</v>
      </c>
      <c r="C3649">
        <v>0</v>
      </c>
      <c r="D3649" t="s">
        <v>175</v>
      </c>
      <c r="E3649" t="s">
        <v>182</v>
      </c>
      <c r="F3649" t="s">
        <v>177</v>
      </c>
      <c r="G3649" t="s">
        <v>178</v>
      </c>
    </row>
    <row r="3650" spans="1:7">
      <c r="A3650">
        <v>2020</v>
      </c>
      <c r="B3650" t="s">
        <v>191</v>
      </c>
      <c r="C3650">
        <v>0</v>
      </c>
      <c r="D3650" t="s">
        <v>175</v>
      </c>
      <c r="E3650" t="s">
        <v>182</v>
      </c>
      <c r="F3650" t="s">
        <v>177</v>
      </c>
      <c r="G3650" t="s">
        <v>178</v>
      </c>
    </row>
    <row r="3651" spans="1:7">
      <c r="A3651">
        <v>2021</v>
      </c>
      <c r="B3651" t="s">
        <v>191</v>
      </c>
      <c r="C3651">
        <v>0</v>
      </c>
      <c r="D3651" t="s">
        <v>175</v>
      </c>
      <c r="E3651" t="s">
        <v>182</v>
      </c>
      <c r="F3651" t="s">
        <v>177</v>
      </c>
      <c r="G3651" t="s">
        <v>178</v>
      </c>
    </row>
    <row r="3652" spans="1:7">
      <c r="A3652">
        <v>2022</v>
      </c>
      <c r="B3652" t="s">
        <v>191</v>
      </c>
      <c r="C3652">
        <v>0</v>
      </c>
      <c r="D3652" t="s">
        <v>175</v>
      </c>
      <c r="E3652" t="s">
        <v>182</v>
      </c>
      <c r="F3652" t="s">
        <v>177</v>
      </c>
      <c r="G3652" t="s">
        <v>178</v>
      </c>
    </row>
    <row r="3653" spans="1:7">
      <c r="A3653">
        <v>2023</v>
      </c>
      <c r="B3653" t="s">
        <v>191</v>
      </c>
      <c r="C3653">
        <v>0</v>
      </c>
      <c r="D3653" t="s">
        <v>175</v>
      </c>
      <c r="E3653" t="s">
        <v>182</v>
      </c>
      <c r="F3653" t="s">
        <v>177</v>
      </c>
      <c r="G3653" t="s">
        <v>178</v>
      </c>
    </row>
    <row r="3654" spans="1:7">
      <c r="A3654">
        <v>2024</v>
      </c>
      <c r="B3654" t="s">
        <v>191</v>
      </c>
      <c r="C3654">
        <v>0</v>
      </c>
      <c r="D3654" t="s">
        <v>175</v>
      </c>
      <c r="E3654" t="s">
        <v>182</v>
      </c>
      <c r="F3654" t="s">
        <v>177</v>
      </c>
      <c r="G3654" t="s">
        <v>178</v>
      </c>
    </row>
    <row r="3655" spans="1:7">
      <c r="A3655">
        <v>2025</v>
      </c>
      <c r="B3655" t="s">
        <v>191</v>
      </c>
      <c r="C3655">
        <v>0</v>
      </c>
      <c r="D3655" t="s">
        <v>175</v>
      </c>
      <c r="E3655" t="s">
        <v>182</v>
      </c>
      <c r="F3655" t="s">
        <v>177</v>
      </c>
      <c r="G3655" t="s">
        <v>178</v>
      </c>
    </row>
    <row r="3656" spans="1:7">
      <c r="A3656">
        <v>2026</v>
      </c>
      <c r="B3656" t="s">
        <v>191</v>
      </c>
      <c r="C3656">
        <v>0</v>
      </c>
      <c r="D3656" t="s">
        <v>175</v>
      </c>
      <c r="E3656" t="s">
        <v>182</v>
      </c>
      <c r="F3656" t="s">
        <v>177</v>
      </c>
      <c r="G3656" t="s">
        <v>178</v>
      </c>
    </row>
    <row r="3657" spans="1:7">
      <c r="A3657">
        <v>2027</v>
      </c>
      <c r="B3657" t="s">
        <v>191</v>
      </c>
      <c r="C3657">
        <v>0</v>
      </c>
      <c r="D3657" t="s">
        <v>175</v>
      </c>
      <c r="E3657" t="s">
        <v>182</v>
      </c>
      <c r="F3657" t="s">
        <v>177</v>
      </c>
      <c r="G3657" t="s">
        <v>178</v>
      </c>
    </row>
    <row r="3658" spans="1:7">
      <c r="A3658">
        <v>2028</v>
      </c>
      <c r="B3658" t="s">
        <v>191</v>
      </c>
      <c r="C3658">
        <v>0</v>
      </c>
      <c r="D3658" t="s">
        <v>175</v>
      </c>
      <c r="E3658" t="s">
        <v>182</v>
      </c>
      <c r="F3658" t="s">
        <v>177</v>
      </c>
      <c r="G3658" t="s">
        <v>178</v>
      </c>
    </row>
    <row r="3659" spans="1:7">
      <c r="A3659">
        <v>2029</v>
      </c>
      <c r="B3659" t="s">
        <v>191</v>
      </c>
      <c r="C3659">
        <v>0</v>
      </c>
      <c r="D3659" t="s">
        <v>175</v>
      </c>
      <c r="E3659" t="s">
        <v>182</v>
      </c>
      <c r="F3659" t="s">
        <v>177</v>
      </c>
      <c r="G3659" t="s">
        <v>178</v>
      </c>
    </row>
    <row r="3660" spans="1:7">
      <c r="A3660">
        <v>2030</v>
      </c>
      <c r="B3660" t="s">
        <v>191</v>
      </c>
      <c r="C3660">
        <v>0</v>
      </c>
      <c r="D3660" t="s">
        <v>175</v>
      </c>
      <c r="E3660" t="s">
        <v>182</v>
      </c>
      <c r="F3660" t="s">
        <v>177</v>
      </c>
      <c r="G3660" t="s">
        <v>178</v>
      </c>
    </row>
    <row r="3661" spans="1:7">
      <c r="A3661">
        <v>2031</v>
      </c>
      <c r="B3661" t="s">
        <v>191</v>
      </c>
      <c r="C3661">
        <v>0</v>
      </c>
      <c r="D3661" t="s">
        <v>175</v>
      </c>
      <c r="E3661" t="s">
        <v>182</v>
      </c>
      <c r="F3661" t="s">
        <v>177</v>
      </c>
      <c r="G3661" t="s">
        <v>178</v>
      </c>
    </row>
    <row r="3662" spans="1:7">
      <c r="A3662">
        <v>2032</v>
      </c>
      <c r="B3662" t="s">
        <v>191</v>
      </c>
      <c r="C3662">
        <v>0</v>
      </c>
      <c r="D3662" t="s">
        <v>175</v>
      </c>
      <c r="E3662" t="s">
        <v>182</v>
      </c>
      <c r="F3662" t="s">
        <v>177</v>
      </c>
      <c r="G3662" t="s">
        <v>178</v>
      </c>
    </row>
    <row r="3663" spans="1:7">
      <c r="A3663">
        <v>2033</v>
      </c>
      <c r="B3663" t="s">
        <v>191</v>
      </c>
      <c r="C3663">
        <v>0</v>
      </c>
      <c r="D3663" t="s">
        <v>175</v>
      </c>
      <c r="E3663" t="s">
        <v>182</v>
      </c>
      <c r="F3663" t="s">
        <v>177</v>
      </c>
      <c r="G3663" t="s">
        <v>178</v>
      </c>
    </row>
    <row r="3664" spans="1:7">
      <c r="A3664">
        <v>2034</v>
      </c>
      <c r="B3664" t="s">
        <v>191</v>
      </c>
      <c r="C3664">
        <v>0</v>
      </c>
      <c r="D3664" t="s">
        <v>175</v>
      </c>
      <c r="E3664" t="s">
        <v>182</v>
      </c>
      <c r="F3664" t="s">
        <v>177</v>
      </c>
      <c r="G3664" t="s">
        <v>178</v>
      </c>
    </row>
    <row r="3665" spans="1:7">
      <c r="A3665">
        <v>2035</v>
      </c>
      <c r="B3665" t="s">
        <v>191</v>
      </c>
      <c r="C3665">
        <v>0</v>
      </c>
      <c r="D3665" t="s">
        <v>175</v>
      </c>
      <c r="E3665" t="s">
        <v>182</v>
      </c>
      <c r="F3665" t="s">
        <v>177</v>
      </c>
      <c r="G3665" t="s">
        <v>178</v>
      </c>
    </row>
    <row r="3666" spans="1:7">
      <c r="A3666">
        <v>2020</v>
      </c>
      <c r="B3666" t="s">
        <v>192</v>
      </c>
      <c r="C3666">
        <v>2363.86</v>
      </c>
      <c r="D3666" t="s">
        <v>175</v>
      </c>
      <c r="E3666" t="s">
        <v>182</v>
      </c>
      <c r="F3666" t="s">
        <v>177</v>
      </c>
      <c r="G3666" t="s">
        <v>178</v>
      </c>
    </row>
    <row r="3667" spans="1:7">
      <c r="A3667">
        <v>2021</v>
      </c>
      <c r="B3667" t="s">
        <v>192</v>
      </c>
      <c r="C3667">
        <v>0</v>
      </c>
      <c r="D3667" t="s">
        <v>175</v>
      </c>
      <c r="E3667" t="s">
        <v>182</v>
      </c>
      <c r="F3667" t="s">
        <v>177</v>
      </c>
      <c r="G3667" t="s">
        <v>178</v>
      </c>
    </row>
    <row r="3668" spans="1:7">
      <c r="A3668">
        <v>2022</v>
      </c>
      <c r="B3668" t="s">
        <v>192</v>
      </c>
      <c r="C3668">
        <v>0</v>
      </c>
      <c r="D3668" t="s">
        <v>175</v>
      </c>
      <c r="E3668" t="s">
        <v>182</v>
      </c>
      <c r="F3668" t="s">
        <v>177</v>
      </c>
      <c r="G3668" t="s">
        <v>178</v>
      </c>
    </row>
    <row r="3669" spans="1:7">
      <c r="A3669">
        <v>2023</v>
      </c>
      <c r="B3669" t="s">
        <v>192</v>
      </c>
      <c r="C3669">
        <v>58</v>
      </c>
      <c r="D3669" t="s">
        <v>175</v>
      </c>
      <c r="E3669" t="s">
        <v>182</v>
      </c>
      <c r="F3669" t="s">
        <v>177</v>
      </c>
      <c r="G3669" t="s">
        <v>178</v>
      </c>
    </row>
    <row r="3670" spans="1:7">
      <c r="A3670">
        <v>2024</v>
      </c>
      <c r="B3670" t="s">
        <v>192</v>
      </c>
      <c r="C3670">
        <v>58</v>
      </c>
      <c r="D3670" t="s">
        <v>175</v>
      </c>
      <c r="E3670" t="s">
        <v>182</v>
      </c>
      <c r="F3670" t="s">
        <v>177</v>
      </c>
      <c r="G3670" t="s">
        <v>178</v>
      </c>
    </row>
    <row r="3671" spans="1:7">
      <c r="A3671">
        <v>2025</v>
      </c>
      <c r="B3671" t="s">
        <v>192</v>
      </c>
      <c r="C3671">
        <v>6</v>
      </c>
      <c r="D3671" t="s">
        <v>175</v>
      </c>
      <c r="E3671" t="s">
        <v>182</v>
      </c>
      <c r="F3671" t="s">
        <v>177</v>
      </c>
      <c r="G3671" t="s">
        <v>178</v>
      </c>
    </row>
    <row r="3672" spans="1:7">
      <c r="A3672">
        <v>2026</v>
      </c>
      <c r="B3672" t="s">
        <v>192</v>
      </c>
      <c r="C3672">
        <v>6</v>
      </c>
      <c r="D3672" t="s">
        <v>175</v>
      </c>
      <c r="E3672" t="s">
        <v>182</v>
      </c>
      <c r="F3672" t="s">
        <v>177</v>
      </c>
      <c r="G3672" t="s">
        <v>178</v>
      </c>
    </row>
    <row r="3673" spans="1:7">
      <c r="A3673">
        <v>2027</v>
      </c>
      <c r="B3673" t="s">
        <v>192</v>
      </c>
      <c r="C3673">
        <v>19.5</v>
      </c>
      <c r="D3673" t="s">
        <v>175</v>
      </c>
      <c r="E3673" t="s">
        <v>182</v>
      </c>
      <c r="F3673" t="s">
        <v>177</v>
      </c>
      <c r="G3673" t="s">
        <v>178</v>
      </c>
    </row>
    <row r="3674" spans="1:7">
      <c r="A3674">
        <v>2028</v>
      </c>
      <c r="B3674" t="s">
        <v>192</v>
      </c>
      <c r="C3674">
        <v>19.5</v>
      </c>
      <c r="D3674" t="s">
        <v>175</v>
      </c>
      <c r="E3674" t="s">
        <v>182</v>
      </c>
      <c r="F3674" t="s">
        <v>177</v>
      </c>
      <c r="G3674" t="s">
        <v>178</v>
      </c>
    </row>
    <row r="3675" spans="1:7">
      <c r="A3675">
        <v>2029</v>
      </c>
      <c r="B3675" t="s">
        <v>192</v>
      </c>
      <c r="C3675">
        <v>0</v>
      </c>
      <c r="D3675" t="s">
        <v>175</v>
      </c>
      <c r="E3675" t="s">
        <v>182</v>
      </c>
      <c r="F3675" t="s">
        <v>177</v>
      </c>
      <c r="G3675" t="s">
        <v>178</v>
      </c>
    </row>
    <row r="3676" spans="1:7">
      <c r="A3676">
        <v>2030</v>
      </c>
      <c r="B3676" t="s">
        <v>192</v>
      </c>
      <c r="C3676">
        <v>0</v>
      </c>
      <c r="D3676" t="s">
        <v>175</v>
      </c>
      <c r="E3676" t="s">
        <v>182</v>
      </c>
      <c r="F3676" t="s">
        <v>177</v>
      </c>
      <c r="G3676" t="s">
        <v>178</v>
      </c>
    </row>
    <row r="3677" spans="1:7">
      <c r="A3677">
        <v>2031</v>
      </c>
      <c r="B3677" t="s">
        <v>192</v>
      </c>
      <c r="C3677">
        <v>0</v>
      </c>
      <c r="D3677" t="s">
        <v>175</v>
      </c>
      <c r="E3677" t="s">
        <v>182</v>
      </c>
      <c r="F3677" t="s">
        <v>177</v>
      </c>
      <c r="G3677" t="s">
        <v>178</v>
      </c>
    </row>
    <row r="3678" spans="1:7">
      <c r="A3678">
        <v>2032</v>
      </c>
      <c r="B3678" t="s">
        <v>192</v>
      </c>
      <c r="C3678">
        <v>0</v>
      </c>
      <c r="D3678" t="s">
        <v>175</v>
      </c>
      <c r="E3678" t="s">
        <v>182</v>
      </c>
      <c r="F3678" t="s">
        <v>177</v>
      </c>
      <c r="G3678" t="s">
        <v>178</v>
      </c>
    </row>
    <row r="3679" spans="1:7">
      <c r="A3679">
        <v>2033</v>
      </c>
      <c r="B3679" t="s">
        <v>192</v>
      </c>
      <c r="C3679">
        <v>0</v>
      </c>
      <c r="D3679" t="s">
        <v>175</v>
      </c>
      <c r="E3679" t="s">
        <v>182</v>
      </c>
      <c r="F3679" t="s">
        <v>177</v>
      </c>
      <c r="G3679" t="s">
        <v>178</v>
      </c>
    </row>
    <row r="3680" spans="1:7">
      <c r="A3680">
        <v>2034</v>
      </c>
      <c r="B3680" t="s">
        <v>192</v>
      </c>
      <c r="C3680">
        <v>0</v>
      </c>
      <c r="D3680" t="s">
        <v>175</v>
      </c>
      <c r="E3680" t="s">
        <v>182</v>
      </c>
      <c r="F3680" t="s">
        <v>177</v>
      </c>
      <c r="G3680" t="s">
        <v>178</v>
      </c>
    </row>
    <row r="3681" spans="1:7">
      <c r="A3681">
        <v>2035</v>
      </c>
      <c r="B3681" t="s">
        <v>192</v>
      </c>
      <c r="C3681">
        <v>0</v>
      </c>
      <c r="D3681" t="s">
        <v>175</v>
      </c>
      <c r="E3681" t="s">
        <v>182</v>
      </c>
      <c r="F3681" t="s">
        <v>177</v>
      </c>
      <c r="G3681" t="s">
        <v>178</v>
      </c>
    </row>
    <row r="3682" spans="1:7">
      <c r="A3682">
        <v>2020</v>
      </c>
      <c r="B3682" t="s">
        <v>193</v>
      </c>
      <c r="C3682">
        <v>232.5</v>
      </c>
      <c r="D3682" t="s">
        <v>175</v>
      </c>
      <c r="E3682" t="s">
        <v>182</v>
      </c>
      <c r="F3682" t="s">
        <v>177</v>
      </c>
      <c r="G3682" t="s">
        <v>178</v>
      </c>
    </row>
    <row r="3683" spans="1:7">
      <c r="A3683">
        <v>2021</v>
      </c>
      <c r="B3683" t="s">
        <v>193</v>
      </c>
      <c r="C3683">
        <v>1100</v>
      </c>
      <c r="D3683" t="s">
        <v>175</v>
      </c>
      <c r="E3683" t="s">
        <v>182</v>
      </c>
      <c r="F3683" t="s">
        <v>177</v>
      </c>
      <c r="G3683" t="s">
        <v>178</v>
      </c>
    </row>
    <row r="3684" spans="1:7">
      <c r="A3684">
        <v>2022</v>
      </c>
      <c r="B3684" t="s">
        <v>193</v>
      </c>
      <c r="C3684">
        <v>1100</v>
      </c>
      <c r="D3684" t="s">
        <v>175</v>
      </c>
      <c r="E3684" t="s">
        <v>182</v>
      </c>
      <c r="F3684" t="s">
        <v>177</v>
      </c>
      <c r="G3684" t="s">
        <v>178</v>
      </c>
    </row>
    <row r="3685" spans="1:7">
      <c r="A3685">
        <v>2023</v>
      </c>
      <c r="B3685" t="s">
        <v>193</v>
      </c>
      <c r="C3685">
        <v>0</v>
      </c>
      <c r="D3685" t="s">
        <v>175</v>
      </c>
      <c r="E3685" t="s">
        <v>182</v>
      </c>
      <c r="F3685" t="s">
        <v>177</v>
      </c>
      <c r="G3685" t="s">
        <v>178</v>
      </c>
    </row>
    <row r="3686" spans="1:7">
      <c r="A3686">
        <v>2024</v>
      </c>
      <c r="B3686" t="s">
        <v>193</v>
      </c>
      <c r="C3686">
        <v>0</v>
      </c>
      <c r="D3686" t="s">
        <v>175</v>
      </c>
      <c r="E3686" t="s">
        <v>182</v>
      </c>
      <c r="F3686" t="s">
        <v>177</v>
      </c>
      <c r="G3686" t="s">
        <v>178</v>
      </c>
    </row>
    <row r="3687" spans="1:7">
      <c r="A3687">
        <v>2025</v>
      </c>
      <c r="B3687" t="s">
        <v>193</v>
      </c>
      <c r="C3687">
        <v>0</v>
      </c>
      <c r="D3687" t="s">
        <v>175</v>
      </c>
      <c r="E3687" t="s">
        <v>182</v>
      </c>
      <c r="F3687" t="s">
        <v>177</v>
      </c>
      <c r="G3687" t="s">
        <v>178</v>
      </c>
    </row>
    <row r="3688" spans="1:7">
      <c r="A3688">
        <v>2026</v>
      </c>
      <c r="B3688" t="s">
        <v>193</v>
      </c>
      <c r="C3688">
        <v>0</v>
      </c>
      <c r="D3688" t="s">
        <v>175</v>
      </c>
      <c r="E3688" t="s">
        <v>182</v>
      </c>
      <c r="F3688" t="s">
        <v>177</v>
      </c>
      <c r="G3688" t="s">
        <v>178</v>
      </c>
    </row>
    <row r="3689" spans="1:7">
      <c r="A3689">
        <v>2027</v>
      </c>
      <c r="B3689" t="s">
        <v>193</v>
      </c>
      <c r="C3689">
        <v>0</v>
      </c>
      <c r="D3689" t="s">
        <v>175</v>
      </c>
      <c r="E3689" t="s">
        <v>182</v>
      </c>
      <c r="F3689" t="s">
        <v>177</v>
      </c>
      <c r="G3689" t="s">
        <v>178</v>
      </c>
    </row>
    <row r="3690" spans="1:7">
      <c r="A3690">
        <v>2028</v>
      </c>
      <c r="B3690" t="s">
        <v>193</v>
      </c>
      <c r="C3690">
        <v>0</v>
      </c>
      <c r="D3690" t="s">
        <v>175</v>
      </c>
      <c r="E3690" t="s">
        <v>182</v>
      </c>
      <c r="F3690" t="s">
        <v>177</v>
      </c>
      <c r="G3690" t="s">
        <v>178</v>
      </c>
    </row>
    <row r="3691" spans="1:7">
      <c r="A3691">
        <v>2029</v>
      </c>
      <c r="B3691" t="s">
        <v>193</v>
      </c>
      <c r="C3691">
        <v>0</v>
      </c>
      <c r="D3691" t="s">
        <v>175</v>
      </c>
      <c r="E3691" t="s">
        <v>182</v>
      </c>
      <c r="F3691" t="s">
        <v>177</v>
      </c>
      <c r="G3691" t="s">
        <v>178</v>
      </c>
    </row>
    <row r="3692" spans="1:7">
      <c r="A3692">
        <v>2030</v>
      </c>
      <c r="B3692" t="s">
        <v>193</v>
      </c>
      <c r="C3692">
        <v>0</v>
      </c>
      <c r="D3692" t="s">
        <v>175</v>
      </c>
      <c r="E3692" t="s">
        <v>182</v>
      </c>
      <c r="F3692" t="s">
        <v>177</v>
      </c>
      <c r="G3692" t="s">
        <v>178</v>
      </c>
    </row>
    <row r="3693" spans="1:7">
      <c r="A3693">
        <v>2031</v>
      </c>
      <c r="B3693" t="s">
        <v>193</v>
      </c>
      <c r="C3693">
        <v>0</v>
      </c>
      <c r="D3693" t="s">
        <v>175</v>
      </c>
      <c r="E3693" t="s">
        <v>182</v>
      </c>
      <c r="F3693" t="s">
        <v>177</v>
      </c>
      <c r="G3693" t="s">
        <v>178</v>
      </c>
    </row>
    <row r="3694" spans="1:7">
      <c r="A3694">
        <v>2032</v>
      </c>
      <c r="B3694" t="s">
        <v>193</v>
      </c>
      <c r="C3694">
        <v>0</v>
      </c>
      <c r="D3694" t="s">
        <v>175</v>
      </c>
      <c r="E3694" t="s">
        <v>182</v>
      </c>
      <c r="F3694" t="s">
        <v>177</v>
      </c>
      <c r="G3694" t="s">
        <v>178</v>
      </c>
    </row>
    <row r="3695" spans="1:7">
      <c r="A3695">
        <v>2033</v>
      </c>
      <c r="B3695" t="s">
        <v>193</v>
      </c>
      <c r="C3695">
        <v>0</v>
      </c>
      <c r="D3695" t="s">
        <v>175</v>
      </c>
      <c r="E3695" t="s">
        <v>182</v>
      </c>
      <c r="F3695" t="s">
        <v>177</v>
      </c>
      <c r="G3695" t="s">
        <v>178</v>
      </c>
    </row>
    <row r="3696" spans="1:7">
      <c r="A3696">
        <v>2034</v>
      </c>
      <c r="B3696" t="s">
        <v>193</v>
      </c>
      <c r="C3696">
        <v>0</v>
      </c>
      <c r="D3696" t="s">
        <v>175</v>
      </c>
      <c r="E3696" t="s">
        <v>182</v>
      </c>
      <c r="F3696" t="s">
        <v>177</v>
      </c>
      <c r="G3696" t="s">
        <v>178</v>
      </c>
    </row>
    <row r="3697" spans="1:7">
      <c r="A3697">
        <v>2035</v>
      </c>
      <c r="B3697" t="s">
        <v>193</v>
      </c>
      <c r="C3697">
        <v>0</v>
      </c>
      <c r="D3697" t="s">
        <v>175</v>
      </c>
      <c r="E3697" t="s">
        <v>182</v>
      </c>
      <c r="F3697" t="s">
        <v>177</v>
      </c>
      <c r="G3697" t="s">
        <v>178</v>
      </c>
    </row>
    <row r="3698" spans="1:7">
      <c r="A3698">
        <v>2020</v>
      </c>
      <c r="B3698" t="s">
        <v>194</v>
      </c>
      <c r="C3698">
        <v>14.85</v>
      </c>
      <c r="D3698" t="s">
        <v>175</v>
      </c>
      <c r="E3698" t="s">
        <v>182</v>
      </c>
      <c r="F3698" t="s">
        <v>177</v>
      </c>
      <c r="G3698" t="s">
        <v>178</v>
      </c>
    </row>
    <row r="3699" spans="1:7">
      <c r="A3699">
        <v>2021</v>
      </c>
      <c r="B3699" t="s">
        <v>194</v>
      </c>
      <c r="C3699">
        <v>0</v>
      </c>
      <c r="D3699" t="s">
        <v>175</v>
      </c>
      <c r="E3699" t="s">
        <v>182</v>
      </c>
      <c r="F3699" t="s">
        <v>177</v>
      </c>
      <c r="G3699" t="s">
        <v>178</v>
      </c>
    </row>
    <row r="3700" spans="1:7">
      <c r="A3700">
        <v>2022</v>
      </c>
      <c r="B3700" t="s">
        <v>194</v>
      </c>
      <c r="C3700">
        <v>0</v>
      </c>
      <c r="D3700" t="s">
        <v>175</v>
      </c>
      <c r="E3700" t="s">
        <v>182</v>
      </c>
      <c r="F3700" t="s">
        <v>177</v>
      </c>
      <c r="G3700" t="s">
        <v>178</v>
      </c>
    </row>
    <row r="3701" spans="1:7">
      <c r="A3701">
        <v>2023</v>
      </c>
      <c r="B3701" t="s">
        <v>194</v>
      </c>
      <c r="C3701">
        <v>0</v>
      </c>
      <c r="D3701" t="s">
        <v>175</v>
      </c>
      <c r="E3701" t="s">
        <v>182</v>
      </c>
      <c r="F3701" t="s">
        <v>177</v>
      </c>
      <c r="G3701" t="s">
        <v>178</v>
      </c>
    </row>
    <row r="3702" spans="1:7">
      <c r="A3702">
        <v>2024</v>
      </c>
      <c r="B3702" t="s">
        <v>194</v>
      </c>
      <c r="C3702">
        <v>0</v>
      </c>
      <c r="D3702" t="s">
        <v>175</v>
      </c>
      <c r="E3702" t="s">
        <v>182</v>
      </c>
      <c r="F3702" t="s">
        <v>177</v>
      </c>
      <c r="G3702" t="s">
        <v>178</v>
      </c>
    </row>
    <row r="3703" spans="1:7">
      <c r="A3703">
        <v>2025</v>
      </c>
      <c r="B3703" t="s">
        <v>194</v>
      </c>
      <c r="C3703">
        <v>0</v>
      </c>
      <c r="D3703" t="s">
        <v>175</v>
      </c>
      <c r="E3703" t="s">
        <v>182</v>
      </c>
      <c r="F3703" t="s">
        <v>177</v>
      </c>
      <c r="G3703" t="s">
        <v>178</v>
      </c>
    </row>
    <row r="3704" spans="1:7">
      <c r="A3704">
        <v>2026</v>
      </c>
      <c r="B3704" t="s">
        <v>194</v>
      </c>
      <c r="C3704">
        <v>0</v>
      </c>
      <c r="D3704" t="s">
        <v>175</v>
      </c>
      <c r="E3704" t="s">
        <v>182</v>
      </c>
      <c r="F3704" t="s">
        <v>177</v>
      </c>
      <c r="G3704" t="s">
        <v>178</v>
      </c>
    </row>
    <row r="3705" spans="1:7">
      <c r="A3705">
        <v>2027</v>
      </c>
      <c r="B3705" t="s">
        <v>194</v>
      </c>
      <c r="C3705">
        <v>0</v>
      </c>
      <c r="D3705" t="s">
        <v>175</v>
      </c>
      <c r="E3705" t="s">
        <v>182</v>
      </c>
      <c r="F3705" t="s">
        <v>177</v>
      </c>
      <c r="G3705" t="s">
        <v>178</v>
      </c>
    </row>
    <row r="3706" spans="1:7">
      <c r="A3706">
        <v>2028</v>
      </c>
      <c r="B3706" t="s">
        <v>194</v>
      </c>
      <c r="C3706">
        <v>0</v>
      </c>
      <c r="D3706" t="s">
        <v>175</v>
      </c>
      <c r="E3706" t="s">
        <v>182</v>
      </c>
      <c r="F3706" t="s">
        <v>177</v>
      </c>
      <c r="G3706" t="s">
        <v>178</v>
      </c>
    </row>
    <row r="3707" spans="1:7">
      <c r="A3707">
        <v>2029</v>
      </c>
      <c r="B3707" t="s">
        <v>194</v>
      </c>
      <c r="C3707">
        <v>0</v>
      </c>
      <c r="D3707" t="s">
        <v>175</v>
      </c>
      <c r="E3707" t="s">
        <v>182</v>
      </c>
      <c r="F3707" t="s">
        <v>177</v>
      </c>
      <c r="G3707" t="s">
        <v>178</v>
      </c>
    </row>
    <row r="3708" spans="1:7">
      <c r="A3708">
        <v>2030</v>
      </c>
      <c r="B3708" t="s">
        <v>194</v>
      </c>
      <c r="C3708">
        <v>0</v>
      </c>
      <c r="D3708" t="s">
        <v>175</v>
      </c>
      <c r="E3708" t="s">
        <v>182</v>
      </c>
      <c r="F3708" t="s">
        <v>177</v>
      </c>
      <c r="G3708" t="s">
        <v>178</v>
      </c>
    </row>
    <row r="3709" spans="1:7">
      <c r="A3709">
        <v>2031</v>
      </c>
      <c r="B3709" t="s">
        <v>194</v>
      </c>
      <c r="C3709">
        <v>0</v>
      </c>
      <c r="D3709" t="s">
        <v>175</v>
      </c>
      <c r="E3709" t="s">
        <v>182</v>
      </c>
      <c r="F3709" t="s">
        <v>177</v>
      </c>
      <c r="G3709" t="s">
        <v>178</v>
      </c>
    </row>
    <row r="3710" spans="1:7">
      <c r="A3710">
        <v>2032</v>
      </c>
      <c r="B3710" t="s">
        <v>194</v>
      </c>
      <c r="C3710">
        <v>0</v>
      </c>
      <c r="D3710" t="s">
        <v>175</v>
      </c>
      <c r="E3710" t="s">
        <v>182</v>
      </c>
      <c r="F3710" t="s">
        <v>177</v>
      </c>
      <c r="G3710" t="s">
        <v>178</v>
      </c>
    </row>
    <row r="3711" spans="1:7">
      <c r="A3711">
        <v>2033</v>
      </c>
      <c r="B3711" t="s">
        <v>194</v>
      </c>
      <c r="C3711">
        <v>0</v>
      </c>
      <c r="D3711" t="s">
        <v>175</v>
      </c>
      <c r="E3711" t="s">
        <v>182</v>
      </c>
      <c r="F3711" t="s">
        <v>177</v>
      </c>
      <c r="G3711" t="s">
        <v>178</v>
      </c>
    </row>
    <row r="3712" spans="1:7">
      <c r="A3712">
        <v>2034</v>
      </c>
      <c r="B3712" t="s">
        <v>194</v>
      </c>
      <c r="C3712">
        <v>0</v>
      </c>
      <c r="D3712" t="s">
        <v>175</v>
      </c>
      <c r="E3712" t="s">
        <v>182</v>
      </c>
      <c r="F3712" t="s">
        <v>177</v>
      </c>
      <c r="G3712" t="s">
        <v>178</v>
      </c>
    </row>
    <row r="3713" spans="1:7">
      <c r="A3713">
        <v>2035</v>
      </c>
      <c r="B3713" t="s">
        <v>194</v>
      </c>
      <c r="C3713">
        <v>0</v>
      </c>
      <c r="D3713" t="s">
        <v>175</v>
      </c>
      <c r="E3713" t="s">
        <v>182</v>
      </c>
      <c r="F3713" t="s">
        <v>177</v>
      </c>
      <c r="G3713" t="s">
        <v>178</v>
      </c>
    </row>
    <row r="3714" spans="1:7">
      <c r="A3714">
        <v>2020</v>
      </c>
      <c r="B3714" t="s">
        <v>195</v>
      </c>
      <c r="C3714">
        <v>14397.8</v>
      </c>
      <c r="D3714" t="s">
        <v>175</v>
      </c>
      <c r="E3714" t="s">
        <v>182</v>
      </c>
      <c r="F3714" t="s">
        <v>177</v>
      </c>
      <c r="G3714" t="s">
        <v>178</v>
      </c>
    </row>
    <row r="3715" spans="1:7">
      <c r="A3715">
        <v>2021</v>
      </c>
      <c r="B3715" t="s">
        <v>195</v>
      </c>
      <c r="C3715">
        <v>86653.6</v>
      </c>
      <c r="D3715" t="s">
        <v>175</v>
      </c>
      <c r="E3715" t="s">
        <v>182</v>
      </c>
      <c r="F3715" t="s">
        <v>177</v>
      </c>
      <c r="G3715" t="s">
        <v>178</v>
      </c>
    </row>
    <row r="3716" spans="1:7">
      <c r="A3716">
        <v>2022</v>
      </c>
      <c r="B3716" t="s">
        <v>195</v>
      </c>
      <c r="C3716">
        <v>86653.6</v>
      </c>
      <c r="D3716" t="s">
        <v>175</v>
      </c>
      <c r="E3716" t="s">
        <v>182</v>
      </c>
      <c r="F3716" t="s">
        <v>177</v>
      </c>
      <c r="G3716" t="s">
        <v>178</v>
      </c>
    </row>
    <row r="3717" spans="1:7">
      <c r="A3717">
        <v>2023</v>
      </c>
      <c r="B3717" t="s">
        <v>195</v>
      </c>
      <c r="C3717">
        <v>46872.2</v>
      </c>
      <c r="D3717" t="s">
        <v>175</v>
      </c>
      <c r="E3717" t="s">
        <v>182</v>
      </c>
      <c r="F3717" t="s">
        <v>177</v>
      </c>
      <c r="G3717" t="s">
        <v>178</v>
      </c>
    </row>
    <row r="3718" spans="1:7">
      <c r="A3718">
        <v>2024</v>
      </c>
      <c r="B3718" t="s">
        <v>195</v>
      </c>
      <c r="C3718">
        <v>46872.2</v>
      </c>
      <c r="D3718" t="s">
        <v>175</v>
      </c>
      <c r="E3718" t="s">
        <v>182</v>
      </c>
      <c r="F3718" t="s">
        <v>177</v>
      </c>
      <c r="G3718" t="s">
        <v>178</v>
      </c>
    </row>
    <row r="3719" spans="1:7">
      <c r="A3719">
        <v>2025</v>
      </c>
      <c r="B3719" t="s">
        <v>195</v>
      </c>
      <c r="C3719">
        <v>17655.7</v>
      </c>
      <c r="D3719" t="s">
        <v>175</v>
      </c>
      <c r="E3719" t="s">
        <v>182</v>
      </c>
      <c r="F3719" t="s">
        <v>177</v>
      </c>
      <c r="G3719" t="s">
        <v>178</v>
      </c>
    </row>
    <row r="3720" spans="1:7">
      <c r="A3720">
        <v>2026</v>
      </c>
      <c r="B3720" t="s">
        <v>195</v>
      </c>
      <c r="C3720">
        <v>17655.7</v>
      </c>
      <c r="D3720" t="s">
        <v>175</v>
      </c>
      <c r="E3720" t="s">
        <v>182</v>
      </c>
      <c r="F3720" t="s">
        <v>177</v>
      </c>
      <c r="G3720" t="s">
        <v>178</v>
      </c>
    </row>
    <row r="3721" spans="1:7">
      <c r="A3721">
        <v>2027</v>
      </c>
      <c r="B3721" t="s">
        <v>195</v>
      </c>
      <c r="C3721">
        <v>42747.1</v>
      </c>
      <c r="D3721" t="s">
        <v>175</v>
      </c>
      <c r="E3721" t="s">
        <v>182</v>
      </c>
      <c r="F3721" t="s">
        <v>177</v>
      </c>
      <c r="G3721" t="s">
        <v>178</v>
      </c>
    </row>
    <row r="3722" spans="1:7">
      <c r="A3722">
        <v>2028</v>
      </c>
      <c r="B3722" t="s">
        <v>195</v>
      </c>
      <c r="C3722">
        <v>42747.1</v>
      </c>
      <c r="D3722" t="s">
        <v>175</v>
      </c>
      <c r="E3722" t="s">
        <v>182</v>
      </c>
      <c r="F3722" t="s">
        <v>177</v>
      </c>
      <c r="G3722" t="s">
        <v>178</v>
      </c>
    </row>
    <row r="3723" spans="1:7">
      <c r="A3723">
        <v>2029</v>
      </c>
      <c r="B3723" t="s">
        <v>195</v>
      </c>
      <c r="C3723">
        <v>25493</v>
      </c>
      <c r="D3723" t="s">
        <v>175</v>
      </c>
      <c r="E3723" t="s">
        <v>182</v>
      </c>
      <c r="F3723" t="s">
        <v>177</v>
      </c>
      <c r="G3723" t="s">
        <v>178</v>
      </c>
    </row>
    <row r="3724" spans="1:7">
      <c r="A3724">
        <v>2030</v>
      </c>
      <c r="B3724" t="s">
        <v>195</v>
      </c>
      <c r="C3724">
        <v>25493</v>
      </c>
      <c r="D3724" t="s">
        <v>175</v>
      </c>
      <c r="E3724" t="s">
        <v>182</v>
      </c>
      <c r="F3724" t="s">
        <v>177</v>
      </c>
      <c r="G3724" t="s">
        <v>178</v>
      </c>
    </row>
    <row r="3725" spans="1:7">
      <c r="A3725">
        <v>2031</v>
      </c>
      <c r="B3725" t="s">
        <v>195</v>
      </c>
      <c r="C3725">
        <v>22203.3</v>
      </c>
      <c r="D3725" t="s">
        <v>175</v>
      </c>
      <c r="E3725" t="s">
        <v>182</v>
      </c>
      <c r="F3725" t="s">
        <v>177</v>
      </c>
      <c r="G3725" t="s">
        <v>178</v>
      </c>
    </row>
    <row r="3726" spans="1:7">
      <c r="A3726">
        <v>2032</v>
      </c>
      <c r="B3726" t="s">
        <v>195</v>
      </c>
      <c r="C3726">
        <v>22203.3</v>
      </c>
      <c r="D3726" t="s">
        <v>175</v>
      </c>
      <c r="E3726" t="s">
        <v>182</v>
      </c>
      <c r="F3726" t="s">
        <v>177</v>
      </c>
      <c r="G3726" t="s">
        <v>178</v>
      </c>
    </row>
    <row r="3727" spans="1:7">
      <c r="A3727">
        <v>2033</v>
      </c>
      <c r="B3727" t="s">
        <v>195</v>
      </c>
      <c r="C3727">
        <v>31975.200000000001</v>
      </c>
      <c r="D3727" t="s">
        <v>175</v>
      </c>
      <c r="E3727" t="s">
        <v>182</v>
      </c>
      <c r="F3727" t="s">
        <v>177</v>
      </c>
      <c r="G3727" t="s">
        <v>178</v>
      </c>
    </row>
    <row r="3728" spans="1:7">
      <c r="A3728">
        <v>2034</v>
      </c>
      <c r="B3728" t="s">
        <v>195</v>
      </c>
      <c r="C3728">
        <v>31975.200000000001</v>
      </c>
      <c r="D3728" t="s">
        <v>175</v>
      </c>
      <c r="E3728" t="s">
        <v>182</v>
      </c>
      <c r="F3728" t="s">
        <v>177</v>
      </c>
      <c r="G3728" t="s">
        <v>178</v>
      </c>
    </row>
    <row r="3729" spans="1:7">
      <c r="A3729">
        <v>2035</v>
      </c>
      <c r="B3729" t="s">
        <v>195</v>
      </c>
      <c r="C3729">
        <v>31975.200000000001</v>
      </c>
      <c r="D3729" t="s">
        <v>175</v>
      </c>
      <c r="E3729" t="s">
        <v>182</v>
      </c>
      <c r="F3729" t="s">
        <v>177</v>
      </c>
      <c r="G3729" t="s">
        <v>178</v>
      </c>
    </row>
    <row r="3730" spans="1:7">
      <c r="A3730">
        <v>2020</v>
      </c>
      <c r="B3730" t="s">
        <v>196</v>
      </c>
      <c r="C3730">
        <v>12328.9</v>
      </c>
      <c r="D3730" t="s">
        <v>175</v>
      </c>
      <c r="E3730" t="s">
        <v>182</v>
      </c>
      <c r="F3730" t="s">
        <v>177</v>
      </c>
      <c r="G3730" t="s">
        <v>178</v>
      </c>
    </row>
    <row r="3731" spans="1:7">
      <c r="A3731">
        <v>2021</v>
      </c>
      <c r="B3731" t="s">
        <v>196</v>
      </c>
      <c r="C3731">
        <v>70904.899999999994</v>
      </c>
      <c r="D3731" t="s">
        <v>175</v>
      </c>
      <c r="E3731" t="s">
        <v>182</v>
      </c>
      <c r="F3731" t="s">
        <v>177</v>
      </c>
      <c r="G3731" t="s">
        <v>178</v>
      </c>
    </row>
    <row r="3732" spans="1:7">
      <c r="A3732">
        <v>2022</v>
      </c>
      <c r="B3732" t="s">
        <v>196</v>
      </c>
      <c r="C3732">
        <v>70904.899999999994</v>
      </c>
      <c r="D3732" t="s">
        <v>175</v>
      </c>
      <c r="E3732" t="s">
        <v>182</v>
      </c>
      <c r="F3732" t="s">
        <v>177</v>
      </c>
      <c r="G3732" t="s">
        <v>178</v>
      </c>
    </row>
    <row r="3733" spans="1:7">
      <c r="A3733">
        <v>2023</v>
      </c>
      <c r="B3733" t="s">
        <v>196</v>
      </c>
      <c r="C3733">
        <v>10301.200000000001</v>
      </c>
      <c r="D3733" t="s">
        <v>175</v>
      </c>
      <c r="E3733" t="s">
        <v>182</v>
      </c>
      <c r="F3733" t="s">
        <v>177</v>
      </c>
      <c r="G3733" t="s">
        <v>178</v>
      </c>
    </row>
    <row r="3734" spans="1:7">
      <c r="A3734">
        <v>2024</v>
      </c>
      <c r="B3734" t="s">
        <v>196</v>
      </c>
      <c r="C3734">
        <v>10301.200000000001</v>
      </c>
      <c r="D3734" t="s">
        <v>175</v>
      </c>
      <c r="E3734" t="s">
        <v>182</v>
      </c>
      <c r="F3734" t="s">
        <v>177</v>
      </c>
      <c r="G3734" t="s">
        <v>178</v>
      </c>
    </row>
    <row r="3735" spans="1:7">
      <c r="A3735">
        <v>2025</v>
      </c>
      <c r="B3735" t="s">
        <v>196</v>
      </c>
      <c r="C3735">
        <v>34426.199999999997</v>
      </c>
      <c r="D3735" t="s">
        <v>175</v>
      </c>
      <c r="E3735" t="s">
        <v>182</v>
      </c>
      <c r="F3735" t="s">
        <v>177</v>
      </c>
      <c r="G3735" t="s">
        <v>178</v>
      </c>
    </row>
    <row r="3736" spans="1:7">
      <c r="A3736">
        <v>2026</v>
      </c>
      <c r="B3736" t="s">
        <v>196</v>
      </c>
      <c r="C3736">
        <v>34426.199999999997</v>
      </c>
      <c r="D3736" t="s">
        <v>175</v>
      </c>
      <c r="E3736" t="s">
        <v>182</v>
      </c>
      <c r="F3736" t="s">
        <v>177</v>
      </c>
      <c r="G3736" t="s">
        <v>178</v>
      </c>
    </row>
    <row r="3737" spans="1:7">
      <c r="A3737">
        <v>2027</v>
      </c>
      <c r="B3737" t="s">
        <v>196</v>
      </c>
      <c r="C3737">
        <v>12729.7</v>
      </c>
      <c r="D3737" t="s">
        <v>175</v>
      </c>
      <c r="E3737" t="s">
        <v>182</v>
      </c>
      <c r="F3737" t="s">
        <v>177</v>
      </c>
      <c r="G3737" t="s">
        <v>178</v>
      </c>
    </row>
    <row r="3738" spans="1:7">
      <c r="A3738">
        <v>2028</v>
      </c>
      <c r="B3738" t="s">
        <v>196</v>
      </c>
      <c r="C3738">
        <v>12729.7</v>
      </c>
      <c r="D3738" t="s">
        <v>175</v>
      </c>
      <c r="E3738" t="s">
        <v>182</v>
      </c>
      <c r="F3738" t="s">
        <v>177</v>
      </c>
      <c r="G3738" t="s">
        <v>178</v>
      </c>
    </row>
    <row r="3739" spans="1:7">
      <c r="A3739">
        <v>2029</v>
      </c>
      <c r="B3739" t="s">
        <v>196</v>
      </c>
      <c r="C3739">
        <v>15897.1</v>
      </c>
      <c r="D3739" t="s">
        <v>175</v>
      </c>
      <c r="E3739" t="s">
        <v>182</v>
      </c>
      <c r="F3739" t="s">
        <v>177</v>
      </c>
      <c r="G3739" t="s">
        <v>178</v>
      </c>
    </row>
    <row r="3740" spans="1:7">
      <c r="A3740">
        <v>2030</v>
      </c>
      <c r="B3740" t="s">
        <v>196</v>
      </c>
      <c r="C3740">
        <v>15897.1</v>
      </c>
      <c r="D3740" t="s">
        <v>175</v>
      </c>
      <c r="E3740" t="s">
        <v>182</v>
      </c>
      <c r="F3740" t="s">
        <v>177</v>
      </c>
      <c r="G3740" t="s">
        <v>178</v>
      </c>
    </row>
    <row r="3741" spans="1:7">
      <c r="A3741">
        <v>2031</v>
      </c>
      <c r="B3741" t="s">
        <v>196</v>
      </c>
      <c r="C3741">
        <v>12235.9</v>
      </c>
      <c r="D3741" t="s">
        <v>175</v>
      </c>
      <c r="E3741" t="s">
        <v>182</v>
      </c>
      <c r="F3741" t="s">
        <v>177</v>
      </c>
      <c r="G3741" t="s">
        <v>178</v>
      </c>
    </row>
    <row r="3742" spans="1:7">
      <c r="A3742">
        <v>2032</v>
      </c>
      <c r="B3742" t="s">
        <v>196</v>
      </c>
      <c r="C3742">
        <v>12235.9</v>
      </c>
      <c r="D3742" t="s">
        <v>175</v>
      </c>
      <c r="E3742" t="s">
        <v>182</v>
      </c>
      <c r="F3742" t="s">
        <v>177</v>
      </c>
      <c r="G3742" t="s">
        <v>178</v>
      </c>
    </row>
    <row r="3743" spans="1:7">
      <c r="A3743">
        <v>2033</v>
      </c>
      <c r="B3743" t="s">
        <v>196</v>
      </c>
      <c r="C3743">
        <v>21504.3</v>
      </c>
      <c r="D3743" t="s">
        <v>175</v>
      </c>
      <c r="E3743" t="s">
        <v>182</v>
      </c>
      <c r="F3743" t="s">
        <v>177</v>
      </c>
      <c r="G3743" t="s">
        <v>178</v>
      </c>
    </row>
    <row r="3744" spans="1:7">
      <c r="A3744">
        <v>2034</v>
      </c>
      <c r="B3744" t="s">
        <v>196</v>
      </c>
      <c r="C3744">
        <v>21504.3</v>
      </c>
      <c r="D3744" t="s">
        <v>175</v>
      </c>
      <c r="E3744" t="s">
        <v>182</v>
      </c>
      <c r="F3744" t="s">
        <v>177</v>
      </c>
      <c r="G3744" t="s">
        <v>178</v>
      </c>
    </row>
    <row r="3745" spans="1:7">
      <c r="A3745">
        <v>2035</v>
      </c>
      <c r="B3745" t="s">
        <v>196</v>
      </c>
      <c r="C3745">
        <v>21504.3</v>
      </c>
      <c r="D3745" t="s">
        <v>175</v>
      </c>
      <c r="E3745" t="s">
        <v>182</v>
      </c>
      <c r="F3745" t="s">
        <v>177</v>
      </c>
      <c r="G3745" t="s">
        <v>178</v>
      </c>
    </row>
    <row r="3746" spans="1:7">
      <c r="A3746">
        <v>2020</v>
      </c>
      <c r="B3746" t="s">
        <v>188</v>
      </c>
      <c r="C3746">
        <v>102.45</v>
      </c>
      <c r="D3746" t="s">
        <v>175</v>
      </c>
      <c r="E3746" t="s">
        <v>182</v>
      </c>
      <c r="F3746" t="s">
        <v>177</v>
      </c>
      <c r="G3746" t="s">
        <v>179</v>
      </c>
    </row>
    <row r="3747" spans="1:7">
      <c r="A3747">
        <v>2021</v>
      </c>
      <c r="B3747" t="s">
        <v>188</v>
      </c>
      <c r="C3747">
        <v>9.5</v>
      </c>
      <c r="D3747" t="s">
        <v>175</v>
      </c>
      <c r="E3747" t="s">
        <v>182</v>
      </c>
      <c r="F3747" t="s">
        <v>177</v>
      </c>
      <c r="G3747" t="s">
        <v>179</v>
      </c>
    </row>
    <row r="3748" spans="1:7">
      <c r="A3748">
        <v>2022</v>
      </c>
      <c r="B3748" t="s">
        <v>188</v>
      </c>
      <c r="C3748">
        <v>9.5</v>
      </c>
      <c r="D3748" t="s">
        <v>175</v>
      </c>
      <c r="E3748" t="s">
        <v>182</v>
      </c>
      <c r="F3748" t="s">
        <v>177</v>
      </c>
      <c r="G3748" t="s">
        <v>179</v>
      </c>
    </row>
    <row r="3749" spans="1:7">
      <c r="A3749">
        <v>2023</v>
      </c>
      <c r="B3749" t="s">
        <v>188</v>
      </c>
      <c r="C3749">
        <v>0</v>
      </c>
      <c r="D3749" t="s">
        <v>175</v>
      </c>
      <c r="E3749" t="s">
        <v>182</v>
      </c>
      <c r="F3749" t="s">
        <v>177</v>
      </c>
      <c r="G3749" t="s">
        <v>179</v>
      </c>
    </row>
    <row r="3750" spans="1:7">
      <c r="A3750">
        <v>2024</v>
      </c>
      <c r="B3750" t="s">
        <v>188</v>
      </c>
      <c r="C3750">
        <v>0</v>
      </c>
      <c r="D3750" t="s">
        <v>175</v>
      </c>
      <c r="E3750" t="s">
        <v>182</v>
      </c>
      <c r="F3750" t="s">
        <v>177</v>
      </c>
      <c r="G3750" t="s">
        <v>179</v>
      </c>
    </row>
    <row r="3751" spans="1:7">
      <c r="A3751">
        <v>2025</v>
      </c>
      <c r="B3751" t="s">
        <v>188</v>
      </c>
      <c r="C3751">
        <v>0</v>
      </c>
      <c r="D3751" t="s">
        <v>175</v>
      </c>
      <c r="E3751" t="s">
        <v>182</v>
      </c>
      <c r="F3751" t="s">
        <v>177</v>
      </c>
      <c r="G3751" t="s">
        <v>179</v>
      </c>
    </row>
    <row r="3752" spans="1:7">
      <c r="A3752">
        <v>2026</v>
      </c>
      <c r="B3752" t="s">
        <v>188</v>
      </c>
      <c r="C3752">
        <v>0</v>
      </c>
      <c r="D3752" t="s">
        <v>175</v>
      </c>
      <c r="E3752" t="s">
        <v>182</v>
      </c>
      <c r="F3752" t="s">
        <v>177</v>
      </c>
      <c r="G3752" t="s">
        <v>179</v>
      </c>
    </row>
    <row r="3753" spans="1:7">
      <c r="A3753">
        <v>2027</v>
      </c>
      <c r="B3753" t="s">
        <v>188</v>
      </c>
      <c r="C3753">
        <v>0</v>
      </c>
      <c r="D3753" t="s">
        <v>175</v>
      </c>
      <c r="E3753" t="s">
        <v>182</v>
      </c>
      <c r="F3753" t="s">
        <v>177</v>
      </c>
      <c r="G3753" t="s">
        <v>179</v>
      </c>
    </row>
    <row r="3754" spans="1:7">
      <c r="A3754">
        <v>2028</v>
      </c>
      <c r="B3754" t="s">
        <v>188</v>
      </c>
      <c r="C3754">
        <v>0</v>
      </c>
      <c r="D3754" t="s">
        <v>175</v>
      </c>
      <c r="E3754" t="s">
        <v>182</v>
      </c>
      <c r="F3754" t="s">
        <v>177</v>
      </c>
      <c r="G3754" t="s">
        <v>179</v>
      </c>
    </row>
    <row r="3755" spans="1:7">
      <c r="A3755">
        <v>2029</v>
      </c>
      <c r="B3755" t="s">
        <v>188</v>
      </c>
      <c r="C3755">
        <v>0</v>
      </c>
      <c r="D3755" t="s">
        <v>175</v>
      </c>
      <c r="E3755" t="s">
        <v>182</v>
      </c>
      <c r="F3755" t="s">
        <v>177</v>
      </c>
      <c r="G3755" t="s">
        <v>179</v>
      </c>
    </row>
    <row r="3756" spans="1:7">
      <c r="A3756">
        <v>2030</v>
      </c>
      <c r="B3756" t="s">
        <v>188</v>
      </c>
      <c r="C3756">
        <v>0</v>
      </c>
      <c r="D3756" t="s">
        <v>175</v>
      </c>
      <c r="E3756" t="s">
        <v>182</v>
      </c>
      <c r="F3756" t="s">
        <v>177</v>
      </c>
      <c r="G3756" t="s">
        <v>179</v>
      </c>
    </row>
    <row r="3757" spans="1:7">
      <c r="A3757">
        <v>2031</v>
      </c>
      <c r="B3757" t="s">
        <v>188</v>
      </c>
      <c r="C3757">
        <v>0</v>
      </c>
      <c r="D3757" t="s">
        <v>175</v>
      </c>
      <c r="E3757" t="s">
        <v>182</v>
      </c>
      <c r="F3757" t="s">
        <v>177</v>
      </c>
      <c r="G3757" t="s">
        <v>179</v>
      </c>
    </row>
    <row r="3758" spans="1:7">
      <c r="A3758">
        <v>2032</v>
      </c>
      <c r="B3758" t="s">
        <v>188</v>
      </c>
      <c r="C3758">
        <v>0</v>
      </c>
      <c r="D3758" t="s">
        <v>175</v>
      </c>
      <c r="E3758" t="s">
        <v>182</v>
      </c>
      <c r="F3758" t="s">
        <v>177</v>
      </c>
      <c r="G3758" t="s">
        <v>179</v>
      </c>
    </row>
    <row r="3759" spans="1:7">
      <c r="A3759">
        <v>2033</v>
      </c>
      <c r="B3759" t="s">
        <v>188</v>
      </c>
      <c r="C3759">
        <v>0</v>
      </c>
      <c r="D3759" t="s">
        <v>175</v>
      </c>
      <c r="E3759" t="s">
        <v>182</v>
      </c>
      <c r="F3759" t="s">
        <v>177</v>
      </c>
      <c r="G3759" t="s">
        <v>179</v>
      </c>
    </row>
    <row r="3760" spans="1:7">
      <c r="A3760">
        <v>2034</v>
      </c>
      <c r="B3760" t="s">
        <v>188</v>
      </c>
      <c r="C3760">
        <v>0</v>
      </c>
      <c r="D3760" t="s">
        <v>175</v>
      </c>
      <c r="E3760" t="s">
        <v>182</v>
      </c>
      <c r="F3760" t="s">
        <v>177</v>
      </c>
      <c r="G3760" t="s">
        <v>179</v>
      </c>
    </row>
    <row r="3761" spans="1:7">
      <c r="A3761">
        <v>2035</v>
      </c>
      <c r="B3761" t="s">
        <v>188</v>
      </c>
      <c r="C3761">
        <v>0</v>
      </c>
      <c r="D3761" t="s">
        <v>175</v>
      </c>
      <c r="E3761" t="s">
        <v>182</v>
      </c>
      <c r="F3761" t="s">
        <v>177</v>
      </c>
      <c r="G3761" t="s">
        <v>179</v>
      </c>
    </row>
    <row r="3762" spans="1:7">
      <c r="A3762">
        <v>2020</v>
      </c>
      <c r="B3762" t="s">
        <v>189</v>
      </c>
      <c r="C3762">
        <v>0</v>
      </c>
      <c r="D3762" t="s">
        <v>175</v>
      </c>
      <c r="E3762" t="s">
        <v>182</v>
      </c>
      <c r="F3762" t="s">
        <v>177</v>
      </c>
      <c r="G3762" t="s">
        <v>179</v>
      </c>
    </row>
    <row r="3763" spans="1:7">
      <c r="A3763">
        <v>2021</v>
      </c>
      <c r="B3763" t="s">
        <v>189</v>
      </c>
      <c r="C3763">
        <v>0</v>
      </c>
      <c r="D3763" t="s">
        <v>175</v>
      </c>
      <c r="E3763" t="s">
        <v>182</v>
      </c>
      <c r="F3763" t="s">
        <v>177</v>
      </c>
      <c r="G3763" t="s">
        <v>179</v>
      </c>
    </row>
    <row r="3764" spans="1:7">
      <c r="A3764">
        <v>2022</v>
      </c>
      <c r="B3764" t="s">
        <v>189</v>
      </c>
      <c r="C3764">
        <v>0</v>
      </c>
      <c r="D3764" t="s">
        <v>175</v>
      </c>
      <c r="E3764" t="s">
        <v>182</v>
      </c>
      <c r="F3764" t="s">
        <v>177</v>
      </c>
      <c r="G3764" t="s">
        <v>179</v>
      </c>
    </row>
    <row r="3765" spans="1:7">
      <c r="A3765">
        <v>2023</v>
      </c>
      <c r="B3765" t="s">
        <v>189</v>
      </c>
      <c r="C3765">
        <v>0</v>
      </c>
      <c r="D3765" t="s">
        <v>175</v>
      </c>
      <c r="E3765" t="s">
        <v>182</v>
      </c>
      <c r="F3765" t="s">
        <v>177</v>
      </c>
      <c r="G3765" t="s">
        <v>179</v>
      </c>
    </row>
    <row r="3766" spans="1:7">
      <c r="A3766">
        <v>2024</v>
      </c>
      <c r="B3766" t="s">
        <v>189</v>
      </c>
      <c r="C3766">
        <v>0</v>
      </c>
      <c r="D3766" t="s">
        <v>175</v>
      </c>
      <c r="E3766" t="s">
        <v>182</v>
      </c>
      <c r="F3766" t="s">
        <v>177</v>
      </c>
      <c r="G3766" t="s">
        <v>179</v>
      </c>
    </row>
    <row r="3767" spans="1:7">
      <c r="A3767">
        <v>2025</v>
      </c>
      <c r="B3767" t="s">
        <v>189</v>
      </c>
      <c r="C3767">
        <v>0</v>
      </c>
      <c r="D3767" t="s">
        <v>175</v>
      </c>
      <c r="E3767" t="s">
        <v>182</v>
      </c>
      <c r="F3767" t="s">
        <v>177</v>
      </c>
      <c r="G3767" t="s">
        <v>179</v>
      </c>
    </row>
    <row r="3768" spans="1:7">
      <c r="A3768">
        <v>2026</v>
      </c>
      <c r="B3768" t="s">
        <v>189</v>
      </c>
      <c r="C3768">
        <v>0</v>
      </c>
      <c r="D3768" t="s">
        <v>175</v>
      </c>
      <c r="E3768" t="s">
        <v>182</v>
      </c>
      <c r="F3768" t="s">
        <v>177</v>
      </c>
      <c r="G3768" t="s">
        <v>179</v>
      </c>
    </row>
    <row r="3769" spans="1:7">
      <c r="A3769">
        <v>2027</v>
      </c>
      <c r="B3769" t="s">
        <v>189</v>
      </c>
      <c r="C3769">
        <v>0</v>
      </c>
      <c r="D3769" t="s">
        <v>175</v>
      </c>
      <c r="E3769" t="s">
        <v>182</v>
      </c>
      <c r="F3769" t="s">
        <v>177</v>
      </c>
      <c r="G3769" t="s">
        <v>179</v>
      </c>
    </row>
    <row r="3770" spans="1:7">
      <c r="A3770">
        <v>2028</v>
      </c>
      <c r="B3770" t="s">
        <v>189</v>
      </c>
      <c r="C3770">
        <v>0</v>
      </c>
      <c r="D3770" t="s">
        <v>175</v>
      </c>
      <c r="E3770" t="s">
        <v>182</v>
      </c>
      <c r="F3770" t="s">
        <v>177</v>
      </c>
      <c r="G3770" t="s">
        <v>179</v>
      </c>
    </row>
    <row r="3771" spans="1:7">
      <c r="A3771">
        <v>2029</v>
      </c>
      <c r="B3771" t="s">
        <v>189</v>
      </c>
      <c r="C3771">
        <v>0</v>
      </c>
      <c r="D3771" t="s">
        <v>175</v>
      </c>
      <c r="E3771" t="s">
        <v>182</v>
      </c>
      <c r="F3771" t="s">
        <v>177</v>
      </c>
      <c r="G3771" t="s">
        <v>179</v>
      </c>
    </row>
    <row r="3772" spans="1:7">
      <c r="A3772">
        <v>2030</v>
      </c>
      <c r="B3772" t="s">
        <v>189</v>
      </c>
      <c r="C3772">
        <v>0</v>
      </c>
      <c r="D3772" t="s">
        <v>175</v>
      </c>
      <c r="E3772" t="s">
        <v>182</v>
      </c>
      <c r="F3772" t="s">
        <v>177</v>
      </c>
      <c r="G3772" t="s">
        <v>179</v>
      </c>
    </row>
    <row r="3773" spans="1:7">
      <c r="A3773">
        <v>2031</v>
      </c>
      <c r="B3773" t="s">
        <v>189</v>
      </c>
      <c r="C3773">
        <v>0</v>
      </c>
      <c r="D3773" t="s">
        <v>175</v>
      </c>
      <c r="E3773" t="s">
        <v>182</v>
      </c>
      <c r="F3773" t="s">
        <v>177</v>
      </c>
      <c r="G3773" t="s">
        <v>179</v>
      </c>
    </row>
    <row r="3774" spans="1:7">
      <c r="A3774">
        <v>2032</v>
      </c>
      <c r="B3774" t="s">
        <v>189</v>
      </c>
      <c r="C3774">
        <v>0</v>
      </c>
      <c r="D3774" t="s">
        <v>175</v>
      </c>
      <c r="E3774" t="s">
        <v>182</v>
      </c>
      <c r="F3774" t="s">
        <v>177</v>
      </c>
      <c r="G3774" t="s">
        <v>179</v>
      </c>
    </row>
    <row r="3775" spans="1:7">
      <c r="A3775">
        <v>2033</v>
      </c>
      <c r="B3775" t="s">
        <v>189</v>
      </c>
      <c r="C3775">
        <v>0</v>
      </c>
      <c r="D3775" t="s">
        <v>175</v>
      </c>
      <c r="E3775" t="s">
        <v>182</v>
      </c>
      <c r="F3775" t="s">
        <v>177</v>
      </c>
      <c r="G3775" t="s">
        <v>179</v>
      </c>
    </row>
    <row r="3776" spans="1:7">
      <c r="A3776">
        <v>2034</v>
      </c>
      <c r="B3776" t="s">
        <v>189</v>
      </c>
      <c r="C3776">
        <v>0</v>
      </c>
      <c r="D3776" t="s">
        <v>175</v>
      </c>
      <c r="E3776" t="s">
        <v>182</v>
      </c>
      <c r="F3776" t="s">
        <v>177</v>
      </c>
      <c r="G3776" t="s">
        <v>179</v>
      </c>
    </row>
    <row r="3777" spans="1:7">
      <c r="A3777">
        <v>2035</v>
      </c>
      <c r="B3777" t="s">
        <v>189</v>
      </c>
      <c r="C3777">
        <v>0</v>
      </c>
      <c r="D3777" t="s">
        <v>175</v>
      </c>
      <c r="E3777" t="s">
        <v>182</v>
      </c>
      <c r="F3777" t="s">
        <v>177</v>
      </c>
      <c r="G3777" t="s">
        <v>179</v>
      </c>
    </row>
    <row r="3778" spans="1:7">
      <c r="A3778">
        <v>2020</v>
      </c>
      <c r="B3778" t="s">
        <v>190</v>
      </c>
      <c r="C3778">
        <v>11184.73</v>
      </c>
      <c r="D3778" t="s">
        <v>175</v>
      </c>
      <c r="E3778" t="s">
        <v>182</v>
      </c>
      <c r="F3778" t="s">
        <v>177</v>
      </c>
      <c r="G3778" t="s">
        <v>179</v>
      </c>
    </row>
    <row r="3779" spans="1:7">
      <c r="A3779">
        <v>2021</v>
      </c>
      <c r="B3779" t="s">
        <v>190</v>
      </c>
      <c r="C3779">
        <v>0</v>
      </c>
      <c r="D3779" t="s">
        <v>175</v>
      </c>
      <c r="E3779" t="s">
        <v>182</v>
      </c>
      <c r="F3779" t="s">
        <v>177</v>
      </c>
      <c r="G3779" t="s">
        <v>179</v>
      </c>
    </row>
    <row r="3780" spans="1:7">
      <c r="A3780">
        <v>2022</v>
      </c>
      <c r="B3780" t="s">
        <v>190</v>
      </c>
      <c r="C3780">
        <v>0</v>
      </c>
      <c r="D3780" t="s">
        <v>175</v>
      </c>
      <c r="E3780" t="s">
        <v>182</v>
      </c>
      <c r="F3780" t="s">
        <v>177</v>
      </c>
      <c r="G3780" t="s">
        <v>179</v>
      </c>
    </row>
    <row r="3781" spans="1:7">
      <c r="A3781">
        <v>2023</v>
      </c>
      <c r="B3781" t="s">
        <v>190</v>
      </c>
      <c r="C3781">
        <v>0</v>
      </c>
      <c r="D3781" t="s">
        <v>175</v>
      </c>
      <c r="E3781" t="s">
        <v>182</v>
      </c>
      <c r="F3781" t="s">
        <v>177</v>
      </c>
      <c r="G3781" t="s">
        <v>179</v>
      </c>
    </row>
    <row r="3782" spans="1:7">
      <c r="A3782">
        <v>2024</v>
      </c>
      <c r="B3782" t="s">
        <v>190</v>
      </c>
      <c r="C3782">
        <v>0</v>
      </c>
      <c r="D3782" t="s">
        <v>175</v>
      </c>
      <c r="E3782" t="s">
        <v>182</v>
      </c>
      <c r="F3782" t="s">
        <v>177</v>
      </c>
      <c r="G3782" t="s">
        <v>179</v>
      </c>
    </row>
    <row r="3783" spans="1:7">
      <c r="A3783">
        <v>2025</v>
      </c>
      <c r="B3783" t="s">
        <v>190</v>
      </c>
      <c r="C3783">
        <v>0</v>
      </c>
      <c r="D3783" t="s">
        <v>175</v>
      </c>
      <c r="E3783" t="s">
        <v>182</v>
      </c>
      <c r="F3783" t="s">
        <v>177</v>
      </c>
      <c r="G3783" t="s">
        <v>179</v>
      </c>
    </row>
    <row r="3784" spans="1:7">
      <c r="A3784">
        <v>2026</v>
      </c>
      <c r="B3784" t="s">
        <v>190</v>
      </c>
      <c r="C3784">
        <v>0</v>
      </c>
      <c r="D3784" t="s">
        <v>175</v>
      </c>
      <c r="E3784" t="s">
        <v>182</v>
      </c>
      <c r="F3784" t="s">
        <v>177</v>
      </c>
      <c r="G3784" t="s">
        <v>179</v>
      </c>
    </row>
    <row r="3785" spans="1:7">
      <c r="A3785">
        <v>2027</v>
      </c>
      <c r="B3785" t="s">
        <v>190</v>
      </c>
      <c r="C3785">
        <v>0</v>
      </c>
      <c r="D3785" t="s">
        <v>175</v>
      </c>
      <c r="E3785" t="s">
        <v>182</v>
      </c>
      <c r="F3785" t="s">
        <v>177</v>
      </c>
      <c r="G3785" t="s">
        <v>179</v>
      </c>
    </row>
    <row r="3786" spans="1:7">
      <c r="A3786">
        <v>2028</v>
      </c>
      <c r="B3786" t="s">
        <v>190</v>
      </c>
      <c r="C3786">
        <v>0</v>
      </c>
      <c r="D3786" t="s">
        <v>175</v>
      </c>
      <c r="E3786" t="s">
        <v>182</v>
      </c>
      <c r="F3786" t="s">
        <v>177</v>
      </c>
      <c r="G3786" t="s">
        <v>179</v>
      </c>
    </row>
    <row r="3787" spans="1:7">
      <c r="A3787">
        <v>2029</v>
      </c>
      <c r="B3787" t="s">
        <v>190</v>
      </c>
      <c r="C3787">
        <v>0</v>
      </c>
      <c r="D3787" t="s">
        <v>175</v>
      </c>
      <c r="E3787" t="s">
        <v>182</v>
      </c>
      <c r="F3787" t="s">
        <v>177</v>
      </c>
      <c r="G3787" t="s">
        <v>179</v>
      </c>
    </row>
    <row r="3788" spans="1:7">
      <c r="A3788">
        <v>2030</v>
      </c>
      <c r="B3788" t="s">
        <v>190</v>
      </c>
      <c r="C3788">
        <v>0</v>
      </c>
      <c r="D3788" t="s">
        <v>175</v>
      </c>
      <c r="E3788" t="s">
        <v>182</v>
      </c>
      <c r="F3788" t="s">
        <v>177</v>
      </c>
      <c r="G3788" t="s">
        <v>179</v>
      </c>
    </row>
    <row r="3789" spans="1:7">
      <c r="A3789">
        <v>2031</v>
      </c>
      <c r="B3789" t="s">
        <v>190</v>
      </c>
      <c r="C3789">
        <v>0</v>
      </c>
      <c r="D3789" t="s">
        <v>175</v>
      </c>
      <c r="E3789" t="s">
        <v>182</v>
      </c>
      <c r="F3789" t="s">
        <v>177</v>
      </c>
      <c r="G3789" t="s">
        <v>179</v>
      </c>
    </row>
    <row r="3790" spans="1:7">
      <c r="A3790">
        <v>2032</v>
      </c>
      <c r="B3790" t="s">
        <v>190</v>
      </c>
      <c r="C3790">
        <v>0</v>
      </c>
      <c r="D3790" t="s">
        <v>175</v>
      </c>
      <c r="E3790" t="s">
        <v>182</v>
      </c>
      <c r="F3790" t="s">
        <v>177</v>
      </c>
      <c r="G3790" t="s">
        <v>179</v>
      </c>
    </row>
    <row r="3791" spans="1:7">
      <c r="A3791">
        <v>2033</v>
      </c>
      <c r="B3791" t="s">
        <v>190</v>
      </c>
      <c r="C3791">
        <v>0</v>
      </c>
      <c r="D3791" t="s">
        <v>175</v>
      </c>
      <c r="E3791" t="s">
        <v>182</v>
      </c>
      <c r="F3791" t="s">
        <v>177</v>
      </c>
      <c r="G3791" t="s">
        <v>179</v>
      </c>
    </row>
    <row r="3792" spans="1:7">
      <c r="A3792">
        <v>2034</v>
      </c>
      <c r="B3792" t="s">
        <v>190</v>
      </c>
      <c r="C3792">
        <v>0</v>
      </c>
      <c r="D3792" t="s">
        <v>175</v>
      </c>
      <c r="E3792" t="s">
        <v>182</v>
      </c>
      <c r="F3792" t="s">
        <v>177</v>
      </c>
      <c r="G3792" t="s">
        <v>179</v>
      </c>
    </row>
    <row r="3793" spans="1:7">
      <c r="A3793">
        <v>2035</v>
      </c>
      <c r="B3793" t="s">
        <v>190</v>
      </c>
      <c r="C3793">
        <v>0</v>
      </c>
      <c r="D3793" t="s">
        <v>175</v>
      </c>
      <c r="E3793" t="s">
        <v>182</v>
      </c>
      <c r="F3793" t="s">
        <v>177</v>
      </c>
      <c r="G3793" t="s">
        <v>179</v>
      </c>
    </row>
    <row r="3794" spans="1:7">
      <c r="A3794">
        <v>2020</v>
      </c>
      <c r="B3794" t="s">
        <v>191</v>
      </c>
      <c r="C3794">
        <v>0</v>
      </c>
      <c r="D3794" t="s">
        <v>175</v>
      </c>
      <c r="E3794" t="s">
        <v>182</v>
      </c>
      <c r="F3794" t="s">
        <v>177</v>
      </c>
      <c r="G3794" t="s">
        <v>179</v>
      </c>
    </row>
    <row r="3795" spans="1:7">
      <c r="A3795">
        <v>2021</v>
      </c>
      <c r="B3795" t="s">
        <v>191</v>
      </c>
      <c r="C3795">
        <v>0</v>
      </c>
      <c r="D3795" t="s">
        <v>175</v>
      </c>
      <c r="E3795" t="s">
        <v>182</v>
      </c>
      <c r="F3795" t="s">
        <v>177</v>
      </c>
      <c r="G3795" t="s">
        <v>179</v>
      </c>
    </row>
    <row r="3796" spans="1:7">
      <c r="A3796">
        <v>2022</v>
      </c>
      <c r="B3796" t="s">
        <v>191</v>
      </c>
      <c r="C3796">
        <v>0</v>
      </c>
      <c r="D3796" t="s">
        <v>175</v>
      </c>
      <c r="E3796" t="s">
        <v>182</v>
      </c>
      <c r="F3796" t="s">
        <v>177</v>
      </c>
      <c r="G3796" t="s">
        <v>179</v>
      </c>
    </row>
    <row r="3797" spans="1:7">
      <c r="A3797">
        <v>2023</v>
      </c>
      <c r="B3797" t="s">
        <v>191</v>
      </c>
      <c r="C3797">
        <v>53.1477</v>
      </c>
      <c r="D3797" t="s">
        <v>175</v>
      </c>
      <c r="E3797" t="s">
        <v>182</v>
      </c>
      <c r="F3797" t="s">
        <v>177</v>
      </c>
      <c r="G3797" t="s">
        <v>179</v>
      </c>
    </row>
    <row r="3798" spans="1:7">
      <c r="A3798">
        <v>2024</v>
      </c>
      <c r="B3798" t="s">
        <v>191</v>
      </c>
      <c r="C3798">
        <v>53.1477</v>
      </c>
      <c r="D3798" t="s">
        <v>175</v>
      </c>
      <c r="E3798" t="s">
        <v>182</v>
      </c>
      <c r="F3798" t="s">
        <v>177</v>
      </c>
      <c r="G3798" t="s">
        <v>179</v>
      </c>
    </row>
    <row r="3799" spans="1:7">
      <c r="A3799">
        <v>2025</v>
      </c>
      <c r="B3799" t="s">
        <v>191</v>
      </c>
      <c r="C3799">
        <v>140.62899999999999</v>
      </c>
      <c r="D3799" t="s">
        <v>175</v>
      </c>
      <c r="E3799" t="s">
        <v>182</v>
      </c>
      <c r="F3799" t="s">
        <v>177</v>
      </c>
      <c r="G3799" t="s">
        <v>179</v>
      </c>
    </row>
    <row r="3800" spans="1:7">
      <c r="A3800">
        <v>2026</v>
      </c>
      <c r="B3800" t="s">
        <v>191</v>
      </c>
      <c r="C3800">
        <v>140.62899999999999</v>
      </c>
      <c r="D3800" t="s">
        <v>175</v>
      </c>
      <c r="E3800" t="s">
        <v>182</v>
      </c>
      <c r="F3800" t="s">
        <v>177</v>
      </c>
      <c r="G3800" t="s">
        <v>179</v>
      </c>
    </row>
    <row r="3801" spans="1:7">
      <c r="A3801">
        <v>2027</v>
      </c>
      <c r="B3801" t="s">
        <v>191</v>
      </c>
      <c r="C3801">
        <v>56.689799999999998</v>
      </c>
      <c r="D3801" t="s">
        <v>175</v>
      </c>
      <c r="E3801" t="s">
        <v>182</v>
      </c>
      <c r="F3801" t="s">
        <v>177</v>
      </c>
      <c r="G3801" t="s">
        <v>179</v>
      </c>
    </row>
    <row r="3802" spans="1:7">
      <c r="A3802">
        <v>2028</v>
      </c>
      <c r="B3802" t="s">
        <v>191</v>
      </c>
      <c r="C3802">
        <v>56.689799999999998</v>
      </c>
      <c r="D3802" t="s">
        <v>175</v>
      </c>
      <c r="E3802" t="s">
        <v>182</v>
      </c>
      <c r="F3802" t="s">
        <v>177</v>
      </c>
      <c r="G3802" t="s">
        <v>179</v>
      </c>
    </row>
    <row r="3803" spans="1:7">
      <c r="A3803">
        <v>2029</v>
      </c>
      <c r="B3803" t="s">
        <v>191</v>
      </c>
      <c r="C3803">
        <v>0</v>
      </c>
      <c r="D3803" t="s">
        <v>175</v>
      </c>
      <c r="E3803" t="s">
        <v>182</v>
      </c>
      <c r="F3803" t="s">
        <v>177</v>
      </c>
      <c r="G3803" t="s">
        <v>179</v>
      </c>
    </row>
    <row r="3804" spans="1:7">
      <c r="A3804">
        <v>2030</v>
      </c>
      <c r="B3804" t="s">
        <v>191</v>
      </c>
      <c r="C3804">
        <v>0</v>
      </c>
      <c r="D3804" t="s">
        <v>175</v>
      </c>
      <c r="E3804" t="s">
        <v>182</v>
      </c>
      <c r="F3804" t="s">
        <v>177</v>
      </c>
      <c r="G3804" t="s">
        <v>179</v>
      </c>
    </row>
    <row r="3805" spans="1:7">
      <c r="A3805">
        <v>2031</v>
      </c>
      <c r="B3805" t="s">
        <v>191</v>
      </c>
      <c r="C3805">
        <v>0</v>
      </c>
      <c r="D3805" t="s">
        <v>175</v>
      </c>
      <c r="E3805" t="s">
        <v>182</v>
      </c>
      <c r="F3805" t="s">
        <v>177</v>
      </c>
      <c r="G3805" t="s">
        <v>179</v>
      </c>
    </row>
    <row r="3806" spans="1:7">
      <c r="A3806">
        <v>2032</v>
      </c>
      <c r="B3806" t="s">
        <v>191</v>
      </c>
      <c r="C3806">
        <v>0</v>
      </c>
      <c r="D3806" t="s">
        <v>175</v>
      </c>
      <c r="E3806" t="s">
        <v>182</v>
      </c>
      <c r="F3806" t="s">
        <v>177</v>
      </c>
      <c r="G3806" t="s">
        <v>179</v>
      </c>
    </row>
    <row r="3807" spans="1:7">
      <c r="A3807">
        <v>2033</v>
      </c>
      <c r="B3807" t="s">
        <v>191</v>
      </c>
      <c r="C3807">
        <v>0</v>
      </c>
      <c r="D3807" t="s">
        <v>175</v>
      </c>
      <c r="E3807" t="s">
        <v>182</v>
      </c>
      <c r="F3807" t="s">
        <v>177</v>
      </c>
      <c r="G3807" t="s">
        <v>179</v>
      </c>
    </row>
    <row r="3808" spans="1:7">
      <c r="A3808">
        <v>2034</v>
      </c>
      <c r="B3808" t="s">
        <v>191</v>
      </c>
      <c r="C3808">
        <v>0</v>
      </c>
      <c r="D3808" t="s">
        <v>175</v>
      </c>
      <c r="E3808" t="s">
        <v>182</v>
      </c>
      <c r="F3808" t="s">
        <v>177</v>
      </c>
      <c r="G3808" t="s">
        <v>179</v>
      </c>
    </row>
    <row r="3809" spans="1:7">
      <c r="A3809">
        <v>2035</v>
      </c>
      <c r="B3809" t="s">
        <v>191</v>
      </c>
      <c r="C3809">
        <v>0</v>
      </c>
      <c r="D3809" t="s">
        <v>175</v>
      </c>
      <c r="E3809" t="s">
        <v>182</v>
      </c>
      <c r="F3809" t="s">
        <v>177</v>
      </c>
      <c r="G3809" t="s">
        <v>179</v>
      </c>
    </row>
    <row r="3810" spans="1:7">
      <c r="A3810">
        <v>2020</v>
      </c>
      <c r="B3810" t="s">
        <v>192</v>
      </c>
      <c r="C3810">
        <v>3261.15</v>
      </c>
      <c r="D3810" t="s">
        <v>175</v>
      </c>
      <c r="E3810" t="s">
        <v>182</v>
      </c>
      <c r="F3810" t="s">
        <v>177</v>
      </c>
      <c r="G3810" t="s">
        <v>179</v>
      </c>
    </row>
    <row r="3811" spans="1:7">
      <c r="A3811">
        <v>2021</v>
      </c>
      <c r="B3811" t="s">
        <v>192</v>
      </c>
      <c r="C3811">
        <v>29.5</v>
      </c>
      <c r="D3811" t="s">
        <v>175</v>
      </c>
      <c r="E3811" t="s">
        <v>182</v>
      </c>
      <c r="F3811" t="s">
        <v>177</v>
      </c>
      <c r="G3811" t="s">
        <v>179</v>
      </c>
    </row>
    <row r="3812" spans="1:7">
      <c r="A3812">
        <v>2022</v>
      </c>
      <c r="B3812" t="s">
        <v>192</v>
      </c>
      <c r="C3812">
        <v>29.5</v>
      </c>
      <c r="D3812" t="s">
        <v>175</v>
      </c>
      <c r="E3812" t="s">
        <v>182</v>
      </c>
      <c r="F3812" t="s">
        <v>177</v>
      </c>
      <c r="G3812" t="s">
        <v>179</v>
      </c>
    </row>
    <row r="3813" spans="1:7">
      <c r="A3813">
        <v>2023</v>
      </c>
      <c r="B3813" t="s">
        <v>192</v>
      </c>
      <c r="C3813">
        <v>83.65</v>
      </c>
      <c r="D3813" t="s">
        <v>175</v>
      </c>
      <c r="E3813" t="s">
        <v>182</v>
      </c>
      <c r="F3813" t="s">
        <v>177</v>
      </c>
      <c r="G3813" t="s">
        <v>179</v>
      </c>
    </row>
    <row r="3814" spans="1:7">
      <c r="A3814">
        <v>2024</v>
      </c>
      <c r="B3814" t="s">
        <v>192</v>
      </c>
      <c r="C3814">
        <v>83.65</v>
      </c>
      <c r="D3814" t="s">
        <v>175</v>
      </c>
      <c r="E3814" t="s">
        <v>182</v>
      </c>
      <c r="F3814" t="s">
        <v>177</v>
      </c>
      <c r="G3814" t="s">
        <v>179</v>
      </c>
    </row>
    <row r="3815" spans="1:7">
      <c r="A3815">
        <v>2025</v>
      </c>
      <c r="B3815" t="s">
        <v>192</v>
      </c>
      <c r="C3815">
        <v>4</v>
      </c>
      <c r="D3815" t="s">
        <v>175</v>
      </c>
      <c r="E3815" t="s">
        <v>182</v>
      </c>
      <c r="F3815" t="s">
        <v>177</v>
      </c>
      <c r="G3815" t="s">
        <v>179</v>
      </c>
    </row>
    <row r="3816" spans="1:7">
      <c r="A3816">
        <v>2026</v>
      </c>
      <c r="B3816" t="s">
        <v>192</v>
      </c>
      <c r="C3816">
        <v>4</v>
      </c>
      <c r="D3816" t="s">
        <v>175</v>
      </c>
      <c r="E3816" t="s">
        <v>182</v>
      </c>
      <c r="F3816" t="s">
        <v>177</v>
      </c>
      <c r="G3816" t="s">
        <v>179</v>
      </c>
    </row>
    <row r="3817" spans="1:7">
      <c r="A3817">
        <v>2027</v>
      </c>
      <c r="B3817" t="s">
        <v>192</v>
      </c>
      <c r="C3817">
        <v>32.395000000000003</v>
      </c>
      <c r="D3817" t="s">
        <v>175</v>
      </c>
      <c r="E3817" t="s">
        <v>182</v>
      </c>
      <c r="F3817" t="s">
        <v>177</v>
      </c>
      <c r="G3817" t="s">
        <v>179</v>
      </c>
    </row>
    <row r="3818" spans="1:7">
      <c r="A3818">
        <v>2028</v>
      </c>
      <c r="B3818" t="s">
        <v>192</v>
      </c>
      <c r="C3818">
        <v>32.395000000000003</v>
      </c>
      <c r="D3818" t="s">
        <v>175</v>
      </c>
      <c r="E3818" t="s">
        <v>182</v>
      </c>
      <c r="F3818" t="s">
        <v>177</v>
      </c>
      <c r="G3818" t="s">
        <v>179</v>
      </c>
    </row>
    <row r="3819" spans="1:7">
      <c r="A3819">
        <v>2029</v>
      </c>
      <c r="B3819" t="s">
        <v>192</v>
      </c>
      <c r="C3819">
        <v>0</v>
      </c>
      <c r="D3819" t="s">
        <v>175</v>
      </c>
      <c r="E3819" t="s">
        <v>182</v>
      </c>
      <c r="F3819" t="s">
        <v>177</v>
      </c>
      <c r="G3819" t="s">
        <v>179</v>
      </c>
    </row>
    <row r="3820" spans="1:7">
      <c r="A3820">
        <v>2030</v>
      </c>
      <c r="B3820" t="s">
        <v>192</v>
      </c>
      <c r="C3820">
        <v>0</v>
      </c>
      <c r="D3820" t="s">
        <v>175</v>
      </c>
      <c r="E3820" t="s">
        <v>182</v>
      </c>
      <c r="F3820" t="s">
        <v>177</v>
      </c>
      <c r="G3820" t="s">
        <v>179</v>
      </c>
    </row>
    <row r="3821" spans="1:7">
      <c r="A3821">
        <v>2031</v>
      </c>
      <c r="B3821" t="s">
        <v>192</v>
      </c>
      <c r="C3821">
        <v>0</v>
      </c>
      <c r="D3821" t="s">
        <v>175</v>
      </c>
      <c r="E3821" t="s">
        <v>182</v>
      </c>
      <c r="F3821" t="s">
        <v>177</v>
      </c>
      <c r="G3821" t="s">
        <v>179</v>
      </c>
    </row>
    <row r="3822" spans="1:7">
      <c r="A3822">
        <v>2032</v>
      </c>
      <c r="B3822" t="s">
        <v>192</v>
      </c>
      <c r="C3822">
        <v>0</v>
      </c>
      <c r="D3822" t="s">
        <v>175</v>
      </c>
      <c r="E3822" t="s">
        <v>182</v>
      </c>
      <c r="F3822" t="s">
        <v>177</v>
      </c>
      <c r="G3822" t="s">
        <v>179</v>
      </c>
    </row>
    <row r="3823" spans="1:7">
      <c r="A3823">
        <v>2033</v>
      </c>
      <c r="B3823" t="s">
        <v>192</v>
      </c>
      <c r="C3823">
        <v>0</v>
      </c>
      <c r="D3823" t="s">
        <v>175</v>
      </c>
      <c r="E3823" t="s">
        <v>182</v>
      </c>
      <c r="F3823" t="s">
        <v>177</v>
      </c>
      <c r="G3823" t="s">
        <v>179</v>
      </c>
    </row>
    <row r="3824" spans="1:7">
      <c r="A3824">
        <v>2034</v>
      </c>
      <c r="B3824" t="s">
        <v>192</v>
      </c>
      <c r="C3824">
        <v>0</v>
      </c>
      <c r="D3824" t="s">
        <v>175</v>
      </c>
      <c r="E3824" t="s">
        <v>182</v>
      </c>
      <c r="F3824" t="s">
        <v>177</v>
      </c>
      <c r="G3824" t="s">
        <v>179</v>
      </c>
    </row>
    <row r="3825" spans="1:7">
      <c r="A3825">
        <v>2035</v>
      </c>
      <c r="B3825" t="s">
        <v>192</v>
      </c>
      <c r="C3825">
        <v>0</v>
      </c>
      <c r="D3825" t="s">
        <v>175</v>
      </c>
      <c r="E3825" t="s">
        <v>182</v>
      </c>
      <c r="F3825" t="s">
        <v>177</v>
      </c>
      <c r="G3825" t="s">
        <v>179</v>
      </c>
    </row>
    <row r="3826" spans="1:7">
      <c r="A3826">
        <v>2020</v>
      </c>
      <c r="B3826" t="s">
        <v>193</v>
      </c>
      <c r="C3826">
        <v>232.5</v>
      </c>
      <c r="D3826" t="s">
        <v>175</v>
      </c>
      <c r="E3826" t="s">
        <v>182</v>
      </c>
      <c r="F3826" t="s">
        <v>177</v>
      </c>
      <c r="G3826" t="s">
        <v>179</v>
      </c>
    </row>
    <row r="3827" spans="1:7">
      <c r="A3827">
        <v>2021</v>
      </c>
      <c r="B3827" t="s">
        <v>193</v>
      </c>
      <c r="C3827">
        <v>1100</v>
      </c>
      <c r="D3827" t="s">
        <v>175</v>
      </c>
      <c r="E3827" t="s">
        <v>182</v>
      </c>
      <c r="F3827" t="s">
        <v>177</v>
      </c>
      <c r="G3827" t="s">
        <v>179</v>
      </c>
    </row>
    <row r="3828" spans="1:7">
      <c r="A3828">
        <v>2022</v>
      </c>
      <c r="B3828" t="s">
        <v>193</v>
      </c>
      <c r="C3828">
        <v>1100</v>
      </c>
      <c r="D3828" t="s">
        <v>175</v>
      </c>
      <c r="E3828" t="s">
        <v>182</v>
      </c>
      <c r="F3828" t="s">
        <v>177</v>
      </c>
      <c r="G3828" t="s">
        <v>179</v>
      </c>
    </row>
    <row r="3829" spans="1:7">
      <c r="A3829">
        <v>2023</v>
      </c>
      <c r="B3829" t="s">
        <v>193</v>
      </c>
      <c r="C3829">
        <v>0</v>
      </c>
      <c r="D3829" t="s">
        <v>175</v>
      </c>
      <c r="E3829" t="s">
        <v>182</v>
      </c>
      <c r="F3829" t="s">
        <v>177</v>
      </c>
      <c r="G3829" t="s">
        <v>179</v>
      </c>
    </row>
    <row r="3830" spans="1:7">
      <c r="A3830">
        <v>2024</v>
      </c>
      <c r="B3830" t="s">
        <v>193</v>
      </c>
      <c r="C3830">
        <v>0</v>
      </c>
      <c r="D3830" t="s">
        <v>175</v>
      </c>
      <c r="E3830" t="s">
        <v>182</v>
      </c>
      <c r="F3830" t="s">
        <v>177</v>
      </c>
      <c r="G3830" t="s">
        <v>179</v>
      </c>
    </row>
    <row r="3831" spans="1:7">
      <c r="A3831">
        <v>2025</v>
      </c>
      <c r="B3831" t="s">
        <v>193</v>
      </c>
      <c r="C3831">
        <v>0</v>
      </c>
      <c r="D3831" t="s">
        <v>175</v>
      </c>
      <c r="E3831" t="s">
        <v>182</v>
      </c>
      <c r="F3831" t="s">
        <v>177</v>
      </c>
      <c r="G3831" t="s">
        <v>179</v>
      </c>
    </row>
    <row r="3832" spans="1:7">
      <c r="A3832">
        <v>2026</v>
      </c>
      <c r="B3832" t="s">
        <v>193</v>
      </c>
      <c r="C3832">
        <v>0</v>
      </c>
      <c r="D3832" t="s">
        <v>175</v>
      </c>
      <c r="E3832" t="s">
        <v>182</v>
      </c>
      <c r="F3832" t="s">
        <v>177</v>
      </c>
      <c r="G3832" t="s">
        <v>179</v>
      </c>
    </row>
    <row r="3833" spans="1:7">
      <c r="A3833">
        <v>2027</v>
      </c>
      <c r="B3833" t="s">
        <v>193</v>
      </c>
      <c r="C3833">
        <v>0</v>
      </c>
      <c r="D3833" t="s">
        <v>175</v>
      </c>
      <c r="E3833" t="s">
        <v>182</v>
      </c>
      <c r="F3833" t="s">
        <v>177</v>
      </c>
      <c r="G3833" t="s">
        <v>179</v>
      </c>
    </row>
    <row r="3834" spans="1:7">
      <c r="A3834">
        <v>2028</v>
      </c>
      <c r="B3834" t="s">
        <v>193</v>
      </c>
      <c r="C3834">
        <v>0</v>
      </c>
      <c r="D3834" t="s">
        <v>175</v>
      </c>
      <c r="E3834" t="s">
        <v>182</v>
      </c>
      <c r="F3834" t="s">
        <v>177</v>
      </c>
      <c r="G3834" t="s">
        <v>179</v>
      </c>
    </row>
    <row r="3835" spans="1:7">
      <c r="A3835">
        <v>2029</v>
      </c>
      <c r="B3835" t="s">
        <v>193</v>
      </c>
      <c r="C3835">
        <v>0</v>
      </c>
      <c r="D3835" t="s">
        <v>175</v>
      </c>
      <c r="E3835" t="s">
        <v>182</v>
      </c>
      <c r="F3835" t="s">
        <v>177</v>
      </c>
      <c r="G3835" t="s">
        <v>179</v>
      </c>
    </row>
    <row r="3836" spans="1:7">
      <c r="A3836">
        <v>2030</v>
      </c>
      <c r="B3836" t="s">
        <v>193</v>
      </c>
      <c r="C3836">
        <v>0</v>
      </c>
      <c r="D3836" t="s">
        <v>175</v>
      </c>
      <c r="E3836" t="s">
        <v>182</v>
      </c>
      <c r="F3836" t="s">
        <v>177</v>
      </c>
      <c r="G3836" t="s">
        <v>179</v>
      </c>
    </row>
    <row r="3837" spans="1:7">
      <c r="A3837">
        <v>2031</v>
      </c>
      <c r="B3837" t="s">
        <v>193</v>
      </c>
      <c r="C3837">
        <v>0</v>
      </c>
      <c r="D3837" t="s">
        <v>175</v>
      </c>
      <c r="E3837" t="s">
        <v>182</v>
      </c>
      <c r="F3837" t="s">
        <v>177</v>
      </c>
      <c r="G3837" t="s">
        <v>179</v>
      </c>
    </row>
    <row r="3838" spans="1:7">
      <c r="A3838">
        <v>2032</v>
      </c>
      <c r="B3838" t="s">
        <v>193</v>
      </c>
      <c r="C3838">
        <v>0</v>
      </c>
      <c r="D3838" t="s">
        <v>175</v>
      </c>
      <c r="E3838" t="s">
        <v>182</v>
      </c>
      <c r="F3838" t="s">
        <v>177</v>
      </c>
      <c r="G3838" t="s">
        <v>179</v>
      </c>
    </row>
    <row r="3839" spans="1:7">
      <c r="A3839">
        <v>2033</v>
      </c>
      <c r="B3839" t="s">
        <v>193</v>
      </c>
      <c r="C3839">
        <v>0</v>
      </c>
      <c r="D3839" t="s">
        <v>175</v>
      </c>
      <c r="E3839" t="s">
        <v>182</v>
      </c>
      <c r="F3839" t="s">
        <v>177</v>
      </c>
      <c r="G3839" t="s">
        <v>179</v>
      </c>
    </row>
    <row r="3840" spans="1:7">
      <c r="A3840">
        <v>2034</v>
      </c>
      <c r="B3840" t="s">
        <v>193</v>
      </c>
      <c r="C3840">
        <v>0</v>
      </c>
      <c r="D3840" t="s">
        <v>175</v>
      </c>
      <c r="E3840" t="s">
        <v>182</v>
      </c>
      <c r="F3840" t="s">
        <v>177</v>
      </c>
      <c r="G3840" t="s">
        <v>179</v>
      </c>
    </row>
    <row r="3841" spans="1:7">
      <c r="A3841">
        <v>2035</v>
      </c>
      <c r="B3841" t="s">
        <v>193</v>
      </c>
      <c r="C3841">
        <v>0</v>
      </c>
      <c r="D3841" t="s">
        <v>175</v>
      </c>
      <c r="E3841" t="s">
        <v>182</v>
      </c>
      <c r="F3841" t="s">
        <v>177</v>
      </c>
      <c r="G3841" t="s">
        <v>179</v>
      </c>
    </row>
    <row r="3842" spans="1:7">
      <c r="A3842">
        <v>2020</v>
      </c>
      <c r="B3842" t="s">
        <v>194</v>
      </c>
      <c r="C3842">
        <v>14.85</v>
      </c>
      <c r="D3842" t="s">
        <v>175</v>
      </c>
      <c r="E3842" t="s">
        <v>182</v>
      </c>
      <c r="F3842" t="s">
        <v>177</v>
      </c>
      <c r="G3842" t="s">
        <v>179</v>
      </c>
    </row>
    <row r="3843" spans="1:7">
      <c r="A3843">
        <v>2021</v>
      </c>
      <c r="B3843" t="s">
        <v>194</v>
      </c>
      <c r="C3843">
        <v>0</v>
      </c>
      <c r="D3843" t="s">
        <v>175</v>
      </c>
      <c r="E3843" t="s">
        <v>182</v>
      </c>
      <c r="F3843" t="s">
        <v>177</v>
      </c>
      <c r="G3843" t="s">
        <v>179</v>
      </c>
    </row>
    <row r="3844" spans="1:7">
      <c r="A3844">
        <v>2022</v>
      </c>
      <c r="B3844" t="s">
        <v>194</v>
      </c>
      <c r="C3844">
        <v>0</v>
      </c>
      <c r="D3844" t="s">
        <v>175</v>
      </c>
      <c r="E3844" t="s">
        <v>182</v>
      </c>
      <c r="F3844" t="s">
        <v>177</v>
      </c>
      <c r="G3844" t="s">
        <v>179</v>
      </c>
    </row>
    <row r="3845" spans="1:7">
      <c r="A3845">
        <v>2023</v>
      </c>
      <c r="B3845" t="s">
        <v>194</v>
      </c>
      <c r="C3845">
        <v>0</v>
      </c>
      <c r="D3845" t="s">
        <v>175</v>
      </c>
      <c r="E3845" t="s">
        <v>182</v>
      </c>
      <c r="F3845" t="s">
        <v>177</v>
      </c>
      <c r="G3845" t="s">
        <v>179</v>
      </c>
    </row>
    <row r="3846" spans="1:7">
      <c r="A3846">
        <v>2024</v>
      </c>
      <c r="B3846" t="s">
        <v>194</v>
      </c>
      <c r="C3846">
        <v>0</v>
      </c>
      <c r="D3846" t="s">
        <v>175</v>
      </c>
      <c r="E3846" t="s">
        <v>182</v>
      </c>
      <c r="F3846" t="s">
        <v>177</v>
      </c>
      <c r="G3846" t="s">
        <v>179</v>
      </c>
    </row>
    <row r="3847" spans="1:7">
      <c r="A3847">
        <v>2025</v>
      </c>
      <c r="B3847" t="s">
        <v>194</v>
      </c>
      <c r="C3847">
        <v>0</v>
      </c>
      <c r="D3847" t="s">
        <v>175</v>
      </c>
      <c r="E3847" t="s">
        <v>182</v>
      </c>
      <c r="F3847" t="s">
        <v>177</v>
      </c>
      <c r="G3847" t="s">
        <v>179</v>
      </c>
    </row>
    <row r="3848" spans="1:7">
      <c r="A3848">
        <v>2026</v>
      </c>
      <c r="B3848" t="s">
        <v>194</v>
      </c>
      <c r="C3848">
        <v>0</v>
      </c>
      <c r="D3848" t="s">
        <v>175</v>
      </c>
      <c r="E3848" t="s">
        <v>182</v>
      </c>
      <c r="F3848" t="s">
        <v>177</v>
      </c>
      <c r="G3848" t="s">
        <v>179</v>
      </c>
    </row>
    <row r="3849" spans="1:7">
      <c r="A3849">
        <v>2027</v>
      </c>
      <c r="B3849" t="s">
        <v>194</v>
      </c>
      <c r="C3849">
        <v>0</v>
      </c>
      <c r="D3849" t="s">
        <v>175</v>
      </c>
      <c r="E3849" t="s">
        <v>182</v>
      </c>
      <c r="F3849" t="s">
        <v>177</v>
      </c>
      <c r="G3849" t="s">
        <v>179</v>
      </c>
    </row>
    <row r="3850" spans="1:7">
      <c r="A3850">
        <v>2028</v>
      </c>
      <c r="B3850" t="s">
        <v>194</v>
      </c>
      <c r="C3850">
        <v>0</v>
      </c>
      <c r="D3850" t="s">
        <v>175</v>
      </c>
      <c r="E3850" t="s">
        <v>182</v>
      </c>
      <c r="F3850" t="s">
        <v>177</v>
      </c>
      <c r="G3850" t="s">
        <v>179</v>
      </c>
    </row>
    <row r="3851" spans="1:7">
      <c r="A3851">
        <v>2029</v>
      </c>
      <c r="B3851" t="s">
        <v>194</v>
      </c>
      <c r="C3851">
        <v>0</v>
      </c>
      <c r="D3851" t="s">
        <v>175</v>
      </c>
      <c r="E3851" t="s">
        <v>182</v>
      </c>
      <c r="F3851" t="s">
        <v>177</v>
      </c>
      <c r="G3851" t="s">
        <v>179</v>
      </c>
    </row>
    <row r="3852" spans="1:7">
      <c r="A3852">
        <v>2030</v>
      </c>
      <c r="B3852" t="s">
        <v>194</v>
      </c>
      <c r="C3852">
        <v>0</v>
      </c>
      <c r="D3852" t="s">
        <v>175</v>
      </c>
      <c r="E3852" t="s">
        <v>182</v>
      </c>
      <c r="F3852" t="s">
        <v>177</v>
      </c>
      <c r="G3852" t="s">
        <v>179</v>
      </c>
    </row>
    <row r="3853" spans="1:7">
      <c r="A3853">
        <v>2031</v>
      </c>
      <c r="B3853" t="s">
        <v>194</v>
      </c>
      <c r="C3853">
        <v>0</v>
      </c>
      <c r="D3853" t="s">
        <v>175</v>
      </c>
      <c r="E3853" t="s">
        <v>182</v>
      </c>
      <c r="F3853" t="s">
        <v>177</v>
      </c>
      <c r="G3853" t="s">
        <v>179</v>
      </c>
    </row>
    <row r="3854" spans="1:7">
      <c r="A3854">
        <v>2032</v>
      </c>
      <c r="B3854" t="s">
        <v>194</v>
      </c>
      <c r="C3854">
        <v>0</v>
      </c>
      <c r="D3854" t="s">
        <v>175</v>
      </c>
      <c r="E3854" t="s">
        <v>182</v>
      </c>
      <c r="F3854" t="s">
        <v>177</v>
      </c>
      <c r="G3854" t="s">
        <v>179</v>
      </c>
    </row>
    <row r="3855" spans="1:7">
      <c r="A3855">
        <v>2033</v>
      </c>
      <c r="B3855" t="s">
        <v>194</v>
      </c>
      <c r="C3855">
        <v>0</v>
      </c>
      <c r="D3855" t="s">
        <v>175</v>
      </c>
      <c r="E3855" t="s">
        <v>182</v>
      </c>
      <c r="F3855" t="s">
        <v>177</v>
      </c>
      <c r="G3855" t="s">
        <v>179</v>
      </c>
    </row>
    <row r="3856" spans="1:7">
      <c r="A3856">
        <v>2034</v>
      </c>
      <c r="B3856" t="s">
        <v>194</v>
      </c>
      <c r="C3856">
        <v>0</v>
      </c>
      <c r="D3856" t="s">
        <v>175</v>
      </c>
      <c r="E3856" t="s">
        <v>182</v>
      </c>
      <c r="F3856" t="s">
        <v>177</v>
      </c>
      <c r="G3856" t="s">
        <v>179</v>
      </c>
    </row>
    <row r="3857" spans="1:7">
      <c r="A3857">
        <v>2035</v>
      </c>
      <c r="B3857" t="s">
        <v>194</v>
      </c>
      <c r="C3857">
        <v>0</v>
      </c>
      <c r="D3857" t="s">
        <v>175</v>
      </c>
      <c r="E3857" t="s">
        <v>182</v>
      </c>
      <c r="F3857" t="s">
        <v>177</v>
      </c>
      <c r="G3857" t="s">
        <v>179</v>
      </c>
    </row>
    <row r="3858" spans="1:7">
      <c r="A3858">
        <v>2020</v>
      </c>
      <c r="B3858" t="s">
        <v>195</v>
      </c>
      <c r="C3858">
        <v>10493.1</v>
      </c>
      <c r="D3858" t="s">
        <v>175</v>
      </c>
      <c r="E3858" t="s">
        <v>182</v>
      </c>
      <c r="F3858" t="s">
        <v>177</v>
      </c>
      <c r="G3858" t="s">
        <v>179</v>
      </c>
    </row>
    <row r="3859" spans="1:7">
      <c r="A3859">
        <v>2021</v>
      </c>
      <c r="B3859" t="s">
        <v>195</v>
      </c>
      <c r="C3859">
        <v>30017.599999999999</v>
      </c>
      <c r="D3859" t="s">
        <v>175</v>
      </c>
      <c r="E3859" t="s">
        <v>182</v>
      </c>
      <c r="F3859" t="s">
        <v>177</v>
      </c>
      <c r="G3859" t="s">
        <v>179</v>
      </c>
    </row>
    <row r="3860" spans="1:7">
      <c r="A3860">
        <v>2022</v>
      </c>
      <c r="B3860" t="s">
        <v>195</v>
      </c>
      <c r="C3860">
        <v>30017.599999999999</v>
      </c>
      <c r="D3860" t="s">
        <v>175</v>
      </c>
      <c r="E3860" t="s">
        <v>182</v>
      </c>
      <c r="F3860" t="s">
        <v>177</v>
      </c>
      <c r="G3860" t="s">
        <v>179</v>
      </c>
    </row>
    <row r="3861" spans="1:7">
      <c r="A3861">
        <v>2023</v>
      </c>
      <c r="B3861" t="s">
        <v>195</v>
      </c>
      <c r="C3861">
        <v>33246.9</v>
      </c>
      <c r="D3861" t="s">
        <v>175</v>
      </c>
      <c r="E3861" t="s">
        <v>182</v>
      </c>
      <c r="F3861" t="s">
        <v>177</v>
      </c>
      <c r="G3861" t="s">
        <v>179</v>
      </c>
    </row>
    <row r="3862" spans="1:7">
      <c r="A3862">
        <v>2024</v>
      </c>
      <c r="B3862" t="s">
        <v>195</v>
      </c>
      <c r="C3862">
        <v>33246.9</v>
      </c>
      <c r="D3862" t="s">
        <v>175</v>
      </c>
      <c r="E3862" t="s">
        <v>182</v>
      </c>
      <c r="F3862" t="s">
        <v>177</v>
      </c>
      <c r="G3862" t="s">
        <v>179</v>
      </c>
    </row>
    <row r="3863" spans="1:7">
      <c r="A3863">
        <v>2025</v>
      </c>
      <c r="B3863" t="s">
        <v>195</v>
      </c>
      <c r="C3863">
        <v>17345.8</v>
      </c>
      <c r="D3863" t="s">
        <v>175</v>
      </c>
      <c r="E3863" t="s">
        <v>182</v>
      </c>
      <c r="F3863" t="s">
        <v>177</v>
      </c>
      <c r="G3863" t="s">
        <v>179</v>
      </c>
    </row>
    <row r="3864" spans="1:7">
      <c r="A3864">
        <v>2026</v>
      </c>
      <c r="B3864" t="s">
        <v>195</v>
      </c>
      <c r="C3864">
        <v>17345.8</v>
      </c>
      <c r="D3864" t="s">
        <v>175</v>
      </c>
      <c r="E3864" t="s">
        <v>182</v>
      </c>
      <c r="F3864" t="s">
        <v>177</v>
      </c>
      <c r="G3864" t="s">
        <v>179</v>
      </c>
    </row>
    <row r="3865" spans="1:7">
      <c r="A3865">
        <v>2027</v>
      </c>
      <c r="B3865" t="s">
        <v>195</v>
      </c>
      <c r="C3865">
        <v>20255.5</v>
      </c>
      <c r="D3865" t="s">
        <v>175</v>
      </c>
      <c r="E3865" t="s">
        <v>182</v>
      </c>
      <c r="F3865" t="s">
        <v>177</v>
      </c>
      <c r="G3865" t="s">
        <v>179</v>
      </c>
    </row>
    <row r="3866" spans="1:7">
      <c r="A3866">
        <v>2028</v>
      </c>
      <c r="B3866" t="s">
        <v>195</v>
      </c>
      <c r="C3866">
        <v>20255.5</v>
      </c>
      <c r="D3866" t="s">
        <v>175</v>
      </c>
      <c r="E3866" t="s">
        <v>182</v>
      </c>
      <c r="F3866" t="s">
        <v>177</v>
      </c>
      <c r="G3866" t="s">
        <v>179</v>
      </c>
    </row>
    <row r="3867" spans="1:7">
      <c r="A3867">
        <v>2029</v>
      </c>
      <c r="B3867" t="s">
        <v>195</v>
      </c>
      <c r="C3867">
        <v>11046.8</v>
      </c>
      <c r="D3867" t="s">
        <v>175</v>
      </c>
      <c r="E3867" t="s">
        <v>182</v>
      </c>
      <c r="F3867" t="s">
        <v>177</v>
      </c>
      <c r="G3867" t="s">
        <v>179</v>
      </c>
    </row>
    <row r="3868" spans="1:7">
      <c r="A3868">
        <v>2030</v>
      </c>
      <c r="B3868" t="s">
        <v>195</v>
      </c>
      <c r="C3868">
        <v>11046.8</v>
      </c>
      <c r="D3868" t="s">
        <v>175</v>
      </c>
      <c r="E3868" t="s">
        <v>182</v>
      </c>
      <c r="F3868" t="s">
        <v>177</v>
      </c>
      <c r="G3868" t="s">
        <v>179</v>
      </c>
    </row>
    <row r="3869" spans="1:7">
      <c r="A3869">
        <v>2031</v>
      </c>
      <c r="B3869" t="s">
        <v>195</v>
      </c>
      <c r="C3869">
        <v>8865.07</v>
      </c>
      <c r="D3869" t="s">
        <v>175</v>
      </c>
      <c r="E3869" t="s">
        <v>182</v>
      </c>
      <c r="F3869" t="s">
        <v>177</v>
      </c>
      <c r="G3869" t="s">
        <v>179</v>
      </c>
    </row>
    <row r="3870" spans="1:7">
      <c r="A3870">
        <v>2032</v>
      </c>
      <c r="B3870" t="s">
        <v>195</v>
      </c>
      <c r="C3870">
        <v>8865.07</v>
      </c>
      <c r="D3870" t="s">
        <v>175</v>
      </c>
      <c r="E3870" t="s">
        <v>182</v>
      </c>
      <c r="F3870" t="s">
        <v>177</v>
      </c>
      <c r="G3870" t="s">
        <v>179</v>
      </c>
    </row>
    <row r="3871" spans="1:7">
      <c r="A3871">
        <v>2033</v>
      </c>
      <c r="B3871" t="s">
        <v>195</v>
      </c>
      <c r="C3871">
        <v>12599.8</v>
      </c>
      <c r="D3871" t="s">
        <v>175</v>
      </c>
      <c r="E3871" t="s">
        <v>182</v>
      </c>
      <c r="F3871" t="s">
        <v>177</v>
      </c>
      <c r="G3871" t="s">
        <v>179</v>
      </c>
    </row>
    <row r="3872" spans="1:7">
      <c r="A3872">
        <v>2034</v>
      </c>
      <c r="B3872" t="s">
        <v>195</v>
      </c>
      <c r="C3872">
        <v>12599.8</v>
      </c>
      <c r="D3872" t="s">
        <v>175</v>
      </c>
      <c r="E3872" t="s">
        <v>182</v>
      </c>
      <c r="F3872" t="s">
        <v>177</v>
      </c>
      <c r="G3872" t="s">
        <v>179</v>
      </c>
    </row>
    <row r="3873" spans="1:7">
      <c r="A3873">
        <v>2035</v>
      </c>
      <c r="B3873" t="s">
        <v>195</v>
      </c>
      <c r="C3873">
        <v>12599.8</v>
      </c>
      <c r="D3873" t="s">
        <v>175</v>
      </c>
      <c r="E3873" t="s">
        <v>182</v>
      </c>
      <c r="F3873" t="s">
        <v>177</v>
      </c>
      <c r="G3873" t="s">
        <v>179</v>
      </c>
    </row>
    <row r="3874" spans="1:7">
      <c r="A3874">
        <v>2020</v>
      </c>
      <c r="B3874" t="s">
        <v>196</v>
      </c>
      <c r="C3874">
        <v>11010.3</v>
      </c>
      <c r="D3874" t="s">
        <v>175</v>
      </c>
      <c r="E3874" t="s">
        <v>182</v>
      </c>
      <c r="F3874" t="s">
        <v>177</v>
      </c>
      <c r="G3874" t="s">
        <v>179</v>
      </c>
    </row>
    <row r="3875" spans="1:7">
      <c r="A3875">
        <v>2021</v>
      </c>
      <c r="B3875" t="s">
        <v>196</v>
      </c>
      <c r="C3875">
        <v>78798.7</v>
      </c>
      <c r="D3875" t="s">
        <v>175</v>
      </c>
      <c r="E3875" t="s">
        <v>182</v>
      </c>
      <c r="F3875" t="s">
        <v>177</v>
      </c>
      <c r="G3875" t="s">
        <v>179</v>
      </c>
    </row>
    <row r="3876" spans="1:7">
      <c r="A3876">
        <v>2022</v>
      </c>
      <c r="B3876" t="s">
        <v>196</v>
      </c>
      <c r="C3876">
        <v>78798.7</v>
      </c>
      <c r="D3876" t="s">
        <v>175</v>
      </c>
      <c r="E3876" t="s">
        <v>182</v>
      </c>
      <c r="F3876" t="s">
        <v>177</v>
      </c>
      <c r="G3876" t="s">
        <v>179</v>
      </c>
    </row>
    <row r="3877" spans="1:7">
      <c r="A3877">
        <v>2023</v>
      </c>
      <c r="B3877" t="s">
        <v>196</v>
      </c>
      <c r="C3877">
        <v>12568.6</v>
      </c>
      <c r="D3877" t="s">
        <v>175</v>
      </c>
      <c r="E3877" t="s">
        <v>182</v>
      </c>
      <c r="F3877" t="s">
        <v>177</v>
      </c>
      <c r="G3877" t="s">
        <v>179</v>
      </c>
    </row>
    <row r="3878" spans="1:7">
      <c r="A3878">
        <v>2024</v>
      </c>
      <c r="B3878" t="s">
        <v>196</v>
      </c>
      <c r="C3878">
        <v>12568.6</v>
      </c>
      <c r="D3878" t="s">
        <v>175</v>
      </c>
      <c r="E3878" t="s">
        <v>182</v>
      </c>
      <c r="F3878" t="s">
        <v>177</v>
      </c>
      <c r="G3878" t="s">
        <v>179</v>
      </c>
    </row>
    <row r="3879" spans="1:7">
      <c r="A3879">
        <v>2025</v>
      </c>
      <c r="B3879" t="s">
        <v>196</v>
      </c>
      <c r="C3879">
        <v>31633.1</v>
      </c>
      <c r="D3879" t="s">
        <v>175</v>
      </c>
      <c r="E3879" t="s">
        <v>182</v>
      </c>
      <c r="F3879" t="s">
        <v>177</v>
      </c>
      <c r="G3879" t="s">
        <v>179</v>
      </c>
    </row>
    <row r="3880" spans="1:7">
      <c r="A3880">
        <v>2026</v>
      </c>
      <c r="B3880" t="s">
        <v>196</v>
      </c>
      <c r="C3880">
        <v>31633.1</v>
      </c>
      <c r="D3880" t="s">
        <v>175</v>
      </c>
      <c r="E3880" t="s">
        <v>182</v>
      </c>
      <c r="F3880" t="s">
        <v>177</v>
      </c>
      <c r="G3880" t="s">
        <v>179</v>
      </c>
    </row>
    <row r="3881" spans="1:7">
      <c r="A3881">
        <v>2027</v>
      </c>
      <c r="B3881" t="s">
        <v>196</v>
      </c>
      <c r="C3881">
        <v>16137.4</v>
      </c>
      <c r="D3881" t="s">
        <v>175</v>
      </c>
      <c r="E3881" t="s">
        <v>182</v>
      </c>
      <c r="F3881" t="s">
        <v>177</v>
      </c>
      <c r="G3881" t="s">
        <v>179</v>
      </c>
    </row>
    <row r="3882" spans="1:7">
      <c r="A3882">
        <v>2028</v>
      </c>
      <c r="B3882" t="s">
        <v>196</v>
      </c>
      <c r="C3882">
        <v>16137.4</v>
      </c>
      <c r="D3882" t="s">
        <v>175</v>
      </c>
      <c r="E3882" t="s">
        <v>182</v>
      </c>
      <c r="F3882" t="s">
        <v>177</v>
      </c>
      <c r="G3882" t="s">
        <v>179</v>
      </c>
    </row>
    <row r="3883" spans="1:7">
      <c r="A3883">
        <v>2029</v>
      </c>
      <c r="B3883" t="s">
        <v>196</v>
      </c>
      <c r="C3883">
        <v>21000.5</v>
      </c>
      <c r="D3883" t="s">
        <v>175</v>
      </c>
      <c r="E3883" t="s">
        <v>182</v>
      </c>
      <c r="F3883" t="s">
        <v>177</v>
      </c>
      <c r="G3883" t="s">
        <v>179</v>
      </c>
    </row>
    <row r="3884" spans="1:7">
      <c r="A3884">
        <v>2030</v>
      </c>
      <c r="B3884" t="s">
        <v>196</v>
      </c>
      <c r="C3884">
        <v>21000.5</v>
      </c>
      <c r="D3884" t="s">
        <v>175</v>
      </c>
      <c r="E3884" t="s">
        <v>182</v>
      </c>
      <c r="F3884" t="s">
        <v>177</v>
      </c>
      <c r="G3884" t="s">
        <v>179</v>
      </c>
    </row>
    <row r="3885" spans="1:7">
      <c r="A3885">
        <v>2031</v>
      </c>
      <c r="B3885" t="s">
        <v>196</v>
      </c>
      <c r="C3885">
        <v>17733.3</v>
      </c>
      <c r="D3885" t="s">
        <v>175</v>
      </c>
      <c r="E3885" t="s">
        <v>182</v>
      </c>
      <c r="F3885" t="s">
        <v>177</v>
      </c>
      <c r="G3885" t="s">
        <v>179</v>
      </c>
    </row>
    <row r="3886" spans="1:7">
      <c r="A3886">
        <v>2032</v>
      </c>
      <c r="B3886" t="s">
        <v>196</v>
      </c>
      <c r="C3886">
        <v>17733.3</v>
      </c>
      <c r="D3886" t="s">
        <v>175</v>
      </c>
      <c r="E3886" t="s">
        <v>182</v>
      </c>
      <c r="F3886" t="s">
        <v>177</v>
      </c>
      <c r="G3886" t="s">
        <v>179</v>
      </c>
    </row>
    <row r="3887" spans="1:7">
      <c r="A3887">
        <v>2033</v>
      </c>
      <c r="B3887" t="s">
        <v>196</v>
      </c>
      <c r="C3887">
        <v>23921.7</v>
      </c>
      <c r="D3887" t="s">
        <v>175</v>
      </c>
      <c r="E3887" t="s">
        <v>182</v>
      </c>
      <c r="F3887" t="s">
        <v>177</v>
      </c>
      <c r="G3887" t="s">
        <v>179</v>
      </c>
    </row>
    <row r="3888" spans="1:7">
      <c r="A3888">
        <v>2034</v>
      </c>
      <c r="B3888" t="s">
        <v>196</v>
      </c>
      <c r="C3888">
        <v>23921.7</v>
      </c>
      <c r="D3888" t="s">
        <v>175</v>
      </c>
      <c r="E3888" t="s">
        <v>182</v>
      </c>
      <c r="F3888" t="s">
        <v>177</v>
      </c>
      <c r="G3888" t="s">
        <v>179</v>
      </c>
    </row>
    <row r="3889" spans="1:7">
      <c r="A3889">
        <v>2035</v>
      </c>
      <c r="B3889" t="s">
        <v>196</v>
      </c>
      <c r="C3889">
        <v>23921.7</v>
      </c>
      <c r="D3889" t="s">
        <v>175</v>
      </c>
      <c r="E3889" t="s">
        <v>182</v>
      </c>
      <c r="F3889" t="s">
        <v>177</v>
      </c>
      <c r="G3889" t="s">
        <v>179</v>
      </c>
    </row>
    <row r="3890" spans="1:7">
      <c r="A3890">
        <v>2020</v>
      </c>
      <c r="B3890" t="s">
        <v>188</v>
      </c>
      <c r="C3890">
        <v>102.45</v>
      </c>
      <c r="D3890" t="s">
        <v>175</v>
      </c>
      <c r="E3890" t="s">
        <v>182</v>
      </c>
      <c r="F3890" t="s">
        <v>177</v>
      </c>
      <c r="G3890" t="s">
        <v>180</v>
      </c>
    </row>
    <row r="3891" spans="1:7">
      <c r="A3891">
        <v>2021</v>
      </c>
      <c r="B3891" t="s">
        <v>188</v>
      </c>
      <c r="C3891">
        <v>9.5</v>
      </c>
      <c r="D3891" t="s">
        <v>175</v>
      </c>
      <c r="E3891" t="s">
        <v>182</v>
      </c>
      <c r="F3891" t="s">
        <v>177</v>
      </c>
      <c r="G3891" t="s">
        <v>180</v>
      </c>
    </row>
    <row r="3892" spans="1:7">
      <c r="A3892">
        <v>2022</v>
      </c>
      <c r="B3892" t="s">
        <v>188</v>
      </c>
      <c r="C3892">
        <v>9.5</v>
      </c>
      <c r="D3892" t="s">
        <v>175</v>
      </c>
      <c r="E3892" t="s">
        <v>182</v>
      </c>
      <c r="F3892" t="s">
        <v>177</v>
      </c>
      <c r="G3892" t="s">
        <v>180</v>
      </c>
    </row>
    <row r="3893" spans="1:7">
      <c r="A3893">
        <v>2023</v>
      </c>
      <c r="B3893" t="s">
        <v>188</v>
      </c>
      <c r="C3893">
        <v>0</v>
      </c>
      <c r="D3893" t="s">
        <v>175</v>
      </c>
      <c r="E3893" t="s">
        <v>182</v>
      </c>
      <c r="F3893" t="s">
        <v>177</v>
      </c>
      <c r="G3893" t="s">
        <v>180</v>
      </c>
    </row>
    <row r="3894" spans="1:7">
      <c r="A3894">
        <v>2024</v>
      </c>
      <c r="B3894" t="s">
        <v>188</v>
      </c>
      <c r="C3894">
        <v>0</v>
      </c>
      <c r="D3894" t="s">
        <v>175</v>
      </c>
      <c r="E3894" t="s">
        <v>182</v>
      </c>
      <c r="F3894" t="s">
        <v>177</v>
      </c>
      <c r="G3894" t="s">
        <v>180</v>
      </c>
    </row>
    <row r="3895" spans="1:7">
      <c r="A3895">
        <v>2025</v>
      </c>
      <c r="B3895" t="s">
        <v>188</v>
      </c>
      <c r="C3895">
        <v>0</v>
      </c>
      <c r="D3895" t="s">
        <v>175</v>
      </c>
      <c r="E3895" t="s">
        <v>182</v>
      </c>
      <c r="F3895" t="s">
        <v>177</v>
      </c>
      <c r="G3895" t="s">
        <v>180</v>
      </c>
    </row>
    <row r="3896" spans="1:7">
      <c r="A3896">
        <v>2026</v>
      </c>
      <c r="B3896" t="s">
        <v>188</v>
      </c>
      <c r="C3896">
        <v>0</v>
      </c>
      <c r="D3896" t="s">
        <v>175</v>
      </c>
      <c r="E3896" t="s">
        <v>182</v>
      </c>
      <c r="F3896" t="s">
        <v>177</v>
      </c>
      <c r="G3896" t="s">
        <v>180</v>
      </c>
    </row>
    <row r="3897" spans="1:7">
      <c r="A3897">
        <v>2027</v>
      </c>
      <c r="B3897" t="s">
        <v>188</v>
      </c>
      <c r="C3897">
        <v>0</v>
      </c>
      <c r="D3897" t="s">
        <v>175</v>
      </c>
      <c r="E3897" t="s">
        <v>182</v>
      </c>
      <c r="F3897" t="s">
        <v>177</v>
      </c>
      <c r="G3897" t="s">
        <v>180</v>
      </c>
    </row>
    <row r="3898" spans="1:7">
      <c r="A3898">
        <v>2028</v>
      </c>
      <c r="B3898" t="s">
        <v>188</v>
      </c>
      <c r="C3898">
        <v>0</v>
      </c>
      <c r="D3898" t="s">
        <v>175</v>
      </c>
      <c r="E3898" t="s">
        <v>182</v>
      </c>
      <c r="F3898" t="s">
        <v>177</v>
      </c>
      <c r="G3898" t="s">
        <v>180</v>
      </c>
    </row>
    <row r="3899" spans="1:7">
      <c r="A3899">
        <v>2029</v>
      </c>
      <c r="B3899" t="s">
        <v>188</v>
      </c>
      <c r="C3899">
        <v>0</v>
      </c>
      <c r="D3899" t="s">
        <v>175</v>
      </c>
      <c r="E3899" t="s">
        <v>182</v>
      </c>
      <c r="F3899" t="s">
        <v>177</v>
      </c>
      <c r="G3899" t="s">
        <v>180</v>
      </c>
    </row>
    <row r="3900" spans="1:7">
      <c r="A3900">
        <v>2030</v>
      </c>
      <c r="B3900" t="s">
        <v>188</v>
      </c>
      <c r="C3900">
        <v>0</v>
      </c>
      <c r="D3900" t="s">
        <v>175</v>
      </c>
      <c r="E3900" t="s">
        <v>182</v>
      </c>
      <c r="F3900" t="s">
        <v>177</v>
      </c>
      <c r="G3900" t="s">
        <v>180</v>
      </c>
    </row>
    <row r="3901" spans="1:7">
      <c r="A3901">
        <v>2031</v>
      </c>
      <c r="B3901" t="s">
        <v>188</v>
      </c>
      <c r="C3901">
        <v>0</v>
      </c>
      <c r="D3901" t="s">
        <v>175</v>
      </c>
      <c r="E3901" t="s">
        <v>182</v>
      </c>
      <c r="F3901" t="s">
        <v>177</v>
      </c>
      <c r="G3901" t="s">
        <v>180</v>
      </c>
    </row>
    <row r="3902" spans="1:7">
      <c r="A3902">
        <v>2032</v>
      </c>
      <c r="B3902" t="s">
        <v>188</v>
      </c>
      <c r="C3902">
        <v>0</v>
      </c>
      <c r="D3902" t="s">
        <v>175</v>
      </c>
      <c r="E3902" t="s">
        <v>182</v>
      </c>
      <c r="F3902" t="s">
        <v>177</v>
      </c>
      <c r="G3902" t="s">
        <v>180</v>
      </c>
    </row>
    <row r="3903" spans="1:7">
      <c r="A3903">
        <v>2033</v>
      </c>
      <c r="B3903" t="s">
        <v>188</v>
      </c>
      <c r="C3903">
        <v>0</v>
      </c>
      <c r="D3903" t="s">
        <v>175</v>
      </c>
      <c r="E3903" t="s">
        <v>182</v>
      </c>
      <c r="F3903" t="s">
        <v>177</v>
      </c>
      <c r="G3903" t="s">
        <v>180</v>
      </c>
    </row>
    <row r="3904" spans="1:7">
      <c r="A3904">
        <v>2034</v>
      </c>
      <c r="B3904" t="s">
        <v>188</v>
      </c>
      <c r="C3904">
        <v>0</v>
      </c>
      <c r="D3904" t="s">
        <v>175</v>
      </c>
      <c r="E3904" t="s">
        <v>182</v>
      </c>
      <c r="F3904" t="s">
        <v>177</v>
      </c>
      <c r="G3904" t="s">
        <v>180</v>
      </c>
    </row>
    <row r="3905" spans="1:7">
      <c r="A3905">
        <v>2035</v>
      </c>
      <c r="B3905" t="s">
        <v>188</v>
      </c>
      <c r="C3905">
        <v>0</v>
      </c>
      <c r="D3905" t="s">
        <v>175</v>
      </c>
      <c r="E3905" t="s">
        <v>182</v>
      </c>
      <c r="F3905" t="s">
        <v>177</v>
      </c>
      <c r="G3905" t="s">
        <v>180</v>
      </c>
    </row>
    <row r="3906" spans="1:7">
      <c r="A3906">
        <v>2020</v>
      </c>
      <c r="B3906" t="s">
        <v>189</v>
      </c>
      <c r="C3906">
        <v>0</v>
      </c>
      <c r="D3906" t="s">
        <v>175</v>
      </c>
      <c r="E3906" t="s">
        <v>182</v>
      </c>
      <c r="F3906" t="s">
        <v>177</v>
      </c>
      <c r="G3906" t="s">
        <v>180</v>
      </c>
    </row>
    <row r="3907" spans="1:7">
      <c r="A3907">
        <v>2021</v>
      </c>
      <c r="B3907" t="s">
        <v>189</v>
      </c>
      <c r="C3907">
        <v>0</v>
      </c>
      <c r="D3907" t="s">
        <v>175</v>
      </c>
      <c r="E3907" t="s">
        <v>182</v>
      </c>
      <c r="F3907" t="s">
        <v>177</v>
      </c>
      <c r="G3907" t="s">
        <v>180</v>
      </c>
    </row>
    <row r="3908" spans="1:7">
      <c r="A3908">
        <v>2022</v>
      </c>
      <c r="B3908" t="s">
        <v>189</v>
      </c>
      <c r="C3908">
        <v>0</v>
      </c>
      <c r="D3908" t="s">
        <v>175</v>
      </c>
      <c r="E3908" t="s">
        <v>182</v>
      </c>
      <c r="F3908" t="s">
        <v>177</v>
      </c>
      <c r="G3908" t="s">
        <v>180</v>
      </c>
    </row>
    <row r="3909" spans="1:7">
      <c r="A3909">
        <v>2023</v>
      </c>
      <c r="B3909" t="s">
        <v>189</v>
      </c>
      <c r="C3909">
        <v>0</v>
      </c>
      <c r="D3909" t="s">
        <v>175</v>
      </c>
      <c r="E3909" t="s">
        <v>182</v>
      </c>
      <c r="F3909" t="s">
        <v>177</v>
      </c>
      <c r="G3909" t="s">
        <v>180</v>
      </c>
    </row>
    <row r="3910" spans="1:7">
      <c r="A3910">
        <v>2024</v>
      </c>
      <c r="B3910" t="s">
        <v>189</v>
      </c>
      <c r="C3910">
        <v>0</v>
      </c>
      <c r="D3910" t="s">
        <v>175</v>
      </c>
      <c r="E3910" t="s">
        <v>182</v>
      </c>
      <c r="F3910" t="s">
        <v>177</v>
      </c>
      <c r="G3910" t="s">
        <v>180</v>
      </c>
    </row>
    <row r="3911" spans="1:7">
      <c r="A3911">
        <v>2025</v>
      </c>
      <c r="B3911" t="s">
        <v>189</v>
      </c>
      <c r="C3911">
        <v>0</v>
      </c>
      <c r="D3911" t="s">
        <v>175</v>
      </c>
      <c r="E3911" t="s">
        <v>182</v>
      </c>
      <c r="F3911" t="s">
        <v>177</v>
      </c>
      <c r="G3911" t="s">
        <v>180</v>
      </c>
    </row>
    <row r="3912" spans="1:7">
      <c r="A3912">
        <v>2026</v>
      </c>
      <c r="B3912" t="s">
        <v>189</v>
      </c>
      <c r="C3912">
        <v>0</v>
      </c>
      <c r="D3912" t="s">
        <v>175</v>
      </c>
      <c r="E3912" t="s">
        <v>182</v>
      </c>
      <c r="F3912" t="s">
        <v>177</v>
      </c>
      <c r="G3912" t="s">
        <v>180</v>
      </c>
    </row>
    <row r="3913" spans="1:7">
      <c r="A3913">
        <v>2027</v>
      </c>
      <c r="B3913" t="s">
        <v>189</v>
      </c>
      <c r="C3913">
        <v>0</v>
      </c>
      <c r="D3913" t="s">
        <v>175</v>
      </c>
      <c r="E3913" t="s">
        <v>182</v>
      </c>
      <c r="F3913" t="s">
        <v>177</v>
      </c>
      <c r="G3913" t="s">
        <v>180</v>
      </c>
    </row>
    <row r="3914" spans="1:7">
      <c r="A3914">
        <v>2028</v>
      </c>
      <c r="B3914" t="s">
        <v>189</v>
      </c>
      <c r="C3914">
        <v>0</v>
      </c>
      <c r="D3914" t="s">
        <v>175</v>
      </c>
      <c r="E3914" t="s">
        <v>182</v>
      </c>
      <c r="F3914" t="s">
        <v>177</v>
      </c>
      <c r="G3914" t="s">
        <v>180</v>
      </c>
    </row>
    <row r="3915" spans="1:7">
      <c r="A3915">
        <v>2029</v>
      </c>
      <c r="B3915" t="s">
        <v>189</v>
      </c>
      <c r="C3915">
        <v>0</v>
      </c>
      <c r="D3915" t="s">
        <v>175</v>
      </c>
      <c r="E3915" t="s">
        <v>182</v>
      </c>
      <c r="F3915" t="s">
        <v>177</v>
      </c>
      <c r="G3915" t="s">
        <v>180</v>
      </c>
    </row>
    <row r="3916" spans="1:7">
      <c r="A3916">
        <v>2030</v>
      </c>
      <c r="B3916" t="s">
        <v>189</v>
      </c>
      <c r="C3916">
        <v>0</v>
      </c>
      <c r="D3916" t="s">
        <v>175</v>
      </c>
      <c r="E3916" t="s">
        <v>182</v>
      </c>
      <c r="F3916" t="s">
        <v>177</v>
      </c>
      <c r="G3916" t="s">
        <v>180</v>
      </c>
    </row>
    <row r="3917" spans="1:7">
      <c r="A3917">
        <v>2031</v>
      </c>
      <c r="B3917" t="s">
        <v>189</v>
      </c>
      <c r="C3917">
        <v>0</v>
      </c>
      <c r="D3917" t="s">
        <v>175</v>
      </c>
      <c r="E3917" t="s">
        <v>182</v>
      </c>
      <c r="F3917" t="s">
        <v>177</v>
      </c>
      <c r="G3917" t="s">
        <v>180</v>
      </c>
    </row>
    <row r="3918" spans="1:7">
      <c r="A3918">
        <v>2032</v>
      </c>
      <c r="B3918" t="s">
        <v>189</v>
      </c>
      <c r="C3918">
        <v>0</v>
      </c>
      <c r="D3918" t="s">
        <v>175</v>
      </c>
      <c r="E3918" t="s">
        <v>182</v>
      </c>
      <c r="F3918" t="s">
        <v>177</v>
      </c>
      <c r="G3918" t="s">
        <v>180</v>
      </c>
    </row>
    <row r="3919" spans="1:7">
      <c r="A3919">
        <v>2033</v>
      </c>
      <c r="B3919" t="s">
        <v>189</v>
      </c>
      <c r="C3919">
        <v>0</v>
      </c>
      <c r="D3919" t="s">
        <v>175</v>
      </c>
      <c r="E3919" t="s">
        <v>182</v>
      </c>
      <c r="F3919" t="s">
        <v>177</v>
      </c>
      <c r="G3919" t="s">
        <v>180</v>
      </c>
    </row>
    <row r="3920" spans="1:7">
      <c r="A3920">
        <v>2034</v>
      </c>
      <c r="B3920" t="s">
        <v>189</v>
      </c>
      <c r="C3920">
        <v>0</v>
      </c>
      <c r="D3920" t="s">
        <v>175</v>
      </c>
      <c r="E3920" t="s">
        <v>182</v>
      </c>
      <c r="F3920" t="s">
        <v>177</v>
      </c>
      <c r="G3920" t="s">
        <v>180</v>
      </c>
    </row>
    <row r="3921" spans="1:7">
      <c r="A3921">
        <v>2035</v>
      </c>
      <c r="B3921" t="s">
        <v>189</v>
      </c>
      <c r="C3921">
        <v>0</v>
      </c>
      <c r="D3921" t="s">
        <v>175</v>
      </c>
      <c r="E3921" t="s">
        <v>182</v>
      </c>
      <c r="F3921" t="s">
        <v>177</v>
      </c>
      <c r="G3921" t="s">
        <v>180</v>
      </c>
    </row>
    <row r="3922" spans="1:7">
      <c r="A3922">
        <v>2020</v>
      </c>
      <c r="B3922" t="s">
        <v>190</v>
      </c>
      <c r="C3922">
        <v>11184.73</v>
      </c>
      <c r="D3922" t="s">
        <v>175</v>
      </c>
      <c r="E3922" t="s">
        <v>182</v>
      </c>
      <c r="F3922" t="s">
        <v>177</v>
      </c>
      <c r="G3922" t="s">
        <v>180</v>
      </c>
    </row>
    <row r="3923" spans="1:7">
      <c r="A3923">
        <v>2021</v>
      </c>
      <c r="B3923" t="s">
        <v>190</v>
      </c>
      <c r="C3923">
        <v>0</v>
      </c>
      <c r="D3923" t="s">
        <v>175</v>
      </c>
      <c r="E3923" t="s">
        <v>182</v>
      </c>
      <c r="F3923" t="s">
        <v>177</v>
      </c>
      <c r="G3923" t="s">
        <v>180</v>
      </c>
    </row>
    <row r="3924" spans="1:7">
      <c r="A3924">
        <v>2022</v>
      </c>
      <c r="B3924" t="s">
        <v>190</v>
      </c>
      <c r="C3924">
        <v>0</v>
      </c>
      <c r="D3924" t="s">
        <v>175</v>
      </c>
      <c r="E3924" t="s">
        <v>182</v>
      </c>
      <c r="F3924" t="s">
        <v>177</v>
      </c>
      <c r="G3924" t="s">
        <v>180</v>
      </c>
    </row>
    <row r="3925" spans="1:7">
      <c r="A3925">
        <v>2023</v>
      </c>
      <c r="B3925" t="s">
        <v>190</v>
      </c>
      <c r="C3925">
        <v>0</v>
      </c>
      <c r="D3925" t="s">
        <v>175</v>
      </c>
      <c r="E3925" t="s">
        <v>182</v>
      </c>
      <c r="F3925" t="s">
        <v>177</v>
      </c>
      <c r="G3925" t="s">
        <v>180</v>
      </c>
    </row>
    <row r="3926" spans="1:7">
      <c r="A3926">
        <v>2024</v>
      </c>
      <c r="B3926" t="s">
        <v>190</v>
      </c>
      <c r="C3926">
        <v>0</v>
      </c>
      <c r="D3926" t="s">
        <v>175</v>
      </c>
      <c r="E3926" t="s">
        <v>182</v>
      </c>
      <c r="F3926" t="s">
        <v>177</v>
      </c>
      <c r="G3926" t="s">
        <v>180</v>
      </c>
    </row>
    <row r="3927" spans="1:7">
      <c r="A3927">
        <v>2025</v>
      </c>
      <c r="B3927" t="s">
        <v>190</v>
      </c>
      <c r="C3927">
        <v>0</v>
      </c>
      <c r="D3927" t="s">
        <v>175</v>
      </c>
      <c r="E3927" t="s">
        <v>182</v>
      </c>
      <c r="F3927" t="s">
        <v>177</v>
      </c>
      <c r="G3927" t="s">
        <v>180</v>
      </c>
    </row>
    <row r="3928" spans="1:7">
      <c r="A3928">
        <v>2026</v>
      </c>
      <c r="B3928" t="s">
        <v>190</v>
      </c>
      <c r="C3928">
        <v>0</v>
      </c>
      <c r="D3928" t="s">
        <v>175</v>
      </c>
      <c r="E3928" t="s">
        <v>182</v>
      </c>
      <c r="F3928" t="s">
        <v>177</v>
      </c>
      <c r="G3928" t="s">
        <v>180</v>
      </c>
    </row>
    <row r="3929" spans="1:7">
      <c r="A3929">
        <v>2027</v>
      </c>
      <c r="B3929" t="s">
        <v>190</v>
      </c>
      <c r="C3929">
        <v>0</v>
      </c>
      <c r="D3929" t="s">
        <v>175</v>
      </c>
      <c r="E3929" t="s">
        <v>182</v>
      </c>
      <c r="F3929" t="s">
        <v>177</v>
      </c>
      <c r="G3929" t="s">
        <v>180</v>
      </c>
    </row>
    <row r="3930" spans="1:7">
      <c r="A3930">
        <v>2028</v>
      </c>
      <c r="B3930" t="s">
        <v>190</v>
      </c>
      <c r="C3930">
        <v>0</v>
      </c>
      <c r="D3930" t="s">
        <v>175</v>
      </c>
      <c r="E3930" t="s">
        <v>182</v>
      </c>
      <c r="F3930" t="s">
        <v>177</v>
      </c>
      <c r="G3930" t="s">
        <v>180</v>
      </c>
    </row>
    <row r="3931" spans="1:7">
      <c r="A3931">
        <v>2029</v>
      </c>
      <c r="B3931" t="s">
        <v>190</v>
      </c>
      <c r="C3931">
        <v>0</v>
      </c>
      <c r="D3931" t="s">
        <v>175</v>
      </c>
      <c r="E3931" t="s">
        <v>182</v>
      </c>
      <c r="F3931" t="s">
        <v>177</v>
      </c>
      <c r="G3931" t="s">
        <v>180</v>
      </c>
    </row>
    <row r="3932" spans="1:7">
      <c r="A3932">
        <v>2030</v>
      </c>
      <c r="B3932" t="s">
        <v>190</v>
      </c>
      <c r="C3932">
        <v>0</v>
      </c>
      <c r="D3932" t="s">
        <v>175</v>
      </c>
      <c r="E3932" t="s">
        <v>182</v>
      </c>
      <c r="F3932" t="s">
        <v>177</v>
      </c>
      <c r="G3932" t="s">
        <v>180</v>
      </c>
    </row>
    <row r="3933" spans="1:7">
      <c r="A3933">
        <v>2031</v>
      </c>
      <c r="B3933" t="s">
        <v>190</v>
      </c>
      <c r="C3933">
        <v>0</v>
      </c>
      <c r="D3933" t="s">
        <v>175</v>
      </c>
      <c r="E3933" t="s">
        <v>182</v>
      </c>
      <c r="F3933" t="s">
        <v>177</v>
      </c>
      <c r="G3933" t="s">
        <v>180</v>
      </c>
    </row>
    <row r="3934" spans="1:7">
      <c r="A3934">
        <v>2032</v>
      </c>
      <c r="B3934" t="s">
        <v>190</v>
      </c>
      <c r="C3934">
        <v>0</v>
      </c>
      <c r="D3934" t="s">
        <v>175</v>
      </c>
      <c r="E3934" t="s">
        <v>182</v>
      </c>
      <c r="F3934" t="s">
        <v>177</v>
      </c>
      <c r="G3934" t="s">
        <v>180</v>
      </c>
    </row>
    <row r="3935" spans="1:7">
      <c r="A3935">
        <v>2033</v>
      </c>
      <c r="B3935" t="s">
        <v>190</v>
      </c>
      <c r="C3935">
        <v>0</v>
      </c>
      <c r="D3935" t="s">
        <v>175</v>
      </c>
      <c r="E3935" t="s">
        <v>182</v>
      </c>
      <c r="F3935" t="s">
        <v>177</v>
      </c>
      <c r="G3935" t="s">
        <v>180</v>
      </c>
    </row>
    <row r="3936" spans="1:7">
      <c r="A3936">
        <v>2034</v>
      </c>
      <c r="B3936" t="s">
        <v>190</v>
      </c>
      <c r="C3936">
        <v>0</v>
      </c>
      <c r="D3936" t="s">
        <v>175</v>
      </c>
      <c r="E3936" t="s">
        <v>182</v>
      </c>
      <c r="F3936" t="s">
        <v>177</v>
      </c>
      <c r="G3936" t="s">
        <v>180</v>
      </c>
    </row>
    <row r="3937" spans="1:7">
      <c r="A3937">
        <v>2035</v>
      </c>
      <c r="B3937" t="s">
        <v>190</v>
      </c>
      <c r="C3937">
        <v>0</v>
      </c>
      <c r="D3937" t="s">
        <v>175</v>
      </c>
      <c r="E3937" t="s">
        <v>182</v>
      </c>
      <c r="F3937" t="s">
        <v>177</v>
      </c>
      <c r="G3937" t="s">
        <v>180</v>
      </c>
    </row>
    <row r="3938" spans="1:7">
      <c r="A3938">
        <v>2020</v>
      </c>
      <c r="B3938" t="s">
        <v>191</v>
      </c>
      <c r="C3938">
        <v>0</v>
      </c>
      <c r="D3938" t="s">
        <v>175</v>
      </c>
      <c r="E3938" t="s">
        <v>182</v>
      </c>
      <c r="F3938" t="s">
        <v>177</v>
      </c>
      <c r="G3938" t="s">
        <v>180</v>
      </c>
    </row>
    <row r="3939" spans="1:7">
      <c r="A3939">
        <v>2021</v>
      </c>
      <c r="B3939" t="s">
        <v>191</v>
      </c>
      <c r="C3939">
        <v>0</v>
      </c>
      <c r="D3939" t="s">
        <v>175</v>
      </c>
      <c r="E3939" t="s">
        <v>182</v>
      </c>
      <c r="F3939" t="s">
        <v>177</v>
      </c>
      <c r="G3939" t="s">
        <v>180</v>
      </c>
    </row>
    <row r="3940" spans="1:7">
      <c r="A3940">
        <v>2022</v>
      </c>
      <c r="B3940" t="s">
        <v>191</v>
      </c>
      <c r="C3940">
        <v>0</v>
      </c>
      <c r="D3940" t="s">
        <v>175</v>
      </c>
      <c r="E3940" t="s">
        <v>182</v>
      </c>
      <c r="F3940" t="s">
        <v>177</v>
      </c>
      <c r="G3940" t="s">
        <v>180</v>
      </c>
    </row>
    <row r="3941" spans="1:7">
      <c r="A3941">
        <v>2023</v>
      </c>
      <c r="B3941" t="s">
        <v>191</v>
      </c>
      <c r="C3941">
        <v>0</v>
      </c>
      <c r="D3941" t="s">
        <v>175</v>
      </c>
      <c r="E3941" t="s">
        <v>182</v>
      </c>
      <c r="F3941" t="s">
        <v>177</v>
      </c>
      <c r="G3941" t="s">
        <v>180</v>
      </c>
    </row>
    <row r="3942" spans="1:7">
      <c r="A3942">
        <v>2024</v>
      </c>
      <c r="B3942" t="s">
        <v>191</v>
      </c>
      <c r="C3942">
        <v>0</v>
      </c>
      <c r="D3942" t="s">
        <v>175</v>
      </c>
      <c r="E3942" t="s">
        <v>182</v>
      </c>
      <c r="F3942" t="s">
        <v>177</v>
      </c>
      <c r="G3942" t="s">
        <v>180</v>
      </c>
    </row>
    <row r="3943" spans="1:7">
      <c r="A3943">
        <v>2025</v>
      </c>
      <c r="B3943" t="s">
        <v>191</v>
      </c>
      <c r="C3943">
        <v>0</v>
      </c>
      <c r="D3943" t="s">
        <v>175</v>
      </c>
      <c r="E3943" t="s">
        <v>182</v>
      </c>
      <c r="F3943" t="s">
        <v>177</v>
      </c>
      <c r="G3943" t="s">
        <v>180</v>
      </c>
    </row>
    <row r="3944" spans="1:7">
      <c r="A3944">
        <v>2026</v>
      </c>
      <c r="B3944" t="s">
        <v>191</v>
      </c>
      <c r="C3944">
        <v>0</v>
      </c>
      <c r="D3944" t="s">
        <v>175</v>
      </c>
      <c r="E3944" t="s">
        <v>182</v>
      </c>
      <c r="F3944" t="s">
        <v>177</v>
      </c>
      <c r="G3944" t="s">
        <v>180</v>
      </c>
    </row>
    <row r="3945" spans="1:7">
      <c r="A3945">
        <v>2027</v>
      </c>
      <c r="B3945" t="s">
        <v>191</v>
      </c>
      <c r="C3945">
        <v>0</v>
      </c>
      <c r="D3945" t="s">
        <v>175</v>
      </c>
      <c r="E3945" t="s">
        <v>182</v>
      </c>
      <c r="F3945" t="s">
        <v>177</v>
      </c>
      <c r="G3945" t="s">
        <v>180</v>
      </c>
    </row>
    <row r="3946" spans="1:7">
      <c r="A3946">
        <v>2028</v>
      </c>
      <c r="B3946" t="s">
        <v>191</v>
      </c>
      <c r="C3946">
        <v>0</v>
      </c>
      <c r="D3946" t="s">
        <v>175</v>
      </c>
      <c r="E3946" t="s">
        <v>182</v>
      </c>
      <c r="F3946" t="s">
        <v>177</v>
      </c>
      <c r="G3946" t="s">
        <v>180</v>
      </c>
    </row>
    <row r="3947" spans="1:7">
      <c r="A3947">
        <v>2029</v>
      </c>
      <c r="B3947" t="s">
        <v>191</v>
      </c>
      <c r="C3947">
        <v>0</v>
      </c>
      <c r="D3947" t="s">
        <v>175</v>
      </c>
      <c r="E3947" t="s">
        <v>182</v>
      </c>
      <c r="F3947" t="s">
        <v>177</v>
      </c>
      <c r="G3947" t="s">
        <v>180</v>
      </c>
    </row>
    <row r="3948" spans="1:7">
      <c r="A3948">
        <v>2030</v>
      </c>
      <c r="B3948" t="s">
        <v>191</v>
      </c>
      <c r="C3948">
        <v>0</v>
      </c>
      <c r="D3948" t="s">
        <v>175</v>
      </c>
      <c r="E3948" t="s">
        <v>182</v>
      </c>
      <c r="F3948" t="s">
        <v>177</v>
      </c>
      <c r="G3948" t="s">
        <v>180</v>
      </c>
    </row>
    <row r="3949" spans="1:7">
      <c r="A3949">
        <v>2031</v>
      </c>
      <c r="B3949" t="s">
        <v>191</v>
      </c>
      <c r="C3949">
        <v>0</v>
      </c>
      <c r="D3949" t="s">
        <v>175</v>
      </c>
      <c r="E3949" t="s">
        <v>182</v>
      </c>
      <c r="F3949" t="s">
        <v>177</v>
      </c>
      <c r="G3949" t="s">
        <v>180</v>
      </c>
    </row>
    <row r="3950" spans="1:7">
      <c r="A3950">
        <v>2032</v>
      </c>
      <c r="B3950" t="s">
        <v>191</v>
      </c>
      <c r="C3950">
        <v>0</v>
      </c>
      <c r="D3950" t="s">
        <v>175</v>
      </c>
      <c r="E3950" t="s">
        <v>182</v>
      </c>
      <c r="F3950" t="s">
        <v>177</v>
      </c>
      <c r="G3950" t="s">
        <v>180</v>
      </c>
    </row>
    <row r="3951" spans="1:7">
      <c r="A3951">
        <v>2033</v>
      </c>
      <c r="B3951" t="s">
        <v>191</v>
      </c>
      <c r="C3951">
        <v>0</v>
      </c>
      <c r="D3951" t="s">
        <v>175</v>
      </c>
      <c r="E3951" t="s">
        <v>182</v>
      </c>
      <c r="F3951" t="s">
        <v>177</v>
      </c>
      <c r="G3951" t="s">
        <v>180</v>
      </c>
    </row>
    <row r="3952" spans="1:7">
      <c r="A3952">
        <v>2034</v>
      </c>
      <c r="B3952" t="s">
        <v>191</v>
      </c>
      <c r="C3952">
        <v>0</v>
      </c>
      <c r="D3952" t="s">
        <v>175</v>
      </c>
      <c r="E3952" t="s">
        <v>182</v>
      </c>
      <c r="F3952" t="s">
        <v>177</v>
      </c>
      <c r="G3952" t="s">
        <v>180</v>
      </c>
    </row>
    <row r="3953" spans="1:7">
      <c r="A3953">
        <v>2035</v>
      </c>
      <c r="B3953" t="s">
        <v>191</v>
      </c>
      <c r="C3953">
        <v>0</v>
      </c>
      <c r="D3953" t="s">
        <v>175</v>
      </c>
      <c r="E3953" t="s">
        <v>182</v>
      </c>
      <c r="F3953" t="s">
        <v>177</v>
      </c>
      <c r="G3953" t="s">
        <v>180</v>
      </c>
    </row>
    <row r="3954" spans="1:7">
      <c r="A3954">
        <v>2020</v>
      </c>
      <c r="B3954" t="s">
        <v>192</v>
      </c>
      <c r="C3954">
        <v>2384.84</v>
      </c>
      <c r="D3954" t="s">
        <v>175</v>
      </c>
      <c r="E3954" t="s">
        <v>182</v>
      </c>
      <c r="F3954" t="s">
        <v>177</v>
      </c>
      <c r="G3954" t="s">
        <v>180</v>
      </c>
    </row>
    <row r="3955" spans="1:7">
      <c r="A3955">
        <v>2021</v>
      </c>
      <c r="B3955" t="s">
        <v>192</v>
      </c>
      <c r="C3955">
        <v>11</v>
      </c>
      <c r="D3955" t="s">
        <v>175</v>
      </c>
      <c r="E3955" t="s">
        <v>182</v>
      </c>
      <c r="F3955" t="s">
        <v>177</v>
      </c>
      <c r="G3955" t="s">
        <v>180</v>
      </c>
    </row>
    <row r="3956" spans="1:7">
      <c r="A3956">
        <v>2022</v>
      </c>
      <c r="B3956" t="s">
        <v>192</v>
      </c>
      <c r="C3956">
        <v>11</v>
      </c>
      <c r="D3956" t="s">
        <v>175</v>
      </c>
      <c r="E3956" t="s">
        <v>182</v>
      </c>
      <c r="F3956" t="s">
        <v>177</v>
      </c>
      <c r="G3956" t="s">
        <v>180</v>
      </c>
    </row>
    <row r="3957" spans="1:7">
      <c r="A3957">
        <v>2023</v>
      </c>
      <c r="B3957" t="s">
        <v>192</v>
      </c>
      <c r="C3957">
        <v>74.482399999999998</v>
      </c>
      <c r="D3957" t="s">
        <v>175</v>
      </c>
      <c r="E3957" t="s">
        <v>182</v>
      </c>
      <c r="F3957" t="s">
        <v>177</v>
      </c>
      <c r="G3957" t="s">
        <v>180</v>
      </c>
    </row>
    <row r="3958" spans="1:7">
      <c r="A3958">
        <v>2024</v>
      </c>
      <c r="B3958" t="s">
        <v>192</v>
      </c>
      <c r="C3958">
        <v>74.482399999999998</v>
      </c>
      <c r="D3958" t="s">
        <v>175</v>
      </c>
      <c r="E3958" t="s">
        <v>182</v>
      </c>
      <c r="F3958" t="s">
        <v>177</v>
      </c>
      <c r="G3958" t="s">
        <v>180</v>
      </c>
    </row>
    <row r="3959" spans="1:7">
      <c r="A3959">
        <v>2025</v>
      </c>
      <c r="B3959" t="s">
        <v>192</v>
      </c>
      <c r="C3959">
        <v>37</v>
      </c>
      <c r="D3959" t="s">
        <v>175</v>
      </c>
      <c r="E3959" t="s">
        <v>182</v>
      </c>
      <c r="F3959" t="s">
        <v>177</v>
      </c>
      <c r="G3959" t="s">
        <v>180</v>
      </c>
    </row>
    <row r="3960" spans="1:7">
      <c r="A3960">
        <v>2026</v>
      </c>
      <c r="B3960" t="s">
        <v>192</v>
      </c>
      <c r="C3960">
        <v>37</v>
      </c>
      <c r="D3960" t="s">
        <v>175</v>
      </c>
      <c r="E3960" t="s">
        <v>182</v>
      </c>
      <c r="F3960" t="s">
        <v>177</v>
      </c>
      <c r="G3960" t="s">
        <v>180</v>
      </c>
    </row>
    <row r="3961" spans="1:7">
      <c r="A3961">
        <v>2027</v>
      </c>
      <c r="B3961" t="s">
        <v>192</v>
      </c>
      <c r="C3961">
        <v>21</v>
      </c>
      <c r="D3961" t="s">
        <v>175</v>
      </c>
      <c r="E3961" t="s">
        <v>182</v>
      </c>
      <c r="F3961" t="s">
        <v>177</v>
      </c>
      <c r="G3961" t="s">
        <v>180</v>
      </c>
    </row>
    <row r="3962" spans="1:7">
      <c r="A3962">
        <v>2028</v>
      </c>
      <c r="B3962" t="s">
        <v>192</v>
      </c>
      <c r="C3962">
        <v>21</v>
      </c>
      <c r="D3962" t="s">
        <v>175</v>
      </c>
      <c r="E3962" t="s">
        <v>182</v>
      </c>
      <c r="F3962" t="s">
        <v>177</v>
      </c>
      <c r="G3962" t="s">
        <v>180</v>
      </c>
    </row>
    <row r="3963" spans="1:7">
      <c r="A3963">
        <v>2029</v>
      </c>
      <c r="B3963" t="s">
        <v>192</v>
      </c>
      <c r="C3963">
        <v>8</v>
      </c>
      <c r="D3963" t="s">
        <v>175</v>
      </c>
      <c r="E3963" t="s">
        <v>182</v>
      </c>
      <c r="F3963" t="s">
        <v>177</v>
      </c>
      <c r="G3963" t="s">
        <v>180</v>
      </c>
    </row>
    <row r="3964" spans="1:7">
      <c r="A3964">
        <v>2030</v>
      </c>
      <c r="B3964" t="s">
        <v>192</v>
      </c>
      <c r="C3964">
        <v>8</v>
      </c>
      <c r="D3964" t="s">
        <v>175</v>
      </c>
      <c r="E3964" t="s">
        <v>182</v>
      </c>
      <c r="F3964" t="s">
        <v>177</v>
      </c>
      <c r="G3964" t="s">
        <v>180</v>
      </c>
    </row>
    <row r="3965" spans="1:7">
      <c r="A3965">
        <v>2031</v>
      </c>
      <c r="B3965" t="s">
        <v>192</v>
      </c>
      <c r="C3965">
        <v>0</v>
      </c>
      <c r="D3965" t="s">
        <v>175</v>
      </c>
      <c r="E3965" t="s">
        <v>182</v>
      </c>
      <c r="F3965" t="s">
        <v>177</v>
      </c>
      <c r="G3965" t="s">
        <v>180</v>
      </c>
    </row>
    <row r="3966" spans="1:7">
      <c r="A3966">
        <v>2032</v>
      </c>
      <c r="B3966" t="s">
        <v>192</v>
      </c>
      <c r="C3966">
        <v>0</v>
      </c>
      <c r="D3966" t="s">
        <v>175</v>
      </c>
      <c r="E3966" t="s">
        <v>182</v>
      </c>
      <c r="F3966" t="s">
        <v>177</v>
      </c>
      <c r="G3966" t="s">
        <v>180</v>
      </c>
    </row>
    <row r="3967" spans="1:7">
      <c r="A3967">
        <v>2033</v>
      </c>
      <c r="B3967" t="s">
        <v>192</v>
      </c>
      <c r="C3967">
        <v>0</v>
      </c>
      <c r="D3967" t="s">
        <v>175</v>
      </c>
      <c r="E3967" t="s">
        <v>182</v>
      </c>
      <c r="F3967" t="s">
        <v>177</v>
      </c>
      <c r="G3967" t="s">
        <v>180</v>
      </c>
    </row>
    <row r="3968" spans="1:7">
      <c r="A3968">
        <v>2034</v>
      </c>
      <c r="B3968" t="s">
        <v>192</v>
      </c>
      <c r="C3968">
        <v>0</v>
      </c>
      <c r="D3968" t="s">
        <v>175</v>
      </c>
      <c r="E3968" t="s">
        <v>182</v>
      </c>
      <c r="F3968" t="s">
        <v>177</v>
      </c>
      <c r="G3968" t="s">
        <v>180</v>
      </c>
    </row>
    <row r="3969" spans="1:7">
      <c r="A3969">
        <v>2035</v>
      </c>
      <c r="B3969" t="s">
        <v>192</v>
      </c>
      <c r="C3969">
        <v>0</v>
      </c>
      <c r="D3969" t="s">
        <v>175</v>
      </c>
      <c r="E3969" t="s">
        <v>182</v>
      </c>
      <c r="F3969" t="s">
        <v>177</v>
      </c>
      <c r="G3969" t="s">
        <v>180</v>
      </c>
    </row>
    <row r="3970" spans="1:7">
      <c r="A3970">
        <v>2020</v>
      </c>
      <c r="B3970" t="s">
        <v>193</v>
      </c>
      <c r="C3970">
        <v>232.5</v>
      </c>
      <c r="D3970" t="s">
        <v>175</v>
      </c>
      <c r="E3970" t="s">
        <v>182</v>
      </c>
      <c r="F3970" t="s">
        <v>177</v>
      </c>
      <c r="G3970" t="s">
        <v>180</v>
      </c>
    </row>
    <row r="3971" spans="1:7">
      <c r="A3971">
        <v>2021</v>
      </c>
      <c r="B3971" t="s">
        <v>193</v>
      </c>
      <c r="C3971">
        <v>1100</v>
      </c>
      <c r="D3971" t="s">
        <v>175</v>
      </c>
      <c r="E3971" t="s">
        <v>182</v>
      </c>
      <c r="F3971" t="s">
        <v>177</v>
      </c>
      <c r="G3971" t="s">
        <v>180</v>
      </c>
    </row>
    <row r="3972" spans="1:7">
      <c r="A3972">
        <v>2022</v>
      </c>
      <c r="B3972" t="s">
        <v>193</v>
      </c>
      <c r="C3972">
        <v>1100</v>
      </c>
      <c r="D3972" t="s">
        <v>175</v>
      </c>
      <c r="E3972" t="s">
        <v>182</v>
      </c>
      <c r="F3972" t="s">
        <v>177</v>
      </c>
      <c r="G3972" t="s">
        <v>180</v>
      </c>
    </row>
    <row r="3973" spans="1:7">
      <c r="A3973">
        <v>2023</v>
      </c>
      <c r="B3973" t="s">
        <v>193</v>
      </c>
      <c r="C3973">
        <v>0</v>
      </c>
      <c r="D3973" t="s">
        <v>175</v>
      </c>
      <c r="E3973" t="s">
        <v>182</v>
      </c>
      <c r="F3973" t="s">
        <v>177</v>
      </c>
      <c r="G3973" t="s">
        <v>180</v>
      </c>
    </row>
    <row r="3974" spans="1:7">
      <c r="A3974">
        <v>2024</v>
      </c>
      <c r="B3974" t="s">
        <v>193</v>
      </c>
      <c r="C3974">
        <v>0</v>
      </c>
      <c r="D3974" t="s">
        <v>175</v>
      </c>
      <c r="E3974" t="s">
        <v>182</v>
      </c>
      <c r="F3974" t="s">
        <v>177</v>
      </c>
      <c r="G3974" t="s">
        <v>180</v>
      </c>
    </row>
    <row r="3975" spans="1:7">
      <c r="A3975">
        <v>2025</v>
      </c>
      <c r="B3975" t="s">
        <v>193</v>
      </c>
      <c r="C3975">
        <v>0</v>
      </c>
      <c r="D3975" t="s">
        <v>175</v>
      </c>
      <c r="E3975" t="s">
        <v>182</v>
      </c>
      <c r="F3975" t="s">
        <v>177</v>
      </c>
      <c r="G3975" t="s">
        <v>180</v>
      </c>
    </row>
    <row r="3976" spans="1:7">
      <c r="A3976">
        <v>2026</v>
      </c>
      <c r="B3976" t="s">
        <v>193</v>
      </c>
      <c r="C3976">
        <v>0</v>
      </c>
      <c r="D3976" t="s">
        <v>175</v>
      </c>
      <c r="E3976" t="s">
        <v>182</v>
      </c>
      <c r="F3976" t="s">
        <v>177</v>
      </c>
      <c r="G3976" t="s">
        <v>180</v>
      </c>
    </row>
    <row r="3977" spans="1:7">
      <c r="A3977">
        <v>2027</v>
      </c>
      <c r="B3977" t="s">
        <v>193</v>
      </c>
      <c r="C3977">
        <v>0</v>
      </c>
      <c r="D3977" t="s">
        <v>175</v>
      </c>
      <c r="E3977" t="s">
        <v>182</v>
      </c>
      <c r="F3977" t="s">
        <v>177</v>
      </c>
      <c r="G3977" t="s">
        <v>180</v>
      </c>
    </row>
    <row r="3978" spans="1:7">
      <c r="A3978">
        <v>2028</v>
      </c>
      <c r="B3978" t="s">
        <v>193</v>
      </c>
      <c r="C3978">
        <v>0</v>
      </c>
      <c r="D3978" t="s">
        <v>175</v>
      </c>
      <c r="E3978" t="s">
        <v>182</v>
      </c>
      <c r="F3978" t="s">
        <v>177</v>
      </c>
      <c r="G3978" t="s">
        <v>180</v>
      </c>
    </row>
    <row r="3979" spans="1:7">
      <c r="A3979">
        <v>2029</v>
      </c>
      <c r="B3979" t="s">
        <v>193</v>
      </c>
      <c r="C3979">
        <v>0</v>
      </c>
      <c r="D3979" t="s">
        <v>175</v>
      </c>
      <c r="E3979" t="s">
        <v>182</v>
      </c>
      <c r="F3979" t="s">
        <v>177</v>
      </c>
      <c r="G3979" t="s">
        <v>180</v>
      </c>
    </row>
    <row r="3980" spans="1:7">
      <c r="A3980">
        <v>2030</v>
      </c>
      <c r="B3980" t="s">
        <v>193</v>
      </c>
      <c r="C3980">
        <v>0</v>
      </c>
      <c r="D3980" t="s">
        <v>175</v>
      </c>
      <c r="E3980" t="s">
        <v>182</v>
      </c>
      <c r="F3980" t="s">
        <v>177</v>
      </c>
      <c r="G3980" t="s">
        <v>180</v>
      </c>
    </row>
    <row r="3981" spans="1:7">
      <c r="A3981">
        <v>2031</v>
      </c>
      <c r="B3981" t="s">
        <v>193</v>
      </c>
      <c r="C3981">
        <v>0</v>
      </c>
      <c r="D3981" t="s">
        <v>175</v>
      </c>
      <c r="E3981" t="s">
        <v>182</v>
      </c>
      <c r="F3981" t="s">
        <v>177</v>
      </c>
      <c r="G3981" t="s">
        <v>180</v>
      </c>
    </row>
    <row r="3982" spans="1:7">
      <c r="A3982">
        <v>2032</v>
      </c>
      <c r="B3982" t="s">
        <v>193</v>
      </c>
      <c r="C3982">
        <v>0</v>
      </c>
      <c r="D3982" t="s">
        <v>175</v>
      </c>
      <c r="E3982" t="s">
        <v>182</v>
      </c>
      <c r="F3982" t="s">
        <v>177</v>
      </c>
      <c r="G3982" t="s">
        <v>180</v>
      </c>
    </row>
    <row r="3983" spans="1:7">
      <c r="A3983">
        <v>2033</v>
      </c>
      <c r="B3983" t="s">
        <v>193</v>
      </c>
      <c r="C3983">
        <v>0</v>
      </c>
      <c r="D3983" t="s">
        <v>175</v>
      </c>
      <c r="E3983" t="s">
        <v>182</v>
      </c>
      <c r="F3983" t="s">
        <v>177</v>
      </c>
      <c r="G3983" t="s">
        <v>180</v>
      </c>
    </row>
    <row r="3984" spans="1:7">
      <c r="A3984">
        <v>2034</v>
      </c>
      <c r="B3984" t="s">
        <v>193</v>
      </c>
      <c r="C3984">
        <v>0</v>
      </c>
      <c r="D3984" t="s">
        <v>175</v>
      </c>
      <c r="E3984" t="s">
        <v>182</v>
      </c>
      <c r="F3984" t="s">
        <v>177</v>
      </c>
      <c r="G3984" t="s">
        <v>180</v>
      </c>
    </row>
    <row r="3985" spans="1:7">
      <c r="A3985">
        <v>2035</v>
      </c>
      <c r="B3985" t="s">
        <v>193</v>
      </c>
      <c r="C3985">
        <v>0</v>
      </c>
      <c r="D3985" t="s">
        <v>175</v>
      </c>
      <c r="E3985" t="s">
        <v>182</v>
      </c>
      <c r="F3985" t="s">
        <v>177</v>
      </c>
      <c r="G3985" t="s">
        <v>180</v>
      </c>
    </row>
    <row r="3986" spans="1:7">
      <c r="A3986">
        <v>2020</v>
      </c>
      <c r="B3986" t="s">
        <v>194</v>
      </c>
      <c r="C3986">
        <v>14.85</v>
      </c>
      <c r="D3986" t="s">
        <v>175</v>
      </c>
      <c r="E3986" t="s">
        <v>182</v>
      </c>
      <c r="F3986" t="s">
        <v>177</v>
      </c>
      <c r="G3986" t="s">
        <v>180</v>
      </c>
    </row>
    <row r="3987" spans="1:7">
      <c r="A3987">
        <v>2021</v>
      </c>
      <c r="B3987" t="s">
        <v>194</v>
      </c>
      <c r="C3987">
        <v>0</v>
      </c>
      <c r="D3987" t="s">
        <v>175</v>
      </c>
      <c r="E3987" t="s">
        <v>182</v>
      </c>
      <c r="F3987" t="s">
        <v>177</v>
      </c>
      <c r="G3987" t="s">
        <v>180</v>
      </c>
    </row>
    <row r="3988" spans="1:7">
      <c r="A3988">
        <v>2022</v>
      </c>
      <c r="B3988" t="s">
        <v>194</v>
      </c>
      <c r="C3988">
        <v>0</v>
      </c>
      <c r="D3988" t="s">
        <v>175</v>
      </c>
      <c r="E3988" t="s">
        <v>182</v>
      </c>
      <c r="F3988" t="s">
        <v>177</v>
      </c>
      <c r="G3988" t="s">
        <v>180</v>
      </c>
    </row>
    <row r="3989" spans="1:7">
      <c r="A3989">
        <v>2023</v>
      </c>
      <c r="B3989" t="s">
        <v>194</v>
      </c>
      <c r="C3989">
        <v>0</v>
      </c>
      <c r="D3989" t="s">
        <v>175</v>
      </c>
      <c r="E3989" t="s">
        <v>182</v>
      </c>
      <c r="F3989" t="s">
        <v>177</v>
      </c>
      <c r="G3989" t="s">
        <v>180</v>
      </c>
    </row>
    <row r="3990" spans="1:7">
      <c r="A3990">
        <v>2024</v>
      </c>
      <c r="B3990" t="s">
        <v>194</v>
      </c>
      <c r="C3990">
        <v>0</v>
      </c>
      <c r="D3990" t="s">
        <v>175</v>
      </c>
      <c r="E3990" t="s">
        <v>182</v>
      </c>
      <c r="F3990" t="s">
        <v>177</v>
      </c>
      <c r="G3990" t="s">
        <v>180</v>
      </c>
    </row>
    <row r="3991" spans="1:7">
      <c r="A3991">
        <v>2025</v>
      </c>
      <c r="B3991" t="s">
        <v>194</v>
      </c>
      <c r="C3991">
        <v>0</v>
      </c>
      <c r="D3991" t="s">
        <v>175</v>
      </c>
      <c r="E3991" t="s">
        <v>182</v>
      </c>
      <c r="F3991" t="s">
        <v>177</v>
      </c>
      <c r="G3991" t="s">
        <v>180</v>
      </c>
    </row>
    <row r="3992" spans="1:7">
      <c r="A3992">
        <v>2026</v>
      </c>
      <c r="B3992" t="s">
        <v>194</v>
      </c>
      <c r="C3992">
        <v>0</v>
      </c>
      <c r="D3992" t="s">
        <v>175</v>
      </c>
      <c r="E3992" t="s">
        <v>182</v>
      </c>
      <c r="F3992" t="s">
        <v>177</v>
      </c>
      <c r="G3992" t="s">
        <v>180</v>
      </c>
    </row>
    <row r="3993" spans="1:7">
      <c r="A3993">
        <v>2027</v>
      </c>
      <c r="B3993" t="s">
        <v>194</v>
      </c>
      <c r="C3993">
        <v>0</v>
      </c>
      <c r="D3993" t="s">
        <v>175</v>
      </c>
      <c r="E3993" t="s">
        <v>182</v>
      </c>
      <c r="F3993" t="s">
        <v>177</v>
      </c>
      <c r="G3993" t="s">
        <v>180</v>
      </c>
    </row>
    <row r="3994" spans="1:7">
      <c r="A3994">
        <v>2028</v>
      </c>
      <c r="B3994" t="s">
        <v>194</v>
      </c>
      <c r="C3994">
        <v>0</v>
      </c>
      <c r="D3994" t="s">
        <v>175</v>
      </c>
      <c r="E3994" t="s">
        <v>182</v>
      </c>
      <c r="F3994" t="s">
        <v>177</v>
      </c>
      <c r="G3994" t="s">
        <v>180</v>
      </c>
    </row>
    <row r="3995" spans="1:7">
      <c r="A3995">
        <v>2029</v>
      </c>
      <c r="B3995" t="s">
        <v>194</v>
      </c>
      <c r="C3995">
        <v>0</v>
      </c>
      <c r="D3995" t="s">
        <v>175</v>
      </c>
      <c r="E3995" t="s">
        <v>182</v>
      </c>
      <c r="F3995" t="s">
        <v>177</v>
      </c>
      <c r="G3995" t="s">
        <v>180</v>
      </c>
    </row>
    <row r="3996" spans="1:7">
      <c r="A3996">
        <v>2030</v>
      </c>
      <c r="B3996" t="s">
        <v>194</v>
      </c>
      <c r="C3996">
        <v>0</v>
      </c>
      <c r="D3996" t="s">
        <v>175</v>
      </c>
      <c r="E3996" t="s">
        <v>182</v>
      </c>
      <c r="F3996" t="s">
        <v>177</v>
      </c>
      <c r="G3996" t="s">
        <v>180</v>
      </c>
    </row>
    <row r="3997" spans="1:7">
      <c r="A3997">
        <v>2031</v>
      </c>
      <c r="B3997" t="s">
        <v>194</v>
      </c>
      <c r="C3997">
        <v>0</v>
      </c>
      <c r="D3997" t="s">
        <v>175</v>
      </c>
      <c r="E3997" t="s">
        <v>182</v>
      </c>
      <c r="F3997" t="s">
        <v>177</v>
      </c>
      <c r="G3997" t="s">
        <v>180</v>
      </c>
    </row>
    <row r="3998" spans="1:7">
      <c r="A3998">
        <v>2032</v>
      </c>
      <c r="B3998" t="s">
        <v>194</v>
      </c>
      <c r="C3998">
        <v>0</v>
      </c>
      <c r="D3998" t="s">
        <v>175</v>
      </c>
      <c r="E3998" t="s">
        <v>182</v>
      </c>
      <c r="F3998" t="s">
        <v>177</v>
      </c>
      <c r="G3998" t="s">
        <v>180</v>
      </c>
    </row>
    <row r="3999" spans="1:7">
      <c r="A3999">
        <v>2033</v>
      </c>
      <c r="B3999" t="s">
        <v>194</v>
      </c>
      <c r="C3999">
        <v>0</v>
      </c>
      <c r="D3999" t="s">
        <v>175</v>
      </c>
      <c r="E3999" t="s">
        <v>182</v>
      </c>
      <c r="F3999" t="s">
        <v>177</v>
      </c>
      <c r="G3999" t="s">
        <v>180</v>
      </c>
    </row>
    <row r="4000" spans="1:7">
      <c r="A4000">
        <v>2034</v>
      </c>
      <c r="B4000" t="s">
        <v>194</v>
      </c>
      <c r="C4000">
        <v>0</v>
      </c>
      <c r="D4000" t="s">
        <v>175</v>
      </c>
      <c r="E4000" t="s">
        <v>182</v>
      </c>
      <c r="F4000" t="s">
        <v>177</v>
      </c>
      <c r="G4000" t="s">
        <v>180</v>
      </c>
    </row>
    <row r="4001" spans="1:7">
      <c r="A4001">
        <v>2035</v>
      </c>
      <c r="B4001" t="s">
        <v>194</v>
      </c>
      <c r="C4001">
        <v>0</v>
      </c>
      <c r="D4001" t="s">
        <v>175</v>
      </c>
      <c r="E4001" t="s">
        <v>182</v>
      </c>
      <c r="F4001" t="s">
        <v>177</v>
      </c>
      <c r="G4001" t="s">
        <v>180</v>
      </c>
    </row>
    <row r="4002" spans="1:7">
      <c r="A4002">
        <v>2020</v>
      </c>
      <c r="B4002" t="s">
        <v>195</v>
      </c>
      <c r="C4002">
        <v>14388.7</v>
      </c>
      <c r="D4002" t="s">
        <v>175</v>
      </c>
      <c r="E4002" t="s">
        <v>182</v>
      </c>
      <c r="F4002" t="s">
        <v>177</v>
      </c>
      <c r="G4002" t="s">
        <v>180</v>
      </c>
    </row>
    <row r="4003" spans="1:7">
      <c r="A4003">
        <v>2021</v>
      </c>
      <c r="B4003" t="s">
        <v>195</v>
      </c>
      <c r="C4003">
        <v>81698.7</v>
      </c>
      <c r="D4003" t="s">
        <v>175</v>
      </c>
      <c r="E4003" t="s">
        <v>182</v>
      </c>
      <c r="F4003" t="s">
        <v>177</v>
      </c>
      <c r="G4003" t="s">
        <v>180</v>
      </c>
    </row>
    <row r="4004" spans="1:7">
      <c r="A4004">
        <v>2022</v>
      </c>
      <c r="B4004" t="s">
        <v>195</v>
      </c>
      <c r="C4004">
        <v>81698.7</v>
      </c>
      <c r="D4004" t="s">
        <v>175</v>
      </c>
      <c r="E4004" t="s">
        <v>182</v>
      </c>
      <c r="F4004" t="s">
        <v>177</v>
      </c>
      <c r="G4004" t="s">
        <v>180</v>
      </c>
    </row>
    <row r="4005" spans="1:7">
      <c r="A4005">
        <v>2023</v>
      </c>
      <c r="B4005" t="s">
        <v>195</v>
      </c>
      <c r="C4005">
        <v>37248.199999999997</v>
      </c>
      <c r="D4005" t="s">
        <v>175</v>
      </c>
      <c r="E4005" t="s">
        <v>182</v>
      </c>
      <c r="F4005" t="s">
        <v>177</v>
      </c>
      <c r="G4005" t="s">
        <v>180</v>
      </c>
    </row>
    <row r="4006" spans="1:7">
      <c r="A4006">
        <v>2024</v>
      </c>
      <c r="B4006" t="s">
        <v>195</v>
      </c>
      <c r="C4006">
        <v>37248.199999999997</v>
      </c>
      <c r="D4006" t="s">
        <v>175</v>
      </c>
      <c r="E4006" t="s">
        <v>182</v>
      </c>
      <c r="F4006" t="s">
        <v>177</v>
      </c>
      <c r="G4006" t="s">
        <v>180</v>
      </c>
    </row>
    <row r="4007" spans="1:7">
      <c r="A4007">
        <v>2025</v>
      </c>
      <c r="B4007" t="s">
        <v>195</v>
      </c>
      <c r="C4007">
        <v>8439.2800000000007</v>
      </c>
      <c r="D4007" t="s">
        <v>175</v>
      </c>
      <c r="E4007" t="s">
        <v>182</v>
      </c>
      <c r="F4007" t="s">
        <v>177</v>
      </c>
      <c r="G4007" t="s">
        <v>180</v>
      </c>
    </row>
    <row r="4008" spans="1:7">
      <c r="A4008">
        <v>2026</v>
      </c>
      <c r="B4008" t="s">
        <v>195</v>
      </c>
      <c r="C4008">
        <v>8439.2800000000007</v>
      </c>
      <c r="D4008" t="s">
        <v>175</v>
      </c>
      <c r="E4008" t="s">
        <v>182</v>
      </c>
      <c r="F4008" t="s">
        <v>177</v>
      </c>
      <c r="G4008" t="s">
        <v>180</v>
      </c>
    </row>
    <row r="4009" spans="1:7">
      <c r="A4009">
        <v>2027</v>
      </c>
      <c r="B4009" t="s">
        <v>195</v>
      </c>
      <c r="C4009">
        <v>17782.400000000001</v>
      </c>
      <c r="D4009" t="s">
        <v>175</v>
      </c>
      <c r="E4009" t="s">
        <v>182</v>
      </c>
      <c r="F4009" t="s">
        <v>177</v>
      </c>
      <c r="G4009" t="s">
        <v>180</v>
      </c>
    </row>
    <row r="4010" spans="1:7">
      <c r="A4010">
        <v>2028</v>
      </c>
      <c r="B4010" t="s">
        <v>195</v>
      </c>
      <c r="C4010">
        <v>17782.400000000001</v>
      </c>
      <c r="D4010" t="s">
        <v>175</v>
      </c>
      <c r="E4010" t="s">
        <v>182</v>
      </c>
      <c r="F4010" t="s">
        <v>177</v>
      </c>
      <c r="G4010" t="s">
        <v>180</v>
      </c>
    </row>
    <row r="4011" spans="1:7">
      <c r="A4011">
        <v>2029</v>
      </c>
      <c r="B4011" t="s">
        <v>195</v>
      </c>
      <c r="C4011">
        <v>15117.2</v>
      </c>
      <c r="D4011" t="s">
        <v>175</v>
      </c>
      <c r="E4011" t="s">
        <v>182</v>
      </c>
      <c r="F4011" t="s">
        <v>177</v>
      </c>
      <c r="G4011" t="s">
        <v>180</v>
      </c>
    </row>
    <row r="4012" spans="1:7">
      <c r="A4012">
        <v>2030</v>
      </c>
      <c r="B4012" t="s">
        <v>195</v>
      </c>
      <c r="C4012">
        <v>15117.2</v>
      </c>
      <c r="D4012" t="s">
        <v>175</v>
      </c>
      <c r="E4012" t="s">
        <v>182</v>
      </c>
      <c r="F4012" t="s">
        <v>177</v>
      </c>
      <c r="G4012" t="s">
        <v>180</v>
      </c>
    </row>
    <row r="4013" spans="1:7">
      <c r="A4013">
        <v>2031</v>
      </c>
      <c r="B4013" t="s">
        <v>195</v>
      </c>
      <c r="C4013">
        <v>8855.1299999999992</v>
      </c>
      <c r="D4013" t="s">
        <v>175</v>
      </c>
      <c r="E4013" t="s">
        <v>182</v>
      </c>
      <c r="F4013" t="s">
        <v>177</v>
      </c>
      <c r="G4013" t="s">
        <v>180</v>
      </c>
    </row>
    <row r="4014" spans="1:7">
      <c r="A4014">
        <v>2032</v>
      </c>
      <c r="B4014" t="s">
        <v>195</v>
      </c>
      <c r="C4014">
        <v>8855.1299999999992</v>
      </c>
      <c r="D4014" t="s">
        <v>175</v>
      </c>
      <c r="E4014" t="s">
        <v>182</v>
      </c>
      <c r="F4014" t="s">
        <v>177</v>
      </c>
      <c r="G4014" t="s">
        <v>180</v>
      </c>
    </row>
    <row r="4015" spans="1:7">
      <c r="A4015">
        <v>2033</v>
      </c>
      <c r="B4015" t="s">
        <v>195</v>
      </c>
      <c r="C4015">
        <v>12681.8</v>
      </c>
      <c r="D4015" t="s">
        <v>175</v>
      </c>
      <c r="E4015" t="s">
        <v>182</v>
      </c>
      <c r="F4015" t="s">
        <v>177</v>
      </c>
      <c r="G4015" t="s">
        <v>180</v>
      </c>
    </row>
    <row r="4016" spans="1:7">
      <c r="A4016">
        <v>2034</v>
      </c>
      <c r="B4016" t="s">
        <v>195</v>
      </c>
      <c r="C4016">
        <v>12681.8</v>
      </c>
      <c r="D4016" t="s">
        <v>175</v>
      </c>
      <c r="E4016" t="s">
        <v>182</v>
      </c>
      <c r="F4016" t="s">
        <v>177</v>
      </c>
      <c r="G4016" t="s">
        <v>180</v>
      </c>
    </row>
    <row r="4017" spans="1:7">
      <c r="A4017">
        <v>2035</v>
      </c>
      <c r="B4017" t="s">
        <v>195</v>
      </c>
      <c r="C4017">
        <v>12681.8</v>
      </c>
      <c r="D4017" t="s">
        <v>175</v>
      </c>
      <c r="E4017" t="s">
        <v>182</v>
      </c>
      <c r="F4017" t="s">
        <v>177</v>
      </c>
      <c r="G4017" t="s">
        <v>180</v>
      </c>
    </row>
    <row r="4018" spans="1:7">
      <c r="A4018">
        <v>2020</v>
      </c>
      <c r="B4018" t="s">
        <v>196</v>
      </c>
      <c r="C4018">
        <v>12334.1</v>
      </c>
      <c r="D4018" t="s">
        <v>175</v>
      </c>
      <c r="E4018" t="s">
        <v>182</v>
      </c>
      <c r="F4018" t="s">
        <v>177</v>
      </c>
      <c r="G4018" t="s">
        <v>180</v>
      </c>
    </row>
    <row r="4019" spans="1:7">
      <c r="A4019">
        <v>2021</v>
      </c>
      <c r="B4019" t="s">
        <v>196</v>
      </c>
      <c r="C4019">
        <v>69724.100000000006</v>
      </c>
      <c r="D4019" t="s">
        <v>175</v>
      </c>
      <c r="E4019" t="s">
        <v>182</v>
      </c>
      <c r="F4019" t="s">
        <v>177</v>
      </c>
      <c r="G4019" t="s">
        <v>180</v>
      </c>
    </row>
    <row r="4020" spans="1:7">
      <c r="A4020">
        <v>2022</v>
      </c>
      <c r="B4020" t="s">
        <v>196</v>
      </c>
      <c r="C4020">
        <v>69724.100000000006</v>
      </c>
      <c r="D4020" t="s">
        <v>175</v>
      </c>
      <c r="E4020" t="s">
        <v>182</v>
      </c>
      <c r="F4020" t="s">
        <v>177</v>
      </c>
      <c r="G4020" t="s">
        <v>180</v>
      </c>
    </row>
    <row r="4021" spans="1:7">
      <c r="A4021">
        <v>2023</v>
      </c>
      <c r="B4021" t="s">
        <v>196</v>
      </c>
      <c r="C4021">
        <v>9934.0300000000007</v>
      </c>
      <c r="D4021" t="s">
        <v>175</v>
      </c>
      <c r="E4021" t="s">
        <v>182</v>
      </c>
      <c r="F4021" t="s">
        <v>177</v>
      </c>
      <c r="G4021" t="s">
        <v>180</v>
      </c>
    </row>
    <row r="4022" spans="1:7">
      <c r="A4022">
        <v>2024</v>
      </c>
      <c r="B4022" t="s">
        <v>196</v>
      </c>
      <c r="C4022">
        <v>9934.0300000000007</v>
      </c>
      <c r="D4022" t="s">
        <v>175</v>
      </c>
      <c r="E4022" t="s">
        <v>182</v>
      </c>
      <c r="F4022" t="s">
        <v>177</v>
      </c>
      <c r="G4022" t="s">
        <v>180</v>
      </c>
    </row>
    <row r="4023" spans="1:7">
      <c r="A4023">
        <v>2025</v>
      </c>
      <c r="B4023" t="s">
        <v>196</v>
      </c>
      <c r="C4023">
        <v>34208.6</v>
      </c>
      <c r="D4023" t="s">
        <v>175</v>
      </c>
      <c r="E4023" t="s">
        <v>182</v>
      </c>
      <c r="F4023" t="s">
        <v>177</v>
      </c>
      <c r="G4023" t="s">
        <v>180</v>
      </c>
    </row>
    <row r="4024" spans="1:7">
      <c r="A4024">
        <v>2026</v>
      </c>
      <c r="B4024" t="s">
        <v>196</v>
      </c>
      <c r="C4024">
        <v>34208.6</v>
      </c>
      <c r="D4024" t="s">
        <v>175</v>
      </c>
      <c r="E4024" t="s">
        <v>182</v>
      </c>
      <c r="F4024" t="s">
        <v>177</v>
      </c>
      <c r="G4024" t="s">
        <v>180</v>
      </c>
    </row>
    <row r="4025" spans="1:7">
      <c r="A4025">
        <v>2027</v>
      </c>
      <c r="B4025" t="s">
        <v>196</v>
      </c>
      <c r="C4025">
        <v>15115.4</v>
      </c>
      <c r="D4025" t="s">
        <v>175</v>
      </c>
      <c r="E4025" t="s">
        <v>182</v>
      </c>
      <c r="F4025" t="s">
        <v>177</v>
      </c>
      <c r="G4025" t="s">
        <v>180</v>
      </c>
    </row>
    <row r="4026" spans="1:7">
      <c r="A4026">
        <v>2028</v>
      </c>
      <c r="B4026" t="s">
        <v>196</v>
      </c>
      <c r="C4026">
        <v>15115.4</v>
      </c>
      <c r="D4026" t="s">
        <v>175</v>
      </c>
      <c r="E4026" t="s">
        <v>182</v>
      </c>
      <c r="F4026" t="s">
        <v>177</v>
      </c>
      <c r="G4026" t="s">
        <v>180</v>
      </c>
    </row>
    <row r="4027" spans="1:7">
      <c r="A4027">
        <v>2029</v>
      </c>
      <c r="B4027" t="s">
        <v>196</v>
      </c>
      <c r="C4027">
        <v>19240.400000000001</v>
      </c>
      <c r="D4027" t="s">
        <v>175</v>
      </c>
      <c r="E4027" t="s">
        <v>182</v>
      </c>
      <c r="F4027" t="s">
        <v>177</v>
      </c>
      <c r="G4027" t="s">
        <v>180</v>
      </c>
    </row>
    <row r="4028" spans="1:7">
      <c r="A4028">
        <v>2030</v>
      </c>
      <c r="B4028" t="s">
        <v>196</v>
      </c>
      <c r="C4028">
        <v>19240.400000000001</v>
      </c>
      <c r="D4028" t="s">
        <v>175</v>
      </c>
      <c r="E4028" t="s">
        <v>182</v>
      </c>
      <c r="F4028" t="s">
        <v>177</v>
      </c>
      <c r="G4028" t="s">
        <v>180</v>
      </c>
    </row>
    <row r="4029" spans="1:7">
      <c r="A4029">
        <v>2031</v>
      </c>
      <c r="B4029" t="s">
        <v>196</v>
      </c>
      <c r="C4029">
        <v>18227.3</v>
      </c>
      <c r="D4029" t="s">
        <v>175</v>
      </c>
      <c r="E4029" t="s">
        <v>182</v>
      </c>
      <c r="F4029" t="s">
        <v>177</v>
      </c>
      <c r="G4029" t="s">
        <v>180</v>
      </c>
    </row>
    <row r="4030" spans="1:7">
      <c r="A4030">
        <v>2032</v>
      </c>
      <c r="B4030" t="s">
        <v>196</v>
      </c>
      <c r="C4030">
        <v>18227.3</v>
      </c>
      <c r="D4030" t="s">
        <v>175</v>
      </c>
      <c r="E4030" t="s">
        <v>182</v>
      </c>
      <c r="F4030" t="s">
        <v>177</v>
      </c>
      <c r="G4030" t="s">
        <v>180</v>
      </c>
    </row>
    <row r="4031" spans="1:7">
      <c r="A4031">
        <v>2033</v>
      </c>
      <c r="B4031" t="s">
        <v>196</v>
      </c>
      <c r="C4031">
        <v>22744.799999999999</v>
      </c>
      <c r="D4031" t="s">
        <v>175</v>
      </c>
      <c r="E4031" t="s">
        <v>182</v>
      </c>
      <c r="F4031" t="s">
        <v>177</v>
      </c>
      <c r="G4031" t="s">
        <v>180</v>
      </c>
    </row>
    <row r="4032" spans="1:7">
      <c r="A4032">
        <v>2034</v>
      </c>
      <c r="B4032" t="s">
        <v>196</v>
      </c>
      <c r="C4032">
        <v>22744.799999999999</v>
      </c>
      <c r="D4032" t="s">
        <v>175</v>
      </c>
      <c r="E4032" t="s">
        <v>182</v>
      </c>
      <c r="F4032" t="s">
        <v>177</v>
      </c>
      <c r="G4032" t="s">
        <v>180</v>
      </c>
    </row>
    <row r="4033" spans="1:7">
      <c r="A4033">
        <v>2035</v>
      </c>
      <c r="B4033" t="s">
        <v>196</v>
      </c>
      <c r="C4033">
        <v>22744.799999999999</v>
      </c>
      <c r="D4033" t="s">
        <v>175</v>
      </c>
      <c r="E4033" t="s">
        <v>182</v>
      </c>
      <c r="F4033" t="s">
        <v>177</v>
      </c>
      <c r="G4033" t="s">
        <v>180</v>
      </c>
    </row>
    <row r="4034" spans="1:7">
      <c r="A4034">
        <v>2020</v>
      </c>
      <c r="B4034" t="s">
        <v>188</v>
      </c>
      <c r="C4034">
        <v>102.45</v>
      </c>
      <c r="D4034" t="s">
        <v>184</v>
      </c>
      <c r="E4034" t="s">
        <v>182</v>
      </c>
      <c r="F4034" t="s">
        <v>177</v>
      </c>
      <c r="G4034" t="s">
        <v>178</v>
      </c>
    </row>
    <row r="4035" spans="1:7">
      <c r="A4035">
        <v>2021</v>
      </c>
      <c r="B4035" t="s">
        <v>188</v>
      </c>
      <c r="C4035">
        <v>9.5</v>
      </c>
      <c r="D4035" t="s">
        <v>184</v>
      </c>
      <c r="E4035" t="s">
        <v>182</v>
      </c>
      <c r="F4035" t="s">
        <v>177</v>
      </c>
      <c r="G4035" t="s">
        <v>178</v>
      </c>
    </row>
    <row r="4036" spans="1:7">
      <c r="A4036">
        <v>2022</v>
      </c>
      <c r="B4036" t="s">
        <v>188</v>
      </c>
      <c r="C4036">
        <v>9.5</v>
      </c>
      <c r="D4036" t="s">
        <v>184</v>
      </c>
      <c r="E4036" t="s">
        <v>182</v>
      </c>
      <c r="F4036" t="s">
        <v>177</v>
      </c>
      <c r="G4036" t="s">
        <v>178</v>
      </c>
    </row>
    <row r="4037" spans="1:7">
      <c r="A4037">
        <v>2023</v>
      </c>
      <c r="B4037" t="s">
        <v>188</v>
      </c>
      <c r="C4037">
        <v>0</v>
      </c>
      <c r="D4037" t="s">
        <v>184</v>
      </c>
      <c r="E4037" t="s">
        <v>182</v>
      </c>
      <c r="F4037" t="s">
        <v>177</v>
      </c>
      <c r="G4037" t="s">
        <v>178</v>
      </c>
    </row>
    <row r="4038" spans="1:7">
      <c r="A4038">
        <v>2024</v>
      </c>
      <c r="B4038" t="s">
        <v>188</v>
      </c>
      <c r="C4038">
        <v>0</v>
      </c>
      <c r="D4038" t="s">
        <v>184</v>
      </c>
      <c r="E4038" t="s">
        <v>182</v>
      </c>
      <c r="F4038" t="s">
        <v>177</v>
      </c>
      <c r="G4038" t="s">
        <v>178</v>
      </c>
    </row>
    <row r="4039" spans="1:7">
      <c r="A4039">
        <v>2025</v>
      </c>
      <c r="B4039" t="s">
        <v>188</v>
      </c>
      <c r="C4039">
        <v>0</v>
      </c>
      <c r="D4039" t="s">
        <v>184</v>
      </c>
      <c r="E4039" t="s">
        <v>182</v>
      </c>
      <c r="F4039" t="s">
        <v>177</v>
      </c>
      <c r="G4039" t="s">
        <v>178</v>
      </c>
    </row>
    <row r="4040" spans="1:7">
      <c r="A4040">
        <v>2026</v>
      </c>
      <c r="B4040" t="s">
        <v>188</v>
      </c>
      <c r="C4040">
        <v>0</v>
      </c>
      <c r="D4040" t="s">
        <v>184</v>
      </c>
      <c r="E4040" t="s">
        <v>182</v>
      </c>
      <c r="F4040" t="s">
        <v>177</v>
      </c>
      <c r="G4040" t="s">
        <v>178</v>
      </c>
    </row>
    <row r="4041" spans="1:7">
      <c r="A4041">
        <v>2027</v>
      </c>
      <c r="B4041" t="s">
        <v>188</v>
      </c>
      <c r="C4041">
        <v>0</v>
      </c>
      <c r="D4041" t="s">
        <v>184</v>
      </c>
      <c r="E4041" t="s">
        <v>182</v>
      </c>
      <c r="F4041" t="s">
        <v>177</v>
      </c>
      <c r="G4041" t="s">
        <v>178</v>
      </c>
    </row>
    <row r="4042" spans="1:7">
      <c r="A4042">
        <v>2028</v>
      </c>
      <c r="B4042" t="s">
        <v>188</v>
      </c>
      <c r="C4042">
        <v>0</v>
      </c>
      <c r="D4042" t="s">
        <v>184</v>
      </c>
      <c r="E4042" t="s">
        <v>182</v>
      </c>
      <c r="F4042" t="s">
        <v>177</v>
      </c>
      <c r="G4042" t="s">
        <v>178</v>
      </c>
    </row>
    <row r="4043" spans="1:7">
      <c r="A4043">
        <v>2029</v>
      </c>
      <c r="B4043" t="s">
        <v>188</v>
      </c>
      <c r="C4043">
        <v>0</v>
      </c>
      <c r="D4043" t="s">
        <v>184</v>
      </c>
      <c r="E4043" t="s">
        <v>182</v>
      </c>
      <c r="F4043" t="s">
        <v>177</v>
      </c>
      <c r="G4043" t="s">
        <v>178</v>
      </c>
    </row>
    <row r="4044" spans="1:7">
      <c r="A4044">
        <v>2030</v>
      </c>
      <c r="B4044" t="s">
        <v>188</v>
      </c>
      <c r="C4044">
        <v>0</v>
      </c>
      <c r="D4044" t="s">
        <v>184</v>
      </c>
      <c r="E4044" t="s">
        <v>182</v>
      </c>
      <c r="F4044" t="s">
        <v>177</v>
      </c>
      <c r="G4044" t="s">
        <v>178</v>
      </c>
    </row>
    <row r="4045" spans="1:7">
      <c r="A4045">
        <v>2031</v>
      </c>
      <c r="B4045" t="s">
        <v>188</v>
      </c>
      <c r="C4045">
        <v>0</v>
      </c>
      <c r="D4045" t="s">
        <v>184</v>
      </c>
      <c r="E4045" t="s">
        <v>182</v>
      </c>
      <c r="F4045" t="s">
        <v>177</v>
      </c>
      <c r="G4045" t="s">
        <v>178</v>
      </c>
    </row>
    <row r="4046" spans="1:7">
      <c r="A4046">
        <v>2032</v>
      </c>
      <c r="B4046" t="s">
        <v>188</v>
      </c>
      <c r="C4046">
        <v>0</v>
      </c>
      <c r="D4046" t="s">
        <v>184</v>
      </c>
      <c r="E4046" t="s">
        <v>182</v>
      </c>
      <c r="F4046" t="s">
        <v>177</v>
      </c>
      <c r="G4046" t="s">
        <v>178</v>
      </c>
    </row>
    <row r="4047" spans="1:7">
      <c r="A4047">
        <v>2033</v>
      </c>
      <c r="B4047" t="s">
        <v>188</v>
      </c>
      <c r="C4047">
        <v>0</v>
      </c>
      <c r="D4047" t="s">
        <v>184</v>
      </c>
      <c r="E4047" t="s">
        <v>182</v>
      </c>
      <c r="F4047" t="s">
        <v>177</v>
      </c>
      <c r="G4047" t="s">
        <v>178</v>
      </c>
    </row>
    <row r="4048" spans="1:7">
      <c r="A4048">
        <v>2034</v>
      </c>
      <c r="B4048" t="s">
        <v>188</v>
      </c>
      <c r="C4048">
        <v>0</v>
      </c>
      <c r="D4048" t="s">
        <v>184</v>
      </c>
      <c r="E4048" t="s">
        <v>182</v>
      </c>
      <c r="F4048" t="s">
        <v>177</v>
      </c>
      <c r="G4048" t="s">
        <v>178</v>
      </c>
    </row>
    <row r="4049" spans="1:7">
      <c r="A4049">
        <v>2035</v>
      </c>
      <c r="B4049" t="s">
        <v>188</v>
      </c>
      <c r="C4049">
        <v>0</v>
      </c>
      <c r="D4049" t="s">
        <v>184</v>
      </c>
      <c r="E4049" t="s">
        <v>182</v>
      </c>
      <c r="F4049" t="s">
        <v>177</v>
      </c>
      <c r="G4049" t="s">
        <v>178</v>
      </c>
    </row>
    <row r="4050" spans="1:7">
      <c r="A4050">
        <v>2020</v>
      </c>
      <c r="B4050" t="s">
        <v>189</v>
      </c>
      <c r="C4050">
        <v>0</v>
      </c>
      <c r="D4050" t="s">
        <v>184</v>
      </c>
      <c r="E4050" t="s">
        <v>182</v>
      </c>
      <c r="F4050" t="s">
        <v>177</v>
      </c>
      <c r="G4050" t="s">
        <v>178</v>
      </c>
    </row>
    <row r="4051" spans="1:7">
      <c r="A4051">
        <v>2021</v>
      </c>
      <c r="B4051" t="s">
        <v>189</v>
      </c>
      <c r="C4051">
        <v>0</v>
      </c>
      <c r="D4051" t="s">
        <v>184</v>
      </c>
      <c r="E4051" t="s">
        <v>182</v>
      </c>
      <c r="F4051" t="s">
        <v>177</v>
      </c>
      <c r="G4051" t="s">
        <v>178</v>
      </c>
    </row>
    <row r="4052" spans="1:7">
      <c r="A4052">
        <v>2022</v>
      </c>
      <c r="B4052" t="s">
        <v>189</v>
      </c>
      <c r="C4052">
        <v>0</v>
      </c>
      <c r="D4052" t="s">
        <v>184</v>
      </c>
      <c r="E4052" t="s">
        <v>182</v>
      </c>
      <c r="F4052" t="s">
        <v>177</v>
      </c>
      <c r="G4052" t="s">
        <v>178</v>
      </c>
    </row>
    <row r="4053" spans="1:7">
      <c r="A4053">
        <v>2023</v>
      </c>
      <c r="B4053" t="s">
        <v>189</v>
      </c>
      <c r="C4053">
        <v>0</v>
      </c>
      <c r="D4053" t="s">
        <v>184</v>
      </c>
      <c r="E4053" t="s">
        <v>182</v>
      </c>
      <c r="F4053" t="s">
        <v>177</v>
      </c>
      <c r="G4053" t="s">
        <v>178</v>
      </c>
    </row>
    <row r="4054" spans="1:7">
      <c r="A4054">
        <v>2024</v>
      </c>
      <c r="B4054" t="s">
        <v>189</v>
      </c>
      <c r="C4054">
        <v>0</v>
      </c>
      <c r="D4054" t="s">
        <v>184</v>
      </c>
      <c r="E4054" t="s">
        <v>182</v>
      </c>
      <c r="F4054" t="s">
        <v>177</v>
      </c>
      <c r="G4054" t="s">
        <v>178</v>
      </c>
    </row>
    <row r="4055" spans="1:7">
      <c r="A4055">
        <v>2025</v>
      </c>
      <c r="B4055" t="s">
        <v>189</v>
      </c>
      <c r="C4055">
        <v>0</v>
      </c>
      <c r="D4055" t="s">
        <v>184</v>
      </c>
      <c r="E4055" t="s">
        <v>182</v>
      </c>
      <c r="F4055" t="s">
        <v>177</v>
      </c>
      <c r="G4055" t="s">
        <v>178</v>
      </c>
    </row>
    <row r="4056" spans="1:7">
      <c r="A4056">
        <v>2026</v>
      </c>
      <c r="B4056" t="s">
        <v>189</v>
      </c>
      <c r="C4056">
        <v>0</v>
      </c>
      <c r="D4056" t="s">
        <v>184</v>
      </c>
      <c r="E4056" t="s">
        <v>182</v>
      </c>
      <c r="F4056" t="s">
        <v>177</v>
      </c>
      <c r="G4056" t="s">
        <v>178</v>
      </c>
    </row>
    <row r="4057" spans="1:7">
      <c r="A4057">
        <v>2027</v>
      </c>
      <c r="B4057" t="s">
        <v>189</v>
      </c>
      <c r="C4057">
        <v>0</v>
      </c>
      <c r="D4057" t="s">
        <v>184</v>
      </c>
      <c r="E4057" t="s">
        <v>182</v>
      </c>
      <c r="F4057" t="s">
        <v>177</v>
      </c>
      <c r="G4057" t="s">
        <v>178</v>
      </c>
    </row>
    <row r="4058" spans="1:7">
      <c r="A4058">
        <v>2028</v>
      </c>
      <c r="B4058" t="s">
        <v>189</v>
      </c>
      <c r="C4058">
        <v>0</v>
      </c>
      <c r="D4058" t="s">
        <v>184</v>
      </c>
      <c r="E4058" t="s">
        <v>182</v>
      </c>
      <c r="F4058" t="s">
        <v>177</v>
      </c>
      <c r="G4058" t="s">
        <v>178</v>
      </c>
    </row>
    <row r="4059" spans="1:7">
      <c r="A4059">
        <v>2029</v>
      </c>
      <c r="B4059" t="s">
        <v>189</v>
      </c>
      <c r="C4059">
        <v>0</v>
      </c>
      <c r="D4059" t="s">
        <v>184</v>
      </c>
      <c r="E4059" t="s">
        <v>182</v>
      </c>
      <c r="F4059" t="s">
        <v>177</v>
      </c>
      <c r="G4059" t="s">
        <v>178</v>
      </c>
    </row>
    <row r="4060" spans="1:7">
      <c r="A4060">
        <v>2030</v>
      </c>
      <c r="B4060" t="s">
        <v>189</v>
      </c>
      <c r="C4060">
        <v>0</v>
      </c>
      <c r="D4060" t="s">
        <v>184</v>
      </c>
      <c r="E4060" t="s">
        <v>182</v>
      </c>
      <c r="F4060" t="s">
        <v>177</v>
      </c>
      <c r="G4060" t="s">
        <v>178</v>
      </c>
    </row>
    <row r="4061" spans="1:7">
      <c r="A4061">
        <v>2031</v>
      </c>
      <c r="B4061" t="s">
        <v>189</v>
      </c>
      <c r="C4061">
        <v>0</v>
      </c>
      <c r="D4061" t="s">
        <v>184</v>
      </c>
      <c r="E4061" t="s">
        <v>182</v>
      </c>
      <c r="F4061" t="s">
        <v>177</v>
      </c>
      <c r="G4061" t="s">
        <v>178</v>
      </c>
    </row>
    <row r="4062" spans="1:7">
      <c r="A4062">
        <v>2032</v>
      </c>
      <c r="B4062" t="s">
        <v>189</v>
      </c>
      <c r="C4062">
        <v>0</v>
      </c>
      <c r="D4062" t="s">
        <v>184</v>
      </c>
      <c r="E4062" t="s">
        <v>182</v>
      </c>
      <c r="F4062" t="s">
        <v>177</v>
      </c>
      <c r="G4062" t="s">
        <v>178</v>
      </c>
    </row>
    <row r="4063" spans="1:7">
      <c r="A4063">
        <v>2033</v>
      </c>
      <c r="B4063" t="s">
        <v>189</v>
      </c>
      <c r="C4063">
        <v>0</v>
      </c>
      <c r="D4063" t="s">
        <v>184</v>
      </c>
      <c r="E4063" t="s">
        <v>182</v>
      </c>
      <c r="F4063" t="s">
        <v>177</v>
      </c>
      <c r="G4063" t="s">
        <v>178</v>
      </c>
    </row>
    <row r="4064" spans="1:7">
      <c r="A4064">
        <v>2034</v>
      </c>
      <c r="B4064" t="s">
        <v>189</v>
      </c>
      <c r="C4064">
        <v>0</v>
      </c>
      <c r="D4064" t="s">
        <v>184</v>
      </c>
      <c r="E4064" t="s">
        <v>182</v>
      </c>
      <c r="F4064" t="s">
        <v>177</v>
      </c>
      <c r="G4064" t="s">
        <v>178</v>
      </c>
    </row>
    <row r="4065" spans="1:7">
      <c r="A4065">
        <v>2035</v>
      </c>
      <c r="B4065" t="s">
        <v>189</v>
      </c>
      <c r="C4065">
        <v>0</v>
      </c>
      <c r="D4065" t="s">
        <v>184</v>
      </c>
      <c r="E4065" t="s">
        <v>182</v>
      </c>
      <c r="F4065" t="s">
        <v>177</v>
      </c>
      <c r="G4065" t="s">
        <v>178</v>
      </c>
    </row>
    <row r="4066" spans="1:7">
      <c r="A4066">
        <v>2020</v>
      </c>
      <c r="B4066" t="s">
        <v>190</v>
      </c>
      <c r="C4066">
        <v>13211.23</v>
      </c>
      <c r="D4066" t="s">
        <v>184</v>
      </c>
      <c r="E4066" t="s">
        <v>182</v>
      </c>
      <c r="F4066" t="s">
        <v>177</v>
      </c>
      <c r="G4066" t="s">
        <v>178</v>
      </c>
    </row>
    <row r="4067" spans="1:7">
      <c r="A4067">
        <v>2021</v>
      </c>
      <c r="B4067" t="s">
        <v>190</v>
      </c>
      <c r="C4067">
        <v>11036.5</v>
      </c>
      <c r="D4067" t="s">
        <v>184</v>
      </c>
      <c r="E4067" t="s">
        <v>182</v>
      </c>
      <c r="F4067" t="s">
        <v>177</v>
      </c>
      <c r="G4067" t="s">
        <v>178</v>
      </c>
    </row>
    <row r="4068" spans="1:7">
      <c r="A4068">
        <v>2022</v>
      </c>
      <c r="B4068" t="s">
        <v>190</v>
      </c>
      <c r="C4068">
        <v>11036.5</v>
      </c>
      <c r="D4068" t="s">
        <v>184</v>
      </c>
      <c r="E4068" t="s">
        <v>182</v>
      </c>
      <c r="F4068" t="s">
        <v>177</v>
      </c>
      <c r="G4068" t="s">
        <v>178</v>
      </c>
    </row>
    <row r="4069" spans="1:7">
      <c r="A4069">
        <v>2023</v>
      </c>
      <c r="B4069" t="s">
        <v>190</v>
      </c>
      <c r="C4069">
        <v>5674.93</v>
      </c>
      <c r="D4069" t="s">
        <v>184</v>
      </c>
      <c r="E4069" t="s">
        <v>182</v>
      </c>
      <c r="F4069" t="s">
        <v>177</v>
      </c>
      <c r="G4069" t="s">
        <v>178</v>
      </c>
    </row>
    <row r="4070" spans="1:7">
      <c r="A4070">
        <v>2024</v>
      </c>
      <c r="B4070" t="s">
        <v>190</v>
      </c>
      <c r="C4070">
        <v>5674.93</v>
      </c>
      <c r="D4070" t="s">
        <v>184</v>
      </c>
      <c r="E4070" t="s">
        <v>182</v>
      </c>
      <c r="F4070" t="s">
        <v>177</v>
      </c>
      <c r="G4070" t="s">
        <v>178</v>
      </c>
    </row>
    <row r="4071" spans="1:7">
      <c r="A4071">
        <v>2025</v>
      </c>
      <c r="B4071" t="s">
        <v>190</v>
      </c>
      <c r="C4071">
        <v>383.37400000000002</v>
      </c>
      <c r="D4071" t="s">
        <v>184</v>
      </c>
      <c r="E4071" t="s">
        <v>182</v>
      </c>
      <c r="F4071" t="s">
        <v>177</v>
      </c>
      <c r="G4071" t="s">
        <v>178</v>
      </c>
    </row>
    <row r="4072" spans="1:7">
      <c r="A4072">
        <v>2026</v>
      </c>
      <c r="B4072" t="s">
        <v>190</v>
      </c>
      <c r="C4072">
        <v>383.37400000000002</v>
      </c>
      <c r="D4072" t="s">
        <v>184</v>
      </c>
      <c r="E4072" t="s">
        <v>182</v>
      </c>
      <c r="F4072" t="s">
        <v>177</v>
      </c>
      <c r="G4072" t="s">
        <v>178</v>
      </c>
    </row>
    <row r="4073" spans="1:7">
      <c r="A4073">
        <v>2027</v>
      </c>
      <c r="B4073" t="s">
        <v>190</v>
      </c>
      <c r="C4073">
        <v>0</v>
      </c>
      <c r="D4073" t="s">
        <v>184</v>
      </c>
      <c r="E4073" t="s">
        <v>182</v>
      </c>
      <c r="F4073" t="s">
        <v>177</v>
      </c>
      <c r="G4073" t="s">
        <v>178</v>
      </c>
    </row>
    <row r="4074" spans="1:7">
      <c r="A4074">
        <v>2028</v>
      </c>
      <c r="B4074" t="s">
        <v>190</v>
      </c>
      <c r="C4074">
        <v>0</v>
      </c>
      <c r="D4074" t="s">
        <v>184</v>
      </c>
      <c r="E4074" t="s">
        <v>182</v>
      </c>
      <c r="F4074" t="s">
        <v>177</v>
      </c>
      <c r="G4074" t="s">
        <v>178</v>
      </c>
    </row>
    <row r="4075" spans="1:7">
      <c r="A4075">
        <v>2029</v>
      </c>
      <c r="B4075" t="s">
        <v>190</v>
      </c>
      <c r="C4075">
        <v>0</v>
      </c>
      <c r="D4075" t="s">
        <v>184</v>
      </c>
      <c r="E4075" t="s">
        <v>182</v>
      </c>
      <c r="F4075" t="s">
        <v>177</v>
      </c>
      <c r="G4075" t="s">
        <v>178</v>
      </c>
    </row>
    <row r="4076" spans="1:7">
      <c r="A4076">
        <v>2030</v>
      </c>
      <c r="B4076" t="s">
        <v>190</v>
      </c>
      <c r="C4076">
        <v>0</v>
      </c>
      <c r="D4076" t="s">
        <v>184</v>
      </c>
      <c r="E4076" t="s">
        <v>182</v>
      </c>
      <c r="F4076" t="s">
        <v>177</v>
      </c>
      <c r="G4076" t="s">
        <v>178</v>
      </c>
    </row>
    <row r="4077" spans="1:7">
      <c r="A4077">
        <v>2031</v>
      </c>
      <c r="B4077" t="s">
        <v>190</v>
      </c>
      <c r="C4077">
        <v>0</v>
      </c>
      <c r="D4077" t="s">
        <v>184</v>
      </c>
      <c r="E4077" t="s">
        <v>182</v>
      </c>
      <c r="F4077" t="s">
        <v>177</v>
      </c>
      <c r="G4077" t="s">
        <v>178</v>
      </c>
    </row>
    <row r="4078" spans="1:7">
      <c r="A4078">
        <v>2032</v>
      </c>
      <c r="B4078" t="s">
        <v>190</v>
      </c>
      <c r="C4078">
        <v>0</v>
      </c>
      <c r="D4078" t="s">
        <v>184</v>
      </c>
      <c r="E4078" t="s">
        <v>182</v>
      </c>
      <c r="F4078" t="s">
        <v>177</v>
      </c>
      <c r="G4078" t="s">
        <v>178</v>
      </c>
    </row>
    <row r="4079" spans="1:7">
      <c r="A4079">
        <v>2033</v>
      </c>
      <c r="B4079" t="s">
        <v>190</v>
      </c>
      <c r="C4079">
        <v>0</v>
      </c>
      <c r="D4079" t="s">
        <v>184</v>
      </c>
      <c r="E4079" t="s">
        <v>182</v>
      </c>
      <c r="F4079" t="s">
        <v>177</v>
      </c>
      <c r="G4079" t="s">
        <v>178</v>
      </c>
    </row>
    <row r="4080" spans="1:7">
      <c r="A4080">
        <v>2034</v>
      </c>
      <c r="B4080" t="s">
        <v>190</v>
      </c>
      <c r="C4080">
        <v>0</v>
      </c>
      <c r="D4080" t="s">
        <v>184</v>
      </c>
      <c r="E4080" t="s">
        <v>182</v>
      </c>
      <c r="F4080" t="s">
        <v>177</v>
      </c>
      <c r="G4080" t="s">
        <v>178</v>
      </c>
    </row>
    <row r="4081" spans="1:7">
      <c r="A4081">
        <v>2035</v>
      </c>
      <c r="B4081" t="s">
        <v>190</v>
      </c>
      <c r="C4081">
        <v>0</v>
      </c>
      <c r="D4081" t="s">
        <v>184</v>
      </c>
      <c r="E4081" t="s">
        <v>182</v>
      </c>
      <c r="F4081" t="s">
        <v>177</v>
      </c>
      <c r="G4081" t="s">
        <v>178</v>
      </c>
    </row>
    <row r="4082" spans="1:7">
      <c r="A4082">
        <v>2020</v>
      </c>
      <c r="B4082" t="s">
        <v>191</v>
      </c>
      <c r="C4082">
        <v>0</v>
      </c>
      <c r="D4082" t="s">
        <v>184</v>
      </c>
      <c r="E4082" t="s">
        <v>182</v>
      </c>
      <c r="F4082" t="s">
        <v>177</v>
      </c>
      <c r="G4082" t="s">
        <v>178</v>
      </c>
    </row>
    <row r="4083" spans="1:7">
      <c r="A4083">
        <v>2021</v>
      </c>
      <c r="B4083" t="s">
        <v>191</v>
      </c>
      <c r="C4083">
        <v>0</v>
      </c>
      <c r="D4083" t="s">
        <v>184</v>
      </c>
      <c r="E4083" t="s">
        <v>182</v>
      </c>
      <c r="F4083" t="s">
        <v>177</v>
      </c>
      <c r="G4083" t="s">
        <v>178</v>
      </c>
    </row>
    <row r="4084" spans="1:7">
      <c r="A4084">
        <v>2022</v>
      </c>
      <c r="B4084" t="s">
        <v>191</v>
      </c>
      <c r="C4084">
        <v>0</v>
      </c>
      <c r="D4084" t="s">
        <v>184</v>
      </c>
      <c r="E4084" t="s">
        <v>182</v>
      </c>
      <c r="F4084" t="s">
        <v>177</v>
      </c>
      <c r="G4084" t="s">
        <v>178</v>
      </c>
    </row>
    <row r="4085" spans="1:7">
      <c r="A4085">
        <v>2023</v>
      </c>
      <c r="B4085" t="s">
        <v>191</v>
      </c>
      <c r="C4085">
        <v>0</v>
      </c>
      <c r="D4085" t="s">
        <v>184</v>
      </c>
      <c r="E4085" t="s">
        <v>182</v>
      </c>
      <c r="F4085" t="s">
        <v>177</v>
      </c>
      <c r="G4085" t="s">
        <v>178</v>
      </c>
    </row>
    <row r="4086" spans="1:7">
      <c r="A4086">
        <v>2024</v>
      </c>
      <c r="B4086" t="s">
        <v>191</v>
      </c>
      <c r="C4086">
        <v>0</v>
      </c>
      <c r="D4086" t="s">
        <v>184</v>
      </c>
      <c r="E4086" t="s">
        <v>182</v>
      </c>
      <c r="F4086" t="s">
        <v>177</v>
      </c>
      <c r="G4086" t="s">
        <v>178</v>
      </c>
    </row>
    <row r="4087" spans="1:7">
      <c r="A4087">
        <v>2025</v>
      </c>
      <c r="B4087" t="s">
        <v>191</v>
      </c>
      <c r="C4087">
        <v>0</v>
      </c>
      <c r="D4087" t="s">
        <v>184</v>
      </c>
      <c r="E4087" t="s">
        <v>182</v>
      </c>
      <c r="F4087" t="s">
        <v>177</v>
      </c>
      <c r="G4087" t="s">
        <v>178</v>
      </c>
    </row>
    <row r="4088" spans="1:7">
      <c r="A4088">
        <v>2026</v>
      </c>
      <c r="B4088" t="s">
        <v>191</v>
      </c>
      <c r="C4088">
        <v>0</v>
      </c>
      <c r="D4088" t="s">
        <v>184</v>
      </c>
      <c r="E4088" t="s">
        <v>182</v>
      </c>
      <c r="F4088" t="s">
        <v>177</v>
      </c>
      <c r="G4088" t="s">
        <v>178</v>
      </c>
    </row>
    <row r="4089" spans="1:7">
      <c r="A4089">
        <v>2027</v>
      </c>
      <c r="B4089" t="s">
        <v>191</v>
      </c>
      <c r="C4089">
        <v>0</v>
      </c>
      <c r="D4089" t="s">
        <v>184</v>
      </c>
      <c r="E4089" t="s">
        <v>182</v>
      </c>
      <c r="F4089" t="s">
        <v>177</v>
      </c>
      <c r="G4089" t="s">
        <v>178</v>
      </c>
    </row>
    <row r="4090" spans="1:7">
      <c r="A4090">
        <v>2028</v>
      </c>
      <c r="B4090" t="s">
        <v>191</v>
      </c>
      <c r="C4090">
        <v>0</v>
      </c>
      <c r="D4090" t="s">
        <v>184</v>
      </c>
      <c r="E4090" t="s">
        <v>182</v>
      </c>
      <c r="F4090" t="s">
        <v>177</v>
      </c>
      <c r="G4090" t="s">
        <v>178</v>
      </c>
    </row>
    <row r="4091" spans="1:7">
      <c r="A4091">
        <v>2029</v>
      </c>
      <c r="B4091" t="s">
        <v>191</v>
      </c>
      <c r="C4091">
        <v>0</v>
      </c>
      <c r="D4091" t="s">
        <v>184</v>
      </c>
      <c r="E4091" t="s">
        <v>182</v>
      </c>
      <c r="F4091" t="s">
        <v>177</v>
      </c>
      <c r="G4091" t="s">
        <v>178</v>
      </c>
    </row>
    <row r="4092" spans="1:7">
      <c r="A4092">
        <v>2030</v>
      </c>
      <c r="B4092" t="s">
        <v>191</v>
      </c>
      <c r="C4092">
        <v>0</v>
      </c>
      <c r="D4092" t="s">
        <v>184</v>
      </c>
      <c r="E4092" t="s">
        <v>182</v>
      </c>
      <c r="F4092" t="s">
        <v>177</v>
      </c>
      <c r="G4092" t="s">
        <v>178</v>
      </c>
    </row>
    <row r="4093" spans="1:7">
      <c r="A4093">
        <v>2031</v>
      </c>
      <c r="B4093" t="s">
        <v>191</v>
      </c>
      <c r="C4093">
        <v>0</v>
      </c>
      <c r="D4093" t="s">
        <v>184</v>
      </c>
      <c r="E4093" t="s">
        <v>182</v>
      </c>
      <c r="F4093" t="s">
        <v>177</v>
      </c>
      <c r="G4093" t="s">
        <v>178</v>
      </c>
    </row>
    <row r="4094" spans="1:7">
      <c r="A4094">
        <v>2032</v>
      </c>
      <c r="B4094" t="s">
        <v>191</v>
      </c>
      <c r="C4094">
        <v>0</v>
      </c>
      <c r="D4094" t="s">
        <v>184</v>
      </c>
      <c r="E4094" t="s">
        <v>182</v>
      </c>
      <c r="F4094" t="s">
        <v>177</v>
      </c>
      <c r="G4094" t="s">
        <v>178</v>
      </c>
    </row>
    <row r="4095" spans="1:7">
      <c r="A4095">
        <v>2033</v>
      </c>
      <c r="B4095" t="s">
        <v>191</v>
      </c>
      <c r="C4095">
        <v>0</v>
      </c>
      <c r="D4095" t="s">
        <v>184</v>
      </c>
      <c r="E4095" t="s">
        <v>182</v>
      </c>
      <c r="F4095" t="s">
        <v>177</v>
      </c>
      <c r="G4095" t="s">
        <v>178</v>
      </c>
    </row>
    <row r="4096" spans="1:7">
      <c r="A4096">
        <v>2034</v>
      </c>
      <c r="B4096" t="s">
        <v>191</v>
      </c>
      <c r="C4096">
        <v>0</v>
      </c>
      <c r="D4096" t="s">
        <v>184</v>
      </c>
      <c r="E4096" t="s">
        <v>182</v>
      </c>
      <c r="F4096" t="s">
        <v>177</v>
      </c>
      <c r="G4096" t="s">
        <v>178</v>
      </c>
    </row>
    <row r="4097" spans="1:7">
      <c r="A4097">
        <v>2035</v>
      </c>
      <c r="B4097" t="s">
        <v>191</v>
      </c>
      <c r="C4097">
        <v>0</v>
      </c>
      <c r="D4097" t="s">
        <v>184</v>
      </c>
      <c r="E4097" t="s">
        <v>182</v>
      </c>
      <c r="F4097" t="s">
        <v>177</v>
      </c>
      <c r="G4097" t="s">
        <v>178</v>
      </c>
    </row>
    <row r="4098" spans="1:7">
      <c r="A4098">
        <v>2020</v>
      </c>
      <c r="B4098" t="s">
        <v>192</v>
      </c>
      <c r="C4098">
        <v>1527.21</v>
      </c>
      <c r="D4098" t="s">
        <v>184</v>
      </c>
      <c r="E4098" t="s">
        <v>182</v>
      </c>
      <c r="F4098" t="s">
        <v>177</v>
      </c>
      <c r="G4098" t="s">
        <v>178</v>
      </c>
    </row>
    <row r="4099" spans="1:7">
      <c r="A4099">
        <v>2021</v>
      </c>
      <c r="B4099" t="s">
        <v>192</v>
      </c>
      <c r="C4099">
        <v>10.65</v>
      </c>
      <c r="D4099" t="s">
        <v>184</v>
      </c>
      <c r="E4099" t="s">
        <v>182</v>
      </c>
      <c r="F4099" t="s">
        <v>177</v>
      </c>
      <c r="G4099" t="s">
        <v>178</v>
      </c>
    </row>
    <row r="4100" spans="1:7">
      <c r="A4100">
        <v>2022</v>
      </c>
      <c r="B4100" t="s">
        <v>192</v>
      </c>
      <c r="C4100">
        <v>10.65</v>
      </c>
      <c r="D4100" t="s">
        <v>184</v>
      </c>
      <c r="E4100" t="s">
        <v>182</v>
      </c>
      <c r="F4100" t="s">
        <v>177</v>
      </c>
      <c r="G4100" t="s">
        <v>178</v>
      </c>
    </row>
    <row r="4101" spans="1:7">
      <c r="A4101">
        <v>2023</v>
      </c>
      <c r="B4101" t="s">
        <v>192</v>
      </c>
      <c r="C4101">
        <v>34</v>
      </c>
      <c r="D4101" t="s">
        <v>184</v>
      </c>
      <c r="E4101" t="s">
        <v>182</v>
      </c>
      <c r="F4101" t="s">
        <v>177</v>
      </c>
      <c r="G4101" t="s">
        <v>178</v>
      </c>
    </row>
    <row r="4102" spans="1:7">
      <c r="A4102">
        <v>2024</v>
      </c>
      <c r="B4102" t="s">
        <v>192</v>
      </c>
      <c r="C4102">
        <v>34</v>
      </c>
      <c r="D4102" t="s">
        <v>184</v>
      </c>
      <c r="E4102" t="s">
        <v>182</v>
      </c>
      <c r="F4102" t="s">
        <v>177</v>
      </c>
      <c r="G4102" t="s">
        <v>178</v>
      </c>
    </row>
    <row r="4103" spans="1:7">
      <c r="A4103">
        <v>2025</v>
      </c>
      <c r="B4103" t="s">
        <v>192</v>
      </c>
      <c r="C4103">
        <v>94.5</v>
      </c>
      <c r="D4103" t="s">
        <v>184</v>
      </c>
      <c r="E4103" t="s">
        <v>182</v>
      </c>
      <c r="F4103" t="s">
        <v>177</v>
      </c>
      <c r="G4103" t="s">
        <v>178</v>
      </c>
    </row>
    <row r="4104" spans="1:7">
      <c r="A4104">
        <v>2026</v>
      </c>
      <c r="B4104" t="s">
        <v>192</v>
      </c>
      <c r="C4104">
        <v>94.5</v>
      </c>
      <c r="D4104" t="s">
        <v>184</v>
      </c>
      <c r="E4104" t="s">
        <v>182</v>
      </c>
      <c r="F4104" t="s">
        <v>177</v>
      </c>
      <c r="G4104" t="s">
        <v>178</v>
      </c>
    </row>
    <row r="4105" spans="1:7">
      <c r="A4105">
        <v>2027</v>
      </c>
      <c r="B4105" t="s">
        <v>192</v>
      </c>
      <c r="C4105">
        <v>0</v>
      </c>
      <c r="D4105" t="s">
        <v>184</v>
      </c>
      <c r="E4105" t="s">
        <v>182</v>
      </c>
      <c r="F4105" t="s">
        <v>177</v>
      </c>
      <c r="G4105" t="s">
        <v>178</v>
      </c>
    </row>
    <row r="4106" spans="1:7">
      <c r="A4106">
        <v>2028</v>
      </c>
      <c r="B4106" t="s">
        <v>192</v>
      </c>
      <c r="C4106">
        <v>0</v>
      </c>
      <c r="D4106" t="s">
        <v>184</v>
      </c>
      <c r="E4106" t="s">
        <v>182</v>
      </c>
      <c r="F4106" t="s">
        <v>177</v>
      </c>
      <c r="G4106" t="s">
        <v>178</v>
      </c>
    </row>
    <row r="4107" spans="1:7">
      <c r="A4107">
        <v>2029</v>
      </c>
      <c r="B4107" t="s">
        <v>192</v>
      </c>
      <c r="C4107">
        <v>0</v>
      </c>
      <c r="D4107" t="s">
        <v>184</v>
      </c>
      <c r="E4107" t="s">
        <v>182</v>
      </c>
      <c r="F4107" t="s">
        <v>177</v>
      </c>
      <c r="G4107" t="s">
        <v>178</v>
      </c>
    </row>
    <row r="4108" spans="1:7">
      <c r="A4108">
        <v>2030</v>
      </c>
      <c r="B4108" t="s">
        <v>192</v>
      </c>
      <c r="C4108">
        <v>0</v>
      </c>
      <c r="D4108" t="s">
        <v>184</v>
      </c>
      <c r="E4108" t="s">
        <v>182</v>
      </c>
      <c r="F4108" t="s">
        <v>177</v>
      </c>
      <c r="G4108" t="s">
        <v>178</v>
      </c>
    </row>
    <row r="4109" spans="1:7">
      <c r="A4109">
        <v>2031</v>
      </c>
      <c r="B4109" t="s">
        <v>192</v>
      </c>
      <c r="C4109">
        <v>0</v>
      </c>
      <c r="D4109" t="s">
        <v>184</v>
      </c>
      <c r="E4109" t="s">
        <v>182</v>
      </c>
      <c r="F4109" t="s">
        <v>177</v>
      </c>
      <c r="G4109" t="s">
        <v>178</v>
      </c>
    </row>
    <row r="4110" spans="1:7">
      <c r="A4110">
        <v>2032</v>
      </c>
      <c r="B4110" t="s">
        <v>192</v>
      </c>
      <c r="C4110">
        <v>0</v>
      </c>
      <c r="D4110" t="s">
        <v>184</v>
      </c>
      <c r="E4110" t="s">
        <v>182</v>
      </c>
      <c r="F4110" t="s">
        <v>177</v>
      </c>
      <c r="G4110" t="s">
        <v>178</v>
      </c>
    </row>
    <row r="4111" spans="1:7">
      <c r="A4111">
        <v>2033</v>
      </c>
      <c r="B4111" t="s">
        <v>192</v>
      </c>
      <c r="C4111">
        <v>0</v>
      </c>
      <c r="D4111" t="s">
        <v>184</v>
      </c>
      <c r="E4111" t="s">
        <v>182</v>
      </c>
      <c r="F4111" t="s">
        <v>177</v>
      </c>
      <c r="G4111" t="s">
        <v>178</v>
      </c>
    </row>
    <row r="4112" spans="1:7">
      <c r="A4112">
        <v>2034</v>
      </c>
      <c r="B4112" t="s">
        <v>192</v>
      </c>
      <c r="C4112">
        <v>0</v>
      </c>
      <c r="D4112" t="s">
        <v>184</v>
      </c>
      <c r="E4112" t="s">
        <v>182</v>
      </c>
      <c r="F4112" t="s">
        <v>177</v>
      </c>
      <c r="G4112" t="s">
        <v>178</v>
      </c>
    </row>
    <row r="4113" spans="1:7">
      <c r="A4113">
        <v>2035</v>
      </c>
      <c r="B4113" t="s">
        <v>192</v>
      </c>
      <c r="C4113">
        <v>0</v>
      </c>
      <c r="D4113" t="s">
        <v>184</v>
      </c>
      <c r="E4113" t="s">
        <v>182</v>
      </c>
      <c r="F4113" t="s">
        <v>177</v>
      </c>
      <c r="G4113" t="s">
        <v>178</v>
      </c>
    </row>
    <row r="4114" spans="1:7">
      <c r="A4114">
        <v>2020</v>
      </c>
      <c r="B4114" t="s">
        <v>193</v>
      </c>
      <c r="C4114">
        <v>232.5</v>
      </c>
      <c r="D4114" t="s">
        <v>184</v>
      </c>
      <c r="E4114" t="s">
        <v>182</v>
      </c>
      <c r="F4114" t="s">
        <v>177</v>
      </c>
      <c r="G4114" t="s">
        <v>178</v>
      </c>
    </row>
    <row r="4115" spans="1:7">
      <c r="A4115">
        <v>2021</v>
      </c>
      <c r="B4115" t="s">
        <v>193</v>
      </c>
      <c r="C4115">
        <v>1100</v>
      </c>
      <c r="D4115" t="s">
        <v>184</v>
      </c>
      <c r="E4115" t="s">
        <v>182</v>
      </c>
      <c r="F4115" t="s">
        <v>177</v>
      </c>
      <c r="G4115" t="s">
        <v>178</v>
      </c>
    </row>
    <row r="4116" spans="1:7">
      <c r="A4116">
        <v>2022</v>
      </c>
      <c r="B4116" t="s">
        <v>193</v>
      </c>
      <c r="C4116">
        <v>1100</v>
      </c>
      <c r="D4116" t="s">
        <v>184</v>
      </c>
      <c r="E4116" t="s">
        <v>182</v>
      </c>
      <c r="F4116" t="s">
        <v>177</v>
      </c>
      <c r="G4116" t="s">
        <v>178</v>
      </c>
    </row>
    <row r="4117" spans="1:7">
      <c r="A4117">
        <v>2023</v>
      </c>
      <c r="B4117" t="s">
        <v>193</v>
      </c>
      <c r="C4117">
        <v>0</v>
      </c>
      <c r="D4117" t="s">
        <v>184</v>
      </c>
      <c r="E4117" t="s">
        <v>182</v>
      </c>
      <c r="F4117" t="s">
        <v>177</v>
      </c>
      <c r="G4117" t="s">
        <v>178</v>
      </c>
    </row>
    <row r="4118" spans="1:7">
      <c r="A4118">
        <v>2024</v>
      </c>
      <c r="B4118" t="s">
        <v>193</v>
      </c>
      <c r="C4118">
        <v>0</v>
      </c>
      <c r="D4118" t="s">
        <v>184</v>
      </c>
      <c r="E4118" t="s">
        <v>182</v>
      </c>
      <c r="F4118" t="s">
        <v>177</v>
      </c>
      <c r="G4118" t="s">
        <v>178</v>
      </c>
    </row>
    <row r="4119" spans="1:7">
      <c r="A4119">
        <v>2025</v>
      </c>
      <c r="B4119" t="s">
        <v>193</v>
      </c>
      <c r="C4119">
        <v>0</v>
      </c>
      <c r="D4119" t="s">
        <v>184</v>
      </c>
      <c r="E4119" t="s">
        <v>182</v>
      </c>
      <c r="F4119" t="s">
        <v>177</v>
      </c>
      <c r="G4119" t="s">
        <v>178</v>
      </c>
    </row>
    <row r="4120" spans="1:7">
      <c r="A4120">
        <v>2026</v>
      </c>
      <c r="B4120" t="s">
        <v>193</v>
      </c>
      <c r="C4120">
        <v>0</v>
      </c>
      <c r="D4120" t="s">
        <v>184</v>
      </c>
      <c r="E4120" t="s">
        <v>182</v>
      </c>
      <c r="F4120" t="s">
        <v>177</v>
      </c>
      <c r="G4120" t="s">
        <v>178</v>
      </c>
    </row>
    <row r="4121" spans="1:7">
      <c r="A4121">
        <v>2027</v>
      </c>
      <c r="B4121" t="s">
        <v>193</v>
      </c>
      <c r="C4121">
        <v>0</v>
      </c>
      <c r="D4121" t="s">
        <v>184</v>
      </c>
      <c r="E4121" t="s">
        <v>182</v>
      </c>
      <c r="F4121" t="s">
        <v>177</v>
      </c>
      <c r="G4121" t="s">
        <v>178</v>
      </c>
    </row>
    <row r="4122" spans="1:7">
      <c r="A4122">
        <v>2028</v>
      </c>
      <c r="B4122" t="s">
        <v>193</v>
      </c>
      <c r="C4122">
        <v>0</v>
      </c>
      <c r="D4122" t="s">
        <v>184</v>
      </c>
      <c r="E4122" t="s">
        <v>182</v>
      </c>
      <c r="F4122" t="s">
        <v>177</v>
      </c>
      <c r="G4122" t="s">
        <v>178</v>
      </c>
    </row>
    <row r="4123" spans="1:7">
      <c r="A4123">
        <v>2029</v>
      </c>
      <c r="B4123" t="s">
        <v>193</v>
      </c>
      <c r="C4123">
        <v>0</v>
      </c>
      <c r="D4123" t="s">
        <v>184</v>
      </c>
      <c r="E4123" t="s">
        <v>182</v>
      </c>
      <c r="F4123" t="s">
        <v>177</v>
      </c>
      <c r="G4123" t="s">
        <v>178</v>
      </c>
    </row>
    <row r="4124" spans="1:7">
      <c r="A4124">
        <v>2030</v>
      </c>
      <c r="B4124" t="s">
        <v>193</v>
      </c>
      <c r="C4124">
        <v>0</v>
      </c>
      <c r="D4124" t="s">
        <v>184</v>
      </c>
      <c r="E4124" t="s">
        <v>182</v>
      </c>
      <c r="F4124" t="s">
        <v>177</v>
      </c>
      <c r="G4124" t="s">
        <v>178</v>
      </c>
    </row>
    <row r="4125" spans="1:7">
      <c r="A4125">
        <v>2031</v>
      </c>
      <c r="B4125" t="s">
        <v>193</v>
      </c>
      <c r="C4125">
        <v>0</v>
      </c>
      <c r="D4125" t="s">
        <v>184</v>
      </c>
      <c r="E4125" t="s">
        <v>182</v>
      </c>
      <c r="F4125" t="s">
        <v>177</v>
      </c>
      <c r="G4125" t="s">
        <v>178</v>
      </c>
    </row>
    <row r="4126" spans="1:7">
      <c r="A4126">
        <v>2032</v>
      </c>
      <c r="B4126" t="s">
        <v>193</v>
      </c>
      <c r="C4126">
        <v>0</v>
      </c>
      <c r="D4126" t="s">
        <v>184</v>
      </c>
      <c r="E4126" t="s">
        <v>182</v>
      </c>
      <c r="F4126" t="s">
        <v>177</v>
      </c>
      <c r="G4126" t="s">
        <v>178</v>
      </c>
    </row>
    <row r="4127" spans="1:7">
      <c r="A4127">
        <v>2033</v>
      </c>
      <c r="B4127" t="s">
        <v>193</v>
      </c>
      <c r="C4127">
        <v>0</v>
      </c>
      <c r="D4127" t="s">
        <v>184</v>
      </c>
      <c r="E4127" t="s">
        <v>182</v>
      </c>
      <c r="F4127" t="s">
        <v>177</v>
      </c>
      <c r="G4127" t="s">
        <v>178</v>
      </c>
    </row>
    <row r="4128" spans="1:7">
      <c r="A4128">
        <v>2034</v>
      </c>
      <c r="B4128" t="s">
        <v>193</v>
      </c>
      <c r="C4128">
        <v>0</v>
      </c>
      <c r="D4128" t="s">
        <v>184</v>
      </c>
      <c r="E4128" t="s">
        <v>182</v>
      </c>
      <c r="F4128" t="s">
        <v>177</v>
      </c>
      <c r="G4128" t="s">
        <v>178</v>
      </c>
    </row>
    <row r="4129" spans="1:7">
      <c r="A4129">
        <v>2035</v>
      </c>
      <c r="B4129" t="s">
        <v>193</v>
      </c>
      <c r="C4129">
        <v>0</v>
      </c>
      <c r="D4129" t="s">
        <v>184</v>
      </c>
      <c r="E4129" t="s">
        <v>182</v>
      </c>
      <c r="F4129" t="s">
        <v>177</v>
      </c>
      <c r="G4129" t="s">
        <v>178</v>
      </c>
    </row>
    <row r="4130" spans="1:7">
      <c r="A4130">
        <v>2020</v>
      </c>
      <c r="B4130" t="s">
        <v>194</v>
      </c>
      <c r="C4130">
        <v>14.85</v>
      </c>
      <c r="D4130" t="s">
        <v>184</v>
      </c>
      <c r="E4130" t="s">
        <v>182</v>
      </c>
      <c r="F4130" t="s">
        <v>177</v>
      </c>
      <c r="G4130" t="s">
        <v>178</v>
      </c>
    </row>
    <row r="4131" spans="1:7">
      <c r="A4131">
        <v>2021</v>
      </c>
      <c r="B4131" t="s">
        <v>194</v>
      </c>
      <c r="C4131">
        <v>0</v>
      </c>
      <c r="D4131" t="s">
        <v>184</v>
      </c>
      <c r="E4131" t="s">
        <v>182</v>
      </c>
      <c r="F4131" t="s">
        <v>177</v>
      </c>
      <c r="G4131" t="s">
        <v>178</v>
      </c>
    </row>
    <row r="4132" spans="1:7">
      <c r="A4132">
        <v>2022</v>
      </c>
      <c r="B4132" t="s">
        <v>194</v>
      </c>
      <c r="C4132">
        <v>0</v>
      </c>
      <c r="D4132" t="s">
        <v>184</v>
      </c>
      <c r="E4132" t="s">
        <v>182</v>
      </c>
      <c r="F4132" t="s">
        <v>177</v>
      </c>
      <c r="G4132" t="s">
        <v>178</v>
      </c>
    </row>
    <row r="4133" spans="1:7">
      <c r="A4133">
        <v>2023</v>
      </c>
      <c r="B4133" t="s">
        <v>194</v>
      </c>
      <c r="C4133">
        <v>0</v>
      </c>
      <c r="D4133" t="s">
        <v>184</v>
      </c>
      <c r="E4133" t="s">
        <v>182</v>
      </c>
      <c r="F4133" t="s">
        <v>177</v>
      </c>
      <c r="G4133" t="s">
        <v>178</v>
      </c>
    </row>
    <row r="4134" spans="1:7">
      <c r="A4134">
        <v>2024</v>
      </c>
      <c r="B4134" t="s">
        <v>194</v>
      </c>
      <c r="C4134">
        <v>0</v>
      </c>
      <c r="D4134" t="s">
        <v>184</v>
      </c>
      <c r="E4134" t="s">
        <v>182</v>
      </c>
      <c r="F4134" t="s">
        <v>177</v>
      </c>
      <c r="G4134" t="s">
        <v>178</v>
      </c>
    </row>
    <row r="4135" spans="1:7">
      <c r="A4135">
        <v>2025</v>
      </c>
      <c r="B4135" t="s">
        <v>194</v>
      </c>
      <c r="C4135">
        <v>0</v>
      </c>
      <c r="D4135" t="s">
        <v>184</v>
      </c>
      <c r="E4135" t="s">
        <v>182</v>
      </c>
      <c r="F4135" t="s">
        <v>177</v>
      </c>
      <c r="G4135" t="s">
        <v>178</v>
      </c>
    </row>
    <row r="4136" spans="1:7">
      <c r="A4136">
        <v>2026</v>
      </c>
      <c r="B4136" t="s">
        <v>194</v>
      </c>
      <c r="C4136">
        <v>0</v>
      </c>
      <c r="D4136" t="s">
        <v>184</v>
      </c>
      <c r="E4136" t="s">
        <v>182</v>
      </c>
      <c r="F4136" t="s">
        <v>177</v>
      </c>
      <c r="G4136" t="s">
        <v>178</v>
      </c>
    </row>
    <row r="4137" spans="1:7">
      <c r="A4137">
        <v>2027</v>
      </c>
      <c r="B4137" t="s">
        <v>194</v>
      </c>
      <c r="C4137">
        <v>0</v>
      </c>
      <c r="D4137" t="s">
        <v>184</v>
      </c>
      <c r="E4137" t="s">
        <v>182</v>
      </c>
      <c r="F4137" t="s">
        <v>177</v>
      </c>
      <c r="G4137" t="s">
        <v>178</v>
      </c>
    </row>
    <row r="4138" spans="1:7">
      <c r="A4138">
        <v>2028</v>
      </c>
      <c r="B4138" t="s">
        <v>194</v>
      </c>
      <c r="C4138">
        <v>0</v>
      </c>
      <c r="D4138" t="s">
        <v>184</v>
      </c>
      <c r="E4138" t="s">
        <v>182</v>
      </c>
      <c r="F4138" t="s">
        <v>177</v>
      </c>
      <c r="G4138" t="s">
        <v>178</v>
      </c>
    </row>
    <row r="4139" spans="1:7">
      <c r="A4139">
        <v>2029</v>
      </c>
      <c r="B4139" t="s">
        <v>194</v>
      </c>
      <c r="C4139">
        <v>0</v>
      </c>
      <c r="D4139" t="s">
        <v>184</v>
      </c>
      <c r="E4139" t="s">
        <v>182</v>
      </c>
      <c r="F4139" t="s">
        <v>177</v>
      </c>
      <c r="G4139" t="s">
        <v>178</v>
      </c>
    </row>
    <row r="4140" spans="1:7">
      <c r="A4140">
        <v>2030</v>
      </c>
      <c r="B4140" t="s">
        <v>194</v>
      </c>
      <c r="C4140">
        <v>0</v>
      </c>
      <c r="D4140" t="s">
        <v>184</v>
      </c>
      <c r="E4140" t="s">
        <v>182</v>
      </c>
      <c r="F4140" t="s">
        <v>177</v>
      </c>
      <c r="G4140" t="s">
        <v>178</v>
      </c>
    </row>
    <row r="4141" spans="1:7">
      <c r="A4141">
        <v>2031</v>
      </c>
      <c r="B4141" t="s">
        <v>194</v>
      </c>
      <c r="C4141">
        <v>0</v>
      </c>
      <c r="D4141" t="s">
        <v>184</v>
      </c>
      <c r="E4141" t="s">
        <v>182</v>
      </c>
      <c r="F4141" t="s">
        <v>177</v>
      </c>
      <c r="G4141" t="s">
        <v>178</v>
      </c>
    </row>
    <row r="4142" spans="1:7">
      <c r="A4142">
        <v>2032</v>
      </c>
      <c r="B4142" t="s">
        <v>194</v>
      </c>
      <c r="C4142">
        <v>0</v>
      </c>
      <c r="D4142" t="s">
        <v>184</v>
      </c>
      <c r="E4142" t="s">
        <v>182</v>
      </c>
      <c r="F4142" t="s">
        <v>177</v>
      </c>
      <c r="G4142" t="s">
        <v>178</v>
      </c>
    </row>
    <row r="4143" spans="1:7">
      <c r="A4143">
        <v>2033</v>
      </c>
      <c r="B4143" t="s">
        <v>194</v>
      </c>
      <c r="C4143">
        <v>0</v>
      </c>
      <c r="D4143" t="s">
        <v>184</v>
      </c>
      <c r="E4143" t="s">
        <v>182</v>
      </c>
      <c r="F4143" t="s">
        <v>177</v>
      </c>
      <c r="G4143" t="s">
        <v>178</v>
      </c>
    </row>
    <row r="4144" spans="1:7">
      <c r="A4144">
        <v>2034</v>
      </c>
      <c r="B4144" t="s">
        <v>194</v>
      </c>
      <c r="C4144">
        <v>0</v>
      </c>
      <c r="D4144" t="s">
        <v>184</v>
      </c>
      <c r="E4144" t="s">
        <v>182</v>
      </c>
      <c r="F4144" t="s">
        <v>177</v>
      </c>
      <c r="G4144" t="s">
        <v>178</v>
      </c>
    </row>
    <row r="4145" spans="1:7">
      <c r="A4145">
        <v>2035</v>
      </c>
      <c r="B4145" t="s">
        <v>194</v>
      </c>
      <c r="C4145">
        <v>0</v>
      </c>
      <c r="D4145" t="s">
        <v>184</v>
      </c>
      <c r="E4145" t="s">
        <v>182</v>
      </c>
      <c r="F4145" t="s">
        <v>177</v>
      </c>
      <c r="G4145" t="s">
        <v>178</v>
      </c>
    </row>
    <row r="4146" spans="1:7">
      <c r="A4146">
        <v>2020</v>
      </c>
      <c r="B4146" t="s">
        <v>195</v>
      </c>
      <c r="C4146">
        <v>10078.9</v>
      </c>
      <c r="D4146" t="s">
        <v>184</v>
      </c>
      <c r="E4146" t="s">
        <v>182</v>
      </c>
      <c r="F4146" t="s">
        <v>177</v>
      </c>
      <c r="G4146" t="s">
        <v>178</v>
      </c>
    </row>
    <row r="4147" spans="1:7">
      <c r="A4147">
        <v>2021</v>
      </c>
      <c r="B4147" t="s">
        <v>195</v>
      </c>
      <c r="C4147">
        <v>1890.5</v>
      </c>
      <c r="D4147" t="s">
        <v>184</v>
      </c>
      <c r="E4147" t="s">
        <v>182</v>
      </c>
      <c r="F4147" t="s">
        <v>177</v>
      </c>
      <c r="G4147" t="s">
        <v>178</v>
      </c>
    </row>
    <row r="4148" spans="1:7">
      <c r="A4148">
        <v>2022</v>
      </c>
      <c r="B4148" t="s">
        <v>195</v>
      </c>
      <c r="C4148">
        <v>1890.5</v>
      </c>
      <c r="D4148" t="s">
        <v>184</v>
      </c>
      <c r="E4148" t="s">
        <v>182</v>
      </c>
      <c r="F4148" t="s">
        <v>177</v>
      </c>
      <c r="G4148" t="s">
        <v>178</v>
      </c>
    </row>
    <row r="4149" spans="1:7">
      <c r="A4149">
        <v>2023</v>
      </c>
      <c r="B4149" t="s">
        <v>195</v>
      </c>
      <c r="C4149">
        <v>12165.9</v>
      </c>
      <c r="D4149" t="s">
        <v>184</v>
      </c>
      <c r="E4149" t="s">
        <v>182</v>
      </c>
      <c r="F4149" t="s">
        <v>177</v>
      </c>
      <c r="G4149" t="s">
        <v>178</v>
      </c>
    </row>
    <row r="4150" spans="1:7">
      <c r="A4150">
        <v>2024</v>
      </c>
      <c r="B4150" t="s">
        <v>195</v>
      </c>
      <c r="C4150">
        <v>12165.9</v>
      </c>
      <c r="D4150" t="s">
        <v>184</v>
      </c>
      <c r="E4150" t="s">
        <v>182</v>
      </c>
      <c r="F4150" t="s">
        <v>177</v>
      </c>
      <c r="G4150" t="s">
        <v>178</v>
      </c>
    </row>
    <row r="4151" spans="1:7">
      <c r="A4151">
        <v>2025</v>
      </c>
      <c r="B4151" t="s">
        <v>195</v>
      </c>
      <c r="C4151">
        <v>19256.099999999999</v>
      </c>
      <c r="D4151" t="s">
        <v>184</v>
      </c>
      <c r="E4151" t="s">
        <v>182</v>
      </c>
      <c r="F4151" t="s">
        <v>177</v>
      </c>
      <c r="G4151" t="s">
        <v>178</v>
      </c>
    </row>
    <row r="4152" spans="1:7">
      <c r="A4152">
        <v>2026</v>
      </c>
      <c r="B4152" t="s">
        <v>195</v>
      </c>
      <c r="C4152">
        <v>19256.099999999999</v>
      </c>
      <c r="D4152" t="s">
        <v>184</v>
      </c>
      <c r="E4152" t="s">
        <v>182</v>
      </c>
      <c r="F4152" t="s">
        <v>177</v>
      </c>
      <c r="G4152" t="s">
        <v>178</v>
      </c>
    </row>
    <row r="4153" spans="1:7">
      <c r="A4153">
        <v>2027</v>
      </c>
      <c r="B4153" t="s">
        <v>195</v>
      </c>
      <c r="C4153">
        <v>23878.400000000001</v>
      </c>
      <c r="D4153" t="s">
        <v>184</v>
      </c>
      <c r="E4153" t="s">
        <v>182</v>
      </c>
      <c r="F4153" t="s">
        <v>177</v>
      </c>
      <c r="G4153" t="s">
        <v>178</v>
      </c>
    </row>
    <row r="4154" spans="1:7">
      <c r="A4154">
        <v>2028</v>
      </c>
      <c r="B4154" t="s">
        <v>195</v>
      </c>
      <c r="C4154">
        <v>23878.400000000001</v>
      </c>
      <c r="D4154" t="s">
        <v>184</v>
      </c>
      <c r="E4154" t="s">
        <v>182</v>
      </c>
      <c r="F4154" t="s">
        <v>177</v>
      </c>
      <c r="G4154" t="s">
        <v>178</v>
      </c>
    </row>
    <row r="4155" spans="1:7">
      <c r="A4155">
        <v>2029</v>
      </c>
      <c r="B4155" t="s">
        <v>195</v>
      </c>
      <c r="C4155">
        <v>35205.5</v>
      </c>
      <c r="D4155" t="s">
        <v>184</v>
      </c>
      <c r="E4155" t="s">
        <v>182</v>
      </c>
      <c r="F4155" t="s">
        <v>177</v>
      </c>
      <c r="G4155" t="s">
        <v>178</v>
      </c>
    </row>
    <row r="4156" spans="1:7">
      <c r="A4156">
        <v>2030</v>
      </c>
      <c r="B4156" t="s">
        <v>195</v>
      </c>
      <c r="C4156">
        <v>35205.5</v>
      </c>
      <c r="D4156" t="s">
        <v>184</v>
      </c>
      <c r="E4156" t="s">
        <v>182</v>
      </c>
      <c r="F4156" t="s">
        <v>177</v>
      </c>
      <c r="G4156" t="s">
        <v>178</v>
      </c>
    </row>
    <row r="4157" spans="1:7">
      <c r="A4157">
        <v>2031</v>
      </c>
      <c r="B4157" t="s">
        <v>195</v>
      </c>
      <c r="C4157">
        <v>26831.3</v>
      </c>
      <c r="D4157" t="s">
        <v>184</v>
      </c>
      <c r="E4157" t="s">
        <v>182</v>
      </c>
      <c r="F4157" t="s">
        <v>177</v>
      </c>
      <c r="G4157" t="s">
        <v>178</v>
      </c>
    </row>
    <row r="4158" spans="1:7">
      <c r="A4158">
        <v>2032</v>
      </c>
      <c r="B4158" t="s">
        <v>195</v>
      </c>
      <c r="C4158">
        <v>26831.3</v>
      </c>
      <c r="D4158" t="s">
        <v>184</v>
      </c>
      <c r="E4158" t="s">
        <v>182</v>
      </c>
      <c r="F4158" t="s">
        <v>177</v>
      </c>
      <c r="G4158" t="s">
        <v>178</v>
      </c>
    </row>
    <row r="4159" spans="1:7">
      <c r="A4159">
        <v>2033</v>
      </c>
      <c r="B4159" t="s">
        <v>195</v>
      </c>
      <c r="C4159">
        <v>39655.5</v>
      </c>
      <c r="D4159" t="s">
        <v>184</v>
      </c>
      <c r="E4159" t="s">
        <v>182</v>
      </c>
      <c r="F4159" t="s">
        <v>177</v>
      </c>
      <c r="G4159" t="s">
        <v>178</v>
      </c>
    </row>
    <row r="4160" spans="1:7">
      <c r="A4160">
        <v>2034</v>
      </c>
      <c r="B4160" t="s">
        <v>195</v>
      </c>
      <c r="C4160">
        <v>39655.5</v>
      </c>
      <c r="D4160" t="s">
        <v>184</v>
      </c>
      <c r="E4160" t="s">
        <v>182</v>
      </c>
      <c r="F4160" t="s">
        <v>177</v>
      </c>
      <c r="G4160" t="s">
        <v>178</v>
      </c>
    </row>
    <row r="4161" spans="1:7">
      <c r="A4161">
        <v>2035</v>
      </c>
      <c r="B4161" t="s">
        <v>195</v>
      </c>
      <c r="C4161">
        <v>39655.5</v>
      </c>
      <c r="D4161" t="s">
        <v>184</v>
      </c>
      <c r="E4161" t="s">
        <v>182</v>
      </c>
      <c r="F4161" t="s">
        <v>177</v>
      </c>
      <c r="G4161" t="s">
        <v>178</v>
      </c>
    </row>
    <row r="4162" spans="1:7">
      <c r="A4162">
        <v>2020</v>
      </c>
      <c r="B4162" t="s">
        <v>196</v>
      </c>
      <c r="C4162">
        <v>8189.55</v>
      </c>
      <c r="D4162" t="s">
        <v>184</v>
      </c>
      <c r="E4162" t="s">
        <v>182</v>
      </c>
      <c r="F4162" t="s">
        <v>177</v>
      </c>
      <c r="G4162" t="s">
        <v>178</v>
      </c>
    </row>
    <row r="4163" spans="1:7">
      <c r="A4163">
        <v>2021</v>
      </c>
      <c r="B4163" t="s">
        <v>196</v>
      </c>
      <c r="C4163">
        <v>1599.82</v>
      </c>
      <c r="D4163" t="s">
        <v>184</v>
      </c>
      <c r="E4163" t="s">
        <v>182</v>
      </c>
      <c r="F4163" t="s">
        <v>177</v>
      </c>
      <c r="G4163" t="s">
        <v>178</v>
      </c>
    </row>
    <row r="4164" spans="1:7">
      <c r="A4164">
        <v>2022</v>
      </c>
      <c r="B4164" t="s">
        <v>196</v>
      </c>
      <c r="C4164">
        <v>1599.82</v>
      </c>
      <c r="D4164" t="s">
        <v>184</v>
      </c>
      <c r="E4164" t="s">
        <v>182</v>
      </c>
      <c r="F4164" t="s">
        <v>177</v>
      </c>
      <c r="G4164" t="s">
        <v>178</v>
      </c>
    </row>
    <row r="4165" spans="1:7">
      <c r="A4165">
        <v>2023</v>
      </c>
      <c r="B4165" t="s">
        <v>196</v>
      </c>
      <c r="C4165">
        <v>2536.35</v>
      </c>
      <c r="D4165" t="s">
        <v>184</v>
      </c>
      <c r="E4165" t="s">
        <v>182</v>
      </c>
      <c r="F4165" t="s">
        <v>177</v>
      </c>
      <c r="G4165" t="s">
        <v>178</v>
      </c>
    </row>
    <row r="4166" spans="1:7">
      <c r="A4166">
        <v>2024</v>
      </c>
      <c r="B4166" t="s">
        <v>196</v>
      </c>
      <c r="C4166">
        <v>2536.35</v>
      </c>
      <c r="D4166" t="s">
        <v>184</v>
      </c>
      <c r="E4166" t="s">
        <v>182</v>
      </c>
      <c r="F4166" t="s">
        <v>177</v>
      </c>
      <c r="G4166" t="s">
        <v>178</v>
      </c>
    </row>
    <row r="4167" spans="1:7">
      <c r="A4167">
        <v>2025</v>
      </c>
      <c r="B4167" t="s">
        <v>196</v>
      </c>
      <c r="C4167">
        <v>2518.0500000000002</v>
      </c>
      <c r="D4167" t="s">
        <v>184</v>
      </c>
      <c r="E4167" t="s">
        <v>182</v>
      </c>
      <c r="F4167" t="s">
        <v>177</v>
      </c>
      <c r="G4167" t="s">
        <v>178</v>
      </c>
    </row>
    <row r="4168" spans="1:7">
      <c r="A4168">
        <v>2026</v>
      </c>
      <c r="B4168" t="s">
        <v>196</v>
      </c>
      <c r="C4168">
        <v>2518.0500000000002</v>
      </c>
      <c r="D4168" t="s">
        <v>184</v>
      </c>
      <c r="E4168" t="s">
        <v>182</v>
      </c>
      <c r="F4168" t="s">
        <v>177</v>
      </c>
      <c r="G4168" t="s">
        <v>178</v>
      </c>
    </row>
    <row r="4169" spans="1:7">
      <c r="A4169">
        <v>2027</v>
      </c>
      <c r="B4169" t="s">
        <v>196</v>
      </c>
      <c r="C4169">
        <v>3741.93</v>
      </c>
      <c r="D4169" t="s">
        <v>184</v>
      </c>
      <c r="E4169" t="s">
        <v>182</v>
      </c>
      <c r="F4169" t="s">
        <v>177</v>
      </c>
      <c r="G4169" t="s">
        <v>178</v>
      </c>
    </row>
    <row r="4170" spans="1:7">
      <c r="A4170">
        <v>2028</v>
      </c>
      <c r="B4170" t="s">
        <v>196</v>
      </c>
      <c r="C4170">
        <v>3741.93</v>
      </c>
      <c r="D4170" t="s">
        <v>184</v>
      </c>
      <c r="E4170" t="s">
        <v>182</v>
      </c>
      <c r="F4170" t="s">
        <v>177</v>
      </c>
      <c r="G4170" t="s">
        <v>178</v>
      </c>
    </row>
    <row r="4171" spans="1:7">
      <c r="A4171">
        <v>2029</v>
      </c>
      <c r="B4171" t="s">
        <v>196</v>
      </c>
      <c r="C4171">
        <v>4221.99</v>
      </c>
      <c r="D4171" t="s">
        <v>184</v>
      </c>
      <c r="E4171" t="s">
        <v>182</v>
      </c>
      <c r="F4171" t="s">
        <v>177</v>
      </c>
      <c r="G4171" t="s">
        <v>178</v>
      </c>
    </row>
    <row r="4172" spans="1:7">
      <c r="A4172">
        <v>2030</v>
      </c>
      <c r="B4172" t="s">
        <v>196</v>
      </c>
      <c r="C4172">
        <v>4221.99</v>
      </c>
      <c r="D4172" t="s">
        <v>184</v>
      </c>
      <c r="E4172" t="s">
        <v>182</v>
      </c>
      <c r="F4172" t="s">
        <v>177</v>
      </c>
      <c r="G4172" t="s">
        <v>178</v>
      </c>
    </row>
    <row r="4173" spans="1:7">
      <c r="A4173">
        <v>2031</v>
      </c>
      <c r="B4173" t="s">
        <v>196</v>
      </c>
      <c r="C4173">
        <v>3874.2</v>
      </c>
      <c r="D4173" t="s">
        <v>184</v>
      </c>
      <c r="E4173" t="s">
        <v>182</v>
      </c>
      <c r="F4173" t="s">
        <v>177</v>
      </c>
      <c r="G4173" t="s">
        <v>178</v>
      </c>
    </row>
    <row r="4174" spans="1:7">
      <c r="A4174">
        <v>2032</v>
      </c>
      <c r="B4174" t="s">
        <v>196</v>
      </c>
      <c r="C4174">
        <v>3874.2</v>
      </c>
      <c r="D4174" t="s">
        <v>184</v>
      </c>
      <c r="E4174" t="s">
        <v>182</v>
      </c>
      <c r="F4174" t="s">
        <v>177</v>
      </c>
      <c r="G4174" t="s">
        <v>178</v>
      </c>
    </row>
    <row r="4175" spans="1:7">
      <c r="A4175">
        <v>2033</v>
      </c>
      <c r="B4175" t="s">
        <v>196</v>
      </c>
      <c r="C4175">
        <v>10103.9</v>
      </c>
      <c r="D4175" t="s">
        <v>184</v>
      </c>
      <c r="E4175" t="s">
        <v>182</v>
      </c>
      <c r="F4175" t="s">
        <v>177</v>
      </c>
      <c r="G4175" t="s">
        <v>178</v>
      </c>
    </row>
    <row r="4176" spans="1:7">
      <c r="A4176">
        <v>2034</v>
      </c>
      <c r="B4176" t="s">
        <v>196</v>
      </c>
      <c r="C4176">
        <v>10103.9</v>
      </c>
      <c r="D4176" t="s">
        <v>184</v>
      </c>
      <c r="E4176" t="s">
        <v>182</v>
      </c>
      <c r="F4176" t="s">
        <v>177</v>
      </c>
      <c r="G4176" t="s">
        <v>178</v>
      </c>
    </row>
    <row r="4177" spans="1:7">
      <c r="A4177">
        <v>2035</v>
      </c>
      <c r="B4177" t="s">
        <v>196</v>
      </c>
      <c r="C4177">
        <v>10103.9</v>
      </c>
      <c r="D4177" t="s">
        <v>184</v>
      </c>
      <c r="E4177" t="s">
        <v>182</v>
      </c>
      <c r="F4177" t="s">
        <v>177</v>
      </c>
      <c r="G4177" t="s">
        <v>178</v>
      </c>
    </row>
    <row r="4178" spans="1:7">
      <c r="A4178">
        <v>2020</v>
      </c>
      <c r="B4178" t="s">
        <v>188</v>
      </c>
      <c r="C4178">
        <v>102.45</v>
      </c>
      <c r="D4178" t="s">
        <v>184</v>
      </c>
      <c r="E4178" t="s">
        <v>182</v>
      </c>
      <c r="F4178" t="s">
        <v>177</v>
      </c>
      <c r="G4178" t="s">
        <v>179</v>
      </c>
    </row>
    <row r="4179" spans="1:7">
      <c r="A4179">
        <v>2021</v>
      </c>
      <c r="B4179" t="s">
        <v>188</v>
      </c>
      <c r="C4179">
        <v>9.5</v>
      </c>
      <c r="D4179" t="s">
        <v>184</v>
      </c>
      <c r="E4179" t="s">
        <v>182</v>
      </c>
      <c r="F4179" t="s">
        <v>177</v>
      </c>
      <c r="G4179" t="s">
        <v>179</v>
      </c>
    </row>
    <row r="4180" spans="1:7">
      <c r="A4180">
        <v>2022</v>
      </c>
      <c r="B4180" t="s">
        <v>188</v>
      </c>
      <c r="C4180">
        <v>9.5</v>
      </c>
      <c r="D4180" t="s">
        <v>184</v>
      </c>
      <c r="E4180" t="s">
        <v>182</v>
      </c>
      <c r="F4180" t="s">
        <v>177</v>
      </c>
      <c r="G4180" t="s">
        <v>179</v>
      </c>
    </row>
    <row r="4181" spans="1:7">
      <c r="A4181">
        <v>2023</v>
      </c>
      <c r="B4181" t="s">
        <v>188</v>
      </c>
      <c r="C4181">
        <v>0</v>
      </c>
      <c r="D4181" t="s">
        <v>184</v>
      </c>
      <c r="E4181" t="s">
        <v>182</v>
      </c>
      <c r="F4181" t="s">
        <v>177</v>
      </c>
      <c r="G4181" t="s">
        <v>179</v>
      </c>
    </row>
    <row r="4182" spans="1:7">
      <c r="A4182">
        <v>2024</v>
      </c>
      <c r="B4182" t="s">
        <v>188</v>
      </c>
      <c r="C4182">
        <v>0</v>
      </c>
      <c r="D4182" t="s">
        <v>184</v>
      </c>
      <c r="E4182" t="s">
        <v>182</v>
      </c>
      <c r="F4182" t="s">
        <v>177</v>
      </c>
      <c r="G4182" t="s">
        <v>179</v>
      </c>
    </row>
    <row r="4183" spans="1:7">
      <c r="A4183">
        <v>2025</v>
      </c>
      <c r="B4183" t="s">
        <v>188</v>
      </c>
      <c r="C4183">
        <v>0</v>
      </c>
      <c r="D4183" t="s">
        <v>184</v>
      </c>
      <c r="E4183" t="s">
        <v>182</v>
      </c>
      <c r="F4183" t="s">
        <v>177</v>
      </c>
      <c r="G4183" t="s">
        <v>179</v>
      </c>
    </row>
    <row r="4184" spans="1:7">
      <c r="A4184">
        <v>2026</v>
      </c>
      <c r="B4184" t="s">
        <v>188</v>
      </c>
      <c r="C4184">
        <v>0</v>
      </c>
      <c r="D4184" t="s">
        <v>184</v>
      </c>
      <c r="E4184" t="s">
        <v>182</v>
      </c>
      <c r="F4184" t="s">
        <v>177</v>
      </c>
      <c r="G4184" t="s">
        <v>179</v>
      </c>
    </row>
    <row r="4185" spans="1:7">
      <c r="A4185">
        <v>2027</v>
      </c>
      <c r="B4185" t="s">
        <v>188</v>
      </c>
      <c r="C4185">
        <v>0</v>
      </c>
      <c r="D4185" t="s">
        <v>184</v>
      </c>
      <c r="E4185" t="s">
        <v>182</v>
      </c>
      <c r="F4185" t="s">
        <v>177</v>
      </c>
      <c r="G4185" t="s">
        <v>179</v>
      </c>
    </row>
    <row r="4186" spans="1:7">
      <c r="A4186">
        <v>2028</v>
      </c>
      <c r="B4186" t="s">
        <v>188</v>
      </c>
      <c r="C4186">
        <v>0</v>
      </c>
      <c r="D4186" t="s">
        <v>184</v>
      </c>
      <c r="E4186" t="s">
        <v>182</v>
      </c>
      <c r="F4186" t="s">
        <v>177</v>
      </c>
      <c r="G4186" t="s">
        <v>179</v>
      </c>
    </row>
    <row r="4187" spans="1:7">
      <c r="A4187">
        <v>2029</v>
      </c>
      <c r="B4187" t="s">
        <v>188</v>
      </c>
      <c r="C4187">
        <v>0</v>
      </c>
      <c r="D4187" t="s">
        <v>184</v>
      </c>
      <c r="E4187" t="s">
        <v>182</v>
      </c>
      <c r="F4187" t="s">
        <v>177</v>
      </c>
      <c r="G4187" t="s">
        <v>179</v>
      </c>
    </row>
    <row r="4188" spans="1:7">
      <c r="A4188">
        <v>2030</v>
      </c>
      <c r="B4188" t="s">
        <v>188</v>
      </c>
      <c r="C4188">
        <v>0</v>
      </c>
      <c r="D4188" t="s">
        <v>184</v>
      </c>
      <c r="E4188" t="s">
        <v>182</v>
      </c>
      <c r="F4188" t="s">
        <v>177</v>
      </c>
      <c r="G4188" t="s">
        <v>179</v>
      </c>
    </row>
    <row r="4189" spans="1:7">
      <c r="A4189">
        <v>2031</v>
      </c>
      <c r="B4189" t="s">
        <v>188</v>
      </c>
      <c r="C4189">
        <v>0</v>
      </c>
      <c r="D4189" t="s">
        <v>184</v>
      </c>
      <c r="E4189" t="s">
        <v>182</v>
      </c>
      <c r="F4189" t="s">
        <v>177</v>
      </c>
      <c r="G4189" t="s">
        <v>179</v>
      </c>
    </row>
    <row r="4190" spans="1:7">
      <c r="A4190">
        <v>2032</v>
      </c>
      <c r="B4190" t="s">
        <v>188</v>
      </c>
      <c r="C4190">
        <v>0</v>
      </c>
      <c r="D4190" t="s">
        <v>184</v>
      </c>
      <c r="E4190" t="s">
        <v>182</v>
      </c>
      <c r="F4190" t="s">
        <v>177</v>
      </c>
      <c r="G4190" t="s">
        <v>179</v>
      </c>
    </row>
    <row r="4191" spans="1:7">
      <c r="A4191">
        <v>2033</v>
      </c>
      <c r="B4191" t="s">
        <v>188</v>
      </c>
      <c r="C4191">
        <v>0</v>
      </c>
      <c r="D4191" t="s">
        <v>184</v>
      </c>
      <c r="E4191" t="s">
        <v>182</v>
      </c>
      <c r="F4191" t="s">
        <v>177</v>
      </c>
      <c r="G4191" t="s">
        <v>179</v>
      </c>
    </row>
    <row r="4192" spans="1:7">
      <c r="A4192">
        <v>2034</v>
      </c>
      <c r="B4192" t="s">
        <v>188</v>
      </c>
      <c r="C4192">
        <v>0</v>
      </c>
      <c r="D4192" t="s">
        <v>184</v>
      </c>
      <c r="E4192" t="s">
        <v>182</v>
      </c>
      <c r="F4192" t="s">
        <v>177</v>
      </c>
      <c r="G4192" t="s">
        <v>179</v>
      </c>
    </row>
    <row r="4193" spans="1:7">
      <c r="A4193">
        <v>2035</v>
      </c>
      <c r="B4193" t="s">
        <v>188</v>
      </c>
      <c r="C4193">
        <v>0</v>
      </c>
      <c r="D4193" t="s">
        <v>184</v>
      </c>
      <c r="E4193" t="s">
        <v>182</v>
      </c>
      <c r="F4193" t="s">
        <v>177</v>
      </c>
      <c r="G4193" t="s">
        <v>179</v>
      </c>
    </row>
    <row r="4194" spans="1:7">
      <c r="A4194">
        <v>2020</v>
      </c>
      <c r="B4194" t="s">
        <v>189</v>
      </c>
      <c r="C4194">
        <v>0</v>
      </c>
      <c r="D4194" t="s">
        <v>184</v>
      </c>
      <c r="E4194" t="s">
        <v>182</v>
      </c>
      <c r="F4194" t="s">
        <v>177</v>
      </c>
      <c r="G4194" t="s">
        <v>179</v>
      </c>
    </row>
    <row r="4195" spans="1:7">
      <c r="A4195">
        <v>2021</v>
      </c>
      <c r="B4195" t="s">
        <v>189</v>
      </c>
      <c r="C4195">
        <v>0</v>
      </c>
      <c r="D4195" t="s">
        <v>184</v>
      </c>
      <c r="E4195" t="s">
        <v>182</v>
      </c>
      <c r="F4195" t="s">
        <v>177</v>
      </c>
      <c r="G4195" t="s">
        <v>179</v>
      </c>
    </row>
    <row r="4196" spans="1:7">
      <c r="A4196">
        <v>2022</v>
      </c>
      <c r="B4196" t="s">
        <v>189</v>
      </c>
      <c r="C4196">
        <v>0</v>
      </c>
      <c r="D4196" t="s">
        <v>184</v>
      </c>
      <c r="E4196" t="s">
        <v>182</v>
      </c>
      <c r="F4196" t="s">
        <v>177</v>
      </c>
      <c r="G4196" t="s">
        <v>179</v>
      </c>
    </row>
    <row r="4197" spans="1:7">
      <c r="A4197">
        <v>2023</v>
      </c>
      <c r="B4197" t="s">
        <v>189</v>
      </c>
      <c r="C4197">
        <v>0</v>
      </c>
      <c r="D4197" t="s">
        <v>184</v>
      </c>
      <c r="E4197" t="s">
        <v>182</v>
      </c>
      <c r="F4197" t="s">
        <v>177</v>
      </c>
      <c r="G4197" t="s">
        <v>179</v>
      </c>
    </row>
    <row r="4198" spans="1:7">
      <c r="A4198">
        <v>2024</v>
      </c>
      <c r="B4198" t="s">
        <v>189</v>
      </c>
      <c r="C4198">
        <v>0</v>
      </c>
      <c r="D4198" t="s">
        <v>184</v>
      </c>
      <c r="E4198" t="s">
        <v>182</v>
      </c>
      <c r="F4198" t="s">
        <v>177</v>
      </c>
      <c r="G4198" t="s">
        <v>179</v>
      </c>
    </row>
    <row r="4199" spans="1:7">
      <c r="A4199">
        <v>2025</v>
      </c>
      <c r="B4199" t="s">
        <v>189</v>
      </c>
      <c r="C4199">
        <v>0</v>
      </c>
      <c r="D4199" t="s">
        <v>184</v>
      </c>
      <c r="E4199" t="s">
        <v>182</v>
      </c>
      <c r="F4199" t="s">
        <v>177</v>
      </c>
      <c r="G4199" t="s">
        <v>179</v>
      </c>
    </row>
    <row r="4200" spans="1:7">
      <c r="A4200">
        <v>2026</v>
      </c>
      <c r="B4200" t="s">
        <v>189</v>
      </c>
      <c r="C4200">
        <v>0</v>
      </c>
      <c r="D4200" t="s">
        <v>184</v>
      </c>
      <c r="E4200" t="s">
        <v>182</v>
      </c>
      <c r="F4200" t="s">
        <v>177</v>
      </c>
      <c r="G4200" t="s">
        <v>179</v>
      </c>
    </row>
    <row r="4201" spans="1:7">
      <c r="A4201">
        <v>2027</v>
      </c>
      <c r="B4201" t="s">
        <v>189</v>
      </c>
      <c r="C4201">
        <v>0</v>
      </c>
      <c r="D4201" t="s">
        <v>184</v>
      </c>
      <c r="E4201" t="s">
        <v>182</v>
      </c>
      <c r="F4201" t="s">
        <v>177</v>
      </c>
      <c r="G4201" t="s">
        <v>179</v>
      </c>
    </row>
    <row r="4202" spans="1:7">
      <c r="A4202">
        <v>2028</v>
      </c>
      <c r="B4202" t="s">
        <v>189</v>
      </c>
      <c r="C4202">
        <v>0</v>
      </c>
      <c r="D4202" t="s">
        <v>184</v>
      </c>
      <c r="E4202" t="s">
        <v>182</v>
      </c>
      <c r="F4202" t="s">
        <v>177</v>
      </c>
      <c r="G4202" t="s">
        <v>179</v>
      </c>
    </row>
    <row r="4203" spans="1:7">
      <c r="A4203">
        <v>2029</v>
      </c>
      <c r="B4203" t="s">
        <v>189</v>
      </c>
      <c r="C4203">
        <v>0</v>
      </c>
      <c r="D4203" t="s">
        <v>184</v>
      </c>
      <c r="E4203" t="s">
        <v>182</v>
      </c>
      <c r="F4203" t="s">
        <v>177</v>
      </c>
      <c r="G4203" t="s">
        <v>179</v>
      </c>
    </row>
    <row r="4204" spans="1:7">
      <c r="A4204">
        <v>2030</v>
      </c>
      <c r="B4204" t="s">
        <v>189</v>
      </c>
      <c r="C4204">
        <v>0</v>
      </c>
      <c r="D4204" t="s">
        <v>184</v>
      </c>
      <c r="E4204" t="s">
        <v>182</v>
      </c>
      <c r="F4204" t="s">
        <v>177</v>
      </c>
      <c r="G4204" t="s">
        <v>179</v>
      </c>
    </row>
    <row r="4205" spans="1:7">
      <c r="A4205">
        <v>2031</v>
      </c>
      <c r="B4205" t="s">
        <v>189</v>
      </c>
      <c r="C4205">
        <v>0</v>
      </c>
      <c r="D4205" t="s">
        <v>184</v>
      </c>
      <c r="E4205" t="s">
        <v>182</v>
      </c>
      <c r="F4205" t="s">
        <v>177</v>
      </c>
      <c r="G4205" t="s">
        <v>179</v>
      </c>
    </row>
    <row r="4206" spans="1:7">
      <c r="A4206">
        <v>2032</v>
      </c>
      <c r="B4206" t="s">
        <v>189</v>
      </c>
      <c r="C4206">
        <v>0</v>
      </c>
      <c r="D4206" t="s">
        <v>184</v>
      </c>
      <c r="E4206" t="s">
        <v>182</v>
      </c>
      <c r="F4206" t="s">
        <v>177</v>
      </c>
      <c r="G4206" t="s">
        <v>179</v>
      </c>
    </row>
    <row r="4207" spans="1:7">
      <c r="A4207">
        <v>2033</v>
      </c>
      <c r="B4207" t="s">
        <v>189</v>
      </c>
      <c r="C4207">
        <v>0</v>
      </c>
      <c r="D4207" t="s">
        <v>184</v>
      </c>
      <c r="E4207" t="s">
        <v>182</v>
      </c>
      <c r="F4207" t="s">
        <v>177</v>
      </c>
      <c r="G4207" t="s">
        <v>179</v>
      </c>
    </row>
    <row r="4208" spans="1:7">
      <c r="A4208">
        <v>2034</v>
      </c>
      <c r="B4208" t="s">
        <v>189</v>
      </c>
      <c r="C4208">
        <v>0</v>
      </c>
      <c r="D4208" t="s">
        <v>184</v>
      </c>
      <c r="E4208" t="s">
        <v>182</v>
      </c>
      <c r="F4208" t="s">
        <v>177</v>
      </c>
      <c r="G4208" t="s">
        <v>179</v>
      </c>
    </row>
    <row r="4209" spans="1:7">
      <c r="A4209">
        <v>2035</v>
      </c>
      <c r="B4209" t="s">
        <v>189</v>
      </c>
      <c r="C4209">
        <v>0</v>
      </c>
      <c r="D4209" t="s">
        <v>184</v>
      </c>
      <c r="E4209" t="s">
        <v>182</v>
      </c>
      <c r="F4209" t="s">
        <v>177</v>
      </c>
      <c r="G4209" t="s">
        <v>179</v>
      </c>
    </row>
    <row r="4210" spans="1:7">
      <c r="A4210">
        <v>2020</v>
      </c>
      <c r="B4210" t="s">
        <v>190</v>
      </c>
      <c r="C4210">
        <v>13211.23</v>
      </c>
      <c r="D4210" t="s">
        <v>184</v>
      </c>
      <c r="E4210" t="s">
        <v>182</v>
      </c>
      <c r="F4210" t="s">
        <v>177</v>
      </c>
      <c r="G4210" t="s">
        <v>179</v>
      </c>
    </row>
    <row r="4211" spans="1:7">
      <c r="A4211">
        <v>2021</v>
      </c>
      <c r="B4211" t="s">
        <v>190</v>
      </c>
      <c r="C4211">
        <v>11310.6</v>
      </c>
      <c r="D4211" t="s">
        <v>184</v>
      </c>
      <c r="E4211" t="s">
        <v>182</v>
      </c>
      <c r="F4211" t="s">
        <v>177</v>
      </c>
      <c r="G4211" t="s">
        <v>179</v>
      </c>
    </row>
    <row r="4212" spans="1:7">
      <c r="A4212">
        <v>2022</v>
      </c>
      <c r="B4212" t="s">
        <v>190</v>
      </c>
      <c r="C4212">
        <v>11310.6</v>
      </c>
      <c r="D4212" t="s">
        <v>184</v>
      </c>
      <c r="E4212" t="s">
        <v>182</v>
      </c>
      <c r="F4212" t="s">
        <v>177</v>
      </c>
      <c r="G4212" t="s">
        <v>179</v>
      </c>
    </row>
    <row r="4213" spans="1:7">
      <c r="A4213">
        <v>2023</v>
      </c>
      <c r="B4213" t="s">
        <v>190</v>
      </c>
      <c r="C4213">
        <v>11233.7</v>
      </c>
      <c r="D4213" t="s">
        <v>184</v>
      </c>
      <c r="E4213" t="s">
        <v>182</v>
      </c>
      <c r="F4213" t="s">
        <v>177</v>
      </c>
      <c r="G4213" t="s">
        <v>179</v>
      </c>
    </row>
    <row r="4214" spans="1:7">
      <c r="A4214">
        <v>2024</v>
      </c>
      <c r="B4214" t="s">
        <v>190</v>
      </c>
      <c r="C4214">
        <v>11233.7</v>
      </c>
      <c r="D4214" t="s">
        <v>184</v>
      </c>
      <c r="E4214" t="s">
        <v>182</v>
      </c>
      <c r="F4214" t="s">
        <v>177</v>
      </c>
      <c r="G4214" t="s">
        <v>179</v>
      </c>
    </row>
    <row r="4215" spans="1:7">
      <c r="A4215">
        <v>2025</v>
      </c>
      <c r="B4215" t="s">
        <v>190</v>
      </c>
      <c r="C4215">
        <v>7451.38</v>
      </c>
      <c r="D4215" t="s">
        <v>184</v>
      </c>
      <c r="E4215" t="s">
        <v>182</v>
      </c>
      <c r="F4215" t="s">
        <v>177</v>
      </c>
      <c r="G4215" t="s">
        <v>179</v>
      </c>
    </row>
    <row r="4216" spans="1:7">
      <c r="A4216">
        <v>2026</v>
      </c>
      <c r="B4216" t="s">
        <v>190</v>
      </c>
      <c r="C4216">
        <v>7451.38</v>
      </c>
      <c r="D4216" t="s">
        <v>184</v>
      </c>
      <c r="E4216" t="s">
        <v>182</v>
      </c>
      <c r="F4216" t="s">
        <v>177</v>
      </c>
      <c r="G4216" t="s">
        <v>179</v>
      </c>
    </row>
    <row r="4217" spans="1:7">
      <c r="A4217">
        <v>2027</v>
      </c>
      <c r="B4217" t="s">
        <v>190</v>
      </c>
      <c r="C4217">
        <v>1328.13</v>
      </c>
      <c r="D4217" t="s">
        <v>184</v>
      </c>
      <c r="E4217" t="s">
        <v>182</v>
      </c>
      <c r="F4217" t="s">
        <v>177</v>
      </c>
      <c r="G4217" t="s">
        <v>179</v>
      </c>
    </row>
    <row r="4218" spans="1:7">
      <c r="A4218">
        <v>2028</v>
      </c>
      <c r="B4218" t="s">
        <v>190</v>
      </c>
      <c r="C4218">
        <v>1328.13</v>
      </c>
      <c r="D4218" t="s">
        <v>184</v>
      </c>
      <c r="E4218" t="s">
        <v>182</v>
      </c>
      <c r="F4218" t="s">
        <v>177</v>
      </c>
      <c r="G4218" t="s">
        <v>179</v>
      </c>
    </row>
    <row r="4219" spans="1:7">
      <c r="A4219">
        <v>2029</v>
      </c>
      <c r="B4219" t="s">
        <v>190</v>
      </c>
      <c r="C4219">
        <v>1358.62</v>
      </c>
      <c r="D4219" t="s">
        <v>184</v>
      </c>
      <c r="E4219" t="s">
        <v>182</v>
      </c>
      <c r="F4219" t="s">
        <v>177</v>
      </c>
      <c r="G4219" t="s">
        <v>179</v>
      </c>
    </row>
    <row r="4220" spans="1:7">
      <c r="A4220">
        <v>2030</v>
      </c>
      <c r="B4220" t="s">
        <v>190</v>
      </c>
      <c r="C4220">
        <v>1358.62</v>
      </c>
      <c r="D4220" t="s">
        <v>184</v>
      </c>
      <c r="E4220" t="s">
        <v>182</v>
      </c>
      <c r="F4220" t="s">
        <v>177</v>
      </c>
      <c r="G4220" t="s">
        <v>179</v>
      </c>
    </row>
    <row r="4221" spans="1:7">
      <c r="A4221">
        <v>2031</v>
      </c>
      <c r="B4221" t="s">
        <v>190</v>
      </c>
      <c r="C4221">
        <v>4662.76</v>
      </c>
      <c r="D4221" t="s">
        <v>184</v>
      </c>
      <c r="E4221" t="s">
        <v>182</v>
      </c>
      <c r="F4221" t="s">
        <v>177</v>
      </c>
      <c r="G4221" t="s">
        <v>179</v>
      </c>
    </row>
    <row r="4222" spans="1:7">
      <c r="A4222">
        <v>2032</v>
      </c>
      <c r="B4222" t="s">
        <v>190</v>
      </c>
      <c r="C4222">
        <v>4662.76</v>
      </c>
      <c r="D4222" t="s">
        <v>184</v>
      </c>
      <c r="E4222" t="s">
        <v>182</v>
      </c>
      <c r="F4222" t="s">
        <v>177</v>
      </c>
      <c r="G4222" t="s">
        <v>179</v>
      </c>
    </row>
    <row r="4223" spans="1:7">
      <c r="A4223">
        <v>2033</v>
      </c>
      <c r="B4223" t="s">
        <v>190</v>
      </c>
      <c r="C4223">
        <v>2356.5100000000002</v>
      </c>
      <c r="D4223" t="s">
        <v>184</v>
      </c>
      <c r="E4223" t="s">
        <v>182</v>
      </c>
      <c r="F4223" t="s">
        <v>177</v>
      </c>
      <c r="G4223" t="s">
        <v>179</v>
      </c>
    </row>
    <row r="4224" spans="1:7">
      <c r="A4224">
        <v>2034</v>
      </c>
      <c r="B4224" t="s">
        <v>190</v>
      </c>
      <c r="C4224">
        <v>2356.5100000000002</v>
      </c>
      <c r="D4224" t="s">
        <v>184</v>
      </c>
      <c r="E4224" t="s">
        <v>182</v>
      </c>
      <c r="F4224" t="s">
        <v>177</v>
      </c>
      <c r="G4224" t="s">
        <v>179</v>
      </c>
    </row>
    <row r="4225" spans="1:7">
      <c r="A4225">
        <v>2035</v>
      </c>
      <c r="B4225" t="s">
        <v>190</v>
      </c>
      <c r="C4225">
        <v>2356.5100000000002</v>
      </c>
      <c r="D4225" t="s">
        <v>184</v>
      </c>
      <c r="E4225" t="s">
        <v>182</v>
      </c>
      <c r="F4225" t="s">
        <v>177</v>
      </c>
      <c r="G4225" t="s">
        <v>179</v>
      </c>
    </row>
    <row r="4226" spans="1:7">
      <c r="A4226">
        <v>2020</v>
      </c>
      <c r="B4226" t="s">
        <v>191</v>
      </c>
      <c r="C4226">
        <v>0</v>
      </c>
      <c r="D4226" t="s">
        <v>184</v>
      </c>
      <c r="E4226" t="s">
        <v>182</v>
      </c>
      <c r="F4226" t="s">
        <v>177</v>
      </c>
      <c r="G4226" t="s">
        <v>179</v>
      </c>
    </row>
    <row r="4227" spans="1:7">
      <c r="A4227">
        <v>2021</v>
      </c>
      <c r="B4227" t="s">
        <v>191</v>
      </c>
      <c r="C4227">
        <v>0</v>
      </c>
      <c r="D4227" t="s">
        <v>184</v>
      </c>
      <c r="E4227" t="s">
        <v>182</v>
      </c>
      <c r="F4227" t="s">
        <v>177</v>
      </c>
      <c r="G4227" t="s">
        <v>179</v>
      </c>
    </row>
    <row r="4228" spans="1:7">
      <c r="A4228">
        <v>2022</v>
      </c>
      <c r="B4228" t="s">
        <v>191</v>
      </c>
      <c r="C4228">
        <v>0</v>
      </c>
      <c r="D4228" t="s">
        <v>184</v>
      </c>
      <c r="E4228" t="s">
        <v>182</v>
      </c>
      <c r="F4228" t="s">
        <v>177</v>
      </c>
      <c r="G4228" t="s">
        <v>179</v>
      </c>
    </row>
    <row r="4229" spans="1:7">
      <c r="A4229">
        <v>2023</v>
      </c>
      <c r="B4229" t="s">
        <v>191</v>
      </c>
      <c r="C4229">
        <v>0</v>
      </c>
      <c r="D4229" t="s">
        <v>184</v>
      </c>
      <c r="E4229" t="s">
        <v>182</v>
      </c>
      <c r="F4229" t="s">
        <v>177</v>
      </c>
      <c r="G4229" t="s">
        <v>179</v>
      </c>
    </row>
    <row r="4230" spans="1:7">
      <c r="A4230">
        <v>2024</v>
      </c>
      <c r="B4230" t="s">
        <v>191</v>
      </c>
      <c r="C4230">
        <v>0</v>
      </c>
      <c r="D4230" t="s">
        <v>184</v>
      </c>
      <c r="E4230" t="s">
        <v>182</v>
      </c>
      <c r="F4230" t="s">
        <v>177</v>
      </c>
      <c r="G4230" t="s">
        <v>179</v>
      </c>
    </row>
    <row r="4231" spans="1:7">
      <c r="A4231">
        <v>2025</v>
      </c>
      <c r="B4231" t="s">
        <v>191</v>
      </c>
      <c r="C4231">
        <v>0</v>
      </c>
      <c r="D4231" t="s">
        <v>184</v>
      </c>
      <c r="E4231" t="s">
        <v>182</v>
      </c>
      <c r="F4231" t="s">
        <v>177</v>
      </c>
      <c r="G4231" t="s">
        <v>179</v>
      </c>
    </row>
    <row r="4232" spans="1:7">
      <c r="A4232">
        <v>2026</v>
      </c>
      <c r="B4232" t="s">
        <v>191</v>
      </c>
      <c r="C4232">
        <v>0</v>
      </c>
      <c r="D4232" t="s">
        <v>184</v>
      </c>
      <c r="E4232" t="s">
        <v>182</v>
      </c>
      <c r="F4232" t="s">
        <v>177</v>
      </c>
      <c r="G4232" t="s">
        <v>179</v>
      </c>
    </row>
    <row r="4233" spans="1:7">
      <c r="A4233">
        <v>2027</v>
      </c>
      <c r="B4233" t="s">
        <v>191</v>
      </c>
      <c r="C4233">
        <v>0</v>
      </c>
      <c r="D4233" t="s">
        <v>184</v>
      </c>
      <c r="E4233" t="s">
        <v>182</v>
      </c>
      <c r="F4233" t="s">
        <v>177</v>
      </c>
      <c r="G4233" t="s">
        <v>179</v>
      </c>
    </row>
    <row r="4234" spans="1:7">
      <c r="A4234">
        <v>2028</v>
      </c>
      <c r="B4234" t="s">
        <v>191</v>
      </c>
      <c r="C4234">
        <v>0</v>
      </c>
      <c r="D4234" t="s">
        <v>184</v>
      </c>
      <c r="E4234" t="s">
        <v>182</v>
      </c>
      <c r="F4234" t="s">
        <v>177</v>
      </c>
      <c r="G4234" t="s">
        <v>179</v>
      </c>
    </row>
    <row r="4235" spans="1:7">
      <c r="A4235">
        <v>2029</v>
      </c>
      <c r="B4235" t="s">
        <v>191</v>
      </c>
      <c r="C4235">
        <v>0</v>
      </c>
      <c r="D4235" t="s">
        <v>184</v>
      </c>
      <c r="E4235" t="s">
        <v>182</v>
      </c>
      <c r="F4235" t="s">
        <v>177</v>
      </c>
      <c r="G4235" t="s">
        <v>179</v>
      </c>
    </row>
    <row r="4236" spans="1:7">
      <c r="A4236">
        <v>2030</v>
      </c>
      <c r="B4236" t="s">
        <v>191</v>
      </c>
      <c r="C4236">
        <v>0</v>
      </c>
      <c r="D4236" t="s">
        <v>184</v>
      </c>
      <c r="E4236" t="s">
        <v>182</v>
      </c>
      <c r="F4236" t="s">
        <v>177</v>
      </c>
      <c r="G4236" t="s">
        <v>179</v>
      </c>
    </row>
    <row r="4237" spans="1:7">
      <c r="A4237">
        <v>2031</v>
      </c>
      <c r="B4237" t="s">
        <v>191</v>
      </c>
      <c r="C4237">
        <v>0</v>
      </c>
      <c r="D4237" t="s">
        <v>184</v>
      </c>
      <c r="E4237" t="s">
        <v>182</v>
      </c>
      <c r="F4237" t="s">
        <v>177</v>
      </c>
      <c r="G4237" t="s">
        <v>179</v>
      </c>
    </row>
    <row r="4238" spans="1:7">
      <c r="A4238">
        <v>2032</v>
      </c>
      <c r="B4238" t="s">
        <v>191</v>
      </c>
      <c r="C4238">
        <v>0</v>
      </c>
      <c r="D4238" t="s">
        <v>184</v>
      </c>
      <c r="E4238" t="s">
        <v>182</v>
      </c>
      <c r="F4238" t="s">
        <v>177</v>
      </c>
      <c r="G4238" t="s">
        <v>179</v>
      </c>
    </row>
    <row r="4239" spans="1:7">
      <c r="A4239">
        <v>2033</v>
      </c>
      <c r="B4239" t="s">
        <v>191</v>
      </c>
      <c r="C4239">
        <v>0</v>
      </c>
      <c r="D4239" t="s">
        <v>184</v>
      </c>
      <c r="E4239" t="s">
        <v>182</v>
      </c>
      <c r="F4239" t="s">
        <v>177</v>
      </c>
      <c r="G4239" t="s">
        <v>179</v>
      </c>
    </row>
    <row r="4240" spans="1:7">
      <c r="A4240">
        <v>2034</v>
      </c>
      <c r="B4240" t="s">
        <v>191</v>
      </c>
      <c r="C4240">
        <v>0</v>
      </c>
      <c r="D4240" t="s">
        <v>184</v>
      </c>
      <c r="E4240" t="s">
        <v>182</v>
      </c>
      <c r="F4240" t="s">
        <v>177</v>
      </c>
      <c r="G4240" t="s">
        <v>179</v>
      </c>
    </row>
    <row r="4241" spans="1:7">
      <c r="A4241">
        <v>2035</v>
      </c>
      <c r="B4241" t="s">
        <v>191</v>
      </c>
      <c r="C4241">
        <v>0</v>
      </c>
      <c r="D4241" t="s">
        <v>184</v>
      </c>
      <c r="E4241" t="s">
        <v>182</v>
      </c>
      <c r="F4241" t="s">
        <v>177</v>
      </c>
      <c r="G4241" t="s">
        <v>179</v>
      </c>
    </row>
    <row r="4242" spans="1:7">
      <c r="A4242">
        <v>2020</v>
      </c>
      <c r="B4242" t="s">
        <v>192</v>
      </c>
      <c r="C4242">
        <v>1536.71</v>
      </c>
      <c r="D4242" t="s">
        <v>184</v>
      </c>
      <c r="E4242" t="s">
        <v>182</v>
      </c>
      <c r="F4242" t="s">
        <v>177</v>
      </c>
      <c r="G4242" t="s">
        <v>179</v>
      </c>
    </row>
    <row r="4243" spans="1:7">
      <c r="A4243">
        <v>2021</v>
      </c>
      <c r="B4243" t="s">
        <v>192</v>
      </c>
      <c r="C4243">
        <v>10.65</v>
      </c>
      <c r="D4243" t="s">
        <v>184</v>
      </c>
      <c r="E4243" t="s">
        <v>182</v>
      </c>
      <c r="F4243" t="s">
        <v>177</v>
      </c>
      <c r="G4243" t="s">
        <v>179</v>
      </c>
    </row>
    <row r="4244" spans="1:7">
      <c r="A4244">
        <v>2022</v>
      </c>
      <c r="B4244" t="s">
        <v>192</v>
      </c>
      <c r="C4244">
        <v>10.65</v>
      </c>
      <c r="D4244" t="s">
        <v>184</v>
      </c>
      <c r="E4244" t="s">
        <v>182</v>
      </c>
      <c r="F4244" t="s">
        <v>177</v>
      </c>
      <c r="G4244" t="s">
        <v>179</v>
      </c>
    </row>
    <row r="4245" spans="1:7">
      <c r="A4245">
        <v>2023</v>
      </c>
      <c r="B4245" t="s">
        <v>192</v>
      </c>
      <c r="C4245">
        <v>147.5</v>
      </c>
      <c r="D4245" t="s">
        <v>184</v>
      </c>
      <c r="E4245" t="s">
        <v>182</v>
      </c>
      <c r="F4245" t="s">
        <v>177</v>
      </c>
      <c r="G4245" t="s">
        <v>179</v>
      </c>
    </row>
    <row r="4246" spans="1:7">
      <c r="A4246">
        <v>2024</v>
      </c>
      <c r="B4246" t="s">
        <v>192</v>
      </c>
      <c r="C4246">
        <v>147.5</v>
      </c>
      <c r="D4246" t="s">
        <v>184</v>
      </c>
      <c r="E4246" t="s">
        <v>182</v>
      </c>
      <c r="F4246" t="s">
        <v>177</v>
      </c>
      <c r="G4246" t="s">
        <v>179</v>
      </c>
    </row>
    <row r="4247" spans="1:7">
      <c r="A4247">
        <v>2025</v>
      </c>
      <c r="B4247" t="s">
        <v>192</v>
      </c>
      <c r="C4247">
        <v>29.5</v>
      </c>
      <c r="D4247" t="s">
        <v>184</v>
      </c>
      <c r="E4247" t="s">
        <v>182</v>
      </c>
      <c r="F4247" t="s">
        <v>177</v>
      </c>
      <c r="G4247" t="s">
        <v>179</v>
      </c>
    </row>
    <row r="4248" spans="1:7">
      <c r="A4248">
        <v>2026</v>
      </c>
      <c r="B4248" t="s">
        <v>192</v>
      </c>
      <c r="C4248">
        <v>29.5</v>
      </c>
      <c r="D4248" t="s">
        <v>184</v>
      </c>
      <c r="E4248" t="s">
        <v>182</v>
      </c>
      <c r="F4248" t="s">
        <v>177</v>
      </c>
      <c r="G4248" t="s">
        <v>179</v>
      </c>
    </row>
    <row r="4249" spans="1:7">
      <c r="A4249">
        <v>2027</v>
      </c>
      <c r="B4249" t="s">
        <v>192</v>
      </c>
      <c r="C4249">
        <v>36.5</v>
      </c>
      <c r="D4249" t="s">
        <v>184</v>
      </c>
      <c r="E4249" t="s">
        <v>182</v>
      </c>
      <c r="F4249" t="s">
        <v>177</v>
      </c>
      <c r="G4249" t="s">
        <v>179</v>
      </c>
    </row>
    <row r="4250" spans="1:7">
      <c r="A4250">
        <v>2028</v>
      </c>
      <c r="B4250" t="s">
        <v>192</v>
      </c>
      <c r="C4250">
        <v>36.5</v>
      </c>
      <c r="D4250" t="s">
        <v>184</v>
      </c>
      <c r="E4250" t="s">
        <v>182</v>
      </c>
      <c r="F4250" t="s">
        <v>177</v>
      </c>
      <c r="G4250" t="s">
        <v>179</v>
      </c>
    </row>
    <row r="4251" spans="1:7">
      <c r="A4251">
        <v>2029</v>
      </c>
      <c r="B4251" t="s">
        <v>192</v>
      </c>
      <c r="C4251">
        <v>0</v>
      </c>
      <c r="D4251" t="s">
        <v>184</v>
      </c>
      <c r="E4251" t="s">
        <v>182</v>
      </c>
      <c r="F4251" t="s">
        <v>177</v>
      </c>
      <c r="G4251" t="s">
        <v>179</v>
      </c>
    </row>
    <row r="4252" spans="1:7">
      <c r="A4252">
        <v>2030</v>
      </c>
      <c r="B4252" t="s">
        <v>192</v>
      </c>
      <c r="C4252">
        <v>0</v>
      </c>
      <c r="D4252" t="s">
        <v>184</v>
      </c>
      <c r="E4252" t="s">
        <v>182</v>
      </c>
      <c r="F4252" t="s">
        <v>177</v>
      </c>
      <c r="G4252" t="s">
        <v>179</v>
      </c>
    </row>
    <row r="4253" spans="1:7">
      <c r="A4253">
        <v>2031</v>
      </c>
      <c r="B4253" t="s">
        <v>192</v>
      </c>
      <c r="C4253">
        <v>0</v>
      </c>
      <c r="D4253" t="s">
        <v>184</v>
      </c>
      <c r="E4253" t="s">
        <v>182</v>
      </c>
      <c r="F4253" t="s">
        <v>177</v>
      </c>
      <c r="G4253" t="s">
        <v>179</v>
      </c>
    </row>
    <row r="4254" spans="1:7">
      <c r="A4254">
        <v>2032</v>
      </c>
      <c r="B4254" t="s">
        <v>192</v>
      </c>
      <c r="C4254">
        <v>0</v>
      </c>
      <c r="D4254" t="s">
        <v>184</v>
      </c>
      <c r="E4254" t="s">
        <v>182</v>
      </c>
      <c r="F4254" t="s">
        <v>177</v>
      </c>
      <c r="G4254" t="s">
        <v>179</v>
      </c>
    </row>
    <row r="4255" spans="1:7">
      <c r="A4255">
        <v>2033</v>
      </c>
      <c r="B4255" t="s">
        <v>192</v>
      </c>
      <c r="C4255">
        <v>0</v>
      </c>
      <c r="D4255" t="s">
        <v>184</v>
      </c>
      <c r="E4255" t="s">
        <v>182</v>
      </c>
      <c r="F4255" t="s">
        <v>177</v>
      </c>
      <c r="G4255" t="s">
        <v>179</v>
      </c>
    </row>
    <row r="4256" spans="1:7">
      <c r="A4256">
        <v>2034</v>
      </c>
      <c r="B4256" t="s">
        <v>192</v>
      </c>
      <c r="C4256">
        <v>0</v>
      </c>
      <c r="D4256" t="s">
        <v>184</v>
      </c>
      <c r="E4256" t="s">
        <v>182</v>
      </c>
      <c r="F4256" t="s">
        <v>177</v>
      </c>
      <c r="G4256" t="s">
        <v>179</v>
      </c>
    </row>
    <row r="4257" spans="1:7">
      <c r="A4257">
        <v>2035</v>
      </c>
      <c r="B4257" t="s">
        <v>192</v>
      </c>
      <c r="C4257">
        <v>0</v>
      </c>
      <c r="D4257" t="s">
        <v>184</v>
      </c>
      <c r="E4257" t="s">
        <v>182</v>
      </c>
      <c r="F4257" t="s">
        <v>177</v>
      </c>
      <c r="G4257" t="s">
        <v>179</v>
      </c>
    </row>
    <row r="4258" spans="1:7">
      <c r="A4258">
        <v>2020</v>
      </c>
      <c r="B4258" t="s">
        <v>193</v>
      </c>
      <c r="C4258">
        <v>232.5</v>
      </c>
      <c r="D4258" t="s">
        <v>184</v>
      </c>
      <c r="E4258" t="s">
        <v>182</v>
      </c>
      <c r="F4258" t="s">
        <v>177</v>
      </c>
      <c r="G4258" t="s">
        <v>179</v>
      </c>
    </row>
    <row r="4259" spans="1:7">
      <c r="A4259">
        <v>2021</v>
      </c>
      <c r="B4259" t="s">
        <v>193</v>
      </c>
      <c r="C4259">
        <v>1100</v>
      </c>
      <c r="D4259" t="s">
        <v>184</v>
      </c>
      <c r="E4259" t="s">
        <v>182</v>
      </c>
      <c r="F4259" t="s">
        <v>177</v>
      </c>
      <c r="G4259" t="s">
        <v>179</v>
      </c>
    </row>
    <row r="4260" spans="1:7">
      <c r="A4260">
        <v>2022</v>
      </c>
      <c r="B4260" t="s">
        <v>193</v>
      </c>
      <c r="C4260">
        <v>1100</v>
      </c>
      <c r="D4260" t="s">
        <v>184</v>
      </c>
      <c r="E4260" t="s">
        <v>182</v>
      </c>
      <c r="F4260" t="s">
        <v>177</v>
      </c>
      <c r="G4260" t="s">
        <v>179</v>
      </c>
    </row>
    <row r="4261" spans="1:7">
      <c r="A4261">
        <v>2023</v>
      </c>
      <c r="B4261" t="s">
        <v>193</v>
      </c>
      <c r="C4261">
        <v>0</v>
      </c>
      <c r="D4261" t="s">
        <v>184</v>
      </c>
      <c r="E4261" t="s">
        <v>182</v>
      </c>
      <c r="F4261" t="s">
        <v>177</v>
      </c>
      <c r="G4261" t="s">
        <v>179</v>
      </c>
    </row>
    <row r="4262" spans="1:7">
      <c r="A4262">
        <v>2024</v>
      </c>
      <c r="B4262" t="s">
        <v>193</v>
      </c>
      <c r="C4262">
        <v>0</v>
      </c>
      <c r="D4262" t="s">
        <v>184</v>
      </c>
      <c r="E4262" t="s">
        <v>182</v>
      </c>
      <c r="F4262" t="s">
        <v>177</v>
      </c>
      <c r="G4262" t="s">
        <v>179</v>
      </c>
    </row>
    <row r="4263" spans="1:7">
      <c r="A4263">
        <v>2025</v>
      </c>
      <c r="B4263" t="s">
        <v>193</v>
      </c>
      <c r="C4263">
        <v>0</v>
      </c>
      <c r="D4263" t="s">
        <v>184</v>
      </c>
      <c r="E4263" t="s">
        <v>182</v>
      </c>
      <c r="F4263" t="s">
        <v>177</v>
      </c>
      <c r="G4263" t="s">
        <v>179</v>
      </c>
    </row>
    <row r="4264" spans="1:7">
      <c r="A4264">
        <v>2026</v>
      </c>
      <c r="B4264" t="s">
        <v>193</v>
      </c>
      <c r="C4264">
        <v>0</v>
      </c>
      <c r="D4264" t="s">
        <v>184</v>
      </c>
      <c r="E4264" t="s">
        <v>182</v>
      </c>
      <c r="F4264" t="s">
        <v>177</v>
      </c>
      <c r="G4264" t="s">
        <v>179</v>
      </c>
    </row>
    <row r="4265" spans="1:7">
      <c r="A4265">
        <v>2027</v>
      </c>
      <c r="B4265" t="s">
        <v>193</v>
      </c>
      <c r="C4265">
        <v>0</v>
      </c>
      <c r="D4265" t="s">
        <v>184</v>
      </c>
      <c r="E4265" t="s">
        <v>182</v>
      </c>
      <c r="F4265" t="s">
        <v>177</v>
      </c>
      <c r="G4265" t="s">
        <v>179</v>
      </c>
    </row>
    <row r="4266" spans="1:7">
      <c r="A4266">
        <v>2028</v>
      </c>
      <c r="B4266" t="s">
        <v>193</v>
      </c>
      <c r="C4266">
        <v>0</v>
      </c>
      <c r="D4266" t="s">
        <v>184</v>
      </c>
      <c r="E4266" t="s">
        <v>182</v>
      </c>
      <c r="F4266" t="s">
        <v>177</v>
      </c>
      <c r="G4266" t="s">
        <v>179</v>
      </c>
    </row>
    <row r="4267" spans="1:7">
      <c r="A4267">
        <v>2029</v>
      </c>
      <c r="B4267" t="s">
        <v>193</v>
      </c>
      <c r="C4267">
        <v>0</v>
      </c>
      <c r="D4267" t="s">
        <v>184</v>
      </c>
      <c r="E4267" t="s">
        <v>182</v>
      </c>
      <c r="F4267" t="s">
        <v>177</v>
      </c>
      <c r="G4267" t="s">
        <v>179</v>
      </c>
    </row>
    <row r="4268" spans="1:7">
      <c r="A4268">
        <v>2030</v>
      </c>
      <c r="B4268" t="s">
        <v>193</v>
      </c>
      <c r="C4268">
        <v>0</v>
      </c>
      <c r="D4268" t="s">
        <v>184</v>
      </c>
      <c r="E4268" t="s">
        <v>182</v>
      </c>
      <c r="F4268" t="s">
        <v>177</v>
      </c>
      <c r="G4268" t="s">
        <v>179</v>
      </c>
    </row>
    <row r="4269" spans="1:7">
      <c r="A4269">
        <v>2031</v>
      </c>
      <c r="B4269" t="s">
        <v>193</v>
      </c>
      <c r="C4269">
        <v>0</v>
      </c>
      <c r="D4269" t="s">
        <v>184</v>
      </c>
      <c r="E4269" t="s">
        <v>182</v>
      </c>
      <c r="F4269" t="s">
        <v>177</v>
      </c>
      <c r="G4269" t="s">
        <v>179</v>
      </c>
    </row>
    <row r="4270" spans="1:7">
      <c r="A4270">
        <v>2032</v>
      </c>
      <c r="B4270" t="s">
        <v>193</v>
      </c>
      <c r="C4270">
        <v>0</v>
      </c>
      <c r="D4270" t="s">
        <v>184</v>
      </c>
      <c r="E4270" t="s">
        <v>182</v>
      </c>
      <c r="F4270" t="s">
        <v>177</v>
      </c>
      <c r="G4270" t="s">
        <v>179</v>
      </c>
    </row>
    <row r="4271" spans="1:7">
      <c r="A4271">
        <v>2033</v>
      </c>
      <c r="B4271" t="s">
        <v>193</v>
      </c>
      <c r="C4271">
        <v>0</v>
      </c>
      <c r="D4271" t="s">
        <v>184</v>
      </c>
      <c r="E4271" t="s">
        <v>182</v>
      </c>
      <c r="F4271" t="s">
        <v>177</v>
      </c>
      <c r="G4271" t="s">
        <v>179</v>
      </c>
    </row>
    <row r="4272" spans="1:7">
      <c r="A4272">
        <v>2034</v>
      </c>
      <c r="B4272" t="s">
        <v>193</v>
      </c>
      <c r="C4272">
        <v>0</v>
      </c>
      <c r="D4272" t="s">
        <v>184</v>
      </c>
      <c r="E4272" t="s">
        <v>182</v>
      </c>
      <c r="F4272" t="s">
        <v>177</v>
      </c>
      <c r="G4272" t="s">
        <v>179</v>
      </c>
    </row>
    <row r="4273" spans="1:7">
      <c r="A4273">
        <v>2035</v>
      </c>
      <c r="B4273" t="s">
        <v>193</v>
      </c>
      <c r="C4273">
        <v>0</v>
      </c>
      <c r="D4273" t="s">
        <v>184</v>
      </c>
      <c r="E4273" t="s">
        <v>182</v>
      </c>
      <c r="F4273" t="s">
        <v>177</v>
      </c>
      <c r="G4273" t="s">
        <v>179</v>
      </c>
    </row>
    <row r="4274" spans="1:7">
      <c r="A4274">
        <v>2020</v>
      </c>
      <c r="B4274" t="s">
        <v>194</v>
      </c>
      <c r="C4274">
        <v>14.85</v>
      </c>
      <c r="D4274" t="s">
        <v>184</v>
      </c>
      <c r="E4274" t="s">
        <v>182</v>
      </c>
      <c r="F4274" t="s">
        <v>177</v>
      </c>
      <c r="G4274" t="s">
        <v>179</v>
      </c>
    </row>
    <row r="4275" spans="1:7">
      <c r="A4275">
        <v>2021</v>
      </c>
      <c r="B4275" t="s">
        <v>194</v>
      </c>
      <c r="C4275">
        <v>0</v>
      </c>
      <c r="D4275" t="s">
        <v>184</v>
      </c>
      <c r="E4275" t="s">
        <v>182</v>
      </c>
      <c r="F4275" t="s">
        <v>177</v>
      </c>
      <c r="G4275" t="s">
        <v>179</v>
      </c>
    </row>
    <row r="4276" spans="1:7">
      <c r="A4276">
        <v>2022</v>
      </c>
      <c r="B4276" t="s">
        <v>194</v>
      </c>
      <c r="C4276">
        <v>0</v>
      </c>
      <c r="D4276" t="s">
        <v>184</v>
      </c>
      <c r="E4276" t="s">
        <v>182</v>
      </c>
      <c r="F4276" t="s">
        <v>177</v>
      </c>
      <c r="G4276" t="s">
        <v>179</v>
      </c>
    </row>
    <row r="4277" spans="1:7">
      <c r="A4277">
        <v>2023</v>
      </c>
      <c r="B4277" t="s">
        <v>194</v>
      </c>
      <c r="C4277">
        <v>0</v>
      </c>
      <c r="D4277" t="s">
        <v>184</v>
      </c>
      <c r="E4277" t="s">
        <v>182</v>
      </c>
      <c r="F4277" t="s">
        <v>177</v>
      </c>
      <c r="G4277" t="s">
        <v>179</v>
      </c>
    </row>
    <row r="4278" spans="1:7">
      <c r="A4278">
        <v>2024</v>
      </c>
      <c r="B4278" t="s">
        <v>194</v>
      </c>
      <c r="C4278">
        <v>0</v>
      </c>
      <c r="D4278" t="s">
        <v>184</v>
      </c>
      <c r="E4278" t="s">
        <v>182</v>
      </c>
      <c r="F4278" t="s">
        <v>177</v>
      </c>
      <c r="G4278" t="s">
        <v>179</v>
      </c>
    </row>
    <row r="4279" spans="1:7">
      <c r="A4279">
        <v>2025</v>
      </c>
      <c r="B4279" t="s">
        <v>194</v>
      </c>
      <c r="C4279">
        <v>0</v>
      </c>
      <c r="D4279" t="s">
        <v>184</v>
      </c>
      <c r="E4279" t="s">
        <v>182</v>
      </c>
      <c r="F4279" t="s">
        <v>177</v>
      </c>
      <c r="G4279" t="s">
        <v>179</v>
      </c>
    </row>
    <row r="4280" spans="1:7">
      <c r="A4280">
        <v>2026</v>
      </c>
      <c r="B4280" t="s">
        <v>194</v>
      </c>
      <c r="C4280">
        <v>0</v>
      </c>
      <c r="D4280" t="s">
        <v>184</v>
      </c>
      <c r="E4280" t="s">
        <v>182</v>
      </c>
      <c r="F4280" t="s">
        <v>177</v>
      </c>
      <c r="G4280" t="s">
        <v>179</v>
      </c>
    </row>
    <row r="4281" spans="1:7">
      <c r="A4281">
        <v>2027</v>
      </c>
      <c r="B4281" t="s">
        <v>194</v>
      </c>
      <c r="C4281">
        <v>0</v>
      </c>
      <c r="D4281" t="s">
        <v>184</v>
      </c>
      <c r="E4281" t="s">
        <v>182</v>
      </c>
      <c r="F4281" t="s">
        <v>177</v>
      </c>
      <c r="G4281" t="s">
        <v>179</v>
      </c>
    </row>
    <row r="4282" spans="1:7">
      <c r="A4282">
        <v>2028</v>
      </c>
      <c r="B4282" t="s">
        <v>194</v>
      </c>
      <c r="C4282">
        <v>0</v>
      </c>
      <c r="D4282" t="s">
        <v>184</v>
      </c>
      <c r="E4282" t="s">
        <v>182</v>
      </c>
      <c r="F4282" t="s">
        <v>177</v>
      </c>
      <c r="G4282" t="s">
        <v>179</v>
      </c>
    </row>
    <row r="4283" spans="1:7">
      <c r="A4283">
        <v>2029</v>
      </c>
      <c r="B4283" t="s">
        <v>194</v>
      </c>
      <c r="C4283">
        <v>0</v>
      </c>
      <c r="D4283" t="s">
        <v>184</v>
      </c>
      <c r="E4283" t="s">
        <v>182</v>
      </c>
      <c r="F4283" t="s">
        <v>177</v>
      </c>
      <c r="G4283" t="s">
        <v>179</v>
      </c>
    </row>
    <row r="4284" spans="1:7">
      <c r="A4284">
        <v>2030</v>
      </c>
      <c r="B4284" t="s">
        <v>194</v>
      </c>
      <c r="C4284">
        <v>0</v>
      </c>
      <c r="D4284" t="s">
        <v>184</v>
      </c>
      <c r="E4284" t="s">
        <v>182</v>
      </c>
      <c r="F4284" t="s">
        <v>177</v>
      </c>
      <c r="G4284" t="s">
        <v>179</v>
      </c>
    </row>
    <row r="4285" spans="1:7">
      <c r="A4285">
        <v>2031</v>
      </c>
      <c r="B4285" t="s">
        <v>194</v>
      </c>
      <c r="C4285">
        <v>0</v>
      </c>
      <c r="D4285" t="s">
        <v>184</v>
      </c>
      <c r="E4285" t="s">
        <v>182</v>
      </c>
      <c r="F4285" t="s">
        <v>177</v>
      </c>
      <c r="G4285" t="s">
        <v>179</v>
      </c>
    </row>
    <row r="4286" spans="1:7">
      <c r="A4286">
        <v>2032</v>
      </c>
      <c r="B4286" t="s">
        <v>194</v>
      </c>
      <c r="C4286">
        <v>0</v>
      </c>
      <c r="D4286" t="s">
        <v>184</v>
      </c>
      <c r="E4286" t="s">
        <v>182</v>
      </c>
      <c r="F4286" t="s">
        <v>177</v>
      </c>
      <c r="G4286" t="s">
        <v>179</v>
      </c>
    </row>
    <row r="4287" spans="1:7">
      <c r="A4287">
        <v>2033</v>
      </c>
      <c r="B4287" t="s">
        <v>194</v>
      </c>
      <c r="C4287">
        <v>0</v>
      </c>
      <c r="D4287" t="s">
        <v>184</v>
      </c>
      <c r="E4287" t="s">
        <v>182</v>
      </c>
      <c r="F4287" t="s">
        <v>177</v>
      </c>
      <c r="G4287" t="s">
        <v>179</v>
      </c>
    </row>
    <row r="4288" spans="1:7">
      <c r="A4288">
        <v>2034</v>
      </c>
      <c r="B4288" t="s">
        <v>194</v>
      </c>
      <c r="C4288">
        <v>0</v>
      </c>
      <c r="D4288" t="s">
        <v>184</v>
      </c>
      <c r="E4288" t="s">
        <v>182</v>
      </c>
      <c r="F4288" t="s">
        <v>177</v>
      </c>
      <c r="G4288" t="s">
        <v>179</v>
      </c>
    </row>
    <row r="4289" spans="1:7">
      <c r="A4289">
        <v>2035</v>
      </c>
      <c r="B4289" t="s">
        <v>194</v>
      </c>
      <c r="C4289">
        <v>0</v>
      </c>
      <c r="D4289" t="s">
        <v>184</v>
      </c>
      <c r="E4289" t="s">
        <v>182</v>
      </c>
      <c r="F4289" t="s">
        <v>177</v>
      </c>
      <c r="G4289" t="s">
        <v>179</v>
      </c>
    </row>
    <row r="4290" spans="1:7">
      <c r="A4290">
        <v>2020</v>
      </c>
      <c r="B4290" t="s">
        <v>195</v>
      </c>
      <c r="C4290">
        <v>9632.0400000000009</v>
      </c>
      <c r="D4290" t="s">
        <v>184</v>
      </c>
      <c r="E4290" t="s">
        <v>182</v>
      </c>
      <c r="F4290" t="s">
        <v>177</v>
      </c>
      <c r="G4290" t="s">
        <v>179</v>
      </c>
    </row>
    <row r="4291" spans="1:7">
      <c r="A4291">
        <v>2021</v>
      </c>
      <c r="B4291" t="s">
        <v>195</v>
      </c>
      <c r="C4291">
        <v>1537.7</v>
      </c>
      <c r="D4291" t="s">
        <v>184</v>
      </c>
      <c r="E4291" t="s">
        <v>182</v>
      </c>
      <c r="F4291" t="s">
        <v>177</v>
      </c>
      <c r="G4291" t="s">
        <v>179</v>
      </c>
    </row>
    <row r="4292" spans="1:7">
      <c r="A4292">
        <v>2022</v>
      </c>
      <c r="B4292" t="s">
        <v>195</v>
      </c>
      <c r="C4292">
        <v>1537.7</v>
      </c>
      <c r="D4292" t="s">
        <v>184</v>
      </c>
      <c r="E4292" t="s">
        <v>182</v>
      </c>
      <c r="F4292" t="s">
        <v>177</v>
      </c>
      <c r="G4292" t="s">
        <v>179</v>
      </c>
    </row>
    <row r="4293" spans="1:7">
      <c r="A4293">
        <v>2023</v>
      </c>
      <c r="B4293" t="s">
        <v>195</v>
      </c>
      <c r="C4293">
        <v>4334.1000000000004</v>
      </c>
      <c r="D4293" t="s">
        <v>184</v>
      </c>
      <c r="E4293" t="s">
        <v>182</v>
      </c>
      <c r="F4293" t="s">
        <v>177</v>
      </c>
      <c r="G4293" t="s">
        <v>179</v>
      </c>
    </row>
    <row r="4294" spans="1:7">
      <c r="A4294">
        <v>2024</v>
      </c>
      <c r="B4294" t="s">
        <v>195</v>
      </c>
      <c r="C4294">
        <v>4334.1000000000004</v>
      </c>
      <c r="D4294" t="s">
        <v>184</v>
      </c>
      <c r="E4294" t="s">
        <v>182</v>
      </c>
      <c r="F4294" t="s">
        <v>177</v>
      </c>
      <c r="G4294" t="s">
        <v>179</v>
      </c>
    </row>
    <row r="4295" spans="1:7">
      <c r="A4295">
        <v>2025</v>
      </c>
      <c r="B4295" t="s">
        <v>195</v>
      </c>
      <c r="C4295">
        <v>8425.6</v>
      </c>
      <c r="D4295" t="s">
        <v>184</v>
      </c>
      <c r="E4295" t="s">
        <v>182</v>
      </c>
      <c r="F4295" t="s">
        <v>177</v>
      </c>
      <c r="G4295" t="s">
        <v>179</v>
      </c>
    </row>
    <row r="4296" spans="1:7">
      <c r="A4296">
        <v>2026</v>
      </c>
      <c r="B4296" t="s">
        <v>195</v>
      </c>
      <c r="C4296">
        <v>8425.6</v>
      </c>
      <c r="D4296" t="s">
        <v>184</v>
      </c>
      <c r="E4296" t="s">
        <v>182</v>
      </c>
      <c r="F4296" t="s">
        <v>177</v>
      </c>
      <c r="G4296" t="s">
        <v>179</v>
      </c>
    </row>
    <row r="4297" spans="1:7">
      <c r="A4297">
        <v>2027</v>
      </c>
      <c r="B4297" t="s">
        <v>195</v>
      </c>
      <c r="C4297">
        <v>12522.4</v>
      </c>
      <c r="D4297" t="s">
        <v>184</v>
      </c>
      <c r="E4297" t="s">
        <v>182</v>
      </c>
      <c r="F4297" t="s">
        <v>177</v>
      </c>
      <c r="G4297" t="s">
        <v>179</v>
      </c>
    </row>
    <row r="4298" spans="1:7">
      <c r="A4298">
        <v>2028</v>
      </c>
      <c r="B4298" t="s">
        <v>195</v>
      </c>
      <c r="C4298">
        <v>12522.4</v>
      </c>
      <c r="D4298" t="s">
        <v>184</v>
      </c>
      <c r="E4298" t="s">
        <v>182</v>
      </c>
      <c r="F4298" t="s">
        <v>177</v>
      </c>
      <c r="G4298" t="s">
        <v>179</v>
      </c>
    </row>
    <row r="4299" spans="1:7">
      <c r="A4299">
        <v>2029</v>
      </c>
      <c r="B4299" t="s">
        <v>195</v>
      </c>
      <c r="C4299">
        <v>15414.7</v>
      </c>
      <c r="D4299" t="s">
        <v>184</v>
      </c>
      <c r="E4299" t="s">
        <v>182</v>
      </c>
      <c r="F4299" t="s">
        <v>177</v>
      </c>
      <c r="G4299" t="s">
        <v>179</v>
      </c>
    </row>
    <row r="4300" spans="1:7">
      <c r="A4300">
        <v>2030</v>
      </c>
      <c r="B4300" t="s">
        <v>195</v>
      </c>
      <c r="C4300">
        <v>15414.7</v>
      </c>
      <c r="D4300" t="s">
        <v>184</v>
      </c>
      <c r="E4300" t="s">
        <v>182</v>
      </c>
      <c r="F4300" t="s">
        <v>177</v>
      </c>
      <c r="G4300" t="s">
        <v>179</v>
      </c>
    </row>
    <row r="4301" spans="1:7">
      <c r="A4301">
        <v>2031</v>
      </c>
      <c r="B4301" t="s">
        <v>195</v>
      </c>
      <c r="C4301">
        <v>11257.3</v>
      </c>
      <c r="D4301" t="s">
        <v>184</v>
      </c>
      <c r="E4301" t="s">
        <v>182</v>
      </c>
      <c r="F4301" t="s">
        <v>177</v>
      </c>
      <c r="G4301" t="s">
        <v>179</v>
      </c>
    </row>
    <row r="4302" spans="1:7">
      <c r="A4302">
        <v>2032</v>
      </c>
      <c r="B4302" t="s">
        <v>195</v>
      </c>
      <c r="C4302">
        <v>11257.3</v>
      </c>
      <c r="D4302" t="s">
        <v>184</v>
      </c>
      <c r="E4302" t="s">
        <v>182</v>
      </c>
      <c r="F4302" t="s">
        <v>177</v>
      </c>
      <c r="G4302" t="s">
        <v>179</v>
      </c>
    </row>
    <row r="4303" spans="1:7">
      <c r="A4303">
        <v>2033</v>
      </c>
      <c r="B4303" t="s">
        <v>195</v>
      </c>
      <c r="C4303">
        <v>13791.1</v>
      </c>
      <c r="D4303" t="s">
        <v>184</v>
      </c>
      <c r="E4303" t="s">
        <v>182</v>
      </c>
      <c r="F4303" t="s">
        <v>177</v>
      </c>
      <c r="G4303" t="s">
        <v>179</v>
      </c>
    </row>
    <row r="4304" spans="1:7">
      <c r="A4304">
        <v>2034</v>
      </c>
      <c r="B4304" t="s">
        <v>195</v>
      </c>
      <c r="C4304">
        <v>13791.1</v>
      </c>
      <c r="D4304" t="s">
        <v>184</v>
      </c>
      <c r="E4304" t="s">
        <v>182</v>
      </c>
      <c r="F4304" t="s">
        <v>177</v>
      </c>
      <c r="G4304" t="s">
        <v>179</v>
      </c>
    </row>
    <row r="4305" spans="1:7">
      <c r="A4305">
        <v>2035</v>
      </c>
      <c r="B4305" t="s">
        <v>195</v>
      </c>
      <c r="C4305">
        <v>13791.1</v>
      </c>
      <c r="D4305" t="s">
        <v>184</v>
      </c>
      <c r="E4305" t="s">
        <v>182</v>
      </c>
      <c r="F4305" t="s">
        <v>177</v>
      </c>
      <c r="G4305" t="s">
        <v>179</v>
      </c>
    </row>
    <row r="4306" spans="1:7">
      <c r="A4306">
        <v>2020</v>
      </c>
      <c r="B4306" t="s">
        <v>196</v>
      </c>
      <c r="C4306">
        <v>8218.51</v>
      </c>
      <c r="D4306" t="s">
        <v>184</v>
      </c>
      <c r="E4306" t="s">
        <v>182</v>
      </c>
      <c r="F4306" t="s">
        <v>177</v>
      </c>
      <c r="G4306" t="s">
        <v>179</v>
      </c>
    </row>
    <row r="4307" spans="1:7">
      <c r="A4307">
        <v>2021</v>
      </c>
      <c r="B4307" t="s">
        <v>196</v>
      </c>
      <c r="C4307">
        <v>1757.19</v>
      </c>
      <c r="D4307" t="s">
        <v>184</v>
      </c>
      <c r="E4307" t="s">
        <v>182</v>
      </c>
      <c r="F4307" t="s">
        <v>177</v>
      </c>
      <c r="G4307" t="s">
        <v>179</v>
      </c>
    </row>
    <row r="4308" spans="1:7">
      <c r="A4308">
        <v>2022</v>
      </c>
      <c r="B4308" t="s">
        <v>196</v>
      </c>
      <c r="C4308">
        <v>1757.19</v>
      </c>
      <c r="D4308" t="s">
        <v>184</v>
      </c>
      <c r="E4308" t="s">
        <v>182</v>
      </c>
      <c r="F4308" t="s">
        <v>177</v>
      </c>
      <c r="G4308" t="s">
        <v>179</v>
      </c>
    </row>
    <row r="4309" spans="1:7">
      <c r="A4309">
        <v>2023</v>
      </c>
      <c r="B4309" t="s">
        <v>196</v>
      </c>
      <c r="C4309">
        <v>2100.2399999999998</v>
      </c>
      <c r="D4309" t="s">
        <v>184</v>
      </c>
      <c r="E4309" t="s">
        <v>182</v>
      </c>
      <c r="F4309" t="s">
        <v>177</v>
      </c>
      <c r="G4309" t="s">
        <v>179</v>
      </c>
    </row>
    <row r="4310" spans="1:7">
      <c r="A4310">
        <v>2024</v>
      </c>
      <c r="B4310" t="s">
        <v>196</v>
      </c>
      <c r="C4310">
        <v>2100.2399999999998</v>
      </c>
      <c r="D4310" t="s">
        <v>184</v>
      </c>
      <c r="E4310" t="s">
        <v>182</v>
      </c>
      <c r="F4310" t="s">
        <v>177</v>
      </c>
      <c r="G4310" t="s">
        <v>179</v>
      </c>
    </row>
    <row r="4311" spans="1:7">
      <c r="A4311">
        <v>2025</v>
      </c>
      <c r="B4311" t="s">
        <v>196</v>
      </c>
      <c r="C4311">
        <v>4067.52</v>
      </c>
      <c r="D4311" t="s">
        <v>184</v>
      </c>
      <c r="E4311" t="s">
        <v>182</v>
      </c>
      <c r="F4311" t="s">
        <v>177</v>
      </c>
      <c r="G4311" t="s">
        <v>179</v>
      </c>
    </row>
    <row r="4312" spans="1:7">
      <c r="A4312">
        <v>2026</v>
      </c>
      <c r="B4312" t="s">
        <v>196</v>
      </c>
      <c r="C4312">
        <v>4067.52</v>
      </c>
      <c r="D4312" t="s">
        <v>184</v>
      </c>
      <c r="E4312" t="s">
        <v>182</v>
      </c>
      <c r="F4312" t="s">
        <v>177</v>
      </c>
      <c r="G4312" t="s">
        <v>179</v>
      </c>
    </row>
    <row r="4313" spans="1:7">
      <c r="A4313">
        <v>2027</v>
      </c>
      <c r="B4313" t="s">
        <v>196</v>
      </c>
      <c r="C4313">
        <v>4220.13</v>
      </c>
      <c r="D4313" t="s">
        <v>184</v>
      </c>
      <c r="E4313" t="s">
        <v>182</v>
      </c>
      <c r="F4313" t="s">
        <v>177</v>
      </c>
      <c r="G4313" t="s">
        <v>179</v>
      </c>
    </row>
    <row r="4314" spans="1:7">
      <c r="A4314">
        <v>2028</v>
      </c>
      <c r="B4314" t="s">
        <v>196</v>
      </c>
      <c r="C4314">
        <v>4220.13</v>
      </c>
      <c r="D4314" t="s">
        <v>184</v>
      </c>
      <c r="E4314" t="s">
        <v>182</v>
      </c>
      <c r="F4314" t="s">
        <v>177</v>
      </c>
      <c r="G4314" t="s">
        <v>179</v>
      </c>
    </row>
    <row r="4315" spans="1:7">
      <c r="A4315">
        <v>2029</v>
      </c>
      <c r="B4315" t="s">
        <v>196</v>
      </c>
      <c r="C4315">
        <v>7064.75</v>
      </c>
      <c r="D4315" t="s">
        <v>184</v>
      </c>
      <c r="E4315" t="s">
        <v>182</v>
      </c>
      <c r="F4315" t="s">
        <v>177</v>
      </c>
      <c r="G4315" t="s">
        <v>179</v>
      </c>
    </row>
    <row r="4316" spans="1:7">
      <c r="A4316">
        <v>2030</v>
      </c>
      <c r="B4316" t="s">
        <v>196</v>
      </c>
      <c r="C4316">
        <v>7064.75</v>
      </c>
      <c r="D4316" t="s">
        <v>184</v>
      </c>
      <c r="E4316" t="s">
        <v>182</v>
      </c>
      <c r="F4316" t="s">
        <v>177</v>
      </c>
      <c r="G4316" t="s">
        <v>179</v>
      </c>
    </row>
    <row r="4317" spans="1:7">
      <c r="A4317">
        <v>2031</v>
      </c>
      <c r="B4317" t="s">
        <v>196</v>
      </c>
      <c r="C4317">
        <v>3402.36</v>
      </c>
      <c r="D4317" t="s">
        <v>184</v>
      </c>
      <c r="E4317" t="s">
        <v>182</v>
      </c>
      <c r="F4317" t="s">
        <v>177</v>
      </c>
      <c r="G4317" t="s">
        <v>179</v>
      </c>
    </row>
    <row r="4318" spans="1:7">
      <c r="A4318">
        <v>2032</v>
      </c>
      <c r="B4318" t="s">
        <v>196</v>
      </c>
      <c r="C4318">
        <v>3402.36</v>
      </c>
      <c r="D4318" t="s">
        <v>184</v>
      </c>
      <c r="E4318" t="s">
        <v>182</v>
      </c>
      <c r="F4318" t="s">
        <v>177</v>
      </c>
      <c r="G4318" t="s">
        <v>179</v>
      </c>
    </row>
    <row r="4319" spans="1:7">
      <c r="A4319">
        <v>2033</v>
      </c>
      <c r="B4319" t="s">
        <v>196</v>
      </c>
      <c r="C4319">
        <v>5021.21</v>
      </c>
      <c r="D4319" t="s">
        <v>184</v>
      </c>
      <c r="E4319" t="s">
        <v>182</v>
      </c>
      <c r="F4319" t="s">
        <v>177</v>
      </c>
      <c r="G4319" t="s">
        <v>179</v>
      </c>
    </row>
    <row r="4320" spans="1:7">
      <c r="A4320">
        <v>2034</v>
      </c>
      <c r="B4320" t="s">
        <v>196</v>
      </c>
      <c r="C4320">
        <v>5021.21</v>
      </c>
      <c r="D4320" t="s">
        <v>184</v>
      </c>
      <c r="E4320" t="s">
        <v>182</v>
      </c>
      <c r="F4320" t="s">
        <v>177</v>
      </c>
      <c r="G4320" t="s">
        <v>179</v>
      </c>
    </row>
    <row r="4321" spans="1:7">
      <c r="A4321">
        <v>2035</v>
      </c>
      <c r="B4321" t="s">
        <v>196</v>
      </c>
      <c r="C4321">
        <v>5021.21</v>
      </c>
      <c r="D4321" t="s">
        <v>184</v>
      </c>
      <c r="E4321" t="s">
        <v>182</v>
      </c>
      <c r="F4321" t="s">
        <v>177</v>
      </c>
      <c r="G4321" t="s">
        <v>179</v>
      </c>
    </row>
    <row r="4322" spans="1:7">
      <c r="A4322">
        <v>2020</v>
      </c>
      <c r="B4322" t="s">
        <v>188</v>
      </c>
      <c r="C4322">
        <v>102.45</v>
      </c>
      <c r="D4322" t="s">
        <v>184</v>
      </c>
      <c r="E4322" t="s">
        <v>182</v>
      </c>
      <c r="F4322" t="s">
        <v>177</v>
      </c>
      <c r="G4322" t="s">
        <v>180</v>
      </c>
    </row>
    <row r="4323" spans="1:7">
      <c r="A4323">
        <v>2021</v>
      </c>
      <c r="B4323" t="s">
        <v>188</v>
      </c>
      <c r="C4323">
        <v>9.5</v>
      </c>
      <c r="D4323" t="s">
        <v>184</v>
      </c>
      <c r="E4323" t="s">
        <v>182</v>
      </c>
      <c r="F4323" t="s">
        <v>177</v>
      </c>
      <c r="G4323" t="s">
        <v>180</v>
      </c>
    </row>
    <row r="4324" spans="1:7">
      <c r="A4324">
        <v>2022</v>
      </c>
      <c r="B4324" t="s">
        <v>188</v>
      </c>
      <c r="C4324">
        <v>9.5</v>
      </c>
      <c r="D4324" t="s">
        <v>184</v>
      </c>
      <c r="E4324" t="s">
        <v>182</v>
      </c>
      <c r="F4324" t="s">
        <v>177</v>
      </c>
      <c r="G4324" t="s">
        <v>180</v>
      </c>
    </row>
    <row r="4325" spans="1:7">
      <c r="A4325">
        <v>2023</v>
      </c>
      <c r="B4325" t="s">
        <v>188</v>
      </c>
      <c r="C4325">
        <v>0</v>
      </c>
      <c r="D4325" t="s">
        <v>184</v>
      </c>
      <c r="E4325" t="s">
        <v>182</v>
      </c>
      <c r="F4325" t="s">
        <v>177</v>
      </c>
      <c r="G4325" t="s">
        <v>180</v>
      </c>
    </row>
    <row r="4326" spans="1:7">
      <c r="A4326">
        <v>2024</v>
      </c>
      <c r="B4326" t="s">
        <v>188</v>
      </c>
      <c r="C4326">
        <v>0</v>
      </c>
      <c r="D4326" t="s">
        <v>184</v>
      </c>
      <c r="E4326" t="s">
        <v>182</v>
      </c>
      <c r="F4326" t="s">
        <v>177</v>
      </c>
      <c r="G4326" t="s">
        <v>180</v>
      </c>
    </row>
    <row r="4327" spans="1:7">
      <c r="A4327">
        <v>2025</v>
      </c>
      <c r="B4327" t="s">
        <v>188</v>
      </c>
      <c r="C4327">
        <v>0</v>
      </c>
      <c r="D4327" t="s">
        <v>184</v>
      </c>
      <c r="E4327" t="s">
        <v>182</v>
      </c>
      <c r="F4327" t="s">
        <v>177</v>
      </c>
      <c r="G4327" t="s">
        <v>180</v>
      </c>
    </row>
    <row r="4328" spans="1:7">
      <c r="A4328">
        <v>2026</v>
      </c>
      <c r="B4328" t="s">
        <v>188</v>
      </c>
      <c r="C4328">
        <v>0</v>
      </c>
      <c r="D4328" t="s">
        <v>184</v>
      </c>
      <c r="E4328" t="s">
        <v>182</v>
      </c>
      <c r="F4328" t="s">
        <v>177</v>
      </c>
      <c r="G4328" t="s">
        <v>180</v>
      </c>
    </row>
    <row r="4329" spans="1:7">
      <c r="A4329">
        <v>2027</v>
      </c>
      <c r="B4329" t="s">
        <v>188</v>
      </c>
      <c r="C4329">
        <v>0</v>
      </c>
      <c r="D4329" t="s">
        <v>184</v>
      </c>
      <c r="E4329" t="s">
        <v>182</v>
      </c>
      <c r="F4329" t="s">
        <v>177</v>
      </c>
      <c r="G4329" t="s">
        <v>180</v>
      </c>
    </row>
    <row r="4330" spans="1:7">
      <c r="A4330">
        <v>2028</v>
      </c>
      <c r="B4330" t="s">
        <v>188</v>
      </c>
      <c r="C4330">
        <v>0</v>
      </c>
      <c r="D4330" t="s">
        <v>184</v>
      </c>
      <c r="E4330" t="s">
        <v>182</v>
      </c>
      <c r="F4330" t="s">
        <v>177</v>
      </c>
      <c r="G4330" t="s">
        <v>180</v>
      </c>
    </row>
    <row r="4331" spans="1:7">
      <c r="A4331">
        <v>2029</v>
      </c>
      <c r="B4331" t="s">
        <v>188</v>
      </c>
      <c r="C4331">
        <v>0</v>
      </c>
      <c r="D4331" t="s">
        <v>184</v>
      </c>
      <c r="E4331" t="s">
        <v>182</v>
      </c>
      <c r="F4331" t="s">
        <v>177</v>
      </c>
      <c r="G4331" t="s">
        <v>180</v>
      </c>
    </row>
    <row r="4332" spans="1:7">
      <c r="A4332">
        <v>2030</v>
      </c>
      <c r="B4332" t="s">
        <v>188</v>
      </c>
      <c r="C4332">
        <v>0</v>
      </c>
      <c r="D4332" t="s">
        <v>184</v>
      </c>
      <c r="E4332" t="s">
        <v>182</v>
      </c>
      <c r="F4332" t="s">
        <v>177</v>
      </c>
      <c r="G4332" t="s">
        <v>180</v>
      </c>
    </row>
    <row r="4333" spans="1:7">
      <c r="A4333">
        <v>2031</v>
      </c>
      <c r="B4333" t="s">
        <v>188</v>
      </c>
      <c r="C4333">
        <v>0</v>
      </c>
      <c r="D4333" t="s">
        <v>184</v>
      </c>
      <c r="E4333" t="s">
        <v>182</v>
      </c>
      <c r="F4333" t="s">
        <v>177</v>
      </c>
      <c r="G4333" t="s">
        <v>180</v>
      </c>
    </row>
    <row r="4334" spans="1:7">
      <c r="A4334">
        <v>2032</v>
      </c>
      <c r="B4334" t="s">
        <v>188</v>
      </c>
      <c r="C4334">
        <v>0</v>
      </c>
      <c r="D4334" t="s">
        <v>184</v>
      </c>
      <c r="E4334" t="s">
        <v>182</v>
      </c>
      <c r="F4334" t="s">
        <v>177</v>
      </c>
      <c r="G4334" t="s">
        <v>180</v>
      </c>
    </row>
    <row r="4335" spans="1:7">
      <c r="A4335">
        <v>2033</v>
      </c>
      <c r="B4335" t="s">
        <v>188</v>
      </c>
      <c r="C4335">
        <v>0</v>
      </c>
      <c r="D4335" t="s">
        <v>184</v>
      </c>
      <c r="E4335" t="s">
        <v>182</v>
      </c>
      <c r="F4335" t="s">
        <v>177</v>
      </c>
      <c r="G4335" t="s">
        <v>180</v>
      </c>
    </row>
    <row r="4336" spans="1:7">
      <c r="A4336">
        <v>2034</v>
      </c>
      <c r="B4336" t="s">
        <v>188</v>
      </c>
      <c r="C4336">
        <v>0</v>
      </c>
      <c r="D4336" t="s">
        <v>184</v>
      </c>
      <c r="E4336" t="s">
        <v>182</v>
      </c>
      <c r="F4336" t="s">
        <v>177</v>
      </c>
      <c r="G4336" t="s">
        <v>180</v>
      </c>
    </row>
    <row r="4337" spans="1:7">
      <c r="A4337">
        <v>2035</v>
      </c>
      <c r="B4337" t="s">
        <v>188</v>
      </c>
      <c r="C4337">
        <v>0</v>
      </c>
      <c r="D4337" t="s">
        <v>184</v>
      </c>
      <c r="E4337" t="s">
        <v>182</v>
      </c>
      <c r="F4337" t="s">
        <v>177</v>
      </c>
      <c r="G4337" t="s">
        <v>180</v>
      </c>
    </row>
    <row r="4338" spans="1:7">
      <c r="A4338">
        <v>2020</v>
      </c>
      <c r="B4338" t="s">
        <v>189</v>
      </c>
      <c r="C4338">
        <v>0</v>
      </c>
      <c r="D4338" t="s">
        <v>184</v>
      </c>
      <c r="E4338" t="s">
        <v>182</v>
      </c>
      <c r="F4338" t="s">
        <v>177</v>
      </c>
      <c r="G4338" t="s">
        <v>180</v>
      </c>
    </row>
    <row r="4339" spans="1:7">
      <c r="A4339">
        <v>2021</v>
      </c>
      <c r="B4339" t="s">
        <v>189</v>
      </c>
      <c r="C4339">
        <v>0</v>
      </c>
      <c r="D4339" t="s">
        <v>184</v>
      </c>
      <c r="E4339" t="s">
        <v>182</v>
      </c>
      <c r="F4339" t="s">
        <v>177</v>
      </c>
      <c r="G4339" t="s">
        <v>180</v>
      </c>
    </row>
    <row r="4340" spans="1:7">
      <c r="A4340">
        <v>2022</v>
      </c>
      <c r="B4340" t="s">
        <v>189</v>
      </c>
      <c r="C4340">
        <v>0</v>
      </c>
      <c r="D4340" t="s">
        <v>184</v>
      </c>
      <c r="E4340" t="s">
        <v>182</v>
      </c>
      <c r="F4340" t="s">
        <v>177</v>
      </c>
      <c r="G4340" t="s">
        <v>180</v>
      </c>
    </row>
    <row r="4341" spans="1:7">
      <c r="A4341">
        <v>2023</v>
      </c>
      <c r="B4341" t="s">
        <v>189</v>
      </c>
      <c r="C4341">
        <v>0</v>
      </c>
      <c r="D4341" t="s">
        <v>184</v>
      </c>
      <c r="E4341" t="s">
        <v>182</v>
      </c>
      <c r="F4341" t="s">
        <v>177</v>
      </c>
      <c r="G4341" t="s">
        <v>180</v>
      </c>
    </row>
    <row r="4342" spans="1:7">
      <c r="A4342">
        <v>2024</v>
      </c>
      <c r="B4342" t="s">
        <v>189</v>
      </c>
      <c r="C4342">
        <v>0</v>
      </c>
      <c r="D4342" t="s">
        <v>184</v>
      </c>
      <c r="E4342" t="s">
        <v>182</v>
      </c>
      <c r="F4342" t="s">
        <v>177</v>
      </c>
      <c r="G4342" t="s">
        <v>180</v>
      </c>
    </row>
    <row r="4343" spans="1:7">
      <c r="A4343">
        <v>2025</v>
      </c>
      <c r="B4343" t="s">
        <v>189</v>
      </c>
      <c r="C4343">
        <v>0</v>
      </c>
      <c r="D4343" t="s">
        <v>184</v>
      </c>
      <c r="E4343" t="s">
        <v>182</v>
      </c>
      <c r="F4343" t="s">
        <v>177</v>
      </c>
      <c r="G4343" t="s">
        <v>180</v>
      </c>
    </row>
    <row r="4344" spans="1:7">
      <c r="A4344">
        <v>2026</v>
      </c>
      <c r="B4344" t="s">
        <v>189</v>
      </c>
      <c r="C4344">
        <v>0</v>
      </c>
      <c r="D4344" t="s">
        <v>184</v>
      </c>
      <c r="E4344" t="s">
        <v>182</v>
      </c>
      <c r="F4344" t="s">
        <v>177</v>
      </c>
      <c r="G4344" t="s">
        <v>180</v>
      </c>
    </row>
    <row r="4345" spans="1:7">
      <c r="A4345">
        <v>2027</v>
      </c>
      <c r="B4345" t="s">
        <v>189</v>
      </c>
      <c r="C4345">
        <v>0</v>
      </c>
      <c r="D4345" t="s">
        <v>184</v>
      </c>
      <c r="E4345" t="s">
        <v>182</v>
      </c>
      <c r="F4345" t="s">
        <v>177</v>
      </c>
      <c r="G4345" t="s">
        <v>180</v>
      </c>
    </row>
    <row r="4346" spans="1:7">
      <c r="A4346">
        <v>2028</v>
      </c>
      <c r="B4346" t="s">
        <v>189</v>
      </c>
      <c r="C4346">
        <v>0</v>
      </c>
      <c r="D4346" t="s">
        <v>184</v>
      </c>
      <c r="E4346" t="s">
        <v>182</v>
      </c>
      <c r="F4346" t="s">
        <v>177</v>
      </c>
      <c r="G4346" t="s">
        <v>180</v>
      </c>
    </row>
    <row r="4347" spans="1:7">
      <c r="A4347">
        <v>2029</v>
      </c>
      <c r="B4347" t="s">
        <v>189</v>
      </c>
      <c r="C4347">
        <v>0</v>
      </c>
      <c r="D4347" t="s">
        <v>184</v>
      </c>
      <c r="E4347" t="s">
        <v>182</v>
      </c>
      <c r="F4347" t="s">
        <v>177</v>
      </c>
      <c r="G4347" t="s">
        <v>180</v>
      </c>
    </row>
    <row r="4348" spans="1:7">
      <c r="A4348">
        <v>2030</v>
      </c>
      <c r="B4348" t="s">
        <v>189</v>
      </c>
      <c r="C4348">
        <v>0</v>
      </c>
      <c r="D4348" t="s">
        <v>184</v>
      </c>
      <c r="E4348" t="s">
        <v>182</v>
      </c>
      <c r="F4348" t="s">
        <v>177</v>
      </c>
      <c r="G4348" t="s">
        <v>180</v>
      </c>
    </row>
    <row r="4349" spans="1:7">
      <c r="A4349">
        <v>2031</v>
      </c>
      <c r="B4349" t="s">
        <v>189</v>
      </c>
      <c r="C4349">
        <v>0</v>
      </c>
      <c r="D4349" t="s">
        <v>184</v>
      </c>
      <c r="E4349" t="s">
        <v>182</v>
      </c>
      <c r="F4349" t="s">
        <v>177</v>
      </c>
      <c r="G4349" t="s">
        <v>180</v>
      </c>
    </row>
    <row r="4350" spans="1:7">
      <c r="A4350">
        <v>2032</v>
      </c>
      <c r="B4350" t="s">
        <v>189</v>
      </c>
      <c r="C4350">
        <v>0</v>
      </c>
      <c r="D4350" t="s">
        <v>184</v>
      </c>
      <c r="E4350" t="s">
        <v>182</v>
      </c>
      <c r="F4350" t="s">
        <v>177</v>
      </c>
      <c r="G4350" t="s">
        <v>180</v>
      </c>
    </row>
    <row r="4351" spans="1:7">
      <c r="A4351">
        <v>2033</v>
      </c>
      <c r="B4351" t="s">
        <v>189</v>
      </c>
      <c r="C4351">
        <v>0</v>
      </c>
      <c r="D4351" t="s">
        <v>184</v>
      </c>
      <c r="E4351" t="s">
        <v>182</v>
      </c>
      <c r="F4351" t="s">
        <v>177</v>
      </c>
      <c r="G4351" t="s">
        <v>180</v>
      </c>
    </row>
    <row r="4352" spans="1:7">
      <c r="A4352">
        <v>2034</v>
      </c>
      <c r="B4352" t="s">
        <v>189</v>
      </c>
      <c r="C4352">
        <v>0</v>
      </c>
      <c r="D4352" t="s">
        <v>184</v>
      </c>
      <c r="E4352" t="s">
        <v>182</v>
      </c>
      <c r="F4352" t="s">
        <v>177</v>
      </c>
      <c r="G4352" t="s">
        <v>180</v>
      </c>
    </row>
    <row r="4353" spans="1:7">
      <c r="A4353">
        <v>2035</v>
      </c>
      <c r="B4353" t="s">
        <v>189</v>
      </c>
      <c r="C4353">
        <v>0</v>
      </c>
      <c r="D4353" t="s">
        <v>184</v>
      </c>
      <c r="E4353" t="s">
        <v>182</v>
      </c>
      <c r="F4353" t="s">
        <v>177</v>
      </c>
      <c r="G4353" t="s">
        <v>180</v>
      </c>
    </row>
    <row r="4354" spans="1:7">
      <c r="A4354">
        <v>2020</v>
      </c>
      <c r="B4354" t="s">
        <v>190</v>
      </c>
      <c r="C4354">
        <v>13211.23</v>
      </c>
      <c r="D4354" t="s">
        <v>184</v>
      </c>
      <c r="E4354" t="s">
        <v>182</v>
      </c>
      <c r="F4354" t="s">
        <v>177</v>
      </c>
      <c r="G4354" t="s">
        <v>180</v>
      </c>
    </row>
    <row r="4355" spans="1:7">
      <c r="A4355">
        <v>2021</v>
      </c>
      <c r="B4355" t="s">
        <v>190</v>
      </c>
      <c r="C4355">
        <v>11198</v>
      </c>
      <c r="D4355" t="s">
        <v>184</v>
      </c>
      <c r="E4355" t="s">
        <v>182</v>
      </c>
      <c r="F4355" t="s">
        <v>177</v>
      </c>
      <c r="G4355" t="s">
        <v>180</v>
      </c>
    </row>
    <row r="4356" spans="1:7">
      <c r="A4356">
        <v>2022</v>
      </c>
      <c r="B4356" t="s">
        <v>190</v>
      </c>
      <c r="C4356">
        <v>11198</v>
      </c>
      <c r="D4356" t="s">
        <v>184</v>
      </c>
      <c r="E4356" t="s">
        <v>182</v>
      </c>
      <c r="F4356" t="s">
        <v>177</v>
      </c>
      <c r="G4356" t="s">
        <v>180</v>
      </c>
    </row>
    <row r="4357" spans="1:7">
      <c r="A4357">
        <v>2023</v>
      </c>
      <c r="B4357" t="s">
        <v>190</v>
      </c>
      <c r="C4357">
        <v>8735.59</v>
      </c>
      <c r="D4357" t="s">
        <v>184</v>
      </c>
      <c r="E4357" t="s">
        <v>182</v>
      </c>
      <c r="F4357" t="s">
        <v>177</v>
      </c>
      <c r="G4357" t="s">
        <v>180</v>
      </c>
    </row>
    <row r="4358" spans="1:7">
      <c r="A4358">
        <v>2024</v>
      </c>
      <c r="B4358" t="s">
        <v>190</v>
      </c>
      <c r="C4358">
        <v>8735.59</v>
      </c>
      <c r="D4358" t="s">
        <v>184</v>
      </c>
      <c r="E4358" t="s">
        <v>182</v>
      </c>
      <c r="F4358" t="s">
        <v>177</v>
      </c>
      <c r="G4358" t="s">
        <v>180</v>
      </c>
    </row>
    <row r="4359" spans="1:7">
      <c r="A4359">
        <v>2025</v>
      </c>
      <c r="B4359" t="s">
        <v>190</v>
      </c>
      <c r="C4359">
        <v>2837.38</v>
      </c>
      <c r="D4359" t="s">
        <v>184</v>
      </c>
      <c r="E4359" t="s">
        <v>182</v>
      </c>
      <c r="F4359" t="s">
        <v>177</v>
      </c>
      <c r="G4359" t="s">
        <v>180</v>
      </c>
    </row>
    <row r="4360" spans="1:7">
      <c r="A4360">
        <v>2026</v>
      </c>
      <c r="B4360" t="s">
        <v>190</v>
      </c>
      <c r="C4360">
        <v>2837.38</v>
      </c>
      <c r="D4360" t="s">
        <v>184</v>
      </c>
      <c r="E4360" t="s">
        <v>182</v>
      </c>
      <c r="F4360" t="s">
        <v>177</v>
      </c>
      <c r="G4360" t="s">
        <v>180</v>
      </c>
    </row>
    <row r="4361" spans="1:7">
      <c r="A4361">
        <v>2027</v>
      </c>
      <c r="B4361" t="s">
        <v>190</v>
      </c>
      <c r="C4361">
        <v>50.023099999999999</v>
      </c>
      <c r="D4361" t="s">
        <v>184</v>
      </c>
      <c r="E4361" t="s">
        <v>182</v>
      </c>
      <c r="F4361" t="s">
        <v>177</v>
      </c>
      <c r="G4361" t="s">
        <v>180</v>
      </c>
    </row>
    <row r="4362" spans="1:7">
      <c r="A4362">
        <v>2028</v>
      </c>
      <c r="B4362" t="s">
        <v>190</v>
      </c>
      <c r="C4362">
        <v>50.023099999999999</v>
      </c>
      <c r="D4362" t="s">
        <v>184</v>
      </c>
      <c r="E4362" t="s">
        <v>182</v>
      </c>
      <c r="F4362" t="s">
        <v>177</v>
      </c>
      <c r="G4362" t="s">
        <v>180</v>
      </c>
    </row>
    <row r="4363" spans="1:7">
      <c r="A4363">
        <v>2029</v>
      </c>
      <c r="B4363" t="s">
        <v>190</v>
      </c>
      <c r="C4363">
        <v>0</v>
      </c>
      <c r="D4363" t="s">
        <v>184</v>
      </c>
      <c r="E4363" t="s">
        <v>182</v>
      </c>
      <c r="F4363" t="s">
        <v>177</v>
      </c>
      <c r="G4363" t="s">
        <v>180</v>
      </c>
    </row>
    <row r="4364" spans="1:7">
      <c r="A4364">
        <v>2030</v>
      </c>
      <c r="B4364" t="s">
        <v>190</v>
      </c>
      <c r="C4364">
        <v>0</v>
      </c>
      <c r="D4364" t="s">
        <v>184</v>
      </c>
      <c r="E4364" t="s">
        <v>182</v>
      </c>
      <c r="F4364" t="s">
        <v>177</v>
      </c>
      <c r="G4364" t="s">
        <v>180</v>
      </c>
    </row>
    <row r="4365" spans="1:7">
      <c r="A4365">
        <v>2031</v>
      </c>
      <c r="B4365" t="s">
        <v>190</v>
      </c>
      <c r="C4365">
        <v>1516.85</v>
      </c>
      <c r="D4365" t="s">
        <v>184</v>
      </c>
      <c r="E4365" t="s">
        <v>182</v>
      </c>
      <c r="F4365" t="s">
        <v>177</v>
      </c>
      <c r="G4365" t="s">
        <v>180</v>
      </c>
    </row>
    <row r="4366" spans="1:7">
      <c r="A4366">
        <v>2032</v>
      </c>
      <c r="B4366" t="s">
        <v>190</v>
      </c>
      <c r="C4366">
        <v>1516.85</v>
      </c>
      <c r="D4366" t="s">
        <v>184</v>
      </c>
      <c r="E4366" t="s">
        <v>182</v>
      </c>
      <c r="F4366" t="s">
        <v>177</v>
      </c>
      <c r="G4366" t="s">
        <v>180</v>
      </c>
    </row>
    <row r="4367" spans="1:7">
      <c r="A4367">
        <v>2033</v>
      </c>
      <c r="B4367" t="s">
        <v>190</v>
      </c>
      <c r="C4367">
        <v>5861.2</v>
      </c>
      <c r="D4367" t="s">
        <v>184</v>
      </c>
      <c r="E4367" t="s">
        <v>182</v>
      </c>
      <c r="F4367" t="s">
        <v>177</v>
      </c>
      <c r="G4367" t="s">
        <v>180</v>
      </c>
    </row>
    <row r="4368" spans="1:7">
      <c r="A4368">
        <v>2034</v>
      </c>
      <c r="B4368" t="s">
        <v>190</v>
      </c>
      <c r="C4368">
        <v>5861.2</v>
      </c>
      <c r="D4368" t="s">
        <v>184</v>
      </c>
      <c r="E4368" t="s">
        <v>182</v>
      </c>
      <c r="F4368" t="s">
        <v>177</v>
      </c>
      <c r="G4368" t="s">
        <v>180</v>
      </c>
    </row>
    <row r="4369" spans="1:7">
      <c r="A4369">
        <v>2035</v>
      </c>
      <c r="B4369" t="s">
        <v>190</v>
      </c>
      <c r="C4369">
        <v>5861.2</v>
      </c>
      <c r="D4369" t="s">
        <v>184</v>
      </c>
      <c r="E4369" t="s">
        <v>182</v>
      </c>
      <c r="F4369" t="s">
        <v>177</v>
      </c>
      <c r="G4369" t="s">
        <v>180</v>
      </c>
    </row>
    <row r="4370" spans="1:7">
      <c r="A4370">
        <v>2020</v>
      </c>
      <c r="B4370" t="s">
        <v>191</v>
      </c>
      <c r="C4370">
        <v>0</v>
      </c>
      <c r="D4370" t="s">
        <v>184</v>
      </c>
      <c r="E4370" t="s">
        <v>182</v>
      </c>
      <c r="F4370" t="s">
        <v>177</v>
      </c>
      <c r="G4370" t="s">
        <v>180</v>
      </c>
    </row>
    <row r="4371" spans="1:7">
      <c r="A4371">
        <v>2021</v>
      </c>
      <c r="B4371" t="s">
        <v>191</v>
      </c>
      <c r="C4371">
        <v>0</v>
      </c>
      <c r="D4371" t="s">
        <v>184</v>
      </c>
      <c r="E4371" t="s">
        <v>182</v>
      </c>
      <c r="F4371" t="s">
        <v>177</v>
      </c>
      <c r="G4371" t="s">
        <v>180</v>
      </c>
    </row>
    <row r="4372" spans="1:7">
      <c r="A4372">
        <v>2022</v>
      </c>
      <c r="B4372" t="s">
        <v>191</v>
      </c>
      <c r="C4372">
        <v>0</v>
      </c>
      <c r="D4372" t="s">
        <v>184</v>
      </c>
      <c r="E4372" t="s">
        <v>182</v>
      </c>
      <c r="F4372" t="s">
        <v>177</v>
      </c>
      <c r="G4372" t="s">
        <v>180</v>
      </c>
    </row>
    <row r="4373" spans="1:7">
      <c r="A4373">
        <v>2023</v>
      </c>
      <c r="B4373" t="s">
        <v>191</v>
      </c>
      <c r="C4373">
        <v>0</v>
      </c>
      <c r="D4373" t="s">
        <v>184</v>
      </c>
      <c r="E4373" t="s">
        <v>182</v>
      </c>
      <c r="F4373" t="s">
        <v>177</v>
      </c>
      <c r="G4373" t="s">
        <v>180</v>
      </c>
    </row>
    <row r="4374" spans="1:7">
      <c r="A4374">
        <v>2024</v>
      </c>
      <c r="B4374" t="s">
        <v>191</v>
      </c>
      <c r="C4374">
        <v>0</v>
      </c>
      <c r="D4374" t="s">
        <v>184</v>
      </c>
      <c r="E4374" t="s">
        <v>182</v>
      </c>
      <c r="F4374" t="s">
        <v>177</v>
      </c>
      <c r="G4374" t="s">
        <v>180</v>
      </c>
    </row>
    <row r="4375" spans="1:7">
      <c r="A4375">
        <v>2025</v>
      </c>
      <c r="B4375" t="s">
        <v>191</v>
      </c>
      <c r="C4375">
        <v>0</v>
      </c>
      <c r="D4375" t="s">
        <v>184</v>
      </c>
      <c r="E4375" t="s">
        <v>182</v>
      </c>
      <c r="F4375" t="s">
        <v>177</v>
      </c>
      <c r="G4375" t="s">
        <v>180</v>
      </c>
    </row>
    <row r="4376" spans="1:7">
      <c r="A4376">
        <v>2026</v>
      </c>
      <c r="B4376" t="s">
        <v>191</v>
      </c>
      <c r="C4376">
        <v>0</v>
      </c>
      <c r="D4376" t="s">
        <v>184</v>
      </c>
      <c r="E4376" t="s">
        <v>182</v>
      </c>
      <c r="F4376" t="s">
        <v>177</v>
      </c>
      <c r="G4376" t="s">
        <v>180</v>
      </c>
    </row>
    <row r="4377" spans="1:7">
      <c r="A4377">
        <v>2027</v>
      </c>
      <c r="B4377" t="s">
        <v>191</v>
      </c>
      <c r="C4377">
        <v>0</v>
      </c>
      <c r="D4377" t="s">
        <v>184</v>
      </c>
      <c r="E4377" t="s">
        <v>182</v>
      </c>
      <c r="F4377" t="s">
        <v>177</v>
      </c>
      <c r="G4377" t="s">
        <v>180</v>
      </c>
    </row>
    <row r="4378" spans="1:7">
      <c r="A4378">
        <v>2028</v>
      </c>
      <c r="B4378" t="s">
        <v>191</v>
      </c>
      <c r="C4378">
        <v>0</v>
      </c>
      <c r="D4378" t="s">
        <v>184</v>
      </c>
      <c r="E4378" t="s">
        <v>182</v>
      </c>
      <c r="F4378" t="s">
        <v>177</v>
      </c>
      <c r="G4378" t="s">
        <v>180</v>
      </c>
    </row>
    <row r="4379" spans="1:7">
      <c r="A4379">
        <v>2029</v>
      </c>
      <c r="B4379" t="s">
        <v>191</v>
      </c>
      <c r="C4379">
        <v>0</v>
      </c>
      <c r="D4379" t="s">
        <v>184</v>
      </c>
      <c r="E4379" t="s">
        <v>182</v>
      </c>
      <c r="F4379" t="s">
        <v>177</v>
      </c>
      <c r="G4379" t="s">
        <v>180</v>
      </c>
    </row>
    <row r="4380" spans="1:7">
      <c r="A4380">
        <v>2030</v>
      </c>
      <c r="B4380" t="s">
        <v>191</v>
      </c>
      <c r="C4380">
        <v>0</v>
      </c>
      <c r="D4380" t="s">
        <v>184</v>
      </c>
      <c r="E4380" t="s">
        <v>182</v>
      </c>
      <c r="F4380" t="s">
        <v>177</v>
      </c>
      <c r="G4380" t="s">
        <v>180</v>
      </c>
    </row>
    <row r="4381" spans="1:7">
      <c r="A4381">
        <v>2031</v>
      </c>
      <c r="B4381" t="s">
        <v>191</v>
      </c>
      <c r="C4381">
        <v>0</v>
      </c>
      <c r="D4381" t="s">
        <v>184</v>
      </c>
      <c r="E4381" t="s">
        <v>182</v>
      </c>
      <c r="F4381" t="s">
        <v>177</v>
      </c>
      <c r="G4381" t="s">
        <v>180</v>
      </c>
    </row>
    <row r="4382" spans="1:7">
      <c r="A4382">
        <v>2032</v>
      </c>
      <c r="B4382" t="s">
        <v>191</v>
      </c>
      <c r="C4382">
        <v>0</v>
      </c>
      <c r="D4382" t="s">
        <v>184</v>
      </c>
      <c r="E4382" t="s">
        <v>182</v>
      </c>
      <c r="F4382" t="s">
        <v>177</v>
      </c>
      <c r="G4382" t="s">
        <v>180</v>
      </c>
    </row>
    <row r="4383" spans="1:7">
      <c r="A4383">
        <v>2033</v>
      </c>
      <c r="B4383" t="s">
        <v>191</v>
      </c>
      <c r="C4383">
        <v>0</v>
      </c>
      <c r="D4383" t="s">
        <v>184</v>
      </c>
      <c r="E4383" t="s">
        <v>182</v>
      </c>
      <c r="F4383" t="s">
        <v>177</v>
      </c>
      <c r="G4383" t="s">
        <v>180</v>
      </c>
    </row>
    <row r="4384" spans="1:7">
      <c r="A4384">
        <v>2034</v>
      </c>
      <c r="B4384" t="s">
        <v>191</v>
      </c>
      <c r="C4384">
        <v>0</v>
      </c>
      <c r="D4384" t="s">
        <v>184</v>
      </c>
      <c r="E4384" t="s">
        <v>182</v>
      </c>
      <c r="F4384" t="s">
        <v>177</v>
      </c>
      <c r="G4384" t="s">
        <v>180</v>
      </c>
    </row>
    <row r="4385" spans="1:7">
      <c r="A4385">
        <v>2035</v>
      </c>
      <c r="B4385" t="s">
        <v>191</v>
      </c>
      <c r="C4385">
        <v>0</v>
      </c>
      <c r="D4385" t="s">
        <v>184</v>
      </c>
      <c r="E4385" t="s">
        <v>182</v>
      </c>
      <c r="F4385" t="s">
        <v>177</v>
      </c>
      <c r="G4385" t="s">
        <v>180</v>
      </c>
    </row>
    <row r="4386" spans="1:7">
      <c r="A4386">
        <v>2020</v>
      </c>
      <c r="B4386" t="s">
        <v>192</v>
      </c>
      <c r="C4386">
        <v>1527.21</v>
      </c>
      <c r="D4386" t="s">
        <v>184</v>
      </c>
      <c r="E4386" t="s">
        <v>182</v>
      </c>
      <c r="F4386" t="s">
        <v>177</v>
      </c>
      <c r="G4386" t="s">
        <v>180</v>
      </c>
    </row>
    <row r="4387" spans="1:7">
      <c r="A4387">
        <v>2021</v>
      </c>
      <c r="B4387" t="s">
        <v>192</v>
      </c>
      <c r="C4387">
        <v>10.65</v>
      </c>
      <c r="D4387" t="s">
        <v>184</v>
      </c>
      <c r="E4387" t="s">
        <v>182</v>
      </c>
      <c r="F4387" t="s">
        <v>177</v>
      </c>
      <c r="G4387" t="s">
        <v>180</v>
      </c>
    </row>
    <row r="4388" spans="1:7">
      <c r="A4388">
        <v>2022</v>
      </c>
      <c r="B4388" t="s">
        <v>192</v>
      </c>
      <c r="C4388">
        <v>10.65</v>
      </c>
      <c r="D4388" t="s">
        <v>184</v>
      </c>
      <c r="E4388" t="s">
        <v>182</v>
      </c>
      <c r="F4388" t="s">
        <v>177</v>
      </c>
      <c r="G4388" t="s">
        <v>180</v>
      </c>
    </row>
    <row r="4389" spans="1:7">
      <c r="A4389">
        <v>2023</v>
      </c>
      <c r="B4389" t="s">
        <v>192</v>
      </c>
      <c r="C4389">
        <v>50.073700000000002</v>
      </c>
      <c r="D4389" t="s">
        <v>184</v>
      </c>
      <c r="E4389" t="s">
        <v>182</v>
      </c>
      <c r="F4389" t="s">
        <v>177</v>
      </c>
      <c r="G4389" t="s">
        <v>180</v>
      </c>
    </row>
    <row r="4390" spans="1:7">
      <c r="A4390">
        <v>2024</v>
      </c>
      <c r="B4390" t="s">
        <v>192</v>
      </c>
      <c r="C4390">
        <v>50.073700000000002</v>
      </c>
      <c r="D4390" t="s">
        <v>184</v>
      </c>
      <c r="E4390" t="s">
        <v>182</v>
      </c>
      <c r="F4390" t="s">
        <v>177</v>
      </c>
      <c r="G4390" t="s">
        <v>180</v>
      </c>
    </row>
    <row r="4391" spans="1:7">
      <c r="A4391">
        <v>2025</v>
      </c>
      <c r="B4391" t="s">
        <v>192</v>
      </c>
      <c r="C4391">
        <v>101.926</v>
      </c>
      <c r="D4391" t="s">
        <v>184</v>
      </c>
      <c r="E4391" t="s">
        <v>182</v>
      </c>
      <c r="F4391" t="s">
        <v>177</v>
      </c>
      <c r="G4391" t="s">
        <v>180</v>
      </c>
    </row>
    <row r="4392" spans="1:7">
      <c r="A4392">
        <v>2026</v>
      </c>
      <c r="B4392" t="s">
        <v>192</v>
      </c>
      <c r="C4392">
        <v>101.926</v>
      </c>
      <c r="D4392" t="s">
        <v>184</v>
      </c>
      <c r="E4392" t="s">
        <v>182</v>
      </c>
      <c r="F4392" t="s">
        <v>177</v>
      </c>
      <c r="G4392" t="s">
        <v>180</v>
      </c>
    </row>
    <row r="4393" spans="1:7">
      <c r="A4393">
        <v>2027</v>
      </c>
      <c r="B4393" t="s">
        <v>192</v>
      </c>
      <c r="C4393">
        <v>25</v>
      </c>
      <c r="D4393" t="s">
        <v>184</v>
      </c>
      <c r="E4393" t="s">
        <v>182</v>
      </c>
      <c r="F4393" t="s">
        <v>177</v>
      </c>
      <c r="G4393" t="s">
        <v>180</v>
      </c>
    </row>
    <row r="4394" spans="1:7">
      <c r="A4394">
        <v>2028</v>
      </c>
      <c r="B4394" t="s">
        <v>192</v>
      </c>
      <c r="C4394">
        <v>25</v>
      </c>
      <c r="D4394" t="s">
        <v>184</v>
      </c>
      <c r="E4394" t="s">
        <v>182</v>
      </c>
      <c r="F4394" t="s">
        <v>177</v>
      </c>
      <c r="G4394" t="s">
        <v>180</v>
      </c>
    </row>
    <row r="4395" spans="1:7">
      <c r="A4395">
        <v>2029</v>
      </c>
      <c r="B4395" t="s">
        <v>192</v>
      </c>
      <c r="C4395">
        <v>19.5</v>
      </c>
      <c r="D4395" t="s">
        <v>184</v>
      </c>
      <c r="E4395" t="s">
        <v>182</v>
      </c>
      <c r="F4395" t="s">
        <v>177</v>
      </c>
      <c r="G4395" t="s">
        <v>180</v>
      </c>
    </row>
    <row r="4396" spans="1:7">
      <c r="A4396">
        <v>2030</v>
      </c>
      <c r="B4396" t="s">
        <v>192</v>
      </c>
      <c r="C4396">
        <v>19.5</v>
      </c>
      <c r="D4396" t="s">
        <v>184</v>
      </c>
      <c r="E4396" t="s">
        <v>182</v>
      </c>
      <c r="F4396" t="s">
        <v>177</v>
      </c>
      <c r="G4396" t="s">
        <v>180</v>
      </c>
    </row>
    <row r="4397" spans="1:7">
      <c r="A4397">
        <v>2031</v>
      </c>
      <c r="B4397" t="s">
        <v>192</v>
      </c>
      <c r="C4397">
        <v>0</v>
      </c>
      <c r="D4397" t="s">
        <v>184</v>
      </c>
      <c r="E4397" t="s">
        <v>182</v>
      </c>
      <c r="F4397" t="s">
        <v>177</v>
      </c>
      <c r="G4397" t="s">
        <v>180</v>
      </c>
    </row>
    <row r="4398" spans="1:7">
      <c r="A4398">
        <v>2032</v>
      </c>
      <c r="B4398" t="s">
        <v>192</v>
      </c>
      <c r="C4398">
        <v>0</v>
      </c>
      <c r="D4398" t="s">
        <v>184</v>
      </c>
      <c r="E4398" t="s">
        <v>182</v>
      </c>
      <c r="F4398" t="s">
        <v>177</v>
      </c>
      <c r="G4398" t="s">
        <v>180</v>
      </c>
    </row>
    <row r="4399" spans="1:7">
      <c r="A4399">
        <v>2033</v>
      </c>
      <c r="B4399" t="s">
        <v>192</v>
      </c>
      <c r="C4399">
        <v>0</v>
      </c>
      <c r="D4399" t="s">
        <v>184</v>
      </c>
      <c r="E4399" t="s">
        <v>182</v>
      </c>
      <c r="F4399" t="s">
        <v>177</v>
      </c>
      <c r="G4399" t="s">
        <v>180</v>
      </c>
    </row>
    <row r="4400" spans="1:7">
      <c r="A4400">
        <v>2034</v>
      </c>
      <c r="B4400" t="s">
        <v>192</v>
      </c>
      <c r="C4400">
        <v>0</v>
      </c>
      <c r="D4400" t="s">
        <v>184</v>
      </c>
      <c r="E4400" t="s">
        <v>182</v>
      </c>
      <c r="F4400" t="s">
        <v>177</v>
      </c>
      <c r="G4400" t="s">
        <v>180</v>
      </c>
    </row>
    <row r="4401" spans="1:7">
      <c r="A4401">
        <v>2035</v>
      </c>
      <c r="B4401" t="s">
        <v>192</v>
      </c>
      <c r="C4401">
        <v>0</v>
      </c>
      <c r="D4401" t="s">
        <v>184</v>
      </c>
      <c r="E4401" t="s">
        <v>182</v>
      </c>
      <c r="F4401" t="s">
        <v>177</v>
      </c>
      <c r="G4401" t="s">
        <v>180</v>
      </c>
    </row>
    <row r="4402" spans="1:7">
      <c r="A4402">
        <v>2020</v>
      </c>
      <c r="B4402" t="s">
        <v>193</v>
      </c>
      <c r="C4402">
        <v>232.5</v>
      </c>
      <c r="D4402" t="s">
        <v>184</v>
      </c>
      <c r="E4402" t="s">
        <v>182</v>
      </c>
      <c r="F4402" t="s">
        <v>177</v>
      </c>
      <c r="G4402" t="s">
        <v>180</v>
      </c>
    </row>
    <row r="4403" spans="1:7">
      <c r="A4403">
        <v>2021</v>
      </c>
      <c r="B4403" t="s">
        <v>193</v>
      </c>
      <c r="C4403">
        <v>1100</v>
      </c>
      <c r="D4403" t="s">
        <v>184</v>
      </c>
      <c r="E4403" t="s">
        <v>182</v>
      </c>
      <c r="F4403" t="s">
        <v>177</v>
      </c>
      <c r="G4403" t="s">
        <v>180</v>
      </c>
    </row>
    <row r="4404" spans="1:7">
      <c r="A4404">
        <v>2022</v>
      </c>
      <c r="B4404" t="s">
        <v>193</v>
      </c>
      <c r="C4404">
        <v>1100</v>
      </c>
      <c r="D4404" t="s">
        <v>184</v>
      </c>
      <c r="E4404" t="s">
        <v>182</v>
      </c>
      <c r="F4404" t="s">
        <v>177</v>
      </c>
      <c r="G4404" t="s">
        <v>180</v>
      </c>
    </row>
    <row r="4405" spans="1:7">
      <c r="A4405">
        <v>2023</v>
      </c>
      <c r="B4405" t="s">
        <v>193</v>
      </c>
      <c r="C4405">
        <v>0</v>
      </c>
      <c r="D4405" t="s">
        <v>184</v>
      </c>
      <c r="E4405" t="s">
        <v>182</v>
      </c>
      <c r="F4405" t="s">
        <v>177</v>
      </c>
      <c r="G4405" t="s">
        <v>180</v>
      </c>
    </row>
    <row r="4406" spans="1:7">
      <c r="A4406">
        <v>2024</v>
      </c>
      <c r="B4406" t="s">
        <v>193</v>
      </c>
      <c r="C4406">
        <v>0</v>
      </c>
      <c r="D4406" t="s">
        <v>184</v>
      </c>
      <c r="E4406" t="s">
        <v>182</v>
      </c>
      <c r="F4406" t="s">
        <v>177</v>
      </c>
      <c r="G4406" t="s">
        <v>180</v>
      </c>
    </row>
    <row r="4407" spans="1:7">
      <c r="A4407">
        <v>2025</v>
      </c>
      <c r="B4407" t="s">
        <v>193</v>
      </c>
      <c r="C4407">
        <v>0</v>
      </c>
      <c r="D4407" t="s">
        <v>184</v>
      </c>
      <c r="E4407" t="s">
        <v>182</v>
      </c>
      <c r="F4407" t="s">
        <v>177</v>
      </c>
      <c r="G4407" t="s">
        <v>180</v>
      </c>
    </row>
    <row r="4408" spans="1:7">
      <c r="A4408">
        <v>2026</v>
      </c>
      <c r="B4408" t="s">
        <v>193</v>
      </c>
      <c r="C4408">
        <v>0</v>
      </c>
      <c r="D4408" t="s">
        <v>184</v>
      </c>
      <c r="E4408" t="s">
        <v>182</v>
      </c>
      <c r="F4408" t="s">
        <v>177</v>
      </c>
      <c r="G4408" t="s">
        <v>180</v>
      </c>
    </row>
    <row r="4409" spans="1:7">
      <c r="A4409">
        <v>2027</v>
      </c>
      <c r="B4409" t="s">
        <v>193</v>
      </c>
      <c r="C4409">
        <v>0</v>
      </c>
      <c r="D4409" t="s">
        <v>184</v>
      </c>
      <c r="E4409" t="s">
        <v>182</v>
      </c>
      <c r="F4409" t="s">
        <v>177</v>
      </c>
      <c r="G4409" t="s">
        <v>180</v>
      </c>
    </row>
    <row r="4410" spans="1:7">
      <c r="A4410">
        <v>2028</v>
      </c>
      <c r="B4410" t="s">
        <v>193</v>
      </c>
      <c r="C4410">
        <v>0</v>
      </c>
      <c r="D4410" t="s">
        <v>184</v>
      </c>
      <c r="E4410" t="s">
        <v>182</v>
      </c>
      <c r="F4410" t="s">
        <v>177</v>
      </c>
      <c r="G4410" t="s">
        <v>180</v>
      </c>
    </row>
    <row r="4411" spans="1:7">
      <c r="A4411">
        <v>2029</v>
      </c>
      <c r="B4411" t="s">
        <v>193</v>
      </c>
      <c r="C4411">
        <v>0</v>
      </c>
      <c r="D4411" t="s">
        <v>184</v>
      </c>
      <c r="E4411" t="s">
        <v>182</v>
      </c>
      <c r="F4411" t="s">
        <v>177</v>
      </c>
      <c r="G4411" t="s">
        <v>180</v>
      </c>
    </row>
    <row r="4412" spans="1:7">
      <c r="A4412">
        <v>2030</v>
      </c>
      <c r="B4412" t="s">
        <v>193</v>
      </c>
      <c r="C4412">
        <v>0</v>
      </c>
      <c r="D4412" t="s">
        <v>184</v>
      </c>
      <c r="E4412" t="s">
        <v>182</v>
      </c>
      <c r="F4412" t="s">
        <v>177</v>
      </c>
      <c r="G4412" t="s">
        <v>180</v>
      </c>
    </row>
    <row r="4413" spans="1:7">
      <c r="A4413">
        <v>2031</v>
      </c>
      <c r="B4413" t="s">
        <v>193</v>
      </c>
      <c r="C4413">
        <v>0</v>
      </c>
      <c r="D4413" t="s">
        <v>184</v>
      </c>
      <c r="E4413" t="s">
        <v>182</v>
      </c>
      <c r="F4413" t="s">
        <v>177</v>
      </c>
      <c r="G4413" t="s">
        <v>180</v>
      </c>
    </row>
    <row r="4414" spans="1:7">
      <c r="A4414">
        <v>2032</v>
      </c>
      <c r="B4414" t="s">
        <v>193</v>
      </c>
      <c r="C4414">
        <v>0</v>
      </c>
      <c r="D4414" t="s">
        <v>184</v>
      </c>
      <c r="E4414" t="s">
        <v>182</v>
      </c>
      <c r="F4414" t="s">
        <v>177</v>
      </c>
      <c r="G4414" t="s">
        <v>180</v>
      </c>
    </row>
    <row r="4415" spans="1:7">
      <c r="A4415">
        <v>2033</v>
      </c>
      <c r="B4415" t="s">
        <v>193</v>
      </c>
      <c r="C4415">
        <v>0</v>
      </c>
      <c r="D4415" t="s">
        <v>184</v>
      </c>
      <c r="E4415" t="s">
        <v>182</v>
      </c>
      <c r="F4415" t="s">
        <v>177</v>
      </c>
      <c r="G4415" t="s">
        <v>180</v>
      </c>
    </row>
    <row r="4416" spans="1:7">
      <c r="A4416">
        <v>2034</v>
      </c>
      <c r="B4416" t="s">
        <v>193</v>
      </c>
      <c r="C4416">
        <v>0</v>
      </c>
      <c r="D4416" t="s">
        <v>184</v>
      </c>
      <c r="E4416" t="s">
        <v>182</v>
      </c>
      <c r="F4416" t="s">
        <v>177</v>
      </c>
      <c r="G4416" t="s">
        <v>180</v>
      </c>
    </row>
    <row r="4417" spans="1:7">
      <c r="A4417">
        <v>2035</v>
      </c>
      <c r="B4417" t="s">
        <v>193</v>
      </c>
      <c r="C4417">
        <v>0</v>
      </c>
      <c r="D4417" t="s">
        <v>184</v>
      </c>
      <c r="E4417" t="s">
        <v>182</v>
      </c>
      <c r="F4417" t="s">
        <v>177</v>
      </c>
      <c r="G4417" t="s">
        <v>180</v>
      </c>
    </row>
    <row r="4418" spans="1:7">
      <c r="A4418">
        <v>2020</v>
      </c>
      <c r="B4418" t="s">
        <v>194</v>
      </c>
      <c r="C4418">
        <v>14.85</v>
      </c>
      <c r="D4418" t="s">
        <v>184</v>
      </c>
      <c r="E4418" t="s">
        <v>182</v>
      </c>
      <c r="F4418" t="s">
        <v>177</v>
      </c>
      <c r="G4418" t="s">
        <v>180</v>
      </c>
    </row>
    <row r="4419" spans="1:7">
      <c r="A4419">
        <v>2021</v>
      </c>
      <c r="B4419" t="s">
        <v>194</v>
      </c>
      <c r="C4419">
        <v>0</v>
      </c>
      <c r="D4419" t="s">
        <v>184</v>
      </c>
      <c r="E4419" t="s">
        <v>182</v>
      </c>
      <c r="F4419" t="s">
        <v>177</v>
      </c>
      <c r="G4419" t="s">
        <v>180</v>
      </c>
    </row>
    <row r="4420" spans="1:7">
      <c r="A4420">
        <v>2022</v>
      </c>
      <c r="B4420" t="s">
        <v>194</v>
      </c>
      <c r="C4420">
        <v>0</v>
      </c>
      <c r="D4420" t="s">
        <v>184</v>
      </c>
      <c r="E4420" t="s">
        <v>182</v>
      </c>
      <c r="F4420" t="s">
        <v>177</v>
      </c>
      <c r="G4420" t="s">
        <v>180</v>
      </c>
    </row>
    <row r="4421" spans="1:7">
      <c r="A4421">
        <v>2023</v>
      </c>
      <c r="B4421" t="s">
        <v>194</v>
      </c>
      <c r="C4421">
        <v>0</v>
      </c>
      <c r="D4421" t="s">
        <v>184</v>
      </c>
      <c r="E4421" t="s">
        <v>182</v>
      </c>
      <c r="F4421" t="s">
        <v>177</v>
      </c>
      <c r="G4421" t="s">
        <v>180</v>
      </c>
    </row>
    <row r="4422" spans="1:7">
      <c r="A4422">
        <v>2024</v>
      </c>
      <c r="B4422" t="s">
        <v>194</v>
      </c>
      <c r="C4422">
        <v>0</v>
      </c>
      <c r="D4422" t="s">
        <v>184</v>
      </c>
      <c r="E4422" t="s">
        <v>182</v>
      </c>
      <c r="F4422" t="s">
        <v>177</v>
      </c>
      <c r="G4422" t="s">
        <v>180</v>
      </c>
    </row>
    <row r="4423" spans="1:7">
      <c r="A4423">
        <v>2025</v>
      </c>
      <c r="B4423" t="s">
        <v>194</v>
      </c>
      <c r="C4423">
        <v>0</v>
      </c>
      <c r="D4423" t="s">
        <v>184</v>
      </c>
      <c r="E4423" t="s">
        <v>182</v>
      </c>
      <c r="F4423" t="s">
        <v>177</v>
      </c>
      <c r="G4423" t="s">
        <v>180</v>
      </c>
    </row>
    <row r="4424" spans="1:7">
      <c r="A4424">
        <v>2026</v>
      </c>
      <c r="B4424" t="s">
        <v>194</v>
      </c>
      <c r="C4424">
        <v>0</v>
      </c>
      <c r="D4424" t="s">
        <v>184</v>
      </c>
      <c r="E4424" t="s">
        <v>182</v>
      </c>
      <c r="F4424" t="s">
        <v>177</v>
      </c>
      <c r="G4424" t="s">
        <v>180</v>
      </c>
    </row>
    <row r="4425" spans="1:7">
      <c r="A4425">
        <v>2027</v>
      </c>
      <c r="B4425" t="s">
        <v>194</v>
      </c>
      <c r="C4425">
        <v>0</v>
      </c>
      <c r="D4425" t="s">
        <v>184</v>
      </c>
      <c r="E4425" t="s">
        <v>182</v>
      </c>
      <c r="F4425" t="s">
        <v>177</v>
      </c>
      <c r="G4425" t="s">
        <v>180</v>
      </c>
    </row>
    <row r="4426" spans="1:7">
      <c r="A4426">
        <v>2028</v>
      </c>
      <c r="B4426" t="s">
        <v>194</v>
      </c>
      <c r="C4426">
        <v>0</v>
      </c>
      <c r="D4426" t="s">
        <v>184</v>
      </c>
      <c r="E4426" t="s">
        <v>182</v>
      </c>
      <c r="F4426" t="s">
        <v>177</v>
      </c>
      <c r="G4426" t="s">
        <v>180</v>
      </c>
    </row>
    <row r="4427" spans="1:7">
      <c r="A4427">
        <v>2029</v>
      </c>
      <c r="B4427" t="s">
        <v>194</v>
      </c>
      <c r="C4427">
        <v>0</v>
      </c>
      <c r="D4427" t="s">
        <v>184</v>
      </c>
      <c r="E4427" t="s">
        <v>182</v>
      </c>
      <c r="F4427" t="s">
        <v>177</v>
      </c>
      <c r="G4427" t="s">
        <v>180</v>
      </c>
    </row>
    <row r="4428" spans="1:7">
      <c r="A4428">
        <v>2030</v>
      </c>
      <c r="B4428" t="s">
        <v>194</v>
      </c>
      <c r="C4428">
        <v>0</v>
      </c>
      <c r="D4428" t="s">
        <v>184</v>
      </c>
      <c r="E4428" t="s">
        <v>182</v>
      </c>
      <c r="F4428" t="s">
        <v>177</v>
      </c>
      <c r="G4428" t="s">
        <v>180</v>
      </c>
    </row>
    <row r="4429" spans="1:7">
      <c r="A4429">
        <v>2031</v>
      </c>
      <c r="B4429" t="s">
        <v>194</v>
      </c>
      <c r="C4429">
        <v>0</v>
      </c>
      <c r="D4429" t="s">
        <v>184</v>
      </c>
      <c r="E4429" t="s">
        <v>182</v>
      </c>
      <c r="F4429" t="s">
        <v>177</v>
      </c>
      <c r="G4429" t="s">
        <v>180</v>
      </c>
    </row>
    <row r="4430" spans="1:7">
      <c r="A4430">
        <v>2032</v>
      </c>
      <c r="B4430" t="s">
        <v>194</v>
      </c>
      <c r="C4430">
        <v>0</v>
      </c>
      <c r="D4430" t="s">
        <v>184</v>
      </c>
      <c r="E4430" t="s">
        <v>182</v>
      </c>
      <c r="F4430" t="s">
        <v>177</v>
      </c>
      <c r="G4430" t="s">
        <v>180</v>
      </c>
    </row>
    <row r="4431" spans="1:7">
      <c r="A4431">
        <v>2033</v>
      </c>
      <c r="B4431" t="s">
        <v>194</v>
      </c>
      <c r="C4431">
        <v>0</v>
      </c>
      <c r="D4431" t="s">
        <v>184</v>
      </c>
      <c r="E4431" t="s">
        <v>182</v>
      </c>
      <c r="F4431" t="s">
        <v>177</v>
      </c>
      <c r="G4431" t="s">
        <v>180</v>
      </c>
    </row>
    <row r="4432" spans="1:7">
      <c r="A4432">
        <v>2034</v>
      </c>
      <c r="B4432" t="s">
        <v>194</v>
      </c>
      <c r="C4432">
        <v>0</v>
      </c>
      <c r="D4432" t="s">
        <v>184</v>
      </c>
      <c r="E4432" t="s">
        <v>182</v>
      </c>
      <c r="F4432" t="s">
        <v>177</v>
      </c>
      <c r="G4432" t="s">
        <v>180</v>
      </c>
    </row>
    <row r="4433" spans="1:7">
      <c r="A4433">
        <v>2035</v>
      </c>
      <c r="B4433" t="s">
        <v>194</v>
      </c>
      <c r="C4433">
        <v>0</v>
      </c>
      <c r="D4433" t="s">
        <v>184</v>
      </c>
      <c r="E4433" t="s">
        <v>182</v>
      </c>
      <c r="F4433" t="s">
        <v>177</v>
      </c>
      <c r="G4433" t="s">
        <v>180</v>
      </c>
    </row>
    <row r="4434" spans="1:7">
      <c r="A4434">
        <v>2020</v>
      </c>
      <c r="B4434" t="s">
        <v>195</v>
      </c>
      <c r="C4434">
        <v>10078.9</v>
      </c>
      <c r="D4434" t="s">
        <v>184</v>
      </c>
      <c r="E4434" t="s">
        <v>182</v>
      </c>
      <c r="F4434" t="s">
        <v>177</v>
      </c>
      <c r="G4434" t="s">
        <v>180</v>
      </c>
    </row>
    <row r="4435" spans="1:7">
      <c r="A4435">
        <v>2021</v>
      </c>
      <c r="B4435" t="s">
        <v>195</v>
      </c>
      <c r="C4435">
        <v>1699.08</v>
      </c>
      <c r="D4435" t="s">
        <v>184</v>
      </c>
      <c r="E4435" t="s">
        <v>182</v>
      </c>
      <c r="F4435" t="s">
        <v>177</v>
      </c>
      <c r="G4435" t="s">
        <v>180</v>
      </c>
    </row>
    <row r="4436" spans="1:7">
      <c r="A4436">
        <v>2022</v>
      </c>
      <c r="B4436" t="s">
        <v>195</v>
      </c>
      <c r="C4436">
        <v>1699.08</v>
      </c>
      <c r="D4436" t="s">
        <v>184</v>
      </c>
      <c r="E4436" t="s">
        <v>182</v>
      </c>
      <c r="F4436" t="s">
        <v>177</v>
      </c>
      <c r="G4436" t="s">
        <v>180</v>
      </c>
    </row>
    <row r="4437" spans="1:7">
      <c r="A4437">
        <v>2023</v>
      </c>
      <c r="B4437" t="s">
        <v>195</v>
      </c>
      <c r="C4437">
        <v>8244.92</v>
      </c>
      <c r="D4437" t="s">
        <v>184</v>
      </c>
      <c r="E4437" t="s">
        <v>182</v>
      </c>
      <c r="F4437" t="s">
        <v>177</v>
      </c>
      <c r="G4437" t="s">
        <v>180</v>
      </c>
    </row>
    <row r="4438" spans="1:7">
      <c r="A4438">
        <v>2024</v>
      </c>
      <c r="B4438" t="s">
        <v>195</v>
      </c>
      <c r="C4438">
        <v>8244.92</v>
      </c>
      <c r="D4438" t="s">
        <v>184</v>
      </c>
      <c r="E4438" t="s">
        <v>182</v>
      </c>
      <c r="F4438" t="s">
        <v>177</v>
      </c>
      <c r="G4438" t="s">
        <v>180</v>
      </c>
    </row>
    <row r="4439" spans="1:7">
      <c r="A4439">
        <v>2025</v>
      </c>
      <c r="B4439" t="s">
        <v>195</v>
      </c>
      <c r="C4439">
        <v>17450.3</v>
      </c>
      <c r="D4439" t="s">
        <v>184</v>
      </c>
      <c r="E4439" t="s">
        <v>182</v>
      </c>
      <c r="F4439" t="s">
        <v>177</v>
      </c>
      <c r="G4439" t="s">
        <v>180</v>
      </c>
    </row>
    <row r="4440" spans="1:7">
      <c r="A4440">
        <v>2026</v>
      </c>
      <c r="B4440" t="s">
        <v>195</v>
      </c>
      <c r="C4440">
        <v>17450.3</v>
      </c>
      <c r="D4440" t="s">
        <v>184</v>
      </c>
      <c r="E4440" t="s">
        <v>182</v>
      </c>
      <c r="F4440" t="s">
        <v>177</v>
      </c>
      <c r="G4440" t="s">
        <v>180</v>
      </c>
    </row>
    <row r="4441" spans="1:7">
      <c r="A4441">
        <v>2027</v>
      </c>
      <c r="B4441" t="s">
        <v>195</v>
      </c>
      <c r="C4441">
        <v>14933.2</v>
      </c>
      <c r="D4441" t="s">
        <v>184</v>
      </c>
      <c r="E4441" t="s">
        <v>182</v>
      </c>
      <c r="F4441" t="s">
        <v>177</v>
      </c>
      <c r="G4441" t="s">
        <v>180</v>
      </c>
    </row>
    <row r="4442" spans="1:7">
      <c r="A4442">
        <v>2028</v>
      </c>
      <c r="B4442" t="s">
        <v>195</v>
      </c>
      <c r="C4442">
        <v>14933.2</v>
      </c>
      <c r="D4442" t="s">
        <v>184</v>
      </c>
      <c r="E4442" t="s">
        <v>182</v>
      </c>
      <c r="F4442" t="s">
        <v>177</v>
      </c>
      <c r="G4442" t="s">
        <v>180</v>
      </c>
    </row>
    <row r="4443" spans="1:7">
      <c r="A4443">
        <v>2029</v>
      </c>
      <c r="B4443" t="s">
        <v>195</v>
      </c>
      <c r="C4443">
        <v>21610</v>
      </c>
      <c r="D4443" t="s">
        <v>184</v>
      </c>
      <c r="E4443" t="s">
        <v>182</v>
      </c>
      <c r="F4443" t="s">
        <v>177</v>
      </c>
      <c r="G4443" t="s">
        <v>180</v>
      </c>
    </row>
    <row r="4444" spans="1:7">
      <c r="A4444">
        <v>2030</v>
      </c>
      <c r="B4444" t="s">
        <v>195</v>
      </c>
      <c r="C4444">
        <v>21610</v>
      </c>
      <c r="D4444" t="s">
        <v>184</v>
      </c>
      <c r="E4444" t="s">
        <v>182</v>
      </c>
      <c r="F4444" t="s">
        <v>177</v>
      </c>
      <c r="G4444" t="s">
        <v>180</v>
      </c>
    </row>
    <row r="4445" spans="1:7">
      <c r="A4445">
        <v>2031</v>
      </c>
      <c r="B4445" t="s">
        <v>195</v>
      </c>
      <c r="C4445">
        <v>18487.400000000001</v>
      </c>
      <c r="D4445" t="s">
        <v>184</v>
      </c>
      <c r="E4445" t="s">
        <v>182</v>
      </c>
      <c r="F4445" t="s">
        <v>177</v>
      </c>
      <c r="G4445" t="s">
        <v>180</v>
      </c>
    </row>
    <row r="4446" spans="1:7">
      <c r="A4446">
        <v>2032</v>
      </c>
      <c r="B4446" t="s">
        <v>195</v>
      </c>
      <c r="C4446">
        <v>18487.400000000001</v>
      </c>
      <c r="D4446" t="s">
        <v>184</v>
      </c>
      <c r="E4446" t="s">
        <v>182</v>
      </c>
      <c r="F4446" t="s">
        <v>177</v>
      </c>
      <c r="G4446" t="s">
        <v>180</v>
      </c>
    </row>
    <row r="4447" spans="1:7">
      <c r="A4447">
        <v>2033</v>
      </c>
      <c r="B4447" t="s">
        <v>195</v>
      </c>
      <c r="C4447">
        <v>10741.1</v>
      </c>
      <c r="D4447" t="s">
        <v>184</v>
      </c>
      <c r="E4447" t="s">
        <v>182</v>
      </c>
      <c r="F4447" t="s">
        <v>177</v>
      </c>
      <c r="G4447" t="s">
        <v>180</v>
      </c>
    </row>
    <row r="4448" spans="1:7">
      <c r="A4448">
        <v>2034</v>
      </c>
      <c r="B4448" t="s">
        <v>195</v>
      </c>
      <c r="C4448">
        <v>10741.1</v>
      </c>
      <c r="D4448" t="s">
        <v>184</v>
      </c>
      <c r="E4448" t="s">
        <v>182</v>
      </c>
      <c r="F4448" t="s">
        <v>177</v>
      </c>
      <c r="G4448" t="s">
        <v>180</v>
      </c>
    </row>
    <row r="4449" spans="1:7">
      <c r="A4449">
        <v>2035</v>
      </c>
      <c r="B4449" t="s">
        <v>195</v>
      </c>
      <c r="C4449">
        <v>10741.1</v>
      </c>
      <c r="D4449" t="s">
        <v>184</v>
      </c>
      <c r="E4449" t="s">
        <v>182</v>
      </c>
      <c r="F4449" t="s">
        <v>177</v>
      </c>
      <c r="G4449" t="s">
        <v>180</v>
      </c>
    </row>
    <row r="4450" spans="1:7">
      <c r="A4450">
        <v>2020</v>
      </c>
      <c r="B4450" t="s">
        <v>196</v>
      </c>
      <c r="C4450">
        <v>8189.55</v>
      </c>
      <c r="D4450" t="s">
        <v>184</v>
      </c>
      <c r="E4450" t="s">
        <v>182</v>
      </c>
      <c r="F4450" t="s">
        <v>177</v>
      </c>
      <c r="G4450" t="s">
        <v>180</v>
      </c>
    </row>
    <row r="4451" spans="1:7">
      <c r="A4451">
        <v>2021</v>
      </c>
      <c r="B4451" t="s">
        <v>196</v>
      </c>
      <c r="C4451">
        <v>1576.08</v>
      </c>
      <c r="D4451" t="s">
        <v>184</v>
      </c>
      <c r="E4451" t="s">
        <v>182</v>
      </c>
      <c r="F4451" t="s">
        <v>177</v>
      </c>
      <c r="G4451" t="s">
        <v>180</v>
      </c>
    </row>
    <row r="4452" spans="1:7">
      <c r="A4452">
        <v>2022</v>
      </c>
      <c r="B4452" t="s">
        <v>196</v>
      </c>
      <c r="C4452">
        <v>1576.08</v>
      </c>
      <c r="D4452" t="s">
        <v>184</v>
      </c>
      <c r="E4452" t="s">
        <v>182</v>
      </c>
      <c r="F4452" t="s">
        <v>177</v>
      </c>
      <c r="G4452" t="s">
        <v>180</v>
      </c>
    </row>
    <row r="4453" spans="1:7">
      <c r="A4453">
        <v>2023</v>
      </c>
      <c r="B4453" t="s">
        <v>196</v>
      </c>
      <c r="C4453">
        <v>2296.2600000000002</v>
      </c>
      <c r="D4453" t="s">
        <v>184</v>
      </c>
      <c r="E4453" t="s">
        <v>182</v>
      </c>
      <c r="F4453" t="s">
        <v>177</v>
      </c>
      <c r="G4453" t="s">
        <v>180</v>
      </c>
    </row>
    <row r="4454" spans="1:7">
      <c r="A4454">
        <v>2024</v>
      </c>
      <c r="B4454" t="s">
        <v>196</v>
      </c>
      <c r="C4454">
        <v>2296.2600000000002</v>
      </c>
      <c r="D4454" t="s">
        <v>184</v>
      </c>
      <c r="E4454" t="s">
        <v>182</v>
      </c>
      <c r="F4454" t="s">
        <v>177</v>
      </c>
      <c r="G4454" t="s">
        <v>180</v>
      </c>
    </row>
    <row r="4455" spans="1:7">
      <c r="A4455">
        <v>2025</v>
      </c>
      <c r="B4455" t="s">
        <v>196</v>
      </c>
      <c r="C4455">
        <v>2946.5</v>
      </c>
      <c r="D4455" t="s">
        <v>184</v>
      </c>
      <c r="E4455" t="s">
        <v>182</v>
      </c>
      <c r="F4455" t="s">
        <v>177</v>
      </c>
      <c r="G4455" t="s">
        <v>180</v>
      </c>
    </row>
    <row r="4456" spans="1:7">
      <c r="A4456">
        <v>2026</v>
      </c>
      <c r="B4456" t="s">
        <v>196</v>
      </c>
      <c r="C4456">
        <v>2946.5</v>
      </c>
      <c r="D4456" t="s">
        <v>184</v>
      </c>
      <c r="E4456" t="s">
        <v>182</v>
      </c>
      <c r="F4456" t="s">
        <v>177</v>
      </c>
      <c r="G4456" t="s">
        <v>180</v>
      </c>
    </row>
    <row r="4457" spans="1:7">
      <c r="A4457">
        <v>2027</v>
      </c>
      <c r="B4457" t="s">
        <v>196</v>
      </c>
      <c r="C4457">
        <v>3576.52</v>
      </c>
      <c r="D4457" t="s">
        <v>184</v>
      </c>
      <c r="E4457" t="s">
        <v>182</v>
      </c>
      <c r="F4457" t="s">
        <v>177</v>
      </c>
      <c r="G4457" t="s">
        <v>180</v>
      </c>
    </row>
    <row r="4458" spans="1:7">
      <c r="A4458">
        <v>2028</v>
      </c>
      <c r="B4458" t="s">
        <v>196</v>
      </c>
      <c r="C4458">
        <v>3576.52</v>
      </c>
      <c r="D4458" t="s">
        <v>184</v>
      </c>
      <c r="E4458" t="s">
        <v>182</v>
      </c>
      <c r="F4458" t="s">
        <v>177</v>
      </c>
      <c r="G4458" t="s">
        <v>180</v>
      </c>
    </row>
    <row r="4459" spans="1:7">
      <c r="A4459">
        <v>2029</v>
      </c>
      <c r="B4459" t="s">
        <v>196</v>
      </c>
      <c r="C4459">
        <v>6839.38</v>
      </c>
      <c r="D4459" t="s">
        <v>184</v>
      </c>
      <c r="E4459" t="s">
        <v>182</v>
      </c>
      <c r="F4459" t="s">
        <v>177</v>
      </c>
      <c r="G4459" t="s">
        <v>180</v>
      </c>
    </row>
    <row r="4460" spans="1:7">
      <c r="A4460">
        <v>2030</v>
      </c>
      <c r="B4460" t="s">
        <v>196</v>
      </c>
      <c r="C4460">
        <v>6839.38</v>
      </c>
      <c r="D4460" t="s">
        <v>184</v>
      </c>
      <c r="E4460" t="s">
        <v>182</v>
      </c>
      <c r="F4460" t="s">
        <v>177</v>
      </c>
      <c r="G4460" t="s">
        <v>180</v>
      </c>
    </row>
    <row r="4461" spans="1:7">
      <c r="A4461">
        <v>2031</v>
      </c>
      <c r="B4461" t="s">
        <v>196</v>
      </c>
      <c r="C4461">
        <v>3718.65</v>
      </c>
      <c r="D4461" t="s">
        <v>184</v>
      </c>
      <c r="E4461" t="s">
        <v>182</v>
      </c>
      <c r="F4461" t="s">
        <v>177</v>
      </c>
      <c r="G4461" t="s">
        <v>180</v>
      </c>
    </row>
    <row r="4462" spans="1:7">
      <c r="A4462">
        <v>2032</v>
      </c>
      <c r="B4462" t="s">
        <v>196</v>
      </c>
      <c r="C4462">
        <v>3718.65</v>
      </c>
      <c r="D4462" t="s">
        <v>184</v>
      </c>
      <c r="E4462" t="s">
        <v>182</v>
      </c>
      <c r="F4462" t="s">
        <v>177</v>
      </c>
      <c r="G4462" t="s">
        <v>180</v>
      </c>
    </row>
    <row r="4463" spans="1:7">
      <c r="A4463">
        <v>2033</v>
      </c>
      <c r="B4463" t="s">
        <v>196</v>
      </c>
      <c r="C4463">
        <v>7309.38</v>
      </c>
      <c r="D4463" t="s">
        <v>184</v>
      </c>
      <c r="E4463" t="s">
        <v>182</v>
      </c>
      <c r="F4463" t="s">
        <v>177</v>
      </c>
      <c r="G4463" t="s">
        <v>180</v>
      </c>
    </row>
    <row r="4464" spans="1:7">
      <c r="A4464">
        <v>2034</v>
      </c>
      <c r="B4464" t="s">
        <v>196</v>
      </c>
      <c r="C4464">
        <v>7309.38</v>
      </c>
      <c r="D4464" t="s">
        <v>184</v>
      </c>
      <c r="E4464" t="s">
        <v>182</v>
      </c>
      <c r="F4464" t="s">
        <v>177</v>
      </c>
      <c r="G4464" t="s">
        <v>180</v>
      </c>
    </row>
    <row r="4465" spans="1:7">
      <c r="A4465">
        <v>2035</v>
      </c>
      <c r="B4465" t="s">
        <v>196</v>
      </c>
      <c r="C4465">
        <v>7309.38</v>
      </c>
      <c r="D4465" t="s">
        <v>184</v>
      </c>
      <c r="E4465" t="s">
        <v>182</v>
      </c>
      <c r="F4465" t="s">
        <v>177</v>
      </c>
      <c r="G4465" t="s">
        <v>180</v>
      </c>
    </row>
    <row r="4466" spans="1:7">
      <c r="A4466">
        <v>2020</v>
      </c>
      <c r="B4466" t="s">
        <v>188</v>
      </c>
      <c r="C4466">
        <v>102.45</v>
      </c>
      <c r="D4466" t="s">
        <v>183</v>
      </c>
      <c r="E4466" t="s">
        <v>182</v>
      </c>
      <c r="F4466" t="s">
        <v>181</v>
      </c>
      <c r="G4466" t="s">
        <v>178</v>
      </c>
    </row>
    <row r="4467" spans="1:7">
      <c r="A4467">
        <v>2021</v>
      </c>
      <c r="B4467" t="s">
        <v>188</v>
      </c>
      <c r="C4467">
        <v>9.5</v>
      </c>
      <c r="D4467" t="s">
        <v>183</v>
      </c>
      <c r="E4467" t="s">
        <v>182</v>
      </c>
      <c r="F4467" t="s">
        <v>181</v>
      </c>
      <c r="G4467" t="s">
        <v>178</v>
      </c>
    </row>
    <row r="4468" spans="1:7">
      <c r="A4468">
        <v>2022</v>
      </c>
      <c r="B4468" t="s">
        <v>188</v>
      </c>
      <c r="C4468">
        <v>9.5</v>
      </c>
      <c r="D4468" t="s">
        <v>183</v>
      </c>
      <c r="E4468" t="s">
        <v>182</v>
      </c>
      <c r="F4468" t="s">
        <v>181</v>
      </c>
      <c r="G4468" t="s">
        <v>178</v>
      </c>
    </row>
    <row r="4469" spans="1:7">
      <c r="A4469">
        <v>2023</v>
      </c>
      <c r="B4469" t="s">
        <v>188</v>
      </c>
      <c r="C4469">
        <v>0</v>
      </c>
      <c r="D4469" t="s">
        <v>183</v>
      </c>
      <c r="E4469" t="s">
        <v>182</v>
      </c>
      <c r="F4469" t="s">
        <v>181</v>
      </c>
      <c r="G4469" t="s">
        <v>178</v>
      </c>
    </row>
    <row r="4470" spans="1:7">
      <c r="A4470">
        <v>2024</v>
      </c>
      <c r="B4470" t="s">
        <v>188</v>
      </c>
      <c r="C4470">
        <v>0</v>
      </c>
      <c r="D4470" t="s">
        <v>183</v>
      </c>
      <c r="E4470" t="s">
        <v>182</v>
      </c>
      <c r="F4470" t="s">
        <v>181</v>
      </c>
      <c r="G4470" t="s">
        <v>178</v>
      </c>
    </row>
    <row r="4471" spans="1:7">
      <c r="A4471">
        <v>2025</v>
      </c>
      <c r="B4471" t="s">
        <v>188</v>
      </c>
      <c r="C4471">
        <v>0</v>
      </c>
      <c r="D4471" t="s">
        <v>183</v>
      </c>
      <c r="E4471" t="s">
        <v>182</v>
      </c>
      <c r="F4471" t="s">
        <v>181</v>
      </c>
      <c r="G4471" t="s">
        <v>178</v>
      </c>
    </row>
    <row r="4472" spans="1:7">
      <c r="A4472">
        <v>2026</v>
      </c>
      <c r="B4472" t="s">
        <v>188</v>
      </c>
      <c r="C4472">
        <v>0</v>
      </c>
      <c r="D4472" t="s">
        <v>183</v>
      </c>
      <c r="E4472" t="s">
        <v>182</v>
      </c>
      <c r="F4472" t="s">
        <v>181</v>
      </c>
      <c r="G4472" t="s">
        <v>178</v>
      </c>
    </row>
    <row r="4473" spans="1:7">
      <c r="A4473">
        <v>2027</v>
      </c>
      <c r="B4473" t="s">
        <v>188</v>
      </c>
      <c r="C4473">
        <v>0</v>
      </c>
      <c r="D4473" t="s">
        <v>183</v>
      </c>
      <c r="E4473" t="s">
        <v>182</v>
      </c>
      <c r="F4473" t="s">
        <v>181</v>
      </c>
      <c r="G4473" t="s">
        <v>178</v>
      </c>
    </row>
    <row r="4474" spans="1:7">
      <c r="A4474">
        <v>2028</v>
      </c>
      <c r="B4474" t="s">
        <v>188</v>
      </c>
      <c r="C4474">
        <v>0</v>
      </c>
      <c r="D4474" t="s">
        <v>183</v>
      </c>
      <c r="E4474" t="s">
        <v>182</v>
      </c>
      <c r="F4474" t="s">
        <v>181</v>
      </c>
      <c r="G4474" t="s">
        <v>178</v>
      </c>
    </row>
    <row r="4475" spans="1:7">
      <c r="A4475">
        <v>2029</v>
      </c>
      <c r="B4475" t="s">
        <v>188</v>
      </c>
      <c r="C4475">
        <v>0</v>
      </c>
      <c r="D4475" t="s">
        <v>183</v>
      </c>
      <c r="E4475" t="s">
        <v>182</v>
      </c>
      <c r="F4475" t="s">
        <v>181</v>
      </c>
      <c r="G4475" t="s">
        <v>178</v>
      </c>
    </row>
    <row r="4476" spans="1:7">
      <c r="A4476">
        <v>2030</v>
      </c>
      <c r="B4476" t="s">
        <v>188</v>
      </c>
      <c r="C4476">
        <v>0</v>
      </c>
      <c r="D4476" t="s">
        <v>183</v>
      </c>
      <c r="E4476" t="s">
        <v>182</v>
      </c>
      <c r="F4476" t="s">
        <v>181</v>
      </c>
      <c r="G4476" t="s">
        <v>178</v>
      </c>
    </row>
    <row r="4477" spans="1:7">
      <c r="A4477">
        <v>2031</v>
      </c>
      <c r="B4477" t="s">
        <v>188</v>
      </c>
      <c r="C4477">
        <v>0</v>
      </c>
      <c r="D4477" t="s">
        <v>183</v>
      </c>
      <c r="E4477" t="s">
        <v>182</v>
      </c>
      <c r="F4477" t="s">
        <v>181</v>
      </c>
      <c r="G4477" t="s">
        <v>178</v>
      </c>
    </row>
    <row r="4478" spans="1:7">
      <c r="A4478">
        <v>2032</v>
      </c>
      <c r="B4478" t="s">
        <v>188</v>
      </c>
      <c r="C4478">
        <v>0</v>
      </c>
      <c r="D4478" t="s">
        <v>183</v>
      </c>
      <c r="E4478" t="s">
        <v>182</v>
      </c>
      <c r="F4478" t="s">
        <v>181</v>
      </c>
      <c r="G4478" t="s">
        <v>178</v>
      </c>
    </row>
    <row r="4479" spans="1:7">
      <c r="A4479">
        <v>2033</v>
      </c>
      <c r="B4479" t="s">
        <v>188</v>
      </c>
      <c r="C4479">
        <v>0</v>
      </c>
      <c r="D4479" t="s">
        <v>183</v>
      </c>
      <c r="E4479" t="s">
        <v>182</v>
      </c>
      <c r="F4479" t="s">
        <v>181</v>
      </c>
      <c r="G4479" t="s">
        <v>178</v>
      </c>
    </row>
    <row r="4480" spans="1:7">
      <c r="A4480">
        <v>2034</v>
      </c>
      <c r="B4480" t="s">
        <v>188</v>
      </c>
      <c r="C4480">
        <v>0</v>
      </c>
      <c r="D4480" t="s">
        <v>183</v>
      </c>
      <c r="E4480" t="s">
        <v>182</v>
      </c>
      <c r="F4480" t="s">
        <v>181</v>
      </c>
      <c r="G4480" t="s">
        <v>178</v>
      </c>
    </row>
    <row r="4481" spans="1:7">
      <c r="A4481">
        <v>2035</v>
      </c>
      <c r="B4481" t="s">
        <v>188</v>
      </c>
      <c r="C4481">
        <v>0</v>
      </c>
      <c r="D4481" t="s">
        <v>183</v>
      </c>
      <c r="E4481" t="s">
        <v>182</v>
      </c>
      <c r="F4481" t="s">
        <v>181</v>
      </c>
      <c r="G4481" t="s">
        <v>178</v>
      </c>
    </row>
    <row r="4482" spans="1:7">
      <c r="A4482">
        <v>2020</v>
      </c>
      <c r="B4482" t="s">
        <v>189</v>
      </c>
      <c r="C4482">
        <v>0</v>
      </c>
      <c r="D4482" t="s">
        <v>183</v>
      </c>
      <c r="E4482" t="s">
        <v>182</v>
      </c>
      <c r="F4482" t="s">
        <v>181</v>
      </c>
      <c r="G4482" t="s">
        <v>178</v>
      </c>
    </row>
    <row r="4483" spans="1:7">
      <c r="A4483">
        <v>2021</v>
      </c>
      <c r="B4483" t="s">
        <v>189</v>
      </c>
      <c r="C4483">
        <v>0</v>
      </c>
      <c r="D4483" t="s">
        <v>183</v>
      </c>
      <c r="E4483" t="s">
        <v>182</v>
      </c>
      <c r="F4483" t="s">
        <v>181</v>
      </c>
      <c r="G4483" t="s">
        <v>178</v>
      </c>
    </row>
    <row r="4484" spans="1:7">
      <c r="A4484">
        <v>2022</v>
      </c>
      <c r="B4484" t="s">
        <v>189</v>
      </c>
      <c r="C4484">
        <v>0</v>
      </c>
      <c r="D4484" t="s">
        <v>183</v>
      </c>
      <c r="E4484" t="s">
        <v>182</v>
      </c>
      <c r="F4484" t="s">
        <v>181</v>
      </c>
      <c r="G4484" t="s">
        <v>178</v>
      </c>
    </row>
    <row r="4485" spans="1:7">
      <c r="A4485">
        <v>2023</v>
      </c>
      <c r="B4485" t="s">
        <v>189</v>
      </c>
      <c r="C4485">
        <v>0</v>
      </c>
      <c r="D4485" t="s">
        <v>183</v>
      </c>
      <c r="E4485" t="s">
        <v>182</v>
      </c>
      <c r="F4485" t="s">
        <v>181</v>
      </c>
      <c r="G4485" t="s">
        <v>178</v>
      </c>
    </row>
    <row r="4486" spans="1:7">
      <c r="A4486">
        <v>2024</v>
      </c>
      <c r="B4486" t="s">
        <v>189</v>
      </c>
      <c r="C4486">
        <v>0</v>
      </c>
      <c r="D4486" t="s">
        <v>183</v>
      </c>
      <c r="E4486" t="s">
        <v>182</v>
      </c>
      <c r="F4486" t="s">
        <v>181</v>
      </c>
      <c r="G4486" t="s">
        <v>178</v>
      </c>
    </row>
    <row r="4487" spans="1:7">
      <c r="A4487">
        <v>2025</v>
      </c>
      <c r="B4487" t="s">
        <v>189</v>
      </c>
      <c r="C4487">
        <v>0</v>
      </c>
      <c r="D4487" t="s">
        <v>183</v>
      </c>
      <c r="E4487" t="s">
        <v>182</v>
      </c>
      <c r="F4487" t="s">
        <v>181</v>
      </c>
      <c r="G4487" t="s">
        <v>178</v>
      </c>
    </row>
    <row r="4488" spans="1:7">
      <c r="A4488">
        <v>2026</v>
      </c>
      <c r="B4488" t="s">
        <v>189</v>
      </c>
      <c r="C4488">
        <v>0</v>
      </c>
      <c r="D4488" t="s">
        <v>183</v>
      </c>
      <c r="E4488" t="s">
        <v>182</v>
      </c>
      <c r="F4488" t="s">
        <v>181</v>
      </c>
      <c r="G4488" t="s">
        <v>178</v>
      </c>
    </row>
    <row r="4489" spans="1:7">
      <c r="A4489">
        <v>2027</v>
      </c>
      <c r="B4489" t="s">
        <v>189</v>
      </c>
      <c r="C4489">
        <v>0</v>
      </c>
      <c r="D4489" t="s">
        <v>183</v>
      </c>
      <c r="E4489" t="s">
        <v>182</v>
      </c>
      <c r="F4489" t="s">
        <v>181</v>
      </c>
      <c r="G4489" t="s">
        <v>178</v>
      </c>
    </row>
    <row r="4490" spans="1:7">
      <c r="A4490">
        <v>2028</v>
      </c>
      <c r="B4490" t="s">
        <v>189</v>
      </c>
      <c r="C4490">
        <v>0</v>
      </c>
      <c r="D4490" t="s">
        <v>183</v>
      </c>
      <c r="E4490" t="s">
        <v>182</v>
      </c>
      <c r="F4490" t="s">
        <v>181</v>
      </c>
      <c r="G4490" t="s">
        <v>178</v>
      </c>
    </row>
    <row r="4491" spans="1:7">
      <c r="A4491">
        <v>2029</v>
      </c>
      <c r="B4491" t="s">
        <v>189</v>
      </c>
      <c r="C4491">
        <v>0</v>
      </c>
      <c r="D4491" t="s">
        <v>183</v>
      </c>
      <c r="E4491" t="s">
        <v>182</v>
      </c>
      <c r="F4491" t="s">
        <v>181</v>
      </c>
      <c r="G4491" t="s">
        <v>178</v>
      </c>
    </row>
    <row r="4492" spans="1:7">
      <c r="A4492">
        <v>2030</v>
      </c>
      <c r="B4492" t="s">
        <v>189</v>
      </c>
      <c r="C4492">
        <v>0</v>
      </c>
      <c r="D4492" t="s">
        <v>183</v>
      </c>
      <c r="E4492" t="s">
        <v>182</v>
      </c>
      <c r="F4492" t="s">
        <v>181</v>
      </c>
      <c r="G4492" t="s">
        <v>178</v>
      </c>
    </row>
    <row r="4493" spans="1:7">
      <c r="A4493">
        <v>2031</v>
      </c>
      <c r="B4493" t="s">
        <v>189</v>
      </c>
      <c r="C4493">
        <v>0</v>
      </c>
      <c r="D4493" t="s">
        <v>183</v>
      </c>
      <c r="E4493" t="s">
        <v>182</v>
      </c>
      <c r="F4493" t="s">
        <v>181</v>
      </c>
      <c r="G4493" t="s">
        <v>178</v>
      </c>
    </row>
    <row r="4494" spans="1:7">
      <c r="A4494">
        <v>2032</v>
      </c>
      <c r="B4494" t="s">
        <v>189</v>
      </c>
      <c r="C4494">
        <v>0</v>
      </c>
      <c r="D4494" t="s">
        <v>183</v>
      </c>
      <c r="E4494" t="s">
        <v>182</v>
      </c>
      <c r="F4494" t="s">
        <v>181</v>
      </c>
      <c r="G4494" t="s">
        <v>178</v>
      </c>
    </row>
    <row r="4495" spans="1:7">
      <c r="A4495">
        <v>2033</v>
      </c>
      <c r="B4495" t="s">
        <v>189</v>
      </c>
      <c r="C4495">
        <v>0</v>
      </c>
      <c r="D4495" t="s">
        <v>183</v>
      </c>
      <c r="E4495" t="s">
        <v>182</v>
      </c>
      <c r="F4495" t="s">
        <v>181</v>
      </c>
      <c r="G4495" t="s">
        <v>178</v>
      </c>
    </row>
    <row r="4496" spans="1:7">
      <c r="A4496">
        <v>2034</v>
      </c>
      <c r="B4496" t="s">
        <v>189</v>
      </c>
      <c r="C4496">
        <v>0</v>
      </c>
      <c r="D4496" t="s">
        <v>183</v>
      </c>
      <c r="E4496" t="s">
        <v>182</v>
      </c>
      <c r="F4496" t="s">
        <v>181</v>
      </c>
      <c r="G4496" t="s">
        <v>178</v>
      </c>
    </row>
    <row r="4497" spans="1:7">
      <c r="A4497">
        <v>2035</v>
      </c>
      <c r="B4497" t="s">
        <v>189</v>
      </c>
      <c r="C4497">
        <v>0</v>
      </c>
      <c r="D4497" t="s">
        <v>183</v>
      </c>
      <c r="E4497" t="s">
        <v>182</v>
      </c>
      <c r="F4497" t="s">
        <v>181</v>
      </c>
      <c r="G4497" t="s">
        <v>178</v>
      </c>
    </row>
    <row r="4498" spans="1:7">
      <c r="A4498">
        <v>2020</v>
      </c>
      <c r="B4498" t="s">
        <v>190</v>
      </c>
      <c r="C4498">
        <v>11059.73</v>
      </c>
      <c r="D4498" t="s">
        <v>183</v>
      </c>
      <c r="E4498" t="s">
        <v>182</v>
      </c>
      <c r="F4498" t="s">
        <v>181</v>
      </c>
      <c r="G4498" t="s">
        <v>178</v>
      </c>
    </row>
    <row r="4499" spans="1:7">
      <c r="A4499">
        <v>2021</v>
      </c>
      <c r="B4499" t="s">
        <v>190</v>
      </c>
      <c r="C4499">
        <v>0</v>
      </c>
      <c r="D4499" t="s">
        <v>183</v>
      </c>
      <c r="E4499" t="s">
        <v>182</v>
      </c>
      <c r="F4499" t="s">
        <v>181</v>
      </c>
      <c r="G4499" t="s">
        <v>178</v>
      </c>
    </row>
    <row r="4500" spans="1:7">
      <c r="A4500">
        <v>2022</v>
      </c>
      <c r="B4500" t="s">
        <v>190</v>
      </c>
      <c r="C4500">
        <v>0</v>
      </c>
      <c r="D4500" t="s">
        <v>183</v>
      </c>
      <c r="E4500" t="s">
        <v>182</v>
      </c>
      <c r="F4500" t="s">
        <v>181</v>
      </c>
      <c r="G4500" t="s">
        <v>178</v>
      </c>
    </row>
    <row r="4501" spans="1:7">
      <c r="A4501">
        <v>2023</v>
      </c>
      <c r="B4501" t="s">
        <v>190</v>
      </c>
      <c r="C4501">
        <v>0</v>
      </c>
      <c r="D4501" t="s">
        <v>183</v>
      </c>
      <c r="E4501" t="s">
        <v>182</v>
      </c>
      <c r="F4501" t="s">
        <v>181</v>
      </c>
      <c r="G4501" t="s">
        <v>178</v>
      </c>
    </row>
    <row r="4502" spans="1:7">
      <c r="A4502">
        <v>2024</v>
      </c>
      <c r="B4502" t="s">
        <v>190</v>
      </c>
      <c r="C4502">
        <v>0</v>
      </c>
      <c r="D4502" t="s">
        <v>183</v>
      </c>
      <c r="E4502" t="s">
        <v>182</v>
      </c>
      <c r="F4502" t="s">
        <v>181</v>
      </c>
      <c r="G4502" t="s">
        <v>178</v>
      </c>
    </row>
    <row r="4503" spans="1:7">
      <c r="A4503">
        <v>2025</v>
      </c>
      <c r="B4503" t="s">
        <v>190</v>
      </c>
      <c r="C4503">
        <v>0</v>
      </c>
      <c r="D4503" t="s">
        <v>183</v>
      </c>
      <c r="E4503" t="s">
        <v>182</v>
      </c>
      <c r="F4503" t="s">
        <v>181</v>
      </c>
      <c r="G4503" t="s">
        <v>178</v>
      </c>
    </row>
    <row r="4504" spans="1:7">
      <c r="A4504">
        <v>2026</v>
      </c>
      <c r="B4504" t="s">
        <v>190</v>
      </c>
      <c r="C4504">
        <v>0</v>
      </c>
      <c r="D4504" t="s">
        <v>183</v>
      </c>
      <c r="E4504" t="s">
        <v>182</v>
      </c>
      <c r="F4504" t="s">
        <v>181</v>
      </c>
      <c r="G4504" t="s">
        <v>178</v>
      </c>
    </row>
    <row r="4505" spans="1:7">
      <c r="A4505">
        <v>2027</v>
      </c>
      <c r="B4505" t="s">
        <v>190</v>
      </c>
      <c r="C4505">
        <v>0</v>
      </c>
      <c r="D4505" t="s">
        <v>183</v>
      </c>
      <c r="E4505" t="s">
        <v>182</v>
      </c>
      <c r="F4505" t="s">
        <v>181</v>
      </c>
      <c r="G4505" t="s">
        <v>178</v>
      </c>
    </row>
    <row r="4506" spans="1:7">
      <c r="A4506">
        <v>2028</v>
      </c>
      <c r="B4506" t="s">
        <v>190</v>
      </c>
      <c r="C4506">
        <v>0</v>
      </c>
      <c r="D4506" t="s">
        <v>183</v>
      </c>
      <c r="E4506" t="s">
        <v>182</v>
      </c>
      <c r="F4506" t="s">
        <v>181</v>
      </c>
      <c r="G4506" t="s">
        <v>178</v>
      </c>
    </row>
    <row r="4507" spans="1:7">
      <c r="A4507">
        <v>2029</v>
      </c>
      <c r="B4507" t="s">
        <v>190</v>
      </c>
      <c r="C4507">
        <v>0</v>
      </c>
      <c r="D4507" t="s">
        <v>183</v>
      </c>
      <c r="E4507" t="s">
        <v>182</v>
      </c>
      <c r="F4507" t="s">
        <v>181</v>
      </c>
      <c r="G4507" t="s">
        <v>178</v>
      </c>
    </row>
    <row r="4508" spans="1:7">
      <c r="A4508">
        <v>2030</v>
      </c>
      <c r="B4508" t="s">
        <v>190</v>
      </c>
      <c r="C4508">
        <v>0</v>
      </c>
      <c r="D4508" t="s">
        <v>183</v>
      </c>
      <c r="E4508" t="s">
        <v>182</v>
      </c>
      <c r="F4508" t="s">
        <v>181</v>
      </c>
      <c r="G4508" t="s">
        <v>178</v>
      </c>
    </row>
    <row r="4509" spans="1:7">
      <c r="A4509">
        <v>2031</v>
      </c>
      <c r="B4509" t="s">
        <v>190</v>
      </c>
      <c r="C4509">
        <v>0</v>
      </c>
      <c r="D4509" t="s">
        <v>183</v>
      </c>
      <c r="E4509" t="s">
        <v>182</v>
      </c>
      <c r="F4509" t="s">
        <v>181</v>
      </c>
      <c r="G4509" t="s">
        <v>178</v>
      </c>
    </row>
    <row r="4510" spans="1:7">
      <c r="A4510">
        <v>2032</v>
      </c>
      <c r="B4510" t="s">
        <v>190</v>
      </c>
      <c r="C4510">
        <v>0</v>
      </c>
      <c r="D4510" t="s">
        <v>183</v>
      </c>
      <c r="E4510" t="s">
        <v>182</v>
      </c>
      <c r="F4510" t="s">
        <v>181</v>
      </c>
      <c r="G4510" t="s">
        <v>178</v>
      </c>
    </row>
    <row r="4511" spans="1:7">
      <c r="A4511">
        <v>2033</v>
      </c>
      <c r="B4511" t="s">
        <v>190</v>
      </c>
      <c r="C4511">
        <v>0</v>
      </c>
      <c r="D4511" t="s">
        <v>183</v>
      </c>
      <c r="E4511" t="s">
        <v>182</v>
      </c>
      <c r="F4511" t="s">
        <v>181</v>
      </c>
      <c r="G4511" t="s">
        <v>178</v>
      </c>
    </row>
    <row r="4512" spans="1:7">
      <c r="A4512">
        <v>2034</v>
      </c>
      <c r="B4512" t="s">
        <v>190</v>
      </c>
      <c r="C4512">
        <v>0</v>
      </c>
      <c r="D4512" t="s">
        <v>183</v>
      </c>
      <c r="E4512" t="s">
        <v>182</v>
      </c>
      <c r="F4512" t="s">
        <v>181</v>
      </c>
      <c r="G4512" t="s">
        <v>178</v>
      </c>
    </row>
    <row r="4513" spans="1:7">
      <c r="A4513">
        <v>2035</v>
      </c>
      <c r="B4513" t="s">
        <v>190</v>
      </c>
      <c r="C4513">
        <v>0</v>
      </c>
      <c r="D4513" t="s">
        <v>183</v>
      </c>
      <c r="E4513" t="s">
        <v>182</v>
      </c>
      <c r="F4513" t="s">
        <v>181</v>
      </c>
      <c r="G4513" t="s">
        <v>178</v>
      </c>
    </row>
    <row r="4514" spans="1:7">
      <c r="A4514">
        <v>2020</v>
      </c>
      <c r="B4514" t="s">
        <v>191</v>
      </c>
      <c r="C4514">
        <v>0</v>
      </c>
      <c r="D4514" t="s">
        <v>183</v>
      </c>
      <c r="E4514" t="s">
        <v>182</v>
      </c>
      <c r="F4514" t="s">
        <v>181</v>
      </c>
      <c r="G4514" t="s">
        <v>178</v>
      </c>
    </row>
    <row r="4515" spans="1:7">
      <c r="A4515">
        <v>2021</v>
      </c>
      <c r="B4515" t="s">
        <v>191</v>
      </c>
      <c r="C4515">
        <v>0</v>
      </c>
      <c r="D4515" t="s">
        <v>183</v>
      </c>
      <c r="E4515" t="s">
        <v>182</v>
      </c>
      <c r="F4515" t="s">
        <v>181</v>
      </c>
      <c r="G4515" t="s">
        <v>178</v>
      </c>
    </row>
    <row r="4516" spans="1:7">
      <c r="A4516">
        <v>2022</v>
      </c>
      <c r="B4516" t="s">
        <v>191</v>
      </c>
      <c r="C4516">
        <v>0</v>
      </c>
      <c r="D4516" t="s">
        <v>183</v>
      </c>
      <c r="E4516" t="s">
        <v>182</v>
      </c>
      <c r="F4516" t="s">
        <v>181</v>
      </c>
      <c r="G4516" t="s">
        <v>178</v>
      </c>
    </row>
    <row r="4517" spans="1:7">
      <c r="A4517">
        <v>2023</v>
      </c>
      <c r="B4517" t="s">
        <v>191</v>
      </c>
      <c r="C4517">
        <v>0</v>
      </c>
      <c r="D4517" t="s">
        <v>183</v>
      </c>
      <c r="E4517" t="s">
        <v>182</v>
      </c>
      <c r="F4517" t="s">
        <v>181</v>
      </c>
      <c r="G4517" t="s">
        <v>178</v>
      </c>
    </row>
    <row r="4518" spans="1:7">
      <c r="A4518">
        <v>2024</v>
      </c>
      <c r="B4518" t="s">
        <v>191</v>
      </c>
      <c r="C4518">
        <v>0</v>
      </c>
      <c r="D4518" t="s">
        <v>183</v>
      </c>
      <c r="E4518" t="s">
        <v>182</v>
      </c>
      <c r="F4518" t="s">
        <v>181</v>
      </c>
      <c r="G4518" t="s">
        <v>178</v>
      </c>
    </row>
    <row r="4519" spans="1:7">
      <c r="A4519">
        <v>2025</v>
      </c>
      <c r="B4519" t="s">
        <v>191</v>
      </c>
      <c r="C4519">
        <v>0</v>
      </c>
      <c r="D4519" t="s">
        <v>183</v>
      </c>
      <c r="E4519" t="s">
        <v>182</v>
      </c>
      <c r="F4519" t="s">
        <v>181</v>
      </c>
      <c r="G4519" t="s">
        <v>178</v>
      </c>
    </row>
    <row r="4520" spans="1:7">
      <c r="A4520">
        <v>2026</v>
      </c>
      <c r="B4520" t="s">
        <v>191</v>
      </c>
      <c r="C4520">
        <v>0</v>
      </c>
      <c r="D4520" t="s">
        <v>183</v>
      </c>
      <c r="E4520" t="s">
        <v>182</v>
      </c>
      <c r="F4520" t="s">
        <v>181</v>
      </c>
      <c r="G4520" t="s">
        <v>178</v>
      </c>
    </row>
    <row r="4521" spans="1:7">
      <c r="A4521">
        <v>2027</v>
      </c>
      <c r="B4521" t="s">
        <v>191</v>
      </c>
      <c r="C4521">
        <v>0</v>
      </c>
      <c r="D4521" t="s">
        <v>183</v>
      </c>
      <c r="E4521" t="s">
        <v>182</v>
      </c>
      <c r="F4521" t="s">
        <v>181</v>
      </c>
      <c r="G4521" t="s">
        <v>178</v>
      </c>
    </row>
    <row r="4522" spans="1:7">
      <c r="A4522">
        <v>2028</v>
      </c>
      <c r="B4522" t="s">
        <v>191</v>
      </c>
      <c r="C4522">
        <v>0</v>
      </c>
      <c r="D4522" t="s">
        <v>183</v>
      </c>
      <c r="E4522" t="s">
        <v>182</v>
      </c>
      <c r="F4522" t="s">
        <v>181</v>
      </c>
      <c r="G4522" t="s">
        <v>178</v>
      </c>
    </row>
    <row r="4523" spans="1:7">
      <c r="A4523">
        <v>2029</v>
      </c>
      <c r="B4523" t="s">
        <v>191</v>
      </c>
      <c r="C4523">
        <v>0</v>
      </c>
      <c r="D4523" t="s">
        <v>183</v>
      </c>
      <c r="E4523" t="s">
        <v>182</v>
      </c>
      <c r="F4523" t="s">
        <v>181</v>
      </c>
      <c r="G4523" t="s">
        <v>178</v>
      </c>
    </row>
    <row r="4524" spans="1:7">
      <c r="A4524">
        <v>2030</v>
      </c>
      <c r="B4524" t="s">
        <v>191</v>
      </c>
      <c r="C4524">
        <v>0</v>
      </c>
      <c r="D4524" t="s">
        <v>183</v>
      </c>
      <c r="E4524" t="s">
        <v>182</v>
      </c>
      <c r="F4524" t="s">
        <v>181</v>
      </c>
      <c r="G4524" t="s">
        <v>178</v>
      </c>
    </row>
    <row r="4525" spans="1:7">
      <c r="A4525">
        <v>2031</v>
      </c>
      <c r="B4525" t="s">
        <v>191</v>
      </c>
      <c r="C4525">
        <v>0</v>
      </c>
      <c r="D4525" t="s">
        <v>183</v>
      </c>
      <c r="E4525" t="s">
        <v>182</v>
      </c>
      <c r="F4525" t="s">
        <v>181</v>
      </c>
      <c r="G4525" t="s">
        <v>178</v>
      </c>
    </row>
    <row r="4526" spans="1:7">
      <c r="A4526">
        <v>2032</v>
      </c>
      <c r="B4526" t="s">
        <v>191</v>
      </c>
      <c r="C4526">
        <v>0</v>
      </c>
      <c r="D4526" t="s">
        <v>183</v>
      </c>
      <c r="E4526" t="s">
        <v>182</v>
      </c>
      <c r="F4526" t="s">
        <v>181</v>
      </c>
      <c r="G4526" t="s">
        <v>178</v>
      </c>
    </row>
    <row r="4527" spans="1:7">
      <c r="A4527">
        <v>2033</v>
      </c>
      <c r="B4527" t="s">
        <v>191</v>
      </c>
      <c r="C4527">
        <v>0</v>
      </c>
      <c r="D4527" t="s">
        <v>183</v>
      </c>
      <c r="E4527" t="s">
        <v>182</v>
      </c>
      <c r="F4527" t="s">
        <v>181</v>
      </c>
      <c r="G4527" t="s">
        <v>178</v>
      </c>
    </row>
    <row r="4528" spans="1:7">
      <c r="A4528">
        <v>2034</v>
      </c>
      <c r="B4528" t="s">
        <v>191</v>
      </c>
      <c r="C4528">
        <v>0</v>
      </c>
      <c r="D4528" t="s">
        <v>183</v>
      </c>
      <c r="E4528" t="s">
        <v>182</v>
      </c>
      <c r="F4528" t="s">
        <v>181</v>
      </c>
      <c r="G4528" t="s">
        <v>178</v>
      </c>
    </row>
    <row r="4529" spans="1:7">
      <c r="A4529">
        <v>2035</v>
      </c>
      <c r="B4529" t="s">
        <v>191</v>
      </c>
      <c r="C4529">
        <v>0</v>
      </c>
      <c r="D4529" t="s">
        <v>183</v>
      </c>
      <c r="E4529" t="s">
        <v>182</v>
      </c>
      <c r="F4529" t="s">
        <v>181</v>
      </c>
      <c r="G4529" t="s">
        <v>178</v>
      </c>
    </row>
    <row r="4530" spans="1:7">
      <c r="A4530">
        <v>2020</v>
      </c>
      <c r="B4530" t="s">
        <v>192</v>
      </c>
      <c r="C4530">
        <v>2644.52</v>
      </c>
      <c r="D4530" t="s">
        <v>183</v>
      </c>
      <c r="E4530" t="s">
        <v>182</v>
      </c>
      <c r="F4530" t="s">
        <v>181</v>
      </c>
      <c r="G4530" t="s">
        <v>178</v>
      </c>
    </row>
    <row r="4531" spans="1:7">
      <c r="A4531">
        <v>2021</v>
      </c>
      <c r="B4531" t="s">
        <v>192</v>
      </c>
      <c r="C4531">
        <v>0</v>
      </c>
      <c r="D4531" t="s">
        <v>183</v>
      </c>
      <c r="E4531" t="s">
        <v>182</v>
      </c>
      <c r="F4531" t="s">
        <v>181</v>
      </c>
      <c r="G4531" t="s">
        <v>178</v>
      </c>
    </row>
    <row r="4532" spans="1:7">
      <c r="A4532">
        <v>2022</v>
      </c>
      <c r="B4532" t="s">
        <v>192</v>
      </c>
      <c r="C4532">
        <v>0</v>
      </c>
      <c r="D4532" t="s">
        <v>183</v>
      </c>
      <c r="E4532" t="s">
        <v>182</v>
      </c>
      <c r="F4532" t="s">
        <v>181</v>
      </c>
      <c r="G4532" t="s">
        <v>178</v>
      </c>
    </row>
    <row r="4533" spans="1:7">
      <c r="A4533">
        <v>2023</v>
      </c>
      <c r="B4533" t="s">
        <v>192</v>
      </c>
      <c r="C4533">
        <v>17.5</v>
      </c>
      <c r="D4533" t="s">
        <v>183</v>
      </c>
      <c r="E4533" t="s">
        <v>182</v>
      </c>
      <c r="F4533" t="s">
        <v>181</v>
      </c>
      <c r="G4533" t="s">
        <v>178</v>
      </c>
    </row>
    <row r="4534" spans="1:7">
      <c r="A4534">
        <v>2024</v>
      </c>
      <c r="B4534" t="s">
        <v>192</v>
      </c>
      <c r="C4534">
        <v>17.5</v>
      </c>
      <c r="D4534" t="s">
        <v>183</v>
      </c>
      <c r="E4534" t="s">
        <v>182</v>
      </c>
      <c r="F4534" t="s">
        <v>181</v>
      </c>
      <c r="G4534" t="s">
        <v>178</v>
      </c>
    </row>
    <row r="4535" spans="1:7">
      <c r="A4535">
        <v>2025</v>
      </c>
      <c r="B4535" t="s">
        <v>192</v>
      </c>
      <c r="C4535">
        <v>0</v>
      </c>
      <c r="D4535" t="s">
        <v>183</v>
      </c>
      <c r="E4535" t="s">
        <v>182</v>
      </c>
      <c r="F4535" t="s">
        <v>181</v>
      </c>
      <c r="G4535" t="s">
        <v>178</v>
      </c>
    </row>
    <row r="4536" spans="1:7">
      <c r="A4536">
        <v>2026</v>
      </c>
      <c r="B4536" t="s">
        <v>192</v>
      </c>
      <c r="C4536">
        <v>0</v>
      </c>
      <c r="D4536" t="s">
        <v>183</v>
      </c>
      <c r="E4536" t="s">
        <v>182</v>
      </c>
      <c r="F4536" t="s">
        <v>181</v>
      </c>
      <c r="G4536" t="s">
        <v>178</v>
      </c>
    </row>
    <row r="4537" spans="1:7">
      <c r="A4537">
        <v>2027</v>
      </c>
      <c r="B4537" t="s">
        <v>192</v>
      </c>
      <c r="C4537">
        <v>0</v>
      </c>
      <c r="D4537" t="s">
        <v>183</v>
      </c>
      <c r="E4537" t="s">
        <v>182</v>
      </c>
      <c r="F4537" t="s">
        <v>181</v>
      </c>
      <c r="G4537" t="s">
        <v>178</v>
      </c>
    </row>
    <row r="4538" spans="1:7">
      <c r="A4538">
        <v>2028</v>
      </c>
      <c r="B4538" t="s">
        <v>192</v>
      </c>
      <c r="C4538">
        <v>0</v>
      </c>
      <c r="D4538" t="s">
        <v>183</v>
      </c>
      <c r="E4538" t="s">
        <v>182</v>
      </c>
      <c r="F4538" t="s">
        <v>181</v>
      </c>
      <c r="G4538" t="s">
        <v>178</v>
      </c>
    </row>
    <row r="4539" spans="1:7">
      <c r="A4539">
        <v>2029</v>
      </c>
      <c r="B4539" t="s">
        <v>192</v>
      </c>
      <c r="C4539">
        <v>0</v>
      </c>
      <c r="D4539" t="s">
        <v>183</v>
      </c>
      <c r="E4539" t="s">
        <v>182</v>
      </c>
      <c r="F4539" t="s">
        <v>181</v>
      </c>
      <c r="G4539" t="s">
        <v>178</v>
      </c>
    </row>
    <row r="4540" spans="1:7">
      <c r="A4540">
        <v>2030</v>
      </c>
      <c r="B4540" t="s">
        <v>192</v>
      </c>
      <c r="C4540">
        <v>0</v>
      </c>
      <c r="D4540" t="s">
        <v>183</v>
      </c>
      <c r="E4540" t="s">
        <v>182</v>
      </c>
      <c r="F4540" t="s">
        <v>181</v>
      </c>
      <c r="G4540" t="s">
        <v>178</v>
      </c>
    </row>
    <row r="4541" spans="1:7">
      <c r="A4541">
        <v>2031</v>
      </c>
      <c r="B4541" t="s">
        <v>192</v>
      </c>
      <c r="C4541">
        <v>11</v>
      </c>
      <c r="D4541" t="s">
        <v>183</v>
      </c>
      <c r="E4541" t="s">
        <v>182</v>
      </c>
      <c r="F4541" t="s">
        <v>181</v>
      </c>
      <c r="G4541" t="s">
        <v>178</v>
      </c>
    </row>
    <row r="4542" spans="1:7">
      <c r="A4542">
        <v>2032</v>
      </c>
      <c r="B4542" t="s">
        <v>192</v>
      </c>
      <c r="C4542">
        <v>11</v>
      </c>
      <c r="D4542" t="s">
        <v>183</v>
      </c>
      <c r="E4542" t="s">
        <v>182</v>
      </c>
      <c r="F4542" t="s">
        <v>181</v>
      </c>
      <c r="G4542" t="s">
        <v>178</v>
      </c>
    </row>
    <row r="4543" spans="1:7">
      <c r="A4543">
        <v>2033</v>
      </c>
      <c r="B4543" t="s">
        <v>192</v>
      </c>
      <c r="C4543">
        <v>3.6666699999999999</v>
      </c>
      <c r="D4543" t="s">
        <v>183</v>
      </c>
      <c r="E4543" t="s">
        <v>182</v>
      </c>
      <c r="F4543" t="s">
        <v>181</v>
      </c>
      <c r="G4543" t="s">
        <v>178</v>
      </c>
    </row>
    <row r="4544" spans="1:7">
      <c r="A4544">
        <v>2034</v>
      </c>
      <c r="B4544" t="s">
        <v>192</v>
      </c>
      <c r="C4544">
        <v>3.6666699999999999</v>
      </c>
      <c r="D4544" t="s">
        <v>183</v>
      </c>
      <c r="E4544" t="s">
        <v>182</v>
      </c>
      <c r="F4544" t="s">
        <v>181</v>
      </c>
      <c r="G4544" t="s">
        <v>178</v>
      </c>
    </row>
    <row r="4545" spans="1:7">
      <c r="A4545">
        <v>2035</v>
      </c>
      <c r="B4545" t="s">
        <v>192</v>
      </c>
      <c r="C4545">
        <v>3.6666699999999999</v>
      </c>
      <c r="D4545" t="s">
        <v>183</v>
      </c>
      <c r="E4545" t="s">
        <v>182</v>
      </c>
      <c r="F4545" t="s">
        <v>181</v>
      </c>
      <c r="G4545" t="s">
        <v>178</v>
      </c>
    </row>
    <row r="4546" spans="1:7">
      <c r="A4546">
        <v>2020</v>
      </c>
      <c r="B4546" t="s">
        <v>193</v>
      </c>
      <c r="C4546">
        <v>232.5</v>
      </c>
      <c r="D4546" t="s">
        <v>183</v>
      </c>
      <c r="E4546" t="s">
        <v>182</v>
      </c>
      <c r="F4546" t="s">
        <v>181</v>
      </c>
      <c r="G4546" t="s">
        <v>178</v>
      </c>
    </row>
    <row r="4547" spans="1:7">
      <c r="A4547">
        <v>2021</v>
      </c>
      <c r="B4547" t="s">
        <v>193</v>
      </c>
      <c r="C4547">
        <v>1100</v>
      </c>
      <c r="D4547" t="s">
        <v>183</v>
      </c>
      <c r="E4547" t="s">
        <v>182</v>
      </c>
      <c r="F4547" t="s">
        <v>181</v>
      </c>
      <c r="G4547" t="s">
        <v>178</v>
      </c>
    </row>
    <row r="4548" spans="1:7">
      <c r="A4548">
        <v>2022</v>
      </c>
      <c r="B4548" t="s">
        <v>193</v>
      </c>
      <c r="C4548">
        <v>1100</v>
      </c>
      <c r="D4548" t="s">
        <v>183</v>
      </c>
      <c r="E4548" t="s">
        <v>182</v>
      </c>
      <c r="F4548" t="s">
        <v>181</v>
      </c>
      <c r="G4548" t="s">
        <v>178</v>
      </c>
    </row>
    <row r="4549" spans="1:7">
      <c r="A4549">
        <v>2023</v>
      </c>
      <c r="B4549" t="s">
        <v>193</v>
      </c>
      <c r="C4549">
        <v>0</v>
      </c>
      <c r="D4549" t="s">
        <v>183</v>
      </c>
      <c r="E4549" t="s">
        <v>182</v>
      </c>
      <c r="F4549" t="s">
        <v>181</v>
      </c>
      <c r="G4549" t="s">
        <v>178</v>
      </c>
    </row>
    <row r="4550" spans="1:7">
      <c r="A4550">
        <v>2024</v>
      </c>
      <c r="B4550" t="s">
        <v>193</v>
      </c>
      <c r="C4550">
        <v>0</v>
      </c>
      <c r="D4550" t="s">
        <v>183</v>
      </c>
      <c r="E4550" t="s">
        <v>182</v>
      </c>
      <c r="F4550" t="s">
        <v>181</v>
      </c>
      <c r="G4550" t="s">
        <v>178</v>
      </c>
    </row>
    <row r="4551" spans="1:7">
      <c r="A4551">
        <v>2025</v>
      </c>
      <c r="B4551" t="s">
        <v>193</v>
      </c>
      <c r="C4551">
        <v>0</v>
      </c>
      <c r="D4551" t="s">
        <v>183</v>
      </c>
      <c r="E4551" t="s">
        <v>182</v>
      </c>
      <c r="F4551" t="s">
        <v>181</v>
      </c>
      <c r="G4551" t="s">
        <v>178</v>
      </c>
    </row>
    <row r="4552" spans="1:7">
      <c r="A4552">
        <v>2026</v>
      </c>
      <c r="B4552" t="s">
        <v>193</v>
      </c>
      <c r="C4552">
        <v>0</v>
      </c>
      <c r="D4552" t="s">
        <v>183</v>
      </c>
      <c r="E4552" t="s">
        <v>182</v>
      </c>
      <c r="F4552" t="s">
        <v>181</v>
      </c>
      <c r="G4552" t="s">
        <v>178</v>
      </c>
    </row>
    <row r="4553" spans="1:7">
      <c r="A4553">
        <v>2027</v>
      </c>
      <c r="B4553" t="s">
        <v>193</v>
      </c>
      <c r="C4553">
        <v>0</v>
      </c>
      <c r="D4553" t="s">
        <v>183</v>
      </c>
      <c r="E4553" t="s">
        <v>182</v>
      </c>
      <c r="F4553" t="s">
        <v>181</v>
      </c>
      <c r="G4553" t="s">
        <v>178</v>
      </c>
    </row>
    <row r="4554" spans="1:7">
      <c r="A4554">
        <v>2028</v>
      </c>
      <c r="B4554" t="s">
        <v>193</v>
      </c>
      <c r="C4554">
        <v>0</v>
      </c>
      <c r="D4554" t="s">
        <v>183</v>
      </c>
      <c r="E4554" t="s">
        <v>182</v>
      </c>
      <c r="F4554" t="s">
        <v>181</v>
      </c>
      <c r="G4554" t="s">
        <v>178</v>
      </c>
    </row>
    <row r="4555" spans="1:7">
      <c r="A4555">
        <v>2029</v>
      </c>
      <c r="B4555" t="s">
        <v>193</v>
      </c>
      <c r="C4555">
        <v>0</v>
      </c>
      <c r="D4555" t="s">
        <v>183</v>
      </c>
      <c r="E4555" t="s">
        <v>182</v>
      </c>
      <c r="F4555" t="s">
        <v>181</v>
      </c>
      <c r="G4555" t="s">
        <v>178</v>
      </c>
    </row>
    <row r="4556" spans="1:7">
      <c r="A4556">
        <v>2030</v>
      </c>
      <c r="B4556" t="s">
        <v>193</v>
      </c>
      <c r="C4556">
        <v>0</v>
      </c>
      <c r="D4556" t="s">
        <v>183</v>
      </c>
      <c r="E4556" t="s">
        <v>182</v>
      </c>
      <c r="F4556" t="s">
        <v>181</v>
      </c>
      <c r="G4556" t="s">
        <v>178</v>
      </c>
    </row>
    <row r="4557" spans="1:7">
      <c r="A4557">
        <v>2031</v>
      </c>
      <c r="B4557" t="s">
        <v>193</v>
      </c>
      <c r="C4557">
        <v>0</v>
      </c>
      <c r="D4557" t="s">
        <v>183</v>
      </c>
      <c r="E4557" t="s">
        <v>182</v>
      </c>
      <c r="F4557" t="s">
        <v>181</v>
      </c>
      <c r="G4557" t="s">
        <v>178</v>
      </c>
    </row>
    <row r="4558" spans="1:7">
      <c r="A4558">
        <v>2032</v>
      </c>
      <c r="B4558" t="s">
        <v>193</v>
      </c>
      <c r="C4558">
        <v>0</v>
      </c>
      <c r="D4558" t="s">
        <v>183</v>
      </c>
      <c r="E4558" t="s">
        <v>182</v>
      </c>
      <c r="F4558" t="s">
        <v>181</v>
      </c>
      <c r="G4558" t="s">
        <v>178</v>
      </c>
    </row>
    <row r="4559" spans="1:7">
      <c r="A4559">
        <v>2033</v>
      </c>
      <c r="B4559" t="s">
        <v>193</v>
      </c>
      <c r="C4559">
        <v>0</v>
      </c>
      <c r="D4559" t="s">
        <v>183</v>
      </c>
      <c r="E4559" t="s">
        <v>182</v>
      </c>
      <c r="F4559" t="s">
        <v>181</v>
      </c>
      <c r="G4559" t="s">
        <v>178</v>
      </c>
    </row>
    <row r="4560" spans="1:7">
      <c r="A4560">
        <v>2034</v>
      </c>
      <c r="B4560" t="s">
        <v>193</v>
      </c>
      <c r="C4560">
        <v>0</v>
      </c>
      <c r="D4560" t="s">
        <v>183</v>
      </c>
      <c r="E4560" t="s">
        <v>182</v>
      </c>
      <c r="F4560" t="s">
        <v>181</v>
      </c>
      <c r="G4560" t="s">
        <v>178</v>
      </c>
    </row>
    <row r="4561" spans="1:7">
      <c r="A4561">
        <v>2035</v>
      </c>
      <c r="B4561" t="s">
        <v>193</v>
      </c>
      <c r="C4561">
        <v>0</v>
      </c>
      <c r="D4561" t="s">
        <v>183</v>
      </c>
      <c r="E4561" t="s">
        <v>182</v>
      </c>
      <c r="F4561" t="s">
        <v>181</v>
      </c>
      <c r="G4561" t="s">
        <v>178</v>
      </c>
    </row>
    <row r="4562" spans="1:7">
      <c r="A4562">
        <v>2020</v>
      </c>
      <c r="B4562" t="s">
        <v>194</v>
      </c>
      <c r="C4562">
        <v>14.85</v>
      </c>
      <c r="D4562" t="s">
        <v>183</v>
      </c>
      <c r="E4562" t="s">
        <v>182</v>
      </c>
      <c r="F4562" t="s">
        <v>181</v>
      </c>
      <c r="G4562" t="s">
        <v>178</v>
      </c>
    </row>
    <row r="4563" spans="1:7">
      <c r="A4563">
        <v>2021</v>
      </c>
      <c r="B4563" t="s">
        <v>194</v>
      </c>
      <c r="C4563">
        <v>0</v>
      </c>
      <c r="D4563" t="s">
        <v>183</v>
      </c>
      <c r="E4563" t="s">
        <v>182</v>
      </c>
      <c r="F4563" t="s">
        <v>181</v>
      </c>
      <c r="G4563" t="s">
        <v>178</v>
      </c>
    </row>
    <row r="4564" spans="1:7">
      <c r="A4564">
        <v>2022</v>
      </c>
      <c r="B4564" t="s">
        <v>194</v>
      </c>
      <c r="C4564">
        <v>0</v>
      </c>
      <c r="D4564" t="s">
        <v>183</v>
      </c>
      <c r="E4564" t="s">
        <v>182</v>
      </c>
      <c r="F4564" t="s">
        <v>181</v>
      </c>
      <c r="G4564" t="s">
        <v>178</v>
      </c>
    </row>
    <row r="4565" spans="1:7">
      <c r="A4565">
        <v>2023</v>
      </c>
      <c r="B4565" t="s">
        <v>194</v>
      </c>
      <c r="C4565">
        <v>0</v>
      </c>
      <c r="D4565" t="s">
        <v>183</v>
      </c>
      <c r="E4565" t="s">
        <v>182</v>
      </c>
      <c r="F4565" t="s">
        <v>181</v>
      </c>
      <c r="G4565" t="s">
        <v>178</v>
      </c>
    </row>
    <row r="4566" spans="1:7">
      <c r="A4566">
        <v>2024</v>
      </c>
      <c r="B4566" t="s">
        <v>194</v>
      </c>
      <c r="C4566">
        <v>0</v>
      </c>
      <c r="D4566" t="s">
        <v>183</v>
      </c>
      <c r="E4566" t="s">
        <v>182</v>
      </c>
      <c r="F4566" t="s">
        <v>181</v>
      </c>
      <c r="G4566" t="s">
        <v>178</v>
      </c>
    </row>
    <row r="4567" spans="1:7">
      <c r="A4567">
        <v>2025</v>
      </c>
      <c r="B4567" t="s">
        <v>194</v>
      </c>
      <c r="C4567">
        <v>0</v>
      </c>
      <c r="D4567" t="s">
        <v>183</v>
      </c>
      <c r="E4567" t="s">
        <v>182</v>
      </c>
      <c r="F4567" t="s">
        <v>181</v>
      </c>
      <c r="G4567" t="s">
        <v>178</v>
      </c>
    </row>
    <row r="4568" spans="1:7">
      <c r="A4568">
        <v>2026</v>
      </c>
      <c r="B4568" t="s">
        <v>194</v>
      </c>
      <c r="C4568">
        <v>0</v>
      </c>
      <c r="D4568" t="s">
        <v>183</v>
      </c>
      <c r="E4568" t="s">
        <v>182</v>
      </c>
      <c r="F4568" t="s">
        <v>181</v>
      </c>
      <c r="G4568" t="s">
        <v>178</v>
      </c>
    </row>
    <row r="4569" spans="1:7">
      <c r="A4569">
        <v>2027</v>
      </c>
      <c r="B4569" t="s">
        <v>194</v>
      </c>
      <c r="C4569">
        <v>0</v>
      </c>
      <c r="D4569" t="s">
        <v>183</v>
      </c>
      <c r="E4569" t="s">
        <v>182</v>
      </c>
      <c r="F4569" t="s">
        <v>181</v>
      </c>
      <c r="G4569" t="s">
        <v>178</v>
      </c>
    </row>
    <row r="4570" spans="1:7">
      <c r="A4570">
        <v>2028</v>
      </c>
      <c r="B4570" t="s">
        <v>194</v>
      </c>
      <c r="C4570">
        <v>0</v>
      </c>
      <c r="D4570" t="s">
        <v>183</v>
      </c>
      <c r="E4570" t="s">
        <v>182</v>
      </c>
      <c r="F4570" t="s">
        <v>181</v>
      </c>
      <c r="G4570" t="s">
        <v>178</v>
      </c>
    </row>
    <row r="4571" spans="1:7">
      <c r="A4571">
        <v>2029</v>
      </c>
      <c r="B4571" t="s">
        <v>194</v>
      </c>
      <c r="C4571">
        <v>0</v>
      </c>
      <c r="D4571" t="s">
        <v>183</v>
      </c>
      <c r="E4571" t="s">
        <v>182</v>
      </c>
      <c r="F4571" t="s">
        <v>181</v>
      </c>
      <c r="G4571" t="s">
        <v>178</v>
      </c>
    </row>
    <row r="4572" spans="1:7">
      <c r="A4572">
        <v>2030</v>
      </c>
      <c r="B4572" t="s">
        <v>194</v>
      </c>
      <c r="C4572">
        <v>0</v>
      </c>
      <c r="D4572" t="s">
        <v>183</v>
      </c>
      <c r="E4572" t="s">
        <v>182</v>
      </c>
      <c r="F4572" t="s">
        <v>181</v>
      </c>
      <c r="G4572" t="s">
        <v>178</v>
      </c>
    </row>
    <row r="4573" spans="1:7">
      <c r="A4573">
        <v>2031</v>
      </c>
      <c r="B4573" t="s">
        <v>194</v>
      </c>
      <c r="C4573">
        <v>0</v>
      </c>
      <c r="D4573" t="s">
        <v>183</v>
      </c>
      <c r="E4573" t="s">
        <v>182</v>
      </c>
      <c r="F4573" t="s">
        <v>181</v>
      </c>
      <c r="G4573" t="s">
        <v>178</v>
      </c>
    </row>
    <row r="4574" spans="1:7">
      <c r="A4574">
        <v>2032</v>
      </c>
      <c r="B4574" t="s">
        <v>194</v>
      </c>
      <c r="C4574">
        <v>0</v>
      </c>
      <c r="D4574" t="s">
        <v>183</v>
      </c>
      <c r="E4574" t="s">
        <v>182</v>
      </c>
      <c r="F4574" t="s">
        <v>181</v>
      </c>
      <c r="G4574" t="s">
        <v>178</v>
      </c>
    </row>
    <row r="4575" spans="1:7">
      <c r="A4575">
        <v>2033</v>
      </c>
      <c r="B4575" t="s">
        <v>194</v>
      </c>
      <c r="C4575">
        <v>0</v>
      </c>
      <c r="D4575" t="s">
        <v>183</v>
      </c>
      <c r="E4575" t="s">
        <v>182</v>
      </c>
      <c r="F4575" t="s">
        <v>181</v>
      </c>
      <c r="G4575" t="s">
        <v>178</v>
      </c>
    </row>
    <row r="4576" spans="1:7">
      <c r="A4576">
        <v>2034</v>
      </c>
      <c r="B4576" t="s">
        <v>194</v>
      </c>
      <c r="C4576">
        <v>0</v>
      </c>
      <c r="D4576" t="s">
        <v>183</v>
      </c>
      <c r="E4576" t="s">
        <v>182</v>
      </c>
      <c r="F4576" t="s">
        <v>181</v>
      </c>
      <c r="G4576" t="s">
        <v>178</v>
      </c>
    </row>
    <row r="4577" spans="1:7">
      <c r="A4577">
        <v>2035</v>
      </c>
      <c r="B4577" t="s">
        <v>194</v>
      </c>
      <c r="C4577">
        <v>0</v>
      </c>
      <c r="D4577" t="s">
        <v>183</v>
      </c>
      <c r="E4577" t="s">
        <v>182</v>
      </c>
      <c r="F4577" t="s">
        <v>181</v>
      </c>
      <c r="G4577" t="s">
        <v>178</v>
      </c>
    </row>
    <row r="4578" spans="1:7">
      <c r="A4578">
        <v>2020</v>
      </c>
      <c r="B4578" t="s">
        <v>195</v>
      </c>
      <c r="C4578">
        <v>17689.8</v>
      </c>
      <c r="D4578" t="s">
        <v>183</v>
      </c>
      <c r="E4578" t="s">
        <v>182</v>
      </c>
      <c r="F4578" t="s">
        <v>181</v>
      </c>
      <c r="G4578" t="s">
        <v>178</v>
      </c>
    </row>
    <row r="4579" spans="1:7">
      <c r="A4579">
        <v>2021</v>
      </c>
      <c r="B4579" t="s">
        <v>195</v>
      </c>
      <c r="C4579">
        <v>39890.6</v>
      </c>
      <c r="D4579" t="s">
        <v>183</v>
      </c>
      <c r="E4579" t="s">
        <v>182</v>
      </c>
      <c r="F4579" t="s">
        <v>181</v>
      </c>
      <c r="G4579" t="s">
        <v>178</v>
      </c>
    </row>
    <row r="4580" spans="1:7">
      <c r="A4580">
        <v>2022</v>
      </c>
      <c r="B4580" t="s">
        <v>195</v>
      </c>
      <c r="C4580">
        <v>39890.6</v>
      </c>
      <c r="D4580" t="s">
        <v>183</v>
      </c>
      <c r="E4580" t="s">
        <v>182</v>
      </c>
      <c r="F4580" t="s">
        <v>181</v>
      </c>
      <c r="G4580" t="s">
        <v>178</v>
      </c>
    </row>
    <row r="4581" spans="1:7">
      <c r="A4581">
        <v>2023</v>
      </c>
      <c r="B4581" t="s">
        <v>195</v>
      </c>
      <c r="C4581">
        <v>51252.1</v>
      </c>
      <c r="D4581" t="s">
        <v>183</v>
      </c>
      <c r="E4581" t="s">
        <v>182</v>
      </c>
      <c r="F4581" t="s">
        <v>181</v>
      </c>
      <c r="G4581" t="s">
        <v>178</v>
      </c>
    </row>
    <row r="4582" spans="1:7">
      <c r="A4582">
        <v>2024</v>
      </c>
      <c r="B4582" t="s">
        <v>195</v>
      </c>
      <c r="C4582">
        <v>51252.1</v>
      </c>
      <c r="D4582" t="s">
        <v>183</v>
      </c>
      <c r="E4582" t="s">
        <v>182</v>
      </c>
      <c r="F4582" t="s">
        <v>181</v>
      </c>
      <c r="G4582" t="s">
        <v>178</v>
      </c>
    </row>
    <row r="4583" spans="1:7">
      <c r="A4583">
        <v>2025</v>
      </c>
      <c r="B4583" t="s">
        <v>195</v>
      </c>
      <c r="C4583">
        <v>31522.3</v>
      </c>
      <c r="D4583" t="s">
        <v>183</v>
      </c>
      <c r="E4583" t="s">
        <v>182</v>
      </c>
      <c r="F4583" t="s">
        <v>181</v>
      </c>
      <c r="G4583" t="s">
        <v>178</v>
      </c>
    </row>
    <row r="4584" spans="1:7">
      <c r="A4584">
        <v>2026</v>
      </c>
      <c r="B4584" t="s">
        <v>195</v>
      </c>
      <c r="C4584">
        <v>31522.3</v>
      </c>
      <c r="D4584" t="s">
        <v>183</v>
      </c>
      <c r="E4584" t="s">
        <v>182</v>
      </c>
      <c r="F4584" t="s">
        <v>181</v>
      </c>
      <c r="G4584" t="s">
        <v>178</v>
      </c>
    </row>
    <row r="4585" spans="1:7">
      <c r="A4585">
        <v>2027</v>
      </c>
      <c r="B4585" t="s">
        <v>195</v>
      </c>
      <c r="C4585">
        <v>40393.800000000003</v>
      </c>
      <c r="D4585" t="s">
        <v>183</v>
      </c>
      <c r="E4585" t="s">
        <v>182</v>
      </c>
      <c r="F4585" t="s">
        <v>181</v>
      </c>
      <c r="G4585" t="s">
        <v>178</v>
      </c>
    </row>
    <row r="4586" spans="1:7">
      <c r="A4586">
        <v>2028</v>
      </c>
      <c r="B4586" t="s">
        <v>195</v>
      </c>
      <c r="C4586">
        <v>40393.800000000003</v>
      </c>
      <c r="D4586" t="s">
        <v>183</v>
      </c>
      <c r="E4586" t="s">
        <v>182</v>
      </c>
      <c r="F4586" t="s">
        <v>181</v>
      </c>
      <c r="G4586" t="s">
        <v>178</v>
      </c>
    </row>
    <row r="4587" spans="1:7">
      <c r="A4587">
        <v>2029</v>
      </c>
      <c r="B4587" t="s">
        <v>195</v>
      </c>
      <c r="C4587">
        <v>45109</v>
      </c>
      <c r="D4587" t="s">
        <v>183</v>
      </c>
      <c r="E4587" t="s">
        <v>182</v>
      </c>
      <c r="F4587" t="s">
        <v>181</v>
      </c>
      <c r="G4587" t="s">
        <v>178</v>
      </c>
    </row>
    <row r="4588" spans="1:7">
      <c r="A4588">
        <v>2030</v>
      </c>
      <c r="B4588" t="s">
        <v>195</v>
      </c>
      <c r="C4588">
        <v>45109</v>
      </c>
      <c r="D4588" t="s">
        <v>183</v>
      </c>
      <c r="E4588" t="s">
        <v>182</v>
      </c>
      <c r="F4588" t="s">
        <v>181</v>
      </c>
      <c r="G4588" t="s">
        <v>178</v>
      </c>
    </row>
    <row r="4589" spans="1:7">
      <c r="A4589">
        <v>2031</v>
      </c>
      <c r="B4589" t="s">
        <v>195</v>
      </c>
      <c r="C4589">
        <v>45530</v>
      </c>
      <c r="D4589" t="s">
        <v>183</v>
      </c>
      <c r="E4589" t="s">
        <v>182</v>
      </c>
      <c r="F4589" t="s">
        <v>181</v>
      </c>
      <c r="G4589" t="s">
        <v>178</v>
      </c>
    </row>
    <row r="4590" spans="1:7">
      <c r="A4590">
        <v>2032</v>
      </c>
      <c r="B4590" t="s">
        <v>195</v>
      </c>
      <c r="C4590">
        <v>45530</v>
      </c>
      <c r="D4590" t="s">
        <v>183</v>
      </c>
      <c r="E4590" t="s">
        <v>182</v>
      </c>
      <c r="F4590" t="s">
        <v>181</v>
      </c>
      <c r="G4590" t="s">
        <v>178</v>
      </c>
    </row>
    <row r="4591" spans="1:7">
      <c r="A4591">
        <v>2033</v>
      </c>
      <c r="B4591" t="s">
        <v>195</v>
      </c>
      <c r="C4591">
        <v>51540.9</v>
      </c>
      <c r="D4591" t="s">
        <v>183</v>
      </c>
      <c r="E4591" t="s">
        <v>182</v>
      </c>
      <c r="F4591" t="s">
        <v>181</v>
      </c>
      <c r="G4591" t="s">
        <v>178</v>
      </c>
    </row>
    <row r="4592" spans="1:7">
      <c r="A4592">
        <v>2034</v>
      </c>
      <c r="B4592" t="s">
        <v>195</v>
      </c>
      <c r="C4592">
        <v>51540.9</v>
      </c>
      <c r="D4592" t="s">
        <v>183</v>
      </c>
      <c r="E4592" t="s">
        <v>182</v>
      </c>
      <c r="F4592" t="s">
        <v>181</v>
      </c>
      <c r="G4592" t="s">
        <v>178</v>
      </c>
    </row>
    <row r="4593" spans="1:7">
      <c r="A4593">
        <v>2035</v>
      </c>
      <c r="B4593" t="s">
        <v>195</v>
      </c>
      <c r="C4593">
        <v>51540.9</v>
      </c>
      <c r="D4593" t="s">
        <v>183</v>
      </c>
      <c r="E4593" t="s">
        <v>182</v>
      </c>
      <c r="F4593" t="s">
        <v>181</v>
      </c>
      <c r="G4593" t="s">
        <v>178</v>
      </c>
    </row>
    <row r="4594" spans="1:7">
      <c r="A4594">
        <v>2020</v>
      </c>
      <c r="B4594" t="s">
        <v>196</v>
      </c>
      <c r="C4594">
        <v>10873.6</v>
      </c>
      <c r="D4594" t="s">
        <v>183</v>
      </c>
      <c r="E4594" t="s">
        <v>182</v>
      </c>
      <c r="F4594" t="s">
        <v>181</v>
      </c>
      <c r="G4594" t="s">
        <v>178</v>
      </c>
    </row>
    <row r="4595" spans="1:7">
      <c r="A4595">
        <v>2021</v>
      </c>
      <c r="B4595" t="s">
        <v>196</v>
      </c>
      <c r="C4595">
        <v>21728.5</v>
      </c>
      <c r="D4595" t="s">
        <v>183</v>
      </c>
      <c r="E4595" t="s">
        <v>182</v>
      </c>
      <c r="F4595" t="s">
        <v>181</v>
      </c>
      <c r="G4595" t="s">
        <v>178</v>
      </c>
    </row>
    <row r="4596" spans="1:7">
      <c r="A4596">
        <v>2022</v>
      </c>
      <c r="B4596" t="s">
        <v>196</v>
      </c>
      <c r="C4596">
        <v>21728.5</v>
      </c>
      <c r="D4596" t="s">
        <v>183</v>
      </c>
      <c r="E4596" t="s">
        <v>182</v>
      </c>
      <c r="F4596" t="s">
        <v>181</v>
      </c>
      <c r="G4596" t="s">
        <v>178</v>
      </c>
    </row>
    <row r="4597" spans="1:7">
      <c r="A4597">
        <v>2023</v>
      </c>
      <c r="B4597" t="s">
        <v>196</v>
      </c>
      <c r="C4597">
        <v>10034</v>
      </c>
      <c r="D4597" t="s">
        <v>183</v>
      </c>
      <c r="E4597" t="s">
        <v>182</v>
      </c>
      <c r="F4597" t="s">
        <v>181</v>
      </c>
      <c r="G4597" t="s">
        <v>178</v>
      </c>
    </row>
    <row r="4598" spans="1:7">
      <c r="A4598">
        <v>2024</v>
      </c>
      <c r="B4598" t="s">
        <v>196</v>
      </c>
      <c r="C4598">
        <v>10034</v>
      </c>
      <c r="D4598" t="s">
        <v>183</v>
      </c>
      <c r="E4598" t="s">
        <v>182</v>
      </c>
      <c r="F4598" t="s">
        <v>181</v>
      </c>
      <c r="G4598" t="s">
        <v>178</v>
      </c>
    </row>
    <row r="4599" spans="1:7">
      <c r="A4599">
        <v>2025</v>
      </c>
      <c r="B4599" t="s">
        <v>196</v>
      </c>
      <c r="C4599">
        <v>29167.8</v>
      </c>
      <c r="D4599" t="s">
        <v>183</v>
      </c>
      <c r="E4599" t="s">
        <v>182</v>
      </c>
      <c r="F4599" t="s">
        <v>181</v>
      </c>
      <c r="G4599" t="s">
        <v>178</v>
      </c>
    </row>
    <row r="4600" spans="1:7">
      <c r="A4600">
        <v>2026</v>
      </c>
      <c r="B4600" t="s">
        <v>196</v>
      </c>
      <c r="C4600">
        <v>29167.8</v>
      </c>
      <c r="D4600" t="s">
        <v>183</v>
      </c>
      <c r="E4600" t="s">
        <v>182</v>
      </c>
      <c r="F4600" t="s">
        <v>181</v>
      </c>
      <c r="G4600" t="s">
        <v>178</v>
      </c>
    </row>
    <row r="4601" spans="1:7">
      <c r="A4601">
        <v>2027</v>
      </c>
      <c r="B4601" t="s">
        <v>196</v>
      </c>
      <c r="C4601">
        <v>26929.200000000001</v>
      </c>
      <c r="D4601" t="s">
        <v>183</v>
      </c>
      <c r="E4601" t="s">
        <v>182</v>
      </c>
      <c r="F4601" t="s">
        <v>181</v>
      </c>
      <c r="G4601" t="s">
        <v>178</v>
      </c>
    </row>
    <row r="4602" spans="1:7">
      <c r="A4602">
        <v>2028</v>
      </c>
      <c r="B4602" t="s">
        <v>196</v>
      </c>
      <c r="C4602">
        <v>26929.200000000001</v>
      </c>
      <c r="D4602" t="s">
        <v>183</v>
      </c>
      <c r="E4602" t="s">
        <v>182</v>
      </c>
      <c r="F4602" t="s">
        <v>181</v>
      </c>
      <c r="G4602" t="s">
        <v>178</v>
      </c>
    </row>
    <row r="4603" spans="1:7">
      <c r="A4603">
        <v>2029</v>
      </c>
      <c r="B4603" t="s">
        <v>196</v>
      </c>
      <c r="C4603">
        <v>24065.599999999999</v>
      </c>
      <c r="D4603" t="s">
        <v>183</v>
      </c>
      <c r="E4603" t="s">
        <v>182</v>
      </c>
      <c r="F4603" t="s">
        <v>181</v>
      </c>
      <c r="G4603" t="s">
        <v>178</v>
      </c>
    </row>
    <row r="4604" spans="1:7">
      <c r="A4604">
        <v>2030</v>
      </c>
      <c r="B4604" t="s">
        <v>196</v>
      </c>
      <c r="C4604">
        <v>24065.599999999999</v>
      </c>
      <c r="D4604" t="s">
        <v>183</v>
      </c>
      <c r="E4604" t="s">
        <v>182</v>
      </c>
      <c r="F4604" t="s">
        <v>181</v>
      </c>
      <c r="G4604" t="s">
        <v>178</v>
      </c>
    </row>
    <row r="4605" spans="1:7">
      <c r="A4605">
        <v>2031</v>
      </c>
      <c r="B4605" t="s">
        <v>196</v>
      </c>
      <c r="C4605">
        <v>38797.300000000003</v>
      </c>
      <c r="D4605" t="s">
        <v>183</v>
      </c>
      <c r="E4605" t="s">
        <v>182</v>
      </c>
      <c r="F4605" t="s">
        <v>181</v>
      </c>
      <c r="G4605" t="s">
        <v>178</v>
      </c>
    </row>
    <row r="4606" spans="1:7">
      <c r="A4606">
        <v>2032</v>
      </c>
      <c r="B4606" t="s">
        <v>196</v>
      </c>
      <c r="C4606">
        <v>38797.300000000003</v>
      </c>
      <c r="D4606" t="s">
        <v>183</v>
      </c>
      <c r="E4606" t="s">
        <v>182</v>
      </c>
      <c r="F4606" t="s">
        <v>181</v>
      </c>
      <c r="G4606" t="s">
        <v>178</v>
      </c>
    </row>
    <row r="4607" spans="1:7">
      <c r="A4607">
        <v>2033</v>
      </c>
      <c r="B4607" t="s">
        <v>196</v>
      </c>
      <c r="C4607">
        <v>40039.5</v>
      </c>
      <c r="D4607" t="s">
        <v>183</v>
      </c>
      <c r="E4607" t="s">
        <v>182</v>
      </c>
      <c r="F4607" t="s">
        <v>181</v>
      </c>
      <c r="G4607" t="s">
        <v>178</v>
      </c>
    </row>
    <row r="4608" spans="1:7">
      <c r="A4608">
        <v>2034</v>
      </c>
      <c r="B4608" t="s">
        <v>196</v>
      </c>
      <c r="C4608">
        <v>40039.5</v>
      </c>
      <c r="D4608" t="s">
        <v>183</v>
      </c>
      <c r="E4608" t="s">
        <v>182</v>
      </c>
      <c r="F4608" t="s">
        <v>181</v>
      </c>
      <c r="G4608" t="s">
        <v>178</v>
      </c>
    </row>
    <row r="4609" spans="1:7">
      <c r="A4609">
        <v>2035</v>
      </c>
      <c r="B4609" t="s">
        <v>196</v>
      </c>
      <c r="C4609">
        <v>40039.5</v>
      </c>
      <c r="D4609" t="s">
        <v>183</v>
      </c>
      <c r="E4609" t="s">
        <v>182</v>
      </c>
      <c r="F4609" t="s">
        <v>181</v>
      </c>
      <c r="G4609" t="s">
        <v>178</v>
      </c>
    </row>
    <row r="4610" spans="1:7">
      <c r="A4610">
        <v>2020</v>
      </c>
      <c r="B4610" t="s">
        <v>188</v>
      </c>
      <c r="C4610">
        <v>102.45</v>
      </c>
      <c r="D4610" t="s">
        <v>183</v>
      </c>
      <c r="E4610" t="s">
        <v>182</v>
      </c>
      <c r="F4610" t="s">
        <v>181</v>
      </c>
      <c r="G4610" t="s">
        <v>179</v>
      </c>
    </row>
    <row r="4611" spans="1:7">
      <c r="A4611">
        <v>2021</v>
      </c>
      <c r="B4611" t="s">
        <v>188</v>
      </c>
      <c r="C4611">
        <v>9.5</v>
      </c>
      <c r="D4611" t="s">
        <v>183</v>
      </c>
      <c r="E4611" t="s">
        <v>182</v>
      </c>
      <c r="F4611" t="s">
        <v>181</v>
      </c>
      <c r="G4611" t="s">
        <v>179</v>
      </c>
    </row>
    <row r="4612" spans="1:7">
      <c r="A4612">
        <v>2022</v>
      </c>
      <c r="B4612" t="s">
        <v>188</v>
      </c>
      <c r="C4612">
        <v>9.5</v>
      </c>
      <c r="D4612" t="s">
        <v>183</v>
      </c>
      <c r="E4612" t="s">
        <v>182</v>
      </c>
      <c r="F4612" t="s">
        <v>181</v>
      </c>
      <c r="G4612" t="s">
        <v>179</v>
      </c>
    </row>
    <row r="4613" spans="1:7">
      <c r="A4613">
        <v>2023</v>
      </c>
      <c r="B4613" t="s">
        <v>188</v>
      </c>
      <c r="C4613">
        <v>0</v>
      </c>
      <c r="D4613" t="s">
        <v>183</v>
      </c>
      <c r="E4613" t="s">
        <v>182</v>
      </c>
      <c r="F4613" t="s">
        <v>181</v>
      </c>
      <c r="G4613" t="s">
        <v>179</v>
      </c>
    </row>
    <row r="4614" spans="1:7">
      <c r="A4614">
        <v>2024</v>
      </c>
      <c r="B4614" t="s">
        <v>188</v>
      </c>
      <c r="C4614">
        <v>0</v>
      </c>
      <c r="D4614" t="s">
        <v>183</v>
      </c>
      <c r="E4614" t="s">
        <v>182</v>
      </c>
      <c r="F4614" t="s">
        <v>181</v>
      </c>
      <c r="G4614" t="s">
        <v>179</v>
      </c>
    </row>
    <row r="4615" spans="1:7">
      <c r="A4615">
        <v>2025</v>
      </c>
      <c r="B4615" t="s">
        <v>188</v>
      </c>
      <c r="C4615">
        <v>0</v>
      </c>
      <c r="D4615" t="s">
        <v>183</v>
      </c>
      <c r="E4615" t="s">
        <v>182</v>
      </c>
      <c r="F4615" t="s">
        <v>181</v>
      </c>
      <c r="G4615" t="s">
        <v>179</v>
      </c>
    </row>
    <row r="4616" spans="1:7">
      <c r="A4616">
        <v>2026</v>
      </c>
      <c r="B4616" t="s">
        <v>188</v>
      </c>
      <c r="C4616">
        <v>0</v>
      </c>
      <c r="D4616" t="s">
        <v>183</v>
      </c>
      <c r="E4616" t="s">
        <v>182</v>
      </c>
      <c r="F4616" t="s">
        <v>181</v>
      </c>
      <c r="G4616" t="s">
        <v>179</v>
      </c>
    </row>
    <row r="4617" spans="1:7">
      <c r="A4617">
        <v>2027</v>
      </c>
      <c r="B4617" t="s">
        <v>188</v>
      </c>
      <c r="C4617">
        <v>0</v>
      </c>
      <c r="D4617" t="s">
        <v>183</v>
      </c>
      <c r="E4617" t="s">
        <v>182</v>
      </c>
      <c r="F4617" t="s">
        <v>181</v>
      </c>
      <c r="G4617" t="s">
        <v>179</v>
      </c>
    </row>
    <row r="4618" spans="1:7">
      <c r="A4618">
        <v>2028</v>
      </c>
      <c r="B4618" t="s">
        <v>188</v>
      </c>
      <c r="C4618">
        <v>0</v>
      </c>
      <c r="D4618" t="s">
        <v>183</v>
      </c>
      <c r="E4618" t="s">
        <v>182</v>
      </c>
      <c r="F4618" t="s">
        <v>181</v>
      </c>
      <c r="G4618" t="s">
        <v>179</v>
      </c>
    </row>
    <row r="4619" spans="1:7">
      <c r="A4619">
        <v>2029</v>
      </c>
      <c r="B4619" t="s">
        <v>188</v>
      </c>
      <c r="C4619">
        <v>0</v>
      </c>
      <c r="D4619" t="s">
        <v>183</v>
      </c>
      <c r="E4619" t="s">
        <v>182</v>
      </c>
      <c r="F4619" t="s">
        <v>181</v>
      </c>
      <c r="G4619" t="s">
        <v>179</v>
      </c>
    </row>
    <row r="4620" spans="1:7">
      <c r="A4620">
        <v>2030</v>
      </c>
      <c r="B4620" t="s">
        <v>188</v>
      </c>
      <c r="C4620">
        <v>0</v>
      </c>
      <c r="D4620" t="s">
        <v>183</v>
      </c>
      <c r="E4620" t="s">
        <v>182</v>
      </c>
      <c r="F4620" t="s">
        <v>181</v>
      </c>
      <c r="G4620" t="s">
        <v>179</v>
      </c>
    </row>
    <row r="4621" spans="1:7">
      <c r="A4621">
        <v>2031</v>
      </c>
      <c r="B4621" t="s">
        <v>188</v>
      </c>
      <c r="C4621">
        <v>0</v>
      </c>
      <c r="D4621" t="s">
        <v>183</v>
      </c>
      <c r="E4621" t="s">
        <v>182</v>
      </c>
      <c r="F4621" t="s">
        <v>181</v>
      </c>
      <c r="G4621" t="s">
        <v>179</v>
      </c>
    </row>
    <row r="4622" spans="1:7">
      <c r="A4622">
        <v>2032</v>
      </c>
      <c r="B4622" t="s">
        <v>188</v>
      </c>
      <c r="C4622">
        <v>0</v>
      </c>
      <c r="D4622" t="s">
        <v>183</v>
      </c>
      <c r="E4622" t="s">
        <v>182</v>
      </c>
      <c r="F4622" t="s">
        <v>181</v>
      </c>
      <c r="G4622" t="s">
        <v>179</v>
      </c>
    </row>
    <row r="4623" spans="1:7">
      <c r="A4623">
        <v>2033</v>
      </c>
      <c r="B4623" t="s">
        <v>188</v>
      </c>
      <c r="C4623">
        <v>0</v>
      </c>
      <c r="D4623" t="s">
        <v>183</v>
      </c>
      <c r="E4623" t="s">
        <v>182</v>
      </c>
      <c r="F4623" t="s">
        <v>181</v>
      </c>
      <c r="G4623" t="s">
        <v>179</v>
      </c>
    </row>
    <row r="4624" spans="1:7">
      <c r="A4624">
        <v>2034</v>
      </c>
      <c r="B4624" t="s">
        <v>188</v>
      </c>
      <c r="C4624">
        <v>0</v>
      </c>
      <c r="D4624" t="s">
        <v>183</v>
      </c>
      <c r="E4624" t="s">
        <v>182</v>
      </c>
      <c r="F4624" t="s">
        <v>181</v>
      </c>
      <c r="G4624" t="s">
        <v>179</v>
      </c>
    </row>
    <row r="4625" spans="1:7">
      <c r="A4625">
        <v>2035</v>
      </c>
      <c r="B4625" t="s">
        <v>188</v>
      </c>
      <c r="C4625">
        <v>0</v>
      </c>
      <c r="D4625" t="s">
        <v>183</v>
      </c>
      <c r="E4625" t="s">
        <v>182</v>
      </c>
      <c r="F4625" t="s">
        <v>181</v>
      </c>
      <c r="G4625" t="s">
        <v>179</v>
      </c>
    </row>
    <row r="4626" spans="1:7">
      <c r="A4626">
        <v>2020</v>
      </c>
      <c r="B4626" t="s">
        <v>189</v>
      </c>
      <c r="C4626">
        <v>0</v>
      </c>
      <c r="D4626" t="s">
        <v>183</v>
      </c>
      <c r="E4626" t="s">
        <v>182</v>
      </c>
      <c r="F4626" t="s">
        <v>181</v>
      </c>
      <c r="G4626" t="s">
        <v>179</v>
      </c>
    </row>
    <row r="4627" spans="1:7">
      <c r="A4627">
        <v>2021</v>
      </c>
      <c r="B4627" t="s">
        <v>189</v>
      </c>
      <c r="C4627">
        <v>0</v>
      </c>
      <c r="D4627" t="s">
        <v>183</v>
      </c>
      <c r="E4627" t="s">
        <v>182</v>
      </c>
      <c r="F4627" t="s">
        <v>181</v>
      </c>
      <c r="G4627" t="s">
        <v>179</v>
      </c>
    </row>
    <row r="4628" spans="1:7">
      <c r="A4628">
        <v>2022</v>
      </c>
      <c r="B4628" t="s">
        <v>189</v>
      </c>
      <c r="C4628">
        <v>0</v>
      </c>
      <c r="D4628" t="s">
        <v>183</v>
      </c>
      <c r="E4628" t="s">
        <v>182</v>
      </c>
      <c r="F4628" t="s">
        <v>181</v>
      </c>
      <c r="G4628" t="s">
        <v>179</v>
      </c>
    </row>
    <row r="4629" spans="1:7">
      <c r="A4629">
        <v>2023</v>
      </c>
      <c r="B4629" t="s">
        <v>189</v>
      </c>
      <c r="C4629">
        <v>0</v>
      </c>
      <c r="D4629" t="s">
        <v>183</v>
      </c>
      <c r="E4629" t="s">
        <v>182</v>
      </c>
      <c r="F4629" t="s">
        <v>181</v>
      </c>
      <c r="G4629" t="s">
        <v>179</v>
      </c>
    </row>
    <row r="4630" spans="1:7">
      <c r="A4630">
        <v>2024</v>
      </c>
      <c r="B4630" t="s">
        <v>189</v>
      </c>
      <c r="C4630">
        <v>0</v>
      </c>
      <c r="D4630" t="s">
        <v>183</v>
      </c>
      <c r="E4630" t="s">
        <v>182</v>
      </c>
      <c r="F4630" t="s">
        <v>181</v>
      </c>
      <c r="G4630" t="s">
        <v>179</v>
      </c>
    </row>
    <row r="4631" spans="1:7">
      <c r="A4631">
        <v>2025</v>
      </c>
      <c r="B4631" t="s">
        <v>189</v>
      </c>
      <c r="C4631">
        <v>0</v>
      </c>
      <c r="D4631" t="s">
        <v>183</v>
      </c>
      <c r="E4631" t="s">
        <v>182</v>
      </c>
      <c r="F4631" t="s">
        <v>181</v>
      </c>
      <c r="G4631" t="s">
        <v>179</v>
      </c>
    </row>
    <row r="4632" spans="1:7">
      <c r="A4632">
        <v>2026</v>
      </c>
      <c r="B4632" t="s">
        <v>189</v>
      </c>
      <c r="C4632">
        <v>0</v>
      </c>
      <c r="D4632" t="s">
        <v>183</v>
      </c>
      <c r="E4632" t="s">
        <v>182</v>
      </c>
      <c r="F4632" t="s">
        <v>181</v>
      </c>
      <c r="G4632" t="s">
        <v>179</v>
      </c>
    </row>
    <row r="4633" spans="1:7">
      <c r="A4633">
        <v>2027</v>
      </c>
      <c r="B4633" t="s">
        <v>189</v>
      </c>
      <c r="C4633">
        <v>0</v>
      </c>
      <c r="D4633" t="s">
        <v>183</v>
      </c>
      <c r="E4633" t="s">
        <v>182</v>
      </c>
      <c r="F4633" t="s">
        <v>181</v>
      </c>
      <c r="G4633" t="s">
        <v>179</v>
      </c>
    </row>
    <row r="4634" spans="1:7">
      <c r="A4634">
        <v>2028</v>
      </c>
      <c r="B4634" t="s">
        <v>189</v>
      </c>
      <c r="C4634">
        <v>0</v>
      </c>
      <c r="D4634" t="s">
        <v>183</v>
      </c>
      <c r="E4634" t="s">
        <v>182</v>
      </c>
      <c r="F4634" t="s">
        <v>181</v>
      </c>
      <c r="G4634" t="s">
        <v>179</v>
      </c>
    </row>
    <row r="4635" spans="1:7">
      <c r="A4635">
        <v>2029</v>
      </c>
      <c r="B4635" t="s">
        <v>189</v>
      </c>
      <c r="C4635">
        <v>0</v>
      </c>
      <c r="D4635" t="s">
        <v>183</v>
      </c>
      <c r="E4635" t="s">
        <v>182</v>
      </c>
      <c r="F4635" t="s">
        <v>181</v>
      </c>
      <c r="G4635" t="s">
        <v>179</v>
      </c>
    </row>
    <row r="4636" spans="1:7">
      <c r="A4636">
        <v>2030</v>
      </c>
      <c r="B4636" t="s">
        <v>189</v>
      </c>
      <c r="C4636">
        <v>0</v>
      </c>
      <c r="D4636" t="s">
        <v>183</v>
      </c>
      <c r="E4636" t="s">
        <v>182</v>
      </c>
      <c r="F4636" t="s">
        <v>181</v>
      </c>
      <c r="G4636" t="s">
        <v>179</v>
      </c>
    </row>
    <row r="4637" spans="1:7">
      <c r="A4637">
        <v>2031</v>
      </c>
      <c r="B4637" t="s">
        <v>189</v>
      </c>
      <c r="C4637">
        <v>0</v>
      </c>
      <c r="D4637" t="s">
        <v>183</v>
      </c>
      <c r="E4637" t="s">
        <v>182</v>
      </c>
      <c r="F4637" t="s">
        <v>181</v>
      </c>
      <c r="G4637" t="s">
        <v>179</v>
      </c>
    </row>
    <row r="4638" spans="1:7">
      <c r="A4638">
        <v>2032</v>
      </c>
      <c r="B4638" t="s">
        <v>189</v>
      </c>
      <c r="C4638">
        <v>0</v>
      </c>
      <c r="D4638" t="s">
        <v>183</v>
      </c>
      <c r="E4638" t="s">
        <v>182</v>
      </c>
      <c r="F4638" t="s">
        <v>181</v>
      </c>
      <c r="G4638" t="s">
        <v>179</v>
      </c>
    </row>
    <row r="4639" spans="1:7">
      <c r="A4639">
        <v>2033</v>
      </c>
      <c r="B4639" t="s">
        <v>189</v>
      </c>
      <c r="C4639">
        <v>0</v>
      </c>
      <c r="D4639" t="s">
        <v>183</v>
      </c>
      <c r="E4639" t="s">
        <v>182</v>
      </c>
      <c r="F4639" t="s">
        <v>181</v>
      </c>
      <c r="G4639" t="s">
        <v>179</v>
      </c>
    </row>
    <row r="4640" spans="1:7">
      <c r="A4640">
        <v>2034</v>
      </c>
      <c r="B4640" t="s">
        <v>189</v>
      </c>
      <c r="C4640">
        <v>0</v>
      </c>
      <c r="D4640" t="s">
        <v>183</v>
      </c>
      <c r="E4640" t="s">
        <v>182</v>
      </c>
      <c r="F4640" t="s">
        <v>181</v>
      </c>
      <c r="G4640" t="s">
        <v>179</v>
      </c>
    </row>
    <row r="4641" spans="1:7">
      <c r="A4641">
        <v>2035</v>
      </c>
      <c r="B4641" t="s">
        <v>189</v>
      </c>
      <c r="C4641">
        <v>0</v>
      </c>
      <c r="D4641" t="s">
        <v>183</v>
      </c>
      <c r="E4641" t="s">
        <v>182</v>
      </c>
      <c r="F4641" t="s">
        <v>181</v>
      </c>
      <c r="G4641" t="s">
        <v>179</v>
      </c>
    </row>
    <row r="4642" spans="1:7">
      <c r="A4642">
        <v>2020</v>
      </c>
      <c r="B4642" t="s">
        <v>190</v>
      </c>
      <c r="C4642">
        <v>11059.73</v>
      </c>
      <c r="D4642" t="s">
        <v>183</v>
      </c>
      <c r="E4642" t="s">
        <v>182</v>
      </c>
      <c r="F4642" t="s">
        <v>181</v>
      </c>
      <c r="G4642" t="s">
        <v>179</v>
      </c>
    </row>
    <row r="4643" spans="1:7">
      <c r="A4643">
        <v>2021</v>
      </c>
      <c r="B4643" t="s">
        <v>190</v>
      </c>
      <c r="C4643">
        <v>0</v>
      </c>
      <c r="D4643" t="s">
        <v>183</v>
      </c>
      <c r="E4643" t="s">
        <v>182</v>
      </c>
      <c r="F4643" t="s">
        <v>181</v>
      </c>
      <c r="G4643" t="s">
        <v>179</v>
      </c>
    </row>
    <row r="4644" spans="1:7">
      <c r="A4644">
        <v>2022</v>
      </c>
      <c r="B4644" t="s">
        <v>190</v>
      </c>
      <c r="C4644">
        <v>0</v>
      </c>
      <c r="D4644" t="s">
        <v>183</v>
      </c>
      <c r="E4644" t="s">
        <v>182</v>
      </c>
      <c r="F4644" t="s">
        <v>181</v>
      </c>
      <c r="G4644" t="s">
        <v>179</v>
      </c>
    </row>
    <row r="4645" spans="1:7">
      <c r="A4645">
        <v>2023</v>
      </c>
      <c r="B4645" t="s">
        <v>190</v>
      </c>
      <c r="C4645">
        <v>0</v>
      </c>
      <c r="D4645" t="s">
        <v>183</v>
      </c>
      <c r="E4645" t="s">
        <v>182</v>
      </c>
      <c r="F4645" t="s">
        <v>181</v>
      </c>
      <c r="G4645" t="s">
        <v>179</v>
      </c>
    </row>
    <row r="4646" spans="1:7">
      <c r="A4646">
        <v>2024</v>
      </c>
      <c r="B4646" t="s">
        <v>190</v>
      </c>
      <c r="C4646">
        <v>0</v>
      </c>
      <c r="D4646" t="s">
        <v>183</v>
      </c>
      <c r="E4646" t="s">
        <v>182</v>
      </c>
      <c r="F4646" t="s">
        <v>181</v>
      </c>
      <c r="G4646" t="s">
        <v>179</v>
      </c>
    </row>
    <row r="4647" spans="1:7">
      <c r="A4647">
        <v>2025</v>
      </c>
      <c r="B4647" t="s">
        <v>190</v>
      </c>
      <c r="C4647">
        <v>0</v>
      </c>
      <c r="D4647" t="s">
        <v>183</v>
      </c>
      <c r="E4647" t="s">
        <v>182</v>
      </c>
      <c r="F4647" t="s">
        <v>181</v>
      </c>
      <c r="G4647" t="s">
        <v>179</v>
      </c>
    </row>
    <row r="4648" spans="1:7">
      <c r="A4648">
        <v>2026</v>
      </c>
      <c r="B4648" t="s">
        <v>190</v>
      </c>
      <c r="C4648">
        <v>0</v>
      </c>
      <c r="D4648" t="s">
        <v>183</v>
      </c>
      <c r="E4648" t="s">
        <v>182</v>
      </c>
      <c r="F4648" t="s">
        <v>181</v>
      </c>
      <c r="G4648" t="s">
        <v>179</v>
      </c>
    </row>
    <row r="4649" spans="1:7">
      <c r="A4649">
        <v>2027</v>
      </c>
      <c r="B4649" t="s">
        <v>190</v>
      </c>
      <c r="C4649">
        <v>0</v>
      </c>
      <c r="D4649" t="s">
        <v>183</v>
      </c>
      <c r="E4649" t="s">
        <v>182</v>
      </c>
      <c r="F4649" t="s">
        <v>181</v>
      </c>
      <c r="G4649" t="s">
        <v>179</v>
      </c>
    </row>
    <row r="4650" spans="1:7">
      <c r="A4650">
        <v>2028</v>
      </c>
      <c r="B4650" t="s">
        <v>190</v>
      </c>
      <c r="C4650">
        <v>0</v>
      </c>
      <c r="D4650" t="s">
        <v>183</v>
      </c>
      <c r="E4650" t="s">
        <v>182</v>
      </c>
      <c r="F4650" t="s">
        <v>181</v>
      </c>
      <c r="G4650" t="s">
        <v>179</v>
      </c>
    </row>
    <row r="4651" spans="1:7">
      <c r="A4651">
        <v>2029</v>
      </c>
      <c r="B4651" t="s">
        <v>190</v>
      </c>
      <c r="C4651">
        <v>0</v>
      </c>
      <c r="D4651" t="s">
        <v>183</v>
      </c>
      <c r="E4651" t="s">
        <v>182</v>
      </c>
      <c r="F4651" t="s">
        <v>181</v>
      </c>
      <c r="G4651" t="s">
        <v>179</v>
      </c>
    </row>
    <row r="4652" spans="1:7">
      <c r="A4652">
        <v>2030</v>
      </c>
      <c r="B4652" t="s">
        <v>190</v>
      </c>
      <c r="C4652">
        <v>0</v>
      </c>
      <c r="D4652" t="s">
        <v>183</v>
      </c>
      <c r="E4652" t="s">
        <v>182</v>
      </c>
      <c r="F4652" t="s">
        <v>181</v>
      </c>
      <c r="G4652" t="s">
        <v>179</v>
      </c>
    </row>
    <row r="4653" spans="1:7">
      <c r="A4653">
        <v>2031</v>
      </c>
      <c r="B4653" t="s">
        <v>190</v>
      </c>
      <c r="C4653">
        <v>0</v>
      </c>
      <c r="D4653" t="s">
        <v>183</v>
      </c>
      <c r="E4653" t="s">
        <v>182</v>
      </c>
      <c r="F4653" t="s">
        <v>181</v>
      </c>
      <c r="G4653" t="s">
        <v>179</v>
      </c>
    </row>
    <row r="4654" spans="1:7">
      <c r="A4654">
        <v>2032</v>
      </c>
      <c r="B4654" t="s">
        <v>190</v>
      </c>
      <c r="C4654">
        <v>0</v>
      </c>
      <c r="D4654" t="s">
        <v>183</v>
      </c>
      <c r="E4654" t="s">
        <v>182</v>
      </c>
      <c r="F4654" t="s">
        <v>181</v>
      </c>
      <c r="G4654" t="s">
        <v>179</v>
      </c>
    </row>
    <row r="4655" spans="1:7">
      <c r="A4655">
        <v>2033</v>
      </c>
      <c r="B4655" t="s">
        <v>190</v>
      </c>
      <c r="C4655">
        <v>0</v>
      </c>
      <c r="D4655" t="s">
        <v>183</v>
      </c>
      <c r="E4655" t="s">
        <v>182</v>
      </c>
      <c r="F4655" t="s">
        <v>181</v>
      </c>
      <c r="G4655" t="s">
        <v>179</v>
      </c>
    </row>
    <row r="4656" spans="1:7">
      <c r="A4656">
        <v>2034</v>
      </c>
      <c r="B4656" t="s">
        <v>190</v>
      </c>
      <c r="C4656">
        <v>0</v>
      </c>
      <c r="D4656" t="s">
        <v>183</v>
      </c>
      <c r="E4656" t="s">
        <v>182</v>
      </c>
      <c r="F4656" t="s">
        <v>181</v>
      </c>
      <c r="G4656" t="s">
        <v>179</v>
      </c>
    </row>
    <row r="4657" spans="1:7">
      <c r="A4657">
        <v>2035</v>
      </c>
      <c r="B4657" t="s">
        <v>190</v>
      </c>
      <c r="C4657">
        <v>0</v>
      </c>
      <c r="D4657" t="s">
        <v>183</v>
      </c>
      <c r="E4657" t="s">
        <v>182</v>
      </c>
      <c r="F4657" t="s">
        <v>181</v>
      </c>
      <c r="G4657" t="s">
        <v>179</v>
      </c>
    </row>
    <row r="4658" spans="1:7">
      <c r="A4658">
        <v>2020</v>
      </c>
      <c r="B4658" t="s">
        <v>191</v>
      </c>
      <c r="C4658">
        <v>0</v>
      </c>
      <c r="D4658" t="s">
        <v>183</v>
      </c>
      <c r="E4658" t="s">
        <v>182</v>
      </c>
      <c r="F4658" t="s">
        <v>181</v>
      </c>
      <c r="G4658" t="s">
        <v>179</v>
      </c>
    </row>
    <row r="4659" spans="1:7">
      <c r="A4659">
        <v>2021</v>
      </c>
      <c r="B4659" t="s">
        <v>191</v>
      </c>
      <c r="C4659">
        <v>0</v>
      </c>
      <c r="D4659" t="s">
        <v>183</v>
      </c>
      <c r="E4659" t="s">
        <v>182</v>
      </c>
      <c r="F4659" t="s">
        <v>181</v>
      </c>
      <c r="G4659" t="s">
        <v>179</v>
      </c>
    </row>
    <row r="4660" spans="1:7">
      <c r="A4660">
        <v>2022</v>
      </c>
      <c r="B4660" t="s">
        <v>191</v>
      </c>
      <c r="C4660">
        <v>0</v>
      </c>
      <c r="D4660" t="s">
        <v>183</v>
      </c>
      <c r="E4660" t="s">
        <v>182</v>
      </c>
      <c r="F4660" t="s">
        <v>181</v>
      </c>
      <c r="G4660" t="s">
        <v>179</v>
      </c>
    </row>
    <row r="4661" spans="1:7">
      <c r="A4661">
        <v>2023</v>
      </c>
      <c r="B4661" t="s">
        <v>191</v>
      </c>
      <c r="C4661">
        <v>0</v>
      </c>
      <c r="D4661" t="s">
        <v>183</v>
      </c>
      <c r="E4661" t="s">
        <v>182</v>
      </c>
      <c r="F4661" t="s">
        <v>181</v>
      </c>
      <c r="G4661" t="s">
        <v>179</v>
      </c>
    </row>
    <row r="4662" spans="1:7">
      <c r="A4662">
        <v>2024</v>
      </c>
      <c r="B4662" t="s">
        <v>191</v>
      </c>
      <c r="C4662">
        <v>0</v>
      </c>
      <c r="D4662" t="s">
        <v>183</v>
      </c>
      <c r="E4662" t="s">
        <v>182</v>
      </c>
      <c r="F4662" t="s">
        <v>181</v>
      </c>
      <c r="G4662" t="s">
        <v>179</v>
      </c>
    </row>
    <row r="4663" spans="1:7">
      <c r="A4663">
        <v>2025</v>
      </c>
      <c r="B4663" t="s">
        <v>191</v>
      </c>
      <c r="C4663">
        <v>49.162100000000002</v>
      </c>
      <c r="D4663" t="s">
        <v>183</v>
      </c>
      <c r="E4663" t="s">
        <v>182</v>
      </c>
      <c r="F4663" t="s">
        <v>181</v>
      </c>
      <c r="G4663" t="s">
        <v>179</v>
      </c>
    </row>
    <row r="4664" spans="1:7">
      <c r="A4664">
        <v>2026</v>
      </c>
      <c r="B4664" t="s">
        <v>191</v>
      </c>
      <c r="C4664">
        <v>49.162100000000002</v>
      </c>
      <c r="D4664" t="s">
        <v>183</v>
      </c>
      <c r="E4664" t="s">
        <v>182</v>
      </c>
      <c r="F4664" t="s">
        <v>181</v>
      </c>
      <c r="G4664" t="s">
        <v>179</v>
      </c>
    </row>
    <row r="4665" spans="1:7">
      <c r="A4665">
        <v>2027</v>
      </c>
      <c r="B4665" t="s">
        <v>191</v>
      </c>
      <c r="C4665">
        <v>164.28</v>
      </c>
      <c r="D4665" t="s">
        <v>183</v>
      </c>
      <c r="E4665" t="s">
        <v>182</v>
      </c>
      <c r="F4665" t="s">
        <v>181</v>
      </c>
      <c r="G4665" t="s">
        <v>179</v>
      </c>
    </row>
    <row r="4666" spans="1:7">
      <c r="A4666">
        <v>2028</v>
      </c>
      <c r="B4666" t="s">
        <v>191</v>
      </c>
      <c r="C4666">
        <v>164.28</v>
      </c>
      <c r="D4666" t="s">
        <v>183</v>
      </c>
      <c r="E4666" t="s">
        <v>182</v>
      </c>
      <c r="F4666" t="s">
        <v>181</v>
      </c>
      <c r="G4666" t="s">
        <v>179</v>
      </c>
    </row>
    <row r="4667" spans="1:7">
      <c r="A4667">
        <v>2029</v>
      </c>
      <c r="B4667" t="s">
        <v>191</v>
      </c>
      <c r="C4667">
        <v>0</v>
      </c>
      <c r="D4667" t="s">
        <v>183</v>
      </c>
      <c r="E4667" t="s">
        <v>182</v>
      </c>
      <c r="F4667" t="s">
        <v>181</v>
      </c>
      <c r="G4667" t="s">
        <v>179</v>
      </c>
    </row>
    <row r="4668" spans="1:7">
      <c r="A4668">
        <v>2030</v>
      </c>
      <c r="B4668" t="s">
        <v>191</v>
      </c>
      <c r="C4668">
        <v>0</v>
      </c>
      <c r="D4668" t="s">
        <v>183</v>
      </c>
      <c r="E4668" t="s">
        <v>182</v>
      </c>
      <c r="F4668" t="s">
        <v>181</v>
      </c>
      <c r="G4668" t="s">
        <v>179</v>
      </c>
    </row>
    <row r="4669" spans="1:7">
      <c r="A4669">
        <v>2031</v>
      </c>
      <c r="B4669" t="s">
        <v>191</v>
      </c>
      <c r="C4669">
        <v>0</v>
      </c>
      <c r="D4669" t="s">
        <v>183</v>
      </c>
      <c r="E4669" t="s">
        <v>182</v>
      </c>
      <c r="F4669" t="s">
        <v>181</v>
      </c>
      <c r="G4669" t="s">
        <v>179</v>
      </c>
    </row>
    <row r="4670" spans="1:7">
      <c r="A4670">
        <v>2032</v>
      </c>
      <c r="B4670" t="s">
        <v>191</v>
      </c>
      <c r="C4670">
        <v>0</v>
      </c>
      <c r="D4670" t="s">
        <v>183</v>
      </c>
      <c r="E4670" t="s">
        <v>182</v>
      </c>
      <c r="F4670" t="s">
        <v>181</v>
      </c>
      <c r="G4670" t="s">
        <v>179</v>
      </c>
    </row>
    <row r="4671" spans="1:7">
      <c r="A4671">
        <v>2033</v>
      </c>
      <c r="B4671" t="s">
        <v>191</v>
      </c>
      <c r="C4671">
        <v>0</v>
      </c>
      <c r="D4671" t="s">
        <v>183</v>
      </c>
      <c r="E4671" t="s">
        <v>182</v>
      </c>
      <c r="F4671" t="s">
        <v>181</v>
      </c>
      <c r="G4671" t="s">
        <v>179</v>
      </c>
    </row>
    <row r="4672" spans="1:7">
      <c r="A4672">
        <v>2034</v>
      </c>
      <c r="B4672" t="s">
        <v>191</v>
      </c>
      <c r="C4672">
        <v>0</v>
      </c>
      <c r="D4672" t="s">
        <v>183</v>
      </c>
      <c r="E4672" t="s">
        <v>182</v>
      </c>
      <c r="F4672" t="s">
        <v>181</v>
      </c>
      <c r="G4672" t="s">
        <v>179</v>
      </c>
    </row>
    <row r="4673" spans="1:7">
      <c r="A4673">
        <v>2035</v>
      </c>
      <c r="B4673" t="s">
        <v>191</v>
      </c>
      <c r="C4673">
        <v>0</v>
      </c>
      <c r="D4673" t="s">
        <v>183</v>
      </c>
      <c r="E4673" t="s">
        <v>182</v>
      </c>
      <c r="F4673" t="s">
        <v>181</v>
      </c>
      <c r="G4673" t="s">
        <v>179</v>
      </c>
    </row>
    <row r="4674" spans="1:7">
      <c r="A4674">
        <v>2020</v>
      </c>
      <c r="B4674" t="s">
        <v>192</v>
      </c>
      <c r="C4674">
        <v>3699.95</v>
      </c>
      <c r="D4674" t="s">
        <v>183</v>
      </c>
      <c r="E4674" t="s">
        <v>182</v>
      </c>
      <c r="F4674" t="s">
        <v>181</v>
      </c>
      <c r="G4674" t="s">
        <v>179</v>
      </c>
    </row>
    <row r="4675" spans="1:7">
      <c r="A4675">
        <v>2021</v>
      </c>
      <c r="B4675" t="s">
        <v>192</v>
      </c>
      <c r="C4675">
        <v>0</v>
      </c>
      <c r="D4675" t="s">
        <v>183</v>
      </c>
      <c r="E4675" t="s">
        <v>182</v>
      </c>
      <c r="F4675" t="s">
        <v>181</v>
      </c>
      <c r="G4675" t="s">
        <v>179</v>
      </c>
    </row>
    <row r="4676" spans="1:7">
      <c r="A4676">
        <v>2022</v>
      </c>
      <c r="B4676" t="s">
        <v>192</v>
      </c>
      <c r="C4676">
        <v>0</v>
      </c>
      <c r="D4676" t="s">
        <v>183</v>
      </c>
      <c r="E4676" t="s">
        <v>182</v>
      </c>
      <c r="F4676" t="s">
        <v>181</v>
      </c>
      <c r="G4676" t="s">
        <v>179</v>
      </c>
    </row>
    <row r="4677" spans="1:7">
      <c r="A4677">
        <v>2023</v>
      </c>
      <c r="B4677" t="s">
        <v>192</v>
      </c>
      <c r="C4677">
        <v>49</v>
      </c>
      <c r="D4677" t="s">
        <v>183</v>
      </c>
      <c r="E4677" t="s">
        <v>182</v>
      </c>
      <c r="F4677" t="s">
        <v>181</v>
      </c>
      <c r="G4677" t="s">
        <v>179</v>
      </c>
    </row>
    <row r="4678" spans="1:7">
      <c r="A4678">
        <v>2024</v>
      </c>
      <c r="B4678" t="s">
        <v>192</v>
      </c>
      <c r="C4678">
        <v>49</v>
      </c>
      <c r="D4678" t="s">
        <v>183</v>
      </c>
      <c r="E4678" t="s">
        <v>182</v>
      </c>
      <c r="F4678" t="s">
        <v>181</v>
      </c>
      <c r="G4678" t="s">
        <v>179</v>
      </c>
    </row>
    <row r="4679" spans="1:7">
      <c r="A4679">
        <v>2025</v>
      </c>
      <c r="B4679" t="s">
        <v>192</v>
      </c>
      <c r="C4679">
        <v>29.5</v>
      </c>
      <c r="D4679" t="s">
        <v>183</v>
      </c>
      <c r="E4679" t="s">
        <v>182</v>
      </c>
      <c r="F4679" t="s">
        <v>181</v>
      </c>
      <c r="G4679" t="s">
        <v>179</v>
      </c>
    </row>
    <row r="4680" spans="1:7">
      <c r="A4680">
        <v>2026</v>
      </c>
      <c r="B4680" t="s">
        <v>192</v>
      </c>
      <c r="C4680">
        <v>29.5</v>
      </c>
      <c r="D4680" t="s">
        <v>183</v>
      </c>
      <c r="E4680" t="s">
        <v>182</v>
      </c>
      <c r="F4680" t="s">
        <v>181</v>
      </c>
      <c r="G4680" t="s">
        <v>179</v>
      </c>
    </row>
    <row r="4681" spans="1:7">
      <c r="A4681">
        <v>2027</v>
      </c>
      <c r="B4681" t="s">
        <v>192</v>
      </c>
      <c r="C4681">
        <v>17</v>
      </c>
      <c r="D4681" t="s">
        <v>183</v>
      </c>
      <c r="E4681" t="s">
        <v>182</v>
      </c>
      <c r="F4681" t="s">
        <v>181</v>
      </c>
      <c r="G4681" t="s">
        <v>179</v>
      </c>
    </row>
    <row r="4682" spans="1:7">
      <c r="A4682">
        <v>2028</v>
      </c>
      <c r="B4682" t="s">
        <v>192</v>
      </c>
      <c r="C4682">
        <v>17</v>
      </c>
      <c r="D4682" t="s">
        <v>183</v>
      </c>
      <c r="E4682" t="s">
        <v>182</v>
      </c>
      <c r="F4682" t="s">
        <v>181</v>
      </c>
      <c r="G4682" t="s">
        <v>179</v>
      </c>
    </row>
    <row r="4683" spans="1:7">
      <c r="A4683">
        <v>2029</v>
      </c>
      <c r="B4683" t="s">
        <v>192</v>
      </c>
      <c r="C4683">
        <v>5</v>
      </c>
      <c r="D4683" t="s">
        <v>183</v>
      </c>
      <c r="E4683" t="s">
        <v>182</v>
      </c>
      <c r="F4683" t="s">
        <v>181</v>
      </c>
      <c r="G4683" t="s">
        <v>179</v>
      </c>
    </row>
    <row r="4684" spans="1:7">
      <c r="A4684">
        <v>2030</v>
      </c>
      <c r="B4684" t="s">
        <v>192</v>
      </c>
      <c r="C4684">
        <v>5</v>
      </c>
      <c r="D4684" t="s">
        <v>183</v>
      </c>
      <c r="E4684" t="s">
        <v>182</v>
      </c>
      <c r="F4684" t="s">
        <v>181</v>
      </c>
      <c r="G4684" t="s">
        <v>179</v>
      </c>
    </row>
    <row r="4685" spans="1:7">
      <c r="A4685">
        <v>2031</v>
      </c>
      <c r="B4685" t="s">
        <v>192</v>
      </c>
      <c r="C4685">
        <v>32.395000000000003</v>
      </c>
      <c r="D4685" t="s">
        <v>183</v>
      </c>
      <c r="E4685" t="s">
        <v>182</v>
      </c>
      <c r="F4685" t="s">
        <v>181</v>
      </c>
      <c r="G4685" t="s">
        <v>179</v>
      </c>
    </row>
    <row r="4686" spans="1:7">
      <c r="A4686">
        <v>2032</v>
      </c>
      <c r="B4686" t="s">
        <v>192</v>
      </c>
      <c r="C4686">
        <v>32.395000000000003</v>
      </c>
      <c r="D4686" t="s">
        <v>183</v>
      </c>
      <c r="E4686" t="s">
        <v>182</v>
      </c>
      <c r="F4686" t="s">
        <v>181</v>
      </c>
      <c r="G4686" t="s">
        <v>179</v>
      </c>
    </row>
    <row r="4687" spans="1:7">
      <c r="A4687">
        <v>2033</v>
      </c>
      <c r="B4687" t="s">
        <v>192</v>
      </c>
      <c r="C4687">
        <v>17.7667</v>
      </c>
      <c r="D4687" t="s">
        <v>183</v>
      </c>
      <c r="E4687" t="s">
        <v>182</v>
      </c>
      <c r="F4687" t="s">
        <v>181</v>
      </c>
      <c r="G4687" t="s">
        <v>179</v>
      </c>
    </row>
    <row r="4688" spans="1:7">
      <c r="A4688">
        <v>2034</v>
      </c>
      <c r="B4688" t="s">
        <v>192</v>
      </c>
      <c r="C4688">
        <v>17.7667</v>
      </c>
      <c r="D4688" t="s">
        <v>183</v>
      </c>
      <c r="E4688" t="s">
        <v>182</v>
      </c>
      <c r="F4688" t="s">
        <v>181</v>
      </c>
      <c r="G4688" t="s">
        <v>179</v>
      </c>
    </row>
    <row r="4689" spans="1:7">
      <c r="A4689">
        <v>2035</v>
      </c>
      <c r="B4689" t="s">
        <v>192</v>
      </c>
      <c r="C4689">
        <v>17.7667</v>
      </c>
      <c r="D4689" t="s">
        <v>183</v>
      </c>
      <c r="E4689" t="s">
        <v>182</v>
      </c>
      <c r="F4689" t="s">
        <v>181</v>
      </c>
      <c r="G4689" t="s">
        <v>179</v>
      </c>
    </row>
    <row r="4690" spans="1:7">
      <c r="A4690">
        <v>2020</v>
      </c>
      <c r="B4690" t="s">
        <v>193</v>
      </c>
      <c r="C4690">
        <v>232.5</v>
      </c>
      <c r="D4690" t="s">
        <v>183</v>
      </c>
      <c r="E4690" t="s">
        <v>182</v>
      </c>
      <c r="F4690" t="s">
        <v>181</v>
      </c>
      <c r="G4690" t="s">
        <v>179</v>
      </c>
    </row>
    <row r="4691" spans="1:7">
      <c r="A4691">
        <v>2021</v>
      </c>
      <c r="B4691" t="s">
        <v>193</v>
      </c>
      <c r="C4691">
        <v>1100</v>
      </c>
      <c r="D4691" t="s">
        <v>183</v>
      </c>
      <c r="E4691" t="s">
        <v>182</v>
      </c>
      <c r="F4691" t="s">
        <v>181</v>
      </c>
      <c r="G4691" t="s">
        <v>179</v>
      </c>
    </row>
    <row r="4692" spans="1:7">
      <c r="A4692">
        <v>2022</v>
      </c>
      <c r="B4692" t="s">
        <v>193</v>
      </c>
      <c r="C4692">
        <v>1100</v>
      </c>
      <c r="D4692" t="s">
        <v>183</v>
      </c>
      <c r="E4692" t="s">
        <v>182</v>
      </c>
      <c r="F4692" t="s">
        <v>181</v>
      </c>
      <c r="G4692" t="s">
        <v>179</v>
      </c>
    </row>
    <row r="4693" spans="1:7">
      <c r="A4693">
        <v>2023</v>
      </c>
      <c r="B4693" t="s">
        <v>193</v>
      </c>
      <c r="C4693">
        <v>0</v>
      </c>
      <c r="D4693" t="s">
        <v>183</v>
      </c>
      <c r="E4693" t="s">
        <v>182</v>
      </c>
      <c r="F4693" t="s">
        <v>181</v>
      </c>
      <c r="G4693" t="s">
        <v>179</v>
      </c>
    </row>
    <row r="4694" spans="1:7">
      <c r="A4694">
        <v>2024</v>
      </c>
      <c r="B4694" t="s">
        <v>193</v>
      </c>
      <c r="C4694">
        <v>0</v>
      </c>
      <c r="D4694" t="s">
        <v>183</v>
      </c>
      <c r="E4694" t="s">
        <v>182</v>
      </c>
      <c r="F4694" t="s">
        <v>181</v>
      </c>
      <c r="G4694" t="s">
        <v>179</v>
      </c>
    </row>
    <row r="4695" spans="1:7">
      <c r="A4695">
        <v>2025</v>
      </c>
      <c r="B4695" t="s">
        <v>193</v>
      </c>
      <c r="C4695">
        <v>0</v>
      </c>
      <c r="D4695" t="s">
        <v>183</v>
      </c>
      <c r="E4695" t="s">
        <v>182</v>
      </c>
      <c r="F4695" t="s">
        <v>181</v>
      </c>
      <c r="G4695" t="s">
        <v>179</v>
      </c>
    </row>
    <row r="4696" spans="1:7">
      <c r="A4696">
        <v>2026</v>
      </c>
      <c r="B4696" t="s">
        <v>193</v>
      </c>
      <c r="C4696">
        <v>0</v>
      </c>
      <c r="D4696" t="s">
        <v>183</v>
      </c>
      <c r="E4696" t="s">
        <v>182</v>
      </c>
      <c r="F4696" t="s">
        <v>181</v>
      </c>
      <c r="G4696" t="s">
        <v>179</v>
      </c>
    </row>
    <row r="4697" spans="1:7">
      <c r="A4697">
        <v>2027</v>
      </c>
      <c r="B4697" t="s">
        <v>193</v>
      </c>
      <c r="C4697">
        <v>0</v>
      </c>
      <c r="D4697" t="s">
        <v>183</v>
      </c>
      <c r="E4697" t="s">
        <v>182</v>
      </c>
      <c r="F4697" t="s">
        <v>181</v>
      </c>
      <c r="G4697" t="s">
        <v>179</v>
      </c>
    </row>
    <row r="4698" spans="1:7">
      <c r="A4698">
        <v>2028</v>
      </c>
      <c r="B4698" t="s">
        <v>193</v>
      </c>
      <c r="C4698">
        <v>0</v>
      </c>
      <c r="D4698" t="s">
        <v>183</v>
      </c>
      <c r="E4698" t="s">
        <v>182</v>
      </c>
      <c r="F4698" t="s">
        <v>181</v>
      </c>
      <c r="G4698" t="s">
        <v>179</v>
      </c>
    </row>
    <row r="4699" spans="1:7">
      <c r="A4699">
        <v>2029</v>
      </c>
      <c r="B4699" t="s">
        <v>193</v>
      </c>
      <c r="C4699">
        <v>0</v>
      </c>
      <c r="D4699" t="s">
        <v>183</v>
      </c>
      <c r="E4699" t="s">
        <v>182</v>
      </c>
      <c r="F4699" t="s">
        <v>181</v>
      </c>
      <c r="G4699" t="s">
        <v>179</v>
      </c>
    </row>
    <row r="4700" spans="1:7">
      <c r="A4700">
        <v>2030</v>
      </c>
      <c r="B4700" t="s">
        <v>193</v>
      </c>
      <c r="C4700">
        <v>0</v>
      </c>
      <c r="D4700" t="s">
        <v>183</v>
      </c>
      <c r="E4700" t="s">
        <v>182</v>
      </c>
      <c r="F4700" t="s">
        <v>181</v>
      </c>
      <c r="G4700" t="s">
        <v>179</v>
      </c>
    </row>
    <row r="4701" spans="1:7">
      <c r="A4701">
        <v>2031</v>
      </c>
      <c r="B4701" t="s">
        <v>193</v>
      </c>
      <c r="C4701">
        <v>0</v>
      </c>
      <c r="D4701" t="s">
        <v>183</v>
      </c>
      <c r="E4701" t="s">
        <v>182</v>
      </c>
      <c r="F4701" t="s">
        <v>181</v>
      </c>
      <c r="G4701" t="s">
        <v>179</v>
      </c>
    </row>
    <row r="4702" spans="1:7">
      <c r="A4702">
        <v>2032</v>
      </c>
      <c r="B4702" t="s">
        <v>193</v>
      </c>
      <c r="C4702">
        <v>0</v>
      </c>
      <c r="D4702" t="s">
        <v>183</v>
      </c>
      <c r="E4702" t="s">
        <v>182</v>
      </c>
      <c r="F4702" t="s">
        <v>181</v>
      </c>
      <c r="G4702" t="s">
        <v>179</v>
      </c>
    </row>
    <row r="4703" spans="1:7">
      <c r="A4703">
        <v>2033</v>
      </c>
      <c r="B4703" t="s">
        <v>193</v>
      </c>
      <c r="C4703">
        <v>0</v>
      </c>
      <c r="D4703" t="s">
        <v>183</v>
      </c>
      <c r="E4703" t="s">
        <v>182</v>
      </c>
      <c r="F4703" t="s">
        <v>181</v>
      </c>
      <c r="G4703" t="s">
        <v>179</v>
      </c>
    </row>
    <row r="4704" spans="1:7">
      <c r="A4704">
        <v>2034</v>
      </c>
      <c r="B4704" t="s">
        <v>193</v>
      </c>
      <c r="C4704">
        <v>0</v>
      </c>
      <c r="D4704" t="s">
        <v>183</v>
      </c>
      <c r="E4704" t="s">
        <v>182</v>
      </c>
      <c r="F4704" t="s">
        <v>181</v>
      </c>
      <c r="G4704" t="s">
        <v>179</v>
      </c>
    </row>
    <row r="4705" spans="1:7">
      <c r="A4705">
        <v>2035</v>
      </c>
      <c r="B4705" t="s">
        <v>193</v>
      </c>
      <c r="C4705">
        <v>0</v>
      </c>
      <c r="D4705" t="s">
        <v>183</v>
      </c>
      <c r="E4705" t="s">
        <v>182</v>
      </c>
      <c r="F4705" t="s">
        <v>181</v>
      </c>
      <c r="G4705" t="s">
        <v>179</v>
      </c>
    </row>
    <row r="4706" spans="1:7">
      <c r="A4706">
        <v>2020</v>
      </c>
      <c r="B4706" t="s">
        <v>194</v>
      </c>
      <c r="C4706">
        <v>14.85</v>
      </c>
      <c r="D4706" t="s">
        <v>183</v>
      </c>
      <c r="E4706" t="s">
        <v>182</v>
      </c>
      <c r="F4706" t="s">
        <v>181</v>
      </c>
      <c r="G4706" t="s">
        <v>179</v>
      </c>
    </row>
    <row r="4707" spans="1:7">
      <c r="A4707">
        <v>2021</v>
      </c>
      <c r="B4707" t="s">
        <v>194</v>
      </c>
      <c r="C4707">
        <v>0</v>
      </c>
      <c r="D4707" t="s">
        <v>183</v>
      </c>
      <c r="E4707" t="s">
        <v>182</v>
      </c>
      <c r="F4707" t="s">
        <v>181</v>
      </c>
      <c r="G4707" t="s">
        <v>179</v>
      </c>
    </row>
    <row r="4708" spans="1:7">
      <c r="A4708">
        <v>2022</v>
      </c>
      <c r="B4708" t="s">
        <v>194</v>
      </c>
      <c r="C4708">
        <v>0</v>
      </c>
      <c r="D4708" t="s">
        <v>183</v>
      </c>
      <c r="E4708" t="s">
        <v>182</v>
      </c>
      <c r="F4708" t="s">
        <v>181</v>
      </c>
      <c r="G4708" t="s">
        <v>179</v>
      </c>
    </row>
    <row r="4709" spans="1:7">
      <c r="A4709">
        <v>2023</v>
      </c>
      <c r="B4709" t="s">
        <v>194</v>
      </c>
      <c r="C4709">
        <v>0</v>
      </c>
      <c r="D4709" t="s">
        <v>183</v>
      </c>
      <c r="E4709" t="s">
        <v>182</v>
      </c>
      <c r="F4709" t="s">
        <v>181</v>
      </c>
      <c r="G4709" t="s">
        <v>179</v>
      </c>
    </row>
    <row r="4710" spans="1:7">
      <c r="A4710">
        <v>2024</v>
      </c>
      <c r="B4710" t="s">
        <v>194</v>
      </c>
      <c r="C4710">
        <v>0</v>
      </c>
      <c r="D4710" t="s">
        <v>183</v>
      </c>
      <c r="E4710" t="s">
        <v>182</v>
      </c>
      <c r="F4710" t="s">
        <v>181</v>
      </c>
      <c r="G4710" t="s">
        <v>179</v>
      </c>
    </row>
    <row r="4711" spans="1:7">
      <c r="A4711">
        <v>2025</v>
      </c>
      <c r="B4711" t="s">
        <v>194</v>
      </c>
      <c r="C4711">
        <v>0</v>
      </c>
      <c r="D4711" t="s">
        <v>183</v>
      </c>
      <c r="E4711" t="s">
        <v>182</v>
      </c>
      <c r="F4711" t="s">
        <v>181</v>
      </c>
      <c r="G4711" t="s">
        <v>179</v>
      </c>
    </row>
    <row r="4712" spans="1:7">
      <c r="A4712">
        <v>2026</v>
      </c>
      <c r="B4712" t="s">
        <v>194</v>
      </c>
      <c r="C4712">
        <v>0</v>
      </c>
      <c r="D4712" t="s">
        <v>183</v>
      </c>
      <c r="E4712" t="s">
        <v>182</v>
      </c>
      <c r="F4712" t="s">
        <v>181</v>
      </c>
      <c r="G4712" t="s">
        <v>179</v>
      </c>
    </row>
    <row r="4713" spans="1:7">
      <c r="A4713">
        <v>2027</v>
      </c>
      <c r="B4713" t="s">
        <v>194</v>
      </c>
      <c r="C4713">
        <v>0</v>
      </c>
      <c r="D4713" t="s">
        <v>183</v>
      </c>
      <c r="E4713" t="s">
        <v>182</v>
      </c>
      <c r="F4713" t="s">
        <v>181</v>
      </c>
      <c r="G4713" t="s">
        <v>179</v>
      </c>
    </row>
    <row r="4714" spans="1:7">
      <c r="A4714">
        <v>2028</v>
      </c>
      <c r="B4714" t="s">
        <v>194</v>
      </c>
      <c r="C4714">
        <v>0</v>
      </c>
      <c r="D4714" t="s">
        <v>183</v>
      </c>
      <c r="E4714" t="s">
        <v>182</v>
      </c>
      <c r="F4714" t="s">
        <v>181</v>
      </c>
      <c r="G4714" t="s">
        <v>179</v>
      </c>
    </row>
    <row r="4715" spans="1:7">
      <c r="A4715">
        <v>2029</v>
      </c>
      <c r="B4715" t="s">
        <v>194</v>
      </c>
      <c r="C4715">
        <v>0</v>
      </c>
      <c r="D4715" t="s">
        <v>183</v>
      </c>
      <c r="E4715" t="s">
        <v>182</v>
      </c>
      <c r="F4715" t="s">
        <v>181</v>
      </c>
      <c r="G4715" t="s">
        <v>179</v>
      </c>
    </row>
    <row r="4716" spans="1:7">
      <c r="A4716">
        <v>2030</v>
      </c>
      <c r="B4716" t="s">
        <v>194</v>
      </c>
      <c r="C4716">
        <v>0</v>
      </c>
      <c r="D4716" t="s">
        <v>183</v>
      </c>
      <c r="E4716" t="s">
        <v>182</v>
      </c>
      <c r="F4716" t="s">
        <v>181</v>
      </c>
      <c r="G4716" t="s">
        <v>179</v>
      </c>
    </row>
    <row r="4717" spans="1:7">
      <c r="A4717">
        <v>2031</v>
      </c>
      <c r="B4717" t="s">
        <v>194</v>
      </c>
      <c r="C4717">
        <v>0</v>
      </c>
      <c r="D4717" t="s">
        <v>183</v>
      </c>
      <c r="E4717" t="s">
        <v>182</v>
      </c>
      <c r="F4717" t="s">
        <v>181</v>
      </c>
      <c r="G4717" t="s">
        <v>179</v>
      </c>
    </row>
    <row r="4718" spans="1:7">
      <c r="A4718">
        <v>2032</v>
      </c>
      <c r="B4718" t="s">
        <v>194</v>
      </c>
      <c r="C4718">
        <v>0</v>
      </c>
      <c r="D4718" t="s">
        <v>183</v>
      </c>
      <c r="E4718" t="s">
        <v>182</v>
      </c>
      <c r="F4718" t="s">
        <v>181</v>
      </c>
      <c r="G4718" t="s">
        <v>179</v>
      </c>
    </row>
    <row r="4719" spans="1:7">
      <c r="A4719">
        <v>2033</v>
      </c>
      <c r="B4719" t="s">
        <v>194</v>
      </c>
      <c r="C4719">
        <v>0</v>
      </c>
      <c r="D4719" t="s">
        <v>183</v>
      </c>
      <c r="E4719" t="s">
        <v>182</v>
      </c>
      <c r="F4719" t="s">
        <v>181</v>
      </c>
      <c r="G4719" t="s">
        <v>179</v>
      </c>
    </row>
    <row r="4720" spans="1:7">
      <c r="A4720">
        <v>2034</v>
      </c>
      <c r="B4720" t="s">
        <v>194</v>
      </c>
      <c r="C4720">
        <v>0</v>
      </c>
      <c r="D4720" t="s">
        <v>183</v>
      </c>
      <c r="E4720" t="s">
        <v>182</v>
      </c>
      <c r="F4720" t="s">
        <v>181</v>
      </c>
      <c r="G4720" t="s">
        <v>179</v>
      </c>
    </row>
    <row r="4721" spans="1:7">
      <c r="A4721">
        <v>2035</v>
      </c>
      <c r="B4721" t="s">
        <v>194</v>
      </c>
      <c r="C4721">
        <v>0</v>
      </c>
      <c r="D4721" t="s">
        <v>183</v>
      </c>
      <c r="E4721" t="s">
        <v>182</v>
      </c>
      <c r="F4721" t="s">
        <v>181</v>
      </c>
      <c r="G4721" t="s">
        <v>179</v>
      </c>
    </row>
    <row r="4722" spans="1:7">
      <c r="A4722">
        <v>2020</v>
      </c>
      <c r="B4722" t="s">
        <v>195</v>
      </c>
      <c r="C4722">
        <v>12944.7</v>
      </c>
      <c r="D4722" t="s">
        <v>183</v>
      </c>
      <c r="E4722" t="s">
        <v>182</v>
      </c>
      <c r="F4722" t="s">
        <v>181</v>
      </c>
      <c r="G4722" t="s">
        <v>179</v>
      </c>
    </row>
    <row r="4723" spans="1:7">
      <c r="A4723">
        <v>2021</v>
      </c>
      <c r="B4723" t="s">
        <v>195</v>
      </c>
      <c r="C4723">
        <v>33484.699999999997</v>
      </c>
      <c r="D4723" t="s">
        <v>183</v>
      </c>
      <c r="E4723" t="s">
        <v>182</v>
      </c>
      <c r="F4723" t="s">
        <v>181</v>
      </c>
      <c r="G4723" t="s">
        <v>179</v>
      </c>
    </row>
    <row r="4724" spans="1:7">
      <c r="A4724">
        <v>2022</v>
      </c>
      <c r="B4724" t="s">
        <v>195</v>
      </c>
      <c r="C4724">
        <v>33484.699999999997</v>
      </c>
      <c r="D4724" t="s">
        <v>183</v>
      </c>
      <c r="E4724" t="s">
        <v>182</v>
      </c>
      <c r="F4724" t="s">
        <v>181</v>
      </c>
      <c r="G4724" t="s">
        <v>179</v>
      </c>
    </row>
    <row r="4725" spans="1:7">
      <c r="A4725">
        <v>2023</v>
      </c>
      <c r="B4725" t="s">
        <v>195</v>
      </c>
      <c r="C4725">
        <v>30065.4</v>
      </c>
      <c r="D4725" t="s">
        <v>183</v>
      </c>
      <c r="E4725" t="s">
        <v>182</v>
      </c>
      <c r="F4725" t="s">
        <v>181</v>
      </c>
      <c r="G4725" t="s">
        <v>179</v>
      </c>
    </row>
    <row r="4726" spans="1:7">
      <c r="A4726">
        <v>2024</v>
      </c>
      <c r="B4726" t="s">
        <v>195</v>
      </c>
      <c r="C4726">
        <v>30065.4</v>
      </c>
      <c r="D4726" t="s">
        <v>183</v>
      </c>
      <c r="E4726" t="s">
        <v>182</v>
      </c>
      <c r="F4726" t="s">
        <v>181</v>
      </c>
      <c r="G4726" t="s">
        <v>179</v>
      </c>
    </row>
    <row r="4727" spans="1:7">
      <c r="A4727">
        <v>2025</v>
      </c>
      <c r="B4727" t="s">
        <v>195</v>
      </c>
      <c r="C4727">
        <v>17789.3</v>
      </c>
      <c r="D4727" t="s">
        <v>183</v>
      </c>
      <c r="E4727" t="s">
        <v>182</v>
      </c>
      <c r="F4727" t="s">
        <v>181</v>
      </c>
      <c r="G4727" t="s">
        <v>179</v>
      </c>
    </row>
    <row r="4728" spans="1:7">
      <c r="A4728">
        <v>2026</v>
      </c>
      <c r="B4728" t="s">
        <v>195</v>
      </c>
      <c r="C4728">
        <v>17789.3</v>
      </c>
      <c r="D4728" t="s">
        <v>183</v>
      </c>
      <c r="E4728" t="s">
        <v>182</v>
      </c>
      <c r="F4728" t="s">
        <v>181</v>
      </c>
      <c r="G4728" t="s">
        <v>179</v>
      </c>
    </row>
    <row r="4729" spans="1:7">
      <c r="A4729">
        <v>2027</v>
      </c>
      <c r="B4729" t="s">
        <v>195</v>
      </c>
      <c r="C4729">
        <v>27416.5</v>
      </c>
      <c r="D4729" t="s">
        <v>183</v>
      </c>
      <c r="E4729" t="s">
        <v>182</v>
      </c>
      <c r="F4729" t="s">
        <v>181</v>
      </c>
      <c r="G4729" t="s">
        <v>179</v>
      </c>
    </row>
    <row r="4730" spans="1:7">
      <c r="A4730">
        <v>2028</v>
      </c>
      <c r="B4730" t="s">
        <v>195</v>
      </c>
      <c r="C4730">
        <v>27416.5</v>
      </c>
      <c r="D4730" t="s">
        <v>183</v>
      </c>
      <c r="E4730" t="s">
        <v>182</v>
      </c>
      <c r="F4730" t="s">
        <v>181</v>
      </c>
      <c r="G4730" t="s">
        <v>179</v>
      </c>
    </row>
    <row r="4731" spans="1:7">
      <c r="A4731">
        <v>2029</v>
      </c>
      <c r="B4731" t="s">
        <v>195</v>
      </c>
      <c r="C4731">
        <v>32305.7</v>
      </c>
      <c r="D4731" t="s">
        <v>183</v>
      </c>
      <c r="E4731" t="s">
        <v>182</v>
      </c>
      <c r="F4731" t="s">
        <v>181</v>
      </c>
      <c r="G4731" t="s">
        <v>179</v>
      </c>
    </row>
    <row r="4732" spans="1:7">
      <c r="A4732">
        <v>2030</v>
      </c>
      <c r="B4732" t="s">
        <v>195</v>
      </c>
      <c r="C4732">
        <v>32305.7</v>
      </c>
      <c r="D4732" t="s">
        <v>183</v>
      </c>
      <c r="E4732" t="s">
        <v>182</v>
      </c>
      <c r="F4732" t="s">
        <v>181</v>
      </c>
      <c r="G4732" t="s">
        <v>179</v>
      </c>
    </row>
    <row r="4733" spans="1:7">
      <c r="A4733">
        <v>2031</v>
      </c>
      <c r="B4733" t="s">
        <v>195</v>
      </c>
      <c r="C4733">
        <v>27718.5</v>
      </c>
      <c r="D4733" t="s">
        <v>183</v>
      </c>
      <c r="E4733" t="s">
        <v>182</v>
      </c>
      <c r="F4733" t="s">
        <v>181</v>
      </c>
      <c r="G4733" t="s">
        <v>179</v>
      </c>
    </row>
    <row r="4734" spans="1:7">
      <c r="A4734">
        <v>2032</v>
      </c>
      <c r="B4734" t="s">
        <v>195</v>
      </c>
      <c r="C4734">
        <v>27718.5</v>
      </c>
      <c r="D4734" t="s">
        <v>183</v>
      </c>
      <c r="E4734" t="s">
        <v>182</v>
      </c>
      <c r="F4734" t="s">
        <v>181</v>
      </c>
      <c r="G4734" t="s">
        <v>179</v>
      </c>
    </row>
    <row r="4735" spans="1:7">
      <c r="A4735">
        <v>2033</v>
      </c>
      <c r="B4735" t="s">
        <v>195</v>
      </c>
      <c r="C4735">
        <v>18492.8</v>
      </c>
      <c r="D4735" t="s">
        <v>183</v>
      </c>
      <c r="E4735" t="s">
        <v>182</v>
      </c>
      <c r="F4735" t="s">
        <v>181</v>
      </c>
      <c r="G4735" t="s">
        <v>179</v>
      </c>
    </row>
    <row r="4736" spans="1:7">
      <c r="A4736">
        <v>2034</v>
      </c>
      <c r="B4736" t="s">
        <v>195</v>
      </c>
      <c r="C4736">
        <v>18492.8</v>
      </c>
      <c r="D4736" t="s">
        <v>183</v>
      </c>
      <c r="E4736" t="s">
        <v>182</v>
      </c>
      <c r="F4736" t="s">
        <v>181</v>
      </c>
      <c r="G4736" t="s">
        <v>179</v>
      </c>
    </row>
    <row r="4737" spans="1:7">
      <c r="A4737">
        <v>2035</v>
      </c>
      <c r="B4737" t="s">
        <v>195</v>
      </c>
      <c r="C4737">
        <v>18492.8</v>
      </c>
      <c r="D4737" t="s">
        <v>183</v>
      </c>
      <c r="E4737" t="s">
        <v>182</v>
      </c>
      <c r="F4737" t="s">
        <v>181</v>
      </c>
      <c r="G4737" t="s">
        <v>179</v>
      </c>
    </row>
    <row r="4738" spans="1:7">
      <c r="A4738">
        <v>2020</v>
      </c>
      <c r="B4738" t="s">
        <v>196</v>
      </c>
      <c r="C4738">
        <v>13311.4</v>
      </c>
      <c r="D4738" t="s">
        <v>183</v>
      </c>
      <c r="E4738" t="s">
        <v>182</v>
      </c>
      <c r="F4738" t="s">
        <v>181</v>
      </c>
      <c r="G4738" t="s">
        <v>179</v>
      </c>
    </row>
    <row r="4739" spans="1:7">
      <c r="A4739">
        <v>2021</v>
      </c>
      <c r="B4739" t="s">
        <v>196</v>
      </c>
      <c r="C4739">
        <v>25538.6</v>
      </c>
      <c r="D4739" t="s">
        <v>183</v>
      </c>
      <c r="E4739" t="s">
        <v>182</v>
      </c>
      <c r="F4739" t="s">
        <v>181</v>
      </c>
      <c r="G4739" t="s">
        <v>179</v>
      </c>
    </row>
    <row r="4740" spans="1:7">
      <c r="A4740">
        <v>2022</v>
      </c>
      <c r="B4740" t="s">
        <v>196</v>
      </c>
      <c r="C4740">
        <v>25538.6</v>
      </c>
      <c r="D4740" t="s">
        <v>183</v>
      </c>
      <c r="E4740" t="s">
        <v>182</v>
      </c>
      <c r="F4740" t="s">
        <v>181</v>
      </c>
      <c r="G4740" t="s">
        <v>179</v>
      </c>
    </row>
    <row r="4741" spans="1:7">
      <c r="A4741">
        <v>2023</v>
      </c>
      <c r="B4741" t="s">
        <v>196</v>
      </c>
      <c r="C4741">
        <v>21931</v>
      </c>
      <c r="D4741" t="s">
        <v>183</v>
      </c>
      <c r="E4741" t="s">
        <v>182</v>
      </c>
      <c r="F4741" t="s">
        <v>181</v>
      </c>
      <c r="G4741" t="s">
        <v>179</v>
      </c>
    </row>
    <row r="4742" spans="1:7">
      <c r="A4742">
        <v>2024</v>
      </c>
      <c r="B4742" t="s">
        <v>196</v>
      </c>
      <c r="C4742">
        <v>21931</v>
      </c>
      <c r="D4742" t="s">
        <v>183</v>
      </c>
      <c r="E4742" t="s">
        <v>182</v>
      </c>
      <c r="F4742" t="s">
        <v>181</v>
      </c>
      <c r="G4742" t="s">
        <v>179</v>
      </c>
    </row>
    <row r="4743" spans="1:7">
      <c r="A4743">
        <v>2025</v>
      </c>
      <c r="B4743" t="s">
        <v>196</v>
      </c>
      <c r="C4743">
        <v>38256.699999999997</v>
      </c>
      <c r="D4743" t="s">
        <v>183</v>
      </c>
      <c r="E4743" t="s">
        <v>182</v>
      </c>
      <c r="F4743" t="s">
        <v>181</v>
      </c>
      <c r="G4743" t="s">
        <v>179</v>
      </c>
    </row>
    <row r="4744" spans="1:7">
      <c r="A4744">
        <v>2026</v>
      </c>
      <c r="B4744" t="s">
        <v>196</v>
      </c>
      <c r="C4744">
        <v>38256.699999999997</v>
      </c>
      <c r="D4744" t="s">
        <v>183</v>
      </c>
      <c r="E4744" t="s">
        <v>182</v>
      </c>
      <c r="F4744" t="s">
        <v>181</v>
      </c>
      <c r="G4744" t="s">
        <v>179</v>
      </c>
    </row>
    <row r="4745" spans="1:7">
      <c r="A4745">
        <v>2027</v>
      </c>
      <c r="B4745" t="s">
        <v>196</v>
      </c>
      <c r="C4745">
        <v>34818.5</v>
      </c>
      <c r="D4745" t="s">
        <v>183</v>
      </c>
      <c r="E4745" t="s">
        <v>182</v>
      </c>
      <c r="F4745" t="s">
        <v>181</v>
      </c>
      <c r="G4745" t="s">
        <v>179</v>
      </c>
    </row>
    <row r="4746" spans="1:7">
      <c r="A4746">
        <v>2028</v>
      </c>
      <c r="B4746" t="s">
        <v>196</v>
      </c>
      <c r="C4746">
        <v>34818.5</v>
      </c>
      <c r="D4746" t="s">
        <v>183</v>
      </c>
      <c r="E4746" t="s">
        <v>182</v>
      </c>
      <c r="F4746" t="s">
        <v>181</v>
      </c>
      <c r="G4746" t="s">
        <v>179</v>
      </c>
    </row>
    <row r="4747" spans="1:7">
      <c r="A4747">
        <v>2029</v>
      </c>
      <c r="B4747" t="s">
        <v>196</v>
      </c>
      <c r="C4747">
        <v>32709.9</v>
      </c>
      <c r="D4747" t="s">
        <v>183</v>
      </c>
      <c r="E4747" t="s">
        <v>182</v>
      </c>
      <c r="F4747" t="s">
        <v>181</v>
      </c>
      <c r="G4747" t="s">
        <v>179</v>
      </c>
    </row>
    <row r="4748" spans="1:7">
      <c r="A4748">
        <v>2030</v>
      </c>
      <c r="B4748" t="s">
        <v>196</v>
      </c>
      <c r="C4748">
        <v>32709.9</v>
      </c>
      <c r="D4748" t="s">
        <v>183</v>
      </c>
      <c r="E4748" t="s">
        <v>182</v>
      </c>
      <c r="F4748" t="s">
        <v>181</v>
      </c>
      <c r="G4748" t="s">
        <v>179</v>
      </c>
    </row>
    <row r="4749" spans="1:7">
      <c r="A4749">
        <v>2031</v>
      </c>
      <c r="B4749" t="s">
        <v>196</v>
      </c>
      <c r="C4749">
        <v>48953.8</v>
      </c>
      <c r="D4749" t="s">
        <v>183</v>
      </c>
      <c r="E4749" t="s">
        <v>182</v>
      </c>
      <c r="F4749" t="s">
        <v>181</v>
      </c>
      <c r="G4749" t="s">
        <v>179</v>
      </c>
    </row>
    <row r="4750" spans="1:7">
      <c r="A4750">
        <v>2032</v>
      </c>
      <c r="B4750" t="s">
        <v>196</v>
      </c>
      <c r="C4750">
        <v>48953.8</v>
      </c>
      <c r="D4750" t="s">
        <v>183</v>
      </c>
      <c r="E4750" t="s">
        <v>182</v>
      </c>
      <c r="F4750" t="s">
        <v>181</v>
      </c>
      <c r="G4750" t="s">
        <v>179</v>
      </c>
    </row>
    <row r="4751" spans="1:7">
      <c r="A4751">
        <v>2033</v>
      </c>
      <c r="B4751" t="s">
        <v>196</v>
      </c>
      <c r="C4751">
        <v>65003.8</v>
      </c>
      <c r="D4751" t="s">
        <v>183</v>
      </c>
      <c r="E4751" t="s">
        <v>182</v>
      </c>
      <c r="F4751" t="s">
        <v>181</v>
      </c>
      <c r="G4751" t="s">
        <v>179</v>
      </c>
    </row>
    <row r="4752" spans="1:7">
      <c r="A4752">
        <v>2034</v>
      </c>
      <c r="B4752" t="s">
        <v>196</v>
      </c>
      <c r="C4752">
        <v>65003.8</v>
      </c>
      <c r="D4752" t="s">
        <v>183</v>
      </c>
      <c r="E4752" t="s">
        <v>182</v>
      </c>
      <c r="F4752" t="s">
        <v>181</v>
      </c>
      <c r="G4752" t="s">
        <v>179</v>
      </c>
    </row>
    <row r="4753" spans="1:7">
      <c r="A4753">
        <v>2035</v>
      </c>
      <c r="B4753" t="s">
        <v>196</v>
      </c>
      <c r="C4753">
        <v>65003.8</v>
      </c>
      <c r="D4753" t="s">
        <v>183</v>
      </c>
      <c r="E4753" t="s">
        <v>182</v>
      </c>
      <c r="F4753" t="s">
        <v>181</v>
      </c>
      <c r="G4753" t="s">
        <v>179</v>
      </c>
    </row>
    <row r="4754" spans="1:7">
      <c r="A4754">
        <v>2020</v>
      </c>
      <c r="B4754" t="s">
        <v>188</v>
      </c>
      <c r="C4754">
        <v>102.45</v>
      </c>
      <c r="D4754" t="s">
        <v>183</v>
      </c>
      <c r="E4754" t="s">
        <v>182</v>
      </c>
      <c r="F4754" t="s">
        <v>181</v>
      </c>
      <c r="G4754" t="s">
        <v>180</v>
      </c>
    </row>
    <row r="4755" spans="1:7">
      <c r="A4755">
        <v>2021</v>
      </c>
      <c r="B4755" t="s">
        <v>188</v>
      </c>
      <c r="C4755">
        <v>9.5</v>
      </c>
      <c r="D4755" t="s">
        <v>183</v>
      </c>
      <c r="E4755" t="s">
        <v>182</v>
      </c>
      <c r="F4755" t="s">
        <v>181</v>
      </c>
      <c r="G4755" t="s">
        <v>180</v>
      </c>
    </row>
    <row r="4756" spans="1:7">
      <c r="A4756">
        <v>2022</v>
      </c>
      <c r="B4756" t="s">
        <v>188</v>
      </c>
      <c r="C4756">
        <v>9.5</v>
      </c>
      <c r="D4756" t="s">
        <v>183</v>
      </c>
      <c r="E4756" t="s">
        <v>182</v>
      </c>
      <c r="F4756" t="s">
        <v>181</v>
      </c>
      <c r="G4756" t="s">
        <v>180</v>
      </c>
    </row>
    <row r="4757" spans="1:7">
      <c r="A4757">
        <v>2023</v>
      </c>
      <c r="B4757" t="s">
        <v>188</v>
      </c>
      <c r="C4757">
        <v>0</v>
      </c>
      <c r="D4757" t="s">
        <v>183</v>
      </c>
      <c r="E4757" t="s">
        <v>182</v>
      </c>
      <c r="F4757" t="s">
        <v>181</v>
      </c>
      <c r="G4757" t="s">
        <v>180</v>
      </c>
    </row>
    <row r="4758" spans="1:7">
      <c r="A4758">
        <v>2024</v>
      </c>
      <c r="B4758" t="s">
        <v>188</v>
      </c>
      <c r="C4758">
        <v>0</v>
      </c>
      <c r="D4758" t="s">
        <v>183</v>
      </c>
      <c r="E4758" t="s">
        <v>182</v>
      </c>
      <c r="F4758" t="s">
        <v>181</v>
      </c>
      <c r="G4758" t="s">
        <v>180</v>
      </c>
    </row>
    <row r="4759" spans="1:7">
      <c r="A4759">
        <v>2025</v>
      </c>
      <c r="B4759" t="s">
        <v>188</v>
      </c>
      <c r="C4759">
        <v>0</v>
      </c>
      <c r="D4759" t="s">
        <v>183</v>
      </c>
      <c r="E4759" t="s">
        <v>182</v>
      </c>
      <c r="F4759" t="s">
        <v>181</v>
      </c>
      <c r="G4759" t="s">
        <v>180</v>
      </c>
    </row>
    <row r="4760" spans="1:7">
      <c r="A4760">
        <v>2026</v>
      </c>
      <c r="B4760" t="s">
        <v>188</v>
      </c>
      <c r="C4760">
        <v>0</v>
      </c>
      <c r="D4760" t="s">
        <v>183</v>
      </c>
      <c r="E4760" t="s">
        <v>182</v>
      </c>
      <c r="F4760" t="s">
        <v>181</v>
      </c>
      <c r="G4760" t="s">
        <v>180</v>
      </c>
    </row>
    <row r="4761" spans="1:7">
      <c r="A4761">
        <v>2027</v>
      </c>
      <c r="B4761" t="s">
        <v>188</v>
      </c>
      <c r="C4761">
        <v>0</v>
      </c>
      <c r="D4761" t="s">
        <v>183</v>
      </c>
      <c r="E4761" t="s">
        <v>182</v>
      </c>
      <c r="F4761" t="s">
        <v>181</v>
      </c>
      <c r="G4761" t="s">
        <v>180</v>
      </c>
    </row>
    <row r="4762" spans="1:7">
      <c r="A4762">
        <v>2028</v>
      </c>
      <c r="B4762" t="s">
        <v>188</v>
      </c>
      <c r="C4762">
        <v>0</v>
      </c>
      <c r="D4762" t="s">
        <v>183</v>
      </c>
      <c r="E4762" t="s">
        <v>182</v>
      </c>
      <c r="F4762" t="s">
        <v>181</v>
      </c>
      <c r="G4762" t="s">
        <v>180</v>
      </c>
    </row>
    <row r="4763" spans="1:7">
      <c r="A4763">
        <v>2029</v>
      </c>
      <c r="B4763" t="s">
        <v>188</v>
      </c>
      <c r="C4763">
        <v>0</v>
      </c>
      <c r="D4763" t="s">
        <v>183</v>
      </c>
      <c r="E4763" t="s">
        <v>182</v>
      </c>
      <c r="F4763" t="s">
        <v>181</v>
      </c>
      <c r="G4763" t="s">
        <v>180</v>
      </c>
    </row>
    <row r="4764" spans="1:7">
      <c r="A4764">
        <v>2030</v>
      </c>
      <c r="B4764" t="s">
        <v>188</v>
      </c>
      <c r="C4764">
        <v>0</v>
      </c>
      <c r="D4764" t="s">
        <v>183</v>
      </c>
      <c r="E4764" t="s">
        <v>182</v>
      </c>
      <c r="F4764" t="s">
        <v>181</v>
      </c>
      <c r="G4764" t="s">
        <v>180</v>
      </c>
    </row>
    <row r="4765" spans="1:7">
      <c r="A4765">
        <v>2031</v>
      </c>
      <c r="B4765" t="s">
        <v>188</v>
      </c>
      <c r="C4765">
        <v>0</v>
      </c>
      <c r="D4765" t="s">
        <v>183</v>
      </c>
      <c r="E4765" t="s">
        <v>182</v>
      </c>
      <c r="F4765" t="s">
        <v>181</v>
      </c>
      <c r="G4765" t="s">
        <v>180</v>
      </c>
    </row>
    <row r="4766" spans="1:7">
      <c r="A4766">
        <v>2032</v>
      </c>
      <c r="B4766" t="s">
        <v>188</v>
      </c>
      <c r="C4766">
        <v>0</v>
      </c>
      <c r="D4766" t="s">
        <v>183</v>
      </c>
      <c r="E4766" t="s">
        <v>182</v>
      </c>
      <c r="F4766" t="s">
        <v>181</v>
      </c>
      <c r="G4766" t="s">
        <v>180</v>
      </c>
    </row>
    <row r="4767" spans="1:7">
      <c r="A4767">
        <v>2033</v>
      </c>
      <c r="B4767" t="s">
        <v>188</v>
      </c>
      <c r="C4767">
        <v>0</v>
      </c>
      <c r="D4767" t="s">
        <v>183</v>
      </c>
      <c r="E4767" t="s">
        <v>182</v>
      </c>
      <c r="F4767" t="s">
        <v>181</v>
      </c>
      <c r="G4767" t="s">
        <v>180</v>
      </c>
    </row>
    <row r="4768" spans="1:7">
      <c r="A4768">
        <v>2034</v>
      </c>
      <c r="B4768" t="s">
        <v>188</v>
      </c>
      <c r="C4768">
        <v>0</v>
      </c>
      <c r="D4768" t="s">
        <v>183</v>
      </c>
      <c r="E4768" t="s">
        <v>182</v>
      </c>
      <c r="F4768" t="s">
        <v>181</v>
      </c>
      <c r="G4768" t="s">
        <v>180</v>
      </c>
    </row>
    <row r="4769" spans="1:7">
      <c r="A4769">
        <v>2035</v>
      </c>
      <c r="B4769" t="s">
        <v>188</v>
      </c>
      <c r="C4769">
        <v>0</v>
      </c>
      <c r="D4769" t="s">
        <v>183</v>
      </c>
      <c r="E4769" t="s">
        <v>182</v>
      </c>
      <c r="F4769" t="s">
        <v>181</v>
      </c>
      <c r="G4769" t="s">
        <v>180</v>
      </c>
    </row>
    <row r="4770" spans="1:7">
      <c r="A4770">
        <v>2020</v>
      </c>
      <c r="B4770" t="s">
        <v>189</v>
      </c>
      <c r="C4770">
        <v>0</v>
      </c>
      <c r="D4770" t="s">
        <v>183</v>
      </c>
      <c r="E4770" t="s">
        <v>182</v>
      </c>
      <c r="F4770" t="s">
        <v>181</v>
      </c>
      <c r="G4770" t="s">
        <v>180</v>
      </c>
    </row>
    <row r="4771" spans="1:7">
      <c r="A4771">
        <v>2021</v>
      </c>
      <c r="B4771" t="s">
        <v>189</v>
      </c>
      <c r="C4771">
        <v>0</v>
      </c>
      <c r="D4771" t="s">
        <v>183</v>
      </c>
      <c r="E4771" t="s">
        <v>182</v>
      </c>
      <c r="F4771" t="s">
        <v>181</v>
      </c>
      <c r="G4771" t="s">
        <v>180</v>
      </c>
    </row>
    <row r="4772" spans="1:7">
      <c r="A4772">
        <v>2022</v>
      </c>
      <c r="B4772" t="s">
        <v>189</v>
      </c>
      <c r="C4772">
        <v>0</v>
      </c>
      <c r="D4772" t="s">
        <v>183</v>
      </c>
      <c r="E4772" t="s">
        <v>182</v>
      </c>
      <c r="F4772" t="s">
        <v>181</v>
      </c>
      <c r="G4772" t="s">
        <v>180</v>
      </c>
    </row>
    <row r="4773" spans="1:7">
      <c r="A4773">
        <v>2023</v>
      </c>
      <c r="B4773" t="s">
        <v>189</v>
      </c>
      <c r="C4773">
        <v>0</v>
      </c>
      <c r="D4773" t="s">
        <v>183</v>
      </c>
      <c r="E4773" t="s">
        <v>182</v>
      </c>
      <c r="F4773" t="s">
        <v>181</v>
      </c>
      <c r="G4773" t="s">
        <v>180</v>
      </c>
    </row>
    <row r="4774" spans="1:7">
      <c r="A4774">
        <v>2024</v>
      </c>
      <c r="B4774" t="s">
        <v>189</v>
      </c>
      <c r="C4774">
        <v>0</v>
      </c>
      <c r="D4774" t="s">
        <v>183</v>
      </c>
      <c r="E4774" t="s">
        <v>182</v>
      </c>
      <c r="F4774" t="s">
        <v>181</v>
      </c>
      <c r="G4774" t="s">
        <v>180</v>
      </c>
    </row>
    <row r="4775" spans="1:7">
      <c r="A4775">
        <v>2025</v>
      </c>
      <c r="B4775" t="s">
        <v>189</v>
      </c>
      <c r="C4775">
        <v>0</v>
      </c>
      <c r="D4775" t="s">
        <v>183</v>
      </c>
      <c r="E4775" t="s">
        <v>182</v>
      </c>
      <c r="F4775" t="s">
        <v>181</v>
      </c>
      <c r="G4775" t="s">
        <v>180</v>
      </c>
    </row>
    <row r="4776" spans="1:7">
      <c r="A4776">
        <v>2026</v>
      </c>
      <c r="B4776" t="s">
        <v>189</v>
      </c>
      <c r="C4776">
        <v>0</v>
      </c>
      <c r="D4776" t="s">
        <v>183</v>
      </c>
      <c r="E4776" t="s">
        <v>182</v>
      </c>
      <c r="F4776" t="s">
        <v>181</v>
      </c>
      <c r="G4776" t="s">
        <v>180</v>
      </c>
    </row>
    <row r="4777" spans="1:7">
      <c r="A4777">
        <v>2027</v>
      </c>
      <c r="B4777" t="s">
        <v>189</v>
      </c>
      <c r="C4777">
        <v>0</v>
      </c>
      <c r="D4777" t="s">
        <v>183</v>
      </c>
      <c r="E4777" t="s">
        <v>182</v>
      </c>
      <c r="F4777" t="s">
        <v>181</v>
      </c>
      <c r="G4777" t="s">
        <v>180</v>
      </c>
    </row>
    <row r="4778" spans="1:7">
      <c r="A4778">
        <v>2028</v>
      </c>
      <c r="B4778" t="s">
        <v>189</v>
      </c>
      <c r="C4778">
        <v>0</v>
      </c>
      <c r="D4778" t="s">
        <v>183</v>
      </c>
      <c r="E4778" t="s">
        <v>182</v>
      </c>
      <c r="F4778" t="s">
        <v>181</v>
      </c>
      <c r="G4778" t="s">
        <v>180</v>
      </c>
    </row>
    <row r="4779" spans="1:7">
      <c r="A4779">
        <v>2029</v>
      </c>
      <c r="B4779" t="s">
        <v>189</v>
      </c>
      <c r="C4779">
        <v>0</v>
      </c>
      <c r="D4779" t="s">
        <v>183</v>
      </c>
      <c r="E4779" t="s">
        <v>182</v>
      </c>
      <c r="F4779" t="s">
        <v>181</v>
      </c>
      <c r="G4779" t="s">
        <v>180</v>
      </c>
    </row>
    <row r="4780" spans="1:7">
      <c r="A4780">
        <v>2030</v>
      </c>
      <c r="B4780" t="s">
        <v>189</v>
      </c>
      <c r="C4780">
        <v>0</v>
      </c>
      <c r="D4780" t="s">
        <v>183</v>
      </c>
      <c r="E4780" t="s">
        <v>182</v>
      </c>
      <c r="F4780" t="s">
        <v>181</v>
      </c>
      <c r="G4780" t="s">
        <v>180</v>
      </c>
    </row>
    <row r="4781" spans="1:7">
      <c r="A4781">
        <v>2031</v>
      </c>
      <c r="B4781" t="s">
        <v>189</v>
      </c>
      <c r="C4781">
        <v>0</v>
      </c>
      <c r="D4781" t="s">
        <v>183</v>
      </c>
      <c r="E4781" t="s">
        <v>182</v>
      </c>
      <c r="F4781" t="s">
        <v>181</v>
      </c>
      <c r="G4781" t="s">
        <v>180</v>
      </c>
    </row>
    <row r="4782" spans="1:7">
      <c r="A4782">
        <v>2032</v>
      </c>
      <c r="B4782" t="s">
        <v>189</v>
      </c>
      <c r="C4782">
        <v>0</v>
      </c>
      <c r="D4782" t="s">
        <v>183</v>
      </c>
      <c r="E4782" t="s">
        <v>182</v>
      </c>
      <c r="F4782" t="s">
        <v>181</v>
      </c>
      <c r="G4782" t="s">
        <v>180</v>
      </c>
    </row>
    <row r="4783" spans="1:7">
      <c r="A4783">
        <v>2033</v>
      </c>
      <c r="B4783" t="s">
        <v>189</v>
      </c>
      <c r="C4783">
        <v>0</v>
      </c>
      <c r="D4783" t="s">
        <v>183</v>
      </c>
      <c r="E4783" t="s">
        <v>182</v>
      </c>
      <c r="F4783" t="s">
        <v>181</v>
      </c>
      <c r="G4783" t="s">
        <v>180</v>
      </c>
    </row>
    <row r="4784" spans="1:7">
      <c r="A4784">
        <v>2034</v>
      </c>
      <c r="B4784" t="s">
        <v>189</v>
      </c>
      <c r="C4784">
        <v>0</v>
      </c>
      <c r="D4784" t="s">
        <v>183</v>
      </c>
      <c r="E4784" t="s">
        <v>182</v>
      </c>
      <c r="F4784" t="s">
        <v>181</v>
      </c>
      <c r="G4784" t="s">
        <v>180</v>
      </c>
    </row>
    <row r="4785" spans="1:7">
      <c r="A4785">
        <v>2035</v>
      </c>
      <c r="B4785" t="s">
        <v>189</v>
      </c>
      <c r="C4785">
        <v>0</v>
      </c>
      <c r="D4785" t="s">
        <v>183</v>
      </c>
      <c r="E4785" t="s">
        <v>182</v>
      </c>
      <c r="F4785" t="s">
        <v>181</v>
      </c>
      <c r="G4785" t="s">
        <v>180</v>
      </c>
    </row>
    <row r="4786" spans="1:7">
      <c r="A4786">
        <v>2020</v>
      </c>
      <c r="B4786" t="s">
        <v>190</v>
      </c>
      <c r="C4786">
        <v>11059.73</v>
      </c>
      <c r="D4786" t="s">
        <v>183</v>
      </c>
      <c r="E4786" t="s">
        <v>182</v>
      </c>
      <c r="F4786" t="s">
        <v>181</v>
      </c>
      <c r="G4786" t="s">
        <v>180</v>
      </c>
    </row>
    <row r="4787" spans="1:7">
      <c r="A4787">
        <v>2021</v>
      </c>
      <c r="B4787" t="s">
        <v>190</v>
      </c>
      <c r="C4787">
        <v>0</v>
      </c>
      <c r="D4787" t="s">
        <v>183</v>
      </c>
      <c r="E4787" t="s">
        <v>182</v>
      </c>
      <c r="F4787" t="s">
        <v>181</v>
      </c>
      <c r="G4787" t="s">
        <v>180</v>
      </c>
    </row>
    <row r="4788" spans="1:7">
      <c r="A4788">
        <v>2022</v>
      </c>
      <c r="B4788" t="s">
        <v>190</v>
      </c>
      <c r="C4788">
        <v>0</v>
      </c>
      <c r="D4788" t="s">
        <v>183</v>
      </c>
      <c r="E4788" t="s">
        <v>182</v>
      </c>
      <c r="F4788" t="s">
        <v>181</v>
      </c>
      <c r="G4788" t="s">
        <v>180</v>
      </c>
    </row>
    <row r="4789" spans="1:7">
      <c r="A4789">
        <v>2023</v>
      </c>
      <c r="B4789" t="s">
        <v>190</v>
      </c>
      <c r="C4789">
        <v>0</v>
      </c>
      <c r="D4789" t="s">
        <v>183</v>
      </c>
      <c r="E4789" t="s">
        <v>182</v>
      </c>
      <c r="F4789" t="s">
        <v>181</v>
      </c>
      <c r="G4789" t="s">
        <v>180</v>
      </c>
    </row>
    <row r="4790" spans="1:7">
      <c r="A4790">
        <v>2024</v>
      </c>
      <c r="B4790" t="s">
        <v>190</v>
      </c>
      <c r="C4790">
        <v>0</v>
      </c>
      <c r="D4790" t="s">
        <v>183</v>
      </c>
      <c r="E4790" t="s">
        <v>182</v>
      </c>
      <c r="F4790" t="s">
        <v>181</v>
      </c>
      <c r="G4790" t="s">
        <v>180</v>
      </c>
    </row>
    <row r="4791" spans="1:7">
      <c r="A4791">
        <v>2025</v>
      </c>
      <c r="B4791" t="s">
        <v>190</v>
      </c>
      <c r="C4791">
        <v>0</v>
      </c>
      <c r="D4791" t="s">
        <v>183</v>
      </c>
      <c r="E4791" t="s">
        <v>182</v>
      </c>
      <c r="F4791" t="s">
        <v>181</v>
      </c>
      <c r="G4791" t="s">
        <v>180</v>
      </c>
    </row>
    <row r="4792" spans="1:7">
      <c r="A4792">
        <v>2026</v>
      </c>
      <c r="B4792" t="s">
        <v>190</v>
      </c>
      <c r="C4792">
        <v>0</v>
      </c>
      <c r="D4792" t="s">
        <v>183</v>
      </c>
      <c r="E4792" t="s">
        <v>182</v>
      </c>
      <c r="F4792" t="s">
        <v>181</v>
      </c>
      <c r="G4792" t="s">
        <v>180</v>
      </c>
    </row>
    <row r="4793" spans="1:7">
      <c r="A4793">
        <v>2027</v>
      </c>
      <c r="B4793" t="s">
        <v>190</v>
      </c>
      <c r="C4793">
        <v>0</v>
      </c>
      <c r="D4793" t="s">
        <v>183</v>
      </c>
      <c r="E4793" t="s">
        <v>182</v>
      </c>
      <c r="F4793" t="s">
        <v>181</v>
      </c>
      <c r="G4793" t="s">
        <v>180</v>
      </c>
    </row>
    <row r="4794" spans="1:7">
      <c r="A4794">
        <v>2028</v>
      </c>
      <c r="B4794" t="s">
        <v>190</v>
      </c>
      <c r="C4794">
        <v>0</v>
      </c>
      <c r="D4794" t="s">
        <v>183</v>
      </c>
      <c r="E4794" t="s">
        <v>182</v>
      </c>
      <c r="F4794" t="s">
        <v>181</v>
      </c>
      <c r="G4794" t="s">
        <v>180</v>
      </c>
    </row>
    <row r="4795" spans="1:7">
      <c r="A4795">
        <v>2029</v>
      </c>
      <c r="B4795" t="s">
        <v>190</v>
      </c>
      <c r="C4795">
        <v>0</v>
      </c>
      <c r="D4795" t="s">
        <v>183</v>
      </c>
      <c r="E4795" t="s">
        <v>182</v>
      </c>
      <c r="F4795" t="s">
        <v>181</v>
      </c>
      <c r="G4795" t="s">
        <v>180</v>
      </c>
    </row>
    <row r="4796" spans="1:7">
      <c r="A4796">
        <v>2030</v>
      </c>
      <c r="B4796" t="s">
        <v>190</v>
      </c>
      <c r="C4796">
        <v>0</v>
      </c>
      <c r="D4796" t="s">
        <v>183</v>
      </c>
      <c r="E4796" t="s">
        <v>182</v>
      </c>
      <c r="F4796" t="s">
        <v>181</v>
      </c>
      <c r="G4796" t="s">
        <v>180</v>
      </c>
    </row>
    <row r="4797" spans="1:7">
      <c r="A4797">
        <v>2031</v>
      </c>
      <c r="B4797" t="s">
        <v>190</v>
      </c>
      <c r="C4797">
        <v>0</v>
      </c>
      <c r="D4797" t="s">
        <v>183</v>
      </c>
      <c r="E4797" t="s">
        <v>182</v>
      </c>
      <c r="F4797" t="s">
        <v>181</v>
      </c>
      <c r="G4797" t="s">
        <v>180</v>
      </c>
    </row>
    <row r="4798" spans="1:7">
      <c r="A4798">
        <v>2032</v>
      </c>
      <c r="B4798" t="s">
        <v>190</v>
      </c>
      <c r="C4798">
        <v>0</v>
      </c>
      <c r="D4798" t="s">
        <v>183</v>
      </c>
      <c r="E4798" t="s">
        <v>182</v>
      </c>
      <c r="F4798" t="s">
        <v>181</v>
      </c>
      <c r="G4798" t="s">
        <v>180</v>
      </c>
    </row>
    <row r="4799" spans="1:7">
      <c r="A4799">
        <v>2033</v>
      </c>
      <c r="B4799" t="s">
        <v>190</v>
      </c>
      <c r="C4799">
        <v>0</v>
      </c>
      <c r="D4799" t="s">
        <v>183</v>
      </c>
      <c r="E4799" t="s">
        <v>182</v>
      </c>
      <c r="F4799" t="s">
        <v>181</v>
      </c>
      <c r="G4799" t="s">
        <v>180</v>
      </c>
    </row>
    <row r="4800" spans="1:7">
      <c r="A4800">
        <v>2034</v>
      </c>
      <c r="B4800" t="s">
        <v>190</v>
      </c>
      <c r="C4800">
        <v>0</v>
      </c>
      <c r="D4800" t="s">
        <v>183</v>
      </c>
      <c r="E4800" t="s">
        <v>182</v>
      </c>
      <c r="F4800" t="s">
        <v>181</v>
      </c>
      <c r="G4800" t="s">
        <v>180</v>
      </c>
    </row>
    <row r="4801" spans="1:7">
      <c r="A4801">
        <v>2035</v>
      </c>
      <c r="B4801" t="s">
        <v>190</v>
      </c>
      <c r="C4801">
        <v>0</v>
      </c>
      <c r="D4801" t="s">
        <v>183</v>
      </c>
      <c r="E4801" t="s">
        <v>182</v>
      </c>
      <c r="F4801" t="s">
        <v>181</v>
      </c>
      <c r="G4801" t="s">
        <v>180</v>
      </c>
    </row>
    <row r="4802" spans="1:7">
      <c r="A4802">
        <v>2020</v>
      </c>
      <c r="B4802" t="s">
        <v>191</v>
      </c>
      <c r="C4802">
        <v>0</v>
      </c>
      <c r="D4802" t="s">
        <v>183</v>
      </c>
      <c r="E4802" t="s">
        <v>182</v>
      </c>
      <c r="F4802" t="s">
        <v>181</v>
      </c>
      <c r="G4802" t="s">
        <v>180</v>
      </c>
    </row>
    <row r="4803" spans="1:7">
      <c r="A4803">
        <v>2021</v>
      </c>
      <c r="B4803" t="s">
        <v>191</v>
      </c>
      <c r="C4803">
        <v>0</v>
      </c>
      <c r="D4803" t="s">
        <v>183</v>
      </c>
      <c r="E4803" t="s">
        <v>182</v>
      </c>
      <c r="F4803" t="s">
        <v>181</v>
      </c>
      <c r="G4803" t="s">
        <v>180</v>
      </c>
    </row>
    <row r="4804" spans="1:7">
      <c r="A4804">
        <v>2022</v>
      </c>
      <c r="B4804" t="s">
        <v>191</v>
      </c>
      <c r="C4804">
        <v>0</v>
      </c>
      <c r="D4804" t="s">
        <v>183</v>
      </c>
      <c r="E4804" t="s">
        <v>182</v>
      </c>
      <c r="F4804" t="s">
        <v>181</v>
      </c>
      <c r="G4804" t="s">
        <v>180</v>
      </c>
    </row>
    <row r="4805" spans="1:7">
      <c r="A4805">
        <v>2023</v>
      </c>
      <c r="B4805" t="s">
        <v>191</v>
      </c>
      <c r="C4805">
        <v>0</v>
      </c>
      <c r="D4805" t="s">
        <v>183</v>
      </c>
      <c r="E4805" t="s">
        <v>182</v>
      </c>
      <c r="F4805" t="s">
        <v>181</v>
      </c>
      <c r="G4805" t="s">
        <v>180</v>
      </c>
    </row>
    <row r="4806" spans="1:7">
      <c r="A4806">
        <v>2024</v>
      </c>
      <c r="B4806" t="s">
        <v>191</v>
      </c>
      <c r="C4806">
        <v>0</v>
      </c>
      <c r="D4806" t="s">
        <v>183</v>
      </c>
      <c r="E4806" t="s">
        <v>182</v>
      </c>
      <c r="F4806" t="s">
        <v>181</v>
      </c>
      <c r="G4806" t="s">
        <v>180</v>
      </c>
    </row>
    <row r="4807" spans="1:7">
      <c r="A4807">
        <v>2025</v>
      </c>
      <c r="B4807" t="s">
        <v>191</v>
      </c>
      <c r="C4807">
        <v>0</v>
      </c>
      <c r="D4807" t="s">
        <v>183</v>
      </c>
      <c r="E4807" t="s">
        <v>182</v>
      </c>
      <c r="F4807" t="s">
        <v>181</v>
      </c>
      <c r="G4807" t="s">
        <v>180</v>
      </c>
    </row>
    <row r="4808" spans="1:7">
      <c r="A4808">
        <v>2026</v>
      </c>
      <c r="B4808" t="s">
        <v>191</v>
      </c>
      <c r="C4808">
        <v>0</v>
      </c>
      <c r="D4808" t="s">
        <v>183</v>
      </c>
      <c r="E4808" t="s">
        <v>182</v>
      </c>
      <c r="F4808" t="s">
        <v>181</v>
      </c>
      <c r="G4808" t="s">
        <v>180</v>
      </c>
    </row>
    <row r="4809" spans="1:7">
      <c r="A4809">
        <v>2027</v>
      </c>
      <c r="B4809" t="s">
        <v>191</v>
      </c>
      <c r="C4809">
        <v>0</v>
      </c>
      <c r="D4809" t="s">
        <v>183</v>
      </c>
      <c r="E4809" t="s">
        <v>182</v>
      </c>
      <c r="F4809" t="s">
        <v>181</v>
      </c>
      <c r="G4809" t="s">
        <v>180</v>
      </c>
    </row>
    <row r="4810" spans="1:7">
      <c r="A4810">
        <v>2028</v>
      </c>
      <c r="B4810" t="s">
        <v>191</v>
      </c>
      <c r="C4810">
        <v>0</v>
      </c>
      <c r="D4810" t="s">
        <v>183</v>
      </c>
      <c r="E4810" t="s">
        <v>182</v>
      </c>
      <c r="F4810" t="s">
        <v>181</v>
      </c>
      <c r="G4810" t="s">
        <v>180</v>
      </c>
    </row>
    <row r="4811" spans="1:7">
      <c r="A4811">
        <v>2029</v>
      </c>
      <c r="B4811" t="s">
        <v>191</v>
      </c>
      <c r="C4811">
        <v>0</v>
      </c>
      <c r="D4811" t="s">
        <v>183</v>
      </c>
      <c r="E4811" t="s">
        <v>182</v>
      </c>
      <c r="F4811" t="s">
        <v>181</v>
      </c>
      <c r="G4811" t="s">
        <v>180</v>
      </c>
    </row>
    <row r="4812" spans="1:7">
      <c r="A4812">
        <v>2030</v>
      </c>
      <c r="B4812" t="s">
        <v>191</v>
      </c>
      <c r="C4812">
        <v>0</v>
      </c>
      <c r="D4812" t="s">
        <v>183</v>
      </c>
      <c r="E4812" t="s">
        <v>182</v>
      </c>
      <c r="F4812" t="s">
        <v>181</v>
      </c>
      <c r="G4812" t="s">
        <v>180</v>
      </c>
    </row>
    <row r="4813" spans="1:7">
      <c r="A4813">
        <v>2031</v>
      </c>
      <c r="B4813" t="s">
        <v>191</v>
      </c>
      <c r="C4813">
        <v>0</v>
      </c>
      <c r="D4813" t="s">
        <v>183</v>
      </c>
      <c r="E4813" t="s">
        <v>182</v>
      </c>
      <c r="F4813" t="s">
        <v>181</v>
      </c>
      <c r="G4813" t="s">
        <v>180</v>
      </c>
    </row>
    <row r="4814" spans="1:7">
      <c r="A4814">
        <v>2032</v>
      </c>
      <c r="B4814" t="s">
        <v>191</v>
      </c>
      <c r="C4814">
        <v>0</v>
      </c>
      <c r="D4814" t="s">
        <v>183</v>
      </c>
      <c r="E4814" t="s">
        <v>182</v>
      </c>
      <c r="F4814" t="s">
        <v>181</v>
      </c>
      <c r="G4814" t="s">
        <v>180</v>
      </c>
    </row>
    <row r="4815" spans="1:7">
      <c r="A4815">
        <v>2033</v>
      </c>
      <c r="B4815" t="s">
        <v>191</v>
      </c>
      <c r="C4815">
        <v>0</v>
      </c>
      <c r="D4815" t="s">
        <v>183</v>
      </c>
      <c r="E4815" t="s">
        <v>182</v>
      </c>
      <c r="F4815" t="s">
        <v>181</v>
      </c>
      <c r="G4815" t="s">
        <v>180</v>
      </c>
    </row>
    <row r="4816" spans="1:7">
      <c r="A4816">
        <v>2034</v>
      </c>
      <c r="B4816" t="s">
        <v>191</v>
      </c>
      <c r="C4816">
        <v>0</v>
      </c>
      <c r="D4816" t="s">
        <v>183</v>
      </c>
      <c r="E4816" t="s">
        <v>182</v>
      </c>
      <c r="F4816" t="s">
        <v>181</v>
      </c>
      <c r="G4816" t="s">
        <v>180</v>
      </c>
    </row>
    <row r="4817" spans="1:7">
      <c r="A4817">
        <v>2035</v>
      </c>
      <c r="B4817" t="s">
        <v>191</v>
      </c>
      <c r="C4817">
        <v>0</v>
      </c>
      <c r="D4817" t="s">
        <v>183</v>
      </c>
      <c r="E4817" t="s">
        <v>182</v>
      </c>
      <c r="F4817" t="s">
        <v>181</v>
      </c>
      <c r="G4817" t="s">
        <v>180</v>
      </c>
    </row>
    <row r="4818" spans="1:7">
      <c r="A4818">
        <v>2020</v>
      </c>
      <c r="B4818" t="s">
        <v>192</v>
      </c>
      <c r="C4818">
        <v>2661.54</v>
      </c>
      <c r="D4818" t="s">
        <v>183</v>
      </c>
      <c r="E4818" t="s">
        <v>182</v>
      </c>
      <c r="F4818" t="s">
        <v>181</v>
      </c>
      <c r="G4818" t="s">
        <v>180</v>
      </c>
    </row>
    <row r="4819" spans="1:7">
      <c r="A4819">
        <v>2021</v>
      </c>
      <c r="B4819" t="s">
        <v>192</v>
      </c>
      <c r="C4819">
        <v>0</v>
      </c>
      <c r="D4819" t="s">
        <v>183</v>
      </c>
      <c r="E4819" t="s">
        <v>182</v>
      </c>
      <c r="F4819" t="s">
        <v>181</v>
      </c>
      <c r="G4819" t="s">
        <v>180</v>
      </c>
    </row>
    <row r="4820" spans="1:7">
      <c r="A4820">
        <v>2022</v>
      </c>
      <c r="B4820" t="s">
        <v>192</v>
      </c>
      <c r="C4820">
        <v>0</v>
      </c>
      <c r="D4820" t="s">
        <v>183</v>
      </c>
      <c r="E4820" t="s">
        <v>182</v>
      </c>
      <c r="F4820" t="s">
        <v>181</v>
      </c>
      <c r="G4820" t="s">
        <v>180</v>
      </c>
    </row>
    <row r="4821" spans="1:7">
      <c r="A4821">
        <v>2023</v>
      </c>
      <c r="B4821" t="s">
        <v>192</v>
      </c>
      <c r="C4821">
        <v>54</v>
      </c>
      <c r="D4821" t="s">
        <v>183</v>
      </c>
      <c r="E4821" t="s">
        <v>182</v>
      </c>
      <c r="F4821" t="s">
        <v>181</v>
      </c>
      <c r="G4821" t="s">
        <v>180</v>
      </c>
    </row>
    <row r="4822" spans="1:7">
      <c r="A4822">
        <v>2024</v>
      </c>
      <c r="B4822" t="s">
        <v>192</v>
      </c>
      <c r="C4822">
        <v>54</v>
      </c>
      <c r="D4822" t="s">
        <v>183</v>
      </c>
      <c r="E4822" t="s">
        <v>182</v>
      </c>
      <c r="F4822" t="s">
        <v>181</v>
      </c>
      <c r="G4822" t="s">
        <v>180</v>
      </c>
    </row>
    <row r="4823" spans="1:7">
      <c r="A4823">
        <v>2025</v>
      </c>
      <c r="B4823" t="s">
        <v>192</v>
      </c>
      <c r="C4823">
        <v>6.5</v>
      </c>
      <c r="D4823" t="s">
        <v>183</v>
      </c>
      <c r="E4823" t="s">
        <v>182</v>
      </c>
      <c r="F4823" t="s">
        <v>181</v>
      </c>
      <c r="G4823" t="s">
        <v>180</v>
      </c>
    </row>
    <row r="4824" spans="1:7">
      <c r="A4824">
        <v>2026</v>
      </c>
      <c r="B4824" t="s">
        <v>192</v>
      </c>
      <c r="C4824">
        <v>6.5</v>
      </c>
      <c r="D4824" t="s">
        <v>183</v>
      </c>
      <c r="E4824" t="s">
        <v>182</v>
      </c>
      <c r="F4824" t="s">
        <v>181</v>
      </c>
      <c r="G4824" t="s">
        <v>180</v>
      </c>
    </row>
    <row r="4825" spans="1:7">
      <c r="A4825">
        <v>2027</v>
      </c>
      <c r="B4825" t="s">
        <v>192</v>
      </c>
      <c r="C4825">
        <v>28</v>
      </c>
      <c r="D4825" t="s">
        <v>183</v>
      </c>
      <c r="E4825" t="s">
        <v>182</v>
      </c>
      <c r="F4825" t="s">
        <v>181</v>
      </c>
      <c r="G4825" t="s">
        <v>180</v>
      </c>
    </row>
    <row r="4826" spans="1:7">
      <c r="A4826">
        <v>2028</v>
      </c>
      <c r="B4826" t="s">
        <v>192</v>
      </c>
      <c r="C4826">
        <v>28</v>
      </c>
      <c r="D4826" t="s">
        <v>183</v>
      </c>
      <c r="E4826" t="s">
        <v>182</v>
      </c>
      <c r="F4826" t="s">
        <v>181</v>
      </c>
      <c r="G4826" t="s">
        <v>180</v>
      </c>
    </row>
    <row r="4827" spans="1:7">
      <c r="A4827">
        <v>2029</v>
      </c>
      <c r="B4827" t="s">
        <v>192</v>
      </c>
      <c r="C4827">
        <v>10.5</v>
      </c>
      <c r="D4827" t="s">
        <v>183</v>
      </c>
      <c r="E4827" t="s">
        <v>182</v>
      </c>
      <c r="F4827" t="s">
        <v>181</v>
      </c>
      <c r="G4827" t="s">
        <v>180</v>
      </c>
    </row>
    <row r="4828" spans="1:7">
      <c r="A4828">
        <v>2030</v>
      </c>
      <c r="B4828" t="s">
        <v>192</v>
      </c>
      <c r="C4828">
        <v>10.5</v>
      </c>
      <c r="D4828" t="s">
        <v>183</v>
      </c>
      <c r="E4828" t="s">
        <v>182</v>
      </c>
      <c r="F4828" t="s">
        <v>181</v>
      </c>
      <c r="G4828" t="s">
        <v>180</v>
      </c>
    </row>
    <row r="4829" spans="1:7">
      <c r="A4829">
        <v>2031</v>
      </c>
      <c r="B4829" t="s">
        <v>192</v>
      </c>
      <c r="C4829">
        <v>35</v>
      </c>
      <c r="D4829" t="s">
        <v>183</v>
      </c>
      <c r="E4829" t="s">
        <v>182</v>
      </c>
      <c r="F4829" t="s">
        <v>181</v>
      </c>
      <c r="G4829" t="s">
        <v>180</v>
      </c>
    </row>
    <row r="4830" spans="1:7">
      <c r="A4830">
        <v>2032</v>
      </c>
      <c r="B4830" t="s">
        <v>192</v>
      </c>
      <c r="C4830">
        <v>35</v>
      </c>
      <c r="D4830" t="s">
        <v>183</v>
      </c>
      <c r="E4830" t="s">
        <v>182</v>
      </c>
      <c r="F4830" t="s">
        <v>181</v>
      </c>
      <c r="G4830" t="s">
        <v>180</v>
      </c>
    </row>
    <row r="4831" spans="1:7">
      <c r="A4831">
        <v>2033</v>
      </c>
      <c r="B4831" t="s">
        <v>192</v>
      </c>
      <c r="C4831">
        <v>13.666700000000001</v>
      </c>
      <c r="D4831" t="s">
        <v>183</v>
      </c>
      <c r="E4831" t="s">
        <v>182</v>
      </c>
      <c r="F4831" t="s">
        <v>181</v>
      </c>
      <c r="G4831" t="s">
        <v>180</v>
      </c>
    </row>
    <row r="4832" spans="1:7">
      <c r="A4832">
        <v>2034</v>
      </c>
      <c r="B4832" t="s">
        <v>192</v>
      </c>
      <c r="C4832">
        <v>13.666700000000001</v>
      </c>
      <c r="D4832" t="s">
        <v>183</v>
      </c>
      <c r="E4832" t="s">
        <v>182</v>
      </c>
      <c r="F4832" t="s">
        <v>181</v>
      </c>
      <c r="G4832" t="s">
        <v>180</v>
      </c>
    </row>
    <row r="4833" spans="1:7">
      <c r="A4833">
        <v>2035</v>
      </c>
      <c r="B4833" t="s">
        <v>192</v>
      </c>
      <c r="C4833">
        <v>13.666700000000001</v>
      </c>
      <c r="D4833" t="s">
        <v>183</v>
      </c>
      <c r="E4833" t="s">
        <v>182</v>
      </c>
      <c r="F4833" t="s">
        <v>181</v>
      </c>
      <c r="G4833" t="s">
        <v>180</v>
      </c>
    </row>
    <row r="4834" spans="1:7">
      <c r="A4834">
        <v>2020</v>
      </c>
      <c r="B4834" t="s">
        <v>193</v>
      </c>
      <c r="C4834">
        <v>232.5</v>
      </c>
      <c r="D4834" t="s">
        <v>183</v>
      </c>
      <c r="E4834" t="s">
        <v>182</v>
      </c>
      <c r="F4834" t="s">
        <v>181</v>
      </c>
      <c r="G4834" t="s">
        <v>180</v>
      </c>
    </row>
    <row r="4835" spans="1:7">
      <c r="A4835">
        <v>2021</v>
      </c>
      <c r="B4835" t="s">
        <v>193</v>
      </c>
      <c r="C4835">
        <v>1100</v>
      </c>
      <c r="D4835" t="s">
        <v>183</v>
      </c>
      <c r="E4835" t="s">
        <v>182</v>
      </c>
      <c r="F4835" t="s">
        <v>181</v>
      </c>
      <c r="G4835" t="s">
        <v>180</v>
      </c>
    </row>
    <row r="4836" spans="1:7">
      <c r="A4836">
        <v>2022</v>
      </c>
      <c r="B4836" t="s">
        <v>193</v>
      </c>
      <c r="C4836">
        <v>1100</v>
      </c>
      <c r="D4836" t="s">
        <v>183</v>
      </c>
      <c r="E4836" t="s">
        <v>182</v>
      </c>
      <c r="F4836" t="s">
        <v>181</v>
      </c>
      <c r="G4836" t="s">
        <v>180</v>
      </c>
    </row>
    <row r="4837" spans="1:7">
      <c r="A4837">
        <v>2023</v>
      </c>
      <c r="B4837" t="s">
        <v>193</v>
      </c>
      <c r="C4837">
        <v>0</v>
      </c>
      <c r="D4837" t="s">
        <v>183</v>
      </c>
      <c r="E4837" t="s">
        <v>182</v>
      </c>
      <c r="F4837" t="s">
        <v>181</v>
      </c>
      <c r="G4837" t="s">
        <v>180</v>
      </c>
    </row>
    <row r="4838" spans="1:7">
      <c r="A4838">
        <v>2024</v>
      </c>
      <c r="B4838" t="s">
        <v>193</v>
      </c>
      <c r="C4838">
        <v>0</v>
      </c>
      <c r="D4838" t="s">
        <v>183</v>
      </c>
      <c r="E4838" t="s">
        <v>182</v>
      </c>
      <c r="F4838" t="s">
        <v>181</v>
      </c>
      <c r="G4838" t="s">
        <v>180</v>
      </c>
    </row>
    <row r="4839" spans="1:7">
      <c r="A4839">
        <v>2025</v>
      </c>
      <c r="B4839" t="s">
        <v>193</v>
      </c>
      <c r="C4839">
        <v>0</v>
      </c>
      <c r="D4839" t="s">
        <v>183</v>
      </c>
      <c r="E4839" t="s">
        <v>182</v>
      </c>
      <c r="F4839" t="s">
        <v>181</v>
      </c>
      <c r="G4839" t="s">
        <v>180</v>
      </c>
    </row>
    <row r="4840" spans="1:7">
      <c r="A4840">
        <v>2026</v>
      </c>
      <c r="B4840" t="s">
        <v>193</v>
      </c>
      <c r="C4840">
        <v>0</v>
      </c>
      <c r="D4840" t="s">
        <v>183</v>
      </c>
      <c r="E4840" t="s">
        <v>182</v>
      </c>
      <c r="F4840" t="s">
        <v>181</v>
      </c>
      <c r="G4840" t="s">
        <v>180</v>
      </c>
    </row>
    <row r="4841" spans="1:7">
      <c r="A4841">
        <v>2027</v>
      </c>
      <c r="B4841" t="s">
        <v>193</v>
      </c>
      <c r="C4841">
        <v>0</v>
      </c>
      <c r="D4841" t="s">
        <v>183</v>
      </c>
      <c r="E4841" t="s">
        <v>182</v>
      </c>
      <c r="F4841" t="s">
        <v>181</v>
      </c>
      <c r="G4841" t="s">
        <v>180</v>
      </c>
    </row>
    <row r="4842" spans="1:7">
      <c r="A4842">
        <v>2028</v>
      </c>
      <c r="B4842" t="s">
        <v>193</v>
      </c>
      <c r="C4842">
        <v>0</v>
      </c>
      <c r="D4842" t="s">
        <v>183</v>
      </c>
      <c r="E4842" t="s">
        <v>182</v>
      </c>
      <c r="F4842" t="s">
        <v>181</v>
      </c>
      <c r="G4842" t="s">
        <v>180</v>
      </c>
    </row>
    <row r="4843" spans="1:7">
      <c r="A4843">
        <v>2029</v>
      </c>
      <c r="B4843" t="s">
        <v>193</v>
      </c>
      <c r="C4843">
        <v>0</v>
      </c>
      <c r="D4843" t="s">
        <v>183</v>
      </c>
      <c r="E4843" t="s">
        <v>182</v>
      </c>
      <c r="F4843" t="s">
        <v>181</v>
      </c>
      <c r="G4843" t="s">
        <v>180</v>
      </c>
    </row>
    <row r="4844" spans="1:7">
      <c r="A4844">
        <v>2030</v>
      </c>
      <c r="B4844" t="s">
        <v>193</v>
      </c>
      <c r="C4844">
        <v>0</v>
      </c>
      <c r="D4844" t="s">
        <v>183</v>
      </c>
      <c r="E4844" t="s">
        <v>182</v>
      </c>
      <c r="F4844" t="s">
        <v>181</v>
      </c>
      <c r="G4844" t="s">
        <v>180</v>
      </c>
    </row>
    <row r="4845" spans="1:7">
      <c r="A4845">
        <v>2031</v>
      </c>
      <c r="B4845" t="s">
        <v>193</v>
      </c>
      <c r="C4845">
        <v>0</v>
      </c>
      <c r="D4845" t="s">
        <v>183</v>
      </c>
      <c r="E4845" t="s">
        <v>182</v>
      </c>
      <c r="F4845" t="s">
        <v>181</v>
      </c>
      <c r="G4845" t="s">
        <v>180</v>
      </c>
    </row>
    <row r="4846" spans="1:7">
      <c r="A4846">
        <v>2032</v>
      </c>
      <c r="B4846" t="s">
        <v>193</v>
      </c>
      <c r="C4846">
        <v>0</v>
      </c>
      <c r="D4846" t="s">
        <v>183</v>
      </c>
      <c r="E4846" t="s">
        <v>182</v>
      </c>
      <c r="F4846" t="s">
        <v>181</v>
      </c>
      <c r="G4846" t="s">
        <v>180</v>
      </c>
    </row>
    <row r="4847" spans="1:7">
      <c r="A4847">
        <v>2033</v>
      </c>
      <c r="B4847" t="s">
        <v>193</v>
      </c>
      <c r="C4847">
        <v>0</v>
      </c>
      <c r="D4847" t="s">
        <v>183</v>
      </c>
      <c r="E4847" t="s">
        <v>182</v>
      </c>
      <c r="F4847" t="s">
        <v>181</v>
      </c>
      <c r="G4847" t="s">
        <v>180</v>
      </c>
    </row>
    <row r="4848" spans="1:7">
      <c r="A4848">
        <v>2034</v>
      </c>
      <c r="B4848" t="s">
        <v>193</v>
      </c>
      <c r="C4848">
        <v>0</v>
      </c>
      <c r="D4848" t="s">
        <v>183</v>
      </c>
      <c r="E4848" t="s">
        <v>182</v>
      </c>
      <c r="F4848" t="s">
        <v>181</v>
      </c>
      <c r="G4848" t="s">
        <v>180</v>
      </c>
    </row>
    <row r="4849" spans="1:7">
      <c r="A4849">
        <v>2035</v>
      </c>
      <c r="B4849" t="s">
        <v>193</v>
      </c>
      <c r="C4849">
        <v>0</v>
      </c>
      <c r="D4849" t="s">
        <v>183</v>
      </c>
      <c r="E4849" t="s">
        <v>182</v>
      </c>
      <c r="F4849" t="s">
        <v>181</v>
      </c>
      <c r="G4849" t="s">
        <v>180</v>
      </c>
    </row>
    <row r="4850" spans="1:7">
      <c r="A4850">
        <v>2020</v>
      </c>
      <c r="B4850" t="s">
        <v>194</v>
      </c>
      <c r="C4850">
        <v>14.85</v>
      </c>
      <c r="D4850" t="s">
        <v>183</v>
      </c>
      <c r="E4850" t="s">
        <v>182</v>
      </c>
      <c r="F4850" t="s">
        <v>181</v>
      </c>
      <c r="G4850" t="s">
        <v>180</v>
      </c>
    </row>
    <row r="4851" spans="1:7">
      <c r="A4851">
        <v>2021</v>
      </c>
      <c r="B4851" t="s">
        <v>194</v>
      </c>
      <c r="C4851">
        <v>0</v>
      </c>
      <c r="D4851" t="s">
        <v>183</v>
      </c>
      <c r="E4851" t="s">
        <v>182</v>
      </c>
      <c r="F4851" t="s">
        <v>181</v>
      </c>
      <c r="G4851" t="s">
        <v>180</v>
      </c>
    </row>
    <row r="4852" spans="1:7">
      <c r="A4852">
        <v>2022</v>
      </c>
      <c r="B4852" t="s">
        <v>194</v>
      </c>
      <c r="C4852">
        <v>0</v>
      </c>
      <c r="D4852" t="s">
        <v>183</v>
      </c>
      <c r="E4852" t="s">
        <v>182</v>
      </c>
      <c r="F4852" t="s">
        <v>181</v>
      </c>
      <c r="G4852" t="s">
        <v>180</v>
      </c>
    </row>
    <row r="4853" spans="1:7">
      <c r="A4853">
        <v>2023</v>
      </c>
      <c r="B4853" t="s">
        <v>194</v>
      </c>
      <c r="C4853">
        <v>0</v>
      </c>
      <c r="D4853" t="s">
        <v>183</v>
      </c>
      <c r="E4853" t="s">
        <v>182</v>
      </c>
      <c r="F4853" t="s">
        <v>181</v>
      </c>
      <c r="G4853" t="s">
        <v>180</v>
      </c>
    </row>
    <row r="4854" spans="1:7">
      <c r="A4854">
        <v>2024</v>
      </c>
      <c r="B4854" t="s">
        <v>194</v>
      </c>
      <c r="C4854">
        <v>0</v>
      </c>
      <c r="D4854" t="s">
        <v>183</v>
      </c>
      <c r="E4854" t="s">
        <v>182</v>
      </c>
      <c r="F4854" t="s">
        <v>181</v>
      </c>
      <c r="G4854" t="s">
        <v>180</v>
      </c>
    </row>
    <row r="4855" spans="1:7">
      <c r="A4855">
        <v>2025</v>
      </c>
      <c r="B4855" t="s">
        <v>194</v>
      </c>
      <c r="C4855">
        <v>0</v>
      </c>
      <c r="D4855" t="s">
        <v>183</v>
      </c>
      <c r="E4855" t="s">
        <v>182</v>
      </c>
      <c r="F4855" t="s">
        <v>181</v>
      </c>
      <c r="G4855" t="s">
        <v>180</v>
      </c>
    </row>
    <row r="4856" spans="1:7">
      <c r="A4856">
        <v>2026</v>
      </c>
      <c r="B4856" t="s">
        <v>194</v>
      </c>
      <c r="C4856">
        <v>0</v>
      </c>
      <c r="D4856" t="s">
        <v>183</v>
      </c>
      <c r="E4856" t="s">
        <v>182</v>
      </c>
      <c r="F4856" t="s">
        <v>181</v>
      </c>
      <c r="G4856" t="s">
        <v>180</v>
      </c>
    </row>
    <row r="4857" spans="1:7">
      <c r="A4857">
        <v>2027</v>
      </c>
      <c r="B4857" t="s">
        <v>194</v>
      </c>
      <c r="C4857">
        <v>0</v>
      </c>
      <c r="D4857" t="s">
        <v>183</v>
      </c>
      <c r="E4857" t="s">
        <v>182</v>
      </c>
      <c r="F4857" t="s">
        <v>181</v>
      </c>
      <c r="G4857" t="s">
        <v>180</v>
      </c>
    </row>
    <row r="4858" spans="1:7">
      <c r="A4858">
        <v>2028</v>
      </c>
      <c r="B4858" t="s">
        <v>194</v>
      </c>
      <c r="C4858">
        <v>0</v>
      </c>
      <c r="D4858" t="s">
        <v>183</v>
      </c>
      <c r="E4858" t="s">
        <v>182</v>
      </c>
      <c r="F4858" t="s">
        <v>181</v>
      </c>
      <c r="G4858" t="s">
        <v>180</v>
      </c>
    </row>
    <row r="4859" spans="1:7">
      <c r="A4859">
        <v>2029</v>
      </c>
      <c r="B4859" t="s">
        <v>194</v>
      </c>
      <c r="C4859">
        <v>0</v>
      </c>
      <c r="D4859" t="s">
        <v>183</v>
      </c>
      <c r="E4859" t="s">
        <v>182</v>
      </c>
      <c r="F4859" t="s">
        <v>181</v>
      </c>
      <c r="G4859" t="s">
        <v>180</v>
      </c>
    </row>
    <row r="4860" spans="1:7">
      <c r="A4860">
        <v>2030</v>
      </c>
      <c r="B4860" t="s">
        <v>194</v>
      </c>
      <c r="C4860">
        <v>0</v>
      </c>
      <c r="D4860" t="s">
        <v>183</v>
      </c>
      <c r="E4860" t="s">
        <v>182</v>
      </c>
      <c r="F4860" t="s">
        <v>181</v>
      </c>
      <c r="G4860" t="s">
        <v>180</v>
      </c>
    </row>
    <row r="4861" spans="1:7">
      <c r="A4861">
        <v>2031</v>
      </c>
      <c r="B4861" t="s">
        <v>194</v>
      </c>
      <c r="C4861">
        <v>0</v>
      </c>
      <c r="D4861" t="s">
        <v>183</v>
      </c>
      <c r="E4861" t="s">
        <v>182</v>
      </c>
      <c r="F4861" t="s">
        <v>181</v>
      </c>
      <c r="G4861" t="s">
        <v>180</v>
      </c>
    </row>
    <row r="4862" spans="1:7">
      <c r="A4862">
        <v>2032</v>
      </c>
      <c r="B4862" t="s">
        <v>194</v>
      </c>
      <c r="C4862">
        <v>0</v>
      </c>
      <c r="D4862" t="s">
        <v>183</v>
      </c>
      <c r="E4862" t="s">
        <v>182</v>
      </c>
      <c r="F4862" t="s">
        <v>181</v>
      </c>
      <c r="G4862" t="s">
        <v>180</v>
      </c>
    </row>
    <row r="4863" spans="1:7">
      <c r="A4863">
        <v>2033</v>
      </c>
      <c r="B4863" t="s">
        <v>194</v>
      </c>
      <c r="C4863">
        <v>0</v>
      </c>
      <c r="D4863" t="s">
        <v>183</v>
      </c>
      <c r="E4863" t="s">
        <v>182</v>
      </c>
      <c r="F4863" t="s">
        <v>181</v>
      </c>
      <c r="G4863" t="s">
        <v>180</v>
      </c>
    </row>
    <row r="4864" spans="1:7">
      <c r="A4864">
        <v>2034</v>
      </c>
      <c r="B4864" t="s">
        <v>194</v>
      </c>
      <c r="C4864">
        <v>0</v>
      </c>
      <c r="D4864" t="s">
        <v>183</v>
      </c>
      <c r="E4864" t="s">
        <v>182</v>
      </c>
      <c r="F4864" t="s">
        <v>181</v>
      </c>
      <c r="G4864" t="s">
        <v>180</v>
      </c>
    </row>
    <row r="4865" spans="1:7">
      <c r="A4865">
        <v>2035</v>
      </c>
      <c r="B4865" t="s">
        <v>194</v>
      </c>
      <c r="C4865">
        <v>0</v>
      </c>
      <c r="D4865" t="s">
        <v>183</v>
      </c>
      <c r="E4865" t="s">
        <v>182</v>
      </c>
      <c r="F4865" t="s">
        <v>181</v>
      </c>
      <c r="G4865" t="s">
        <v>180</v>
      </c>
    </row>
    <row r="4866" spans="1:7">
      <c r="A4866">
        <v>2020</v>
      </c>
      <c r="B4866" t="s">
        <v>195</v>
      </c>
      <c r="C4866">
        <v>17694.900000000001</v>
      </c>
      <c r="D4866" t="s">
        <v>183</v>
      </c>
      <c r="E4866" t="s">
        <v>182</v>
      </c>
      <c r="F4866" t="s">
        <v>181</v>
      </c>
      <c r="G4866" t="s">
        <v>180</v>
      </c>
    </row>
    <row r="4867" spans="1:7">
      <c r="A4867">
        <v>2021</v>
      </c>
      <c r="B4867" t="s">
        <v>195</v>
      </c>
      <c r="C4867">
        <v>38314</v>
      </c>
      <c r="D4867" t="s">
        <v>183</v>
      </c>
      <c r="E4867" t="s">
        <v>182</v>
      </c>
      <c r="F4867" t="s">
        <v>181</v>
      </c>
      <c r="G4867" t="s">
        <v>180</v>
      </c>
    </row>
    <row r="4868" spans="1:7">
      <c r="A4868">
        <v>2022</v>
      </c>
      <c r="B4868" t="s">
        <v>195</v>
      </c>
      <c r="C4868">
        <v>38314</v>
      </c>
      <c r="D4868" t="s">
        <v>183</v>
      </c>
      <c r="E4868" t="s">
        <v>182</v>
      </c>
      <c r="F4868" t="s">
        <v>181</v>
      </c>
      <c r="G4868" t="s">
        <v>180</v>
      </c>
    </row>
    <row r="4869" spans="1:7">
      <c r="A4869">
        <v>2023</v>
      </c>
      <c r="B4869" t="s">
        <v>195</v>
      </c>
      <c r="C4869">
        <v>41407.1</v>
      </c>
      <c r="D4869" t="s">
        <v>183</v>
      </c>
      <c r="E4869" t="s">
        <v>182</v>
      </c>
      <c r="F4869" t="s">
        <v>181</v>
      </c>
      <c r="G4869" t="s">
        <v>180</v>
      </c>
    </row>
    <row r="4870" spans="1:7">
      <c r="A4870">
        <v>2024</v>
      </c>
      <c r="B4870" t="s">
        <v>195</v>
      </c>
      <c r="C4870">
        <v>41407.1</v>
      </c>
      <c r="D4870" t="s">
        <v>183</v>
      </c>
      <c r="E4870" t="s">
        <v>182</v>
      </c>
      <c r="F4870" t="s">
        <v>181</v>
      </c>
      <c r="G4870" t="s">
        <v>180</v>
      </c>
    </row>
    <row r="4871" spans="1:7">
      <c r="A4871">
        <v>2025</v>
      </c>
      <c r="B4871" t="s">
        <v>195</v>
      </c>
      <c r="C4871">
        <v>25534.2</v>
      </c>
      <c r="D4871" t="s">
        <v>183</v>
      </c>
      <c r="E4871" t="s">
        <v>182</v>
      </c>
      <c r="F4871" t="s">
        <v>181</v>
      </c>
      <c r="G4871" t="s">
        <v>180</v>
      </c>
    </row>
    <row r="4872" spans="1:7">
      <c r="A4872">
        <v>2026</v>
      </c>
      <c r="B4872" t="s">
        <v>195</v>
      </c>
      <c r="C4872">
        <v>25534.2</v>
      </c>
      <c r="D4872" t="s">
        <v>183</v>
      </c>
      <c r="E4872" t="s">
        <v>182</v>
      </c>
      <c r="F4872" t="s">
        <v>181</v>
      </c>
      <c r="G4872" t="s">
        <v>180</v>
      </c>
    </row>
    <row r="4873" spans="1:7">
      <c r="A4873">
        <v>2027</v>
      </c>
      <c r="B4873" t="s">
        <v>195</v>
      </c>
      <c r="C4873">
        <v>44229.5</v>
      </c>
      <c r="D4873" t="s">
        <v>183</v>
      </c>
      <c r="E4873" t="s">
        <v>182</v>
      </c>
      <c r="F4873" t="s">
        <v>181</v>
      </c>
      <c r="G4873" t="s">
        <v>180</v>
      </c>
    </row>
    <row r="4874" spans="1:7">
      <c r="A4874">
        <v>2028</v>
      </c>
      <c r="B4874" t="s">
        <v>195</v>
      </c>
      <c r="C4874">
        <v>44229.5</v>
      </c>
      <c r="D4874" t="s">
        <v>183</v>
      </c>
      <c r="E4874" t="s">
        <v>182</v>
      </c>
      <c r="F4874" t="s">
        <v>181</v>
      </c>
      <c r="G4874" t="s">
        <v>180</v>
      </c>
    </row>
    <row r="4875" spans="1:7">
      <c r="A4875">
        <v>2029</v>
      </c>
      <c r="B4875" t="s">
        <v>195</v>
      </c>
      <c r="C4875">
        <v>22442.9</v>
      </c>
      <c r="D4875" t="s">
        <v>183</v>
      </c>
      <c r="E4875" t="s">
        <v>182</v>
      </c>
      <c r="F4875" t="s">
        <v>181</v>
      </c>
      <c r="G4875" t="s">
        <v>180</v>
      </c>
    </row>
    <row r="4876" spans="1:7">
      <c r="A4876">
        <v>2030</v>
      </c>
      <c r="B4876" t="s">
        <v>195</v>
      </c>
      <c r="C4876">
        <v>22442.9</v>
      </c>
      <c r="D4876" t="s">
        <v>183</v>
      </c>
      <c r="E4876" t="s">
        <v>182</v>
      </c>
      <c r="F4876" t="s">
        <v>181</v>
      </c>
      <c r="G4876" t="s">
        <v>180</v>
      </c>
    </row>
    <row r="4877" spans="1:7">
      <c r="A4877">
        <v>2031</v>
      </c>
      <c r="B4877" t="s">
        <v>195</v>
      </c>
      <c r="C4877">
        <v>23830.5</v>
      </c>
      <c r="D4877" t="s">
        <v>183</v>
      </c>
      <c r="E4877" t="s">
        <v>182</v>
      </c>
      <c r="F4877" t="s">
        <v>181</v>
      </c>
      <c r="G4877" t="s">
        <v>180</v>
      </c>
    </row>
    <row r="4878" spans="1:7">
      <c r="A4878">
        <v>2032</v>
      </c>
      <c r="B4878" t="s">
        <v>195</v>
      </c>
      <c r="C4878">
        <v>23830.5</v>
      </c>
      <c r="D4878" t="s">
        <v>183</v>
      </c>
      <c r="E4878" t="s">
        <v>182</v>
      </c>
      <c r="F4878" t="s">
        <v>181</v>
      </c>
      <c r="G4878" t="s">
        <v>180</v>
      </c>
    </row>
    <row r="4879" spans="1:7">
      <c r="A4879">
        <v>2033</v>
      </c>
      <c r="B4879" t="s">
        <v>195</v>
      </c>
      <c r="C4879">
        <v>32546</v>
      </c>
      <c r="D4879" t="s">
        <v>183</v>
      </c>
      <c r="E4879" t="s">
        <v>182</v>
      </c>
      <c r="F4879" t="s">
        <v>181</v>
      </c>
      <c r="G4879" t="s">
        <v>180</v>
      </c>
    </row>
    <row r="4880" spans="1:7">
      <c r="A4880">
        <v>2034</v>
      </c>
      <c r="B4880" t="s">
        <v>195</v>
      </c>
      <c r="C4880">
        <v>32546</v>
      </c>
      <c r="D4880" t="s">
        <v>183</v>
      </c>
      <c r="E4880" t="s">
        <v>182</v>
      </c>
      <c r="F4880" t="s">
        <v>181</v>
      </c>
      <c r="G4880" t="s">
        <v>180</v>
      </c>
    </row>
    <row r="4881" spans="1:7">
      <c r="A4881">
        <v>2035</v>
      </c>
      <c r="B4881" t="s">
        <v>195</v>
      </c>
      <c r="C4881">
        <v>32546</v>
      </c>
      <c r="D4881" t="s">
        <v>183</v>
      </c>
      <c r="E4881" t="s">
        <v>182</v>
      </c>
      <c r="F4881" t="s">
        <v>181</v>
      </c>
      <c r="G4881" t="s">
        <v>180</v>
      </c>
    </row>
    <row r="4882" spans="1:7">
      <c r="A4882">
        <v>2020</v>
      </c>
      <c r="B4882" t="s">
        <v>196</v>
      </c>
      <c r="C4882">
        <v>10873.6</v>
      </c>
      <c r="D4882" t="s">
        <v>183</v>
      </c>
      <c r="E4882" t="s">
        <v>182</v>
      </c>
      <c r="F4882" t="s">
        <v>181</v>
      </c>
      <c r="G4882" t="s">
        <v>180</v>
      </c>
    </row>
    <row r="4883" spans="1:7">
      <c r="A4883">
        <v>2021</v>
      </c>
      <c r="B4883" t="s">
        <v>196</v>
      </c>
      <c r="C4883">
        <v>22580.400000000001</v>
      </c>
      <c r="D4883" t="s">
        <v>183</v>
      </c>
      <c r="E4883" t="s">
        <v>182</v>
      </c>
      <c r="F4883" t="s">
        <v>181</v>
      </c>
      <c r="G4883" t="s">
        <v>180</v>
      </c>
    </row>
    <row r="4884" spans="1:7">
      <c r="A4884">
        <v>2022</v>
      </c>
      <c r="B4884" t="s">
        <v>196</v>
      </c>
      <c r="C4884">
        <v>22580.400000000001</v>
      </c>
      <c r="D4884" t="s">
        <v>183</v>
      </c>
      <c r="E4884" t="s">
        <v>182</v>
      </c>
      <c r="F4884" t="s">
        <v>181</v>
      </c>
      <c r="G4884" t="s">
        <v>180</v>
      </c>
    </row>
    <row r="4885" spans="1:7">
      <c r="A4885">
        <v>2023</v>
      </c>
      <c r="B4885" t="s">
        <v>196</v>
      </c>
      <c r="C4885">
        <v>15631.4</v>
      </c>
      <c r="D4885" t="s">
        <v>183</v>
      </c>
      <c r="E4885" t="s">
        <v>182</v>
      </c>
      <c r="F4885" t="s">
        <v>181</v>
      </c>
      <c r="G4885" t="s">
        <v>180</v>
      </c>
    </row>
    <row r="4886" spans="1:7">
      <c r="A4886">
        <v>2024</v>
      </c>
      <c r="B4886" t="s">
        <v>196</v>
      </c>
      <c r="C4886">
        <v>15631.4</v>
      </c>
      <c r="D4886" t="s">
        <v>183</v>
      </c>
      <c r="E4886" t="s">
        <v>182</v>
      </c>
      <c r="F4886" t="s">
        <v>181</v>
      </c>
      <c r="G4886" t="s">
        <v>180</v>
      </c>
    </row>
    <row r="4887" spans="1:7">
      <c r="A4887">
        <v>2025</v>
      </c>
      <c r="B4887" t="s">
        <v>196</v>
      </c>
      <c r="C4887">
        <v>33233.800000000003</v>
      </c>
      <c r="D4887" t="s">
        <v>183</v>
      </c>
      <c r="E4887" t="s">
        <v>182</v>
      </c>
      <c r="F4887" t="s">
        <v>181</v>
      </c>
      <c r="G4887" t="s">
        <v>180</v>
      </c>
    </row>
    <row r="4888" spans="1:7">
      <c r="A4888">
        <v>2026</v>
      </c>
      <c r="B4888" t="s">
        <v>196</v>
      </c>
      <c r="C4888">
        <v>33233.800000000003</v>
      </c>
      <c r="D4888" t="s">
        <v>183</v>
      </c>
      <c r="E4888" t="s">
        <v>182</v>
      </c>
      <c r="F4888" t="s">
        <v>181</v>
      </c>
      <c r="G4888" t="s">
        <v>180</v>
      </c>
    </row>
    <row r="4889" spans="1:7">
      <c r="A4889">
        <v>2027</v>
      </c>
      <c r="B4889" t="s">
        <v>196</v>
      </c>
      <c r="C4889">
        <v>25081.3</v>
      </c>
      <c r="D4889" t="s">
        <v>183</v>
      </c>
      <c r="E4889" t="s">
        <v>182</v>
      </c>
      <c r="F4889" t="s">
        <v>181</v>
      </c>
      <c r="G4889" t="s">
        <v>180</v>
      </c>
    </row>
    <row r="4890" spans="1:7">
      <c r="A4890">
        <v>2028</v>
      </c>
      <c r="B4890" t="s">
        <v>196</v>
      </c>
      <c r="C4890">
        <v>25081.3</v>
      </c>
      <c r="D4890" t="s">
        <v>183</v>
      </c>
      <c r="E4890" t="s">
        <v>182</v>
      </c>
      <c r="F4890" t="s">
        <v>181</v>
      </c>
      <c r="G4890" t="s">
        <v>180</v>
      </c>
    </row>
    <row r="4891" spans="1:7">
      <c r="A4891">
        <v>2029</v>
      </c>
      <c r="B4891" t="s">
        <v>196</v>
      </c>
      <c r="C4891">
        <v>38690.6</v>
      </c>
      <c r="D4891" t="s">
        <v>183</v>
      </c>
      <c r="E4891" t="s">
        <v>182</v>
      </c>
      <c r="F4891" t="s">
        <v>181</v>
      </c>
      <c r="G4891" t="s">
        <v>180</v>
      </c>
    </row>
    <row r="4892" spans="1:7">
      <c r="A4892">
        <v>2030</v>
      </c>
      <c r="B4892" t="s">
        <v>196</v>
      </c>
      <c r="C4892">
        <v>38690.6</v>
      </c>
      <c r="D4892" t="s">
        <v>183</v>
      </c>
      <c r="E4892" t="s">
        <v>182</v>
      </c>
      <c r="F4892" t="s">
        <v>181</v>
      </c>
      <c r="G4892" t="s">
        <v>180</v>
      </c>
    </row>
    <row r="4893" spans="1:7">
      <c r="A4893">
        <v>2031</v>
      </c>
      <c r="B4893" t="s">
        <v>196</v>
      </c>
      <c r="C4893">
        <v>52940.9</v>
      </c>
      <c r="D4893" t="s">
        <v>183</v>
      </c>
      <c r="E4893" t="s">
        <v>182</v>
      </c>
      <c r="F4893" t="s">
        <v>181</v>
      </c>
      <c r="G4893" t="s">
        <v>180</v>
      </c>
    </row>
    <row r="4894" spans="1:7">
      <c r="A4894">
        <v>2032</v>
      </c>
      <c r="B4894" t="s">
        <v>196</v>
      </c>
      <c r="C4894">
        <v>52940.9</v>
      </c>
      <c r="D4894" t="s">
        <v>183</v>
      </c>
      <c r="E4894" t="s">
        <v>182</v>
      </c>
      <c r="F4894" t="s">
        <v>181</v>
      </c>
      <c r="G4894" t="s">
        <v>180</v>
      </c>
    </row>
    <row r="4895" spans="1:7">
      <c r="A4895">
        <v>2033</v>
      </c>
      <c r="B4895" t="s">
        <v>196</v>
      </c>
      <c r="C4895">
        <v>54504</v>
      </c>
      <c r="D4895" t="s">
        <v>183</v>
      </c>
      <c r="E4895" t="s">
        <v>182</v>
      </c>
      <c r="F4895" t="s">
        <v>181</v>
      </c>
      <c r="G4895" t="s">
        <v>180</v>
      </c>
    </row>
    <row r="4896" spans="1:7">
      <c r="A4896">
        <v>2034</v>
      </c>
      <c r="B4896" t="s">
        <v>196</v>
      </c>
      <c r="C4896">
        <v>54504</v>
      </c>
      <c r="D4896" t="s">
        <v>183</v>
      </c>
      <c r="E4896" t="s">
        <v>182</v>
      </c>
      <c r="F4896" t="s">
        <v>181</v>
      </c>
      <c r="G4896" t="s">
        <v>180</v>
      </c>
    </row>
    <row r="4897" spans="1:7">
      <c r="A4897">
        <v>2035</v>
      </c>
      <c r="B4897" t="s">
        <v>196</v>
      </c>
      <c r="C4897">
        <v>54504</v>
      </c>
      <c r="D4897" t="s">
        <v>183</v>
      </c>
      <c r="E4897" t="s">
        <v>182</v>
      </c>
      <c r="F4897" t="s">
        <v>181</v>
      </c>
      <c r="G4897" t="s">
        <v>180</v>
      </c>
    </row>
    <row r="4898" spans="1:7">
      <c r="A4898">
        <v>2020</v>
      </c>
      <c r="B4898" t="s">
        <v>188</v>
      </c>
      <c r="C4898">
        <v>102.45</v>
      </c>
      <c r="D4898" t="s">
        <v>175</v>
      </c>
      <c r="E4898" t="s">
        <v>182</v>
      </c>
      <c r="F4898" t="s">
        <v>181</v>
      </c>
      <c r="G4898" t="s">
        <v>178</v>
      </c>
    </row>
    <row r="4899" spans="1:7">
      <c r="A4899">
        <v>2021</v>
      </c>
      <c r="B4899" t="s">
        <v>188</v>
      </c>
      <c r="C4899">
        <v>9.5</v>
      </c>
      <c r="D4899" t="s">
        <v>175</v>
      </c>
      <c r="E4899" t="s">
        <v>182</v>
      </c>
      <c r="F4899" t="s">
        <v>181</v>
      </c>
      <c r="G4899" t="s">
        <v>178</v>
      </c>
    </row>
    <row r="4900" spans="1:7">
      <c r="A4900">
        <v>2022</v>
      </c>
      <c r="B4900" t="s">
        <v>188</v>
      </c>
      <c r="C4900">
        <v>9.5</v>
      </c>
      <c r="D4900" t="s">
        <v>175</v>
      </c>
      <c r="E4900" t="s">
        <v>182</v>
      </c>
      <c r="F4900" t="s">
        <v>181</v>
      </c>
      <c r="G4900" t="s">
        <v>178</v>
      </c>
    </row>
    <row r="4901" spans="1:7">
      <c r="A4901">
        <v>2023</v>
      </c>
      <c r="B4901" t="s">
        <v>188</v>
      </c>
      <c r="C4901">
        <v>0</v>
      </c>
      <c r="D4901" t="s">
        <v>175</v>
      </c>
      <c r="E4901" t="s">
        <v>182</v>
      </c>
      <c r="F4901" t="s">
        <v>181</v>
      </c>
      <c r="G4901" t="s">
        <v>178</v>
      </c>
    </row>
    <row r="4902" spans="1:7">
      <c r="A4902">
        <v>2024</v>
      </c>
      <c r="B4902" t="s">
        <v>188</v>
      </c>
      <c r="C4902">
        <v>0</v>
      </c>
      <c r="D4902" t="s">
        <v>175</v>
      </c>
      <c r="E4902" t="s">
        <v>182</v>
      </c>
      <c r="F4902" t="s">
        <v>181</v>
      </c>
      <c r="G4902" t="s">
        <v>178</v>
      </c>
    </row>
    <row r="4903" spans="1:7">
      <c r="A4903">
        <v>2025</v>
      </c>
      <c r="B4903" t="s">
        <v>188</v>
      </c>
      <c r="C4903">
        <v>0</v>
      </c>
      <c r="D4903" t="s">
        <v>175</v>
      </c>
      <c r="E4903" t="s">
        <v>182</v>
      </c>
      <c r="F4903" t="s">
        <v>181</v>
      </c>
      <c r="G4903" t="s">
        <v>178</v>
      </c>
    </row>
    <row r="4904" spans="1:7">
      <c r="A4904">
        <v>2026</v>
      </c>
      <c r="B4904" t="s">
        <v>188</v>
      </c>
      <c r="C4904">
        <v>0</v>
      </c>
      <c r="D4904" t="s">
        <v>175</v>
      </c>
      <c r="E4904" t="s">
        <v>182</v>
      </c>
      <c r="F4904" t="s">
        <v>181</v>
      </c>
      <c r="G4904" t="s">
        <v>178</v>
      </c>
    </row>
    <row r="4905" spans="1:7">
      <c r="A4905">
        <v>2027</v>
      </c>
      <c r="B4905" t="s">
        <v>188</v>
      </c>
      <c r="C4905">
        <v>0</v>
      </c>
      <c r="D4905" t="s">
        <v>175</v>
      </c>
      <c r="E4905" t="s">
        <v>182</v>
      </c>
      <c r="F4905" t="s">
        <v>181</v>
      </c>
      <c r="G4905" t="s">
        <v>178</v>
      </c>
    </row>
    <row r="4906" spans="1:7">
      <c r="A4906">
        <v>2028</v>
      </c>
      <c r="B4906" t="s">
        <v>188</v>
      </c>
      <c r="C4906">
        <v>0</v>
      </c>
      <c r="D4906" t="s">
        <v>175</v>
      </c>
      <c r="E4906" t="s">
        <v>182</v>
      </c>
      <c r="F4906" t="s">
        <v>181</v>
      </c>
      <c r="G4906" t="s">
        <v>178</v>
      </c>
    </row>
    <row r="4907" spans="1:7">
      <c r="A4907">
        <v>2029</v>
      </c>
      <c r="B4907" t="s">
        <v>188</v>
      </c>
      <c r="C4907">
        <v>0</v>
      </c>
      <c r="D4907" t="s">
        <v>175</v>
      </c>
      <c r="E4907" t="s">
        <v>182</v>
      </c>
      <c r="F4907" t="s">
        <v>181</v>
      </c>
      <c r="G4907" t="s">
        <v>178</v>
      </c>
    </row>
    <row r="4908" spans="1:7">
      <c r="A4908">
        <v>2030</v>
      </c>
      <c r="B4908" t="s">
        <v>188</v>
      </c>
      <c r="C4908">
        <v>0</v>
      </c>
      <c r="D4908" t="s">
        <v>175</v>
      </c>
      <c r="E4908" t="s">
        <v>182</v>
      </c>
      <c r="F4908" t="s">
        <v>181</v>
      </c>
      <c r="G4908" t="s">
        <v>178</v>
      </c>
    </row>
    <row r="4909" spans="1:7">
      <c r="A4909">
        <v>2031</v>
      </c>
      <c r="B4909" t="s">
        <v>188</v>
      </c>
      <c r="C4909">
        <v>0</v>
      </c>
      <c r="D4909" t="s">
        <v>175</v>
      </c>
      <c r="E4909" t="s">
        <v>182</v>
      </c>
      <c r="F4909" t="s">
        <v>181</v>
      </c>
      <c r="G4909" t="s">
        <v>178</v>
      </c>
    </row>
    <row r="4910" spans="1:7">
      <c r="A4910">
        <v>2032</v>
      </c>
      <c r="B4910" t="s">
        <v>188</v>
      </c>
      <c r="C4910">
        <v>0</v>
      </c>
      <c r="D4910" t="s">
        <v>175</v>
      </c>
      <c r="E4910" t="s">
        <v>182</v>
      </c>
      <c r="F4910" t="s">
        <v>181</v>
      </c>
      <c r="G4910" t="s">
        <v>178</v>
      </c>
    </row>
    <row r="4911" spans="1:7">
      <c r="A4911">
        <v>2033</v>
      </c>
      <c r="B4911" t="s">
        <v>188</v>
      </c>
      <c r="C4911">
        <v>0</v>
      </c>
      <c r="D4911" t="s">
        <v>175</v>
      </c>
      <c r="E4911" t="s">
        <v>182</v>
      </c>
      <c r="F4911" t="s">
        <v>181</v>
      </c>
      <c r="G4911" t="s">
        <v>178</v>
      </c>
    </row>
    <row r="4912" spans="1:7">
      <c r="A4912">
        <v>2034</v>
      </c>
      <c r="B4912" t="s">
        <v>188</v>
      </c>
      <c r="C4912">
        <v>0</v>
      </c>
      <c r="D4912" t="s">
        <v>175</v>
      </c>
      <c r="E4912" t="s">
        <v>182</v>
      </c>
      <c r="F4912" t="s">
        <v>181</v>
      </c>
      <c r="G4912" t="s">
        <v>178</v>
      </c>
    </row>
    <row r="4913" spans="1:7">
      <c r="A4913">
        <v>2035</v>
      </c>
      <c r="B4913" t="s">
        <v>188</v>
      </c>
      <c r="C4913">
        <v>0</v>
      </c>
      <c r="D4913" t="s">
        <v>175</v>
      </c>
      <c r="E4913" t="s">
        <v>182</v>
      </c>
      <c r="F4913" t="s">
        <v>181</v>
      </c>
      <c r="G4913" t="s">
        <v>178</v>
      </c>
    </row>
    <row r="4914" spans="1:7">
      <c r="A4914">
        <v>2020</v>
      </c>
      <c r="B4914" t="s">
        <v>189</v>
      </c>
      <c r="C4914">
        <v>0</v>
      </c>
      <c r="D4914" t="s">
        <v>175</v>
      </c>
      <c r="E4914" t="s">
        <v>182</v>
      </c>
      <c r="F4914" t="s">
        <v>181</v>
      </c>
      <c r="G4914" t="s">
        <v>178</v>
      </c>
    </row>
    <row r="4915" spans="1:7">
      <c r="A4915">
        <v>2021</v>
      </c>
      <c r="B4915" t="s">
        <v>189</v>
      </c>
      <c r="C4915">
        <v>0</v>
      </c>
      <c r="D4915" t="s">
        <v>175</v>
      </c>
      <c r="E4915" t="s">
        <v>182</v>
      </c>
      <c r="F4915" t="s">
        <v>181</v>
      </c>
      <c r="G4915" t="s">
        <v>178</v>
      </c>
    </row>
    <row r="4916" spans="1:7">
      <c r="A4916">
        <v>2022</v>
      </c>
      <c r="B4916" t="s">
        <v>189</v>
      </c>
      <c r="C4916">
        <v>0</v>
      </c>
      <c r="D4916" t="s">
        <v>175</v>
      </c>
      <c r="E4916" t="s">
        <v>182</v>
      </c>
      <c r="F4916" t="s">
        <v>181</v>
      </c>
      <c r="G4916" t="s">
        <v>178</v>
      </c>
    </row>
    <row r="4917" spans="1:7">
      <c r="A4917">
        <v>2023</v>
      </c>
      <c r="B4917" t="s">
        <v>189</v>
      </c>
      <c r="C4917">
        <v>0</v>
      </c>
      <c r="D4917" t="s">
        <v>175</v>
      </c>
      <c r="E4917" t="s">
        <v>182</v>
      </c>
      <c r="F4917" t="s">
        <v>181</v>
      </c>
      <c r="G4917" t="s">
        <v>178</v>
      </c>
    </row>
    <row r="4918" spans="1:7">
      <c r="A4918">
        <v>2024</v>
      </c>
      <c r="B4918" t="s">
        <v>189</v>
      </c>
      <c r="C4918">
        <v>0</v>
      </c>
      <c r="D4918" t="s">
        <v>175</v>
      </c>
      <c r="E4918" t="s">
        <v>182</v>
      </c>
      <c r="F4918" t="s">
        <v>181</v>
      </c>
      <c r="G4918" t="s">
        <v>178</v>
      </c>
    </row>
    <row r="4919" spans="1:7">
      <c r="A4919">
        <v>2025</v>
      </c>
      <c r="B4919" t="s">
        <v>189</v>
      </c>
      <c r="C4919">
        <v>0</v>
      </c>
      <c r="D4919" t="s">
        <v>175</v>
      </c>
      <c r="E4919" t="s">
        <v>182</v>
      </c>
      <c r="F4919" t="s">
        <v>181</v>
      </c>
      <c r="G4919" t="s">
        <v>178</v>
      </c>
    </row>
    <row r="4920" spans="1:7">
      <c r="A4920">
        <v>2026</v>
      </c>
      <c r="B4920" t="s">
        <v>189</v>
      </c>
      <c r="C4920">
        <v>0</v>
      </c>
      <c r="D4920" t="s">
        <v>175</v>
      </c>
      <c r="E4920" t="s">
        <v>182</v>
      </c>
      <c r="F4920" t="s">
        <v>181</v>
      </c>
      <c r="G4920" t="s">
        <v>178</v>
      </c>
    </row>
    <row r="4921" spans="1:7">
      <c r="A4921">
        <v>2027</v>
      </c>
      <c r="B4921" t="s">
        <v>189</v>
      </c>
      <c r="C4921">
        <v>0</v>
      </c>
      <c r="D4921" t="s">
        <v>175</v>
      </c>
      <c r="E4921" t="s">
        <v>182</v>
      </c>
      <c r="F4921" t="s">
        <v>181</v>
      </c>
      <c r="G4921" t="s">
        <v>178</v>
      </c>
    </row>
    <row r="4922" spans="1:7">
      <c r="A4922">
        <v>2028</v>
      </c>
      <c r="B4922" t="s">
        <v>189</v>
      </c>
      <c r="C4922">
        <v>0</v>
      </c>
      <c r="D4922" t="s">
        <v>175</v>
      </c>
      <c r="E4922" t="s">
        <v>182</v>
      </c>
      <c r="F4922" t="s">
        <v>181</v>
      </c>
      <c r="G4922" t="s">
        <v>178</v>
      </c>
    </row>
    <row r="4923" spans="1:7">
      <c r="A4923">
        <v>2029</v>
      </c>
      <c r="B4923" t="s">
        <v>189</v>
      </c>
      <c r="C4923">
        <v>0</v>
      </c>
      <c r="D4923" t="s">
        <v>175</v>
      </c>
      <c r="E4923" t="s">
        <v>182</v>
      </c>
      <c r="F4923" t="s">
        <v>181</v>
      </c>
      <c r="G4923" t="s">
        <v>178</v>
      </c>
    </row>
    <row r="4924" spans="1:7">
      <c r="A4924">
        <v>2030</v>
      </c>
      <c r="B4924" t="s">
        <v>189</v>
      </c>
      <c r="C4924">
        <v>0</v>
      </c>
      <c r="D4924" t="s">
        <v>175</v>
      </c>
      <c r="E4924" t="s">
        <v>182</v>
      </c>
      <c r="F4924" t="s">
        <v>181</v>
      </c>
      <c r="G4924" t="s">
        <v>178</v>
      </c>
    </row>
    <row r="4925" spans="1:7">
      <c r="A4925">
        <v>2031</v>
      </c>
      <c r="B4925" t="s">
        <v>189</v>
      </c>
      <c r="C4925">
        <v>0</v>
      </c>
      <c r="D4925" t="s">
        <v>175</v>
      </c>
      <c r="E4925" t="s">
        <v>182</v>
      </c>
      <c r="F4925" t="s">
        <v>181</v>
      </c>
      <c r="G4925" t="s">
        <v>178</v>
      </c>
    </row>
    <row r="4926" spans="1:7">
      <c r="A4926">
        <v>2032</v>
      </c>
      <c r="B4926" t="s">
        <v>189</v>
      </c>
      <c r="C4926">
        <v>0</v>
      </c>
      <c r="D4926" t="s">
        <v>175</v>
      </c>
      <c r="E4926" t="s">
        <v>182</v>
      </c>
      <c r="F4926" t="s">
        <v>181</v>
      </c>
      <c r="G4926" t="s">
        <v>178</v>
      </c>
    </row>
    <row r="4927" spans="1:7">
      <c r="A4927">
        <v>2033</v>
      </c>
      <c r="B4927" t="s">
        <v>189</v>
      </c>
      <c r="C4927">
        <v>0</v>
      </c>
      <c r="D4927" t="s">
        <v>175</v>
      </c>
      <c r="E4927" t="s">
        <v>182</v>
      </c>
      <c r="F4927" t="s">
        <v>181</v>
      </c>
      <c r="G4927" t="s">
        <v>178</v>
      </c>
    </row>
    <row r="4928" spans="1:7">
      <c r="A4928">
        <v>2034</v>
      </c>
      <c r="B4928" t="s">
        <v>189</v>
      </c>
      <c r="C4928">
        <v>0</v>
      </c>
      <c r="D4928" t="s">
        <v>175</v>
      </c>
      <c r="E4928" t="s">
        <v>182</v>
      </c>
      <c r="F4928" t="s">
        <v>181</v>
      </c>
      <c r="G4928" t="s">
        <v>178</v>
      </c>
    </row>
    <row r="4929" spans="1:7">
      <c r="A4929">
        <v>2035</v>
      </c>
      <c r="B4929" t="s">
        <v>189</v>
      </c>
      <c r="C4929">
        <v>0</v>
      </c>
      <c r="D4929" t="s">
        <v>175</v>
      </c>
      <c r="E4929" t="s">
        <v>182</v>
      </c>
      <c r="F4929" t="s">
        <v>181</v>
      </c>
      <c r="G4929" t="s">
        <v>178</v>
      </c>
    </row>
    <row r="4930" spans="1:7">
      <c r="A4930">
        <v>2020</v>
      </c>
      <c r="B4930" t="s">
        <v>190</v>
      </c>
      <c r="C4930">
        <v>11184.73</v>
      </c>
      <c r="D4930" t="s">
        <v>175</v>
      </c>
      <c r="E4930" t="s">
        <v>182</v>
      </c>
      <c r="F4930" t="s">
        <v>181</v>
      </c>
      <c r="G4930" t="s">
        <v>178</v>
      </c>
    </row>
    <row r="4931" spans="1:7">
      <c r="A4931">
        <v>2021</v>
      </c>
      <c r="B4931" t="s">
        <v>190</v>
      </c>
      <c r="C4931">
        <v>0</v>
      </c>
      <c r="D4931" t="s">
        <v>175</v>
      </c>
      <c r="E4931" t="s">
        <v>182</v>
      </c>
      <c r="F4931" t="s">
        <v>181</v>
      </c>
      <c r="G4931" t="s">
        <v>178</v>
      </c>
    </row>
    <row r="4932" spans="1:7">
      <c r="A4932">
        <v>2022</v>
      </c>
      <c r="B4932" t="s">
        <v>190</v>
      </c>
      <c r="C4932">
        <v>0</v>
      </c>
      <c r="D4932" t="s">
        <v>175</v>
      </c>
      <c r="E4932" t="s">
        <v>182</v>
      </c>
      <c r="F4932" t="s">
        <v>181</v>
      </c>
      <c r="G4932" t="s">
        <v>178</v>
      </c>
    </row>
    <row r="4933" spans="1:7">
      <c r="A4933">
        <v>2023</v>
      </c>
      <c r="B4933" t="s">
        <v>190</v>
      </c>
      <c r="C4933">
        <v>0</v>
      </c>
      <c r="D4933" t="s">
        <v>175</v>
      </c>
      <c r="E4933" t="s">
        <v>182</v>
      </c>
      <c r="F4933" t="s">
        <v>181</v>
      </c>
      <c r="G4933" t="s">
        <v>178</v>
      </c>
    </row>
    <row r="4934" spans="1:7">
      <c r="A4934">
        <v>2024</v>
      </c>
      <c r="B4934" t="s">
        <v>190</v>
      </c>
      <c r="C4934">
        <v>0</v>
      </c>
      <c r="D4934" t="s">
        <v>175</v>
      </c>
      <c r="E4934" t="s">
        <v>182</v>
      </c>
      <c r="F4934" t="s">
        <v>181</v>
      </c>
      <c r="G4934" t="s">
        <v>178</v>
      </c>
    </row>
    <row r="4935" spans="1:7">
      <c r="A4935">
        <v>2025</v>
      </c>
      <c r="B4935" t="s">
        <v>190</v>
      </c>
      <c r="C4935">
        <v>0</v>
      </c>
      <c r="D4935" t="s">
        <v>175</v>
      </c>
      <c r="E4935" t="s">
        <v>182</v>
      </c>
      <c r="F4935" t="s">
        <v>181</v>
      </c>
      <c r="G4935" t="s">
        <v>178</v>
      </c>
    </row>
    <row r="4936" spans="1:7">
      <c r="A4936">
        <v>2026</v>
      </c>
      <c r="B4936" t="s">
        <v>190</v>
      </c>
      <c r="C4936">
        <v>0</v>
      </c>
      <c r="D4936" t="s">
        <v>175</v>
      </c>
      <c r="E4936" t="s">
        <v>182</v>
      </c>
      <c r="F4936" t="s">
        <v>181</v>
      </c>
      <c r="G4936" t="s">
        <v>178</v>
      </c>
    </row>
    <row r="4937" spans="1:7">
      <c r="A4937">
        <v>2027</v>
      </c>
      <c r="B4937" t="s">
        <v>190</v>
      </c>
      <c r="C4937">
        <v>0</v>
      </c>
      <c r="D4937" t="s">
        <v>175</v>
      </c>
      <c r="E4937" t="s">
        <v>182</v>
      </c>
      <c r="F4937" t="s">
        <v>181</v>
      </c>
      <c r="G4937" t="s">
        <v>178</v>
      </c>
    </row>
    <row r="4938" spans="1:7">
      <c r="A4938">
        <v>2028</v>
      </c>
      <c r="B4938" t="s">
        <v>190</v>
      </c>
      <c r="C4938">
        <v>0</v>
      </c>
      <c r="D4938" t="s">
        <v>175</v>
      </c>
      <c r="E4938" t="s">
        <v>182</v>
      </c>
      <c r="F4938" t="s">
        <v>181</v>
      </c>
      <c r="G4938" t="s">
        <v>178</v>
      </c>
    </row>
    <row r="4939" spans="1:7">
      <c r="A4939">
        <v>2029</v>
      </c>
      <c r="B4939" t="s">
        <v>190</v>
      </c>
      <c r="C4939">
        <v>0</v>
      </c>
      <c r="D4939" t="s">
        <v>175</v>
      </c>
      <c r="E4939" t="s">
        <v>182</v>
      </c>
      <c r="F4939" t="s">
        <v>181</v>
      </c>
      <c r="G4939" t="s">
        <v>178</v>
      </c>
    </row>
    <row r="4940" spans="1:7">
      <c r="A4940">
        <v>2030</v>
      </c>
      <c r="B4940" t="s">
        <v>190</v>
      </c>
      <c r="C4940">
        <v>0</v>
      </c>
      <c r="D4940" t="s">
        <v>175</v>
      </c>
      <c r="E4940" t="s">
        <v>182</v>
      </c>
      <c r="F4940" t="s">
        <v>181</v>
      </c>
      <c r="G4940" t="s">
        <v>178</v>
      </c>
    </row>
    <row r="4941" spans="1:7">
      <c r="A4941">
        <v>2031</v>
      </c>
      <c r="B4941" t="s">
        <v>190</v>
      </c>
      <c r="C4941">
        <v>0</v>
      </c>
      <c r="D4941" t="s">
        <v>175</v>
      </c>
      <c r="E4941" t="s">
        <v>182</v>
      </c>
      <c r="F4941" t="s">
        <v>181</v>
      </c>
      <c r="G4941" t="s">
        <v>178</v>
      </c>
    </row>
    <row r="4942" spans="1:7">
      <c r="A4942">
        <v>2032</v>
      </c>
      <c r="B4942" t="s">
        <v>190</v>
      </c>
      <c r="C4942">
        <v>0</v>
      </c>
      <c r="D4942" t="s">
        <v>175</v>
      </c>
      <c r="E4942" t="s">
        <v>182</v>
      </c>
      <c r="F4942" t="s">
        <v>181</v>
      </c>
      <c r="G4942" t="s">
        <v>178</v>
      </c>
    </row>
    <row r="4943" spans="1:7">
      <c r="A4943">
        <v>2033</v>
      </c>
      <c r="B4943" t="s">
        <v>190</v>
      </c>
      <c r="C4943">
        <v>0</v>
      </c>
      <c r="D4943" t="s">
        <v>175</v>
      </c>
      <c r="E4943" t="s">
        <v>182</v>
      </c>
      <c r="F4943" t="s">
        <v>181</v>
      </c>
      <c r="G4943" t="s">
        <v>178</v>
      </c>
    </row>
    <row r="4944" spans="1:7">
      <c r="A4944">
        <v>2034</v>
      </c>
      <c r="B4944" t="s">
        <v>190</v>
      </c>
      <c r="C4944">
        <v>0</v>
      </c>
      <c r="D4944" t="s">
        <v>175</v>
      </c>
      <c r="E4944" t="s">
        <v>182</v>
      </c>
      <c r="F4944" t="s">
        <v>181</v>
      </c>
      <c r="G4944" t="s">
        <v>178</v>
      </c>
    </row>
    <row r="4945" spans="1:7">
      <c r="A4945">
        <v>2035</v>
      </c>
      <c r="B4945" t="s">
        <v>190</v>
      </c>
      <c r="C4945">
        <v>0</v>
      </c>
      <c r="D4945" t="s">
        <v>175</v>
      </c>
      <c r="E4945" t="s">
        <v>182</v>
      </c>
      <c r="F4945" t="s">
        <v>181</v>
      </c>
      <c r="G4945" t="s">
        <v>178</v>
      </c>
    </row>
    <row r="4946" spans="1:7">
      <c r="A4946">
        <v>2020</v>
      </c>
      <c r="B4946" t="s">
        <v>191</v>
      </c>
      <c r="C4946">
        <v>0</v>
      </c>
      <c r="D4946" t="s">
        <v>175</v>
      </c>
      <c r="E4946" t="s">
        <v>182</v>
      </c>
      <c r="F4946" t="s">
        <v>181</v>
      </c>
      <c r="G4946" t="s">
        <v>178</v>
      </c>
    </row>
    <row r="4947" spans="1:7">
      <c r="A4947">
        <v>2021</v>
      </c>
      <c r="B4947" t="s">
        <v>191</v>
      </c>
      <c r="C4947">
        <v>0</v>
      </c>
      <c r="D4947" t="s">
        <v>175</v>
      </c>
      <c r="E4947" t="s">
        <v>182</v>
      </c>
      <c r="F4947" t="s">
        <v>181</v>
      </c>
      <c r="G4947" t="s">
        <v>178</v>
      </c>
    </row>
    <row r="4948" spans="1:7">
      <c r="A4948">
        <v>2022</v>
      </c>
      <c r="B4948" t="s">
        <v>191</v>
      </c>
      <c r="C4948">
        <v>0</v>
      </c>
      <c r="D4948" t="s">
        <v>175</v>
      </c>
      <c r="E4948" t="s">
        <v>182</v>
      </c>
      <c r="F4948" t="s">
        <v>181</v>
      </c>
      <c r="G4948" t="s">
        <v>178</v>
      </c>
    </row>
    <row r="4949" spans="1:7">
      <c r="A4949">
        <v>2023</v>
      </c>
      <c r="B4949" t="s">
        <v>191</v>
      </c>
      <c r="C4949">
        <v>0</v>
      </c>
      <c r="D4949" t="s">
        <v>175</v>
      </c>
      <c r="E4949" t="s">
        <v>182</v>
      </c>
      <c r="F4949" t="s">
        <v>181</v>
      </c>
      <c r="G4949" t="s">
        <v>178</v>
      </c>
    </row>
    <row r="4950" spans="1:7">
      <c r="A4950">
        <v>2024</v>
      </c>
      <c r="B4950" t="s">
        <v>191</v>
      </c>
      <c r="C4950">
        <v>0</v>
      </c>
      <c r="D4950" t="s">
        <v>175</v>
      </c>
      <c r="E4950" t="s">
        <v>182</v>
      </c>
      <c r="F4950" t="s">
        <v>181</v>
      </c>
      <c r="G4950" t="s">
        <v>178</v>
      </c>
    </row>
    <row r="4951" spans="1:7">
      <c r="A4951">
        <v>2025</v>
      </c>
      <c r="B4951" t="s">
        <v>191</v>
      </c>
      <c r="C4951">
        <v>0</v>
      </c>
      <c r="D4951" t="s">
        <v>175</v>
      </c>
      <c r="E4951" t="s">
        <v>182</v>
      </c>
      <c r="F4951" t="s">
        <v>181</v>
      </c>
      <c r="G4951" t="s">
        <v>178</v>
      </c>
    </row>
    <row r="4952" spans="1:7">
      <c r="A4952">
        <v>2026</v>
      </c>
      <c r="B4952" t="s">
        <v>191</v>
      </c>
      <c r="C4952">
        <v>0</v>
      </c>
      <c r="D4952" t="s">
        <v>175</v>
      </c>
      <c r="E4952" t="s">
        <v>182</v>
      </c>
      <c r="F4952" t="s">
        <v>181</v>
      </c>
      <c r="G4952" t="s">
        <v>178</v>
      </c>
    </row>
    <row r="4953" spans="1:7">
      <c r="A4953">
        <v>2027</v>
      </c>
      <c r="B4953" t="s">
        <v>191</v>
      </c>
      <c r="C4953">
        <v>0</v>
      </c>
      <c r="D4953" t="s">
        <v>175</v>
      </c>
      <c r="E4953" t="s">
        <v>182</v>
      </c>
      <c r="F4953" t="s">
        <v>181</v>
      </c>
      <c r="G4953" t="s">
        <v>178</v>
      </c>
    </row>
    <row r="4954" spans="1:7">
      <c r="A4954">
        <v>2028</v>
      </c>
      <c r="B4954" t="s">
        <v>191</v>
      </c>
      <c r="C4954">
        <v>0</v>
      </c>
      <c r="D4954" t="s">
        <v>175</v>
      </c>
      <c r="E4954" t="s">
        <v>182</v>
      </c>
      <c r="F4954" t="s">
        <v>181</v>
      </c>
      <c r="G4954" t="s">
        <v>178</v>
      </c>
    </row>
    <row r="4955" spans="1:7">
      <c r="A4955">
        <v>2029</v>
      </c>
      <c r="B4955" t="s">
        <v>191</v>
      </c>
      <c r="C4955">
        <v>0</v>
      </c>
      <c r="D4955" t="s">
        <v>175</v>
      </c>
      <c r="E4955" t="s">
        <v>182</v>
      </c>
      <c r="F4955" t="s">
        <v>181</v>
      </c>
      <c r="G4955" t="s">
        <v>178</v>
      </c>
    </row>
    <row r="4956" spans="1:7">
      <c r="A4956">
        <v>2030</v>
      </c>
      <c r="B4956" t="s">
        <v>191</v>
      </c>
      <c r="C4956">
        <v>0</v>
      </c>
      <c r="D4956" t="s">
        <v>175</v>
      </c>
      <c r="E4956" t="s">
        <v>182</v>
      </c>
      <c r="F4956" t="s">
        <v>181</v>
      </c>
      <c r="G4956" t="s">
        <v>178</v>
      </c>
    </row>
    <row r="4957" spans="1:7">
      <c r="A4957">
        <v>2031</v>
      </c>
      <c r="B4957" t="s">
        <v>191</v>
      </c>
      <c r="C4957">
        <v>0</v>
      </c>
      <c r="D4957" t="s">
        <v>175</v>
      </c>
      <c r="E4957" t="s">
        <v>182</v>
      </c>
      <c r="F4957" t="s">
        <v>181</v>
      </c>
      <c r="G4957" t="s">
        <v>178</v>
      </c>
    </row>
    <row r="4958" spans="1:7">
      <c r="A4958">
        <v>2032</v>
      </c>
      <c r="B4958" t="s">
        <v>191</v>
      </c>
      <c r="C4958">
        <v>0</v>
      </c>
      <c r="D4958" t="s">
        <v>175</v>
      </c>
      <c r="E4958" t="s">
        <v>182</v>
      </c>
      <c r="F4958" t="s">
        <v>181</v>
      </c>
      <c r="G4958" t="s">
        <v>178</v>
      </c>
    </row>
    <row r="4959" spans="1:7">
      <c r="A4959">
        <v>2033</v>
      </c>
      <c r="B4959" t="s">
        <v>191</v>
      </c>
      <c r="C4959">
        <v>0</v>
      </c>
      <c r="D4959" t="s">
        <v>175</v>
      </c>
      <c r="E4959" t="s">
        <v>182</v>
      </c>
      <c r="F4959" t="s">
        <v>181</v>
      </c>
      <c r="G4959" t="s">
        <v>178</v>
      </c>
    </row>
    <row r="4960" spans="1:7">
      <c r="A4960">
        <v>2034</v>
      </c>
      <c r="B4960" t="s">
        <v>191</v>
      </c>
      <c r="C4960">
        <v>0</v>
      </c>
      <c r="D4960" t="s">
        <v>175</v>
      </c>
      <c r="E4960" t="s">
        <v>182</v>
      </c>
      <c r="F4960" t="s">
        <v>181</v>
      </c>
      <c r="G4960" t="s">
        <v>178</v>
      </c>
    </row>
    <row r="4961" spans="1:7">
      <c r="A4961">
        <v>2035</v>
      </c>
      <c r="B4961" t="s">
        <v>191</v>
      </c>
      <c r="C4961">
        <v>0</v>
      </c>
      <c r="D4961" t="s">
        <v>175</v>
      </c>
      <c r="E4961" t="s">
        <v>182</v>
      </c>
      <c r="F4961" t="s">
        <v>181</v>
      </c>
      <c r="G4961" t="s">
        <v>178</v>
      </c>
    </row>
    <row r="4962" spans="1:7">
      <c r="A4962">
        <v>2020</v>
      </c>
      <c r="B4962" t="s">
        <v>192</v>
      </c>
      <c r="C4962">
        <v>2619.2199999999998</v>
      </c>
      <c r="D4962" t="s">
        <v>175</v>
      </c>
      <c r="E4962" t="s">
        <v>182</v>
      </c>
      <c r="F4962" t="s">
        <v>181</v>
      </c>
      <c r="G4962" t="s">
        <v>178</v>
      </c>
    </row>
    <row r="4963" spans="1:7">
      <c r="A4963">
        <v>2021</v>
      </c>
      <c r="B4963" t="s">
        <v>192</v>
      </c>
      <c r="C4963">
        <v>0</v>
      </c>
      <c r="D4963" t="s">
        <v>175</v>
      </c>
      <c r="E4963" t="s">
        <v>182</v>
      </c>
      <c r="F4963" t="s">
        <v>181</v>
      </c>
      <c r="G4963" t="s">
        <v>178</v>
      </c>
    </row>
    <row r="4964" spans="1:7">
      <c r="A4964">
        <v>2022</v>
      </c>
      <c r="B4964" t="s">
        <v>192</v>
      </c>
      <c r="C4964">
        <v>0</v>
      </c>
      <c r="D4964" t="s">
        <v>175</v>
      </c>
      <c r="E4964" t="s">
        <v>182</v>
      </c>
      <c r="F4964" t="s">
        <v>181</v>
      </c>
      <c r="G4964" t="s">
        <v>178</v>
      </c>
    </row>
    <row r="4965" spans="1:7">
      <c r="A4965">
        <v>2023</v>
      </c>
      <c r="B4965" t="s">
        <v>192</v>
      </c>
      <c r="C4965">
        <v>48</v>
      </c>
      <c r="D4965" t="s">
        <v>175</v>
      </c>
      <c r="E4965" t="s">
        <v>182</v>
      </c>
      <c r="F4965" t="s">
        <v>181</v>
      </c>
      <c r="G4965" t="s">
        <v>178</v>
      </c>
    </row>
    <row r="4966" spans="1:7">
      <c r="A4966">
        <v>2024</v>
      </c>
      <c r="B4966" t="s">
        <v>192</v>
      </c>
      <c r="C4966">
        <v>48</v>
      </c>
      <c r="D4966" t="s">
        <v>175</v>
      </c>
      <c r="E4966" t="s">
        <v>182</v>
      </c>
      <c r="F4966" t="s">
        <v>181</v>
      </c>
      <c r="G4966" t="s">
        <v>178</v>
      </c>
    </row>
    <row r="4967" spans="1:7">
      <c r="A4967">
        <v>2025</v>
      </c>
      <c r="B4967" t="s">
        <v>192</v>
      </c>
      <c r="C4967">
        <v>0</v>
      </c>
      <c r="D4967" t="s">
        <v>175</v>
      </c>
      <c r="E4967" t="s">
        <v>182</v>
      </c>
      <c r="F4967" t="s">
        <v>181</v>
      </c>
      <c r="G4967" t="s">
        <v>178</v>
      </c>
    </row>
    <row r="4968" spans="1:7">
      <c r="A4968">
        <v>2026</v>
      </c>
      <c r="B4968" t="s">
        <v>192</v>
      </c>
      <c r="C4968">
        <v>0</v>
      </c>
      <c r="D4968" t="s">
        <v>175</v>
      </c>
      <c r="E4968" t="s">
        <v>182</v>
      </c>
      <c r="F4968" t="s">
        <v>181</v>
      </c>
      <c r="G4968" t="s">
        <v>178</v>
      </c>
    </row>
    <row r="4969" spans="1:7">
      <c r="A4969">
        <v>2027</v>
      </c>
      <c r="B4969" t="s">
        <v>192</v>
      </c>
      <c r="C4969">
        <v>0</v>
      </c>
      <c r="D4969" t="s">
        <v>175</v>
      </c>
      <c r="E4969" t="s">
        <v>182</v>
      </c>
      <c r="F4969" t="s">
        <v>181</v>
      </c>
      <c r="G4969" t="s">
        <v>178</v>
      </c>
    </row>
    <row r="4970" spans="1:7">
      <c r="A4970">
        <v>2028</v>
      </c>
      <c r="B4970" t="s">
        <v>192</v>
      </c>
      <c r="C4970">
        <v>0</v>
      </c>
      <c r="D4970" t="s">
        <v>175</v>
      </c>
      <c r="E4970" t="s">
        <v>182</v>
      </c>
      <c r="F4970" t="s">
        <v>181</v>
      </c>
      <c r="G4970" t="s">
        <v>178</v>
      </c>
    </row>
    <row r="4971" spans="1:7">
      <c r="A4971">
        <v>2029</v>
      </c>
      <c r="B4971" t="s">
        <v>192</v>
      </c>
      <c r="C4971">
        <v>0</v>
      </c>
      <c r="D4971" t="s">
        <v>175</v>
      </c>
      <c r="E4971" t="s">
        <v>182</v>
      </c>
      <c r="F4971" t="s">
        <v>181</v>
      </c>
      <c r="G4971" t="s">
        <v>178</v>
      </c>
    </row>
    <row r="4972" spans="1:7">
      <c r="A4972">
        <v>2030</v>
      </c>
      <c r="B4972" t="s">
        <v>192</v>
      </c>
      <c r="C4972">
        <v>0</v>
      </c>
      <c r="D4972" t="s">
        <v>175</v>
      </c>
      <c r="E4972" t="s">
        <v>182</v>
      </c>
      <c r="F4972" t="s">
        <v>181</v>
      </c>
      <c r="G4972" t="s">
        <v>178</v>
      </c>
    </row>
    <row r="4973" spans="1:7">
      <c r="A4973">
        <v>2031</v>
      </c>
      <c r="B4973" t="s">
        <v>192</v>
      </c>
      <c r="C4973">
        <v>0</v>
      </c>
      <c r="D4973" t="s">
        <v>175</v>
      </c>
      <c r="E4973" t="s">
        <v>182</v>
      </c>
      <c r="F4973" t="s">
        <v>181</v>
      </c>
      <c r="G4973" t="s">
        <v>178</v>
      </c>
    </row>
    <row r="4974" spans="1:7">
      <c r="A4974">
        <v>2032</v>
      </c>
      <c r="B4974" t="s">
        <v>192</v>
      </c>
      <c r="C4974">
        <v>0</v>
      </c>
      <c r="D4974" t="s">
        <v>175</v>
      </c>
      <c r="E4974" t="s">
        <v>182</v>
      </c>
      <c r="F4974" t="s">
        <v>181</v>
      </c>
      <c r="G4974" t="s">
        <v>178</v>
      </c>
    </row>
    <row r="4975" spans="1:7">
      <c r="A4975">
        <v>2033</v>
      </c>
      <c r="B4975" t="s">
        <v>192</v>
      </c>
      <c r="C4975">
        <v>0</v>
      </c>
      <c r="D4975" t="s">
        <v>175</v>
      </c>
      <c r="E4975" t="s">
        <v>182</v>
      </c>
      <c r="F4975" t="s">
        <v>181</v>
      </c>
      <c r="G4975" t="s">
        <v>178</v>
      </c>
    </row>
    <row r="4976" spans="1:7">
      <c r="A4976">
        <v>2034</v>
      </c>
      <c r="B4976" t="s">
        <v>192</v>
      </c>
      <c r="C4976">
        <v>0</v>
      </c>
      <c r="D4976" t="s">
        <v>175</v>
      </c>
      <c r="E4976" t="s">
        <v>182</v>
      </c>
      <c r="F4976" t="s">
        <v>181</v>
      </c>
      <c r="G4976" t="s">
        <v>178</v>
      </c>
    </row>
    <row r="4977" spans="1:7">
      <c r="A4977">
        <v>2035</v>
      </c>
      <c r="B4977" t="s">
        <v>192</v>
      </c>
      <c r="C4977">
        <v>0</v>
      </c>
      <c r="D4977" t="s">
        <v>175</v>
      </c>
      <c r="E4977" t="s">
        <v>182</v>
      </c>
      <c r="F4977" t="s">
        <v>181</v>
      </c>
      <c r="G4977" t="s">
        <v>178</v>
      </c>
    </row>
    <row r="4978" spans="1:7">
      <c r="A4978">
        <v>2020</v>
      </c>
      <c r="B4978" t="s">
        <v>193</v>
      </c>
      <c r="C4978">
        <v>232.5</v>
      </c>
      <c r="D4978" t="s">
        <v>175</v>
      </c>
      <c r="E4978" t="s">
        <v>182</v>
      </c>
      <c r="F4978" t="s">
        <v>181</v>
      </c>
      <c r="G4978" t="s">
        <v>178</v>
      </c>
    </row>
    <row r="4979" spans="1:7">
      <c r="A4979">
        <v>2021</v>
      </c>
      <c r="B4979" t="s">
        <v>193</v>
      </c>
      <c r="C4979">
        <v>1100</v>
      </c>
      <c r="D4979" t="s">
        <v>175</v>
      </c>
      <c r="E4979" t="s">
        <v>182</v>
      </c>
      <c r="F4979" t="s">
        <v>181</v>
      </c>
      <c r="G4979" t="s">
        <v>178</v>
      </c>
    </row>
    <row r="4980" spans="1:7">
      <c r="A4980">
        <v>2022</v>
      </c>
      <c r="B4980" t="s">
        <v>193</v>
      </c>
      <c r="C4980">
        <v>1100</v>
      </c>
      <c r="D4980" t="s">
        <v>175</v>
      </c>
      <c r="E4980" t="s">
        <v>182</v>
      </c>
      <c r="F4980" t="s">
        <v>181</v>
      </c>
      <c r="G4980" t="s">
        <v>178</v>
      </c>
    </row>
    <row r="4981" spans="1:7">
      <c r="A4981">
        <v>2023</v>
      </c>
      <c r="B4981" t="s">
        <v>193</v>
      </c>
      <c r="C4981">
        <v>0</v>
      </c>
      <c r="D4981" t="s">
        <v>175</v>
      </c>
      <c r="E4981" t="s">
        <v>182</v>
      </c>
      <c r="F4981" t="s">
        <v>181</v>
      </c>
      <c r="G4981" t="s">
        <v>178</v>
      </c>
    </row>
    <row r="4982" spans="1:7">
      <c r="A4982">
        <v>2024</v>
      </c>
      <c r="B4982" t="s">
        <v>193</v>
      </c>
      <c r="C4982">
        <v>0</v>
      </c>
      <c r="D4982" t="s">
        <v>175</v>
      </c>
      <c r="E4982" t="s">
        <v>182</v>
      </c>
      <c r="F4982" t="s">
        <v>181</v>
      </c>
      <c r="G4982" t="s">
        <v>178</v>
      </c>
    </row>
    <row r="4983" spans="1:7">
      <c r="A4983">
        <v>2025</v>
      </c>
      <c r="B4983" t="s">
        <v>193</v>
      </c>
      <c r="C4983">
        <v>0</v>
      </c>
      <c r="D4983" t="s">
        <v>175</v>
      </c>
      <c r="E4983" t="s">
        <v>182</v>
      </c>
      <c r="F4983" t="s">
        <v>181</v>
      </c>
      <c r="G4983" t="s">
        <v>178</v>
      </c>
    </row>
    <row r="4984" spans="1:7">
      <c r="A4984">
        <v>2026</v>
      </c>
      <c r="B4984" t="s">
        <v>193</v>
      </c>
      <c r="C4984">
        <v>0</v>
      </c>
      <c r="D4984" t="s">
        <v>175</v>
      </c>
      <c r="E4984" t="s">
        <v>182</v>
      </c>
      <c r="F4984" t="s">
        <v>181</v>
      </c>
      <c r="G4984" t="s">
        <v>178</v>
      </c>
    </row>
    <row r="4985" spans="1:7">
      <c r="A4985">
        <v>2027</v>
      </c>
      <c r="B4985" t="s">
        <v>193</v>
      </c>
      <c r="C4985">
        <v>0</v>
      </c>
      <c r="D4985" t="s">
        <v>175</v>
      </c>
      <c r="E4985" t="s">
        <v>182</v>
      </c>
      <c r="F4985" t="s">
        <v>181</v>
      </c>
      <c r="G4985" t="s">
        <v>178</v>
      </c>
    </row>
    <row r="4986" spans="1:7">
      <c r="A4986">
        <v>2028</v>
      </c>
      <c r="B4986" t="s">
        <v>193</v>
      </c>
      <c r="C4986">
        <v>0</v>
      </c>
      <c r="D4986" t="s">
        <v>175</v>
      </c>
      <c r="E4986" t="s">
        <v>182</v>
      </c>
      <c r="F4986" t="s">
        <v>181</v>
      </c>
      <c r="G4986" t="s">
        <v>178</v>
      </c>
    </row>
    <row r="4987" spans="1:7">
      <c r="A4987">
        <v>2029</v>
      </c>
      <c r="B4987" t="s">
        <v>193</v>
      </c>
      <c r="C4987">
        <v>0</v>
      </c>
      <c r="D4987" t="s">
        <v>175</v>
      </c>
      <c r="E4987" t="s">
        <v>182</v>
      </c>
      <c r="F4987" t="s">
        <v>181</v>
      </c>
      <c r="G4987" t="s">
        <v>178</v>
      </c>
    </row>
    <row r="4988" spans="1:7">
      <c r="A4988">
        <v>2030</v>
      </c>
      <c r="B4988" t="s">
        <v>193</v>
      </c>
      <c r="C4988">
        <v>0</v>
      </c>
      <c r="D4988" t="s">
        <v>175</v>
      </c>
      <c r="E4988" t="s">
        <v>182</v>
      </c>
      <c r="F4988" t="s">
        <v>181</v>
      </c>
      <c r="G4988" t="s">
        <v>178</v>
      </c>
    </row>
    <row r="4989" spans="1:7">
      <c r="A4989">
        <v>2031</v>
      </c>
      <c r="B4989" t="s">
        <v>193</v>
      </c>
      <c r="C4989">
        <v>0</v>
      </c>
      <c r="D4989" t="s">
        <v>175</v>
      </c>
      <c r="E4989" t="s">
        <v>182</v>
      </c>
      <c r="F4989" t="s">
        <v>181</v>
      </c>
      <c r="G4989" t="s">
        <v>178</v>
      </c>
    </row>
    <row r="4990" spans="1:7">
      <c r="A4990">
        <v>2032</v>
      </c>
      <c r="B4990" t="s">
        <v>193</v>
      </c>
      <c r="C4990">
        <v>0</v>
      </c>
      <c r="D4990" t="s">
        <v>175</v>
      </c>
      <c r="E4990" t="s">
        <v>182</v>
      </c>
      <c r="F4990" t="s">
        <v>181</v>
      </c>
      <c r="G4990" t="s">
        <v>178</v>
      </c>
    </row>
    <row r="4991" spans="1:7">
      <c r="A4991">
        <v>2033</v>
      </c>
      <c r="B4991" t="s">
        <v>193</v>
      </c>
      <c r="C4991">
        <v>0</v>
      </c>
      <c r="D4991" t="s">
        <v>175</v>
      </c>
      <c r="E4991" t="s">
        <v>182</v>
      </c>
      <c r="F4991" t="s">
        <v>181</v>
      </c>
      <c r="G4991" t="s">
        <v>178</v>
      </c>
    </row>
    <row r="4992" spans="1:7">
      <c r="A4992">
        <v>2034</v>
      </c>
      <c r="B4992" t="s">
        <v>193</v>
      </c>
      <c r="C4992">
        <v>0</v>
      </c>
      <c r="D4992" t="s">
        <v>175</v>
      </c>
      <c r="E4992" t="s">
        <v>182</v>
      </c>
      <c r="F4992" t="s">
        <v>181</v>
      </c>
      <c r="G4992" t="s">
        <v>178</v>
      </c>
    </row>
    <row r="4993" spans="1:7">
      <c r="A4993">
        <v>2035</v>
      </c>
      <c r="B4993" t="s">
        <v>193</v>
      </c>
      <c r="C4993">
        <v>0</v>
      </c>
      <c r="D4993" t="s">
        <v>175</v>
      </c>
      <c r="E4993" t="s">
        <v>182</v>
      </c>
      <c r="F4993" t="s">
        <v>181</v>
      </c>
      <c r="G4993" t="s">
        <v>178</v>
      </c>
    </row>
    <row r="4994" spans="1:7">
      <c r="A4994">
        <v>2020</v>
      </c>
      <c r="B4994" t="s">
        <v>194</v>
      </c>
      <c r="C4994">
        <v>14.85</v>
      </c>
      <c r="D4994" t="s">
        <v>175</v>
      </c>
      <c r="E4994" t="s">
        <v>182</v>
      </c>
      <c r="F4994" t="s">
        <v>181</v>
      </c>
      <c r="G4994" t="s">
        <v>178</v>
      </c>
    </row>
    <row r="4995" spans="1:7">
      <c r="A4995">
        <v>2021</v>
      </c>
      <c r="B4995" t="s">
        <v>194</v>
      </c>
      <c r="C4995">
        <v>0</v>
      </c>
      <c r="D4995" t="s">
        <v>175</v>
      </c>
      <c r="E4995" t="s">
        <v>182</v>
      </c>
      <c r="F4995" t="s">
        <v>181</v>
      </c>
      <c r="G4995" t="s">
        <v>178</v>
      </c>
    </row>
    <row r="4996" spans="1:7">
      <c r="A4996">
        <v>2022</v>
      </c>
      <c r="B4996" t="s">
        <v>194</v>
      </c>
      <c r="C4996">
        <v>0</v>
      </c>
      <c r="D4996" t="s">
        <v>175</v>
      </c>
      <c r="E4996" t="s">
        <v>182</v>
      </c>
      <c r="F4996" t="s">
        <v>181</v>
      </c>
      <c r="G4996" t="s">
        <v>178</v>
      </c>
    </row>
    <row r="4997" spans="1:7">
      <c r="A4997">
        <v>2023</v>
      </c>
      <c r="B4997" t="s">
        <v>194</v>
      </c>
      <c r="C4997">
        <v>0</v>
      </c>
      <c r="D4997" t="s">
        <v>175</v>
      </c>
      <c r="E4997" t="s">
        <v>182</v>
      </c>
      <c r="F4997" t="s">
        <v>181</v>
      </c>
      <c r="G4997" t="s">
        <v>178</v>
      </c>
    </row>
    <row r="4998" spans="1:7">
      <c r="A4998">
        <v>2024</v>
      </c>
      <c r="B4998" t="s">
        <v>194</v>
      </c>
      <c r="C4998">
        <v>0</v>
      </c>
      <c r="D4998" t="s">
        <v>175</v>
      </c>
      <c r="E4998" t="s">
        <v>182</v>
      </c>
      <c r="F4998" t="s">
        <v>181</v>
      </c>
      <c r="G4998" t="s">
        <v>178</v>
      </c>
    </row>
    <row r="4999" spans="1:7">
      <c r="A4999">
        <v>2025</v>
      </c>
      <c r="B4999" t="s">
        <v>194</v>
      </c>
      <c r="C4999">
        <v>0</v>
      </c>
      <c r="D4999" t="s">
        <v>175</v>
      </c>
      <c r="E4999" t="s">
        <v>182</v>
      </c>
      <c r="F4999" t="s">
        <v>181</v>
      </c>
      <c r="G4999" t="s">
        <v>178</v>
      </c>
    </row>
    <row r="5000" spans="1:7">
      <c r="A5000">
        <v>2026</v>
      </c>
      <c r="B5000" t="s">
        <v>194</v>
      </c>
      <c r="C5000">
        <v>0</v>
      </c>
      <c r="D5000" t="s">
        <v>175</v>
      </c>
      <c r="E5000" t="s">
        <v>182</v>
      </c>
      <c r="F5000" t="s">
        <v>181</v>
      </c>
      <c r="G5000" t="s">
        <v>178</v>
      </c>
    </row>
    <row r="5001" spans="1:7">
      <c r="A5001">
        <v>2027</v>
      </c>
      <c r="B5001" t="s">
        <v>194</v>
      </c>
      <c r="C5001">
        <v>0</v>
      </c>
      <c r="D5001" t="s">
        <v>175</v>
      </c>
      <c r="E5001" t="s">
        <v>182</v>
      </c>
      <c r="F5001" t="s">
        <v>181</v>
      </c>
      <c r="G5001" t="s">
        <v>178</v>
      </c>
    </row>
    <row r="5002" spans="1:7">
      <c r="A5002">
        <v>2028</v>
      </c>
      <c r="B5002" t="s">
        <v>194</v>
      </c>
      <c r="C5002">
        <v>0</v>
      </c>
      <c r="D5002" t="s">
        <v>175</v>
      </c>
      <c r="E5002" t="s">
        <v>182</v>
      </c>
      <c r="F5002" t="s">
        <v>181</v>
      </c>
      <c r="G5002" t="s">
        <v>178</v>
      </c>
    </row>
    <row r="5003" spans="1:7">
      <c r="A5003">
        <v>2029</v>
      </c>
      <c r="B5003" t="s">
        <v>194</v>
      </c>
      <c r="C5003">
        <v>0</v>
      </c>
      <c r="D5003" t="s">
        <v>175</v>
      </c>
      <c r="E5003" t="s">
        <v>182</v>
      </c>
      <c r="F5003" t="s">
        <v>181</v>
      </c>
      <c r="G5003" t="s">
        <v>178</v>
      </c>
    </row>
    <row r="5004" spans="1:7">
      <c r="A5004">
        <v>2030</v>
      </c>
      <c r="B5004" t="s">
        <v>194</v>
      </c>
      <c r="C5004">
        <v>0</v>
      </c>
      <c r="D5004" t="s">
        <v>175</v>
      </c>
      <c r="E5004" t="s">
        <v>182</v>
      </c>
      <c r="F5004" t="s">
        <v>181</v>
      </c>
      <c r="G5004" t="s">
        <v>178</v>
      </c>
    </row>
    <row r="5005" spans="1:7">
      <c r="A5005">
        <v>2031</v>
      </c>
      <c r="B5005" t="s">
        <v>194</v>
      </c>
      <c r="C5005">
        <v>0</v>
      </c>
      <c r="D5005" t="s">
        <v>175</v>
      </c>
      <c r="E5005" t="s">
        <v>182</v>
      </c>
      <c r="F5005" t="s">
        <v>181</v>
      </c>
      <c r="G5005" t="s">
        <v>178</v>
      </c>
    </row>
    <row r="5006" spans="1:7">
      <c r="A5006">
        <v>2032</v>
      </c>
      <c r="B5006" t="s">
        <v>194</v>
      </c>
      <c r="C5006">
        <v>0</v>
      </c>
      <c r="D5006" t="s">
        <v>175</v>
      </c>
      <c r="E5006" t="s">
        <v>182</v>
      </c>
      <c r="F5006" t="s">
        <v>181</v>
      </c>
      <c r="G5006" t="s">
        <v>178</v>
      </c>
    </row>
    <row r="5007" spans="1:7">
      <c r="A5007">
        <v>2033</v>
      </c>
      <c r="B5007" t="s">
        <v>194</v>
      </c>
      <c r="C5007">
        <v>0</v>
      </c>
      <c r="D5007" t="s">
        <v>175</v>
      </c>
      <c r="E5007" t="s">
        <v>182</v>
      </c>
      <c r="F5007" t="s">
        <v>181</v>
      </c>
      <c r="G5007" t="s">
        <v>178</v>
      </c>
    </row>
    <row r="5008" spans="1:7">
      <c r="A5008">
        <v>2034</v>
      </c>
      <c r="B5008" t="s">
        <v>194</v>
      </c>
      <c r="C5008">
        <v>0</v>
      </c>
      <c r="D5008" t="s">
        <v>175</v>
      </c>
      <c r="E5008" t="s">
        <v>182</v>
      </c>
      <c r="F5008" t="s">
        <v>181</v>
      </c>
      <c r="G5008" t="s">
        <v>178</v>
      </c>
    </row>
    <row r="5009" spans="1:7">
      <c r="A5009">
        <v>2035</v>
      </c>
      <c r="B5009" t="s">
        <v>194</v>
      </c>
      <c r="C5009">
        <v>0</v>
      </c>
      <c r="D5009" t="s">
        <v>175</v>
      </c>
      <c r="E5009" t="s">
        <v>182</v>
      </c>
      <c r="F5009" t="s">
        <v>181</v>
      </c>
      <c r="G5009" t="s">
        <v>178</v>
      </c>
    </row>
    <row r="5010" spans="1:7">
      <c r="A5010">
        <v>2020</v>
      </c>
      <c r="B5010" t="s">
        <v>195</v>
      </c>
      <c r="C5010">
        <v>13071.9</v>
      </c>
      <c r="D5010" t="s">
        <v>175</v>
      </c>
      <c r="E5010" t="s">
        <v>182</v>
      </c>
      <c r="F5010" t="s">
        <v>181</v>
      </c>
      <c r="G5010" t="s">
        <v>178</v>
      </c>
    </row>
    <row r="5011" spans="1:7">
      <c r="A5011">
        <v>2021</v>
      </c>
      <c r="B5011" t="s">
        <v>195</v>
      </c>
      <c r="C5011">
        <v>69757.2</v>
      </c>
      <c r="D5011" t="s">
        <v>175</v>
      </c>
      <c r="E5011" t="s">
        <v>182</v>
      </c>
      <c r="F5011" t="s">
        <v>181</v>
      </c>
      <c r="G5011" t="s">
        <v>178</v>
      </c>
    </row>
    <row r="5012" spans="1:7">
      <c r="A5012">
        <v>2022</v>
      </c>
      <c r="B5012" t="s">
        <v>195</v>
      </c>
      <c r="C5012">
        <v>69757.2</v>
      </c>
      <c r="D5012" t="s">
        <v>175</v>
      </c>
      <c r="E5012" t="s">
        <v>182</v>
      </c>
      <c r="F5012" t="s">
        <v>181</v>
      </c>
      <c r="G5012" t="s">
        <v>178</v>
      </c>
    </row>
    <row r="5013" spans="1:7">
      <c r="A5013">
        <v>2023</v>
      </c>
      <c r="B5013" t="s">
        <v>195</v>
      </c>
      <c r="C5013">
        <v>40887.300000000003</v>
      </c>
      <c r="D5013" t="s">
        <v>175</v>
      </c>
      <c r="E5013" t="s">
        <v>182</v>
      </c>
      <c r="F5013" t="s">
        <v>181</v>
      </c>
      <c r="G5013" t="s">
        <v>178</v>
      </c>
    </row>
    <row r="5014" spans="1:7">
      <c r="A5014">
        <v>2024</v>
      </c>
      <c r="B5014" t="s">
        <v>195</v>
      </c>
      <c r="C5014">
        <v>40887.300000000003</v>
      </c>
      <c r="D5014" t="s">
        <v>175</v>
      </c>
      <c r="E5014" t="s">
        <v>182</v>
      </c>
      <c r="F5014" t="s">
        <v>181</v>
      </c>
      <c r="G5014" t="s">
        <v>178</v>
      </c>
    </row>
    <row r="5015" spans="1:7">
      <c r="A5015">
        <v>2025</v>
      </c>
      <c r="B5015" t="s">
        <v>195</v>
      </c>
      <c r="C5015">
        <v>12810.2</v>
      </c>
      <c r="D5015" t="s">
        <v>175</v>
      </c>
      <c r="E5015" t="s">
        <v>182</v>
      </c>
      <c r="F5015" t="s">
        <v>181</v>
      </c>
      <c r="G5015" t="s">
        <v>178</v>
      </c>
    </row>
    <row r="5016" spans="1:7">
      <c r="A5016">
        <v>2026</v>
      </c>
      <c r="B5016" t="s">
        <v>195</v>
      </c>
      <c r="C5016">
        <v>12810.2</v>
      </c>
      <c r="D5016" t="s">
        <v>175</v>
      </c>
      <c r="E5016" t="s">
        <v>182</v>
      </c>
      <c r="F5016" t="s">
        <v>181</v>
      </c>
      <c r="G5016" t="s">
        <v>178</v>
      </c>
    </row>
    <row r="5017" spans="1:7">
      <c r="A5017">
        <v>2027</v>
      </c>
      <c r="B5017" t="s">
        <v>195</v>
      </c>
      <c r="C5017">
        <v>24775.599999999999</v>
      </c>
      <c r="D5017" t="s">
        <v>175</v>
      </c>
      <c r="E5017" t="s">
        <v>182</v>
      </c>
      <c r="F5017" t="s">
        <v>181</v>
      </c>
      <c r="G5017" t="s">
        <v>178</v>
      </c>
    </row>
    <row r="5018" spans="1:7">
      <c r="A5018">
        <v>2028</v>
      </c>
      <c r="B5018" t="s">
        <v>195</v>
      </c>
      <c r="C5018">
        <v>24775.599999999999</v>
      </c>
      <c r="D5018" t="s">
        <v>175</v>
      </c>
      <c r="E5018" t="s">
        <v>182</v>
      </c>
      <c r="F5018" t="s">
        <v>181</v>
      </c>
      <c r="G5018" t="s">
        <v>178</v>
      </c>
    </row>
    <row r="5019" spans="1:7">
      <c r="A5019">
        <v>2029</v>
      </c>
      <c r="B5019" t="s">
        <v>195</v>
      </c>
      <c r="C5019">
        <v>26083.9</v>
      </c>
      <c r="D5019" t="s">
        <v>175</v>
      </c>
      <c r="E5019" t="s">
        <v>182</v>
      </c>
      <c r="F5019" t="s">
        <v>181</v>
      </c>
      <c r="G5019" t="s">
        <v>178</v>
      </c>
    </row>
    <row r="5020" spans="1:7">
      <c r="A5020">
        <v>2030</v>
      </c>
      <c r="B5020" t="s">
        <v>195</v>
      </c>
      <c r="C5020">
        <v>26083.9</v>
      </c>
      <c r="D5020" t="s">
        <v>175</v>
      </c>
      <c r="E5020" t="s">
        <v>182</v>
      </c>
      <c r="F5020" t="s">
        <v>181</v>
      </c>
      <c r="G5020" t="s">
        <v>178</v>
      </c>
    </row>
    <row r="5021" spans="1:7">
      <c r="A5021">
        <v>2031</v>
      </c>
      <c r="B5021" t="s">
        <v>195</v>
      </c>
      <c r="C5021">
        <v>13261.8</v>
      </c>
      <c r="D5021" t="s">
        <v>175</v>
      </c>
      <c r="E5021" t="s">
        <v>182</v>
      </c>
      <c r="F5021" t="s">
        <v>181</v>
      </c>
      <c r="G5021" t="s">
        <v>178</v>
      </c>
    </row>
    <row r="5022" spans="1:7">
      <c r="A5022">
        <v>2032</v>
      </c>
      <c r="B5022" t="s">
        <v>195</v>
      </c>
      <c r="C5022">
        <v>13261.8</v>
      </c>
      <c r="D5022" t="s">
        <v>175</v>
      </c>
      <c r="E5022" t="s">
        <v>182</v>
      </c>
      <c r="F5022" t="s">
        <v>181</v>
      </c>
      <c r="G5022" t="s">
        <v>178</v>
      </c>
    </row>
    <row r="5023" spans="1:7">
      <c r="A5023">
        <v>2033</v>
      </c>
      <c r="B5023" t="s">
        <v>195</v>
      </c>
      <c r="C5023">
        <v>27123.7</v>
      </c>
      <c r="D5023" t="s">
        <v>175</v>
      </c>
      <c r="E5023" t="s">
        <v>182</v>
      </c>
      <c r="F5023" t="s">
        <v>181</v>
      </c>
      <c r="G5023" t="s">
        <v>178</v>
      </c>
    </row>
    <row r="5024" spans="1:7">
      <c r="A5024">
        <v>2034</v>
      </c>
      <c r="B5024" t="s">
        <v>195</v>
      </c>
      <c r="C5024">
        <v>27123.7</v>
      </c>
      <c r="D5024" t="s">
        <v>175</v>
      </c>
      <c r="E5024" t="s">
        <v>182</v>
      </c>
      <c r="F5024" t="s">
        <v>181</v>
      </c>
      <c r="G5024" t="s">
        <v>178</v>
      </c>
    </row>
    <row r="5025" spans="1:7">
      <c r="A5025">
        <v>2035</v>
      </c>
      <c r="B5025" t="s">
        <v>195</v>
      </c>
      <c r="C5025">
        <v>27123.7</v>
      </c>
      <c r="D5025" t="s">
        <v>175</v>
      </c>
      <c r="E5025" t="s">
        <v>182</v>
      </c>
      <c r="F5025" t="s">
        <v>181</v>
      </c>
      <c r="G5025" t="s">
        <v>178</v>
      </c>
    </row>
    <row r="5026" spans="1:7">
      <c r="A5026">
        <v>2020</v>
      </c>
      <c r="B5026" t="s">
        <v>196</v>
      </c>
      <c r="C5026">
        <v>11238.3</v>
      </c>
      <c r="D5026" t="s">
        <v>175</v>
      </c>
      <c r="E5026" t="s">
        <v>182</v>
      </c>
      <c r="F5026" t="s">
        <v>181</v>
      </c>
      <c r="G5026" t="s">
        <v>178</v>
      </c>
    </row>
    <row r="5027" spans="1:7">
      <c r="A5027">
        <v>2021</v>
      </c>
      <c r="B5027" t="s">
        <v>196</v>
      </c>
      <c r="C5027">
        <v>51649.599999999999</v>
      </c>
      <c r="D5027" t="s">
        <v>175</v>
      </c>
      <c r="E5027" t="s">
        <v>182</v>
      </c>
      <c r="F5027" t="s">
        <v>181</v>
      </c>
      <c r="G5027" t="s">
        <v>178</v>
      </c>
    </row>
    <row r="5028" spans="1:7">
      <c r="A5028">
        <v>2022</v>
      </c>
      <c r="B5028" t="s">
        <v>196</v>
      </c>
      <c r="C5028">
        <v>51649.599999999999</v>
      </c>
      <c r="D5028" t="s">
        <v>175</v>
      </c>
      <c r="E5028" t="s">
        <v>182</v>
      </c>
      <c r="F5028" t="s">
        <v>181</v>
      </c>
      <c r="G5028" t="s">
        <v>178</v>
      </c>
    </row>
    <row r="5029" spans="1:7">
      <c r="A5029">
        <v>2023</v>
      </c>
      <c r="B5029" t="s">
        <v>196</v>
      </c>
      <c r="C5029">
        <v>5275.79</v>
      </c>
      <c r="D5029" t="s">
        <v>175</v>
      </c>
      <c r="E5029" t="s">
        <v>182</v>
      </c>
      <c r="F5029" t="s">
        <v>181</v>
      </c>
      <c r="G5029" t="s">
        <v>178</v>
      </c>
    </row>
    <row r="5030" spans="1:7">
      <c r="A5030">
        <v>2024</v>
      </c>
      <c r="B5030" t="s">
        <v>196</v>
      </c>
      <c r="C5030">
        <v>5275.79</v>
      </c>
      <c r="D5030" t="s">
        <v>175</v>
      </c>
      <c r="E5030" t="s">
        <v>182</v>
      </c>
      <c r="F5030" t="s">
        <v>181</v>
      </c>
      <c r="G5030" t="s">
        <v>178</v>
      </c>
    </row>
    <row r="5031" spans="1:7">
      <c r="A5031">
        <v>2025</v>
      </c>
      <c r="B5031" t="s">
        <v>196</v>
      </c>
      <c r="C5031">
        <v>15899.3</v>
      </c>
      <c r="D5031" t="s">
        <v>175</v>
      </c>
      <c r="E5031" t="s">
        <v>182</v>
      </c>
      <c r="F5031" t="s">
        <v>181</v>
      </c>
      <c r="G5031" t="s">
        <v>178</v>
      </c>
    </row>
    <row r="5032" spans="1:7">
      <c r="A5032">
        <v>2026</v>
      </c>
      <c r="B5032" t="s">
        <v>196</v>
      </c>
      <c r="C5032">
        <v>15899.3</v>
      </c>
      <c r="D5032" t="s">
        <v>175</v>
      </c>
      <c r="E5032" t="s">
        <v>182</v>
      </c>
      <c r="F5032" t="s">
        <v>181</v>
      </c>
      <c r="G5032" t="s">
        <v>178</v>
      </c>
    </row>
    <row r="5033" spans="1:7">
      <c r="A5033">
        <v>2027</v>
      </c>
      <c r="B5033" t="s">
        <v>196</v>
      </c>
      <c r="C5033">
        <v>9041.7800000000007</v>
      </c>
      <c r="D5033" t="s">
        <v>175</v>
      </c>
      <c r="E5033" t="s">
        <v>182</v>
      </c>
      <c r="F5033" t="s">
        <v>181</v>
      </c>
      <c r="G5033" t="s">
        <v>178</v>
      </c>
    </row>
    <row r="5034" spans="1:7">
      <c r="A5034">
        <v>2028</v>
      </c>
      <c r="B5034" t="s">
        <v>196</v>
      </c>
      <c r="C5034">
        <v>9041.7800000000007</v>
      </c>
      <c r="D5034" t="s">
        <v>175</v>
      </c>
      <c r="E5034" t="s">
        <v>182</v>
      </c>
      <c r="F5034" t="s">
        <v>181</v>
      </c>
      <c r="G5034" t="s">
        <v>178</v>
      </c>
    </row>
    <row r="5035" spans="1:7">
      <c r="A5035">
        <v>2029</v>
      </c>
      <c r="B5035" t="s">
        <v>196</v>
      </c>
      <c r="C5035">
        <v>15462.8</v>
      </c>
      <c r="D5035" t="s">
        <v>175</v>
      </c>
      <c r="E5035" t="s">
        <v>182</v>
      </c>
      <c r="F5035" t="s">
        <v>181</v>
      </c>
      <c r="G5035" t="s">
        <v>178</v>
      </c>
    </row>
    <row r="5036" spans="1:7">
      <c r="A5036">
        <v>2030</v>
      </c>
      <c r="B5036" t="s">
        <v>196</v>
      </c>
      <c r="C5036">
        <v>15462.8</v>
      </c>
      <c r="D5036" t="s">
        <v>175</v>
      </c>
      <c r="E5036" t="s">
        <v>182</v>
      </c>
      <c r="F5036" t="s">
        <v>181</v>
      </c>
      <c r="G5036" t="s">
        <v>178</v>
      </c>
    </row>
    <row r="5037" spans="1:7">
      <c r="A5037">
        <v>2031</v>
      </c>
      <c r="B5037" t="s">
        <v>196</v>
      </c>
      <c r="C5037">
        <v>8405.8799999999992</v>
      </c>
      <c r="D5037" t="s">
        <v>175</v>
      </c>
      <c r="E5037" t="s">
        <v>182</v>
      </c>
      <c r="F5037" t="s">
        <v>181</v>
      </c>
      <c r="G5037" t="s">
        <v>178</v>
      </c>
    </row>
    <row r="5038" spans="1:7">
      <c r="A5038">
        <v>2032</v>
      </c>
      <c r="B5038" t="s">
        <v>196</v>
      </c>
      <c r="C5038">
        <v>8405.8799999999992</v>
      </c>
      <c r="D5038" t="s">
        <v>175</v>
      </c>
      <c r="E5038" t="s">
        <v>182</v>
      </c>
      <c r="F5038" t="s">
        <v>181</v>
      </c>
      <c r="G5038" t="s">
        <v>178</v>
      </c>
    </row>
    <row r="5039" spans="1:7">
      <c r="A5039">
        <v>2033</v>
      </c>
      <c r="B5039" t="s">
        <v>196</v>
      </c>
      <c r="C5039">
        <v>8778.52</v>
      </c>
      <c r="D5039" t="s">
        <v>175</v>
      </c>
      <c r="E5039" t="s">
        <v>182</v>
      </c>
      <c r="F5039" t="s">
        <v>181</v>
      </c>
      <c r="G5039" t="s">
        <v>178</v>
      </c>
    </row>
    <row r="5040" spans="1:7">
      <c r="A5040">
        <v>2034</v>
      </c>
      <c r="B5040" t="s">
        <v>196</v>
      </c>
      <c r="C5040">
        <v>8778.52</v>
      </c>
      <c r="D5040" t="s">
        <v>175</v>
      </c>
      <c r="E5040" t="s">
        <v>182</v>
      </c>
      <c r="F5040" t="s">
        <v>181</v>
      </c>
      <c r="G5040" t="s">
        <v>178</v>
      </c>
    </row>
    <row r="5041" spans="1:7">
      <c r="A5041">
        <v>2035</v>
      </c>
      <c r="B5041" t="s">
        <v>196</v>
      </c>
      <c r="C5041">
        <v>8778.52</v>
      </c>
      <c r="D5041" t="s">
        <v>175</v>
      </c>
      <c r="E5041" t="s">
        <v>182</v>
      </c>
      <c r="F5041" t="s">
        <v>181</v>
      </c>
      <c r="G5041" t="s">
        <v>178</v>
      </c>
    </row>
    <row r="5042" spans="1:7">
      <c r="A5042">
        <v>2020</v>
      </c>
      <c r="B5042" t="s">
        <v>188</v>
      </c>
      <c r="C5042">
        <v>102.45</v>
      </c>
      <c r="D5042" t="s">
        <v>175</v>
      </c>
      <c r="E5042" t="s">
        <v>182</v>
      </c>
      <c r="F5042" t="s">
        <v>181</v>
      </c>
      <c r="G5042" t="s">
        <v>179</v>
      </c>
    </row>
    <row r="5043" spans="1:7">
      <c r="A5043">
        <v>2021</v>
      </c>
      <c r="B5043" t="s">
        <v>188</v>
      </c>
      <c r="C5043">
        <v>9.5</v>
      </c>
      <c r="D5043" t="s">
        <v>175</v>
      </c>
      <c r="E5043" t="s">
        <v>182</v>
      </c>
      <c r="F5043" t="s">
        <v>181</v>
      </c>
      <c r="G5043" t="s">
        <v>179</v>
      </c>
    </row>
    <row r="5044" spans="1:7">
      <c r="A5044">
        <v>2022</v>
      </c>
      <c r="B5044" t="s">
        <v>188</v>
      </c>
      <c r="C5044">
        <v>9.5</v>
      </c>
      <c r="D5044" t="s">
        <v>175</v>
      </c>
      <c r="E5044" t="s">
        <v>182</v>
      </c>
      <c r="F5044" t="s">
        <v>181</v>
      </c>
      <c r="G5044" t="s">
        <v>179</v>
      </c>
    </row>
    <row r="5045" spans="1:7">
      <c r="A5045">
        <v>2023</v>
      </c>
      <c r="B5045" t="s">
        <v>188</v>
      </c>
      <c r="C5045">
        <v>0</v>
      </c>
      <c r="D5045" t="s">
        <v>175</v>
      </c>
      <c r="E5045" t="s">
        <v>182</v>
      </c>
      <c r="F5045" t="s">
        <v>181</v>
      </c>
      <c r="G5045" t="s">
        <v>179</v>
      </c>
    </row>
    <row r="5046" spans="1:7">
      <c r="A5046">
        <v>2024</v>
      </c>
      <c r="B5046" t="s">
        <v>188</v>
      </c>
      <c r="C5046">
        <v>0</v>
      </c>
      <c r="D5046" t="s">
        <v>175</v>
      </c>
      <c r="E5046" t="s">
        <v>182</v>
      </c>
      <c r="F5046" t="s">
        <v>181</v>
      </c>
      <c r="G5046" t="s">
        <v>179</v>
      </c>
    </row>
    <row r="5047" spans="1:7">
      <c r="A5047">
        <v>2025</v>
      </c>
      <c r="B5047" t="s">
        <v>188</v>
      </c>
      <c r="C5047">
        <v>0</v>
      </c>
      <c r="D5047" t="s">
        <v>175</v>
      </c>
      <c r="E5047" t="s">
        <v>182</v>
      </c>
      <c r="F5047" t="s">
        <v>181</v>
      </c>
      <c r="G5047" t="s">
        <v>179</v>
      </c>
    </row>
    <row r="5048" spans="1:7">
      <c r="A5048">
        <v>2026</v>
      </c>
      <c r="B5048" t="s">
        <v>188</v>
      </c>
      <c r="C5048">
        <v>0</v>
      </c>
      <c r="D5048" t="s">
        <v>175</v>
      </c>
      <c r="E5048" t="s">
        <v>182</v>
      </c>
      <c r="F5048" t="s">
        <v>181</v>
      </c>
      <c r="G5048" t="s">
        <v>179</v>
      </c>
    </row>
    <row r="5049" spans="1:7">
      <c r="A5049">
        <v>2027</v>
      </c>
      <c r="B5049" t="s">
        <v>188</v>
      </c>
      <c r="C5049">
        <v>0</v>
      </c>
      <c r="D5049" t="s">
        <v>175</v>
      </c>
      <c r="E5049" t="s">
        <v>182</v>
      </c>
      <c r="F5049" t="s">
        <v>181</v>
      </c>
      <c r="G5049" t="s">
        <v>179</v>
      </c>
    </row>
    <row r="5050" spans="1:7">
      <c r="A5050">
        <v>2028</v>
      </c>
      <c r="B5050" t="s">
        <v>188</v>
      </c>
      <c r="C5050">
        <v>0</v>
      </c>
      <c r="D5050" t="s">
        <v>175</v>
      </c>
      <c r="E5050" t="s">
        <v>182</v>
      </c>
      <c r="F5050" t="s">
        <v>181</v>
      </c>
      <c r="G5050" t="s">
        <v>179</v>
      </c>
    </row>
    <row r="5051" spans="1:7">
      <c r="A5051">
        <v>2029</v>
      </c>
      <c r="B5051" t="s">
        <v>188</v>
      </c>
      <c r="C5051">
        <v>0</v>
      </c>
      <c r="D5051" t="s">
        <v>175</v>
      </c>
      <c r="E5051" t="s">
        <v>182</v>
      </c>
      <c r="F5051" t="s">
        <v>181</v>
      </c>
      <c r="G5051" t="s">
        <v>179</v>
      </c>
    </row>
    <row r="5052" spans="1:7">
      <c r="A5052">
        <v>2030</v>
      </c>
      <c r="B5052" t="s">
        <v>188</v>
      </c>
      <c r="C5052">
        <v>0</v>
      </c>
      <c r="D5052" t="s">
        <v>175</v>
      </c>
      <c r="E5052" t="s">
        <v>182</v>
      </c>
      <c r="F5052" t="s">
        <v>181</v>
      </c>
      <c r="G5052" t="s">
        <v>179</v>
      </c>
    </row>
    <row r="5053" spans="1:7">
      <c r="A5053">
        <v>2031</v>
      </c>
      <c r="B5053" t="s">
        <v>188</v>
      </c>
      <c r="C5053">
        <v>0</v>
      </c>
      <c r="D5053" t="s">
        <v>175</v>
      </c>
      <c r="E5053" t="s">
        <v>182</v>
      </c>
      <c r="F5053" t="s">
        <v>181</v>
      </c>
      <c r="G5053" t="s">
        <v>179</v>
      </c>
    </row>
    <row r="5054" spans="1:7">
      <c r="A5054">
        <v>2032</v>
      </c>
      <c r="B5054" t="s">
        <v>188</v>
      </c>
      <c r="C5054">
        <v>0</v>
      </c>
      <c r="D5054" t="s">
        <v>175</v>
      </c>
      <c r="E5054" t="s">
        <v>182</v>
      </c>
      <c r="F5054" t="s">
        <v>181</v>
      </c>
      <c r="G5054" t="s">
        <v>179</v>
      </c>
    </row>
    <row r="5055" spans="1:7">
      <c r="A5055">
        <v>2033</v>
      </c>
      <c r="B5055" t="s">
        <v>188</v>
      </c>
      <c r="C5055">
        <v>0</v>
      </c>
      <c r="D5055" t="s">
        <v>175</v>
      </c>
      <c r="E5055" t="s">
        <v>182</v>
      </c>
      <c r="F5055" t="s">
        <v>181</v>
      </c>
      <c r="G5055" t="s">
        <v>179</v>
      </c>
    </row>
    <row r="5056" spans="1:7">
      <c r="A5056">
        <v>2034</v>
      </c>
      <c r="B5056" t="s">
        <v>188</v>
      </c>
      <c r="C5056">
        <v>0</v>
      </c>
      <c r="D5056" t="s">
        <v>175</v>
      </c>
      <c r="E5056" t="s">
        <v>182</v>
      </c>
      <c r="F5056" t="s">
        <v>181</v>
      </c>
      <c r="G5056" t="s">
        <v>179</v>
      </c>
    </row>
    <row r="5057" spans="1:7">
      <c r="A5057">
        <v>2035</v>
      </c>
      <c r="B5057" t="s">
        <v>188</v>
      </c>
      <c r="C5057">
        <v>0</v>
      </c>
      <c r="D5057" t="s">
        <v>175</v>
      </c>
      <c r="E5057" t="s">
        <v>182</v>
      </c>
      <c r="F5057" t="s">
        <v>181</v>
      </c>
      <c r="G5057" t="s">
        <v>179</v>
      </c>
    </row>
    <row r="5058" spans="1:7">
      <c r="A5058">
        <v>2020</v>
      </c>
      <c r="B5058" t="s">
        <v>189</v>
      </c>
      <c r="C5058">
        <v>0</v>
      </c>
      <c r="D5058" t="s">
        <v>175</v>
      </c>
      <c r="E5058" t="s">
        <v>182</v>
      </c>
      <c r="F5058" t="s">
        <v>181</v>
      </c>
      <c r="G5058" t="s">
        <v>179</v>
      </c>
    </row>
    <row r="5059" spans="1:7">
      <c r="A5059">
        <v>2021</v>
      </c>
      <c r="B5059" t="s">
        <v>189</v>
      </c>
      <c r="C5059">
        <v>0</v>
      </c>
      <c r="D5059" t="s">
        <v>175</v>
      </c>
      <c r="E5059" t="s">
        <v>182</v>
      </c>
      <c r="F5059" t="s">
        <v>181</v>
      </c>
      <c r="G5059" t="s">
        <v>179</v>
      </c>
    </row>
    <row r="5060" spans="1:7">
      <c r="A5060">
        <v>2022</v>
      </c>
      <c r="B5060" t="s">
        <v>189</v>
      </c>
      <c r="C5060">
        <v>0</v>
      </c>
      <c r="D5060" t="s">
        <v>175</v>
      </c>
      <c r="E5060" t="s">
        <v>182</v>
      </c>
      <c r="F5060" t="s">
        <v>181</v>
      </c>
      <c r="G5060" t="s">
        <v>179</v>
      </c>
    </row>
    <row r="5061" spans="1:7">
      <c r="A5061">
        <v>2023</v>
      </c>
      <c r="B5061" t="s">
        <v>189</v>
      </c>
      <c r="C5061">
        <v>0</v>
      </c>
      <c r="D5061" t="s">
        <v>175</v>
      </c>
      <c r="E5061" t="s">
        <v>182</v>
      </c>
      <c r="F5061" t="s">
        <v>181</v>
      </c>
      <c r="G5061" t="s">
        <v>179</v>
      </c>
    </row>
    <row r="5062" spans="1:7">
      <c r="A5062">
        <v>2024</v>
      </c>
      <c r="B5062" t="s">
        <v>189</v>
      </c>
      <c r="C5062">
        <v>0</v>
      </c>
      <c r="D5062" t="s">
        <v>175</v>
      </c>
      <c r="E5062" t="s">
        <v>182</v>
      </c>
      <c r="F5062" t="s">
        <v>181</v>
      </c>
      <c r="G5062" t="s">
        <v>179</v>
      </c>
    </row>
    <row r="5063" spans="1:7">
      <c r="A5063">
        <v>2025</v>
      </c>
      <c r="B5063" t="s">
        <v>189</v>
      </c>
      <c r="C5063">
        <v>0</v>
      </c>
      <c r="D5063" t="s">
        <v>175</v>
      </c>
      <c r="E5063" t="s">
        <v>182</v>
      </c>
      <c r="F5063" t="s">
        <v>181</v>
      </c>
      <c r="G5063" t="s">
        <v>179</v>
      </c>
    </row>
    <row r="5064" spans="1:7">
      <c r="A5064">
        <v>2026</v>
      </c>
      <c r="B5064" t="s">
        <v>189</v>
      </c>
      <c r="C5064">
        <v>0</v>
      </c>
      <c r="D5064" t="s">
        <v>175</v>
      </c>
      <c r="E5064" t="s">
        <v>182</v>
      </c>
      <c r="F5064" t="s">
        <v>181</v>
      </c>
      <c r="G5064" t="s">
        <v>179</v>
      </c>
    </row>
    <row r="5065" spans="1:7">
      <c r="A5065">
        <v>2027</v>
      </c>
      <c r="B5065" t="s">
        <v>189</v>
      </c>
      <c r="C5065">
        <v>0</v>
      </c>
      <c r="D5065" t="s">
        <v>175</v>
      </c>
      <c r="E5065" t="s">
        <v>182</v>
      </c>
      <c r="F5065" t="s">
        <v>181</v>
      </c>
      <c r="G5065" t="s">
        <v>179</v>
      </c>
    </row>
    <row r="5066" spans="1:7">
      <c r="A5066">
        <v>2028</v>
      </c>
      <c r="B5066" t="s">
        <v>189</v>
      </c>
      <c r="C5066">
        <v>0</v>
      </c>
      <c r="D5066" t="s">
        <v>175</v>
      </c>
      <c r="E5066" t="s">
        <v>182</v>
      </c>
      <c r="F5066" t="s">
        <v>181</v>
      </c>
      <c r="G5066" t="s">
        <v>179</v>
      </c>
    </row>
    <row r="5067" spans="1:7">
      <c r="A5067">
        <v>2029</v>
      </c>
      <c r="B5067" t="s">
        <v>189</v>
      </c>
      <c r="C5067">
        <v>0</v>
      </c>
      <c r="D5067" t="s">
        <v>175</v>
      </c>
      <c r="E5067" t="s">
        <v>182</v>
      </c>
      <c r="F5067" t="s">
        <v>181</v>
      </c>
      <c r="G5067" t="s">
        <v>179</v>
      </c>
    </row>
    <row r="5068" spans="1:7">
      <c r="A5068">
        <v>2030</v>
      </c>
      <c r="B5068" t="s">
        <v>189</v>
      </c>
      <c r="C5068">
        <v>0</v>
      </c>
      <c r="D5068" t="s">
        <v>175</v>
      </c>
      <c r="E5068" t="s">
        <v>182</v>
      </c>
      <c r="F5068" t="s">
        <v>181</v>
      </c>
      <c r="G5068" t="s">
        <v>179</v>
      </c>
    </row>
    <row r="5069" spans="1:7">
      <c r="A5069">
        <v>2031</v>
      </c>
      <c r="B5069" t="s">
        <v>189</v>
      </c>
      <c r="C5069">
        <v>0</v>
      </c>
      <c r="D5069" t="s">
        <v>175</v>
      </c>
      <c r="E5069" t="s">
        <v>182</v>
      </c>
      <c r="F5069" t="s">
        <v>181</v>
      </c>
      <c r="G5069" t="s">
        <v>179</v>
      </c>
    </row>
    <row r="5070" spans="1:7">
      <c r="A5070">
        <v>2032</v>
      </c>
      <c r="B5070" t="s">
        <v>189</v>
      </c>
      <c r="C5070">
        <v>0</v>
      </c>
      <c r="D5070" t="s">
        <v>175</v>
      </c>
      <c r="E5070" t="s">
        <v>182</v>
      </c>
      <c r="F5070" t="s">
        <v>181</v>
      </c>
      <c r="G5070" t="s">
        <v>179</v>
      </c>
    </row>
    <row r="5071" spans="1:7">
      <c r="A5071">
        <v>2033</v>
      </c>
      <c r="B5071" t="s">
        <v>189</v>
      </c>
      <c r="C5071">
        <v>0</v>
      </c>
      <c r="D5071" t="s">
        <v>175</v>
      </c>
      <c r="E5071" t="s">
        <v>182</v>
      </c>
      <c r="F5071" t="s">
        <v>181</v>
      </c>
      <c r="G5071" t="s">
        <v>179</v>
      </c>
    </row>
    <row r="5072" spans="1:7">
      <c r="A5072">
        <v>2034</v>
      </c>
      <c r="B5072" t="s">
        <v>189</v>
      </c>
      <c r="C5072">
        <v>0</v>
      </c>
      <c r="D5072" t="s">
        <v>175</v>
      </c>
      <c r="E5072" t="s">
        <v>182</v>
      </c>
      <c r="F5072" t="s">
        <v>181</v>
      </c>
      <c r="G5072" t="s">
        <v>179</v>
      </c>
    </row>
    <row r="5073" spans="1:7">
      <c r="A5073">
        <v>2035</v>
      </c>
      <c r="B5073" t="s">
        <v>189</v>
      </c>
      <c r="C5073">
        <v>0</v>
      </c>
      <c r="D5073" t="s">
        <v>175</v>
      </c>
      <c r="E5073" t="s">
        <v>182</v>
      </c>
      <c r="F5073" t="s">
        <v>181</v>
      </c>
      <c r="G5073" t="s">
        <v>179</v>
      </c>
    </row>
    <row r="5074" spans="1:7">
      <c r="A5074">
        <v>2020</v>
      </c>
      <c r="B5074" t="s">
        <v>190</v>
      </c>
      <c r="C5074">
        <v>11184.73</v>
      </c>
      <c r="D5074" t="s">
        <v>175</v>
      </c>
      <c r="E5074" t="s">
        <v>182</v>
      </c>
      <c r="F5074" t="s">
        <v>181</v>
      </c>
      <c r="G5074" t="s">
        <v>179</v>
      </c>
    </row>
    <row r="5075" spans="1:7">
      <c r="A5075">
        <v>2021</v>
      </c>
      <c r="B5075" t="s">
        <v>190</v>
      </c>
      <c r="C5075">
        <v>0</v>
      </c>
      <c r="D5075" t="s">
        <v>175</v>
      </c>
      <c r="E5075" t="s">
        <v>182</v>
      </c>
      <c r="F5075" t="s">
        <v>181</v>
      </c>
      <c r="G5075" t="s">
        <v>179</v>
      </c>
    </row>
    <row r="5076" spans="1:7">
      <c r="A5076">
        <v>2022</v>
      </c>
      <c r="B5076" t="s">
        <v>190</v>
      </c>
      <c r="C5076">
        <v>0</v>
      </c>
      <c r="D5076" t="s">
        <v>175</v>
      </c>
      <c r="E5076" t="s">
        <v>182</v>
      </c>
      <c r="F5076" t="s">
        <v>181</v>
      </c>
      <c r="G5076" t="s">
        <v>179</v>
      </c>
    </row>
    <row r="5077" spans="1:7">
      <c r="A5077">
        <v>2023</v>
      </c>
      <c r="B5077" t="s">
        <v>190</v>
      </c>
      <c r="C5077">
        <v>0</v>
      </c>
      <c r="D5077" t="s">
        <v>175</v>
      </c>
      <c r="E5077" t="s">
        <v>182</v>
      </c>
      <c r="F5077" t="s">
        <v>181</v>
      </c>
      <c r="G5077" t="s">
        <v>179</v>
      </c>
    </row>
    <row r="5078" spans="1:7">
      <c r="A5078">
        <v>2024</v>
      </c>
      <c r="B5078" t="s">
        <v>190</v>
      </c>
      <c r="C5078">
        <v>0</v>
      </c>
      <c r="D5078" t="s">
        <v>175</v>
      </c>
      <c r="E5078" t="s">
        <v>182</v>
      </c>
      <c r="F5078" t="s">
        <v>181</v>
      </c>
      <c r="G5078" t="s">
        <v>179</v>
      </c>
    </row>
    <row r="5079" spans="1:7">
      <c r="A5079">
        <v>2025</v>
      </c>
      <c r="B5079" t="s">
        <v>190</v>
      </c>
      <c r="C5079">
        <v>0</v>
      </c>
      <c r="D5079" t="s">
        <v>175</v>
      </c>
      <c r="E5079" t="s">
        <v>182</v>
      </c>
      <c r="F5079" t="s">
        <v>181</v>
      </c>
      <c r="G5079" t="s">
        <v>179</v>
      </c>
    </row>
    <row r="5080" spans="1:7">
      <c r="A5080">
        <v>2026</v>
      </c>
      <c r="B5080" t="s">
        <v>190</v>
      </c>
      <c r="C5080">
        <v>0</v>
      </c>
      <c r="D5080" t="s">
        <v>175</v>
      </c>
      <c r="E5080" t="s">
        <v>182</v>
      </c>
      <c r="F5080" t="s">
        <v>181</v>
      </c>
      <c r="G5080" t="s">
        <v>179</v>
      </c>
    </row>
    <row r="5081" spans="1:7">
      <c r="A5081">
        <v>2027</v>
      </c>
      <c r="B5081" t="s">
        <v>190</v>
      </c>
      <c r="C5081">
        <v>0</v>
      </c>
      <c r="D5081" t="s">
        <v>175</v>
      </c>
      <c r="E5081" t="s">
        <v>182</v>
      </c>
      <c r="F5081" t="s">
        <v>181</v>
      </c>
      <c r="G5081" t="s">
        <v>179</v>
      </c>
    </row>
    <row r="5082" spans="1:7">
      <c r="A5082">
        <v>2028</v>
      </c>
      <c r="B5082" t="s">
        <v>190</v>
      </c>
      <c r="C5082">
        <v>0</v>
      </c>
      <c r="D5082" t="s">
        <v>175</v>
      </c>
      <c r="E5082" t="s">
        <v>182</v>
      </c>
      <c r="F5082" t="s">
        <v>181</v>
      </c>
      <c r="G5082" t="s">
        <v>179</v>
      </c>
    </row>
    <row r="5083" spans="1:7">
      <c r="A5083">
        <v>2029</v>
      </c>
      <c r="B5083" t="s">
        <v>190</v>
      </c>
      <c r="C5083">
        <v>0</v>
      </c>
      <c r="D5083" t="s">
        <v>175</v>
      </c>
      <c r="E5083" t="s">
        <v>182</v>
      </c>
      <c r="F5083" t="s">
        <v>181</v>
      </c>
      <c r="G5083" t="s">
        <v>179</v>
      </c>
    </row>
    <row r="5084" spans="1:7">
      <c r="A5084">
        <v>2030</v>
      </c>
      <c r="B5084" t="s">
        <v>190</v>
      </c>
      <c r="C5084">
        <v>0</v>
      </c>
      <c r="D5084" t="s">
        <v>175</v>
      </c>
      <c r="E5084" t="s">
        <v>182</v>
      </c>
      <c r="F5084" t="s">
        <v>181</v>
      </c>
      <c r="G5084" t="s">
        <v>179</v>
      </c>
    </row>
    <row r="5085" spans="1:7">
      <c r="A5085">
        <v>2031</v>
      </c>
      <c r="B5085" t="s">
        <v>190</v>
      </c>
      <c r="C5085">
        <v>0</v>
      </c>
      <c r="D5085" t="s">
        <v>175</v>
      </c>
      <c r="E5085" t="s">
        <v>182</v>
      </c>
      <c r="F5085" t="s">
        <v>181</v>
      </c>
      <c r="G5085" t="s">
        <v>179</v>
      </c>
    </row>
    <row r="5086" spans="1:7">
      <c r="A5086">
        <v>2032</v>
      </c>
      <c r="B5086" t="s">
        <v>190</v>
      </c>
      <c r="C5086">
        <v>0</v>
      </c>
      <c r="D5086" t="s">
        <v>175</v>
      </c>
      <c r="E5086" t="s">
        <v>182</v>
      </c>
      <c r="F5086" t="s">
        <v>181</v>
      </c>
      <c r="G5086" t="s">
        <v>179</v>
      </c>
    </row>
    <row r="5087" spans="1:7">
      <c r="A5087">
        <v>2033</v>
      </c>
      <c r="B5087" t="s">
        <v>190</v>
      </c>
      <c r="C5087">
        <v>0</v>
      </c>
      <c r="D5087" t="s">
        <v>175</v>
      </c>
      <c r="E5087" t="s">
        <v>182</v>
      </c>
      <c r="F5087" t="s">
        <v>181</v>
      </c>
      <c r="G5087" t="s">
        <v>179</v>
      </c>
    </row>
    <row r="5088" spans="1:7">
      <c r="A5088">
        <v>2034</v>
      </c>
      <c r="B5088" t="s">
        <v>190</v>
      </c>
      <c r="C5088">
        <v>0</v>
      </c>
      <c r="D5088" t="s">
        <v>175</v>
      </c>
      <c r="E5088" t="s">
        <v>182</v>
      </c>
      <c r="F5088" t="s">
        <v>181</v>
      </c>
      <c r="G5088" t="s">
        <v>179</v>
      </c>
    </row>
    <row r="5089" spans="1:7">
      <c r="A5089">
        <v>2035</v>
      </c>
      <c r="B5089" t="s">
        <v>190</v>
      </c>
      <c r="C5089">
        <v>0</v>
      </c>
      <c r="D5089" t="s">
        <v>175</v>
      </c>
      <c r="E5089" t="s">
        <v>182</v>
      </c>
      <c r="F5089" t="s">
        <v>181</v>
      </c>
      <c r="G5089" t="s">
        <v>179</v>
      </c>
    </row>
    <row r="5090" spans="1:7">
      <c r="A5090">
        <v>2020</v>
      </c>
      <c r="B5090" t="s">
        <v>191</v>
      </c>
      <c r="C5090">
        <v>0</v>
      </c>
      <c r="D5090" t="s">
        <v>175</v>
      </c>
      <c r="E5090" t="s">
        <v>182</v>
      </c>
      <c r="F5090" t="s">
        <v>181</v>
      </c>
      <c r="G5090" t="s">
        <v>179</v>
      </c>
    </row>
    <row r="5091" spans="1:7">
      <c r="A5091">
        <v>2021</v>
      </c>
      <c r="B5091" t="s">
        <v>191</v>
      </c>
      <c r="C5091">
        <v>0</v>
      </c>
      <c r="D5091" t="s">
        <v>175</v>
      </c>
      <c r="E5091" t="s">
        <v>182</v>
      </c>
      <c r="F5091" t="s">
        <v>181</v>
      </c>
      <c r="G5091" t="s">
        <v>179</v>
      </c>
    </row>
    <row r="5092" spans="1:7">
      <c r="A5092">
        <v>2022</v>
      </c>
      <c r="B5092" t="s">
        <v>191</v>
      </c>
      <c r="C5092">
        <v>0</v>
      </c>
      <c r="D5092" t="s">
        <v>175</v>
      </c>
      <c r="E5092" t="s">
        <v>182</v>
      </c>
      <c r="F5092" t="s">
        <v>181</v>
      </c>
      <c r="G5092" t="s">
        <v>179</v>
      </c>
    </row>
    <row r="5093" spans="1:7">
      <c r="A5093">
        <v>2023</v>
      </c>
      <c r="B5093" t="s">
        <v>191</v>
      </c>
      <c r="C5093">
        <v>1.56914</v>
      </c>
      <c r="D5093" t="s">
        <v>175</v>
      </c>
      <c r="E5093" t="s">
        <v>182</v>
      </c>
      <c r="F5093" t="s">
        <v>181</v>
      </c>
      <c r="G5093" t="s">
        <v>179</v>
      </c>
    </row>
    <row r="5094" spans="1:7">
      <c r="A5094">
        <v>2024</v>
      </c>
      <c r="B5094" t="s">
        <v>191</v>
      </c>
      <c r="C5094">
        <v>1.56914</v>
      </c>
      <c r="D5094" t="s">
        <v>175</v>
      </c>
      <c r="E5094" t="s">
        <v>182</v>
      </c>
      <c r="F5094" t="s">
        <v>181</v>
      </c>
      <c r="G5094" t="s">
        <v>179</v>
      </c>
    </row>
    <row r="5095" spans="1:7">
      <c r="A5095">
        <v>2025</v>
      </c>
      <c r="B5095" t="s">
        <v>191</v>
      </c>
      <c r="C5095">
        <v>192.208</v>
      </c>
      <c r="D5095" t="s">
        <v>175</v>
      </c>
      <c r="E5095" t="s">
        <v>182</v>
      </c>
      <c r="F5095" t="s">
        <v>181</v>
      </c>
      <c r="G5095" t="s">
        <v>179</v>
      </c>
    </row>
    <row r="5096" spans="1:7">
      <c r="A5096">
        <v>2026</v>
      </c>
      <c r="B5096" t="s">
        <v>191</v>
      </c>
      <c r="C5096">
        <v>192.208</v>
      </c>
      <c r="D5096" t="s">
        <v>175</v>
      </c>
      <c r="E5096" t="s">
        <v>182</v>
      </c>
      <c r="F5096" t="s">
        <v>181</v>
      </c>
      <c r="G5096" t="s">
        <v>179</v>
      </c>
    </row>
    <row r="5097" spans="1:7">
      <c r="A5097">
        <v>2027</v>
      </c>
      <c r="B5097" t="s">
        <v>191</v>
      </c>
      <c r="C5097">
        <v>57.010199999999998</v>
      </c>
      <c r="D5097" t="s">
        <v>175</v>
      </c>
      <c r="E5097" t="s">
        <v>182</v>
      </c>
      <c r="F5097" t="s">
        <v>181</v>
      </c>
      <c r="G5097" t="s">
        <v>179</v>
      </c>
    </row>
    <row r="5098" spans="1:7">
      <c r="A5098">
        <v>2028</v>
      </c>
      <c r="B5098" t="s">
        <v>191</v>
      </c>
      <c r="C5098">
        <v>57.010199999999998</v>
      </c>
      <c r="D5098" t="s">
        <v>175</v>
      </c>
      <c r="E5098" t="s">
        <v>182</v>
      </c>
      <c r="F5098" t="s">
        <v>181</v>
      </c>
      <c r="G5098" t="s">
        <v>179</v>
      </c>
    </row>
    <row r="5099" spans="1:7">
      <c r="A5099">
        <v>2029</v>
      </c>
      <c r="B5099" t="s">
        <v>191</v>
      </c>
      <c r="C5099">
        <v>0</v>
      </c>
      <c r="D5099" t="s">
        <v>175</v>
      </c>
      <c r="E5099" t="s">
        <v>182</v>
      </c>
      <c r="F5099" t="s">
        <v>181</v>
      </c>
      <c r="G5099" t="s">
        <v>179</v>
      </c>
    </row>
    <row r="5100" spans="1:7">
      <c r="A5100">
        <v>2030</v>
      </c>
      <c r="B5100" t="s">
        <v>191</v>
      </c>
      <c r="C5100">
        <v>0</v>
      </c>
      <c r="D5100" t="s">
        <v>175</v>
      </c>
      <c r="E5100" t="s">
        <v>182</v>
      </c>
      <c r="F5100" t="s">
        <v>181</v>
      </c>
      <c r="G5100" t="s">
        <v>179</v>
      </c>
    </row>
    <row r="5101" spans="1:7">
      <c r="A5101">
        <v>2031</v>
      </c>
      <c r="B5101" t="s">
        <v>191</v>
      </c>
      <c r="C5101">
        <v>0</v>
      </c>
      <c r="D5101" t="s">
        <v>175</v>
      </c>
      <c r="E5101" t="s">
        <v>182</v>
      </c>
      <c r="F5101" t="s">
        <v>181</v>
      </c>
      <c r="G5101" t="s">
        <v>179</v>
      </c>
    </row>
    <row r="5102" spans="1:7">
      <c r="A5102">
        <v>2032</v>
      </c>
      <c r="B5102" t="s">
        <v>191</v>
      </c>
      <c r="C5102">
        <v>0</v>
      </c>
      <c r="D5102" t="s">
        <v>175</v>
      </c>
      <c r="E5102" t="s">
        <v>182</v>
      </c>
      <c r="F5102" t="s">
        <v>181</v>
      </c>
      <c r="G5102" t="s">
        <v>179</v>
      </c>
    </row>
    <row r="5103" spans="1:7">
      <c r="A5103">
        <v>2033</v>
      </c>
      <c r="B5103" t="s">
        <v>191</v>
      </c>
      <c r="C5103">
        <v>0</v>
      </c>
      <c r="D5103" t="s">
        <v>175</v>
      </c>
      <c r="E5103" t="s">
        <v>182</v>
      </c>
      <c r="F5103" t="s">
        <v>181</v>
      </c>
      <c r="G5103" t="s">
        <v>179</v>
      </c>
    </row>
    <row r="5104" spans="1:7">
      <c r="A5104">
        <v>2034</v>
      </c>
      <c r="B5104" t="s">
        <v>191</v>
      </c>
      <c r="C5104">
        <v>0</v>
      </c>
      <c r="D5104" t="s">
        <v>175</v>
      </c>
      <c r="E5104" t="s">
        <v>182</v>
      </c>
      <c r="F5104" t="s">
        <v>181</v>
      </c>
      <c r="G5104" t="s">
        <v>179</v>
      </c>
    </row>
    <row r="5105" spans="1:7">
      <c r="A5105">
        <v>2035</v>
      </c>
      <c r="B5105" t="s">
        <v>191</v>
      </c>
      <c r="C5105">
        <v>0</v>
      </c>
      <c r="D5105" t="s">
        <v>175</v>
      </c>
      <c r="E5105" t="s">
        <v>182</v>
      </c>
      <c r="F5105" t="s">
        <v>181</v>
      </c>
      <c r="G5105" t="s">
        <v>179</v>
      </c>
    </row>
    <row r="5106" spans="1:7">
      <c r="A5106">
        <v>2020</v>
      </c>
      <c r="B5106" t="s">
        <v>192</v>
      </c>
      <c r="C5106">
        <v>3242.01</v>
      </c>
      <c r="D5106" t="s">
        <v>175</v>
      </c>
      <c r="E5106" t="s">
        <v>182</v>
      </c>
      <c r="F5106" t="s">
        <v>181</v>
      </c>
      <c r="G5106" t="s">
        <v>179</v>
      </c>
    </row>
    <row r="5107" spans="1:7">
      <c r="A5107">
        <v>2021</v>
      </c>
      <c r="B5107" t="s">
        <v>192</v>
      </c>
      <c r="C5107">
        <v>31.5</v>
      </c>
      <c r="D5107" t="s">
        <v>175</v>
      </c>
      <c r="E5107" t="s">
        <v>182</v>
      </c>
      <c r="F5107" t="s">
        <v>181</v>
      </c>
      <c r="G5107" t="s">
        <v>179</v>
      </c>
    </row>
    <row r="5108" spans="1:7">
      <c r="A5108">
        <v>2022</v>
      </c>
      <c r="B5108" t="s">
        <v>192</v>
      </c>
      <c r="C5108">
        <v>31.5</v>
      </c>
      <c r="D5108" t="s">
        <v>175</v>
      </c>
      <c r="E5108" t="s">
        <v>182</v>
      </c>
      <c r="F5108" t="s">
        <v>181</v>
      </c>
      <c r="G5108" t="s">
        <v>179</v>
      </c>
    </row>
    <row r="5109" spans="1:7">
      <c r="A5109">
        <v>2023</v>
      </c>
      <c r="B5109" t="s">
        <v>192</v>
      </c>
      <c r="C5109">
        <v>84</v>
      </c>
      <c r="D5109" t="s">
        <v>175</v>
      </c>
      <c r="E5109" t="s">
        <v>182</v>
      </c>
      <c r="F5109" t="s">
        <v>181</v>
      </c>
      <c r="G5109" t="s">
        <v>179</v>
      </c>
    </row>
    <row r="5110" spans="1:7">
      <c r="A5110">
        <v>2024</v>
      </c>
      <c r="B5110" t="s">
        <v>192</v>
      </c>
      <c r="C5110">
        <v>84</v>
      </c>
      <c r="D5110" t="s">
        <v>175</v>
      </c>
      <c r="E5110" t="s">
        <v>182</v>
      </c>
      <c r="F5110" t="s">
        <v>181</v>
      </c>
      <c r="G5110" t="s">
        <v>179</v>
      </c>
    </row>
    <row r="5111" spans="1:7">
      <c r="A5111">
        <v>2025</v>
      </c>
      <c r="B5111" t="s">
        <v>192</v>
      </c>
      <c r="C5111">
        <v>7.5</v>
      </c>
      <c r="D5111" t="s">
        <v>175</v>
      </c>
      <c r="E5111" t="s">
        <v>182</v>
      </c>
      <c r="F5111" t="s">
        <v>181</v>
      </c>
      <c r="G5111" t="s">
        <v>179</v>
      </c>
    </row>
    <row r="5112" spans="1:7">
      <c r="A5112">
        <v>2026</v>
      </c>
      <c r="B5112" t="s">
        <v>192</v>
      </c>
      <c r="C5112">
        <v>7.5</v>
      </c>
      <c r="D5112" t="s">
        <v>175</v>
      </c>
      <c r="E5112" t="s">
        <v>182</v>
      </c>
      <c r="F5112" t="s">
        <v>181</v>
      </c>
      <c r="G5112" t="s">
        <v>179</v>
      </c>
    </row>
    <row r="5113" spans="1:7">
      <c r="A5113">
        <v>2027</v>
      </c>
      <c r="B5113" t="s">
        <v>192</v>
      </c>
      <c r="C5113">
        <v>10</v>
      </c>
      <c r="D5113" t="s">
        <v>175</v>
      </c>
      <c r="E5113" t="s">
        <v>182</v>
      </c>
      <c r="F5113" t="s">
        <v>181</v>
      </c>
      <c r="G5113" t="s">
        <v>179</v>
      </c>
    </row>
    <row r="5114" spans="1:7">
      <c r="A5114">
        <v>2028</v>
      </c>
      <c r="B5114" t="s">
        <v>192</v>
      </c>
      <c r="C5114">
        <v>10</v>
      </c>
      <c r="D5114" t="s">
        <v>175</v>
      </c>
      <c r="E5114" t="s">
        <v>182</v>
      </c>
      <c r="F5114" t="s">
        <v>181</v>
      </c>
      <c r="G5114" t="s">
        <v>179</v>
      </c>
    </row>
    <row r="5115" spans="1:7">
      <c r="A5115">
        <v>2029</v>
      </c>
      <c r="B5115" t="s">
        <v>192</v>
      </c>
      <c r="C5115">
        <v>0</v>
      </c>
      <c r="D5115" t="s">
        <v>175</v>
      </c>
      <c r="E5115" t="s">
        <v>182</v>
      </c>
      <c r="F5115" t="s">
        <v>181</v>
      </c>
      <c r="G5115" t="s">
        <v>179</v>
      </c>
    </row>
    <row r="5116" spans="1:7">
      <c r="A5116">
        <v>2030</v>
      </c>
      <c r="B5116" t="s">
        <v>192</v>
      </c>
      <c r="C5116">
        <v>0</v>
      </c>
      <c r="D5116" t="s">
        <v>175</v>
      </c>
      <c r="E5116" t="s">
        <v>182</v>
      </c>
      <c r="F5116" t="s">
        <v>181</v>
      </c>
      <c r="G5116" t="s">
        <v>179</v>
      </c>
    </row>
    <row r="5117" spans="1:7">
      <c r="A5117">
        <v>2031</v>
      </c>
      <c r="B5117" t="s">
        <v>192</v>
      </c>
      <c r="C5117">
        <v>0</v>
      </c>
      <c r="D5117" t="s">
        <v>175</v>
      </c>
      <c r="E5117" t="s">
        <v>182</v>
      </c>
      <c r="F5117" t="s">
        <v>181</v>
      </c>
      <c r="G5117" t="s">
        <v>179</v>
      </c>
    </row>
    <row r="5118" spans="1:7">
      <c r="A5118">
        <v>2032</v>
      </c>
      <c r="B5118" t="s">
        <v>192</v>
      </c>
      <c r="C5118">
        <v>0</v>
      </c>
      <c r="D5118" t="s">
        <v>175</v>
      </c>
      <c r="E5118" t="s">
        <v>182</v>
      </c>
      <c r="F5118" t="s">
        <v>181</v>
      </c>
      <c r="G5118" t="s">
        <v>179</v>
      </c>
    </row>
    <row r="5119" spans="1:7">
      <c r="A5119">
        <v>2033</v>
      </c>
      <c r="B5119" t="s">
        <v>192</v>
      </c>
      <c r="C5119">
        <v>0</v>
      </c>
      <c r="D5119" t="s">
        <v>175</v>
      </c>
      <c r="E5119" t="s">
        <v>182</v>
      </c>
      <c r="F5119" t="s">
        <v>181</v>
      </c>
      <c r="G5119" t="s">
        <v>179</v>
      </c>
    </row>
    <row r="5120" spans="1:7">
      <c r="A5120">
        <v>2034</v>
      </c>
      <c r="B5120" t="s">
        <v>192</v>
      </c>
      <c r="C5120">
        <v>0</v>
      </c>
      <c r="D5120" t="s">
        <v>175</v>
      </c>
      <c r="E5120" t="s">
        <v>182</v>
      </c>
      <c r="F5120" t="s">
        <v>181</v>
      </c>
      <c r="G5120" t="s">
        <v>179</v>
      </c>
    </row>
    <row r="5121" spans="1:7">
      <c r="A5121">
        <v>2035</v>
      </c>
      <c r="B5121" t="s">
        <v>192</v>
      </c>
      <c r="C5121">
        <v>0</v>
      </c>
      <c r="D5121" t="s">
        <v>175</v>
      </c>
      <c r="E5121" t="s">
        <v>182</v>
      </c>
      <c r="F5121" t="s">
        <v>181</v>
      </c>
      <c r="G5121" t="s">
        <v>179</v>
      </c>
    </row>
    <row r="5122" spans="1:7">
      <c r="A5122">
        <v>2020</v>
      </c>
      <c r="B5122" t="s">
        <v>193</v>
      </c>
      <c r="C5122">
        <v>232.5</v>
      </c>
      <c r="D5122" t="s">
        <v>175</v>
      </c>
      <c r="E5122" t="s">
        <v>182</v>
      </c>
      <c r="F5122" t="s">
        <v>181</v>
      </c>
      <c r="G5122" t="s">
        <v>179</v>
      </c>
    </row>
    <row r="5123" spans="1:7">
      <c r="A5123">
        <v>2021</v>
      </c>
      <c r="B5123" t="s">
        <v>193</v>
      </c>
      <c r="C5123">
        <v>1100</v>
      </c>
      <c r="D5123" t="s">
        <v>175</v>
      </c>
      <c r="E5123" t="s">
        <v>182</v>
      </c>
      <c r="F5123" t="s">
        <v>181</v>
      </c>
      <c r="G5123" t="s">
        <v>179</v>
      </c>
    </row>
    <row r="5124" spans="1:7">
      <c r="A5124">
        <v>2022</v>
      </c>
      <c r="B5124" t="s">
        <v>193</v>
      </c>
      <c r="C5124">
        <v>1100</v>
      </c>
      <c r="D5124" t="s">
        <v>175</v>
      </c>
      <c r="E5124" t="s">
        <v>182</v>
      </c>
      <c r="F5124" t="s">
        <v>181</v>
      </c>
      <c r="G5124" t="s">
        <v>179</v>
      </c>
    </row>
    <row r="5125" spans="1:7">
      <c r="A5125">
        <v>2023</v>
      </c>
      <c r="B5125" t="s">
        <v>193</v>
      </c>
      <c r="C5125">
        <v>0</v>
      </c>
      <c r="D5125" t="s">
        <v>175</v>
      </c>
      <c r="E5125" t="s">
        <v>182</v>
      </c>
      <c r="F5125" t="s">
        <v>181</v>
      </c>
      <c r="G5125" t="s">
        <v>179</v>
      </c>
    </row>
    <row r="5126" spans="1:7">
      <c r="A5126">
        <v>2024</v>
      </c>
      <c r="B5126" t="s">
        <v>193</v>
      </c>
      <c r="C5126">
        <v>0</v>
      </c>
      <c r="D5126" t="s">
        <v>175</v>
      </c>
      <c r="E5126" t="s">
        <v>182</v>
      </c>
      <c r="F5126" t="s">
        <v>181</v>
      </c>
      <c r="G5126" t="s">
        <v>179</v>
      </c>
    </row>
    <row r="5127" spans="1:7">
      <c r="A5127">
        <v>2025</v>
      </c>
      <c r="B5127" t="s">
        <v>193</v>
      </c>
      <c r="C5127">
        <v>0</v>
      </c>
      <c r="D5127" t="s">
        <v>175</v>
      </c>
      <c r="E5127" t="s">
        <v>182</v>
      </c>
      <c r="F5127" t="s">
        <v>181</v>
      </c>
      <c r="G5127" t="s">
        <v>179</v>
      </c>
    </row>
    <row r="5128" spans="1:7">
      <c r="A5128">
        <v>2026</v>
      </c>
      <c r="B5128" t="s">
        <v>193</v>
      </c>
      <c r="C5128">
        <v>0</v>
      </c>
      <c r="D5128" t="s">
        <v>175</v>
      </c>
      <c r="E5128" t="s">
        <v>182</v>
      </c>
      <c r="F5128" t="s">
        <v>181</v>
      </c>
      <c r="G5128" t="s">
        <v>179</v>
      </c>
    </row>
    <row r="5129" spans="1:7">
      <c r="A5129">
        <v>2027</v>
      </c>
      <c r="B5129" t="s">
        <v>193</v>
      </c>
      <c r="C5129">
        <v>0</v>
      </c>
      <c r="D5129" t="s">
        <v>175</v>
      </c>
      <c r="E5129" t="s">
        <v>182</v>
      </c>
      <c r="F5129" t="s">
        <v>181</v>
      </c>
      <c r="G5129" t="s">
        <v>179</v>
      </c>
    </row>
    <row r="5130" spans="1:7">
      <c r="A5130">
        <v>2028</v>
      </c>
      <c r="B5130" t="s">
        <v>193</v>
      </c>
      <c r="C5130">
        <v>0</v>
      </c>
      <c r="D5130" t="s">
        <v>175</v>
      </c>
      <c r="E5130" t="s">
        <v>182</v>
      </c>
      <c r="F5130" t="s">
        <v>181</v>
      </c>
      <c r="G5130" t="s">
        <v>179</v>
      </c>
    </row>
    <row r="5131" spans="1:7">
      <c r="A5131">
        <v>2029</v>
      </c>
      <c r="B5131" t="s">
        <v>193</v>
      </c>
      <c r="C5131">
        <v>0</v>
      </c>
      <c r="D5131" t="s">
        <v>175</v>
      </c>
      <c r="E5131" t="s">
        <v>182</v>
      </c>
      <c r="F5131" t="s">
        <v>181</v>
      </c>
      <c r="G5131" t="s">
        <v>179</v>
      </c>
    </row>
    <row r="5132" spans="1:7">
      <c r="A5132">
        <v>2030</v>
      </c>
      <c r="B5132" t="s">
        <v>193</v>
      </c>
      <c r="C5132">
        <v>0</v>
      </c>
      <c r="D5132" t="s">
        <v>175</v>
      </c>
      <c r="E5132" t="s">
        <v>182</v>
      </c>
      <c r="F5132" t="s">
        <v>181</v>
      </c>
      <c r="G5132" t="s">
        <v>179</v>
      </c>
    </row>
    <row r="5133" spans="1:7">
      <c r="A5133">
        <v>2031</v>
      </c>
      <c r="B5133" t="s">
        <v>193</v>
      </c>
      <c r="C5133">
        <v>0</v>
      </c>
      <c r="D5133" t="s">
        <v>175</v>
      </c>
      <c r="E5133" t="s">
        <v>182</v>
      </c>
      <c r="F5133" t="s">
        <v>181</v>
      </c>
      <c r="G5133" t="s">
        <v>179</v>
      </c>
    </row>
    <row r="5134" spans="1:7">
      <c r="A5134">
        <v>2032</v>
      </c>
      <c r="B5134" t="s">
        <v>193</v>
      </c>
      <c r="C5134">
        <v>0</v>
      </c>
      <c r="D5134" t="s">
        <v>175</v>
      </c>
      <c r="E5134" t="s">
        <v>182</v>
      </c>
      <c r="F5134" t="s">
        <v>181</v>
      </c>
      <c r="G5134" t="s">
        <v>179</v>
      </c>
    </row>
    <row r="5135" spans="1:7">
      <c r="A5135">
        <v>2033</v>
      </c>
      <c r="B5135" t="s">
        <v>193</v>
      </c>
      <c r="C5135">
        <v>0</v>
      </c>
      <c r="D5135" t="s">
        <v>175</v>
      </c>
      <c r="E5135" t="s">
        <v>182</v>
      </c>
      <c r="F5135" t="s">
        <v>181</v>
      </c>
      <c r="G5135" t="s">
        <v>179</v>
      </c>
    </row>
    <row r="5136" spans="1:7">
      <c r="A5136">
        <v>2034</v>
      </c>
      <c r="B5136" t="s">
        <v>193</v>
      </c>
      <c r="C5136">
        <v>0</v>
      </c>
      <c r="D5136" t="s">
        <v>175</v>
      </c>
      <c r="E5136" t="s">
        <v>182</v>
      </c>
      <c r="F5136" t="s">
        <v>181</v>
      </c>
      <c r="G5136" t="s">
        <v>179</v>
      </c>
    </row>
    <row r="5137" spans="1:7">
      <c r="A5137">
        <v>2035</v>
      </c>
      <c r="B5137" t="s">
        <v>193</v>
      </c>
      <c r="C5137">
        <v>0</v>
      </c>
      <c r="D5137" t="s">
        <v>175</v>
      </c>
      <c r="E5137" t="s">
        <v>182</v>
      </c>
      <c r="F5137" t="s">
        <v>181</v>
      </c>
      <c r="G5137" t="s">
        <v>179</v>
      </c>
    </row>
    <row r="5138" spans="1:7">
      <c r="A5138">
        <v>2020</v>
      </c>
      <c r="B5138" t="s">
        <v>194</v>
      </c>
      <c r="C5138">
        <v>14.85</v>
      </c>
      <c r="D5138" t="s">
        <v>175</v>
      </c>
      <c r="E5138" t="s">
        <v>182</v>
      </c>
      <c r="F5138" t="s">
        <v>181</v>
      </c>
      <c r="G5138" t="s">
        <v>179</v>
      </c>
    </row>
    <row r="5139" spans="1:7">
      <c r="A5139">
        <v>2021</v>
      </c>
      <c r="B5139" t="s">
        <v>194</v>
      </c>
      <c r="C5139">
        <v>0</v>
      </c>
      <c r="D5139" t="s">
        <v>175</v>
      </c>
      <c r="E5139" t="s">
        <v>182</v>
      </c>
      <c r="F5139" t="s">
        <v>181</v>
      </c>
      <c r="G5139" t="s">
        <v>179</v>
      </c>
    </row>
    <row r="5140" spans="1:7">
      <c r="A5140">
        <v>2022</v>
      </c>
      <c r="B5140" t="s">
        <v>194</v>
      </c>
      <c r="C5140">
        <v>0</v>
      </c>
      <c r="D5140" t="s">
        <v>175</v>
      </c>
      <c r="E5140" t="s">
        <v>182</v>
      </c>
      <c r="F5140" t="s">
        <v>181</v>
      </c>
      <c r="G5140" t="s">
        <v>179</v>
      </c>
    </row>
    <row r="5141" spans="1:7">
      <c r="A5141">
        <v>2023</v>
      </c>
      <c r="B5141" t="s">
        <v>194</v>
      </c>
      <c r="C5141">
        <v>0</v>
      </c>
      <c r="D5141" t="s">
        <v>175</v>
      </c>
      <c r="E5141" t="s">
        <v>182</v>
      </c>
      <c r="F5141" t="s">
        <v>181</v>
      </c>
      <c r="G5141" t="s">
        <v>179</v>
      </c>
    </row>
    <row r="5142" spans="1:7">
      <c r="A5142">
        <v>2024</v>
      </c>
      <c r="B5142" t="s">
        <v>194</v>
      </c>
      <c r="C5142">
        <v>0</v>
      </c>
      <c r="D5142" t="s">
        <v>175</v>
      </c>
      <c r="E5142" t="s">
        <v>182</v>
      </c>
      <c r="F5142" t="s">
        <v>181</v>
      </c>
      <c r="G5142" t="s">
        <v>179</v>
      </c>
    </row>
    <row r="5143" spans="1:7">
      <c r="A5143">
        <v>2025</v>
      </c>
      <c r="B5143" t="s">
        <v>194</v>
      </c>
      <c r="C5143">
        <v>0</v>
      </c>
      <c r="D5143" t="s">
        <v>175</v>
      </c>
      <c r="E5143" t="s">
        <v>182</v>
      </c>
      <c r="F5143" t="s">
        <v>181</v>
      </c>
      <c r="G5143" t="s">
        <v>179</v>
      </c>
    </row>
    <row r="5144" spans="1:7">
      <c r="A5144">
        <v>2026</v>
      </c>
      <c r="B5144" t="s">
        <v>194</v>
      </c>
      <c r="C5144">
        <v>0</v>
      </c>
      <c r="D5144" t="s">
        <v>175</v>
      </c>
      <c r="E5144" t="s">
        <v>182</v>
      </c>
      <c r="F5144" t="s">
        <v>181</v>
      </c>
      <c r="G5144" t="s">
        <v>179</v>
      </c>
    </row>
    <row r="5145" spans="1:7">
      <c r="A5145">
        <v>2027</v>
      </c>
      <c r="B5145" t="s">
        <v>194</v>
      </c>
      <c r="C5145">
        <v>0</v>
      </c>
      <c r="D5145" t="s">
        <v>175</v>
      </c>
      <c r="E5145" t="s">
        <v>182</v>
      </c>
      <c r="F5145" t="s">
        <v>181</v>
      </c>
      <c r="G5145" t="s">
        <v>179</v>
      </c>
    </row>
    <row r="5146" spans="1:7">
      <c r="A5146">
        <v>2028</v>
      </c>
      <c r="B5146" t="s">
        <v>194</v>
      </c>
      <c r="C5146">
        <v>0</v>
      </c>
      <c r="D5146" t="s">
        <v>175</v>
      </c>
      <c r="E5146" t="s">
        <v>182</v>
      </c>
      <c r="F5146" t="s">
        <v>181</v>
      </c>
      <c r="G5146" t="s">
        <v>179</v>
      </c>
    </row>
    <row r="5147" spans="1:7">
      <c r="A5147">
        <v>2029</v>
      </c>
      <c r="B5147" t="s">
        <v>194</v>
      </c>
      <c r="C5147">
        <v>0</v>
      </c>
      <c r="D5147" t="s">
        <v>175</v>
      </c>
      <c r="E5147" t="s">
        <v>182</v>
      </c>
      <c r="F5147" t="s">
        <v>181</v>
      </c>
      <c r="G5147" t="s">
        <v>179</v>
      </c>
    </row>
    <row r="5148" spans="1:7">
      <c r="A5148">
        <v>2030</v>
      </c>
      <c r="B5148" t="s">
        <v>194</v>
      </c>
      <c r="C5148">
        <v>0</v>
      </c>
      <c r="D5148" t="s">
        <v>175</v>
      </c>
      <c r="E5148" t="s">
        <v>182</v>
      </c>
      <c r="F5148" t="s">
        <v>181</v>
      </c>
      <c r="G5148" t="s">
        <v>179</v>
      </c>
    </row>
    <row r="5149" spans="1:7">
      <c r="A5149">
        <v>2031</v>
      </c>
      <c r="B5149" t="s">
        <v>194</v>
      </c>
      <c r="C5149">
        <v>0</v>
      </c>
      <c r="D5149" t="s">
        <v>175</v>
      </c>
      <c r="E5149" t="s">
        <v>182</v>
      </c>
      <c r="F5149" t="s">
        <v>181</v>
      </c>
      <c r="G5149" t="s">
        <v>179</v>
      </c>
    </row>
    <row r="5150" spans="1:7">
      <c r="A5150">
        <v>2032</v>
      </c>
      <c r="B5150" t="s">
        <v>194</v>
      </c>
      <c r="C5150">
        <v>0</v>
      </c>
      <c r="D5150" t="s">
        <v>175</v>
      </c>
      <c r="E5150" t="s">
        <v>182</v>
      </c>
      <c r="F5150" t="s">
        <v>181</v>
      </c>
      <c r="G5150" t="s">
        <v>179</v>
      </c>
    </row>
    <row r="5151" spans="1:7">
      <c r="A5151">
        <v>2033</v>
      </c>
      <c r="B5151" t="s">
        <v>194</v>
      </c>
      <c r="C5151">
        <v>0</v>
      </c>
      <c r="D5151" t="s">
        <v>175</v>
      </c>
      <c r="E5151" t="s">
        <v>182</v>
      </c>
      <c r="F5151" t="s">
        <v>181</v>
      </c>
      <c r="G5151" t="s">
        <v>179</v>
      </c>
    </row>
    <row r="5152" spans="1:7">
      <c r="A5152">
        <v>2034</v>
      </c>
      <c r="B5152" t="s">
        <v>194</v>
      </c>
      <c r="C5152">
        <v>0</v>
      </c>
      <c r="D5152" t="s">
        <v>175</v>
      </c>
      <c r="E5152" t="s">
        <v>182</v>
      </c>
      <c r="F5152" t="s">
        <v>181</v>
      </c>
      <c r="G5152" t="s">
        <v>179</v>
      </c>
    </row>
    <row r="5153" spans="1:7">
      <c r="A5153">
        <v>2035</v>
      </c>
      <c r="B5153" t="s">
        <v>194</v>
      </c>
      <c r="C5153">
        <v>0</v>
      </c>
      <c r="D5153" t="s">
        <v>175</v>
      </c>
      <c r="E5153" t="s">
        <v>182</v>
      </c>
      <c r="F5153" t="s">
        <v>181</v>
      </c>
      <c r="G5153" t="s">
        <v>179</v>
      </c>
    </row>
    <row r="5154" spans="1:7">
      <c r="A5154">
        <v>2020</v>
      </c>
      <c r="B5154" t="s">
        <v>195</v>
      </c>
      <c r="C5154">
        <v>10494.5</v>
      </c>
      <c r="D5154" t="s">
        <v>175</v>
      </c>
      <c r="E5154" t="s">
        <v>182</v>
      </c>
      <c r="F5154" t="s">
        <v>181</v>
      </c>
      <c r="G5154" t="s">
        <v>179</v>
      </c>
    </row>
    <row r="5155" spans="1:7">
      <c r="A5155">
        <v>2021</v>
      </c>
      <c r="B5155" t="s">
        <v>195</v>
      </c>
      <c r="C5155">
        <v>21249.599999999999</v>
      </c>
      <c r="D5155" t="s">
        <v>175</v>
      </c>
      <c r="E5155" t="s">
        <v>182</v>
      </c>
      <c r="F5155" t="s">
        <v>181</v>
      </c>
      <c r="G5155" t="s">
        <v>179</v>
      </c>
    </row>
    <row r="5156" spans="1:7">
      <c r="A5156">
        <v>2022</v>
      </c>
      <c r="B5156" t="s">
        <v>195</v>
      </c>
      <c r="C5156">
        <v>21249.599999999999</v>
      </c>
      <c r="D5156" t="s">
        <v>175</v>
      </c>
      <c r="E5156" t="s">
        <v>182</v>
      </c>
      <c r="F5156" t="s">
        <v>181</v>
      </c>
      <c r="G5156" t="s">
        <v>179</v>
      </c>
    </row>
    <row r="5157" spans="1:7">
      <c r="A5157">
        <v>2023</v>
      </c>
      <c r="B5157" t="s">
        <v>195</v>
      </c>
      <c r="C5157">
        <v>30948.799999999999</v>
      </c>
      <c r="D5157" t="s">
        <v>175</v>
      </c>
      <c r="E5157" t="s">
        <v>182</v>
      </c>
      <c r="F5157" t="s">
        <v>181</v>
      </c>
      <c r="G5157" t="s">
        <v>179</v>
      </c>
    </row>
    <row r="5158" spans="1:7">
      <c r="A5158">
        <v>2024</v>
      </c>
      <c r="B5158" t="s">
        <v>195</v>
      </c>
      <c r="C5158">
        <v>30948.799999999999</v>
      </c>
      <c r="D5158" t="s">
        <v>175</v>
      </c>
      <c r="E5158" t="s">
        <v>182</v>
      </c>
      <c r="F5158" t="s">
        <v>181</v>
      </c>
      <c r="G5158" t="s">
        <v>179</v>
      </c>
    </row>
    <row r="5159" spans="1:7">
      <c r="A5159">
        <v>2025</v>
      </c>
      <c r="B5159" t="s">
        <v>195</v>
      </c>
      <c r="C5159">
        <v>8140.78</v>
      </c>
      <c r="D5159" t="s">
        <v>175</v>
      </c>
      <c r="E5159" t="s">
        <v>182</v>
      </c>
      <c r="F5159" t="s">
        <v>181</v>
      </c>
      <c r="G5159" t="s">
        <v>179</v>
      </c>
    </row>
    <row r="5160" spans="1:7">
      <c r="A5160">
        <v>2026</v>
      </c>
      <c r="B5160" t="s">
        <v>195</v>
      </c>
      <c r="C5160">
        <v>8140.78</v>
      </c>
      <c r="D5160" t="s">
        <v>175</v>
      </c>
      <c r="E5160" t="s">
        <v>182</v>
      </c>
      <c r="F5160" t="s">
        <v>181</v>
      </c>
      <c r="G5160" t="s">
        <v>179</v>
      </c>
    </row>
    <row r="5161" spans="1:7">
      <c r="A5161">
        <v>2027</v>
      </c>
      <c r="B5161" t="s">
        <v>195</v>
      </c>
      <c r="C5161">
        <v>14284.9</v>
      </c>
      <c r="D5161" t="s">
        <v>175</v>
      </c>
      <c r="E5161" t="s">
        <v>182</v>
      </c>
      <c r="F5161" t="s">
        <v>181</v>
      </c>
      <c r="G5161" t="s">
        <v>179</v>
      </c>
    </row>
    <row r="5162" spans="1:7">
      <c r="A5162">
        <v>2028</v>
      </c>
      <c r="B5162" t="s">
        <v>195</v>
      </c>
      <c r="C5162">
        <v>14284.9</v>
      </c>
      <c r="D5162" t="s">
        <v>175</v>
      </c>
      <c r="E5162" t="s">
        <v>182</v>
      </c>
      <c r="F5162" t="s">
        <v>181</v>
      </c>
      <c r="G5162" t="s">
        <v>179</v>
      </c>
    </row>
    <row r="5163" spans="1:7">
      <c r="A5163">
        <v>2029</v>
      </c>
      <c r="B5163" t="s">
        <v>195</v>
      </c>
      <c r="C5163">
        <v>14607.3</v>
      </c>
      <c r="D5163" t="s">
        <v>175</v>
      </c>
      <c r="E5163" t="s">
        <v>182</v>
      </c>
      <c r="F5163" t="s">
        <v>181</v>
      </c>
      <c r="G5163" t="s">
        <v>179</v>
      </c>
    </row>
    <row r="5164" spans="1:7">
      <c r="A5164">
        <v>2030</v>
      </c>
      <c r="B5164" t="s">
        <v>195</v>
      </c>
      <c r="C5164">
        <v>14607.3</v>
      </c>
      <c r="D5164" t="s">
        <v>175</v>
      </c>
      <c r="E5164" t="s">
        <v>182</v>
      </c>
      <c r="F5164" t="s">
        <v>181</v>
      </c>
      <c r="G5164" t="s">
        <v>179</v>
      </c>
    </row>
    <row r="5165" spans="1:7">
      <c r="A5165">
        <v>2031</v>
      </c>
      <c r="B5165" t="s">
        <v>195</v>
      </c>
      <c r="C5165">
        <v>16531.2</v>
      </c>
      <c r="D5165" t="s">
        <v>175</v>
      </c>
      <c r="E5165" t="s">
        <v>182</v>
      </c>
      <c r="F5165" t="s">
        <v>181</v>
      </c>
      <c r="G5165" t="s">
        <v>179</v>
      </c>
    </row>
    <row r="5166" spans="1:7">
      <c r="A5166">
        <v>2032</v>
      </c>
      <c r="B5166" t="s">
        <v>195</v>
      </c>
      <c r="C5166">
        <v>16531.2</v>
      </c>
      <c r="D5166" t="s">
        <v>175</v>
      </c>
      <c r="E5166" t="s">
        <v>182</v>
      </c>
      <c r="F5166" t="s">
        <v>181</v>
      </c>
      <c r="G5166" t="s">
        <v>179</v>
      </c>
    </row>
    <row r="5167" spans="1:7">
      <c r="A5167">
        <v>2033</v>
      </c>
      <c r="B5167" t="s">
        <v>195</v>
      </c>
      <c r="C5167">
        <v>16799.099999999999</v>
      </c>
      <c r="D5167" t="s">
        <v>175</v>
      </c>
      <c r="E5167" t="s">
        <v>182</v>
      </c>
      <c r="F5167" t="s">
        <v>181</v>
      </c>
      <c r="G5167" t="s">
        <v>179</v>
      </c>
    </row>
    <row r="5168" spans="1:7">
      <c r="A5168">
        <v>2034</v>
      </c>
      <c r="B5168" t="s">
        <v>195</v>
      </c>
      <c r="C5168">
        <v>16799.099999999999</v>
      </c>
      <c r="D5168" t="s">
        <v>175</v>
      </c>
      <c r="E5168" t="s">
        <v>182</v>
      </c>
      <c r="F5168" t="s">
        <v>181</v>
      </c>
      <c r="G5168" t="s">
        <v>179</v>
      </c>
    </row>
    <row r="5169" spans="1:7">
      <c r="A5169">
        <v>2035</v>
      </c>
      <c r="B5169" t="s">
        <v>195</v>
      </c>
      <c r="C5169">
        <v>16799.099999999999</v>
      </c>
      <c r="D5169" t="s">
        <v>175</v>
      </c>
      <c r="E5169" t="s">
        <v>182</v>
      </c>
      <c r="F5169" t="s">
        <v>181</v>
      </c>
      <c r="G5169" t="s">
        <v>179</v>
      </c>
    </row>
    <row r="5170" spans="1:7">
      <c r="A5170">
        <v>2020</v>
      </c>
      <c r="B5170" t="s">
        <v>196</v>
      </c>
      <c r="C5170">
        <v>10091.1</v>
      </c>
      <c r="D5170" t="s">
        <v>175</v>
      </c>
      <c r="E5170" t="s">
        <v>182</v>
      </c>
      <c r="F5170" t="s">
        <v>181</v>
      </c>
      <c r="G5170" t="s">
        <v>179</v>
      </c>
    </row>
    <row r="5171" spans="1:7">
      <c r="A5171">
        <v>2021</v>
      </c>
      <c r="B5171" t="s">
        <v>196</v>
      </c>
      <c r="C5171">
        <v>59508.4</v>
      </c>
      <c r="D5171" t="s">
        <v>175</v>
      </c>
      <c r="E5171" t="s">
        <v>182</v>
      </c>
      <c r="F5171" t="s">
        <v>181</v>
      </c>
      <c r="G5171" t="s">
        <v>179</v>
      </c>
    </row>
    <row r="5172" spans="1:7">
      <c r="A5172">
        <v>2022</v>
      </c>
      <c r="B5172" t="s">
        <v>196</v>
      </c>
      <c r="C5172">
        <v>59508.4</v>
      </c>
      <c r="D5172" t="s">
        <v>175</v>
      </c>
      <c r="E5172" t="s">
        <v>182</v>
      </c>
      <c r="F5172" t="s">
        <v>181</v>
      </c>
      <c r="G5172" t="s">
        <v>179</v>
      </c>
    </row>
    <row r="5173" spans="1:7">
      <c r="A5173">
        <v>2023</v>
      </c>
      <c r="B5173" t="s">
        <v>196</v>
      </c>
      <c r="C5173">
        <v>7375.54</v>
      </c>
      <c r="D5173" t="s">
        <v>175</v>
      </c>
      <c r="E5173" t="s">
        <v>182</v>
      </c>
      <c r="F5173" t="s">
        <v>181</v>
      </c>
      <c r="G5173" t="s">
        <v>179</v>
      </c>
    </row>
    <row r="5174" spans="1:7">
      <c r="A5174">
        <v>2024</v>
      </c>
      <c r="B5174" t="s">
        <v>196</v>
      </c>
      <c r="C5174">
        <v>7375.54</v>
      </c>
      <c r="D5174" t="s">
        <v>175</v>
      </c>
      <c r="E5174" t="s">
        <v>182</v>
      </c>
      <c r="F5174" t="s">
        <v>181</v>
      </c>
      <c r="G5174" t="s">
        <v>179</v>
      </c>
    </row>
    <row r="5175" spans="1:7">
      <c r="A5175">
        <v>2025</v>
      </c>
      <c r="B5175" t="s">
        <v>196</v>
      </c>
      <c r="C5175">
        <v>15239.4</v>
      </c>
      <c r="D5175" t="s">
        <v>175</v>
      </c>
      <c r="E5175" t="s">
        <v>182</v>
      </c>
      <c r="F5175" t="s">
        <v>181</v>
      </c>
      <c r="G5175" t="s">
        <v>179</v>
      </c>
    </row>
    <row r="5176" spans="1:7">
      <c r="A5176">
        <v>2026</v>
      </c>
      <c r="B5176" t="s">
        <v>196</v>
      </c>
      <c r="C5176">
        <v>15239.4</v>
      </c>
      <c r="D5176" t="s">
        <v>175</v>
      </c>
      <c r="E5176" t="s">
        <v>182</v>
      </c>
      <c r="F5176" t="s">
        <v>181</v>
      </c>
      <c r="G5176" t="s">
        <v>179</v>
      </c>
    </row>
    <row r="5177" spans="1:7">
      <c r="A5177">
        <v>2027</v>
      </c>
      <c r="B5177" t="s">
        <v>196</v>
      </c>
      <c r="C5177">
        <v>11111.3</v>
      </c>
      <c r="D5177" t="s">
        <v>175</v>
      </c>
      <c r="E5177" t="s">
        <v>182</v>
      </c>
      <c r="F5177" t="s">
        <v>181</v>
      </c>
      <c r="G5177" t="s">
        <v>179</v>
      </c>
    </row>
    <row r="5178" spans="1:7">
      <c r="A5178">
        <v>2028</v>
      </c>
      <c r="B5178" t="s">
        <v>196</v>
      </c>
      <c r="C5178">
        <v>11111.3</v>
      </c>
      <c r="D5178" t="s">
        <v>175</v>
      </c>
      <c r="E5178" t="s">
        <v>182</v>
      </c>
      <c r="F5178" t="s">
        <v>181</v>
      </c>
      <c r="G5178" t="s">
        <v>179</v>
      </c>
    </row>
    <row r="5179" spans="1:7">
      <c r="A5179">
        <v>2029</v>
      </c>
      <c r="B5179" t="s">
        <v>196</v>
      </c>
      <c r="C5179">
        <v>18610.2</v>
      </c>
      <c r="D5179" t="s">
        <v>175</v>
      </c>
      <c r="E5179" t="s">
        <v>182</v>
      </c>
      <c r="F5179" t="s">
        <v>181</v>
      </c>
      <c r="G5179" t="s">
        <v>179</v>
      </c>
    </row>
    <row r="5180" spans="1:7">
      <c r="A5180">
        <v>2030</v>
      </c>
      <c r="B5180" t="s">
        <v>196</v>
      </c>
      <c r="C5180">
        <v>18610.2</v>
      </c>
      <c r="D5180" t="s">
        <v>175</v>
      </c>
      <c r="E5180" t="s">
        <v>182</v>
      </c>
      <c r="F5180" t="s">
        <v>181</v>
      </c>
      <c r="G5180" t="s">
        <v>179</v>
      </c>
    </row>
    <row r="5181" spans="1:7">
      <c r="A5181">
        <v>2031</v>
      </c>
      <c r="B5181" t="s">
        <v>196</v>
      </c>
      <c r="C5181">
        <v>8452.7000000000007</v>
      </c>
      <c r="D5181" t="s">
        <v>175</v>
      </c>
      <c r="E5181" t="s">
        <v>182</v>
      </c>
      <c r="F5181" t="s">
        <v>181</v>
      </c>
      <c r="G5181" t="s">
        <v>179</v>
      </c>
    </row>
    <row r="5182" spans="1:7">
      <c r="A5182">
        <v>2032</v>
      </c>
      <c r="B5182" t="s">
        <v>196</v>
      </c>
      <c r="C5182">
        <v>8452.7000000000007</v>
      </c>
      <c r="D5182" t="s">
        <v>175</v>
      </c>
      <c r="E5182" t="s">
        <v>182</v>
      </c>
      <c r="F5182" t="s">
        <v>181</v>
      </c>
      <c r="G5182" t="s">
        <v>179</v>
      </c>
    </row>
    <row r="5183" spans="1:7">
      <c r="A5183">
        <v>2033</v>
      </c>
      <c r="B5183" t="s">
        <v>196</v>
      </c>
      <c r="C5183">
        <v>12908.2</v>
      </c>
      <c r="D5183" t="s">
        <v>175</v>
      </c>
      <c r="E5183" t="s">
        <v>182</v>
      </c>
      <c r="F5183" t="s">
        <v>181</v>
      </c>
      <c r="G5183" t="s">
        <v>179</v>
      </c>
    </row>
    <row r="5184" spans="1:7">
      <c r="A5184">
        <v>2034</v>
      </c>
      <c r="B5184" t="s">
        <v>196</v>
      </c>
      <c r="C5184">
        <v>12908.2</v>
      </c>
      <c r="D5184" t="s">
        <v>175</v>
      </c>
      <c r="E5184" t="s">
        <v>182</v>
      </c>
      <c r="F5184" t="s">
        <v>181</v>
      </c>
      <c r="G5184" t="s">
        <v>179</v>
      </c>
    </row>
    <row r="5185" spans="1:7">
      <c r="A5185">
        <v>2035</v>
      </c>
      <c r="B5185" t="s">
        <v>196</v>
      </c>
      <c r="C5185">
        <v>12908.2</v>
      </c>
      <c r="D5185" t="s">
        <v>175</v>
      </c>
      <c r="E5185" t="s">
        <v>182</v>
      </c>
      <c r="F5185" t="s">
        <v>181</v>
      </c>
      <c r="G5185" t="s">
        <v>179</v>
      </c>
    </row>
    <row r="5186" spans="1:7">
      <c r="A5186">
        <v>2020</v>
      </c>
      <c r="B5186" t="s">
        <v>188</v>
      </c>
      <c r="C5186">
        <v>102.45</v>
      </c>
      <c r="D5186" t="s">
        <v>175</v>
      </c>
      <c r="E5186" t="s">
        <v>182</v>
      </c>
      <c r="F5186" t="s">
        <v>181</v>
      </c>
      <c r="G5186" t="s">
        <v>180</v>
      </c>
    </row>
    <row r="5187" spans="1:7">
      <c r="A5187">
        <v>2021</v>
      </c>
      <c r="B5187" t="s">
        <v>188</v>
      </c>
      <c r="C5187">
        <v>9.5</v>
      </c>
      <c r="D5187" t="s">
        <v>175</v>
      </c>
      <c r="E5187" t="s">
        <v>182</v>
      </c>
      <c r="F5187" t="s">
        <v>181</v>
      </c>
      <c r="G5187" t="s">
        <v>180</v>
      </c>
    </row>
    <row r="5188" spans="1:7">
      <c r="A5188">
        <v>2022</v>
      </c>
      <c r="B5188" t="s">
        <v>188</v>
      </c>
      <c r="C5188">
        <v>9.5</v>
      </c>
      <c r="D5188" t="s">
        <v>175</v>
      </c>
      <c r="E5188" t="s">
        <v>182</v>
      </c>
      <c r="F5188" t="s">
        <v>181</v>
      </c>
      <c r="G5188" t="s">
        <v>180</v>
      </c>
    </row>
    <row r="5189" spans="1:7">
      <c r="A5189">
        <v>2023</v>
      </c>
      <c r="B5189" t="s">
        <v>188</v>
      </c>
      <c r="C5189">
        <v>0</v>
      </c>
      <c r="D5189" t="s">
        <v>175</v>
      </c>
      <c r="E5189" t="s">
        <v>182</v>
      </c>
      <c r="F5189" t="s">
        <v>181</v>
      </c>
      <c r="G5189" t="s">
        <v>180</v>
      </c>
    </row>
    <row r="5190" spans="1:7">
      <c r="A5190">
        <v>2024</v>
      </c>
      <c r="B5190" t="s">
        <v>188</v>
      </c>
      <c r="C5190">
        <v>0</v>
      </c>
      <c r="D5190" t="s">
        <v>175</v>
      </c>
      <c r="E5190" t="s">
        <v>182</v>
      </c>
      <c r="F5190" t="s">
        <v>181</v>
      </c>
      <c r="G5190" t="s">
        <v>180</v>
      </c>
    </row>
    <row r="5191" spans="1:7">
      <c r="A5191">
        <v>2025</v>
      </c>
      <c r="B5191" t="s">
        <v>188</v>
      </c>
      <c r="C5191">
        <v>0</v>
      </c>
      <c r="D5191" t="s">
        <v>175</v>
      </c>
      <c r="E5191" t="s">
        <v>182</v>
      </c>
      <c r="F5191" t="s">
        <v>181</v>
      </c>
      <c r="G5191" t="s">
        <v>180</v>
      </c>
    </row>
    <row r="5192" spans="1:7">
      <c r="A5192">
        <v>2026</v>
      </c>
      <c r="B5192" t="s">
        <v>188</v>
      </c>
      <c r="C5192">
        <v>0</v>
      </c>
      <c r="D5192" t="s">
        <v>175</v>
      </c>
      <c r="E5192" t="s">
        <v>182</v>
      </c>
      <c r="F5192" t="s">
        <v>181</v>
      </c>
      <c r="G5192" t="s">
        <v>180</v>
      </c>
    </row>
    <row r="5193" spans="1:7">
      <c r="A5193">
        <v>2027</v>
      </c>
      <c r="B5193" t="s">
        <v>188</v>
      </c>
      <c r="C5193">
        <v>0</v>
      </c>
      <c r="D5193" t="s">
        <v>175</v>
      </c>
      <c r="E5193" t="s">
        <v>182</v>
      </c>
      <c r="F5193" t="s">
        <v>181</v>
      </c>
      <c r="G5193" t="s">
        <v>180</v>
      </c>
    </row>
    <row r="5194" spans="1:7">
      <c r="A5194">
        <v>2028</v>
      </c>
      <c r="B5194" t="s">
        <v>188</v>
      </c>
      <c r="C5194">
        <v>0</v>
      </c>
      <c r="D5194" t="s">
        <v>175</v>
      </c>
      <c r="E5194" t="s">
        <v>182</v>
      </c>
      <c r="F5194" t="s">
        <v>181</v>
      </c>
      <c r="G5194" t="s">
        <v>180</v>
      </c>
    </row>
    <row r="5195" spans="1:7">
      <c r="A5195">
        <v>2029</v>
      </c>
      <c r="B5195" t="s">
        <v>188</v>
      </c>
      <c r="C5195">
        <v>0</v>
      </c>
      <c r="D5195" t="s">
        <v>175</v>
      </c>
      <c r="E5195" t="s">
        <v>182</v>
      </c>
      <c r="F5195" t="s">
        <v>181</v>
      </c>
      <c r="G5195" t="s">
        <v>180</v>
      </c>
    </row>
    <row r="5196" spans="1:7">
      <c r="A5196">
        <v>2030</v>
      </c>
      <c r="B5196" t="s">
        <v>188</v>
      </c>
      <c r="C5196">
        <v>0</v>
      </c>
      <c r="D5196" t="s">
        <v>175</v>
      </c>
      <c r="E5196" t="s">
        <v>182</v>
      </c>
      <c r="F5196" t="s">
        <v>181</v>
      </c>
      <c r="G5196" t="s">
        <v>180</v>
      </c>
    </row>
    <row r="5197" spans="1:7">
      <c r="A5197">
        <v>2031</v>
      </c>
      <c r="B5197" t="s">
        <v>188</v>
      </c>
      <c r="C5197">
        <v>0</v>
      </c>
      <c r="D5197" t="s">
        <v>175</v>
      </c>
      <c r="E5197" t="s">
        <v>182</v>
      </c>
      <c r="F5197" t="s">
        <v>181</v>
      </c>
      <c r="G5197" t="s">
        <v>180</v>
      </c>
    </row>
    <row r="5198" spans="1:7">
      <c r="A5198">
        <v>2032</v>
      </c>
      <c r="B5198" t="s">
        <v>188</v>
      </c>
      <c r="C5198">
        <v>0</v>
      </c>
      <c r="D5198" t="s">
        <v>175</v>
      </c>
      <c r="E5198" t="s">
        <v>182</v>
      </c>
      <c r="F5198" t="s">
        <v>181</v>
      </c>
      <c r="G5198" t="s">
        <v>180</v>
      </c>
    </row>
    <row r="5199" spans="1:7">
      <c r="A5199">
        <v>2033</v>
      </c>
      <c r="B5199" t="s">
        <v>188</v>
      </c>
      <c r="C5199">
        <v>0</v>
      </c>
      <c r="D5199" t="s">
        <v>175</v>
      </c>
      <c r="E5199" t="s">
        <v>182</v>
      </c>
      <c r="F5199" t="s">
        <v>181</v>
      </c>
      <c r="G5199" t="s">
        <v>180</v>
      </c>
    </row>
    <row r="5200" spans="1:7">
      <c r="A5200">
        <v>2034</v>
      </c>
      <c r="B5200" t="s">
        <v>188</v>
      </c>
      <c r="C5200">
        <v>0</v>
      </c>
      <c r="D5200" t="s">
        <v>175</v>
      </c>
      <c r="E5200" t="s">
        <v>182</v>
      </c>
      <c r="F5200" t="s">
        <v>181</v>
      </c>
      <c r="G5200" t="s">
        <v>180</v>
      </c>
    </row>
    <row r="5201" spans="1:7">
      <c r="A5201">
        <v>2035</v>
      </c>
      <c r="B5201" t="s">
        <v>188</v>
      </c>
      <c r="C5201">
        <v>0</v>
      </c>
      <c r="D5201" t="s">
        <v>175</v>
      </c>
      <c r="E5201" t="s">
        <v>182</v>
      </c>
      <c r="F5201" t="s">
        <v>181</v>
      </c>
      <c r="G5201" t="s">
        <v>180</v>
      </c>
    </row>
    <row r="5202" spans="1:7">
      <c r="A5202">
        <v>2020</v>
      </c>
      <c r="B5202" t="s">
        <v>189</v>
      </c>
      <c r="C5202">
        <v>0</v>
      </c>
      <c r="D5202" t="s">
        <v>175</v>
      </c>
      <c r="E5202" t="s">
        <v>182</v>
      </c>
      <c r="F5202" t="s">
        <v>181</v>
      </c>
      <c r="G5202" t="s">
        <v>180</v>
      </c>
    </row>
    <row r="5203" spans="1:7">
      <c r="A5203">
        <v>2021</v>
      </c>
      <c r="B5203" t="s">
        <v>189</v>
      </c>
      <c r="C5203">
        <v>0</v>
      </c>
      <c r="D5203" t="s">
        <v>175</v>
      </c>
      <c r="E5203" t="s">
        <v>182</v>
      </c>
      <c r="F5203" t="s">
        <v>181</v>
      </c>
      <c r="G5203" t="s">
        <v>180</v>
      </c>
    </row>
    <row r="5204" spans="1:7">
      <c r="A5204">
        <v>2022</v>
      </c>
      <c r="B5204" t="s">
        <v>189</v>
      </c>
      <c r="C5204">
        <v>0</v>
      </c>
      <c r="D5204" t="s">
        <v>175</v>
      </c>
      <c r="E5204" t="s">
        <v>182</v>
      </c>
      <c r="F5204" t="s">
        <v>181</v>
      </c>
      <c r="G5204" t="s">
        <v>180</v>
      </c>
    </row>
    <row r="5205" spans="1:7">
      <c r="A5205">
        <v>2023</v>
      </c>
      <c r="B5205" t="s">
        <v>189</v>
      </c>
      <c r="C5205">
        <v>0</v>
      </c>
      <c r="D5205" t="s">
        <v>175</v>
      </c>
      <c r="E5205" t="s">
        <v>182</v>
      </c>
      <c r="F5205" t="s">
        <v>181</v>
      </c>
      <c r="G5205" t="s">
        <v>180</v>
      </c>
    </row>
    <row r="5206" spans="1:7">
      <c r="A5206">
        <v>2024</v>
      </c>
      <c r="B5206" t="s">
        <v>189</v>
      </c>
      <c r="C5206">
        <v>0</v>
      </c>
      <c r="D5206" t="s">
        <v>175</v>
      </c>
      <c r="E5206" t="s">
        <v>182</v>
      </c>
      <c r="F5206" t="s">
        <v>181</v>
      </c>
      <c r="G5206" t="s">
        <v>180</v>
      </c>
    </row>
    <row r="5207" spans="1:7">
      <c r="A5207">
        <v>2025</v>
      </c>
      <c r="B5207" t="s">
        <v>189</v>
      </c>
      <c r="C5207">
        <v>0</v>
      </c>
      <c r="D5207" t="s">
        <v>175</v>
      </c>
      <c r="E5207" t="s">
        <v>182</v>
      </c>
      <c r="F5207" t="s">
        <v>181</v>
      </c>
      <c r="G5207" t="s">
        <v>180</v>
      </c>
    </row>
    <row r="5208" spans="1:7">
      <c r="A5208">
        <v>2026</v>
      </c>
      <c r="B5208" t="s">
        <v>189</v>
      </c>
      <c r="C5208">
        <v>0</v>
      </c>
      <c r="D5208" t="s">
        <v>175</v>
      </c>
      <c r="E5208" t="s">
        <v>182</v>
      </c>
      <c r="F5208" t="s">
        <v>181</v>
      </c>
      <c r="G5208" t="s">
        <v>180</v>
      </c>
    </row>
    <row r="5209" spans="1:7">
      <c r="A5209">
        <v>2027</v>
      </c>
      <c r="B5209" t="s">
        <v>189</v>
      </c>
      <c r="C5209">
        <v>0</v>
      </c>
      <c r="D5209" t="s">
        <v>175</v>
      </c>
      <c r="E5209" t="s">
        <v>182</v>
      </c>
      <c r="F5209" t="s">
        <v>181</v>
      </c>
      <c r="G5209" t="s">
        <v>180</v>
      </c>
    </row>
    <row r="5210" spans="1:7">
      <c r="A5210">
        <v>2028</v>
      </c>
      <c r="B5210" t="s">
        <v>189</v>
      </c>
      <c r="C5210">
        <v>0</v>
      </c>
      <c r="D5210" t="s">
        <v>175</v>
      </c>
      <c r="E5210" t="s">
        <v>182</v>
      </c>
      <c r="F5210" t="s">
        <v>181</v>
      </c>
      <c r="G5210" t="s">
        <v>180</v>
      </c>
    </row>
    <row r="5211" spans="1:7">
      <c r="A5211">
        <v>2029</v>
      </c>
      <c r="B5211" t="s">
        <v>189</v>
      </c>
      <c r="C5211">
        <v>0</v>
      </c>
      <c r="D5211" t="s">
        <v>175</v>
      </c>
      <c r="E5211" t="s">
        <v>182</v>
      </c>
      <c r="F5211" t="s">
        <v>181</v>
      </c>
      <c r="G5211" t="s">
        <v>180</v>
      </c>
    </row>
    <row r="5212" spans="1:7">
      <c r="A5212">
        <v>2030</v>
      </c>
      <c r="B5212" t="s">
        <v>189</v>
      </c>
      <c r="C5212">
        <v>0</v>
      </c>
      <c r="D5212" t="s">
        <v>175</v>
      </c>
      <c r="E5212" t="s">
        <v>182</v>
      </c>
      <c r="F5212" t="s">
        <v>181</v>
      </c>
      <c r="G5212" t="s">
        <v>180</v>
      </c>
    </row>
    <row r="5213" spans="1:7">
      <c r="A5213">
        <v>2031</v>
      </c>
      <c r="B5213" t="s">
        <v>189</v>
      </c>
      <c r="C5213">
        <v>0</v>
      </c>
      <c r="D5213" t="s">
        <v>175</v>
      </c>
      <c r="E5213" t="s">
        <v>182</v>
      </c>
      <c r="F5213" t="s">
        <v>181</v>
      </c>
      <c r="G5213" t="s">
        <v>180</v>
      </c>
    </row>
    <row r="5214" spans="1:7">
      <c r="A5214">
        <v>2032</v>
      </c>
      <c r="B5214" t="s">
        <v>189</v>
      </c>
      <c r="C5214">
        <v>0</v>
      </c>
      <c r="D5214" t="s">
        <v>175</v>
      </c>
      <c r="E5214" t="s">
        <v>182</v>
      </c>
      <c r="F5214" t="s">
        <v>181</v>
      </c>
      <c r="G5214" t="s">
        <v>180</v>
      </c>
    </row>
    <row r="5215" spans="1:7">
      <c r="A5215">
        <v>2033</v>
      </c>
      <c r="B5215" t="s">
        <v>189</v>
      </c>
      <c r="C5215">
        <v>0</v>
      </c>
      <c r="D5215" t="s">
        <v>175</v>
      </c>
      <c r="E5215" t="s">
        <v>182</v>
      </c>
      <c r="F5215" t="s">
        <v>181</v>
      </c>
      <c r="G5215" t="s">
        <v>180</v>
      </c>
    </row>
    <row r="5216" spans="1:7">
      <c r="A5216">
        <v>2034</v>
      </c>
      <c r="B5216" t="s">
        <v>189</v>
      </c>
      <c r="C5216">
        <v>0</v>
      </c>
      <c r="D5216" t="s">
        <v>175</v>
      </c>
      <c r="E5216" t="s">
        <v>182</v>
      </c>
      <c r="F5216" t="s">
        <v>181</v>
      </c>
      <c r="G5216" t="s">
        <v>180</v>
      </c>
    </row>
    <row r="5217" spans="1:7">
      <c r="A5217">
        <v>2035</v>
      </c>
      <c r="B5217" t="s">
        <v>189</v>
      </c>
      <c r="C5217">
        <v>0</v>
      </c>
      <c r="D5217" t="s">
        <v>175</v>
      </c>
      <c r="E5217" t="s">
        <v>182</v>
      </c>
      <c r="F5217" t="s">
        <v>181</v>
      </c>
      <c r="G5217" t="s">
        <v>180</v>
      </c>
    </row>
    <row r="5218" spans="1:7">
      <c r="A5218">
        <v>2020</v>
      </c>
      <c r="B5218" t="s">
        <v>190</v>
      </c>
      <c r="C5218">
        <v>11184.73</v>
      </c>
      <c r="D5218" t="s">
        <v>175</v>
      </c>
      <c r="E5218" t="s">
        <v>182</v>
      </c>
      <c r="F5218" t="s">
        <v>181</v>
      </c>
      <c r="G5218" t="s">
        <v>180</v>
      </c>
    </row>
    <row r="5219" spans="1:7">
      <c r="A5219">
        <v>2021</v>
      </c>
      <c r="B5219" t="s">
        <v>190</v>
      </c>
      <c r="C5219">
        <v>0</v>
      </c>
      <c r="D5219" t="s">
        <v>175</v>
      </c>
      <c r="E5219" t="s">
        <v>182</v>
      </c>
      <c r="F5219" t="s">
        <v>181</v>
      </c>
      <c r="G5219" t="s">
        <v>180</v>
      </c>
    </row>
    <row r="5220" spans="1:7">
      <c r="A5220">
        <v>2022</v>
      </c>
      <c r="B5220" t="s">
        <v>190</v>
      </c>
      <c r="C5220">
        <v>0</v>
      </c>
      <c r="D5220" t="s">
        <v>175</v>
      </c>
      <c r="E5220" t="s">
        <v>182</v>
      </c>
      <c r="F5220" t="s">
        <v>181</v>
      </c>
      <c r="G5220" t="s">
        <v>180</v>
      </c>
    </row>
    <row r="5221" spans="1:7">
      <c r="A5221">
        <v>2023</v>
      </c>
      <c r="B5221" t="s">
        <v>190</v>
      </c>
      <c r="C5221">
        <v>0</v>
      </c>
      <c r="D5221" t="s">
        <v>175</v>
      </c>
      <c r="E5221" t="s">
        <v>182</v>
      </c>
      <c r="F5221" t="s">
        <v>181</v>
      </c>
      <c r="G5221" t="s">
        <v>180</v>
      </c>
    </row>
    <row r="5222" spans="1:7">
      <c r="A5222">
        <v>2024</v>
      </c>
      <c r="B5222" t="s">
        <v>190</v>
      </c>
      <c r="C5222">
        <v>0</v>
      </c>
      <c r="D5222" t="s">
        <v>175</v>
      </c>
      <c r="E5222" t="s">
        <v>182</v>
      </c>
      <c r="F5222" t="s">
        <v>181</v>
      </c>
      <c r="G5222" t="s">
        <v>180</v>
      </c>
    </row>
    <row r="5223" spans="1:7">
      <c r="A5223">
        <v>2025</v>
      </c>
      <c r="B5223" t="s">
        <v>190</v>
      </c>
      <c r="C5223">
        <v>0</v>
      </c>
      <c r="D5223" t="s">
        <v>175</v>
      </c>
      <c r="E5223" t="s">
        <v>182</v>
      </c>
      <c r="F5223" t="s">
        <v>181</v>
      </c>
      <c r="G5223" t="s">
        <v>180</v>
      </c>
    </row>
    <row r="5224" spans="1:7">
      <c r="A5224">
        <v>2026</v>
      </c>
      <c r="B5224" t="s">
        <v>190</v>
      </c>
      <c r="C5224">
        <v>0</v>
      </c>
      <c r="D5224" t="s">
        <v>175</v>
      </c>
      <c r="E5224" t="s">
        <v>182</v>
      </c>
      <c r="F5224" t="s">
        <v>181</v>
      </c>
      <c r="G5224" t="s">
        <v>180</v>
      </c>
    </row>
    <row r="5225" spans="1:7">
      <c r="A5225">
        <v>2027</v>
      </c>
      <c r="B5225" t="s">
        <v>190</v>
      </c>
      <c r="C5225">
        <v>0</v>
      </c>
      <c r="D5225" t="s">
        <v>175</v>
      </c>
      <c r="E5225" t="s">
        <v>182</v>
      </c>
      <c r="F5225" t="s">
        <v>181</v>
      </c>
      <c r="G5225" t="s">
        <v>180</v>
      </c>
    </row>
    <row r="5226" spans="1:7">
      <c r="A5226">
        <v>2028</v>
      </c>
      <c r="B5226" t="s">
        <v>190</v>
      </c>
      <c r="C5226">
        <v>0</v>
      </c>
      <c r="D5226" t="s">
        <v>175</v>
      </c>
      <c r="E5226" t="s">
        <v>182</v>
      </c>
      <c r="F5226" t="s">
        <v>181</v>
      </c>
      <c r="G5226" t="s">
        <v>180</v>
      </c>
    </row>
    <row r="5227" spans="1:7">
      <c r="A5227">
        <v>2029</v>
      </c>
      <c r="B5227" t="s">
        <v>190</v>
      </c>
      <c r="C5227">
        <v>0</v>
      </c>
      <c r="D5227" t="s">
        <v>175</v>
      </c>
      <c r="E5227" t="s">
        <v>182</v>
      </c>
      <c r="F5227" t="s">
        <v>181</v>
      </c>
      <c r="G5227" t="s">
        <v>180</v>
      </c>
    </row>
    <row r="5228" spans="1:7">
      <c r="A5228">
        <v>2030</v>
      </c>
      <c r="B5228" t="s">
        <v>190</v>
      </c>
      <c r="C5228">
        <v>0</v>
      </c>
      <c r="D5228" t="s">
        <v>175</v>
      </c>
      <c r="E5228" t="s">
        <v>182</v>
      </c>
      <c r="F5228" t="s">
        <v>181</v>
      </c>
      <c r="G5228" t="s">
        <v>180</v>
      </c>
    </row>
    <row r="5229" spans="1:7">
      <c r="A5229">
        <v>2031</v>
      </c>
      <c r="B5229" t="s">
        <v>190</v>
      </c>
      <c r="C5229">
        <v>0</v>
      </c>
      <c r="D5229" t="s">
        <v>175</v>
      </c>
      <c r="E5229" t="s">
        <v>182</v>
      </c>
      <c r="F5229" t="s">
        <v>181</v>
      </c>
      <c r="G5229" t="s">
        <v>180</v>
      </c>
    </row>
    <row r="5230" spans="1:7">
      <c r="A5230">
        <v>2032</v>
      </c>
      <c r="B5230" t="s">
        <v>190</v>
      </c>
      <c r="C5230">
        <v>0</v>
      </c>
      <c r="D5230" t="s">
        <v>175</v>
      </c>
      <c r="E5230" t="s">
        <v>182</v>
      </c>
      <c r="F5230" t="s">
        <v>181</v>
      </c>
      <c r="G5230" t="s">
        <v>180</v>
      </c>
    </row>
    <row r="5231" spans="1:7">
      <c r="A5231">
        <v>2033</v>
      </c>
      <c r="B5231" t="s">
        <v>190</v>
      </c>
      <c r="C5231">
        <v>0</v>
      </c>
      <c r="D5231" t="s">
        <v>175</v>
      </c>
      <c r="E5231" t="s">
        <v>182</v>
      </c>
      <c r="F5231" t="s">
        <v>181</v>
      </c>
      <c r="G5231" t="s">
        <v>180</v>
      </c>
    </row>
    <row r="5232" spans="1:7">
      <c r="A5232">
        <v>2034</v>
      </c>
      <c r="B5232" t="s">
        <v>190</v>
      </c>
      <c r="C5232">
        <v>0</v>
      </c>
      <c r="D5232" t="s">
        <v>175</v>
      </c>
      <c r="E5232" t="s">
        <v>182</v>
      </c>
      <c r="F5232" t="s">
        <v>181</v>
      </c>
      <c r="G5232" t="s">
        <v>180</v>
      </c>
    </row>
    <row r="5233" spans="1:7">
      <c r="A5233">
        <v>2035</v>
      </c>
      <c r="B5233" t="s">
        <v>190</v>
      </c>
      <c r="C5233">
        <v>0</v>
      </c>
      <c r="D5233" t="s">
        <v>175</v>
      </c>
      <c r="E5233" t="s">
        <v>182</v>
      </c>
      <c r="F5233" t="s">
        <v>181</v>
      </c>
      <c r="G5233" t="s">
        <v>180</v>
      </c>
    </row>
    <row r="5234" spans="1:7">
      <c r="A5234">
        <v>2020</v>
      </c>
      <c r="B5234" t="s">
        <v>191</v>
      </c>
      <c r="C5234">
        <v>0</v>
      </c>
      <c r="D5234" t="s">
        <v>175</v>
      </c>
      <c r="E5234" t="s">
        <v>182</v>
      </c>
      <c r="F5234" t="s">
        <v>181</v>
      </c>
      <c r="G5234" t="s">
        <v>180</v>
      </c>
    </row>
    <row r="5235" spans="1:7">
      <c r="A5235">
        <v>2021</v>
      </c>
      <c r="B5235" t="s">
        <v>191</v>
      </c>
      <c r="C5235">
        <v>0</v>
      </c>
      <c r="D5235" t="s">
        <v>175</v>
      </c>
      <c r="E5235" t="s">
        <v>182</v>
      </c>
      <c r="F5235" t="s">
        <v>181</v>
      </c>
      <c r="G5235" t="s">
        <v>180</v>
      </c>
    </row>
    <row r="5236" spans="1:7">
      <c r="A5236">
        <v>2022</v>
      </c>
      <c r="B5236" t="s">
        <v>191</v>
      </c>
      <c r="C5236">
        <v>0</v>
      </c>
      <c r="D5236" t="s">
        <v>175</v>
      </c>
      <c r="E5236" t="s">
        <v>182</v>
      </c>
      <c r="F5236" t="s">
        <v>181</v>
      </c>
      <c r="G5236" t="s">
        <v>180</v>
      </c>
    </row>
    <row r="5237" spans="1:7">
      <c r="A5237">
        <v>2023</v>
      </c>
      <c r="B5237" t="s">
        <v>191</v>
      </c>
      <c r="C5237">
        <v>0</v>
      </c>
      <c r="D5237" t="s">
        <v>175</v>
      </c>
      <c r="E5237" t="s">
        <v>182</v>
      </c>
      <c r="F5237" t="s">
        <v>181</v>
      </c>
      <c r="G5237" t="s">
        <v>180</v>
      </c>
    </row>
    <row r="5238" spans="1:7">
      <c r="A5238">
        <v>2024</v>
      </c>
      <c r="B5238" t="s">
        <v>191</v>
      </c>
      <c r="C5238">
        <v>0</v>
      </c>
      <c r="D5238" t="s">
        <v>175</v>
      </c>
      <c r="E5238" t="s">
        <v>182</v>
      </c>
      <c r="F5238" t="s">
        <v>181</v>
      </c>
      <c r="G5238" t="s">
        <v>180</v>
      </c>
    </row>
    <row r="5239" spans="1:7">
      <c r="A5239">
        <v>2025</v>
      </c>
      <c r="B5239" t="s">
        <v>191</v>
      </c>
      <c r="C5239">
        <v>0</v>
      </c>
      <c r="D5239" t="s">
        <v>175</v>
      </c>
      <c r="E5239" t="s">
        <v>182</v>
      </c>
      <c r="F5239" t="s">
        <v>181</v>
      </c>
      <c r="G5239" t="s">
        <v>180</v>
      </c>
    </row>
    <row r="5240" spans="1:7">
      <c r="A5240">
        <v>2026</v>
      </c>
      <c r="B5240" t="s">
        <v>191</v>
      </c>
      <c r="C5240">
        <v>0</v>
      </c>
      <c r="D5240" t="s">
        <v>175</v>
      </c>
      <c r="E5240" t="s">
        <v>182</v>
      </c>
      <c r="F5240" t="s">
        <v>181</v>
      </c>
      <c r="G5240" t="s">
        <v>180</v>
      </c>
    </row>
    <row r="5241" spans="1:7">
      <c r="A5241">
        <v>2027</v>
      </c>
      <c r="B5241" t="s">
        <v>191</v>
      </c>
      <c r="C5241">
        <v>0</v>
      </c>
      <c r="D5241" t="s">
        <v>175</v>
      </c>
      <c r="E5241" t="s">
        <v>182</v>
      </c>
      <c r="F5241" t="s">
        <v>181</v>
      </c>
      <c r="G5241" t="s">
        <v>180</v>
      </c>
    </row>
    <row r="5242" spans="1:7">
      <c r="A5242">
        <v>2028</v>
      </c>
      <c r="B5242" t="s">
        <v>191</v>
      </c>
      <c r="C5242">
        <v>0</v>
      </c>
      <c r="D5242" t="s">
        <v>175</v>
      </c>
      <c r="E5242" t="s">
        <v>182</v>
      </c>
      <c r="F5242" t="s">
        <v>181</v>
      </c>
      <c r="G5242" t="s">
        <v>180</v>
      </c>
    </row>
    <row r="5243" spans="1:7">
      <c r="A5243">
        <v>2029</v>
      </c>
      <c r="B5243" t="s">
        <v>191</v>
      </c>
      <c r="C5243">
        <v>0</v>
      </c>
      <c r="D5243" t="s">
        <v>175</v>
      </c>
      <c r="E5243" t="s">
        <v>182</v>
      </c>
      <c r="F5243" t="s">
        <v>181</v>
      </c>
      <c r="G5243" t="s">
        <v>180</v>
      </c>
    </row>
    <row r="5244" spans="1:7">
      <c r="A5244">
        <v>2030</v>
      </c>
      <c r="B5244" t="s">
        <v>191</v>
      </c>
      <c r="C5244">
        <v>0</v>
      </c>
      <c r="D5244" t="s">
        <v>175</v>
      </c>
      <c r="E5244" t="s">
        <v>182</v>
      </c>
      <c r="F5244" t="s">
        <v>181</v>
      </c>
      <c r="G5244" t="s">
        <v>180</v>
      </c>
    </row>
    <row r="5245" spans="1:7">
      <c r="A5245">
        <v>2031</v>
      </c>
      <c r="B5245" t="s">
        <v>191</v>
      </c>
      <c r="C5245">
        <v>0</v>
      </c>
      <c r="D5245" t="s">
        <v>175</v>
      </c>
      <c r="E5245" t="s">
        <v>182</v>
      </c>
      <c r="F5245" t="s">
        <v>181</v>
      </c>
      <c r="G5245" t="s">
        <v>180</v>
      </c>
    </row>
    <row r="5246" spans="1:7">
      <c r="A5246">
        <v>2032</v>
      </c>
      <c r="B5246" t="s">
        <v>191</v>
      </c>
      <c r="C5246">
        <v>0</v>
      </c>
      <c r="D5246" t="s">
        <v>175</v>
      </c>
      <c r="E5246" t="s">
        <v>182</v>
      </c>
      <c r="F5246" t="s">
        <v>181</v>
      </c>
      <c r="G5246" t="s">
        <v>180</v>
      </c>
    </row>
    <row r="5247" spans="1:7">
      <c r="A5247">
        <v>2033</v>
      </c>
      <c r="B5247" t="s">
        <v>191</v>
      </c>
      <c r="C5247">
        <v>0</v>
      </c>
      <c r="D5247" t="s">
        <v>175</v>
      </c>
      <c r="E5247" t="s">
        <v>182</v>
      </c>
      <c r="F5247" t="s">
        <v>181</v>
      </c>
      <c r="G5247" t="s">
        <v>180</v>
      </c>
    </row>
    <row r="5248" spans="1:7">
      <c r="A5248">
        <v>2034</v>
      </c>
      <c r="B5248" t="s">
        <v>191</v>
      </c>
      <c r="C5248">
        <v>0</v>
      </c>
      <c r="D5248" t="s">
        <v>175</v>
      </c>
      <c r="E5248" t="s">
        <v>182</v>
      </c>
      <c r="F5248" t="s">
        <v>181</v>
      </c>
      <c r="G5248" t="s">
        <v>180</v>
      </c>
    </row>
    <row r="5249" spans="1:7">
      <c r="A5249">
        <v>2035</v>
      </c>
      <c r="B5249" t="s">
        <v>191</v>
      </c>
      <c r="C5249">
        <v>0</v>
      </c>
      <c r="D5249" t="s">
        <v>175</v>
      </c>
      <c r="E5249" t="s">
        <v>182</v>
      </c>
      <c r="F5249" t="s">
        <v>181</v>
      </c>
      <c r="G5249" t="s">
        <v>180</v>
      </c>
    </row>
    <row r="5250" spans="1:7">
      <c r="A5250">
        <v>2020</v>
      </c>
      <c r="B5250" t="s">
        <v>192</v>
      </c>
      <c r="C5250">
        <v>2648.27</v>
      </c>
      <c r="D5250" t="s">
        <v>175</v>
      </c>
      <c r="E5250" t="s">
        <v>182</v>
      </c>
      <c r="F5250" t="s">
        <v>181</v>
      </c>
      <c r="G5250" t="s">
        <v>180</v>
      </c>
    </row>
    <row r="5251" spans="1:7">
      <c r="A5251">
        <v>2021</v>
      </c>
      <c r="B5251" t="s">
        <v>192</v>
      </c>
      <c r="C5251">
        <v>0</v>
      </c>
      <c r="D5251" t="s">
        <v>175</v>
      </c>
      <c r="E5251" t="s">
        <v>182</v>
      </c>
      <c r="F5251" t="s">
        <v>181</v>
      </c>
      <c r="G5251" t="s">
        <v>180</v>
      </c>
    </row>
    <row r="5252" spans="1:7">
      <c r="A5252">
        <v>2022</v>
      </c>
      <c r="B5252" t="s">
        <v>192</v>
      </c>
      <c r="C5252">
        <v>0</v>
      </c>
      <c r="D5252" t="s">
        <v>175</v>
      </c>
      <c r="E5252" t="s">
        <v>182</v>
      </c>
      <c r="F5252" t="s">
        <v>181</v>
      </c>
      <c r="G5252" t="s">
        <v>180</v>
      </c>
    </row>
    <row r="5253" spans="1:7">
      <c r="A5253">
        <v>2023</v>
      </c>
      <c r="B5253" t="s">
        <v>192</v>
      </c>
      <c r="C5253">
        <v>59</v>
      </c>
      <c r="D5253" t="s">
        <v>175</v>
      </c>
      <c r="E5253" t="s">
        <v>182</v>
      </c>
      <c r="F5253" t="s">
        <v>181</v>
      </c>
      <c r="G5253" t="s">
        <v>180</v>
      </c>
    </row>
    <row r="5254" spans="1:7">
      <c r="A5254">
        <v>2024</v>
      </c>
      <c r="B5254" t="s">
        <v>192</v>
      </c>
      <c r="C5254">
        <v>59</v>
      </c>
      <c r="D5254" t="s">
        <v>175</v>
      </c>
      <c r="E5254" t="s">
        <v>182</v>
      </c>
      <c r="F5254" t="s">
        <v>181</v>
      </c>
      <c r="G5254" t="s">
        <v>180</v>
      </c>
    </row>
    <row r="5255" spans="1:7">
      <c r="A5255">
        <v>2025</v>
      </c>
      <c r="B5255" t="s">
        <v>192</v>
      </c>
      <c r="C5255">
        <v>0</v>
      </c>
      <c r="D5255" t="s">
        <v>175</v>
      </c>
      <c r="E5255" t="s">
        <v>182</v>
      </c>
      <c r="F5255" t="s">
        <v>181</v>
      </c>
      <c r="G5255" t="s">
        <v>180</v>
      </c>
    </row>
    <row r="5256" spans="1:7">
      <c r="A5256">
        <v>2026</v>
      </c>
      <c r="B5256" t="s">
        <v>192</v>
      </c>
      <c r="C5256">
        <v>0</v>
      </c>
      <c r="D5256" t="s">
        <v>175</v>
      </c>
      <c r="E5256" t="s">
        <v>182</v>
      </c>
      <c r="F5256" t="s">
        <v>181</v>
      </c>
      <c r="G5256" t="s">
        <v>180</v>
      </c>
    </row>
    <row r="5257" spans="1:7">
      <c r="A5257">
        <v>2027</v>
      </c>
      <c r="B5257" t="s">
        <v>192</v>
      </c>
      <c r="C5257">
        <v>0</v>
      </c>
      <c r="D5257" t="s">
        <v>175</v>
      </c>
      <c r="E5257" t="s">
        <v>182</v>
      </c>
      <c r="F5257" t="s">
        <v>181</v>
      </c>
      <c r="G5257" t="s">
        <v>180</v>
      </c>
    </row>
    <row r="5258" spans="1:7">
      <c r="A5258">
        <v>2028</v>
      </c>
      <c r="B5258" t="s">
        <v>192</v>
      </c>
      <c r="C5258">
        <v>0</v>
      </c>
      <c r="D5258" t="s">
        <v>175</v>
      </c>
      <c r="E5258" t="s">
        <v>182</v>
      </c>
      <c r="F5258" t="s">
        <v>181</v>
      </c>
      <c r="G5258" t="s">
        <v>180</v>
      </c>
    </row>
    <row r="5259" spans="1:7">
      <c r="A5259">
        <v>2029</v>
      </c>
      <c r="B5259" t="s">
        <v>192</v>
      </c>
      <c r="C5259">
        <v>19.5</v>
      </c>
      <c r="D5259" t="s">
        <v>175</v>
      </c>
      <c r="E5259" t="s">
        <v>182</v>
      </c>
      <c r="F5259" t="s">
        <v>181</v>
      </c>
      <c r="G5259" t="s">
        <v>180</v>
      </c>
    </row>
    <row r="5260" spans="1:7">
      <c r="A5260">
        <v>2030</v>
      </c>
      <c r="B5260" t="s">
        <v>192</v>
      </c>
      <c r="C5260">
        <v>19.5</v>
      </c>
      <c r="D5260" t="s">
        <v>175</v>
      </c>
      <c r="E5260" t="s">
        <v>182</v>
      </c>
      <c r="F5260" t="s">
        <v>181</v>
      </c>
      <c r="G5260" t="s">
        <v>180</v>
      </c>
    </row>
    <row r="5261" spans="1:7">
      <c r="A5261">
        <v>2031</v>
      </c>
      <c r="B5261" t="s">
        <v>192</v>
      </c>
      <c r="C5261">
        <v>0</v>
      </c>
      <c r="D5261" t="s">
        <v>175</v>
      </c>
      <c r="E5261" t="s">
        <v>182</v>
      </c>
      <c r="F5261" t="s">
        <v>181</v>
      </c>
      <c r="G5261" t="s">
        <v>180</v>
      </c>
    </row>
    <row r="5262" spans="1:7">
      <c r="A5262">
        <v>2032</v>
      </c>
      <c r="B5262" t="s">
        <v>192</v>
      </c>
      <c r="C5262">
        <v>0</v>
      </c>
      <c r="D5262" t="s">
        <v>175</v>
      </c>
      <c r="E5262" t="s">
        <v>182</v>
      </c>
      <c r="F5262" t="s">
        <v>181</v>
      </c>
      <c r="G5262" t="s">
        <v>180</v>
      </c>
    </row>
    <row r="5263" spans="1:7">
      <c r="A5263">
        <v>2033</v>
      </c>
      <c r="B5263" t="s">
        <v>192</v>
      </c>
      <c r="C5263">
        <v>0</v>
      </c>
      <c r="D5263" t="s">
        <v>175</v>
      </c>
      <c r="E5263" t="s">
        <v>182</v>
      </c>
      <c r="F5263" t="s">
        <v>181</v>
      </c>
      <c r="G5263" t="s">
        <v>180</v>
      </c>
    </row>
    <row r="5264" spans="1:7">
      <c r="A5264">
        <v>2034</v>
      </c>
      <c r="B5264" t="s">
        <v>192</v>
      </c>
      <c r="C5264">
        <v>0</v>
      </c>
      <c r="D5264" t="s">
        <v>175</v>
      </c>
      <c r="E5264" t="s">
        <v>182</v>
      </c>
      <c r="F5264" t="s">
        <v>181</v>
      </c>
      <c r="G5264" t="s">
        <v>180</v>
      </c>
    </row>
    <row r="5265" spans="1:7">
      <c r="A5265">
        <v>2035</v>
      </c>
      <c r="B5265" t="s">
        <v>192</v>
      </c>
      <c r="C5265">
        <v>0</v>
      </c>
      <c r="D5265" t="s">
        <v>175</v>
      </c>
      <c r="E5265" t="s">
        <v>182</v>
      </c>
      <c r="F5265" t="s">
        <v>181</v>
      </c>
      <c r="G5265" t="s">
        <v>180</v>
      </c>
    </row>
    <row r="5266" spans="1:7">
      <c r="A5266">
        <v>2020</v>
      </c>
      <c r="B5266" t="s">
        <v>193</v>
      </c>
      <c r="C5266">
        <v>232.5</v>
      </c>
      <c r="D5266" t="s">
        <v>175</v>
      </c>
      <c r="E5266" t="s">
        <v>182</v>
      </c>
      <c r="F5266" t="s">
        <v>181</v>
      </c>
      <c r="G5266" t="s">
        <v>180</v>
      </c>
    </row>
    <row r="5267" spans="1:7">
      <c r="A5267">
        <v>2021</v>
      </c>
      <c r="B5267" t="s">
        <v>193</v>
      </c>
      <c r="C5267">
        <v>1100</v>
      </c>
      <c r="D5267" t="s">
        <v>175</v>
      </c>
      <c r="E5267" t="s">
        <v>182</v>
      </c>
      <c r="F5267" t="s">
        <v>181</v>
      </c>
      <c r="G5267" t="s">
        <v>180</v>
      </c>
    </row>
    <row r="5268" spans="1:7">
      <c r="A5268">
        <v>2022</v>
      </c>
      <c r="B5268" t="s">
        <v>193</v>
      </c>
      <c r="C5268">
        <v>1100</v>
      </c>
      <c r="D5268" t="s">
        <v>175</v>
      </c>
      <c r="E5268" t="s">
        <v>182</v>
      </c>
      <c r="F5268" t="s">
        <v>181</v>
      </c>
      <c r="G5268" t="s">
        <v>180</v>
      </c>
    </row>
    <row r="5269" spans="1:7">
      <c r="A5269">
        <v>2023</v>
      </c>
      <c r="B5269" t="s">
        <v>193</v>
      </c>
      <c r="C5269">
        <v>0</v>
      </c>
      <c r="D5269" t="s">
        <v>175</v>
      </c>
      <c r="E5269" t="s">
        <v>182</v>
      </c>
      <c r="F5269" t="s">
        <v>181</v>
      </c>
      <c r="G5269" t="s">
        <v>180</v>
      </c>
    </row>
    <row r="5270" spans="1:7">
      <c r="A5270">
        <v>2024</v>
      </c>
      <c r="B5270" t="s">
        <v>193</v>
      </c>
      <c r="C5270">
        <v>0</v>
      </c>
      <c r="D5270" t="s">
        <v>175</v>
      </c>
      <c r="E5270" t="s">
        <v>182</v>
      </c>
      <c r="F5270" t="s">
        <v>181</v>
      </c>
      <c r="G5270" t="s">
        <v>180</v>
      </c>
    </row>
    <row r="5271" spans="1:7">
      <c r="A5271">
        <v>2025</v>
      </c>
      <c r="B5271" t="s">
        <v>193</v>
      </c>
      <c r="C5271">
        <v>0</v>
      </c>
      <c r="D5271" t="s">
        <v>175</v>
      </c>
      <c r="E5271" t="s">
        <v>182</v>
      </c>
      <c r="F5271" t="s">
        <v>181</v>
      </c>
      <c r="G5271" t="s">
        <v>180</v>
      </c>
    </row>
    <row r="5272" spans="1:7">
      <c r="A5272">
        <v>2026</v>
      </c>
      <c r="B5272" t="s">
        <v>193</v>
      </c>
      <c r="C5272">
        <v>0</v>
      </c>
      <c r="D5272" t="s">
        <v>175</v>
      </c>
      <c r="E5272" t="s">
        <v>182</v>
      </c>
      <c r="F5272" t="s">
        <v>181</v>
      </c>
      <c r="G5272" t="s">
        <v>180</v>
      </c>
    </row>
    <row r="5273" spans="1:7">
      <c r="A5273">
        <v>2027</v>
      </c>
      <c r="B5273" t="s">
        <v>193</v>
      </c>
      <c r="C5273">
        <v>0</v>
      </c>
      <c r="D5273" t="s">
        <v>175</v>
      </c>
      <c r="E5273" t="s">
        <v>182</v>
      </c>
      <c r="F5273" t="s">
        <v>181</v>
      </c>
      <c r="G5273" t="s">
        <v>180</v>
      </c>
    </row>
    <row r="5274" spans="1:7">
      <c r="A5274">
        <v>2028</v>
      </c>
      <c r="B5274" t="s">
        <v>193</v>
      </c>
      <c r="C5274">
        <v>0</v>
      </c>
      <c r="D5274" t="s">
        <v>175</v>
      </c>
      <c r="E5274" t="s">
        <v>182</v>
      </c>
      <c r="F5274" t="s">
        <v>181</v>
      </c>
      <c r="G5274" t="s">
        <v>180</v>
      </c>
    </row>
    <row r="5275" spans="1:7">
      <c r="A5275">
        <v>2029</v>
      </c>
      <c r="B5275" t="s">
        <v>193</v>
      </c>
      <c r="C5275">
        <v>0</v>
      </c>
      <c r="D5275" t="s">
        <v>175</v>
      </c>
      <c r="E5275" t="s">
        <v>182</v>
      </c>
      <c r="F5275" t="s">
        <v>181</v>
      </c>
      <c r="G5275" t="s">
        <v>180</v>
      </c>
    </row>
    <row r="5276" spans="1:7">
      <c r="A5276">
        <v>2030</v>
      </c>
      <c r="B5276" t="s">
        <v>193</v>
      </c>
      <c r="C5276">
        <v>0</v>
      </c>
      <c r="D5276" t="s">
        <v>175</v>
      </c>
      <c r="E5276" t="s">
        <v>182</v>
      </c>
      <c r="F5276" t="s">
        <v>181</v>
      </c>
      <c r="G5276" t="s">
        <v>180</v>
      </c>
    </row>
    <row r="5277" spans="1:7">
      <c r="A5277">
        <v>2031</v>
      </c>
      <c r="B5277" t="s">
        <v>193</v>
      </c>
      <c r="C5277">
        <v>0</v>
      </c>
      <c r="D5277" t="s">
        <v>175</v>
      </c>
      <c r="E5277" t="s">
        <v>182</v>
      </c>
      <c r="F5277" t="s">
        <v>181</v>
      </c>
      <c r="G5277" t="s">
        <v>180</v>
      </c>
    </row>
    <row r="5278" spans="1:7">
      <c r="A5278">
        <v>2032</v>
      </c>
      <c r="B5278" t="s">
        <v>193</v>
      </c>
      <c r="C5278">
        <v>0</v>
      </c>
      <c r="D5278" t="s">
        <v>175</v>
      </c>
      <c r="E5278" t="s">
        <v>182</v>
      </c>
      <c r="F5278" t="s">
        <v>181</v>
      </c>
      <c r="G5278" t="s">
        <v>180</v>
      </c>
    </row>
    <row r="5279" spans="1:7">
      <c r="A5279">
        <v>2033</v>
      </c>
      <c r="B5279" t="s">
        <v>193</v>
      </c>
      <c r="C5279">
        <v>0</v>
      </c>
      <c r="D5279" t="s">
        <v>175</v>
      </c>
      <c r="E5279" t="s">
        <v>182</v>
      </c>
      <c r="F5279" t="s">
        <v>181</v>
      </c>
      <c r="G5279" t="s">
        <v>180</v>
      </c>
    </row>
    <row r="5280" spans="1:7">
      <c r="A5280">
        <v>2034</v>
      </c>
      <c r="B5280" t="s">
        <v>193</v>
      </c>
      <c r="C5280">
        <v>0</v>
      </c>
      <c r="D5280" t="s">
        <v>175</v>
      </c>
      <c r="E5280" t="s">
        <v>182</v>
      </c>
      <c r="F5280" t="s">
        <v>181</v>
      </c>
      <c r="G5280" t="s">
        <v>180</v>
      </c>
    </row>
    <row r="5281" spans="1:7">
      <c r="A5281">
        <v>2035</v>
      </c>
      <c r="B5281" t="s">
        <v>193</v>
      </c>
      <c r="C5281">
        <v>0</v>
      </c>
      <c r="D5281" t="s">
        <v>175</v>
      </c>
      <c r="E5281" t="s">
        <v>182</v>
      </c>
      <c r="F5281" t="s">
        <v>181</v>
      </c>
      <c r="G5281" t="s">
        <v>180</v>
      </c>
    </row>
    <row r="5282" spans="1:7">
      <c r="A5282">
        <v>2020</v>
      </c>
      <c r="B5282" t="s">
        <v>194</v>
      </c>
      <c r="C5282">
        <v>14.85</v>
      </c>
      <c r="D5282" t="s">
        <v>175</v>
      </c>
      <c r="E5282" t="s">
        <v>182</v>
      </c>
      <c r="F5282" t="s">
        <v>181</v>
      </c>
      <c r="G5282" t="s">
        <v>180</v>
      </c>
    </row>
    <row r="5283" spans="1:7">
      <c r="A5283">
        <v>2021</v>
      </c>
      <c r="B5283" t="s">
        <v>194</v>
      </c>
      <c r="C5283">
        <v>0</v>
      </c>
      <c r="D5283" t="s">
        <v>175</v>
      </c>
      <c r="E5283" t="s">
        <v>182</v>
      </c>
      <c r="F5283" t="s">
        <v>181</v>
      </c>
      <c r="G5283" t="s">
        <v>180</v>
      </c>
    </row>
    <row r="5284" spans="1:7">
      <c r="A5284">
        <v>2022</v>
      </c>
      <c r="B5284" t="s">
        <v>194</v>
      </c>
      <c r="C5284">
        <v>0</v>
      </c>
      <c r="D5284" t="s">
        <v>175</v>
      </c>
      <c r="E5284" t="s">
        <v>182</v>
      </c>
      <c r="F5284" t="s">
        <v>181</v>
      </c>
      <c r="G5284" t="s">
        <v>180</v>
      </c>
    </row>
    <row r="5285" spans="1:7">
      <c r="A5285">
        <v>2023</v>
      </c>
      <c r="B5285" t="s">
        <v>194</v>
      </c>
      <c r="C5285">
        <v>0</v>
      </c>
      <c r="D5285" t="s">
        <v>175</v>
      </c>
      <c r="E5285" t="s">
        <v>182</v>
      </c>
      <c r="F5285" t="s">
        <v>181</v>
      </c>
      <c r="G5285" t="s">
        <v>180</v>
      </c>
    </row>
    <row r="5286" spans="1:7">
      <c r="A5286">
        <v>2024</v>
      </c>
      <c r="B5286" t="s">
        <v>194</v>
      </c>
      <c r="C5286">
        <v>0</v>
      </c>
      <c r="D5286" t="s">
        <v>175</v>
      </c>
      <c r="E5286" t="s">
        <v>182</v>
      </c>
      <c r="F5286" t="s">
        <v>181</v>
      </c>
      <c r="G5286" t="s">
        <v>180</v>
      </c>
    </row>
    <row r="5287" spans="1:7">
      <c r="A5287">
        <v>2025</v>
      </c>
      <c r="B5287" t="s">
        <v>194</v>
      </c>
      <c r="C5287">
        <v>0</v>
      </c>
      <c r="D5287" t="s">
        <v>175</v>
      </c>
      <c r="E5287" t="s">
        <v>182</v>
      </c>
      <c r="F5287" t="s">
        <v>181</v>
      </c>
      <c r="G5287" t="s">
        <v>180</v>
      </c>
    </row>
    <row r="5288" spans="1:7">
      <c r="A5288">
        <v>2026</v>
      </c>
      <c r="B5288" t="s">
        <v>194</v>
      </c>
      <c r="C5288">
        <v>0</v>
      </c>
      <c r="D5288" t="s">
        <v>175</v>
      </c>
      <c r="E5288" t="s">
        <v>182</v>
      </c>
      <c r="F5288" t="s">
        <v>181</v>
      </c>
      <c r="G5288" t="s">
        <v>180</v>
      </c>
    </row>
    <row r="5289" spans="1:7">
      <c r="A5289">
        <v>2027</v>
      </c>
      <c r="B5289" t="s">
        <v>194</v>
      </c>
      <c r="C5289">
        <v>0</v>
      </c>
      <c r="D5289" t="s">
        <v>175</v>
      </c>
      <c r="E5289" t="s">
        <v>182</v>
      </c>
      <c r="F5289" t="s">
        <v>181</v>
      </c>
      <c r="G5289" t="s">
        <v>180</v>
      </c>
    </row>
    <row r="5290" spans="1:7">
      <c r="A5290">
        <v>2028</v>
      </c>
      <c r="B5290" t="s">
        <v>194</v>
      </c>
      <c r="C5290">
        <v>0</v>
      </c>
      <c r="D5290" t="s">
        <v>175</v>
      </c>
      <c r="E5290" t="s">
        <v>182</v>
      </c>
      <c r="F5290" t="s">
        <v>181</v>
      </c>
      <c r="G5290" t="s">
        <v>180</v>
      </c>
    </row>
    <row r="5291" spans="1:7">
      <c r="A5291">
        <v>2029</v>
      </c>
      <c r="B5291" t="s">
        <v>194</v>
      </c>
      <c r="C5291">
        <v>0</v>
      </c>
      <c r="D5291" t="s">
        <v>175</v>
      </c>
      <c r="E5291" t="s">
        <v>182</v>
      </c>
      <c r="F5291" t="s">
        <v>181</v>
      </c>
      <c r="G5291" t="s">
        <v>180</v>
      </c>
    </row>
    <row r="5292" spans="1:7">
      <c r="A5292">
        <v>2030</v>
      </c>
      <c r="B5292" t="s">
        <v>194</v>
      </c>
      <c r="C5292">
        <v>0</v>
      </c>
      <c r="D5292" t="s">
        <v>175</v>
      </c>
      <c r="E5292" t="s">
        <v>182</v>
      </c>
      <c r="F5292" t="s">
        <v>181</v>
      </c>
      <c r="G5292" t="s">
        <v>180</v>
      </c>
    </row>
    <row r="5293" spans="1:7">
      <c r="A5293">
        <v>2031</v>
      </c>
      <c r="B5293" t="s">
        <v>194</v>
      </c>
      <c r="C5293">
        <v>0</v>
      </c>
      <c r="D5293" t="s">
        <v>175</v>
      </c>
      <c r="E5293" t="s">
        <v>182</v>
      </c>
      <c r="F5293" t="s">
        <v>181</v>
      </c>
      <c r="G5293" t="s">
        <v>180</v>
      </c>
    </row>
    <row r="5294" spans="1:7">
      <c r="A5294">
        <v>2032</v>
      </c>
      <c r="B5294" t="s">
        <v>194</v>
      </c>
      <c r="C5294">
        <v>0</v>
      </c>
      <c r="D5294" t="s">
        <v>175</v>
      </c>
      <c r="E5294" t="s">
        <v>182</v>
      </c>
      <c r="F5294" t="s">
        <v>181</v>
      </c>
      <c r="G5294" t="s">
        <v>180</v>
      </c>
    </row>
    <row r="5295" spans="1:7">
      <c r="A5295">
        <v>2033</v>
      </c>
      <c r="B5295" t="s">
        <v>194</v>
      </c>
      <c r="C5295">
        <v>0</v>
      </c>
      <c r="D5295" t="s">
        <v>175</v>
      </c>
      <c r="E5295" t="s">
        <v>182</v>
      </c>
      <c r="F5295" t="s">
        <v>181</v>
      </c>
      <c r="G5295" t="s">
        <v>180</v>
      </c>
    </row>
    <row r="5296" spans="1:7">
      <c r="A5296">
        <v>2034</v>
      </c>
      <c r="B5296" t="s">
        <v>194</v>
      </c>
      <c r="C5296">
        <v>0</v>
      </c>
      <c r="D5296" t="s">
        <v>175</v>
      </c>
      <c r="E5296" t="s">
        <v>182</v>
      </c>
      <c r="F5296" t="s">
        <v>181</v>
      </c>
      <c r="G5296" t="s">
        <v>180</v>
      </c>
    </row>
    <row r="5297" spans="1:7">
      <c r="A5297">
        <v>2035</v>
      </c>
      <c r="B5297" t="s">
        <v>194</v>
      </c>
      <c r="C5297">
        <v>0</v>
      </c>
      <c r="D5297" t="s">
        <v>175</v>
      </c>
      <c r="E5297" t="s">
        <v>182</v>
      </c>
      <c r="F5297" t="s">
        <v>181</v>
      </c>
      <c r="G5297" t="s">
        <v>180</v>
      </c>
    </row>
    <row r="5298" spans="1:7">
      <c r="A5298">
        <v>2020</v>
      </c>
      <c r="B5298" t="s">
        <v>195</v>
      </c>
      <c r="C5298">
        <v>13066.6</v>
      </c>
      <c r="D5298" t="s">
        <v>175</v>
      </c>
      <c r="E5298" t="s">
        <v>182</v>
      </c>
      <c r="F5298" t="s">
        <v>181</v>
      </c>
      <c r="G5298" t="s">
        <v>180</v>
      </c>
    </row>
    <row r="5299" spans="1:7">
      <c r="A5299">
        <v>2021</v>
      </c>
      <c r="B5299" t="s">
        <v>195</v>
      </c>
      <c r="C5299">
        <v>65600.7</v>
      </c>
      <c r="D5299" t="s">
        <v>175</v>
      </c>
      <c r="E5299" t="s">
        <v>182</v>
      </c>
      <c r="F5299" t="s">
        <v>181</v>
      </c>
      <c r="G5299" t="s">
        <v>180</v>
      </c>
    </row>
    <row r="5300" spans="1:7">
      <c r="A5300">
        <v>2022</v>
      </c>
      <c r="B5300" t="s">
        <v>195</v>
      </c>
      <c r="C5300">
        <v>65600.7</v>
      </c>
      <c r="D5300" t="s">
        <v>175</v>
      </c>
      <c r="E5300" t="s">
        <v>182</v>
      </c>
      <c r="F5300" t="s">
        <v>181</v>
      </c>
      <c r="G5300" t="s">
        <v>180</v>
      </c>
    </row>
    <row r="5301" spans="1:7">
      <c r="A5301">
        <v>2023</v>
      </c>
      <c r="B5301" t="s">
        <v>195</v>
      </c>
      <c r="C5301">
        <v>31315.1</v>
      </c>
      <c r="D5301" t="s">
        <v>175</v>
      </c>
      <c r="E5301" t="s">
        <v>182</v>
      </c>
      <c r="F5301" t="s">
        <v>181</v>
      </c>
      <c r="G5301" t="s">
        <v>180</v>
      </c>
    </row>
    <row r="5302" spans="1:7">
      <c r="A5302">
        <v>2024</v>
      </c>
      <c r="B5302" t="s">
        <v>195</v>
      </c>
      <c r="C5302">
        <v>31315.1</v>
      </c>
      <c r="D5302" t="s">
        <v>175</v>
      </c>
      <c r="E5302" t="s">
        <v>182</v>
      </c>
      <c r="F5302" t="s">
        <v>181</v>
      </c>
      <c r="G5302" t="s">
        <v>180</v>
      </c>
    </row>
    <row r="5303" spans="1:7">
      <c r="A5303">
        <v>2025</v>
      </c>
      <c r="B5303" t="s">
        <v>195</v>
      </c>
      <c r="C5303">
        <v>7517.97</v>
      </c>
      <c r="D5303" t="s">
        <v>175</v>
      </c>
      <c r="E5303" t="s">
        <v>182</v>
      </c>
      <c r="F5303" t="s">
        <v>181</v>
      </c>
      <c r="G5303" t="s">
        <v>180</v>
      </c>
    </row>
    <row r="5304" spans="1:7">
      <c r="A5304">
        <v>2026</v>
      </c>
      <c r="B5304" t="s">
        <v>195</v>
      </c>
      <c r="C5304">
        <v>7517.97</v>
      </c>
      <c r="D5304" t="s">
        <v>175</v>
      </c>
      <c r="E5304" t="s">
        <v>182</v>
      </c>
      <c r="F5304" t="s">
        <v>181</v>
      </c>
      <c r="G5304" t="s">
        <v>180</v>
      </c>
    </row>
    <row r="5305" spans="1:7">
      <c r="A5305">
        <v>2027</v>
      </c>
      <c r="B5305" t="s">
        <v>195</v>
      </c>
      <c r="C5305">
        <v>12660.4</v>
      </c>
      <c r="D5305" t="s">
        <v>175</v>
      </c>
      <c r="E5305" t="s">
        <v>182</v>
      </c>
      <c r="F5305" t="s">
        <v>181</v>
      </c>
      <c r="G5305" t="s">
        <v>180</v>
      </c>
    </row>
    <row r="5306" spans="1:7">
      <c r="A5306">
        <v>2028</v>
      </c>
      <c r="B5306" t="s">
        <v>195</v>
      </c>
      <c r="C5306">
        <v>12660.4</v>
      </c>
      <c r="D5306" t="s">
        <v>175</v>
      </c>
      <c r="E5306" t="s">
        <v>182</v>
      </c>
      <c r="F5306" t="s">
        <v>181</v>
      </c>
      <c r="G5306" t="s">
        <v>180</v>
      </c>
    </row>
    <row r="5307" spans="1:7">
      <c r="A5307">
        <v>2029</v>
      </c>
      <c r="B5307" t="s">
        <v>195</v>
      </c>
      <c r="C5307">
        <v>16950.400000000001</v>
      </c>
      <c r="D5307" t="s">
        <v>175</v>
      </c>
      <c r="E5307" t="s">
        <v>182</v>
      </c>
      <c r="F5307" t="s">
        <v>181</v>
      </c>
      <c r="G5307" t="s">
        <v>180</v>
      </c>
    </row>
    <row r="5308" spans="1:7">
      <c r="A5308">
        <v>2030</v>
      </c>
      <c r="B5308" t="s">
        <v>195</v>
      </c>
      <c r="C5308">
        <v>16950.400000000001</v>
      </c>
      <c r="D5308" t="s">
        <v>175</v>
      </c>
      <c r="E5308" t="s">
        <v>182</v>
      </c>
      <c r="F5308" t="s">
        <v>181</v>
      </c>
      <c r="G5308" t="s">
        <v>180</v>
      </c>
    </row>
    <row r="5309" spans="1:7">
      <c r="A5309">
        <v>2031</v>
      </c>
      <c r="B5309" t="s">
        <v>195</v>
      </c>
      <c r="C5309">
        <v>7478.15</v>
      </c>
      <c r="D5309" t="s">
        <v>175</v>
      </c>
      <c r="E5309" t="s">
        <v>182</v>
      </c>
      <c r="F5309" t="s">
        <v>181</v>
      </c>
      <c r="G5309" t="s">
        <v>180</v>
      </c>
    </row>
    <row r="5310" spans="1:7">
      <c r="A5310">
        <v>2032</v>
      </c>
      <c r="B5310" t="s">
        <v>195</v>
      </c>
      <c r="C5310">
        <v>7478.15</v>
      </c>
      <c r="D5310" t="s">
        <v>175</v>
      </c>
      <c r="E5310" t="s">
        <v>182</v>
      </c>
      <c r="F5310" t="s">
        <v>181</v>
      </c>
      <c r="G5310" t="s">
        <v>180</v>
      </c>
    </row>
    <row r="5311" spans="1:7">
      <c r="A5311">
        <v>2033</v>
      </c>
      <c r="B5311" t="s">
        <v>195</v>
      </c>
      <c r="C5311">
        <v>14339.4</v>
      </c>
      <c r="D5311" t="s">
        <v>175</v>
      </c>
      <c r="E5311" t="s">
        <v>182</v>
      </c>
      <c r="F5311" t="s">
        <v>181</v>
      </c>
      <c r="G5311" t="s">
        <v>180</v>
      </c>
    </row>
    <row r="5312" spans="1:7">
      <c r="A5312">
        <v>2034</v>
      </c>
      <c r="B5312" t="s">
        <v>195</v>
      </c>
      <c r="C5312">
        <v>14339.4</v>
      </c>
      <c r="D5312" t="s">
        <v>175</v>
      </c>
      <c r="E5312" t="s">
        <v>182</v>
      </c>
      <c r="F5312" t="s">
        <v>181</v>
      </c>
      <c r="G5312" t="s">
        <v>180</v>
      </c>
    </row>
    <row r="5313" spans="1:7">
      <c r="A5313">
        <v>2035</v>
      </c>
      <c r="B5313" t="s">
        <v>195</v>
      </c>
      <c r="C5313">
        <v>14339.4</v>
      </c>
      <c r="D5313" t="s">
        <v>175</v>
      </c>
      <c r="E5313" t="s">
        <v>182</v>
      </c>
      <c r="F5313" t="s">
        <v>181</v>
      </c>
      <c r="G5313" t="s">
        <v>180</v>
      </c>
    </row>
    <row r="5314" spans="1:7">
      <c r="A5314">
        <v>2020</v>
      </c>
      <c r="B5314" t="s">
        <v>196</v>
      </c>
      <c r="C5314">
        <v>11237.6</v>
      </c>
      <c r="D5314" t="s">
        <v>175</v>
      </c>
      <c r="E5314" t="s">
        <v>182</v>
      </c>
      <c r="F5314" t="s">
        <v>181</v>
      </c>
      <c r="G5314" t="s">
        <v>180</v>
      </c>
    </row>
    <row r="5315" spans="1:7">
      <c r="A5315">
        <v>2021</v>
      </c>
      <c r="B5315" t="s">
        <v>196</v>
      </c>
      <c r="C5315">
        <v>51197.3</v>
      </c>
      <c r="D5315" t="s">
        <v>175</v>
      </c>
      <c r="E5315" t="s">
        <v>182</v>
      </c>
      <c r="F5315" t="s">
        <v>181</v>
      </c>
      <c r="G5315" t="s">
        <v>180</v>
      </c>
    </row>
    <row r="5316" spans="1:7">
      <c r="A5316">
        <v>2022</v>
      </c>
      <c r="B5316" t="s">
        <v>196</v>
      </c>
      <c r="C5316">
        <v>51197.3</v>
      </c>
      <c r="D5316" t="s">
        <v>175</v>
      </c>
      <c r="E5316" t="s">
        <v>182</v>
      </c>
      <c r="F5316" t="s">
        <v>181</v>
      </c>
      <c r="G5316" t="s">
        <v>180</v>
      </c>
    </row>
    <row r="5317" spans="1:7">
      <c r="A5317">
        <v>2023</v>
      </c>
      <c r="B5317" t="s">
        <v>196</v>
      </c>
      <c r="C5317">
        <v>5531.95</v>
      </c>
      <c r="D5317" t="s">
        <v>175</v>
      </c>
      <c r="E5317" t="s">
        <v>182</v>
      </c>
      <c r="F5317" t="s">
        <v>181</v>
      </c>
      <c r="G5317" t="s">
        <v>180</v>
      </c>
    </row>
    <row r="5318" spans="1:7">
      <c r="A5318">
        <v>2024</v>
      </c>
      <c r="B5318" t="s">
        <v>196</v>
      </c>
      <c r="C5318">
        <v>5531.95</v>
      </c>
      <c r="D5318" t="s">
        <v>175</v>
      </c>
      <c r="E5318" t="s">
        <v>182</v>
      </c>
      <c r="F5318" t="s">
        <v>181</v>
      </c>
      <c r="G5318" t="s">
        <v>180</v>
      </c>
    </row>
    <row r="5319" spans="1:7">
      <c r="A5319">
        <v>2025</v>
      </c>
      <c r="B5319" t="s">
        <v>196</v>
      </c>
      <c r="C5319">
        <v>13418.2</v>
      </c>
      <c r="D5319" t="s">
        <v>175</v>
      </c>
      <c r="E5319" t="s">
        <v>182</v>
      </c>
      <c r="F5319" t="s">
        <v>181</v>
      </c>
      <c r="G5319" t="s">
        <v>180</v>
      </c>
    </row>
    <row r="5320" spans="1:7">
      <c r="A5320">
        <v>2026</v>
      </c>
      <c r="B5320" t="s">
        <v>196</v>
      </c>
      <c r="C5320">
        <v>13418.2</v>
      </c>
      <c r="D5320" t="s">
        <v>175</v>
      </c>
      <c r="E5320" t="s">
        <v>182</v>
      </c>
      <c r="F5320" t="s">
        <v>181</v>
      </c>
      <c r="G5320" t="s">
        <v>180</v>
      </c>
    </row>
    <row r="5321" spans="1:7">
      <c r="A5321">
        <v>2027</v>
      </c>
      <c r="B5321" t="s">
        <v>196</v>
      </c>
      <c r="C5321">
        <v>12440.1</v>
      </c>
      <c r="D5321" t="s">
        <v>175</v>
      </c>
      <c r="E5321" t="s">
        <v>182</v>
      </c>
      <c r="F5321" t="s">
        <v>181</v>
      </c>
      <c r="G5321" t="s">
        <v>180</v>
      </c>
    </row>
    <row r="5322" spans="1:7">
      <c r="A5322">
        <v>2028</v>
      </c>
      <c r="B5322" t="s">
        <v>196</v>
      </c>
      <c r="C5322">
        <v>12440.1</v>
      </c>
      <c r="D5322" t="s">
        <v>175</v>
      </c>
      <c r="E5322" t="s">
        <v>182</v>
      </c>
      <c r="F5322" t="s">
        <v>181</v>
      </c>
      <c r="G5322" t="s">
        <v>180</v>
      </c>
    </row>
    <row r="5323" spans="1:7">
      <c r="A5323">
        <v>2029</v>
      </c>
      <c r="B5323" t="s">
        <v>196</v>
      </c>
      <c r="C5323">
        <v>15643.3</v>
      </c>
      <c r="D5323" t="s">
        <v>175</v>
      </c>
      <c r="E5323" t="s">
        <v>182</v>
      </c>
      <c r="F5323" t="s">
        <v>181</v>
      </c>
      <c r="G5323" t="s">
        <v>180</v>
      </c>
    </row>
    <row r="5324" spans="1:7">
      <c r="A5324">
        <v>2030</v>
      </c>
      <c r="B5324" t="s">
        <v>196</v>
      </c>
      <c r="C5324">
        <v>15643.3</v>
      </c>
      <c r="D5324" t="s">
        <v>175</v>
      </c>
      <c r="E5324" t="s">
        <v>182</v>
      </c>
      <c r="F5324" t="s">
        <v>181</v>
      </c>
      <c r="G5324" t="s">
        <v>180</v>
      </c>
    </row>
    <row r="5325" spans="1:7">
      <c r="A5325">
        <v>2031</v>
      </c>
      <c r="B5325" t="s">
        <v>196</v>
      </c>
      <c r="C5325">
        <v>11932.2</v>
      </c>
      <c r="D5325" t="s">
        <v>175</v>
      </c>
      <c r="E5325" t="s">
        <v>182</v>
      </c>
      <c r="F5325" t="s">
        <v>181</v>
      </c>
      <c r="G5325" t="s">
        <v>180</v>
      </c>
    </row>
    <row r="5326" spans="1:7">
      <c r="A5326">
        <v>2032</v>
      </c>
      <c r="B5326" t="s">
        <v>196</v>
      </c>
      <c r="C5326">
        <v>11932.2</v>
      </c>
      <c r="D5326" t="s">
        <v>175</v>
      </c>
      <c r="E5326" t="s">
        <v>182</v>
      </c>
      <c r="F5326" t="s">
        <v>181</v>
      </c>
      <c r="G5326" t="s">
        <v>180</v>
      </c>
    </row>
    <row r="5327" spans="1:7">
      <c r="A5327">
        <v>2033</v>
      </c>
      <c r="B5327" t="s">
        <v>196</v>
      </c>
      <c r="C5327">
        <v>12683</v>
      </c>
      <c r="D5327" t="s">
        <v>175</v>
      </c>
      <c r="E5327" t="s">
        <v>182</v>
      </c>
      <c r="F5327" t="s">
        <v>181</v>
      </c>
      <c r="G5327" t="s">
        <v>180</v>
      </c>
    </row>
    <row r="5328" spans="1:7">
      <c r="A5328">
        <v>2034</v>
      </c>
      <c r="B5328" t="s">
        <v>196</v>
      </c>
      <c r="C5328">
        <v>12683</v>
      </c>
      <c r="D5328" t="s">
        <v>175</v>
      </c>
      <c r="E5328" t="s">
        <v>182</v>
      </c>
      <c r="F5328" t="s">
        <v>181</v>
      </c>
      <c r="G5328" t="s">
        <v>180</v>
      </c>
    </row>
    <row r="5329" spans="1:7">
      <c r="A5329">
        <v>2035</v>
      </c>
      <c r="B5329" t="s">
        <v>196</v>
      </c>
      <c r="C5329">
        <v>12683</v>
      </c>
      <c r="D5329" t="s">
        <v>175</v>
      </c>
      <c r="E5329" t="s">
        <v>182</v>
      </c>
      <c r="F5329" t="s">
        <v>181</v>
      </c>
      <c r="G5329" t="s">
        <v>180</v>
      </c>
    </row>
    <row r="5330" spans="1:7">
      <c r="A5330">
        <v>2020</v>
      </c>
      <c r="B5330" t="s">
        <v>188</v>
      </c>
      <c r="C5330">
        <v>102.45</v>
      </c>
      <c r="D5330" t="s">
        <v>184</v>
      </c>
      <c r="E5330" t="s">
        <v>182</v>
      </c>
      <c r="F5330" t="s">
        <v>181</v>
      </c>
      <c r="G5330" t="s">
        <v>178</v>
      </c>
    </row>
    <row r="5331" spans="1:7">
      <c r="A5331">
        <v>2021</v>
      </c>
      <c r="B5331" t="s">
        <v>188</v>
      </c>
      <c r="C5331">
        <v>9.5</v>
      </c>
      <c r="D5331" t="s">
        <v>184</v>
      </c>
      <c r="E5331" t="s">
        <v>182</v>
      </c>
      <c r="F5331" t="s">
        <v>181</v>
      </c>
      <c r="G5331" t="s">
        <v>178</v>
      </c>
    </row>
    <row r="5332" spans="1:7">
      <c r="A5332">
        <v>2022</v>
      </c>
      <c r="B5332" t="s">
        <v>188</v>
      </c>
      <c r="C5332">
        <v>9.5</v>
      </c>
      <c r="D5332" t="s">
        <v>184</v>
      </c>
      <c r="E5332" t="s">
        <v>182</v>
      </c>
      <c r="F5332" t="s">
        <v>181</v>
      </c>
      <c r="G5332" t="s">
        <v>178</v>
      </c>
    </row>
    <row r="5333" spans="1:7">
      <c r="A5333">
        <v>2023</v>
      </c>
      <c r="B5333" t="s">
        <v>188</v>
      </c>
      <c r="C5333">
        <v>0</v>
      </c>
      <c r="D5333" t="s">
        <v>184</v>
      </c>
      <c r="E5333" t="s">
        <v>182</v>
      </c>
      <c r="F5333" t="s">
        <v>181</v>
      </c>
      <c r="G5333" t="s">
        <v>178</v>
      </c>
    </row>
    <row r="5334" spans="1:7">
      <c r="A5334">
        <v>2024</v>
      </c>
      <c r="B5334" t="s">
        <v>188</v>
      </c>
      <c r="C5334">
        <v>0</v>
      </c>
      <c r="D5334" t="s">
        <v>184</v>
      </c>
      <c r="E5334" t="s">
        <v>182</v>
      </c>
      <c r="F5334" t="s">
        <v>181</v>
      </c>
      <c r="G5334" t="s">
        <v>178</v>
      </c>
    </row>
    <row r="5335" spans="1:7">
      <c r="A5335">
        <v>2025</v>
      </c>
      <c r="B5335" t="s">
        <v>188</v>
      </c>
      <c r="C5335">
        <v>0</v>
      </c>
      <c r="D5335" t="s">
        <v>184</v>
      </c>
      <c r="E5335" t="s">
        <v>182</v>
      </c>
      <c r="F5335" t="s">
        <v>181</v>
      </c>
      <c r="G5335" t="s">
        <v>178</v>
      </c>
    </row>
    <row r="5336" spans="1:7">
      <c r="A5336">
        <v>2026</v>
      </c>
      <c r="B5336" t="s">
        <v>188</v>
      </c>
      <c r="C5336">
        <v>0</v>
      </c>
      <c r="D5336" t="s">
        <v>184</v>
      </c>
      <c r="E5336" t="s">
        <v>182</v>
      </c>
      <c r="F5336" t="s">
        <v>181</v>
      </c>
      <c r="G5336" t="s">
        <v>178</v>
      </c>
    </row>
    <row r="5337" spans="1:7">
      <c r="A5337">
        <v>2027</v>
      </c>
      <c r="B5337" t="s">
        <v>188</v>
      </c>
      <c r="C5337">
        <v>0</v>
      </c>
      <c r="D5337" t="s">
        <v>184</v>
      </c>
      <c r="E5337" t="s">
        <v>182</v>
      </c>
      <c r="F5337" t="s">
        <v>181</v>
      </c>
      <c r="G5337" t="s">
        <v>178</v>
      </c>
    </row>
    <row r="5338" spans="1:7">
      <c r="A5338">
        <v>2028</v>
      </c>
      <c r="B5338" t="s">
        <v>188</v>
      </c>
      <c r="C5338">
        <v>0</v>
      </c>
      <c r="D5338" t="s">
        <v>184</v>
      </c>
      <c r="E5338" t="s">
        <v>182</v>
      </c>
      <c r="F5338" t="s">
        <v>181</v>
      </c>
      <c r="G5338" t="s">
        <v>178</v>
      </c>
    </row>
    <row r="5339" spans="1:7">
      <c r="A5339">
        <v>2029</v>
      </c>
      <c r="B5339" t="s">
        <v>188</v>
      </c>
      <c r="C5339">
        <v>0</v>
      </c>
      <c r="D5339" t="s">
        <v>184</v>
      </c>
      <c r="E5339" t="s">
        <v>182</v>
      </c>
      <c r="F5339" t="s">
        <v>181</v>
      </c>
      <c r="G5339" t="s">
        <v>178</v>
      </c>
    </row>
    <row r="5340" spans="1:7">
      <c r="A5340">
        <v>2030</v>
      </c>
      <c r="B5340" t="s">
        <v>188</v>
      </c>
      <c r="C5340">
        <v>0</v>
      </c>
      <c r="D5340" t="s">
        <v>184</v>
      </c>
      <c r="E5340" t="s">
        <v>182</v>
      </c>
      <c r="F5340" t="s">
        <v>181</v>
      </c>
      <c r="G5340" t="s">
        <v>178</v>
      </c>
    </row>
    <row r="5341" spans="1:7">
      <c r="A5341">
        <v>2031</v>
      </c>
      <c r="B5341" t="s">
        <v>188</v>
      </c>
      <c r="C5341">
        <v>0</v>
      </c>
      <c r="D5341" t="s">
        <v>184</v>
      </c>
      <c r="E5341" t="s">
        <v>182</v>
      </c>
      <c r="F5341" t="s">
        <v>181</v>
      </c>
      <c r="G5341" t="s">
        <v>178</v>
      </c>
    </row>
    <row r="5342" spans="1:7">
      <c r="A5342">
        <v>2032</v>
      </c>
      <c r="B5342" t="s">
        <v>188</v>
      </c>
      <c r="C5342">
        <v>0</v>
      </c>
      <c r="D5342" t="s">
        <v>184</v>
      </c>
      <c r="E5342" t="s">
        <v>182</v>
      </c>
      <c r="F5342" t="s">
        <v>181</v>
      </c>
      <c r="G5342" t="s">
        <v>178</v>
      </c>
    </row>
    <row r="5343" spans="1:7">
      <c r="A5343">
        <v>2033</v>
      </c>
      <c r="B5343" t="s">
        <v>188</v>
      </c>
      <c r="C5343">
        <v>0</v>
      </c>
      <c r="D5343" t="s">
        <v>184</v>
      </c>
      <c r="E5343" t="s">
        <v>182</v>
      </c>
      <c r="F5343" t="s">
        <v>181</v>
      </c>
      <c r="G5343" t="s">
        <v>178</v>
      </c>
    </row>
    <row r="5344" spans="1:7">
      <c r="A5344">
        <v>2034</v>
      </c>
      <c r="B5344" t="s">
        <v>188</v>
      </c>
      <c r="C5344">
        <v>0</v>
      </c>
      <c r="D5344" t="s">
        <v>184</v>
      </c>
      <c r="E5344" t="s">
        <v>182</v>
      </c>
      <c r="F5344" t="s">
        <v>181</v>
      </c>
      <c r="G5344" t="s">
        <v>178</v>
      </c>
    </row>
    <row r="5345" spans="1:7">
      <c r="A5345">
        <v>2035</v>
      </c>
      <c r="B5345" t="s">
        <v>188</v>
      </c>
      <c r="C5345">
        <v>0</v>
      </c>
      <c r="D5345" t="s">
        <v>184</v>
      </c>
      <c r="E5345" t="s">
        <v>182</v>
      </c>
      <c r="F5345" t="s">
        <v>181</v>
      </c>
      <c r="G5345" t="s">
        <v>178</v>
      </c>
    </row>
    <row r="5346" spans="1:7">
      <c r="A5346">
        <v>2020</v>
      </c>
      <c r="B5346" t="s">
        <v>189</v>
      </c>
      <c r="C5346">
        <v>0</v>
      </c>
      <c r="D5346" t="s">
        <v>184</v>
      </c>
      <c r="E5346" t="s">
        <v>182</v>
      </c>
      <c r="F5346" t="s">
        <v>181</v>
      </c>
      <c r="G5346" t="s">
        <v>178</v>
      </c>
    </row>
    <row r="5347" spans="1:7">
      <c r="A5347">
        <v>2021</v>
      </c>
      <c r="B5347" t="s">
        <v>189</v>
      </c>
      <c r="C5347">
        <v>0</v>
      </c>
      <c r="D5347" t="s">
        <v>184</v>
      </c>
      <c r="E5347" t="s">
        <v>182</v>
      </c>
      <c r="F5347" t="s">
        <v>181</v>
      </c>
      <c r="G5347" t="s">
        <v>178</v>
      </c>
    </row>
    <row r="5348" spans="1:7">
      <c r="A5348">
        <v>2022</v>
      </c>
      <c r="B5348" t="s">
        <v>189</v>
      </c>
      <c r="C5348">
        <v>0</v>
      </c>
      <c r="D5348" t="s">
        <v>184</v>
      </c>
      <c r="E5348" t="s">
        <v>182</v>
      </c>
      <c r="F5348" t="s">
        <v>181</v>
      </c>
      <c r="G5348" t="s">
        <v>178</v>
      </c>
    </row>
    <row r="5349" spans="1:7">
      <c r="A5349">
        <v>2023</v>
      </c>
      <c r="B5349" t="s">
        <v>189</v>
      </c>
      <c r="C5349">
        <v>0</v>
      </c>
      <c r="D5349" t="s">
        <v>184</v>
      </c>
      <c r="E5349" t="s">
        <v>182</v>
      </c>
      <c r="F5349" t="s">
        <v>181</v>
      </c>
      <c r="G5349" t="s">
        <v>178</v>
      </c>
    </row>
    <row r="5350" spans="1:7">
      <c r="A5350">
        <v>2024</v>
      </c>
      <c r="B5350" t="s">
        <v>189</v>
      </c>
      <c r="C5350">
        <v>0</v>
      </c>
      <c r="D5350" t="s">
        <v>184</v>
      </c>
      <c r="E5350" t="s">
        <v>182</v>
      </c>
      <c r="F5350" t="s">
        <v>181</v>
      </c>
      <c r="G5350" t="s">
        <v>178</v>
      </c>
    </row>
    <row r="5351" spans="1:7">
      <c r="A5351">
        <v>2025</v>
      </c>
      <c r="B5351" t="s">
        <v>189</v>
      </c>
      <c r="C5351">
        <v>0</v>
      </c>
      <c r="D5351" t="s">
        <v>184</v>
      </c>
      <c r="E5351" t="s">
        <v>182</v>
      </c>
      <c r="F5351" t="s">
        <v>181</v>
      </c>
      <c r="G5351" t="s">
        <v>178</v>
      </c>
    </row>
    <row r="5352" spans="1:7">
      <c r="A5352">
        <v>2026</v>
      </c>
      <c r="B5352" t="s">
        <v>189</v>
      </c>
      <c r="C5352">
        <v>0</v>
      </c>
      <c r="D5352" t="s">
        <v>184</v>
      </c>
      <c r="E5352" t="s">
        <v>182</v>
      </c>
      <c r="F5352" t="s">
        <v>181</v>
      </c>
      <c r="G5352" t="s">
        <v>178</v>
      </c>
    </row>
    <row r="5353" spans="1:7">
      <c r="A5353">
        <v>2027</v>
      </c>
      <c r="B5353" t="s">
        <v>189</v>
      </c>
      <c r="C5353">
        <v>0</v>
      </c>
      <c r="D5353" t="s">
        <v>184</v>
      </c>
      <c r="E5353" t="s">
        <v>182</v>
      </c>
      <c r="F5353" t="s">
        <v>181</v>
      </c>
      <c r="G5353" t="s">
        <v>178</v>
      </c>
    </row>
    <row r="5354" spans="1:7">
      <c r="A5354">
        <v>2028</v>
      </c>
      <c r="B5354" t="s">
        <v>189</v>
      </c>
      <c r="C5354">
        <v>0</v>
      </c>
      <c r="D5354" t="s">
        <v>184</v>
      </c>
      <c r="E5354" t="s">
        <v>182</v>
      </c>
      <c r="F5354" t="s">
        <v>181</v>
      </c>
      <c r="G5354" t="s">
        <v>178</v>
      </c>
    </row>
    <row r="5355" spans="1:7">
      <c r="A5355">
        <v>2029</v>
      </c>
      <c r="B5355" t="s">
        <v>189</v>
      </c>
      <c r="C5355">
        <v>0</v>
      </c>
      <c r="D5355" t="s">
        <v>184</v>
      </c>
      <c r="E5355" t="s">
        <v>182</v>
      </c>
      <c r="F5355" t="s">
        <v>181</v>
      </c>
      <c r="G5355" t="s">
        <v>178</v>
      </c>
    </row>
    <row r="5356" spans="1:7">
      <c r="A5356">
        <v>2030</v>
      </c>
      <c r="B5356" t="s">
        <v>189</v>
      </c>
      <c r="C5356">
        <v>0</v>
      </c>
      <c r="D5356" t="s">
        <v>184</v>
      </c>
      <c r="E5356" t="s">
        <v>182</v>
      </c>
      <c r="F5356" t="s">
        <v>181</v>
      </c>
      <c r="G5356" t="s">
        <v>178</v>
      </c>
    </row>
    <row r="5357" spans="1:7">
      <c r="A5357">
        <v>2031</v>
      </c>
      <c r="B5357" t="s">
        <v>189</v>
      </c>
      <c r="C5357">
        <v>0</v>
      </c>
      <c r="D5357" t="s">
        <v>184</v>
      </c>
      <c r="E5357" t="s">
        <v>182</v>
      </c>
      <c r="F5357" t="s">
        <v>181</v>
      </c>
      <c r="G5357" t="s">
        <v>178</v>
      </c>
    </row>
    <row r="5358" spans="1:7">
      <c r="A5358">
        <v>2032</v>
      </c>
      <c r="B5358" t="s">
        <v>189</v>
      </c>
      <c r="C5358">
        <v>0</v>
      </c>
      <c r="D5358" t="s">
        <v>184</v>
      </c>
      <c r="E5358" t="s">
        <v>182</v>
      </c>
      <c r="F5358" t="s">
        <v>181</v>
      </c>
      <c r="G5358" t="s">
        <v>178</v>
      </c>
    </row>
    <row r="5359" spans="1:7">
      <c r="A5359">
        <v>2033</v>
      </c>
      <c r="B5359" t="s">
        <v>189</v>
      </c>
      <c r="C5359">
        <v>0</v>
      </c>
      <c r="D5359" t="s">
        <v>184</v>
      </c>
      <c r="E5359" t="s">
        <v>182</v>
      </c>
      <c r="F5359" t="s">
        <v>181</v>
      </c>
      <c r="G5359" t="s">
        <v>178</v>
      </c>
    </row>
    <row r="5360" spans="1:7">
      <c r="A5360">
        <v>2034</v>
      </c>
      <c r="B5360" t="s">
        <v>189</v>
      </c>
      <c r="C5360">
        <v>0</v>
      </c>
      <c r="D5360" t="s">
        <v>184</v>
      </c>
      <c r="E5360" t="s">
        <v>182</v>
      </c>
      <c r="F5360" t="s">
        <v>181</v>
      </c>
      <c r="G5360" t="s">
        <v>178</v>
      </c>
    </row>
    <row r="5361" spans="1:7">
      <c r="A5361">
        <v>2035</v>
      </c>
      <c r="B5361" t="s">
        <v>189</v>
      </c>
      <c r="C5361">
        <v>0</v>
      </c>
      <c r="D5361" t="s">
        <v>184</v>
      </c>
      <c r="E5361" t="s">
        <v>182</v>
      </c>
      <c r="F5361" t="s">
        <v>181</v>
      </c>
      <c r="G5361" t="s">
        <v>178</v>
      </c>
    </row>
    <row r="5362" spans="1:7">
      <c r="A5362">
        <v>2020</v>
      </c>
      <c r="B5362" t="s">
        <v>190</v>
      </c>
      <c r="C5362">
        <v>13297.23</v>
      </c>
      <c r="D5362" t="s">
        <v>184</v>
      </c>
      <c r="E5362" t="s">
        <v>182</v>
      </c>
      <c r="F5362" t="s">
        <v>181</v>
      </c>
      <c r="G5362" t="s">
        <v>178</v>
      </c>
    </row>
    <row r="5363" spans="1:7">
      <c r="A5363">
        <v>2021</v>
      </c>
      <c r="B5363" t="s">
        <v>190</v>
      </c>
      <c r="C5363">
        <v>11219.4</v>
      </c>
      <c r="D5363" t="s">
        <v>184</v>
      </c>
      <c r="E5363" t="s">
        <v>182</v>
      </c>
      <c r="F5363" t="s">
        <v>181</v>
      </c>
      <c r="G5363" t="s">
        <v>178</v>
      </c>
    </row>
    <row r="5364" spans="1:7">
      <c r="A5364">
        <v>2022</v>
      </c>
      <c r="B5364" t="s">
        <v>190</v>
      </c>
      <c r="C5364">
        <v>11219.4</v>
      </c>
      <c r="D5364" t="s">
        <v>184</v>
      </c>
      <c r="E5364" t="s">
        <v>182</v>
      </c>
      <c r="F5364" t="s">
        <v>181</v>
      </c>
      <c r="G5364" t="s">
        <v>178</v>
      </c>
    </row>
    <row r="5365" spans="1:7">
      <c r="A5365">
        <v>2023</v>
      </c>
      <c r="B5365" t="s">
        <v>190</v>
      </c>
      <c r="C5365">
        <v>11164.9</v>
      </c>
      <c r="D5365" t="s">
        <v>184</v>
      </c>
      <c r="E5365" t="s">
        <v>182</v>
      </c>
      <c r="F5365" t="s">
        <v>181</v>
      </c>
      <c r="G5365" t="s">
        <v>178</v>
      </c>
    </row>
    <row r="5366" spans="1:7">
      <c r="A5366">
        <v>2024</v>
      </c>
      <c r="B5366" t="s">
        <v>190</v>
      </c>
      <c r="C5366">
        <v>11164.9</v>
      </c>
      <c r="D5366" t="s">
        <v>184</v>
      </c>
      <c r="E5366" t="s">
        <v>182</v>
      </c>
      <c r="F5366" t="s">
        <v>181</v>
      </c>
      <c r="G5366" t="s">
        <v>178</v>
      </c>
    </row>
    <row r="5367" spans="1:7">
      <c r="A5367">
        <v>2025</v>
      </c>
      <c r="B5367" t="s">
        <v>190</v>
      </c>
      <c r="C5367">
        <v>8510.69</v>
      </c>
      <c r="D5367" t="s">
        <v>184</v>
      </c>
      <c r="E5367" t="s">
        <v>182</v>
      </c>
      <c r="F5367" t="s">
        <v>181</v>
      </c>
      <c r="G5367" t="s">
        <v>178</v>
      </c>
    </row>
    <row r="5368" spans="1:7">
      <c r="A5368">
        <v>2026</v>
      </c>
      <c r="B5368" t="s">
        <v>190</v>
      </c>
      <c r="C5368">
        <v>8510.69</v>
      </c>
      <c r="D5368" t="s">
        <v>184</v>
      </c>
      <c r="E5368" t="s">
        <v>182</v>
      </c>
      <c r="F5368" t="s">
        <v>181</v>
      </c>
      <c r="G5368" t="s">
        <v>178</v>
      </c>
    </row>
    <row r="5369" spans="1:7">
      <c r="A5369">
        <v>2027</v>
      </c>
      <c r="B5369" t="s">
        <v>190</v>
      </c>
      <c r="C5369">
        <v>4426.46</v>
      </c>
      <c r="D5369" t="s">
        <v>184</v>
      </c>
      <c r="E5369" t="s">
        <v>182</v>
      </c>
      <c r="F5369" t="s">
        <v>181</v>
      </c>
      <c r="G5369" t="s">
        <v>178</v>
      </c>
    </row>
    <row r="5370" spans="1:7">
      <c r="A5370">
        <v>2028</v>
      </c>
      <c r="B5370" t="s">
        <v>190</v>
      </c>
      <c r="C5370">
        <v>4426.46</v>
      </c>
      <c r="D5370" t="s">
        <v>184</v>
      </c>
      <c r="E5370" t="s">
        <v>182</v>
      </c>
      <c r="F5370" t="s">
        <v>181</v>
      </c>
      <c r="G5370" t="s">
        <v>178</v>
      </c>
    </row>
    <row r="5371" spans="1:7">
      <c r="A5371">
        <v>2029</v>
      </c>
      <c r="B5371" t="s">
        <v>190</v>
      </c>
      <c r="C5371">
        <v>2198.19</v>
      </c>
      <c r="D5371" t="s">
        <v>184</v>
      </c>
      <c r="E5371" t="s">
        <v>182</v>
      </c>
      <c r="F5371" t="s">
        <v>181</v>
      </c>
      <c r="G5371" t="s">
        <v>178</v>
      </c>
    </row>
    <row r="5372" spans="1:7">
      <c r="A5372">
        <v>2030</v>
      </c>
      <c r="B5372" t="s">
        <v>190</v>
      </c>
      <c r="C5372">
        <v>2198.19</v>
      </c>
      <c r="D5372" t="s">
        <v>184</v>
      </c>
      <c r="E5372" t="s">
        <v>182</v>
      </c>
      <c r="F5372" t="s">
        <v>181</v>
      </c>
      <c r="G5372" t="s">
        <v>178</v>
      </c>
    </row>
    <row r="5373" spans="1:7">
      <c r="A5373">
        <v>2031</v>
      </c>
      <c r="B5373" t="s">
        <v>190</v>
      </c>
      <c r="C5373">
        <v>4582.66</v>
      </c>
      <c r="D5373" t="s">
        <v>184</v>
      </c>
      <c r="E5373" t="s">
        <v>182</v>
      </c>
      <c r="F5373" t="s">
        <v>181</v>
      </c>
      <c r="G5373" t="s">
        <v>178</v>
      </c>
    </row>
    <row r="5374" spans="1:7">
      <c r="A5374">
        <v>2032</v>
      </c>
      <c r="B5374" t="s">
        <v>190</v>
      </c>
      <c r="C5374">
        <v>4582.66</v>
      </c>
      <c r="D5374" t="s">
        <v>184</v>
      </c>
      <c r="E5374" t="s">
        <v>182</v>
      </c>
      <c r="F5374" t="s">
        <v>181</v>
      </c>
      <c r="G5374" t="s">
        <v>178</v>
      </c>
    </row>
    <row r="5375" spans="1:7">
      <c r="A5375">
        <v>2033</v>
      </c>
      <c r="B5375" t="s">
        <v>190</v>
      </c>
      <c r="C5375">
        <v>2088.38</v>
      </c>
      <c r="D5375" t="s">
        <v>184</v>
      </c>
      <c r="E5375" t="s">
        <v>182</v>
      </c>
      <c r="F5375" t="s">
        <v>181</v>
      </c>
      <c r="G5375" t="s">
        <v>178</v>
      </c>
    </row>
    <row r="5376" spans="1:7">
      <c r="A5376">
        <v>2034</v>
      </c>
      <c r="B5376" t="s">
        <v>190</v>
      </c>
      <c r="C5376">
        <v>2088.38</v>
      </c>
      <c r="D5376" t="s">
        <v>184</v>
      </c>
      <c r="E5376" t="s">
        <v>182</v>
      </c>
      <c r="F5376" t="s">
        <v>181</v>
      </c>
      <c r="G5376" t="s">
        <v>178</v>
      </c>
    </row>
    <row r="5377" spans="1:7">
      <c r="A5377">
        <v>2035</v>
      </c>
      <c r="B5377" t="s">
        <v>190</v>
      </c>
      <c r="C5377">
        <v>2088.38</v>
      </c>
      <c r="D5377" t="s">
        <v>184</v>
      </c>
      <c r="E5377" t="s">
        <v>182</v>
      </c>
      <c r="F5377" t="s">
        <v>181</v>
      </c>
      <c r="G5377" t="s">
        <v>178</v>
      </c>
    </row>
    <row r="5378" spans="1:7">
      <c r="A5378">
        <v>2020</v>
      </c>
      <c r="B5378" t="s">
        <v>191</v>
      </c>
      <c r="C5378">
        <v>0</v>
      </c>
      <c r="D5378" t="s">
        <v>184</v>
      </c>
      <c r="E5378" t="s">
        <v>182</v>
      </c>
      <c r="F5378" t="s">
        <v>181</v>
      </c>
      <c r="G5378" t="s">
        <v>178</v>
      </c>
    </row>
    <row r="5379" spans="1:7">
      <c r="A5379">
        <v>2021</v>
      </c>
      <c r="B5379" t="s">
        <v>191</v>
      </c>
      <c r="C5379">
        <v>0</v>
      </c>
      <c r="D5379" t="s">
        <v>184</v>
      </c>
      <c r="E5379" t="s">
        <v>182</v>
      </c>
      <c r="F5379" t="s">
        <v>181</v>
      </c>
      <c r="G5379" t="s">
        <v>178</v>
      </c>
    </row>
    <row r="5380" spans="1:7">
      <c r="A5380">
        <v>2022</v>
      </c>
      <c r="B5380" t="s">
        <v>191</v>
      </c>
      <c r="C5380">
        <v>0</v>
      </c>
      <c r="D5380" t="s">
        <v>184</v>
      </c>
      <c r="E5380" t="s">
        <v>182</v>
      </c>
      <c r="F5380" t="s">
        <v>181</v>
      </c>
      <c r="G5380" t="s">
        <v>178</v>
      </c>
    </row>
    <row r="5381" spans="1:7">
      <c r="A5381">
        <v>2023</v>
      </c>
      <c r="B5381" t="s">
        <v>191</v>
      </c>
      <c r="C5381">
        <v>0</v>
      </c>
      <c r="D5381" t="s">
        <v>184</v>
      </c>
      <c r="E5381" t="s">
        <v>182</v>
      </c>
      <c r="F5381" t="s">
        <v>181</v>
      </c>
      <c r="G5381" t="s">
        <v>178</v>
      </c>
    </row>
    <row r="5382" spans="1:7">
      <c r="A5382">
        <v>2024</v>
      </c>
      <c r="B5382" t="s">
        <v>191</v>
      </c>
      <c r="C5382">
        <v>0</v>
      </c>
      <c r="D5382" t="s">
        <v>184</v>
      </c>
      <c r="E5382" t="s">
        <v>182</v>
      </c>
      <c r="F5382" t="s">
        <v>181</v>
      </c>
      <c r="G5382" t="s">
        <v>178</v>
      </c>
    </row>
    <row r="5383" spans="1:7">
      <c r="A5383">
        <v>2025</v>
      </c>
      <c r="B5383" t="s">
        <v>191</v>
      </c>
      <c r="C5383">
        <v>0</v>
      </c>
      <c r="D5383" t="s">
        <v>184</v>
      </c>
      <c r="E5383" t="s">
        <v>182</v>
      </c>
      <c r="F5383" t="s">
        <v>181</v>
      </c>
      <c r="G5383" t="s">
        <v>178</v>
      </c>
    </row>
    <row r="5384" spans="1:7">
      <c r="A5384">
        <v>2026</v>
      </c>
      <c r="B5384" t="s">
        <v>191</v>
      </c>
      <c r="C5384">
        <v>0</v>
      </c>
      <c r="D5384" t="s">
        <v>184</v>
      </c>
      <c r="E5384" t="s">
        <v>182</v>
      </c>
      <c r="F5384" t="s">
        <v>181</v>
      </c>
      <c r="G5384" t="s">
        <v>178</v>
      </c>
    </row>
    <row r="5385" spans="1:7">
      <c r="A5385">
        <v>2027</v>
      </c>
      <c r="B5385" t="s">
        <v>191</v>
      </c>
      <c r="C5385">
        <v>0</v>
      </c>
      <c r="D5385" t="s">
        <v>184</v>
      </c>
      <c r="E5385" t="s">
        <v>182</v>
      </c>
      <c r="F5385" t="s">
        <v>181</v>
      </c>
      <c r="G5385" t="s">
        <v>178</v>
      </c>
    </row>
    <row r="5386" spans="1:7">
      <c r="A5386">
        <v>2028</v>
      </c>
      <c r="B5386" t="s">
        <v>191</v>
      </c>
      <c r="C5386">
        <v>0</v>
      </c>
      <c r="D5386" t="s">
        <v>184</v>
      </c>
      <c r="E5386" t="s">
        <v>182</v>
      </c>
      <c r="F5386" t="s">
        <v>181</v>
      </c>
      <c r="G5386" t="s">
        <v>178</v>
      </c>
    </row>
    <row r="5387" spans="1:7">
      <c r="A5387">
        <v>2029</v>
      </c>
      <c r="B5387" t="s">
        <v>191</v>
      </c>
      <c r="C5387">
        <v>0</v>
      </c>
      <c r="D5387" t="s">
        <v>184</v>
      </c>
      <c r="E5387" t="s">
        <v>182</v>
      </c>
      <c r="F5387" t="s">
        <v>181</v>
      </c>
      <c r="G5387" t="s">
        <v>178</v>
      </c>
    </row>
    <row r="5388" spans="1:7">
      <c r="A5388">
        <v>2030</v>
      </c>
      <c r="B5388" t="s">
        <v>191</v>
      </c>
      <c r="C5388">
        <v>0</v>
      </c>
      <c r="D5388" t="s">
        <v>184</v>
      </c>
      <c r="E5388" t="s">
        <v>182</v>
      </c>
      <c r="F5388" t="s">
        <v>181</v>
      </c>
      <c r="G5388" t="s">
        <v>178</v>
      </c>
    </row>
    <row r="5389" spans="1:7">
      <c r="A5389">
        <v>2031</v>
      </c>
      <c r="B5389" t="s">
        <v>191</v>
      </c>
      <c r="C5389">
        <v>0</v>
      </c>
      <c r="D5389" t="s">
        <v>184</v>
      </c>
      <c r="E5389" t="s">
        <v>182</v>
      </c>
      <c r="F5389" t="s">
        <v>181</v>
      </c>
      <c r="G5389" t="s">
        <v>178</v>
      </c>
    </row>
    <row r="5390" spans="1:7">
      <c r="A5390">
        <v>2032</v>
      </c>
      <c r="B5390" t="s">
        <v>191</v>
      </c>
      <c r="C5390">
        <v>0</v>
      </c>
      <c r="D5390" t="s">
        <v>184</v>
      </c>
      <c r="E5390" t="s">
        <v>182</v>
      </c>
      <c r="F5390" t="s">
        <v>181</v>
      </c>
      <c r="G5390" t="s">
        <v>178</v>
      </c>
    </row>
    <row r="5391" spans="1:7">
      <c r="A5391">
        <v>2033</v>
      </c>
      <c r="B5391" t="s">
        <v>191</v>
      </c>
      <c r="C5391">
        <v>0</v>
      </c>
      <c r="D5391" t="s">
        <v>184</v>
      </c>
      <c r="E5391" t="s">
        <v>182</v>
      </c>
      <c r="F5391" t="s">
        <v>181</v>
      </c>
      <c r="G5391" t="s">
        <v>178</v>
      </c>
    </row>
    <row r="5392" spans="1:7">
      <c r="A5392">
        <v>2034</v>
      </c>
      <c r="B5392" t="s">
        <v>191</v>
      </c>
      <c r="C5392">
        <v>0</v>
      </c>
      <c r="D5392" t="s">
        <v>184</v>
      </c>
      <c r="E5392" t="s">
        <v>182</v>
      </c>
      <c r="F5392" t="s">
        <v>181</v>
      </c>
      <c r="G5392" t="s">
        <v>178</v>
      </c>
    </row>
    <row r="5393" spans="1:7">
      <c r="A5393">
        <v>2035</v>
      </c>
      <c r="B5393" t="s">
        <v>191</v>
      </c>
      <c r="C5393">
        <v>0</v>
      </c>
      <c r="D5393" t="s">
        <v>184</v>
      </c>
      <c r="E5393" t="s">
        <v>182</v>
      </c>
      <c r="F5393" t="s">
        <v>181</v>
      </c>
      <c r="G5393" t="s">
        <v>178</v>
      </c>
    </row>
    <row r="5394" spans="1:7">
      <c r="A5394">
        <v>2020</v>
      </c>
      <c r="B5394" t="s">
        <v>192</v>
      </c>
      <c r="C5394">
        <v>1450.21</v>
      </c>
      <c r="D5394" t="s">
        <v>184</v>
      </c>
      <c r="E5394" t="s">
        <v>182</v>
      </c>
      <c r="F5394" t="s">
        <v>181</v>
      </c>
      <c r="G5394" t="s">
        <v>178</v>
      </c>
    </row>
    <row r="5395" spans="1:7">
      <c r="A5395">
        <v>2021</v>
      </c>
      <c r="B5395" t="s">
        <v>192</v>
      </c>
      <c r="C5395">
        <v>19.149999999999999</v>
      </c>
      <c r="D5395" t="s">
        <v>184</v>
      </c>
      <c r="E5395" t="s">
        <v>182</v>
      </c>
      <c r="F5395" t="s">
        <v>181</v>
      </c>
      <c r="G5395" t="s">
        <v>178</v>
      </c>
    </row>
    <row r="5396" spans="1:7">
      <c r="A5396">
        <v>2022</v>
      </c>
      <c r="B5396" t="s">
        <v>192</v>
      </c>
      <c r="C5396">
        <v>19.149999999999999</v>
      </c>
      <c r="D5396" t="s">
        <v>184</v>
      </c>
      <c r="E5396" t="s">
        <v>182</v>
      </c>
      <c r="F5396" t="s">
        <v>181</v>
      </c>
      <c r="G5396" t="s">
        <v>178</v>
      </c>
    </row>
    <row r="5397" spans="1:7">
      <c r="A5397">
        <v>2023</v>
      </c>
      <c r="B5397" t="s">
        <v>192</v>
      </c>
      <c r="C5397">
        <v>26.5</v>
      </c>
      <c r="D5397" t="s">
        <v>184</v>
      </c>
      <c r="E5397" t="s">
        <v>182</v>
      </c>
      <c r="F5397" t="s">
        <v>181</v>
      </c>
      <c r="G5397" t="s">
        <v>178</v>
      </c>
    </row>
    <row r="5398" spans="1:7">
      <c r="A5398">
        <v>2024</v>
      </c>
      <c r="B5398" t="s">
        <v>192</v>
      </c>
      <c r="C5398">
        <v>26.5</v>
      </c>
      <c r="D5398" t="s">
        <v>184</v>
      </c>
      <c r="E5398" t="s">
        <v>182</v>
      </c>
      <c r="F5398" t="s">
        <v>181</v>
      </c>
      <c r="G5398" t="s">
        <v>178</v>
      </c>
    </row>
    <row r="5399" spans="1:7">
      <c r="A5399">
        <v>2025</v>
      </c>
      <c r="B5399" t="s">
        <v>192</v>
      </c>
      <c r="C5399">
        <v>94.5</v>
      </c>
      <c r="D5399" t="s">
        <v>184</v>
      </c>
      <c r="E5399" t="s">
        <v>182</v>
      </c>
      <c r="F5399" t="s">
        <v>181</v>
      </c>
      <c r="G5399" t="s">
        <v>178</v>
      </c>
    </row>
    <row r="5400" spans="1:7">
      <c r="A5400">
        <v>2026</v>
      </c>
      <c r="B5400" t="s">
        <v>192</v>
      </c>
      <c r="C5400">
        <v>94.5</v>
      </c>
      <c r="D5400" t="s">
        <v>184</v>
      </c>
      <c r="E5400" t="s">
        <v>182</v>
      </c>
      <c r="F5400" t="s">
        <v>181</v>
      </c>
      <c r="G5400" t="s">
        <v>178</v>
      </c>
    </row>
    <row r="5401" spans="1:7">
      <c r="A5401">
        <v>2027</v>
      </c>
      <c r="B5401" t="s">
        <v>192</v>
      </c>
      <c r="C5401">
        <v>0</v>
      </c>
      <c r="D5401" t="s">
        <v>184</v>
      </c>
      <c r="E5401" t="s">
        <v>182</v>
      </c>
      <c r="F5401" t="s">
        <v>181</v>
      </c>
      <c r="G5401" t="s">
        <v>178</v>
      </c>
    </row>
    <row r="5402" spans="1:7">
      <c r="A5402">
        <v>2028</v>
      </c>
      <c r="B5402" t="s">
        <v>192</v>
      </c>
      <c r="C5402">
        <v>0</v>
      </c>
      <c r="D5402" t="s">
        <v>184</v>
      </c>
      <c r="E5402" t="s">
        <v>182</v>
      </c>
      <c r="F5402" t="s">
        <v>181</v>
      </c>
      <c r="G5402" t="s">
        <v>178</v>
      </c>
    </row>
    <row r="5403" spans="1:7">
      <c r="A5403">
        <v>2029</v>
      </c>
      <c r="B5403" t="s">
        <v>192</v>
      </c>
      <c r="C5403">
        <v>0</v>
      </c>
      <c r="D5403" t="s">
        <v>184</v>
      </c>
      <c r="E5403" t="s">
        <v>182</v>
      </c>
      <c r="F5403" t="s">
        <v>181</v>
      </c>
      <c r="G5403" t="s">
        <v>178</v>
      </c>
    </row>
    <row r="5404" spans="1:7">
      <c r="A5404">
        <v>2030</v>
      </c>
      <c r="B5404" t="s">
        <v>192</v>
      </c>
      <c r="C5404">
        <v>0</v>
      </c>
      <c r="D5404" t="s">
        <v>184</v>
      </c>
      <c r="E5404" t="s">
        <v>182</v>
      </c>
      <c r="F5404" t="s">
        <v>181</v>
      </c>
      <c r="G5404" t="s">
        <v>178</v>
      </c>
    </row>
    <row r="5405" spans="1:7">
      <c r="A5405">
        <v>2031</v>
      </c>
      <c r="B5405" t="s">
        <v>192</v>
      </c>
      <c r="C5405">
        <v>0</v>
      </c>
      <c r="D5405" t="s">
        <v>184</v>
      </c>
      <c r="E5405" t="s">
        <v>182</v>
      </c>
      <c r="F5405" t="s">
        <v>181</v>
      </c>
      <c r="G5405" t="s">
        <v>178</v>
      </c>
    </row>
    <row r="5406" spans="1:7">
      <c r="A5406">
        <v>2032</v>
      </c>
      <c r="B5406" t="s">
        <v>192</v>
      </c>
      <c r="C5406">
        <v>0</v>
      </c>
      <c r="D5406" t="s">
        <v>184</v>
      </c>
      <c r="E5406" t="s">
        <v>182</v>
      </c>
      <c r="F5406" t="s">
        <v>181</v>
      </c>
      <c r="G5406" t="s">
        <v>178</v>
      </c>
    </row>
    <row r="5407" spans="1:7">
      <c r="A5407">
        <v>2033</v>
      </c>
      <c r="B5407" t="s">
        <v>192</v>
      </c>
      <c r="C5407">
        <v>0</v>
      </c>
      <c r="D5407" t="s">
        <v>184</v>
      </c>
      <c r="E5407" t="s">
        <v>182</v>
      </c>
      <c r="F5407" t="s">
        <v>181</v>
      </c>
      <c r="G5407" t="s">
        <v>178</v>
      </c>
    </row>
    <row r="5408" spans="1:7">
      <c r="A5408">
        <v>2034</v>
      </c>
      <c r="B5408" t="s">
        <v>192</v>
      </c>
      <c r="C5408">
        <v>0</v>
      </c>
      <c r="D5408" t="s">
        <v>184</v>
      </c>
      <c r="E5408" t="s">
        <v>182</v>
      </c>
      <c r="F5408" t="s">
        <v>181</v>
      </c>
      <c r="G5408" t="s">
        <v>178</v>
      </c>
    </row>
    <row r="5409" spans="1:7">
      <c r="A5409">
        <v>2035</v>
      </c>
      <c r="B5409" t="s">
        <v>192</v>
      </c>
      <c r="C5409">
        <v>0</v>
      </c>
      <c r="D5409" t="s">
        <v>184</v>
      </c>
      <c r="E5409" t="s">
        <v>182</v>
      </c>
      <c r="F5409" t="s">
        <v>181</v>
      </c>
      <c r="G5409" t="s">
        <v>178</v>
      </c>
    </row>
    <row r="5410" spans="1:7">
      <c r="A5410">
        <v>2020</v>
      </c>
      <c r="B5410" t="s">
        <v>193</v>
      </c>
      <c r="C5410">
        <v>232.5</v>
      </c>
      <c r="D5410" t="s">
        <v>184</v>
      </c>
      <c r="E5410" t="s">
        <v>182</v>
      </c>
      <c r="F5410" t="s">
        <v>181</v>
      </c>
      <c r="G5410" t="s">
        <v>178</v>
      </c>
    </row>
    <row r="5411" spans="1:7">
      <c r="A5411">
        <v>2021</v>
      </c>
      <c r="B5411" t="s">
        <v>193</v>
      </c>
      <c r="C5411">
        <v>1100</v>
      </c>
      <c r="D5411" t="s">
        <v>184</v>
      </c>
      <c r="E5411" t="s">
        <v>182</v>
      </c>
      <c r="F5411" t="s">
        <v>181</v>
      </c>
      <c r="G5411" t="s">
        <v>178</v>
      </c>
    </row>
    <row r="5412" spans="1:7">
      <c r="A5412">
        <v>2022</v>
      </c>
      <c r="B5412" t="s">
        <v>193</v>
      </c>
      <c r="C5412">
        <v>1100</v>
      </c>
      <c r="D5412" t="s">
        <v>184</v>
      </c>
      <c r="E5412" t="s">
        <v>182</v>
      </c>
      <c r="F5412" t="s">
        <v>181</v>
      </c>
      <c r="G5412" t="s">
        <v>178</v>
      </c>
    </row>
    <row r="5413" spans="1:7">
      <c r="A5413">
        <v>2023</v>
      </c>
      <c r="B5413" t="s">
        <v>193</v>
      </c>
      <c r="C5413">
        <v>0</v>
      </c>
      <c r="D5413" t="s">
        <v>184</v>
      </c>
      <c r="E5413" t="s">
        <v>182</v>
      </c>
      <c r="F5413" t="s">
        <v>181</v>
      </c>
      <c r="G5413" t="s">
        <v>178</v>
      </c>
    </row>
    <row r="5414" spans="1:7">
      <c r="A5414">
        <v>2024</v>
      </c>
      <c r="B5414" t="s">
        <v>193</v>
      </c>
      <c r="C5414">
        <v>0</v>
      </c>
      <c r="D5414" t="s">
        <v>184</v>
      </c>
      <c r="E5414" t="s">
        <v>182</v>
      </c>
      <c r="F5414" t="s">
        <v>181</v>
      </c>
      <c r="G5414" t="s">
        <v>178</v>
      </c>
    </row>
    <row r="5415" spans="1:7">
      <c r="A5415">
        <v>2025</v>
      </c>
      <c r="B5415" t="s">
        <v>193</v>
      </c>
      <c r="C5415">
        <v>0</v>
      </c>
      <c r="D5415" t="s">
        <v>184</v>
      </c>
      <c r="E5415" t="s">
        <v>182</v>
      </c>
      <c r="F5415" t="s">
        <v>181</v>
      </c>
      <c r="G5415" t="s">
        <v>178</v>
      </c>
    </row>
    <row r="5416" spans="1:7">
      <c r="A5416">
        <v>2026</v>
      </c>
      <c r="B5416" t="s">
        <v>193</v>
      </c>
      <c r="C5416">
        <v>0</v>
      </c>
      <c r="D5416" t="s">
        <v>184</v>
      </c>
      <c r="E5416" t="s">
        <v>182</v>
      </c>
      <c r="F5416" t="s">
        <v>181</v>
      </c>
      <c r="G5416" t="s">
        <v>178</v>
      </c>
    </row>
    <row r="5417" spans="1:7">
      <c r="A5417">
        <v>2027</v>
      </c>
      <c r="B5417" t="s">
        <v>193</v>
      </c>
      <c r="C5417">
        <v>0</v>
      </c>
      <c r="D5417" t="s">
        <v>184</v>
      </c>
      <c r="E5417" t="s">
        <v>182</v>
      </c>
      <c r="F5417" t="s">
        <v>181</v>
      </c>
      <c r="G5417" t="s">
        <v>178</v>
      </c>
    </row>
    <row r="5418" spans="1:7">
      <c r="A5418">
        <v>2028</v>
      </c>
      <c r="B5418" t="s">
        <v>193</v>
      </c>
      <c r="C5418">
        <v>0</v>
      </c>
      <c r="D5418" t="s">
        <v>184</v>
      </c>
      <c r="E5418" t="s">
        <v>182</v>
      </c>
      <c r="F5418" t="s">
        <v>181</v>
      </c>
      <c r="G5418" t="s">
        <v>178</v>
      </c>
    </row>
    <row r="5419" spans="1:7">
      <c r="A5419">
        <v>2029</v>
      </c>
      <c r="B5419" t="s">
        <v>193</v>
      </c>
      <c r="C5419">
        <v>0</v>
      </c>
      <c r="D5419" t="s">
        <v>184</v>
      </c>
      <c r="E5419" t="s">
        <v>182</v>
      </c>
      <c r="F5419" t="s">
        <v>181</v>
      </c>
      <c r="G5419" t="s">
        <v>178</v>
      </c>
    </row>
    <row r="5420" spans="1:7">
      <c r="A5420">
        <v>2030</v>
      </c>
      <c r="B5420" t="s">
        <v>193</v>
      </c>
      <c r="C5420">
        <v>0</v>
      </c>
      <c r="D5420" t="s">
        <v>184</v>
      </c>
      <c r="E5420" t="s">
        <v>182</v>
      </c>
      <c r="F5420" t="s">
        <v>181</v>
      </c>
      <c r="G5420" t="s">
        <v>178</v>
      </c>
    </row>
    <row r="5421" spans="1:7">
      <c r="A5421">
        <v>2031</v>
      </c>
      <c r="B5421" t="s">
        <v>193</v>
      </c>
      <c r="C5421">
        <v>0</v>
      </c>
      <c r="D5421" t="s">
        <v>184</v>
      </c>
      <c r="E5421" t="s">
        <v>182</v>
      </c>
      <c r="F5421" t="s">
        <v>181</v>
      </c>
      <c r="G5421" t="s">
        <v>178</v>
      </c>
    </row>
    <row r="5422" spans="1:7">
      <c r="A5422">
        <v>2032</v>
      </c>
      <c r="B5422" t="s">
        <v>193</v>
      </c>
      <c r="C5422">
        <v>0</v>
      </c>
      <c r="D5422" t="s">
        <v>184</v>
      </c>
      <c r="E5422" t="s">
        <v>182</v>
      </c>
      <c r="F5422" t="s">
        <v>181</v>
      </c>
      <c r="G5422" t="s">
        <v>178</v>
      </c>
    </row>
    <row r="5423" spans="1:7">
      <c r="A5423">
        <v>2033</v>
      </c>
      <c r="B5423" t="s">
        <v>193</v>
      </c>
      <c r="C5423">
        <v>0</v>
      </c>
      <c r="D5423" t="s">
        <v>184</v>
      </c>
      <c r="E5423" t="s">
        <v>182</v>
      </c>
      <c r="F5423" t="s">
        <v>181</v>
      </c>
      <c r="G5423" t="s">
        <v>178</v>
      </c>
    </row>
    <row r="5424" spans="1:7">
      <c r="A5424">
        <v>2034</v>
      </c>
      <c r="B5424" t="s">
        <v>193</v>
      </c>
      <c r="C5424">
        <v>0</v>
      </c>
      <c r="D5424" t="s">
        <v>184</v>
      </c>
      <c r="E5424" t="s">
        <v>182</v>
      </c>
      <c r="F5424" t="s">
        <v>181</v>
      </c>
      <c r="G5424" t="s">
        <v>178</v>
      </c>
    </row>
    <row r="5425" spans="1:7">
      <c r="A5425">
        <v>2035</v>
      </c>
      <c r="B5425" t="s">
        <v>193</v>
      </c>
      <c r="C5425">
        <v>0</v>
      </c>
      <c r="D5425" t="s">
        <v>184</v>
      </c>
      <c r="E5425" t="s">
        <v>182</v>
      </c>
      <c r="F5425" t="s">
        <v>181</v>
      </c>
      <c r="G5425" t="s">
        <v>178</v>
      </c>
    </row>
    <row r="5426" spans="1:7">
      <c r="A5426">
        <v>2020</v>
      </c>
      <c r="B5426" t="s">
        <v>194</v>
      </c>
      <c r="C5426">
        <v>14.85</v>
      </c>
      <c r="D5426" t="s">
        <v>184</v>
      </c>
      <c r="E5426" t="s">
        <v>182</v>
      </c>
      <c r="F5426" t="s">
        <v>181</v>
      </c>
      <c r="G5426" t="s">
        <v>178</v>
      </c>
    </row>
    <row r="5427" spans="1:7">
      <c r="A5427">
        <v>2021</v>
      </c>
      <c r="B5427" t="s">
        <v>194</v>
      </c>
      <c r="C5427">
        <v>0</v>
      </c>
      <c r="D5427" t="s">
        <v>184</v>
      </c>
      <c r="E5427" t="s">
        <v>182</v>
      </c>
      <c r="F5427" t="s">
        <v>181</v>
      </c>
      <c r="G5427" t="s">
        <v>178</v>
      </c>
    </row>
    <row r="5428" spans="1:7">
      <c r="A5428">
        <v>2022</v>
      </c>
      <c r="B5428" t="s">
        <v>194</v>
      </c>
      <c r="C5428">
        <v>0</v>
      </c>
      <c r="D5428" t="s">
        <v>184</v>
      </c>
      <c r="E5428" t="s">
        <v>182</v>
      </c>
      <c r="F5428" t="s">
        <v>181</v>
      </c>
      <c r="G5428" t="s">
        <v>178</v>
      </c>
    </row>
    <row r="5429" spans="1:7">
      <c r="A5429">
        <v>2023</v>
      </c>
      <c r="B5429" t="s">
        <v>194</v>
      </c>
      <c r="C5429">
        <v>0</v>
      </c>
      <c r="D5429" t="s">
        <v>184</v>
      </c>
      <c r="E5429" t="s">
        <v>182</v>
      </c>
      <c r="F5429" t="s">
        <v>181</v>
      </c>
      <c r="G5429" t="s">
        <v>178</v>
      </c>
    </row>
    <row r="5430" spans="1:7">
      <c r="A5430">
        <v>2024</v>
      </c>
      <c r="B5430" t="s">
        <v>194</v>
      </c>
      <c r="C5430">
        <v>0</v>
      </c>
      <c r="D5430" t="s">
        <v>184</v>
      </c>
      <c r="E5430" t="s">
        <v>182</v>
      </c>
      <c r="F5430" t="s">
        <v>181</v>
      </c>
      <c r="G5430" t="s">
        <v>178</v>
      </c>
    </row>
    <row r="5431" spans="1:7">
      <c r="A5431">
        <v>2025</v>
      </c>
      <c r="B5431" t="s">
        <v>194</v>
      </c>
      <c r="C5431">
        <v>0</v>
      </c>
      <c r="D5431" t="s">
        <v>184</v>
      </c>
      <c r="E5431" t="s">
        <v>182</v>
      </c>
      <c r="F5431" t="s">
        <v>181</v>
      </c>
      <c r="G5431" t="s">
        <v>178</v>
      </c>
    </row>
    <row r="5432" spans="1:7">
      <c r="A5432">
        <v>2026</v>
      </c>
      <c r="B5432" t="s">
        <v>194</v>
      </c>
      <c r="C5432">
        <v>0</v>
      </c>
      <c r="D5432" t="s">
        <v>184</v>
      </c>
      <c r="E5432" t="s">
        <v>182</v>
      </c>
      <c r="F5432" t="s">
        <v>181</v>
      </c>
      <c r="G5432" t="s">
        <v>178</v>
      </c>
    </row>
    <row r="5433" spans="1:7">
      <c r="A5433">
        <v>2027</v>
      </c>
      <c r="B5433" t="s">
        <v>194</v>
      </c>
      <c r="C5433">
        <v>0</v>
      </c>
      <c r="D5433" t="s">
        <v>184</v>
      </c>
      <c r="E5433" t="s">
        <v>182</v>
      </c>
      <c r="F5433" t="s">
        <v>181</v>
      </c>
      <c r="G5433" t="s">
        <v>178</v>
      </c>
    </row>
    <row r="5434" spans="1:7">
      <c r="A5434">
        <v>2028</v>
      </c>
      <c r="B5434" t="s">
        <v>194</v>
      </c>
      <c r="C5434">
        <v>0</v>
      </c>
      <c r="D5434" t="s">
        <v>184</v>
      </c>
      <c r="E5434" t="s">
        <v>182</v>
      </c>
      <c r="F5434" t="s">
        <v>181</v>
      </c>
      <c r="G5434" t="s">
        <v>178</v>
      </c>
    </row>
    <row r="5435" spans="1:7">
      <c r="A5435">
        <v>2029</v>
      </c>
      <c r="B5435" t="s">
        <v>194</v>
      </c>
      <c r="C5435">
        <v>0</v>
      </c>
      <c r="D5435" t="s">
        <v>184</v>
      </c>
      <c r="E5435" t="s">
        <v>182</v>
      </c>
      <c r="F5435" t="s">
        <v>181</v>
      </c>
      <c r="G5435" t="s">
        <v>178</v>
      </c>
    </row>
    <row r="5436" spans="1:7">
      <c r="A5436">
        <v>2030</v>
      </c>
      <c r="B5436" t="s">
        <v>194</v>
      </c>
      <c r="C5436">
        <v>0</v>
      </c>
      <c r="D5436" t="s">
        <v>184</v>
      </c>
      <c r="E5436" t="s">
        <v>182</v>
      </c>
      <c r="F5436" t="s">
        <v>181</v>
      </c>
      <c r="G5436" t="s">
        <v>178</v>
      </c>
    </row>
    <row r="5437" spans="1:7">
      <c r="A5437">
        <v>2031</v>
      </c>
      <c r="B5437" t="s">
        <v>194</v>
      </c>
      <c r="C5437">
        <v>0</v>
      </c>
      <c r="D5437" t="s">
        <v>184</v>
      </c>
      <c r="E5437" t="s">
        <v>182</v>
      </c>
      <c r="F5437" t="s">
        <v>181</v>
      </c>
      <c r="G5437" t="s">
        <v>178</v>
      </c>
    </row>
    <row r="5438" spans="1:7">
      <c r="A5438">
        <v>2032</v>
      </c>
      <c r="B5438" t="s">
        <v>194</v>
      </c>
      <c r="C5438">
        <v>0</v>
      </c>
      <c r="D5438" t="s">
        <v>184</v>
      </c>
      <c r="E5438" t="s">
        <v>182</v>
      </c>
      <c r="F5438" t="s">
        <v>181</v>
      </c>
      <c r="G5438" t="s">
        <v>178</v>
      </c>
    </row>
    <row r="5439" spans="1:7">
      <c r="A5439">
        <v>2033</v>
      </c>
      <c r="B5439" t="s">
        <v>194</v>
      </c>
      <c r="C5439">
        <v>0</v>
      </c>
      <c r="D5439" t="s">
        <v>184</v>
      </c>
      <c r="E5439" t="s">
        <v>182</v>
      </c>
      <c r="F5439" t="s">
        <v>181</v>
      </c>
      <c r="G5439" t="s">
        <v>178</v>
      </c>
    </row>
    <row r="5440" spans="1:7">
      <c r="A5440">
        <v>2034</v>
      </c>
      <c r="B5440" t="s">
        <v>194</v>
      </c>
      <c r="C5440">
        <v>0</v>
      </c>
      <c r="D5440" t="s">
        <v>184</v>
      </c>
      <c r="E5440" t="s">
        <v>182</v>
      </c>
      <c r="F5440" t="s">
        <v>181</v>
      </c>
      <c r="G5440" t="s">
        <v>178</v>
      </c>
    </row>
    <row r="5441" spans="1:7">
      <c r="A5441">
        <v>2035</v>
      </c>
      <c r="B5441" t="s">
        <v>194</v>
      </c>
      <c r="C5441">
        <v>0</v>
      </c>
      <c r="D5441" t="s">
        <v>184</v>
      </c>
      <c r="E5441" t="s">
        <v>182</v>
      </c>
      <c r="F5441" t="s">
        <v>181</v>
      </c>
      <c r="G5441" t="s">
        <v>178</v>
      </c>
    </row>
    <row r="5442" spans="1:7">
      <c r="A5442">
        <v>2020</v>
      </c>
      <c r="B5442" t="s">
        <v>195</v>
      </c>
      <c r="C5442">
        <v>10078.9</v>
      </c>
      <c r="D5442" t="s">
        <v>184</v>
      </c>
      <c r="E5442" t="s">
        <v>182</v>
      </c>
      <c r="F5442" t="s">
        <v>181</v>
      </c>
      <c r="G5442" t="s">
        <v>178</v>
      </c>
    </row>
    <row r="5443" spans="1:7">
      <c r="A5443">
        <v>2021</v>
      </c>
      <c r="B5443" t="s">
        <v>195</v>
      </c>
      <c r="C5443">
        <v>1615.75</v>
      </c>
      <c r="D5443" t="s">
        <v>184</v>
      </c>
      <c r="E5443" t="s">
        <v>182</v>
      </c>
      <c r="F5443" t="s">
        <v>181</v>
      </c>
      <c r="G5443" t="s">
        <v>178</v>
      </c>
    </row>
    <row r="5444" spans="1:7">
      <c r="A5444">
        <v>2022</v>
      </c>
      <c r="B5444" t="s">
        <v>195</v>
      </c>
      <c r="C5444">
        <v>1615.75</v>
      </c>
      <c r="D5444" t="s">
        <v>184</v>
      </c>
      <c r="E5444" t="s">
        <v>182</v>
      </c>
      <c r="F5444" t="s">
        <v>181</v>
      </c>
      <c r="G5444" t="s">
        <v>178</v>
      </c>
    </row>
    <row r="5445" spans="1:7">
      <c r="A5445">
        <v>2023</v>
      </c>
      <c r="B5445" t="s">
        <v>195</v>
      </c>
      <c r="C5445">
        <v>5195.0200000000004</v>
      </c>
      <c r="D5445" t="s">
        <v>184</v>
      </c>
      <c r="E5445" t="s">
        <v>182</v>
      </c>
      <c r="F5445" t="s">
        <v>181</v>
      </c>
      <c r="G5445" t="s">
        <v>178</v>
      </c>
    </row>
    <row r="5446" spans="1:7">
      <c r="A5446">
        <v>2024</v>
      </c>
      <c r="B5446" t="s">
        <v>195</v>
      </c>
      <c r="C5446">
        <v>5195.0200000000004</v>
      </c>
      <c r="D5446" t="s">
        <v>184</v>
      </c>
      <c r="E5446" t="s">
        <v>182</v>
      </c>
      <c r="F5446" t="s">
        <v>181</v>
      </c>
      <c r="G5446" t="s">
        <v>178</v>
      </c>
    </row>
    <row r="5447" spans="1:7">
      <c r="A5447">
        <v>2025</v>
      </c>
      <c r="B5447" t="s">
        <v>195</v>
      </c>
      <c r="C5447">
        <v>8011.01</v>
      </c>
      <c r="D5447" t="s">
        <v>184</v>
      </c>
      <c r="E5447" t="s">
        <v>182</v>
      </c>
      <c r="F5447" t="s">
        <v>181</v>
      </c>
      <c r="G5447" t="s">
        <v>178</v>
      </c>
    </row>
    <row r="5448" spans="1:7">
      <c r="A5448">
        <v>2026</v>
      </c>
      <c r="B5448" t="s">
        <v>195</v>
      </c>
      <c r="C5448">
        <v>8011.01</v>
      </c>
      <c r="D5448" t="s">
        <v>184</v>
      </c>
      <c r="E5448" t="s">
        <v>182</v>
      </c>
      <c r="F5448" t="s">
        <v>181</v>
      </c>
      <c r="G5448" t="s">
        <v>178</v>
      </c>
    </row>
    <row r="5449" spans="1:7">
      <c r="A5449">
        <v>2027</v>
      </c>
      <c r="B5449" t="s">
        <v>195</v>
      </c>
      <c r="C5449">
        <v>8824.2900000000009</v>
      </c>
      <c r="D5449" t="s">
        <v>184</v>
      </c>
      <c r="E5449" t="s">
        <v>182</v>
      </c>
      <c r="F5449" t="s">
        <v>181</v>
      </c>
      <c r="G5449" t="s">
        <v>178</v>
      </c>
    </row>
    <row r="5450" spans="1:7">
      <c r="A5450">
        <v>2028</v>
      </c>
      <c r="B5450" t="s">
        <v>195</v>
      </c>
      <c r="C5450">
        <v>8824.2900000000009</v>
      </c>
      <c r="D5450" t="s">
        <v>184</v>
      </c>
      <c r="E5450" t="s">
        <v>182</v>
      </c>
      <c r="F5450" t="s">
        <v>181</v>
      </c>
      <c r="G5450" t="s">
        <v>178</v>
      </c>
    </row>
    <row r="5451" spans="1:7">
      <c r="A5451">
        <v>2029</v>
      </c>
      <c r="B5451" t="s">
        <v>195</v>
      </c>
      <c r="C5451">
        <v>17782.400000000001</v>
      </c>
      <c r="D5451" t="s">
        <v>184</v>
      </c>
      <c r="E5451" t="s">
        <v>182</v>
      </c>
      <c r="F5451" t="s">
        <v>181</v>
      </c>
      <c r="G5451" t="s">
        <v>178</v>
      </c>
    </row>
    <row r="5452" spans="1:7">
      <c r="A5452">
        <v>2030</v>
      </c>
      <c r="B5452" t="s">
        <v>195</v>
      </c>
      <c r="C5452">
        <v>17782.400000000001</v>
      </c>
      <c r="D5452" t="s">
        <v>184</v>
      </c>
      <c r="E5452" t="s">
        <v>182</v>
      </c>
      <c r="F5452" t="s">
        <v>181</v>
      </c>
      <c r="G5452" t="s">
        <v>178</v>
      </c>
    </row>
    <row r="5453" spans="1:7">
      <c r="A5453">
        <v>2031</v>
      </c>
      <c r="B5453" t="s">
        <v>195</v>
      </c>
      <c r="C5453">
        <v>10917</v>
      </c>
      <c r="D5453" t="s">
        <v>184</v>
      </c>
      <c r="E5453" t="s">
        <v>182</v>
      </c>
      <c r="F5453" t="s">
        <v>181</v>
      </c>
      <c r="G5453" t="s">
        <v>178</v>
      </c>
    </row>
    <row r="5454" spans="1:7">
      <c r="A5454">
        <v>2032</v>
      </c>
      <c r="B5454" t="s">
        <v>195</v>
      </c>
      <c r="C5454">
        <v>10917</v>
      </c>
      <c r="D5454" t="s">
        <v>184</v>
      </c>
      <c r="E5454" t="s">
        <v>182</v>
      </c>
      <c r="F5454" t="s">
        <v>181</v>
      </c>
      <c r="G5454" t="s">
        <v>178</v>
      </c>
    </row>
    <row r="5455" spans="1:7">
      <c r="A5455">
        <v>2033</v>
      </c>
      <c r="B5455" t="s">
        <v>195</v>
      </c>
      <c r="C5455">
        <v>18032.3</v>
      </c>
      <c r="D5455" t="s">
        <v>184</v>
      </c>
      <c r="E5455" t="s">
        <v>182</v>
      </c>
      <c r="F5455" t="s">
        <v>181</v>
      </c>
      <c r="G5455" t="s">
        <v>178</v>
      </c>
    </row>
    <row r="5456" spans="1:7">
      <c r="A5456">
        <v>2034</v>
      </c>
      <c r="B5456" t="s">
        <v>195</v>
      </c>
      <c r="C5456">
        <v>18032.3</v>
      </c>
      <c r="D5456" t="s">
        <v>184</v>
      </c>
      <c r="E5456" t="s">
        <v>182</v>
      </c>
      <c r="F5456" t="s">
        <v>181</v>
      </c>
      <c r="G5456" t="s">
        <v>178</v>
      </c>
    </row>
    <row r="5457" spans="1:7">
      <c r="A5457">
        <v>2035</v>
      </c>
      <c r="B5457" t="s">
        <v>195</v>
      </c>
      <c r="C5457">
        <v>18032.3</v>
      </c>
      <c r="D5457" t="s">
        <v>184</v>
      </c>
      <c r="E5457" t="s">
        <v>182</v>
      </c>
      <c r="F5457" t="s">
        <v>181</v>
      </c>
      <c r="G5457" t="s">
        <v>178</v>
      </c>
    </row>
    <row r="5458" spans="1:7">
      <c r="A5458">
        <v>2020</v>
      </c>
      <c r="B5458" t="s">
        <v>196</v>
      </c>
      <c r="C5458">
        <v>8181.05</v>
      </c>
      <c r="D5458" t="s">
        <v>184</v>
      </c>
      <c r="E5458" t="s">
        <v>182</v>
      </c>
      <c r="F5458" t="s">
        <v>181</v>
      </c>
      <c r="G5458" t="s">
        <v>178</v>
      </c>
    </row>
    <row r="5459" spans="1:7">
      <c r="A5459">
        <v>2021</v>
      </c>
      <c r="B5459" t="s">
        <v>196</v>
      </c>
      <c r="C5459">
        <v>1573.42</v>
      </c>
      <c r="D5459" t="s">
        <v>184</v>
      </c>
      <c r="E5459" t="s">
        <v>182</v>
      </c>
      <c r="F5459" t="s">
        <v>181</v>
      </c>
      <c r="G5459" t="s">
        <v>178</v>
      </c>
    </row>
    <row r="5460" spans="1:7">
      <c r="A5460">
        <v>2022</v>
      </c>
      <c r="B5460" t="s">
        <v>196</v>
      </c>
      <c r="C5460">
        <v>1573.42</v>
      </c>
      <c r="D5460" t="s">
        <v>184</v>
      </c>
      <c r="E5460" t="s">
        <v>182</v>
      </c>
      <c r="F5460" t="s">
        <v>181</v>
      </c>
      <c r="G5460" t="s">
        <v>178</v>
      </c>
    </row>
    <row r="5461" spans="1:7">
      <c r="A5461">
        <v>2023</v>
      </c>
      <c r="B5461" t="s">
        <v>196</v>
      </c>
      <c r="C5461">
        <v>1890.23</v>
      </c>
      <c r="D5461" t="s">
        <v>184</v>
      </c>
      <c r="E5461" t="s">
        <v>182</v>
      </c>
      <c r="F5461" t="s">
        <v>181</v>
      </c>
      <c r="G5461" t="s">
        <v>178</v>
      </c>
    </row>
    <row r="5462" spans="1:7">
      <c r="A5462">
        <v>2024</v>
      </c>
      <c r="B5462" t="s">
        <v>196</v>
      </c>
      <c r="C5462">
        <v>1890.23</v>
      </c>
      <c r="D5462" t="s">
        <v>184</v>
      </c>
      <c r="E5462" t="s">
        <v>182</v>
      </c>
      <c r="F5462" t="s">
        <v>181</v>
      </c>
      <c r="G5462" t="s">
        <v>178</v>
      </c>
    </row>
    <row r="5463" spans="1:7">
      <c r="A5463">
        <v>2025</v>
      </c>
      <c r="B5463" t="s">
        <v>196</v>
      </c>
      <c r="C5463">
        <v>1372.09</v>
      </c>
      <c r="D5463" t="s">
        <v>184</v>
      </c>
      <c r="E5463" t="s">
        <v>182</v>
      </c>
      <c r="F5463" t="s">
        <v>181</v>
      </c>
      <c r="G5463" t="s">
        <v>178</v>
      </c>
    </row>
    <row r="5464" spans="1:7">
      <c r="A5464">
        <v>2026</v>
      </c>
      <c r="B5464" t="s">
        <v>196</v>
      </c>
      <c r="C5464">
        <v>1372.09</v>
      </c>
      <c r="D5464" t="s">
        <v>184</v>
      </c>
      <c r="E5464" t="s">
        <v>182</v>
      </c>
      <c r="F5464" t="s">
        <v>181</v>
      </c>
      <c r="G5464" t="s">
        <v>178</v>
      </c>
    </row>
    <row r="5465" spans="1:7">
      <c r="A5465">
        <v>2027</v>
      </c>
      <c r="B5465" t="s">
        <v>196</v>
      </c>
      <c r="C5465">
        <v>2842.79</v>
      </c>
      <c r="D5465" t="s">
        <v>184</v>
      </c>
      <c r="E5465" t="s">
        <v>182</v>
      </c>
      <c r="F5465" t="s">
        <v>181</v>
      </c>
      <c r="G5465" t="s">
        <v>178</v>
      </c>
    </row>
    <row r="5466" spans="1:7">
      <c r="A5466">
        <v>2028</v>
      </c>
      <c r="B5466" t="s">
        <v>196</v>
      </c>
      <c r="C5466">
        <v>2842.79</v>
      </c>
      <c r="D5466" t="s">
        <v>184</v>
      </c>
      <c r="E5466" t="s">
        <v>182</v>
      </c>
      <c r="F5466" t="s">
        <v>181</v>
      </c>
      <c r="G5466" t="s">
        <v>178</v>
      </c>
    </row>
    <row r="5467" spans="1:7">
      <c r="A5467">
        <v>2029</v>
      </c>
      <c r="B5467" t="s">
        <v>196</v>
      </c>
      <c r="C5467">
        <v>5229.34</v>
      </c>
      <c r="D5467" t="s">
        <v>184</v>
      </c>
      <c r="E5467" t="s">
        <v>182</v>
      </c>
      <c r="F5467" t="s">
        <v>181</v>
      </c>
      <c r="G5467" t="s">
        <v>178</v>
      </c>
    </row>
    <row r="5468" spans="1:7">
      <c r="A5468">
        <v>2030</v>
      </c>
      <c r="B5468" t="s">
        <v>196</v>
      </c>
      <c r="C5468">
        <v>5229.34</v>
      </c>
      <c r="D5468" t="s">
        <v>184</v>
      </c>
      <c r="E5468" t="s">
        <v>182</v>
      </c>
      <c r="F5468" t="s">
        <v>181</v>
      </c>
      <c r="G5468" t="s">
        <v>178</v>
      </c>
    </row>
    <row r="5469" spans="1:7">
      <c r="A5469">
        <v>2031</v>
      </c>
      <c r="B5469" t="s">
        <v>196</v>
      </c>
      <c r="C5469">
        <v>990.774</v>
      </c>
      <c r="D5469" t="s">
        <v>184</v>
      </c>
      <c r="E5469" t="s">
        <v>182</v>
      </c>
      <c r="F5469" t="s">
        <v>181</v>
      </c>
      <c r="G5469" t="s">
        <v>178</v>
      </c>
    </row>
    <row r="5470" spans="1:7">
      <c r="A5470">
        <v>2032</v>
      </c>
      <c r="B5470" t="s">
        <v>196</v>
      </c>
      <c r="C5470">
        <v>990.774</v>
      </c>
      <c r="D5470" t="s">
        <v>184</v>
      </c>
      <c r="E5470" t="s">
        <v>182</v>
      </c>
      <c r="F5470" t="s">
        <v>181</v>
      </c>
      <c r="G5470" t="s">
        <v>178</v>
      </c>
    </row>
    <row r="5471" spans="1:7">
      <c r="A5471">
        <v>2033</v>
      </c>
      <c r="B5471" t="s">
        <v>196</v>
      </c>
      <c r="C5471">
        <v>1364.56</v>
      </c>
      <c r="D5471" t="s">
        <v>184</v>
      </c>
      <c r="E5471" t="s">
        <v>182</v>
      </c>
      <c r="F5471" t="s">
        <v>181</v>
      </c>
      <c r="G5471" t="s">
        <v>178</v>
      </c>
    </row>
    <row r="5472" spans="1:7">
      <c r="A5472">
        <v>2034</v>
      </c>
      <c r="B5472" t="s">
        <v>196</v>
      </c>
      <c r="C5472">
        <v>1364.56</v>
      </c>
      <c r="D5472" t="s">
        <v>184</v>
      </c>
      <c r="E5472" t="s">
        <v>182</v>
      </c>
      <c r="F5472" t="s">
        <v>181</v>
      </c>
      <c r="G5472" t="s">
        <v>178</v>
      </c>
    </row>
    <row r="5473" spans="1:7">
      <c r="A5473">
        <v>2035</v>
      </c>
      <c r="B5473" t="s">
        <v>196</v>
      </c>
      <c r="C5473">
        <v>1364.56</v>
      </c>
      <c r="D5473" t="s">
        <v>184</v>
      </c>
      <c r="E5473" t="s">
        <v>182</v>
      </c>
      <c r="F5473" t="s">
        <v>181</v>
      </c>
      <c r="G5473" t="s">
        <v>178</v>
      </c>
    </row>
    <row r="5474" spans="1:7">
      <c r="A5474">
        <v>2020</v>
      </c>
      <c r="B5474" t="s">
        <v>188</v>
      </c>
      <c r="C5474">
        <v>102.45</v>
      </c>
      <c r="D5474" t="s">
        <v>184</v>
      </c>
      <c r="E5474" t="s">
        <v>182</v>
      </c>
      <c r="F5474" t="s">
        <v>181</v>
      </c>
      <c r="G5474" t="s">
        <v>179</v>
      </c>
    </row>
    <row r="5475" spans="1:7">
      <c r="A5475">
        <v>2021</v>
      </c>
      <c r="B5475" t="s">
        <v>188</v>
      </c>
      <c r="C5475">
        <v>9.5</v>
      </c>
      <c r="D5475" t="s">
        <v>184</v>
      </c>
      <c r="E5475" t="s">
        <v>182</v>
      </c>
      <c r="F5475" t="s">
        <v>181</v>
      </c>
      <c r="G5475" t="s">
        <v>179</v>
      </c>
    </row>
    <row r="5476" spans="1:7">
      <c r="A5476">
        <v>2022</v>
      </c>
      <c r="B5476" t="s">
        <v>188</v>
      </c>
      <c r="C5476">
        <v>9.5</v>
      </c>
      <c r="D5476" t="s">
        <v>184</v>
      </c>
      <c r="E5476" t="s">
        <v>182</v>
      </c>
      <c r="F5476" t="s">
        <v>181</v>
      </c>
      <c r="G5476" t="s">
        <v>179</v>
      </c>
    </row>
    <row r="5477" spans="1:7">
      <c r="A5477">
        <v>2023</v>
      </c>
      <c r="B5477" t="s">
        <v>188</v>
      </c>
      <c r="C5477">
        <v>0</v>
      </c>
      <c r="D5477" t="s">
        <v>184</v>
      </c>
      <c r="E5477" t="s">
        <v>182</v>
      </c>
      <c r="F5477" t="s">
        <v>181</v>
      </c>
      <c r="G5477" t="s">
        <v>179</v>
      </c>
    </row>
    <row r="5478" spans="1:7">
      <c r="A5478">
        <v>2024</v>
      </c>
      <c r="B5478" t="s">
        <v>188</v>
      </c>
      <c r="C5478">
        <v>0</v>
      </c>
      <c r="D5478" t="s">
        <v>184</v>
      </c>
      <c r="E5478" t="s">
        <v>182</v>
      </c>
      <c r="F5478" t="s">
        <v>181</v>
      </c>
      <c r="G5478" t="s">
        <v>179</v>
      </c>
    </row>
    <row r="5479" spans="1:7">
      <c r="A5479">
        <v>2025</v>
      </c>
      <c r="B5479" t="s">
        <v>188</v>
      </c>
      <c r="C5479">
        <v>0</v>
      </c>
      <c r="D5479" t="s">
        <v>184</v>
      </c>
      <c r="E5479" t="s">
        <v>182</v>
      </c>
      <c r="F5479" t="s">
        <v>181</v>
      </c>
      <c r="G5479" t="s">
        <v>179</v>
      </c>
    </row>
    <row r="5480" spans="1:7">
      <c r="A5480">
        <v>2026</v>
      </c>
      <c r="B5480" t="s">
        <v>188</v>
      </c>
      <c r="C5480">
        <v>0</v>
      </c>
      <c r="D5480" t="s">
        <v>184</v>
      </c>
      <c r="E5480" t="s">
        <v>182</v>
      </c>
      <c r="F5480" t="s">
        <v>181</v>
      </c>
      <c r="G5480" t="s">
        <v>179</v>
      </c>
    </row>
    <row r="5481" spans="1:7">
      <c r="A5481">
        <v>2027</v>
      </c>
      <c r="B5481" t="s">
        <v>188</v>
      </c>
      <c r="C5481">
        <v>0</v>
      </c>
      <c r="D5481" t="s">
        <v>184</v>
      </c>
      <c r="E5481" t="s">
        <v>182</v>
      </c>
      <c r="F5481" t="s">
        <v>181</v>
      </c>
      <c r="G5481" t="s">
        <v>179</v>
      </c>
    </row>
    <row r="5482" spans="1:7">
      <c r="A5482">
        <v>2028</v>
      </c>
      <c r="B5482" t="s">
        <v>188</v>
      </c>
      <c r="C5482">
        <v>0</v>
      </c>
      <c r="D5482" t="s">
        <v>184</v>
      </c>
      <c r="E5482" t="s">
        <v>182</v>
      </c>
      <c r="F5482" t="s">
        <v>181</v>
      </c>
      <c r="G5482" t="s">
        <v>179</v>
      </c>
    </row>
    <row r="5483" spans="1:7">
      <c r="A5483">
        <v>2029</v>
      </c>
      <c r="B5483" t="s">
        <v>188</v>
      </c>
      <c r="C5483">
        <v>0</v>
      </c>
      <c r="D5483" t="s">
        <v>184</v>
      </c>
      <c r="E5483" t="s">
        <v>182</v>
      </c>
      <c r="F5483" t="s">
        <v>181</v>
      </c>
      <c r="G5483" t="s">
        <v>179</v>
      </c>
    </row>
    <row r="5484" spans="1:7">
      <c r="A5484">
        <v>2030</v>
      </c>
      <c r="B5484" t="s">
        <v>188</v>
      </c>
      <c r="C5484">
        <v>0</v>
      </c>
      <c r="D5484" t="s">
        <v>184</v>
      </c>
      <c r="E5484" t="s">
        <v>182</v>
      </c>
      <c r="F5484" t="s">
        <v>181</v>
      </c>
      <c r="G5484" t="s">
        <v>179</v>
      </c>
    </row>
    <row r="5485" spans="1:7">
      <c r="A5485">
        <v>2031</v>
      </c>
      <c r="B5485" t="s">
        <v>188</v>
      </c>
      <c r="C5485">
        <v>0</v>
      </c>
      <c r="D5485" t="s">
        <v>184</v>
      </c>
      <c r="E5485" t="s">
        <v>182</v>
      </c>
      <c r="F5485" t="s">
        <v>181</v>
      </c>
      <c r="G5485" t="s">
        <v>179</v>
      </c>
    </row>
    <row r="5486" spans="1:7">
      <c r="A5486">
        <v>2032</v>
      </c>
      <c r="B5486" t="s">
        <v>188</v>
      </c>
      <c r="C5486">
        <v>0</v>
      </c>
      <c r="D5486" t="s">
        <v>184</v>
      </c>
      <c r="E5486" t="s">
        <v>182</v>
      </c>
      <c r="F5486" t="s">
        <v>181</v>
      </c>
      <c r="G5486" t="s">
        <v>179</v>
      </c>
    </row>
    <row r="5487" spans="1:7">
      <c r="A5487">
        <v>2033</v>
      </c>
      <c r="B5487" t="s">
        <v>188</v>
      </c>
      <c r="C5487">
        <v>0</v>
      </c>
      <c r="D5487" t="s">
        <v>184</v>
      </c>
      <c r="E5487" t="s">
        <v>182</v>
      </c>
      <c r="F5487" t="s">
        <v>181</v>
      </c>
      <c r="G5487" t="s">
        <v>179</v>
      </c>
    </row>
    <row r="5488" spans="1:7">
      <c r="A5488">
        <v>2034</v>
      </c>
      <c r="B5488" t="s">
        <v>188</v>
      </c>
      <c r="C5488">
        <v>0</v>
      </c>
      <c r="D5488" t="s">
        <v>184</v>
      </c>
      <c r="E5488" t="s">
        <v>182</v>
      </c>
      <c r="F5488" t="s">
        <v>181</v>
      </c>
      <c r="G5488" t="s">
        <v>179</v>
      </c>
    </row>
    <row r="5489" spans="1:7">
      <c r="A5489">
        <v>2035</v>
      </c>
      <c r="B5489" t="s">
        <v>188</v>
      </c>
      <c r="C5489">
        <v>0</v>
      </c>
      <c r="D5489" t="s">
        <v>184</v>
      </c>
      <c r="E5489" t="s">
        <v>182</v>
      </c>
      <c r="F5489" t="s">
        <v>181</v>
      </c>
      <c r="G5489" t="s">
        <v>179</v>
      </c>
    </row>
    <row r="5490" spans="1:7">
      <c r="A5490">
        <v>2020</v>
      </c>
      <c r="B5490" t="s">
        <v>189</v>
      </c>
      <c r="C5490">
        <v>0</v>
      </c>
      <c r="D5490" t="s">
        <v>184</v>
      </c>
      <c r="E5490" t="s">
        <v>182</v>
      </c>
      <c r="F5490" t="s">
        <v>181</v>
      </c>
      <c r="G5490" t="s">
        <v>179</v>
      </c>
    </row>
    <row r="5491" spans="1:7">
      <c r="A5491">
        <v>2021</v>
      </c>
      <c r="B5491" t="s">
        <v>189</v>
      </c>
      <c r="C5491">
        <v>0</v>
      </c>
      <c r="D5491" t="s">
        <v>184</v>
      </c>
      <c r="E5491" t="s">
        <v>182</v>
      </c>
      <c r="F5491" t="s">
        <v>181</v>
      </c>
      <c r="G5491" t="s">
        <v>179</v>
      </c>
    </row>
    <row r="5492" spans="1:7">
      <c r="A5492">
        <v>2022</v>
      </c>
      <c r="B5492" t="s">
        <v>189</v>
      </c>
      <c r="C5492">
        <v>0</v>
      </c>
      <c r="D5492" t="s">
        <v>184</v>
      </c>
      <c r="E5492" t="s">
        <v>182</v>
      </c>
      <c r="F5492" t="s">
        <v>181</v>
      </c>
      <c r="G5492" t="s">
        <v>179</v>
      </c>
    </row>
    <row r="5493" spans="1:7">
      <c r="A5493">
        <v>2023</v>
      </c>
      <c r="B5493" t="s">
        <v>189</v>
      </c>
      <c r="C5493">
        <v>0</v>
      </c>
      <c r="D5493" t="s">
        <v>184</v>
      </c>
      <c r="E5493" t="s">
        <v>182</v>
      </c>
      <c r="F5493" t="s">
        <v>181</v>
      </c>
      <c r="G5493" t="s">
        <v>179</v>
      </c>
    </row>
    <row r="5494" spans="1:7">
      <c r="A5494">
        <v>2024</v>
      </c>
      <c r="B5494" t="s">
        <v>189</v>
      </c>
      <c r="C5494">
        <v>0</v>
      </c>
      <c r="D5494" t="s">
        <v>184</v>
      </c>
      <c r="E5494" t="s">
        <v>182</v>
      </c>
      <c r="F5494" t="s">
        <v>181</v>
      </c>
      <c r="G5494" t="s">
        <v>179</v>
      </c>
    </row>
    <row r="5495" spans="1:7">
      <c r="A5495">
        <v>2025</v>
      </c>
      <c r="B5495" t="s">
        <v>189</v>
      </c>
      <c r="C5495">
        <v>0</v>
      </c>
      <c r="D5495" t="s">
        <v>184</v>
      </c>
      <c r="E5495" t="s">
        <v>182</v>
      </c>
      <c r="F5495" t="s">
        <v>181</v>
      </c>
      <c r="G5495" t="s">
        <v>179</v>
      </c>
    </row>
    <row r="5496" spans="1:7">
      <c r="A5496">
        <v>2026</v>
      </c>
      <c r="B5496" t="s">
        <v>189</v>
      </c>
      <c r="C5496">
        <v>0</v>
      </c>
      <c r="D5496" t="s">
        <v>184</v>
      </c>
      <c r="E5496" t="s">
        <v>182</v>
      </c>
      <c r="F5496" t="s">
        <v>181</v>
      </c>
      <c r="G5496" t="s">
        <v>179</v>
      </c>
    </row>
    <row r="5497" spans="1:7">
      <c r="A5497">
        <v>2027</v>
      </c>
      <c r="B5497" t="s">
        <v>189</v>
      </c>
      <c r="C5497">
        <v>0</v>
      </c>
      <c r="D5497" t="s">
        <v>184</v>
      </c>
      <c r="E5497" t="s">
        <v>182</v>
      </c>
      <c r="F5497" t="s">
        <v>181</v>
      </c>
      <c r="G5497" t="s">
        <v>179</v>
      </c>
    </row>
    <row r="5498" spans="1:7">
      <c r="A5498">
        <v>2028</v>
      </c>
      <c r="B5498" t="s">
        <v>189</v>
      </c>
      <c r="C5498">
        <v>0</v>
      </c>
      <c r="D5498" t="s">
        <v>184</v>
      </c>
      <c r="E5498" t="s">
        <v>182</v>
      </c>
      <c r="F5498" t="s">
        <v>181</v>
      </c>
      <c r="G5498" t="s">
        <v>179</v>
      </c>
    </row>
    <row r="5499" spans="1:7">
      <c r="A5499">
        <v>2029</v>
      </c>
      <c r="B5499" t="s">
        <v>189</v>
      </c>
      <c r="C5499">
        <v>0</v>
      </c>
      <c r="D5499" t="s">
        <v>184</v>
      </c>
      <c r="E5499" t="s">
        <v>182</v>
      </c>
      <c r="F5499" t="s">
        <v>181</v>
      </c>
      <c r="G5499" t="s">
        <v>179</v>
      </c>
    </row>
    <row r="5500" spans="1:7">
      <c r="A5500">
        <v>2030</v>
      </c>
      <c r="B5500" t="s">
        <v>189</v>
      </c>
      <c r="C5500">
        <v>0</v>
      </c>
      <c r="D5500" t="s">
        <v>184</v>
      </c>
      <c r="E5500" t="s">
        <v>182</v>
      </c>
      <c r="F5500" t="s">
        <v>181</v>
      </c>
      <c r="G5500" t="s">
        <v>179</v>
      </c>
    </row>
    <row r="5501" spans="1:7">
      <c r="A5501">
        <v>2031</v>
      </c>
      <c r="B5501" t="s">
        <v>189</v>
      </c>
      <c r="C5501">
        <v>0</v>
      </c>
      <c r="D5501" t="s">
        <v>184</v>
      </c>
      <c r="E5501" t="s">
        <v>182</v>
      </c>
      <c r="F5501" t="s">
        <v>181</v>
      </c>
      <c r="G5501" t="s">
        <v>179</v>
      </c>
    </row>
    <row r="5502" spans="1:7">
      <c r="A5502">
        <v>2032</v>
      </c>
      <c r="B5502" t="s">
        <v>189</v>
      </c>
      <c r="C5502">
        <v>0</v>
      </c>
      <c r="D5502" t="s">
        <v>184</v>
      </c>
      <c r="E5502" t="s">
        <v>182</v>
      </c>
      <c r="F5502" t="s">
        <v>181</v>
      </c>
      <c r="G5502" t="s">
        <v>179</v>
      </c>
    </row>
    <row r="5503" spans="1:7">
      <c r="A5503">
        <v>2033</v>
      </c>
      <c r="B5503" t="s">
        <v>189</v>
      </c>
      <c r="C5503">
        <v>0</v>
      </c>
      <c r="D5503" t="s">
        <v>184</v>
      </c>
      <c r="E5503" t="s">
        <v>182</v>
      </c>
      <c r="F5503" t="s">
        <v>181</v>
      </c>
      <c r="G5503" t="s">
        <v>179</v>
      </c>
    </row>
    <row r="5504" spans="1:7">
      <c r="A5504">
        <v>2034</v>
      </c>
      <c r="B5504" t="s">
        <v>189</v>
      </c>
      <c r="C5504">
        <v>0</v>
      </c>
      <c r="D5504" t="s">
        <v>184</v>
      </c>
      <c r="E5504" t="s">
        <v>182</v>
      </c>
      <c r="F5504" t="s">
        <v>181</v>
      </c>
      <c r="G5504" t="s">
        <v>179</v>
      </c>
    </row>
    <row r="5505" spans="1:7">
      <c r="A5505">
        <v>2035</v>
      </c>
      <c r="B5505" t="s">
        <v>189</v>
      </c>
      <c r="C5505">
        <v>0</v>
      </c>
      <c r="D5505" t="s">
        <v>184</v>
      </c>
      <c r="E5505" t="s">
        <v>182</v>
      </c>
      <c r="F5505" t="s">
        <v>181</v>
      </c>
      <c r="G5505" t="s">
        <v>179</v>
      </c>
    </row>
    <row r="5506" spans="1:7">
      <c r="A5506">
        <v>2020</v>
      </c>
      <c r="B5506" t="s">
        <v>190</v>
      </c>
      <c r="C5506">
        <v>13297.03</v>
      </c>
      <c r="D5506" t="s">
        <v>184</v>
      </c>
      <c r="E5506" t="s">
        <v>182</v>
      </c>
      <c r="F5506" t="s">
        <v>181</v>
      </c>
      <c r="G5506" t="s">
        <v>179</v>
      </c>
    </row>
    <row r="5507" spans="1:7">
      <c r="A5507">
        <v>2021</v>
      </c>
      <c r="B5507" t="s">
        <v>190</v>
      </c>
      <c r="C5507">
        <v>11277.5</v>
      </c>
      <c r="D5507" t="s">
        <v>184</v>
      </c>
      <c r="E5507" t="s">
        <v>182</v>
      </c>
      <c r="F5507" t="s">
        <v>181</v>
      </c>
      <c r="G5507" t="s">
        <v>179</v>
      </c>
    </row>
    <row r="5508" spans="1:7">
      <c r="A5508">
        <v>2022</v>
      </c>
      <c r="B5508" t="s">
        <v>190</v>
      </c>
      <c r="C5508">
        <v>11277.5</v>
      </c>
      <c r="D5508" t="s">
        <v>184</v>
      </c>
      <c r="E5508" t="s">
        <v>182</v>
      </c>
      <c r="F5508" t="s">
        <v>181</v>
      </c>
      <c r="G5508" t="s">
        <v>179</v>
      </c>
    </row>
    <row r="5509" spans="1:7">
      <c r="A5509">
        <v>2023</v>
      </c>
      <c r="B5509" t="s">
        <v>190</v>
      </c>
      <c r="C5509">
        <v>11268.4</v>
      </c>
      <c r="D5509" t="s">
        <v>184</v>
      </c>
      <c r="E5509" t="s">
        <v>182</v>
      </c>
      <c r="F5509" t="s">
        <v>181</v>
      </c>
      <c r="G5509" t="s">
        <v>179</v>
      </c>
    </row>
    <row r="5510" spans="1:7">
      <c r="A5510">
        <v>2024</v>
      </c>
      <c r="B5510" t="s">
        <v>190</v>
      </c>
      <c r="C5510">
        <v>11268.4</v>
      </c>
      <c r="D5510" t="s">
        <v>184</v>
      </c>
      <c r="E5510" t="s">
        <v>182</v>
      </c>
      <c r="F5510" t="s">
        <v>181</v>
      </c>
      <c r="G5510" t="s">
        <v>179</v>
      </c>
    </row>
    <row r="5511" spans="1:7">
      <c r="A5511">
        <v>2025</v>
      </c>
      <c r="B5511" t="s">
        <v>190</v>
      </c>
      <c r="C5511">
        <v>10829.6</v>
      </c>
      <c r="D5511" t="s">
        <v>184</v>
      </c>
      <c r="E5511" t="s">
        <v>182</v>
      </c>
      <c r="F5511" t="s">
        <v>181</v>
      </c>
      <c r="G5511" t="s">
        <v>179</v>
      </c>
    </row>
    <row r="5512" spans="1:7">
      <c r="A5512">
        <v>2026</v>
      </c>
      <c r="B5512" t="s">
        <v>190</v>
      </c>
      <c r="C5512">
        <v>10829.6</v>
      </c>
      <c r="D5512" t="s">
        <v>184</v>
      </c>
      <c r="E5512" t="s">
        <v>182</v>
      </c>
      <c r="F5512" t="s">
        <v>181</v>
      </c>
      <c r="G5512" t="s">
        <v>179</v>
      </c>
    </row>
    <row r="5513" spans="1:7">
      <c r="A5513">
        <v>2027</v>
      </c>
      <c r="B5513" t="s">
        <v>190</v>
      </c>
      <c r="C5513">
        <v>7712.85</v>
      </c>
      <c r="D5513" t="s">
        <v>184</v>
      </c>
      <c r="E5513" t="s">
        <v>182</v>
      </c>
      <c r="F5513" t="s">
        <v>181</v>
      </c>
      <c r="G5513" t="s">
        <v>179</v>
      </c>
    </row>
    <row r="5514" spans="1:7">
      <c r="A5514">
        <v>2028</v>
      </c>
      <c r="B5514" t="s">
        <v>190</v>
      </c>
      <c r="C5514">
        <v>7712.85</v>
      </c>
      <c r="D5514" t="s">
        <v>184</v>
      </c>
      <c r="E5514" t="s">
        <v>182</v>
      </c>
      <c r="F5514" t="s">
        <v>181</v>
      </c>
      <c r="G5514" t="s">
        <v>179</v>
      </c>
    </row>
    <row r="5515" spans="1:7">
      <c r="A5515">
        <v>2029</v>
      </c>
      <c r="B5515" t="s">
        <v>190</v>
      </c>
      <c r="C5515">
        <v>5627.66</v>
      </c>
      <c r="D5515" t="s">
        <v>184</v>
      </c>
      <c r="E5515" t="s">
        <v>182</v>
      </c>
      <c r="F5515" t="s">
        <v>181</v>
      </c>
      <c r="G5515" t="s">
        <v>179</v>
      </c>
    </row>
    <row r="5516" spans="1:7">
      <c r="A5516">
        <v>2030</v>
      </c>
      <c r="B5516" t="s">
        <v>190</v>
      </c>
      <c r="C5516">
        <v>5627.66</v>
      </c>
      <c r="D5516" t="s">
        <v>184</v>
      </c>
      <c r="E5516" t="s">
        <v>182</v>
      </c>
      <c r="F5516" t="s">
        <v>181</v>
      </c>
      <c r="G5516" t="s">
        <v>179</v>
      </c>
    </row>
    <row r="5517" spans="1:7">
      <c r="A5517">
        <v>2031</v>
      </c>
      <c r="B5517" t="s">
        <v>190</v>
      </c>
      <c r="C5517">
        <v>9155.01</v>
      </c>
      <c r="D5517" t="s">
        <v>184</v>
      </c>
      <c r="E5517" t="s">
        <v>182</v>
      </c>
      <c r="F5517" t="s">
        <v>181</v>
      </c>
      <c r="G5517" t="s">
        <v>179</v>
      </c>
    </row>
    <row r="5518" spans="1:7">
      <c r="A5518">
        <v>2032</v>
      </c>
      <c r="B5518" t="s">
        <v>190</v>
      </c>
      <c r="C5518">
        <v>9155.01</v>
      </c>
      <c r="D5518" t="s">
        <v>184</v>
      </c>
      <c r="E5518" t="s">
        <v>182</v>
      </c>
      <c r="F5518" t="s">
        <v>181</v>
      </c>
      <c r="G5518" t="s">
        <v>179</v>
      </c>
    </row>
    <row r="5519" spans="1:7">
      <c r="A5519">
        <v>2033</v>
      </c>
      <c r="B5519" t="s">
        <v>190</v>
      </c>
      <c r="C5519">
        <v>8447.31</v>
      </c>
      <c r="D5519" t="s">
        <v>184</v>
      </c>
      <c r="E5519" t="s">
        <v>182</v>
      </c>
      <c r="F5519" t="s">
        <v>181</v>
      </c>
      <c r="G5519" t="s">
        <v>179</v>
      </c>
    </row>
    <row r="5520" spans="1:7">
      <c r="A5520">
        <v>2034</v>
      </c>
      <c r="B5520" t="s">
        <v>190</v>
      </c>
      <c r="C5520">
        <v>8447.31</v>
      </c>
      <c r="D5520" t="s">
        <v>184</v>
      </c>
      <c r="E5520" t="s">
        <v>182</v>
      </c>
      <c r="F5520" t="s">
        <v>181</v>
      </c>
      <c r="G5520" t="s">
        <v>179</v>
      </c>
    </row>
    <row r="5521" spans="1:7">
      <c r="A5521">
        <v>2035</v>
      </c>
      <c r="B5521" t="s">
        <v>190</v>
      </c>
      <c r="C5521">
        <v>8447.31</v>
      </c>
      <c r="D5521" t="s">
        <v>184</v>
      </c>
      <c r="E5521" t="s">
        <v>182</v>
      </c>
      <c r="F5521" t="s">
        <v>181</v>
      </c>
      <c r="G5521" t="s">
        <v>179</v>
      </c>
    </row>
    <row r="5522" spans="1:7">
      <c r="A5522">
        <v>2020</v>
      </c>
      <c r="B5522" t="s">
        <v>191</v>
      </c>
      <c r="C5522">
        <v>0</v>
      </c>
      <c r="D5522" t="s">
        <v>184</v>
      </c>
      <c r="E5522" t="s">
        <v>182</v>
      </c>
      <c r="F5522" t="s">
        <v>181</v>
      </c>
      <c r="G5522" t="s">
        <v>179</v>
      </c>
    </row>
    <row r="5523" spans="1:7">
      <c r="A5523">
        <v>2021</v>
      </c>
      <c r="B5523" t="s">
        <v>191</v>
      </c>
      <c r="C5523">
        <v>0</v>
      </c>
      <c r="D5523" t="s">
        <v>184</v>
      </c>
      <c r="E5523" t="s">
        <v>182</v>
      </c>
      <c r="F5523" t="s">
        <v>181</v>
      </c>
      <c r="G5523" t="s">
        <v>179</v>
      </c>
    </row>
    <row r="5524" spans="1:7">
      <c r="A5524">
        <v>2022</v>
      </c>
      <c r="B5524" t="s">
        <v>191</v>
      </c>
      <c r="C5524">
        <v>0</v>
      </c>
      <c r="D5524" t="s">
        <v>184</v>
      </c>
      <c r="E5524" t="s">
        <v>182</v>
      </c>
      <c r="F5524" t="s">
        <v>181</v>
      </c>
      <c r="G5524" t="s">
        <v>179</v>
      </c>
    </row>
    <row r="5525" spans="1:7">
      <c r="A5525">
        <v>2023</v>
      </c>
      <c r="B5525" t="s">
        <v>191</v>
      </c>
      <c r="C5525">
        <v>0</v>
      </c>
      <c r="D5525" t="s">
        <v>184</v>
      </c>
      <c r="E5525" t="s">
        <v>182</v>
      </c>
      <c r="F5525" t="s">
        <v>181</v>
      </c>
      <c r="G5525" t="s">
        <v>179</v>
      </c>
    </row>
    <row r="5526" spans="1:7">
      <c r="A5526">
        <v>2024</v>
      </c>
      <c r="B5526" t="s">
        <v>191</v>
      </c>
      <c r="C5526">
        <v>0</v>
      </c>
      <c r="D5526" t="s">
        <v>184</v>
      </c>
      <c r="E5526" t="s">
        <v>182</v>
      </c>
      <c r="F5526" t="s">
        <v>181</v>
      </c>
      <c r="G5526" t="s">
        <v>179</v>
      </c>
    </row>
    <row r="5527" spans="1:7">
      <c r="A5527">
        <v>2025</v>
      </c>
      <c r="B5527" t="s">
        <v>191</v>
      </c>
      <c r="C5527">
        <v>0</v>
      </c>
      <c r="D5527" t="s">
        <v>184</v>
      </c>
      <c r="E5527" t="s">
        <v>182</v>
      </c>
      <c r="F5527" t="s">
        <v>181</v>
      </c>
      <c r="G5527" t="s">
        <v>179</v>
      </c>
    </row>
    <row r="5528" spans="1:7">
      <c r="A5528">
        <v>2026</v>
      </c>
      <c r="B5528" t="s">
        <v>191</v>
      </c>
      <c r="C5528">
        <v>0</v>
      </c>
      <c r="D5528" t="s">
        <v>184</v>
      </c>
      <c r="E5528" t="s">
        <v>182</v>
      </c>
      <c r="F5528" t="s">
        <v>181</v>
      </c>
      <c r="G5528" t="s">
        <v>179</v>
      </c>
    </row>
    <row r="5529" spans="1:7">
      <c r="A5529">
        <v>2027</v>
      </c>
      <c r="B5529" t="s">
        <v>191</v>
      </c>
      <c r="C5529">
        <v>0</v>
      </c>
      <c r="D5529" t="s">
        <v>184</v>
      </c>
      <c r="E5529" t="s">
        <v>182</v>
      </c>
      <c r="F5529" t="s">
        <v>181</v>
      </c>
      <c r="G5529" t="s">
        <v>179</v>
      </c>
    </row>
    <row r="5530" spans="1:7">
      <c r="A5530">
        <v>2028</v>
      </c>
      <c r="B5530" t="s">
        <v>191</v>
      </c>
      <c r="C5530">
        <v>0</v>
      </c>
      <c r="D5530" t="s">
        <v>184</v>
      </c>
      <c r="E5530" t="s">
        <v>182</v>
      </c>
      <c r="F5530" t="s">
        <v>181</v>
      </c>
      <c r="G5530" t="s">
        <v>179</v>
      </c>
    </row>
    <row r="5531" spans="1:7">
      <c r="A5531">
        <v>2029</v>
      </c>
      <c r="B5531" t="s">
        <v>191</v>
      </c>
      <c r="C5531">
        <v>0</v>
      </c>
      <c r="D5531" t="s">
        <v>184</v>
      </c>
      <c r="E5531" t="s">
        <v>182</v>
      </c>
      <c r="F5531" t="s">
        <v>181</v>
      </c>
      <c r="G5531" t="s">
        <v>179</v>
      </c>
    </row>
    <row r="5532" spans="1:7">
      <c r="A5532">
        <v>2030</v>
      </c>
      <c r="B5532" t="s">
        <v>191</v>
      </c>
      <c r="C5532">
        <v>0</v>
      </c>
      <c r="D5532" t="s">
        <v>184</v>
      </c>
      <c r="E5532" t="s">
        <v>182</v>
      </c>
      <c r="F5532" t="s">
        <v>181</v>
      </c>
      <c r="G5532" t="s">
        <v>179</v>
      </c>
    </row>
    <row r="5533" spans="1:7">
      <c r="A5533">
        <v>2031</v>
      </c>
      <c r="B5533" t="s">
        <v>191</v>
      </c>
      <c r="C5533">
        <v>0</v>
      </c>
      <c r="D5533" t="s">
        <v>184</v>
      </c>
      <c r="E5533" t="s">
        <v>182</v>
      </c>
      <c r="F5533" t="s">
        <v>181</v>
      </c>
      <c r="G5533" t="s">
        <v>179</v>
      </c>
    </row>
    <row r="5534" spans="1:7">
      <c r="A5534">
        <v>2032</v>
      </c>
      <c r="B5534" t="s">
        <v>191</v>
      </c>
      <c r="C5534">
        <v>0</v>
      </c>
      <c r="D5534" t="s">
        <v>184</v>
      </c>
      <c r="E5534" t="s">
        <v>182</v>
      </c>
      <c r="F5534" t="s">
        <v>181</v>
      </c>
      <c r="G5534" t="s">
        <v>179</v>
      </c>
    </row>
    <row r="5535" spans="1:7">
      <c r="A5535">
        <v>2033</v>
      </c>
      <c r="B5535" t="s">
        <v>191</v>
      </c>
      <c r="C5535">
        <v>0</v>
      </c>
      <c r="D5535" t="s">
        <v>184</v>
      </c>
      <c r="E5535" t="s">
        <v>182</v>
      </c>
      <c r="F5535" t="s">
        <v>181</v>
      </c>
      <c r="G5535" t="s">
        <v>179</v>
      </c>
    </row>
    <row r="5536" spans="1:7">
      <c r="A5536">
        <v>2034</v>
      </c>
      <c r="B5536" t="s">
        <v>191</v>
      </c>
      <c r="C5536">
        <v>0</v>
      </c>
      <c r="D5536" t="s">
        <v>184</v>
      </c>
      <c r="E5536" t="s">
        <v>182</v>
      </c>
      <c r="F5536" t="s">
        <v>181</v>
      </c>
      <c r="G5536" t="s">
        <v>179</v>
      </c>
    </row>
    <row r="5537" spans="1:7">
      <c r="A5537">
        <v>2035</v>
      </c>
      <c r="B5537" t="s">
        <v>191</v>
      </c>
      <c r="C5537">
        <v>0</v>
      </c>
      <c r="D5537" t="s">
        <v>184</v>
      </c>
      <c r="E5537" t="s">
        <v>182</v>
      </c>
      <c r="F5537" t="s">
        <v>181</v>
      </c>
      <c r="G5537" t="s">
        <v>179</v>
      </c>
    </row>
    <row r="5538" spans="1:7">
      <c r="A5538">
        <v>2020</v>
      </c>
      <c r="B5538" t="s">
        <v>192</v>
      </c>
      <c r="C5538">
        <v>1459.71</v>
      </c>
      <c r="D5538" t="s">
        <v>184</v>
      </c>
      <c r="E5538" t="s">
        <v>182</v>
      </c>
      <c r="F5538" t="s">
        <v>181</v>
      </c>
      <c r="G5538" t="s">
        <v>179</v>
      </c>
    </row>
    <row r="5539" spans="1:7">
      <c r="A5539">
        <v>2021</v>
      </c>
      <c r="B5539" t="s">
        <v>192</v>
      </c>
      <c r="C5539">
        <v>19.149999999999999</v>
      </c>
      <c r="D5539" t="s">
        <v>184</v>
      </c>
      <c r="E5539" t="s">
        <v>182</v>
      </c>
      <c r="F5539" t="s">
        <v>181</v>
      </c>
      <c r="G5539" t="s">
        <v>179</v>
      </c>
    </row>
    <row r="5540" spans="1:7">
      <c r="A5540">
        <v>2022</v>
      </c>
      <c r="B5540" t="s">
        <v>192</v>
      </c>
      <c r="C5540">
        <v>19.149999999999999</v>
      </c>
      <c r="D5540" t="s">
        <v>184</v>
      </c>
      <c r="E5540" t="s">
        <v>182</v>
      </c>
      <c r="F5540" t="s">
        <v>181</v>
      </c>
      <c r="G5540" t="s">
        <v>179</v>
      </c>
    </row>
    <row r="5541" spans="1:7">
      <c r="A5541">
        <v>2023</v>
      </c>
      <c r="B5541" t="s">
        <v>192</v>
      </c>
      <c r="C5541">
        <v>121</v>
      </c>
      <c r="D5541" t="s">
        <v>184</v>
      </c>
      <c r="E5541" t="s">
        <v>182</v>
      </c>
      <c r="F5541" t="s">
        <v>181</v>
      </c>
      <c r="G5541" t="s">
        <v>179</v>
      </c>
    </row>
    <row r="5542" spans="1:7">
      <c r="A5542">
        <v>2024</v>
      </c>
      <c r="B5542" t="s">
        <v>192</v>
      </c>
      <c r="C5542">
        <v>121</v>
      </c>
      <c r="D5542" t="s">
        <v>184</v>
      </c>
      <c r="E5542" t="s">
        <v>182</v>
      </c>
      <c r="F5542" t="s">
        <v>181</v>
      </c>
      <c r="G5542" t="s">
        <v>179</v>
      </c>
    </row>
    <row r="5543" spans="1:7">
      <c r="A5543">
        <v>2025</v>
      </c>
      <c r="B5543" t="s">
        <v>192</v>
      </c>
      <c r="C5543">
        <v>19</v>
      </c>
      <c r="D5543" t="s">
        <v>184</v>
      </c>
      <c r="E5543" t="s">
        <v>182</v>
      </c>
      <c r="F5543" t="s">
        <v>181</v>
      </c>
      <c r="G5543" t="s">
        <v>179</v>
      </c>
    </row>
    <row r="5544" spans="1:7">
      <c r="A5544">
        <v>2026</v>
      </c>
      <c r="B5544" t="s">
        <v>192</v>
      </c>
      <c r="C5544">
        <v>19</v>
      </c>
      <c r="D5544" t="s">
        <v>184</v>
      </c>
      <c r="E5544" t="s">
        <v>182</v>
      </c>
      <c r="F5544" t="s">
        <v>181</v>
      </c>
      <c r="G5544" t="s">
        <v>179</v>
      </c>
    </row>
    <row r="5545" spans="1:7">
      <c r="A5545">
        <v>2027</v>
      </c>
      <c r="B5545" t="s">
        <v>192</v>
      </c>
      <c r="C5545">
        <v>0</v>
      </c>
      <c r="D5545" t="s">
        <v>184</v>
      </c>
      <c r="E5545" t="s">
        <v>182</v>
      </c>
      <c r="F5545" t="s">
        <v>181</v>
      </c>
      <c r="G5545" t="s">
        <v>179</v>
      </c>
    </row>
    <row r="5546" spans="1:7">
      <c r="A5546">
        <v>2028</v>
      </c>
      <c r="B5546" t="s">
        <v>192</v>
      </c>
      <c r="C5546">
        <v>0</v>
      </c>
      <c r="D5546" t="s">
        <v>184</v>
      </c>
      <c r="E5546" t="s">
        <v>182</v>
      </c>
      <c r="F5546" t="s">
        <v>181</v>
      </c>
      <c r="G5546" t="s">
        <v>179</v>
      </c>
    </row>
    <row r="5547" spans="1:7">
      <c r="A5547">
        <v>2029</v>
      </c>
      <c r="B5547" t="s">
        <v>192</v>
      </c>
      <c r="C5547">
        <v>0</v>
      </c>
      <c r="D5547" t="s">
        <v>184</v>
      </c>
      <c r="E5547" t="s">
        <v>182</v>
      </c>
      <c r="F5547" t="s">
        <v>181</v>
      </c>
      <c r="G5547" t="s">
        <v>179</v>
      </c>
    </row>
    <row r="5548" spans="1:7">
      <c r="A5548">
        <v>2030</v>
      </c>
      <c r="B5548" t="s">
        <v>192</v>
      </c>
      <c r="C5548">
        <v>0</v>
      </c>
      <c r="D5548" t="s">
        <v>184</v>
      </c>
      <c r="E5548" t="s">
        <v>182</v>
      </c>
      <c r="F5548" t="s">
        <v>181</v>
      </c>
      <c r="G5548" t="s">
        <v>179</v>
      </c>
    </row>
    <row r="5549" spans="1:7">
      <c r="A5549">
        <v>2031</v>
      </c>
      <c r="B5549" t="s">
        <v>192</v>
      </c>
      <c r="C5549">
        <v>0</v>
      </c>
      <c r="D5549" t="s">
        <v>184</v>
      </c>
      <c r="E5549" t="s">
        <v>182</v>
      </c>
      <c r="F5549" t="s">
        <v>181</v>
      </c>
      <c r="G5549" t="s">
        <v>179</v>
      </c>
    </row>
    <row r="5550" spans="1:7">
      <c r="A5550">
        <v>2032</v>
      </c>
      <c r="B5550" t="s">
        <v>192</v>
      </c>
      <c r="C5550">
        <v>0</v>
      </c>
      <c r="D5550" t="s">
        <v>184</v>
      </c>
      <c r="E5550" t="s">
        <v>182</v>
      </c>
      <c r="F5550" t="s">
        <v>181</v>
      </c>
      <c r="G5550" t="s">
        <v>179</v>
      </c>
    </row>
    <row r="5551" spans="1:7">
      <c r="A5551">
        <v>2033</v>
      </c>
      <c r="B5551" t="s">
        <v>192</v>
      </c>
      <c r="C5551">
        <v>0</v>
      </c>
      <c r="D5551" t="s">
        <v>184</v>
      </c>
      <c r="E5551" t="s">
        <v>182</v>
      </c>
      <c r="F5551" t="s">
        <v>181</v>
      </c>
      <c r="G5551" t="s">
        <v>179</v>
      </c>
    </row>
    <row r="5552" spans="1:7">
      <c r="A5552">
        <v>2034</v>
      </c>
      <c r="B5552" t="s">
        <v>192</v>
      </c>
      <c r="C5552">
        <v>0</v>
      </c>
      <c r="D5552" t="s">
        <v>184</v>
      </c>
      <c r="E5552" t="s">
        <v>182</v>
      </c>
      <c r="F5552" t="s">
        <v>181</v>
      </c>
      <c r="G5552" t="s">
        <v>179</v>
      </c>
    </row>
    <row r="5553" spans="1:7">
      <c r="A5553">
        <v>2035</v>
      </c>
      <c r="B5553" t="s">
        <v>192</v>
      </c>
      <c r="C5553">
        <v>0</v>
      </c>
      <c r="D5553" t="s">
        <v>184</v>
      </c>
      <c r="E5553" t="s">
        <v>182</v>
      </c>
      <c r="F5553" t="s">
        <v>181</v>
      </c>
      <c r="G5553" t="s">
        <v>179</v>
      </c>
    </row>
    <row r="5554" spans="1:7">
      <c r="A5554">
        <v>2020</v>
      </c>
      <c r="B5554" t="s">
        <v>193</v>
      </c>
      <c r="C5554">
        <v>232.5</v>
      </c>
      <c r="D5554" t="s">
        <v>184</v>
      </c>
      <c r="E5554" t="s">
        <v>182</v>
      </c>
      <c r="F5554" t="s">
        <v>181</v>
      </c>
      <c r="G5554" t="s">
        <v>179</v>
      </c>
    </row>
    <row r="5555" spans="1:7">
      <c r="A5555">
        <v>2021</v>
      </c>
      <c r="B5555" t="s">
        <v>193</v>
      </c>
      <c r="C5555">
        <v>1100</v>
      </c>
      <c r="D5555" t="s">
        <v>184</v>
      </c>
      <c r="E5555" t="s">
        <v>182</v>
      </c>
      <c r="F5555" t="s">
        <v>181</v>
      </c>
      <c r="G5555" t="s">
        <v>179</v>
      </c>
    </row>
    <row r="5556" spans="1:7">
      <c r="A5556">
        <v>2022</v>
      </c>
      <c r="B5556" t="s">
        <v>193</v>
      </c>
      <c r="C5556">
        <v>1100</v>
      </c>
      <c r="D5556" t="s">
        <v>184</v>
      </c>
      <c r="E5556" t="s">
        <v>182</v>
      </c>
      <c r="F5556" t="s">
        <v>181</v>
      </c>
      <c r="G5556" t="s">
        <v>179</v>
      </c>
    </row>
    <row r="5557" spans="1:7">
      <c r="A5557">
        <v>2023</v>
      </c>
      <c r="B5557" t="s">
        <v>193</v>
      </c>
      <c r="C5557">
        <v>0</v>
      </c>
      <c r="D5557" t="s">
        <v>184</v>
      </c>
      <c r="E5557" t="s">
        <v>182</v>
      </c>
      <c r="F5557" t="s">
        <v>181</v>
      </c>
      <c r="G5557" t="s">
        <v>179</v>
      </c>
    </row>
    <row r="5558" spans="1:7">
      <c r="A5558">
        <v>2024</v>
      </c>
      <c r="B5558" t="s">
        <v>193</v>
      </c>
      <c r="C5558">
        <v>0</v>
      </c>
      <c r="D5558" t="s">
        <v>184</v>
      </c>
      <c r="E5558" t="s">
        <v>182</v>
      </c>
      <c r="F5558" t="s">
        <v>181</v>
      </c>
      <c r="G5558" t="s">
        <v>179</v>
      </c>
    </row>
    <row r="5559" spans="1:7">
      <c r="A5559">
        <v>2025</v>
      </c>
      <c r="B5559" t="s">
        <v>193</v>
      </c>
      <c r="C5559">
        <v>0</v>
      </c>
      <c r="D5559" t="s">
        <v>184</v>
      </c>
      <c r="E5559" t="s">
        <v>182</v>
      </c>
      <c r="F5559" t="s">
        <v>181</v>
      </c>
      <c r="G5559" t="s">
        <v>179</v>
      </c>
    </row>
    <row r="5560" spans="1:7">
      <c r="A5560">
        <v>2026</v>
      </c>
      <c r="B5560" t="s">
        <v>193</v>
      </c>
      <c r="C5560">
        <v>0</v>
      </c>
      <c r="D5560" t="s">
        <v>184</v>
      </c>
      <c r="E5560" t="s">
        <v>182</v>
      </c>
      <c r="F5560" t="s">
        <v>181</v>
      </c>
      <c r="G5560" t="s">
        <v>179</v>
      </c>
    </row>
    <row r="5561" spans="1:7">
      <c r="A5561">
        <v>2027</v>
      </c>
      <c r="B5561" t="s">
        <v>193</v>
      </c>
      <c r="C5561">
        <v>0</v>
      </c>
      <c r="D5561" t="s">
        <v>184</v>
      </c>
      <c r="E5561" t="s">
        <v>182</v>
      </c>
      <c r="F5561" t="s">
        <v>181</v>
      </c>
      <c r="G5561" t="s">
        <v>179</v>
      </c>
    </row>
    <row r="5562" spans="1:7">
      <c r="A5562">
        <v>2028</v>
      </c>
      <c r="B5562" t="s">
        <v>193</v>
      </c>
      <c r="C5562">
        <v>0</v>
      </c>
      <c r="D5562" t="s">
        <v>184</v>
      </c>
      <c r="E5562" t="s">
        <v>182</v>
      </c>
      <c r="F5562" t="s">
        <v>181</v>
      </c>
      <c r="G5562" t="s">
        <v>179</v>
      </c>
    </row>
    <row r="5563" spans="1:7">
      <c r="A5563">
        <v>2029</v>
      </c>
      <c r="B5563" t="s">
        <v>193</v>
      </c>
      <c r="C5563">
        <v>0</v>
      </c>
      <c r="D5563" t="s">
        <v>184</v>
      </c>
      <c r="E5563" t="s">
        <v>182</v>
      </c>
      <c r="F5563" t="s">
        <v>181</v>
      </c>
      <c r="G5563" t="s">
        <v>179</v>
      </c>
    </row>
    <row r="5564" spans="1:7">
      <c r="A5564">
        <v>2030</v>
      </c>
      <c r="B5564" t="s">
        <v>193</v>
      </c>
      <c r="C5564">
        <v>0</v>
      </c>
      <c r="D5564" t="s">
        <v>184</v>
      </c>
      <c r="E5564" t="s">
        <v>182</v>
      </c>
      <c r="F5564" t="s">
        <v>181</v>
      </c>
      <c r="G5564" t="s">
        <v>179</v>
      </c>
    </row>
    <row r="5565" spans="1:7">
      <c r="A5565">
        <v>2031</v>
      </c>
      <c r="B5565" t="s">
        <v>193</v>
      </c>
      <c r="C5565">
        <v>0</v>
      </c>
      <c r="D5565" t="s">
        <v>184</v>
      </c>
      <c r="E5565" t="s">
        <v>182</v>
      </c>
      <c r="F5565" t="s">
        <v>181</v>
      </c>
      <c r="G5565" t="s">
        <v>179</v>
      </c>
    </row>
    <row r="5566" spans="1:7">
      <c r="A5566">
        <v>2032</v>
      </c>
      <c r="B5566" t="s">
        <v>193</v>
      </c>
      <c r="C5566">
        <v>0</v>
      </c>
      <c r="D5566" t="s">
        <v>184</v>
      </c>
      <c r="E5566" t="s">
        <v>182</v>
      </c>
      <c r="F5566" t="s">
        <v>181</v>
      </c>
      <c r="G5566" t="s">
        <v>179</v>
      </c>
    </row>
    <row r="5567" spans="1:7">
      <c r="A5567">
        <v>2033</v>
      </c>
      <c r="B5567" t="s">
        <v>193</v>
      </c>
      <c r="C5567">
        <v>0</v>
      </c>
      <c r="D5567" t="s">
        <v>184</v>
      </c>
      <c r="E5567" t="s">
        <v>182</v>
      </c>
      <c r="F5567" t="s">
        <v>181</v>
      </c>
      <c r="G5567" t="s">
        <v>179</v>
      </c>
    </row>
    <row r="5568" spans="1:7">
      <c r="A5568">
        <v>2034</v>
      </c>
      <c r="B5568" t="s">
        <v>193</v>
      </c>
      <c r="C5568">
        <v>0</v>
      </c>
      <c r="D5568" t="s">
        <v>184</v>
      </c>
      <c r="E5568" t="s">
        <v>182</v>
      </c>
      <c r="F5568" t="s">
        <v>181</v>
      </c>
      <c r="G5568" t="s">
        <v>179</v>
      </c>
    </row>
    <row r="5569" spans="1:7">
      <c r="A5569">
        <v>2035</v>
      </c>
      <c r="B5569" t="s">
        <v>193</v>
      </c>
      <c r="C5569">
        <v>0</v>
      </c>
      <c r="D5569" t="s">
        <v>184</v>
      </c>
      <c r="E5569" t="s">
        <v>182</v>
      </c>
      <c r="F5569" t="s">
        <v>181</v>
      </c>
      <c r="G5569" t="s">
        <v>179</v>
      </c>
    </row>
    <row r="5570" spans="1:7">
      <c r="A5570">
        <v>2020</v>
      </c>
      <c r="B5570" t="s">
        <v>194</v>
      </c>
      <c r="C5570">
        <v>14.85</v>
      </c>
      <c r="D5570" t="s">
        <v>184</v>
      </c>
      <c r="E5570" t="s">
        <v>182</v>
      </c>
      <c r="F5570" t="s">
        <v>181</v>
      </c>
      <c r="G5570" t="s">
        <v>179</v>
      </c>
    </row>
    <row r="5571" spans="1:7">
      <c r="A5571">
        <v>2021</v>
      </c>
      <c r="B5571" t="s">
        <v>194</v>
      </c>
      <c r="C5571">
        <v>0</v>
      </c>
      <c r="D5571" t="s">
        <v>184</v>
      </c>
      <c r="E5571" t="s">
        <v>182</v>
      </c>
      <c r="F5571" t="s">
        <v>181</v>
      </c>
      <c r="G5571" t="s">
        <v>179</v>
      </c>
    </row>
    <row r="5572" spans="1:7">
      <c r="A5572">
        <v>2022</v>
      </c>
      <c r="B5572" t="s">
        <v>194</v>
      </c>
      <c r="C5572">
        <v>0</v>
      </c>
      <c r="D5572" t="s">
        <v>184</v>
      </c>
      <c r="E5572" t="s">
        <v>182</v>
      </c>
      <c r="F5572" t="s">
        <v>181</v>
      </c>
      <c r="G5572" t="s">
        <v>179</v>
      </c>
    </row>
    <row r="5573" spans="1:7">
      <c r="A5573">
        <v>2023</v>
      </c>
      <c r="B5573" t="s">
        <v>194</v>
      </c>
      <c r="C5573">
        <v>0</v>
      </c>
      <c r="D5573" t="s">
        <v>184</v>
      </c>
      <c r="E5573" t="s">
        <v>182</v>
      </c>
      <c r="F5573" t="s">
        <v>181</v>
      </c>
      <c r="G5573" t="s">
        <v>179</v>
      </c>
    </row>
    <row r="5574" spans="1:7">
      <c r="A5574">
        <v>2024</v>
      </c>
      <c r="B5574" t="s">
        <v>194</v>
      </c>
      <c r="C5574">
        <v>0</v>
      </c>
      <c r="D5574" t="s">
        <v>184</v>
      </c>
      <c r="E5574" t="s">
        <v>182</v>
      </c>
      <c r="F5574" t="s">
        <v>181</v>
      </c>
      <c r="G5574" t="s">
        <v>179</v>
      </c>
    </row>
    <row r="5575" spans="1:7">
      <c r="A5575">
        <v>2025</v>
      </c>
      <c r="B5575" t="s">
        <v>194</v>
      </c>
      <c r="C5575">
        <v>0</v>
      </c>
      <c r="D5575" t="s">
        <v>184</v>
      </c>
      <c r="E5575" t="s">
        <v>182</v>
      </c>
      <c r="F5575" t="s">
        <v>181</v>
      </c>
      <c r="G5575" t="s">
        <v>179</v>
      </c>
    </row>
    <row r="5576" spans="1:7">
      <c r="A5576">
        <v>2026</v>
      </c>
      <c r="B5576" t="s">
        <v>194</v>
      </c>
      <c r="C5576">
        <v>0</v>
      </c>
      <c r="D5576" t="s">
        <v>184</v>
      </c>
      <c r="E5576" t="s">
        <v>182</v>
      </c>
      <c r="F5576" t="s">
        <v>181</v>
      </c>
      <c r="G5576" t="s">
        <v>179</v>
      </c>
    </row>
    <row r="5577" spans="1:7">
      <c r="A5577">
        <v>2027</v>
      </c>
      <c r="B5577" t="s">
        <v>194</v>
      </c>
      <c r="C5577">
        <v>0</v>
      </c>
      <c r="D5577" t="s">
        <v>184</v>
      </c>
      <c r="E5577" t="s">
        <v>182</v>
      </c>
      <c r="F5577" t="s">
        <v>181</v>
      </c>
      <c r="G5577" t="s">
        <v>179</v>
      </c>
    </row>
    <row r="5578" spans="1:7">
      <c r="A5578">
        <v>2028</v>
      </c>
      <c r="B5578" t="s">
        <v>194</v>
      </c>
      <c r="C5578">
        <v>0</v>
      </c>
      <c r="D5578" t="s">
        <v>184</v>
      </c>
      <c r="E5578" t="s">
        <v>182</v>
      </c>
      <c r="F5578" t="s">
        <v>181</v>
      </c>
      <c r="G5578" t="s">
        <v>179</v>
      </c>
    </row>
    <row r="5579" spans="1:7">
      <c r="A5579">
        <v>2029</v>
      </c>
      <c r="B5579" t="s">
        <v>194</v>
      </c>
      <c r="C5579">
        <v>0</v>
      </c>
      <c r="D5579" t="s">
        <v>184</v>
      </c>
      <c r="E5579" t="s">
        <v>182</v>
      </c>
      <c r="F5579" t="s">
        <v>181</v>
      </c>
      <c r="G5579" t="s">
        <v>179</v>
      </c>
    </row>
    <row r="5580" spans="1:7">
      <c r="A5580">
        <v>2030</v>
      </c>
      <c r="B5580" t="s">
        <v>194</v>
      </c>
      <c r="C5580">
        <v>0</v>
      </c>
      <c r="D5580" t="s">
        <v>184</v>
      </c>
      <c r="E5580" t="s">
        <v>182</v>
      </c>
      <c r="F5580" t="s">
        <v>181</v>
      </c>
      <c r="G5580" t="s">
        <v>179</v>
      </c>
    </row>
    <row r="5581" spans="1:7">
      <c r="A5581">
        <v>2031</v>
      </c>
      <c r="B5581" t="s">
        <v>194</v>
      </c>
      <c r="C5581">
        <v>0</v>
      </c>
      <c r="D5581" t="s">
        <v>184</v>
      </c>
      <c r="E5581" t="s">
        <v>182</v>
      </c>
      <c r="F5581" t="s">
        <v>181</v>
      </c>
      <c r="G5581" t="s">
        <v>179</v>
      </c>
    </row>
    <row r="5582" spans="1:7">
      <c r="A5582">
        <v>2032</v>
      </c>
      <c r="B5582" t="s">
        <v>194</v>
      </c>
      <c r="C5582">
        <v>0</v>
      </c>
      <c r="D5582" t="s">
        <v>184</v>
      </c>
      <c r="E5582" t="s">
        <v>182</v>
      </c>
      <c r="F5582" t="s">
        <v>181</v>
      </c>
      <c r="G5582" t="s">
        <v>179</v>
      </c>
    </row>
    <row r="5583" spans="1:7">
      <c r="A5583">
        <v>2033</v>
      </c>
      <c r="B5583" t="s">
        <v>194</v>
      </c>
      <c r="C5583">
        <v>0</v>
      </c>
      <c r="D5583" t="s">
        <v>184</v>
      </c>
      <c r="E5583" t="s">
        <v>182</v>
      </c>
      <c r="F5583" t="s">
        <v>181</v>
      </c>
      <c r="G5583" t="s">
        <v>179</v>
      </c>
    </row>
    <row r="5584" spans="1:7">
      <c r="A5584">
        <v>2034</v>
      </c>
      <c r="B5584" t="s">
        <v>194</v>
      </c>
      <c r="C5584">
        <v>0</v>
      </c>
      <c r="D5584" t="s">
        <v>184</v>
      </c>
      <c r="E5584" t="s">
        <v>182</v>
      </c>
      <c r="F5584" t="s">
        <v>181</v>
      </c>
      <c r="G5584" t="s">
        <v>179</v>
      </c>
    </row>
    <row r="5585" spans="1:7">
      <c r="A5585">
        <v>2035</v>
      </c>
      <c r="B5585" t="s">
        <v>194</v>
      </c>
      <c r="C5585">
        <v>0</v>
      </c>
      <c r="D5585" t="s">
        <v>184</v>
      </c>
      <c r="E5585" t="s">
        <v>182</v>
      </c>
      <c r="F5585" t="s">
        <v>181</v>
      </c>
      <c r="G5585" t="s">
        <v>179</v>
      </c>
    </row>
    <row r="5586" spans="1:7">
      <c r="A5586">
        <v>2020</v>
      </c>
      <c r="B5586" t="s">
        <v>195</v>
      </c>
      <c r="C5586">
        <v>9632.0400000000009</v>
      </c>
      <c r="D5586" t="s">
        <v>184</v>
      </c>
      <c r="E5586" t="s">
        <v>182</v>
      </c>
      <c r="F5586" t="s">
        <v>181</v>
      </c>
      <c r="G5586" t="s">
        <v>179</v>
      </c>
    </row>
    <row r="5587" spans="1:7">
      <c r="A5587">
        <v>2021</v>
      </c>
      <c r="B5587" t="s">
        <v>195</v>
      </c>
      <c r="C5587">
        <v>1537.7</v>
      </c>
      <c r="D5587" t="s">
        <v>184</v>
      </c>
      <c r="E5587" t="s">
        <v>182</v>
      </c>
      <c r="F5587" t="s">
        <v>181</v>
      </c>
      <c r="G5587" t="s">
        <v>179</v>
      </c>
    </row>
    <row r="5588" spans="1:7">
      <c r="A5588">
        <v>2022</v>
      </c>
      <c r="B5588" t="s">
        <v>195</v>
      </c>
      <c r="C5588">
        <v>1537.7</v>
      </c>
      <c r="D5588" t="s">
        <v>184</v>
      </c>
      <c r="E5588" t="s">
        <v>182</v>
      </c>
      <c r="F5588" t="s">
        <v>181</v>
      </c>
      <c r="G5588" t="s">
        <v>179</v>
      </c>
    </row>
    <row r="5589" spans="1:7">
      <c r="A5589">
        <v>2023</v>
      </c>
      <c r="B5589" t="s">
        <v>195</v>
      </c>
      <c r="C5589">
        <v>4192.5200000000004</v>
      </c>
      <c r="D5589" t="s">
        <v>184</v>
      </c>
      <c r="E5589" t="s">
        <v>182</v>
      </c>
      <c r="F5589" t="s">
        <v>181</v>
      </c>
      <c r="G5589" t="s">
        <v>179</v>
      </c>
    </row>
    <row r="5590" spans="1:7">
      <c r="A5590">
        <v>2024</v>
      </c>
      <c r="B5590" t="s">
        <v>195</v>
      </c>
      <c r="C5590">
        <v>4192.5200000000004</v>
      </c>
      <c r="D5590" t="s">
        <v>184</v>
      </c>
      <c r="E5590" t="s">
        <v>182</v>
      </c>
      <c r="F5590" t="s">
        <v>181</v>
      </c>
      <c r="G5590" t="s">
        <v>179</v>
      </c>
    </row>
    <row r="5591" spans="1:7">
      <c r="A5591">
        <v>2025</v>
      </c>
      <c r="B5591" t="s">
        <v>195</v>
      </c>
      <c r="C5591">
        <v>3568.77</v>
      </c>
      <c r="D5591" t="s">
        <v>184</v>
      </c>
      <c r="E5591" t="s">
        <v>182</v>
      </c>
      <c r="F5591" t="s">
        <v>181</v>
      </c>
      <c r="G5591" t="s">
        <v>179</v>
      </c>
    </row>
    <row r="5592" spans="1:7">
      <c r="A5592">
        <v>2026</v>
      </c>
      <c r="B5592" t="s">
        <v>195</v>
      </c>
      <c r="C5592">
        <v>3568.77</v>
      </c>
      <c r="D5592" t="s">
        <v>184</v>
      </c>
      <c r="E5592" t="s">
        <v>182</v>
      </c>
      <c r="F5592" t="s">
        <v>181</v>
      </c>
      <c r="G5592" t="s">
        <v>179</v>
      </c>
    </row>
    <row r="5593" spans="1:7">
      <c r="A5593">
        <v>2027</v>
      </c>
      <c r="B5593" t="s">
        <v>195</v>
      </c>
      <c r="C5593">
        <v>4656.1000000000004</v>
      </c>
      <c r="D5593" t="s">
        <v>184</v>
      </c>
      <c r="E5593" t="s">
        <v>182</v>
      </c>
      <c r="F5593" t="s">
        <v>181</v>
      </c>
      <c r="G5593" t="s">
        <v>179</v>
      </c>
    </row>
    <row r="5594" spans="1:7">
      <c r="A5594">
        <v>2028</v>
      </c>
      <c r="B5594" t="s">
        <v>195</v>
      </c>
      <c r="C5594">
        <v>4656.1000000000004</v>
      </c>
      <c r="D5594" t="s">
        <v>184</v>
      </c>
      <c r="E5594" t="s">
        <v>182</v>
      </c>
      <c r="F5594" t="s">
        <v>181</v>
      </c>
      <c r="G5594" t="s">
        <v>179</v>
      </c>
    </row>
    <row r="5595" spans="1:7">
      <c r="A5595">
        <v>2029</v>
      </c>
      <c r="B5595" t="s">
        <v>195</v>
      </c>
      <c r="C5595">
        <v>10416.1</v>
      </c>
      <c r="D5595" t="s">
        <v>184</v>
      </c>
      <c r="E5595" t="s">
        <v>182</v>
      </c>
      <c r="F5595" t="s">
        <v>181</v>
      </c>
      <c r="G5595" t="s">
        <v>179</v>
      </c>
    </row>
    <row r="5596" spans="1:7">
      <c r="A5596">
        <v>2030</v>
      </c>
      <c r="B5596" t="s">
        <v>195</v>
      </c>
      <c r="C5596">
        <v>10416.1</v>
      </c>
      <c r="D5596" t="s">
        <v>184</v>
      </c>
      <c r="E5596" t="s">
        <v>182</v>
      </c>
      <c r="F5596" t="s">
        <v>181</v>
      </c>
      <c r="G5596" t="s">
        <v>179</v>
      </c>
    </row>
    <row r="5597" spans="1:7">
      <c r="A5597">
        <v>2031</v>
      </c>
      <c r="B5597" t="s">
        <v>195</v>
      </c>
      <c r="C5597">
        <v>5599.25</v>
      </c>
      <c r="D5597" t="s">
        <v>184</v>
      </c>
      <c r="E5597" t="s">
        <v>182</v>
      </c>
      <c r="F5597" t="s">
        <v>181</v>
      </c>
      <c r="G5597" t="s">
        <v>179</v>
      </c>
    </row>
    <row r="5598" spans="1:7">
      <c r="A5598">
        <v>2032</v>
      </c>
      <c r="B5598" t="s">
        <v>195</v>
      </c>
      <c r="C5598">
        <v>5599.25</v>
      </c>
      <c r="D5598" t="s">
        <v>184</v>
      </c>
      <c r="E5598" t="s">
        <v>182</v>
      </c>
      <c r="F5598" t="s">
        <v>181</v>
      </c>
      <c r="G5598" t="s">
        <v>179</v>
      </c>
    </row>
    <row r="5599" spans="1:7">
      <c r="A5599">
        <v>2033</v>
      </c>
      <c r="B5599" t="s">
        <v>195</v>
      </c>
      <c r="C5599">
        <v>5561.57</v>
      </c>
      <c r="D5599" t="s">
        <v>184</v>
      </c>
      <c r="E5599" t="s">
        <v>182</v>
      </c>
      <c r="F5599" t="s">
        <v>181</v>
      </c>
      <c r="G5599" t="s">
        <v>179</v>
      </c>
    </row>
    <row r="5600" spans="1:7">
      <c r="A5600">
        <v>2034</v>
      </c>
      <c r="B5600" t="s">
        <v>195</v>
      </c>
      <c r="C5600">
        <v>5561.57</v>
      </c>
      <c r="D5600" t="s">
        <v>184</v>
      </c>
      <c r="E5600" t="s">
        <v>182</v>
      </c>
      <c r="F5600" t="s">
        <v>181</v>
      </c>
      <c r="G5600" t="s">
        <v>179</v>
      </c>
    </row>
    <row r="5601" spans="1:7">
      <c r="A5601">
        <v>2035</v>
      </c>
      <c r="B5601" t="s">
        <v>195</v>
      </c>
      <c r="C5601">
        <v>5561.57</v>
      </c>
      <c r="D5601" t="s">
        <v>184</v>
      </c>
      <c r="E5601" t="s">
        <v>182</v>
      </c>
      <c r="F5601" t="s">
        <v>181</v>
      </c>
      <c r="G5601" t="s">
        <v>179</v>
      </c>
    </row>
    <row r="5602" spans="1:7">
      <c r="A5602">
        <v>2020</v>
      </c>
      <c r="B5602" t="s">
        <v>196</v>
      </c>
      <c r="C5602">
        <v>8219.09</v>
      </c>
      <c r="D5602" t="s">
        <v>184</v>
      </c>
      <c r="E5602" t="s">
        <v>182</v>
      </c>
      <c r="F5602" t="s">
        <v>181</v>
      </c>
      <c r="G5602" t="s">
        <v>179</v>
      </c>
    </row>
    <row r="5603" spans="1:7">
      <c r="A5603">
        <v>2021</v>
      </c>
      <c r="B5603" t="s">
        <v>196</v>
      </c>
      <c r="C5603">
        <v>1747.83</v>
      </c>
      <c r="D5603" t="s">
        <v>184</v>
      </c>
      <c r="E5603" t="s">
        <v>182</v>
      </c>
      <c r="F5603" t="s">
        <v>181</v>
      </c>
      <c r="G5603" t="s">
        <v>179</v>
      </c>
    </row>
    <row r="5604" spans="1:7">
      <c r="A5604">
        <v>2022</v>
      </c>
      <c r="B5604" t="s">
        <v>196</v>
      </c>
      <c r="C5604">
        <v>1747.83</v>
      </c>
      <c r="D5604" t="s">
        <v>184</v>
      </c>
      <c r="E5604" t="s">
        <v>182</v>
      </c>
      <c r="F5604" t="s">
        <v>181</v>
      </c>
      <c r="G5604" t="s">
        <v>179</v>
      </c>
    </row>
    <row r="5605" spans="1:7">
      <c r="A5605">
        <v>2023</v>
      </c>
      <c r="B5605" t="s">
        <v>196</v>
      </c>
      <c r="C5605">
        <v>2124.15</v>
      </c>
      <c r="D5605" t="s">
        <v>184</v>
      </c>
      <c r="E5605" t="s">
        <v>182</v>
      </c>
      <c r="F5605" t="s">
        <v>181</v>
      </c>
      <c r="G5605" t="s">
        <v>179</v>
      </c>
    </row>
    <row r="5606" spans="1:7">
      <c r="A5606">
        <v>2024</v>
      </c>
      <c r="B5606" t="s">
        <v>196</v>
      </c>
      <c r="C5606">
        <v>2124.15</v>
      </c>
      <c r="D5606" t="s">
        <v>184</v>
      </c>
      <c r="E5606" t="s">
        <v>182</v>
      </c>
      <c r="F5606" t="s">
        <v>181</v>
      </c>
      <c r="G5606" t="s">
        <v>179</v>
      </c>
    </row>
    <row r="5607" spans="1:7">
      <c r="A5607">
        <v>2025</v>
      </c>
      <c r="B5607" t="s">
        <v>196</v>
      </c>
      <c r="C5607">
        <v>1743.05</v>
      </c>
      <c r="D5607" t="s">
        <v>184</v>
      </c>
      <c r="E5607" t="s">
        <v>182</v>
      </c>
      <c r="F5607" t="s">
        <v>181</v>
      </c>
      <c r="G5607" t="s">
        <v>179</v>
      </c>
    </row>
    <row r="5608" spans="1:7">
      <c r="A5608">
        <v>2026</v>
      </c>
      <c r="B5608" t="s">
        <v>196</v>
      </c>
      <c r="C5608">
        <v>1743.05</v>
      </c>
      <c r="D5608" t="s">
        <v>184</v>
      </c>
      <c r="E5608" t="s">
        <v>182</v>
      </c>
      <c r="F5608" t="s">
        <v>181</v>
      </c>
      <c r="G5608" t="s">
        <v>179</v>
      </c>
    </row>
    <row r="5609" spans="1:7">
      <c r="A5609">
        <v>2027</v>
      </c>
      <c r="B5609" t="s">
        <v>196</v>
      </c>
      <c r="C5609">
        <v>2193.06</v>
      </c>
      <c r="D5609" t="s">
        <v>184</v>
      </c>
      <c r="E5609" t="s">
        <v>182</v>
      </c>
      <c r="F5609" t="s">
        <v>181</v>
      </c>
      <c r="G5609" t="s">
        <v>179</v>
      </c>
    </row>
    <row r="5610" spans="1:7">
      <c r="A5610">
        <v>2028</v>
      </c>
      <c r="B5610" t="s">
        <v>196</v>
      </c>
      <c r="C5610">
        <v>2193.06</v>
      </c>
      <c r="D5610" t="s">
        <v>184</v>
      </c>
      <c r="E5610" t="s">
        <v>182</v>
      </c>
      <c r="F5610" t="s">
        <v>181</v>
      </c>
      <c r="G5610" t="s">
        <v>179</v>
      </c>
    </row>
    <row r="5611" spans="1:7">
      <c r="A5611">
        <v>2029</v>
      </c>
      <c r="B5611" t="s">
        <v>196</v>
      </c>
      <c r="C5611">
        <v>8107.23</v>
      </c>
      <c r="D5611" t="s">
        <v>184</v>
      </c>
      <c r="E5611" t="s">
        <v>182</v>
      </c>
      <c r="F5611" t="s">
        <v>181</v>
      </c>
      <c r="G5611" t="s">
        <v>179</v>
      </c>
    </row>
    <row r="5612" spans="1:7">
      <c r="A5612">
        <v>2030</v>
      </c>
      <c r="B5612" t="s">
        <v>196</v>
      </c>
      <c r="C5612">
        <v>8107.23</v>
      </c>
      <c r="D5612" t="s">
        <v>184</v>
      </c>
      <c r="E5612" t="s">
        <v>182</v>
      </c>
      <c r="F5612" t="s">
        <v>181</v>
      </c>
      <c r="G5612" t="s">
        <v>179</v>
      </c>
    </row>
    <row r="5613" spans="1:7">
      <c r="A5613">
        <v>2031</v>
      </c>
      <c r="B5613" t="s">
        <v>196</v>
      </c>
      <c r="C5613">
        <v>3001.81</v>
      </c>
      <c r="D5613" t="s">
        <v>184</v>
      </c>
      <c r="E5613" t="s">
        <v>182</v>
      </c>
      <c r="F5613" t="s">
        <v>181</v>
      </c>
      <c r="G5613" t="s">
        <v>179</v>
      </c>
    </row>
    <row r="5614" spans="1:7">
      <c r="A5614">
        <v>2032</v>
      </c>
      <c r="B5614" t="s">
        <v>196</v>
      </c>
      <c r="C5614">
        <v>3001.81</v>
      </c>
      <c r="D5614" t="s">
        <v>184</v>
      </c>
      <c r="E5614" t="s">
        <v>182</v>
      </c>
      <c r="F5614" t="s">
        <v>181</v>
      </c>
      <c r="G5614" t="s">
        <v>179</v>
      </c>
    </row>
    <row r="5615" spans="1:7">
      <c r="A5615">
        <v>2033</v>
      </c>
      <c r="B5615" t="s">
        <v>196</v>
      </c>
      <c r="C5615">
        <v>3453.73</v>
      </c>
      <c r="D5615" t="s">
        <v>184</v>
      </c>
      <c r="E5615" t="s">
        <v>182</v>
      </c>
      <c r="F5615" t="s">
        <v>181</v>
      </c>
      <c r="G5615" t="s">
        <v>179</v>
      </c>
    </row>
    <row r="5616" spans="1:7">
      <c r="A5616">
        <v>2034</v>
      </c>
      <c r="B5616" t="s">
        <v>196</v>
      </c>
      <c r="C5616">
        <v>3453.73</v>
      </c>
      <c r="D5616" t="s">
        <v>184</v>
      </c>
      <c r="E5616" t="s">
        <v>182</v>
      </c>
      <c r="F5616" t="s">
        <v>181</v>
      </c>
      <c r="G5616" t="s">
        <v>179</v>
      </c>
    </row>
    <row r="5617" spans="1:7">
      <c r="A5617">
        <v>2035</v>
      </c>
      <c r="B5617" t="s">
        <v>196</v>
      </c>
      <c r="C5617">
        <v>3453.73</v>
      </c>
      <c r="D5617" t="s">
        <v>184</v>
      </c>
      <c r="E5617" t="s">
        <v>182</v>
      </c>
      <c r="F5617" t="s">
        <v>181</v>
      </c>
      <c r="G5617" t="s">
        <v>179</v>
      </c>
    </row>
    <row r="5618" spans="1:7">
      <c r="A5618">
        <v>2020</v>
      </c>
      <c r="B5618" t="s">
        <v>188</v>
      </c>
      <c r="C5618">
        <v>102.45</v>
      </c>
      <c r="D5618" t="s">
        <v>184</v>
      </c>
      <c r="E5618" t="s">
        <v>182</v>
      </c>
      <c r="F5618" t="s">
        <v>181</v>
      </c>
      <c r="G5618" t="s">
        <v>180</v>
      </c>
    </row>
    <row r="5619" spans="1:7">
      <c r="A5619">
        <v>2021</v>
      </c>
      <c r="B5619" t="s">
        <v>188</v>
      </c>
      <c r="C5619">
        <v>9.5</v>
      </c>
      <c r="D5619" t="s">
        <v>184</v>
      </c>
      <c r="E5619" t="s">
        <v>182</v>
      </c>
      <c r="F5619" t="s">
        <v>181</v>
      </c>
      <c r="G5619" t="s">
        <v>180</v>
      </c>
    </row>
    <row r="5620" spans="1:7">
      <c r="A5620">
        <v>2022</v>
      </c>
      <c r="B5620" t="s">
        <v>188</v>
      </c>
      <c r="C5620">
        <v>9.5</v>
      </c>
      <c r="D5620" t="s">
        <v>184</v>
      </c>
      <c r="E5620" t="s">
        <v>182</v>
      </c>
      <c r="F5620" t="s">
        <v>181</v>
      </c>
      <c r="G5620" t="s">
        <v>180</v>
      </c>
    </row>
    <row r="5621" spans="1:7">
      <c r="A5621">
        <v>2023</v>
      </c>
      <c r="B5621" t="s">
        <v>188</v>
      </c>
      <c r="C5621">
        <v>0</v>
      </c>
      <c r="D5621" t="s">
        <v>184</v>
      </c>
      <c r="E5621" t="s">
        <v>182</v>
      </c>
      <c r="F5621" t="s">
        <v>181</v>
      </c>
      <c r="G5621" t="s">
        <v>180</v>
      </c>
    </row>
    <row r="5622" spans="1:7">
      <c r="A5622">
        <v>2024</v>
      </c>
      <c r="B5622" t="s">
        <v>188</v>
      </c>
      <c r="C5622">
        <v>0</v>
      </c>
      <c r="D5622" t="s">
        <v>184</v>
      </c>
      <c r="E5622" t="s">
        <v>182</v>
      </c>
      <c r="F5622" t="s">
        <v>181</v>
      </c>
      <c r="G5622" t="s">
        <v>180</v>
      </c>
    </row>
    <row r="5623" spans="1:7">
      <c r="A5623">
        <v>2025</v>
      </c>
      <c r="B5623" t="s">
        <v>188</v>
      </c>
      <c r="C5623">
        <v>0</v>
      </c>
      <c r="D5623" t="s">
        <v>184</v>
      </c>
      <c r="E5623" t="s">
        <v>182</v>
      </c>
      <c r="F5623" t="s">
        <v>181</v>
      </c>
      <c r="G5623" t="s">
        <v>180</v>
      </c>
    </row>
    <row r="5624" spans="1:7">
      <c r="A5624">
        <v>2026</v>
      </c>
      <c r="B5624" t="s">
        <v>188</v>
      </c>
      <c r="C5624">
        <v>0</v>
      </c>
      <c r="D5624" t="s">
        <v>184</v>
      </c>
      <c r="E5624" t="s">
        <v>182</v>
      </c>
      <c r="F5624" t="s">
        <v>181</v>
      </c>
      <c r="G5624" t="s">
        <v>180</v>
      </c>
    </row>
    <row r="5625" spans="1:7">
      <c r="A5625">
        <v>2027</v>
      </c>
      <c r="B5625" t="s">
        <v>188</v>
      </c>
      <c r="C5625">
        <v>0</v>
      </c>
      <c r="D5625" t="s">
        <v>184</v>
      </c>
      <c r="E5625" t="s">
        <v>182</v>
      </c>
      <c r="F5625" t="s">
        <v>181</v>
      </c>
      <c r="G5625" t="s">
        <v>180</v>
      </c>
    </row>
    <row r="5626" spans="1:7">
      <c r="A5626">
        <v>2028</v>
      </c>
      <c r="B5626" t="s">
        <v>188</v>
      </c>
      <c r="C5626">
        <v>0</v>
      </c>
      <c r="D5626" t="s">
        <v>184</v>
      </c>
      <c r="E5626" t="s">
        <v>182</v>
      </c>
      <c r="F5626" t="s">
        <v>181</v>
      </c>
      <c r="G5626" t="s">
        <v>180</v>
      </c>
    </row>
    <row r="5627" spans="1:7">
      <c r="A5627">
        <v>2029</v>
      </c>
      <c r="B5627" t="s">
        <v>188</v>
      </c>
      <c r="C5627">
        <v>0</v>
      </c>
      <c r="D5627" t="s">
        <v>184</v>
      </c>
      <c r="E5627" t="s">
        <v>182</v>
      </c>
      <c r="F5627" t="s">
        <v>181</v>
      </c>
      <c r="G5627" t="s">
        <v>180</v>
      </c>
    </row>
    <row r="5628" spans="1:7">
      <c r="A5628">
        <v>2030</v>
      </c>
      <c r="B5628" t="s">
        <v>188</v>
      </c>
      <c r="C5628">
        <v>0</v>
      </c>
      <c r="D5628" t="s">
        <v>184</v>
      </c>
      <c r="E5628" t="s">
        <v>182</v>
      </c>
      <c r="F5628" t="s">
        <v>181</v>
      </c>
      <c r="G5628" t="s">
        <v>180</v>
      </c>
    </row>
    <row r="5629" spans="1:7">
      <c r="A5629">
        <v>2031</v>
      </c>
      <c r="B5629" t="s">
        <v>188</v>
      </c>
      <c r="C5629">
        <v>0</v>
      </c>
      <c r="D5629" t="s">
        <v>184</v>
      </c>
      <c r="E5629" t="s">
        <v>182</v>
      </c>
      <c r="F5629" t="s">
        <v>181</v>
      </c>
      <c r="G5629" t="s">
        <v>180</v>
      </c>
    </row>
    <row r="5630" spans="1:7">
      <c r="A5630">
        <v>2032</v>
      </c>
      <c r="B5630" t="s">
        <v>188</v>
      </c>
      <c r="C5630">
        <v>0</v>
      </c>
      <c r="D5630" t="s">
        <v>184</v>
      </c>
      <c r="E5630" t="s">
        <v>182</v>
      </c>
      <c r="F5630" t="s">
        <v>181</v>
      </c>
      <c r="G5630" t="s">
        <v>180</v>
      </c>
    </row>
    <row r="5631" spans="1:7">
      <c r="A5631">
        <v>2033</v>
      </c>
      <c r="B5631" t="s">
        <v>188</v>
      </c>
      <c r="C5631">
        <v>0</v>
      </c>
      <c r="D5631" t="s">
        <v>184</v>
      </c>
      <c r="E5631" t="s">
        <v>182</v>
      </c>
      <c r="F5631" t="s">
        <v>181</v>
      </c>
      <c r="G5631" t="s">
        <v>180</v>
      </c>
    </row>
    <row r="5632" spans="1:7">
      <c r="A5632">
        <v>2034</v>
      </c>
      <c r="B5632" t="s">
        <v>188</v>
      </c>
      <c r="C5632">
        <v>0</v>
      </c>
      <c r="D5632" t="s">
        <v>184</v>
      </c>
      <c r="E5632" t="s">
        <v>182</v>
      </c>
      <c r="F5632" t="s">
        <v>181</v>
      </c>
      <c r="G5632" t="s">
        <v>180</v>
      </c>
    </row>
    <row r="5633" spans="1:7">
      <c r="A5633">
        <v>2035</v>
      </c>
      <c r="B5633" t="s">
        <v>188</v>
      </c>
      <c r="C5633">
        <v>0</v>
      </c>
      <c r="D5633" t="s">
        <v>184</v>
      </c>
      <c r="E5633" t="s">
        <v>182</v>
      </c>
      <c r="F5633" t="s">
        <v>181</v>
      </c>
      <c r="G5633" t="s">
        <v>180</v>
      </c>
    </row>
    <row r="5634" spans="1:7">
      <c r="A5634">
        <v>2020</v>
      </c>
      <c r="B5634" t="s">
        <v>189</v>
      </c>
      <c r="C5634">
        <v>0</v>
      </c>
      <c r="D5634" t="s">
        <v>184</v>
      </c>
      <c r="E5634" t="s">
        <v>182</v>
      </c>
      <c r="F5634" t="s">
        <v>181</v>
      </c>
      <c r="G5634" t="s">
        <v>180</v>
      </c>
    </row>
    <row r="5635" spans="1:7">
      <c r="A5635">
        <v>2021</v>
      </c>
      <c r="B5635" t="s">
        <v>189</v>
      </c>
      <c r="C5635">
        <v>0</v>
      </c>
      <c r="D5635" t="s">
        <v>184</v>
      </c>
      <c r="E5635" t="s">
        <v>182</v>
      </c>
      <c r="F5635" t="s">
        <v>181</v>
      </c>
      <c r="G5635" t="s">
        <v>180</v>
      </c>
    </row>
    <row r="5636" spans="1:7">
      <c r="A5636">
        <v>2022</v>
      </c>
      <c r="B5636" t="s">
        <v>189</v>
      </c>
      <c r="C5636">
        <v>0</v>
      </c>
      <c r="D5636" t="s">
        <v>184</v>
      </c>
      <c r="E5636" t="s">
        <v>182</v>
      </c>
      <c r="F5636" t="s">
        <v>181</v>
      </c>
      <c r="G5636" t="s">
        <v>180</v>
      </c>
    </row>
    <row r="5637" spans="1:7">
      <c r="A5637">
        <v>2023</v>
      </c>
      <c r="B5637" t="s">
        <v>189</v>
      </c>
      <c r="C5637">
        <v>0</v>
      </c>
      <c r="D5637" t="s">
        <v>184</v>
      </c>
      <c r="E5637" t="s">
        <v>182</v>
      </c>
      <c r="F5637" t="s">
        <v>181</v>
      </c>
      <c r="G5637" t="s">
        <v>180</v>
      </c>
    </row>
    <row r="5638" spans="1:7">
      <c r="A5638">
        <v>2024</v>
      </c>
      <c r="B5638" t="s">
        <v>189</v>
      </c>
      <c r="C5638">
        <v>0</v>
      </c>
      <c r="D5638" t="s">
        <v>184</v>
      </c>
      <c r="E5638" t="s">
        <v>182</v>
      </c>
      <c r="F5638" t="s">
        <v>181</v>
      </c>
      <c r="G5638" t="s">
        <v>180</v>
      </c>
    </row>
    <row r="5639" spans="1:7">
      <c r="A5639">
        <v>2025</v>
      </c>
      <c r="B5639" t="s">
        <v>189</v>
      </c>
      <c r="C5639">
        <v>0</v>
      </c>
      <c r="D5639" t="s">
        <v>184</v>
      </c>
      <c r="E5639" t="s">
        <v>182</v>
      </c>
      <c r="F5639" t="s">
        <v>181</v>
      </c>
      <c r="G5639" t="s">
        <v>180</v>
      </c>
    </row>
    <row r="5640" spans="1:7">
      <c r="A5640">
        <v>2026</v>
      </c>
      <c r="B5640" t="s">
        <v>189</v>
      </c>
      <c r="C5640">
        <v>0</v>
      </c>
      <c r="D5640" t="s">
        <v>184</v>
      </c>
      <c r="E5640" t="s">
        <v>182</v>
      </c>
      <c r="F5640" t="s">
        <v>181</v>
      </c>
      <c r="G5640" t="s">
        <v>180</v>
      </c>
    </row>
    <row r="5641" spans="1:7">
      <c r="A5641">
        <v>2027</v>
      </c>
      <c r="B5641" t="s">
        <v>189</v>
      </c>
      <c r="C5641">
        <v>0</v>
      </c>
      <c r="D5641" t="s">
        <v>184</v>
      </c>
      <c r="E5641" t="s">
        <v>182</v>
      </c>
      <c r="F5641" t="s">
        <v>181</v>
      </c>
      <c r="G5641" t="s">
        <v>180</v>
      </c>
    </row>
    <row r="5642" spans="1:7">
      <c r="A5642">
        <v>2028</v>
      </c>
      <c r="B5642" t="s">
        <v>189</v>
      </c>
      <c r="C5642">
        <v>0</v>
      </c>
      <c r="D5642" t="s">
        <v>184</v>
      </c>
      <c r="E5642" t="s">
        <v>182</v>
      </c>
      <c r="F5642" t="s">
        <v>181</v>
      </c>
      <c r="G5642" t="s">
        <v>180</v>
      </c>
    </row>
    <row r="5643" spans="1:7">
      <c r="A5643">
        <v>2029</v>
      </c>
      <c r="B5643" t="s">
        <v>189</v>
      </c>
      <c r="C5643">
        <v>0</v>
      </c>
      <c r="D5643" t="s">
        <v>184</v>
      </c>
      <c r="E5643" t="s">
        <v>182</v>
      </c>
      <c r="F5643" t="s">
        <v>181</v>
      </c>
      <c r="G5643" t="s">
        <v>180</v>
      </c>
    </row>
    <row r="5644" spans="1:7">
      <c r="A5644">
        <v>2030</v>
      </c>
      <c r="B5644" t="s">
        <v>189</v>
      </c>
      <c r="C5644">
        <v>0</v>
      </c>
      <c r="D5644" t="s">
        <v>184</v>
      </c>
      <c r="E5644" t="s">
        <v>182</v>
      </c>
      <c r="F5644" t="s">
        <v>181</v>
      </c>
      <c r="G5644" t="s">
        <v>180</v>
      </c>
    </row>
    <row r="5645" spans="1:7">
      <c r="A5645">
        <v>2031</v>
      </c>
      <c r="B5645" t="s">
        <v>189</v>
      </c>
      <c r="C5645">
        <v>0</v>
      </c>
      <c r="D5645" t="s">
        <v>184</v>
      </c>
      <c r="E5645" t="s">
        <v>182</v>
      </c>
      <c r="F5645" t="s">
        <v>181</v>
      </c>
      <c r="G5645" t="s">
        <v>180</v>
      </c>
    </row>
    <row r="5646" spans="1:7">
      <c r="A5646">
        <v>2032</v>
      </c>
      <c r="B5646" t="s">
        <v>189</v>
      </c>
      <c r="C5646">
        <v>0</v>
      </c>
      <c r="D5646" t="s">
        <v>184</v>
      </c>
      <c r="E5646" t="s">
        <v>182</v>
      </c>
      <c r="F5646" t="s">
        <v>181</v>
      </c>
      <c r="G5646" t="s">
        <v>180</v>
      </c>
    </row>
    <row r="5647" spans="1:7">
      <c r="A5647">
        <v>2033</v>
      </c>
      <c r="B5647" t="s">
        <v>189</v>
      </c>
      <c r="C5647">
        <v>0</v>
      </c>
      <c r="D5647" t="s">
        <v>184</v>
      </c>
      <c r="E5647" t="s">
        <v>182</v>
      </c>
      <c r="F5647" t="s">
        <v>181</v>
      </c>
      <c r="G5647" t="s">
        <v>180</v>
      </c>
    </row>
    <row r="5648" spans="1:7">
      <c r="A5648">
        <v>2034</v>
      </c>
      <c r="B5648" t="s">
        <v>189</v>
      </c>
      <c r="C5648">
        <v>0</v>
      </c>
      <c r="D5648" t="s">
        <v>184</v>
      </c>
      <c r="E5648" t="s">
        <v>182</v>
      </c>
      <c r="F5648" t="s">
        <v>181</v>
      </c>
      <c r="G5648" t="s">
        <v>180</v>
      </c>
    </row>
    <row r="5649" spans="1:7">
      <c r="A5649">
        <v>2035</v>
      </c>
      <c r="B5649" t="s">
        <v>189</v>
      </c>
      <c r="C5649">
        <v>0</v>
      </c>
      <c r="D5649" t="s">
        <v>184</v>
      </c>
      <c r="E5649" t="s">
        <v>182</v>
      </c>
      <c r="F5649" t="s">
        <v>181</v>
      </c>
      <c r="G5649" t="s">
        <v>180</v>
      </c>
    </row>
    <row r="5650" spans="1:7">
      <c r="A5650">
        <v>2020</v>
      </c>
      <c r="B5650" t="s">
        <v>190</v>
      </c>
      <c r="C5650">
        <v>13297.23</v>
      </c>
      <c r="D5650" t="s">
        <v>184</v>
      </c>
      <c r="E5650" t="s">
        <v>182</v>
      </c>
      <c r="F5650" t="s">
        <v>181</v>
      </c>
      <c r="G5650" t="s">
        <v>180</v>
      </c>
    </row>
    <row r="5651" spans="1:7">
      <c r="A5651">
        <v>2021</v>
      </c>
      <c r="B5651" t="s">
        <v>190</v>
      </c>
      <c r="C5651">
        <v>11288.6</v>
      </c>
      <c r="D5651" t="s">
        <v>184</v>
      </c>
      <c r="E5651" t="s">
        <v>182</v>
      </c>
      <c r="F5651" t="s">
        <v>181</v>
      </c>
      <c r="G5651" t="s">
        <v>180</v>
      </c>
    </row>
    <row r="5652" spans="1:7">
      <c r="A5652">
        <v>2022</v>
      </c>
      <c r="B5652" t="s">
        <v>190</v>
      </c>
      <c r="C5652">
        <v>11288.6</v>
      </c>
      <c r="D5652" t="s">
        <v>184</v>
      </c>
      <c r="E5652" t="s">
        <v>182</v>
      </c>
      <c r="F5652" t="s">
        <v>181</v>
      </c>
      <c r="G5652" t="s">
        <v>180</v>
      </c>
    </row>
    <row r="5653" spans="1:7">
      <c r="A5653">
        <v>2023</v>
      </c>
      <c r="B5653" t="s">
        <v>190</v>
      </c>
      <c r="C5653">
        <v>11172.1</v>
      </c>
      <c r="D5653" t="s">
        <v>184</v>
      </c>
      <c r="E5653" t="s">
        <v>182</v>
      </c>
      <c r="F5653" t="s">
        <v>181</v>
      </c>
      <c r="G5653" t="s">
        <v>180</v>
      </c>
    </row>
    <row r="5654" spans="1:7">
      <c r="A5654">
        <v>2024</v>
      </c>
      <c r="B5654" t="s">
        <v>190</v>
      </c>
      <c r="C5654">
        <v>11172.1</v>
      </c>
      <c r="D5654" t="s">
        <v>184</v>
      </c>
      <c r="E5654" t="s">
        <v>182</v>
      </c>
      <c r="F5654" t="s">
        <v>181</v>
      </c>
      <c r="G5654" t="s">
        <v>180</v>
      </c>
    </row>
    <row r="5655" spans="1:7">
      <c r="A5655">
        <v>2025</v>
      </c>
      <c r="B5655" t="s">
        <v>190</v>
      </c>
      <c r="C5655">
        <v>10739.5</v>
      </c>
      <c r="D5655" t="s">
        <v>184</v>
      </c>
      <c r="E5655" t="s">
        <v>182</v>
      </c>
      <c r="F5655" t="s">
        <v>181</v>
      </c>
      <c r="G5655" t="s">
        <v>180</v>
      </c>
    </row>
    <row r="5656" spans="1:7">
      <c r="A5656">
        <v>2026</v>
      </c>
      <c r="B5656" t="s">
        <v>190</v>
      </c>
      <c r="C5656">
        <v>10739.5</v>
      </c>
      <c r="D5656" t="s">
        <v>184</v>
      </c>
      <c r="E5656" t="s">
        <v>182</v>
      </c>
      <c r="F5656" t="s">
        <v>181</v>
      </c>
      <c r="G5656" t="s">
        <v>180</v>
      </c>
    </row>
    <row r="5657" spans="1:7">
      <c r="A5657">
        <v>2027</v>
      </c>
      <c r="B5657" t="s">
        <v>190</v>
      </c>
      <c r="C5657">
        <v>7665.94</v>
      </c>
      <c r="D5657" t="s">
        <v>184</v>
      </c>
      <c r="E5657" t="s">
        <v>182</v>
      </c>
      <c r="F5657" t="s">
        <v>181</v>
      </c>
      <c r="G5657" t="s">
        <v>180</v>
      </c>
    </row>
    <row r="5658" spans="1:7">
      <c r="A5658">
        <v>2028</v>
      </c>
      <c r="B5658" t="s">
        <v>190</v>
      </c>
      <c r="C5658">
        <v>7665.94</v>
      </c>
      <c r="D5658" t="s">
        <v>184</v>
      </c>
      <c r="E5658" t="s">
        <v>182</v>
      </c>
      <c r="F5658" t="s">
        <v>181</v>
      </c>
      <c r="G5658" t="s">
        <v>180</v>
      </c>
    </row>
    <row r="5659" spans="1:7">
      <c r="A5659">
        <v>2029</v>
      </c>
      <c r="B5659" t="s">
        <v>190</v>
      </c>
      <c r="C5659">
        <v>5379.22</v>
      </c>
      <c r="D5659" t="s">
        <v>184</v>
      </c>
      <c r="E5659" t="s">
        <v>182</v>
      </c>
      <c r="F5659" t="s">
        <v>181</v>
      </c>
      <c r="G5659" t="s">
        <v>180</v>
      </c>
    </row>
    <row r="5660" spans="1:7">
      <c r="A5660">
        <v>2030</v>
      </c>
      <c r="B5660" t="s">
        <v>190</v>
      </c>
      <c r="C5660">
        <v>5379.22</v>
      </c>
      <c r="D5660" t="s">
        <v>184</v>
      </c>
      <c r="E5660" t="s">
        <v>182</v>
      </c>
      <c r="F5660" t="s">
        <v>181</v>
      </c>
      <c r="G5660" t="s">
        <v>180</v>
      </c>
    </row>
    <row r="5661" spans="1:7">
      <c r="A5661">
        <v>2031</v>
      </c>
      <c r="B5661" t="s">
        <v>190</v>
      </c>
      <c r="C5661">
        <v>8419.06</v>
      </c>
      <c r="D5661" t="s">
        <v>184</v>
      </c>
      <c r="E5661" t="s">
        <v>182</v>
      </c>
      <c r="F5661" t="s">
        <v>181</v>
      </c>
      <c r="G5661" t="s">
        <v>180</v>
      </c>
    </row>
    <row r="5662" spans="1:7">
      <c r="A5662">
        <v>2032</v>
      </c>
      <c r="B5662" t="s">
        <v>190</v>
      </c>
      <c r="C5662">
        <v>8419.06</v>
      </c>
      <c r="D5662" t="s">
        <v>184</v>
      </c>
      <c r="E5662" t="s">
        <v>182</v>
      </c>
      <c r="F5662" t="s">
        <v>181</v>
      </c>
      <c r="G5662" t="s">
        <v>180</v>
      </c>
    </row>
    <row r="5663" spans="1:7">
      <c r="A5663">
        <v>2033</v>
      </c>
      <c r="B5663" t="s">
        <v>190</v>
      </c>
      <c r="C5663">
        <v>8036.46</v>
      </c>
      <c r="D5663" t="s">
        <v>184</v>
      </c>
      <c r="E5663" t="s">
        <v>182</v>
      </c>
      <c r="F5663" t="s">
        <v>181</v>
      </c>
      <c r="G5663" t="s">
        <v>180</v>
      </c>
    </row>
    <row r="5664" spans="1:7">
      <c r="A5664">
        <v>2034</v>
      </c>
      <c r="B5664" t="s">
        <v>190</v>
      </c>
      <c r="C5664">
        <v>8036.46</v>
      </c>
      <c r="D5664" t="s">
        <v>184</v>
      </c>
      <c r="E5664" t="s">
        <v>182</v>
      </c>
      <c r="F5664" t="s">
        <v>181</v>
      </c>
      <c r="G5664" t="s">
        <v>180</v>
      </c>
    </row>
    <row r="5665" spans="1:7">
      <c r="A5665">
        <v>2035</v>
      </c>
      <c r="B5665" t="s">
        <v>190</v>
      </c>
      <c r="C5665">
        <v>8036.46</v>
      </c>
      <c r="D5665" t="s">
        <v>184</v>
      </c>
      <c r="E5665" t="s">
        <v>182</v>
      </c>
      <c r="F5665" t="s">
        <v>181</v>
      </c>
      <c r="G5665" t="s">
        <v>180</v>
      </c>
    </row>
    <row r="5666" spans="1:7">
      <c r="A5666">
        <v>2020</v>
      </c>
      <c r="B5666" t="s">
        <v>191</v>
      </c>
      <c r="C5666">
        <v>0</v>
      </c>
      <c r="D5666" t="s">
        <v>184</v>
      </c>
      <c r="E5666" t="s">
        <v>182</v>
      </c>
      <c r="F5666" t="s">
        <v>181</v>
      </c>
      <c r="G5666" t="s">
        <v>180</v>
      </c>
    </row>
    <row r="5667" spans="1:7">
      <c r="A5667">
        <v>2021</v>
      </c>
      <c r="B5667" t="s">
        <v>191</v>
      </c>
      <c r="C5667">
        <v>0</v>
      </c>
      <c r="D5667" t="s">
        <v>184</v>
      </c>
      <c r="E5667" t="s">
        <v>182</v>
      </c>
      <c r="F5667" t="s">
        <v>181</v>
      </c>
      <c r="G5667" t="s">
        <v>180</v>
      </c>
    </row>
    <row r="5668" spans="1:7">
      <c r="A5668">
        <v>2022</v>
      </c>
      <c r="B5668" t="s">
        <v>191</v>
      </c>
      <c r="C5668">
        <v>0</v>
      </c>
      <c r="D5668" t="s">
        <v>184</v>
      </c>
      <c r="E5668" t="s">
        <v>182</v>
      </c>
      <c r="F5668" t="s">
        <v>181</v>
      </c>
      <c r="G5668" t="s">
        <v>180</v>
      </c>
    </row>
    <row r="5669" spans="1:7">
      <c r="A5669">
        <v>2023</v>
      </c>
      <c r="B5669" t="s">
        <v>191</v>
      </c>
      <c r="C5669">
        <v>0</v>
      </c>
      <c r="D5669" t="s">
        <v>184</v>
      </c>
      <c r="E5669" t="s">
        <v>182</v>
      </c>
      <c r="F5669" t="s">
        <v>181</v>
      </c>
      <c r="G5669" t="s">
        <v>180</v>
      </c>
    </row>
    <row r="5670" spans="1:7">
      <c r="A5670">
        <v>2024</v>
      </c>
      <c r="B5670" t="s">
        <v>191</v>
      </c>
      <c r="C5670">
        <v>0</v>
      </c>
      <c r="D5670" t="s">
        <v>184</v>
      </c>
      <c r="E5670" t="s">
        <v>182</v>
      </c>
      <c r="F5670" t="s">
        <v>181</v>
      </c>
      <c r="G5670" t="s">
        <v>180</v>
      </c>
    </row>
    <row r="5671" spans="1:7">
      <c r="A5671">
        <v>2025</v>
      </c>
      <c r="B5671" t="s">
        <v>191</v>
      </c>
      <c r="C5671">
        <v>0</v>
      </c>
      <c r="D5671" t="s">
        <v>184</v>
      </c>
      <c r="E5671" t="s">
        <v>182</v>
      </c>
      <c r="F5671" t="s">
        <v>181</v>
      </c>
      <c r="G5671" t="s">
        <v>180</v>
      </c>
    </row>
    <row r="5672" spans="1:7">
      <c r="A5672">
        <v>2026</v>
      </c>
      <c r="B5672" t="s">
        <v>191</v>
      </c>
      <c r="C5672">
        <v>0</v>
      </c>
      <c r="D5672" t="s">
        <v>184</v>
      </c>
      <c r="E5672" t="s">
        <v>182</v>
      </c>
      <c r="F5672" t="s">
        <v>181</v>
      </c>
      <c r="G5672" t="s">
        <v>180</v>
      </c>
    </row>
    <row r="5673" spans="1:7">
      <c r="A5673">
        <v>2027</v>
      </c>
      <c r="B5673" t="s">
        <v>191</v>
      </c>
      <c r="C5673">
        <v>0</v>
      </c>
      <c r="D5673" t="s">
        <v>184</v>
      </c>
      <c r="E5673" t="s">
        <v>182</v>
      </c>
      <c r="F5673" t="s">
        <v>181</v>
      </c>
      <c r="G5673" t="s">
        <v>180</v>
      </c>
    </row>
    <row r="5674" spans="1:7">
      <c r="A5674">
        <v>2028</v>
      </c>
      <c r="B5674" t="s">
        <v>191</v>
      </c>
      <c r="C5674">
        <v>0</v>
      </c>
      <c r="D5674" t="s">
        <v>184</v>
      </c>
      <c r="E5674" t="s">
        <v>182</v>
      </c>
      <c r="F5674" t="s">
        <v>181</v>
      </c>
      <c r="G5674" t="s">
        <v>180</v>
      </c>
    </row>
    <row r="5675" spans="1:7">
      <c r="A5675">
        <v>2029</v>
      </c>
      <c r="B5675" t="s">
        <v>191</v>
      </c>
      <c r="C5675">
        <v>0</v>
      </c>
      <c r="D5675" t="s">
        <v>184</v>
      </c>
      <c r="E5675" t="s">
        <v>182</v>
      </c>
      <c r="F5675" t="s">
        <v>181</v>
      </c>
      <c r="G5675" t="s">
        <v>180</v>
      </c>
    </row>
    <row r="5676" spans="1:7">
      <c r="A5676">
        <v>2030</v>
      </c>
      <c r="B5676" t="s">
        <v>191</v>
      </c>
      <c r="C5676">
        <v>0</v>
      </c>
      <c r="D5676" t="s">
        <v>184</v>
      </c>
      <c r="E5676" t="s">
        <v>182</v>
      </c>
      <c r="F5676" t="s">
        <v>181</v>
      </c>
      <c r="G5676" t="s">
        <v>180</v>
      </c>
    </row>
    <row r="5677" spans="1:7">
      <c r="A5677">
        <v>2031</v>
      </c>
      <c r="B5677" t="s">
        <v>191</v>
      </c>
      <c r="C5677">
        <v>0</v>
      </c>
      <c r="D5677" t="s">
        <v>184</v>
      </c>
      <c r="E5677" t="s">
        <v>182</v>
      </c>
      <c r="F5677" t="s">
        <v>181</v>
      </c>
      <c r="G5677" t="s">
        <v>180</v>
      </c>
    </row>
    <row r="5678" spans="1:7">
      <c r="A5678">
        <v>2032</v>
      </c>
      <c r="B5678" t="s">
        <v>191</v>
      </c>
      <c r="C5678">
        <v>0</v>
      </c>
      <c r="D5678" t="s">
        <v>184</v>
      </c>
      <c r="E5678" t="s">
        <v>182</v>
      </c>
      <c r="F5678" t="s">
        <v>181</v>
      </c>
      <c r="G5678" t="s">
        <v>180</v>
      </c>
    </row>
    <row r="5679" spans="1:7">
      <c r="A5679">
        <v>2033</v>
      </c>
      <c r="B5679" t="s">
        <v>191</v>
      </c>
      <c r="C5679">
        <v>0</v>
      </c>
      <c r="D5679" t="s">
        <v>184</v>
      </c>
      <c r="E5679" t="s">
        <v>182</v>
      </c>
      <c r="F5679" t="s">
        <v>181</v>
      </c>
      <c r="G5679" t="s">
        <v>180</v>
      </c>
    </row>
    <row r="5680" spans="1:7">
      <c r="A5680">
        <v>2034</v>
      </c>
      <c r="B5680" t="s">
        <v>191</v>
      </c>
      <c r="C5680">
        <v>0</v>
      </c>
      <c r="D5680" t="s">
        <v>184</v>
      </c>
      <c r="E5680" t="s">
        <v>182</v>
      </c>
      <c r="F5680" t="s">
        <v>181</v>
      </c>
      <c r="G5680" t="s">
        <v>180</v>
      </c>
    </row>
    <row r="5681" spans="1:7">
      <c r="A5681">
        <v>2035</v>
      </c>
      <c r="B5681" t="s">
        <v>191</v>
      </c>
      <c r="C5681">
        <v>0</v>
      </c>
      <c r="D5681" t="s">
        <v>184</v>
      </c>
      <c r="E5681" t="s">
        <v>182</v>
      </c>
      <c r="F5681" t="s">
        <v>181</v>
      </c>
      <c r="G5681" t="s">
        <v>180</v>
      </c>
    </row>
    <row r="5682" spans="1:7">
      <c r="A5682">
        <v>2020</v>
      </c>
      <c r="B5682" t="s">
        <v>192</v>
      </c>
      <c r="C5682">
        <v>1450.21</v>
      </c>
      <c r="D5682" t="s">
        <v>184</v>
      </c>
      <c r="E5682" t="s">
        <v>182</v>
      </c>
      <c r="F5682" t="s">
        <v>181</v>
      </c>
      <c r="G5682" t="s">
        <v>180</v>
      </c>
    </row>
    <row r="5683" spans="1:7">
      <c r="A5683">
        <v>2021</v>
      </c>
      <c r="B5683" t="s">
        <v>192</v>
      </c>
      <c r="C5683">
        <v>19.149999999999999</v>
      </c>
      <c r="D5683" t="s">
        <v>184</v>
      </c>
      <c r="E5683" t="s">
        <v>182</v>
      </c>
      <c r="F5683" t="s">
        <v>181</v>
      </c>
      <c r="G5683" t="s">
        <v>180</v>
      </c>
    </row>
    <row r="5684" spans="1:7">
      <c r="A5684">
        <v>2022</v>
      </c>
      <c r="B5684" t="s">
        <v>192</v>
      </c>
      <c r="C5684">
        <v>19.149999999999999</v>
      </c>
      <c r="D5684" t="s">
        <v>184</v>
      </c>
      <c r="E5684" t="s">
        <v>182</v>
      </c>
      <c r="F5684" t="s">
        <v>181</v>
      </c>
      <c r="G5684" t="s">
        <v>180</v>
      </c>
    </row>
    <row r="5685" spans="1:7">
      <c r="A5685">
        <v>2023</v>
      </c>
      <c r="B5685" t="s">
        <v>192</v>
      </c>
      <c r="C5685">
        <v>26.5</v>
      </c>
      <c r="D5685" t="s">
        <v>184</v>
      </c>
      <c r="E5685" t="s">
        <v>182</v>
      </c>
      <c r="F5685" t="s">
        <v>181</v>
      </c>
      <c r="G5685" t="s">
        <v>180</v>
      </c>
    </row>
    <row r="5686" spans="1:7">
      <c r="A5686">
        <v>2024</v>
      </c>
      <c r="B5686" t="s">
        <v>192</v>
      </c>
      <c r="C5686">
        <v>26.5</v>
      </c>
      <c r="D5686" t="s">
        <v>184</v>
      </c>
      <c r="E5686" t="s">
        <v>182</v>
      </c>
      <c r="F5686" t="s">
        <v>181</v>
      </c>
      <c r="G5686" t="s">
        <v>180</v>
      </c>
    </row>
    <row r="5687" spans="1:7">
      <c r="A5687">
        <v>2025</v>
      </c>
      <c r="B5687" t="s">
        <v>192</v>
      </c>
      <c r="C5687">
        <v>94.5</v>
      </c>
      <c r="D5687" t="s">
        <v>184</v>
      </c>
      <c r="E5687" t="s">
        <v>182</v>
      </c>
      <c r="F5687" t="s">
        <v>181</v>
      </c>
      <c r="G5687" t="s">
        <v>180</v>
      </c>
    </row>
    <row r="5688" spans="1:7">
      <c r="A5688">
        <v>2026</v>
      </c>
      <c r="B5688" t="s">
        <v>192</v>
      </c>
      <c r="C5688">
        <v>94.5</v>
      </c>
      <c r="D5688" t="s">
        <v>184</v>
      </c>
      <c r="E5688" t="s">
        <v>182</v>
      </c>
      <c r="F5688" t="s">
        <v>181</v>
      </c>
      <c r="G5688" t="s">
        <v>180</v>
      </c>
    </row>
    <row r="5689" spans="1:7">
      <c r="A5689">
        <v>2027</v>
      </c>
      <c r="B5689" t="s">
        <v>192</v>
      </c>
      <c r="C5689">
        <v>19</v>
      </c>
      <c r="D5689" t="s">
        <v>184</v>
      </c>
      <c r="E5689" t="s">
        <v>182</v>
      </c>
      <c r="F5689" t="s">
        <v>181</v>
      </c>
      <c r="G5689" t="s">
        <v>180</v>
      </c>
    </row>
    <row r="5690" spans="1:7">
      <c r="A5690">
        <v>2028</v>
      </c>
      <c r="B5690" t="s">
        <v>192</v>
      </c>
      <c r="C5690">
        <v>19</v>
      </c>
      <c r="D5690" t="s">
        <v>184</v>
      </c>
      <c r="E5690" t="s">
        <v>182</v>
      </c>
      <c r="F5690" t="s">
        <v>181</v>
      </c>
      <c r="G5690" t="s">
        <v>180</v>
      </c>
    </row>
    <row r="5691" spans="1:7">
      <c r="A5691">
        <v>2029</v>
      </c>
      <c r="B5691" t="s">
        <v>192</v>
      </c>
      <c r="C5691">
        <v>0</v>
      </c>
      <c r="D5691" t="s">
        <v>184</v>
      </c>
      <c r="E5691" t="s">
        <v>182</v>
      </c>
      <c r="F5691" t="s">
        <v>181</v>
      </c>
      <c r="G5691" t="s">
        <v>180</v>
      </c>
    </row>
    <row r="5692" spans="1:7">
      <c r="A5692">
        <v>2030</v>
      </c>
      <c r="B5692" t="s">
        <v>192</v>
      </c>
      <c r="C5692">
        <v>0</v>
      </c>
      <c r="D5692" t="s">
        <v>184</v>
      </c>
      <c r="E5692" t="s">
        <v>182</v>
      </c>
      <c r="F5692" t="s">
        <v>181</v>
      </c>
      <c r="G5692" t="s">
        <v>180</v>
      </c>
    </row>
    <row r="5693" spans="1:7">
      <c r="A5693">
        <v>2031</v>
      </c>
      <c r="B5693" t="s">
        <v>192</v>
      </c>
      <c r="C5693">
        <v>0</v>
      </c>
      <c r="D5693" t="s">
        <v>184</v>
      </c>
      <c r="E5693" t="s">
        <v>182</v>
      </c>
      <c r="F5693" t="s">
        <v>181</v>
      </c>
      <c r="G5693" t="s">
        <v>180</v>
      </c>
    </row>
    <row r="5694" spans="1:7">
      <c r="A5694">
        <v>2032</v>
      </c>
      <c r="B5694" t="s">
        <v>192</v>
      </c>
      <c r="C5694">
        <v>0</v>
      </c>
      <c r="D5694" t="s">
        <v>184</v>
      </c>
      <c r="E5694" t="s">
        <v>182</v>
      </c>
      <c r="F5694" t="s">
        <v>181</v>
      </c>
      <c r="G5694" t="s">
        <v>180</v>
      </c>
    </row>
    <row r="5695" spans="1:7">
      <c r="A5695">
        <v>2033</v>
      </c>
      <c r="B5695" t="s">
        <v>192</v>
      </c>
      <c r="C5695">
        <v>0</v>
      </c>
      <c r="D5695" t="s">
        <v>184</v>
      </c>
      <c r="E5695" t="s">
        <v>182</v>
      </c>
      <c r="F5695" t="s">
        <v>181</v>
      </c>
      <c r="G5695" t="s">
        <v>180</v>
      </c>
    </row>
    <row r="5696" spans="1:7">
      <c r="A5696">
        <v>2034</v>
      </c>
      <c r="B5696" t="s">
        <v>192</v>
      </c>
      <c r="C5696">
        <v>0</v>
      </c>
      <c r="D5696" t="s">
        <v>184</v>
      </c>
      <c r="E5696" t="s">
        <v>182</v>
      </c>
      <c r="F5696" t="s">
        <v>181</v>
      </c>
      <c r="G5696" t="s">
        <v>180</v>
      </c>
    </row>
    <row r="5697" spans="1:7">
      <c r="A5697">
        <v>2035</v>
      </c>
      <c r="B5697" t="s">
        <v>192</v>
      </c>
      <c r="C5697">
        <v>0</v>
      </c>
      <c r="D5697" t="s">
        <v>184</v>
      </c>
      <c r="E5697" t="s">
        <v>182</v>
      </c>
      <c r="F5697" t="s">
        <v>181</v>
      </c>
      <c r="G5697" t="s">
        <v>180</v>
      </c>
    </row>
    <row r="5698" spans="1:7">
      <c r="A5698">
        <v>2020</v>
      </c>
      <c r="B5698" t="s">
        <v>193</v>
      </c>
      <c r="C5698">
        <v>232.5</v>
      </c>
      <c r="D5698" t="s">
        <v>184</v>
      </c>
      <c r="E5698" t="s">
        <v>182</v>
      </c>
      <c r="F5698" t="s">
        <v>181</v>
      </c>
      <c r="G5698" t="s">
        <v>180</v>
      </c>
    </row>
    <row r="5699" spans="1:7">
      <c r="A5699">
        <v>2021</v>
      </c>
      <c r="B5699" t="s">
        <v>193</v>
      </c>
      <c r="C5699">
        <v>1100</v>
      </c>
      <c r="D5699" t="s">
        <v>184</v>
      </c>
      <c r="E5699" t="s">
        <v>182</v>
      </c>
      <c r="F5699" t="s">
        <v>181</v>
      </c>
      <c r="G5699" t="s">
        <v>180</v>
      </c>
    </row>
    <row r="5700" spans="1:7">
      <c r="A5700">
        <v>2022</v>
      </c>
      <c r="B5700" t="s">
        <v>193</v>
      </c>
      <c r="C5700">
        <v>1100</v>
      </c>
      <c r="D5700" t="s">
        <v>184</v>
      </c>
      <c r="E5700" t="s">
        <v>182</v>
      </c>
      <c r="F5700" t="s">
        <v>181</v>
      </c>
      <c r="G5700" t="s">
        <v>180</v>
      </c>
    </row>
    <row r="5701" spans="1:7">
      <c r="A5701">
        <v>2023</v>
      </c>
      <c r="B5701" t="s">
        <v>193</v>
      </c>
      <c r="C5701">
        <v>0</v>
      </c>
      <c r="D5701" t="s">
        <v>184</v>
      </c>
      <c r="E5701" t="s">
        <v>182</v>
      </c>
      <c r="F5701" t="s">
        <v>181</v>
      </c>
      <c r="G5701" t="s">
        <v>180</v>
      </c>
    </row>
    <row r="5702" spans="1:7">
      <c r="A5702">
        <v>2024</v>
      </c>
      <c r="B5702" t="s">
        <v>193</v>
      </c>
      <c r="C5702">
        <v>0</v>
      </c>
      <c r="D5702" t="s">
        <v>184</v>
      </c>
      <c r="E5702" t="s">
        <v>182</v>
      </c>
      <c r="F5702" t="s">
        <v>181</v>
      </c>
      <c r="G5702" t="s">
        <v>180</v>
      </c>
    </row>
    <row r="5703" spans="1:7">
      <c r="A5703">
        <v>2025</v>
      </c>
      <c r="B5703" t="s">
        <v>193</v>
      </c>
      <c r="C5703">
        <v>0</v>
      </c>
      <c r="D5703" t="s">
        <v>184</v>
      </c>
      <c r="E5703" t="s">
        <v>182</v>
      </c>
      <c r="F5703" t="s">
        <v>181</v>
      </c>
      <c r="G5703" t="s">
        <v>180</v>
      </c>
    </row>
    <row r="5704" spans="1:7">
      <c r="A5704">
        <v>2026</v>
      </c>
      <c r="B5704" t="s">
        <v>193</v>
      </c>
      <c r="C5704">
        <v>0</v>
      </c>
      <c r="D5704" t="s">
        <v>184</v>
      </c>
      <c r="E5704" t="s">
        <v>182</v>
      </c>
      <c r="F5704" t="s">
        <v>181</v>
      </c>
      <c r="G5704" t="s">
        <v>180</v>
      </c>
    </row>
    <row r="5705" spans="1:7">
      <c r="A5705">
        <v>2027</v>
      </c>
      <c r="B5705" t="s">
        <v>193</v>
      </c>
      <c r="C5705">
        <v>0</v>
      </c>
      <c r="D5705" t="s">
        <v>184</v>
      </c>
      <c r="E5705" t="s">
        <v>182</v>
      </c>
      <c r="F5705" t="s">
        <v>181</v>
      </c>
      <c r="G5705" t="s">
        <v>180</v>
      </c>
    </row>
    <row r="5706" spans="1:7">
      <c r="A5706">
        <v>2028</v>
      </c>
      <c r="B5706" t="s">
        <v>193</v>
      </c>
      <c r="C5706">
        <v>0</v>
      </c>
      <c r="D5706" t="s">
        <v>184</v>
      </c>
      <c r="E5706" t="s">
        <v>182</v>
      </c>
      <c r="F5706" t="s">
        <v>181</v>
      </c>
      <c r="G5706" t="s">
        <v>180</v>
      </c>
    </row>
    <row r="5707" spans="1:7">
      <c r="A5707">
        <v>2029</v>
      </c>
      <c r="B5707" t="s">
        <v>193</v>
      </c>
      <c r="C5707">
        <v>0</v>
      </c>
      <c r="D5707" t="s">
        <v>184</v>
      </c>
      <c r="E5707" t="s">
        <v>182</v>
      </c>
      <c r="F5707" t="s">
        <v>181</v>
      </c>
      <c r="G5707" t="s">
        <v>180</v>
      </c>
    </row>
    <row r="5708" spans="1:7">
      <c r="A5708">
        <v>2030</v>
      </c>
      <c r="B5708" t="s">
        <v>193</v>
      </c>
      <c r="C5708">
        <v>0</v>
      </c>
      <c r="D5708" t="s">
        <v>184</v>
      </c>
      <c r="E5708" t="s">
        <v>182</v>
      </c>
      <c r="F5708" t="s">
        <v>181</v>
      </c>
      <c r="G5708" t="s">
        <v>180</v>
      </c>
    </row>
    <row r="5709" spans="1:7">
      <c r="A5709">
        <v>2031</v>
      </c>
      <c r="B5709" t="s">
        <v>193</v>
      </c>
      <c r="C5709">
        <v>0</v>
      </c>
      <c r="D5709" t="s">
        <v>184</v>
      </c>
      <c r="E5709" t="s">
        <v>182</v>
      </c>
      <c r="F5709" t="s">
        <v>181</v>
      </c>
      <c r="G5709" t="s">
        <v>180</v>
      </c>
    </row>
    <row r="5710" spans="1:7">
      <c r="A5710">
        <v>2032</v>
      </c>
      <c r="B5710" t="s">
        <v>193</v>
      </c>
      <c r="C5710">
        <v>0</v>
      </c>
      <c r="D5710" t="s">
        <v>184</v>
      </c>
      <c r="E5710" t="s">
        <v>182</v>
      </c>
      <c r="F5710" t="s">
        <v>181</v>
      </c>
      <c r="G5710" t="s">
        <v>180</v>
      </c>
    </row>
    <row r="5711" spans="1:7">
      <c r="A5711">
        <v>2033</v>
      </c>
      <c r="B5711" t="s">
        <v>193</v>
      </c>
      <c r="C5711">
        <v>0</v>
      </c>
      <c r="D5711" t="s">
        <v>184</v>
      </c>
      <c r="E5711" t="s">
        <v>182</v>
      </c>
      <c r="F5711" t="s">
        <v>181</v>
      </c>
      <c r="G5711" t="s">
        <v>180</v>
      </c>
    </row>
    <row r="5712" spans="1:7">
      <c r="A5712">
        <v>2034</v>
      </c>
      <c r="B5712" t="s">
        <v>193</v>
      </c>
      <c r="C5712">
        <v>0</v>
      </c>
      <c r="D5712" t="s">
        <v>184</v>
      </c>
      <c r="E5712" t="s">
        <v>182</v>
      </c>
      <c r="F5712" t="s">
        <v>181</v>
      </c>
      <c r="G5712" t="s">
        <v>180</v>
      </c>
    </row>
    <row r="5713" spans="1:7">
      <c r="A5713">
        <v>2035</v>
      </c>
      <c r="B5713" t="s">
        <v>193</v>
      </c>
      <c r="C5713">
        <v>0</v>
      </c>
      <c r="D5713" t="s">
        <v>184</v>
      </c>
      <c r="E5713" t="s">
        <v>182</v>
      </c>
      <c r="F5713" t="s">
        <v>181</v>
      </c>
      <c r="G5713" t="s">
        <v>180</v>
      </c>
    </row>
    <row r="5714" spans="1:7">
      <c r="A5714">
        <v>2020</v>
      </c>
      <c r="B5714" t="s">
        <v>194</v>
      </c>
      <c r="C5714">
        <v>14.85</v>
      </c>
      <c r="D5714" t="s">
        <v>184</v>
      </c>
      <c r="E5714" t="s">
        <v>182</v>
      </c>
      <c r="F5714" t="s">
        <v>181</v>
      </c>
      <c r="G5714" t="s">
        <v>180</v>
      </c>
    </row>
    <row r="5715" spans="1:7">
      <c r="A5715">
        <v>2021</v>
      </c>
      <c r="B5715" t="s">
        <v>194</v>
      </c>
      <c r="C5715">
        <v>0</v>
      </c>
      <c r="D5715" t="s">
        <v>184</v>
      </c>
      <c r="E5715" t="s">
        <v>182</v>
      </c>
      <c r="F5715" t="s">
        <v>181</v>
      </c>
      <c r="G5715" t="s">
        <v>180</v>
      </c>
    </row>
    <row r="5716" spans="1:7">
      <c r="A5716">
        <v>2022</v>
      </c>
      <c r="B5716" t="s">
        <v>194</v>
      </c>
      <c r="C5716">
        <v>0</v>
      </c>
      <c r="D5716" t="s">
        <v>184</v>
      </c>
      <c r="E5716" t="s">
        <v>182</v>
      </c>
      <c r="F5716" t="s">
        <v>181</v>
      </c>
      <c r="G5716" t="s">
        <v>180</v>
      </c>
    </row>
    <row r="5717" spans="1:7">
      <c r="A5717">
        <v>2023</v>
      </c>
      <c r="B5717" t="s">
        <v>194</v>
      </c>
      <c r="C5717">
        <v>0</v>
      </c>
      <c r="D5717" t="s">
        <v>184</v>
      </c>
      <c r="E5717" t="s">
        <v>182</v>
      </c>
      <c r="F5717" t="s">
        <v>181</v>
      </c>
      <c r="G5717" t="s">
        <v>180</v>
      </c>
    </row>
    <row r="5718" spans="1:7">
      <c r="A5718">
        <v>2024</v>
      </c>
      <c r="B5718" t="s">
        <v>194</v>
      </c>
      <c r="C5718">
        <v>0</v>
      </c>
      <c r="D5718" t="s">
        <v>184</v>
      </c>
      <c r="E5718" t="s">
        <v>182</v>
      </c>
      <c r="F5718" t="s">
        <v>181</v>
      </c>
      <c r="G5718" t="s">
        <v>180</v>
      </c>
    </row>
    <row r="5719" spans="1:7">
      <c r="A5719">
        <v>2025</v>
      </c>
      <c r="B5719" t="s">
        <v>194</v>
      </c>
      <c r="C5719">
        <v>0</v>
      </c>
      <c r="D5719" t="s">
        <v>184</v>
      </c>
      <c r="E5719" t="s">
        <v>182</v>
      </c>
      <c r="F5719" t="s">
        <v>181</v>
      </c>
      <c r="G5719" t="s">
        <v>180</v>
      </c>
    </row>
    <row r="5720" spans="1:7">
      <c r="A5720">
        <v>2026</v>
      </c>
      <c r="B5720" t="s">
        <v>194</v>
      </c>
      <c r="C5720">
        <v>0</v>
      </c>
      <c r="D5720" t="s">
        <v>184</v>
      </c>
      <c r="E5720" t="s">
        <v>182</v>
      </c>
      <c r="F5720" t="s">
        <v>181</v>
      </c>
      <c r="G5720" t="s">
        <v>180</v>
      </c>
    </row>
    <row r="5721" spans="1:7">
      <c r="A5721">
        <v>2027</v>
      </c>
      <c r="B5721" t="s">
        <v>194</v>
      </c>
      <c r="C5721">
        <v>0</v>
      </c>
      <c r="D5721" t="s">
        <v>184</v>
      </c>
      <c r="E5721" t="s">
        <v>182</v>
      </c>
      <c r="F5721" t="s">
        <v>181</v>
      </c>
      <c r="G5721" t="s">
        <v>180</v>
      </c>
    </row>
    <row r="5722" spans="1:7">
      <c r="A5722">
        <v>2028</v>
      </c>
      <c r="B5722" t="s">
        <v>194</v>
      </c>
      <c r="C5722">
        <v>0</v>
      </c>
      <c r="D5722" t="s">
        <v>184</v>
      </c>
      <c r="E5722" t="s">
        <v>182</v>
      </c>
      <c r="F5722" t="s">
        <v>181</v>
      </c>
      <c r="G5722" t="s">
        <v>180</v>
      </c>
    </row>
    <row r="5723" spans="1:7">
      <c r="A5723">
        <v>2029</v>
      </c>
      <c r="B5723" t="s">
        <v>194</v>
      </c>
      <c r="C5723">
        <v>0</v>
      </c>
      <c r="D5723" t="s">
        <v>184</v>
      </c>
      <c r="E5723" t="s">
        <v>182</v>
      </c>
      <c r="F5723" t="s">
        <v>181</v>
      </c>
      <c r="G5723" t="s">
        <v>180</v>
      </c>
    </row>
    <row r="5724" spans="1:7">
      <c r="A5724">
        <v>2030</v>
      </c>
      <c r="B5724" t="s">
        <v>194</v>
      </c>
      <c r="C5724">
        <v>0</v>
      </c>
      <c r="D5724" t="s">
        <v>184</v>
      </c>
      <c r="E5724" t="s">
        <v>182</v>
      </c>
      <c r="F5724" t="s">
        <v>181</v>
      </c>
      <c r="G5724" t="s">
        <v>180</v>
      </c>
    </row>
    <row r="5725" spans="1:7">
      <c r="A5725">
        <v>2031</v>
      </c>
      <c r="B5725" t="s">
        <v>194</v>
      </c>
      <c r="C5725">
        <v>0</v>
      </c>
      <c r="D5725" t="s">
        <v>184</v>
      </c>
      <c r="E5725" t="s">
        <v>182</v>
      </c>
      <c r="F5725" t="s">
        <v>181</v>
      </c>
      <c r="G5725" t="s">
        <v>180</v>
      </c>
    </row>
    <row r="5726" spans="1:7">
      <c r="A5726">
        <v>2032</v>
      </c>
      <c r="B5726" t="s">
        <v>194</v>
      </c>
      <c r="C5726">
        <v>0</v>
      </c>
      <c r="D5726" t="s">
        <v>184</v>
      </c>
      <c r="E5726" t="s">
        <v>182</v>
      </c>
      <c r="F5726" t="s">
        <v>181</v>
      </c>
      <c r="G5726" t="s">
        <v>180</v>
      </c>
    </row>
    <row r="5727" spans="1:7">
      <c r="A5727">
        <v>2033</v>
      </c>
      <c r="B5727" t="s">
        <v>194</v>
      </c>
      <c r="C5727">
        <v>0</v>
      </c>
      <c r="D5727" t="s">
        <v>184</v>
      </c>
      <c r="E5727" t="s">
        <v>182</v>
      </c>
      <c r="F5727" t="s">
        <v>181</v>
      </c>
      <c r="G5727" t="s">
        <v>180</v>
      </c>
    </row>
    <row r="5728" spans="1:7">
      <c r="A5728">
        <v>2034</v>
      </c>
      <c r="B5728" t="s">
        <v>194</v>
      </c>
      <c r="C5728">
        <v>0</v>
      </c>
      <c r="D5728" t="s">
        <v>184</v>
      </c>
      <c r="E5728" t="s">
        <v>182</v>
      </c>
      <c r="F5728" t="s">
        <v>181</v>
      </c>
      <c r="G5728" t="s">
        <v>180</v>
      </c>
    </row>
    <row r="5729" spans="1:7">
      <c r="A5729">
        <v>2035</v>
      </c>
      <c r="B5729" t="s">
        <v>194</v>
      </c>
      <c r="C5729">
        <v>0</v>
      </c>
      <c r="D5729" t="s">
        <v>184</v>
      </c>
      <c r="E5729" t="s">
        <v>182</v>
      </c>
      <c r="F5729" t="s">
        <v>181</v>
      </c>
      <c r="G5729" t="s">
        <v>180</v>
      </c>
    </row>
    <row r="5730" spans="1:7">
      <c r="A5730">
        <v>2020</v>
      </c>
      <c r="B5730" t="s">
        <v>195</v>
      </c>
      <c r="C5730">
        <v>10078.9</v>
      </c>
      <c r="D5730" t="s">
        <v>184</v>
      </c>
      <c r="E5730" t="s">
        <v>182</v>
      </c>
      <c r="F5730" t="s">
        <v>181</v>
      </c>
      <c r="G5730" t="s">
        <v>180</v>
      </c>
    </row>
    <row r="5731" spans="1:7">
      <c r="A5731">
        <v>2021</v>
      </c>
      <c r="B5731" t="s">
        <v>195</v>
      </c>
      <c r="C5731">
        <v>1538.87</v>
      </c>
      <c r="D5731" t="s">
        <v>184</v>
      </c>
      <c r="E5731" t="s">
        <v>182</v>
      </c>
      <c r="F5731" t="s">
        <v>181</v>
      </c>
      <c r="G5731" t="s">
        <v>180</v>
      </c>
    </row>
    <row r="5732" spans="1:7">
      <c r="A5732">
        <v>2022</v>
      </c>
      <c r="B5732" t="s">
        <v>195</v>
      </c>
      <c r="C5732">
        <v>1538.87</v>
      </c>
      <c r="D5732" t="s">
        <v>184</v>
      </c>
      <c r="E5732" t="s">
        <v>182</v>
      </c>
      <c r="F5732" t="s">
        <v>181</v>
      </c>
      <c r="G5732" t="s">
        <v>180</v>
      </c>
    </row>
    <row r="5733" spans="1:7">
      <c r="A5733">
        <v>2023</v>
      </c>
      <c r="B5733" t="s">
        <v>195</v>
      </c>
      <c r="C5733">
        <v>5073.74</v>
      </c>
      <c r="D5733" t="s">
        <v>184</v>
      </c>
      <c r="E5733" t="s">
        <v>182</v>
      </c>
      <c r="F5733" t="s">
        <v>181</v>
      </c>
      <c r="G5733" t="s">
        <v>180</v>
      </c>
    </row>
    <row r="5734" spans="1:7">
      <c r="A5734">
        <v>2024</v>
      </c>
      <c r="B5734" t="s">
        <v>195</v>
      </c>
      <c r="C5734">
        <v>5073.74</v>
      </c>
      <c r="D5734" t="s">
        <v>184</v>
      </c>
      <c r="E5734" t="s">
        <v>182</v>
      </c>
      <c r="F5734" t="s">
        <v>181</v>
      </c>
      <c r="G5734" t="s">
        <v>180</v>
      </c>
    </row>
    <row r="5735" spans="1:7">
      <c r="A5735">
        <v>2025</v>
      </c>
      <c r="B5735" t="s">
        <v>195</v>
      </c>
      <c r="C5735">
        <v>5444.74</v>
      </c>
      <c r="D5735" t="s">
        <v>184</v>
      </c>
      <c r="E5735" t="s">
        <v>182</v>
      </c>
      <c r="F5735" t="s">
        <v>181</v>
      </c>
      <c r="G5735" t="s">
        <v>180</v>
      </c>
    </row>
    <row r="5736" spans="1:7">
      <c r="A5736">
        <v>2026</v>
      </c>
      <c r="B5736" t="s">
        <v>195</v>
      </c>
      <c r="C5736">
        <v>5444.74</v>
      </c>
      <c r="D5736" t="s">
        <v>184</v>
      </c>
      <c r="E5736" t="s">
        <v>182</v>
      </c>
      <c r="F5736" t="s">
        <v>181</v>
      </c>
      <c r="G5736" t="s">
        <v>180</v>
      </c>
    </row>
    <row r="5737" spans="1:7">
      <c r="A5737">
        <v>2027</v>
      </c>
      <c r="B5737" t="s">
        <v>195</v>
      </c>
      <c r="C5737">
        <v>4471.6400000000003</v>
      </c>
      <c r="D5737" t="s">
        <v>184</v>
      </c>
      <c r="E5737" t="s">
        <v>182</v>
      </c>
      <c r="F5737" t="s">
        <v>181</v>
      </c>
      <c r="G5737" t="s">
        <v>180</v>
      </c>
    </row>
    <row r="5738" spans="1:7">
      <c r="A5738">
        <v>2028</v>
      </c>
      <c r="B5738" t="s">
        <v>195</v>
      </c>
      <c r="C5738">
        <v>4471.6400000000003</v>
      </c>
      <c r="D5738" t="s">
        <v>184</v>
      </c>
      <c r="E5738" t="s">
        <v>182</v>
      </c>
      <c r="F5738" t="s">
        <v>181</v>
      </c>
      <c r="G5738" t="s">
        <v>180</v>
      </c>
    </row>
    <row r="5739" spans="1:7">
      <c r="A5739">
        <v>2029</v>
      </c>
      <c r="B5739" t="s">
        <v>195</v>
      </c>
      <c r="C5739">
        <v>11779.2</v>
      </c>
      <c r="D5739" t="s">
        <v>184</v>
      </c>
      <c r="E5739" t="s">
        <v>182</v>
      </c>
      <c r="F5739" t="s">
        <v>181</v>
      </c>
      <c r="G5739" t="s">
        <v>180</v>
      </c>
    </row>
    <row r="5740" spans="1:7">
      <c r="A5740">
        <v>2030</v>
      </c>
      <c r="B5740" t="s">
        <v>195</v>
      </c>
      <c r="C5740">
        <v>11779.2</v>
      </c>
      <c r="D5740" t="s">
        <v>184</v>
      </c>
      <c r="E5740" t="s">
        <v>182</v>
      </c>
      <c r="F5740" t="s">
        <v>181</v>
      </c>
      <c r="G5740" t="s">
        <v>180</v>
      </c>
    </row>
    <row r="5741" spans="1:7">
      <c r="A5741">
        <v>2031</v>
      </c>
      <c r="B5741" t="s">
        <v>195</v>
      </c>
      <c r="C5741">
        <v>6504.68</v>
      </c>
      <c r="D5741" t="s">
        <v>184</v>
      </c>
      <c r="E5741" t="s">
        <v>182</v>
      </c>
      <c r="F5741" t="s">
        <v>181</v>
      </c>
      <c r="G5741" t="s">
        <v>180</v>
      </c>
    </row>
    <row r="5742" spans="1:7">
      <c r="A5742">
        <v>2032</v>
      </c>
      <c r="B5742" t="s">
        <v>195</v>
      </c>
      <c r="C5742">
        <v>6504.68</v>
      </c>
      <c r="D5742" t="s">
        <v>184</v>
      </c>
      <c r="E5742" t="s">
        <v>182</v>
      </c>
      <c r="F5742" t="s">
        <v>181</v>
      </c>
      <c r="G5742" t="s">
        <v>180</v>
      </c>
    </row>
    <row r="5743" spans="1:7">
      <c r="A5743">
        <v>2033</v>
      </c>
      <c r="B5743" t="s">
        <v>195</v>
      </c>
      <c r="C5743">
        <v>7594.94</v>
      </c>
      <c r="D5743" t="s">
        <v>184</v>
      </c>
      <c r="E5743" t="s">
        <v>182</v>
      </c>
      <c r="F5743" t="s">
        <v>181</v>
      </c>
      <c r="G5743" t="s">
        <v>180</v>
      </c>
    </row>
    <row r="5744" spans="1:7">
      <c r="A5744">
        <v>2034</v>
      </c>
      <c r="B5744" t="s">
        <v>195</v>
      </c>
      <c r="C5744">
        <v>7594.94</v>
      </c>
      <c r="D5744" t="s">
        <v>184</v>
      </c>
      <c r="E5744" t="s">
        <v>182</v>
      </c>
      <c r="F5744" t="s">
        <v>181</v>
      </c>
      <c r="G5744" t="s">
        <v>180</v>
      </c>
    </row>
    <row r="5745" spans="1:7">
      <c r="A5745">
        <v>2035</v>
      </c>
      <c r="B5745" t="s">
        <v>195</v>
      </c>
      <c r="C5745">
        <v>7594.94</v>
      </c>
      <c r="D5745" t="s">
        <v>184</v>
      </c>
      <c r="E5745" t="s">
        <v>182</v>
      </c>
      <c r="F5745" t="s">
        <v>181</v>
      </c>
      <c r="G5745" t="s">
        <v>180</v>
      </c>
    </row>
    <row r="5746" spans="1:7">
      <c r="A5746">
        <v>2020</v>
      </c>
      <c r="B5746" t="s">
        <v>196</v>
      </c>
      <c r="C5746">
        <v>8181.05</v>
      </c>
      <c r="D5746" t="s">
        <v>184</v>
      </c>
      <c r="E5746" t="s">
        <v>182</v>
      </c>
      <c r="F5746" t="s">
        <v>181</v>
      </c>
      <c r="G5746" t="s">
        <v>180</v>
      </c>
    </row>
    <row r="5747" spans="1:7">
      <c r="A5747">
        <v>2021</v>
      </c>
      <c r="B5747" t="s">
        <v>196</v>
      </c>
      <c r="C5747">
        <v>1569.79</v>
      </c>
      <c r="D5747" t="s">
        <v>184</v>
      </c>
      <c r="E5747" t="s">
        <v>182</v>
      </c>
      <c r="F5747" t="s">
        <v>181</v>
      </c>
      <c r="G5747" t="s">
        <v>180</v>
      </c>
    </row>
    <row r="5748" spans="1:7">
      <c r="A5748">
        <v>2022</v>
      </c>
      <c r="B5748" t="s">
        <v>196</v>
      </c>
      <c r="C5748">
        <v>1569.79</v>
      </c>
      <c r="D5748" t="s">
        <v>184</v>
      </c>
      <c r="E5748" t="s">
        <v>182</v>
      </c>
      <c r="F5748" t="s">
        <v>181</v>
      </c>
      <c r="G5748" t="s">
        <v>180</v>
      </c>
    </row>
    <row r="5749" spans="1:7">
      <c r="A5749">
        <v>2023</v>
      </c>
      <c r="B5749" t="s">
        <v>196</v>
      </c>
      <c r="C5749">
        <v>1914.24</v>
      </c>
      <c r="D5749" t="s">
        <v>184</v>
      </c>
      <c r="E5749" t="s">
        <v>182</v>
      </c>
      <c r="F5749" t="s">
        <v>181</v>
      </c>
      <c r="G5749" t="s">
        <v>180</v>
      </c>
    </row>
    <row r="5750" spans="1:7">
      <c r="A5750">
        <v>2024</v>
      </c>
      <c r="B5750" t="s">
        <v>196</v>
      </c>
      <c r="C5750">
        <v>1914.24</v>
      </c>
      <c r="D5750" t="s">
        <v>184</v>
      </c>
      <c r="E5750" t="s">
        <v>182</v>
      </c>
      <c r="F5750" t="s">
        <v>181</v>
      </c>
      <c r="G5750" t="s">
        <v>180</v>
      </c>
    </row>
    <row r="5751" spans="1:7">
      <c r="A5751">
        <v>2025</v>
      </c>
      <c r="B5751" t="s">
        <v>196</v>
      </c>
      <c r="C5751">
        <v>1673.52</v>
      </c>
      <c r="D5751" t="s">
        <v>184</v>
      </c>
      <c r="E5751" t="s">
        <v>182</v>
      </c>
      <c r="F5751" t="s">
        <v>181</v>
      </c>
      <c r="G5751" t="s">
        <v>180</v>
      </c>
    </row>
    <row r="5752" spans="1:7">
      <c r="A5752">
        <v>2026</v>
      </c>
      <c r="B5752" t="s">
        <v>196</v>
      </c>
      <c r="C5752">
        <v>1673.52</v>
      </c>
      <c r="D5752" t="s">
        <v>184</v>
      </c>
      <c r="E5752" t="s">
        <v>182</v>
      </c>
      <c r="F5752" t="s">
        <v>181</v>
      </c>
      <c r="G5752" t="s">
        <v>180</v>
      </c>
    </row>
    <row r="5753" spans="1:7">
      <c r="A5753">
        <v>2027</v>
      </c>
      <c r="B5753" t="s">
        <v>196</v>
      </c>
      <c r="C5753">
        <v>2321.59</v>
      </c>
      <c r="D5753" t="s">
        <v>184</v>
      </c>
      <c r="E5753" t="s">
        <v>182</v>
      </c>
      <c r="F5753" t="s">
        <v>181</v>
      </c>
      <c r="G5753" t="s">
        <v>180</v>
      </c>
    </row>
    <row r="5754" spans="1:7">
      <c r="A5754">
        <v>2028</v>
      </c>
      <c r="B5754" t="s">
        <v>196</v>
      </c>
      <c r="C5754">
        <v>2321.59</v>
      </c>
      <c r="D5754" t="s">
        <v>184</v>
      </c>
      <c r="E5754" t="s">
        <v>182</v>
      </c>
      <c r="F5754" t="s">
        <v>181</v>
      </c>
      <c r="G5754" t="s">
        <v>180</v>
      </c>
    </row>
    <row r="5755" spans="1:7">
      <c r="A5755">
        <v>2029</v>
      </c>
      <c r="B5755" t="s">
        <v>196</v>
      </c>
      <c r="C5755">
        <v>6349.87</v>
      </c>
      <c r="D5755" t="s">
        <v>184</v>
      </c>
      <c r="E5755" t="s">
        <v>182</v>
      </c>
      <c r="F5755" t="s">
        <v>181</v>
      </c>
      <c r="G5755" t="s">
        <v>180</v>
      </c>
    </row>
    <row r="5756" spans="1:7">
      <c r="A5756">
        <v>2030</v>
      </c>
      <c r="B5756" t="s">
        <v>196</v>
      </c>
      <c r="C5756">
        <v>6349.87</v>
      </c>
      <c r="D5756" t="s">
        <v>184</v>
      </c>
      <c r="E5756" t="s">
        <v>182</v>
      </c>
      <c r="F5756" t="s">
        <v>181</v>
      </c>
      <c r="G5756" t="s">
        <v>180</v>
      </c>
    </row>
    <row r="5757" spans="1:7">
      <c r="A5757">
        <v>2031</v>
      </c>
      <c r="B5757" t="s">
        <v>196</v>
      </c>
      <c r="C5757">
        <v>2680.9</v>
      </c>
      <c r="D5757" t="s">
        <v>184</v>
      </c>
      <c r="E5757" t="s">
        <v>182</v>
      </c>
      <c r="F5757" t="s">
        <v>181</v>
      </c>
      <c r="G5757" t="s">
        <v>180</v>
      </c>
    </row>
    <row r="5758" spans="1:7">
      <c r="A5758">
        <v>2032</v>
      </c>
      <c r="B5758" t="s">
        <v>196</v>
      </c>
      <c r="C5758">
        <v>2680.9</v>
      </c>
      <c r="D5758" t="s">
        <v>184</v>
      </c>
      <c r="E5758" t="s">
        <v>182</v>
      </c>
      <c r="F5758" t="s">
        <v>181</v>
      </c>
      <c r="G5758" t="s">
        <v>180</v>
      </c>
    </row>
    <row r="5759" spans="1:7">
      <c r="A5759">
        <v>2033</v>
      </c>
      <c r="B5759" t="s">
        <v>196</v>
      </c>
      <c r="C5759">
        <v>2651.02</v>
      </c>
      <c r="D5759" t="s">
        <v>184</v>
      </c>
      <c r="E5759" t="s">
        <v>182</v>
      </c>
      <c r="F5759" t="s">
        <v>181</v>
      </c>
      <c r="G5759" t="s">
        <v>180</v>
      </c>
    </row>
    <row r="5760" spans="1:7">
      <c r="A5760">
        <v>2034</v>
      </c>
      <c r="B5760" t="s">
        <v>196</v>
      </c>
      <c r="C5760">
        <v>2651.02</v>
      </c>
      <c r="D5760" t="s">
        <v>184</v>
      </c>
      <c r="E5760" t="s">
        <v>182</v>
      </c>
      <c r="F5760" t="s">
        <v>181</v>
      </c>
      <c r="G5760" t="s">
        <v>180</v>
      </c>
    </row>
    <row r="5761" spans="1:7">
      <c r="A5761">
        <v>2035</v>
      </c>
      <c r="B5761" t="s">
        <v>196</v>
      </c>
      <c r="C5761">
        <v>2651.02</v>
      </c>
      <c r="D5761" t="s">
        <v>184</v>
      </c>
      <c r="E5761" t="s">
        <v>182</v>
      </c>
      <c r="F5761" t="s">
        <v>181</v>
      </c>
      <c r="G5761" t="s">
        <v>180</v>
      </c>
    </row>
  </sheetData>
  <phoneticPr fontId="3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3"/>
  <sheetViews>
    <sheetView zoomScaleNormal="100" workbookViewId="0"/>
  </sheetViews>
  <sheetFormatPr baseColWidth="10" defaultColWidth="9" defaultRowHeight="14"/>
  <cols>
    <col min="1" max="1" width="45.796875" customWidth="1"/>
  </cols>
  <sheetData>
    <row r="1" spans="1:33">
      <c r="A1" t="s">
        <v>202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203</v>
      </c>
      <c r="B2">
        <v>1370</v>
      </c>
      <c r="C2">
        <v>2629</v>
      </c>
      <c r="D2">
        <v>5629</v>
      </c>
      <c r="E2">
        <v>6260</v>
      </c>
      <c r="F2">
        <v>11805</v>
      </c>
      <c r="G2">
        <v>17566</v>
      </c>
      <c r="H2">
        <v>26477</v>
      </c>
      <c r="I2">
        <v>33860</v>
      </c>
      <c r="J2">
        <v>40567</v>
      </c>
      <c r="K2">
        <v>47274</v>
      </c>
      <c r="L2">
        <v>57899</v>
      </c>
      <c r="M2">
        <v>82228</v>
      </c>
      <c r="N2">
        <v>105614</v>
      </c>
      <c r="O2">
        <v>128999</v>
      </c>
      <c r="P2">
        <v>158417</v>
      </c>
      <c r="Q2">
        <v>187834</v>
      </c>
      <c r="R2">
        <v>217251</v>
      </c>
      <c r="S2">
        <v>236862</v>
      </c>
      <c r="T2">
        <v>254513</v>
      </c>
      <c r="U2">
        <v>270202</v>
      </c>
      <c r="V2">
        <v>283930</v>
      </c>
      <c r="W2">
        <v>295697</v>
      </c>
      <c r="X2">
        <v>305503</v>
      </c>
      <c r="Y2">
        <v>315308</v>
      </c>
      <c r="Z2">
        <v>325114</v>
      </c>
      <c r="AA2">
        <v>334920</v>
      </c>
      <c r="AB2">
        <v>344726</v>
      </c>
      <c r="AC2">
        <v>354532</v>
      </c>
      <c r="AD2">
        <v>364338</v>
      </c>
      <c r="AE2">
        <v>374143</v>
      </c>
      <c r="AF2">
        <v>383949</v>
      </c>
      <c r="AG2">
        <v>393755</v>
      </c>
    </row>
    <row r="4" spans="1:33">
      <c r="A4" t="s">
        <v>202</v>
      </c>
      <c r="B4">
        <v>2019</v>
      </c>
      <c r="C4">
        <v>2020</v>
      </c>
      <c r="D4">
        <v>2021</v>
      </c>
      <c r="E4">
        <v>2022</v>
      </c>
      <c r="F4">
        <v>2023</v>
      </c>
      <c r="G4">
        <v>2024</v>
      </c>
      <c r="H4">
        <v>2025</v>
      </c>
      <c r="I4">
        <v>2026</v>
      </c>
      <c r="J4">
        <v>2027</v>
      </c>
      <c r="K4">
        <v>2028</v>
      </c>
      <c r="L4">
        <v>2029</v>
      </c>
      <c r="M4">
        <v>2030</v>
      </c>
      <c r="N4">
        <v>2031</v>
      </c>
      <c r="O4">
        <v>2032</v>
      </c>
      <c r="P4">
        <v>2033</v>
      </c>
      <c r="Q4">
        <v>2034</v>
      </c>
      <c r="R4">
        <v>2035</v>
      </c>
      <c r="S4">
        <v>2036</v>
      </c>
      <c r="T4">
        <v>2037</v>
      </c>
      <c r="U4">
        <v>2038</v>
      </c>
      <c r="V4">
        <v>2039</v>
      </c>
      <c r="W4">
        <v>2040</v>
      </c>
      <c r="X4">
        <v>2041</v>
      </c>
      <c r="Y4">
        <v>2042</v>
      </c>
      <c r="Z4">
        <v>2043</v>
      </c>
      <c r="AA4">
        <v>2044</v>
      </c>
      <c r="AB4">
        <v>2045</v>
      </c>
      <c r="AC4">
        <v>2046</v>
      </c>
      <c r="AD4">
        <v>2047</v>
      </c>
      <c r="AE4">
        <v>2048</v>
      </c>
      <c r="AF4">
        <v>2049</v>
      </c>
      <c r="AG4">
        <v>2050</v>
      </c>
    </row>
    <row r="5" spans="1:33">
      <c r="A5" t="s">
        <v>204</v>
      </c>
      <c r="B5">
        <v>226.05799999999999</v>
      </c>
      <c r="C5">
        <v>218.57599999999999</v>
      </c>
      <c r="D5">
        <v>205.41800000000001</v>
      </c>
      <c r="E5">
        <v>178.58600000000001</v>
      </c>
      <c r="F5">
        <v>146.59399999999999</v>
      </c>
      <c r="G5">
        <v>114.602</v>
      </c>
      <c r="H5">
        <v>73.322000000000003</v>
      </c>
      <c r="I5">
        <v>58.616</v>
      </c>
      <c r="J5">
        <v>43.652000000000001</v>
      </c>
      <c r="K5">
        <v>28.43</v>
      </c>
      <c r="L5">
        <v>12.433999999999999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205</v>
      </c>
      <c r="B6">
        <v>255.38</v>
      </c>
      <c r="C6">
        <v>255.226</v>
      </c>
      <c r="D6">
        <v>256.30399999999997</v>
      </c>
      <c r="E6">
        <v>260.92399999999998</v>
      </c>
      <c r="F6">
        <v>260.154</v>
      </c>
      <c r="G6">
        <v>253.84</v>
      </c>
      <c r="H6">
        <v>249.066</v>
      </c>
      <c r="I6">
        <v>246.756</v>
      </c>
      <c r="J6">
        <v>242.44399999999999</v>
      </c>
      <c r="K6">
        <v>237.82400000000001</v>
      </c>
      <c r="L6">
        <v>233.358</v>
      </c>
      <c r="M6">
        <v>229.35400000000001</v>
      </c>
      <c r="N6">
        <v>224.73400000000001</v>
      </c>
      <c r="O6">
        <v>220.57599999999999</v>
      </c>
      <c r="P6">
        <v>215.494</v>
      </c>
      <c r="Q6">
        <v>210.10400000000001</v>
      </c>
      <c r="R6">
        <v>210.10400000000001</v>
      </c>
      <c r="S6">
        <v>210.10400000000001</v>
      </c>
      <c r="T6">
        <v>209.95</v>
      </c>
      <c r="U6">
        <v>209.95</v>
      </c>
      <c r="V6">
        <v>209.334</v>
      </c>
      <c r="W6">
        <v>209.334</v>
      </c>
      <c r="X6">
        <v>209.334</v>
      </c>
      <c r="Y6">
        <v>208.87200000000001</v>
      </c>
      <c r="Z6">
        <v>208.87200000000001</v>
      </c>
      <c r="AA6">
        <v>208.87200000000001</v>
      </c>
      <c r="AB6">
        <v>208.256</v>
      </c>
      <c r="AC6">
        <v>208.256</v>
      </c>
      <c r="AD6">
        <v>207.79400000000001</v>
      </c>
      <c r="AE6">
        <v>207.024</v>
      </c>
      <c r="AF6">
        <v>207.024</v>
      </c>
      <c r="AG6">
        <v>206.71600000000001</v>
      </c>
    </row>
    <row r="7" spans="1:33">
      <c r="A7" t="s">
        <v>206</v>
      </c>
      <c r="B7">
        <v>98.293999999999997</v>
      </c>
      <c r="C7">
        <v>98.293999999999997</v>
      </c>
      <c r="D7">
        <v>94.876999999999995</v>
      </c>
      <c r="E7">
        <v>92.599000000000004</v>
      </c>
      <c r="F7">
        <v>90.320999999999998</v>
      </c>
      <c r="G7">
        <v>88.043000000000006</v>
      </c>
      <c r="H7">
        <v>83.486999999999995</v>
      </c>
      <c r="I7">
        <v>74.375</v>
      </c>
      <c r="J7">
        <v>72.096999999999994</v>
      </c>
      <c r="K7">
        <v>69.819000000000003</v>
      </c>
      <c r="L7">
        <v>67.540999999999997</v>
      </c>
      <c r="M7">
        <v>66.402000000000001</v>
      </c>
      <c r="N7">
        <v>65.263000000000005</v>
      </c>
      <c r="O7">
        <v>64.123999999999995</v>
      </c>
      <c r="P7">
        <v>59.567999999999998</v>
      </c>
      <c r="Q7">
        <v>55.012</v>
      </c>
      <c r="R7">
        <v>55.012</v>
      </c>
      <c r="S7">
        <v>55.012</v>
      </c>
      <c r="T7">
        <v>55.012</v>
      </c>
      <c r="U7">
        <v>55.012</v>
      </c>
      <c r="V7">
        <v>55.012</v>
      </c>
      <c r="W7">
        <v>53.872999999999998</v>
      </c>
      <c r="X7">
        <v>53.872999999999998</v>
      </c>
      <c r="Y7">
        <v>53.872999999999998</v>
      </c>
      <c r="Z7">
        <v>52.734000000000002</v>
      </c>
      <c r="AA7">
        <v>52.734000000000002</v>
      </c>
      <c r="AB7">
        <v>52.734000000000002</v>
      </c>
      <c r="AC7">
        <v>52.734000000000002</v>
      </c>
      <c r="AD7">
        <v>52.734000000000002</v>
      </c>
      <c r="AE7">
        <v>52.734000000000002</v>
      </c>
      <c r="AF7">
        <v>52.734000000000002</v>
      </c>
      <c r="AG7">
        <v>52.734000000000002</v>
      </c>
    </row>
    <row r="8" spans="1:33">
      <c r="A8" t="s">
        <v>207</v>
      </c>
      <c r="B8">
        <v>79.655000000000001</v>
      </c>
      <c r="C8">
        <v>79.792000000000002</v>
      </c>
      <c r="D8">
        <v>79.968000000000004</v>
      </c>
      <c r="E8">
        <v>80.126000000000005</v>
      </c>
      <c r="F8">
        <v>80.436999999999998</v>
      </c>
      <c r="G8">
        <v>80.545000000000002</v>
      </c>
      <c r="H8">
        <v>80.661000000000001</v>
      </c>
      <c r="I8">
        <v>80.781000000000006</v>
      </c>
      <c r="J8">
        <v>80.894999999999996</v>
      </c>
      <c r="K8">
        <v>80.984999999999999</v>
      </c>
      <c r="L8">
        <v>81.010999999999996</v>
      </c>
      <c r="M8">
        <v>81.111000000000004</v>
      </c>
      <c r="N8">
        <v>81.158000000000001</v>
      </c>
      <c r="O8">
        <v>81.271000000000001</v>
      </c>
      <c r="P8">
        <v>81.388000000000005</v>
      </c>
      <c r="Q8">
        <v>80.132999999999996</v>
      </c>
      <c r="R8">
        <v>80.278999999999996</v>
      </c>
      <c r="S8">
        <v>80.373999999999995</v>
      </c>
      <c r="T8">
        <v>80.424999999999997</v>
      </c>
      <c r="U8">
        <v>80.525000000000006</v>
      </c>
      <c r="V8">
        <v>80.617999999999995</v>
      </c>
      <c r="W8">
        <v>80.715999999999994</v>
      </c>
      <c r="X8">
        <v>80.808999999999997</v>
      </c>
      <c r="Y8">
        <v>80.885999999999996</v>
      </c>
      <c r="Z8">
        <v>80.974000000000004</v>
      </c>
      <c r="AA8">
        <v>80.956000000000003</v>
      </c>
      <c r="AB8">
        <v>81.010999999999996</v>
      </c>
      <c r="AC8">
        <v>81.093999999999994</v>
      </c>
      <c r="AD8">
        <v>81.051000000000002</v>
      </c>
      <c r="AE8">
        <v>81.108999999999995</v>
      </c>
      <c r="AF8">
        <v>81.159000000000006</v>
      </c>
      <c r="AG8">
        <v>81.155000000000001</v>
      </c>
    </row>
    <row r="9" spans="1:33">
      <c r="A9" t="s">
        <v>208</v>
      </c>
      <c r="B9">
        <v>99.045000000000002</v>
      </c>
      <c r="C9">
        <v>99.045000000000002</v>
      </c>
      <c r="D9">
        <v>135.82499999999999</v>
      </c>
      <c r="E9">
        <v>176.55</v>
      </c>
      <c r="F9">
        <v>208.98500000000001</v>
      </c>
      <c r="G9">
        <v>236.87</v>
      </c>
      <c r="H9">
        <v>265.28500000000003</v>
      </c>
      <c r="I9">
        <v>296.755</v>
      </c>
      <c r="J9">
        <v>322.255</v>
      </c>
      <c r="K9">
        <v>349.47</v>
      </c>
      <c r="L9">
        <v>376.8</v>
      </c>
      <c r="M9">
        <v>402.08</v>
      </c>
      <c r="N9">
        <v>439.90499999999997</v>
      </c>
      <c r="O9">
        <v>490.31</v>
      </c>
      <c r="P9">
        <v>551.35</v>
      </c>
      <c r="Q9">
        <v>620.19500000000005</v>
      </c>
      <c r="R9">
        <v>684.39499999999998</v>
      </c>
      <c r="S9">
        <v>690.22500000000002</v>
      </c>
      <c r="T9">
        <v>701.79</v>
      </c>
      <c r="U9">
        <v>712.755</v>
      </c>
      <c r="V9">
        <v>718.66499999999996</v>
      </c>
      <c r="W9">
        <v>728.66499999999996</v>
      </c>
      <c r="X9">
        <v>735.93499999999995</v>
      </c>
      <c r="Y9">
        <v>741.23</v>
      </c>
      <c r="Z9">
        <v>746.09</v>
      </c>
      <c r="AA9">
        <v>750.31</v>
      </c>
      <c r="AB9">
        <v>754.99</v>
      </c>
      <c r="AC9">
        <v>758.36500000000001</v>
      </c>
      <c r="AD9">
        <v>762.55499999999995</v>
      </c>
      <c r="AE9">
        <v>766.11</v>
      </c>
      <c r="AF9">
        <v>769.21</v>
      </c>
      <c r="AG9">
        <v>772.70500000000004</v>
      </c>
    </row>
    <row r="10" spans="1:33">
      <c r="A10" t="s">
        <v>209</v>
      </c>
      <c r="B10">
        <v>29.763000000000002</v>
      </c>
      <c r="C10">
        <v>39.914999999999999</v>
      </c>
      <c r="D10">
        <v>64.783000000000001</v>
      </c>
      <c r="E10">
        <v>101.819</v>
      </c>
      <c r="F10">
        <v>141.97900000000001</v>
      </c>
      <c r="G10">
        <v>190.899</v>
      </c>
      <c r="H10">
        <v>254.53899999999999</v>
      </c>
      <c r="I10">
        <v>334.09500000000003</v>
      </c>
      <c r="J10">
        <v>409.88499999999999</v>
      </c>
      <c r="K10">
        <v>494.47300000000001</v>
      </c>
      <c r="L10">
        <v>582.52499999999998</v>
      </c>
      <c r="M10">
        <v>670.91899999999998</v>
      </c>
      <c r="N10">
        <v>760.19500000000005</v>
      </c>
      <c r="O10">
        <v>849.471</v>
      </c>
      <c r="P10">
        <v>938.577</v>
      </c>
      <c r="Q10">
        <v>1027.67</v>
      </c>
      <c r="R10">
        <v>1117.67</v>
      </c>
      <c r="S10">
        <v>1201.57</v>
      </c>
      <c r="T10">
        <v>1291.3</v>
      </c>
      <c r="U10">
        <v>1381.04</v>
      </c>
      <c r="V10">
        <v>1467.05</v>
      </c>
      <c r="W10">
        <v>1556.72</v>
      </c>
      <c r="X10">
        <v>1645.14</v>
      </c>
      <c r="Y10">
        <v>1730.64</v>
      </c>
      <c r="Z10">
        <v>1814.45</v>
      </c>
      <c r="AA10">
        <v>1895.33</v>
      </c>
      <c r="AB10">
        <v>1978.6</v>
      </c>
      <c r="AC10">
        <v>2053.12</v>
      </c>
      <c r="AD10">
        <v>2133.71</v>
      </c>
      <c r="AE10">
        <v>2210.11</v>
      </c>
      <c r="AF10">
        <v>2281.2800000000002</v>
      </c>
      <c r="AG10">
        <v>2356.73</v>
      </c>
    </row>
    <row r="11" spans="1:33">
      <c r="A11" t="s">
        <v>210</v>
      </c>
      <c r="B11">
        <v>1.758</v>
      </c>
      <c r="C11">
        <v>1.758</v>
      </c>
      <c r="D11">
        <v>1.758</v>
      </c>
      <c r="E11">
        <v>0.35399999999999998</v>
      </c>
      <c r="F11">
        <v>0.19800000000000001</v>
      </c>
      <c r="G11">
        <v>0.19800000000000001</v>
      </c>
      <c r="H11">
        <v>0.19800000000000001</v>
      </c>
      <c r="I11">
        <v>0.19800000000000001</v>
      </c>
      <c r="J11">
        <v>0.19800000000000001</v>
      </c>
      <c r="K11">
        <v>0.19800000000000001</v>
      </c>
      <c r="L11">
        <v>0.19800000000000001</v>
      </c>
      <c r="M11">
        <v>4.2000000000000003E-2</v>
      </c>
      <c r="N11">
        <v>4.2000000000000003E-2</v>
      </c>
      <c r="O11">
        <v>4.2000000000000003E-2</v>
      </c>
      <c r="P11">
        <v>4.2000000000000003E-2</v>
      </c>
      <c r="Q11">
        <v>4.2000000000000003E-2</v>
      </c>
      <c r="R11">
        <v>4.2000000000000003E-2</v>
      </c>
      <c r="S11">
        <v>4.2000000000000003E-2</v>
      </c>
      <c r="T11">
        <v>4.2000000000000003E-2</v>
      </c>
      <c r="U11">
        <v>4.2000000000000003E-2</v>
      </c>
      <c r="V11">
        <v>4.2000000000000003E-2</v>
      </c>
      <c r="W11">
        <v>4.2000000000000003E-2</v>
      </c>
      <c r="X11">
        <v>4.2000000000000003E-2</v>
      </c>
      <c r="Y11">
        <v>4.2000000000000003E-2</v>
      </c>
      <c r="Z11">
        <v>4.2000000000000003E-2</v>
      </c>
      <c r="AA11">
        <v>4.2000000000000003E-2</v>
      </c>
      <c r="AB11">
        <v>4.2000000000000003E-2</v>
      </c>
      <c r="AC11">
        <v>4.2000000000000003E-2</v>
      </c>
      <c r="AD11">
        <v>4.2000000000000003E-2</v>
      </c>
      <c r="AE11">
        <v>4.2000000000000003E-2</v>
      </c>
      <c r="AF11">
        <v>4.2000000000000003E-2</v>
      </c>
      <c r="AG11">
        <v>4.2000000000000003E-2</v>
      </c>
    </row>
    <row r="12" spans="1:33">
      <c r="A12" t="s">
        <v>211</v>
      </c>
      <c r="B12">
        <v>5.2329999999999997</v>
      </c>
      <c r="C12">
        <v>5.2869999999999999</v>
      </c>
      <c r="D12">
        <v>4.5490000000000004</v>
      </c>
      <c r="E12">
        <v>6.7000000000000004E-2</v>
      </c>
      <c r="F12">
        <v>3.1E-2</v>
      </c>
      <c r="G12">
        <v>1.2999999999999999E-2</v>
      </c>
      <c r="H12">
        <v>1.2999999999999999E-2</v>
      </c>
      <c r="I12">
        <v>1.2999999999999999E-2</v>
      </c>
      <c r="J12">
        <v>1.2999999999999999E-2</v>
      </c>
      <c r="K12">
        <v>1.2999999999999999E-2</v>
      </c>
      <c r="L12">
        <v>1.2999999999999999E-2</v>
      </c>
      <c r="M12">
        <v>1.2999999999999999E-2</v>
      </c>
      <c r="N12">
        <v>1.2999999999999999E-2</v>
      </c>
      <c r="O12">
        <v>1.2999999999999999E-2</v>
      </c>
      <c r="P12">
        <v>1.2999999999999999E-2</v>
      </c>
      <c r="Q12">
        <v>1.2999999999999999E-2</v>
      </c>
      <c r="R12">
        <v>1.2999999999999999E-2</v>
      </c>
      <c r="S12">
        <v>1.2999999999999999E-2</v>
      </c>
      <c r="T12">
        <v>1.2999999999999999E-2</v>
      </c>
      <c r="U12">
        <v>1.2999999999999999E-2</v>
      </c>
      <c r="V12">
        <v>1.2999999999999999E-2</v>
      </c>
      <c r="W12">
        <v>1.2999999999999999E-2</v>
      </c>
      <c r="X12">
        <v>1.2999999999999999E-2</v>
      </c>
      <c r="Y12">
        <v>1.2999999999999999E-2</v>
      </c>
      <c r="Z12">
        <v>1.2999999999999999E-2</v>
      </c>
      <c r="AA12">
        <v>1.2999999999999999E-2</v>
      </c>
      <c r="AB12">
        <v>1.2999999999999999E-2</v>
      </c>
      <c r="AC12">
        <v>1.2999999999999999E-2</v>
      </c>
      <c r="AD12">
        <v>1.2999999999999999E-2</v>
      </c>
      <c r="AE12">
        <v>1.2999999999999999E-2</v>
      </c>
      <c r="AF12">
        <v>1.2999999999999999E-2</v>
      </c>
      <c r="AG12">
        <v>1.2999999999999999E-2</v>
      </c>
    </row>
    <row r="13" spans="1:33">
      <c r="A13" t="s">
        <v>212</v>
      </c>
      <c r="B13">
        <v>2.395</v>
      </c>
      <c r="C13">
        <v>2.395</v>
      </c>
      <c r="D13">
        <v>2.4550000000000001</v>
      </c>
      <c r="E13">
        <v>2.4550000000000001</v>
      </c>
      <c r="F13">
        <v>2.4550000000000001</v>
      </c>
      <c r="G13">
        <v>2.4550000000000001</v>
      </c>
      <c r="H13">
        <v>2.4550000000000001</v>
      </c>
      <c r="I13">
        <v>2.4550000000000001</v>
      </c>
      <c r="J13">
        <v>2.4550000000000001</v>
      </c>
      <c r="K13">
        <v>0.68500000000000005</v>
      </c>
      <c r="L13">
        <v>5.0000000000000001E-3</v>
      </c>
      <c r="M13">
        <v>5.0000000000000001E-3</v>
      </c>
      <c r="N13">
        <v>5.0000000000000001E-3</v>
      </c>
      <c r="O13">
        <v>5.0000000000000001E-3</v>
      </c>
      <c r="P13">
        <v>5.0000000000000001E-3</v>
      </c>
      <c r="Q13">
        <v>5.0000000000000001E-3</v>
      </c>
      <c r="R13">
        <v>5.0000000000000001E-3</v>
      </c>
      <c r="S13">
        <v>5.0000000000000001E-3</v>
      </c>
      <c r="T13">
        <v>5.0000000000000001E-3</v>
      </c>
      <c r="U13">
        <v>5.0000000000000001E-3</v>
      </c>
      <c r="V13">
        <v>5.0000000000000001E-3</v>
      </c>
      <c r="W13">
        <v>5.0000000000000001E-3</v>
      </c>
      <c r="X13">
        <v>5.0000000000000001E-3</v>
      </c>
      <c r="Y13">
        <v>5.0000000000000001E-3</v>
      </c>
      <c r="Z13">
        <v>5.0000000000000001E-3</v>
      </c>
      <c r="AA13">
        <v>5.0000000000000001E-3</v>
      </c>
      <c r="AB13">
        <v>5.0000000000000001E-3</v>
      </c>
      <c r="AC13">
        <v>5.0000000000000001E-3</v>
      </c>
      <c r="AD13">
        <v>5.0000000000000001E-3</v>
      </c>
      <c r="AE13">
        <v>5.0000000000000001E-3</v>
      </c>
      <c r="AF13">
        <v>5.0000000000000001E-3</v>
      </c>
      <c r="AG13">
        <v>5.0000000000000001E-3</v>
      </c>
    </row>
    <row r="14" spans="1:33">
      <c r="A14" t="s">
        <v>213</v>
      </c>
      <c r="B14">
        <v>28.693999999999999</v>
      </c>
      <c r="C14">
        <v>28.552</v>
      </c>
      <c r="D14">
        <v>28.225000000000001</v>
      </c>
      <c r="E14">
        <v>27.965</v>
      </c>
      <c r="F14">
        <v>27.841999999999999</v>
      </c>
      <c r="G14">
        <v>27.706</v>
      </c>
      <c r="H14">
        <v>27.547000000000001</v>
      </c>
      <c r="I14">
        <v>27.431999999999999</v>
      </c>
      <c r="J14">
        <v>27.379000000000001</v>
      </c>
      <c r="K14">
        <v>27.352</v>
      </c>
      <c r="L14">
        <v>31.617999999999999</v>
      </c>
      <c r="M14">
        <v>35.950000000000003</v>
      </c>
      <c r="N14">
        <v>40.253</v>
      </c>
      <c r="O14">
        <v>41.424999999999997</v>
      </c>
      <c r="P14">
        <v>41.362000000000002</v>
      </c>
      <c r="Q14">
        <v>41.332000000000001</v>
      </c>
      <c r="R14">
        <v>41.281999999999996</v>
      </c>
      <c r="S14">
        <v>41.281999999999996</v>
      </c>
      <c r="T14">
        <v>41.28</v>
      </c>
      <c r="U14">
        <v>41.262999999999998</v>
      </c>
      <c r="V14">
        <v>41.262999999999998</v>
      </c>
      <c r="W14">
        <v>41.262999999999998</v>
      </c>
      <c r="X14">
        <v>41.253</v>
      </c>
      <c r="Y14">
        <v>41.250999999999998</v>
      </c>
      <c r="Z14">
        <v>41.250999999999998</v>
      </c>
      <c r="AA14">
        <v>41.250999999999998</v>
      </c>
      <c r="AB14">
        <v>41.250999999999998</v>
      </c>
      <c r="AC14">
        <v>41.250999999999998</v>
      </c>
      <c r="AD14">
        <v>41.250999999999998</v>
      </c>
      <c r="AE14">
        <v>41.247</v>
      </c>
      <c r="AF14">
        <v>41.244999999999997</v>
      </c>
      <c r="AG14">
        <v>41.244999999999997</v>
      </c>
    </row>
    <row r="15" spans="1:33">
      <c r="A15" t="s">
        <v>214</v>
      </c>
      <c r="B15">
        <v>195.82</v>
      </c>
      <c r="C15">
        <v>193.42</v>
      </c>
      <c r="D15">
        <v>193.02</v>
      </c>
      <c r="E15">
        <v>188.87</v>
      </c>
      <c r="F15">
        <v>187.87</v>
      </c>
      <c r="G15">
        <v>186.57</v>
      </c>
      <c r="H15">
        <v>184.32</v>
      </c>
      <c r="I15">
        <v>182.17</v>
      </c>
      <c r="J15">
        <v>181.17</v>
      </c>
      <c r="K15">
        <v>180.67</v>
      </c>
      <c r="L15">
        <v>198.22</v>
      </c>
      <c r="M15">
        <v>217.02</v>
      </c>
      <c r="N15">
        <v>235.27</v>
      </c>
      <c r="O15">
        <v>252.72</v>
      </c>
      <c r="P15">
        <v>263.77</v>
      </c>
      <c r="Q15">
        <v>270.32</v>
      </c>
      <c r="R15">
        <v>269.42</v>
      </c>
      <c r="S15">
        <v>276.97000000000003</v>
      </c>
      <c r="T15">
        <v>288.67</v>
      </c>
      <c r="U15">
        <v>300.12</v>
      </c>
      <c r="V15">
        <v>309.62</v>
      </c>
      <c r="W15">
        <v>315.82</v>
      </c>
      <c r="X15">
        <v>318.32</v>
      </c>
      <c r="Y15">
        <v>318.32</v>
      </c>
      <c r="Z15">
        <v>318.32</v>
      </c>
      <c r="AA15">
        <v>318.32</v>
      </c>
      <c r="AB15">
        <v>318.32</v>
      </c>
      <c r="AC15">
        <v>318.32</v>
      </c>
      <c r="AD15">
        <v>318.32</v>
      </c>
      <c r="AE15">
        <v>318.27</v>
      </c>
      <c r="AF15">
        <v>318.27</v>
      </c>
      <c r="AG15">
        <v>318.27</v>
      </c>
    </row>
    <row r="16" spans="1:33">
      <c r="A16" t="s">
        <v>215</v>
      </c>
      <c r="B16">
        <v>6.8879999999999999</v>
      </c>
      <c r="C16">
        <v>6.8879999999999999</v>
      </c>
      <c r="D16">
        <v>6.3719999999999999</v>
      </c>
      <c r="E16">
        <v>2.5019999999999998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>
      <c r="A17" t="s">
        <v>216</v>
      </c>
      <c r="B17">
        <v>2.9000000000000001E-2</v>
      </c>
      <c r="C17">
        <v>2.9000000000000001E-2</v>
      </c>
      <c r="D17">
        <v>3.9E-2</v>
      </c>
      <c r="E17">
        <v>5.8999999999999997E-2</v>
      </c>
      <c r="F17">
        <v>0.85899999999999999</v>
      </c>
      <c r="G17">
        <v>0.83399999999999996</v>
      </c>
      <c r="H17">
        <v>0.83399999999999996</v>
      </c>
      <c r="I17">
        <v>0.83399999999999996</v>
      </c>
      <c r="J17">
        <v>0.83399999999999996</v>
      </c>
      <c r="K17">
        <v>0.83399999999999996</v>
      </c>
      <c r="L17">
        <v>0.83399999999999996</v>
      </c>
      <c r="M17">
        <v>0.83399999999999996</v>
      </c>
      <c r="N17">
        <v>0.83399999999999996</v>
      </c>
      <c r="O17">
        <v>0.83399999999999996</v>
      </c>
      <c r="P17">
        <v>4.0000000000000001E-3</v>
      </c>
      <c r="Q17">
        <v>4.0000000000000001E-3</v>
      </c>
      <c r="R17">
        <v>1.9E-2</v>
      </c>
      <c r="S17">
        <v>1.9E-2</v>
      </c>
      <c r="T17">
        <v>4.0000000000000001E-3</v>
      </c>
      <c r="U17">
        <v>4.0000000000000001E-3</v>
      </c>
      <c r="V17">
        <v>4.0000000000000001E-3</v>
      </c>
      <c r="W17">
        <v>4.0000000000000001E-3</v>
      </c>
      <c r="X17">
        <v>4.0000000000000001E-3</v>
      </c>
      <c r="Y17">
        <v>4.0000000000000001E-3</v>
      </c>
      <c r="Z17">
        <v>4.0000000000000001E-3</v>
      </c>
      <c r="AA17">
        <v>4.0000000000000001E-3</v>
      </c>
      <c r="AB17">
        <v>4.0000000000000001E-3</v>
      </c>
      <c r="AC17">
        <v>4.0000000000000001E-3</v>
      </c>
      <c r="AD17">
        <v>4.0000000000000001E-3</v>
      </c>
      <c r="AE17">
        <v>4.0000000000000001E-3</v>
      </c>
      <c r="AF17">
        <v>4.0000000000000001E-3</v>
      </c>
      <c r="AG17">
        <v>4.0000000000000001E-3</v>
      </c>
    </row>
    <row r="18" spans="1:33">
      <c r="A18" t="s">
        <v>217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>
      <c r="A19" t="s">
        <v>218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>
      <c r="A20" t="s">
        <v>219</v>
      </c>
      <c r="B20">
        <v>1.81</v>
      </c>
      <c r="C20">
        <v>1.81</v>
      </c>
      <c r="D20">
        <v>1.712</v>
      </c>
      <c r="E20">
        <v>0.94199999999999995</v>
      </c>
      <c r="F20">
        <v>4.0000000000000001E-3</v>
      </c>
      <c r="G20">
        <v>4.0000000000000001E-3</v>
      </c>
      <c r="H20">
        <v>4.0000000000000001E-3</v>
      </c>
      <c r="I20">
        <v>4.0000000000000001E-3</v>
      </c>
      <c r="J20">
        <v>4.0000000000000001E-3</v>
      </c>
      <c r="K20">
        <v>4.0000000000000001E-3</v>
      </c>
      <c r="L20">
        <v>4.0000000000000001E-3</v>
      </c>
      <c r="M20">
        <v>4.0000000000000001E-3</v>
      </c>
      <c r="N20">
        <v>4.0000000000000001E-3</v>
      </c>
      <c r="O20">
        <v>4.0000000000000001E-3</v>
      </c>
      <c r="P20">
        <v>4.0000000000000001E-3</v>
      </c>
      <c r="Q20">
        <v>4.0000000000000001E-3</v>
      </c>
      <c r="R20">
        <v>4.0000000000000001E-3</v>
      </c>
      <c r="S20">
        <v>4.0000000000000001E-3</v>
      </c>
      <c r="T20">
        <v>4.0000000000000001E-3</v>
      </c>
      <c r="U20">
        <v>4.0000000000000001E-3</v>
      </c>
      <c r="V20">
        <v>4.0000000000000001E-3</v>
      </c>
      <c r="W20">
        <v>4.0000000000000001E-3</v>
      </c>
      <c r="X20">
        <v>4.0000000000000001E-3</v>
      </c>
      <c r="Y20">
        <v>4.0000000000000001E-3</v>
      </c>
      <c r="Z20">
        <v>4.0000000000000001E-3</v>
      </c>
      <c r="AA20">
        <v>4.0000000000000001E-3</v>
      </c>
      <c r="AB20">
        <v>4.0000000000000001E-3</v>
      </c>
      <c r="AC20">
        <v>4.0000000000000001E-3</v>
      </c>
      <c r="AD20">
        <v>4.0000000000000001E-3</v>
      </c>
      <c r="AE20">
        <v>4.0000000000000001E-3</v>
      </c>
      <c r="AF20">
        <v>4.0000000000000001E-3</v>
      </c>
      <c r="AG20">
        <v>4.0000000000000001E-3</v>
      </c>
    </row>
    <row r="22" spans="1:33" ht="15">
      <c r="A22" s="26" t="s">
        <v>201</v>
      </c>
      <c r="B22">
        <f>(B2/1000)/SUM(B9:B10)</f>
        <v>1.0635985342525311E-2</v>
      </c>
      <c r="C22">
        <f t="shared" ref="C22:AG22" si="0">(C2/1000)/SUM(C9:C10)</f>
        <v>1.8919113413932067E-2</v>
      </c>
      <c r="D22">
        <f t="shared" si="0"/>
        <v>2.8059698516509808E-2</v>
      </c>
      <c r="E22">
        <f t="shared" si="0"/>
        <v>2.2488136250803786E-2</v>
      </c>
      <c r="F22">
        <f t="shared" si="0"/>
        <v>3.3635928471296192E-2</v>
      </c>
      <c r="G22">
        <f t="shared" si="0"/>
        <v>4.1064219239823362E-2</v>
      </c>
      <c r="H22">
        <f t="shared" si="0"/>
        <v>5.0934547077472372E-2</v>
      </c>
      <c r="I22">
        <f t="shared" si="0"/>
        <v>5.3673614963937542E-2</v>
      </c>
      <c r="J22">
        <f t="shared" si="0"/>
        <v>5.5408801595323298E-2</v>
      </c>
      <c r="K22">
        <f t="shared" si="0"/>
        <v>5.6015631387427829E-2</v>
      </c>
      <c r="L22">
        <f t="shared" si="0"/>
        <v>6.0353894665520026E-2</v>
      </c>
      <c r="M22">
        <f t="shared" si="0"/>
        <v>7.6633808605599818E-2</v>
      </c>
      <c r="N22">
        <f t="shared" si="0"/>
        <v>8.8004332972252325E-2</v>
      </c>
      <c r="O22">
        <f t="shared" si="0"/>
        <v>9.6283646357128522E-2</v>
      </c>
      <c r="P22">
        <f t="shared" si="0"/>
        <v>0.10632534345642437</v>
      </c>
      <c r="Q22">
        <f t="shared" si="0"/>
        <v>0.11398627921583381</v>
      </c>
      <c r="R22">
        <f t="shared" si="0"/>
        <v>0.1205566946808245</v>
      </c>
      <c r="S22">
        <f t="shared" si="0"/>
        <v>0.12520489799370438</v>
      </c>
      <c r="T22">
        <f t="shared" si="0"/>
        <v>0.12769769553808408</v>
      </c>
      <c r="U22">
        <f t="shared" si="0"/>
        <v>0.12904892790363909</v>
      </c>
      <c r="V22">
        <f t="shared" si="0"/>
        <v>0.12990257192726407</v>
      </c>
      <c r="W22">
        <f t="shared" si="0"/>
        <v>0.129386077181744</v>
      </c>
      <c r="X22">
        <f t="shared" si="0"/>
        <v>0.12830465231040603</v>
      </c>
      <c r="Y22">
        <f t="shared" si="0"/>
        <v>0.1275584881081934</v>
      </c>
      <c r="Z22">
        <f t="shared" si="0"/>
        <v>0.12697087333140664</v>
      </c>
      <c r="AA22">
        <f t="shared" si="0"/>
        <v>0.12659318728171634</v>
      </c>
      <c r="AB22">
        <f t="shared" si="0"/>
        <v>0.12610742649775569</v>
      </c>
      <c r="AC22">
        <f t="shared" si="0"/>
        <v>0.12610133079137895</v>
      </c>
      <c r="AD22">
        <f t="shared" si="0"/>
        <v>0.1257958094304216</v>
      </c>
      <c r="AE22">
        <f t="shared" si="0"/>
        <v>0.12571080094885456</v>
      </c>
      <c r="AF22">
        <f t="shared" si="0"/>
        <v>0.12586469714701573</v>
      </c>
      <c r="AG22">
        <f t="shared" si="0"/>
        <v>0.12582303195305222</v>
      </c>
    </row>
    <row r="23" spans="1:33">
      <c r="C23">
        <v>1.2803047346053965E-2</v>
      </c>
      <c r="D23">
        <v>1.6287027436856189E-2</v>
      </c>
      <c r="E23">
        <v>1.8339396987172078E-2</v>
      </c>
      <c r="F23">
        <v>3.0295928079129647E-2</v>
      </c>
      <c r="G23">
        <v>3.9056603015181462E-2</v>
      </c>
      <c r="H23">
        <v>4.7193128443664183E-2</v>
      </c>
      <c r="I23">
        <v>5.3475056492734332E-2</v>
      </c>
      <c r="J23">
        <v>5.6894630042626182E-2</v>
      </c>
      <c r="K23">
        <v>5.9625596824254418E-2</v>
      </c>
      <c r="L23">
        <v>6.629747767979853E-2</v>
      </c>
      <c r="M23">
        <v>7.1843544744720975E-2</v>
      </c>
      <c r="N23">
        <v>8.4387145591466622E-2</v>
      </c>
      <c r="O23">
        <v>9.4954954528819066E-2</v>
      </c>
      <c r="P23">
        <v>0.10641309347642154</v>
      </c>
      <c r="Q23">
        <v>0.11602867048113187</v>
      </c>
      <c r="R23">
        <v>0.12421305795000899</v>
      </c>
    </row>
  </sheetData>
  <phoneticPr fontId="3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14"/>
  <sheetViews>
    <sheetView zoomScale="80" zoomScaleNormal="80" workbookViewId="0">
      <selection activeCell="C23" sqref="C23"/>
    </sheetView>
  </sheetViews>
  <sheetFormatPr baseColWidth="10" defaultColWidth="9" defaultRowHeight="14"/>
  <cols>
    <col min="1" max="1" width="19" bestFit="1" customWidth="1"/>
    <col min="2" max="2" width="42.796875" customWidth="1"/>
  </cols>
  <sheetData>
    <row r="1" spans="1:35" ht="15" customHeight="1" thickBot="1">
      <c r="B1" s="10" t="s">
        <v>121</v>
      </c>
      <c r="C1" s="11">
        <v>2019</v>
      </c>
      <c r="D1" s="11">
        <v>2020</v>
      </c>
      <c r="E1" s="11">
        <v>2021</v>
      </c>
      <c r="F1" s="11">
        <v>2022</v>
      </c>
      <c r="G1" s="11">
        <v>2023</v>
      </c>
      <c r="H1" s="11">
        <v>2024</v>
      </c>
      <c r="I1" s="11">
        <v>2025</v>
      </c>
      <c r="J1" s="11">
        <v>2026</v>
      </c>
      <c r="K1" s="11">
        <v>2027</v>
      </c>
      <c r="L1" s="11">
        <v>2028</v>
      </c>
      <c r="M1" s="11">
        <v>2029</v>
      </c>
      <c r="N1" s="11">
        <v>2030</v>
      </c>
      <c r="O1" s="11">
        <v>2031</v>
      </c>
      <c r="P1" s="11">
        <v>2032</v>
      </c>
      <c r="Q1" s="11">
        <v>2033</v>
      </c>
      <c r="R1" s="11">
        <v>2034</v>
      </c>
      <c r="S1" s="11">
        <v>2035</v>
      </c>
      <c r="T1" s="11">
        <v>2036</v>
      </c>
      <c r="U1" s="11">
        <v>2037</v>
      </c>
      <c r="V1" s="11">
        <v>2038</v>
      </c>
      <c r="W1" s="11">
        <v>2039</v>
      </c>
      <c r="X1" s="11">
        <v>2040</v>
      </c>
      <c r="Y1" s="11">
        <v>2041</v>
      </c>
      <c r="Z1" s="11">
        <v>2042</v>
      </c>
      <c r="AA1" s="11">
        <v>2043</v>
      </c>
      <c r="AB1" s="11">
        <v>2044</v>
      </c>
      <c r="AC1" s="11">
        <v>2045</v>
      </c>
      <c r="AD1" s="11">
        <v>2046</v>
      </c>
      <c r="AE1" s="11">
        <v>2047</v>
      </c>
      <c r="AF1" s="11">
        <v>2048</v>
      </c>
      <c r="AG1" s="11">
        <v>2049</v>
      </c>
      <c r="AH1" s="11">
        <v>2050</v>
      </c>
    </row>
    <row r="2" spans="1:35" ht="15" customHeight="1" thickTop="1">
      <c r="C2" s="6"/>
      <c r="D2" s="6"/>
      <c r="E2" s="6"/>
      <c r="F2" s="6"/>
      <c r="G2" s="6"/>
    </row>
    <row r="3" spans="1:35" ht="15" customHeight="1">
      <c r="C3" s="6" t="s">
        <v>3</v>
      </c>
      <c r="D3" s="6" t="s">
        <v>122</v>
      </c>
      <c r="E3" s="6"/>
      <c r="F3" s="6"/>
      <c r="G3" s="6"/>
    </row>
    <row r="4" spans="1:35" ht="15" customHeight="1">
      <c r="C4" s="6" t="s">
        <v>4</v>
      </c>
      <c r="D4" s="6" t="s">
        <v>123</v>
      </c>
      <c r="E4" s="6"/>
      <c r="F4" s="6"/>
      <c r="G4" s="6" t="s">
        <v>5</v>
      </c>
    </row>
    <row r="5" spans="1:35" ht="15" customHeight="1">
      <c r="C5" s="6" t="s">
        <v>6</v>
      </c>
      <c r="D5" s="6" t="s">
        <v>124</v>
      </c>
      <c r="E5" s="6"/>
      <c r="F5" s="6"/>
      <c r="G5" s="6"/>
    </row>
    <row r="6" spans="1:35" ht="15" customHeight="1">
      <c r="C6" s="6" t="s">
        <v>7</v>
      </c>
      <c r="D6" s="6"/>
      <c r="E6" s="6" t="s">
        <v>125</v>
      </c>
      <c r="F6" s="6"/>
      <c r="G6" s="6"/>
    </row>
    <row r="10" spans="1:35" ht="15" customHeight="1">
      <c r="A10" s="7" t="s">
        <v>8</v>
      </c>
      <c r="B10" s="12" t="s">
        <v>9</v>
      </c>
    </row>
    <row r="11" spans="1:35" ht="15" customHeight="1">
      <c r="B11" s="10" t="s">
        <v>10</v>
      </c>
    </row>
    <row r="12" spans="1:35" ht="15" customHeight="1">
      <c r="B12" s="10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 t="s">
        <v>11</v>
      </c>
      <c r="N12" s="3" t="s">
        <v>11</v>
      </c>
      <c r="O12" s="3" t="s">
        <v>11</v>
      </c>
      <c r="P12" s="3" t="s">
        <v>11</v>
      </c>
      <c r="Q12" s="3" t="s">
        <v>11</v>
      </c>
      <c r="R12" s="3" t="s">
        <v>11</v>
      </c>
      <c r="S12" s="3" t="s">
        <v>11</v>
      </c>
      <c r="T12" s="3" t="s">
        <v>11</v>
      </c>
      <c r="U12" s="3" t="s">
        <v>11</v>
      </c>
      <c r="V12" s="3" t="s">
        <v>11</v>
      </c>
      <c r="W12" s="3" t="s">
        <v>11</v>
      </c>
      <c r="X12" s="3" t="s">
        <v>11</v>
      </c>
      <c r="Y12" s="3" t="s">
        <v>11</v>
      </c>
      <c r="Z12" s="3" t="s">
        <v>11</v>
      </c>
      <c r="AA12" s="3" t="s">
        <v>11</v>
      </c>
      <c r="AB12" s="3" t="s">
        <v>11</v>
      </c>
      <c r="AC12" s="3" t="s">
        <v>11</v>
      </c>
      <c r="AD12" s="3" t="s">
        <v>11</v>
      </c>
      <c r="AE12" s="3" t="s">
        <v>11</v>
      </c>
      <c r="AF12" s="3" t="s">
        <v>11</v>
      </c>
      <c r="AG12" s="3" t="s">
        <v>11</v>
      </c>
      <c r="AH12" s="3" t="s">
        <v>11</v>
      </c>
      <c r="AI12" s="3" t="s">
        <v>126</v>
      </c>
    </row>
    <row r="13" spans="1:35" ht="15" customHeight="1" thickBot="1">
      <c r="B13" s="11" t="s">
        <v>12</v>
      </c>
      <c r="C13" s="11">
        <v>2019</v>
      </c>
      <c r="D13" s="11">
        <v>2020</v>
      </c>
      <c r="E13" s="11">
        <v>2021</v>
      </c>
      <c r="F13" s="11">
        <v>2022</v>
      </c>
      <c r="G13" s="11">
        <v>2023</v>
      </c>
      <c r="H13" s="11">
        <v>2024</v>
      </c>
      <c r="I13" s="11">
        <v>2025</v>
      </c>
      <c r="J13" s="11">
        <v>2026</v>
      </c>
      <c r="K13" s="11">
        <v>2027</v>
      </c>
      <c r="L13" s="11">
        <v>2028</v>
      </c>
      <c r="M13" s="11">
        <v>2029</v>
      </c>
      <c r="N13" s="11">
        <v>2030</v>
      </c>
      <c r="O13" s="11">
        <v>2031</v>
      </c>
      <c r="P13" s="11">
        <v>2032</v>
      </c>
      <c r="Q13" s="11">
        <v>2033</v>
      </c>
      <c r="R13" s="11">
        <v>2034</v>
      </c>
      <c r="S13" s="11">
        <v>2035</v>
      </c>
      <c r="T13" s="11">
        <v>2036</v>
      </c>
      <c r="U13" s="11">
        <v>2037</v>
      </c>
      <c r="V13" s="11">
        <v>2038</v>
      </c>
      <c r="W13" s="11">
        <v>2039</v>
      </c>
      <c r="X13" s="11">
        <v>2040</v>
      </c>
      <c r="Y13" s="11">
        <v>2041</v>
      </c>
      <c r="Z13" s="11">
        <v>2042</v>
      </c>
      <c r="AA13" s="11">
        <v>2043</v>
      </c>
      <c r="AB13" s="11">
        <v>2044</v>
      </c>
      <c r="AC13" s="11">
        <v>2045</v>
      </c>
      <c r="AD13" s="11">
        <v>2046</v>
      </c>
      <c r="AE13" s="11">
        <v>2047</v>
      </c>
      <c r="AF13" s="11">
        <v>2048</v>
      </c>
      <c r="AG13" s="11">
        <v>2049</v>
      </c>
      <c r="AH13" s="11">
        <v>2050</v>
      </c>
      <c r="AI13" s="11">
        <v>2050</v>
      </c>
    </row>
    <row r="14" spans="1:35" ht="15" customHeight="1" thickTop="1"/>
    <row r="15" spans="1:35" ht="15" customHeight="1">
      <c r="B15" s="13" t="s">
        <v>13</v>
      </c>
    </row>
    <row r="16" spans="1:35" ht="15" customHeight="1">
      <c r="B16" s="13" t="s">
        <v>14</v>
      </c>
    </row>
    <row r="17" spans="1:35" ht="15" customHeight="1">
      <c r="A17" s="7" t="s">
        <v>15</v>
      </c>
      <c r="B17" s="14" t="s">
        <v>16</v>
      </c>
      <c r="C17" s="15">
        <v>231.084137</v>
      </c>
      <c r="D17" s="15">
        <v>223.796234</v>
      </c>
      <c r="E17" s="15">
        <v>221.061813</v>
      </c>
      <c r="F17" s="15">
        <v>207.50491299999999</v>
      </c>
      <c r="G17" s="15">
        <v>190.04248000000001</v>
      </c>
      <c r="H17" s="15">
        <v>172.30737300000001</v>
      </c>
      <c r="I17" s="15">
        <v>138.29920999999999</v>
      </c>
      <c r="J17" s="15">
        <v>135.373199</v>
      </c>
      <c r="K17" s="15">
        <v>134.09551999999999</v>
      </c>
      <c r="L17" s="15">
        <v>132.760513</v>
      </c>
      <c r="M17" s="15">
        <v>130.82551599999999</v>
      </c>
      <c r="N17" s="15">
        <v>130.190506</v>
      </c>
      <c r="O17" s="15">
        <v>129.95851099999999</v>
      </c>
      <c r="P17" s="15">
        <v>129.86621099999999</v>
      </c>
      <c r="Q17" s="15">
        <v>129.86621099999999</v>
      </c>
      <c r="R17" s="15">
        <v>128.70791600000001</v>
      </c>
      <c r="S17" s="15">
        <v>127.831902</v>
      </c>
      <c r="T17" s="15">
        <v>127.149406</v>
      </c>
      <c r="U17" s="15">
        <v>126.61489899999999</v>
      </c>
      <c r="V17" s="15">
        <v>124.961411</v>
      </c>
      <c r="W17" s="15">
        <v>124.622406</v>
      </c>
      <c r="X17" s="15">
        <v>124.622406</v>
      </c>
      <c r="Y17" s="15">
        <v>124.28241</v>
      </c>
      <c r="Z17" s="15">
        <v>124.28241</v>
      </c>
      <c r="AA17" s="15">
        <v>124.28241</v>
      </c>
      <c r="AB17" s="15">
        <v>124.28241</v>
      </c>
      <c r="AC17" s="15">
        <v>123.867401</v>
      </c>
      <c r="AD17" s="15">
        <v>123.867401</v>
      </c>
      <c r="AE17" s="15">
        <v>123.635406</v>
      </c>
      <c r="AF17" s="15">
        <v>123.635406</v>
      </c>
      <c r="AG17" s="15">
        <v>123.410408</v>
      </c>
      <c r="AH17" s="15">
        <v>123.410408</v>
      </c>
      <c r="AI17" s="16">
        <v>-2.0031E-2</v>
      </c>
    </row>
    <row r="18" spans="1:35" ht="15" customHeight="1">
      <c r="A18" s="7" t="s">
        <v>17</v>
      </c>
      <c r="B18" s="14" t="s">
        <v>18</v>
      </c>
      <c r="C18" s="15">
        <v>75.206710999999999</v>
      </c>
      <c r="D18" s="15">
        <v>72.773109000000005</v>
      </c>
      <c r="E18" s="15">
        <v>66.741507999999996</v>
      </c>
      <c r="F18" s="15">
        <v>61.672409000000002</v>
      </c>
      <c r="G18" s="15">
        <v>59.380302</v>
      </c>
      <c r="H18" s="15">
        <v>56.946198000000003</v>
      </c>
      <c r="I18" s="15">
        <v>60.158005000000003</v>
      </c>
      <c r="J18" s="15">
        <v>58.542808999999998</v>
      </c>
      <c r="K18" s="15">
        <v>58.025803000000003</v>
      </c>
      <c r="L18" s="15">
        <v>57.491805999999997</v>
      </c>
      <c r="M18" s="15">
        <v>55.735405</v>
      </c>
      <c r="N18" s="15">
        <v>55.287407000000002</v>
      </c>
      <c r="O18" s="15">
        <v>54.269210999999999</v>
      </c>
      <c r="P18" s="15">
        <v>52.417209999999997</v>
      </c>
      <c r="Q18" s="15">
        <v>51.148808000000002</v>
      </c>
      <c r="R18" s="15">
        <v>50.620708</v>
      </c>
      <c r="S18" s="15">
        <v>49.641711999999998</v>
      </c>
      <c r="T18" s="15">
        <v>49.641711999999998</v>
      </c>
      <c r="U18" s="15">
        <v>49.641711999999998</v>
      </c>
      <c r="V18" s="15">
        <v>49.310710999999998</v>
      </c>
      <c r="W18" s="15">
        <v>49.310710999999998</v>
      </c>
      <c r="X18" s="15">
        <v>49.310710999999998</v>
      </c>
      <c r="Y18" s="15">
        <v>49.310710999999998</v>
      </c>
      <c r="Z18" s="15">
        <v>49.310710999999998</v>
      </c>
      <c r="AA18" s="15">
        <v>49.310710999999998</v>
      </c>
      <c r="AB18" s="15">
        <v>49.310710999999998</v>
      </c>
      <c r="AC18" s="15">
        <v>49.310710999999998</v>
      </c>
      <c r="AD18" s="15">
        <v>49.310710999999998</v>
      </c>
      <c r="AE18" s="15">
        <v>49.310710999999998</v>
      </c>
      <c r="AF18" s="15">
        <v>49.230708999999997</v>
      </c>
      <c r="AG18" s="15">
        <v>49.230708999999997</v>
      </c>
      <c r="AH18" s="15">
        <v>49.230708999999997</v>
      </c>
      <c r="AI18" s="16">
        <v>-1.3575E-2</v>
      </c>
    </row>
    <row r="19" spans="1:35" ht="15" customHeight="1">
      <c r="A19" s="7" t="s">
        <v>19</v>
      </c>
      <c r="B19" s="14" t="s">
        <v>20</v>
      </c>
      <c r="C19" s="15">
        <v>239.88580300000001</v>
      </c>
      <c r="D19" s="15">
        <v>244.90321399999999</v>
      </c>
      <c r="E19" s="15">
        <v>254.76440400000001</v>
      </c>
      <c r="F19" s="15">
        <v>269.495361</v>
      </c>
      <c r="G19" s="15">
        <v>280.39184599999999</v>
      </c>
      <c r="H19" s="15">
        <v>289.07000699999998</v>
      </c>
      <c r="I19" s="15">
        <v>301.34295700000001</v>
      </c>
      <c r="J19" s="15">
        <v>309.657196</v>
      </c>
      <c r="K19" s="15">
        <v>312.92663599999997</v>
      </c>
      <c r="L19" s="15">
        <v>316.25357100000002</v>
      </c>
      <c r="M19" s="15">
        <v>320.897156</v>
      </c>
      <c r="N19" s="15">
        <v>322.814819</v>
      </c>
      <c r="O19" s="15">
        <v>327.72052000000002</v>
      </c>
      <c r="P19" s="15">
        <v>330.200897</v>
      </c>
      <c r="Q19" s="15">
        <v>333.93457000000001</v>
      </c>
      <c r="R19" s="15">
        <v>337.632904</v>
      </c>
      <c r="S19" s="15">
        <v>341.53002900000001</v>
      </c>
      <c r="T19" s="15">
        <v>346.66101099999997</v>
      </c>
      <c r="U19" s="15">
        <v>351.82873499999999</v>
      </c>
      <c r="V19" s="15">
        <v>357.30999800000001</v>
      </c>
      <c r="W19" s="15">
        <v>362.72366299999999</v>
      </c>
      <c r="X19" s="15">
        <v>367.03781099999998</v>
      </c>
      <c r="Y19" s="15">
        <v>370.36437999999998</v>
      </c>
      <c r="Z19" s="15">
        <v>373.629974</v>
      </c>
      <c r="AA19" s="15">
        <v>377.41656499999999</v>
      </c>
      <c r="AB19" s="15">
        <v>378.86200000000002</v>
      </c>
      <c r="AC19" s="15">
        <v>381.45684799999998</v>
      </c>
      <c r="AD19" s="15">
        <v>385.46112099999999</v>
      </c>
      <c r="AE19" s="15">
        <v>389.477417</v>
      </c>
      <c r="AF19" s="15">
        <v>392.11798099999999</v>
      </c>
      <c r="AG19" s="15">
        <v>397.56341600000002</v>
      </c>
      <c r="AH19" s="15">
        <v>400.95281999999997</v>
      </c>
      <c r="AI19" s="16">
        <v>1.6708000000000001E-2</v>
      </c>
    </row>
    <row r="20" spans="1:35" ht="15" customHeight="1">
      <c r="A20" s="7" t="s">
        <v>21</v>
      </c>
      <c r="B20" s="14" t="s">
        <v>22</v>
      </c>
      <c r="C20" s="15">
        <v>140.492706</v>
      </c>
      <c r="D20" s="15">
        <v>147.97756999999999</v>
      </c>
      <c r="E20" s="15">
        <v>153.151962</v>
      </c>
      <c r="F20" s="15">
        <v>156.03604100000001</v>
      </c>
      <c r="G20" s="15">
        <v>159.434662</v>
      </c>
      <c r="H20" s="15">
        <v>163.249786</v>
      </c>
      <c r="I20" s="15">
        <v>167.95742799999999</v>
      </c>
      <c r="J20" s="15">
        <v>172.69607500000001</v>
      </c>
      <c r="K20" s="15">
        <v>175.56021100000001</v>
      </c>
      <c r="L20" s="15">
        <v>180.78301999999999</v>
      </c>
      <c r="M20" s="15">
        <v>184.12144499999999</v>
      </c>
      <c r="N20" s="15">
        <v>189.52706900000001</v>
      </c>
      <c r="O20" s="15">
        <v>195.743484</v>
      </c>
      <c r="P20" s="15">
        <v>202.89238</v>
      </c>
      <c r="Q20" s="15">
        <v>207.31115700000001</v>
      </c>
      <c r="R20" s="15">
        <v>211.761627</v>
      </c>
      <c r="S20" s="15">
        <v>218.32164</v>
      </c>
      <c r="T20" s="15">
        <v>223.14460800000001</v>
      </c>
      <c r="U20" s="15">
        <v>229.91980000000001</v>
      </c>
      <c r="V20" s="15">
        <v>234.47051999999999</v>
      </c>
      <c r="W20" s="15">
        <v>241.515961</v>
      </c>
      <c r="X20" s="15">
        <v>246.680206</v>
      </c>
      <c r="Y20" s="15">
        <v>253.763214</v>
      </c>
      <c r="Z20" s="15">
        <v>259.46978799999999</v>
      </c>
      <c r="AA20" s="15">
        <v>267.01702899999998</v>
      </c>
      <c r="AB20" s="15">
        <v>275.69638099999997</v>
      </c>
      <c r="AC20" s="15">
        <v>282.17578099999997</v>
      </c>
      <c r="AD20" s="15">
        <v>291.15887500000002</v>
      </c>
      <c r="AE20" s="15">
        <v>296.65948500000002</v>
      </c>
      <c r="AF20" s="15">
        <v>305.95700099999999</v>
      </c>
      <c r="AG20" s="15">
        <v>313.39669800000001</v>
      </c>
      <c r="AH20" s="15">
        <v>323.01959199999999</v>
      </c>
      <c r="AI20" s="16">
        <v>2.7220999999999999E-2</v>
      </c>
    </row>
    <row r="21" spans="1:35" ht="15" customHeight="1">
      <c r="A21" s="7" t="s">
        <v>23</v>
      </c>
      <c r="B21" s="14" t="s">
        <v>24</v>
      </c>
      <c r="C21" s="15">
        <v>98.110114999999993</v>
      </c>
      <c r="D21" s="15">
        <v>97.091614000000007</v>
      </c>
      <c r="E21" s="15">
        <v>94.744415000000004</v>
      </c>
      <c r="F21" s="15">
        <v>95.087219000000005</v>
      </c>
      <c r="G21" s="15">
        <v>95.131218000000004</v>
      </c>
      <c r="H21" s="15">
        <v>95.182006999999999</v>
      </c>
      <c r="I21" s="15">
        <v>91.920135000000002</v>
      </c>
      <c r="J21" s="15">
        <v>83.109558000000007</v>
      </c>
      <c r="K21" s="15">
        <v>83.144729999999996</v>
      </c>
      <c r="L21" s="15">
        <v>83.179893000000007</v>
      </c>
      <c r="M21" s="15">
        <v>83.224868999999998</v>
      </c>
      <c r="N21" s="15">
        <v>83.310944000000006</v>
      </c>
      <c r="O21" s="15">
        <v>83.449646000000001</v>
      </c>
      <c r="P21" s="15">
        <v>83.545952</v>
      </c>
      <c r="Q21" s="15">
        <v>81.662491000000003</v>
      </c>
      <c r="R21" s="15">
        <v>79.616546999999997</v>
      </c>
      <c r="S21" s="15">
        <v>79.794891000000007</v>
      </c>
      <c r="T21" s="15">
        <v>79.927475000000001</v>
      </c>
      <c r="U21" s="15">
        <v>79.954239000000001</v>
      </c>
      <c r="V21" s="15">
        <v>79.980987999999996</v>
      </c>
      <c r="W21" s="15">
        <v>79.980987999999996</v>
      </c>
      <c r="X21" s="15">
        <v>78.856719999999996</v>
      </c>
      <c r="Y21" s="15">
        <v>79.015640000000005</v>
      </c>
      <c r="Z21" s="15">
        <v>79.130629999999996</v>
      </c>
      <c r="AA21" s="15">
        <v>78.089554000000007</v>
      </c>
      <c r="AB21" s="15">
        <v>78.185455000000005</v>
      </c>
      <c r="AC21" s="15">
        <v>78.289337000000003</v>
      </c>
      <c r="AD21" s="15">
        <v>78.343445000000003</v>
      </c>
      <c r="AE21" s="15">
        <v>78.397537</v>
      </c>
      <c r="AF21" s="15">
        <v>78.431229000000002</v>
      </c>
      <c r="AG21" s="15">
        <v>78.471939000000006</v>
      </c>
      <c r="AH21" s="15">
        <v>78.534271000000004</v>
      </c>
      <c r="AI21" s="16">
        <v>-7.1539999999999998E-3</v>
      </c>
    </row>
    <row r="22" spans="1:35" ht="15" customHeight="1">
      <c r="A22" s="7" t="s">
        <v>25</v>
      </c>
      <c r="B22" s="14" t="s">
        <v>26</v>
      </c>
      <c r="C22" s="15">
        <v>22.830203999999998</v>
      </c>
      <c r="D22" s="15">
        <v>22.830203999999998</v>
      </c>
      <c r="E22" s="15">
        <v>22.830203999999998</v>
      </c>
      <c r="F22" s="15">
        <v>22.830203999999998</v>
      </c>
      <c r="G22" s="15">
        <v>22.830203999999998</v>
      </c>
      <c r="H22" s="15">
        <v>22.830203999999998</v>
      </c>
      <c r="I22" s="15">
        <v>22.830203999999998</v>
      </c>
      <c r="J22" s="15">
        <v>22.830203999999998</v>
      </c>
      <c r="K22" s="15">
        <v>22.830203999999998</v>
      </c>
      <c r="L22" s="15">
        <v>22.830203999999998</v>
      </c>
      <c r="M22" s="15">
        <v>22.830203999999998</v>
      </c>
      <c r="N22" s="15">
        <v>22.830203999999998</v>
      </c>
      <c r="O22" s="15">
        <v>22.830203999999998</v>
      </c>
      <c r="P22" s="15">
        <v>22.830203999999998</v>
      </c>
      <c r="Q22" s="15">
        <v>22.830203999999998</v>
      </c>
      <c r="R22" s="15">
        <v>22.830203999999998</v>
      </c>
      <c r="S22" s="15">
        <v>22.830203999999998</v>
      </c>
      <c r="T22" s="15">
        <v>22.830203999999998</v>
      </c>
      <c r="U22" s="15">
        <v>22.830203999999998</v>
      </c>
      <c r="V22" s="15">
        <v>22.830203999999998</v>
      </c>
      <c r="W22" s="15">
        <v>22.830203999999998</v>
      </c>
      <c r="X22" s="15">
        <v>22.830203999999998</v>
      </c>
      <c r="Y22" s="15">
        <v>22.830203999999998</v>
      </c>
      <c r="Z22" s="15">
        <v>22.830203999999998</v>
      </c>
      <c r="AA22" s="15">
        <v>22.830203999999998</v>
      </c>
      <c r="AB22" s="15">
        <v>22.830203999999998</v>
      </c>
      <c r="AC22" s="15">
        <v>22.830203999999998</v>
      </c>
      <c r="AD22" s="15">
        <v>22.830203999999998</v>
      </c>
      <c r="AE22" s="15">
        <v>22.830203999999998</v>
      </c>
      <c r="AF22" s="15">
        <v>22.830203999999998</v>
      </c>
      <c r="AG22" s="15">
        <v>22.830203999999998</v>
      </c>
      <c r="AH22" s="15">
        <v>22.830203999999998</v>
      </c>
      <c r="AI22" s="16">
        <v>0</v>
      </c>
    </row>
    <row r="23" spans="1:35" s="23" customFormat="1" ht="15" customHeight="1">
      <c r="A23" s="19" t="s">
        <v>27</v>
      </c>
      <c r="B23" s="20" t="s">
        <v>28</v>
      </c>
      <c r="C23" s="21">
        <v>1.3702000000000001</v>
      </c>
      <c r="D23" s="21">
        <v>2.62886</v>
      </c>
      <c r="E23" s="21">
        <v>5.6288600000000004</v>
      </c>
      <c r="F23" s="21">
        <v>6.2598599999999998</v>
      </c>
      <c r="G23" s="21">
        <v>6.8908610000000001</v>
      </c>
      <c r="H23" s="21">
        <v>7.520861</v>
      </c>
      <c r="I23" s="21">
        <v>7.9638609999999996</v>
      </c>
      <c r="J23" s="21">
        <v>8.3748609999999992</v>
      </c>
      <c r="K23" s="21">
        <v>8.7858610000000006</v>
      </c>
      <c r="L23" s="21">
        <v>9.1968610000000002</v>
      </c>
      <c r="M23" s="21">
        <v>9.6588419999999999</v>
      </c>
      <c r="N23" s="21">
        <v>10.069842</v>
      </c>
      <c r="O23" s="21">
        <v>10.069842</v>
      </c>
      <c r="P23" s="21">
        <v>10.069842</v>
      </c>
      <c r="Q23" s="21">
        <v>10.356866</v>
      </c>
      <c r="R23" s="21">
        <v>10.804548</v>
      </c>
      <c r="S23" s="21">
        <v>10.804548</v>
      </c>
      <c r="T23" s="21">
        <v>10.872132000000001</v>
      </c>
      <c r="U23" s="21">
        <v>10.872132000000001</v>
      </c>
      <c r="V23" s="21">
        <v>10.886932</v>
      </c>
      <c r="W23" s="21">
        <v>10.886932</v>
      </c>
      <c r="X23" s="21">
        <v>10.974281</v>
      </c>
      <c r="Y23" s="21">
        <v>11.413679999999999</v>
      </c>
      <c r="Z23" s="21">
        <v>12.008404000000001</v>
      </c>
      <c r="AA23" s="21">
        <v>12.008404000000001</v>
      </c>
      <c r="AB23" s="21">
        <v>12.008404000000001</v>
      </c>
      <c r="AC23" s="21">
        <v>12.642261</v>
      </c>
      <c r="AD23" s="21">
        <v>13.321657</v>
      </c>
      <c r="AE23" s="21">
        <v>15.081673</v>
      </c>
      <c r="AF23" s="21">
        <v>16.082681999999998</v>
      </c>
      <c r="AG23" s="21">
        <v>17.366105999999998</v>
      </c>
      <c r="AH23" s="21">
        <v>17.400895999999999</v>
      </c>
      <c r="AI23" s="22">
        <v>8.5441000000000003E-2</v>
      </c>
    </row>
    <row r="24" spans="1:35" ht="15" customHeight="1">
      <c r="A24" s="7" t="s">
        <v>29</v>
      </c>
      <c r="B24" s="14" t="s">
        <v>30</v>
      </c>
      <c r="C24" s="15">
        <v>0.14910000000000001</v>
      </c>
      <c r="D24" s="15">
        <v>0.1731</v>
      </c>
      <c r="E24" s="15">
        <v>0.17680000000000001</v>
      </c>
      <c r="F24" s="15">
        <v>0.18442700000000001</v>
      </c>
      <c r="G24" s="15">
        <v>0.185699</v>
      </c>
      <c r="H24" s="15">
        <v>0.185699</v>
      </c>
      <c r="I24" s="15">
        <v>0.185699</v>
      </c>
      <c r="J24" s="15">
        <v>0.185699</v>
      </c>
      <c r="K24" s="15">
        <v>0.185699</v>
      </c>
      <c r="L24" s="15">
        <v>0.215561</v>
      </c>
      <c r="M24" s="15">
        <v>0.215561</v>
      </c>
      <c r="N24" s="15">
        <v>0.215561</v>
      </c>
      <c r="O24" s="15">
        <v>0.215561</v>
      </c>
      <c r="P24" s="15">
        <v>0.215561</v>
      </c>
      <c r="Q24" s="15">
        <v>0.215561</v>
      </c>
      <c r="R24" s="15">
        <v>0.215561</v>
      </c>
      <c r="S24" s="15">
        <v>0.215561</v>
      </c>
      <c r="T24" s="15">
        <v>0.215561</v>
      </c>
      <c r="U24" s="15">
        <v>0.215561</v>
      </c>
      <c r="V24" s="15">
        <v>0.215561</v>
      </c>
      <c r="W24" s="15">
        <v>0.215561</v>
      </c>
      <c r="X24" s="15">
        <v>0.215561</v>
      </c>
      <c r="Y24" s="15">
        <v>0.215561</v>
      </c>
      <c r="Z24" s="15">
        <v>0.215561</v>
      </c>
      <c r="AA24" s="15">
        <v>0.215561</v>
      </c>
      <c r="AB24" s="15">
        <v>0.215561</v>
      </c>
      <c r="AC24" s="15">
        <v>0.215561</v>
      </c>
      <c r="AD24" s="15">
        <v>0.215561</v>
      </c>
      <c r="AE24" s="15">
        <v>0.215561</v>
      </c>
      <c r="AF24" s="15">
        <v>0.215561</v>
      </c>
      <c r="AG24" s="15">
        <v>0.215561</v>
      </c>
      <c r="AH24" s="15">
        <v>0.215561</v>
      </c>
      <c r="AI24" s="16">
        <v>1.1962E-2</v>
      </c>
    </row>
    <row r="25" spans="1:35" ht="15" customHeight="1">
      <c r="A25" s="7" t="s">
        <v>31</v>
      </c>
      <c r="B25" s="14" t="s">
        <v>32</v>
      </c>
      <c r="C25" s="15">
        <v>231.457718</v>
      </c>
      <c r="D25" s="15">
        <v>258.357483</v>
      </c>
      <c r="E25" s="15">
        <v>277.13540599999999</v>
      </c>
      <c r="F25" s="15">
        <v>310.87704500000001</v>
      </c>
      <c r="G25" s="15">
        <v>331.81784099999999</v>
      </c>
      <c r="H25" s="15">
        <v>344.99237099999999</v>
      </c>
      <c r="I25" s="15">
        <v>362.63211100000001</v>
      </c>
      <c r="J25" s="15">
        <v>376.454498</v>
      </c>
      <c r="K25" s="15">
        <v>385.75335699999999</v>
      </c>
      <c r="L25" s="15">
        <v>394.84075899999999</v>
      </c>
      <c r="M25" s="15">
        <v>408.56664999999998</v>
      </c>
      <c r="N25" s="15">
        <v>424.560181</v>
      </c>
      <c r="O25" s="15">
        <v>425.74160799999999</v>
      </c>
      <c r="P25" s="15">
        <v>427.53900099999998</v>
      </c>
      <c r="Q25" s="15">
        <v>429.74127199999998</v>
      </c>
      <c r="R25" s="15">
        <v>431.20205700000002</v>
      </c>
      <c r="S25" s="15">
        <v>443.32995599999998</v>
      </c>
      <c r="T25" s="15">
        <v>450.23541299999999</v>
      </c>
      <c r="U25" s="15">
        <v>457.24945100000002</v>
      </c>
      <c r="V25" s="15">
        <v>466.10827599999999</v>
      </c>
      <c r="W25" s="15">
        <v>474.70233200000001</v>
      </c>
      <c r="X25" s="15">
        <v>485.57074</v>
      </c>
      <c r="Y25" s="15">
        <v>498.04614299999997</v>
      </c>
      <c r="Z25" s="15">
        <v>512.42919900000004</v>
      </c>
      <c r="AA25" s="15">
        <v>528.93060300000002</v>
      </c>
      <c r="AB25" s="15">
        <v>546.75122099999999</v>
      </c>
      <c r="AC25" s="15">
        <v>564.91027799999995</v>
      </c>
      <c r="AD25" s="15">
        <v>576.69909700000005</v>
      </c>
      <c r="AE25" s="15">
        <v>587.45465100000001</v>
      </c>
      <c r="AF25" s="15">
        <v>594.93798800000002</v>
      </c>
      <c r="AG25" s="15">
        <v>603.52209500000004</v>
      </c>
      <c r="AH25" s="15">
        <v>612.45574999999997</v>
      </c>
      <c r="AI25" s="16">
        <v>3.1888E-2</v>
      </c>
    </row>
    <row r="26" spans="1:35" ht="15" customHeight="1">
      <c r="A26" s="7" t="s">
        <v>33</v>
      </c>
      <c r="B26" s="14" t="s">
        <v>34</v>
      </c>
      <c r="C26" s="15">
        <v>0</v>
      </c>
      <c r="D26" s="15">
        <v>0</v>
      </c>
      <c r="E26" s="15">
        <v>3.7135910000000001</v>
      </c>
      <c r="F26" s="15">
        <v>4.1676700000000002</v>
      </c>
      <c r="G26" s="15">
        <v>4.5476159999999997</v>
      </c>
      <c r="H26" s="15">
        <v>4.9869719999999997</v>
      </c>
      <c r="I26" s="15">
        <v>5.4492339999999997</v>
      </c>
      <c r="J26" s="15">
        <v>5.9613849999999999</v>
      </c>
      <c r="K26" s="15">
        <v>6.5921539999999998</v>
      </c>
      <c r="L26" s="15">
        <v>7.4718270000000002</v>
      </c>
      <c r="M26" s="15">
        <v>8.539021</v>
      </c>
      <c r="N26" s="15">
        <v>9.5355299999999996</v>
      </c>
      <c r="O26" s="15">
        <v>10.636310999999999</v>
      </c>
      <c r="P26" s="15">
        <v>11.831466000000001</v>
      </c>
      <c r="Q26" s="15">
        <v>12.989717000000001</v>
      </c>
      <c r="R26" s="15">
        <v>14.554209</v>
      </c>
      <c r="S26" s="15">
        <v>16.432065999999999</v>
      </c>
      <c r="T26" s="15">
        <v>18.254663000000001</v>
      </c>
      <c r="U26" s="15">
        <v>20.558561000000001</v>
      </c>
      <c r="V26" s="15">
        <v>22.902798000000001</v>
      </c>
      <c r="W26" s="15">
        <v>25.320221</v>
      </c>
      <c r="X26" s="15">
        <v>27.838014999999999</v>
      </c>
      <c r="Y26" s="15">
        <v>30.430658000000001</v>
      </c>
      <c r="Z26" s="15">
        <v>32.999896999999997</v>
      </c>
      <c r="AA26" s="15">
        <v>35.882655999999997</v>
      </c>
      <c r="AB26" s="15">
        <v>38.735401000000003</v>
      </c>
      <c r="AC26" s="15">
        <v>41.726345000000002</v>
      </c>
      <c r="AD26" s="15">
        <v>44.878906000000001</v>
      </c>
      <c r="AE26" s="15">
        <v>47.995967999999998</v>
      </c>
      <c r="AF26" s="15">
        <v>51.195476999999997</v>
      </c>
      <c r="AG26" s="15">
        <v>54.537044999999999</v>
      </c>
      <c r="AH26" s="15">
        <v>57.978287000000002</v>
      </c>
      <c r="AI26" s="16" t="s">
        <v>35</v>
      </c>
    </row>
    <row r="27" spans="1:35" ht="15" customHeight="1">
      <c r="A27" s="7" t="s">
        <v>36</v>
      </c>
      <c r="B27" s="13" t="s">
        <v>37</v>
      </c>
      <c r="C27" s="17">
        <v>1040.5866699999999</v>
      </c>
      <c r="D27" s="17">
        <v>1070.5313719999999</v>
      </c>
      <c r="E27" s="17">
        <v>1099.9490969999999</v>
      </c>
      <c r="F27" s="17">
        <v>1134.1152340000001</v>
      </c>
      <c r="G27" s="17">
        <v>1150.6527100000001</v>
      </c>
      <c r="H27" s="17">
        <v>1157.2714840000001</v>
      </c>
      <c r="I27" s="17">
        <v>1158.7387699999999</v>
      </c>
      <c r="J27" s="17">
        <v>1173.185547</v>
      </c>
      <c r="K27" s="17">
        <v>1187.9001459999999</v>
      </c>
      <c r="L27" s="17">
        <v>1205.024048</v>
      </c>
      <c r="M27" s="17">
        <v>1224.614624</v>
      </c>
      <c r="N27" s="17">
        <v>1248.3420410000001</v>
      </c>
      <c r="O27" s="17">
        <v>1260.634888</v>
      </c>
      <c r="P27" s="17">
        <v>1271.4086910000001</v>
      </c>
      <c r="Q27" s="17">
        <v>1280.056763</v>
      </c>
      <c r="R27" s="17">
        <v>1287.946289</v>
      </c>
      <c r="S27" s="17">
        <v>1310.732544</v>
      </c>
      <c r="T27" s="17">
        <v>1328.932251</v>
      </c>
      <c r="U27" s="17">
        <v>1349.6854249999999</v>
      </c>
      <c r="V27" s="17">
        <v>1368.977539</v>
      </c>
      <c r="W27" s="17">
        <v>1392.109009</v>
      </c>
      <c r="X27" s="17">
        <v>1413.9365230000001</v>
      </c>
      <c r="Y27" s="17">
        <v>1439.672607</v>
      </c>
      <c r="Z27" s="17">
        <v>1466.306763</v>
      </c>
      <c r="AA27" s="17">
        <v>1495.9837649999999</v>
      </c>
      <c r="AB27" s="17">
        <v>1526.877686</v>
      </c>
      <c r="AC27" s="17">
        <v>1557.424683</v>
      </c>
      <c r="AD27" s="17">
        <v>1586.0870359999999</v>
      </c>
      <c r="AE27" s="17">
        <v>1611.0585940000001</v>
      </c>
      <c r="AF27" s="17">
        <v>1634.6342770000001</v>
      </c>
      <c r="AG27" s="17">
        <v>1660.544067</v>
      </c>
      <c r="AH27" s="17">
        <v>1686.028564</v>
      </c>
      <c r="AI27" s="18">
        <v>1.5689000000000002E-2</v>
      </c>
    </row>
    <row r="28" spans="1:35" ht="15" customHeight="1">
      <c r="B28" s="13" t="s">
        <v>38</v>
      </c>
    </row>
    <row r="29" spans="1:35" ht="15" customHeight="1">
      <c r="A29" s="7" t="s">
        <v>39</v>
      </c>
      <c r="B29" s="14" t="s">
        <v>40</v>
      </c>
      <c r="C29" s="15">
        <v>2.6815000000000002</v>
      </c>
      <c r="D29" s="15">
        <v>2.3180999999999998</v>
      </c>
      <c r="E29" s="15">
        <v>2.3180999999999998</v>
      </c>
      <c r="F29" s="15">
        <v>2.3180999999999998</v>
      </c>
      <c r="G29" s="15">
        <v>2.3180999999999998</v>
      </c>
      <c r="H29" s="15">
        <v>2.3180999999999998</v>
      </c>
      <c r="I29" s="15">
        <v>2.3180999999999998</v>
      </c>
      <c r="J29" s="15">
        <v>2.3180999999999998</v>
      </c>
      <c r="K29" s="15">
        <v>2.3180999999999998</v>
      </c>
      <c r="L29" s="15">
        <v>2.3180999999999998</v>
      </c>
      <c r="M29" s="15">
        <v>1.9981</v>
      </c>
      <c r="N29" s="15">
        <v>1.9981</v>
      </c>
      <c r="O29" s="15">
        <v>1.9981</v>
      </c>
      <c r="P29" s="15">
        <v>1.9981</v>
      </c>
      <c r="Q29" s="15">
        <v>1.9981</v>
      </c>
      <c r="R29" s="15">
        <v>1.9981</v>
      </c>
      <c r="S29" s="15">
        <v>1.9981</v>
      </c>
      <c r="T29" s="15">
        <v>1.9981</v>
      </c>
      <c r="U29" s="15">
        <v>1.9981</v>
      </c>
      <c r="V29" s="15">
        <v>1.9981</v>
      </c>
      <c r="W29" s="15">
        <v>1.9981</v>
      </c>
      <c r="X29" s="15">
        <v>1.9981</v>
      </c>
      <c r="Y29" s="15">
        <v>1.9981</v>
      </c>
      <c r="Z29" s="15">
        <v>1.9981</v>
      </c>
      <c r="AA29" s="15">
        <v>1.9981</v>
      </c>
      <c r="AB29" s="15">
        <v>1.9981</v>
      </c>
      <c r="AC29" s="15">
        <v>1.9981</v>
      </c>
      <c r="AD29" s="15">
        <v>1.9981</v>
      </c>
      <c r="AE29" s="15">
        <v>1.9981</v>
      </c>
      <c r="AF29" s="15">
        <v>1.9981</v>
      </c>
      <c r="AG29" s="15">
        <v>1.9981</v>
      </c>
      <c r="AH29" s="15">
        <v>1.9981</v>
      </c>
      <c r="AI29" s="16">
        <v>-9.4450000000000003E-3</v>
      </c>
    </row>
    <row r="30" spans="1:35" ht="15" customHeight="1">
      <c r="A30" s="7" t="s">
        <v>41</v>
      </c>
      <c r="B30" s="14" t="s">
        <v>42</v>
      </c>
      <c r="C30" s="15">
        <v>0.56679999999999997</v>
      </c>
      <c r="D30" s="15">
        <v>0.56679999999999997</v>
      </c>
      <c r="E30" s="15">
        <v>0.56679999999999997</v>
      </c>
      <c r="F30" s="15">
        <v>0.56679999999999997</v>
      </c>
      <c r="G30" s="15">
        <v>0.56679999999999997</v>
      </c>
      <c r="H30" s="15">
        <v>0.56679999999999997</v>
      </c>
      <c r="I30" s="15">
        <v>0.56679999999999997</v>
      </c>
      <c r="J30" s="15">
        <v>0.56679999999999997</v>
      </c>
      <c r="K30" s="15">
        <v>0.56679999999999997</v>
      </c>
      <c r="L30" s="15">
        <v>0.56679999999999997</v>
      </c>
      <c r="M30" s="15">
        <v>0.56679999999999997</v>
      </c>
      <c r="N30" s="15">
        <v>0.56679999999999997</v>
      </c>
      <c r="O30" s="15">
        <v>0.56679999999999997</v>
      </c>
      <c r="P30" s="15">
        <v>0.56679999999999997</v>
      </c>
      <c r="Q30" s="15">
        <v>0.56679999999999997</v>
      </c>
      <c r="R30" s="15">
        <v>0.56679999999999997</v>
      </c>
      <c r="S30" s="15">
        <v>0.56679999999999997</v>
      </c>
      <c r="T30" s="15">
        <v>0.56679999999999997</v>
      </c>
      <c r="U30" s="15">
        <v>0.56679999999999997</v>
      </c>
      <c r="V30" s="15">
        <v>0.56679999999999997</v>
      </c>
      <c r="W30" s="15">
        <v>0.56679999999999997</v>
      </c>
      <c r="X30" s="15">
        <v>0.56679999999999997</v>
      </c>
      <c r="Y30" s="15">
        <v>0.56679999999999997</v>
      </c>
      <c r="Z30" s="15">
        <v>0.56679999999999997</v>
      </c>
      <c r="AA30" s="15">
        <v>0.56679999999999997</v>
      </c>
      <c r="AB30" s="15">
        <v>0.56679999999999997</v>
      </c>
      <c r="AC30" s="15">
        <v>0.56679999999999997</v>
      </c>
      <c r="AD30" s="15">
        <v>0.56679999999999997</v>
      </c>
      <c r="AE30" s="15">
        <v>0.56679999999999997</v>
      </c>
      <c r="AF30" s="15">
        <v>0.56679999999999997</v>
      </c>
      <c r="AG30" s="15">
        <v>0.56679999999999997</v>
      </c>
      <c r="AH30" s="15">
        <v>0.56679999999999997</v>
      </c>
      <c r="AI30" s="16">
        <v>0</v>
      </c>
    </row>
    <row r="31" spans="1:35" ht="15" customHeight="1">
      <c r="A31" s="7" t="s">
        <v>43</v>
      </c>
      <c r="B31" s="14" t="s">
        <v>20</v>
      </c>
      <c r="C31" s="15">
        <v>22.372603999999999</v>
      </c>
      <c r="D31" s="15">
        <v>22.372603999999999</v>
      </c>
      <c r="E31" s="15">
        <v>22.372603999999999</v>
      </c>
      <c r="F31" s="15">
        <v>22.372603999999999</v>
      </c>
      <c r="G31" s="15">
        <v>22.194006000000002</v>
      </c>
      <c r="H31" s="15">
        <v>22.194006000000002</v>
      </c>
      <c r="I31" s="15">
        <v>22.194006000000002</v>
      </c>
      <c r="J31" s="15">
        <v>22.194006000000002</v>
      </c>
      <c r="K31" s="15">
        <v>22.194006000000002</v>
      </c>
      <c r="L31" s="15">
        <v>22.194006000000002</v>
      </c>
      <c r="M31" s="15">
        <v>22.194006000000002</v>
      </c>
      <c r="N31" s="15">
        <v>22.194006000000002</v>
      </c>
      <c r="O31" s="15">
        <v>22.194006000000002</v>
      </c>
      <c r="P31" s="15">
        <v>22.194006000000002</v>
      </c>
      <c r="Q31" s="15">
        <v>22.194006000000002</v>
      </c>
      <c r="R31" s="15">
        <v>22.194006000000002</v>
      </c>
      <c r="S31" s="15">
        <v>22.194006000000002</v>
      </c>
      <c r="T31" s="15">
        <v>22.194006000000002</v>
      </c>
      <c r="U31" s="15">
        <v>22.194006000000002</v>
      </c>
      <c r="V31" s="15">
        <v>22.194006000000002</v>
      </c>
      <c r="W31" s="15">
        <v>22.194006000000002</v>
      </c>
      <c r="X31" s="15">
        <v>22.194006000000002</v>
      </c>
      <c r="Y31" s="15">
        <v>22.194006000000002</v>
      </c>
      <c r="Z31" s="15">
        <v>22.194006000000002</v>
      </c>
      <c r="AA31" s="15">
        <v>22.194006000000002</v>
      </c>
      <c r="AB31" s="15">
        <v>22.194006000000002</v>
      </c>
      <c r="AC31" s="15">
        <v>22.194006000000002</v>
      </c>
      <c r="AD31" s="15">
        <v>22.194006000000002</v>
      </c>
      <c r="AE31" s="15">
        <v>22.194006000000002</v>
      </c>
      <c r="AF31" s="15">
        <v>22.194006000000002</v>
      </c>
      <c r="AG31" s="15">
        <v>22.194006000000002</v>
      </c>
      <c r="AH31" s="15">
        <v>22.194006000000002</v>
      </c>
      <c r="AI31" s="16">
        <v>-2.5900000000000001E-4</v>
      </c>
    </row>
    <row r="32" spans="1:35" ht="15" customHeight="1">
      <c r="A32" s="7" t="s">
        <v>44</v>
      </c>
      <c r="B32" s="14" t="s">
        <v>22</v>
      </c>
      <c r="C32" s="15">
        <v>3.2564000000000002</v>
      </c>
      <c r="D32" s="15">
        <v>3.2069000000000001</v>
      </c>
      <c r="E32" s="15">
        <v>3.2069000000000001</v>
      </c>
      <c r="F32" s="15">
        <v>3.2069000000000001</v>
      </c>
      <c r="G32" s="15">
        <v>3.2069000000000001</v>
      </c>
      <c r="H32" s="15">
        <v>3.2069000000000001</v>
      </c>
      <c r="I32" s="15">
        <v>3.2069000000000001</v>
      </c>
      <c r="J32" s="15">
        <v>3.2069000000000001</v>
      </c>
      <c r="K32" s="15">
        <v>3.2069000000000001</v>
      </c>
      <c r="L32" s="15">
        <v>3.2069000000000001</v>
      </c>
      <c r="M32" s="15">
        <v>3.2069000000000001</v>
      </c>
      <c r="N32" s="15">
        <v>3.2069000000000001</v>
      </c>
      <c r="O32" s="15">
        <v>3.2069000000000001</v>
      </c>
      <c r="P32" s="15">
        <v>3.2069000000000001</v>
      </c>
      <c r="Q32" s="15">
        <v>3.2069000000000001</v>
      </c>
      <c r="R32" s="15">
        <v>3.2069000000000001</v>
      </c>
      <c r="S32" s="15">
        <v>3.2069000000000001</v>
      </c>
      <c r="T32" s="15">
        <v>3.2069000000000001</v>
      </c>
      <c r="U32" s="15">
        <v>3.2069000000000001</v>
      </c>
      <c r="V32" s="15">
        <v>3.2069000000000001</v>
      </c>
      <c r="W32" s="15">
        <v>3.2069000000000001</v>
      </c>
      <c r="X32" s="15">
        <v>3.2069000000000001</v>
      </c>
      <c r="Y32" s="15">
        <v>3.2069000000000001</v>
      </c>
      <c r="Z32" s="15">
        <v>3.2069000000000001</v>
      </c>
      <c r="AA32" s="15">
        <v>3.2069000000000001</v>
      </c>
      <c r="AB32" s="15">
        <v>3.2069000000000001</v>
      </c>
      <c r="AC32" s="15">
        <v>3.2069000000000001</v>
      </c>
      <c r="AD32" s="15">
        <v>3.2069000000000001</v>
      </c>
      <c r="AE32" s="15">
        <v>3.2069000000000001</v>
      </c>
      <c r="AF32" s="15">
        <v>3.2069000000000001</v>
      </c>
      <c r="AG32" s="15">
        <v>3.2069000000000001</v>
      </c>
      <c r="AH32" s="15">
        <v>3.2069000000000001</v>
      </c>
      <c r="AI32" s="16">
        <v>-4.9399999999999997E-4</v>
      </c>
    </row>
    <row r="33" spans="1:35" ht="15" customHeight="1">
      <c r="A33" s="7" t="s">
        <v>45</v>
      </c>
      <c r="B33" s="14" t="s">
        <v>32</v>
      </c>
      <c r="C33" s="15">
        <v>0.85919999999999996</v>
      </c>
      <c r="D33" s="15">
        <v>0.85470000000000002</v>
      </c>
      <c r="E33" s="15">
        <v>0.85470000000000002</v>
      </c>
      <c r="F33" s="15">
        <v>0.85470000000000002</v>
      </c>
      <c r="G33" s="15">
        <v>0.85470000000000002</v>
      </c>
      <c r="H33" s="15">
        <v>0.85470000000000002</v>
      </c>
      <c r="I33" s="15">
        <v>0.85470000000000002</v>
      </c>
      <c r="J33" s="15">
        <v>0.85470000000000002</v>
      </c>
      <c r="K33" s="15">
        <v>0.85470000000000002</v>
      </c>
      <c r="L33" s="15">
        <v>0.85470000000000002</v>
      </c>
      <c r="M33" s="15">
        <v>0.85470000000000002</v>
      </c>
      <c r="N33" s="15">
        <v>0.85470000000000002</v>
      </c>
      <c r="O33" s="15">
        <v>0.85470000000000002</v>
      </c>
      <c r="P33" s="15">
        <v>0.85470000000000002</v>
      </c>
      <c r="Q33" s="15">
        <v>0.85470000000000002</v>
      </c>
      <c r="R33" s="15">
        <v>0.85470000000000002</v>
      </c>
      <c r="S33" s="15">
        <v>0.85470000000000002</v>
      </c>
      <c r="T33" s="15">
        <v>0.85470000000000002</v>
      </c>
      <c r="U33" s="15">
        <v>0.85470000000000002</v>
      </c>
      <c r="V33" s="15">
        <v>0.85470000000000002</v>
      </c>
      <c r="W33" s="15">
        <v>0.85470000000000002</v>
      </c>
      <c r="X33" s="15">
        <v>0.85470000000000002</v>
      </c>
      <c r="Y33" s="15">
        <v>0.85470000000000002</v>
      </c>
      <c r="Z33" s="15">
        <v>0.85470000000000002</v>
      </c>
      <c r="AA33" s="15">
        <v>0.85470000000000002</v>
      </c>
      <c r="AB33" s="15">
        <v>0.85470000000000002</v>
      </c>
      <c r="AC33" s="15">
        <v>0.85470000000000002</v>
      </c>
      <c r="AD33" s="15">
        <v>0.85470000000000002</v>
      </c>
      <c r="AE33" s="15">
        <v>0.85470000000000002</v>
      </c>
      <c r="AF33" s="15">
        <v>0.85470000000000002</v>
      </c>
      <c r="AG33" s="15">
        <v>0.85470000000000002</v>
      </c>
      <c r="AH33" s="15">
        <v>0.85470000000000002</v>
      </c>
      <c r="AI33" s="16">
        <v>-1.6899999999999999E-4</v>
      </c>
    </row>
    <row r="34" spans="1:35" ht="15" customHeight="1">
      <c r="A34" s="7" t="s">
        <v>46</v>
      </c>
      <c r="B34" s="13" t="s">
        <v>37</v>
      </c>
      <c r="C34" s="17">
        <v>29.736504</v>
      </c>
      <c r="D34" s="17">
        <v>29.319102999999998</v>
      </c>
      <c r="E34" s="17">
        <v>29.319102999999998</v>
      </c>
      <c r="F34" s="17">
        <v>29.319102999999998</v>
      </c>
      <c r="G34" s="17">
        <v>29.140506999999999</v>
      </c>
      <c r="H34" s="17">
        <v>29.140506999999999</v>
      </c>
      <c r="I34" s="17">
        <v>29.140506999999999</v>
      </c>
      <c r="J34" s="17">
        <v>29.140506999999999</v>
      </c>
      <c r="K34" s="17">
        <v>29.140506999999999</v>
      </c>
      <c r="L34" s="17">
        <v>29.140506999999999</v>
      </c>
      <c r="M34" s="17">
        <v>28.820505000000001</v>
      </c>
      <c r="N34" s="17">
        <v>28.820505000000001</v>
      </c>
      <c r="O34" s="17">
        <v>28.820505000000001</v>
      </c>
      <c r="P34" s="17">
        <v>28.820505000000001</v>
      </c>
      <c r="Q34" s="17">
        <v>28.820505000000001</v>
      </c>
      <c r="R34" s="17">
        <v>28.820505000000001</v>
      </c>
      <c r="S34" s="17">
        <v>28.820505000000001</v>
      </c>
      <c r="T34" s="17">
        <v>28.820505000000001</v>
      </c>
      <c r="U34" s="17">
        <v>28.820505000000001</v>
      </c>
      <c r="V34" s="17">
        <v>28.820505000000001</v>
      </c>
      <c r="W34" s="17">
        <v>28.820505000000001</v>
      </c>
      <c r="X34" s="17">
        <v>28.820505000000001</v>
      </c>
      <c r="Y34" s="17">
        <v>28.820505000000001</v>
      </c>
      <c r="Z34" s="17">
        <v>28.820505000000001</v>
      </c>
      <c r="AA34" s="17">
        <v>28.820505000000001</v>
      </c>
      <c r="AB34" s="17">
        <v>28.820505000000001</v>
      </c>
      <c r="AC34" s="17">
        <v>28.820505000000001</v>
      </c>
      <c r="AD34" s="17">
        <v>28.820505000000001</v>
      </c>
      <c r="AE34" s="17">
        <v>28.820505000000001</v>
      </c>
      <c r="AF34" s="17">
        <v>28.820505000000001</v>
      </c>
      <c r="AG34" s="17">
        <v>28.820505000000001</v>
      </c>
      <c r="AH34" s="17">
        <v>28.820505000000001</v>
      </c>
      <c r="AI34" s="18">
        <v>-1.0089999999999999E-3</v>
      </c>
    </row>
    <row r="36" spans="1:35" ht="15" customHeight="1">
      <c r="B36" s="13" t="s">
        <v>47</v>
      </c>
    </row>
    <row r="37" spans="1:35" ht="15" customHeight="1">
      <c r="A37" s="7" t="s">
        <v>48</v>
      </c>
      <c r="B37" s="14" t="s">
        <v>40</v>
      </c>
      <c r="C37" s="15" t="s">
        <v>35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6" t="s">
        <v>35</v>
      </c>
    </row>
    <row r="38" spans="1:35" ht="15" customHeight="1">
      <c r="A38" s="7" t="s">
        <v>49</v>
      </c>
      <c r="B38" s="14" t="s">
        <v>42</v>
      </c>
      <c r="C38" s="15" t="s">
        <v>35</v>
      </c>
      <c r="D38" s="15">
        <v>0</v>
      </c>
      <c r="E38" s="15">
        <v>0.19850000000000001</v>
      </c>
      <c r="F38" s="15">
        <v>0.19850000000000001</v>
      </c>
      <c r="G38" s="15">
        <v>0.19850000000000001</v>
      </c>
      <c r="H38" s="15">
        <v>0.19850000000000001</v>
      </c>
      <c r="I38" s="15">
        <v>0.19850000000000001</v>
      </c>
      <c r="J38" s="15">
        <v>0.19850000000000001</v>
      </c>
      <c r="K38" s="15">
        <v>0.19850000000000001</v>
      </c>
      <c r="L38" s="15">
        <v>0.19850000000000001</v>
      </c>
      <c r="M38" s="15">
        <v>0.19850000000000001</v>
      </c>
      <c r="N38" s="15">
        <v>0.19850000000000001</v>
      </c>
      <c r="O38" s="15">
        <v>0.19850000000000001</v>
      </c>
      <c r="P38" s="15">
        <v>0.19850000000000001</v>
      </c>
      <c r="Q38" s="15">
        <v>0.19850000000000001</v>
      </c>
      <c r="R38" s="15">
        <v>0.19850000000000001</v>
      </c>
      <c r="S38" s="15">
        <v>0.19850000000000001</v>
      </c>
      <c r="T38" s="15">
        <v>0.19850000000000001</v>
      </c>
      <c r="U38" s="15">
        <v>0.19850000000000001</v>
      </c>
      <c r="V38" s="15">
        <v>0.19850000000000001</v>
      </c>
      <c r="W38" s="15">
        <v>0.19850000000000001</v>
      </c>
      <c r="X38" s="15">
        <v>0.19850000000000001</v>
      </c>
      <c r="Y38" s="15">
        <v>0.19850000000000001</v>
      </c>
      <c r="Z38" s="15">
        <v>0.19850000000000001</v>
      </c>
      <c r="AA38" s="15">
        <v>0.19850000000000001</v>
      </c>
      <c r="AB38" s="15">
        <v>0.19850000000000001</v>
      </c>
      <c r="AC38" s="15">
        <v>0.19850000000000001</v>
      </c>
      <c r="AD38" s="15">
        <v>0.19850000000000001</v>
      </c>
      <c r="AE38" s="15">
        <v>0.19850000000000001</v>
      </c>
      <c r="AF38" s="15">
        <v>0.19850000000000001</v>
      </c>
      <c r="AG38" s="15">
        <v>0.19850000000000001</v>
      </c>
      <c r="AH38" s="15">
        <v>0.19850000000000001</v>
      </c>
      <c r="AI38" s="16" t="s">
        <v>35</v>
      </c>
    </row>
    <row r="39" spans="1:35" ht="15" customHeight="1">
      <c r="A39" s="7" t="s">
        <v>50</v>
      </c>
      <c r="B39" s="14" t="s">
        <v>20</v>
      </c>
      <c r="C39" s="15" t="s">
        <v>35</v>
      </c>
      <c r="D39" s="15">
        <v>5.7550020000000002</v>
      </c>
      <c r="E39" s="15">
        <v>16.178204000000001</v>
      </c>
      <c r="F39" s="15">
        <v>17.324203000000001</v>
      </c>
      <c r="G39" s="15">
        <v>17.324203000000001</v>
      </c>
      <c r="H39" s="15">
        <v>17.324203000000001</v>
      </c>
      <c r="I39" s="15">
        <v>17.324203000000001</v>
      </c>
      <c r="J39" s="15">
        <v>17.324203000000001</v>
      </c>
      <c r="K39" s="15">
        <v>17.324203000000001</v>
      </c>
      <c r="L39" s="15">
        <v>17.324203000000001</v>
      </c>
      <c r="M39" s="15">
        <v>17.324203000000001</v>
      </c>
      <c r="N39" s="15">
        <v>17.324203000000001</v>
      </c>
      <c r="O39" s="15">
        <v>17.324203000000001</v>
      </c>
      <c r="P39" s="15">
        <v>17.324203000000001</v>
      </c>
      <c r="Q39" s="15">
        <v>17.324203000000001</v>
      </c>
      <c r="R39" s="15">
        <v>17.324203000000001</v>
      </c>
      <c r="S39" s="15">
        <v>17.324203000000001</v>
      </c>
      <c r="T39" s="15">
        <v>17.324203000000001</v>
      </c>
      <c r="U39" s="15">
        <v>17.324203000000001</v>
      </c>
      <c r="V39" s="15">
        <v>17.324203000000001</v>
      </c>
      <c r="W39" s="15">
        <v>17.324203000000001</v>
      </c>
      <c r="X39" s="15">
        <v>17.324203000000001</v>
      </c>
      <c r="Y39" s="15">
        <v>17.324203000000001</v>
      </c>
      <c r="Z39" s="15">
        <v>17.324203000000001</v>
      </c>
      <c r="AA39" s="15">
        <v>17.324203000000001</v>
      </c>
      <c r="AB39" s="15">
        <v>17.324203000000001</v>
      </c>
      <c r="AC39" s="15">
        <v>17.324203000000001</v>
      </c>
      <c r="AD39" s="15">
        <v>17.324203000000001</v>
      </c>
      <c r="AE39" s="15">
        <v>17.324203000000001</v>
      </c>
      <c r="AF39" s="15">
        <v>17.324203000000001</v>
      </c>
      <c r="AG39" s="15">
        <v>17.324203000000001</v>
      </c>
      <c r="AH39" s="15">
        <v>17.324203000000001</v>
      </c>
      <c r="AI39" s="16" t="s">
        <v>35</v>
      </c>
    </row>
    <row r="40" spans="1:35" ht="15" customHeight="1">
      <c r="A40" s="7" t="s">
        <v>51</v>
      </c>
      <c r="B40" s="14" t="s">
        <v>22</v>
      </c>
      <c r="C40" s="15" t="s">
        <v>35</v>
      </c>
      <c r="D40" s="15">
        <v>2.9401999999999999</v>
      </c>
      <c r="E40" s="15">
        <v>5.4845009999999998</v>
      </c>
      <c r="F40" s="15">
        <v>5.4845009999999998</v>
      </c>
      <c r="G40" s="15">
        <v>5.4845009999999998</v>
      </c>
      <c r="H40" s="15">
        <v>5.4845009999999998</v>
      </c>
      <c r="I40" s="15">
        <v>5.4845009999999998</v>
      </c>
      <c r="J40" s="15">
        <v>5.4845009999999998</v>
      </c>
      <c r="K40" s="15">
        <v>5.4845009999999998</v>
      </c>
      <c r="L40" s="15">
        <v>5.4845009999999998</v>
      </c>
      <c r="M40" s="15">
        <v>5.4845009999999998</v>
      </c>
      <c r="N40" s="15">
        <v>5.4845009999999998</v>
      </c>
      <c r="O40" s="15">
        <v>5.4845009999999998</v>
      </c>
      <c r="P40" s="15">
        <v>5.4845009999999998</v>
      </c>
      <c r="Q40" s="15">
        <v>5.4845009999999998</v>
      </c>
      <c r="R40" s="15">
        <v>5.4845009999999998</v>
      </c>
      <c r="S40" s="15">
        <v>5.4845009999999998</v>
      </c>
      <c r="T40" s="15">
        <v>5.4845009999999998</v>
      </c>
      <c r="U40" s="15">
        <v>5.4845009999999998</v>
      </c>
      <c r="V40" s="15">
        <v>5.4845009999999998</v>
      </c>
      <c r="W40" s="15">
        <v>5.4845009999999998</v>
      </c>
      <c r="X40" s="15">
        <v>5.4845009999999998</v>
      </c>
      <c r="Y40" s="15">
        <v>5.4845009999999998</v>
      </c>
      <c r="Z40" s="15">
        <v>5.4845009999999998</v>
      </c>
      <c r="AA40" s="15">
        <v>5.4845009999999998</v>
      </c>
      <c r="AB40" s="15">
        <v>5.4845009999999998</v>
      </c>
      <c r="AC40" s="15">
        <v>5.4845009999999998</v>
      </c>
      <c r="AD40" s="15">
        <v>5.4845009999999998</v>
      </c>
      <c r="AE40" s="15">
        <v>5.4845009999999998</v>
      </c>
      <c r="AF40" s="15">
        <v>5.4845009999999998</v>
      </c>
      <c r="AG40" s="15">
        <v>5.4845009999999998</v>
      </c>
      <c r="AH40" s="15">
        <v>5.4845009999999998</v>
      </c>
      <c r="AI40" s="16" t="s">
        <v>35</v>
      </c>
    </row>
    <row r="41" spans="1:35" ht="15" customHeight="1">
      <c r="A41" s="7" t="s">
        <v>52</v>
      </c>
      <c r="B41" s="14" t="s">
        <v>53</v>
      </c>
      <c r="C41" s="15" t="s">
        <v>35</v>
      </c>
      <c r="D41" s="15">
        <v>0</v>
      </c>
      <c r="E41" s="15">
        <v>1.1000000000000001</v>
      </c>
      <c r="F41" s="15">
        <v>2.2000000000000002</v>
      </c>
      <c r="G41" s="15">
        <v>2.2000000000000002</v>
      </c>
      <c r="H41" s="15">
        <v>2.2000000000000002</v>
      </c>
      <c r="I41" s="15">
        <v>2.2000000000000002</v>
      </c>
      <c r="J41" s="15">
        <v>2.2000000000000002</v>
      </c>
      <c r="K41" s="15">
        <v>2.2000000000000002</v>
      </c>
      <c r="L41" s="15">
        <v>2.2000000000000002</v>
      </c>
      <c r="M41" s="15">
        <v>2.2000000000000002</v>
      </c>
      <c r="N41" s="15">
        <v>2.2000000000000002</v>
      </c>
      <c r="O41" s="15">
        <v>2.2000000000000002</v>
      </c>
      <c r="P41" s="15">
        <v>2.2000000000000002</v>
      </c>
      <c r="Q41" s="15">
        <v>2.2000000000000002</v>
      </c>
      <c r="R41" s="15">
        <v>2.2000000000000002</v>
      </c>
      <c r="S41" s="15">
        <v>2.2000000000000002</v>
      </c>
      <c r="T41" s="15">
        <v>2.2000000000000002</v>
      </c>
      <c r="U41" s="15">
        <v>2.2000000000000002</v>
      </c>
      <c r="V41" s="15">
        <v>2.2000000000000002</v>
      </c>
      <c r="W41" s="15">
        <v>2.2000000000000002</v>
      </c>
      <c r="X41" s="15">
        <v>2.2000000000000002</v>
      </c>
      <c r="Y41" s="15">
        <v>2.2000000000000002</v>
      </c>
      <c r="Z41" s="15">
        <v>2.2000000000000002</v>
      </c>
      <c r="AA41" s="15">
        <v>2.2000000000000002</v>
      </c>
      <c r="AB41" s="15">
        <v>2.2000000000000002</v>
      </c>
      <c r="AC41" s="15">
        <v>2.2000000000000002</v>
      </c>
      <c r="AD41" s="15">
        <v>2.2000000000000002</v>
      </c>
      <c r="AE41" s="15">
        <v>2.2000000000000002</v>
      </c>
      <c r="AF41" s="15">
        <v>2.2000000000000002</v>
      </c>
      <c r="AG41" s="15">
        <v>2.2000000000000002</v>
      </c>
      <c r="AH41" s="15">
        <v>2.2000000000000002</v>
      </c>
      <c r="AI41" s="16" t="s">
        <v>35</v>
      </c>
    </row>
    <row r="42" spans="1:35" ht="15" customHeight="1">
      <c r="A42" s="7" t="s">
        <v>54</v>
      </c>
      <c r="B42" s="14" t="s">
        <v>26</v>
      </c>
      <c r="C42" s="15" t="s">
        <v>35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6" t="s">
        <v>35</v>
      </c>
    </row>
    <row r="43" spans="1:35" ht="15" customHeight="1">
      <c r="A43" s="7" t="s">
        <v>55</v>
      </c>
      <c r="B43" s="14" t="s">
        <v>28</v>
      </c>
      <c r="C43" s="15" t="s">
        <v>35</v>
      </c>
      <c r="D43" s="15">
        <v>1.0670999999999999</v>
      </c>
      <c r="E43" s="15">
        <v>3.3635999999999999</v>
      </c>
      <c r="F43" s="15">
        <v>3.9946000000000002</v>
      </c>
      <c r="G43" s="15">
        <v>4.6256000000000004</v>
      </c>
      <c r="H43" s="15">
        <v>5.2565999999999997</v>
      </c>
      <c r="I43" s="15">
        <v>5.6996010000000004</v>
      </c>
      <c r="J43" s="15">
        <v>6.1105999999999998</v>
      </c>
      <c r="K43" s="15">
        <v>6.5216010000000004</v>
      </c>
      <c r="L43" s="15">
        <v>6.9325999999999999</v>
      </c>
      <c r="M43" s="15">
        <v>7.3436009999999996</v>
      </c>
      <c r="N43" s="15">
        <v>7.7546010000000001</v>
      </c>
      <c r="O43" s="15">
        <v>7.7546010000000001</v>
      </c>
      <c r="P43" s="15">
        <v>7.7546010000000001</v>
      </c>
      <c r="Q43" s="15">
        <v>7.7546010000000001</v>
      </c>
      <c r="R43" s="15">
        <v>7.7546010000000001</v>
      </c>
      <c r="S43" s="15">
        <v>7.7546010000000001</v>
      </c>
      <c r="T43" s="15">
        <v>7.7546010000000001</v>
      </c>
      <c r="U43" s="15">
        <v>7.7546010000000001</v>
      </c>
      <c r="V43" s="15">
        <v>7.7546010000000001</v>
      </c>
      <c r="W43" s="15">
        <v>7.7546010000000001</v>
      </c>
      <c r="X43" s="15">
        <v>7.7546010000000001</v>
      </c>
      <c r="Y43" s="15">
        <v>7.7546010000000001</v>
      </c>
      <c r="Z43" s="15">
        <v>7.7546010000000001</v>
      </c>
      <c r="AA43" s="15">
        <v>7.7546010000000001</v>
      </c>
      <c r="AB43" s="15">
        <v>7.7546010000000001</v>
      </c>
      <c r="AC43" s="15">
        <v>7.7546010000000001</v>
      </c>
      <c r="AD43" s="15">
        <v>7.7546010000000001</v>
      </c>
      <c r="AE43" s="15">
        <v>7.7546010000000001</v>
      </c>
      <c r="AF43" s="15">
        <v>7.7546010000000001</v>
      </c>
      <c r="AG43" s="15">
        <v>7.7546010000000001</v>
      </c>
      <c r="AH43" s="15">
        <v>7.7546010000000001</v>
      </c>
      <c r="AI43" s="16" t="s">
        <v>35</v>
      </c>
    </row>
    <row r="44" spans="1:35" ht="15" customHeight="1">
      <c r="A44" s="7" t="s">
        <v>56</v>
      </c>
      <c r="B44" s="14" t="s">
        <v>30</v>
      </c>
      <c r="C44" s="15" t="s">
        <v>35</v>
      </c>
      <c r="D44" s="15">
        <v>2.5100000000000001E-2</v>
      </c>
      <c r="E44" s="15">
        <v>2.8799999999999999E-2</v>
      </c>
      <c r="F44" s="15">
        <v>2.8799999999999999E-2</v>
      </c>
      <c r="G44" s="15">
        <v>2.8799999999999999E-2</v>
      </c>
      <c r="H44" s="15">
        <v>2.8799999999999999E-2</v>
      </c>
      <c r="I44" s="15">
        <v>2.8799999999999999E-2</v>
      </c>
      <c r="J44" s="15">
        <v>2.8799999999999999E-2</v>
      </c>
      <c r="K44" s="15">
        <v>2.8799999999999999E-2</v>
      </c>
      <c r="L44" s="15">
        <v>2.8799999999999999E-2</v>
      </c>
      <c r="M44" s="15">
        <v>2.8799999999999999E-2</v>
      </c>
      <c r="N44" s="15">
        <v>2.8799999999999999E-2</v>
      </c>
      <c r="O44" s="15">
        <v>2.8799999999999999E-2</v>
      </c>
      <c r="P44" s="15">
        <v>2.8799999999999999E-2</v>
      </c>
      <c r="Q44" s="15">
        <v>2.8799999999999999E-2</v>
      </c>
      <c r="R44" s="15">
        <v>2.8799999999999999E-2</v>
      </c>
      <c r="S44" s="15">
        <v>2.8799999999999999E-2</v>
      </c>
      <c r="T44" s="15">
        <v>2.8799999999999999E-2</v>
      </c>
      <c r="U44" s="15">
        <v>2.8799999999999999E-2</v>
      </c>
      <c r="V44" s="15">
        <v>2.8799999999999999E-2</v>
      </c>
      <c r="W44" s="15">
        <v>2.8799999999999999E-2</v>
      </c>
      <c r="X44" s="15">
        <v>2.8799999999999999E-2</v>
      </c>
      <c r="Y44" s="15">
        <v>2.8799999999999999E-2</v>
      </c>
      <c r="Z44" s="15">
        <v>2.8799999999999999E-2</v>
      </c>
      <c r="AA44" s="15">
        <v>2.8799999999999999E-2</v>
      </c>
      <c r="AB44" s="15">
        <v>2.8799999999999999E-2</v>
      </c>
      <c r="AC44" s="15">
        <v>2.8799999999999999E-2</v>
      </c>
      <c r="AD44" s="15">
        <v>2.8799999999999999E-2</v>
      </c>
      <c r="AE44" s="15">
        <v>2.8799999999999999E-2</v>
      </c>
      <c r="AF44" s="15">
        <v>2.8799999999999999E-2</v>
      </c>
      <c r="AG44" s="15">
        <v>2.8799999999999999E-2</v>
      </c>
      <c r="AH44" s="15">
        <v>2.8799999999999999E-2</v>
      </c>
      <c r="AI44" s="16" t="s">
        <v>35</v>
      </c>
    </row>
    <row r="45" spans="1:35" ht="15" customHeight="1">
      <c r="A45" s="7" t="s">
        <v>57</v>
      </c>
      <c r="B45" s="14" t="s">
        <v>32</v>
      </c>
      <c r="C45" s="15" t="s">
        <v>35</v>
      </c>
      <c r="D45" s="15">
        <v>26.973803</v>
      </c>
      <c r="E45" s="15">
        <v>34.927605</v>
      </c>
      <c r="F45" s="15">
        <v>35.848305000000003</v>
      </c>
      <c r="G45" s="15">
        <v>36.748302000000002</v>
      </c>
      <c r="H45" s="15">
        <v>37.248302000000002</v>
      </c>
      <c r="I45" s="15">
        <v>37.248302000000002</v>
      </c>
      <c r="J45" s="15">
        <v>37.248302000000002</v>
      </c>
      <c r="K45" s="15">
        <v>37.248302000000002</v>
      </c>
      <c r="L45" s="15">
        <v>39.248305999999999</v>
      </c>
      <c r="M45" s="15">
        <v>39.248305999999999</v>
      </c>
      <c r="N45" s="15">
        <v>46.348309</v>
      </c>
      <c r="O45" s="15">
        <v>46.348309</v>
      </c>
      <c r="P45" s="15">
        <v>46.348309</v>
      </c>
      <c r="Q45" s="15">
        <v>46.348309</v>
      </c>
      <c r="R45" s="15">
        <v>46.348309</v>
      </c>
      <c r="S45" s="15">
        <v>54.548302</v>
      </c>
      <c r="T45" s="15">
        <v>54.548302</v>
      </c>
      <c r="U45" s="15">
        <v>54.548302</v>
      </c>
      <c r="V45" s="15">
        <v>54.548302</v>
      </c>
      <c r="W45" s="15">
        <v>54.548302</v>
      </c>
      <c r="X45" s="15">
        <v>54.548302</v>
      </c>
      <c r="Y45" s="15">
        <v>54.548302</v>
      </c>
      <c r="Z45" s="15">
        <v>54.548302</v>
      </c>
      <c r="AA45" s="15">
        <v>54.548302</v>
      </c>
      <c r="AB45" s="15">
        <v>54.548302</v>
      </c>
      <c r="AC45" s="15">
        <v>54.548302</v>
      </c>
      <c r="AD45" s="15">
        <v>54.548302</v>
      </c>
      <c r="AE45" s="15">
        <v>54.548302</v>
      </c>
      <c r="AF45" s="15">
        <v>54.548302</v>
      </c>
      <c r="AG45" s="15">
        <v>54.548302</v>
      </c>
      <c r="AH45" s="15">
        <v>54.548302</v>
      </c>
      <c r="AI45" s="16" t="s">
        <v>35</v>
      </c>
    </row>
    <row r="46" spans="1:35" ht="15" customHeight="1">
      <c r="A46" s="7" t="s">
        <v>58</v>
      </c>
      <c r="B46" s="14" t="s">
        <v>59</v>
      </c>
      <c r="C46" s="15" t="s">
        <v>35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6" t="s">
        <v>35</v>
      </c>
    </row>
    <row r="47" spans="1:35" ht="15" customHeight="1">
      <c r="A47" s="7" t="s">
        <v>60</v>
      </c>
      <c r="B47" s="13" t="s">
        <v>37</v>
      </c>
      <c r="C47" s="17" t="s">
        <v>35</v>
      </c>
      <c r="D47" s="17">
        <v>36.766212000000003</v>
      </c>
      <c r="E47" s="17">
        <v>61.286197999999999</v>
      </c>
      <c r="F47" s="17">
        <v>65.0839</v>
      </c>
      <c r="G47" s="17">
        <v>66.614898999999994</v>
      </c>
      <c r="H47" s="17">
        <v>67.745895000000004</v>
      </c>
      <c r="I47" s="17">
        <v>68.188896</v>
      </c>
      <c r="J47" s="17">
        <v>68.599898999999994</v>
      </c>
      <c r="K47" s="17">
        <v>69.010895000000005</v>
      </c>
      <c r="L47" s="17">
        <v>71.421890000000005</v>
      </c>
      <c r="M47" s="17">
        <v>71.832901000000007</v>
      </c>
      <c r="N47" s="17">
        <v>79.343902999999997</v>
      </c>
      <c r="O47" s="17">
        <v>79.343902999999997</v>
      </c>
      <c r="P47" s="17">
        <v>79.343902999999997</v>
      </c>
      <c r="Q47" s="17">
        <v>79.343902999999997</v>
      </c>
      <c r="R47" s="17">
        <v>79.343902999999997</v>
      </c>
      <c r="S47" s="17">
        <v>87.543899999999994</v>
      </c>
      <c r="T47" s="17">
        <v>87.543899999999994</v>
      </c>
      <c r="U47" s="17">
        <v>87.543899999999994</v>
      </c>
      <c r="V47" s="17">
        <v>87.543899999999994</v>
      </c>
      <c r="W47" s="17">
        <v>87.543899999999994</v>
      </c>
      <c r="X47" s="17">
        <v>87.543899999999994</v>
      </c>
      <c r="Y47" s="17">
        <v>87.543899999999994</v>
      </c>
      <c r="Z47" s="17">
        <v>87.543899999999994</v>
      </c>
      <c r="AA47" s="17">
        <v>87.543899999999994</v>
      </c>
      <c r="AB47" s="17">
        <v>87.543899999999994</v>
      </c>
      <c r="AC47" s="17">
        <v>87.543899999999994</v>
      </c>
      <c r="AD47" s="17">
        <v>87.543899999999994</v>
      </c>
      <c r="AE47" s="17">
        <v>87.543899999999994</v>
      </c>
      <c r="AF47" s="17">
        <v>87.543899999999994</v>
      </c>
      <c r="AG47" s="17">
        <v>87.543899999999994</v>
      </c>
      <c r="AH47" s="17">
        <v>87.543899999999994</v>
      </c>
      <c r="AI47" s="18" t="s">
        <v>35</v>
      </c>
    </row>
    <row r="48" spans="1:35" ht="15" customHeight="1">
      <c r="B48" s="13" t="s">
        <v>61</v>
      </c>
    </row>
    <row r="49" spans="1:35" ht="15" customHeight="1">
      <c r="A49" s="7" t="s">
        <v>62</v>
      </c>
      <c r="B49" s="14" t="s">
        <v>40</v>
      </c>
      <c r="C49" s="15" t="s">
        <v>35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6" t="s">
        <v>35</v>
      </c>
    </row>
    <row r="50" spans="1:35" ht="15" customHeight="1">
      <c r="A50" s="7" t="s">
        <v>63</v>
      </c>
      <c r="B50" s="14" t="s">
        <v>42</v>
      </c>
      <c r="C50" s="15" t="s">
        <v>35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6" t="s">
        <v>35</v>
      </c>
    </row>
    <row r="51" spans="1:35" ht="15" customHeight="1">
      <c r="A51" s="7" t="s">
        <v>64</v>
      </c>
      <c r="B51" s="14" t="s">
        <v>20</v>
      </c>
      <c r="C51" s="15" t="s">
        <v>35</v>
      </c>
      <c r="D51" s="15">
        <v>0</v>
      </c>
      <c r="E51" s="15">
        <v>0</v>
      </c>
      <c r="F51" s="15">
        <v>13.828454000000001</v>
      </c>
      <c r="G51" s="15">
        <v>25.828113999999999</v>
      </c>
      <c r="H51" s="15">
        <v>35.644188</v>
      </c>
      <c r="I51" s="15">
        <v>48.458748</v>
      </c>
      <c r="J51" s="15">
        <v>56.878349</v>
      </c>
      <c r="K51" s="15">
        <v>60.147820000000003</v>
      </c>
      <c r="L51" s="15">
        <v>63.474761999999998</v>
      </c>
      <c r="M51" s="15">
        <v>68.118354999999994</v>
      </c>
      <c r="N51" s="15">
        <v>70.159615000000002</v>
      </c>
      <c r="O51" s="15">
        <v>75.626816000000005</v>
      </c>
      <c r="P51" s="15">
        <v>78.132202000000007</v>
      </c>
      <c r="Q51" s="15">
        <v>81.93486</v>
      </c>
      <c r="R51" s="15">
        <v>85.978911999999994</v>
      </c>
      <c r="S51" s="15">
        <v>89.876045000000005</v>
      </c>
      <c r="T51" s="15">
        <v>95.007011000000006</v>
      </c>
      <c r="U51" s="15">
        <v>100.174744</v>
      </c>
      <c r="V51" s="15">
        <v>105.655968</v>
      </c>
      <c r="W51" s="15">
        <v>111.698669</v>
      </c>
      <c r="X51" s="15">
        <v>116.012756</v>
      </c>
      <c r="Y51" s="15">
        <v>119.42237900000001</v>
      </c>
      <c r="Z51" s="15">
        <v>123.18995700000001</v>
      </c>
      <c r="AA51" s="15">
        <v>126.976524</v>
      </c>
      <c r="AB51" s="15">
        <v>128.47735599999999</v>
      </c>
      <c r="AC51" s="15">
        <v>131.57733200000001</v>
      </c>
      <c r="AD51" s="15">
        <v>135.581604</v>
      </c>
      <c r="AE51" s="15">
        <v>139.59790000000001</v>
      </c>
      <c r="AF51" s="15">
        <v>142.990005</v>
      </c>
      <c r="AG51" s="15">
        <v>148.43841599999999</v>
      </c>
      <c r="AH51" s="15">
        <v>151.827789</v>
      </c>
      <c r="AI51" s="16" t="s">
        <v>35</v>
      </c>
    </row>
    <row r="52" spans="1:35" ht="15" customHeight="1">
      <c r="A52" s="7" t="s">
        <v>65</v>
      </c>
      <c r="B52" s="14" t="s">
        <v>22</v>
      </c>
      <c r="C52" s="15" t="s">
        <v>35</v>
      </c>
      <c r="D52" s="15">
        <v>5.1076790000000001</v>
      </c>
      <c r="E52" s="15">
        <v>8.0318660000000008</v>
      </c>
      <c r="F52" s="15">
        <v>11.031867</v>
      </c>
      <c r="G52" s="15">
        <v>14.600579</v>
      </c>
      <c r="H52" s="15">
        <v>18.704597</v>
      </c>
      <c r="I52" s="15">
        <v>23.424220999999999</v>
      </c>
      <c r="J52" s="15">
        <v>28.851786000000001</v>
      </c>
      <c r="K52" s="15">
        <v>32.255527000000001</v>
      </c>
      <c r="L52" s="15">
        <v>37.478329000000002</v>
      </c>
      <c r="M52" s="15">
        <v>40.820255000000003</v>
      </c>
      <c r="N52" s="15">
        <v>46.225853000000001</v>
      </c>
      <c r="O52" s="15">
        <v>52.442279999999997</v>
      </c>
      <c r="P52" s="15">
        <v>59.591186999999998</v>
      </c>
      <c r="Q52" s="15">
        <v>64.009933000000004</v>
      </c>
      <c r="R52" s="15">
        <v>68.531441000000001</v>
      </c>
      <c r="S52" s="15">
        <v>75.108429000000001</v>
      </c>
      <c r="T52" s="15">
        <v>79.935897999999995</v>
      </c>
      <c r="U52" s="15">
        <v>86.743080000000006</v>
      </c>
      <c r="V52" s="15">
        <v>91.298530999999997</v>
      </c>
      <c r="W52" s="15">
        <v>98.343956000000006</v>
      </c>
      <c r="X52" s="15">
        <v>103.508202</v>
      </c>
      <c r="Y52" s="15">
        <v>110.800224</v>
      </c>
      <c r="Z52" s="15">
        <v>116.538757</v>
      </c>
      <c r="AA52" s="15">
        <v>124.086006</v>
      </c>
      <c r="AB52" s="15">
        <v>132.76533499999999</v>
      </c>
      <c r="AC52" s="15">
        <v>139.24475100000001</v>
      </c>
      <c r="AD52" s="15">
        <v>148.227844</v>
      </c>
      <c r="AE52" s="15">
        <v>153.72843900000001</v>
      </c>
      <c r="AF52" s="15">
        <v>163.02598599999999</v>
      </c>
      <c r="AG52" s="15">
        <v>170.509308</v>
      </c>
      <c r="AH52" s="15">
        <v>180.13220200000001</v>
      </c>
      <c r="AI52" s="16" t="s">
        <v>35</v>
      </c>
    </row>
    <row r="53" spans="1:35" ht="15" customHeight="1">
      <c r="A53" s="7" t="s">
        <v>66</v>
      </c>
      <c r="B53" s="14" t="s">
        <v>53</v>
      </c>
      <c r="C53" s="15" t="s">
        <v>35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6" t="s">
        <v>35</v>
      </c>
    </row>
    <row r="54" spans="1:35" ht="15" customHeight="1">
      <c r="A54" s="7" t="s">
        <v>67</v>
      </c>
      <c r="B54" s="14" t="s">
        <v>26</v>
      </c>
      <c r="C54" s="15" t="s">
        <v>35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6" t="s">
        <v>35</v>
      </c>
    </row>
    <row r="55" spans="1:35" ht="15" customHeight="1">
      <c r="A55" s="7" t="s">
        <v>68</v>
      </c>
      <c r="B55" s="14" t="s">
        <v>28</v>
      </c>
      <c r="C55" s="15" t="s">
        <v>35</v>
      </c>
      <c r="D55" s="15">
        <v>0.19156000000000001</v>
      </c>
      <c r="E55" s="15">
        <v>0.89505999999999997</v>
      </c>
      <c r="F55" s="15">
        <v>0.89505999999999997</v>
      </c>
      <c r="G55" s="15">
        <v>0.89505999999999997</v>
      </c>
      <c r="H55" s="15">
        <v>0.89505999999999997</v>
      </c>
      <c r="I55" s="15">
        <v>0.89505999999999997</v>
      </c>
      <c r="J55" s="15">
        <v>0.89505999999999997</v>
      </c>
      <c r="K55" s="15">
        <v>0.89505999999999997</v>
      </c>
      <c r="L55" s="15">
        <v>0.89505999999999997</v>
      </c>
      <c r="M55" s="15">
        <v>0.94604100000000002</v>
      </c>
      <c r="N55" s="15">
        <v>0.94604100000000002</v>
      </c>
      <c r="O55" s="15">
        <v>0.94604100000000002</v>
      </c>
      <c r="P55" s="15">
        <v>0.94604100000000002</v>
      </c>
      <c r="Q55" s="15">
        <v>1.2330650000000001</v>
      </c>
      <c r="R55" s="15">
        <v>1.6807479999999999</v>
      </c>
      <c r="S55" s="15">
        <v>1.6807479999999999</v>
      </c>
      <c r="T55" s="15">
        <v>1.7483310000000001</v>
      </c>
      <c r="U55" s="15">
        <v>1.7483310000000001</v>
      </c>
      <c r="V55" s="15">
        <v>1.763131</v>
      </c>
      <c r="W55" s="15">
        <v>1.763131</v>
      </c>
      <c r="X55" s="15">
        <v>1.850481</v>
      </c>
      <c r="Y55" s="15">
        <v>2.289879</v>
      </c>
      <c r="Z55" s="15">
        <v>2.8846029999999998</v>
      </c>
      <c r="AA55" s="15">
        <v>2.8846029999999998</v>
      </c>
      <c r="AB55" s="15">
        <v>2.8846029999999998</v>
      </c>
      <c r="AC55" s="15">
        <v>3.5184600000000001</v>
      </c>
      <c r="AD55" s="15">
        <v>4.1978559999999998</v>
      </c>
      <c r="AE55" s="15">
        <v>5.9578709999999999</v>
      </c>
      <c r="AF55" s="15">
        <v>6.958882</v>
      </c>
      <c r="AG55" s="15">
        <v>8.2423059999999992</v>
      </c>
      <c r="AH55" s="15">
        <v>8.2770949999999992</v>
      </c>
      <c r="AI55" s="16" t="s">
        <v>35</v>
      </c>
    </row>
    <row r="56" spans="1:35" ht="15" customHeight="1">
      <c r="A56" s="7" t="s">
        <v>69</v>
      </c>
      <c r="B56" s="14" t="s">
        <v>30</v>
      </c>
      <c r="C56" s="15" t="s">
        <v>35</v>
      </c>
      <c r="D56" s="15">
        <v>0</v>
      </c>
      <c r="E56" s="15">
        <v>0</v>
      </c>
      <c r="F56" s="15">
        <v>7.6270000000000001E-3</v>
      </c>
      <c r="G56" s="15">
        <v>8.8990000000000007E-3</v>
      </c>
      <c r="H56" s="15">
        <v>8.8990000000000007E-3</v>
      </c>
      <c r="I56" s="15">
        <v>8.8990000000000007E-3</v>
      </c>
      <c r="J56" s="15">
        <v>8.8990000000000007E-3</v>
      </c>
      <c r="K56" s="15">
        <v>8.8990000000000007E-3</v>
      </c>
      <c r="L56" s="15">
        <v>3.8760999999999997E-2</v>
      </c>
      <c r="M56" s="15">
        <v>3.8760999999999997E-2</v>
      </c>
      <c r="N56" s="15">
        <v>3.8760999999999997E-2</v>
      </c>
      <c r="O56" s="15">
        <v>3.8760999999999997E-2</v>
      </c>
      <c r="P56" s="15">
        <v>3.8760999999999997E-2</v>
      </c>
      <c r="Q56" s="15">
        <v>3.8760999999999997E-2</v>
      </c>
      <c r="R56" s="15">
        <v>3.8760999999999997E-2</v>
      </c>
      <c r="S56" s="15">
        <v>3.8760999999999997E-2</v>
      </c>
      <c r="T56" s="15">
        <v>3.8760999999999997E-2</v>
      </c>
      <c r="U56" s="15">
        <v>3.8760999999999997E-2</v>
      </c>
      <c r="V56" s="15">
        <v>3.8760999999999997E-2</v>
      </c>
      <c r="W56" s="15">
        <v>3.8760999999999997E-2</v>
      </c>
      <c r="X56" s="15">
        <v>3.8760999999999997E-2</v>
      </c>
      <c r="Y56" s="15">
        <v>3.8760999999999997E-2</v>
      </c>
      <c r="Z56" s="15">
        <v>3.8760999999999997E-2</v>
      </c>
      <c r="AA56" s="15">
        <v>3.8760999999999997E-2</v>
      </c>
      <c r="AB56" s="15">
        <v>3.8760999999999997E-2</v>
      </c>
      <c r="AC56" s="15">
        <v>3.8760999999999997E-2</v>
      </c>
      <c r="AD56" s="15">
        <v>3.8760999999999997E-2</v>
      </c>
      <c r="AE56" s="15">
        <v>3.8760999999999997E-2</v>
      </c>
      <c r="AF56" s="15">
        <v>3.8760999999999997E-2</v>
      </c>
      <c r="AG56" s="15">
        <v>3.8760999999999997E-2</v>
      </c>
      <c r="AH56" s="15">
        <v>3.8760999999999997E-2</v>
      </c>
      <c r="AI56" s="16" t="s">
        <v>35</v>
      </c>
    </row>
    <row r="57" spans="1:35" ht="15" customHeight="1">
      <c r="A57" s="7" t="s">
        <v>70</v>
      </c>
      <c r="B57" s="14" t="s">
        <v>32</v>
      </c>
      <c r="C57" s="15" t="s">
        <v>35</v>
      </c>
      <c r="D57" s="15">
        <v>0</v>
      </c>
      <c r="E57" s="15">
        <v>10.824090999999999</v>
      </c>
      <c r="F57" s="15">
        <v>43.645054000000002</v>
      </c>
      <c r="G57" s="15">
        <v>63.712299000000002</v>
      </c>
      <c r="H57" s="15">
        <v>76.402816999999999</v>
      </c>
      <c r="I57" s="15">
        <v>94.047095999999996</v>
      </c>
      <c r="J57" s="15">
        <v>107.869469</v>
      </c>
      <c r="K57" s="15">
        <v>117.172951</v>
      </c>
      <c r="L57" s="15">
        <v>124.315521</v>
      </c>
      <c r="M57" s="15">
        <v>138.12081900000001</v>
      </c>
      <c r="N57" s="15">
        <v>147.01431299999999</v>
      </c>
      <c r="O57" s="15">
        <v>148.25576799999999</v>
      </c>
      <c r="P57" s="15">
        <v>150.053146</v>
      </c>
      <c r="Q57" s="15">
        <v>152.25543200000001</v>
      </c>
      <c r="R57" s="15">
        <v>153.716171</v>
      </c>
      <c r="S57" s="15">
        <v>157.64411899999999</v>
      </c>
      <c r="T57" s="15">
        <v>164.54954499999999</v>
      </c>
      <c r="U57" s="15">
        <v>171.563568</v>
      </c>
      <c r="V57" s="15">
        <v>180.422394</v>
      </c>
      <c r="W57" s="15">
        <v>189.016434</v>
      </c>
      <c r="X57" s="15">
        <v>199.88488799999999</v>
      </c>
      <c r="Y57" s="15">
        <v>212.36029099999999</v>
      </c>
      <c r="Z57" s="15">
        <v>226.743347</v>
      </c>
      <c r="AA57" s="15">
        <v>243.244766</v>
      </c>
      <c r="AB57" s="15">
        <v>261.14529399999998</v>
      </c>
      <c r="AC57" s="15">
        <v>279.30429099999998</v>
      </c>
      <c r="AD57" s="15">
        <v>291.09307899999999</v>
      </c>
      <c r="AE57" s="15">
        <v>301.851562</v>
      </c>
      <c r="AF57" s="15">
        <v>309.33496100000002</v>
      </c>
      <c r="AG57" s="15">
        <v>317.91915899999998</v>
      </c>
      <c r="AH57" s="15">
        <v>326.85275300000001</v>
      </c>
      <c r="AI57" s="16" t="s">
        <v>35</v>
      </c>
    </row>
    <row r="58" spans="1:35" ht="15" customHeight="1">
      <c r="A58" s="7" t="s">
        <v>71</v>
      </c>
      <c r="B58" s="14" t="s">
        <v>59</v>
      </c>
      <c r="C58" s="15" t="s">
        <v>35</v>
      </c>
      <c r="D58" s="15">
        <v>0</v>
      </c>
      <c r="E58" s="15">
        <v>3.7135910000000001</v>
      </c>
      <c r="F58" s="15">
        <v>4.1676700000000002</v>
      </c>
      <c r="G58" s="15">
        <v>4.5476159999999997</v>
      </c>
      <c r="H58" s="15">
        <v>4.9869719999999997</v>
      </c>
      <c r="I58" s="15">
        <v>5.4492339999999997</v>
      </c>
      <c r="J58" s="15">
        <v>5.9613849999999999</v>
      </c>
      <c r="K58" s="15">
        <v>6.5921539999999998</v>
      </c>
      <c r="L58" s="15">
        <v>7.4718270000000002</v>
      </c>
      <c r="M58" s="15">
        <v>8.539021</v>
      </c>
      <c r="N58" s="15">
        <v>9.5355299999999996</v>
      </c>
      <c r="O58" s="15">
        <v>10.636310999999999</v>
      </c>
      <c r="P58" s="15">
        <v>11.831466000000001</v>
      </c>
      <c r="Q58" s="15">
        <v>12.989717000000001</v>
      </c>
      <c r="R58" s="15">
        <v>14.554209</v>
      </c>
      <c r="S58" s="15">
        <v>16.432065999999999</v>
      </c>
      <c r="T58" s="15">
        <v>18.254663000000001</v>
      </c>
      <c r="U58" s="15">
        <v>20.558561000000001</v>
      </c>
      <c r="V58" s="15">
        <v>22.902798000000001</v>
      </c>
      <c r="W58" s="15">
        <v>25.320221</v>
      </c>
      <c r="X58" s="15">
        <v>27.838014999999999</v>
      </c>
      <c r="Y58" s="15">
        <v>30.430658000000001</v>
      </c>
      <c r="Z58" s="15">
        <v>32.999896999999997</v>
      </c>
      <c r="AA58" s="15">
        <v>35.882655999999997</v>
      </c>
      <c r="AB58" s="15">
        <v>38.735401000000003</v>
      </c>
      <c r="AC58" s="15">
        <v>41.726345000000002</v>
      </c>
      <c r="AD58" s="15">
        <v>44.878906000000001</v>
      </c>
      <c r="AE58" s="15">
        <v>47.995967999999998</v>
      </c>
      <c r="AF58" s="15">
        <v>51.195476999999997</v>
      </c>
      <c r="AG58" s="15">
        <v>54.537044999999999</v>
      </c>
      <c r="AH58" s="15">
        <v>57.978287000000002</v>
      </c>
      <c r="AI58" s="16" t="s">
        <v>35</v>
      </c>
    </row>
    <row r="59" spans="1:35" ht="15" customHeight="1">
      <c r="A59" s="7" t="s">
        <v>72</v>
      </c>
      <c r="B59" s="13" t="s">
        <v>37</v>
      </c>
      <c r="C59" s="17" t="s">
        <v>35</v>
      </c>
      <c r="D59" s="17">
        <v>5.299239</v>
      </c>
      <c r="E59" s="17">
        <v>23.464607000000001</v>
      </c>
      <c r="F59" s="17">
        <v>73.575714000000005</v>
      </c>
      <c r="G59" s="17">
        <v>109.592575</v>
      </c>
      <c r="H59" s="17">
        <v>136.64250200000001</v>
      </c>
      <c r="I59" s="17">
        <v>172.28324900000001</v>
      </c>
      <c r="J59" s="17">
        <v>200.46498099999999</v>
      </c>
      <c r="K59" s="17">
        <v>217.072372</v>
      </c>
      <c r="L59" s="17">
        <v>233.67425499999999</v>
      </c>
      <c r="M59" s="17">
        <v>256.583282</v>
      </c>
      <c r="N59" s="17">
        <v>273.920074</v>
      </c>
      <c r="O59" s="17">
        <v>287.94601399999999</v>
      </c>
      <c r="P59" s="17">
        <v>300.59277300000002</v>
      </c>
      <c r="Q59" s="17">
        <v>312.46185300000002</v>
      </c>
      <c r="R59" s="17">
        <v>324.50030500000003</v>
      </c>
      <c r="S59" s="17">
        <v>340.78012100000001</v>
      </c>
      <c r="T59" s="17">
        <v>359.53414900000001</v>
      </c>
      <c r="U59" s="17">
        <v>380.82708700000001</v>
      </c>
      <c r="V59" s="17">
        <v>402.081726</v>
      </c>
      <c r="W59" s="17">
        <v>426.18121300000001</v>
      </c>
      <c r="X59" s="17">
        <v>449.13320900000002</v>
      </c>
      <c r="Y59" s="17">
        <v>475.34207199999997</v>
      </c>
      <c r="Z59" s="17">
        <v>502.39541600000001</v>
      </c>
      <c r="AA59" s="17">
        <v>533.11334199999999</v>
      </c>
      <c r="AB59" s="17">
        <v>564.04693599999996</v>
      </c>
      <c r="AC59" s="17">
        <v>595.410034</v>
      </c>
      <c r="AD59" s="17">
        <v>624.01855499999999</v>
      </c>
      <c r="AE59" s="17">
        <v>649.171021</v>
      </c>
      <c r="AF59" s="17">
        <v>673.54425000000003</v>
      </c>
      <c r="AG59" s="17">
        <v>699.68499799999995</v>
      </c>
      <c r="AH59" s="17">
        <v>725.10705600000006</v>
      </c>
      <c r="AI59" s="18" t="s">
        <v>35</v>
      </c>
    </row>
    <row r="60" spans="1:35" ht="15" customHeight="1">
      <c r="A60" s="7" t="s">
        <v>73</v>
      </c>
      <c r="B60" s="13" t="s">
        <v>127</v>
      </c>
      <c r="C60" s="17" t="s">
        <v>35</v>
      </c>
      <c r="D60" s="17">
        <v>42.065452999999998</v>
      </c>
      <c r="E60" s="17">
        <v>84.750809000000004</v>
      </c>
      <c r="F60" s="17">
        <v>138.65960699999999</v>
      </c>
      <c r="G60" s="17">
        <v>176.207458</v>
      </c>
      <c r="H60" s="17">
        <v>204.388397</v>
      </c>
      <c r="I60" s="17">
        <v>240.472137</v>
      </c>
      <c r="J60" s="17">
        <v>269.06488000000002</v>
      </c>
      <c r="K60" s="17">
        <v>286.08325200000002</v>
      </c>
      <c r="L60" s="17">
        <v>305.09613000000002</v>
      </c>
      <c r="M60" s="17">
        <v>328.41616800000003</v>
      </c>
      <c r="N60" s="17">
        <v>353.26397700000001</v>
      </c>
      <c r="O60" s="17">
        <v>367.289917</v>
      </c>
      <c r="P60" s="17">
        <v>379.93667599999998</v>
      </c>
      <c r="Q60" s="17">
        <v>391.80575599999997</v>
      </c>
      <c r="R60" s="17">
        <v>403.84420799999998</v>
      </c>
      <c r="S60" s="17">
        <v>428.32403599999998</v>
      </c>
      <c r="T60" s="17">
        <v>447.07806399999998</v>
      </c>
      <c r="U60" s="17">
        <v>468.37097199999999</v>
      </c>
      <c r="V60" s="17">
        <v>489.62560999999999</v>
      </c>
      <c r="W60" s="17">
        <v>513.725098</v>
      </c>
      <c r="X60" s="17">
        <v>536.67712400000005</v>
      </c>
      <c r="Y60" s="17">
        <v>562.885986</v>
      </c>
      <c r="Z60" s="17">
        <v>589.93933100000004</v>
      </c>
      <c r="AA60" s="17">
        <v>620.65722700000003</v>
      </c>
      <c r="AB60" s="17">
        <v>651.59082000000001</v>
      </c>
      <c r="AC60" s="17">
        <v>682.95391800000004</v>
      </c>
      <c r="AD60" s="17">
        <v>711.56243900000004</v>
      </c>
      <c r="AE60" s="17">
        <v>736.71490500000004</v>
      </c>
      <c r="AF60" s="17">
        <v>761.08813499999997</v>
      </c>
      <c r="AG60" s="17">
        <v>787.228882</v>
      </c>
      <c r="AH60" s="17">
        <v>812.65093999999999</v>
      </c>
      <c r="AI60" s="18" t="s">
        <v>35</v>
      </c>
    </row>
    <row r="62" spans="1:35" ht="15" customHeight="1">
      <c r="B62" s="13" t="s">
        <v>74</v>
      </c>
    </row>
    <row r="63" spans="1:35" ht="15" customHeight="1">
      <c r="A63" s="7" t="s">
        <v>75</v>
      </c>
      <c r="B63" s="14" t="s">
        <v>40</v>
      </c>
      <c r="C63" s="15" t="s">
        <v>35</v>
      </c>
      <c r="D63" s="15">
        <v>7.6513</v>
      </c>
      <c r="E63" s="15">
        <v>10.3857</v>
      </c>
      <c r="F63" s="15">
        <v>23.942596000000002</v>
      </c>
      <c r="G63" s="15">
        <v>41.405003000000001</v>
      </c>
      <c r="H63" s="15">
        <v>59.140095000000002</v>
      </c>
      <c r="I63" s="15">
        <v>86.780822999999998</v>
      </c>
      <c r="J63" s="15">
        <v>89.706847999999994</v>
      </c>
      <c r="K63" s="15">
        <v>90.984543000000002</v>
      </c>
      <c r="L63" s="15">
        <v>92.319550000000007</v>
      </c>
      <c r="M63" s="15">
        <v>94.574539000000001</v>
      </c>
      <c r="N63" s="15">
        <v>95.209548999999996</v>
      </c>
      <c r="O63" s="15">
        <v>95.441543999999993</v>
      </c>
      <c r="P63" s="15">
        <v>95.533844000000002</v>
      </c>
      <c r="Q63" s="15">
        <v>95.533844000000002</v>
      </c>
      <c r="R63" s="15">
        <v>96.692138999999997</v>
      </c>
      <c r="S63" s="15">
        <v>97.568145999999999</v>
      </c>
      <c r="T63" s="15">
        <v>98.250656000000006</v>
      </c>
      <c r="U63" s="15">
        <v>98.785140999999996</v>
      </c>
      <c r="V63" s="15">
        <v>100.438644</v>
      </c>
      <c r="W63" s="15">
        <v>100.777649</v>
      </c>
      <c r="X63" s="15">
        <v>100.777649</v>
      </c>
      <c r="Y63" s="15">
        <v>101.117645</v>
      </c>
      <c r="Z63" s="15">
        <v>101.117645</v>
      </c>
      <c r="AA63" s="15">
        <v>101.117645</v>
      </c>
      <c r="AB63" s="15">
        <v>101.117645</v>
      </c>
      <c r="AC63" s="15">
        <v>101.53265399999999</v>
      </c>
      <c r="AD63" s="15">
        <v>101.53265399999999</v>
      </c>
      <c r="AE63" s="15">
        <v>101.76464799999999</v>
      </c>
      <c r="AF63" s="15">
        <v>101.76464799999999</v>
      </c>
      <c r="AG63" s="15">
        <v>101.989655</v>
      </c>
      <c r="AH63" s="15">
        <v>101.989655</v>
      </c>
      <c r="AI63" s="16" t="s">
        <v>35</v>
      </c>
    </row>
    <row r="64" spans="1:35" ht="15" customHeight="1">
      <c r="A64" s="7" t="s">
        <v>76</v>
      </c>
      <c r="B64" s="14" t="s">
        <v>42</v>
      </c>
      <c r="C64" s="15" t="s">
        <v>35</v>
      </c>
      <c r="D64" s="15">
        <v>2.4335990000000001</v>
      </c>
      <c r="E64" s="15">
        <v>8.6637020000000007</v>
      </c>
      <c r="F64" s="15">
        <v>13.732802</v>
      </c>
      <c r="G64" s="15">
        <v>16.024902000000001</v>
      </c>
      <c r="H64" s="15">
        <v>18.459</v>
      </c>
      <c r="I64" s="15">
        <v>21.614605000000001</v>
      </c>
      <c r="J64" s="15">
        <v>23.229800999999998</v>
      </c>
      <c r="K64" s="15">
        <v>23.746798999999999</v>
      </c>
      <c r="L64" s="15">
        <v>24.280795999999999</v>
      </c>
      <c r="M64" s="15">
        <v>26.037196999999999</v>
      </c>
      <c r="N64" s="15">
        <v>26.485195000000001</v>
      </c>
      <c r="O64" s="15">
        <v>27.503399000000002</v>
      </c>
      <c r="P64" s="15">
        <v>29.355404</v>
      </c>
      <c r="Q64" s="15">
        <v>30.623802000000001</v>
      </c>
      <c r="R64" s="15">
        <v>31.151900999999999</v>
      </c>
      <c r="S64" s="15">
        <v>32.130901000000001</v>
      </c>
      <c r="T64" s="15">
        <v>32.130901000000001</v>
      </c>
      <c r="U64" s="15">
        <v>32.130901000000001</v>
      </c>
      <c r="V64" s="15">
        <v>32.461903</v>
      </c>
      <c r="W64" s="15">
        <v>32.461903</v>
      </c>
      <c r="X64" s="15">
        <v>32.461903</v>
      </c>
      <c r="Y64" s="15">
        <v>32.461903</v>
      </c>
      <c r="Z64" s="15">
        <v>32.461903</v>
      </c>
      <c r="AA64" s="15">
        <v>32.461903</v>
      </c>
      <c r="AB64" s="15">
        <v>32.461903</v>
      </c>
      <c r="AC64" s="15">
        <v>32.461903</v>
      </c>
      <c r="AD64" s="15">
        <v>32.461903</v>
      </c>
      <c r="AE64" s="15">
        <v>32.461903</v>
      </c>
      <c r="AF64" s="15">
        <v>32.541904000000002</v>
      </c>
      <c r="AG64" s="15">
        <v>32.541904000000002</v>
      </c>
      <c r="AH64" s="15">
        <v>32.541904000000002</v>
      </c>
      <c r="AI64" s="16" t="s">
        <v>35</v>
      </c>
    </row>
    <row r="65" spans="1:35" ht="15" customHeight="1">
      <c r="A65" s="7" t="s">
        <v>77</v>
      </c>
      <c r="B65" s="14" t="s">
        <v>20</v>
      </c>
      <c r="C65" s="15" t="s">
        <v>35</v>
      </c>
      <c r="D65" s="15">
        <v>0.73760000000000003</v>
      </c>
      <c r="E65" s="15">
        <v>1.2996000000000001</v>
      </c>
      <c r="F65" s="15">
        <v>1.5430999999999999</v>
      </c>
      <c r="G65" s="15">
        <v>2.8249</v>
      </c>
      <c r="H65" s="15">
        <v>3.962799</v>
      </c>
      <c r="I65" s="15">
        <v>4.5044019999999998</v>
      </c>
      <c r="J65" s="15">
        <v>4.6098020000000002</v>
      </c>
      <c r="K65" s="15">
        <v>4.6098020000000002</v>
      </c>
      <c r="L65" s="15">
        <v>4.6098020000000002</v>
      </c>
      <c r="M65" s="15">
        <v>4.6098020000000002</v>
      </c>
      <c r="N65" s="15">
        <v>4.7334009999999997</v>
      </c>
      <c r="O65" s="15">
        <v>5.2949010000000003</v>
      </c>
      <c r="P65" s="15">
        <v>5.3199009999999998</v>
      </c>
      <c r="Q65" s="15">
        <v>5.3889019999999999</v>
      </c>
      <c r="R65" s="15">
        <v>5.7346019999999998</v>
      </c>
      <c r="S65" s="15">
        <v>5.7346019999999998</v>
      </c>
      <c r="T65" s="15">
        <v>5.7346019999999998</v>
      </c>
      <c r="U65" s="15">
        <v>5.7346019999999998</v>
      </c>
      <c r="V65" s="15">
        <v>5.7346019999999998</v>
      </c>
      <c r="W65" s="15">
        <v>6.3636020000000002</v>
      </c>
      <c r="X65" s="15">
        <v>6.3636020000000002</v>
      </c>
      <c r="Y65" s="15">
        <v>6.4466020000000004</v>
      </c>
      <c r="Z65" s="15">
        <v>6.9486020000000002</v>
      </c>
      <c r="AA65" s="15">
        <v>6.9486020000000002</v>
      </c>
      <c r="AB65" s="15">
        <v>7.0040019999999998</v>
      </c>
      <c r="AC65" s="15">
        <v>7.5091020000000004</v>
      </c>
      <c r="AD65" s="15">
        <v>7.5091020000000004</v>
      </c>
      <c r="AE65" s="15">
        <v>7.5091020000000004</v>
      </c>
      <c r="AF65" s="15">
        <v>8.2606009999999994</v>
      </c>
      <c r="AG65" s="15">
        <v>8.2636009999999995</v>
      </c>
      <c r="AH65" s="15">
        <v>8.2636009999999995</v>
      </c>
      <c r="AI65" s="16" t="s">
        <v>35</v>
      </c>
    </row>
    <row r="66" spans="1:35" ht="15" customHeight="1">
      <c r="A66" s="7" t="s">
        <v>78</v>
      </c>
      <c r="B66" s="14" t="s">
        <v>22</v>
      </c>
      <c r="C66" s="15" t="s">
        <v>35</v>
      </c>
      <c r="D66" s="15">
        <v>0.61250000000000004</v>
      </c>
      <c r="E66" s="15">
        <v>0.90659999999999996</v>
      </c>
      <c r="F66" s="15">
        <v>1.0225</v>
      </c>
      <c r="G66" s="15">
        <v>1.1926000000000001</v>
      </c>
      <c r="H66" s="15">
        <v>1.4815</v>
      </c>
      <c r="I66" s="15">
        <v>1.4935</v>
      </c>
      <c r="J66" s="15">
        <v>2.1823999999999999</v>
      </c>
      <c r="K66" s="15">
        <v>2.722</v>
      </c>
      <c r="L66" s="15">
        <v>2.722</v>
      </c>
      <c r="M66" s="15">
        <v>2.7254999999999998</v>
      </c>
      <c r="N66" s="15">
        <v>2.7254999999999998</v>
      </c>
      <c r="O66" s="15">
        <v>2.7254999999999998</v>
      </c>
      <c r="P66" s="15">
        <v>2.7254999999999998</v>
      </c>
      <c r="Q66" s="15">
        <v>2.7254999999999998</v>
      </c>
      <c r="R66" s="15">
        <v>2.7965</v>
      </c>
      <c r="S66" s="15">
        <v>2.8134999999999999</v>
      </c>
      <c r="T66" s="15">
        <v>2.8180000000000001</v>
      </c>
      <c r="U66" s="15">
        <v>2.85</v>
      </c>
      <c r="V66" s="15">
        <v>2.8546999999999998</v>
      </c>
      <c r="W66" s="15">
        <v>2.8546999999999998</v>
      </c>
      <c r="X66" s="15">
        <v>2.8546999999999998</v>
      </c>
      <c r="Y66" s="15">
        <v>3.0636999999999999</v>
      </c>
      <c r="Z66" s="15">
        <v>3.0956999999999999</v>
      </c>
      <c r="AA66" s="15">
        <v>3.0956999999999999</v>
      </c>
      <c r="AB66" s="15">
        <v>3.0956999999999999</v>
      </c>
      <c r="AC66" s="15">
        <v>3.0956999999999999</v>
      </c>
      <c r="AD66" s="15">
        <v>3.0956999999999999</v>
      </c>
      <c r="AE66" s="15">
        <v>3.0956999999999999</v>
      </c>
      <c r="AF66" s="15">
        <v>3.0956999999999999</v>
      </c>
      <c r="AG66" s="15">
        <v>3.1393</v>
      </c>
      <c r="AH66" s="15">
        <v>3.1393</v>
      </c>
      <c r="AI66" s="16" t="s">
        <v>35</v>
      </c>
    </row>
    <row r="67" spans="1:35" ht="15" customHeight="1">
      <c r="A67" s="7" t="s">
        <v>79</v>
      </c>
      <c r="B67" s="14" t="s">
        <v>53</v>
      </c>
      <c r="C67" s="15" t="s">
        <v>35</v>
      </c>
      <c r="D67" s="15">
        <v>1.0185</v>
      </c>
      <c r="E67" s="15">
        <v>4.4657</v>
      </c>
      <c r="F67" s="15">
        <v>5.2698999999999998</v>
      </c>
      <c r="G67" s="15">
        <v>5.2698999999999998</v>
      </c>
      <c r="H67" s="15">
        <v>5.2698999999999998</v>
      </c>
      <c r="I67" s="15">
        <v>8.5629010000000001</v>
      </c>
      <c r="J67" s="15">
        <v>17.404599999999999</v>
      </c>
      <c r="K67" s="15">
        <v>17.404599999999999</v>
      </c>
      <c r="L67" s="15">
        <v>17.404599999999999</v>
      </c>
      <c r="M67" s="15">
        <v>17.404599999999999</v>
      </c>
      <c r="N67" s="15">
        <v>17.404599999999999</v>
      </c>
      <c r="O67" s="15">
        <v>17.404599999999999</v>
      </c>
      <c r="P67" s="15">
        <v>17.404599999999999</v>
      </c>
      <c r="Q67" s="15">
        <v>19.380602</v>
      </c>
      <c r="R67" s="15">
        <v>21.514600999999999</v>
      </c>
      <c r="S67" s="15">
        <v>21.514600999999999</v>
      </c>
      <c r="T67" s="15">
        <v>21.514600999999999</v>
      </c>
      <c r="U67" s="15">
        <v>21.514600999999999</v>
      </c>
      <c r="V67" s="15">
        <v>21.514600999999999</v>
      </c>
      <c r="W67" s="15">
        <v>21.514600999999999</v>
      </c>
      <c r="X67" s="15">
        <v>22.682600000000001</v>
      </c>
      <c r="Y67" s="15">
        <v>22.682600000000001</v>
      </c>
      <c r="Z67" s="15">
        <v>22.682600000000001</v>
      </c>
      <c r="AA67" s="15">
        <v>23.834599999999998</v>
      </c>
      <c r="AB67" s="15">
        <v>23.834599999999998</v>
      </c>
      <c r="AC67" s="15">
        <v>23.834599999999998</v>
      </c>
      <c r="AD67" s="15">
        <v>23.834599999999998</v>
      </c>
      <c r="AE67" s="15">
        <v>23.834599999999998</v>
      </c>
      <c r="AF67" s="15">
        <v>23.834599999999998</v>
      </c>
      <c r="AG67" s="15">
        <v>23.834599999999998</v>
      </c>
      <c r="AH67" s="15">
        <v>23.834599999999998</v>
      </c>
      <c r="AI67" s="16" t="s">
        <v>35</v>
      </c>
    </row>
    <row r="68" spans="1:35" ht="15" customHeight="1">
      <c r="A68" s="7" t="s">
        <v>80</v>
      </c>
      <c r="B68" s="14" t="s">
        <v>26</v>
      </c>
      <c r="C68" s="15" t="s">
        <v>35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6" t="s">
        <v>35</v>
      </c>
    </row>
    <row r="69" spans="1:35" ht="15" customHeight="1">
      <c r="A69" s="7" t="s">
        <v>81</v>
      </c>
      <c r="B69" s="14" t="s">
        <v>28</v>
      </c>
      <c r="C69" s="15" t="s">
        <v>35</v>
      </c>
      <c r="D69" s="15">
        <v>0</v>
      </c>
      <c r="E69" s="15">
        <v>0</v>
      </c>
      <c r="F69" s="15">
        <v>0</v>
      </c>
      <c r="G69" s="15">
        <v>0</v>
      </c>
      <c r="H69" s="15">
        <v>1E-3</v>
      </c>
      <c r="I69" s="15">
        <v>1E-3</v>
      </c>
      <c r="J69" s="15">
        <v>1E-3</v>
      </c>
      <c r="K69" s="15">
        <v>1E-3</v>
      </c>
      <c r="L69" s="15">
        <v>1E-3</v>
      </c>
      <c r="M69" s="15">
        <v>1E-3</v>
      </c>
      <c r="N69" s="15">
        <v>1E-3</v>
      </c>
      <c r="O69" s="15">
        <v>1E-3</v>
      </c>
      <c r="P69" s="15">
        <v>1E-3</v>
      </c>
      <c r="Q69" s="15">
        <v>1E-3</v>
      </c>
      <c r="R69" s="15">
        <v>1E-3</v>
      </c>
      <c r="S69" s="15">
        <v>1E-3</v>
      </c>
      <c r="T69" s="15">
        <v>1E-3</v>
      </c>
      <c r="U69" s="15">
        <v>1E-3</v>
      </c>
      <c r="V69" s="15">
        <v>1E-3</v>
      </c>
      <c r="W69" s="15">
        <v>1E-3</v>
      </c>
      <c r="X69" s="15">
        <v>1E-3</v>
      </c>
      <c r="Y69" s="15">
        <v>1E-3</v>
      </c>
      <c r="Z69" s="15">
        <v>1E-3</v>
      </c>
      <c r="AA69" s="15">
        <v>1E-3</v>
      </c>
      <c r="AB69" s="15">
        <v>1E-3</v>
      </c>
      <c r="AC69" s="15">
        <v>1E-3</v>
      </c>
      <c r="AD69" s="15">
        <v>1E-3</v>
      </c>
      <c r="AE69" s="15">
        <v>1E-3</v>
      </c>
      <c r="AF69" s="15">
        <v>1E-3</v>
      </c>
      <c r="AG69" s="15">
        <v>1E-3</v>
      </c>
      <c r="AH69" s="15">
        <v>1E-3</v>
      </c>
      <c r="AI69" s="16" t="s">
        <v>35</v>
      </c>
    </row>
    <row r="70" spans="1:35" ht="15" customHeight="1">
      <c r="A70" s="7" t="s">
        <v>82</v>
      </c>
      <c r="B70" s="14" t="s">
        <v>30</v>
      </c>
      <c r="C70" s="15" t="s">
        <v>35</v>
      </c>
      <c r="D70" s="15">
        <v>1.1000000000000001E-3</v>
      </c>
      <c r="E70" s="15">
        <v>1.1000000000000001E-3</v>
      </c>
      <c r="F70" s="15">
        <v>1.1000000000000001E-3</v>
      </c>
      <c r="G70" s="15">
        <v>1.1000000000000001E-3</v>
      </c>
      <c r="H70" s="15">
        <v>1.1000000000000001E-3</v>
      </c>
      <c r="I70" s="15">
        <v>1.1000000000000001E-3</v>
      </c>
      <c r="J70" s="15">
        <v>1.1000000000000001E-3</v>
      </c>
      <c r="K70" s="15">
        <v>1.1000000000000001E-3</v>
      </c>
      <c r="L70" s="15">
        <v>1.1000000000000001E-3</v>
      </c>
      <c r="M70" s="15">
        <v>1.1000000000000001E-3</v>
      </c>
      <c r="N70" s="15">
        <v>1.1000000000000001E-3</v>
      </c>
      <c r="O70" s="15">
        <v>1.1000000000000001E-3</v>
      </c>
      <c r="P70" s="15">
        <v>1.1000000000000001E-3</v>
      </c>
      <c r="Q70" s="15">
        <v>1.1000000000000001E-3</v>
      </c>
      <c r="R70" s="15">
        <v>1.1000000000000001E-3</v>
      </c>
      <c r="S70" s="15">
        <v>1.1000000000000001E-3</v>
      </c>
      <c r="T70" s="15">
        <v>1.1000000000000001E-3</v>
      </c>
      <c r="U70" s="15">
        <v>1.1000000000000001E-3</v>
      </c>
      <c r="V70" s="15">
        <v>1.1000000000000001E-3</v>
      </c>
      <c r="W70" s="15">
        <v>1.1000000000000001E-3</v>
      </c>
      <c r="X70" s="15">
        <v>1.1000000000000001E-3</v>
      </c>
      <c r="Y70" s="15">
        <v>1.1000000000000001E-3</v>
      </c>
      <c r="Z70" s="15">
        <v>1.1000000000000001E-3</v>
      </c>
      <c r="AA70" s="15">
        <v>1.1000000000000001E-3</v>
      </c>
      <c r="AB70" s="15">
        <v>1.1000000000000001E-3</v>
      </c>
      <c r="AC70" s="15">
        <v>1.1000000000000001E-3</v>
      </c>
      <c r="AD70" s="15">
        <v>1.1000000000000001E-3</v>
      </c>
      <c r="AE70" s="15">
        <v>1.1000000000000001E-3</v>
      </c>
      <c r="AF70" s="15">
        <v>1.1000000000000001E-3</v>
      </c>
      <c r="AG70" s="15">
        <v>1.1000000000000001E-3</v>
      </c>
      <c r="AH70" s="15">
        <v>1.1000000000000001E-3</v>
      </c>
      <c r="AI70" s="16" t="s">
        <v>35</v>
      </c>
    </row>
    <row r="71" spans="1:35" ht="15" customHeight="1">
      <c r="A71" s="7" t="s">
        <v>83</v>
      </c>
      <c r="B71" s="14" t="s">
        <v>32</v>
      </c>
      <c r="C71" s="15" t="s">
        <v>35</v>
      </c>
      <c r="D71" s="15">
        <v>7.85E-2</v>
      </c>
      <c r="E71" s="15">
        <v>7.85E-2</v>
      </c>
      <c r="F71" s="15">
        <v>7.85E-2</v>
      </c>
      <c r="G71" s="15">
        <v>0.10489999999999999</v>
      </c>
      <c r="H71" s="15">
        <v>0.12089999999999999</v>
      </c>
      <c r="I71" s="15">
        <v>0.12540000000000001</v>
      </c>
      <c r="J71" s="15">
        <v>0.12540000000000001</v>
      </c>
      <c r="K71" s="15">
        <v>0.13</v>
      </c>
      <c r="L71" s="15">
        <v>0.1492</v>
      </c>
      <c r="M71" s="15">
        <v>0.2286</v>
      </c>
      <c r="N71" s="15">
        <v>0.2286</v>
      </c>
      <c r="O71" s="15">
        <v>0.28860000000000002</v>
      </c>
      <c r="P71" s="15">
        <v>0.28860000000000002</v>
      </c>
      <c r="Q71" s="15">
        <v>0.28860000000000002</v>
      </c>
      <c r="R71" s="15">
        <v>0.28860000000000002</v>
      </c>
      <c r="S71" s="15">
        <v>0.28860000000000002</v>
      </c>
      <c r="T71" s="15">
        <v>0.28860000000000002</v>
      </c>
      <c r="U71" s="15">
        <v>0.28860000000000002</v>
      </c>
      <c r="V71" s="15">
        <v>0.28860000000000002</v>
      </c>
      <c r="W71" s="15">
        <v>0.28860000000000002</v>
      </c>
      <c r="X71" s="15">
        <v>0.28860000000000002</v>
      </c>
      <c r="Y71" s="15">
        <v>0.28860000000000002</v>
      </c>
      <c r="Z71" s="15">
        <v>0.28860000000000002</v>
      </c>
      <c r="AA71" s="15">
        <v>0.28860000000000002</v>
      </c>
      <c r="AB71" s="15">
        <v>0.36849999999999999</v>
      </c>
      <c r="AC71" s="15">
        <v>0.36849999999999999</v>
      </c>
      <c r="AD71" s="15">
        <v>0.36849999999999999</v>
      </c>
      <c r="AE71" s="15">
        <v>0.3715</v>
      </c>
      <c r="AF71" s="15">
        <v>0.3715</v>
      </c>
      <c r="AG71" s="15">
        <v>0.3715</v>
      </c>
      <c r="AH71" s="15">
        <v>0.3715</v>
      </c>
      <c r="AI71" s="16" t="s">
        <v>35</v>
      </c>
    </row>
    <row r="72" spans="1:35" ht="15" customHeight="1">
      <c r="A72" s="7" t="s">
        <v>84</v>
      </c>
      <c r="B72" s="13" t="s">
        <v>37</v>
      </c>
      <c r="C72" s="17" t="s">
        <v>35</v>
      </c>
      <c r="D72" s="17">
        <v>12.533102</v>
      </c>
      <c r="E72" s="17">
        <v>25.800896000000002</v>
      </c>
      <c r="F72" s="17">
        <v>45.590488000000001</v>
      </c>
      <c r="G72" s="17">
        <v>66.823288000000005</v>
      </c>
      <c r="H72" s="17">
        <v>88.436278999999999</v>
      </c>
      <c r="I72" s="17">
        <v>123.083755</v>
      </c>
      <c r="J72" s="17">
        <v>137.26097100000001</v>
      </c>
      <c r="K72" s="17">
        <v>139.59986900000001</v>
      </c>
      <c r="L72" s="17">
        <v>141.52409399999999</v>
      </c>
      <c r="M72" s="17">
        <v>145.618393</v>
      </c>
      <c r="N72" s="17">
        <v>146.824997</v>
      </c>
      <c r="O72" s="17">
        <v>148.696686</v>
      </c>
      <c r="P72" s="17">
        <v>150.66598500000001</v>
      </c>
      <c r="Q72" s="17">
        <v>153.97936999999999</v>
      </c>
      <c r="R72" s="17">
        <v>158.21646100000001</v>
      </c>
      <c r="S72" s="17">
        <v>160.08845500000001</v>
      </c>
      <c r="T72" s="17">
        <v>160.77548200000001</v>
      </c>
      <c r="U72" s="17">
        <v>161.34196499999999</v>
      </c>
      <c r="V72" s="17">
        <v>163.331177</v>
      </c>
      <c r="W72" s="17">
        <v>164.29916399999999</v>
      </c>
      <c r="X72" s="17">
        <v>165.46713299999999</v>
      </c>
      <c r="Y72" s="17">
        <v>166.09913599999999</v>
      </c>
      <c r="Z72" s="17">
        <v>166.63313299999999</v>
      </c>
      <c r="AA72" s="17">
        <v>167.78512599999999</v>
      </c>
      <c r="AB72" s="17">
        <v>167.92044100000001</v>
      </c>
      <c r="AC72" s="17">
        <v>168.84054599999999</v>
      </c>
      <c r="AD72" s="17">
        <v>168.84054599999999</v>
      </c>
      <c r="AE72" s="17">
        <v>169.075546</v>
      </c>
      <c r="AF72" s="17">
        <v>169.90704299999999</v>
      </c>
      <c r="AG72" s="17">
        <v>170.178619</v>
      </c>
      <c r="AH72" s="17">
        <v>170.178619</v>
      </c>
      <c r="AI72" s="18" t="s">
        <v>35</v>
      </c>
    </row>
    <row r="74" spans="1:35" ht="15" customHeight="1">
      <c r="A74" s="7" t="s">
        <v>85</v>
      </c>
      <c r="B74" s="13" t="s">
        <v>86</v>
      </c>
      <c r="C74" s="17">
        <v>1070.32312</v>
      </c>
      <c r="D74" s="17">
        <v>1099.8504640000001</v>
      </c>
      <c r="E74" s="17">
        <v>1129.268188</v>
      </c>
      <c r="F74" s="17">
        <v>1163.4343260000001</v>
      </c>
      <c r="G74" s="17">
        <v>1179.7932129999999</v>
      </c>
      <c r="H74" s="17">
        <v>1186.411987</v>
      </c>
      <c r="I74" s="17">
        <v>1187.8792719999999</v>
      </c>
      <c r="J74" s="17">
        <v>1202.3260499999999</v>
      </c>
      <c r="K74" s="17">
        <v>1217.040649</v>
      </c>
      <c r="L74" s="17">
        <v>1234.1645510000001</v>
      </c>
      <c r="M74" s="17">
        <v>1253.4351810000001</v>
      </c>
      <c r="N74" s="17">
        <v>1277.1625979999999</v>
      </c>
      <c r="O74" s="17">
        <v>1289.4554439999999</v>
      </c>
      <c r="P74" s="17">
        <v>1300.2292480000001</v>
      </c>
      <c r="Q74" s="17">
        <v>1308.8773189999999</v>
      </c>
      <c r="R74" s="17">
        <v>1316.766846</v>
      </c>
      <c r="S74" s="17">
        <v>1339.553101</v>
      </c>
      <c r="T74" s="17">
        <v>1357.752808</v>
      </c>
      <c r="U74" s="17">
        <v>1378.505981</v>
      </c>
      <c r="V74" s="17">
        <v>1397.798096</v>
      </c>
      <c r="W74" s="17">
        <v>1420.9295649999999</v>
      </c>
      <c r="X74" s="17">
        <v>1442.7570800000001</v>
      </c>
      <c r="Y74" s="17">
        <v>1468.493164</v>
      </c>
      <c r="Z74" s="17">
        <v>1495.1273189999999</v>
      </c>
      <c r="AA74" s="17">
        <v>1524.8043210000001</v>
      </c>
      <c r="AB74" s="17">
        <v>1555.6982419999999</v>
      </c>
      <c r="AC74" s="17">
        <v>1586.2452390000001</v>
      </c>
      <c r="AD74" s="17">
        <v>1614.9075929999999</v>
      </c>
      <c r="AE74" s="17">
        <v>1639.87915</v>
      </c>
      <c r="AF74" s="17">
        <v>1663.4548339999999</v>
      </c>
      <c r="AG74" s="17">
        <v>1689.364624</v>
      </c>
      <c r="AH74" s="17">
        <v>1714.849121</v>
      </c>
      <c r="AI74" s="18">
        <v>1.5321E-2</v>
      </c>
    </row>
    <row r="76" spans="1:35" ht="15" customHeight="1">
      <c r="B76" s="13" t="s">
        <v>87</v>
      </c>
    </row>
    <row r="77" spans="1:35" ht="15" customHeight="1">
      <c r="A77" s="7" t="s">
        <v>88</v>
      </c>
      <c r="B77" s="14" t="s">
        <v>40</v>
      </c>
      <c r="C77" s="15">
        <v>2.760983</v>
      </c>
      <c r="D77" s="15">
        <v>2.708691</v>
      </c>
      <c r="E77" s="15">
        <v>2.6398199999999998</v>
      </c>
      <c r="F77" s="15">
        <v>2.6131690000000001</v>
      </c>
      <c r="G77" s="15">
        <v>2.603872</v>
      </c>
      <c r="H77" s="15">
        <v>2.5819559999999999</v>
      </c>
      <c r="I77" s="15">
        <v>2.5570659999999998</v>
      </c>
      <c r="J77" s="15">
        <v>2.5357020000000001</v>
      </c>
      <c r="K77" s="15">
        <v>2.5098440000000002</v>
      </c>
      <c r="L77" s="15">
        <v>2.4854310000000002</v>
      </c>
      <c r="M77" s="15">
        <v>2.461249</v>
      </c>
      <c r="N77" s="15">
        <v>2.4389919999999998</v>
      </c>
      <c r="O77" s="15">
        <v>2.416299</v>
      </c>
      <c r="P77" s="15">
        <v>2.394504</v>
      </c>
      <c r="Q77" s="15">
        <v>2.372611</v>
      </c>
      <c r="R77" s="15">
        <v>2.349526</v>
      </c>
      <c r="S77" s="15">
        <v>2.3259349999999999</v>
      </c>
      <c r="T77" s="15">
        <v>2.3032569999999999</v>
      </c>
      <c r="U77" s="15">
        <v>2.28105</v>
      </c>
      <c r="V77" s="15">
        <v>2.2593070000000002</v>
      </c>
      <c r="W77" s="15">
        <v>2.2372169999999998</v>
      </c>
      <c r="X77" s="15">
        <v>2.2152259999999999</v>
      </c>
      <c r="Y77" s="15">
        <v>2.1923490000000001</v>
      </c>
      <c r="Z77" s="15">
        <v>2.1703079999999999</v>
      </c>
      <c r="AA77" s="15">
        <v>2.1480039999999998</v>
      </c>
      <c r="AB77" s="15">
        <v>2.1255289999999998</v>
      </c>
      <c r="AC77" s="15">
        <v>2.1029819999999999</v>
      </c>
      <c r="AD77" s="15">
        <v>2.0807609999999999</v>
      </c>
      <c r="AE77" s="15">
        <v>2.0585079999999998</v>
      </c>
      <c r="AF77" s="15">
        <v>2.0361690000000001</v>
      </c>
      <c r="AG77" s="15">
        <v>2.0132780000000001</v>
      </c>
      <c r="AH77" s="15">
        <v>1.989938</v>
      </c>
      <c r="AI77" s="16">
        <v>-1.0508E-2</v>
      </c>
    </row>
    <row r="78" spans="1:35" ht="15" customHeight="1">
      <c r="A78" s="7" t="s">
        <v>89</v>
      </c>
      <c r="B78" s="14" t="s">
        <v>90</v>
      </c>
      <c r="C78" s="15">
        <v>0.45384600000000003</v>
      </c>
      <c r="D78" s="15">
        <v>0.453874</v>
      </c>
      <c r="E78" s="15">
        <v>0.411941</v>
      </c>
      <c r="F78" s="15">
        <v>0.41203499999999998</v>
      </c>
      <c r="G78" s="15">
        <v>0.41212799999999999</v>
      </c>
      <c r="H78" s="15">
        <v>0.41225600000000001</v>
      </c>
      <c r="I78" s="15">
        <v>0.412354</v>
      </c>
      <c r="J78" s="15">
        <v>0.41245799999999999</v>
      </c>
      <c r="K78" s="15">
        <v>0.41253099999999998</v>
      </c>
      <c r="L78" s="15">
        <v>0.41260000000000002</v>
      </c>
      <c r="M78" s="15">
        <v>0.41264699999999999</v>
      </c>
      <c r="N78" s="15">
        <v>0.41267999999999999</v>
      </c>
      <c r="O78" s="15">
        <v>0.41270099999999998</v>
      </c>
      <c r="P78" s="15">
        <v>0.41270099999999998</v>
      </c>
      <c r="Q78" s="15">
        <v>0.41268700000000003</v>
      </c>
      <c r="R78" s="15">
        <v>0.41267199999999998</v>
      </c>
      <c r="S78" s="15">
        <v>0.41265299999999999</v>
      </c>
      <c r="T78" s="15">
        <v>0.41263699999999998</v>
      </c>
      <c r="U78" s="15">
        <v>0.41264699999999999</v>
      </c>
      <c r="V78" s="15">
        <v>0.41267100000000001</v>
      </c>
      <c r="W78" s="15">
        <v>0.41270899999999999</v>
      </c>
      <c r="X78" s="15">
        <v>0.41276099999999999</v>
      </c>
      <c r="Y78" s="15">
        <v>0.41282200000000002</v>
      </c>
      <c r="Z78" s="15">
        <v>0.41289700000000001</v>
      </c>
      <c r="AA78" s="15">
        <v>0.41298899999999999</v>
      </c>
      <c r="AB78" s="15">
        <v>0.41306900000000002</v>
      </c>
      <c r="AC78" s="15">
        <v>0.41315800000000003</v>
      </c>
      <c r="AD78" s="15">
        <v>0.41327000000000003</v>
      </c>
      <c r="AE78" s="15">
        <v>0.413408</v>
      </c>
      <c r="AF78" s="15">
        <v>0.413526</v>
      </c>
      <c r="AG78" s="15">
        <v>0.41364299999999998</v>
      </c>
      <c r="AH78" s="15">
        <v>0.413744</v>
      </c>
      <c r="AI78" s="16">
        <v>-2.98E-3</v>
      </c>
    </row>
    <row r="79" spans="1:35" ht="15" customHeight="1">
      <c r="A79" s="7" t="s">
        <v>91</v>
      </c>
      <c r="B79" s="14" t="s">
        <v>92</v>
      </c>
      <c r="C79" s="15">
        <v>16.298663999999999</v>
      </c>
      <c r="D79" s="15">
        <v>17.940989999999999</v>
      </c>
      <c r="E79" s="15">
        <v>18.110426</v>
      </c>
      <c r="F79" s="15">
        <v>18.436616999999998</v>
      </c>
      <c r="G79" s="15">
        <v>18.758444000000001</v>
      </c>
      <c r="H79" s="15">
        <v>19.095040999999998</v>
      </c>
      <c r="I79" s="15">
        <v>19.427498</v>
      </c>
      <c r="J79" s="15">
        <v>19.772525999999999</v>
      </c>
      <c r="K79" s="15">
        <v>20.118828000000001</v>
      </c>
      <c r="L79" s="15">
        <v>20.471177999999998</v>
      </c>
      <c r="M79" s="15">
        <v>20.832165</v>
      </c>
      <c r="N79" s="15">
        <v>21.163128</v>
      </c>
      <c r="O79" s="15">
        <v>21.534234999999999</v>
      </c>
      <c r="P79" s="15">
        <v>21.931553000000001</v>
      </c>
      <c r="Q79" s="15">
        <v>22.246919999999999</v>
      </c>
      <c r="R79" s="15">
        <v>22.696594000000001</v>
      </c>
      <c r="S79" s="15">
        <v>23.129142999999999</v>
      </c>
      <c r="T79" s="15">
        <v>23.539885000000002</v>
      </c>
      <c r="U79" s="15">
        <v>23.947759999999999</v>
      </c>
      <c r="V79" s="15">
        <v>24.421848000000001</v>
      </c>
      <c r="W79" s="15">
        <v>24.914476000000001</v>
      </c>
      <c r="X79" s="15">
        <v>25.369008999999998</v>
      </c>
      <c r="Y79" s="15">
        <v>25.909945</v>
      </c>
      <c r="Z79" s="15">
        <v>26.511009000000001</v>
      </c>
      <c r="AA79" s="15">
        <v>27.127932000000001</v>
      </c>
      <c r="AB79" s="15">
        <v>27.786633999999999</v>
      </c>
      <c r="AC79" s="15">
        <v>28.544798</v>
      </c>
      <c r="AD79" s="15">
        <v>29.265436000000001</v>
      </c>
      <c r="AE79" s="15">
        <v>30.128890999999999</v>
      </c>
      <c r="AF79" s="15">
        <v>31.014188999999998</v>
      </c>
      <c r="AG79" s="15">
        <v>31.979407999999999</v>
      </c>
      <c r="AH79" s="15">
        <v>33.035477</v>
      </c>
      <c r="AI79" s="16">
        <v>2.3052E-2</v>
      </c>
    </row>
    <row r="80" spans="1:35" ht="15" customHeight="1">
      <c r="A80" s="7" t="s">
        <v>93</v>
      </c>
      <c r="B80" s="14" t="s">
        <v>94</v>
      </c>
      <c r="C80" s="15">
        <v>3.2518500000000001</v>
      </c>
      <c r="D80" s="15">
        <v>3.2518500000000001</v>
      </c>
      <c r="E80" s="15">
        <v>3.1616200000000001</v>
      </c>
      <c r="F80" s="15">
        <v>3.192882</v>
      </c>
      <c r="G80" s="15">
        <v>3.196167</v>
      </c>
      <c r="H80" s="15">
        <v>3.2040730000000002</v>
      </c>
      <c r="I80" s="15">
        <v>3.2040730000000002</v>
      </c>
      <c r="J80" s="15">
        <v>3.2040730000000002</v>
      </c>
      <c r="K80" s="15">
        <v>3.2040730000000002</v>
      </c>
      <c r="L80" s="15">
        <v>3.2040730000000002</v>
      </c>
      <c r="M80" s="15">
        <v>3.2040730000000002</v>
      </c>
      <c r="N80" s="15">
        <v>3.1907299999999998</v>
      </c>
      <c r="O80" s="15">
        <v>3.1933509999999998</v>
      </c>
      <c r="P80" s="15">
        <v>3.2031390000000002</v>
      </c>
      <c r="Q80" s="15">
        <v>3.1640670000000002</v>
      </c>
      <c r="R80" s="15">
        <v>3.1870579999999999</v>
      </c>
      <c r="S80" s="15">
        <v>3.1949610000000002</v>
      </c>
      <c r="T80" s="15">
        <v>3.1833870000000002</v>
      </c>
      <c r="U80" s="15">
        <v>3.1616279999999999</v>
      </c>
      <c r="V80" s="15">
        <v>3.1623160000000001</v>
      </c>
      <c r="W80" s="15">
        <v>3.165419</v>
      </c>
      <c r="X80" s="15">
        <v>3.1415920000000002</v>
      </c>
      <c r="Y80" s="15">
        <v>3.1429779999999998</v>
      </c>
      <c r="Z80" s="15">
        <v>3.154846</v>
      </c>
      <c r="AA80" s="15">
        <v>3.1581769999999998</v>
      </c>
      <c r="AB80" s="15">
        <v>3.1603469999999998</v>
      </c>
      <c r="AC80" s="15">
        <v>3.1912219999999998</v>
      </c>
      <c r="AD80" s="15">
        <v>3.1771250000000002</v>
      </c>
      <c r="AE80" s="15">
        <v>3.2027580000000002</v>
      </c>
      <c r="AF80" s="15">
        <v>3.2040730000000002</v>
      </c>
      <c r="AG80" s="15">
        <v>3.2040730000000002</v>
      </c>
      <c r="AH80" s="15">
        <v>3.2040730000000002</v>
      </c>
      <c r="AI80" s="16">
        <v>-4.7699999999999999E-4</v>
      </c>
    </row>
    <row r="81" spans="1:35" ht="15" customHeight="1">
      <c r="A81" s="7" t="s">
        <v>95</v>
      </c>
      <c r="B81" s="14" t="s">
        <v>32</v>
      </c>
      <c r="C81" s="15">
        <v>35.857658000000001</v>
      </c>
      <c r="D81" s="15">
        <v>41.082751999999999</v>
      </c>
      <c r="E81" s="15">
        <v>46.674225</v>
      </c>
      <c r="F81" s="15">
        <v>51.053016999999997</v>
      </c>
      <c r="G81" s="15">
        <v>54.512729999999998</v>
      </c>
      <c r="H81" s="15">
        <v>57.513339999999999</v>
      </c>
      <c r="I81" s="15">
        <v>61.176116999999998</v>
      </c>
      <c r="J81" s="15">
        <v>64.874283000000005</v>
      </c>
      <c r="K81" s="15">
        <v>68.530647000000002</v>
      </c>
      <c r="L81" s="15">
        <v>71.887077000000005</v>
      </c>
      <c r="M81" s="15">
        <v>75.309036000000006</v>
      </c>
      <c r="N81" s="15">
        <v>79.030959999999993</v>
      </c>
      <c r="O81" s="15">
        <v>82.055442999999997</v>
      </c>
      <c r="P81" s="15">
        <v>85.001564000000002</v>
      </c>
      <c r="Q81" s="15">
        <v>88.262230000000002</v>
      </c>
      <c r="R81" s="15">
        <v>91.569557000000003</v>
      </c>
      <c r="S81" s="15">
        <v>94.510895000000005</v>
      </c>
      <c r="T81" s="15">
        <v>97.956337000000005</v>
      </c>
      <c r="U81" s="15">
        <v>101.006828</v>
      </c>
      <c r="V81" s="15">
        <v>104.473579</v>
      </c>
      <c r="W81" s="15">
        <v>107.644356</v>
      </c>
      <c r="X81" s="15">
        <v>110.739616</v>
      </c>
      <c r="Y81" s="15">
        <v>113.990257</v>
      </c>
      <c r="Z81" s="15">
        <v>117.26754</v>
      </c>
      <c r="AA81" s="15">
        <v>120.52076</v>
      </c>
      <c r="AB81" s="15">
        <v>123.99299600000001</v>
      </c>
      <c r="AC81" s="15">
        <v>127.323044</v>
      </c>
      <c r="AD81" s="15">
        <v>131.00328099999999</v>
      </c>
      <c r="AE81" s="15">
        <v>134.57751500000001</v>
      </c>
      <c r="AF81" s="15">
        <v>138.08592200000001</v>
      </c>
      <c r="AG81" s="15">
        <v>141.45945699999999</v>
      </c>
      <c r="AH81" s="15">
        <v>145.05380199999999</v>
      </c>
      <c r="AI81" s="16">
        <v>4.6114000000000002E-2</v>
      </c>
    </row>
    <row r="82" spans="1:35" ht="15" customHeight="1">
      <c r="A82" s="7" t="s">
        <v>96</v>
      </c>
      <c r="B82" s="14" t="s">
        <v>97</v>
      </c>
      <c r="C82" s="15">
        <v>0.41110000000000002</v>
      </c>
      <c r="D82" s="15">
        <v>0.41110000000000002</v>
      </c>
      <c r="E82" s="15">
        <v>0.47310000000000002</v>
      </c>
      <c r="F82" s="15">
        <v>0.47310000000000002</v>
      </c>
      <c r="G82" s="15">
        <v>0.47310000000000002</v>
      </c>
      <c r="H82" s="15">
        <v>0.47310000000000002</v>
      </c>
      <c r="I82" s="15">
        <v>0.47310000000000002</v>
      </c>
      <c r="J82" s="15">
        <v>0.47310000000000002</v>
      </c>
      <c r="K82" s="15">
        <v>0.47310000000000002</v>
      </c>
      <c r="L82" s="15">
        <v>0.47310000000000002</v>
      </c>
      <c r="M82" s="15">
        <v>0.47310000000000002</v>
      </c>
      <c r="N82" s="15">
        <v>0.47310000000000002</v>
      </c>
      <c r="O82" s="15">
        <v>0.47310000000000002</v>
      </c>
      <c r="P82" s="15">
        <v>0.47310000000000002</v>
      </c>
      <c r="Q82" s="15">
        <v>0.47310000000000002</v>
      </c>
      <c r="R82" s="15">
        <v>0.47310000000000002</v>
      </c>
      <c r="S82" s="15">
        <v>0.47310000000000002</v>
      </c>
      <c r="T82" s="15">
        <v>0.47310000000000002</v>
      </c>
      <c r="U82" s="15">
        <v>0.47310000000000002</v>
      </c>
      <c r="V82" s="15">
        <v>0.47310000000000002</v>
      </c>
      <c r="W82" s="15">
        <v>0.47310000000000002</v>
      </c>
      <c r="X82" s="15">
        <v>0.47310000000000002</v>
      </c>
      <c r="Y82" s="15">
        <v>0.47310000000000002</v>
      </c>
      <c r="Z82" s="15">
        <v>0.47310000000000002</v>
      </c>
      <c r="AA82" s="15">
        <v>0.47310000000000002</v>
      </c>
      <c r="AB82" s="15">
        <v>0.47310000000000002</v>
      </c>
      <c r="AC82" s="15">
        <v>0.47310000000000002</v>
      </c>
      <c r="AD82" s="15">
        <v>0.47310000000000002</v>
      </c>
      <c r="AE82" s="15">
        <v>0.47310000000000002</v>
      </c>
      <c r="AF82" s="15">
        <v>0.47310000000000002</v>
      </c>
      <c r="AG82" s="15">
        <v>0.47310000000000002</v>
      </c>
      <c r="AH82" s="15">
        <v>0.47310000000000002</v>
      </c>
      <c r="AI82" s="16">
        <v>4.542E-3</v>
      </c>
    </row>
    <row r="83" spans="1:35" ht="15" customHeight="1">
      <c r="A83" s="7" t="s">
        <v>98</v>
      </c>
      <c r="B83" s="13" t="s">
        <v>37</v>
      </c>
      <c r="C83" s="17">
        <v>59.034103000000002</v>
      </c>
      <c r="D83" s="17">
        <v>65.849258000000006</v>
      </c>
      <c r="E83" s="17">
        <v>71.471137999999996</v>
      </c>
      <c r="F83" s="17">
        <v>76.180817000000005</v>
      </c>
      <c r="G83" s="17">
        <v>79.956444000000005</v>
      </c>
      <c r="H83" s="17">
        <v>83.279769999999999</v>
      </c>
      <c r="I83" s="17">
        <v>87.250206000000006</v>
      </c>
      <c r="J83" s="17">
        <v>91.272141000000005</v>
      </c>
      <c r="K83" s="17">
        <v>95.249022999999994</v>
      </c>
      <c r="L83" s="17">
        <v>98.933456000000007</v>
      </c>
      <c r="M83" s="17">
        <v>102.692268</v>
      </c>
      <c r="N83" s="17">
        <v>106.70959499999999</v>
      </c>
      <c r="O83" s="17">
        <v>110.08512899999999</v>
      </c>
      <c r="P83" s="17">
        <v>113.41656500000001</v>
      </c>
      <c r="Q83" s="17">
        <v>116.93161000000001</v>
      </c>
      <c r="R83" s="17">
        <v>120.688507</v>
      </c>
      <c r="S83" s="17">
        <v>124.046684</v>
      </c>
      <c r="T83" s="17">
        <v>127.868599</v>
      </c>
      <c r="U83" s="17">
        <v>131.283005</v>
      </c>
      <c r="V83" s="17">
        <v>135.20282</v>
      </c>
      <c r="W83" s="17">
        <v>138.847275</v>
      </c>
      <c r="X83" s="17">
        <v>142.351303</v>
      </c>
      <c r="Y83" s="17">
        <v>146.12146000000001</v>
      </c>
      <c r="Z83" s="17">
        <v>149.9897</v>
      </c>
      <c r="AA83" s="17">
        <v>153.840958</v>
      </c>
      <c r="AB83" s="17">
        <v>157.95167499999999</v>
      </c>
      <c r="AC83" s="17">
        <v>162.04830899999999</v>
      </c>
      <c r="AD83" s="17">
        <v>166.41297900000001</v>
      </c>
      <c r="AE83" s="17">
        <v>170.854187</v>
      </c>
      <c r="AF83" s="17">
        <v>175.22699</v>
      </c>
      <c r="AG83" s="17">
        <v>179.54295300000001</v>
      </c>
      <c r="AH83" s="17">
        <v>184.17013499999999</v>
      </c>
      <c r="AI83" s="18">
        <v>3.7383E-2</v>
      </c>
    </row>
    <row r="85" spans="1:35" ht="15" customHeight="1">
      <c r="A85" s="7" t="s">
        <v>99</v>
      </c>
      <c r="B85" s="13" t="s">
        <v>100</v>
      </c>
      <c r="C85" s="17" t="s">
        <v>35</v>
      </c>
      <c r="D85" s="17">
        <v>6.893586</v>
      </c>
      <c r="E85" s="17">
        <v>13.364277</v>
      </c>
      <c r="F85" s="17">
        <v>18.100608999999999</v>
      </c>
      <c r="G85" s="17">
        <v>21.885534</v>
      </c>
      <c r="H85" s="17">
        <v>25.230775999999999</v>
      </c>
      <c r="I85" s="17">
        <v>29.226112000000001</v>
      </c>
      <c r="J85" s="17">
        <v>33.269404999999999</v>
      </c>
      <c r="K85" s="17">
        <v>37.272129</v>
      </c>
      <c r="L85" s="17">
        <v>40.980975999999998</v>
      </c>
      <c r="M85" s="17">
        <v>44.763961999999999</v>
      </c>
      <c r="N85" s="17">
        <v>48.843628000000002</v>
      </c>
      <c r="O85" s="17">
        <v>52.241858999999998</v>
      </c>
      <c r="P85" s="17">
        <v>55.649109000000003</v>
      </c>
      <c r="Q85" s="17">
        <v>59.303401999999998</v>
      </c>
      <c r="R85" s="17">
        <v>63.083378000000003</v>
      </c>
      <c r="S85" s="17">
        <v>66.472740000000002</v>
      </c>
      <c r="T85" s="17">
        <v>70.352089000000007</v>
      </c>
      <c r="U85" s="17">
        <v>73.857117000000002</v>
      </c>
      <c r="V85" s="17">
        <v>77.798698000000002</v>
      </c>
      <c r="W85" s="17">
        <v>81.465225000000004</v>
      </c>
      <c r="X85" s="17">
        <v>85.068680000000001</v>
      </c>
      <c r="Y85" s="17">
        <v>88.861701999999994</v>
      </c>
      <c r="Z85" s="17">
        <v>92.781882999999993</v>
      </c>
      <c r="AA85" s="17">
        <v>96.696647999999996</v>
      </c>
      <c r="AB85" s="17">
        <v>100.829849</v>
      </c>
      <c r="AC85" s="17">
        <v>104.949074</v>
      </c>
      <c r="AD85" s="17">
        <v>109.378265</v>
      </c>
      <c r="AE85" s="17">
        <v>113.84172100000001</v>
      </c>
      <c r="AF85" s="17">
        <v>118.23689299999999</v>
      </c>
      <c r="AG85" s="17">
        <v>122.578506</v>
      </c>
      <c r="AH85" s="17">
        <v>127.229034</v>
      </c>
      <c r="AI85" s="18" t="s">
        <v>35</v>
      </c>
    </row>
    <row r="86" spans="1:35" ht="15" customHeight="1" thickBot="1"/>
    <row r="87" spans="1:35" ht="15" customHeight="1">
      <c r="B87" s="56" t="s">
        <v>101</v>
      </c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</row>
    <row r="88" spans="1:35" ht="15" customHeight="1">
      <c r="B88" s="8" t="s">
        <v>102</v>
      </c>
    </row>
    <row r="89" spans="1:35" ht="15" customHeight="1">
      <c r="B89" s="8" t="s">
        <v>103</v>
      </c>
    </row>
    <row r="90" spans="1:35" ht="15" customHeight="1">
      <c r="B90" s="8" t="s">
        <v>104</v>
      </c>
    </row>
    <row r="91" spans="1:35" ht="15" customHeight="1">
      <c r="B91" s="8" t="s">
        <v>105</v>
      </c>
    </row>
    <row r="92" spans="1:35" ht="15" customHeight="1">
      <c r="B92" s="8" t="s">
        <v>118</v>
      </c>
    </row>
    <row r="93" spans="1:35" ht="15" customHeight="1">
      <c r="B93" s="8" t="s">
        <v>119</v>
      </c>
    </row>
    <row r="94" spans="1:35" ht="15" customHeight="1">
      <c r="B94" s="8" t="s">
        <v>106</v>
      </c>
    </row>
    <row r="95" spans="1:35" ht="15" customHeight="1">
      <c r="B95" s="8" t="s">
        <v>128</v>
      </c>
    </row>
    <row r="96" spans="1:35" ht="15" customHeight="1">
      <c r="B96" s="8" t="s">
        <v>107</v>
      </c>
    </row>
    <row r="97" spans="2:2" ht="15" customHeight="1">
      <c r="B97" s="8" t="s">
        <v>108</v>
      </c>
    </row>
    <row r="98" spans="2:2" ht="15" customHeight="1">
      <c r="B98" s="8" t="s">
        <v>109</v>
      </c>
    </row>
    <row r="99" spans="2:2" ht="15" customHeight="1">
      <c r="B99" s="8" t="s">
        <v>110</v>
      </c>
    </row>
    <row r="100" spans="2:2" ht="15" customHeight="1">
      <c r="B100" s="8" t="s">
        <v>111</v>
      </c>
    </row>
    <row r="101" spans="2:2" ht="15" customHeight="1">
      <c r="B101" s="8" t="s">
        <v>129</v>
      </c>
    </row>
    <row r="102" spans="2:2" ht="15" customHeight="1">
      <c r="B102" s="8" t="s">
        <v>130</v>
      </c>
    </row>
    <row r="103" spans="2:2" ht="15" customHeight="1">
      <c r="B103" s="8" t="s">
        <v>112</v>
      </c>
    </row>
    <row r="104" spans="2:2" ht="15" customHeight="1">
      <c r="B104" s="8" t="s">
        <v>113</v>
      </c>
    </row>
    <row r="105" spans="2:2" ht="15" customHeight="1">
      <c r="B105" s="8" t="s">
        <v>114</v>
      </c>
    </row>
    <row r="106" spans="2:2" ht="15" customHeight="1">
      <c r="B106" s="8" t="s">
        <v>115</v>
      </c>
    </row>
    <row r="107" spans="2:2" ht="15" customHeight="1">
      <c r="B107" s="8" t="s">
        <v>116</v>
      </c>
    </row>
    <row r="108" spans="2:2" ht="15" customHeight="1">
      <c r="B108" s="8" t="s">
        <v>117</v>
      </c>
    </row>
    <row r="109" spans="2:2" ht="15" customHeight="1">
      <c r="B109" s="8" t="s">
        <v>131</v>
      </c>
    </row>
    <row r="110" spans="2:2" ht="15" customHeight="1">
      <c r="B110" s="8" t="s">
        <v>132</v>
      </c>
    </row>
    <row r="111" spans="2:2" ht="15" customHeight="1">
      <c r="B111" s="8" t="s">
        <v>133</v>
      </c>
    </row>
    <row r="112" spans="2:2" ht="15" customHeight="1"/>
    <row r="113" ht="15" customHeight="1"/>
    <row r="114" ht="15" customHeight="1"/>
  </sheetData>
  <mergeCells count="1">
    <mergeCell ref="B87:AI87"/>
  </mergeCells>
  <phoneticPr fontId="3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14"/>
  <sheetViews>
    <sheetView topLeftCell="A7" workbookViewId="0">
      <selection activeCell="A23" sqref="A23"/>
    </sheetView>
  </sheetViews>
  <sheetFormatPr baseColWidth="10" defaultColWidth="9.19921875" defaultRowHeight="14"/>
  <cols>
    <col min="1" max="1" width="32.19921875" customWidth="1"/>
    <col min="2" max="2" width="45.796875" customWidth="1"/>
    <col min="38" max="38" width="8" customWidth="1"/>
  </cols>
  <sheetData>
    <row r="1" spans="1:37" ht="15" customHeight="1" thickBot="1">
      <c r="B1" s="10" t="s">
        <v>145</v>
      </c>
      <c r="C1" s="11">
        <v>2017</v>
      </c>
      <c r="D1" s="11">
        <v>2018</v>
      </c>
      <c r="E1" s="11">
        <v>2019</v>
      </c>
      <c r="F1" s="11">
        <v>2020</v>
      </c>
      <c r="G1" s="11">
        <v>2021</v>
      </c>
      <c r="H1" s="11">
        <v>2022</v>
      </c>
      <c r="I1" s="11">
        <v>2023</v>
      </c>
      <c r="J1" s="11">
        <v>2024</v>
      </c>
      <c r="K1" s="11">
        <v>2025</v>
      </c>
      <c r="L1" s="11">
        <v>2026</v>
      </c>
      <c r="M1" s="11">
        <v>2027</v>
      </c>
      <c r="N1" s="11">
        <v>2028</v>
      </c>
      <c r="O1" s="11">
        <v>2029</v>
      </c>
      <c r="P1" s="11">
        <v>2030</v>
      </c>
      <c r="Q1" s="11">
        <v>2031</v>
      </c>
      <c r="R1" s="11">
        <v>2032</v>
      </c>
      <c r="S1" s="11">
        <v>2033</v>
      </c>
      <c r="T1" s="11">
        <v>2034</v>
      </c>
      <c r="U1" s="11">
        <v>2035</v>
      </c>
      <c r="V1" s="11">
        <v>2036</v>
      </c>
      <c r="W1" s="11">
        <v>2037</v>
      </c>
      <c r="X1" s="11">
        <v>2038</v>
      </c>
      <c r="Y1" s="11">
        <v>2039</v>
      </c>
      <c r="Z1" s="11">
        <v>2040</v>
      </c>
      <c r="AA1" s="11">
        <v>2041</v>
      </c>
      <c r="AB1" s="11">
        <v>2042</v>
      </c>
      <c r="AC1" s="11">
        <v>2043</v>
      </c>
      <c r="AD1" s="11">
        <v>2044</v>
      </c>
      <c r="AE1" s="11">
        <v>2045</v>
      </c>
      <c r="AF1" s="11">
        <v>2046</v>
      </c>
      <c r="AG1" s="11">
        <v>2047</v>
      </c>
      <c r="AH1" s="11">
        <v>2048</v>
      </c>
      <c r="AI1" s="11">
        <v>2049</v>
      </c>
      <c r="AJ1" s="11">
        <v>2050</v>
      </c>
    </row>
    <row r="2" spans="1:37" ht="15" customHeight="1" thickTop="1"/>
    <row r="3" spans="1:37" ht="15" customHeight="1">
      <c r="C3" s="6" t="s">
        <v>3</v>
      </c>
      <c r="D3" s="6" t="s">
        <v>146</v>
      </c>
      <c r="E3" s="6"/>
      <c r="F3" s="6"/>
      <c r="G3" s="6"/>
    </row>
    <row r="4" spans="1:37" ht="15" customHeight="1">
      <c r="C4" s="6" t="s">
        <v>4</v>
      </c>
      <c r="D4" s="6" t="s">
        <v>147</v>
      </c>
      <c r="E4" s="6"/>
      <c r="F4" s="6"/>
      <c r="G4" s="6" t="s">
        <v>5</v>
      </c>
    </row>
    <row r="5" spans="1:37" ht="15" customHeight="1">
      <c r="C5" s="6" t="s">
        <v>6</v>
      </c>
      <c r="D5" s="6" t="s">
        <v>148</v>
      </c>
      <c r="E5" s="6"/>
      <c r="F5" s="6"/>
      <c r="G5" s="6"/>
    </row>
    <row r="6" spans="1:37" ht="15" customHeight="1">
      <c r="C6" s="6" t="s">
        <v>7</v>
      </c>
      <c r="D6" s="6"/>
      <c r="E6" s="6" t="s">
        <v>149</v>
      </c>
      <c r="F6" s="6"/>
      <c r="G6" s="6"/>
    </row>
    <row r="10" spans="1:37" ht="15" customHeight="1">
      <c r="A10" s="7" t="s">
        <v>8</v>
      </c>
      <c r="B10" s="12" t="s">
        <v>9</v>
      </c>
    </row>
    <row r="11" spans="1:37" ht="15" customHeight="1">
      <c r="B11" s="10" t="s">
        <v>10</v>
      </c>
    </row>
    <row r="12" spans="1:37" ht="15" customHeight="1">
      <c r="B12" s="10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 t="s">
        <v>11</v>
      </c>
      <c r="N12" s="3" t="s">
        <v>11</v>
      </c>
      <c r="O12" s="3" t="s">
        <v>11</v>
      </c>
      <c r="P12" s="3" t="s">
        <v>11</v>
      </c>
      <c r="Q12" s="3" t="s">
        <v>11</v>
      </c>
      <c r="R12" s="3" t="s">
        <v>11</v>
      </c>
      <c r="S12" s="3" t="s">
        <v>11</v>
      </c>
      <c r="T12" s="3" t="s">
        <v>11</v>
      </c>
      <c r="U12" s="3" t="s">
        <v>11</v>
      </c>
      <c r="V12" s="3" t="s">
        <v>11</v>
      </c>
      <c r="W12" s="3" t="s">
        <v>11</v>
      </c>
      <c r="X12" s="3" t="s">
        <v>11</v>
      </c>
      <c r="Y12" s="3" t="s">
        <v>11</v>
      </c>
      <c r="Z12" s="3" t="s">
        <v>11</v>
      </c>
      <c r="AA12" s="3" t="s">
        <v>11</v>
      </c>
      <c r="AB12" s="3" t="s">
        <v>11</v>
      </c>
      <c r="AC12" s="3" t="s">
        <v>11</v>
      </c>
      <c r="AD12" s="3" t="s">
        <v>11</v>
      </c>
      <c r="AE12" s="3" t="s">
        <v>11</v>
      </c>
      <c r="AF12" s="3" t="s">
        <v>11</v>
      </c>
      <c r="AG12" s="3" t="s">
        <v>11</v>
      </c>
      <c r="AH12" s="3" t="s">
        <v>11</v>
      </c>
      <c r="AI12" s="3" t="s">
        <v>11</v>
      </c>
      <c r="AJ12" s="3" t="s">
        <v>11</v>
      </c>
      <c r="AK12" s="3" t="s">
        <v>150</v>
      </c>
    </row>
    <row r="13" spans="1:37" ht="15" customHeight="1" thickBot="1">
      <c r="B13" s="11" t="s">
        <v>12</v>
      </c>
      <c r="C13" s="11">
        <v>2017</v>
      </c>
      <c r="D13" s="11">
        <v>2018</v>
      </c>
      <c r="E13" s="11">
        <v>2019</v>
      </c>
      <c r="F13" s="11">
        <v>2020</v>
      </c>
      <c r="G13" s="11">
        <v>2021</v>
      </c>
      <c r="H13" s="11">
        <v>2022</v>
      </c>
      <c r="I13" s="11">
        <v>2023</v>
      </c>
      <c r="J13" s="11">
        <v>2024</v>
      </c>
      <c r="K13" s="11">
        <v>2025</v>
      </c>
      <c r="L13" s="11">
        <v>2026</v>
      </c>
      <c r="M13" s="11">
        <v>2027</v>
      </c>
      <c r="N13" s="11">
        <v>2028</v>
      </c>
      <c r="O13" s="11">
        <v>2029</v>
      </c>
      <c r="P13" s="11">
        <v>2030</v>
      </c>
      <c r="Q13" s="11">
        <v>2031</v>
      </c>
      <c r="R13" s="11">
        <v>2032</v>
      </c>
      <c r="S13" s="11">
        <v>2033</v>
      </c>
      <c r="T13" s="11">
        <v>2034</v>
      </c>
      <c r="U13" s="11">
        <v>2035</v>
      </c>
      <c r="V13" s="11">
        <v>2036</v>
      </c>
      <c r="W13" s="11">
        <v>2037</v>
      </c>
      <c r="X13" s="11">
        <v>2038</v>
      </c>
      <c r="Y13" s="11">
        <v>2039</v>
      </c>
      <c r="Z13" s="11">
        <v>2040</v>
      </c>
      <c r="AA13" s="11">
        <v>2041</v>
      </c>
      <c r="AB13" s="11">
        <v>2042</v>
      </c>
      <c r="AC13" s="11">
        <v>2043</v>
      </c>
      <c r="AD13" s="11">
        <v>2044</v>
      </c>
      <c r="AE13" s="11">
        <v>2045</v>
      </c>
      <c r="AF13" s="11">
        <v>2046</v>
      </c>
      <c r="AG13" s="11">
        <v>2047</v>
      </c>
      <c r="AH13" s="11">
        <v>2048</v>
      </c>
      <c r="AI13" s="11">
        <v>2049</v>
      </c>
      <c r="AJ13" s="11">
        <v>2050</v>
      </c>
      <c r="AK13" s="11">
        <v>2050</v>
      </c>
    </row>
    <row r="14" spans="1:37" ht="15" customHeight="1" thickTop="1"/>
    <row r="15" spans="1:37" ht="15" customHeight="1">
      <c r="B15" s="13" t="s">
        <v>13</v>
      </c>
    </row>
    <row r="16" spans="1:37" ht="15" customHeight="1">
      <c r="B16" s="13" t="s">
        <v>14</v>
      </c>
    </row>
    <row r="17" spans="1:37" ht="15" customHeight="1">
      <c r="A17" s="7" t="s">
        <v>15</v>
      </c>
      <c r="B17" s="14" t="s">
        <v>16</v>
      </c>
      <c r="C17" s="15">
        <v>249.06146200000001</v>
      </c>
      <c r="D17" s="15">
        <v>236.698669</v>
      </c>
      <c r="E17" s="15">
        <v>229.95034799999999</v>
      </c>
      <c r="F17" s="15">
        <v>227.71237199999999</v>
      </c>
      <c r="G17" s="15">
        <v>219.57415800000001</v>
      </c>
      <c r="H17" s="15">
        <v>211.284424</v>
      </c>
      <c r="I17" s="15">
        <v>199.18562299999999</v>
      </c>
      <c r="J17" s="15">
        <v>186.92103599999999</v>
      </c>
      <c r="K17" s="15">
        <v>176.33551</v>
      </c>
      <c r="L17" s="15">
        <v>171.03500399999999</v>
      </c>
      <c r="M17" s="15">
        <v>167.38041699999999</v>
      </c>
      <c r="N17" s="15">
        <v>165.30001799999999</v>
      </c>
      <c r="O17" s="15">
        <v>164.75401299999999</v>
      </c>
      <c r="P17" s="15">
        <v>161.84200999999999</v>
      </c>
      <c r="Q17" s="15">
        <v>159.19802899999999</v>
      </c>
      <c r="R17" s="15">
        <v>154.03201300000001</v>
      </c>
      <c r="S17" s="15">
        <v>154.03201300000001</v>
      </c>
      <c r="T17" s="15">
        <v>151.13092</v>
      </c>
      <c r="U17" s="15">
        <v>151.13092</v>
      </c>
      <c r="V17" s="15">
        <v>151.13092</v>
      </c>
      <c r="W17" s="15">
        <v>149.966812</v>
      </c>
      <c r="X17" s="15">
        <v>149.966812</v>
      </c>
      <c r="Y17" s="15">
        <v>149.966812</v>
      </c>
      <c r="Z17" s="15">
        <v>149.966812</v>
      </c>
      <c r="AA17" s="15">
        <v>148.74981700000001</v>
      </c>
      <c r="AB17" s="15">
        <v>148.74981700000001</v>
      </c>
      <c r="AC17" s="15">
        <v>148.18580600000001</v>
      </c>
      <c r="AD17" s="15">
        <v>148.18580600000001</v>
      </c>
      <c r="AE17" s="15">
        <v>148.18580600000001</v>
      </c>
      <c r="AF17" s="15">
        <v>148.18580600000001</v>
      </c>
      <c r="AG17" s="15">
        <v>148.18580600000001</v>
      </c>
      <c r="AH17" s="15">
        <v>148.18580600000001</v>
      </c>
      <c r="AI17" s="15">
        <v>148.18580600000001</v>
      </c>
      <c r="AJ17" s="15">
        <v>148.18580600000001</v>
      </c>
      <c r="AK17" s="16">
        <v>-1.4527999999999999E-2</v>
      </c>
    </row>
    <row r="18" spans="1:37" ht="15" customHeight="1">
      <c r="A18" s="7" t="s">
        <v>17</v>
      </c>
      <c r="B18" s="14" t="s">
        <v>18</v>
      </c>
      <c r="C18" s="15">
        <v>86.232910000000004</v>
      </c>
      <c r="D18" s="15">
        <v>82.614104999999995</v>
      </c>
      <c r="E18" s="15">
        <v>80.766105999999994</v>
      </c>
      <c r="F18" s="15">
        <v>79.243210000000005</v>
      </c>
      <c r="G18" s="15">
        <v>72.473808000000005</v>
      </c>
      <c r="H18" s="15">
        <v>70.327506999999997</v>
      </c>
      <c r="I18" s="15">
        <v>68.559905999999998</v>
      </c>
      <c r="J18" s="15">
        <v>65.484306000000004</v>
      </c>
      <c r="K18" s="15">
        <v>64.027114999999995</v>
      </c>
      <c r="L18" s="15">
        <v>60.366714000000002</v>
      </c>
      <c r="M18" s="15">
        <v>59.844710999999997</v>
      </c>
      <c r="N18" s="15">
        <v>59.045211999999999</v>
      </c>
      <c r="O18" s="15">
        <v>57.401909000000003</v>
      </c>
      <c r="P18" s="15">
        <v>57.401909000000003</v>
      </c>
      <c r="Q18" s="15">
        <v>57.291907999999999</v>
      </c>
      <c r="R18" s="15">
        <v>57.622909999999997</v>
      </c>
      <c r="S18" s="15">
        <v>57.387909000000001</v>
      </c>
      <c r="T18" s="15">
        <v>57.307907</v>
      </c>
      <c r="U18" s="15">
        <v>57.208908000000001</v>
      </c>
      <c r="V18" s="15">
        <v>56.908904999999997</v>
      </c>
      <c r="W18" s="15">
        <v>56.908904999999997</v>
      </c>
      <c r="X18" s="15">
        <v>56.686905000000003</v>
      </c>
      <c r="Y18" s="15">
        <v>56.686905000000003</v>
      </c>
      <c r="Z18" s="15">
        <v>56.686905000000003</v>
      </c>
      <c r="AA18" s="15">
        <v>56.464905000000002</v>
      </c>
      <c r="AB18" s="15">
        <v>56.067909</v>
      </c>
      <c r="AC18" s="15">
        <v>56.067909</v>
      </c>
      <c r="AD18" s="15">
        <v>56.067909</v>
      </c>
      <c r="AE18" s="15">
        <v>55.94191</v>
      </c>
      <c r="AF18" s="15">
        <v>55.94191</v>
      </c>
      <c r="AG18" s="15">
        <v>55.94191</v>
      </c>
      <c r="AH18" s="15">
        <v>55.94191</v>
      </c>
      <c r="AI18" s="15">
        <v>55.94191</v>
      </c>
      <c r="AJ18" s="15">
        <v>55.94191</v>
      </c>
      <c r="AK18" s="16">
        <v>-1.2109E-2</v>
      </c>
    </row>
    <row r="19" spans="1:37" ht="15" customHeight="1">
      <c r="A19" s="7" t="s">
        <v>19</v>
      </c>
      <c r="B19" s="14" t="s">
        <v>20</v>
      </c>
      <c r="C19" s="15">
        <v>215.544128</v>
      </c>
      <c r="D19" s="15">
        <v>233.12274199999999</v>
      </c>
      <c r="E19" s="15">
        <v>239.77252200000001</v>
      </c>
      <c r="F19" s="15">
        <v>249.41815199999999</v>
      </c>
      <c r="G19" s="15">
        <v>264.584473</v>
      </c>
      <c r="H19" s="15">
        <v>270.80749500000002</v>
      </c>
      <c r="I19" s="15">
        <v>280.61086999999998</v>
      </c>
      <c r="J19" s="15">
        <v>293.17587300000002</v>
      </c>
      <c r="K19" s="15">
        <v>307.16619900000001</v>
      </c>
      <c r="L19" s="15">
        <v>315.12600700000002</v>
      </c>
      <c r="M19" s="15">
        <v>323.84570300000001</v>
      </c>
      <c r="N19" s="15">
        <v>328.71765099999999</v>
      </c>
      <c r="O19" s="15">
        <v>333.698914</v>
      </c>
      <c r="P19" s="15">
        <v>343.762878</v>
      </c>
      <c r="Q19" s="15">
        <v>349.285461</v>
      </c>
      <c r="R19" s="15">
        <v>359.42764299999999</v>
      </c>
      <c r="S19" s="15">
        <v>366.74774200000002</v>
      </c>
      <c r="T19" s="15">
        <v>377.36492900000002</v>
      </c>
      <c r="U19" s="15">
        <v>380.44986</v>
      </c>
      <c r="V19" s="15">
        <v>386.45919800000001</v>
      </c>
      <c r="W19" s="15">
        <v>396.436554</v>
      </c>
      <c r="X19" s="15">
        <v>399.53066999999999</v>
      </c>
      <c r="Y19" s="15">
        <v>405.848907</v>
      </c>
      <c r="Z19" s="15">
        <v>412.29586799999998</v>
      </c>
      <c r="AA19" s="15">
        <v>420.327606</v>
      </c>
      <c r="AB19" s="15">
        <v>425.83251999999999</v>
      </c>
      <c r="AC19" s="15">
        <v>432.41735799999998</v>
      </c>
      <c r="AD19" s="15">
        <v>439.58904999999999</v>
      </c>
      <c r="AE19" s="15">
        <v>447.87683099999998</v>
      </c>
      <c r="AF19" s="15">
        <v>454.92938199999998</v>
      </c>
      <c r="AG19" s="15">
        <v>458.05413800000002</v>
      </c>
      <c r="AH19" s="15">
        <v>464.36187699999999</v>
      </c>
      <c r="AI19" s="15">
        <v>468.72094700000002</v>
      </c>
      <c r="AJ19" s="15">
        <v>475.179688</v>
      </c>
      <c r="AK19" s="16">
        <v>2.2502999999999999E-2</v>
      </c>
    </row>
    <row r="20" spans="1:37" ht="15" customHeight="1">
      <c r="A20" s="7" t="s">
        <v>21</v>
      </c>
      <c r="B20" s="14" t="s">
        <v>22</v>
      </c>
      <c r="C20" s="15">
        <v>137.230042</v>
      </c>
      <c r="D20" s="15">
        <v>138.84141500000001</v>
      </c>
      <c r="E20" s="15">
        <v>146.102036</v>
      </c>
      <c r="F20" s="15">
        <v>152.69631999999999</v>
      </c>
      <c r="G20" s="15">
        <v>151.33931000000001</v>
      </c>
      <c r="H20" s="15">
        <v>151.801849</v>
      </c>
      <c r="I20" s="15">
        <v>151.59367399999999</v>
      </c>
      <c r="J20" s="15">
        <v>151.944366</v>
      </c>
      <c r="K20" s="15">
        <v>152.634064</v>
      </c>
      <c r="L20" s="15">
        <v>153.410797</v>
      </c>
      <c r="M20" s="15">
        <v>155.21005199999999</v>
      </c>
      <c r="N20" s="15">
        <v>156.07605000000001</v>
      </c>
      <c r="O20" s="15">
        <v>155.95045500000001</v>
      </c>
      <c r="P20" s="15">
        <v>156.04567</v>
      </c>
      <c r="Q20" s="15">
        <v>156.94549599999999</v>
      </c>
      <c r="R20" s="15">
        <v>157.26397700000001</v>
      </c>
      <c r="S20" s="15">
        <v>157.683075</v>
      </c>
      <c r="T20" s="15">
        <v>157.70822100000001</v>
      </c>
      <c r="U20" s="15">
        <v>158.828857</v>
      </c>
      <c r="V20" s="15">
        <v>159.682648</v>
      </c>
      <c r="W20" s="15">
        <v>159.682648</v>
      </c>
      <c r="X20" s="15">
        <v>160.391266</v>
      </c>
      <c r="Y20" s="15">
        <v>161.883881</v>
      </c>
      <c r="Z20" s="15">
        <v>163.28613300000001</v>
      </c>
      <c r="AA20" s="15">
        <v>163.76049800000001</v>
      </c>
      <c r="AB20" s="15">
        <v>165.28421</v>
      </c>
      <c r="AC20" s="15">
        <v>165.600876</v>
      </c>
      <c r="AD20" s="15">
        <v>167.21106</v>
      </c>
      <c r="AE20" s="15">
        <v>168.97247300000001</v>
      </c>
      <c r="AF20" s="15">
        <v>170.987427</v>
      </c>
      <c r="AG20" s="15">
        <v>173.50466900000001</v>
      </c>
      <c r="AH20" s="15">
        <v>176.40557899999999</v>
      </c>
      <c r="AI20" s="15">
        <v>179.74163799999999</v>
      </c>
      <c r="AJ20" s="15">
        <v>181.77668800000001</v>
      </c>
      <c r="AK20" s="16">
        <v>8.456E-3</v>
      </c>
    </row>
    <row r="21" spans="1:37" ht="15" customHeight="1">
      <c r="A21" s="7" t="s">
        <v>23</v>
      </c>
      <c r="B21" s="14" t="s">
        <v>24</v>
      </c>
      <c r="C21" s="15">
        <v>99.628906000000001</v>
      </c>
      <c r="D21" s="15">
        <v>99.062209999999993</v>
      </c>
      <c r="E21" s="15">
        <v>98.047211000000004</v>
      </c>
      <c r="F21" s="15">
        <v>96.152816999999999</v>
      </c>
      <c r="G21" s="15">
        <v>92.892105000000001</v>
      </c>
      <c r="H21" s="15">
        <v>89.331314000000006</v>
      </c>
      <c r="I21" s="15">
        <v>85.948807000000002</v>
      </c>
      <c r="J21" s="15">
        <v>85.948807000000002</v>
      </c>
      <c r="K21" s="15">
        <v>82.725403</v>
      </c>
      <c r="L21" s="15">
        <v>81.607406999999995</v>
      </c>
      <c r="M21" s="15">
        <v>81.607406999999995</v>
      </c>
      <c r="N21" s="15">
        <v>81.607406999999995</v>
      </c>
      <c r="O21" s="15">
        <v>81.632430999999997</v>
      </c>
      <c r="P21" s="15">
        <v>81.682456999999999</v>
      </c>
      <c r="Q21" s="15">
        <v>81.757537999999997</v>
      </c>
      <c r="R21" s="15">
        <v>80.424637000000004</v>
      </c>
      <c r="S21" s="15">
        <v>80.549773999999999</v>
      </c>
      <c r="T21" s="15">
        <v>80.674896000000004</v>
      </c>
      <c r="U21" s="15">
        <v>80.800033999999997</v>
      </c>
      <c r="V21" s="15">
        <v>80.925156000000001</v>
      </c>
      <c r="W21" s="15">
        <v>81.050285000000002</v>
      </c>
      <c r="X21" s="15">
        <v>81.175415000000001</v>
      </c>
      <c r="Y21" s="15">
        <v>81.300551999999996</v>
      </c>
      <c r="Z21" s="15">
        <v>81.425674000000001</v>
      </c>
      <c r="AA21" s="15">
        <v>81.550811999999993</v>
      </c>
      <c r="AB21" s="15">
        <v>81.675933999999998</v>
      </c>
      <c r="AC21" s="15">
        <v>81.801070999999993</v>
      </c>
      <c r="AD21" s="15">
        <v>81.926192999999998</v>
      </c>
      <c r="AE21" s="15">
        <v>82.051331000000005</v>
      </c>
      <c r="AF21" s="15">
        <v>82.176452999999995</v>
      </c>
      <c r="AG21" s="15">
        <v>82.301590000000004</v>
      </c>
      <c r="AH21" s="15">
        <v>82.426711999999995</v>
      </c>
      <c r="AI21" s="15">
        <v>82.551849000000004</v>
      </c>
      <c r="AJ21" s="15">
        <v>82.676979000000003</v>
      </c>
      <c r="AK21" s="16">
        <v>-5.6340000000000001E-3</v>
      </c>
    </row>
    <row r="22" spans="1:37" ht="15" customHeight="1">
      <c r="A22" s="7" t="s">
        <v>25</v>
      </c>
      <c r="B22" s="14" t="s">
        <v>26</v>
      </c>
      <c r="C22" s="15">
        <v>22.810403999999998</v>
      </c>
      <c r="D22" s="15">
        <v>22.810403999999998</v>
      </c>
      <c r="E22" s="15">
        <v>22.810403999999998</v>
      </c>
      <c r="F22" s="15">
        <v>22.810403999999998</v>
      </c>
      <c r="G22" s="15">
        <v>22.810403999999998</v>
      </c>
      <c r="H22" s="15">
        <v>22.810403999999998</v>
      </c>
      <c r="I22" s="15">
        <v>22.810403999999998</v>
      </c>
      <c r="J22" s="15">
        <v>22.810403999999998</v>
      </c>
      <c r="K22" s="15">
        <v>22.810403999999998</v>
      </c>
      <c r="L22" s="15">
        <v>22.810403999999998</v>
      </c>
      <c r="M22" s="15">
        <v>22.810403999999998</v>
      </c>
      <c r="N22" s="15">
        <v>22.810403999999998</v>
      </c>
      <c r="O22" s="15">
        <v>22.810403999999998</v>
      </c>
      <c r="P22" s="15">
        <v>22.810403999999998</v>
      </c>
      <c r="Q22" s="15">
        <v>22.810403999999998</v>
      </c>
      <c r="R22" s="15">
        <v>22.810403999999998</v>
      </c>
      <c r="S22" s="15">
        <v>22.810403999999998</v>
      </c>
      <c r="T22" s="15">
        <v>22.810403999999998</v>
      </c>
      <c r="U22" s="15">
        <v>22.810403999999998</v>
      </c>
      <c r="V22" s="15">
        <v>22.810403999999998</v>
      </c>
      <c r="W22" s="15">
        <v>22.810403999999998</v>
      </c>
      <c r="X22" s="15">
        <v>22.810403999999998</v>
      </c>
      <c r="Y22" s="15">
        <v>22.810403999999998</v>
      </c>
      <c r="Z22" s="15">
        <v>22.810403999999998</v>
      </c>
      <c r="AA22" s="15">
        <v>22.810403999999998</v>
      </c>
      <c r="AB22" s="15">
        <v>22.810403999999998</v>
      </c>
      <c r="AC22" s="15">
        <v>22.810403999999998</v>
      </c>
      <c r="AD22" s="15">
        <v>22.810403999999998</v>
      </c>
      <c r="AE22" s="15">
        <v>22.810403999999998</v>
      </c>
      <c r="AF22" s="15">
        <v>22.810403999999998</v>
      </c>
      <c r="AG22" s="15">
        <v>22.810403999999998</v>
      </c>
      <c r="AH22" s="15">
        <v>22.810403999999998</v>
      </c>
      <c r="AI22" s="15">
        <v>22.810403999999998</v>
      </c>
      <c r="AJ22" s="15">
        <v>22.810403999999998</v>
      </c>
      <c r="AK22" s="16">
        <v>0</v>
      </c>
    </row>
    <row r="23" spans="1:37" s="23" customFormat="1" ht="15" customHeight="1">
      <c r="A23" s="19" t="s">
        <v>27</v>
      </c>
      <c r="B23" s="27" t="s">
        <v>28</v>
      </c>
      <c r="C23" s="28">
        <v>0.59219999999999995</v>
      </c>
      <c r="D23" s="28">
        <v>0.75249999999999995</v>
      </c>
      <c r="E23" s="28">
        <v>0.79849999999999999</v>
      </c>
      <c r="F23" s="28">
        <v>0.91949999999999998</v>
      </c>
      <c r="G23" s="28">
        <v>1.1695</v>
      </c>
      <c r="H23" s="28">
        <v>1.4195</v>
      </c>
      <c r="I23" s="28">
        <v>1.6695</v>
      </c>
      <c r="J23" s="28">
        <v>1.9185000000000001</v>
      </c>
      <c r="K23" s="28">
        <v>1.9185000000000001</v>
      </c>
      <c r="L23" s="28">
        <v>1.9185000000000001</v>
      </c>
      <c r="M23" s="28">
        <v>1.9185000000000001</v>
      </c>
      <c r="N23" s="28">
        <v>1.9185000000000001</v>
      </c>
      <c r="O23" s="28">
        <v>1.9185000000000001</v>
      </c>
      <c r="P23" s="28">
        <v>1.9185000000000001</v>
      </c>
      <c r="Q23" s="28">
        <v>4.7154999999999996</v>
      </c>
      <c r="R23" s="28">
        <v>5.7134400000000003</v>
      </c>
      <c r="S23" s="28">
        <v>5.7134400000000003</v>
      </c>
      <c r="T23" s="28">
        <v>6.4754300000000002</v>
      </c>
      <c r="U23" s="28">
        <v>8.0014579999999995</v>
      </c>
      <c r="V23" s="28">
        <v>9.2728990000000007</v>
      </c>
      <c r="W23" s="28">
        <v>9.2813060000000007</v>
      </c>
      <c r="X23" s="28">
        <v>12.197307</v>
      </c>
      <c r="Y23" s="28">
        <v>12.439215000000001</v>
      </c>
      <c r="Z23" s="28">
        <v>15.457274</v>
      </c>
      <c r="AA23" s="28">
        <v>18.583275</v>
      </c>
      <c r="AB23" s="28">
        <v>18.818812999999999</v>
      </c>
      <c r="AC23" s="28">
        <v>20.16357</v>
      </c>
      <c r="AD23" s="28">
        <v>20.803711</v>
      </c>
      <c r="AE23" s="28">
        <v>21.957172</v>
      </c>
      <c r="AF23" s="28">
        <v>23.104578</v>
      </c>
      <c r="AG23" s="28">
        <v>26.104578</v>
      </c>
      <c r="AH23" s="28">
        <v>27.820377000000001</v>
      </c>
      <c r="AI23" s="28">
        <v>27.820377000000001</v>
      </c>
      <c r="AJ23" s="28">
        <v>30.820377000000001</v>
      </c>
      <c r="AK23" s="29">
        <v>0.123014</v>
      </c>
    </row>
    <row r="24" spans="1:37" ht="15" customHeight="1">
      <c r="A24" s="7" t="s">
        <v>29</v>
      </c>
      <c r="B24" s="14" t="s">
        <v>30</v>
      </c>
      <c r="C24" s="15">
        <v>0.10100000000000001</v>
      </c>
      <c r="D24" s="15">
        <v>0.1024</v>
      </c>
      <c r="E24" s="15">
        <v>0.1176</v>
      </c>
      <c r="F24" s="15">
        <v>0.11650000000000001</v>
      </c>
      <c r="G24" s="15">
        <v>0.116581</v>
      </c>
      <c r="H24" s="15">
        <v>0.116662</v>
      </c>
      <c r="I24" s="15">
        <v>0.116743</v>
      </c>
      <c r="J24" s="15">
        <v>0.116824</v>
      </c>
      <c r="K24" s="15">
        <v>0.116905</v>
      </c>
      <c r="L24" s="15">
        <v>0.11698600000000001</v>
      </c>
      <c r="M24" s="15">
        <v>0.117067</v>
      </c>
      <c r="N24" s="15">
        <v>0.117148</v>
      </c>
      <c r="O24" s="15">
        <v>0.117229</v>
      </c>
      <c r="P24" s="15">
        <v>0.11731</v>
      </c>
      <c r="Q24" s="15">
        <v>0.117391</v>
      </c>
      <c r="R24" s="15">
        <v>0.11747199999999999</v>
      </c>
      <c r="S24" s="15">
        <v>0.11755400000000001</v>
      </c>
      <c r="T24" s="15">
        <v>0.11761000000000001</v>
      </c>
      <c r="U24" s="15">
        <v>0.117636</v>
      </c>
      <c r="V24" s="15">
        <v>0.117647</v>
      </c>
      <c r="W24" s="15">
        <v>0.11765299999999999</v>
      </c>
      <c r="X24" s="15">
        <v>0.117659</v>
      </c>
      <c r="Y24" s="15">
        <v>0.11766</v>
      </c>
      <c r="Z24" s="15">
        <v>0.117661</v>
      </c>
      <c r="AA24" s="15">
        <v>0.117662</v>
      </c>
      <c r="AB24" s="15">
        <v>0.117663</v>
      </c>
      <c r="AC24" s="15">
        <v>0.117664</v>
      </c>
      <c r="AD24" s="15">
        <v>0.11766500000000001</v>
      </c>
      <c r="AE24" s="15">
        <v>0.11766600000000001</v>
      </c>
      <c r="AF24" s="15">
        <v>0.119976</v>
      </c>
      <c r="AG24" s="15">
        <v>0.121998</v>
      </c>
      <c r="AH24" s="15">
        <v>0.121998</v>
      </c>
      <c r="AI24" s="15">
        <v>0.121998</v>
      </c>
      <c r="AJ24" s="15">
        <v>0.123569</v>
      </c>
      <c r="AK24" s="16">
        <v>5.8900000000000003E-3</v>
      </c>
    </row>
    <row r="25" spans="1:37" ht="15" customHeight="1">
      <c r="A25" s="7" t="s">
        <v>31</v>
      </c>
      <c r="B25" s="14" t="s">
        <v>32</v>
      </c>
      <c r="C25" s="15">
        <v>201.21060199999999</v>
      </c>
      <c r="D25" s="15">
        <v>214.30001799999999</v>
      </c>
      <c r="E25" s="15">
        <v>229.26295500000001</v>
      </c>
      <c r="F25" s="15">
        <v>241.686218</v>
      </c>
      <c r="G25" s="15">
        <v>256.39144900000002</v>
      </c>
      <c r="H25" s="15">
        <v>267.14679000000001</v>
      </c>
      <c r="I25" s="15">
        <v>278.43472300000002</v>
      </c>
      <c r="J25" s="15">
        <v>281.96026599999999</v>
      </c>
      <c r="K25" s="15">
        <v>285.54476899999997</v>
      </c>
      <c r="L25" s="15">
        <v>288.06872600000003</v>
      </c>
      <c r="M25" s="15">
        <v>291.608429</v>
      </c>
      <c r="N25" s="15">
        <v>295.24517800000001</v>
      </c>
      <c r="O25" s="15">
        <v>301.88183600000002</v>
      </c>
      <c r="P25" s="15">
        <v>304.16018700000001</v>
      </c>
      <c r="Q25" s="15">
        <v>310.39306599999998</v>
      </c>
      <c r="R25" s="15">
        <v>311.054596</v>
      </c>
      <c r="S25" s="15">
        <v>314.80355800000001</v>
      </c>
      <c r="T25" s="15">
        <v>320.61947600000002</v>
      </c>
      <c r="U25" s="15">
        <v>327.44125400000001</v>
      </c>
      <c r="V25" s="15">
        <v>336.38537600000001</v>
      </c>
      <c r="W25" s="15">
        <v>344.790009</v>
      </c>
      <c r="X25" s="15">
        <v>354.46923800000002</v>
      </c>
      <c r="Y25" s="15">
        <v>365.722534</v>
      </c>
      <c r="Z25" s="15">
        <v>366.69189499999999</v>
      </c>
      <c r="AA25" s="15">
        <v>377.93118299999998</v>
      </c>
      <c r="AB25" s="15">
        <v>379.31778000000003</v>
      </c>
      <c r="AC25" s="15">
        <v>391.287598</v>
      </c>
      <c r="AD25" s="15">
        <v>393.42416400000002</v>
      </c>
      <c r="AE25" s="15">
        <v>397.17782599999998</v>
      </c>
      <c r="AF25" s="15">
        <v>409.83667000000003</v>
      </c>
      <c r="AG25" s="15">
        <v>423.12609900000001</v>
      </c>
      <c r="AH25" s="15">
        <v>425.96310399999999</v>
      </c>
      <c r="AI25" s="15">
        <v>438.77340700000002</v>
      </c>
      <c r="AJ25" s="15">
        <v>446.23230000000001</v>
      </c>
      <c r="AK25" s="16">
        <v>2.3185000000000001E-2</v>
      </c>
    </row>
    <row r="26" spans="1:37" ht="15" customHeight="1">
      <c r="A26" s="7" t="s">
        <v>33</v>
      </c>
      <c r="B26" s="14" t="s">
        <v>34</v>
      </c>
      <c r="C26" s="15">
        <v>0</v>
      </c>
      <c r="D26" s="15">
        <v>0</v>
      </c>
      <c r="E26" s="15">
        <v>0</v>
      </c>
      <c r="F26" s="15">
        <v>1.549955</v>
      </c>
      <c r="G26" s="15">
        <v>1.737015</v>
      </c>
      <c r="H26" s="15">
        <v>1.9216139999999999</v>
      </c>
      <c r="I26" s="15">
        <v>2.1300249999999998</v>
      </c>
      <c r="J26" s="15">
        <v>2.3810440000000002</v>
      </c>
      <c r="K26" s="15">
        <v>2.6740729999999999</v>
      </c>
      <c r="L26" s="15">
        <v>3.043898</v>
      </c>
      <c r="M26" s="15">
        <v>3.4392390000000002</v>
      </c>
      <c r="N26" s="15">
        <v>3.898479</v>
      </c>
      <c r="O26" s="15">
        <v>4.4138760000000001</v>
      </c>
      <c r="P26" s="15">
        <v>4.959581</v>
      </c>
      <c r="Q26" s="15">
        <v>5.4664989999999998</v>
      </c>
      <c r="R26" s="15">
        <v>6.1122639999999997</v>
      </c>
      <c r="S26" s="15">
        <v>6.7578430000000003</v>
      </c>
      <c r="T26" s="15">
        <v>7.5212870000000001</v>
      </c>
      <c r="U26" s="15">
        <v>8.4065849999999998</v>
      </c>
      <c r="V26" s="15">
        <v>9.3650470000000006</v>
      </c>
      <c r="W26" s="15">
        <v>10.470656999999999</v>
      </c>
      <c r="X26" s="15">
        <v>11.609406</v>
      </c>
      <c r="Y26" s="15">
        <v>12.832675999999999</v>
      </c>
      <c r="Z26" s="15">
        <v>14.179005999999999</v>
      </c>
      <c r="AA26" s="15">
        <v>15.613872000000001</v>
      </c>
      <c r="AB26" s="15">
        <v>17.131450999999998</v>
      </c>
      <c r="AC26" s="15">
        <v>18.720569999999999</v>
      </c>
      <c r="AD26" s="15">
        <v>20.528061000000001</v>
      </c>
      <c r="AE26" s="15">
        <v>22.37632</v>
      </c>
      <c r="AF26" s="15">
        <v>24.270847</v>
      </c>
      <c r="AG26" s="15">
        <v>26.195222999999999</v>
      </c>
      <c r="AH26" s="15">
        <v>27.978928</v>
      </c>
      <c r="AI26" s="15">
        <v>29.724710000000002</v>
      </c>
      <c r="AJ26" s="15">
        <v>31.575861</v>
      </c>
      <c r="AK26" s="16" t="s">
        <v>35</v>
      </c>
    </row>
    <row r="27" spans="1:37" ht="15" customHeight="1">
      <c r="A27" s="7" t="s">
        <v>36</v>
      </c>
      <c r="B27" s="13" t="s">
        <v>37</v>
      </c>
      <c r="C27" s="17">
        <v>1012.411682</v>
      </c>
      <c r="D27" s="17">
        <v>1028.304443</v>
      </c>
      <c r="E27" s="17">
        <v>1047.627808</v>
      </c>
      <c r="F27" s="17">
        <v>1072.3055420000001</v>
      </c>
      <c r="G27" s="17">
        <v>1083.0888669999999</v>
      </c>
      <c r="H27" s="17">
        <v>1086.9676509999999</v>
      </c>
      <c r="I27" s="17">
        <v>1091.0604249999999</v>
      </c>
      <c r="J27" s="17">
        <v>1092.6613769999999</v>
      </c>
      <c r="K27" s="17">
        <v>1095.9528809999999</v>
      </c>
      <c r="L27" s="17">
        <v>1097.5043949999999</v>
      </c>
      <c r="M27" s="17">
        <v>1107.7818600000001</v>
      </c>
      <c r="N27" s="17">
        <v>1114.735962</v>
      </c>
      <c r="O27" s="17">
        <v>1124.5795900000001</v>
      </c>
      <c r="P27" s="17">
        <v>1134.700928</v>
      </c>
      <c r="Q27" s="17">
        <v>1147.981323</v>
      </c>
      <c r="R27" s="17">
        <v>1154.5794679999999</v>
      </c>
      <c r="S27" s="17">
        <v>1166.603394</v>
      </c>
      <c r="T27" s="17">
        <v>1181.7310789999999</v>
      </c>
      <c r="U27" s="17">
        <v>1195.195923</v>
      </c>
      <c r="V27" s="17">
        <v>1213.0582280000001</v>
      </c>
      <c r="W27" s="17">
        <v>1231.515259</v>
      </c>
      <c r="X27" s="17">
        <v>1248.955078</v>
      </c>
      <c r="Y27" s="17">
        <v>1269.6094969999999</v>
      </c>
      <c r="Z27" s="17">
        <v>1282.9176030000001</v>
      </c>
      <c r="AA27" s="17">
        <v>1305.910034</v>
      </c>
      <c r="AB27" s="17">
        <v>1315.806519</v>
      </c>
      <c r="AC27" s="17">
        <v>1337.1729740000001</v>
      </c>
      <c r="AD27" s="17">
        <v>1350.6640620000001</v>
      </c>
      <c r="AE27" s="17">
        <v>1367.4677730000001</v>
      </c>
      <c r="AF27" s="17">
        <v>1392.363525</v>
      </c>
      <c r="AG27" s="17">
        <v>1416.346436</v>
      </c>
      <c r="AH27" s="17">
        <v>1432.0167240000001</v>
      </c>
      <c r="AI27" s="17">
        <v>1454.3930660000001</v>
      </c>
      <c r="AJ27" s="17">
        <v>1475.3236079999999</v>
      </c>
      <c r="AK27" s="18">
        <v>1.1344E-2</v>
      </c>
    </row>
    <row r="28" spans="1:37" ht="15" customHeight="1">
      <c r="B28" s="13" t="s">
        <v>38</v>
      </c>
    </row>
    <row r="29" spans="1:37" ht="15" customHeight="1">
      <c r="A29" s="7" t="s">
        <v>39</v>
      </c>
      <c r="B29" s="14" t="s">
        <v>40</v>
      </c>
      <c r="C29" s="15">
        <v>3.1322999999999999</v>
      </c>
      <c r="D29" s="15">
        <v>2.9876999999999998</v>
      </c>
      <c r="E29" s="15">
        <v>2.9876999999999998</v>
      </c>
      <c r="F29" s="15">
        <v>2.6821000000000002</v>
      </c>
      <c r="G29" s="15">
        <v>2.6821000000000002</v>
      </c>
      <c r="H29" s="15">
        <v>2.6821000000000002</v>
      </c>
      <c r="I29" s="15">
        <v>2.6821000000000002</v>
      </c>
      <c r="J29" s="15">
        <v>2.6821000000000002</v>
      </c>
      <c r="K29" s="15">
        <v>2.6821000000000002</v>
      </c>
      <c r="L29" s="15">
        <v>2.6821000000000002</v>
      </c>
      <c r="M29" s="15">
        <v>2.6821000000000002</v>
      </c>
      <c r="N29" s="15">
        <v>2.6821000000000002</v>
      </c>
      <c r="O29" s="15">
        <v>2.6821000000000002</v>
      </c>
      <c r="P29" s="15">
        <v>2.6821000000000002</v>
      </c>
      <c r="Q29" s="15">
        <v>2.6821000000000002</v>
      </c>
      <c r="R29" s="15">
        <v>2.6821000000000002</v>
      </c>
      <c r="S29" s="15">
        <v>2.6821000000000002</v>
      </c>
      <c r="T29" s="15">
        <v>2.6821000000000002</v>
      </c>
      <c r="U29" s="15">
        <v>2.6821000000000002</v>
      </c>
      <c r="V29" s="15">
        <v>2.6821000000000002</v>
      </c>
      <c r="W29" s="15">
        <v>2.6821000000000002</v>
      </c>
      <c r="X29" s="15">
        <v>2.6821000000000002</v>
      </c>
      <c r="Y29" s="15">
        <v>2.6821000000000002</v>
      </c>
      <c r="Z29" s="15">
        <v>2.6821000000000002</v>
      </c>
      <c r="AA29" s="15">
        <v>2.6821000000000002</v>
      </c>
      <c r="AB29" s="15">
        <v>2.6821000000000002</v>
      </c>
      <c r="AC29" s="15">
        <v>2.6821000000000002</v>
      </c>
      <c r="AD29" s="15">
        <v>2.6821000000000002</v>
      </c>
      <c r="AE29" s="15">
        <v>2.6821000000000002</v>
      </c>
      <c r="AF29" s="15">
        <v>2.6821000000000002</v>
      </c>
      <c r="AG29" s="15">
        <v>2.6821000000000002</v>
      </c>
      <c r="AH29" s="15">
        <v>2.6821000000000002</v>
      </c>
      <c r="AI29" s="15">
        <v>2.6821000000000002</v>
      </c>
      <c r="AJ29" s="15">
        <v>2.6821000000000002</v>
      </c>
      <c r="AK29" s="16">
        <v>-3.3660000000000001E-3</v>
      </c>
    </row>
    <row r="30" spans="1:37" ht="15" customHeight="1">
      <c r="A30" s="7" t="s">
        <v>41</v>
      </c>
      <c r="B30" s="14" t="s">
        <v>42</v>
      </c>
      <c r="C30" s="15">
        <v>0.60619999999999996</v>
      </c>
      <c r="D30" s="15">
        <v>0.60619999999999996</v>
      </c>
      <c r="E30" s="15">
        <v>0.60619999999999996</v>
      </c>
      <c r="F30" s="15">
        <v>0.60619999999999996</v>
      </c>
      <c r="G30" s="15">
        <v>0.60619999999999996</v>
      </c>
      <c r="H30" s="15">
        <v>0.60619999999999996</v>
      </c>
      <c r="I30" s="15">
        <v>0.60619999999999996</v>
      </c>
      <c r="J30" s="15">
        <v>0.60619999999999996</v>
      </c>
      <c r="K30" s="15">
        <v>0.60619999999999996</v>
      </c>
      <c r="L30" s="15">
        <v>0.60619999999999996</v>
      </c>
      <c r="M30" s="15">
        <v>0.60619999999999996</v>
      </c>
      <c r="N30" s="15">
        <v>0.60619999999999996</v>
      </c>
      <c r="O30" s="15">
        <v>0.60619999999999996</v>
      </c>
      <c r="P30" s="15">
        <v>0.60619999999999996</v>
      </c>
      <c r="Q30" s="15">
        <v>0.60619999999999996</v>
      </c>
      <c r="R30" s="15">
        <v>0.60619999999999996</v>
      </c>
      <c r="S30" s="15">
        <v>0.60619999999999996</v>
      </c>
      <c r="T30" s="15">
        <v>0.60619999999999996</v>
      </c>
      <c r="U30" s="15">
        <v>0.60619999999999996</v>
      </c>
      <c r="V30" s="15">
        <v>0.60619999999999996</v>
      </c>
      <c r="W30" s="15">
        <v>0.60619999999999996</v>
      </c>
      <c r="X30" s="15">
        <v>0.60619999999999996</v>
      </c>
      <c r="Y30" s="15">
        <v>0.60619999999999996</v>
      </c>
      <c r="Z30" s="15">
        <v>0.60619999999999996</v>
      </c>
      <c r="AA30" s="15">
        <v>0.60619999999999996</v>
      </c>
      <c r="AB30" s="15">
        <v>0.60619999999999996</v>
      </c>
      <c r="AC30" s="15">
        <v>0.60619999999999996</v>
      </c>
      <c r="AD30" s="15">
        <v>0.60619999999999996</v>
      </c>
      <c r="AE30" s="15">
        <v>0.60619999999999996</v>
      </c>
      <c r="AF30" s="15">
        <v>0.60619999999999996</v>
      </c>
      <c r="AG30" s="15">
        <v>0.60619999999999996</v>
      </c>
      <c r="AH30" s="15">
        <v>0.60619999999999996</v>
      </c>
      <c r="AI30" s="15">
        <v>0.60619999999999996</v>
      </c>
      <c r="AJ30" s="15">
        <v>0.60619999999999996</v>
      </c>
      <c r="AK30" s="16">
        <v>0</v>
      </c>
    </row>
    <row r="31" spans="1:37" ht="15" customHeight="1">
      <c r="A31" s="7" t="s">
        <v>43</v>
      </c>
      <c r="B31" s="14" t="s">
        <v>20</v>
      </c>
      <c r="C31" s="15">
        <v>23.575500000000002</v>
      </c>
      <c r="D31" s="15">
        <v>23.386599</v>
      </c>
      <c r="E31" s="15">
        <v>23.336599</v>
      </c>
      <c r="F31" s="15">
        <v>23.564598</v>
      </c>
      <c r="G31" s="15">
        <v>23.564598</v>
      </c>
      <c r="H31" s="15">
        <v>23.564598</v>
      </c>
      <c r="I31" s="15">
        <v>23.385998000000001</v>
      </c>
      <c r="J31" s="15">
        <v>23.385998000000001</v>
      </c>
      <c r="K31" s="15">
        <v>23.385998000000001</v>
      </c>
      <c r="L31" s="15">
        <v>23.385998000000001</v>
      </c>
      <c r="M31" s="15">
        <v>23.385998000000001</v>
      </c>
      <c r="N31" s="15">
        <v>23.385998000000001</v>
      </c>
      <c r="O31" s="15">
        <v>23.385998000000001</v>
      </c>
      <c r="P31" s="15">
        <v>23.385998000000001</v>
      </c>
      <c r="Q31" s="15">
        <v>23.385998000000001</v>
      </c>
      <c r="R31" s="15">
        <v>23.385998000000001</v>
      </c>
      <c r="S31" s="15">
        <v>23.385998000000001</v>
      </c>
      <c r="T31" s="15">
        <v>23.385998000000001</v>
      </c>
      <c r="U31" s="15">
        <v>23.385998000000001</v>
      </c>
      <c r="V31" s="15">
        <v>23.385998000000001</v>
      </c>
      <c r="W31" s="15">
        <v>23.385998000000001</v>
      </c>
      <c r="X31" s="15">
        <v>23.385998000000001</v>
      </c>
      <c r="Y31" s="15">
        <v>23.385998000000001</v>
      </c>
      <c r="Z31" s="15">
        <v>23.385998000000001</v>
      </c>
      <c r="AA31" s="15">
        <v>23.385998000000001</v>
      </c>
      <c r="AB31" s="15">
        <v>23.385998000000001</v>
      </c>
      <c r="AC31" s="15">
        <v>23.385998000000001</v>
      </c>
      <c r="AD31" s="15">
        <v>23.385998000000001</v>
      </c>
      <c r="AE31" s="15">
        <v>23.385998000000001</v>
      </c>
      <c r="AF31" s="15">
        <v>23.385998000000001</v>
      </c>
      <c r="AG31" s="15">
        <v>23.385998000000001</v>
      </c>
      <c r="AH31" s="15">
        <v>23.385998000000001</v>
      </c>
      <c r="AI31" s="15">
        <v>23.385998000000001</v>
      </c>
      <c r="AJ31" s="15">
        <v>23.385998000000001</v>
      </c>
      <c r="AK31" s="16">
        <v>-9.9999999999999995E-7</v>
      </c>
    </row>
    <row r="32" spans="1:37" ht="15" customHeight="1">
      <c r="A32" s="7" t="s">
        <v>44</v>
      </c>
      <c r="B32" s="14" t="s">
        <v>22</v>
      </c>
      <c r="C32" s="15">
        <v>3.1941000000000002</v>
      </c>
      <c r="D32" s="15">
        <v>3.1941000000000002</v>
      </c>
      <c r="E32" s="15">
        <v>3.1461000000000001</v>
      </c>
      <c r="F32" s="15">
        <v>3.0966</v>
      </c>
      <c r="G32" s="15">
        <v>3.0966</v>
      </c>
      <c r="H32" s="15">
        <v>3.0966</v>
      </c>
      <c r="I32" s="15">
        <v>3.0966</v>
      </c>
      <c r="J32" s="15">
        <v>3.0966</v>
      </c>
      <c r="K32" s="15">
        <v>3.0966</v>
      </c>
      <c r="L32" s="15">
        <v>3.0966</v>
      </c>
      <c r="M32" s="15">
        <v>3.0966</v>
      </c>
      <c r="N32" s="15">
        <v>3.0966</v>
      </c>
      <c r="O32" s="15">
        <v>3.0966</v>
      </c>
      <c r="P32" s="15">
        <v>3.0966</v>
      </c>
      <c r="Q32" s="15">
        <v>3.0966</v>
      </c>
      <c r="R32" s="15">
        <v>3.0966</v>
      </c>
      <c r="S32" s="15">
        <v>3.0966</v>
      </c>
      <c r="T32" s="15">
        <v>3.0966</v>
      </c>
      <c r="U32" s="15">
        <v>3.0966</v>
      </c>
      <c r="V32" s="15">
        <v>3.0966</v>
      </c>
      <c r="W32" s="15">
        <v>3.0966</v>
      </c>
      <c r="X32" s="15">
        <v>3.0966</v>
      </c>
      <c r="Y32" s="15">
        <v>3.0966</v>
      </c>
      <c r="Z32" s="15">
        <v>3.0966</v>
      </c>
      <c r="AA32" s="15">
        <v>3.0966</v>
      </c>
      <c r="AB32" s="15">
        <v>3.0966</v>
      </c>
      <c r="AC32" s="15">
        <v>3.0966</v>
      </c>
      <c r="AD32" s="15">
        <v>3.0966</v>
      </c>
      <c r="AE32" s="15">
        <v>3.0966</v>
      </c>
      <c r="AF32" s="15">
        <v>3.0966</v>
      </c>
      <c r="AG32" s="15">
        <v>3.0966</v>
      </c>
      <c r="AH32" s="15">
        <v>3.0966</v>
      </c>
      <c r="AI32" s="15">
        <v>3.0966</v>
      </c>
      <c r="AJ32" s="15">
        <v>3.0966</v>
      </c>
      <c r="AK32" s="16">
        <v>-9.68E-4</v>
      </c>
    </row>
    <row r="33" spans="1:37" ht="15" customHeight="1">
      <c r="A33" s="7" t="s">
        <v>45</v>
      </c>
      <c r="B33" s="14" t="s">
        <v>32</v>
      </c>
      <c r="C33" s="15">
        <v>0.95</v>
      </c>
      <c r="D33" s="15">
        <v>0.94310000000000005</v>
      </c>
      <c r="E33" s="15">
        <v>0.94510000000000005</v>
      </c>
      <c r="F33" s="15">
        <v>0.94510000000000005</v>
      </c>
      <c r="G33" s="15">
        <v>0.94510000000000005</v>
      </c>
      <c r="H33" s="15">
        <v>0.94510000000000005</v>
      </c>
      <c r="I33" s="15">
        <v>0.94510000000000005</v>
      </c>
      <c r="J33" s="15">
        <v>0.94510000000000005</v>
      </c>
      <c r="K33" s="15">
        <v>0.94510000000000005</v>
      </c>
      <c r="L33" s="15">
        <v>0.94510000000000005</v>
      </c>
      <c r="M33" s="15">
        <v>0.94510000000000005</v>
      </c>
      <c r="N33" s="15">
        <v>0.94510000000000005</v>
      </c>
      <c r="O33" s="15">
        <v>0.94510000000000005</v>
      </c>
      <c r="P33" s="15">
        <v>0.94510000000000005</v>
      </c>
      <c r="Q33" s="15">
        <v>0.94510000000000005</v>
      </c>
      <c r="R33" s="15">
        <v>0.94510000000000005</v>
      </c>
      <c r="S33" s="15">
        <v>0.94510000000000005</v>
      </c>
      <c r="T33" s="15">
        <v>0.94510000000000005</v>
      </c>
      <c r="U33" s="15">
        <v>0.94510000000000005</v>
      </c>
      <c r="V33" s="15">
        <v>0.94510000000000005</v>
      </c>
      <c r="W33" s="15">
        <v>0.94510000000000005</v>
      </c>
      <c r="X33" s="15">
        <v>0.94510000000000005</v>
      </c>
      <c r="Y33" s="15">
        <v>0.94510000000000005</v>
      </c>
      <c r="Z33" s="15">
        <v>0.94510000000000005</v>
      </c>
      <c r="AA33" s="15">
        <v>0.94510000000000005</v>
      </c>
      <c r="AB33" s="15">
        <v>0.94510000000000005</v>
      </c>
      <c r="AC33" s="15">
        <v>0.94510000000000005</v>
      </c>
      <c r="AD33" s="15">
        <v>0.94510000000000005</v>
      </c>
      <c r="AE33" s="15">
        <v>0.94510000000000005</v>
      </c>
      <c r="AF33" s="15">
        <v>0.94510000000000005</v>
      </c>
      <c r="AG33" s="15">
        <v>0.94510000000000005</v>
      </c>
      <c r="AH33" s="15">
        <v>0.94510000000000005</v>
      </c>
      <c r="AI33" s="15">
        <v>0.94510000000000005</v>
      </c>
      <c r="AJ33" s="15">
        <v>0.94510000000000005</v>
      </c>
      <c r="AK33" s="16">
        <v>6.6000000000000005E-5</v>
      </c>
    </row>
    <row r="34" spans="1:37" ht="15" customHeight="1">
      <c r="A34" s="7" t="s">
        <v>46</v>
      </c>
      <c r="B34" s="13" t="s">
        <v>37</v>
      </c>
      <c r="C34" s="17">
        <v>31.458103000000001</v>
      </c>
      <c r="D34" s="17">
        <v>31.117699000000002</v>
      </c>
      <c r="E34" s="17">
        <v>31.021699999999999</v>
      </c>
      <c r="F34" s="17">
        <v>30.894597999999998</v>
      </c>
      <c r="G34" s="17">
        <v>30.894597999999998</v>
      </c>
      <c r="H34" s="17">
        <v>30.894597999999998</v>
      </c>
      <c r="I34" s="17">
        <v>30.715997999999999</v>
      </c>
      <c r="J34" s="17">
        <v>30.715997999999999</v>
      </c>
      <c r="K34" s="17">
        <v>30.715997999999999</v>
      </c>
      <c r="L34" s="17">
        <v>30.715997999999999</v>
      </c>
      <c r="M34" s="17">
        <v>30.715997999999999</v>
      </c>
      <c r="N34" s="17">
        <v>30.715997999999999</v>
      </c>
      <c r="O34" s="17">
        <v>30.715997999999999</v>
      </c>
      <c r="P34" s="17">
        <v>30.715997999999999</v>
      </c>
      <c r="Q34" s="17">
        <v>30.715997999999999</v>
      </c>
      <c r="R34" s="17">
        <v>30.715997999999999</v>
      </c>
      <c r="S34" s="17">
        <v>30.715997999999999</v>
      </c>
      <c r="T34" s="17">
        <v>30.715997999999999</v>
      </c>
      <c r="U34" s="17">
        <v>30.715997999999999</v>
      </c>
      <c r="V34" s="17">
        <v>30.715997999999999</v>
      </c>
      <c r="W34" s="17">
        <v>30.715997999999999</v>
      </c>
      <c r="X34" s="17">
        <v>30.715997999999999</v>
      </c>
      <c r="Y34" s="17">
        <v>30.715997999999999</v>
      </c>
      <c r="Z34" s="17">
        <v>30.715997999999999</v>
      </c>
      <c r="AA34" s="17">
        <v>30.715997999999999</v>
      </c>
      <c r="AB34" s="17">
        <v>30.715997999999999</v>
      </c>
      <c r="AC34" s="17">
        <v>30.715997999999999</v>
      </c>
      <c r="AD34" s="17">
        <v>30.715997999999999</v>
      </c>
      <c r="AE34" s="17">
        <v>30.715997999999999</v>
      </c>
      <c r="AF34" s="17">
        <v>30.715997999999999</v>
      </c>
      <c r="AG34" s="17">
        <v>30.715997999999999</v>
      </c>
      <c r="AH34" s="17">
        <v>30.715997999999999</v>
      </c>
      <c r="AI34" s="17">
        <v>30.715997999999999</v>
      </c>
      <c r="AJ34" s="17">
        <v>30.715997999999999</v>
      </c>
      <c r="AK34" s="18">
        <v>-4.06E-4</v>
      </c>
    </row>
    <row r="36" spans="1:37" ht="15" customHeight="1">
      <c r="B36" s="13" t="s">
        <v>47</v>
      </c>
    </row>
    <row r="37" spans="1:37" ht="15" customHeight="1">
      <c r="A37" s="7" t="s">
        <v>48</v>
      </c>
      <c r="B37" s="14" t="s">
        <v>40</v>
      </c>
      <c r="C37" s="15" t="s">
        <v>35</v>
      </c>
      <c r="D37" s="15" t="s">
        <v>35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6" t="s">
        <v>35</v>
      </c>
    </row>
    <row r="38" spans="1:37" ht="15" customHeight="1">
      <c r="A38" s="7" t="s">
        <v>49</v>
      </c>
      <c r="B38" s="14" t="s">
        <v>42</v>
      </c>
      <c r="C38" s="15" t="s">
        <v>35</v>
      </c>
      <c r="D38" s="15" t="s">
        <v>35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6" t="s">
        <v>35</v>
      </c>
    </row>
    <row r="39" spans="1:37" ht="15" customHeight="1">
      <c r="A39" s="7" t="s">
        <v>50</v>
      </c>
      <c r="B39" s="14" t="s">
        <v>20</v>
      </c>
      <c r="C39" s="15" t="s">
        <v>35</v>
      </c>
      <c r="D39" s="15" t="s">
        <v>35</v>
      </c>
      <c r="E39" s="15">
        <v>6.6498010000000001</v>
      </c>
      <c r="F39" s="15">
        <v>16.523401</v>
      </c>
      <c r="G39" s="15">
        <v>16.523401</v>
      </c>
      <c r="H39" s="15">
        <v>16.523401</v>
      </c>
      <c r="I39" s="15">
        <v>16.523401</v>
      </c>
      <c r="J39" s="15">
        <v>16.523401</v>
      </c>
      <c r="K39" s="15">
        <v>16.523401</v>
      </c>
      <c r="L39" s="15">
        <v>16.523401</v>
      </c>
      <c r="M39" s="15">
        <v>16.523401</v>
      </c>
      <c r="N39" s="15">
        <v>16.523401</v>
      </c>
      <c r="O39" s="15">
        <v>16.523401</v>
      </c>
      <c r="P39" s="15">
        <v>16.523401</v>
      </c>
      <c r="Q39" s="15">
        <v>16.523401</v>
      </c>
      <c r="R39" s="15">
        <v>16.523401</v>
      </c>
      <c r="S39" s="15">
        <v>16.523401</v>
      </c>
      <c r="T39" s="15">
        <v>16.523401</v>
      </c>
      <c r="U39" s="15">
        <v>16.523401</v>
      </c>
      <c r="V39" s="15">
        <v>16.523401</v>
      </c>
      <c r="W39" s="15">
        <v>16.523401</v>
      </c>
      <c r="X39" s="15">
        <v>16.523401</v>
      </c>
      <c r="Y39" s="15">
        <v>16.523401</v>
      </c>
      <c r="Z39" s="15">
        <v>16.523401</v>
      </c>
      <c r="AA39" s="15">
        <v>16.523401</v>
      </c>
      <c r="AB39" s="15">
        <v>16.523401</v>
      </c>
      <c r="AC39" s="15">
        <v>16.523401</v>
      </c>
      <c r="AD39" s="15">
        <v>16.523401</v>
      </c>
      <c r="AE39" s="15">
        <v>16.523401</v>
      </c>
      <c r="AF39" s="15">
        <v>16.523401</v>
      </c>
      <c r="AG39" s="15">
        <v>16.523401</v>
      </c>
      <c r="AH39" s="15">
        <v>16.523401</v>
      </c>
      <c r="AI39" s="15">
        <v>16.523401</v>
      </c>
      <c r="AJ39" s="15">
        <v>16.523401</v>
      </c>
      <c r="AK39" s="16" t="s">
        <v>35</v>
      </c>
    </row>
    <row r="40" spans="1:37" ht="15" customHeight="1">
      <c r="A40" s="7" t="s">
        <v>51</v>
      </c>
      <c r="B40" s="14" t="s">
        <v>22</v>
      </c>
      <c r="C40" s="15" t="s">
        <v>35</v>
      </c>
      <c r="D40" s="15" t="s">
        <v>35</v>
      </c>
      <c r="E40" s="15">
        <v>2.508</v>
      </c>
      <c r="F40" s="15">
        <v>6.9855999999999998</v>
      </c>
      <c r="G40" s="15">
        <v>6.9855999999999998</v>
      </c>
      <c r="H40" s="15">
        <v>6.9855999999999998</v>
      </c>
      <c r="I40" s="15">
        <v>6.9855999999999998</v>
      </c>
      <c r="J40" s="15">
        <v>6.9855999999999998</v>
      </c>
      <c r="K40" s="15">
        <v>6.9855999999999998</v>
      </c>
      <c r="L40" s="15">
        <v>6.9855999999999998</v>
      </c>
      <c r="M40" s="15">
        <v>6.9855999999999998</v>
      </c>
      <c r="N40" s="15">
        <v>6.9855999999999998</v>
      </c>
      <c r="O40" s="15">
        <v>6.9855999999999998</v>
      </c>
      <c r="P40" s="15">
        <v>6.9855999999999998</v>
      </c>
      <c r="Q40" s="15">
        <v>6.9855999999999998</v>
      </c>
      <c r="R40" s="15">
        <v>6.9855999999999998</v>
      </c>
      <c r="S40" s="15">
        <v>6.9855999999999998</v>
      </c>
      <c r="T40" s="15">
        <v>6.9855999999999998</v>
      </c>
      <c r="U40" s="15">
        <v>6.9855999999999998</v>
      </c>
      <c r="V40" s="15">
        <v>6.9855999999999998</v>
      </c>
      <c r="W40" s="15">
        <v>6.9855999999999998</v>
      </c>
      <c r="X40" s="15">
        <v>6.9855999999999998</v>
      </c>
      <c r="Y40" s="15">
        <v>6.9855999999999998</v>
      </c>
      <c r="Z40" s="15">
        <v>6.9855999999999998</v>
      </c>
      <c r="AA40" s="15">
        <v>6.9855999999999998</v>
      </c>
      <c r="AB40" s="15">
        <v>6.9855999999999998</v>
      </c>
      <c r="AC40" s="15">
        <v>6.9855999999999998</v>
      </c>
      <c r="AD40" s="15">
        <v>6.9855999999999998</v>
      </c>
      <c r="AE40" s="15">
        <v>6.9855999999999998</v>
      </c>
      <c r="AF40" s="15">
        <v>6.9855999999999998</v>
      </c>
      <c r="AG40" s="15">
        <v>6.9855999999999998</v>
      </c>
      <c r="AH40" s="15">
        <v>6.9855999999999998</v>
      </c>
      <c r="AI40" s="15">
        <v>6.9855999999999998</v>
      </c>
      <c r="AJ40" s="15">
        <v>6.9855999999999998</v>
      </c>
      <c r="AK40" s="16" t="s">
        <v>35</v>
      </c>
    </row>
    <row r="41" spans="1:37" ht="15" customHeight="1">
      <c r="A41" s="7" t="s">
        <v>52</v>
      </c>
      <c r="B41" s="14" t="s">
        <v>53</v>
      </c>
      <c r="C41" s="15" t="s">
        <v>35</v>
      </c>
      <c r="D41" s="15" t="s">
        <v>35</v>
      </c>
      <c r="E41" s="15">
        <v>0</v>
      </c>
      <c r="F41" s="15">
        <v>0</v>
      </c>
      <c r="G41" s="15">
        <v>2.2000000000000002</v>
      </c>
      <c r="H41" s="15">
        <v>2.2000000000000002</v>
      </c>
      <c r="I41" s="15">
        <v>2.2000000000000002</v>
      </c>
      <c r="J41" s="15">
        <v>2.2000000000000002</v>
      </c>
      <c r="K41" s="15">
        <v>2.2000000000000002</v>
      </c>
      <c r="L41" s="15">
        <v>2.2000000000000002</v>
      </c>
      <c r="M41" s="15">
        <v>2.2000000000000002</v>
      </c>
      <c r="N41" s="15">
        <v>2.2000000000000002</v>
      </c>
      <c r="O41" s="15">
        <v>2.2000000000000002</v>
      </c>
      <c r="P41" s="15">
        <v>2.2000000000000002</v>
      </c>
      <c r="Q41" s="15">
        <v>2.2000000000000002</v>
      </c>
      <c r="R41" s="15">
        <v>2.2000000000000002</v>
      </c>
      <c r="S41" s="15">
        <v>2.2000000000000002</v>
      </c>
      <c r="T41" s="15">
        <v>2.2000000000000002</v>
      </c>
      <c r="U41" s="15">
        <v>2.2000000000000002</v>
      </c>
      <c r="V41" s="15">
        <v>2.2000000000000002</v>
      </c>
      <c r="W41" s="15">
        <v>2.2000000000000002</v>
      </c>
      <c r="X41" s="15">
        <v>2.2000000000000002</v>
      </c>
      <c r="Y41" s="15">
        <v>2.2000000000000002</v>
      </c>
      <c r="Z41" s="15">
        <v>2.2000000000000002</v>
      </c>
      <c r="AA41" s="15">
        <v>2.2000000000000002</v>
      </c>
      <c r="AB41" s="15">
        <v>2.2000000000000002</v>
      </c>
      <c r="AC41" s="15">
        <v>2.2000000000000002</v>
      </c>
      <c r="AD41" s="15">
        <v>2.2000000000000002</v>
      </c>
      <c r="AE41" s="15">
        <v>2.2000000000000002</v>
      </c>
      <c r="AF41" s="15">
        <v>2.2000000000000002</v>
      </c>
      <c r="AG41" s="15">
        <v>2.2000000000000002</v>
      </c>
      <c r="AH41" s="15">
        <v>2.2000000000000002</v>
      </c>
      <c r="AI41" s="15">
        <v>2.2000000000000002</v>
      </c>
      <c r="AJ41" s="15">
        <v>2.2000000000000002</v>
      </c>
      <c r="AK41" s="16" t="s">
        <v>35</v>
      </c>
    </row>
    <row r="42" spans="1:37" ht="15" customHeight="1">
      <c r="A42" s="7" t="s">
        <v>54</v>
      </c>
      <c r="B42" s="14" t="s">
        <v>26</v>
      </c>
      <c r="C42" s="15" t="s">
        <v>35</v>
      </c>
      <c r="D42" s="15" t="s">
        <v>35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6" t="s">
        <v>35</v>
      </c>
    </row>
    <row r="43" spans="1:37" ht="15" customHeight="1">
      <c r="A43" s="7" t="s">
        <v>55</v>
      </c>
      <c r="B43" s="14" t="s">
        <v>28</v>
      </c>
      <c r="C43" s="15" t="s">
        <v>35</v>
      </c>
      <c r="D43" s="15" t="s">
        <v>35</v>
      </c>
      <c r="E43" s="15">
        <v>4.5999999999999999E-2</v>
      </c>
      <c r="F43" s="15">
        <v>0.16700000000000001</v>
      </c>
      <c r="G43" s="15">
        <v>0.41699999999999998</v>
      </c>
      <c r="H43" s="15">
        <v>0.66700000000000004</v>
      </c>
      <c r="I43" s="15">
        <v>0.91700000000000004</v>
      </c>
      <c r="J43" s="15">
        <v>1.167</v>
      </c>
      <c r="K43" s="15">
        <v>1.167</v>
      </c>
      <c r="L43" s="15">
        <v>1.167</v>
      </c>
      <c r="M43" s="15">
        <v>1.167</v>
      </c>
      <c r="N43" s="15">
        <v>1.167</v>
      </c>
      <c r="O43" s="15">
        <v>1.167</v>
      </c>
      <c r="P43" s="15">
        <v>1.167</v>
      </c>
      <c r="Q43" s="15">
        <v>1.167</v>
      </c>
      <c r="R43" s="15">
        <v>1.167</v>
      </c>
      <c r="S43" s="15">
        <v>1.167</v>
      </c>
      <c r="T43" s="15">
        <v>1.167</v>
      </c>
      <c r="U43" s="15">
        <v>1.167</v>
      </c>
      <c r="V43" s="15">
        <v>1.167</v>
      </c>
      <c r="W43" s="15">
        <v>1.167</v>
      </c>
      <c r="X43" s="15">
        <v>1.167</v>
      </c>
      <c r="Y43" s="15">
        <v>1.167</v>
      </c>
      <c r="Z43" s="15">
        <v>1.167</v>
      </c>
      <c r="AA43" s="15">
        <v>1.167</v>
      </c>
      <c r="AB43" s="15">
        <v>1.167</v>
      </c>
      <c r="AC43" s="15">
        <v>1.167</v>
      </c>
      <c r="AD43" s="15">
        <v>1.167</v>
      </c>
      <c r="AE43" s="15">
        <v>1.167</v>
      </c>
      <c r="AF43" s="15">
        <v>1.167</v>
      </c>
      <c r="AG43" s="15">
        <v>1.167</v>
      </c>
      <c r="AH43" s="15">
        <v>1.167</v>
      </c>
      <c r="AI43" s="15">
        <v>1.167</v>
      </c>
      <c r="AJ43" s="15">
        <v>1.167</v>
      </c>
      <c r="AK43" s="16" t="s">
        <v>35</v>
      </c>
    </row>
    <row r="44" spans="1:37" ht="15" customHeight="1">
      <c r="A44" s="7" t="s">
        <v>56</v>
      </c>
      <c r="B44" s="14" t="s">
        <v>30</v>
      </c>
      <c r="C44" s="15" t="s">
        <v>35</v>
      </c>
      <c r="D44" s="15" t="s">
        <v>35</v>
      </c>
      <c r="E44" s="15">
        <v>1.52E-2</v>
      </c>
      <c r="F44" s="15">
        <v>1.52E-2</v>
      </c>
      <c r="G44" s="15">
        <v>1.52E-2</v>
      </c>
      <c r="H44" s="15">
        <v>1.52E-2</v>
      </c>
      <c r="I44" s="15">
        <v>1.52E-2</v>
      </c>
      <c r="J44" s="15">
        <v>1.52E-2</v>
      </c>
      <c r="K44" s="15">
        <v>1.52E-2</v>
      </c>
      <c r="L44" s="15">
        <v>1.52E-2</v>
      </c>
      <c r="M44" s="15">
        <v>1.52E-2</v>
      </c>
      <c r="N44" s="15">
        <v>1.52E-2</v>
      </c>
      <c r="O44" s="15">
        <v>1.52E-2</v>
      </c>
      <c r="P44" s="15">
        <v>1.52E-2</v>
      </c>
      <c r="Q44" s="15">
        <v>1.52E-2</v>
      </c>
      <c r="R44" s="15">
        <v>1.52E-2</v>
      </c>
      <c r="S44" s="15">
        <v>1.52E-2</v>
      </c>
      <c r="T44" s="15">
        <v>1.52E-2</v>
      </c>
      <c r="U44" s="15">
        <v>1.52E-2</v>
      </c>
      <c r="V44" s="15">
        <v>1.52E-2</v>
      </c>
      <c r="W44" s="15">
        <v>1.52E-2</v>
      </c>
      <c r="X44" s="15">
        <v>1.52E-2</v>
      </c>
      <c r="Y44" s="15">
        <v>1.52E-2</v>
      </c>
      <c r="Z44" s="15">
        <v>1.52E-2</v>
      </c>
      <c r="AA44" s="15">
        <v>1.52E-2</v>
      </c>
      <c r="AB44" s="15">
        <v>1.52E-2</v>
      </c>
      <c r="AC44" s="15">
        <v>1.52E-2</v>
      </c>
      <c r="AD44" s="15">
        <v>1.52E-2</v>
      </c>
      <c r="AE44" s="15">
        <v>1.52E-2</v>
      </c>
      <c r="AF44" s="15">
        <v>1.52E-2</v>
      </c>
      <c r="AG44" s="15">
        <v>1.52E-2</v>
      </c>
      <c r="AH44" s="15">
        <v>1.52E-2</v>
      </c>
      <c r="AI44" s="15">
        <v>1.52E-2</v>
      </c>
      <c r="AJ44" s="15">
        <v>1.52E-2</v>
      </c>
      <c r="AK44" s="16" t="s">
        <v>35</v>
      </c>
    </row>
    <row r="45" spans="1:37" ht="15" customHeight="1">
      <c r="A45" s="7" t="s">
        <v>57</v>
      </c>
      <c r="B45" s="14" t="s">
        <v>32</v>
      </c>
      <c r="C45" s="15" t="s">
        <v>35</v>
      </c>
      <c r="D45" s="15" t="s">
        <v>35</v>
      </c>
      <c r="E45" s="15">
        <v>14.974111000000001</v>
      </c>
      <c r="F45" s="15">
        <v>23.394006999999998</v>
      </c>
      <c r="G45" s="15">
        <v>23.605004999999998</v>
      </c>
      <c r="H45" s="15">
        <v>23.605004999999998</v>
      </c>
      <c r="I45" s="15">
        <v>23.605004999999998</v>
      </c>
      <c r="J45" s="15">
        <v>23.605004999999998</v>
      </c>
      <c r="K45" s="15">
        <v>23.605004999999998</v>
      </c>
      <c r="L45" s="15">
        <v>23.605004999999998</v>
      </c>
      <c r="M45" s="15">
        <v>23.605004999999998</v>
      </c>
      <c r="N45" s="15">
        <v>23.605004999999998</v>
      </c>
      <c r="O45" s="15">
        <v>23.605004999999998</v>
      </c>
      <c r="P45" s="15">
        <v>23.605004999999998</v>
      </c>
      <c r="Q45" s="15">
        <v>23.605004999999998</v>
      </c>
      <c r="R45" s="15">
        <v>23.605004999999998</v>
      </c>
      <c r="S45" s="15">
        <v>23.605004999999998</v>
      </c>
      <c r="T45" s="15">
        <v>23.605004999999998</v>
      </c>
      <c r="U45" s="15">
        <v>23.605004999999998</v>
      </c>
      <c r="V45" s="15">
        <v>23.605004999999998</v>
      </c>
      <c r="W45" s="15">
        <v>23.605004999999998</v>
      </c>
      <c r="X45" s="15">
        <v>23.605004999999998</v>
      </c>
      <c r="Y45" s="15">
        <v>23.605004999999998</v>
      </c>
      <c r="Z45" s="15">
        <v>23.605004999999998</v>
      </c>
      <c r="AA45" s="15">
        <v>23.605004999999998</v>
      </c>
      <c r="AB45" s="15">
        <v>23.605004999999998</v>
      </c>
      <c r="AC45" s="15">
        <v>23.605004999999998</v>
      </c>
      <c r="AD45" s="15">
        <v>23.605004999999998</v>
      </c>
      <c r="AE45" s="15">
        <v>23.605004999999998</v>
      </c>
      <c r="AF45" s="15">
        <v>23.605004999999998</v>
      </c>
      <c r="AG45" s="15">
        <v>23.605004999999998</v>
      </c>
      <c r="AH45" s="15">
        <v>23.605004999999998</v>
      </c>
      <c r="AI45" s="15">
        <v>23.605004999999998</v>
      </c>
      <c r="AJ45" s="15">
        <v>23.605004999999998</v>
      </c>
      <c r="AK45" s="16" t="s">
        <v>35</v>
      </c>
    </row>
    <row r="46" spans="1:37" ht="15" customHeight="1">
      <c r="A46" s="7" t="s">
        <v>58</v>
      </c>
      <c r="B46" s="14" t="s">
        <v>59</v>
      </c>
      <c r="C46" s="15" t="s">
        <v>35</v>
      </c>
      <c r="D46" s="15" t="s">
        <v>35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6" t="s">
        <v>35</v>
      </c>
    </row>
    <row r="47" spans="1:37" ht="15" customHeight="1">
      <c r="A47" s="7" t="s">
        <v>60</v>
      </c>
      <c r="B47" s="13" t="s">
        <v>37</v>
      </c>
      <c r="C47" s="17" t="s">
        <v>35</v>
      </c>
      <c r="D47" s="17" t="s">
        <v>35</v>
      </c>
      <c r="E47" s="17">
        <v>24.193102</v>
      </c>
      <c r="F47" s="17">
        <v>47.085197000000001</v>
      </c>
      <c r="G47" s="17">
        <v>49.746192999999998</v>
      </c>
      <c r="H47" s="17">
        <v>49.996192999999998</v>
      </c>
      <c r="I47" s="17">
        <v>50.246192999999998</v>
      </c>
      <c r="J47" s="17">
        <v>50.496192999999998</v>
      </c>
      <c r="K47" s="17">
        <v>50.496192999999998</v>
      </c>
      <c r="L47" s="17">
        <v>50.496192999999998</v>
      </c>
      <c r="M47" s="17">
        <v>50.496192999999998</v>
      </c>
      <c r="N47" s="17">
        <v>50.496192999999998</v>
      </c>
      <c r="O47" s="17">
        <v>50.496192999999998</v>
      </c>
      <c r="P47" s="17">
        <v>50.496192999999998</v>
      </c>
      <c r="Q47" s="17">
        <v>50.496192999999998</v>
      </c>
      <c r="R47" s="17">
        <v>50.496192999999998</v>
      </c>
      <c r="S47" s="17">
        <v>50.496192999999998</v>
      </c>
      <c r="T47" s="17">
        <v>50.496192999999998</v>
      </c>
      <c r="U47" s="17">
        <v>50.496192999999998</v>
      </c>
      <c r="V47" s="17">
        <v>50.496192999999998</v>
      </c>
      <c r="W47" s="17">
        <v>50.496192999999998</v>
      </c>
      <c r="X47" s="17">
        <v>50.496192999999998</v>
      </c>
      <c r="Y47" s="17">
        <v>50.496192999999998</v>
      </c>
      <c r="Z47" s="17">
        <v>50.496192999999998</v>
      </c>
      <c r="AA47" s="17">
        <v>50.496192999999998</v>
      </c>
      <c r="AB47" s="17">
        <v>50.496192999999998</v>
      </c>
      <c r="AC47" s="17">
        <v>50.496192999999998</v>
      </c>
      <c r="AD47" s="17">
        <v>50.496192999999998</v>
      </c>
      <c r="AE47" s="17">
        <v>50.496192999999998</v>
      </c>
      <c r="AF47" s="17">
        <v>50.496192999999998</v>
      </c>
      <c r="AG47" s="17">
        <v>50.496192999999998</v>
      </c>
      <c r="AH47" s="17">
        <v>50.496192999999998</v>
      </c>
      <c r="AI47" s="17">
        <v>50.496192999999998</v>
      </c>
      <c r="AJ47" s="17">
        <v>50.496192999999998</v>
      </c>
      <c r="AK47" s="18" t="s">
        <v>35</v>
      </c>
    </row>
    <row r="48" spans="1:37" ht="15" customHeight="1">
      <c r="B48" s="13" t="s">
        <v>61</v>
      </c>
    </row>
    <row r="49" spans="1:37" ht="15" customHeight="1">
      <c r="A49" s="7" t="s">
        <v>62</v>
      </c>
      <c r="B49" s="14" t="s">
        <v>40</v>
      </c>
      <c r="C49" s="15" t="s">
        <v>35</v>
      </c>
      <c r="D49" s="15" t="s">
        <v>35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6" t="s">
        <v>35</v>
      </c>
    </row>
    <row r="50" spans="1:37" ht="15" customHeight="1">
      <c r="A50" s="7" t="s">
        <v>63</v>
      </c>
      <c r="B50" s="14" t="s">
        <v>42</v>
      </c>
      <c r="C50" s="15" t="s">
        <v>35</v>
      </c>
      <c r="D50" s="15" t="s">
        <v>35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6" t="s">
        <v>35</v>
      </c>
    </row>
    <row r="51" spans="1:37" ht="15" customHeight="1">
      <c r="A51" s="7" t="s">
        <v>64</v>
      </c>
      <c r="B51" s="14" t="s">
        <v>20</v>
      </c>
      <c r="C51" s="15" t="s">
        <v>35</v>
      </c>
      <c r="D51" s="15" t="s">
        <v>35</v>
      </c>
      <c r="E51" s="15">
        <v>0</v>
      </c>
      <c r="F51" s="15">
        <v>0</v>
      </c>
      <c r="G51" s="15">
        <v>16.172312000000002</v>
      </c>
      <c r="H51" s="15">
        <v>23.957146000000002</v>
      </c>
      <c r="I51" s="15">
        <v>34.546452000000002</v>
      </c>
      <c r="J51" s="15">
        <v>47.853344</v>
      </c>
      <c r="K51" s="15">
        <v>62.525557999999997</v>
      </c>
      <c r="L51" s="15">
        <v>70.576279</v>
      </c>
      <c r="M51" s="15">
        <v>79.701988</v>
      </c>
      <c r="N51" s="15">
        <v>84.579200999999998</v>
      </c>
      <c r="O51" s="15">
        <v>89.560531999999995</v>
      </c>
      <c r="P51" s="15">
        <v>99.850470999999999</v>
      </c>
      <c r="Q51" s="15">
        <v>105.643738</v>
      </c>
      <c r="R51" s="15">
        <v>116.295929</v>
      </c>
      <c r="S51" s="15">
        <v>123.62101</v>
      </c>
      <c r="T51" s="15">
        <v>134.60720800000001</v>
      </c>
      <c r="U51" s="15">
        <v>138.96077</v>
      </c>
      <c r="V51" s="15">
        <v>145.168869</v>
      </c>
      <c r="W51" s="15">
        <v>155.14613299999999</v>
      </c>
      <c r="X51" s="15">
        <v>159.369675</v>
      </c>
      <c r="Y51" s="15">
        <v>165.933899</v>
      </c>
      <c r="Z51" s="15">
        <v>172.380844</v>
      </c>
      <c r="AA51" s="15">
        <v>180.41255200000001</v>
      </c>
      <c r="AB51" s="15">
        <v>186.41949500000001</v>
      </c>
      <c r="AC51" s="15">
        <v>194.73234600000001</v>
      </c>
      <c r="AD51" s="15">
        <v>201.904053</v>
      </c>
      <c r="AE51" s="15">
        <v>210.50782799999999</v>
      </c>
      <c r="AF51" s="15">
        <v>218.021378</v>
      </c>
      <c r="AG51" s="15">
        <v>221.83097799999999</v>
      </c>
      <c r="AH51" s="15">
        <v>228.13879399999999</v>
      </c>
      <c r="AI51" s="15">
        <v>232.49783300000001</v>
      </c>
      <c r="AJ51" s="15">
        <v>238.95971700000001</v>
      </c>
      <c r="AK51" s="16" t="s">
        <v>35</v>
      </c>
    </row>
    <row r="52" spans="1:37" ht="15" customHeight="1">
      <c r="A52" s="7" t="s">
        <v>65</v>
      </c>
      <c r="B52" s="14" t="s">
        <v>22</v>
      </c>
      <c r="C52" s="15" t="s">
        <v>35</v>
      </c>
      <c r="D52" s="15" t="s">
        <v>35</v>
      </c>
      <c r="E52" s="15">
        <v>4.9505270000000001</v>
      </c>
      <c r="F52" s="15">
        <v>7.0903</v>
      </c>
      <c r="G52" s="15">
        <v>7.0903</v>
      </c>
      <c r="H52" s="15">
        <v>7.6268310000000001</v>
      </c>
      <c r="I52" s="15">
        <v>8.4259459999999997</v>
      </c>
      <c r="J52" s="15">
        <v>9.0516400000000008</v>
      </c>
      <c r="K52" s="15">
        <v>9.9866569999999992</v>
      </c>
      <c r="L52" s="15">
        <v>11.664781</v>
      </c>
      <c r="M52" s="15">
        <v>13.628036</v>
      </c>
      <c r="N52" s="15">
        <v>15.069537</v>
      </c>
      <c r="O52" s="15">
        <v>15.79344</v>
      </c>
      <c r="P52" s="15">
        <v>15.917452000000001</v>
      </c>
      <c r="Q52" s="15">
        <v>17.074687999999998</v>
      </c>
      <c r="R52" s="15">
        <v>17.393163999999999</v>
      </c>
      <c r="S52" s="15">
        <v>17.812252000000001</v>
      </c>
      <c r="T52" s="15">
        <v>17.837396999999999</v>
      </c>
      <c r="U52" s="15">
        <v>18.958048000000002</v>
      </c>
      <c r="V52" s="15">
        <v>19.880524000000001</v>
      </c>
      <c r="W52" s="15">
        <v>19.880524000000001</v>
      </c>
      <c r="X52" s="15">
        <v>20.884153000000001</v>
      </c>
      <c r="Y52" s="15">
        <v>22.376754999999999</v>
      </c>
      <c r="Z52" s="15">
        <v>23.882300999999998</v>
      </c>
      <c r="AA52" s="15">
        <v>25.613676000000002</v>
      </c>
      <c r="AB52" s="15">
        <v>27.169405000000001</v>
      </c>
      <c r="AC52" s="15">
        <v>27.590069</v>
      </c>
      <c r="AD52" s="15">
        <v>29.200244999999999</v>
      </c>
      <c r="AE52" s="15">
        <v>31.051950000000001</v>
      </c>
      <c r="AF52" s="15">
        <v>33.181412000000002</v>
      </c>
      <c r="AG52" s="15">
        <v>35.698642999999997</v>
      </c>
      <c r="AH52" s="15">
        <v>38.599564000000001</v>
      </c>
      <c r="AI52" s="15">
        <v>41.935626999999997</v>
      </c>
      <c r="AJ52" s="15">
        <v>43.970664999999997</v>
      </c>
      <c r="AK52" s="16" t="s">
        <v>35</v>
      </c>
    </row>
    <row r="53" spans="1:37" ht="15" customHeight="1">
      <c r="A53" s="7" t="s">
        <v>66</v>
      </c>
      <c r="B53" s="14" t="s">
        <v>53</v>
      </c>
      <c r="C53" s="15" t="s">
        <v>35</v>
      </c>
      <c r="D53" s="15" t="s">
        <v>35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6" t="s">
        <v>35</v>
      </c>
    </row>
    <row r="54" spans="1:37" ht="15" customHeight="1">
      <c r="A54" s="7" t="s">
        <v>67</v>
      </c>
      <c r="B54" s="14" t="s">
        <v>26</v>
      </c>
      <c r="C54" s="15" t="s">
        <v>35</v>
      </c>
      <c r="D54" s="15" t="s">
        <v>35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6" t="s">
        <v>35</v>
      </c>
    </row>
    <row r="55" spans="1:37" ht="15" customHeight="1">
      <c r="A55" s="7" t="s">
        <v>68</v>
      </c>
      <c r="B55" s="14" t="s">
        <v>28</v>
      </c>
      <c r="C55" s="15" t="s">
        <v>35</v>
      </c>
      <c r="D55" s="15" t="s">
        <v>35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2.7970000000000002</v>
      </c>
      <c r="R55" s="15">
        <v>3.79494</v>
      </c>
      <c r="S55" s="15">
        <v>3.79494</v>
      </c>
      <c r="T55" s="15">
        <v>4.5569290000000002</v>
      </c>
      <c r="U55" s="15">
        <v>6.0829579999999996</v>
      </c>
      <c r="V55" s="15">
        <v>7.3543989999999999</v>
      </c>
      <c r="W55" s="15">
        <v>7.362806</v>
      </c>
      <c r="X55" s="15">
        <v>10.278807</v>
      </c>
      <c r="Y55" s="15">
        <v>10.520714999999999</v>
      </c>
      <c r="Z55" s="15">
        <v>13.538774</v>
      </c>
      <c r="AA55" s="15">
        <v>16.664776</v>
      </c>
      <c r="AB55" s="15">
        <v>16.900314000000002</v>
      </c>
      <c r="AC55" s="15">
        <v>18.245070999999999</v>
      </c>
      <c r="AD55" s="15">
        <v>18.885211999999999</v>
      </c>
      <c r="AE55" s="15">
        <v>20.038672999999999</v>
      </c>
      <c r="AF55" s="15">
        <v>21.186077000000001</v>
      </c>
      <c r="AG55" s="15">
        <v>24.186077000000001</v>
      </c>
      <c r="AH55" s="15">
        <v>25.901876000000001</v>
      </c>
      <c r="AI55" s="15">
        <v>25.901876000000001</v>
      </c>
      <c r="AJ55" s="15">
        <v>28.901876000000001</v>
      </c>
      <c r="AK55" s="16" t="s">
        <v>35</v>
      </c>
    </row>
    <row r="56" spans="1:37" ht="15" customHeight="1">
      <c r="A56" s="7" t="s">
        <v>69</v>
      </c>
      <c r="B56" s="14" t="s">
        <v>30</v>
      </c>
      <c r="C56" s="15" t="s">
        <v>35</v>
      </c>
      <c r="D56" s="15" t="s">
        <v>35</v>
      </c>
      <c r="E56" s="15">
        <v>0</v>
      </c>
      <c r="F56" s="15">
        <v>0</v>
      </c>
      <c r="G56" s="15">
        <v>8.1000000000000004E-5</v>
      </c>
      <c r="H56" s="15">
        <v>1.6200000000000001E-4</v>
      </c>
      <c r="I56" s="15">
        <v>2.43E-4</v>
      </c>
      <c r="J56" s="15">
        <v>3.2400000000000001E-4</v>
      </c>
      <c r="K56" s="15">
        <v>4.0499999999999998E-4</v>
      </c>
      <c r="L56" s="15">
        <v>4.86E-4</v>
      </c>
      <c r="M56" s="15">
        <v>5.6700000000000001E-4</v>
      </c>
      <c r="N56" s="15">
        <v>6.4800000000000003E-4</v>
      </c>
      <c r="O56" s="15">
        <v>7.2900000000000005E-4</v>
      </c>
      <c r="P56" s="15">
        <v>8.0999999999999996E-4</v>
      </c>
      <c r="Q56" s="15">
        <v>8.9099999999999997E-4</v>
      </c>
      <c r="R56" s="15">
        <v>9.7199999999999999E-4</v>
      </c>
      <c r="S56" s="15">
        <v>1.054E-3</v>
      </c>
      <c r="T56" s="15">
        <v>1.1100000000000001E-3</v>
      </c>
      <c r="U56" s="15">
        <v>1.1360000000000001E-3</v>
      </c>
      <c r="V56" s="15">
        <v>1.147E-3</v>
      </c>
      <c r="W56" s="15">
        <v>1.1529999999999999E-3</v>
      </c>
      <c r="X56" s="15">
        <v>1.1590000000000001E-3</v>
      </c>
      <c r="Y56" s="15">
        <v>1.16E-3</v>
      </c>
      <c r="Z56" s="15">
        <v>1.1609999999999999E-3</v>
      </c>
      <c r="AA56" s="15">
        <v>1.1620000000000001E-3</v>
      </c>
      <c r="AB56" s="15">
        <v>1.163E-3</v>
      </c>
      <c r="AC56" s="15">
        <v>1.1640000000000001E-3</v>
      </c>
      <c r="AD56" s="15">
        <v>1.165E-3</v>
      </c>
      <c r="AE56" s="15">
        <v>1.1659999999999999E-3</v>
      </c>
      <c r="AF56" s="15">
        <v>3.4759999999999999E-3</v>
      </c>
      <c r="AG56" s="15">
        <v>5.4980000000000003E-3</v>
      </c>
      <c r="AH56" s="15">
        <v>5.4980000000000003E-3</v>
      </c>
      <c r="AI56" s="15">
        <v>5.4980000000000003E-3</v>
      </c>
      <c r="AJ56" s="15">
        <v>7.0689999999999998E-3</v>
      </c>
      <c r="AK56" s="16" t="s">
        <v>35</v>
      </c>
    </row>
    <row r="57" spans="1:37" ht="15" customHeight="1">
      <c r="A57" s="7" t="s">
        <v>70</v>
      </c>
      <c r="B57" s="14" t="s">
        <v>32</v>
      </c>
      <c r="C57" s="15" t="s">
        <v>35</v>
      </c>
      <c r="D57" s="15" t="s">
        <v>35</v>
      </c>
      <c r="E57" s="15">
        <v>3.0349999999999999E-3</v>
      </c>
      <c r="F57" s="15">
        <v>4.007403</v>
      </c>
      <c r="G57" s="15">
        <v>18.502424000000001</v>
      </c>
      <c r="H57" s="15">
        <v>29.277674000000001</v>
      </c>
      <c r="I57" s="15">
        <v>40.572113000000002</v>
      </c>
      <c r="J57" s="15">
        <v>44.113644000000001</v>
      </c>
      <c r="K57" s="15">
        <v>47.700634000000001</v>
      </c>
      <c r="L57" s="15">
        <v>50.226643000000003</v>
      </c>
      <c r="M57" s="15">
        <v>53.766292999999997</v>
      </c>
      <c r="N57" s="15">
        <v>57.403064999999998</v>
      </c>
      <c r="O57" s="15">
        <v>64.114699999999999</v>
      </c>
      <c r="P57" s="15">
        <v>66.393073999999999</v>
      </c>
      <c r="Q57" s="15">
        <v>72.625945999999999</v>
      </c>
      <c r="R57" s="15">
        <v>73.287505999999993</v>
      </c>
      <c r="S57" s="15">
        <v>77.036452999999995</v>
      </c>
      <c r="T57" s="15">
        <v>82.852385999999996</v>
      </c>
      <c r="U57" s="15">
        <v>89.674132999999998</v>
      </c>
      <c r="V57" s="15">
        <v>98.618270999999993</v>
      </c>
      <c r="W57" s="15">
        <v>107.022919</v>
      </c>
      <c r="X57" s="15">
        <v>116.70212600000001</v>
      </c>
      <c r="Y57" s="15">
        <v>127.955406</v>
      </c>
      <c r="Z57" s="15">
        <v>128.924744</v>
      </c>
      <c r="AA57" s="15">
        <v>140.16407799999999</v>
      </c>
      <c r="AB57" s="15">
        <v>141.550659</v>
      </c>
      <c r="AC57" s="15">
        <v>153.52050800000001</v>
      </c>
      <c r="AD57" s="15">
        <v>155.657104</v>
      </c>
      <c r="AE57" s="15">
        <v>159.410721</v>
      </c>
      <c r="AF57" s="15">
        <v>172.06961100000001</v>
      </c>
      <c r="AG57" s="15">
        <v>185.401993</v>
      </c>
      <c r="AH57" s="15">
        <v>188.23898299999999</v>
      </c>
      <c r="AI57" s="15">
        <v>201.04933199999999</v>
      </c>
      <c r="AJ57" s="15">
        <v>208.50817900000001</v>
      </c>
      <c r="AK57" s="16" t="s">
        <v>35</v>
      </c>
    </row>
    <row r="58" spans="1:37" ht="15" customHeight="1">
      <c r="A58" s="7" t="s">
        <v>71</v>
      </c>
      <c r="B58" s="14" t="s">
        <v>59</v>
      </c>
      <c r="C58" s="15" t="s">
        <v>35</v>
      </c>
      <c r="D58" s="15" t="s">
        <v>35</v>
      </c>
      <c r="E58" s="15">
        <v>0</v>
      </c>
      <c r="F58" s="15">
        <v>1.549955</v>
      </c>
      <c r="G58" s="15">
        <v>1.737015</v>
      </c>
      <c r="H58" s="15">
        <v>1.9216139999999999</v>
      </c>
      <c r="I58" s="15">
        <v>2.1300249999999998</v>
      </c>
      <c r="J58" s="15">
        <v>2.3810440000000002</v>
      </c>
      <c r="K58" s="15">
        <v>2.6740729999999999</v>
      </c>
      <c r="L58" s="15">
        <v>3.043898</v>
      </c>
      <c r="M58" s="15">
        <v>3.4392390000000002</v>
      </c>
      <c r="N58" s="15">
        <v>3.898479</v>
      </c>
      <c r="O58" s="15">
        <v>4.4138760000000001</v>
      </c>
      <c r="P58" s="15">
        <v>4.959581</v>
      </c>
      <c r="Q58" s="15">
        <v>5.4664989999999998</v>
      </c>
      <c r="R58" s="15">
        <v>6.1122639999999997</v>
      </c>
      <c r="S58" s="15">
        <v>6.7578430000000003</v>
      </c>
      <c r="T58" s="15">
        <v>7.5212870000000001</v>
      </c>
      <c r="U58" s="15">
        <v>8.4065849999999998</v>
      </c>
      <c r="V58" s="15">
        <v>9.3650470000000006</v>
      </c>
      <c r="W58" s="15">
        <v>10.470656999999999</v>
      </c>
      <c r="X58" s="15">
        <v>11.609406</v>
      </c>
      <c r="Y58" s="15">
        <v>12.832675999999999</v>
      </c>
      <c r="Z58" s="15">
        <v>14.179005999999999</v>
      </c>
      <c r="AA58" s="15">
        <v>15.613872000000001</v>
      </c>
      <c r="AB58" s="15">
        <v>17.131450999999998</v>
      </c>
      <c r="AC58" s="15">
        <v>18.720569999999999</v>
      </c>
      <c r="AD58" s="15">
        <v>20.528061000000001</v>
      </c>
      <c r="AE58" s="15">
        <v>22.37632</v>
      </c>
      <c r="AF58" s="15">
        <v>24.270847</v>
      </c>
      <c r="AG58" s="15">
        <v>26.195222999999999</v>
      </c>
      <c r="AH58" s="15">
        <v>27.978928</v>
      </c>
      <c r="AI58" s="15">
        <v>29.724710000000002</v>
      </c>
      <c r="AJ58" s="15">
        <v>31.575861</v>
      </c>
      <c r="AK58" s="16" t="s">
        <v>35</v>
      </c>
    </row>
    <row r="59" spans="1:37" ht="15" customHeight="1">
      <c r="A59" s="7" t="s">
        <v>72</v>
      </c>
      <c r="B59" s="13" t="s">
        <v>37</v>
      </c>
      <c r="C59" s="17" t="s">
        <v>35</v>
      </c>
      <c r="D59" s="17" t="s">
        <v>35</v>
      </c>
      <c r="E59" s="17">
        <v>4.9535619999999998</v>
      </c>
      <c r="F59" s="17">
        <v>12.64766</v>
      </c>
      <c r="G59" s="17">
        <v>43.502128999999996</v>
      </c>
      <c r="H59" s="17">
        <v>62.783436000000002</v>
      </c>
      <c r="I59" s="17">
        <v>85.674781999999993</v>
      </c>
      <c r="J59" s="17">
        <v>103.399979</v>
      </c>
      <c r="K59" s="17">
        <v>122.887314</v>
      </c>
      <c r="L59" s="17">
        <v>135.51208500000001</v>
      </c>
      <c r="M59" s="17">
        <v>150.536148</v>
      </c>
      <c r="N59" s="17">
        <v>160.950928</v>
      </c>
      <c r="O59" s="17">
        <v>173.88327000000001</v>
      </c>
      <c r="P59" s="17">
        <v>187.121399</v>
      </c>
      <c r="Q59" s="17">
        <v>203.60876500000001</v>
      </c>
      <c r="R59" s="17">
        <v>216.884781</v>
      </c>
      <c r="S59" s="17">
        <v>229.02354399999999</v>
      </c>
      <c r="T59" s="17">
        <v>247.376282</v>
      </c>
      <c r="U59" s="17">
        <v>262.08364899999998</v>
      </c>
      <c r="V59" s="17">
        <v>280.388214</v>
      </c>
      <c r="W59" s="17">
        <v>299.884186</v>
      </c>
      <c r="X59" s="17">
        <v>318.84533699999997</v>
      </c>
      <c r="Y59" s="17">
        <v>339.62063599999999</v>
      </c>
      <c r="Z59" s="17">
        <v>352.906769</v>
      </c>
      <c r="AA59" s="17">
        <v>378.47018400000002</v>
      </c>
      <c r="AB59" s="17">
        <v>389.17260700000003</v>
      </c>
      <c r="AC59" s="17">
        <v>412.809753</v>
      </c>
      <c r="AD59" s="17">
        <v>426.17587300000002</v>
      </c>
      <c r="AE59" s="17">
        <v>443.38671900000003</v>
      </c>
      <c r="AF59" s="17">
        <v>468.73275799999999</v>
      </c>
      <c r="AG59" s="17">
        <v>493.31842</v>
      </c>
      <c r="AH59" s="17">
        <v>508.86361699999998</v>
      </c>
      <c r="AI59" s="17">
        <v>531.11499000000003</v>
      </c>
      <c r="AJ59" s="17">
        <v>551.92334000000005</v>
      </c>
      <c r="AK59" s="18" t="s">
        <v>35</v>
      </c>
    </row>
    <row r="60" spans="1:37" ht="15" customHeight="1">
      <c r="A60" s="7" t="s">
        <v>73</v>
      </c>
      <c r="B60" s="13" t="s">
        <v>151</v>
      </c>
      <c r="C60" s="17" t="s">
        <v>35</v>
      </c>
      <c r="D60" s="17" t="s">
        <v>35</v>
      </c>
      <c r="E60" s="17">
        <v>29.146664000000001</v>
      </c>
      <c r="F60" s="17">
        <v>59.732857000000003</v>
      </c>
      <c r="G60" s="17">
        <v>93.248322000000002</v>
      </c>
      <c r="H60" s="17">
        <v>112.779633</v>
      </c>
      <c r="I60" s="17">
        <v>135.920975</v>
      </c>
      <c r="J60" s="17">
        <v>153.89617899999999</v>
      </c>
      <c r="K60" s="17">
        <v>173.38351399999999</v>
      </c>
      <c r="L60" s="17">
        <v>186.00827000000001</v>
      </c>
      <c r="M60" s="17">
        <v>201.03234900000001</v>
      </c>
      <c r="N60" s="17">
        <v>211.447113</v>
      </c>
      <c r="O60" s="17">
        <v>224.379456</v>
      </c>
      <c r="P60" s="17">
        <v>237.61758399999999</v>
      </c>
      <c r="Q60" s="17">
        <v>254.10495</v>
      </c>
      <c r="R60" s="17">
        <v>267.38098100000002</v>
      </c>
      <c r="S60" s="17">
        <v>279.519745</v>
      </c>
      <c r="T60" s="17">
        <v>297.87246699999997</v>
      </c>
      <c r="U60" s="17">
        <v>312.57983400000001</v>
      </c>
      <c r="V60" s="17">
        <v>330.88439899999997</v>
      </c>
      <c r="W60" s="17">
        <v>350.38037100000003</v>
      </c>
      <c r="X60" s="17">
        <v>369.341522</v>
      </c>
      <c r="Y60" s="17">
        <v>390.11682100000002</v>
      </c>
      <c r="Z60" s="17">
        <v>403.40295400000002</v>
      </c>
      <c r="AA60" s="17">
        <v>428.96636999999998</v>
      </c>
      <c r="AB60" s="17">
        <v>439.66879299999999</v>
      </c>
      <c r="AC60" s="17">
        <v>463.30593900000002</v>
      </c>
      <c r="AD60" s="17">
        <v>476.67205799999999</v>
      </c>
      <c r="AE60" s="17">
        <v>493.882904</v>
      </c>
      <c r="AF60" s="17">
        <v>519.22894299999996</v>
      </c>
      <c r="AG60" s="17">
        <v>543.81463599999995</v>
      </c>
      <c r="AH60" s="17">
        <v>559.35980199999995</v>
      </c>
      <c r="AI60" s="17">
        <v>581.61120600000004</v>
      </c>
      <c r="AJ60" s="17">
        <v>602.41955600000006</v>
      </c>
      <c r="AK60" s="18" t="s">
        <v>35</v>
      </c>
    </row>
    <row r="62" spans="1:37" ht="15" customHeight="1">
      <c r="B62" s="13" t="s">
        <v>74</v>
      </c>
    </row>
    <row r="63" spans="1:37" ht="15" customHeight="1">
      <c r="A63" s="7" t="s">
        <v>75</v>
      </c>
      <c r="B63" s="14" t="s">
        <v>40</v>
      </c>
      <c r="C63" s="15" t="s">
        <v>35</v>
      </c>
      <c r="D63" s="15" t="s">
        <v>35</v>
      </c>
      <c r="E63" s="15">
        <v>6.7482980000000001</v>
      </c>
      <c r="F63" s="15">
        <v>9.2919</v>
      </c>
      <c r="G63" s="15">
        <v>17.430095999999999</v>
      </c>
      <c r="H63" s="15">
        <v>25.719798999999998</v>
      </c>
      <c r="I63" s="15">
        <v>37.818604000000001</v>
      </c>
      <c r="J63" s="15">
        <v>50.083205999999997</v>
      </c>
      <c r="K63" s="15">
        <v>60.668694000000002</v>
      </c>
      <c r="L63" s="15">
        <v>65.969193000000004</v>
      </c>
      <c r="M63" s="15">
        <v>69.623810000000006</v>
      </c>
      <c r="N63" s="15">
        <v>71.704200999999998</v>
      </c>
      <c r="O63" s="15">
        <v>72.250197999999997</v>
      </c>
      <c r="P63" s="15">
        <v>75.162200999999996</v>
      </c>
      <c r="Q63" s="15">
        <v>77.806206000000003</v>
      </c>
      <c r="R63" s="15">
        <v>82.641220000000004</v>
      </c>
      <c r="S63" s="15">
        <v>82.641220000000004</v>
      </c>
      <c r="T63" s="15">
        <v>85.542320000000004</v>
      </c>
      <c r="U63" s="15">
        <v>85.542320000000004</v>
      </c>
      <c r="V63" s="15">
        <v>85.542320000000004</v>
      </c>
      <c r="W63" s="15">
        <v>86.706421000000006</v>
      </c>
      <c r="X63" s="15">
        <v>86.706421000000006</v>
      </c>
      <c r="Y63" s="15">
        <v>86.706421000000006</v>
      </c>
      <c r="Z63" s="15">
        <v>86.706421000000006</v>
      </c>
      <c r="AA63" s="15">
        <v>87.923416000000003</v>
      </c>
      <c r="AB63" s="15">
        <v>87.923416000000003</v>
      </c>
      <c r="AC63" s="15">
        <v>88.487419000000003</v>
      </c>
      <c r="AD63" s="15">
        <v>88.487419000000003</v>
      </c>
      <c r="AE63" s="15">
        <v>88.487419000000003</v>
      </c>
      <c r="AF63" s="15">
        <v>88.487419000000003</v>
      </c>
      <c r="AG63" s="15">
        <v>88.487419000000003</v>
      </c>
      <c r="AH63" s="15">
        <v>88.487419000000003</v>
      </c>
      <c r="AI63" s="15">
        <v>88.487419000000003</v>
      </c>
      <c r="AJ63" s="15">
        <v>88.487419000000003</v>
      </c>
      <c r="AK63" s="16" t="s">
        <v>35</v>
      </c>
    </row>
    <row r="64" spans="1:37" ht="15" customHeight="1">
      <c r="A64" s="7" t="s">
        <v>76</v>
      </c>
      <c r="B64" s="14" t="s">
        <v>42</v>
      </c>
      <c r="C64" s="15" t="s">
        <v>35</v>
      </c>
      <c r="D64" s="15" t="s">
        <v>35</v>
      </c>
      <c r="E64" s="15">
        <v>1.8480000000000001</v>
      </c>
      <c r="F64" s="15">
        <v>3.3708999999999998</v>
      </c>
      <c r="G64" s="15">
        <v>10.140300999999999</v>
      </c>
      <c r="H64" s="15">
        <v>12.286600999999999</v>
      </c>
      <c r="I64" s="15">
        <v>14.054202</v>
      </c>
      <c r="J64" s="15">
        <v>17.129802999999999</v>
      </c>
      <c r="K64" s="15">
        <v>18.587001999999998</v>
      </c>
      <c r="L64" s="15">
        <v>22.247398</v>
      </c>
      <c r="M64" s="15">
        <v>22.769401999999999</v>
      </c>
      <c r="N64" s="15">
        <v>23.568901</v>
      </c>
      <c r="O64" s="15">
        <v>25.212204</v>
      </c>
      <c r="P64" s="15">
        <v>25.212204</v>
      </c>
      <c r="Q64" s="15">
        <v>25.322205</v>
      </c>
      <c r="R64" s="15">
        <v>25.322205</v>
      </c>
      <c r="S64" s="15">
        <v>25.557200999999999</v>
      </c>
      <c r="T64" s="15">
        <v>25.637198999999999</v>
      </c>
      <c r="U64" s="15">
        <v>25.736198000000002</v>
      </c>
      <c r="V64" s="15">
        <v>26.036200999999998</v>
      </c>
      <c r="W64" s="15">
        <v>26.036200999999998</v>
      </c>
      <c r="X64" s="15">
        <v>26.258202000000001</v>
      </c>
      <c r="Y64" s="15">
        <v>26.258202000000001</v>
      </c>
      <c r="Z64" s="15">
        <v>26.258202000000001</v>
      </c>
      <c r="AA64" s="15">
        <v>26.480201999999998</v>
      </c>
      <c r="AB64" s="15">
        <v>26.877200999999999</v>
      </c>
      <c r="AC64" s="15">
        <v>26.877200999999999</v>
      </c>
      <c r="AD64" s="15">
        <v>26.877200999999999</v>
      </c>
      <c r="AE64" s="15">
        <v>27.003201000000001</v>
      </c>
      <c r="AF64" s="15">
        <v>27.003201000000001</v>
      </c>
      <c r="AG64" s="15">
        <v>27.003201000000001</v>
      </c>
      <c r="AH64" s="15">
        <v>27.003201000000001</v>
      </c>
      <c r="AI64" s="15">
        <v>27.003201000000001</v>
      </c>
      <c r="AJ64" s="15">
        <v>27.003201000000001</v>
      </c>
      <c r="AK64" s="16" t="s">
        <v>35</v>
      </c>
    </row>
    <row r="65" spans="1:37" ht="15" customHeight="1">
      <c r="A65" s="7" t="s">
        <v>77</v>
      </c>
      <c r="B65" s="14" t="s">
        <v>20</v>
      </c>
      <c r="C65" s="15" t="s">
        <v>35</v>
      </c>
      <c r="D65" s="15" t="s">
        <v>35</v>
      </c>
      <c r="E65" s="15">
        <v>0.05</v>
      </c>
      <c r="F65" s="15">
        <v>0.05</v>
      </c>
      <c r="G65" s="15">
        <v>1.056</v>
      </c>
      <c r="H65" s="15">
        <v>2.6177999999999999</v>
      </c>
      <c r="I65" s="15">
        <v>3.5823369999999999</v>
      </c>
      <c r="J65" s="15">
        <v>4.3242039999999999</v>
      </c>
      <c r="K65" s="15">
        <v>5.0061030000000004</v>
      </c>
      <c r="L65" s="15">
        <v>5.097003</v>
      </c>
      <c r="M65" s="15">
        <v>5.5030039999999998</v>
      </c>
      <c r="N65" s="15">
        <v>5.5083039999999999</v>
      </c>
      <c r="O65" s="15">
        <v>5.5083039999999999</v>
      </c>
      <c r="P65" s="15">
        <v>5.7343039999999998</v>
      </c>
      <c r="Q65" s="15">
        <v>6.0050039999999996</v>
      </c>
      <c r="R65" s="15">
        <v>6.5150040000000002</v>
      </c>
      <c r="S65" s="15">
        <v>6.5200040000000001</v>
      </c>
      <c r="T65" s="15">
        <v>6.8890039999999999</v>
      </c>
      <c r="U65" s="15">
        <v>8.1576039999999992</v>
      </c>
      <c r="V65" s="15">
        <v>8.3564030000000002</v>
      </c>
      <c r="W65" s="15">
        <v>8.3564030000000002</v>
      </c>
      <c r="X65" s="15">
        <v>9.4858039999999999</v>
      </c>
      <c r="Y65" s="15">
        <v>9.7318040000000003</v>
      </c>
      <c r="Z65" s="15">
        <v>9.7318040000000003</v>
      </c>
      <c r="AA65" s="15">
        <v>9.7318040000000003</v>
      </c>
      <c r="AB65" s="15">
        <v>10.233803999999999</v>
      </c>
      <c r="AC65" s="15">
        <v>11.961804000000001</v>
      </c>
      <c r="AD65" s="15">
        <v>11.961804000000001</v>
      </c>
      <c r="AE65" s="15">
        <v>12.277805000000001</v>
      </c>
      <c r="AF65" s="15">
        <v>12.738806</v>
      </c>
      <c r="AG65" s="15">
        <v>13.423705</v>
      </c>
      <c r="AH65" s="15">
        <v>13.423705</v>
      </c>
      <c r="AI65" s="15">
        <v>13.423705</v>
      </c>
      <c r="AJ65" s="15">
        <v>13.426905</v>
      </c>
      <c r="AK65" s="16" t="s">
        <v>35</v>
      </c>
    </row>
    <row r="66" spans="1:37" ht="15" customHeight="1">
      <c r="A66" s="7" t="s">
        <v>78</v>
      </c>
      <c r="B66" s="14" t="s">
        <v>22</v>
      </c>
      <c r="C66" s="15" t="s">
        <v>35</v>
      </c>
      <c r="D66" s="15" t="s">
        <v>35</v>
      </c>
      <c r="E66" s="15">
        <v>0.24590000000000001</v>
      </c>
      <c r="F66" s="15">
        <v>0.31850000000000001</v>
      </c>
      <c r="G66" s="15">
        <v>1.6755</v>
      </c>
      <c r="H66" s="15">
        <v>1.7495000000000001</v>
      </c>
      <c r="I66" s="15">
        <v>2.7568000000000001</v>
      </c>
      <c r="J66" s="15">
        <v>3.0318000000000001</v>
      </c>
      <c r="K66" s="15">
        <v>3.2770999999999999</v>
      </c>
      <c r="L66" s="15">
        <v>4.1784999999999997</v>
      </c>
      <c r="M66" s="15">
        <v>4.3424990000000001</v>
      </c>
      <c r="N66" s="15">
        <v>4.9180000000000001</v>
      </c>
      <c r="O66" s="15">
        <v>5.7674989999999999</v>
      </c>
      <c r="P66" s="15">
        <v>5.7962990000000003</v>
      </c>
      <c r="Q66" s="15">
        <v>6.0537000000000001</v>
      </c>
      <c r="R66" s="15">
        <v>6.0537000000000001</v>
      </c>
      <c r="S66" s="15">
        <v>6.0537000000000001</v>
      </c>
      <c r="T66" s="15">
        <v>6.0537000000000001</v>
      </c>
      <c r="U66" s="15">
        <v>6.0537000000000001</v>
      </c>
      <c r="V66" s="15">
        <v>6.1223999999999998</v>
      </c>
      <c r="W66" s="15">
        <v>6.1223999999999998</v>
      </c>
      <c r="X66" s="15">
        <v>6.4173999999999998</v>
      </c>
      <c r="Y66" s="15">
        <v>6.4173999999999998</v>
      </c>
      <c r="Z66" s="15">
        <v>6.5206999999999997</v>
      </c>
      <c r="AA66" s="15">
        <v>7.7777010000000004</v>
      </c>
      <c r="AB66" s="15">
        <v>7.8097000000000003</v>
      </c>
      <c r="AC66" s="15">
        <v>7.9137009999999997</v>
      </c>
      <c r="AD66" s="15">
        <v>7.9137009999999997</v>
      </c>
      <c r="AE66" s="15">
        <v>8.0040010000000006</v>
      </c>
      <c r="AF66" s="15">
        <v>8.1185010000000002</v>
      </c>
      <c r="AG66" s="15">
        <v>8.1185010000000002</v>
      </c>
      <c r="AH66" s="15">
        <v>8.1185010000000002</v>
      </c>
      <c r="AI66" s="15">
        <v>8.1185010000000002</v>
      </c>
      <c r="AJ66" s="15">
        <v>8.1185010000000002</v>
      </c>
      <c r="AK66" s="16" t="s">
        <v>35</v>
      </c>
    </row>
    <row r="67" spans="1:37" ht="15" customHeight="1">
      <c r="A67" s="7" t="s">
        <v>79</v>
      </c>
      <c r="B67" s="14" t="s">
        <v>53</v>
      </c>
      <c r="C67" s="15" t="s">
        <v>35</v>
      </c>
      <c r="D67" s="15" t="s">
        <v>35</v>
      </c>
      <c r="E67" s="15">
        <v>1.48</v>
      </c>
      <c r="F67" s="15">
        <v>3.3744000000000001</v>
      </c>
      <c r="G67" s="15">
        <v>8.8351000000000006</v>
      </c>
      <c r="H67" s="15">
        <v>12.395902</v>
      </c>
      <c r="I67" s="15">
        <v>15.7784</v>
      </c>
      <c r="J67" s="15">
        <v>15.7784</v>
      </c>
      <c r="K67" s="15">
        <v>19.001802000000001</v>
      </c>
      <c r="L67" s="15">
        <v>20.119802</v>
      </c>
      <c r="M67" s="15">
        <v>20.119802</v>
      </c>
      <c r="N67" s="15">
        <v>20.119802</v>
      </c>
      <c r="O67" s="15">
        <v>20.119802</v>
      </c>
      <c r="P67" s="15">
        <v>20.119802</v>
      </c>
      <c r="Q67" s="15">
        <v>20.119802</v>
      </c>
      <c r="R67" s="15">
        <v>21.552800999999999</v>
      </c>
      <c r="S67" s="15">
        <v>21.552800999999999</v>
      </c>
      <c r="T67" s="15">
        <v>21.552800999999999</v>
      </c>
      <c r="U67" s="15">
        <v>21.552800999999999</v>
      </c>
      <c r="V67" s="15">
        <v>21.552800999999999</v>
      </c>
      <c r="W67" s="15">
        <v>21.552800999999999</v>
      </c>
      <c r="X67" s="15">
        <v>21.552800999999999</v>
      </c>
      <c r="Y67" s="15">
        <v>21.552800999999999</v>
      </c>
      <c r="Z67" s="15">
        <v>21.552800999999999</v>
      </c>
      <c r="AA67" s="15">
        <v>21.552800999999999</v>
      </c>
      <c r="AB67" s="15">
        <v>21.552800999999999</v>
      </c>
      <c r="AC67" s="15">
        <v>21.552800999999999</v>
      </c>
      <c r="AD67" s="15">
        <v>21.552800999999999</v>
      </c>
      <c r="AE67" s="15">
        <v>21.552800999999999</v>
      </c>
      <c r="AF67" s="15">
        <v>21.552800999999999</v>
      </c>
      <c r="AG67" s="15">
        <v>21.552800999999999</v>
      </c>
      <c r="AH67" s="15">
        <v>21.552800999999999</v>
      </c>
      <c r="AI67" s="15">
        <v>21.552800999999999</v>
      </c>
      <c r="AJ67" s="15">
        <v>21.552800999999999</v>
      </c>
      <c r="AK67" s="16" t="s">
        <v>35</v>
      </c>
    </row>
    <row r="68" spans="1:37" ht="15" customHeight="1">
      <c r="A68" s="7" t="s">
        <v>80</v>
      </c>
      <c r="B68" s="14" t="s">
        <v>26</v>
      </c>
      <c r="C68" s="15" t="s">
        <v>35</v>
      </c>
      <c r="D68" s="15" t="s">
        <v>35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6" t="s">
        <v>35</v>
      </c>
    </row>
    <row r="69" spans="1:37" ht="15" customHeight="1">
      <c r="A69" s="7" t="s">
        <v>81</v>
      </c>
      <c r="B69" s="14" t="s">
        <v>28</v>
      </c>
      <c r="C69" s="15" t="s">
        <v>35</v>
      </c>
      <c r="D69" s="15" t="s">
        <v>35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6" t="s">
        <v>35</v>
      </c>
    </row>
    <row r="70" spans="1:37" ht="15" customHeight="1">
      <c r="A70" s="7" t="s">
        <v>82</v>
      </c>
      <c r="B70" s="14" t="s">
        <v>30</v>
      </c>
      <c r="C70" s="15" t="s">
        <v>35</v>
      </c>
      <c r="D70" s="15" t="s">
        <v>35</v>
      </c>
      <c r="E70" s="15">
        <v>0</v>
      </c>
      <c r="F70" s="15">
        <v>1.1000000000000001E-3</v>
      </c>
      <c r="G70" s="15">
        <v>1.1000000000000001E-3</v>
      </c>
      <c r="H70" s="15">
        <v>1.1000000000000001E-3</v>
      </c>
      <c r="I70" s="15">
        <v>1.1000000000000001E-3</v>
      </c>
      <c r="J70" s="15">
        <v>1.1000000000000001E-3</v>
      </c>
      <c r="K70" s="15">
        <v>1.1000000000000001E-3</v>
      </c>
      <c r="L70" s="15">
        <v>1.1000000000000001E-3</v>
      </c>
      <c r="M70" s="15">
        <v>1.1000000000000001E-3</v>
      </c>
      <c r="N70" s="15">
        <v>1.1000000000000001E-3</v>
      </c>
      <c r="O70" s="15">
        <v>1.1000000000000001E-3</v>
      </c>
      <c r="P70" s="15">
        <v>1.1000000000000001E-3</v>
      </c>
      <c r="Q70" s="15">
        <v>1.1000000000000001E-3</v>
      </c>
      <c r="R70" s="15">
        <v>1.1000000000000001E-3</v>
      </c>
      <c r="S70" s="15">
        <v>1.1000000000000001E-3</v>
      </c>
      <c r="T70" s="15">
        <v>1.1000000000000001E-3</v>
      </c>
      <c r="U70" s="15">
        <v>1.1000000000000001E-3</v>
      </c>
      <c r="V70" s="15">
        <v>1.1000000000000001E-3</v>
      </c>
      <c r="W70" s="15">
        <v>1.1000000000000001E-3</v>
      </c>
      <c r="X70" s="15">
        <v>1.1000000000000001E-3</v>
      </c>
      <c r="Y70" s="15">
        <v>1.1000000000000001E-3</v>
      </c>
      <c r="Z70" s="15">
        <v>1.1000000000000001E-3</v>
      </c>
      <c r="AA70" s="15">
        <v>1.1000000000000001E-3</v>
      </c>
      <c r="AB70" s="15">
        <v>1.1000000000000001E-3</v>
      </c>
      <c r="AC70" s="15">
        <v>1.1000000000000001E-3</v>
      </c>
      <c r="AD70" s="15">
        <v>1.1000000000000001E-3</v>
      </c>
      <c r="AE70" s="15">
        <v>1.1000000000000001E-3</v>
      </c>
      <c r="AF70" s="15">
        <v>1.1000000000000001E-3</v>
      </c>
      <c r="AG70" s="15">
        <v>1.1000000000000001E-3</v>
      </c>
      <c r="AH70" s="15">
        <v>1.1000000000000001E-3</v>
      </c>
      <c r="AI70" s="15">
        <v>1.1000000000000001E-3</v>
      </c>
      <c r="AJ70" s="15">
        <v>1.1000000000000001E-3</v>
      </c>
      <c r="AK70" s="16" t="s">
        <v>35</v>
      </c>
    </row>
    <row r="71" spans="1:37" ht="15" customHeight="1">
      <c r="A71" s="7" t="s">
        <v>83</v>
      </c>
      <c r="B71" s="14" t="s">
        <v>32</v>
      </c>
      <c r="C71" s="15" t="s">
        <v>35</v>
      </c>
      <c r="D71" s="15" t="s">
        <v>35</v>
      </c>
      <c r="E71" s="15">
        <v>1.2200000000000001E-2</v>
      </c>
      <c r="F71" s="15">
        <v>1.32E-2</v>
      </c>
      <c r="G71" s="15">
        <v>1.4E-2</v>
      </c>
      <c r="H71" s="15">
        <v>3.39E-2</v>
      </c>
      <c r="I71" s="15">
        <v>4.0399999999999998E-2</v>
      </c>
      <c r="J71" s="15">
        <v>5.6399999999999999E-2</v>
      </c>
      <c r="K71" s="15">
        <v>5.8900000000000001E-2</v>
      </c>
      <c r="L71" s="15">
        <v>6.0900000000000003E-2</v>
      </c>
      <c r="M71" s="15">
        <v>6.0900000000000003E-2</v>
      </c>
      <c r="N71" s="15">
        <v>6.0900000000000003E-2</v>
      </c>
      <c r="O71" s="15">
        <v>0.13589999999999999</v>
      </c>
      <c r="P71" s="15">
        <v>0.13589999999999999</v>
      </c>
      <c r="Q71" s="15">
        <v>0.13589999999999999</v>
      </c>
      <c r="R71" s="15">
        <v>0.13589999999999999</v>
      </c>
      <c r="S71" s="15">
        <v>0.13589999999999999</v>
      </c>
      <c r="T71" s="15">
        <v>0.13589999999999999</v>
      </c>
      <c r="U71" s="15">
        <v>0.13589999999999999</v>
      </c>
      <c r="V71" s="15">
        <v>0.13589999999999999</v>
      </c>
      <c r="W71" s="15">
        <v>0.13589999999999999</v>
      </c>
      <c r="X71" s="15">
        <v>0.13589999999999999</v>
      </c>
      <c r="Y71" s="15">
        <v>0.13589999999999999</v>
      </c>
      <c r="Z71" s="15">
        <v>0.13589999999999999</v>
      </c>
      <c r="AA71" s="15">
        <v>0.13589999999999999</v>
      </c>
      <c r="AB71" s="15">
        <v>0.13589999999999999</v>
      </c>
      <c r="AC71" s="15">
        <v>0.13589999999999999</v>
      </c>
      <c r="AD71" s="15">
        <v>0.13589999999999999</v>
      </c>
      <c r="AE71" s="15">
        <v>0.13589999999999999</v>
      </c>
      <c r="AF71" s="15">
        <v>0.13589999999999999</v>
      </c>
      <c r="AG71" s="15">
        <v>0.1789</v>
      </c>
      <c r="AH71" s="15">
        <v>0.1789</v>
      </c>
      <c r="AI71" s="15">
        <v>0.1789</v>
      </c>
      <c r="AJ71" s="15">
        <v>0.1789</v>
      </c>
      <c r="AK71" s="16" t="s">
        <v>35</v>
      </c>
    </row>
    <row r="72" spans="1:37" ht="15" customHeight="1">
      <c r="A72" s="7" t="s">
        <v>84</v>
      </c>
      <c r="B72" s="13" t="s">
        <v>37</v>
      </c>
      <c r="C72" s="17" t="s">
        <v>35</v>
      </c>
      <c r="D72" s="17" t="s">
        <v>35</v>
      </c>
      <c r="E72" s="17">
        <v>10.384415000000001</v>
      </c>
      <c r="F72" s="17">
        <v>16.420014999999999</v>
      </c>
      <c r="G72" s="17">
        <v>39.152099999999997</v>
      </c>
      <c r="H72" s="17">
        <v>54.804588000000003</v>
      </c>
      <c r="I72" s="17">
        <v>74.031859999999995</v>
      </c>
      <c r="J72" s="17">
        <v>90.405929999999998</v>
      </c>
      <c r="K72" s="17">
        <v>106.601715</v>
      </c>
      <c r="L72" s="17">
        <v>117.67491099999999</v>
      </c>
      <c r="M72" s="17">
        <v>122.421509</v>
      </c>
      <c r="N72" s="17">
        <v>125.882217</v>
      </c>
      <c r="O72" s="17">
        <v>128.99601699999999</v>
      </c>
      <c r="P72" s="17">
        <v>132.16282699999999</v>
      </c>
      <c r="Q72" s="17">
        <v>135.444931</v>
      </c>
      <c r="R72" s="17">
        <v>142.222916</v>
      </c>
      <c r="S72" s="17">
        <v>142.462906</v>
      </c>
      <c r="T72" s="17">
        <v>145.81303399999999</v>
      </c>
      <c r="U72" s="17">
        <v>147.180634</v>
      </c>
      <c r="V72" s="17">
        <v>147.748108</v>
      </c>
      <c r="W72" s="17">
        <v>148.912216</v>
      </c>
      <c r="X72" s="17">
        <v>150.55860899999999</v>
      </c>
      <c r="Y72" s="17">
        <v>150.80461099999999</v>
      </c>
      <c r="Z72" s="17">
        <v>150.90791300000001</v>
      </c>
      <c r="AA72" s="17">
        <v>153.60389699999999</v>
      </c>
      <c r="AB72" s="17">
        <v>154.53488200000001</v>
      </c>
      <c r="AC72" s="17">
        <v>156.93087800000001</v>
      </c>
      <c r="AD72" s="17">
        <v>156.93087800000001</v>
      </c>
      <c r="AE72" s="17">
        <v>157.46319600000001</v>
      </c>
      <c r="AF72" s="17">
        <v>158.03869599999999</v>
      </c>
      <c r="AG72" s="17">
        <v>158.76660200000001</v>
      </c>
      <c r="AH72" s="17">
        <v>158.76660200000001</v>
      </c>
      <c r="AI72" s="17">
        <v>158.76660200000001</v>
      </c>
      <c r="AJ72" s="17">
        <v>158.76980599999999</v>
      </c>
      <c r="AK72" s="18" t="s">
        <v>35</v>
      </c>
    </row>
    <row r="74" spans="1:37" ht="15" customHeight="1">
      <c r="A74" s="7" t="s">
        <v>85</v>
      </c>
      <c r="B74" s="13" t="s">
        <v>86</v>
      </c>
      <c r="C74" s="17">
        <v>1043.869751</v>
      </c>
      <c r="D74" s="17">
        <v>1059.4221190000001</v>
      </c>
      <c r="E74" s="17">
        <v>1078.6495359999999</v>
      </c>
      <c r="F74" s="17">
        <v>1103.2001949999999</v>
      </c>
      <c r="G74" s="17">
        <v>1113.9835210000001</v>
      </c>
      <c r="H74" s="17">
        <v>1117.8623050000001</v>
      </c>
      <c r="I74" s="17">
        <v>1121.7763669999999</v>
      </c>
      <c r="J74" s="17">
        <v>1123.3773189999999</v>
      </c>
      <c r="K74" s="17">
        <v>1126.668823</v>
      </c>
      <c r="L74" s="17">
        <v>1128.220337</v>
      </c>
      <c r="M74" s="17">
        <v>1138.497803</v>
      </c>
      <c r="N74" s="17">
        <v>1145.451904</v>
      </c>
      <c r="O74" s="17">
        <v>1155.2955320000001</v>
      </c>
      <c r="P74" s="17">
        <v>1165.41687</v>
      </c>
      <c r="Q74" s="17">
        <v>1178.6972659999999</v>
      </c>
      <c r="R74" s="17">
        <v>1185.2954099999999</v>
      </c>
      <c r="S74" s="17">
        <v>1197.319336</v>
      </c>
      <c r="T74" s="17">
        <v>1212.4470209999999</v>
      </c>
      <c r="U74" s="17">
        <v>1225.911865</v>
      </c>
      <c r="V74" s="17">
        <v>1243.7741699999999</v>
      </c>
      <c r="W74" s="17">
        <v>1262.2312010000001</v>
      </c>
      <c r="X74" s="17">
        <v>1279.6710210000001</v>
      </c>
      <c r="Y74" s="17">
        <v>1300.325439</v>
      </c>
      <c r="Z74" s="17">
        <v>1313.6335449999999</v>
      </c>
      <c r="AA74" s="17">
        <v>1336.6259769999999</v>
      </c>
      <c r="AB74" s="17">
        <v>1346.522461</v>
      </c>
      <c r="AC74" s="17">
        <v>1367.8889160000001</v>
      </c>
      <c r="AD74" s="17">
        <v>1381.380005</v>
      </c>
      <c r="AE74" s="17">
        <v>1398.183716</v>
      </c>
      <c r="AF74" s="17">
        <v>1423.0794679999999</v>
      </c>
      <c r="AG74" s="17">
        <v>1447.0623780000001</v>
      </c>
      <c r="AH74" s="17">
        <v>1462.7326660000001</v>
      </c>
      <c r="AI74" s="17">
        <v>1485.109009</v>
      </c>
      <c r="AJ74" s="17">
        <v>1506.0395510000001</v>
      </c>
      <c r="AK74" s="18">
        <v>1.1053E-2</v>
      </c>
    </row>
    <row r="76" spans="1:37" ht="15" customHeight="1">
      <c r="B76" s="13" t="s">
        <v>87</v>
      </c>
    </row>
    <row r="77" spans="1:37" ht="15" customHeight="1">
      <c r="A77" s="7" t="s">
        <v>88</v>
      </c>
      <c r="B77" s="14" t="s">
        <v>40</v>
      </c>
      <c r="C77" s="15">
        <v>2.8090700000000002</v>
      </c>
      <c r="D77" s="15">
        <v>2.8294220000000001</v>
      </c>
      <c r="E77" s="15">
        <v>2.8143950000000002</v>
      </c>
      <c r="F77" s="15">
        <v>2.751887</v>
      </c>
      <c r="G77" s="15">
        <v>2.707497</v>
      </c>
      <c r="H77" s="15">
        <v>2.6968350000000001</v>
      </c>
      <c r="I77" s="15">
        <v>2.6748280000000002</v>
      </c>
      <c r="J77" s="15">
        <v>2.6577280000000001</v>
      </c>
      <c r="K77" s="15">
        <v>2.6425589999999999</v>
      </c>
      <c r="L77" s="15">
        <v>2.6240389999999998</v>
      </c>
      <c r="M77" s="15">
        <v>2.598665</v>
      </c>
      <c r="N77" s="15">
        <v>2.5801460000000001</v>
      </c>
      <c r="O77" s="15">
        <v>2.5564249999999999</v>
      </c>
      <c r="P77" s="15">
        <v>2.534081</v>
      </c>
      <c r="Q77" s="15">
        <v>2.5127160000000002</v>
      </c>
      <c r="R77" s="15">
        <v>2.4900669999999998</v>
      </c>
      <c r="S77" s="15">
        <v>2.470507</v>
      </c>
      <c r="T77" s="15">
        <v>2.4516689999999999</v>
      </c>
      <c r="U77" s="15">
        <v>2.4322560000000002</v>
      </c>
      <c r="V77" s="15">
        <v>2.4122409999999999</v>
      </c>
      <c r="W77" s="15">
        <v>2.3954650000000002</v>
      </c>
      <c r="X77" s="15">
        <v>2.3756080000000002</v>
      </c>
      <c r="Y77" s="15">
        <v>2.3538420000000002</v>
      </c>
      <c r="Z77" s="15">
        <v>2.3294329999999999</v>
      </c>
      <c r="AA77" s="15">
        <v>2.306187</v>
      </c>
      <c r="AB77" s="15">
        <v>2.2809900000000001</v>
      </c>
      <c r="AC77" s="15">
        <v>2.2574730000000001</v>
      </c>
      <c r="AD77" s="15">
        <v>2.2334480000000001</v>
      </c>
      <c r="AE77" s="15">
        <v>2.211741</v>
      </c>
      <c r="AF77" s="15">
        <v>2.1874859999999998</v>
      </c>
      <c r="AG77" s="15">
        <v>2.1649419999999999</v>
      </c>
      <c r="AH77" s="15">
        <v>2.1414520000000001</v>
      </c>
      <c r="AI77" s="15">
        <v>2.1181480000000001</v>
      </c>
      <c r="AJ77" s="15">
        <v>2.09388</v>
      </c>
      <c r="AK77" s="16">
        <v>-9.3640000000000008E-3</v>
      </c>
    </row>
    <row r="78" spans="1:37" ht="15" customHeight="1">
      <c r="A78" s="7" t="s">
        <v>89</v>
      </c>
      <c r="B78" s="14" t="s">
        <v>90</v>
      </c>
      <c r="C78" s="15">
        <v>0.60187599999999997</v>
      </c>
      <c r="D78" s="15">
        <v>0.56111200000000006</v>
      </c>
      <c r="E78" s="15">
        <v>0.56123999999999996</v>
      </c>
      <c r="F78" s="15">
        <v>0.51933600000000002</v>
      </c>
      <c r="G78" s="15">
        <v>0.51947699999999997</v>
      </c>
      <c r="H78" s="15">
        <v>0.51967099999999999</v>
      </c>
      <c r="I78" s="15">
        <v>0.519872</v>
      </c>
      <c r="J78" s="15">
        <v>0.52008299999999996</v>
      </c>
      <c r="K78" s="15">
        <v>0.52029099999999995</v>
      </c>
      <c r="L78" s="15">
        <v>0.52048300000000003</v>
      </c>
      <c r="M78" s="15">
        <v>0.52058700000000002</v>
      </c>
      <c r="N78" s="15">
        <v>0.520729</v>
      </c>
      <c r="O78" s="15">
        <v>0.52080000000000004</v>
      </c>
      <c r="P78" s="15">
        <v>0.52084299999999994</v>
      </c>
      <c r="Q78" s="15">
        <v>0.52089399999999997</v>
      </c>
      <c r="R78" s="15">
        <v>0.52093900000000004</v>
      </c>
      <c r="S78" s="15">
        <v>0.52103500000000003</v>
      </c>
      <c r="T78" s="15">
        <v>0.52115</v>
      </c>
      <c r="U78" s="15">
        <v>0.52129199999999998</v>
      </c>
      <c r="V78" s="15">
        <v>0.52144800000000002</v>
      </c>
      <c r="W78" s="15">
        <v>0.52163199999999998</v>
      </c>
      <c r="X78" s="15">
        <v>0.52182600000000001</v>
      </c>
      <c r="Y78" s="15">
        <v>0.52202499999999996</v>
      </c>
      <c r="Z78" s="15">
        <v>0.52221499999999998</v>
      </c>
      <c r="AA78" s="15">
        <v>0.52242299999999997</v>
      </c>
      <c r="AB78" s="15">
        <v>0.52264299999999997</v>
      </c>
      <c r="AC78" s="15">
        <v>0.52292799999999995</v>
      </c>
      <c r="AD78" s="15">
        <v>0.52324599999999999</v>
      </c>
      <c r="AE78" s="15">
        <v>0.52360799999999996</v>
      </c>
      <c r="AF78" s="15">
        <v>0.52398</v>
      </c>
      <c r="AG78" s="15">
        <v>0.52438200000000001</v>
      </c>
      <c r="AH78" s="15">
        <v>0.52479299999999995</v>
      </c>
      <c r="AI78" s="15">
        <v>0.52522100000000005</v>
      </c>
      <c r="AJ78" s="15">
        <v>0.52563800000000005</v>
      </c>
      <c r="AK78" s="16">
        <v>-2.039E-3</v>
      </c>
    </row>
    <row r="79" spans="1:37" ht="15" customHeight="1">
      <c r="A79" s="7" t="s">
        <v>91</v>
      </c>
      <c r="B79" s="14" t="s">
        <v>92</v>
      </c>
      <c r="C79" s="15">
        <v>16.550146000000002</v>
      </c>
      <c r="D79" s="15">
        <v>17.000043999999999</v>
      </c>
      <c r="E79" s="15">
        <v>17.661366999999998</v>
      </c>
      <c r="F79" s="15">
        <v>18.192609999999998</v>
      </c>
      <c r="G79" s="15">
        <v>18.523696999999999</v>
      </c>
      <c r="H79" s="15">
        <v>18.881478999999999</v>
      </c>
      <c r="I79" s="15">
        <v>19.254021000000002</v>
      </c>
      <c r="J79" s="15">
        <v>19.649028999999999</v>
      </c>
      <c r="K79" s="15">
        <v>20.075354000000001</v>
      </c>
      <c r="L79" s="15">
        <v>20.530176000000001</v>
      </c>
      <c r="M79" s="15">
        <v>21.008945000000001</v>
      </c>
      <c r="N79" s="15">
        <v>21.517927</v>
      </c>
      <c r="O79" s="15">
        <v>21.898712</v>
      </c>
      <c r="P79" s="15">
        <v>22.411719999999999</v>
      </c>
      <c r="Q79" s="15">
        <v>22.894997</v>
      </c>
      <c r="R79" s="15">
        <v>23.430418</v>
      </c>
      <c r="S79" s="15">
        <v>23.968340000000001</v>
      </c>
      <c r="T79" s="15">
        <v>24.586416</v>
      </c>
      <c r="U79" s="15">
        <v>25.184086000000001</v>
      </c>
      <c r="V79" s="15">
        <v>25.818956</v>
      </c>
      <c r="W79" s="15">
        <v>26.457961999999998</v>
      </c>
      <c r="X79" s="15">
        <v>27.134406999999999</v>
      </c>
      <c r="Y79" s="15">
        <v>27.822490999999999</v>
      </c>
      <c r="Z79" s="15">
        <v>28.548615999999999</v>
      </c>
      <c r="AA79" s="15">
        <v>29.307970000000001</v>
      </c>
      <c r="AB79" s="15">
        <v>30.064495000000001</v>
      </c>
      <c r="AC79" s="15">
        <v>30.895098000000001</v>
      </c>
      <c r="AD79" s="15">
        <v>31.764026999999999</v>
      </c>
      <c r="AE79" s="15">
        <v>32.729435000000002</v>
      </c>
      <c r="AF79" s="15">
        <v>33.678168999999997</v>
      </c>
      <c r="AG79" s="15">
        <v>34.662864999999996</v>
      </c>
      <c r="AH79" s="15">
        <v>35.675156000000001</v>
      </c>
      <c r="AI79" s="15">
        <v>36.704326999999999</v>
      </c>
      <c r="AJ79" s="15">
        <v>37.760554999999997</v>
      </c>
      <c r="AK79" s="16">
        <v>2.5253000000000001E-2</v>
      </c>
    </row>
    <row r="80" spans="1:37" ht="15" customHeight="1">
      <c r="A80" s="7" t="s">
        <v>93</v>
      </c>
      <c r="B80" s="14" t="s">
        <v>94</v>
      </c>
      <c r="C80" s="15">
        <v>2.86477</v>
      </c>
      <c r="D80" s="15">
        <v>3.0662500000000001</v>
      </c>
      <c r="E80" s="15">
        <v>3.09165</v>
      </c>
      <c r="F80" s="15">
        <v>3.0005730000000002</v>
      </c>
      <c r="G80" s="15">
        <v>3.0005730000000002</v>
      </c>
      <c r="H80" s="15">
        <v>3.0005730000000002</v>
      </c>
      <c r="I80" s="15">
        <v>3.0005730000000002</v>
      </c>
      <c r="J80" s="15">
        <v>3.0005730000000002</v>
      </c>
      <c r="K80" s="15">
        <v>3.0005730000000002</v>
      </c>
      <c r="L80" s="15">
        <v>3.0005730000000002</v>
      </c>
      <c r="M80" s="15">
        <v>3.0005730000000002</v>
      </c>
      <c r="N80" s="15">
        <v>3.0005730000000002</v>
      </c>
      <c r="O80" s="15">
        <v>2.9544329999999999</v>
      </c>
      <c r="P80" s="15">
        <v>2.962799</v>
      </c>
      <c r="Q80" s="15">
        <v>2.9472360000000002</v>
      </c>
      <c r="R80" s="15">
        <v>2.9446539999999999</v>
      </c>
      <c r="S80" s="15">
        <v>2.9323169999999998</v>
      </c>
      <c r="T80" s="15">
        <v>2.9502259999999998</v>
      </c>
      <c r="U80" s="15">
        <v>2.9470580000000002</v>
      </c>
      <c r="V80" s="15">
        <v>2.9477370000000001</v>
      </c>
      <c r="W80" s="15">
        <v>2.9376530000000001</v>
      </c>
      <c r="X80" s="15">
        <v>2.9355069999999999</v>
      </c>
      <c r="Y80" s="15">
        <v>2.9302250000000001</v>
      </c>
      <c r="Z80" s="15">
        <v>2.9397099999999998</v>
      </c>
      <c r="AA80" s="15">
        <v>2.9456639999999998</v>
      </c>
      <c r="AB80" s="15">
        <v>2.933996</v>
      </c>
      <c r="AC80" s="15">
        <v>2.93988</v>
      </c>
      <c r="AD80" s="15">
        <v>2.945551</v>
      </c>
      <c r="AE80" s="15">
        <v>2.976127</v>
      </c>
      <c r="AF80" s="15">
        <v>2.9741689999999998</v>
      </c>
      <c r="AG80" s="15">
        <v>2.9789479999999999</v>
      </c>
      <c r="AH80" s="15">
        <v>2.9858669999999998</v>
      </c>
      <c r="AI80" s="15">
        <v>2.9908999999999999</v>
      </c>
      <c r="AJ80" s="15">
        <v>2.9975239999999999</v>
      </c>
      <c r="AK80" s="16">
        <v>-7.0799999999999997E-4</v>
      </c>
    </row>
    <row r="81" spans="1:37" ht="15" customHeight="1">
      <c r="A81" s="7" t="s">
        <v>95</v>
      </c>
      <c r="B81" s="14" t="s">
        <v>32</v>
      </c>
      <c r="C81" s="15">
        <v>25.920618000000001</v>
      </c>
      <c r="D81" s="15">
        <v>29.844747999999999</v>
      </c>
      <c r="E81" s="15">
        <v>34.453121000000003</v>
      </c>
      <c r="F81" s="15">
        <v>39.500785999999998</v>
      </c>
      <c r="G81" s="15">
        <v>44.149078000000003</v>
      </c>
      <c r="H81" s="15">
        <v>48.499355000000001</v>
      </c>
      <c r="I81" s="15">
        <v>52.524948000000002</v>
      </c>
      <c r="J81" s="15">
        <v>56.023991000000002</v>
      </c>
      <c r="K81" s="15">
        <v>58.900844999999997</v>
      </c>
      <c r="L81" s="15">
        <v>61.974850000000004</v>
      </c>
      <c r="M81" s="15">
        <v>65.193916000000002</v>
      </c>
      <c r="N81" s="15">
        <v>68.619681999999997</v>
      </c>
      <c r="O81" s="15">
        <v>72.239288000000002</v>
      </c>
      <c r="P81" s="15">
        <v>76.013641000000007</v>
      </c>
      <c r="Q81" s="15">
        <v>79.974632</v>
      </c>
      <c r="R81" s="15">
        <v>84.122489999999999</v>
      </c>
      <c r="S81" s="15">
        <v>88.472649000000004</v>
      </c>
      <c r="T81" s="15">
        <v>93.023323000000005</v>
      </c>
      <c r="U81" s="15">
        <v>97.770972999999998</v>
      </c>
      <c r="V81" s="15">
        <v>102.772758</v>
      </c>
      <c r="W81" s="15">
        <v>108.000626</v>
      </c>
      <c r="X81" s="15">
        <v>113.44832599999999</v>
      </c>
      <c r="Y81" s="15">
        <v>119.08805099999999</v>
      </c>
      <c r="Z81" s="15">
        <v>124.89795700000001</v>
      </c>
      <c r="AA81" s="15">
        <v>130.901321</v>
      </c>
      <c r="AB81" s="15">
        <v>137.08963</v>
      </c>
      <c r="AC81" s="15">
        <v>143.505493</v>
      </c>
      <c r="AD81" s="15">
        <v>150.120285</v>
      </c>
      <c r="AE81" s="15">
        <v>157.02271999999999</v>
      </c>
      <c r="AF81" s="15">
        <v>164.17160000000001</v>
      </c>
      <c r="AG81" s="15">
        <v>171.62394699999999</v>
      </c>
      <c r="AH81" s="15">
        <v>179.344223</v>
      </c>
      <c r="AI81" s="15">
        <v>187.32080099999999</v>
      </c>
      <c r="AJ81" s="15">
        <v>195.53801000000001</v>
      </c>
      <c r="AK81" s="16">
        <v>6.0502E-2</v>
      </c>
    </row>
    <row r="82" spans="1:37" ht="15" customHeight="1">
      <c r="A82" s="7" t="s">
        <v>96</v>
      </c>
      <c r="B82" s="14" t="s">
        <v>97</v>
      </c>
      <c r="C82" s="15">
        <v>0.43790000000000001</v>
      </c>
      <c r="D82" s="15">
        <v>0.45290000000000002</v>
      </c>
      <c r="E82" s="15">
        <v>0.50290000000000001</v>
      </c>
      <c r="F82" s="15">
        <v>0.50290000000000001</v>
      </c>
      <c r="G82" s="15">
        <v>0.51490000000000002</v>
      </c>
      <c r="H82" s="15">
        <v>0.51490000000000002</v>
      </c>
      <c r="I82" s="15">
        <v>0.51490000000000002</v>
      </c>
      <c r="J82" s="15">
        <v>0.51490000000000002</v>
      </c>
      <c r="K82" s="15">
        <v>0.51490000000000002</v>
      </c>
      <c r="L82" s="15">
        <v>0.51490000000000002</v>
      </c>
      <c r="M82" s="15">
        <v>0.51490000000000002</v>
      </c>
      <c r="N82" s="15">
        <v>0.51490000000000002</v>
      </c>
      <c r="O82" s="15">
        <v>0.51490000000000002</v>
      </c>
      <c r="P82" s="15">
        <v>0.51490000000000002</v>
      </c>
      <c r="Q82" s="15">
        <v>0.51490000000000002</v>
      </c>
      <c r="R82" s="15">
        <v>0.51490000000000002</v>
      </c>
      <c r="S82" s="15">
        <v>0.51490000000000002</v>
      </c>
      <c r="T82" s="15">
        <v>0.51490000000000002</v>
      </c>
      <c r="U82" s="15">
        <v>0.51490000000000002</v>
      </c>
      <c r="V82" s="15">
        <v>0.51490000000000002</v>
      </c>
      <c r="W82" s="15">
        <v>0.51490000000000002</v>
      </c>
      <c r="X82" s="15">
        <v>0.51490000000000002</v>
      </c>
      <c r="Y82" s="15">
        <v>0.51490000000000002</v>
      </c>
      <c r="Z82" s="15">
        <v>0.51490000000000002</v>
      </c>
      <c r="AA82" s="15">
        <v>0.51490000000000002</v>
      </c>
      <c r="AB82" s="15">
        <v>0.51490000000000002</v>
      </c>
      <c r="AC82" s="15">
        <v>0.51490000000000002</v>
      </c>
      <c r="AD82" s="15">
        <v>0.51490000000000002</v>
      </c>
      <c r="AE82" s="15">
        <v>0.51490000000000002</v>
      </c>
      <c r="AF82" s="15">
        <v>0.51490000000000002</v>
      </c>
      <c r="AG82" s="15">
        <v>0.51490000000000002</v>
      </c>
      <c r="AH82" s="15">
        <v>0.51490000000000002</v>
      </c>
      <c r="AI82" s="15">
        <v>0.51490000000000002</v>
      </c>
      <c r="AJ82" s="15">
        <v>0.51490000000000002</v>
      </c>
      <c r="AK82" s="16">
        <v>4.0169999999999997E-3</v>
      </c>
    </row>
    <row r="83" spans="1:37" ht="15" customHeight="1">
      <c r="A83" s="7" t="s">
        <v>98</v>
      </c>
      <c r="B83" s="13" t="s">
        <v>37</v>
      </c>
      <c r="C83" s="17">
        <v>49.184379999999997</v>
      </c>
      <c r="D83" s="17">
        <v>53.754474999999999</v>
      </c>
      <c r="E83" s="17">
        <v>59.084671</v>
      </c>
      <c r="F83" s="17">
        <v>64.468093999999994</v>
      </c>
      <c r="G83" s="17">
        <v>69.415222</v>
      </c>
      <c r="H83" s="17">
        <v>74.112808000000001</v>
      </c>
      <c r="I83" s="17">
        <v>78.489142999999999</v>
      </c>
      <c r="J83" s="17">
        <v>82.366302000000005</v>
      </c>
      <c r="K83" s="17">
        <v>85.654526000000004</v>
      </c>
      <c r="L83" s="17">
        <v>89.165024000000003</v>
      </c>
      <c r="M83" s="17">
        <v>92.837585000000004</v>
      </c>
      <c r="N83" s="17">
        <v>96.753967000000003</v>
      </c>
      <c r="O83" s="17">
        <v>100.684555</v>
      </c>
      <c r="P83" s="17">
        <v>104.95798499999999</v>
      </c>
      <c r="Q83" s="17">
        <v>109.36537199999999</v>
      </c>
      <c r="R83" s="17">
        <v>114.02346799999999</v>
      </c>
      <c r="S83" s="17">
        <v>118.879745</v>
      </c>
      <c r="T83" s="17">
        <v>124.047684</v>
      </c>
      <c r="U83" s="17">
        <v>129.370575</v>
      </c>
      <c r="V83" s="17">
        <v>134.98803699999999</v>
      </c>
      <c r="W83" s="17">
        <v>140.82823200000001</v>
      </c>
      <c r="X83" s="17">
        <v>146.93057300000001</v>
      </c>
      <c r="Y83" s="17">
        <v>153.231537</v>
      </c>
      <c r="Z83" s="17">
        <v>159.752838</v>
      </c>
      <c r="AA83" s="17">
        <v>166.49847399999999</v>
      </c>
      <c r="AB83" s="17">
        <v>173.40664699999999</v>
      </c>
      <c r="AC83" s="17">
        <v>180.635773</v>
      </c>
      <c r="AD83" s="17">
        <v>188.10145600000001</v>
      </c>
      <c r="AE83" s="17">
        <v>195.97854599999999</v>
      </c>
      <c r="AF83" s="17">
        <v>204.050308</v>
      </c>
      <c r="AG83" s="17">
        <v>212.46998600000001</v>
      </c>
      <c r="AH83" s="17">
        <v>221.186386</v>
      </c>
      <c r="AI83" s="17">
        <v>230.17430100000001</v>
      </c>
      <c r="AJ83" s="17">
        <v>239.430511</v>
      </c>
      <c r="AK83" s="18">
        <v>4.7788999999999998E-2</v>
      </c>
    </row>
    <row r="85" spans="1:37" ht="15" customHeight="1">
      <c r="A85" s="7" t="s">
        <v>99</v>
      </c>
      <c r="B85" s="13" t="s">
        <v>100</v>
      </c>
      <c r="C85" s="17" t="s">
        <v>35</v>
      </c>
      <c r="D85" s="17" t="s">
        <v>35</v>
      </c>
      <c r="E85" s="17">
        <v>5.3452279999999996</v>
      </c>
      <c r="F85" s="17">
        <v>11.538671000000001</v>
      </c>
      <c r="G85" s="17">
        <v>16.530194999999999</v>
      </c>
      <c r="H85" s="17">
        <v>21.238444999999999</v>
      </c>
      <c r="I85" s="17">
        <v>25.636772000000001</v>
      </c>
      <c r="J85" s="17">
        <v>29.531030999999999</v>
      </c>
      <c r="K85" s="17">
        <v>32.834418999999997</v>
      </c>
      <c r="L85" s="17">
        <v>36.363438000000002</v>
      </c>
      <c r="M85" s="17">
        <v>40.061366999999997</v>
      </c>
      <c r="N85" s="17">
        <v>43.996257999999997</v>
      </c>
      <c r="O85" s="17">
        <v>48.089123000000001</v>
      </c>
      <c r="P85" s="17">
        <v>52.384903000000001</v>
      </c>
      <c r="Q85" s="17">
        <v>56.860405</v>
      </c>
      <c r="R85" s="17">
        <v>61.548901000000001</v>
      </c>
      <c r="S85" s="17">
        <v>66.461783999999994</v>
      </c>
      <c r="T85" s="17">
        <v>71.648544000000001</v>
      </c>
      <c r="U85" s="17">
        <v>77.000327999999996</v>
      </c>
      <c r="V85" s="17">
        <v>82.637810000000002</v>
      </c>
      <c r="W85" s="17">
        <v>88.525063000000003</v>
      </c>
      <c r="X85" s="17">
        <v>94.653671000000003</v>
      </c>
      <c r="Y85" s="17">
        <v>100.99221799999999</v>
      </c>
      <c r="Z85" s="17">
        <v>107.53788</v>
      </c>
      <c r="AA85" s="17">
        <v>114.30671700000001</v>
      </c>
      <c r="AB85" s="17">
        <v>121.27512400000001</v>
      </c>
      <c r="AC85" s="17">
        <v>128.52761799999999</v>
      </c>
      <c r="AD85" s="17">
        <v>136.01724200000001</v>
      </c>
      <c r="AE85" s="17">
        <v>143.91589400000001</v>
      </c>
      <c r="AF85" s="17">
        <v>152.01774599999999</v>
      </c>
      <c r="AG85" s="17">
        <v>160.45976300000001</v>
      </c>
      <c r="AH85" s="17">
        <v>169.199478</v>
      </c>
      <c r="AI85" s="17">
        <v>178.21051</v>
      </c>
      <c r="AJ85" s="17">
        <v>187.49087499999999</v>
      </c>
      <c r="AK85" s="18" t="s">
        <v>35</v>
      </c>
    </row>
    <row r="86" spans="1:37" ht="15" customHeight="1" thickBot="1"/>
    <row r="87" spans="1:37" ht="15" customHeight="1">
      <c r="B87" s="56" t="s">
        <v>101</v>
      </c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</row>
    <row r="88" spans="1:37" ht="15" customHeight="1">
      <c r="B88" s="8" t="s">
        <v>102</v>
      </c>
    </row>
    <row r="89" spans="1:37" ht="15" customHeight="1">
      <c r="B89" s="8" t="s">
        <v>103</v>
      </c>
    </row>
    <row r="90" spans="1:37" ht="15" customHeight="1">
      <c r="B90" s="8" t="s">
        <v>104</v>
      </c>
    </row>
    <row r="91" spans="1:37" ht="15" customHeight="1">
      <c r="B91" s="8" t="s">
        <v>105</v>
      </c>
    </row>
    <row r="92" spans="1:37" ht="15" customHeight="1">
      <c r="B92" s="8" t="s">
        <v>118</v>
      </c>
    </row>
    <row r="93" spans="1:37" ht="15" customHeight="1">
      <c r="B93" s="8" t="s">
        <v>119</v>
      </c>
    </row>
    <row r="94" spans="1:37" ht="15" customHeight="1">
      <c r="B94" s="8" t="s">
        <v>106</v>
      </c>
    </row>
    <row r="95" spans="1:37" ht="15" customHeight="1">
      <c r="B95" s="8" t="s">
        <v>152</v>
      </c>
    </row>
    <row r="96" spans="1:37" ht="15" customHeight="1">
      <c r="B96" s="8" t="s">
        <v>107</v>
      </c>
    </row>
    <row r="97" spans="2:2" ht="15" customHeight="1">
      <c r="B97" s="8" t="s">
        <v>108</v>
      </c>
    </row>
    <row r="98" spans="2:2" ht="15" customHeight="1">
      <c r="B98" s="8" t="s">
        <v>109</v>
      </c>
    </row>
    <row r="99" spans="2:2" ht="15" customHeight="1">
      <c r="B99" s="8" t="s">
        <v>110</v>
      </c>
    </row>
    <row r="100" spans="2:2" ht="15" customHeight="1">
      <c r="B100" s="8" t="s">
        <v>111</v>
      </c>
    </row>
    <row r="101" spans="2:2" ht="15" customHeight="1">
      <c r="B101" s="8" t="s">
        <v>153</v>
      </c>
    </row>
    <row r="102" spans="2:2" ht="15" customHeight="1">
      <c r="B102" s="8" t="s">
        <v>154</v>
      </c>
    </row>
    <row r="103" spans="2:2" ht="15" customHeight="1">
      <c r="B103" s="8" t="s">
        <v>112</v>
      </c>
    </row>
    <row r="104" spans="2:2" ht="15" customHeight="1">
      <c r="B104" s="8" t="s">
        <v>113</v>
      </c>
    </row>
    <row r="105" spans="2:2" ht="15" customHeight="1">
      <c r="B105" s="8" t="s">
        <v>114</v>
      </c>
    </row>
    <row r="106" spans="2:2" ht="15" customHeight="1">
      <c r="B106" s="8" t="s">
        <v>115</v>
      </c>
    </row>
    <row r="107" spans="2:2" ht="15" customHeight="1">
      <c r="B107" s="8" t="s">
        <v>116</v>
      </c>
    </row>
    <row r="108" spans="2:2" ht="15" customHeight="1">
      <c r="B108" s="8" t="s">
        <v>117</v>
      </c>
    </row>
    <row r="109" spans="2:2" ht="15" customHeight="1">
      <c r="B109" s="8" t="s">
        <v>155</v>
      </c>
    </row>
    <row r="110" spans="2:2" ht="15" customHeight="1">
      <c r="B110" s="8" t="s">
        <v>156</v>
      </c>
    </row>
    <row r="111" spans="2:2" ht="15" customHeight="1">
      <c r="B111" s="8" t="s">
        <v>157</v>
      </c>
    </row>
    <row r="112" spans="2:2" ht="15" customHeight="1">
      <c r="B112" s="8" t="s">
        <v>158</v>
      </c>
    </row>
    <row r="113" spans="2:2" ht="15" customHeight="1">
      <c r="B113" s="8" t="s">
        <v>159</v>
      </c>
    </row>
    <row r="114" spans="2:2" ht="15" customHeight="1">
      <c r="B114" s="8" t="s">
        <v>160</v>
      </c>
    </row>
  </sheetData>
  <mergeCells count="1">
    <mergeCell ref="B87:AK87"/>
  </mergeCells>
  <phoneticPr fontId="3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6E0E-6BCA-4A4B-8E10-4DF7B3B3DD4D}">
  <dimension ref="A1:AH28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3" sqref="C23"/>
    </sheetView>
  </sheetViews>
  <sheetFormatPr baseColWidth="10" defaultColWidth="9.19921875" defaultRowHeight="15" customHeight="1"/>
  <cols>
    <col min="1" max="1" width="43.796875" style="30" customWidth="1"/>
    <col min="2" max="2" width="49" style="30" customWidth="1"/>
    <col min="3" max="33" width="9.19921875" style="30"/>
    <col min="34" max="34" width="9.19921875" style="30" bestFit="1" customWidth="1"/>
    <col min="35" max="16384" width="9.19921875" style="30"/>
  </cols>
  <sheetData>
    <row r="1" spans="1:34" ht="15" customHeight="1" thickBot="1">
      <c r="B1" s="31" t="s">
        <v>331</v>
      </c>
      <c r="C1" s="32">
        <v>2020</v>
      </c>
      <c r="D1" s="32">
        <v>2021</v>
      </c>
      <c r="E1" s="32">
        <v>2022</v>
      </c>
      <c r="F1" s="32">
        <v>2023</v>
      </c>
      <c r="G1" s="32">
        <v>2024</v>
      </c>
      <c r="H1" s="32">
        <v>2025</v>
      </c>
      <c r="I1" s="32">
        <v>2026</v>
      </c>
      <c r="J1" s="32">
        <v>2027</v>
      </c>
      <c r="K1" s="32">
        <v>2028</v>
      </c>
      <c r="L1" s="32">
        <v>2029</v>
      </c>
      <c r="M1" s="32">
        <v>2030</v>
      </c>
      <c r="N1" s="32">
        <v>2031</v>
      </c>
      <c r="O1" s="32">
        <v>2032</v>
      </c>
      <c r="P1" s="32">
        <v>2033</v>
      </c>
      <c r="Q1" s="32">
        <v>2034</v>
      </c>
      <c r="R1" s="32">
        <v>2035</v>
      </c>
      <c r="S1" s="32">
        <v>2036</v>
      </c>
      <c r="T1" s="32">
        <v>2037</v>
      </c>
      <c r="U1" s="32">
        <v>2038</v>
      </c>
      <c r="V1" s="32">
        <v>2039</v>
      </c>
      <c r="W1" s="32">
        <v>2040</v>
      </c>
      <c r="X1" s="32">
        <v>2041</v>
      </c>
      <c r="Y1" s="32">
        <v>2042</v>
      </c>
      <c r="Z1" s="32">
        <v>2043</v>
      </c>
      <c r="AA1" s="32">
        <v>2044</v>
      </c>
      <c r="AB1" s="32">
        <v>2045</v>
      </c>
      <c r="AC1" s="32">
        <v>2046</v>
      </c>
      <c r="AD1" s="32">
        <v>2047</v>
      </c>
      <c r="AE1" s="32">
        <v>2048</v>
      </c>
      <c r="AF1" s="32">
        <v>2049</v>
      </c>
      <c r="AG1" s="32">
        <v>2050</v>
      </c>
    </row>
    <row r="2" spans="1:34" ht="15" customHeight="1" thickTop="1"/>
    <row r="3" spans="1:34" ht="15" customHeight="1">
      <c r="C3" s="33" t="s">
        <v>3</v>
      </c>
      <c r="D3" s="33" t="s">
        <v>332</v>
      </c>
      <c r="E3" s="34"/>
      <c r="F3" s="34"/>
      <c r="G3" s="34"/>
      <c r="H3" s="34"/>
    </row>
    <row r="4" spans="1:34" ht="15" customHeight="1">
      <c r="C4" s="33" t="s">
        <v>4</v>
      </c>
      <c r="D4" s="33" t="s">
        <v>333</v>
      </c>
      <c r="E4" s="34"/>
      <c r="F4" s="34"/>
      <c r="G4" s="33" t="s">
        <v>5</v>
      </c>
      <c r="H4" s="34"/>
    </row>
    <row r="5" spans="1:34" ht="15" customHeight="1">
      <c r="C5" s="33" t="s">
        <v>6</v>
      </c>
      <c r="D5" s="33" t="s">
        <v>334</v>
      </c>
      <c r="E5" s="34"/>
      <c r="F5" s="34"/>
      <c r="G5" s="34"/>
      <c r="H5" s="34"/>
    </row>
    <row r="6" spans="1:34" ht="15" customHeight="1">
      <c r="C6" s="33" t="s">
        <v>7</v>
      </c>
      <c r="D6" s="34"/>
      <c r="E6" s="33" t="s">
        <v>335</v>
      </c>
      <c r="F6" s="34"/>
      <c r="G6" s="34"/>
      <c r="H6" s="34"/>
    </row>
    <row r="7" spans="1:34" ht="15" customHeight="1">
      <c r="C7" s="34"/>
      <c r="D7" s="34"/>
      <c r="E7" s="34"/>
      <c r="F7" s="34"/>
      <c r="G7" s="34"/>
      <c r="H7" s="34"/>
    </row>
    <row r="8" spans="1:34" ht="12"/>
    <row r="9" spans="1:34" ht="12"/>
    <row r="10" spans="1:34" ht="15" customHeight="1">
      <c r="A10" s="35" t="s">
        <v>8</v>
      </c>
      <c r="B10" s="36" t="s">
        <v>9</v>
      </c>
      <c r="AH10" s="37" t="s">
        <v>336</v>
      </c>
    </row>
    <row r="11" spans="1:34" ht="15" customHeight="1">
      <c r="B11" s="31" t="s">
        <v>10</v>
      </c>
      <c r="AH11" s="37" t="s">
        <v>337</v>
      </c>
    </row>
    <row r="12" spans="1:34" ht="15" customHeight="1">
      <c r="B12" s="31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7" t="s">
        <v>338</v>
      </c>
    </row>
    <row r="13" spans="1:34" ht="15" customHeight="1" thickBot="1">
      <c r="B13" s="32" t="s">
        <v>12</v>
      </c>
      <c r="C13" s="32">
        <v>2020</v>
      </c>
      <c r="D13" s="32">
        <v>2021</v>
      </c>
      <c r="E13" s="32">
        <v>2022</v>
      </c>
      <c r="F13" s="32">
        <v>2023</v>
      </c>
      <c r="G13" s="32">
        <v>2024</v>
      </c>
      <c r="H13" s="32">
        <v>2025</v>
      </c>
      <c r="I13" s="32">
        <v>2026</v>
      </c>
      <c r="J13" s="32">
        <v>2027</v>
      </c>
      <c r="K13" s="32">
        <v>2028</v>
      </c>
      <c r="L13" s="32">
        <v>2029</v>
      </c>
      <c r="M13" s="32">
        <v>2030</v>
      </c>
      <c r="N13" s="32">
        <v>2031</v>
      </c>
      <c r="O13" s="32">
        <v>2032</v>
      </c>
      <c r="P13" s="32">
        <v>2033</v>
      </c>
      <c r="Q13" s="32">
        <v>2034</v>
      </c>
      <c r="R13" s="32">
        <v>2035</v>
      </c>
      <c r="S13" s="32">
        <v>2036</v>
      </c>
      <c r="T13" s="32">
        <v>2037</v>
      </c>
      <c r="U13" s="32">
        <v>2038</v>
      </c>
      <c r="V13" s="32">
        <v>2039</v>
      </c>
      <c r="W13" s="32">
        <v>2040</v>
      </c>
      <c r="X13" s="32">
        <v>2041</v>
      </c>
      <c r="Y13" s="32">
        <v>2042</v>
      </c>
      <c r="Z13" s="32">
        <v>2043</v>
      </c>
      <c r="AA13" s="32">
        <v>2044</v>
      </c>
      <c r="AB13" s="32">
        <v>2045</v>
      </c>
      <c r="AC13" s="32">
        <v>2046</v>
      </c>
      <c r="AD13" s="32">
        <v>2047</v>
      </c>
      <c r="AE13" s="32">
        <v>2048</v>
      </c>
      <c r="AF13" s="32">
        <v>2049</v>
      </c>
      <c r="AG13" s="32">
        <v>2050</v>
      </c>
      <c r="AH13" s="39" t="s">
        <v>339</v>
      </c>
    </row>
    <row r="14" spans="1:34" ht="15" customHeight="1" thickTop="1"/>
    <row r="15" spans="1:34" ht="15" customHeight="1">
      <c r="B15" s="40" t="s">
        <v>13</v>
      </c>
    </row>
    <row r="16" spans="1:34" ht="15" customHeight="1">
      <c r="B16" s="40" t="s">
        <v>14</v>
      </c>
    </row>
    <row r="17" spans="1:34" ht="15" customHeight="1">
      <c r="A17" s="35" t="s">
        <v>15</v>
      </c>
      <c r="B17" s="41" t="s">
        <v>16</v>
      </c>
      <c r="C17" s="42">
        <v>217.319931</v>
      </c>
      <c r="D17" s="42">
        <v>212.916504</v>
      </c>
      <c r="E17" s="42">
        <v>208.204193</v>
      </c>
      <c r="F17" s="42">
        <v>187.94560200000001</v>
      </c>
      <c r="G17" s="42">
        <v>177.84901400000001</v>
      </c>
      <c r="H17" s="42">
        <v>111.623718</v>
      </c>
      <c r="I17" s="42">
        <v>107.49852</v>
      </c>
      <c r="J17" s="42">
        <v>99.094620000000006</v>
      </c>
      <c r="K17" s="42">
        <v>95.793616999999998</v>
      </c>
      <c r="L17" s="42">
        <v>93.304123000000004</v>
      </c>
      <c r="M17" s="42">
        <v>90.772118000000006</v>
      </c>
      <c r="N17" s="42">
        <v>89.354118</v>
      </c>
      <c r="O17" s="42">
        <v>86.515113999999997</v>
      </c>
      <c r="P17" s="42">
        <v>84.896118000000001</v>
      </c>
      <c r="Q17" s="42">
        <v>82.760315000000006</v>
      </c>
      <c r="R17" s="42">
        <v>81.144310000000004</v>
      </c>
      <c r="S17" s="42">
        <v>81.144310000000004</v>
      </c>
      <c r="T17" s="42">
        <v>80.805312999999998</v>
      </c>
      <c r="U17" s="42">
        <v>78.685310000000001</v>
      </c>
      <c r="V17" s="42">
        <v>78.346305999999998</v>
      </c>
      <c r="W17" s="42">
        <v>78.346305999999998</v>
      </c>
      <c r="X17" s="42">
        <v>78.006309999999999</v>
      </c>
      <c r="Y17" s="42">
        <v>78.006309999999999</v>
      </c>
      <c r="Z17" s="42">
        <v>78.006309999999999</v>
      </c>
      <c r="AA17" s="42">
        <v>77.985305999999994</v>
      </c>
      <c r="AB17" s="42">
        <v>75.056304999999995</v>
      </c>
      <c r="AC17" s="42">
        <v>74.376311999999999</v>
      </c>
      <c r="AD17" s="42">
        <v>74.376311999999999</v>
      </c>
      <c r="AE17" s="42">
        <v>73.266311999999999</v>
      </c>
      <c r="AF17" s="42">
        <v>73.266311999999999</v>
      </c>
      <c r="AG17" s="42">
        <v>73.266311999999999</v>
      </c>
      <c r="AH17" s="43">
        <v>-3.5593E-2</v>
      </c>
    </row>
    <row r="18" spans="1:34" ht="15" customHeight="1">
      <c r="A18" s="35" t="s">
        <v>17</v>
      </c>
      <c r="B18" s="41" t="s">
        <v>18</v>
      </c>
      <c r="C18" s="42">
        <v>72.645202999999995</v>
      </c>
      <c r="D18" s="42">
        <v>71.450103999999996</v>
      </c>
      <c r="E18" s="42">
        <v>66.598999000000006</v>
      </c>
      <c r="F18" s="42">
        <v>62.020508</v>
      </c>
      <c r="G18" s="42">
        <v>56.839500000000001</v>
      </c>
      <c r="H18" s="42">
        <v>69.829696999999996</v>
      </c>
      <c r="I18" s="42">
        <v>65.722999999999999</v>
      </c>
      <c r="J18" s="42">
        <v>64.680496000000005</v>
      </c>
      <c r="K18" s="42">
        <v>63.032501000000003</v>
      </c>
      <c r="L18" s="42">
        <v>56.303103999999998</v>
      </c>
      <c r="M18" s="42">
        <v>56.258102000000001</v>
      </c>
      <c r="N18" s="42">
        <v>55.284602999999997</v>
      </c>
      <c r="O18" s="42">
        <v>55.041598999999998</v>
      </c>
      <c r="P18" s="42">
        <v>54.297801999999997</v>
      </c>
      <c r="Q18" s="42">
        <v>53.794803999999999</v>
      </c>
      <c r="R18" s="42">
        <v>52.824299000000003</v>
      </c>
      <c r="S18" s="42">
        <v>51.914299</v>
      </c>
      <c r="T18" s="42">
        <v>51.914299</v>
      </c>
      <c r="U18" s="42">
        <v>51.914299</v>
      </c>
      <c r="V18" s="42">
        <v>51.7883</v>
      </c>
      <c r="W18" s="42">
        <v>51.7883</v>
      </c>
      <c r="X18" s="42">
        <v>51.7883</v>
      </c>
      <c r="Y18" s="42">
        <v>51.7883</v>
      </c>
      <c r="Z18" s="42">
        <v>51.7883</v>
      </c>
      <c r="AA18" s="42">
        <v>51.7883</v>
      </c>
      <c r="AB18" s="42">
        <v>51.682301000000002</v>
      </c>
      <c r="AC18" s="42">
        <v>51.682301000000002</v>
      </c>
      <c r="AD18" s="42">
        <v>51.682301000000002</v>
      </c>
      <c r="AE18" s="42">
        <v>51.682301000000002</v>
      </c>
      <c r="AF18" s="42">
        <v>51.129299000000003</v>
      </c>
      <c r="AG18" s="42">
        <v>51.129299000000003</v>
      </c>
      <c r="AH18" s="43">
        <v>-1.1639E-2</v>
      </c>
    </row>
    <row r="19" spans="1:34" ht="15" customHeight="1">
      <c r="A19" s="35" t="s">
        <v>19</v>
      </c>
      <c r="B19" s="41" t="s">
        <v>20</v>
      </c>
      <c r="C19" s="42">
        <v>245.41911300000001</v>
      </c>
      <c r="D19" s="42">
        <v>248.74231</v>
      </c>
      <c r="E19" s="42">
        <v>261.34234600000002</v>
      </c>
      <c r="F19" s="42">
        <v>266.809235</v>
      </c>
      <c r="G19" s="42">
        <v>275.23620599999998</v>
      </c>
      <c r="H19" s="42">
        <v>295.59759500000001</v>
      </c>
      <c r="I19" s="42">
        <v>316.24749800000001</v>
      </c>
      <c r="J19" s="42">
        <v>340.656769</v>
      </c>
      <c r="K19" s="42">
        <v>347.021545</v>
      </c>
      <c r="L19" s="42">
        <v>351.83999599999999</v>
      </c>
      <c r="M19" s="42">
        <v>356.66967799999998</v>
      </c>
      <c r="N19" s="42">
        <v>362.06024200000002</v>
      </c>
      <c r="O19" s="42">
        <v>368.02654999999999</v>
      </c>
      <c r="P19" s="42">
        <v>372.73223899999999</v>
      </c>
      <c r="Q19" s="42">
        <v>377.60668900000002</v>
      </c>
      <c r="R19" s="42">
        <v>382.26901199999998</v>
      </c>
      <c r="S19" s="42">
        <v>387.80670199999997</v>
      </c>
      <c r="T19" s="42">
        <v>394.61877399999997</v>
      </c>
      <c r="U19" s="42">
        <v>400.82574499999998</v>
      </c>
      <c r="V19" s="42">
        <v>405.36828600000001</v>
      </c>
      <c r="W19" s="42">
        <v>411.04443400000002</v>
      </c>
      <c r="X19" s="42">
        <v>416.14801</v>
      </c>
      <c r="Y19" s="42">
        <v>421.73791499999999</v>
      </c>
      <c r="Z19" s="42">
        <v>430.15917999999999</v>
      </c>
      <c r="AA19" s="42">
        <v>439.63421599999998</v>
      </c>
      <c r="AB19" s="42">
        <v>444.72955300000001</v>
      </c>
      <c r="AC19" s="42">
        <v>450.20056199999999</v>
      </c>
      <c r="AD19" s="42">
        <v>455.42334</v>
      </c>
      <c r="AE19" s="42">
        <v>462.29406699999998</v>
      </c>
      <c r="AF19" s="42">
        <v>466.41812099999999</v>
      </c>
      <c r="AG19" s="42">
        <v>472.561981</v>
      </c>
      <c r="AH19" s="43">
        <v>2.2079999999999999E-2</v>
      </c>
    </row>
    <row r="20" spans="1:34" ht="15" customHeight="1">
      <c r="A20" s="35" t="s">
        <v>21</v>
      </c>
      <c r="B20" s="41" t="s">
        <v>22</v>
      </c>
      <c r="C20" s="42">
        <v>139.99884</v>
      </c>
      <c r="D20" s="42">
        <v>151.966003</v>
      </c>
      <c r="E20" s="42">
        <v>157.28396599999999</v>
      </c>
      <c r="F20" s="42">
        <v>163.12406899999999</v>
      </c>
      <c r="G20" s="42">
        <v>170.05273399999999</v>
      </c>
      <c r="H20" s="42">
        <v>186.36914100000001</v>
      </c>
      <c r="I20" s="42">
        <v>195.864746</v>
      </c>
      <c r="J20" s="42">
        <v>201.536407</v>
      </c>
      <c r="K20" s="42">
        <v>206.652863</v>
      </c>
      <c r="L20" s="42">
        <v>210.368439</v>
      </c>
      <c r="M20" s="42">
        <v>214.018631</v>
      </c>
      <c r="N20" s="42">
        <v>217.90661600000001</v>
      </c>
      <c r="O20" s="42">
        <v>221.90841699999999</v>
      </c>
      <c r="P20" s="42">
        <v>224.936386</v>
      </c>
      <c r="Q20" s="42">
        <v>229.371002</v>
      </c>
      <c r="R20" s="42">
        <v>234.94541899999999</v>
      </c>
      <c r="S20" s="42">
        <v>239.25157200000001</v>
      </c>
      <c r="T20" s="42">
        <v>243.658432</v>
      </c>
      <c r="U20" s="42">
        <v>246.74908400000001</v>
      </c>
      <c r="V20" s="42">
        <v>250.24752799999999</v>
      </c>
      <c r="W20" s="42">
        <v>255.838989</v>
      </c>
      <c r="X20" s="42">
        <v>259.135986</v>
      </c>
      <c r="Y20" s="42">
        <v>265.74377399999997</v>
      </c>
      <c r="Z20" s="42">
        <v>271.13488799999999</v>
      </c>
      <c r="AA20" s="42">
        <v>275.76062000000002</v>
      </c>
      <c r="AB20" s="42">
        <v>283.54571499999997</v>
      </c>
      <c r="AC20" s="42">
        <v>289.10192899999998</v>
      </c>
      <c r="AD20" s="42">
        <v>293.97659299999998</v>
      </c>
      <c r="AE20" s="42">
        <v>298.957855</v>
      </c>
      <c r="AF20" s="42">
        <v>302.975525</v>
      </c>
      <c r="AG20" s="42">
        <v>310.84103399999998</v>
      </c>
      <c r="AH20" s="43">
        <v>2.6945E-2</v>
      </c>
    </row>
    <row r="21" spans="1:34" ht="15" customHeight="1">
      <c r="A21" s="35" t="s">
        <v>23</v>
      </c>
      <c r="B21" s="41" t="s">
        <v>24</v>
      </c>
      <c r="C21" s="42">
        <v>97.120911000000007</v>
      </c>
      <c r="D21" s="42">
        <v>92.484604000000004</v>
      </c>
      <c r="E21" s="42">
        <v>92.860007999999993</v>
      </c>
      <c r="F21" s="42">
        <v>92.904007000000007</v>
      </c>
      <c r="G21" s="42">
        <v>92.954802999999998</v>
      </c>
      <c r="H21" s="42">
        <v>91.863929999999996</v>
      </c>
      <c r="I21" s="42">
        <v>78.538353000000001</v>
      </c>
      <c r="J21" s="42">
        <v>70.422721999999993</v>
      </c>
      <c r="K21" s="42">
        <v>68.100891000000004</v>
      </c>
      <c r="L21" s="42">
        <v>61.715468999999999</v>
      </c>
      <c r="M21" s="42">
        <v>61.801544</v>
      </c>
      <c r="N21" s="42">
        <v>59.645149000000004</v>
      </c>
      <c r="O21" s="42">
        <v>58.456760000000003</v>
      </c>
      <c r="P21" s="42">
        <v>57.484282999999998</v>
      </c>
      <c r="Q21" s="42">
        <v>55.438353999999997</v>
      </c>
      <c r="R21" s="42">
        <v>55.616706999999998</v>
      </c>
      <c r="S21" s="42">
        <v>54.627181999999998</v>
      </c>
      <c r="T21" s="42">
        <v>52.646942000000003</v>
      </c>
      <c r="U21" s="42">
        <v>51.831885999999997</v>
      </c>
      <c r="V21" s="42">
        <v>51.831885999999997</v>
      </c>
      <c r="W21" s="42">
        <v>51.875618000000003</v>
      </c>
      <c r="X21" s="42">
        <v>52.034545999999999</v>
      </c>
      <c r="Y21" s="42">
        <v>52.149535999999998</v>
      </c>
      <c r="Z21" s="42">
        <v>49.878754000000001</v>
      </c>
      <c r="AA21" s="42">
        <v>44.363968</v>
      </c>
      <c r="AB21" s="42">
        <v>44.467846000000002</v>
      </c>
      <c r="AC21" s="42">
        <v>44.521946</v>
      </c>
      <c r="AD21" s="42">
        <v>43.665047000000001</v>
      </c>
      <c r="AE21" s="42">
        <v>41.858733999999998</v>
      </c>
      <c r="AF21" s="42">
        <v>41.899445</v>
      </c>
      <c r="AG21" s="42">
        <v>41.961776999999998</v>
      </c>
      <c r="AH21" s="43">
        <v>-2.7585999999999999E-2</v>
      </c>
    </row>
    <row r="22" spans="1:34" ht="15" customHeight="1">
      <c r="A22" s="35" t="s">
        <v>25</v>
      </c>
      <c r="B22" s="41" t="s">
        <v>26</v>
      </c>
      <c r="C22" s="42">
        <v>22.778303000000001</v>
      </c>
      <c r="D22" s="42">
        <v>22.778303000000001</v>
      </c>
      <c r="E22" s="42">
        <v>22.778303000000001</v>
      </c>
      <c r="F22" s="42">
        <v>22.778303000000001</v>
      </c>
      <c r="G22" s="42">
        <v>22.778303000000001</v>
      </c>
      <c r="H22" s="42">
        <v>22.778303000000001</v>
      </c>
      <c r="I22" s="42">
        <v>22.778303000000001</v>
      </c>
      <c r="J22" s="42">
        <v>22.778303000000001</v>
      </c>
      <c r="K22" s="42">
        <v>22.778303000000001</v>
      </c>
      <c r="L22" s="42">
        <v>22.778303000000001</v>
      </c>
      <c r="M22" s="42">
        <v>22.778303000000001</v>
      </c>
      <c r="N22" s="42">
        <v>22.778303000000001</v>
      </c>
      <c r="O22" s="42">
        <v>22.778303000000001</v>
      </c>
      <c r="P22" s="42">
        <v>22.778303000000001</v>
      </c>
      <c r="Q22" s="42">
        <v>22.778303000000001</v>
      </c>
      <c r="R22" s="42">
        <v>22.778303000000001</v>
      </c>
      <c r="S22" s="42">
        <v>22.778303000000001</v>
      </c>
      <c r="T22" s="42">
        <v>22.778303000000001</v>
      </c>
      <c r="U22" s="42">
        <v>22.778303000000001</v>
      </c>
      <c r="V22" s="42">
        <v>22.778303000000001</v>
      </c>
      <c r="W22" s="42">
        <v>22.778303000000001</v>
      </c>
      <c r="X22" s="42">
        <v>22.778303000000001</v>
      </c>
      <c r="Y22" s="42">
        <v>22.778303000000001</v>
      </c>
      <c r="Z22" s="42">
        <v>22.778303000000001</v>
      </c>
      <c r="AA22" s="42">
        <v>22.778303000000001</v>
      </c>
      <c r="AB22" s="42">
        <v>22.778303000000001</v>
      </c>
      <c r="AC22" s="42">
        <v>22.778303000000001</v>
      </c>
      <c r="AD22" s="42">
        <v>22.778303000000001</v>
      </c>
      <c r="AE22" s="42">
        <v>22.778303000000001</v>
      </c>
      <c r="AF22" s="42">
        <v>22.778303000000001</v>
      </c>
      <c r="AG22" s="42">
        <v>22.778303000000001</v>
      </c>
      <c r="AH22" s="43">
        <v>0</v>
      </c>
    </row>
    <row r="23" spans="1:34" ht="15" customHeight="1">
      <c r="A23" s="52" t="s">
        <v>27</v>
      </c>
      <c r="B23" s="53" t="s">
        <v>28</v>
      </c>
      <c r="C23" s="54">
        <v>3.1509999999999998</v>
      </c>
      <c r="D23" s="54">
        <v>6.9255000000000004</v>
      </c>
      <c r="E23" s="54">
        <v>8.623799</v>
      </c>
      <c r="F23" s="54">
        <v>9.5348000000000006</v>
      </c>
      <c r="G23" s="54">
        <v>10.196526</v>
      </c>
      <c r="H23" s="54">
        <v>11.049868</v>
      </c>
      <c r="I23" s="54">
        <v>11.467271999999999</v>
      </c>
      <c r="J23" s="54">
        <v>11.890328</v>
      </c>
      <c r="K23" s="54">
        <v>12.301329000000001</v>
      </c>
      <c r="L23" s="54">
        <v>12.712327999999999</v>
      </c>
      <c r="M23" s="54">
        <v>13.123329</v>
      </c>
      <c r="N23" s="54">
        <v>13.123329</v>
      </c>
      <c r="O23" s="54">
        <v>13.128527</v>
      </c>
      <c r="P23" s="54">
        <v>13.128527</v>
      </c>
      <c r="Q23" s="54">
        <v>13.128527</v>
      </c>
      <c r="R23" s="54">
        <v>16.083760999999999</v>
      </c>
      <c r="S23" s="54">
        <v>16.161715999999998</v>
      </c>
      <c r="T23" s="54">
        <v>16.159718000000002</v>
      </c>
      <c r="U23" s="54">
        <v>16.159718000000002</v>
      </c>
      <c r="V23" s="54">
        <v>16.159718000000002</v>
      </c>
      <c r="W23" s="54">
        <v>16.409718000000002</v>
      </c>
      <c r="X23" s="54">
        <v>16.409718000000002</v>
      </c>
      <c r="Y23" s="54">
        <v>16.409718000000002</v>
      </c>
      <c r="Z23" s="54">
        <v>16.409718000000002</v>
      </c>
      <c r="AA23" s="54">
        <v>16.409718000000002</v>
      </c>
      <c r="AB23" s="54">
        <v>16.659718000000002</v>
      </c>
      <c r="AC23" s="54">
        <v>16.659718000000002</v>
      </c>
      <c r="AD23" s="54">
        <v>16.739215999999999</v>
      </c>
      <c r="AE23" s="54">
        <v>17.035295000000001</v>
      </c>
      <c r="AF23" s="54">
        <v>17.258429</v>
      </c>
      <c r="AG23" s="54">
        <v>17.777584000000001</v>
      </c>
      <c r="AH23" s="55">
        <v>5.9369999999999999E-2</v>
      </c>
    </row>
    <row r="24" spans="1:34" ht="15" customHeight="1">
      <c r="A24" s="35" t="s">
        <v>29</v>
      </c>
      <c r="B24" s="41" t="s">
        <v>30</v>
      </c>
      <c r="C24" s="42">
        <v>0.20419999999999999</v>
      </c>
      <c r="D24" s="42">
        <v>0.2303</v>
      </c>
      <c r="E24" s="42">
        <v>0.2303</v>
      </c>
      <c r="F24" s="42">
        <v>0.23139699999999999</v>
      </c>
      <c r="G24" s="42">
        <v>0.23249800000000001</v>
      </c>
      <c r="H24" s="42">
        <v>0.23249800000000001</v>
      </c>
      <c r="I24" s="42">
        <v>0.23249800000000001</v>
      </c>
      <c r="J24" s="42">
        <v>0.23249800000000001</v>
      </c>
      <c r="K24" s="42">
        <v>0.23249800000000001</v>
      </c>
      <c r="L24" s="42">
        <v>0.23249800000000001</v>
      </c>
      <c r="M24" s="42">
        <v>0.23249800000000001</v>
      </c>
      <c r="N24" s="42">
        <v>0.23139799999999999</v>
      </c>
      <c r="O24" s="42">
        <v>0.23139799999999999</v>
      </c>
      <c r="P24" s="42">
        <v>0.23139799999999999</v>
      </c>
      <c r="Q24" s="42">
        <v>0.23139799999999999</v>
      </c>
      <c r="R24" s="42">
        <v>0.23244300000000001</v>
      </c>
      <c r="S24" s="42">
        <v>0.23244300000000001</v>
      </c>
      <c r="T24" s="42">
        <v>0.23244300000000001</v>
      </c>
      <c r="U24" s="42">
        <v>0.23244300000000001</v>
      </c>
      <c r="V24" s="42">
        <v>0.23244300000000001</v>
      </c>
      <c r="W24" s="42">
        <v>0.23244300000000001</v>
      </c>
      <c r="X24" s="42">
        <v>0.23244300000000001</v>
      </c>
      <c r="Y24" s="42">
        <v>0.23244300000000001</v>
      </c>
      <c r="Z24" s="42">
        <v>0.23244300000000001</v>
      </c>
      <c r="AA24" s="42">
        <v>0.23244300000000001</v>
      </c>
      <c r="AB24" s="42">
        <v>0.23244300000000001</v>
      </c>
      <c r="AC24" s="42">
        <v>0.23244300000000001</v>
      </c>
      <c r="AD24" s="42">
        <v>0.23344500000000001</v>
      </c>
      <c r="AE24" s="42">
        <v>0.23344500000000001</v>
      </c>
      <c r="AF24" s="42">
        <v>0.23344500000000001</v>
      </c>
      <c r="AG24" s="42">
        <v>0.23344500000000001</v>
      </c>
      <c r="AH24" s="43">
        <v>4.4720000000000003E-3</v>
      </c>
    </row>
    <row r="25" spans="1:34" ht="15" customHeight="1">
      <c r="A25" s="35" t="s">
        <v>31</v>
      </c>
      <c r="B25" s="41" t="s">
        <v>32</v>
      </c>
      <c r="C25" s="42">
        <v>263.93090799999999</v>
      </c>
      <c r="D25" s="42">
        <v>283.68081699999999</v>
      </c>
      <c r="E25" s="42">
        <v>302.70617700000003</v>
      </c>
      <c r="F25" s="42">
        <v>334.728973</v>
      </c>
      <c r="G25" s="42">
        <v>369.97695900000002</v>
      </c>
      <c r="H25" s="42">
        <v>389.30862400000001</v>
      </c>
      <c r="I25" s="42">
        <v>402.99243200000001</v>
      </c>
      <c r="J25" s="42">
        <v>409.72994999999997</v>
      </c>
      <c r="K25" s="42">
        <v>416.53796399999999</v>
      </c>
      <c r="L25" s="42">
        <v>427.150757</v>
      </c>
      <c r="M25" s="42">
        <v>435.90374800000001</v>
      </c>
      <c r="N25" s="42">
        <v>439.85443099999998</v>
      </c>
      <c r="O25" s="42">
        <v>445.55587800000001</v>
      </c>
      <c r="P25" s="42">
        <v>452.22250400000001</v>
      </c>
      <c r="Q25" s="42">
        <v>463.27233899999999</v>
      </c>
      <c r="R25" s="42">
        <v>476.526611</v>
      </c>
      <c r="S25" s="42">
        <v>486.44335899999999</v>
      </c>
      <c r="T25" s="42">
        <v>493.015625</v>
      </c>
      <c r="U25" s="42">
        <v>502.82403599999998</v>
      </c>
      <c r="V25" s="42">
        <v>508.071259</v>
      </c>
      <c r="W25" s="42">
        <v>514.43145800000002</v>
      </c>
      <c r="X25" s="42">
        <v>519.57922399999995</v>
      </c>
      <c r="Y25" s="42">
        <v>524.29119900000001</v>
      </c>
      <c r="Z25" s="42">
        <v>531.30828899999995</v>
      </c>
      <c r="AA25" s="42">
        <v>540.67932099999996</v>
      </c>
      <c r="AB25" s="42">
        <v>550.00958300000002</v>
      </c>
      <c r="AC25" s="42">
        <v>563.00537099999997</v>
      </c>
      <c r="AD25" s="42">
        <v>580.09588599999995</v>
      </c>
      <c r="AE25" s="42">
        <v>601.65747099999999</v>
      </c>
      <c r="AF25" s="42">
        <v>626.574341</v>
      </c>
      <c r="AG25" s="42">
        <v>637.316284</v>
      </c>
      <c r="AH25" s="43">
        <v>2.9822000000000001E-2</v>
      </c>
    </row>
    <row r="26" spans="1:34" ht="15" customHeight="1">
      <c r="A26" s="35" t="s">
        <v>33</v>
      </c>
      <c r="B26" s="41" t="s">
        <v>34</v>
      </c>
      <c r="C26" s="42">
        <v>0</v>
      </c>
      <c r="D26" s="42">
        <v>0</v>
      </c>
      <c r="E26" s="42">
        <v>1.5576829999999999</v>
      </c>
      <c r="F26" s="42">
        <v>2.029814</v>
      </c>
      <c r="G26" s="42">
        <v>2.5895380000000001</v>
      </c>
      <c r="H26" s="42">
        <v>3.7884250000000002</v>
      </c>
      <c r="I26" s="42">
        <v>4.3695849999999998</v>
      </c>
      <c r="J26" s="42">
        <v>5.0523239999999996</v>
      </c>
      <c r="K26" s="42">
        <v>5.9726509999999999</v>
      </c>
      <c r="L26" s="42">
        <v>6.8292250000000001</v>
      </c>
      <c r="M26" s="42">
        <v>7.5518710000000002</v>
      </c>
      <c r="N26" s="42">
        <v>8.3369949999999999</v>
      </c>
      <c r="O26" s="42">
        <v>9.1962609999999998</v>
      </c>
      <c r="P26" s="42">
        <v>10.102161000000001</v>
      </c>
      <c r="Q26" s="42">
        <v>11.118252999999999</v>
      </c>
      <c r="R26" s="42">
        <v>12.202368</v>
      </c>
      <c r="S26" s="42">
        <v>13.468646</v>
      </c>
      <c r="T26" s="42">
        <v>14.828192</v>
      </c>
      <c r="U26" s="42">
        <v>16.063656000000002</v>
      </c>
      <c r="V26" s="42">
        <v>17.337409999999998</v>
      </c>
      <c r="W26" s="42">
        <v>18.650296999999998</v>
      </c>
      <c r="X26" s="42">
        <v>19.995911</v>
      </c>
      <c r="Y26" s="42">
        <v>21.409272999999999</v>
      </c>
      <c r="Z26" s="42">
        <v>23.142251999999999</v>
      </c>
      <c r="AA26" s="42">
        <v>24.906137000000001</v>
      </c>
      <c r="AB26" s="42">
        <v>26.691203999999999</v>
      </c>
      <c r="AC26" s="42">
        <v>28.452904</v>
      </c>
      <c r="AD26" s="42">
        <v>30.297573</v>
      </c>
      <c r="AE26" s="42">
        <v>32.29063</v>
      </c>
      <c r="AF26" s="42">
        <v>34.308743</v>
      </c>
      <c r="AG26" s="42">
        <v>36.505851999999997</v>
      </c>
      <c r="AH26" s="43" t="s">
        <v>35</v>
      </c>
    </row>
    <row r="27" spans="1:34" ht="15" customHeight="1">
      <c r="A27" s="35" t="s">
        <v>36</v>
      </c>
      <c r="B27" s="40" t="s">
        <v>37</v>
      </c>
      <c r="C27" s="44">
        <v>1062.568481</v>
      </c>
      <c r="D27" s="44">
        <v>1091.174438</v>
      </c>
      <c r="E27" s="44">
        <v>1122.185669</v>
      </c>
      <c r="F27" s="44">
        <v>1142.106689</v>
      </c>
      <c r="G27" s="44">
        <v>1178.7060550000001</v>
      </c>
      <c r="H27" s="44">
        <v>1182.4418949999999</v>
      </c>
      <c r="I27" s="44">
        <v>1205.712158</v>
      </c>
      <c r="J27" s="44">
        <v>1226.0744629999999</v>
      </c>
      <c r="K27" s="44">
        <v>1238.424072</v>
      </c>
      <c r="L27" s="44">
        <v>1243.2341309999999</v>
      </c>
      <c r="M27" s="44">
        <v>1259.109741</v>
      </c>
      <c r="N27" s="44">
        <v>1268.5751949999999</v>
      </c>
      <c r="O27" s="44">
        <v>1280.8388669999999</v>
      </c>
      <c r="P27" s="44">
        <v>1292.809692</v>
      </c>
      <c r="Q27" s="44">
        <v>1309.5</v>
      </c>
      <c r="R27" s="44">
        <v>1334.6232910000001</v>
      </c>
      <c r="S27" s="44">
        <v>1353.8286129999999</v>
      </c>
      <c r="T27" s="44">
        <v>1370.658081</v>
      </c>
      <c r="U27" s="44">
        <v>1388.064331</v>
      </c>
      <c r="V27" s="44">
        <v>1402.161499</v>
      </c>
      <c r="W27" s="44">
        <v>1421.395874</v>
      </c>
      <c r="X27" s="44">
        <v>1436.108643</v>
      </c>
      <c r="Y27" s="44">
        <v>1454.5467530000001</v>
      </c>
      <c r="Z27" s="44">
        <v>1474.8382570000001</v>
      </c>
      <c r="AA27" s="44">
        <v>1494.5382079999999</v>
      </c>
      <c r="AB27" s="44">
        <v>1515.852783</v>
      </c>
      <c r="AC27" s="44">
        <v>1541.0117190000001</v>
      </c>
      <c r="AD27" s="44">
        <v>1569.2680660000001</v>
      </c>
      <c r="AE27" s="44">
        <v>1602.054443</v>
      </c>
      <c r="AF27" s="44">
        <v>1636.8420410000001</v>
      </c>
      <c r="AG27" s="44">
        <v>1664.3718260000001</v>
      </c>
      <c r="AH27" s="45">
        <v>1.5070999999999999E-2</v>
      </c>
    </row>
    <row r="28" spans="1:34" ht="15" customHeight="1">
      <c r="B28" s="40" t="s">
        <v>38</v>
      </c>
    </row>
    <row r="29" spans="1:34" ht="15" customHeight="1">
      <c r="A29" s="35" t="s">
        <v>39</v>
      </c>
      <c r="B29" s="41" t="s">
        <v>40</v>
      </c>
      <c r="C29" s="42">
        <v>1.8878999999999999</v>
      </c>
      <c r="D29" s="42">
        <v>1.7828999999999999</v>
      </c>
      <c r="E29" s="42">
        <v>1.7828999999999999</v>
      </c>
      <c r="F29" s="42">
        <v>1.7828999999999999</v>
      </c>
      <c r="G29" s="42">
        <v>1.7828999999999999</v>
      </c>
      <c r="H29" s="42">
        <v>1.7828999999999999</v>
      </c>
      <c r="I29" s="42">
        <v>1.7828999999999999</v>
      </c>
      <c r="J29" s="42">
        <v>1.7828999999999999</v>
      </c>
      <c r="K29" s="42">
        <v>1.7828999999999999</v>
      </c>
      <c r="L29" s="42">
        <v>1.7828999999999999</v>
      </c>
      <c r="M29" s="42">
        <v>1.7828999999999999</v>
      </c>
      <c r="N29" s="42">
        <v>1.7828999999999999</v>
      </c>
      <c r="O29" s="42">
        <v>1.7828999999999999</v>
      </c>
      <c r="P29" s="42">
        <v>1.7828999999999999</v>
      </c>
      <c r="Q29" s="42">
        <v>1.7828999999999999</v>
      </c>
      <c r="R29" s="42">
        <v>1.7828999999999999</v>
      </c>
      <c r="S29" s="42">
        <v>1.7828999999999999</v>
      </c>
      <c r="T29" s="42">
        <v>1.7828999999999999</v>
      </c>
      <c r="U29" s="42">
        <v>1.7828999999999999</v>
      </c>
      <c r="V29" s="42">
        <v>1.7828999999999999</v>
      </c>
      <c r="W29" s="42">
        <v>1.7828999999999999</v>
      </c>
      <c r="X29" s="42">
        <v>1.7828999999999999</v>
      </c>
      <c r="Y29" s="42">
        <v>1.7828999999999999</v>
      </c>
      <c r="Z29" s="42">
        <v>1.7828999999999999</v>
      </c>
      <c r="AA29" s="42">
        <v>1.7828999999999999</v>
      </c>
      <c r="AB29" s="42">
        <v>1.7828999999999999</v>
      </c>
      <c r="AC29" s="42">
        <v>1.7828999999999999</v>
      </c>
      <c r="AD29" s="42">
        <v>1.7828999999999999</v>
      </c>
      <c r="AE29" s="42">
        <v>1.7828999999999999</v>
      </c>
      <c r="AF29" s="42">
        <v>1.7828999999999999</v>
      </c>
      <c r="AG29" s="42">
        <v>1.7828999999999999</v>
      </c>
      <c r="AH29" s="43">
        <v>-1.9059999999999999E-3</v>
      </c>
    </row>
    <row r="30" spans="1:34" ht="15" customHeight="1">
      <c r="A30" s="35" t="s">
        <v>41</v>
      </c>
      <c r="B30" s="41" t="s">
        <v>42</v>
      </c>
      <c r="C30" s="42">
        <v>0.62180000000000002</v>
      </c>
      <c r="D30" s="42">
        <v>0.62180000000000002</v>
      </c>
      <c r="E30" s="42">
        <v>0.62180000000000002</v>
      </c>
      <c r="F30" s="42">
        <v>0.62180000000000002</v>
      </c>
      <c r="G30" s="42">
        <v>0.62180000000000002</v>
      </c>
      <c r="H30" s="42">
        <v>0.62180000000000002</v>
      </c>
      <c r="I30" s="42">
        <v>0.62180000000000002</v>
      </c>
      <c r="J30" s="42">
        <v>0.62180000000000002</v>
      </c>
      <c r="K30" s="42">
        <v>0.62180000000000002</v>
      </c>
      <c r="L30" s="42">
        <v>0.62180000000000002</v>
      </c>
      <c r="M30" s="42">
        <v>0.62180000000000002</v>
      </c>
      <c r="N30" s="42">
        <v>0.62180000000000002</v>
      </c>
      <c r="O30" s="42">
        <v>0.62180000000000002</v>
      </c>
      <c r="P30" s="42">
        <v>0.62180000000000002</v>
      </c>
      <c r="Q30" s="42">
        <v>0.62180000000000002</v>
      </c>
      <c r="R30" s="42">
        <v>0.62180000000000002</v>
      </c>
      <c r="S30" s="42">
        <v>0.62180000000000002</v>
      </c>
      <c r="T30" s="42">
        <v>0.62180000000000002</v>
      </c>
      <c r="U30" s="42">
        <v>0.62180000000000002</v>
      </c>
      <c r="V30" s="42">
        <v>0.62180000000000002</v>
      </c>
      <c r="W30" s="42">
        <v>0.62180000000000002</v>
      </c>
      <c r="X30" s="42">
        <v>0.62180000000000002</v>
      </c>
      <c r="Y30" s="42">
        <v>0.62180000000000002</v>
      </c>
      <c r="Z30" s="42">
        <v>0.62180000000000002</v>
      </c>
      <c r="AA30" s="42">
        <v>0.62180000000000002</v>
      </c>
      <c r="AB30" s="42">
        <v>0.62180000000000002</v>
      </c>
      <c r="AC30" s="42">
        <v>0.62180000000000002</v>
      </c>
      <c r="AD30" s="42">
        <v>0.62180000000000002</v>
      </c>
      <c r="AE30" s="42">
        <v>0.62180000000000002</v>
      </c>
      <c r="AF30" s="42">
        <v>0.62180000000000002</v>
      </c>
      <c r="AG30" s="42">
        <v>0.62180000000000002</v>
      </c>
      <c r="AH30" s="43">
        <v>0</v>
      </c>
    </row>
    <row r="31" spans="1:34">
      <c r="A31" s="35" t="s">
        <v>43</v>
      </c>
      <c r="B31" s="41" t="s">
        <v>20</v>
      </c>
      <c r="C31" s="42">
        <v>21.979706</v>
      </c>
      <c r="D31" s="42">
        <v>21.979706</v>
      </c>
      <c r="E31" s="42">
        <v>21.979706</v>
      </c>
      <c r="F31" s="42">
        <v>21.801105</v>
      </c>
      <c r="G31" s="42">
        <v>21.801105</v>
      </c>
      <c r="H31" s="42">
        <v>21.801105</v>
      </c>
      <c r="I31" s="42">
        <v>21.801105</v>
      </c>
      <c r="J31" s="42">
        <v>21.801105</v>
      </c>
      <c r="K31" s="42">
        <v>21.801105</v>
      </c>
      <c r="L31" s="42">
        <v>21.801105</v>
      </c>
      <c r="M31" s="42">
        <v>21.801105</v>
      </c>
      <c r="N31" s="42">
        <v>21.801105</v>
      </c>
      <c r="O31" s="42">
        <v>21.801105</v>
      </c>
      <c r="P31" s="42">
        <v>21.801105</v>
      </c>
      <c r="Q31" s="42">
        <v>21.801105</v>
      </c>
      <c r="R31" s="42">
        <v>21.801105</v>
      </c>
      <c r="S31" s="42">
        <v>21.801105</v>
      </c>
      <c r="T31" s="42">
        <v>21.801105</v>
      </c>
      <c r="U31" s="42">
        <v>21.801105</v>
      </c>
      <c r="V31" s="42">
        <v>21.801105</v>
      </c>
      <c r="W31" s="42">
        <v>21.801105</v>
      </c>
      <c r="X31" s="42">
        <v>21.801105</v>
      </c>
      <c r="Y31" s="42">
        <v>21.801105</v>
      </c>
      <c r="Z31" s="42">
        <v>21.801105</v>
      </c>
      <c r="AA31" s="42">
        <v>21.801105</v>
      </c>
      <c r="AB31" s="42">
        <v>21.801105</v>
      </c>
      <c r="AC31" s="42">
        <v>21.801105</v>
      </c>
      <c r="AD31" s="42">
        <v>21.801105</v>
      </c>
      <c r="AE31" s="42">
        <v>21.801105</v>
      </c>
      <c r="AF31" s="42">
        <v>21.801105</v>
      </c>
      <c r="AG31" s="42">
        <v>21.801105</v>
      </c>
      <c r="AH31" s="43">
        <v>-2.72E-4</v>
      </c>
    </row>
    <row r="32" spans="1:34">
      <c r="A32" s="35" t="s">
        <v>44</v>
      </c>
      <c r="B32" s="41" t="s">
        <v>22</v>
      </c>
      <c r="C32" s="42">
        <v>3.1476000000000002</v>
      </c>
      <c r="D32" s="42">
        <v>3.1476000000000002</v>
      </c>
      <c r="E32" s="42">
        <v>3.1476000000000002</v>
      </c>
      <c r="F32" s="42">
        <v>3.1476000000000002</v>
      </c>
      <c r="G32" s="42">
        <v>3.1476000000000002</v>
      </c>
      <c r="H32" s="42">
        <v>3.1476000000000002</v>
      </c>
      <c r="I32" s="42">
        <v>3.1476000000000002</v>
      </c>
      <c r="J32" s="42">
        <v>3.1476000000000002</v>
      </c>
      <c r="K32" s="42">
        <v>3.1476000000000002</v>
      </c>
      <c r="L32" s="42">
        <v>3.1476000000000002</v>
      </c>
      <c r="M32" s="42">
        <v>3.1476000000000002</v>
      </c>
      <c r="N32" s="42">
        <v>3.1476000000000002</v>
      </c>
      <c r="O32" s="42">
        <v>3.1476000000000002</v>
      </c>
      <c r="P32" s="42">
        <v>3.1476000000000002</v>
      </c>
      <c r="Q32" s="42">
        <v>3.1476000000000002</v>
      </c>
      <c r="R32" s="42">
        <v>3.1476000000000002</v>
      </c>
      <c r="S32" s="42">
        <v>3.1476000000000002</v>
      </c>
      <c r="T32" s="42">
        <v>3.1476000000000002</v>
      </c>
      <c r="U32" s="42">
        <v>3.1476000000000002</v>
      </c>
      <c r="V32" s="42">
        <v>3.1476000000000002</v>
      </c>
      <c r="W32" s="42">
        <v>3.1476000000000002</v>
      </c>
      <c r="X32" s="42">
        <v>3.1476000000000002</v>
      </c>
      <c r="Y32" s="42">
        <v>3.1476000000000002</v>
      </c>
      <c r="Z32" s="42">
        <v>3.1476000000000002</v>
      </c>
      <c r="AA32" s="42">
        <v>3.1476000000000002</v>
      </c>
      <c r="AB32" s="42">
        <v>3.1476000000000002</v>
      </c>
      <c r="AC32" s="42">
        <v>3.1476000000000002</v>
      </c>
      <c r="AD32" s="42">
        <v>3.1476000000000002</v>
      </c>
      <c r="AE32" s="42">
        <v>3.1476000000000002</v>
      </c>
      <c r="AF32" s="42">
        <v>3.1476000000000002</v>
      </c>
      <c r="AG32" s="42">
        <v>3.1476000000000002</v>
      </c>
      <c r="AH32" s="43">
        <v>0</v>
      </c>
    </row>
    <row r="33" spans="1:34">
      <c r="A33" s="35" t="s">
        <v>45</v>
      </c>
      <c r="B33" s="41" t="s">
        <v>32</v>
      </c>
      <c r="C33" s="42">
        <v>0.97719999999999996</v>
      </c>
      <c r="D33" s="42">
        <v>0.97919999999999996</v>
      </c>
      <c r="E33" s="42">
        <v>0.97919999999999996</v>
      </c>
      <c r="F33" s="42">
        <v>0.97919999999999996</v>
      </c>
      <c r="G33" s="42">
        <v>0.97919999999999996</v>
      </c>
      <c r="H33" s="42">
        <v>0.97919999999999996</v>
      </c>
      <c r="I33" s="42">
        <v>0.97919999999999996</v>
      </c>
      <c r="J33" s="42">
        <v>0.97919999999999996</v>
      </c>
      <c r="K33" s="42">
        <v>0.97919999999999996</v>
      </c>
      <c r="L33" s="42">
        <v>0.97919999999999996</v>
      </c>
      <c r="M33" s="42">
        <v>0.97919999999999996</v>
      </c>
      <c r="N33" s="42">
        <v>0.97919999999999996</v>
      </c>
      <c r="O33" s="42">
        <v>0.97919999999999996</v>
      </c>
      <c r="P33" s="42">
        <v>0.97919999999999996</v>
      </c>
      <c r="Q33" s="42">
        <v>0.97919999999999996</v>
      </c>
      <c r="R33" s="42">
        <v>0.97919999999999996</v>
      </c>
      <c r="S33" s="42">
        <v>0.97919999999999996</v>
      </c>
      <c r="T33" s="42">
        <v>0.97919999999999996</v>
      </c>
      <c r="U33" s="42">
        <v>0.97919999999999996</v>
      </c>
      <c r="V33" s="42">
        <v>0.97919999999999996</v>
      </c>
      <c r="W33" s="42">
        <v>0.97919999999999996</v>
      </c>
      <c r="X33" s="42">
        <v>0.97919999999999996</v>
      </c>
      <c r="Y33" s="42">
        <v>0.97919999999999996</v>
      </c>
      <c r="Z33" s="42">
        <v>0.97919999999999996</v>
      </c>
      <c r="AA33" s="42">
        <v>0.97919999999999996</v>
      </c>
      <c r="AB33" s="42">
        <v>0.97919999999999996</v>
      </c>
      <c r="AC33" s="42">
        <v>0.97919999999999996</v>
      </c>
      <c r="AD33" s="42">
        <v>0.97919999999999996</v>
      </c>
      <c r="AE33" s="42">
        <v>0.97919999999999996</v>
      </c>
      <c r="AF33" s="42">
        <v>0.97919999999999996</v>
      </c>
      <c r="AG33" s="42">
        <v>0.97919999999999996</v>
      </c>
      <c r="AH33" s="43">
        <v>6.7999999999999999E-5</v>
      </c>
    </row>
    <row r="34" spans="1:34" ht="13">
      <c r="A34" s="35" t="s">
        <v>46</v>
      </c>
      <c r="B34" s="40" t="s">
        <v>37</v>
      </c>
      <c r="C34" s="44">
        <v>28.614205999999999</v>
      </c>
      <c r="D34" s="44">
        <v>28.511206000000001</v>
      </c>
      <c r="E34" s="44">
        <v>28.511206000000001</v>
      </c>
      <c r="F34" s="44">
        <v>28.332605000000001</v>
      </c>
      <c r="G34" s="44">
        <v>28.332605000000001</v>
      </c>
      <c r="H34" s="44">
        <v>28.332605000000001</v>
      </c>
      <c r="I34" s="44">
        <v>28.332605000000001</v>
      </c>
      <c r="J34" s="44">
        <v>28.332605000000001</v>
      </c>
      <c r="K34" s="44">
        <v>28.332605000000001</v>
      </c>
      <c r="L34" s="44">
        <v>28.332605000000001</v>
      </c>
      <c r="M34" s="44">
        <v>28.332605000000001</v>
      </c>
      <c r="N34" s="44">
        <v>28.332605000000001</v>
      </c>
      <c r="O34" s="44">
        <v>28.332605000000001</v>
      </c>
      <c r="P34" s="44">
        <v>28.332605000000001</v>
      </c>
      <c r="Q34" s="44">
        <v>28.332605000000001</v>
      </c>
      <c r="R34" s="44">
        <v>28.332605000000001</v>
      </c>
      <c r="S34" s="44">
        <v>28.332605000000001</v>
      </c>
      <c r="T34" s="44">
        <v>28.332605000000001</v>
      </c>
      <c r="U34" s="44">
        <v>28.332605000000001</v>
      </c>
      <c r="V34" s="44">
        <v>28.332605000000001</v>
      </c>
      <c r="W34" s="44">
        <v>28.332605000000001</v>
      </c>
      <c r="X34" s="44">
        <v>28.332605000000001</v>
      </c>
      <c r="Y34" s="44">
        <v>28.332605000000001</v>
      </c>
      <c r="Z34" s="44">
        <v>28.332605000000001</v>
      </c>
      <c r="AA34" s="44">
        <v>28.332605000000001</v>
      </c>
      <c r="AB34" s="44">
        <v>28.332605000000001</v>
      </c>
      <c r="AC34" s="44">
        <v>28.332605000000001</v>
      </c>
      <c r="AD34" s="44">
        <v>28.332605000000001</v>
      </c>
      <c r="AE34" s="44">
        <v>28.332605000000001</v>
      </c>
      <c r="AF34" s="44">
        <v>28.332605000000001</v>
      </c>
      <c r="AG34" s="44">
        <v>28.332605000000001</v>
      </c>
      <c r="AH34" s="45">
        <v>-3.3E-4</v>
      </c>
    </row>
    <row r="35" spans="1:34" ht="12"/>
    <row r="36" spans="1:34" ht="13">
      <c r="B36" s="40" t="s">
        <v>47</v>
      </c>
    </row>
    <row r="37" spans="1:34">
      <c r="A37" s="35" t="s">
        <v>48</v>
      </c>
      <c r="B37" s="41" t="s">
        <v>40</v>
      </c>
      <c r="C37" s="42" t="s">
        <v>35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2">
        <v>0</v>
      </c>
      <c r="AH37" s="43" t="s">
        <v>35</v>
      </c>
    </row>
    <row r="38" spans="1:34">
      <c r="A38" s="35" t="s">
        <v>49</v>
      </c>
      <c r="B38" s="41" t="s">
        <v>42</v>
      </c>
      <c r="C38" s="42" t="s">
        <v>35</v>
      </c>
      <c r="D38" s="42">
        <v>0</v>
      </c>
      <c r="E38" s="42">
        <v>0</v>
      </c>
      <c r="F38" s="42">
        <v>0</v>
      </c>
      <c r="G38" s="42">
        <v>0</v>
      </c>
      <c r="H38" s="42">
        <v>0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0</v>
      </c>
      <c r="O38" s="42">
        <v>0</v>
      </c>
      <c r="P38" s="42">
        <v>0</v>
      </c>
      <c r="Q38" s="42">
        <v>0</v>
      </c>
      <c r="R38" s="42">
        <v>0</v>
      </c>
      <c r="S38" s="42">
        <v>0</v>
      </c>
      <c r="T38" s="42">
        <v>0</v>
      </c>
      <c r="U38" s="42">
        <v>0</v>
      </c>
      <c r="V38" s="42">
        <v>0</v>
      </c>
      <c r="W38" s="42">
        <v>0</v>
      </c>
      <c r="X38" s="42">
        <v>0</v>
      </c>
      <c r="Y38" s="42">
        <v>0</v>
      </c>
      <c r="Z38" s="42">
        <v>0</v>
      </c>
      <c r="AA38" s="42">
        <v>0</v>
      </c>
      <c r="AB38" s="42">
        <v>0</v>
      </c>
      <c r="AC38" s="42">
        <v>0</v>
      </c>
      <c r="AD38" s="42">
        <v>0</v>
      </c>
      <c r="AE38" s="42">
        <v>0</v>
      </c>
      <c r="AF38" s="42">
        <v>0</v>
      </c>
      <c r="AG38" s="42">
        <v>0</v>
      </c>
      <c r="AH38" s="43" t="s">
        <v>35</v>
      </c>
    </row>
    <row r="39" spans="1:34">
      <c r="A39" s="35" t="s">
        <v>50</v>
      </c>
      <c r="B39" s="41" t="s">
        <v>20</v>
      </c>
      <c r="C39" s="42" t="s">
        <v>35</v>
      </c>
      <c r="D39" s="42">
        <v>3.3792</v>
      </c>
      <c r="E39" s="42">
        <v>17.000202000000002</v>
      </c>
      <c r="F39" s="42">
        <v>17.000202000000002</v>
      </c>
      <c r="G39" s="42">
        <v>17.000202000000002</v>
      </c>
      <c r="H39" s="42">
        <v>17.000202000000002</v>
      </c>
      <c r="I39" s="42">
        <v>17.000202000000002</v>
      </c>
      <c r="J39" s="42">
        <v>17.000202000000002</v>
      </c>
      <c r="K39" s="42">
        <v>17.000202000000002</v>
      </c>
      <c r="L39" s="42">
        <v>17.000202000000002</v>
      </c>
      <c r="M39" s="42">
        <v>17.000202000000002</v>
      </c>
      <c r="N39" s="42">
        <v>17.000202000000002</v>
      </c>
      <c r="O39" s="42">
        <v>17.000202000000002</v>
      </c>
      <c r="P39" s="42">
        <v>17.000202000000002</v>
      </c>
      <c r="Q39" s="42">
        <v>17.000202000000002</v>
      </c>
      <c r="R39" s="42">
        <v>17.000202000000002</v>
      </c>
      <c r="S39" s="42">
        <v>17.000202000000002</v>
      </c>
      <c r="T39" s="42">
        <v>17.000202000000002</v>
      </c>
      <c r="U39" s="42">
        <v>17.000202000000002</v>
      </c>
      <c r="V39" s="42">
        <v>17.000202000000002</v>
      </c>
      <c r="W39" s="42">
        <v>17.000202000000002</v>
      </c>
      <c r="X39" s="42">
        <v>17.000202000000002</v>
      </c>
      <c r="Y39" s="42">
        <v>17.000202000000002</v>
      </c>
      <c r="Z39" s="42">
        <v>17.000202000000002</v>
      </c>
      <c r="AA39" s="42">
        <v>17.000202000000002</v>
      </c>
      <c r="AB39" s="42">
        <v>17.000202000000002</v>
      </c>
      <c r="AC39" s="42">
        <v>17.000202000000002</v>
      </c>
      <c r="AD39" s="42">
        <v>17.000202000000002</v>
      </c>
      <c r="AE39" s="42">
        <v>17.000202000000002</v>
      </c>
      <c r="AF39" s="42">
        <v>17.000202000000002</v>
      </c>
      <c r="AG39" s="42">
        <v>17.000202000000002</v>
      </c>
      <c r="AH39" s="43" t="s">
        <v>35</v>
      </c>
    </row>
    <row r="40" spans="1:34">
      <c r="A40" s="35" t="s">
        <v>51</v>
      </c>
      <c r="B40" s="41" t="s">
        <v>22</v>
      </c>
      <c r="C40" s="42" t="s">
        <v>35</v>
      </c>
      <c r="D40" s="42">
        <v>3.2778</v>
      </c>
      <c r="E40" s="42">
        <v>4.028899</v>
      </c>
      <c r="F40" s="42">
        <v>4.028899</v>
      </c>
      <c r="G40" s="42">
        <v>4.5458990000000004</v>
      </c>
      <c r="H40" s="42">
        <v>4.5458990000000004</v>
      </c>
      <c r="I40" s="42">
        <v>4.5458990000000004</v>
      </c>
      <c r="J40" s="42">
        <v>4.5458990000000004</v>
      </c>
      <c r="K40" s="42">
        <v>4.5458990000000004</v>
      </c>
      <c r="L40" s="42">
        <v>4.5458990000000004</v>
      </c>
      <c r="M40" s="42">
        <v>4.5458990000000004</v>
      </c>
      <c r="N40" s="42">
        <v>4.5458990000000004</v>
      </c>
      <c r="O40" s="42">
        <v>4.5458990000000004</v>
      </c>
      <c r="P40" s="42">
        <v>4.5458990000000004</v>
      </c>
      <c r="Q40" s="42">
        <v>4.5458990000000004</v>
      </c>
      <c r="R40" s="42">
        <v>4.5458990000000004</v>
      </c>
      <c r="S40" s="42">
        <v>4.5458990000000004</v>
      </c>
      <c r="T40" s="42">
        <v>4.5458990000000004</v>
      </c>
      <c r="U40" s="42">
        <v>4.5458990000000004</v>
      </c>
      <c r="V40" s="42">
        <v>4.5458990000000004</v>
      </c>
      <c r="W40" s="42">
        <v>4.5458990000000004</v>
      </c>
      <c r="X40" s="42">
        <v>4.5458990000000004</v>
      </c>
      <c r="Y40" s="42">
        <v>4.5458990000000004</v>
      </c>
      <c r="Z40" s="42">
        <v>4.5458990000000004</v>
      </c>
      <c r="AA40" s="42">
        <v>4.5458990000000004</v>
      </c>
      <c r="AB40" s="42">
        <v>4.5458990000000004</v>
      </c>
      <c r="AC40" s="42">
        <v>4.5458990000000004</v>
      </c>
      <c r="AD40" s="42">
        <v>4.5458990000000004</v>
      </c>
      <c r="AE40" s="42">
        <v>4.5458990000000004</v>
      </c>
      <c r="AF40" s="42">
        <v>4.5458990000000004</v>
      </c>
      <c r="AG40" s="42">
        <v>4.5458990000000004</v>
      </c>
      <c r="AH40" s="43" t="s">
        <v>35</v>
      </c>
    </row>
    <row r="41" spans="1:34">
      <c r="A41" s="35" t="s">
        <v>52</v>
      </c>
      <c r="B41" s="41" t="s">
        <v>53</v>
      </c>
      <c r="C41" s="42" t="s">
        <v>35</v>
      </c>
      <c r="D41" s="42">
        <v>1.1000000000000001</v>
      </c>
      <c r="E41" s="42">
        <v>2.2000000000000002</v>
      </c>
      <c r="F41" s="42">
        <v>2.2000000000000002</v>
      </c>
      <c r="G41" s="42">
        <v>2.2000000000000002</v>
      </c>
      <c r="H41" s="42">
        <v>2.2000000000000002</v>
      </c>
      <c r="I41" s="42">
        <v>2.2000000000000002</v>
      </c>
      <c r="J41" s="42">
        <v>2.2000000000000002</v>
      </c>
      <c r="K41" s="42">
        <v>2.2000000000000002</v>
      </c>
      <c r="L41" s="42">
        <v>2.2000000000000002</v>
      </c>
      <c r="M41" s="42">
        <v>2.2000000000000002</v>
      </c>
      <c r="N41" s="42">
        <v>2.2000000000000002</v>
      </c>
      <c r="O41" s="42">
        <v>2.2000000000000002</v>
      </c>
      <c r="P41" s="42">
        <v>2.2000000000000002</v>
      </c>
      <c r="Q41" s="42">
        <v>2.2000000000000002</v>
      </c>
      <c r="R41" s="42">
        <v>2.2000000000000002</v>
      </c>
      <c r="S41" s="42">
        <v>2.2000000000000002</v>
      </c>
      <c r="T41" s="42">
        <v>2.2000000000000002</v>
      </c>
      <c r="U41" s="42">
        <v>2.2000000000000002</v>
      </c>
      <c r="V41" s="42">
        <v>2.2000000000000002</v>
      </c>
      <c r="W41" s="42">
        <v>2.2000000000000002</v>
      </c>
      <c r="X41" s="42">
        <v>2.2000000000000002</v>
      </c>
      <c r="Y41" s="42">
        <v>2.2000000000000002</v>
      </c>
      <c r="Z41" s="42">
        <v>2.2000000000000002</v>
      </c>
      <c r="AA41" s="42">
        <v>2.2000000000000002</v>
      </c>
      <c r="AB41" s="42">
        <v>2.2000000000000002</v>
      </c>
      <c r="AC41" s="42">
        <v>2.2000000000000002</v>
      </c>
      <c r="AD41" s="42">
        <v>2.2000000000000002</v>
      </c>
      <c r="AE41" s="42">
        <v>2.2000000000000002</v>
      </c>
      <c r="AF41" s="42">
        <v>2.2000000000000002</v>
      </c>
      <c r="AG41" s="42">
        <v>2.2000000000000002</v>
      </c>
      <c r="AH41" s="43" t="s">
        <v>35</v>
      </c>
    </row>
    <row r="42" spans="1:34">
      <c r="A42" s="35" t="s">
        <v>54</v>
      </c>
      <c r="B42" s="41" t="s">
        <v>26</v>
      </c>
      <c r="C42" s="42" t="s">
        <v>35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2">
        <v>0</v>
      </c>
      <c r="AH42" s="43" t="s">
        <v>35</v>
      </c>
    </row>
    <row r="43" spans="1:34">
      <c r="A43" s="35" t="s">
        <v>55</v>
      </c>
      <c r="B43" s="41" t="s">
        <v>28</v>
      </c>
      <c r="C43" s="42" t="s">
        <v>35</v>
      </c>
      <c r="D43" s="42">
        <v>3.7745000000000002</v>
      </c>
      <c r="E43" s="42">
        <v>5.4727990000000002</v>
      </c>
      <c r="F43" s="42">
        <v>6.3837999999999999</v>
      </c>
      <c r="G43" s="42">
        <v>7.0148000000000001</v>
      </c>
      <c r="H43" s="42">
        <v>7.4577999999999998</v>
      </c>
      <c r="I43" s="42">
        <v>7.8688000000000002</v>
      </c>
      <c r="J43" s="42">
        <v>8.2797999999999998</v>
      </c>
      <c r="K43" s="42">
        <v>8.6907999999999994</v>
      </c>
      <c r="L43" s="42">
        <v>9.1017989999999998</v>
      </c>
      <c r="M43" s="42">
        <v>9.5128000000000004</v>
      </c>
      <c r="N43" s="42">
        <v>9.5128000000000004</v>
      </c>
      <c r="O43" s="42">
        <v>9.5128000000000004</v>
      </c>
      <c r="P43" s="42">
        <v>9.5128000000000004</v>
      </c>
      <c r="Q43" s="42">
        <v>9.5128000000000004</v>
      </c>
      <c r="R43" s="42">
        <v>12.462799</v>
      </c>
      <c r="S43" s="42">
        <v>12.462799</v>
      </c>
      <c r="T43" s="42">
        <v>12.462799</v>
      </c>
      <c r="U43" s="42">
        <v>12.462799</v>
      </c>
      <c r="V43" s="42">
        <v>12.462799</v>
      </c>
      <c r="W43" s="42">
        <v>12.7128</v>
      </c>
      <c r="X43" s="42">
        <v>12.7128</v>
      </c>
      <c r="Y43" s="42">
        <v>12.7128</v>
      </c>
      <c r="Z43" s="42">
        <v>12.7128</v>
      </c>
      <c r="AA43" s="42">
        <v>12.7128</v>
      </c>
      <c r="AB43" s="42">
        <v>12.9628</v>
      </c>
      <c r="AC43" s="42">
        <v>12.9628</v>
      </c>
      <c r="AD43" s="42">
        <v>12.9628</v>
      </c>
      <c r="AE43" s="42">
        <v>12.9628</v>
      </c>
      <c r="AF43" s="42">
        <v>12.9628</v>
      </c>
      <c r="AG43" s="42">
        <v>12.9628</v>
      </c>
      <c r="AH43" s="43" t="s">
        <v>35</v>
      </c>
    </row>
    <row r="44" spans="1:34">
      <c r="A44" s="35" t="s">
        <v>56</v>
      </c>
      <c r="B44" s="41" t="s">
        <v>30</v>
      </c>
      <c r="C44" s="42" t="s">
        <v>35</v>
      </c>
      <c r="D44" s="42">
        <v>2.6100000000000002E-2</v>
      </c>
      <c r="E44" s="42">
        <v>2.6100000000000002E-2</v>
      </c>
      <c r="F44" s="42">
        <v>2.6100000000000002E-2</v>
      </c>
      <c r="G44" s="42">
        <v>2.6100000000000002E-2</v>
      </c>
      <c r="H44" s="42">
        <v>2.6100000000000002E-2</v>
      </c>
      <c r="I44" s="42">
        <v>2.6100000000000002E-2</v>
      </c>
      <c r="J44" s="42">
        <v>2.6100000000000002E-2</v>
      </c>
      <c r="K44" s="42">
        <v>2.6100000000000002E-2</v>
      </c>
      <c r="L44" s="42">
        <v>2.6100000000000002E-2</v>
      </c>
      <c r="M44" s="42">
        <v>2.6100000000000002E-2</v>
      </c>
      <c r="N44" s="42">
        <v>2.6100000000000002E-2</v>
      </c>
      <c r="O44" s="42">
        <v>2.6100000000000002E-2</v>
      </c>
      <c r="P44" s="42">
        <v>2.6100000000000002E-2</v>
      </c>
      <c r="Q44" s="42">
        <v>2.6100000000000002E-2</v>
      </c>
      <c r="R44" s="42">
        <v>2.6100000000000002E-2</v>
      </c>
      <c r="S44" s="42">
        <v>2.6100000000000002E-2</v>
      </c>
      <c r="T44" s="42">
        <v>2.6100000000000002E-2</v>
      </c>
      <c r="U44" s="42">
        <v>2.6100000000000002E-2</v>
      </c>
      <c r="V44" s="42">
        <v>2.6100000000000002E-2</v>
      </c>
      <c r="W44" s="42">
        <v>2.6100000000000002E-2</v>
      </c>
      <c r="X44" s="42">
        <v>2.6100000000000002E-2</v>
      </c>
      <c r="Y44" s="42">
        <v>2.6100000000000002E-2</v>
      </c>
      <c r="Z44" s="42">
        <v>2.6100000000000002E-2</v>
      </c>
      <c r="AA44" s="42">
        <v>2.6100000000000002E-2</v>
      </c>
      <c r="AB44" s="42">
        <v>2.6100000000000002E-2</v>
      </c>
      <c r="AC44" s="42">
        <v>2.6100000000000002E-2</v>
      </c>
      <c r="AD44" s="42">
        <v>2.6100000000000002E-2</v>
      </c>
      <c r="AE44" s="42">
        <v>2.6100000000000002E-2</v>
      </c>
      <c r="AF44" s="42">
        <v>2.6100000000000002E-2</v>
      </c>
      <c r="AG44" s="42">
        <v>2.6100000000000002E-2</v>
      </c>
      <c r="AH44" s="43" t="s">
        <v>35</v>
      </c>
    </row>
    <row r="45" spans="1:34">
      <c r="A45" s="35" t="s">
        <v>57</v>
      </c>
      <c r="B45" s="41" t="s">
        <v>32</v>
      </c>
      <c r="C45" s="42" t="s">
        <v>35</v>
      </c>
      <c r="D45" s="42">
        <v>19.650895999999999</v>
      </c>
      <c r="E45" s="42">
        <v>29.922706999999999</v>
      </c>
      <c r="F45" s="42">
        <v>32.861702000000001</v>
      </c>
      <c r="G45" s="42">
        <v>33.421703000000001</v>
      </c>
      <c r="H45" s="42">
        <v>33.421703000000001</v>
      </c>
      <c r="I45" s="42">
        <v>33.421703000000001</v>
      </c>
      <c r="J45" s="42">
        <v>33.421703000000001</v>
      </c>
      <c r="K45" s="42">
        <v>35.421706999999998</v>
      </c>
      <c r="L45" s="42">
        <v>35.421706999999998</v>
      </c>
      <c r="M45" s="42">
        <v>42.521709000000001</v>
      </c>
      <c r="N45" s="42">
        <v>42.521709000000001</v>
      </c>
      <c r="O45" s="42">
        <v>42.521709000000001</v>
      </c>
      <c r="P45" s="42">
        <v>42.521709000000001</v>
      </c>
      <c r="Q45" s="42">
        <v>47.721705999999998</v>
      </c>
      <c r="R45" s="42">
        <v>55.921703000000001</v>
      </c>
      <c r="S45" s="42">
        <v>55.921703000000001</v>
      </c>
      <c r="T45" s="42">
        <v>55.921703000000001</v>
      </c>
      <c r="U45" s="42">
        <v>55.921703000000001</v>
      </c>
      <c r="V45" s="42">
        <v>55.921703000000001</v>
      </c>
      <c r="W45" s="42">
        <v>55.921703000000001</v>
      </c>
      <c r="X45" s="42">
        <v>55.921703000000001</v>
      </c>
      <c r="Y45" s="42">
        <v>55.921703000000001</v>
      </c>
      <c r="Z45" s="42">
        <v>55.921703000000001</v>
      </c>
      <c r="AA45" s="42">
        <v>55.921703000000001</v>
      </c>
      <c r="AB45" s="42">
        <v>55.921703000000001</v>
      </c>
      <c r="AC45" s="42">
        <v>55.921703000000001</v>
      </c>
      <c r="AD45" s="42">
        <v>55.921703000000001</v>
      </c>
      <c r="AE45" s="42">
        <v>55.921703000000001</v>
      </c>
      <c r="AF45" s="42">
        <v>55.921703000000001</v>
      </c>
      <c r="AG45" s="42">
        <v>55.921703000000001</v>
      </c>
      <c r="AH45" s="43" t="s">
        <v>35</v>
      </c>
    </row>
    <row r="46" spans="1:34">
      <c r="A46" s="35" t="s">
        <v>58</v>
      </c>
      <c r="B46" s="41" t="s">
        <v>59</v>
      </c>
      <c r="C46" s="42" t="s">
        <v>35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2">
        <v>0</v>
      </c>
      <c r="AH46" s="43" t="s">
        <v>35</v>
      </c>
    </row>
    <row r="47" spans="1:34" ht="13">
      <c r="A47" s="35" t="s">
        <v>60</v>
      </c>
      <c r="B47" s="40" t="s">
        <v>37</v>
      </c>
      <c r="C47" s="44" t="s">
        <v>35</v>
      </c>
      <c r="D47" s="44">
        <v>31.208511000000001</v>
      </c>
      <c r="E47" s="44">
        <v>58.650719000000002</v>
      </c>
      <c r="F47" s="44">
        <v>62.500725000000003</v>
      </c>
      <c r="G47" s="44">
        <v>64.208716999999993</v>
      </c>
      <c r="H47" s="44">
        <v>64.651718000000002</v>
      </c>
      <c r="I47" s="44">
        <v>65.062720999999996</v>
      </c>
      <c r="J47" s="44">
        <v>65.473724000000004</v>
      </c>
      <c r="K47" s="44">
        <v>67.884720000000002</v>
      </c>
      <c r="L47" s="44">
        <v>68.295722999999995</v>
      </c>
      <c r="M47" s="44">
        <v>75.806725</v>
      </c>
      <c r="N47" s="44">
        <v>75.806725</v>
      </c>
      <c r="O47" s="44">
        <v>75.806725</v>
      </c>
      <c r="P47" s="44">
        <v>75.806725</v>
      </c>
      <c r="Q47" s="44">
        <v>81.006729000000007</v>
      </c>
      <c r="R47" s="44">
        <v>92.156730999999994</v>
      </c>
      <c r="S47" s="44">
        <v>92.156730999999994</v>
      </c>
      <c r="T47" s="44">
        <v>92.156730999999994</v>
      </c>
      <c r="U47" s="44">
        <v>92.156730999999994</v>
      </c>
      <c r="V47" s="44">
        <v>92.156730999999994</v>
      </c>
      <c r="W47" s="44">
        <v>92.406730999999994</v>
      </c>
      <c r="X47" s="44">
        <v>92.406730999999994</v>
      </c>
      <c r="Y47" s="44">
        <v>92.406730999999994</v>
      </c>
      <c r="Z47" s="44">
        <v>92.406730999999994</v>
      </c>
      <c r="AA47" s="44">
        <v>92.406730999999994</v>
      </c>
      <c r="AB47" s="44">
        <v>92.656730999999994</v>
      </c>
      <c r="AC47" s="44">
        <v>92.656730999999994</v>
      </c>
      <c r="AD47" s="44">
        <v>92.656730999999994</v>
      </c>
      <c r="AE47" s="44">
        <v>92.656730999999994</v>
      </c>
      <c r="AF47" s="44">
        <v>92.656730999999994</v>
      </c>
      <c r="AG47" s="44">
        <v>92.656730999999994</v>
      </c>
      <c r="AH47" s="45" t="s">
        <v>35</v>
      </c>
    </row>
    <row r="48" spans="1:34" ht="13">
      <c r="B48" s="40" t="s">
        <v>61</v>
      </c>
    </row>
    <row r="49" spans="1:34">
      <c r="A49" s="35" t="s">
        <v>62</v>
      </c>
      <c r="B49" s="41" t="s">
        <v>40</v>
      </c>
      <c r="C49" s="42" t="s">
        <v>35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2">
        <v>0</v>
      </c>
      <c r="AH49" s="43" t="s">
        <v>35</v>
      </c>
    </row>
    <row r="50" spans="1:34" ht="15" customHeight="1">
      <c r="A50" s="35" t="s">
        <v>63</v>
      </c>
      <c r="B50" s="41" t="s">
        <v>42</v>
      </c>
      <c r="C50" s="42" t="s">
        <v>35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2">
        <v>0</v>
      </c>
      <c r="AH50" s="43" t="s">
        <v>35</v>
      </c>
    </row>
    <row r="51" spans="1:34" ht="15" customHeight="1">
      <c r="A51" s="35" t="s">
        <v>64</v>
      </c>
      <c r="B51" s="41" t="s">
        <v>20</v>
      </c>
      <c r="C51" s="42" t="s">
        <v>35</v>
      </c>
      <c r="D51" s="42">
        <v>0</v>
      </c>
      <c r="E51" s="42">
        <v>0</v>
      </c>
      <c r="F51" s="42">
        <v>6.8555109999999999</v>
      </c>
      <c r="G51" s="42">
        <v>16.450566999999999</v>
      </c>
      <c r="H51" s="42">
        <v>38.256062</v>
      </c>
      <c r="I51" s="42">
        <v>58.905982999999999</v>
      </c>
      <c r="J51" s="42">
        <v>83.765274000000005</v>
      </c>
      <c r="K51" s="42">
        <v>90.179405000000003</v>
      </c>
      <c r="L51" s="42">
        <v>95.041961999999998</v>
      </c>
      <c r="M51" s="42">
        <v>100.935455</v>
      </c>
      <c r="N51" s="42">
        <v>107.211006</v>
      </c>
      <c r="O51" s="42">
        <v>113.17733</v>
      </c>
      <c r="P51" s="42">
        <v>117.945724</v>
      </c>
      <c r="Q51" s="42">
        <v>122.96219600000001</v>
      </c>
      <c r="R51" s="42">
        <v>127.695549</v>
      </c>
      <c r="S51" s="42">
        <v>133.23320000000001</v>
      </c>
      <c r="T51" s="42">
        <v>140.04530299999999</v>
      </c>
      <c r="U51" s="42">
        <v>146.252274</v>
      </c>
      <c r="V51" s="42">
        <v>151.44778400000001</v>
      </c>
      <c r="W51" s="42">
        <v>157.12399300000001</v>
      </c>
      <c r="X51" s="42">
        <v>162.22753900000001</v>
      </c>
      <c r="Y51" s="42">
        <v>168.328506</v>
      </c>
      <c r="Z51" s="42">
        <v>176.74975599999999</v>
      </c>
      <c r="AA51" s="42">
        <v>186.22479200000001</v>
      </c>
      <c r="AB51" s="42">
        <v>191.347137</v>
      </c>
      <c r="AC51" s="42">
        <v>196.818207</v>
      </c>
      <c r="AD51" s="42">
        <v>202.66996800000001</v>
      </c>
      <c r="AE51" s="42">
        <v>209.540695</v>
      </c>
      <c r="AF51" s="42">
        <v>213.72131300000001</v>
      </c>
      <c r="AG51" s="42">
        <v>219.86515800000001</v>
      </c>
      <c r="AH51" s="43" t="s">
        <v>35</v>
      </c>
    </row>
    <row r="52" spans="1:34" ht="15" customHeight="1">
      <c r="A52" s="35" t="s">
        <v>65</v>
      </c>
      <c r="B52" s="41" t="s">
        <v>22</v>
      </c>
      <c r="C52" s="42" t="s">
        <v>35</v>
      </c>
      <c r="D52" s="42">
        <v>8.7081459999999993</v>
      </c>
      <c r="E52" s="42">
        <v>13.355809000000001</v>
      </c>
      <c r="F52" s="42">
        <v>19.833431000000001</v>
      </c>
      <c r="G52" s="42">
        <v>26.814488999999998</v>
      </c>
      <c r="H52" s="42">
        <v>43.190497999999998</v>
      </c>
      <c r="I52" s="42">
        <v>53.946213</v>
      </c>
      <c r="J52" s="42">
        <v>60.250495999999998</v>
      </c>
      <c r="K52" s="42">
        <v>65.372116000000005</v>
      </c>
      <c r="L52" s="42">
        <v>69.087692000000004</v>
      </c>
      <c r="M52" s="42">
        <v>73.102401999999998</v>
      </c>
      <c r="N52" s="42">
        <v>76.990356000000006</v>
      </c>
      <c r="O52" s="42">
        <v>81.154197999999994</v>
      </c>
      <c r="P52" s="42">
        <v>84.302963000000005</v>
      </c>
      <c r="Q52" s="42">
        <v>88.756134000000003</v>
      </c>
      <c r="R52" s="42">
        <v>94.347572</v>
      </c>
      <c r="S52" s="42">
        <v>98.653747999999993</v>
      </c>
      <c r="T52" s="42">
        <v>103.060608</v>
      </c>
      <c r="U52" s="42">
        <v>106.163765</v>
      </c>
      <c r="V52" s="42">
        <v>109.662178</v>
      </c>
      <c r="W52" s="42">
        <v>115.25361599999999</v>
      </c>
      <c r="X52" s="42">
        <v>118.759636</v>
      </c>
      <c r="Y52" s="42">
        <v>125.399483</v>
      </c>
      <c r="Z52" s="42">
        <v>130.790558</v>
      </c>
      <c r="AA52" s="42">
        <v>135.41630599999999</v>
      </c>
      <c r="AB52" s="42">
        <v>143.28834499999999</v>
      </c>
      <c r="AC52" s="42">
        <v>148.84458900000001</v>
      </c>
      <c r="AD52" s="42">
        <v>153.71923799999999</v>
      </c>
      <c r="AE52" s="42">
        <v>158.76603700000001</v>
      </c>
      <c r="AF52" s="42">
        <v>162.78370699999999</v>
      </c>
      <c r="AG52" s="42">
        <v>170.64920000000001</v>
      </c>
      <c r="AH52" s="43" t="s">
        <v>35</v>
      </c>
    </row>
    <row r="53" spans="1:34" ht="15" customHeight="1">
      <c r="A53" s="35" t="s">
        <v>66</v>
      </c>
      <c r="B53" s="41" t="s">
        <v>53</v>
      </c>
      <c r="C53" s="42" t="s">
        <v>35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2">
        <v>0</v>
      </c>
      <c r="AH53" s="43" t="s">
        <v>35</v>
      </c>
    </row>
    <row r="54" spans="1:34" ht="15" customHeight="1">
      <c r="A54" s="35" t="s">
        <v>67</v>
      </c>
      <c r="B54" s="41" t="s">
        <v>26</v>
      </c>
      <c r="C54" s="42" t="s">
        <v>35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2">
        <v>0</v>
      </c>
      <c r="AH54" s="43" t="s">
        <v>35</v>
      </c>
    </row>
    <row r="55" spans="1:34" ht="15" customHeight="1">
      <c r="A55" s="35" t="s">
        <v>68</v>
      </c>
      <c r="B55" s="41" t="s">
        <v>28</v>
      </c>
      <c r="C55" s="42" t="s">
        <v>35</v>
      </c>
      <c r="D55" s="42">
        <v>0</v>
      </c>
      <c r="E55" s="42">
        <v>0</v>
      </c>
      <c r="F55" s="42">
        <v>0</v>
      </c>
      <c r="G55" s="42">
        <v>3.1725999999999997E-2</v>
      </c>
      <c r="H55" s="42">
        <v>0.44206699999999999</v>
      </c>
      <c r="I55" s="42">
        <v>0.44847100000000001</v>
      </c>
      <c r="J55" s="42">
        <v>0.46052799999999999</v>
      </c>
      <c r="K55" s="42">
        <v>0.46052799999999999</v>
      </c>
      <c r="L55" s="42">
        <v>0.46052799999999999</v>
      </c>
      <c r="M55" s="42">
        <v>0.46052799999999999</v>
      </c>
      <c r="N55" s="42">
        <v>0.46052799999999999</v>
      </c>
      <c r="O55" s="42">
        <v>0.46572599999999997</v>
      </c>
      <c r="P55" s="42">
        <v>0.46572599999999997</v>
      </c>
      <c r="Q55" s="42">
        <v>0.46572599999999997</v>
      </c>
      <c r="R55" s="42">
        <v>0.47096199999999999</v>
      </c>
      <c r="S55" s="42">
        <v>0.54891699999999999</v>
      </c>
      <c r="T55" s="42">
        <v>0.54891699999999999</v>
      </c>
      <c r="U55" s="42">
        <v>0.54891699999999999</v>
      </c>
      <c r="V55" s="42">
        <v>0.54891699999999999</v>
      </c>
      <c r="W55" s="42">
        <v>0.54891699999999999</v>
      </c>
      <c r="X55" s="42">
        <v>0.54891699999999999</v>
      </c>
      <c r="Y55" s="42">
        <v>0.54891699999999999</v>
      </c>
      <c r="Z55" s="42">
        <v>0.54891699999999999</v>
      </c>
      <c r="AA55" s="42">
        <v>0.54891699999999999</v>
      </c>
      <c r="AB55" s="42">
        <v>0.54891699999999999</v>
      </c>
      <c r="AC55" s="42">
        <v>0.54891699999999999</v>
      </c>
      <c r="AD55" s="42">
        <v>0.62841499999999995</v>
      </c>
      <c r="AE55" s="42">
        <v>0.92449499999999996</v>
      </c>
      <c r="AF55" s="42">
        <v>1.1476280000000001</v>
      </c>
      <c r="AG55" s="42">
        <v>1.666782</v>
      </c>
      <c r="AH55" s="43" t="s">
        <v>35</v>
      </c>
    </row>
    <row r="56" spans="1:34" ht="15" customHeight="1">
      <c r="A56" s="35" t="s">
        <v>69</v>
      </c>
      <c r="B56" s="41" t="s">
        <v>30</v>
      </c>
      <c r="C56" s="42" t="s">
        <v>35</v>
      </c>
      <c r="D56" s="42">
        <v>0</v>
      </c>
      <c r="E56" s="42">
        <v>0</v>
      </c>
      <c r="F56" s="42">
        <v>1.0970000000000001E-3</v>
      </c>
      <c r="G56" s="42">
        <v>2.1979999999999999E-3</v>
      </c>
      <c r="H56" s="42">
        <v>2.1979999999999999E-3</v>
      </c>
      <c r="I56" s="42">
        <v>2.1979999999999999E-3</v>
      </c>
      <c r="J56" s="42">
        <v>2.1979999999999999E-3</v>
      </c>
      <c r="K56" s="42">
        <v>2.1979999999999999E-3</v>
      </c>
      <c r="L56" s="42">
        <v>2.1979999999999999E-3</v>
      </c>
      <c r="M56" s="42">
        <v>2.1979999999999999E-3</v>
      </c>
      <c r="N56" s="42">
        <v>2.1979999999999999E-3</v>
      </c>
      <c r="O56" s="42">
        <v>2.1979999999999999E-3</v>
      </c>
      <c r="P56" s="42">
        <v>2.1979999999999999E-3</v>
      </c>
      <c r="Q56" s="42">
        <v>2.1979999999999999E-3</v>
      </c>
      <c r="R56" s="42">
        <v>3.2429999999999998E-3</v>
      </c>
      <c r="S56" s="42">
        <v>3.2429999999999998E-3</v>
      </c>
      <c r="T56" s="42">
        <v>3.2429999999999998E-3</v>
      </c>
      <c r="U56" s="42">
        <v>3.2429999999999998E-3</v>
      </c>
      <c r="V56" s="42">
        <v>3.2429999999999998E-3</v>
      </c>
      <c r="W56" s="42">
        <v>3.2429999999999998E-3</v>
      </c>
      <c r="X56" s="42">
        <v>3.2429999999999998E-3</v>
      </c>
      <c r="Y56" s="42">
        <v>3.2429999999999998E-3</v>
      </c>
      <c r="Z56" s="42">
        <v>3.2429999999999998E-3</v>
      </c>
      <c r="AA56" s="42">
        <v>3.2429999999999998E-3</v>
      </c>
      <c r="AB56" s="42">
        <v>3.2429999999999998E-3</v>
      </c>
      <c r="AC56" s="42">
        <v>3.2429999999999998E-3</v>
      </c>
      <c r="AD56" s="42">
        <v>4.2449999999999996E-3</v>
      </c>
      <c r="AE56" s="42">
        <v>4.2449999999999996E-3</v>
      </c>
      <c r="AF56" s="42">
        <v>4.2449999999999996E-3</v>
      </c>
      <c r="AG56" s="42">
        <v>4.2449999999999996E-3</v>
      </c>
      <c r="AH56" s="43" t="s">
        <v>35</v>
      </c>
    </row>
    <row r="57" spans="1:34" ht="15" customHeight="1">
      <c r="A57" s="35" t="s">
        <v>70</v>
      </c>
      <c r="B57" s="41" t="s">
        <v>32</v>
      </c>
      <c r="C57" s="42" t="s">
        <v>35</v>
      </c>
      <c r="D57" s="42">
        <v>0.100994</v>
      </c>
      <c r="E57" s="42">
        <v>8.8666490000000007</v>
      </c>
      <c r="F57" s="42">
        <v>37.973278000000001</v>
      </c>
      <c r="G57" s="42">
        <v>72.677268999999995</v>
      </c>
      <c r="H57" s="42">
        <v>92.013435000000001</v>
      </c>
      <c r="I57" s="42">
        <v>105.69729599999999</v>
      </c>
      <c r="J57" s="42">
        <v>112.43943</v>
      </c>
      <c r="K57" s="42">
        <v>117.455681</v>
      </c>
      <c r="L57" s="42">
        <v>128.147919</v>
      </c>
      <c r="M57" s="42">
        <v>129.800873</v>
      </c>
      <c r="N57" s="42">
        <v>133.75157200000001</v>
      </c>
      <c r="O57" s="42">
        <v>139.453003</v>
      </c>
      <c r="P57" s="42">
        <v>146.11961400000001</v>
      </c>
      <c r="Q57" s="42">
        <v>151.96945199999999</v>
      </c>
      <c r="R57" s="42">
        <v>157.02372700000001</v>
      </c>
      <c r="S57" s="42">
        <v>166.94049100000001</v>
      </c>
      <c r="T57" s="42">
        <v>173.512833</v>
      </c>
      <c r="U57" s="42">
        <v>183.321091</v>
      </c>
      <c r="V57" s="42">
        <v>188.56845100000001</v>
      </c>
      <c r="W57" s="42">
        <v>194.92855800000001</v>
      </c>
      <c r="X57" s="42">
        <v>200.07630900000001</v>
      </c>
      <c r="Y57" s="42">
        <v>204.78831500000001</v>
      </c>
      <c r="Z57" s="42">
        <v>211.80543499999999</v>
      </c>
      <c r="AA57" s="42">
        <v>221.25636299999999</v>
      </c>
      <c r="AB57" s="42">
        <v>230.58656300000001</v>
      </c>
      <c r="AC57" s="42">
        <v>243.582413</v>
      </c>
      <c r="AD57" s="42">
        <v>260.67590300000001</v>
      </c>
      <c r="AE57" s="42">
        <v>282.23745700000001</v>
      </c>
      <c r="AF57" s="42">
        <v>307.169464</v>
      </c>
      <c r="AG57" s="42">
        <v>317.91125499999998</v>
      </c>
      <c r="AH57" s="43" t="s">
        <v>35</v>
      </c>
    </row>
    <row r="58" spans="1:34" ht="15" customHeight="1">
      <c r="A58" s="35" t="s">
        <v>71</v>
      </c>
      <c r="B58" s="41" t="s">
        <v>59</v>
      </c>
      <c r="C58" s="42" t="s">
        <v>35</v>
      </c>
      <c r="D58" s="42">
        <v>0</v>
      </c>
      <c r="E58" s="42">
        <v>1.5576829999999999</v>
      </c>
      <c r="F58" s="42">
        <v>2.029814</v>
      </c>
      <c r="G58" s="42">
        <v>2.5895380000000001</v>
      </c>
      <c r="H58" s="42">
        <v>3.7884250000000002</v>
      </c>
      <c r="I58" s="42">
        <v>4.3695849999999998</v>
      </c>
      <c r="J58" s="42">
        <v>5.0523239999999996</v>
      </c>
      <c r="K58" s="42">
        <v>5.9726509999999999</v>
      </c>
      <c r="L58" s="42">
        <v>6.8292250000000001</v>
      </c>
      <c r="M58" s="42">
        <v>7.5518710000000002</v>
      </c>
      <c r="N58" s="42">
        <v>8.3369949999999999</v>
      </c>
      <c r="O58" s="42">
        <v>9.1962609999999998</v>
      </c>
      <c r="P58" s="42">
        <v>10.102161000000001</v>
      </c>
      <c r="Q58" s="42">
        <v>11.118252999999999</v>
      </c>
      <c r="R58" s="42">
        <v>12.202368</v>
      </c>
      <c r="S58" s="42">
        <v>13.468646</v>
      </c>
      <c r="T58" s="42">
        <v>14.828192</v>
      </c>
      <c r="U58" s="42">
        <v>16.063656000000002</v>
      </c>
      <c r="V58" s="42">
        <v>17.337409999999998</v>
      </c>
      <c r="W58" s="42">
        <v>18.650296999999998</v>
      </c>
      <c r="X58" s="42">
        <v>19.995911</v>
      </c>
      <c r="Y58" s="42">
        <v>21.409272999999999</v>
      </c>
      <c r="Z58" s="42">
        <v>23.142251999999999</v>
      </c>
      <c r="AA58" s="42">
        <v>24.906137000000001</v>
      </c>
      <c r="AB58" s="42">
        <v>26.691203999999999</v>
      </c>
      <c r="AC58" s="42">
        <v>28.452904</v>
      </c>
      <c r="AD58" s="42">
        <v>30.297573</v>
      </c>
      <c r="AE58" s="42">
        <v>32.29063</v>
      </c>
      <c r="AF58" s="42">
        <v>34.308743</v>
      </c>
      <c r="AG58" s="42">
        <v>36.505851999999997</v>
      </c>
      <c r="AH58" s="43" t="s">
        <v>35</v>
      </c>
    </row>
    <row r="59" spans="1:34" ht="15" customHeight="1">
      <c r="A59" s="35" t="s">
        <v>72</v>
      </c>
      <c r="B59" s="40" t="s">
        <v>37</v>
      </c>
      <c r="C59" s="44" t="s">
        <v>35</v>
      </c>
      <c r="D59" s="44">
        <v>8.8091390000000001</v>
      </c>
      <c r="E59" s="44">
        <v>23.780142000000001</v>
      </c>
      <c r="F59" s="44">
        <v>66.693123</v>
      </c>
      <c r="G59" s="44">
        <v>118.565781</v>
      </c>
      <c r="H59" s="44">
        <v>177.69270299999999</v>
      </c>
      <c r="I59" s="44">
        <v>223.36970500000001</v>
      </c>
      <c r="J59" s="44">
        <v>261.97018400000002</v>
      </c>
      <c r="K59" s="44">
        <v>279.44250499999998</v>
      </c>
      <c r="L59" s="44">
        <v>299.56939699999998</v>
      </c>
      <c r="M59" s="44">
        <v>311.85327100000001</v>
      </c>
      <c r="N59" s="44">
        <v>326.75259399999999</v>
      </c>
      <c r="O59" s="44">
        <v>343.448669</v>
      </c>
      <c r="P59" s="44">
        <v>358.938354</v>
      </c>
      <c r="Q59" s="44">
        <v>375.27404799999999</v>
      </c>
      <c r="R59" s="44">
        <v>391.74343900000002</v>
      </c>
      <c r="S59" s="44">
        <v>412.84817500000003</v>
      </c>
      <c r="T59" s="44">
        <v>431.99893200000002</v>
      </c>
      <c r="U59" s="44">
        <v>452.35299700000002</v>
      </c>
      <c r="V59" s="44">
        <v>467.56793199999998</v>
      </c>
      <c r="W59" s="44">
        <v>486.50869799999998</v>
      </c>
      <c r="X59" s="44">
        <v>501.611603</v>
      </c>
      <c r="Y59" s="44">
        <v>520.47778300000004</v>
      </c>
      <c r="Z59" s="44">
        <v>543.04028300000004</v>
      </c>
      <c r="AA59" s="44">
        <v>568.35583499999996</v>
      </c>
      <c r="AB59" s="44">
        <v>592.46545400000002</v>
      </c>
      <c r="AC59" s="44">
        <v>618.25018299999999</v>
      </c>
      <c r="AD59" s="44">
        <v>647.99548300000004</v>
      </c>
      <c r="AE59" s="44">
        <v>683.76336700000002</v>
      </c>
      <c r="AF59" s="44">
        <v>719.13476600000001</v>
      </c>
      <c r="AG59" s="44">
        <v>746.60253899999998</v>
      </c>
      <c r="AH59" s="45" t="s">
        <v>35</v>
      </c>
    </row>
    <row r="60" spans="1:34" ht="15" customHeight="1">
      <c r="A60" s="35" t="s">
        <v>73</v>
      </c>
      <c r="B60" s="40" t="s">
        <v>127</v>
      </c>
      <c r="C60" s="44" t="s">
        <v>35</v>
      </c>
      <c r="D60" s="44">
        <v>40.017651000000001</v>
      </c>
      <c r="E60" s="44">
        <v>82.430862000000005</v>
      </c>
      <c r="F60" s="44">
        <v>129.193848</v>
      </c>
      <c r="G60" s="44">
        <v>182.774506</v>
      </c>
      <c r="H60" s="44">
        <v>242.34442100000001</v>
      </c>
      <c r="I60" s="44">
        <v>288.432434</v>
      </c>
      <c r="J60" s="44">
        <v>327.44390900000002</v>
      </c>
      <c r="K60" s="44">
        <v>347.32720899999998</v>
      </c>
      <c r="L60" s="44">
        <v>367.86511200000001</v>
      </c>
      <c r="M60" s="44">
        <v>387.66000400000001</v>
      </c>
      <c r="N60" s="44">
        <v>402.559326</v>
      </c>
      <c r="O60" s="44">
        <v>419.255402</v>
      </c>
      <c r="P60" s="44">
        <v>434.74508700000001</v>
      </c>
      <c r="Q60" s="44">
        <v>456.28076199999998</v>
      </c>
      <c r="R60" s="44">
        <v>483.90017699999999</v>
      </c>
      <c r="S60" s="44">
        <v>505.00491299999999</v>
      </c>
      <c r="T60" s="44">
        <v>524.15563999999995</v>
      </c>
      <c r="U60" s="44">
        <v>544.50970500000005</v>
      </c>
      <c r="V60" s="44">
        <v>559.72466999999995</v>
      </c>
      <c r="W60" s="44">
        <v>578.91540499999996</v>
      </c>
      <c r="X60" s="44">
        <v>594.01831100000004</v>
      </c>
      <c r="Y60" s="44">
        <v>612.88452099999995</v>
      </c>
      <c r="Z60" s="44">
        <v>635.44702099999995</v>
      </c>
      <c r="AA60" s="44">
        <v>660.76257299999997</v>
      </c>
      <c r="AB60" s="44">
        <v>685.12219200000004</v>
      </c>
      <c r="AC60" s="44">
        <v>710.90692100000001</v>
      </c>
      <c r="AD60" s="44">
        <v>740.65222200000005</v>
      </c>
      <c r="AE60" s="44">
        <v>776.42010500000004</v>
      </c>
      <c r="AF60" s="44">
        <v>811.79150400000003</v>
      </c>
      <c r="AG60" s="44">
        <v>839.259277</v>
      </c>
      <c r="AH60" s="45" t="s">
        <v>35</v>
      </c>
    </row>
    <row r="62" spans="1:34" ht="15" customHeight="1">
      <c r="B62" s="40" t="s">
        <v>74</v>
      </c>
    </row>
    <row r="63" spans="1:34" ht="15" customHeight="1">
      <c r="A63" s="35" t="s">
        <v>75</v>
      </c>
      <c r="B63" s="41" t="s">
        <v>40</v>
      </c>
      <c r="C63" s="42" t="s">
        <v>35</v>
      </c>
      <c r="D63" s="42">
        <v>4.5084</v>
      </c>
      <c r="E63" s="42">
        <v>9.2206989999999998</v>
      </c>
      <c r="F63" s="42">
        <v>29.479296000000001</v>
      </c>
      <c r="G63" s="42">
        <v>39.575901000000002</v>
      </c>
      <c r="H63" s="42">
        <v>89.742378000000002</v>
      </c>
      <c r="I63" s="42">
        <v>93.867583999999994</v>
      </c>
      <c r="J63" s="42">
        <v>102.27149199999999</v>
      </c>
      <c r="K63" s="42">
        <v>105.572487</v>
      </c>
      <c r="L63" s="42">
        <v>108.06199599999999</v>
      </c>
      <c r="M63" s="42">
        <v>110.594002</v>
      </c>
      <c r="N63" s="42">
        <v>112.012001</v>
      </c>
      <c r="O63" s="42">
        <v>114.851006</v>
      </c>
      <c r="P63" s="42">
        <v>116.470009</v>
      </c>
      <c r="Q63" s="42">
        <v>118.60580400000001</v>
      </c>
      <c r="R63" s="42">
        <v>120.22180899999999</v>
      </c>
      <c r="S63" s="42">
        <v>120.22180899999999</v>
      </c>
      <c r="T63" s="42">
        <v>120.56081399999999</v>
      </c>
      <c r="U63" s="42">
        <v>122.68079400000001</v>
      </c>
      <c r="V63" s="42">
        <v>123.01979799999999</v>
      </c>
      <c r="W63" s="42">
        <v>123.01979799999999</v>
      </c>
      <c r="X63" s="42">
        <v>123.35979500000001</v>
      </c>
      <c r="Y63" s="42">
        <v>123.35979500000001</v>
      </c>
      <c r="Z63" s="42">
        <v>123.35979500000001</v>
      </c>
      <c r="AA63" s="42">
        <v>123.380791</v>
      </c>
      <c r="AB63" s="42">
        <v>126.309792</v>
      </c>
      <c r="AC63" s="42">
        <v>126.989799</v>
      </c>
      <c r="AD63" s="42">
        <v>126.989799</v>
      </c>
      <c r="AE63" s="42">
        <v>128.09979200000001</v>
      </c>
      <c r="AF63" s="42">
        <v>128.09979200000001</v>
      </c>
      <c r="AG63" s="42">
        <v>128.09979200000001</v>
      </c>
      <c r="AH63" s="43" t="s">
        <v>35</v>
      </c>
    </row>
    <row r="64" spans="1:34" ht="15" customHeight="1">
      <c r="A64" s="35" t="s">
        <v>76</v>
      </c>
      <c r="B64" s="41" t="s">
        <v>42</v>
      </c>
      <c r="C64" s="42" t="s">
        <v>35</v>
      </c>
      <c r="D64" s="42">
        <v>1.1951000000000001</v>
      </c>
      <c r="E64" s="42">
        <v>6.0462009999999999</v>
      </c>
      <c r="F64" s="42">
        <v>10.624701999999999</v>
      </c>
      <c r="G64" s="42">
        <v>15.805702</v>
      </c>
      <c r="H64" s="42">
        <v>18.874302</v>
      </c>
      <c r="I64" s="42">
        <v>22.981003000000001</v>
      </c>
      <c r="J64" s="42">
        <v>24.023502000000001</v>
      </c>
      <c r="K64" s="42">
        <v>25.671500999999999</v>
      </c>
      <c r="L64" s="42">
        <v>32.400902000000002</v>
      </c>
      <c r="M64" s="42">
        <v>32.445903999999999</v>
      </c>
      <c r="N64" s="42">
        <v>33.419407</v>
      </c>
      <c r="O64" s="42">
        <v>33.662407000000002</v>
      </c>
      <c r="P64" s="42">
        <v>34.406207999999999</v>
      </c>
      <c r="Q64" s="42">
        <v>34.909205999999998</v>
      </c>
      <c r="R64" s="42">
        <v>35.879707000000003</v>
      </c>
      <c r="S64" s="42">
        <v>36.789703000000003</v>
      </c>
      <c r="T64" s="42">
        <v>36.789703000000003</v>
      </c>
      <c r="U64" s="42">
        <v>36.789703000000003</v>
      </c>
      <c r="V64" s="42">
        <v>36.915703000000001</v>
      </c>
      <c r="W64" s="42">
        <v>36.915703000000001</v>
      </c>
      <c r="X64" s="42">
        <v>36.915703000000001</v>
      </c>
      <c r="Y64" s="42">
        <v>36.915703000000001</v>
      </c>
      <c r="Z64" s="42">
        <v>36.915703000000001</v>
      </c>
      <c r="AA64" s="42">
        <v>36.915703000000001</v>
      </c>
      <c r="AB64" s="42">
        <v>37.021706000000002</v>
      </c>
      <c r="AC64" s="42">
        <v>37.021706000000002</v>
      </c>
      <c r="AD64" s="42">
        <v>37.021706000000002</v>
      </c>
      <c r="AE64" s="42">
        <v>37.021706000000002</v>
      </c>
      <c r="AF64" s="42">
        <v>37.574706999999997</v>
      </c>
      <c r="AG64" s="42">
        <v>37.574706999999997</v>
      </c>
      <c r="AH64" s="43" t="s">
        <v>35</v>
      </c>
    </row>
    <row r="65" spans="1:34" ht="15" customHeight="1">
      <c r="A65" s="35" t="s">
        <v>77</v>
      </c>
      <c r="B65" s="41" t="s">
        <v>20</v>
      </c>
      <c r="C65" s="42" t="s">
        <v>35</v>
      </c>
      <c r="D65" s="42">
        <v>5.6000000000000001E-2</v>
      </c>
      <c r="E65" s="42">
        <v>1.077</v>
      </c>
      <c r="F65" s="42">
        <v>2.6442000000000001</v>
      </c>
      <c r="G65" s="42">
        <v>3.8123</v>
      </c>
      <c r="H65" s="42">
        <v>5.2564019999999996</v>
      </c>
      <c r="I65" s="42">
        <v>5.2564019999999996</v>
      </c>
      <c r="J65" s="42">
        <v>5.7064019999999998</v>
      </c>
      <c r="K65" s="42">
        <v>5.7558020000000001</v>
      </c>
      <c r="L65" s="42">
        <v>5.7999010000000002</v>
      </c>
      <c r="M65" s="42">
        <v>6.8637009999999998</v>
      </c>
      <c r="N65" s="42">
        <v>7.7487019999999998</v>
      </c>
      <c r="O65" s="42">
        <v>7.7487019999999998</v>
      </c>
      <c r="P65" s="42">
        <v>7.8114020000000002</v>
      </c>
      <c r="Q65" s="42">
        <v>7.9534019999999996</v>
      </c>
      <c r="R65" s="42">
        <v>8.0244020000000003</v>
      </c>
      <c r="S65" s="42">
        <v>8.0244020000000003</v>
      </c>
      <c r="T65" s="42">
        <v>8.0244020000000003</v>
      </c>
      <c r="U65" s="42">
        <v>8.0244020000000003</v>
      </c>
      <c r="V65" s="42">
        <v>8.6774020000000007</v>
      </c>
      <c r="W65" s="42">
        <v>8.6774020000000007</v>
      </c>
      <c r="X65" s="42">
        <v>8.6774020000000007</v>
      </c>
      <c r="Y65" s="42">
        <v>9.1885019999999997</v>
      </c>
      <c r="Z65" s="42">
        <v>9.1885019999999997</v>
      </c>
      <c r="AA65" s="42">
        <v>9.1885019999999997</v>
      </c>
      <c r="AB65" s="42">
        <v>9.2155020000000007</v>
      </c>
      <c r="AC65" s="42">
        <v>9.2155020000000007</v>
      </c>
      <c r="AD65" s="42">
        <v>9.8445009999999993</v>
      </c>
      <c r="AE65" s="42">
        <v>9.8445009999999993</v>
      </c>
      <c r="AF65" s="42">
        <v>9.9011019999999998</v>
      </c>
      <c r="AG65" s="42">
        <v>9.9011019999999998</v>
      </c>
      <c r="AH65" s="43" t="s">
        <v>35</v>
      </c>
    </row>
    <row r="66" spans="1:34">
      <c r="A66" s="35" t="s">
        <v>78</v>
      </c>
      <c r="B66" s="41" t="s">
        <v>22</v>
      </c>
      <c r="C66" s="42" t="s">
        <v>35</v>
      </c>
      <c r="D66" s="42">
        <v>1.8800000000000001E-2</v>
      </c>
      <c r="E66" s="42">
        <v>9.9599999999999994E-2</v>
      </c>
      <c r="F66" s="42">
        <v>0.73709999999999998</v>
      </c>
      <c r="G66" s="42">
        <v>1.3065</v>
      </c>
      <c r="H66" s="42">
        <v>1.3661000000000001</v>
      </c>
      <c r="I66" s="42">
        <v>2.6261999999999999</v>
      </c>
      <c r="J66" s="42">
        <v>3.2588010000000001</v>
      </c>
      <c r="K66" s="42">
        <v>3.2639999999999998</v>
      </c>
      <c r="L66" s="42">
        <v>3.2639999999999998</v>
      </c>
      <c r="M66" s="42">
        <v>3.6284999999999998</v>
      </c>
      <c r="N66" s="42">
        <v>3.6284999999999998</v>
      </c>
      <c r="O66" s="42">
        <v>3.7905009999999999</v>
      </c>
      <c r="P66" s="42">
        <v>3.9113009999999999</v>
      </c>
      <c r="Q66" s="42">
        <v>3.9299010000000001</v>
      </c>
      <c r="R66" s="42">
        <v>3.946901</v>
      </c>
      <c r="S66" s="42">
        <v>3.946901</v>
      </c>
      <c r="T66" s="42">
        <v>3.946901</v>
      </c>
      <c r="U66" s="42">
        <v>3.9594010000000002</v>
      </c>
      <c r="V66" s="42">
        <v>3.9594010000000002</v>
      </c>
      <c r="W66" s="42">
        <v>3.9594010000000002</v>
      </c>
      <c r="X66" s="42">
        <v>4.1684010000000002</v>
      </c>
      <c r="Y66" s="42">
        <v>4.2004010000000003</v>
      </c>
      <c r="Z66" s="42">
        <v>4.2004010000000003</v>
      </c>
      <c r="AA66" s="42">
        <v>4.2004010000000003</v>
      </c>
      <c r="AB66" s="42">
        <v>4.287401</v>
      </c>
      <c r="AC66" s="42">
        <v>4.287401</v>
      </c>
      <c r="AD66" s="42">
        <v>4.287401</v>
      </c>
      <c r="AE66" s="42">
        <v>4.3529010000000001</v>
      </c>
      <c r="AF66" s="42">
        <v>4.3529010000000001</v>
      </c>
      <c r="AG66" s="42">
        <v>4.3529010000000001</v>
      </c>
      <c r="AH66" s="43" t="s">
        <v>35</v>
      </c>
    </row>
    <row r="67" spans="1:34" ht="15" customHeight="1">
      <c r="A67" s="35" t="s">
        <v>79</v>
      </c>
      <c r="B67" s="41" t="s">
        <v>53</v>
      </c>
      <c r="C67" s="42" t="s">
        <v>35</v>
      </c>
      <c r="D67" s="42">
        <v>5.7363</v>
      </c>
      <c r="E67" s="42">
        <v>6.5079000000000002</v>
      </c>
      <c r="F67" s="42">
        <v>6.5079000000000002</v>
      </c>
      <c r="G67" s="42">
        <v>6.5079000000000002</v>
      </c>
      <c r="H67" s="42">
        <v>7.6299000000000001</v>
      </c>
      <c r="I67" s="42">
        <v>20.986601</v>
      </c>
      <c r="J67" s="42">
        <v>29.137402000000002</v>
      </c>
      <c r="K67" s="42">
        <v>31.494406000000001</v>
      </c>
      <c r="L67" s="42">
        <v>37.924796999999998</v>
      </c>
      <c r="M67" s="42">
        <v>37.924796999999998</v>
      </c>
      <c r="N67" s="42">
        <v>40.219898000000001</v>
      </c>
      <c r="O67" s="42">
        <v>41.504596999999997</v>
      </c>
      <c r="P67" s="42">
        <v>42.569598999999997</v>
      </c>
      <c r="Q67" s="42">
        <v>44.703598</v>
      </c>
      <c r="R67" s="42">
        <v>44.703598</v>
      </c>
      <c r="S67" s="42">
        <v>45.825699</v>
      </c>
      <c r="T67" s="42">
        <v>47.832698999999998</v>
      </c>
      <c r="U67" s="42">
        <v>48.674495999999998</v>
      </c>
      <c r="V67" s="42">
        <v>48.674495999999998</v>
      </c>
      <c r="W67" s="42">
        <v>48.674495999999998</v>
      </c>
      <c r="X67" s="42">
        <v>48.674495999999998</v>
      </c>
      <c r="Y67" s="42">
        <v>48.674495999999998</v>
      </c>
      <c r="Z67" s="42">
        <v>51.056198000000002</v>
      </c>
      <c r="AA67" s="42">
        <v>56.666896999999999</v>
      </c>
      <c r="AB67" s="42">
        <v>56.666896999999999</v>
      </c>
      <c r="AC67" s="42">
        <v>56.666896999999999</v>
      </c>
      <c r="AD67" s="42">
        <v>57.5779</v>
      </c>
      <c r="AE67" s="42">
        <v>59.417895999999999</v>
      </c>
      <c r="AF67" s="42">
        <v>59.417895999999999</v>
      </c>
      <c r="AG67" s="42">
        <v>59.417895999999999</v>
      </c>
      <c r="AH67" s="43" t="s">
        <v>35</v>
      </c>
    </row>
    <row r="68" spans="1:34" ht="15" customHeight="1">
      <c r="A68" s="35" t="s">
        <v>80</v>
      </c>
      <c r="B68" s="41" t="s">
        <v>26</v>
      </c>
      <c r="C68" s="42" t="s">
        <v>35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2">
        <v>0</v>
      </c>
      <c r="AH68" s="43" t="s">
        <v>35</v>
      </c>
    </row>
    <row r="69" spans="1:34" ht="15" customHeight="1">
      <c r="A69" s="35" t="s">
        <v>81</v>
      </c>
      <c r="B69" s="41" t="s">
        <v>28</v>
      </c>
      <c r="C69" s="42" t="s">
        <v>35</v>
      </c>
      <c r="D69" s="42">
        <v>0</v>
      </c>
      <c r="E69" s="42">
        <v>0</v>
      </c>
      <c r="F69" s="42">
        <v>0</v>
      </c>
      <c r="G69" s="42">
        <v>1E-3</v>
      </c>
      <c r="H69" s="42">
        <v>1E-3</v>
      </c>
      <c r="I69" s="42">
        <v>1E-3</v>
      </c>
      <c r="J69" s="42">
        <v>1E-3</v>
      </c>
      <c r="K69" s="42">
        <v>1E-3</v>
      </c>
      <c r="L69" s="42">
        <v>1E-3</v>
      </c>
      <c r="M69" s="42">
        <v>1E-3</v>
      </c>
      <c r="N69" s="42">
        <v>1E-3</v>
      </c>
      <c r="O69" s="42">
        <v>1E-3</v>
      </c>
      <c r="P69" s="42">
        <v>1E-3</v>
      </c>
      <c r="Q69" s="42">
        <v>1E-3</v>
      </c>
      <c r="R69" s="42">
        <v>1E-3</v>
      </c>
      <c r="S69" s="42">
        <v>1E-3</v>
      </c>
      <c r="T69" s="42">
        <v>3.0000000000000001E-3</v>
      </c>
      <c r="U69" s="42">
        <v>3.0000000000000001E-3</v>
      </c>
      <c r="V69" s="42">
        <v>3.0000000000000001E-3</v>
      </c>
      <c r="W69" s="42">
        <v>3.0000000000000001E-3</v>
      </c>
      <c r="X69" s="42">
        <v>3.0000000000000001E-3</v>
      </c>
      <c r="Y69" s="42">
        <v>3.0000000000000001E-3</v>
      </c>
      <c r="Z69" s="42">
        <v>3.0000000000000001E-3</v>
      </c>
      <c r="AA69" s="42">
        <v>3.0000000000000001E-3</v>
      </c>
      <c r="AB69" s="42">
        <v>3.0000000000000001E-3</v>
      </c>
      <c r="AC69" s="42">
        <v>3.0000000000000001E-3</v>
      </c>
      <c r="AD69" s="42">
        <v>3.0000000000000001E-3</v>
      </c>
      <c r="AE69" s="42">
        <v>3.0000000000000001E-3</v>
      </c>
      <c r="AF69" s="42">
        <v>3.0000000000000001E-3</v>
      </c>
      <c r="AG69" s="42">
        <v>3.0000000000000001E-3</v>
      </c>
      <c r="AH69" s="43" t="s">
        <v>35</v>
      </c>
    </row>
    <row r="70" spans="1:34" ht="15" customHeight="1">
      <c r="A70" s="35" t="s">
        <v>82</v>
      </c>
      <c r="B70" s="41" t="s">
        <v>30</v>
      </c>
      <c r="C70" s="42" t="s">
        <v>35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0</v>
      </c>
      <c r="N70" s="42">
        <v>1.1000000000000001E-3</v>
      </c>
      <c r="O70" s="42">
        <v>1.1000000000000001E-3</v>
      </c>
      <c r="P70" s="42">
        <v>1.1000000000000001E-3</v>
      </c>
      <c r="Q70" s="42">
        <v>1.1000000000000001E-3</v>
      </c>
      <c r="R70" s="42">
        <v>1.1000000000000001E-3</v>
      </c>
      <c r="S70" s="42">
        <v>1.1000000000000001E-3</v>
      </c>
      <c r="T70" s="42">
        <v>1.1000000000000001E-3</v>
      </c>
      <c r="U70" s="42">
        <v>1.1000000000000001E-3</v>
      </c>
      <c r="V70" s="42">
        <v>1.1000000000000001E-3</v>
      </c>
      <c r="W70" s="42">
        <v>1.1000000000000001E-3</v>
      </c>
      <c r="X70" s="42">
        <v>1.1000000000000001E-3</v>
      </c>
      <c r="Y70" s="42">
        <v>1.1000000000000001E-3</v>
      </c>
      <c r="Z70" s="42">
        <v>1.1000000000000001E-3</v>
      </c>
      <c r="AA70" s="42">
        <v>1.1000000000000001E-3</v>
      </c>
      <c r="AB70" s="42">
        <v>1.1000000000000001E-3</v>
      </c>
      <c r="AC70" s="42">
        <v>1.1000000000000001E-3</v>
      </c>
      <c r="AD70" s="42">
        <v>1.1000000000000001E-3</v>
      </c>
      <c r="AE70" s="42">
        <v>1.1000000000000001E-3</v>
      </c>
      <c r="AF70" s="42">
        <v>1.1000000000000001E-3</v>
      </c>
      <c r="AG70" s="42">
        <v>1.1000000000000001E-3</v>
      </c>
      <c r="AH70" s="43" t="s">
        <v>35</v>
      </c>
    </row>
    <row r="71" spans="1:34" ht="15" customHeight="1">
      <c r="A71" s="35" t="s">
        <v>83</v>
      </c>
      <c r="B71" s="41" t="s">
        <v>32</v>
      </c>
      <c r="C71" s="42" t="s">
        <v>35</v>
      </c>
      <c r="D71" s="42">
        <v>0</v>
      </c>
      <c r="E71" s="42">
        <v>1.21E-2</v>
      </c>
      <c r="F71" s="42">
        <v>3.49E-2</v>
      </c>
      <c r="G71" s="42">
        <v>5.0900000000000001E-2</v>
      </c>
      <c r="H71" s="42">
        <v>5.5399999999999998E-2</v>
      </c>
      <c r="I71" s="42">
        <v>5.5399999999999998E-2</v>
      </c>
      <c r="J71" s="42">
        <v>0.06</v>
      </c>
      <c r="K71" s="42">
        <v>0.23230000000000001</v>
      </c>
      <c r="L71" s="42">
        <v>0.31169999999999998</v>
      </c>
      <c r="M71" s="42">
        <v>0.31169999999999998</v>
      </c>
      <c r="N71" s="42">
        <v>0.31169999999999998</v>
      </c>
      <c r="O71" s="42">
        <v>0.31169999999999998</v>
      </c>
      <c r="P71" s="42">
        <v>0.31169999999999998</v>
      </c>
      <c r="Q71" s="42">
        <v>0.31169999999999998</v>
      </c>
      <c r="R71" s="42">
        <v>0.31169999999999998</v>
      </c>
      <c r="S71" s="42">
        <v>0.31169999999999998</v>
      </c>
      <c r="T71" s="42">
        <v>0.31169999999999998</v>
      </c>
      <c r="U71" s="42">
        <v>0.31169999999999998</v>
      </c>
      <c r="V71" s="42">
        <v>0.31169999999999998</v>
      </c>
      <c r="W71" s="42">
        <v>0.31169999999999998</v>
      </c>
      <c r="X71" s="42">
        <v>0.31169999999999998</v>
      </c>
      <c r="Y71" s="42">
        <v>0.31169999999999998</v>
      </c>
      <c r="Z71" s="42">
        <v>0.31169999999999998</v>
      </c>
      <c r="AA71" s="42">
        <v>0.3916</v>
      </c>
      <c r="AB71" s="42">
        <v>0.3916</v>
      </c>
      <c r="AC71" s="42">
        <v>0.3916</v>
      </c>
      <c r="AD71" s="42">
        <v>0.39460000000000001</v>
      </c>
      <c r="AE71" s="42">
        <v>0.39460000000000001</v>
      </c>
      <c r="AF71" s="42">
        <v>0.40960000000000002</v>
      </c>
      <c r="AG71" s="42">
        <v>0.40960000000000002</v>
      </c>
      <c r="AH71" s="43" t="s">
        <v>35</v>
      </c>
    </row>
    <row r="72" spans="1:34" ht="15" customHeight="1">
      <c r="A72" s="35" t="s">
        <v>84</v>
      </c>
      <c r="B72" s="40" t="s">
        <v>37</v>
      </c>
      <c r="C72" s="44" t="s">
        <v>35</v>
      </c>
      <c r="D72" s="44">
        <v>11.514602999999999</v>
      </c>
      <c r="E72" s="44">
        <v>22.963498999999999</v>
      </c>
      <c r="F72" s="44">
        <v>50.028084</v>
      </c>
      <c r="G72" s="44">
        <v>67.060181</v>
      </c>
      <c r="H72" s="44">
        <v>122.925499</v>
      </c>
      <c r="I72" s="44">
        <v>145.774216</v>
      </c>
      <c r="J72" s="44">
        <v>164.458618</v>
      </c>
      <c r="K72" s="44">
        <v>172.027512</v>
      </c>
      <c r="L72" s="44">
        <v>187.80027799999999</v>
      </c>
      <c r="M72" s="44">
        <v>191.80557300000001</v>
      </c>
      <c r="N72" s="44">
        <v>197.37825000000001</v>
      </c>
      <c r="O72" s="44">
        <v>201.906982</v>
      </c>
      <c r="P72" s="44">
        <v>205.51829499999999</v>
      </c>
      <c r="Q72" s="44">
        <v>210.45167499999999</v>
      </c>
      <c r="R72" s="44">
        <v>213.12617499999999</v>
      </c>
      <c r="S72" s="44">
        <v>215.15827899999999</v>
      </c>
      <c r="T72" s="44">
        <v>217.506271</v>
      </c>
      <c r="U72" s="44">
        <v>220.48054500000001</v>
      </c>
      <c r="V72" s="44">
        <v>221.59854100000001</v>
      </c>
      <c r="W72" s="44">
        <v>221.59854100000001</v>
      </c>
      <c r="X72" s="44">
        <v>222.147537</v>
      </c>
      <c r="Y72" s="44">
        <v>222.690628</v>
      </c>
      <c r="Z72" s="44">
        <v>225.072327</v>
      </c>
      <c r="AA72" s="44">
        <v>230.78398100000001</v>
      </c>
      <c r="AB72" s="44">
        <v>233.93296799999999</v>
      </c>
      <c r="AC72" s="44">
        <v>234.61296100000001</v>
      </c>
      <c r="AD72" s="44">
        <v>236.15597500000001</v>
      </c>
      <c r="AE72" s="44">
        <v>239.17146299999999</v>
      </c>
      <c r="AF72" s="44">
        <v>239.796066</v>
      </c>
      <c r="AG72" s="44">
        <v>239.796066</v>
      </c>
      <c r="AH72" s="45" t="s">
        <v>35</v>
      </c>
    </row>
    <row r="73" spans="1:34" ht="12"/>
    <row r="74" spans="1:34" ht="15" customHeight="1">
      <c r="A74" s="35" t="s">
        <v>85</v>
      </c>
      <c r="B74" s="40" t="s">
        <v>86</v>
      </c>
      <c r="C74" s="44">
        <v>1091.1827390000001</v>
      </c>
      <c r="D74" s="44">
        <v>1119.685669</v>
      </c>
      <c r="E74" s="44">
        <v>1150.696899</v>
      </c>
      <c r="F74" s="44">
        <v>1170.439331</v>
      </c>
      <c r="G74" s="44">
        <v>1207.0386960000001</v>
      </c>
      <c r="H74" s="44">
        <v>1210.7745359999999</v>
      </c>
      <c r="I74" s="44">
        <v>1234.0447999999999</v>
      </c>
      <c r="J74" s="44">
        <v>1254.4071039999999</v>
      </c>
      <c r="K74" s="44">
        <v>1266.7567140000001</v>
      </c>
      <c r="L74" s="44">
        <v>1271.5667719999999</v>
      </c>
      <c r="M74" s="44">
        <v>1287.4423830000001</v>
      </c>
      <c r="N74" s="44">
        <v>1296.907837</v>
      </c>
      <c r="O74" s="44">
        <v>1309.171509</v>
      </c>
      <c r="P74" s="44">
        <v>1321.1423339999999</v>
      </c>
      <c r="Q74" s="44">
        <v>1337.8326420000001</v>
      </c>
      <c r="R74" s="44">
        <v>1362.955933</v>
      </c>
      <c r="S74" s="44">
        <v>1382.161255</v>
      </c>
      <c r="T74" s="44">
        <v>1398.9907229999999</v>
      </c>
      <c r="U74" s="44">
        <v>1416.3969729999999</v>
      </c>
      <c r="V74" s="44">
        <v>1430.4941409999999</v>
      </c>
      <c r="W74" s="44">
        <v>1449.7285159999999</v>
      </c>
      <c r="X74" s="44">
        <v>1464.441284</v>
      </c>
      <c r="Y74" s="44">
        <v>1482.8793949999999</v>
      </c>
      <c r="Z74" s="44">
        <v>1503.1708980000001</v>
      </c>
      <c r="AA74" s="44">
        <v>1522.87085</v>
      </c>
      <c r="AB74" s="44">
        <v>1544.1854249999999</v>
      </c>
      <c r="AC74" s="44">
        <v>1569.3443600000001</v>
      </c>
      <c r="AD74" s="44">
        <v>1597.6007079999999</v>
      </c>
      <c r="AE74" s="44">
        <v>1630.3870850000001</v>
      </c>
      <c r="AF74" s="44">
        <v>1665.174683</v>
      </c>
      <c r="AG74" s="44">
        <v>1692.7044679999999</v>
      </c>
      <c r="AH74" s="45">
        <v>1.4742999999999999E-2</v>
      </c>
    </row>
    <row r="76" spans="1:34" ht="15" customHeight="1">
      <c r="B76" s="40" t="s">
        <v>87</v>
      </c>
    </row>
    <row r="77" spans="1:34" ht="15" customHeight="1">
      <c r="A77" s="35" t="s">
        <v>88</v>
      </c>
      <c r="B77" s="41" t="s">
        <v>40</v>
      </c>
      <c r="C77" s="42">
        <v>1.94556</v>
      </c>
      <c r="D77" s="42">
        <v>1.9162760000000001</v>
      </c>
      <c r="E77" s="42">
        <v>1.925017</v>
      </c>
      <c r="F77" s="42">
        <v>1.922601</v>
      </c>
      <c r="G77" s="42">
        <v>1.9269829999999999</v>
      </c>
      <c r="H77" s="42">
        <v>1.926186</v>
      </c>
      <c r="I77" s="42">
        <v>1.924083</v>
      </c>
      <c r="J77" s="42">
        <v>1.920661</v>
      </c>
      <c r="K77" s="42">
        <v>1.9165509999999999</v>
      </c>
      <c r="L77" s="42">
        <v>1.9100619999999999</v>
      </c>
      <c r="M77" s="42">
        <v>1.907287</v>
      </c>
      <c r="N77" s="42">
        <v>1.9038330000000001</v>
      </c>
      <c r="O77" s="42">
        <v>1.900576</v>
      </c>
      <c r="P77" s="42">
        <v>1.8952560000000001</v>
      </c>
      <c r="Q77" s="42">
        <v>1.8917550000000001</v>
      </c>
      <c r="R77" s="42">
        <v>1.890439</v>
      </c>
      <c r="S77" s="42">
        <v>1.887616</v>
      </c>
      <c r="T77" s="42">
        <v>1.88537</v>
      </c>
      <c r="U77" s="42">
        <v>1.884536</v>
      </c>
      <c r="V77" s="42">
        <v>1.883561</v>
      </c>
      <c r="W77" s="42">
        <v>1.8798520000000001</v>
      </c>
      <c r="X77" s="42">
        <v>1.8774770000000001</v>
      </c>
      <c r="Y77" s="42">
        <v>1.876735</v>
      </c>
      <c r="Z77" s="42">
        <v>1.8777509999999999</v>
      </c>
      <c r="AA77" s="42">
        <v>1.8753010000000001</v>
      </c>
      <c r="AB77" s="42">
        <v>1.8742350000000001</v>
      </c>
      <c r="AC77" s="42">
        <v>1.8717600000000001</v>
      </c>
      <c r="AD77" s="42">
        <v>1.868565</v>
      </c>
      <c r="AE77" s="42">
        <v>1.866995</v>
      </c>
      <c r="AF77" s="42">
        <v>1.865326</v>
      </c>
      <c r="AG77" s="42">
        <v>1.8652629999999999</v>
      </c>
      <c r="AH77" s="43">
        <v>-1.4040000000000001E-3</v>
      </c>
    </row>
    <row r="78" spans="1:34" ht="15" customHeight="1">
      <c r="A78" s="35" t="s">
        <v>89</v>
      </c>
      <c r="B78" s="41" t="s">
        <v>90</v>
      </c>
      <c r="C78" s="42">
        <v>0.56876099999999996</v>
      </c>
      <c r="D78" s="42">
        <v>0.56876099999999996</v>
      </c>
      <c r="E78" s="42">
        <v>0.56876099999999996</v>
      </c>
      <c r="F78" s="42">
        <v>0.56876099999999996</v>
      </c>
      <c r="G78" s="42">
        <v>0.56876099999999996</v>
      </c>
      <c r="H78" s="42">
        <v>0.56876099999999996</v>
      </c>
      <c r="I78" s="42">
        <v>0.56876099999999996</v>
      </c>
      <c r="J78" s="42">
        <v>0.56876099999999996</v>
      </c>
      <c r="K78" s="42">
        <v>0.56876099999999996</v>
      </c>
      <c r="L78" s="42">
        <v>0.56876099999999996</v>
      </c>
      <c r="M78" s="42">
        <v>0.56876099999999996</v>
      </c>
      <c r="N78" s="42">
        <v>0.56876099999999996</v>
      </c>
      <c r="O78" s="42">
        <v>0.56876099999999996</v>
      </c>
      <c r="P78" s="42">
        <v>0.56876099999999996</v>
      </c>
      <c r="Q78" s="42">
        <v>0.56876099999999996</v>
      </c>
      <c r="R78" s="42">
        <v>0.56876099999999996</v>
      </c>
      <c r="S78" s="42">
        <v>0.56876099999999996</v>
      </c>
      <c r="T78" s="42">
        <v>0.56876099999999996</v>
      </c>
      <c r="U78" s="42">
        <v>0.56876099999999996</v>
      </c>
      <c r="V78" s="42">
        <v>0.56876099999999996</v>
      </c>
      <c r="W78" s="42">
        <v>0.56876099999999996</v>
      </c>
      <c r="X78" s="42">
        <v>0.56876099999999996</v>
      </c>
      <c r="Y78" s="42">
        <v>0.56876099999999996</v>
      </c>
      <c r="Z78" s="42">
        <v>0.56876099999999996</v>
      </c>
      <c r="AA78" s="42">
        <v>0.56876099999999996</v>
      </c>
      <c r="AB78" s="42">
        <v>0.56876099999999996</v>
      </c>
      <c r="AC78" s="42">
        <v>0.56876099999999996</v>
      </c>
      <c r="AD78" s="42">
        <v>0.56876099999999996</v>
      </c>
      <c r="AE78" s="42">
        <v>0.56876099999999996</v>
      </c>
      <c r="AF78" s="42">
        <v>0.56876099999999996</v>
      </c>
      <c r="AG78" s="42">
        <v>0.56876099999999996</v>
      </c>
      <c r="AH78" s="43">
        <v>0</v>
      </c>
    </row>
    <row r="79" spans="1:34">
      <c r="A79" s="35" t="s">
        <v>91</v>
      </c>
      <c r="B79" s="41" t="s">
        <v>92</v>
      </c>
      <c r="C79" s="42">
        <v>17.840422</v>
      </c>
      <c r="D79" s="42">
        <v>18.414034000000001</v>
      </c>
      <c r="E79" s="42">
        <v>18.744447999999998</v>
      </c>
      <c r="F79" s="42">
        <v>19.040002999999999</v>
      </c>
      <c r="G79" s="42">
        <v>19.390608</v>
      </c>
      <c r="H79" s="42">
        <v>19.757415999999999</v>
      </c>
      <c r="I79" s="42">
        <v>20.138280999999999</v>
      </c>
      <c r="J79" s="42">
        <v>20.523817000000001</v>
      </c>
      <c r="K79" s="42">
        <v>20.906796</v>
      </c>
      <c r="L79" s="42">
        <v>21.285425</v>
      </c>
      <c r="M79" s="42">
        <v>21.655716000000002</v>
      </c>
      <c r="N79" s="42">
        <v>22.032509000000001</v>
      </c>
      <c r="O79" s="42">
        <v>22.409348000000001</v>
      </c>
      <c r="P79" s="42">
        <v>22.789431</v>
      </c>
      <c r="Q79" s="42">
        <v>23.18235</v>
      </c>
      <c r="R79" s="42">
        <v>23.596098000000001</v>
      </c>
      <c r="S79" s="42">
        <v>24.022133</v>
      </c>
      <c r="T79" s="42">
        <v>24.469906000000002</v>
      </c>
      <c r="U79" s="42">
        <v>24.943709999999999</v>
      </c>
      <c r="V79" s="42">
        <v>25.43655</v>
      </c>
      <c r="W79" s="42">
        <v>25.943194999999999</v>
      </c>
      <c r="X79" s="42">
        <v>26.494547000000001</v>
      </c>
      <c r="Y79" s="42">
        <v>27.106615000000001</v>
      </c>
      <c r="Z79" s="42">
        <v>27.799931999999998</v>
      </c>
      <c r="AA79" s="42">
        <v>28.559950000000001</v>
      </c>
      <c r="AB79" s="42">
        <v>29.406044000000001</v>
      </c>
      <c r="AC79" s="42">
        <v>30.335108000000002</v>
      </c>
      <c r="AD79" s="42">
        <v>31.345692</v>
      </c>
      <c r="AE79" s="42">
        <v>32.447322999999997</v>
      </c>
      <c r="AF79" s="42">
        <v>33.679141999999999</v>
      </c>
      <c r="AG79" s="42">
        <v>35.076495999999999</v>
      </c>
      <c r="AH79" s="43">
        <v>2.2790999999999999E-2</v>
      </c>
    </row>
    <row r="80" spans="1:34" ht="15" customHeight="1">
      <c r="A80" s="35" t="s">
        <v>93</v>
      </c>
      <c r="B80" s="41" t="s">
        <v>94</v>
      </c>
      <c r="C80" s="42">
        <v>2.8463500000000002</v>
      </c>
      <c r="D80" s="42">
        <v>2.8697499999999998</v>
      </c>
      <c r="E80" s="42">
        <v>2.88985</v>
      </c>
      <c r="F80" s="42">
        <v>2.88985</v>
      </c>
      <c r="G80" s="42">
        <v>2.88985</v>
      </c>
      <c r="H80" s="42">
        <v>2.88985</v>
      </c>
      <c r="I80" s="42">
        <v>2.88985</v>
      </c>
      <c r="J80" s="42">
        <v>2.88985</v>
      </c>
      <c r="K80" s="42">
        <v>2.88985</v>
      </c>
      <c r="L80" s="42">
        <v>2.88985</v>
      </c>
      <c r="M80" s="42">
        <v>2.88985</v>
      </c>
      <c r="N80" s="42">
        <v>2.88985</v>
      </c>
      <c r="O80" s="42">
        <v>2.88985</v>
      </c>
      <c r="P80" s="42">
        <v>2.88985</v>
      </c>
      <c r="Q80" s="42">
        <v>2.88985</v>
      </c>
      <c r="R80" s="42">
        <v>2.88985</v>
      </c>
      <c r="S80" s="42">
        <v>2.88985</v>
      </c>
      <c r="T80" s="42">
        <v>2.88985</v>
      </c>
      <c r="U80" s="42">
        <v>2.88985</v>
      </c>
      <c r="V80" s="42">
        <v>2.88985</v>
      </c>
      <c r="W80" s="42">
        <v>2.88985</v>
      </c>
      <c r="X80" s="42">
        <v>2.88985</v>
      </c>
      <c r="Y80" s="42">
        <v>2.88985</v>
      </c>
      <c r="Z80" s="42">
        <v>2.88985</v>
      </c>
      <c r="AA80" s="42">
        <v>2.88985</v>
      </c>
      <c r="AB80" s="42">
        <v>2.88985</v>
      </c>
      <c r="AC80" s="42">
        <v>2.88985</v>
      </c>
      <c r="AD80" s="42">
        <v>2.88985</v>
      </c>
      <c r="AE80" s="42">
        <v>2.88985</v>
      </c>
      <c r="AF80" s="42">
        <v>2.88985</v>
      </c>
      <c r="AG80" s="42">
        <v>2.88985</v>
      </c>
      <c r="AH80" s="43">
        <v>5.0600000000000005E-4</v>
      </c>
    </row>
    <row r="81" spans="1:34">
      <c r="A81" s="35" t="s">
        <v>95</v>
      </c>
      <c r="B81" s="41" t="s">
        <v>32</v>
      </c>
      <c r="C81" s="42">
        <v>40.204830000000001</v>
      </c>
      <c r="D81" s="42">
        <v>45.801537000000003</v>
      </c>
      <c r="E81" s="42">
        <v>50.177376000000002</v>
      </c>
      <c r="F81" s="42">
        <v>53.586945</v>
      </c>
      <c r="G81" s="42">
        <v>56.823535999999997</v>
      </c>
      <c r="H81" s="42">
        <v>60.726688000000003</v>
      </c>
      <c r="I81" s="42">
        <v>64.043723999999997</v>
      </c>
      <c r="J81" s="42">
        <v>68.181313000000003</v>
      </c>
      <c r="K81" s="42">
        <v>71.735198999999994</v>
      </c>
      <c r="L81" s="42">
        <v>75.260589999999993</v>
      </c>
      <c r="M81" s="42">
        <v>78.723595000000003</v>
      </c>
      <c r="N81" s="42">
        <v>82.729477000000003</v>
      </c>
      <c r="O81" s="42">
        <v>86.037529000000006</v>
      </c>
      <c r="P81" s="42">
        <v>89.811133999999996</v>
      </c>
      <c r="Q81" s="42">
        <v>93.586371999999997</v>
      </c>
      <c r="R81" s="42">
        <v>97.505814000000001</v>
      </c>
      <c r="S81" s="42">
        <v>102.02861799999999</v>
      </c>
      <c r="T81" s="42">
        <v>105.99028800000001</v>
      </c>
      <c r="U81" s="42">
        <v>110.255112</v>
      </c>
      <c r="V81" s="42">
        <v>114.541855</v>
      </c>
      <c r="W81" s="42">
        <v>118.970917</v>
      </c>
      <c r="X81" s="42">
        <v>123.353157</v>
      </c>
      <c r="Y81" s="42">
        <v>127.818031</v>
      </c>
      <c r="Z81" s="42">
        <v>132.41514599999999</v>
      </c>
      <c r="AA81" s="42">
        <v>136.86402899999999</v>
      </c>
      <c r="AB81" s="42">
        <v>141.62399300000001</v>
      </c>
      <c r="AC81" s="42">
        <v>146.97782900000001</v>
      </c>
      <c r="AD81" s="42">
        <v>151.49603300000001</v>
      </c>
      <c r="AE81" s="42">
        <v>155.98623699999999</v>
      </c>
      <c r="AF81" s="42">
        <v>160.290649</v>
      </c>
      <c r="AG81" s="42">
        <v>164.92387400000001</v>
      </c>
      <c r="AH81" s="43">
        <v>4.8174000000000002E-2</v>
      </c>
    </row>
    <row r="82" spans="1:34" ht="15" customHeight="1">
      <c r="A82" s="35" t="s">
        <v>96</v>
      </c>
      <c r="B82" s="41" t="s">
        <v>97</v>
      </c>
      <c r="C82" s="42">
        <v>0.63580000000000003</v>
      </c>
      <c r="D82" s="42">
        <v>0.63580000000000003</v>
      </c>
      <c r="E82" s="42">
        <v>0.68579999999999997</v>
      </c>
      <c r="F82" s="42">
        <v>0.68579999999999997</v>
      </c>
      <c r="G82" s="42">
        <v>0.68579999999999997</v>
      </c>
      <c r="H82" s="42">
        <v>0.68579999999999997</v>
      </c>
      <c r="I82" s="42">
        <v>0.68579999999999997</v>
      </c>
      <c r="J82" s="42">
        <v>0.68579999999999997</v>
      </c>
      <c r="K82" s="42">
        <v>0.68579999999999997</v>
      </c>
      <c r="L82" s="42">
        <v>0.68579999999999997</v>
      </c>
      <c r="M82" s="42">
        <v>0.68579999999999997</v>
      </c>
      <c r="N82" s="42">
        <v>0.68579999999999997</v>
      </c>
      <c r="O82" s="42">
        <v>0.68579999999999997</v>
      </c>
      <c r="P82" s="42">
        <v>0.68579999999999997</v>
      </c>
      <c r="Q82" s="42">
        <v>0.68579999999999997</v>
      </c>
      <c r="R82" s="42">
        <v>0.68579999999999997</v>
      </c>
      <c r="S82" s="42">
        <v>0.68579999999999997</v>
      </c>
      <c r="T82" s="42">
        <v>0.68579999999999997</v>
      </c>
      <c r="U82" s="42">
        <v>0.68579999999999997</v>
      </c>
      <c r="V82" s="42">
        <v>0.68579999999999997</v>
      </c>
      <c r="W82" s="42">
        <v>0.68579999999999997</v>
      </c>
      <c r="X82" s="42">
        <v>0.68579999999999997</v>
      </c>
      <c r="Y82" s="42">
        <v>0.68579999999999997</v>
      </c>
      <c r="Z82" s="42">
        <v>0.68579999999999997</v>
      </c>
      <c r="AA82" s="42">
        <v>0.68579999999999997</v>
      </c>
      <c r="AB82" s="42">
        <v>0.68579999999999997</v>
      </c>
      <c r="AC82" s="42">
        <v>0.68579999999999997</v>
      </c>
      <c r="AD82" s="42">
        <v>0.68579999999999997</v>
      </c>
      <c r="AE82" s="42">
        <v>0.68579999999999997</v>
      </c>
      <c r="AF82" s="42">
        <v>0.68579999999999997</v>
      </c>
      <c r="AG82" s="42">
        <v>0.68579999999999997</v>
      </c>
      <c r="AH82" s="43">
        <v>2.5270000000000002E-3</v>
      </c>
    </row>
    <row r="83" spans="1:34" ht="15" customHeight="1">
      <c r="A83" s="35" t="s">
        <v>98</v>
      </c>
      <c r="B83" s="40" t="s">
        <v>37</v>
      </c>
      <c r="C83" s="44">
        <v>64.041725</v>
      </c>
      <c r="D83" s="44">
        <v>70.206160999999994</v>
      </c>
      <c r="E83" s="44">
        <v>74.991257000000004</v>
      </c>
      <c r="F83" s="44">
        <v>78.693961999999999</v>
      </c>
      <c r="G83" s="44">
        <v>82.285538000000003</v>
      </c>
      <c r="H83" s="44">
        <v>86.554703000000003</v>
      </c>
      <c r="I83" s="44">
        <v>90.250504000000006</v>
      </c>
      <c r="J83" s="44">
        <v>94.770202999999995</v>
      </c>
      <c r="K83" s="44">
        <v>98.702956999999998</v>
      </c>
      <c r="L83" s="44">
        <v>102.600487</v>
      </c>
      <c r="M83" s="44">
        <v>106.43100699999999</v>
      </c>
      <c r="N83" s="44">
        <v>110.810226</v>
      </c>
      <c r="O83" s="44">
        <v>114.49185900000001</v>
      </c>
      <c r="P83" s="44">
        <v>118.64022799999999</v>
      </c>
      <c r="Q83" s="44">
        <v>122.804886</v>
      </c>
      <c r="R83" s="44">
        <v>127.136765</v>
      </c>
      <c r="S83" s="44">
        <v>132.08277899999999</v>
      </c>
      <c r="T83" s="44">
        <v>136.48997499999999</v>
      </c>
      <c r="U83" s="44">
        <v>141.227768</v>
      </c>
      <c r="V83" s="44">
        <v>146.00637800000001</v>
      </c>
      <c r="W83" s="44">
        <v>150.93836999999999</v>
      </c>
      <c r="X83" s="44">
        <v>155.869598</v>
      </c>
      <c r="Y83" s="44">
        <v>160.945786</v>
      </c>
      <c r="Z83" s="44">
        <v>166.237244</v>
      </c>
      <c r="AA83" s="44">
        <v>171.44369499999999</v>
      </c>
      <c r="AB83" s="44">
        <v>177.048676</v>
      </c>
      <c r="AC83" s="44">
        <v>183.32910200000001</v>
      </c>
      <c r="AD83" s="44">
        <v>188.85470599999999</v>
      </c>
      <c r="AE83" s="44">
        <v>194.44497699999999</v>
      </c>
      <c r="AF83" s="44">
        <v>199.979523</v>
      </c>
      <c r="AG83" s="44">
        <v>206.01004</v>
      </c>
      <c r="AH83" s="45">
        <v>3.9715E-2</v>
      </c>
    </row>
    <row r="85" spans="1:34" ht="15" customHeight="1">
      <c r="A85" s="35" t="s">
        <v>99</v>
      </c>
      <c r="B85" s="40" t="s">
        <v>100</v>
      </c>
      <c r="C85" s="44" t="s">
        <v>35</v>
      </c>
      <c r="D85" s="44">
        <v>6.1937160000000002</v>
      </c>
      <c r="E85" s="44">
        <v>10.978814</v>
      </c>
      <c r="F85" s="44">
        <v>14.683935999999999</v>
      </c>
      <c r="G85" s="44">
        <v>18.275517000000001</v>
      </c>
      <c r="H85" s="44">
        <v>22.545470999999999</v>
      </c>
      <c r="I85" s="44">
        <v>26.244617000000002</v>
      </c>
      <c r="J85" s="44">
        <v>30.767748000000001</v>
      </c>
      <c r="K85" s="44">
        <v>34.704608999999998</v>
      </c>
      <c r="L85" s="44">
        <v>38.608631000000003</v>
      </c>
      <c r="M85" s="44">
        <v>42.441955999999998</v>
      </c>
      <c r="N85" s="44">
        <v>46.824618999999998</v>
      </c>
      <c r="O85" s="44">
        <v>50.509506000000002</v>
      </c>
      <c r="P85" s="44">
        <v>54.663204</v>
      </c>
      <c r="Q85" s="44">
        <v>58.831370999999997</v>
      </c>
      <c r="R85" s="44">
        <v>63.164593000000004</v>
      </c>
      <c r="S85" s="44">
        <v>68.113403000000005</v>
      </c>
      <c r="T85" s="44">
        <v>72.522850000000005</v>
      </c>
      <c r="U85" s="44">
        <v>77.261459000000002</v>
      </c>
      <c r="V85" s="44">
        <v>82.041015999999999</v>
      </c>
      <c r="W85" s="44">
        <v>86.976746000000006</v>
      </c>
      <c r="X85" s="44">
        <v>91.910331999999997</v>
      </c>
      <c r="Y85" s="44">
        <v>96.987289000000004</v>
      </c>
      <c r="Z85" s="44">
        <v>102.27872499999999</v>
      </c>
      <c r="AA85" s="44">
        <v>107.487595</v>
      </c>
      <c r="AB85" s="44">
        <v>113.093643</v>
      </c>
      <c r="AC85" s="44">
        <v>119.37653400000001</v>
      </c>
      <c r="AD85" s="44">
        <v>124.905342</v>
      </c>
      <c r="AE85" s="44">
        <v>130.49717699999999</v>
      </c>
      <c r="AF85" s="44">
        <v>136.07678200000001</v>
      </c>
      <c r="AG85" s="44">
        <v>142.10734600000001</v>
      </c>
      <c r="AH85" s="45" t="s">
        <v>35</v>
      </c>
    </row>
    <row r="86" spans="1:34" ht="15" customHeight="1" thickBot="1"/>
    <row r="87" spans="1:34" ht="15" customHeight="1">
      <c r="B87" s="58" t="s">
        <v>340</v>
      </c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46"/>
    </row>
    <row r="88" spans="1:34" ht="15" customHeight="1">
      <c r="B88" s="47" t="s">
        <v>102</v>
      </c>
    </row>
    <row r="89" spans="1:34" ht="15" customHeight="1">
      <c r="B89" s="47" t="s">
        <v>341</v>
      </c>
    </row>
    <row r="90" spans="1:34" ht="15" customHeight="1">
      <c r="B90" s="47" t="s">
        <v>342</v>
      </c>
    </row>
    <row r="91" spans="1:34" ht="15" customHeight="1">
      <c r="B91" s="47" t="s">
        <v>343</v>
      </c>
    </row>
    <row r="92" spans="1:34" ht="12">
      <c r="B92" s="47" t="s">
        <v>118</v>
      </c>
    </row>
    <row r="93" spans="1:34" ht="15" customHeight="1">
      <c r="B93" s="47" t="s">
        <v>119</v>
      </c>
    </row>
    <row r="94" spans="1:34" ht="15" customHeight="1">
      <c r="B94" s="47" t="s">
        <v>344</v>
      </c>
    </row>
    <row r="95" spans="1:34" ht="15" customHeight="1">
      <c r="B95" s="47" t="s">
        <v>345</v>
      </c>
    </row>
    <row r="96" spans="1:34" ht="15" customHeight="1">
      <c r="B96" s="47" t="s">
        <v>346</v>
      </c>
    </row>
    <row r="97" spans="2:34" ht="15" customHeight="1">
      <c r="B97" s="47" t="s">
        <v>108</v>
      </c>
    </row>
    <row r="98" spans="2:34" ht="15" customHeight="1">
      <c r="B98" s="47" t="s">
        <v>347</v>
      </c>
    </row>
    <row r="99" spans="2:34" ht="15" customHeight="1">
      <c r="B99" s="47" t="s">
        <v>348</v>
      </c>
    </row>
    <row r="100" spans="2:34" ht="15" customHeight="1">
      <c r="B100" s="47" t="s">
        <v>111</v>
      </c>
    </row>
    <row r="101" spans="2:34" ht="12">
      <c r="B101" s="47" t="s">
        <v>349</v>
      </c>
    </row>
    <row r="102" spans="2:34" ht="12">
      <c r="B102" s="47" t="s">
        <v>350</v>
      </c>
    </row>
    <row r="103" spans="2:34" ht="15" customHeight="1">
      <c r="B103" s="47" t="s">
        <v>351</v>
      </c>
    </row>
    <row r="104" spans="2:34" ht="15" customHeight="1">
      <c r="B104" s="47" t="s">
        <v>113</v>
      </c>
    </row>
    <row r="105" spans="2:34" ht="15" customHeight="1">
      <c r="B105" s="47" t="s">
        <v>114</v>
      </c>
    </row>
    <row r="106" spans="2:34" ht="15" customHeight="1">
      <c r="B106" s="47" t="s">
        <v>352</v>
      </c>
    </row>
    <row r="107" spans="2:34" ht="15" customHeight="1">
      <c r="B107" s="47" t="s">
        <v>353</v>
      </c>
    </row>
    <row r="108" spans="2:34" ht="15" customHeight="1">
      <c r="B108" s="47" t="s">
        <v>354</v>
      </c>
    </row>
    <row r="109" spans="2:34" ht="15" customHeight="1">
      <c r="B109" s="47" t="s">
        <v>355</v>
      </c>
    </row>
    <row r="110" spans="2:34" ht="15" customHeight="1">
      <c r="B110" s="47" t="s">
        <v>356</v>
      </c>
    </row>
    <row r="111" spans="2:34" ht="15" customHeight="1">
      <c r="B111" s="47" t="s">
        <v>357</v>
      </c>
    </row>
    <row r="112" spans="2:34" ht="15" customHeight="1"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</row>
    <row r="141" ht="12"/>
    <row r="142" ht="12"/>
    <row r="143" ht="12"/>
    <row r="144" ht="12"/>
    <row r="145" ht="12"/>
    <row r="146" ht="12"/>
    <row r="147" ht="12"/>
    <row r="148" ht="12"/>
    <row r="149" ht="12"/>
    <row r="308" spans="2:34" ht="15" customHeight="1"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</row>
    <row r="511" spans="2:34" ht="15" customHeight="1"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</row>
    <row r="712" spans="2:34" ht="15" customHeight="1"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</row>
    <row r="887" spans="2:34" ht="15" customHeight="1"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</row>
    <row r="1100" spans="2:34" ht="15" customHeight="1">
      <c r="B1100" s="57"/>
      <c r="C1100" s="57"/>
      <c r="D1100" s="57"/>
      <c r="E1100" s="57"/>
      <c r="F1100" s="57"/>
      <c r="G1100" s="57"/>
      <c r="H1100" s="57"/>
      <c r="I1100" s="57"/>
      <c r="J1100" s="57"/>
      <c r="K1100" s="57"/>
      <c r="L1100" s="57"/>
      <c r="M1100" s="57"/>
      <c r="N1100" s="57"/>
      <c r="O1100" s="57"/>
      <c r="P1100" s="57"/>
      <c r="Q1100" s="57"/>
      <c r="R1100" s="57"/>
      <c r="S1100" s="57"/>
      <c r="T1100" s="57"/>
      <c r="U1100" s="57"/>
      <c r="V1100" s="57"/>
      <c r="W1100" s="57"/>
      <c r="X1100" s="57"/>
      <c r="Y1100" s="57"/>
      <c r="Z1100" s="57"/>
      <c r="AA1100" s="57"/>
      <c r="AB1100" s="57"/>
      <c r="AC1100" s="57"/>
      <c r="AD1100" s="57"/>
      <c r="AE1100" s="57"/>
      <c r="AF1100" s="57"/>
      <c r="AG1100" s="57"/>
      <c r="AH1100" s="57"/>
    </row>
    <row r="1227" spans="2:34" ht="15" customHeight="1">
      <c r="B1227" s="57"/>
      <c r="C1227" s="57"/>
      <c r="D1227" s="57"/>
      <c r="E1227" s="57"/>
      <c r="F1227" s="57"/>
      <c r="G1227" s="57"/>
      <c r="H1227" s="57"/>
      <c r="I1227" s="57"/>
      <c r="J1227" s="57"/>
      <c r="K1227" s="57"/>
      <c r="L1227" s="57"/>
      <c r="M1227" s="57"/>
      <c r="N1227" s="57"/>
      <c r="O1227" s="57"/>
      <c r="P1227" s="57"/>
      <c r="Q1227" s="57"/>
      <c r="R1227" s="57"/>
      <c r="S1227" s="57"/>
      <c r="T1227" s="57"/>
      <c r="U1227" s="57"/>
      <c r="V1227" s="57"/>
      <c r="W1227" s="57"/>
      <c r="X1227" s="57"/>
      <c r="Y1227" s="57"/>
      <c r="Z1227" s="57"/>
      <c r="AA1227" s="57"/>
      <c r="AB1227" s="57"/>
      <c r="AC1227" s="57"/>
      <c r="AD1227" s="57"/>
      <c r="AE1227" s="57"/>
      <c r="AF1227" s="57"/>
      <c r="AG1227" s="57"/>
      <c r="AH1227" s="57"/>
    </row>
    <row r="1390" spans="2:34" ht="15" customHeight="1">
      <c r="B1390" s="57"/>
      <c r="C1390" s="57"/>
      <c r="D1390" s="57"/>
      <c r="E1390" s="57"/>
      <c r="F1390" s="57"/>
      <c r="G1390" s="57"/>
      <c r="H1390" s="57"/>
      <c r="I1390" s="57"/>
      <c r="J1390" s="57"/>
      <c r="K1390" s="57"/>
      <c r="L1390" s="57"/>
      <c r="M1390" s="57"/>
      <c r="N1390" s="57"/>
      <c r="O1390" s="57"/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57"/>
      <c r="AA1390" s="57"/>
      <c r="AB1390" s="57"/>
      <c r="AC1390" s="57"/>
      <c r="AD1390" s="57"/>
      <c r="AE1390" s="57"/>
      <c r="AF1390" s="57"/>
      <c r="AG1390" s="57"/>
      <c r="AH1390" s="57"/>
    </row>
    <row r="1502" spans="2:34" ht="15" customHeight="1">
      <c r="B1502" s="57"/>
      <c r="C1502" s="57"/>
      <c r="D1502" s="57"/>
      <c r="E1502" s="57"/>
      <c r="F1502" s="57"/>
      <c r="G1502" s="57"/>
      <c r="H1502" s="57"/>
      <c r="I1502" s="57"/>
      <c r="J1502" s="57"/>
      <c r="K1502" s="57"/>
      <c r="L1502" s="57"/>
      <c r="M1502" s="57"/>
      <c r="N1502" s="57"/>
      <c r="O1502" s="57"/>
      <c r="P1502" s="57"/>
      <c r="Q1502" s="57"/>
      <c r="R1502" s="57"/>
      <c r="S1502" s="57"/>
      <c r="T1502" s="57"/>
      <c r="U1502" s="57"/>
      <c r="V1502" s="57"/>
      <c r="W1502" s="57"/>
      <c r="X1502" s="57"/>
      <c r="Y1502" s="57"/>
      <c r="Z1502" s="57"/>
      <c r="AA1502" s="57"/>
      <c r="AB1502" s="57"/>
      <c r="AC1502" s="57"/>
      <c r="AD1502" s="57"/>
      <c r="AE1502" s="57"/>
      <c r="AF1502" s="57"/>
      <c r="AG1502" s="57"/>
      <c r="AH1502" s="57"/>
    </row>
    <row r="1604" spans="2:34" ht="15" customHeight="1">
      <c r="B1604" s="57"/>
      <c r="C1604" s="57"/>
      <c r="D1604" s="57"/>
      <c r="E1604" s="57"/>
      <c r="F1604" s="57"/>
      <c r="G1604" s="57"/>
      <c r="H1604" s="57"/>
      <c r="I1604" s="57"/>
      <c r="J1604" s="57"/>
      <c r="K1604" s="57"/>
      <c r="L1604" s="57"/>
      <c r="M1604" s="57"/>
      <c r="N1604" s="57"/>
      <c r="O1604" s="57"/>
      <c r="P1604" s="57"/>
      <c r="Q1604" s="57"/>
      <c r="R1604" s="57"/>
      <c r="S1604" s="57"/>
      <c r="T1604" s="57"/>
      <c r="U1604" s="57"/>
      <c r="V1604" s="57"/>
      <c r="W1604" s="57"/>
      <c r="X1604" s="57"/>
      <c r="Y1604" s="57"/>
      <c r="Z1604" s="57"/>
      <c r="AA1604" s="57"/>
      <c r="AB1604" s="57"/>
      <c r="AC1604" s="57"/>
      <c r="AD1604" s="57"/>
      <c r="AE1604" s="57"/>
      <c r="AF1604" s="57"/>
      <c r="AG1604" s="57"/>
      <c r="AH1604" s="57"/>
    </row>
    <row r="1698" spans="2:34" ht="15" customHeight="1">
      <c r="B1698" s="57"/>
      <c r="C1698" s="57"/>
      <c r="D1698" s="57"/>
      <c r="E1698" s="57"/>
      <c r="F1698" s="57"/>
      <c r="G1698" s="57"/>
      <c r="H1698" s="57"/>
      <c r="I1698" s="57"/>
      <c r="J1698" s="57"/>
      <c r="K1698" s="57"/>
      <c r="L1698" s="57"/>
      <c r="M1698" s="57"/>
      <c r="N1698" s="57"/>
      <c r="O1698" s="57"/>
      <c r="P1698" s="57"/>
      <c r="Q1698" s="57"/>
      <c r="R1698" s="57"/>
      <c r="S1698" s="57"/>
      <c r="T1698" s="57"/>
      <c r="U1698" s="57"/>
      <c r="V1698" s="57"/>
      <c r="W1698" s="57"/>
      <c r="X1698" s="57"/>
      <c r="Y1698" s="57"/>
      <c r="Z1698" s="57"/>
      <c r="AA1698" s="57"/>
      <c r="AB1698" s="57"/>
      <c r="AC1698" s="57"/>
      <c r="AD1698" s="57"/>
      <c r="AE1698" s="57"/>
      <c r="AF1698" s="57"/>
      <c r="AG1698" s="57"/>
      <c r="AH1698" s="57"/>
    </row>
    <row r="1945" spans="2:34" ht="15" customHeight="1">
      <c r="B1945" s="57"/>
      <c r="C1945" s="57"/>
      <c r="D1945" s="57"/>
      <c r="E1945" s="57"/>
      <c r="F1945" s="57"/>
      <c r="G1945" s="57"/>
      <c r="H1945" s="57"/>
      <c r="I1945" s="57"/>
      <c r="J1945" s="57"/>
      <c r="K1945" s="57"/>
      <c r="L1945" s="57"/>
      <c r="M1945" s="57"/>
      <c r="N1945" s="57"/>
      <c r="O1945" s="57"/>
      <c r="P1945" s="57"/>
      <c r="Q1945" s="57"/>
      <c r="R1945" s="57"/>
      <c r="S1945" s="57"/>
      <c r="T1945" s="57"/>
      <c r="U1945" s="57"/>
      <c r="V1945" s="57"/>
      <c r="W1945" s="57"/>
      <c r="X1945" s="57"/>
      <c r="Y1945" s="57"/>
      <c r="Z1945" s="57"/>
      <c r="AA1945" s="57"/>
      <c r="AB1945" s="57"/>
      <c r="AC1945" s="57"/>
      <c r="AD1945" s="57"/>
      <c r="AE1945" s="57"/>
      <c r="AF1945" s="57"/>
      <c r="AG1945" s="57"/>
      <c r="AH1945" s="57"/>
    </row>
    <row r="2031" spans="2:34" ht="15" customHeight="1">
      <c r="B2031" s="57"/>
      <c r="C2031" s="57"/>
      <c r="D2031" s="57"/>
      <c r="E2031" s="57"/>
      <c r="F2031" s="57"/>
      <c r="G2031" s="57"/>
      <c r="H2031" s="57"/>
      <c r="I2031" s="57"/>
      <c r="J2031" s="57"/>
      <c r="K2031" s="57"/>
      <c r="L2031" s="57"/>
      <c r="M2031" s="57"/>
      <c r="N2031" s="57"/>
      <c r="O2031" s="57"/>
      <c r="P2031" s="57"/>
      <c r="Q2031" s="57"/>
      <c r="R2031" s="57"/>
      <c r="S2031" s="57"/>
      <c r="T2031" s="57"/>
      <c r="U2031" s="57"/>
      <c r="V2031" s="57"/>
      <c r="W2031" s="57"/>
      <c r="X2031" s="57"/>
      <c r="Y2031" s="57"/>
      <c r="Z2031" s="57"/>
      <c r="AA2031" s="57"/>
      <c r="AB2031" s="57"/>
      <c r="AC2031" s="57"/>
      <c r="AD2031" s="57"/>
      <c r="AE2031" s="57"/>
      <c r="AF2031" s="57"/>
      <c r="AG2031" s="57"/>
      <c r="AH2031" s="57"/>
    </row>
    <row r="2153" spans="2:34" ht="15" customHeight="1">
      <c r="B2153" s="57"/>
      <c r="C2153" s="57"/>
      <c r="D2153" s="57"/>
      <c r="E2153" s="57"/>
      <c r="F2153" s="57"/>
      <c r="G2153" s="57"/>
      <c r="H2153" s="57"/>
      <c r="I2153" s="57"/>
      <c r="J2153" s="57"/>
      <c r="K2153" s="57"/>
      <c r="L2153" s="57"/>
      <c r="M2153" s="57"/>
      <c r="N2153" s="57"/>
      <c r="O2153" s="57"/>
      <c r="P2153" s="57"/>
      <c r="Q2153" s="57"/>
      <c r="R2153" s="57"/>
      <c r="S2153" s="57"/>
      <c r="T2153" s="57"/>
      <c r="U2153" s="57"/>
      <c r="V2153" s="57"/>
      <c r="W2153" s="57"/>
      <c r="X2153" s="57"/>
      <c r="Y2153" s="57"/>
      <c r="Z2153" s="57"/>
      <c r="AA2153" s="57"/>
      <c r="AB2153" s="57"/>
      <c r="AC2153" s="57"/>
      <c r="AD2153" s="57"/>
      <c r="AE2153" s="57"/>
      <c r="AF2153" s="57"/>
      <c r="AG2153" s="57"/>
      <c r="AH2153" s="57"/>
    </row>
    <row r="2317" spans="2:34" ht="15" customHeight="1">
      <c r="B2317" s="57"/>
      <c r="C2317" s="57"/>
      <c r="D2317" s="57"/>
      <c r="E2317" s="57"/>
      <c r="F2317" s="57"/>
      <c r="G2317" s="57"/>
      <c r="H2317" s="57"/>
      <c r="I2317" s="57"/>
      <c r="J2317" s="57"/>
      <c r="K2317" s="57"/>
      <c r="L2317" s="57"/>
      <c r="M2317" s="57"/>
      <c r="N2317" s="57"/>
      <c r="O2317" s="57"/>
      <c r="P2317" s="57"/>
      <c r="Q2317" s="57"/>
      <c r="R2317" s="57"/>
      <c r="S2317" s="57"/>
      <c r="T2317" s="57"/>
      <c r="U2317" s="57"/>
      <c r="V2317" s="57"/>
      <c r="W2317" s="57"/>
      <c r="X2317" s="57"/>
      <c r="Y2317" s="57"/>
      <c r="Z2317" s="57"/>
      <c r="AA2317" s="57"/>
      <c r="AB2317" s="57"/>
      <c r="AC2317" s="57"/>
      <c r="AD2317" s="57"/>
      <c r="AE2317" s="57"/>
      <c r="AF2317" s="57"/>
      <c r="AG2317" s="57"/>
      <c r="AH2317" s="57"/>
    </row>
    <row r="2419" spans="2:34" ht="15" customHeight="1">
      <c r="B2419" s="57"/>
      <c r="C2419" s="57"/>
      <c r="D2419" s="57"/>
      <c r="E2419" s="57"/>
      <c r="F2419" s="57"/>
      <c r="G2419" s="57"/>
      <c r="H2419" s="57"/>
      <c r="I2419" s="57"/>
      <c r="J2419" s="57"/>
      <c r="K2419" s="57"/>
      <c r="L2419" s="57"/>
      <c r="M2419" s="57"/>
      <c r="N2419" s="57"/>
      <c r="O2419" s="57"/>
      <c r="P2419" s="57"/>
      <c r="Q2419" s="57"/>
      <c r="R2419" s="57"/>
      <c r="S2419" s="57"/>
      <c r="T2419" s="57"/>
      <c r="U2419" s="57"/>
      <c r="V2419" s="57"/>
      <c r="W2419" s="57"/>
      <c r="X2419" s="57"/>
      <c r="Y2419" s="57"/>
      <c r="Z2419" s="57"/>
      <c r="AA2419" s="57"/>
      <c r="AB2419" s="57"/>
      <c r="AC2419" s="57"/>
      <c r="AD2419" s="57"/>
      <c r="AE2419" s="57"/>
      <c r="AF2419" s="57"/>
      <c r="AG2419" s="57"/>
      <c r="AH2419" s="57"/>
    </row>
    <row r="2509" spans="2:34" ht="15" customHeight="1">
      <c r="B2509" s="57"/>
      <c r="C2509" s="57"/>
      <c r="D2509" s="57"/>
      <c r="E2509" s="57"/>
      <c r="F2509" s="57"/>
      <c r="G2509" s="57"/>
      <c r="H2509" s="57"/>
      <c r="I2509" s="57"/>
      <c r="J2509" s="57"/>
      <c r="K2509" s="57"/>
      <c r="L2509" s="57"/>
      <c r="M2509" s="57"/>
      <c r="N2509" s="57"/>
      <c r="O2509" s="57"/>
      <c r="P2509" s="57"/>
      <c r="Q2509" s="57"/>
      <c r="R2509" s="57"/>
      <c r="S2509" s="57"/>
      <c r="T2509" s="57"/>
      <c r="U2509" s="57"/>
      <c r="V2509" s="57"/>
      <c r="W2509" s="57"/>
      <c r="X2509" s="57"/>
      <c r="Y2509" s="57"/>
      <c r="Z2509" s="57"/>
      <c r="AA2509" s="57"/>
      <c r="AB2509" s="57"/>
      <c r="AC2509" s="57"/>
      <c r="AD2509" s="57"/>
      <c r="AE2509" s="57"/>
      <c r="AF2509" s="57"/>
      <c r="AG2509" s="57"/>
      <c r="AH2509" s="57"/>
    </row>
    <row r="2598" spans="2:34" ht="15" customHeight="1">
      <c r="B2598" s="57"/>
      <c r="C2598" s="57"/>
      <c r="D2598" s="57"/>
      <c r="E2598" s="57"/>
      <c r="F2598" s="57"/>
      <c r="G2598" s="57"/>
      <c r="H2598" s="57"/>
      <c r="I2598" s="57"/>
      <c r="J2598" s="57"/>
      <c r="K2598" s="57"/>
      <c r="L2598" s="57"/>
      <c r="M2598" s="57"/>
      <c r="N2598" s="57"/>
      <c r="O2598" s="57"/>
      <c r="P2598" s="57"/>
      <c r="Q2598" s="57"/>
      <c r="R2598" s="57"/>
      <c r="S2598" s="57"/>
      <c r="T2598" s="57"/>
      <c r="U2598" s="57"/>
      <c r="V2598" s="57"/>
      <c r="W2598" s="57"/>
      <c r="X2598" s="57"/>
      <c r="Y2598" s="57"/>
      <c r="Z2598" s="57"/>
      <c r="AA2598" s="57"/>
      <c r="AB2598" s="57"/>
      <c r="AC2598" s="57"/>
      <c r="AD2598" s="57"/>
      <c r="AE2598" s="57"/>
      <c r="AF2598" s="57"/>
      <c r="AG2598" s="57"/>
      <c r="AH2598" s="57"/>
    </row>
    <row r="2719" spans="2:34" ht="15" customHeight="1">
      <c r="B2719" s="57"/>
      <c r="C2719" s="57"/>
      <c r="D2719" s="57"/>
      <c r="E2719" s="57"/>
      <c r="F2719" s="57"/>
      <c r="G2719" s="57"/>
      <c r="H2719" s="57"/>
      <c r="I2719" s="57"/>
      <c r="J2719" s="57"/>
      <c r="K2719" s="57"/>
      <c r="L2719" s="57"/>
      <c r="M2719" s="57"/>
      <c r="N2719" s="57"/>
      <c r="O2719" s="57"/>
      <c r="P2719" s="57"/>
      <c r="Q2719" s="57"/>
      <c r="R2719" s="57"/>
      <c r="S2719" s="57"/>
      <c r="T2719" s="57"/>
      <c r="U2719" s="57"/>
      <c r="V2719" s="57"/>
      <c r="W2719" s="57"/>
      <c r="X2719" s="57"/>
      <c r="Y2719" s="57"/>
      <c r="Z2719" s="57"/>
      <c r="AA2719" s="57"/>
      <c r="AB2719" s="57"/>
      <c r="AC2719" s="57"/>
      <c r="AD2719" s="57"/>
      <c r="AE2719" s="57"/>
      <c r="AF2719" s="57"/>
      <c r="AG2719" s="57"/>
      <c r="AH2719" s="57"/>
    </row>
    <row r="2837" spans="2:34" ht="15" customHeight="1">
      <c r="B2837" s="57"/>
      <c r="C2837" s="57"/>
      <c r="D2837" s="57"/>
      <c r="E2837" s="57"/>
      <c r="F2837" s="57"/>
      <c r="G2837" s="57"/>
      <c r="H2837" s="57"/>
      <c r="I2837" s="57"/>
      <c r="J2837" s="57"/>
      <c r="K2837" s="57"/>
      <c r="L2837" s="57"/>
      <c r="M2837" s="57"/>
      <c r="N2837" s="57"/>
      <c r="O2837" s="57"/>
      <c r="P2837" s="57"/>
      <c r="Q2837" s="57"/>
      <c r="R2837" s="57"/>
      <c r="S2837" s="57"/>
      <c r="T2837" s="57"/>
      <c r="U2837" s="57"/>
      <c r="V2837" s="57"/>
      <c r="W2837" s="57"/>
      <c r="X2837" s="57"/>
      <c r="Y2837" s="57"/>
      <c r="Z2837" s="57"/>
      <c r="AA2837" s="57"/>
      <c r="AB2837" s="57"/>
      <c r="AC2837" s="57"/>
      <c r="AD2837" s="57"/>
      <c r="AE2837" s="57"/>
      <c r="AF2837" s="57"/>
      <c r="AG2837" s="57"/>
      <c r="AH2837" s="57"/>
    </row>
  </sheetData>
  <mergeCells count="21">
    <mergeCell ref="B1698:AH1698"/>
    <mergeCell ref="B87:AG87"/>
    <mergeCell ref="B112:AH112"/>
    <mergeCell ref="B308:AH308"/>
    <mergeCell ref="B511:AH511"/>
    <mergeCell ref="B712:AH712"/>
    <mergeCell ref="B887:AH887"/>
    <mergeCell ref="B1100:AH1100"/>
    <mergeCell ref="B1227:AH1227"/>
    <mergeCell ref="B1390:AH1390"/>
    <mergeCell ref="B1502:AH1502"/>
    <mergeCell ref="B1604:AH1604"/>
    <mergeCell ref="B2598:AH2598"/>
    <mergeCell ref="B2719:AH2719"/>
    <mergeCell ref="B2837:AH2837"/>
    <mergeCell ref="B1945:AH1945"/>
    <mergeCell ref="B2031:AH2031"/>
    <mergeCell ref="B2153:AH2153"/>
    <mergeCell ref="B2317:AH2317"/>
    <mergeCell ref="B2419:AH2419"/>
    <mergeCell ref="B2509:AH2509"/>
  </mergeCells>
  <phoneticPr fontId="33" type="noConversion"/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8F60-89C5-4025-8DB6-EDD80DA3E694}">
  <dimension ref="A1:AG283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3" sqref="C23"/>
    </sheetView>
  </sheetViews>
  <sheetFormatPr baseColWidth="10" defaultColWidth="9.19921875" defaultRowHeight="15" customHeight="1"/>
  <cols>
    <col min="1" max="1" width="22.3984375" style="30" hidden="1" customWidth="1"/>
    <col min="2" max="2" width="49" style="30" customWidth="1"/>
    <col min="3" max="16384" width="9.19921875" style="30"/>
  </cols>
  <sheetData>
    <row r="1" spans="1:33" ht="15" customHeight="1" thickBot="1">
      <c r="B1" s="31" t="s">
        <v>374</v>
      </c>
      <c r="C1" s="32">
        <v>2021</v>
      </c>
      <c r="D1" s="32">
        <v>2022</v>
      </c>
      <c r="E1" s="32">
        <v>2023</v>
      </c>
      <c r="F1" s="32">
        <v>2024</v>
      </c>
      <c r="G1" s="32">
        <v>2025</v>
      </c>
      <c r="H1" s="32">
        <v>2026</v>
      </c>
      <c r="I1" s="32">
        <v>2027</v>
      </c>
      <c r="J1" s="32">
        <v>2028</v>
      </c>
      <c r="K1" s="32">
        <v>2029</v>
      </c>
      <c r="L1" s="32">
        <v>2030</v>
      </c>
      <c r="M1" s="32">
        <v>2031</v>
      </c>
      <c r="N1" s="32">
        <v>2032</v>
      </c>
      <c r="O1" s="32">
        <v>2033</v>
      </c>
      <c r="P1" s="32">
        <v>2034</v>
      </c>
      <c r="Q1" s="32">
        <v>2035</v>
      </c>
      <c r="R1" s="32">
        <v>2036</v>
      </c>
      <c r="S1" s="32">
        <v>2037</v>
      </c>
      <c r="T1" s="32">
        <v>2038</v>
      </c>
      <c r="U1" s="32">
        <v>2039</v>
      </c>
      <c r="V1" s="32">
        <v>2040</v>
      </c>
      <c r="W1" s="32">
        <v>2041</v>
      </c>
      <c r="X1" s="32">
        <v>2042</v>
      </c>
      <c r="Y1" s="32">
        <v>2043</v>
      </c>
      <c r="Z1" s="32">
        <v>2044</v>
      </c>
      <c r="AA1" s="32">
        <v>2045</v>
      </c>
      <c r="AB1" s="32">
        <v>2046</v>
      </c>
      <c r="AC1" s="32">
        <v>2047</v>
      </c>
      <c r="AD1" s="32">
        <v>2048</v>
      </c>
      <c r="AE1" s="32">
        <v>2049</v>
      </c>
      <c r="AF1" s="32">
        <v>2050</v>
      </c>
    </row>
    <row r="2" spans="1:33" ht="15" customHeight="1" thickTop="1"/>
    <row r="3" spans="1:33" ht="15" customHeight="1">
      <c r="C3" s="51" t="s">
        <v>3</v>
      </c>
      <c r="D3" s="51" t="s">
        <v>373</v>
      </c>
      <c r="E3" s="51"/>
      <c r="F3" s="51"/>
      <c r="G3" s="51"/>
    </row>
    <row r="4" spans="1:33" ht="15" customHeight="1">
      <c r="C4" s="51" t="s">
        <v>4</v>
      </c>
      <c r="D4" s="51" t="s">
        <v>372</v>
      </c>
      <c r="E4" s="51"/>
      <c r="F4" s="51"/>
      <c r="G4" s="51" t="s">
        <v>371</v>
      </c>
    </row>
    <row r="5" spans="1:33" ht="15" customHeight="1">
      <c r="C5" s="51" t="s">
        <v>6</v>
      </c>
      <c r="D5" s="51" t="s">
        <v>370</v>
      </c>
      <c r="E5" s="51"/>
      <c r="F5" s="51"/>
      <c r="G5" s="51"/>
    </row>
    <row r="6" spans="1:33" ht="15" customHeight="1">
      <c r="C6" s="51" t="s">
        <v>7</v>
      </c>
      <c r="D6" s="51"/>
      <c r="E6" s="51" t="s">
        <v>369</v>
      </c>
      <c r="F6" s="51"/>
      <c r="G6" s="51"/>
    </row>
    <row r="7" spans="1:33" ht="12"/>
    <row r="8" spans="1:33" ht="12"/>
    <row r="9" spans="1:33" ht="12"/>
    <row r="10" spans="1:33" ht="15" customHeight="1">
      <c r="A10" s="35" t="s">
        <v>8</v>
      </c>
      <c r="B10" s="36" t="s">
        <v>9</v>
      </c>
      <c r="AG10" s="50" t="s">
        <v>368</v>
      </c>
    </row>
    <row r="11" spans="1:33" ht="15" customHeight="1">
      <c r="B11" s="31" t="s">
        <v>10</v>
      </c>
      <c r="AG11" s="50" t="s">
        <v>367</v>
      </c>
    </row>
    <row r="12" spans="1:33" ht="15" customHeight="1">
      <c r="B12" s="31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50" t="s">
        <v>366</v>
      </c>
    </row>
    <row r="13" spans="1:33" ht="15" customHeight="1" thickBot="1">
      <c r="B13" s="32" t="s">
        <v>12</v>
      </c>
      <c r="C13" s="32">
        <v>2021</v>
      </c>
      <c r="D13" s="32">
        <v>2022</v>
      </c>
      <c r="E13" s="32">
        <v>2023</v>
      </c>
      <c r="F13" s="32">
        <v>2024</v>
      </c>
      <c r="G13" s="32">
        <v>2025</v>
      </c>
      <c r="H13" s="32">
        <v>2026</v>
      </c>
      <c r="I13" s="32">
        <v>2027</v>
      </c>
      <c r="J13" s="32">
        <v>2028</v>
      </c>
      <c r="K13" s="32">
        <v>2029</v>
      </c>
      <c r="L13" s="32">
        <v>2030</v>
      </c>
      <c r="M13" s="32">
        <v>2031</v>
      </c>
      <c r="N13" s="32">
        <v>2032</v>
      </c>
      <c r="O13" s="32">
        <v>2033</v>
      </c>
      <c r="P13" s="32">
        <v>2034</v>
      </c>
      <c r="Q13" s="32">
        <v>2035</v>
      </c>
      <c r="R13" s="32">
        <v>2036</v>
      </c>
      <c r="S13" s="32">
        <v>2037</v>
      </c>
      <c r="T13" s="32">
        <v>2038</v>
      </c>
      <c r="U13" s="32">
        <v>2039</v>
      </c>
      <c r="V13" s="32">
        <v>2040</v>
      </c>
      <c r="W13" s="32">
        <v>2041</v>
      </c>
      <c r="X13" s="32">
        <v>2042</v>
      </c>
      <c r="Y13" s="32">
        <v>2043</v>
      </c>
      <c r="Z13" s="32">
        <v>2044</v>
      </c>
      <c r="AA13" s="32">
        <v>2045</v>
      </c>
      <c r="AB13" s="32">
        <v>2046</v>
      </c>
      <c r="AC13" s="32">
        <v>2047</v>
      </c>
      <c r="AD13" s="32">
        <v>2048</v>
      </c>
      <c r="AE13" s="32">
        <v>2049</v>
      </c>
      <c r="AF13" s="32">
        <v>2050</v>
      </c>
      <c r="AG13" s="49" t="s">
        <v>365</v>
      </c>
    </row>
    <row r="14" spans="1:33" ht="15" customHeight="1" thickTop="1"/>
    <row r="15" spans="1:33" ht="15" customHeight="1">
      <c r="B15" s="40" t="s">
        <v>13</v>
      </c>
    </row>
    <row r="16" spans="1:33" ht="15" customHeight="1">
      <c r="B16" s="40" t="s">
        <v>14</v>
      </c>
    </row>
    <row r="17" spans="1:33" ht="15" customHeight="1">
      <c r="A17" s="35" t="s">
        <v>15</v>
      </c>
      <c r="B17" s="41" t="s">
        <v>16</v>
      </c>
      <c r="C17" s="42">
        <v>207.24075300000001</v>
      </c>
      <c r="D17" s="42">
        <v>197.42744400000001</v>
      </c>
      <c r="E17" s="42">
        <v>188.436432</v>
      </c>
      <c r="F17" s="42">
        <v>181.76033000000001</v>
      </c>
      <c r="G17" s="42">
        <v>161.870499</v>
      </c>
      <c r="H17" s="42">
        <v>155.06448399999999</v>
      </c>
      <c r="I17" s="42">
        <v>148.54969800000001</v>
      </c>
      <c r="J17" s="42">
        <v>137.37901299999999</v>
      </c>
      <c r="K17" s="42">
        <v>126.383713</v>
      </c>
      <c r="L17" s="42">
        <v>121.39870500000001</v>
      </c>
      <c r="M17" s="42">
        <v>120.58169599999999</v>
      </c>
      <c r="N17" s="42">
        <v>118.065704</v>
      </c>
      <c r="O17" s="42">
        <v>117.30371100000001</v>
      </c>
      <c r="P17" s="42">
        <v>112.03370700000001</v>
      </c>
      <c r="Q17" s="42">
        <v>110.417709</v>
      </c>
      <c r="R17" s="42">
        <v>109.413704</v>
      </c>
      <c r="S17" s="42">
        <v>108.700706</v>
      </c>
      <c r="T17" s="42">
        <v>107.63370500000001</v>
      </c>
      <c r="U17" s="42">
        <v>107.294708</v>
      </c>
      <c r="V17" s="42">
        <v>105.529701</v>
      </c>
      <c r="W17" s="42">
        <v>105.189705</v>
      </c>
      <c r="X17" s="42">
        <v>105.189705</v>
      </c>
      <c r="Y17" s="42">
        <v>105.189705</v>
      </c>
      <c r="Z17" s="42">
        <v>105.189705</v>
      </c>
      <c r="AA17" s="42">
        <v>102.67570499999999</v>
      </c>
      <c r="AB17" s="42">
        <v>102.67570499999999</v>
      </c>
      <c r="AC17" s="42">
        <v>102.67570499999999</v>
      </c>
      <c r="AD17" s="42">
        <v>102.67570499999999</v>
      </c>
      <c r="AE17" s="42">
        <v>102.67570499999999</v>
      </c>
      <c r="AF17" s="42">
        <v>102.67570499999999</v>
      </c>
      <c r="AG17" s="43">
        <v>-2.3927E-2</v>
      </c>
    </row>
    <row r="18" spans="1:33" ht="15" customHeight="1">
      <c r="A18" s="35" t="s">
        <v>17</v>
      </c>
      <c r="B18" s="41" t="s">
        <v>18</v>
      </c>
      <c r="C18" s="42">
        <v>73.775802999999996</v>
      </c>
      <c r="D18" s="42">
        <v>71.555412000000004</v>
      </c>
      <c r="E18" s="42">
        <v>65.464005</v>
      </c>
      <c r="F18" s="42">
        <v>58.391708000000001</v>
      </c>
      <c r="G18" s="42">
        <v>51.759501999999998</v>
      </c>
      <c r="H18" s="42">
        <v>49.028098999999997</v>
      </c>
      <c r="I18" s="42">
        <v>47.423003999999999</v>
      </c>
      <c r="J18" s="42">
        <v>46.663001999999999</v>
      </c>
      <c r="K18" s="42">
        <v>45.223503000000001</v>
      </c>
      <c r="L18" s="42">
        <v>44.749405000000003</v>
      </c>
      <c r="M18" s="42">
        <v>43.767403000000002</v>
      </c>
      <c r="N18" s="42">
        <v>43.524403</v>
      </c>
      <c r="O18" s="42">
        <v>42.782302999999999</v>
      </c>
      <c r="P18" s="42">
        <v>42.282302999999999</v>
      </c>
      <c r="Q18" s="42">
        <v>41.332802000000001</v>
      </c>
      <c r="R18" s="42">
        <v>41.332802000000001</v>
      </c>
      <c r="S18" s="42">
        <v>41.309803000000002</v>
      </c>
      <c r="T18" s="42">
        <v>41.309803000000002</v>
      </c>
      <c r="U18" s="42">
        <v>41.309803000000002</v>
      </c>
      <c r="V18" s="42">
        <v>41.309803000000002</v>
      </c>
      <c r="W18" s="42">
        <v>41.309803000000002</v>
      </c>
      <c r="X18" s="42">
        <v>41.309803000000002</v>
      </c>
      <c r="Y18" s="42">
        <v>41.309803000000002</v>
      </c>
      <c r="Z18" s="42">
        <v>41.309803000000002</v>
      </c>
      <c r="AA18" s="42">
        <v>41.309803000000002</v>
      </c>
      <c r="AB18" s="42">
        <v>41.309803000000002</v>
      </c>
      <c r="AC18" s="42">
        <v>41.309803000000002</v>
      </c>
      <c r="AD18" s="42">
        <v>41.309803000000002</v>
      </c>
      <c r="AE18" s="42">
        <v>40.114204000000001</v>
      </c>
      <c r="AF18" s="42">
        <v>39.867203000000003</v>
      </c>
      <c r="AG18" s="43">
        <v>-2.1000000000000001E-2</v>
      </c>
    </row>
    <row r="19" spans="1:33" ht="15" customHeight="1">
      <c r="A19" s="35" t="s">
        <v>19</v>
      </c>
      <c r="B19" s="41" t="s">
        <v>20</v>
      </c>
      <c r="C19" s="42">
        <v>249.764343</v>
      </c>
      <c r="D19" s="42">
        <v>257.84274299999998</v>
      </c>
      <c r="E19" s="42">
        <v>261.35363799999999</v>
      </c>
      <c r="F19" s="42">
        <v>269.243561</v>
      </c>
      <c r="G19" s="42">
        <v>285.38311800000002</v>
      </c>
      <c r="H19" s="42">
        <v>292.21105999999997</v>
      </c>
      <c r="I19" s="42">
        <v>309.89669800000001</v>
      </c>
      <c r="J19" s="42">
        <v>315.39263899999997</v>
      </c>
      <c r="K19" s="42">
        <v>327.08856200000002</v>
      </c>
      <c r="L19" s="42">
        <v>330.934235</v>
      </c>
      <c r="M19" s="42">
        <v>336.01153599999998</v>
      </c>
      <c r="N19" s="42">
        <v>343.336975</v>
      </c>
      <c r="O19" s="42">
        <v>352.800659</v>
      </c>
      <c r="P19" s="42">
        <v>360.85003699999999</v>
      </c>
      <c r="Q19" s="42">
        <v>367.04418900000002</v>
      </c>
      <c r="R19" s="42">
        <v>372.24890099999999</v>
      </c>
      <c r="S19" s="42">
        <v>375.25885</v>
      </c>
      <c r="T19" s="42">
        <v>379.78057899999999</v>
      </c>
      <c r="U19" s="42">
        <v>384.851562</v>
      </c>
      <c r="V19" s="42">
        <v>388.79840100000001</v>
      </c>
      <c r="W19" s="42">
        <v>392.73458900000003</v>
      </c>
      <c r="X19" s="42">
        <v>395.34991500000001</v>
      </c>
      <c r="Y19" s="42">
        <v>399.11016799999999</v>
      </c>
      <c r="Z19" s="42">
        <v>403.83938599999999</v>
      </c>
      <c r="AA19" s="42">
        <v>406.58975199999998</v>
      </c>
      <c r="AB19" s="42">
        <v>410.21264600000001</v>
      </c>
      <c r="AC19" s="42">
        <v>412.393372</v>
      </c>
      <c r="AD19" s="42">
        <v>415.464966</v>
      </c>
      <c r="AE19" s="42">
        <v>420.577606</v>
      </c>
      <c r="AF19" s="42">
        <v>426.20584100000002</v>
      </c>
      <c r="AG19" s="43">
        <v>1.8599000000000001E-2</v>
      </c>
    </row>
    <row r="20" spans="1:33" ht="15" customHeight="1">
      <c r="A20" s="35" t="s">
        <v>21</v>
      </c>
      <c r="B20" s="41" t="s">
        <v>22</v>
      </c>
      <c r="C20" s="42">
        <v>141.13476600000001</v>
      </c>
      <c r="D20" s="42">
        <v>153.972488</v>
      </c>
      <c r="E20" s="42">
        <v>167.35081500000001</v>
      </c>
      <c r="F20" s="42">
        <v>173.5224</v>
      </c>
      <c r="G20" s="42">
        <v>181.73324600000001</v>
      </c>
      <c r="H20" s="42">
        <v>186.14117400000001</v>
      </c>
      <c r="I20" s="42">
        <v>188.51419100000001</v>
      </c>
      <c r="J20" s="42">
        <v>191.743866</v>
      </c>
      <c r="K20" s="42">
        <v>197.11291499999999</v>
      </c>
      <c r="L20" s="42">
        <v>200.58180200000001</v>
      </c>
      <c r="M20" s="42">
        <v>203.491806</v>
      </c>
      <c r="N20" s="42">
        <v>206.74130199999999</v>
      </c>
      <c r="O20" s="42">
        <v>211.75323499999999</v>
      </c>
      <c r="P20" s="42">
        <v>217.94854699999999</v>
      </c>
      <c r="Q20" s="42">
        <v>223.90875199999999</v>
      </c>
      <c r="R20" s="42">
        <v>228.12048300000001</v>
      </c>
      <c r="S20" s="42">
        <v>232.85128800000001</v>
      </c>
      <c r="T20" s="42">
        <v>239.957367</v>
      </c>
      <c r="U20" s="42">
        <v>244.161621</v>
      </c>
      <c r="V20" s="42">
        <v>248.789886</v>
      </c>
      <c r="W20" s="42">
        <v>256.575287</v>
      </c>
      <c r="X20" s="42">
        <v>261.06253099999998</v>
      </c>
      <c r="Y20" s="42">
        <v>265.936218</v>
      </c>
      <c r="Z20" s="42">
        <v>274.92990099999997</v>
      </c>
      <c r="AA20" s="42">
        <v>280.728363</v>
      </c>
      <c r="AB20" s="42">
        <v>286.90380900000002</v>
      </c>
      <c r="AC20" s="42">
        <v>297.021637</v>
      </c>
      <c r="AD20" s="42">
        <v>303.38998400000003</v>
      </c>
      <c r="AE20" s="42">
        <v>315.41683999999998</v>
      </c>
      <c r="AF20" s="42">
        <v>322.200897</v>
      </c>
      <c r="AG20" s="43">
        <v>2.8872999999999999E-2</v>
      </c>
    </row>
    <row r="21" spans="1:33" ht="15" customHeight="1">
      <c r="A21" s="35" t="s">
        <v>23</v>
      </c>
      <c r="B21" s="41" t="s">
        <v>24</v>
      </c>
      <c r="C21" s="42">
        <v>95.487312000000003</v>
      </c>
      <c r="D21" s="42">
        <v>97.014815999999996</v>
      </c>
      <c r="E21" s="42">
        <v>97.058814999999996</v>
      </c>
      <c r="F21" s="42">
        <v>97.109604000000004</v>
      </c>
      <c r="G21" s="42">
        <v>96.018737999999999</v>
      </c>
      <c r="H21" s="42">
        <v>94.931861999999995</v>
      </c>
      <c r="I21" s="42">
        <v>92.796036000000001</v>
      </c>
      <c r="J21" s="42">
        <v>88.057297000000005</v>
      </c>
      <c r="K21" s="42">
        <v>87.117774999999995</v>
      </c>
      <c r="L21" s="42">
        <v>86.035858000000005</v>
      </c>
      <c r="M21" s="42">
        <v>86.174553000000003</v>
      </c>
      <c r="N21" s="42">
        <v>86.270859000000002</v>
      </c>
      <c r="O21" s="42">
        <v>81.356384000000006</v>
      </c>
      <c r="P21" s="42">
        <v>81.444457999999997</v>
      </c>
      <c r="Q21" s="42">
        <v>81.622803000000005</v>
      </c>
      <c r="R21" s="42">
        <v>81.755386000000001</v>
      </c>
      <c r="S21" s="42">
        <v>80.948836999999997</v>
      </c>
      <c r="T21" s="42">
        <v>80.975586000000007</v>
      </c>
      <c r="U21" s="42">
        <v>80.975586000000007</v>
      </c>
      <c r="V21" s="42">
        <v>81.019317999999998</v>
      </c>
      <c r="W21" s="42">
        <v>81.178252999999998</v>
      </c>
      <c r="X21" s="42">
        <v>81.293243000000004</v>
      </c>
      <c r="Y21" s="42">
        <v>81.404160000000005</v>
      </c>
      <c r="Z21" s="42">
        <v>81.500076000000007</v>
      </c>
      <c r="AA21" s="42">
        <v>81.603950999999995</v>
      </c>
      <c r="AB21" s="42">
        <v>81.658051</v>
      </c>
      <c r="AC21" s="42">
        <v>81.712151000000006</v>
      </c>
      <c r="AD21" s="42">
        <v>80.520836000000003</v>
      </c>
      <c r="AE21" s="42">
        <v>80.561546000000007</v>
      </c>
      <c r="AF21" s="42">
        <v>80.623878000000005</v>
      </c>
      <c r="AG21" s="43">
        <v>-5.8170000000000001E-3</v>
      </c>
    </row>
    <row r="22" spans="1:33" ht="15" customHeight="1">
      <c r="A22" s="35" t="s">
        <v>25</v>
      </c>
      <c r="B22" s="41" t="s">
        <v>26</v>
      </c>
      <c r="C22" s="42">
        <v>23.016204999999999</v>
      </c>
      <c r="D22" s="42">
        <v>23.016204999999999</v>
      </c>
      <c r="E22" s="42">
        <v>23.016204999999999</v>
      </c>
      <c r="F22" s="42">
        <v>23.016204999999999</v>
      </c>
      <c r="G22" s="42">
        <v>23.016204999999999</v>
      </c>
      <c r="H22" s="42">
        <v>23.016204999999999</v>
      </c>
      <c r="I22" s="42">
        <v>23.016204999999999</v>
      </c>
      <c r="J22" s="42">
        <v>23.016204999999999</v>
      </c>
      <c r="K22" s="42">
        <v>23.016204999999999</v>
      </c>
      <c r="L22" s="42">
        <v>23.016204999999999</v>
      </c>
      <c r="M22" s="42">
        <v>23.016204999999999</v>
      </c>
      <c r="N22" s="42">
        <v>23.016204999999999</v>
      </c>
      <c r="O22" s="42">
        <v>23.016204999999999</v>
      </c>
      <c r="P22" s="42">
        <v>23.016204999999999</v>
      </c>
      <c r="Q22" s="42">
        <v>23.016204999999999</v>
      </c>
      <c r="R22" s="42">
        <v>23.016204999999999</v>
      </c>
      <c r="S22" s="42">
        <v>23.016204999999999</v>
      </c>
      <c r="T22" s="42">
        <v>23.016204999999999</v>
      </c>
      <c r="U22" s="42">
        <v>23.016204999999999</v>
      </c>
      <c r="V22" s="42">
        <v>23.016204999999999</v>
      </c>
      <c r="W22" s="42">
        <v>23.016204999999999</v>
      </c>
      <c r="X22" s="42">
        <v>23.016204999999999</v>
      </c>
      <c r="Y22" s="42">
        <v>23.016204999999999</v>
      </c>
      <c r="Z22" s="42">
        <v>23.016204999999999</v>
      </c>
      <c r="AA22" s="42">
        <v>23.016204999999999</v>
      </c>
      <c r="AB22" s="42">
        <v>23.016204999999999</v>
      </c>
      <c r="AC22" s="42">
        <v>23.016204999999999</v>
      </c>
      <c r="AD22" s="42">
        <v>23.016204999999999</v>
      </c>
      <c r="AE22" s="42">
        <v>23.016204999999999</v>
      </c>
      <c r="AF22" s="42">
        <v>23.016204999999999</v>
      </c>
      <c r="AG22" s="43">
        <v>0</v>
      </c>
    </row>
    <row r="23" spans="1:33" ht="15" customHeight="1">
      <c r="A23" s="35" t="s">
        <v>27</v>
      </c>
      <c r="B23" s="53" t="s">
        <v>28</v>
      </c>
      <c r="C23" s="54">
        <v>3.968</v>
      </c>
      <c r="D23" s="54">
        <v>6.4980529999999996</v>
      </c>
      <c r="E23" s="54">
        <v>8.3803529999999995</v>
      </c>
      <c r="F23" s="54">
        <v>9.0470980000000001</v>
      </c>
      <c r="G23" s="54">
        <v>10.024082</v>
      </c>
      <c r="H23" s="54">
        <v>10.644874</v>
      </c>
      <c r="I23" s="54">
        <v>11.96899</v>
      </c>
      <c r="J23" s="54">
        <v>13.916988</v>
      </c>
      <c r="K23" s="54">
        <v>14.465987999999999</v>
      </c>
      <c r="L23" s="54">
        <v>15.030294</v>
      </c>
      <c r="M23" s="54">
        <v>15.361281</v>
      </c>
      <c r="N23" s="54">
        <v>17.037842000000001</v>
      </c>
      <c r="O23" s="54">
        <v>17.27684</v>
      </c>
      <c r="P23" s="54">
        <v>17.549809</v>
      </c>
      <c r="Q23" s="54">
        <v>18.560487999999999</v>
      </c>
      <c r="R23" s="54">
        <v>18.679203000000001</v>
      </c>
      <c r="S23" s="54">
        <v>18.713059999999999</v>
      </c>
      <c r="T23" s="54">
        <v>18.774657999999999</v>
      </c>
      <c r="U23" s="54">
        <v>19.740901999999998</v>
      </c>
      <c r="V23" s="54">
        <v>19.776287</v>
      </c>
      <c r="W23" s="54">
        <v>20.657169</v>
      </c>
      <c r="X23" s="54">
        <v>21.338418999999998</v>
      </c>
      <c r="Y23" s="54">
        <v>23.182055999999999</v>
      </c>
      <c r="Z23" s="54">
        <v>23.850954000000002</v>
      </c>
      <c r="AA23" s="54">
        <v>24.102008999999999</v>
      </c>
      <c r="AB23" s="54">
        <v>24.697657</v>
      </c>
      <c r="AC23" s="54">
        <v>24.893183000000001</v>
      </c>
      <c r="AD23" s="54">
        <v>25.185205</v>
      </c>
      <c r="AE23" s="54">
        <v>27.334793000000001</v>
      </c>
      <c r="AF23" s="54">
        <v>27.706506999999998</v>
      </c>
      <c r="AG23" s="55">
        <v>6.9309999999999997E-2</v>
      </c>
    </row>
    <row r="24" spans="1:33" ht="15" customHeight="1">
      <c r="A24" s="35" t="s">
        <v>29</v>
      </c>
      <c r="B24" s="41" t="s">
        <v>30</v>
      </c>
      <c r="C24" s="42">
        <v>0.22309999999999999</v>
      </c>
      <c r="D24" s="42">
        <v>0.25269999999999998</v>
      </c>
      <c r="E24" s="42">
        <v>0.25269999999999998</v>
      </c>
      <c r="F24" s="42">
        <v>0.25601800000000002</v>
      </c>
      <c r="G24" s="42">
        <v>0.257297</v>
      </c>
      <c r="H24" s="42">
        <v>0.257297</v>
      </c>
      <c r="I24" s="42">
        <v>0.257297</v>
      </c>
      <c r="J24" s="42">
        <v>0.257297</v>
      </c>
      <c r="K24" s="42">
        <v>0.257297</v>
      </c>
      <c r="L24" s="42">
        <v>0.257297</v>
      </c>
      <c r="M24" s="42">
        <v>0.25619700000000001</v>
      </c>
      <c r="N24" s="42">
        <v>0.25619700000000001</v>
      </c>
      <c r="O24" s="42">
        <v>0.25619700000000001</v>
      </c>
      <c r="P24" s="42">
        <v>0.25619700000000001</v>
      </c>
      <c r="Q24" s="42">
        <v>0.25619700000000001</v>
      </c>
      <c r="R24" s="42">
        <v>0.25619700000000001</v>
      </c>
      <c r="S24" s="42">
        <v>0.25619700000000001</v>
      </c>
      <c r="T24" s="42">
        <v>0.25619700000000001</v>
      </c>
      <c r="U24" s="42">
        <v>0.25722600000000001</v>
      </c>
      <c r="V24" s="42">
        <v>0.25722600000000001</v>
      </c>
      <c r="W24" s="42">
        <v>0.25722600000000001</v>
      </c>
      <c r="X24" s="42">
        <v>0.25722600000000001</v>
      </c>
      <c r="Y24" s="42">
        <v>0.25722600000000001</v>
      </c>
      <c r="Z24" s="42">
        <v>0.25722600000000001</v>
      </c>
      <c r="AA24" s="42">
        <v>0.25722600000000001</v>
      </c>
      <c r="AB24" s="42">
        <v>0.25722600000000001</v>
      </c>
      <c r="AC24" s="42">
        <v>0.25722600000000001</v>
      </c>
      <c r="AD24" s="42">
        <v>0.25722600000000001</v>
      </c>
      <c r="AE24" s="42">
        <v>0.25722600000000001</v>
      </c>
      <c r="AF24" s="42">
        <v>0.25722600000000001</v>
      </c>
      <c r="AG24" s="43">
        <v>4.9199999999999999E-3</v>
      </c>
    </row>
    <row r="25" spans="1:33" ht="15" customHeight="1">
      <c r="A25" s="35" t="s">
        <v>31</v>
      </c>
      <c r="B25" s="41" t="s">
        <v>32</v>
      </c>
      <c r="C25" s="42">
        <v>285.27877799999999</v>
      </c>
      <c r="D25" s="42">
        <v>310.07849099999999</v>
      </c>
      <c r="E25" s="42">
        <v>341.91708399999999</v>
      </c>
      <c r="F25" s="42">
        <v>384.027039</v>
      </c>
      <c r="G25" s="42">
        <v>410.54357900000002</v>
      </c>
      <c r="H25" s="42">
        <v>421.49700899999999</v>
      </c>
      <c r="I25" s="42">
        <v>429.370453</v>
      </c>
      <c r="J25" s="42">
        <v>445.12219199999998</v>
      </c>
      <c r="K25" s="42">
        <v>472.45886200000001</v>
      </c>
      <c r="L25" s="42">
        <v>488.39648399999999</v>
      </c>
      <c r="M25" s="42">
        <v>497.937927</v>
      </c>
      <c r="N25" s="42">
        <v>507.339539</v>
      </c>
      <c r="O25" s="42">
        <v>525.96057099999996</v>
      </c>
      <c r="P25" s="42">
        <v>546.94360400000005</v>
      </c>
      <c r="Q25" s="42">
        <v>566.742615</v>
      </c>
      <c r="R25" s="42">
        <v>582.04455600000006</v>
      </c>
      <c r="S25" s="42">
        <v>592.39074700000003</v>
      </c>
      <c r="T25" s="42">
        <v>599.75231900000006</v>
      </c>
      <c r="U25" s="42">
        <v>609.26214600000003</v>
      </c>
      <c r="V25" s="42">
        <v>617.375854</v>
      </c>
      <c r="W25" s="42">
        <v>623.42828399999996</v>
      </c>
      <c r="X25" s="42">
        <v>631.98657200000002</v>
      </c>
      <c r="Y25" s="42">
        <v>643.37988299999995</v>
      </c>
      <c r="Z25" s="42">
        <v>649.71447799999999</v>
      </c>
      <c r="AA25" s="42">
        <v>659.21508800000004</v>
      </c>
      <c r="AB25" s="42">
        <v>668.80157499999996</v>
      </c>
      <c r="AC25" s="42">
        <v>680.364014</v>
      </c>
      <c r="AD25" s="42">
        <v>695.68072500000005</v>
      </c>
      <c r="AE25" s="42">
        <v>708.54229699999996</v>
      </c>
      <c r="AF25" s="42">
        <v>719.69946300000004</v>
      </c>
      <c r="AG25" s="43">
        <v>3.2424000000000001E-2</v>
      </c>
    </row>
    <row r="26" spans="1:33" ht="15" customHeight="1">
      <c r="A26" s="35" t="s">
        <v>33</v>
      </c>
      <c r="B26" s="41" t="s">
        <v>34</v>
      </c>
      <c r="C26" s="42">
        <v>0</v>
      </c>
      <c r="D26" s="42">
        <v>0</v>
      </c>
      <c r="E26" s="42">
        <v>1.099837</v>
      </c>
      <c r="F26" s="42">
        <v>1.3052250000000001</v>
      </c>
      <c r="G26" s="42">
        <v>1.56447</v>
      </c>
      <c r="H26" s="42">
        <v>1.9888669999999999</v>
      </c>
      <c r="I26" s="42">
        <v>2.4220299999999999</v>
      </c>
      <c r="J26" s="42">
        <v>2.8900489999999999</v>
      </c>
      <c r="K26" s="42">
        <v>3.403985</v>
      </c>
      <c r="L26" s="42">
        <v>3.9493140000000002</v>
      </c>
      <c r="M26" s="42">
        <v>4.5662799999999999</v>
      </c>
      <c r="N26" s="42">
        <v>5.2045300000000001</v>
      </c>
      <c r="O26" s="42">
        <v>5.8720660000000002</v>
      </c>
      <c r="P26" s="42">
        <v>6.6467650000000003</v>
      </c>
      <c r="Q26" s="42">
        <v>7.6498160000000004</v>
      </c>
      <c r="R26" s="42">
        <v>8.7380800000000001</v>
      </c>
      <c r="S26" s="42">
        <v>9.8820680000000003</v>
      </c>
      <c r="T26" s="42">
        <v>11.101279</v>
      </c>
      <c r="U26" s="42">
        <v>12.297058</v>
      </c>
      <c r="V26" s="42">
        <v>13.513679</v>
      </c>
      <c r="W26" s="42">
        <v>14.793908</v>
      </c>
      <c r="X26" s="42">
        <v>16.129086999999998</v>
      </c>
      <c r="Y26" s="42">
        <v>17.452337</v>
      </c>
      <c r="Z26" s="42">
        <v>18.881122999999999</v>
      </c>
      <c r="AA26" s="42">
        <v>20.31765</v>
      </c>
      <c r="AB26" s="42">
        <v>21.636856000000002</v>
      </c>
      <c r="AC26" s="42">
        <v>22.978241000000001</v>
      </c>
      <c r="AD26" s="42">
        <v>24.258875</v>
      </c>
      <c r="AE26" s="42">
        <v>25.570881</v>
      </c>
      <c r="AF26" s="42">
        <v>27.046391</v>
      </c>
      <c r="AG26" s="43" t="s">
        <v>364</v>
      </c>
    </row>
    <row r="27" spans="1:33" ht="15" customHeight="1">
      <c r="A27" s="35" t="s">
        <v>36</v>
      </c>
      <c r="B27" s="40" t="s">
        <v>37</v>
      </c>
      <c r="C27" s="44">
        <v>1079.889038</v>
      </c>
      <c r="D27" s="44">
        <v>1117.6583250000001</v>
      </c>
      <c r="E27" s="44">
        <v>1154.329956</v>
      </c>
      <c r="F27" s="44">
        <v>1197.6791989999999</v>
      </c>
      <c r="G27" s="44">
        <v>1222.170654</v>
      </c>
      <c r="H27" s="44">
        <v>1234.7810059999999</v>
      </c>
      <c r="I27" s="44">
        <v>1254.2146</v>
      </c>
      <c r="J27" s="44">
        <v>1264.4385990000001</v>
      </c>
      <c r="K27" s="44">
        <v>1296.5288089999999</v>
      </c>
      <c r="L27" s="44">
        <v>1314.3496090000001</v>
      </c>
      <c r="M27" s="44">
        <v>1331.1649170000001</v>
      </c>
      <c r="N27" s="44">
        <v>1350.7937010000001</v>
      </c>
      <c r="O27" s="44">
        <v>1378.3781739999999</v>
      </c>
      <c r="P27" s="44">
        <v>1408.971558</v>
      </c>
      <c r="Q27" s="44">
        <v>1440.5516359999999</v>
      </c>
      <c r="R27" s="44">
        <v>1465.6054690000001</v>
      </c>
      <c r="S27" s="44">
        <v>1483.327759</v>
      </c>
      <c r="T27" s="44">
        <v>1502.557861</v>
      </c>
      <c r="U27" s="44">
        <v>1523.16687</v>
      </c>
      <c r="V27" s="44">
        <v>1539.3863530000001</v>
      </c>
      <c r="W27" s="44">
        <v>1559.140625</v>
      </c>
      <c r="X27" s="44">
        <v>1576.9326169999999</v>
      </c>
      <c r="Y27" s="44">
        <v>1600.237793</v>
      </c>
      <c r="Z27" s="44">
        <v>1622.4887699999999</v>
      </c>
      <c r="AA27" s="44">
        <v>1639.8156739999999</v>
      </c>
      <c r="AB27" s="44">
        <v>1661.1694339999999</v>
      </c>
      <c r="AC27" s="44">
        <v>1686.621582</v>
      </c>
      <c r="AD27" s="44">
        <v>1711.7595209999999</v>
      </c>
      <c r="AE27" s="44">
        <v>1744.0673830000001</v>
      </c>
      <c r="AF27" s="44">
        <v>1769.299438</v>
      </c>
      <c r="AG27" s="45">
        <v>1.7170999999999999E-2</v>
      </c>
    </row>
    <row r="28" spans="1:33" ht="15" customHeight="1">
      <c r="B28" s="40" t="s">
        <v>38</v>
      </c>
    </row>
    <row r="29" spans="1:33" ht="15" customHeight="1">
      <c r="A29" s="35" t="s">
        <v>39</v>
      </c>
      <c r="B29" s="41" t="s">
        <v>40</v>
      </c>
      <c r="C29" s="42">
        <v>1.6835</v>
      </c>
      <c r="D29" s="42">
        <v>1.6835</v>
      </c>
      <c r="E29" s="42">
        <v>1.6835</v>
      </c>
      <c r="F29" s="42">
        <v>1.4395</v>
      </c>
      <c r="G29" s="42">
        <v>1.4395</v>
      </c>
      <c r="H29" s="42">
        <v>1.4395</v>
      </c>
      <c r="I29" s="42">
        <v>1.4395</v>
      </c>
      <c r="J29" s="42">
        <v>1.4395</v>
      </c>
      <c r="K29" s="42">
        <v>1.4395</v>
      </c>
      <c r="L29" s="42">
        <v>1.4395</v>
      </c>
      <c r="M29" s="42">
        <v>1.4395</v>
      </c>
      <c r="N29" s="42">
        <v>1.4395</v>
      </c>
      <c r="O29" s="42">
        <v>1.4395</v>
      </c>
      <c r="P29" s="42">
        <v>1.4395</v>
      </c>
      <c r="Q29" s="42">
        <v>1.4395</v>
      </c>
      <c r="R29" s="42">
        <v>1.4395</v>
      </c>
      <c r="S29" s="42">
        <v>1.4395</v>
      </c>
      <c r="T29" s="42">
        <v>1.4395</v>
      </c>
      <c r="U29" s="42">
        <v>1.4395</v>
      </c>
      <c r="V29" s="42">
        <v>1.4395</v>
      </c>
      <c r="W29" s="42">
        <v>1.4395</v>
      </c>
      <c r="X29" s="42">
        <v>1.4395</v>
      </c>
      <c r="Y29" s="42">
        <v>1.4395</v>
      </c>
      <c r="Z29" s="42">
        <v>1.4395</v>
      </c>
      <c r="AA29" s="42">
        <v>1.4395</v>
      </c>
      <c r="AB29" s="42">
        <v>1.4395</v>
      </c>
      <c r="AC29" s="42">
        <v>1.4395</v>
      </c>
      <c r="AD29" s="42">
        <v>1.4395</v>
      </c>
      <c r="AE29" s="42">
        <v>1.4395</v>
      </c>
      <c r="AF29" s="42">
        <v>1.4395</v>
      </c>
      <c r="AG29" s="43">
        <v>-5.385E-3</v>
      </c>
    </row>
    <row r="30" spans="1:33" ht="15" customHeight="1">
      <c r="A30" s="35" t="s">
        <v>41</v>
      </c>
      <c r="B30" s="41" t="s">
        <v>42</v>
      </c>
      <c r="C30" s="42">
        <v>0.57179999999999997</v>
      </c>
      <c r="D30" s="42">
        <v>0.57179999999999997</v>
      </c>
      <c r="E30" s="42">
        <v>0.57179999999999997</v>
      </c>
      <c r="F30" s="42">
        <v>0.57179999999999997</v>
      </c>
      <c r="G30" s="42">
        <v>0.57179999999999997</v>
      </c>
      <c r="H30" s="42">
        <v>0.57179999999999997</v>
      </c>
      <c r="I30" s="42">
        <v>0.57179999999999997</v>
      </c>
      <c r="J30" s="42">
        <v>0.57179999999999997</v>
      </c>
      <c r="K30" s="42">
        <v>0.57179999999999997</v>
      </c>
      <c r="L30" s="42">
        <v>0.57179999999999997</v>
      </c>
      <c r="M30" s="42">
        <v>0.57179999999999997</v>
      </c>
      <c r="N30" s="42">
        <v>0.57179999999999997</v>
      </c>
      <c r="O30" s="42">
        <v>0.57179999999999997</v>
      </c>
      <c r="P30" s="42">
        <v>0.57179999999999997</v>
      </c>
      <c r="Q30" s="42">
        <v>0.57179999999999997</v>
      </c>
      <c r="R30" s="42">
        <v>0.57179999999999997</v>
      </c>
      <c r="S30" s="42">
        <v>0.57179999999999997</v>
      </c>
      <c r="T30" s="42">
        <v>0.57179999999999997</v>
      </c>
      <c r="U30" s="42">
        <v>0.57179999999999997</v>
      </c>
      <c r="V30" s="42">
        <v>0.57179999999999997</v>
      </c>
      <c r="W30" s="42">
        <v>0.57179999999999997</v>
      </c>
      <c r="X30" s="42">
        <v>0.57179999999999997</v>
      </c>
      <c r="Y30" s="42">
        <v>0.57179999999999997</v>
      </c>
      <c r="Z30" s="42">
        <v>0.57179999999999997</v>
      </c>
      <c r="AA30" s="42">
        <v>0.57179999999999997</v>
      </c>
      <c r="AB30" s="42">
        <v>0.57179999999999997</v>
      </c>
      <c r="AC30" s="42">
        <v>0.57179999999999997</v>
      </c>
      <c r="AD30" s="42">
        <v>0.57179999999999997</v>
      </c>
      <c r="AE30" s="42">
        <v>0.57179999999999997</v>
      </c>
      <c r="AF30" s="42">
        <v>0.57179999999999997</v>
      </c>
      <c r="AG30" s="43">
        <v>0</v>
      </c>
    </row>
    <row r="31" spans="1:33">
      <c r="A31" s="35" t="s">
        <v>43</v>
      </c>
      <c r="B31" s="41" t="s">
        <v>20</v>
      </c>
      <c r="C31" s="42">
        <v>21.351203999999999</v>
      </c>
      <c r="D31" s="42">
        <v>21.351203999999999</v>
      </c>
      <c r="E31" s="42">
        <v>21.172604</v>
      </c>
      <c r="F31" s="42">
        <v>21.172604</v>
      </c>
      <c r="G31" s="42">
        <v>21.172604</v>
      </c>
      <c r="H31" s="42">
        <v>21.172604</v>
      </c>
      <c r="I31" s="42">
        <v>21.172604</v>
      </c>
      <c r="J31" s="42">
        <v>21.172604</v>
      </c>
      <c r="K31" s="42">
        <v>21.172604</v>
      </c>
      <c r="L31" s="42">
        <v>21.172604</v>
      </c>
      <c r="M31" s="42">
        <v>21.172604</v>
      </c>
      <c r="N31" s="42">
        <v>21.172604</v>
      </c>
      <c r="O31" s="42">
        <v>21.172604</v>
      </c>
      <c r="P31" s="42">
        <v>21.172604</v>
      </c>
      <c r="Q31" s="42">
        <v>21.172604</v>
      </c>
      <c r="R31" s="42">
        <v>21.172604</v>
      </c>
      <c r="S31" s="42">
        <v>21.172604</v>
      </c>
      <c r="T31" s="42">
        <v>21.172604</v>
      </c>
      <c r="U31" s="42">
        <v>21.172604</v>
      </c>
      <c r="V31" s="42">
        <v>21.172604</v>
      </c>
      <c r="W31" s="42">
        <v>21.172604</v>
      </c>
      <c r="X31" s="42">
        <v>21.172604</v>
      </c>
      <c r="Y31" s="42">
        <v>21.172604</v>
      </c>
      <c r="Z31" s="42">
        <v>21.172604</v>
      </c>
      <c r="AA31" s="42">
        <v>21.172604</v>
      </c>
      <c r="AB31" s="42">
        <v>21.172604</v>
      </c>
      <c r="AC31" s="42">
        <v>21.172604</v>
      </c>
      <c r="AD31" s="42">
        <v>21.172604</v>
      </c>
      <c r="AE31" s="42">
        <v>21.172604</v>
      </c>
      <c r="AF31" s="42">
        <v>21.172604</v>
      </c>
      <c r="AG31" s="43">
        <v>-2.9E-4</v>
      </c>
    </row>
    <row r="32" spans="1:33">
      <c r="A32" s="35" t="s">
        <v>44</v>
      </c>
      <c r="B32" s="41" t="s">
        <v>22</v>
      </c>
      <c r="C32" s="42">
        <v>2.8765999999999998</v>
      </c>
      <c r="D32" s="42">
        <v>2.8765999999999998</v>
      </c>
      <c r="E32" s="42">
        <v>2.8765999999999998</v>
      </c>
      <c r="F32" s="42">
        <v>2.8765999999999998</v>
      </c>
      <c r="G32" s="42">
        <v>2.8765999999999998</v>
      </c>
      <c r="H32" s="42">
        <v>2.8765999999999998</v>
      </c>
      <c r="I32" s="42">
        <v>2.8765999999999998</v>
      </c>
      <c r="J32" s="42">
        <v>2.8765999999999998</v>
      </c>
      <c r="K32" s="42">
        <v>2.8765999999999998</v>
      </c>
      <c r="L32" s="42">
        <v>2.8765999999999998</v>
      </c>
      <c r="M32" s="42">
        <v>2.8765999999999998</v>
      </c>
      <c r="N32" s="42">
        <v>2.8765999999999998</v>
      </c>
      <c r="O32" s="42">
        <v>2.8765999999999998</v>
      </c>
      <c r="P32" s="42">
        <v>2.8765999999999998</v>
      </c>
      <c r="Q32" s="42">
        <v>2.8765999999999998</v>
      </c>
      <c r="R32" s="42">
        <v>2.8765999999999998</v>
      </c>
      <c r="S32" s="42">
        <v>2.8765999999999998</v>
      </c>
      <c r="T32" s="42">
        <v>2.8765999999999998</v>
      </c>
      <c r="U32" s="42">
        <v>2.8765999999999998</v>
      </c>
      <c r="V32" s="42">
        <v>2.8765999999999998</v>
      </c>
      <c r="W32" s="42">
        <v>2.8765999999999998</v>
      </c>
      <c r="X32" s="42">
        <v>2.8765999999999998</v>
      </c>
      <c r="Y32" s="42">
        <v>2.8765999999999998</v>
      </c>
      <c r="Z32" s="42">
        <v>2.8765999999999998</v>
      </c>
      <c r="AA32" s="42">
        <v>2.8765999999999998</v>
      </c>
      <c r="AB32" s="42">
        <v>2.8765999999999998</v>
      </c>
      <c r="AC32" s="42">
        <v>2.8765999999999998</v>
      </c>
      <c r="AD32" s="42">
        <v>2.8765999999999998</v>
      </c>
      <c r="AE32" s="42">
        <v>2.8765999999999998</v>
      </c>
      <c r="AF32" s="42">
        <v>2.8765999999999998</v>
      </c>
      <c r="AG32" s="43">
        <v>0</v>
      </c>
    </row>
    <row r="33" spans="1:33">
      <c r="A33" s="35" t="s">
        <v>45</v>
      </c>
      <c r="B33" s="41" t="s">
        <v>32</v>
      </c>
      <c r="C33" s="42">
        <v>0.97529999999999994</v>
      </c>
      <c r="D33" s="42">
        <v>0.97529999999999994</v>
      </c>
      <c r="E33" s="42">
        <v>0.97529999999999994</v>
      </c>
      <c r="F33" s="42">
        <v>0.97529999999999994</v>
      </c>
      <c r="G33" s="42">
        <v>0.97529999999999994</v>
      </c>
      <c r="H33" s="42">
        <v>0.97529999999999994</v>
      </c>
      <c r="I33" s="42">
        <v>0.97529999999999994</v>
      </c>
      <c r="J33" s="42">
        <v>0.97529999999999994</v>
      </c>
      <c r="K33" s="42">
        <v>0.97529999999999994</v>
      </c>
      <c r="L33" s="42">
        <v>0.97529999999999994</v>
      </c>
      <c r="M33" s="42">
        <v>0.97529999999999994</v>
      </c>
      <c r="N33" s="42">
        <v>0.97529999999999994</v>
      </c>
      <c r="O33" s="42">
        <v>0.97529999999999994</v>
      </c>
      <c r="P33" s="42">
        <v>0.97529999999999994</v>
      </c>
      <c r="Q33" s="42">
        <v>0.97529999999999994</v>
      </c>
      <c r="R33" s="42">
        <v>0.97529999999999994</v>
      </c>
      <c r="S33" s="42">
        <v>0.97529999999999994</v>
      </c>
      <c r="T33" s="42">
        <v>0.97529999999999994</v>
      </c>
      <c r="U33" s="42">
        <v>0.97529999999999994</v>
      </c>
      <c r="V33" s="42">
        <v>0.97529999999999994</v>
      </c>
      <c r="W33" s="42">
        <v>0.97529999999999994</v>
      </c>
      <c r="X33" s="42">
        <v>0.97529999999999994</v>
      </c>
      <c r="Y33" s="42">
        <v>0.97529999999999994</v>
      </c>
      <c r="Z33" s="42">
        <v>0.97529999999999994</v>
      </c>
      <c r="AA33" s="42">
        <v>0.97529999999999994</v>
      </c>
      <c r="AB33" s="42">
        <v>0.97529999999999994</v>
      </c>
      <c r="AC33" s="42">
        <v>0.97529999999999994</v>
      </c>
      <c r="AD33" s="42">
        <v>0.97529999999999994</v>
      </c>
      <c r="AE33" s="42">
        <v>0.97529999999999994</v>
      </c>
      <c r="AF33" s="42">
        <v>0.97529999999999994</v>
      </c>
      <c r="AG33" s="43">
        <v>0</v>
      </c>
    </row>
    <row r="34" spans="1:33" ht="13">
      <c r="A34" s="35" t="s">
        <v>46</v>
      </c>
      <c r="B34" s="40" t="s">
        <v>37</v>
      </c>
      <c r="C34" s="44">
        <v>27.458404999999999</v>
      </c>
      <c r="D34" s="44">
        <v>27.458404999999999</v>
      </c>
      <c r="E34" s="44">
        <v>27.279803999999999</v>
      </c>
      <c r="F34" s="44">
        <v>27.035803000000001</v>
      </c>
      <c r="G34" s="44">
        <v>27.035803000000001</v>
      </c>
      <c r="H34" s="44">
        <v>27.035803000000001</v>
      </c>
      <c r="I34" s="44">
        <v>27.035803000000001</v>
      </c>
      <c r="J34" s="44">
        <v>27.035803000000001</v>
      </c>
      <c r="K34" s="44">
        <v>27.035803000000001</v>
      </c>
      <c r="L34" s="44">
        <v>27.035803000000001</v>
      </c>
      <c r="M34" s="44">
        <v>27.035803000000001</v>
      </c>
      <c r="N34" s="44">
        <v>27.035803000000001</v>
      </c>
      <c r="O34" s="44">
        <v>27.035803000000001</v>
      </c>
      <c r="P34" s="44">
        <v>27.035803000000001</v>
      </c>
      <c r="Q34" s="44">
        <v>27.035803000000001</v>
      </c>
      <c r="R34" s="44">
        <v>27.035803000000001</v>
      </c>
      <c r="S34" s="44">
        <v>27.035803000000001</v>
      </c>
      <c r="T34" s="44">
        <v>27.035803000000001</v>
      </c>
      <c r="U34" s="44">
        <v>27.035803000000001</v>
      </c>
      <c r="V34" s="44">
        <v>27.035803000000001</v>
      </c>
      <c r="W34" s="44">
        <v>27.035803000000001</v>
      </c>
      <c r="X34" s="44">
        <v>27.035803000000001</v>
      </c>
      <c r="Y34" s="44">
        <v>27.035803000000001</v>
      </c>
      <c r="Z34" s="44">
        <v>27.035803000000001</v>
      </c>
      <c r="AA34" s="44">
        <v>27.035803000000001</v>
      </c>
      <c r="AB34" s="44">
        <v>27.035803000000001</v>
      </c>
      <c r="AC34" s="44">
        <v>27.035803000000001</v>
      </c>
      <c r="AD34" s="44">
        <v>27.035803000000001</v>
      </c>
      <c r="AE34" s="44">
        <v>27.035803000000001</v>
      </c>
      <c r="AF34" s="44">
        <v>27.035803000000001</v>
      </c>
      <c r="AG34" s="45">
        <v>-5.3499999999999999E-4</v>
      </c>
    </row>
    <row r="35" spans="1:33" ht="12"/>
    <row r="36" spans="1:33" ht="13">
      <c r="B36" s="40" t="s">
        <v>47</v>
      </c>
    </row>
    <row r="37" spans="1:33">
      <c r="A37" s="35" t="s">
        <v>48</v>
      </c>
      <c r="B37" s="41" t="s">
        <v>40</v>
      </c>
      <c r="C37" s="42" t="s">
        <v>364</v>
      </c>
      <c r="D37" s="42">
        <v>0</v>
      </c>
      <c r="E37" s="42">
        <v>0</v>
      </c>
      <c r="F37" s="42">
        <v>0</v>
      </c>
      <c r="G37" s="42">
        <v>0</v>
      </c>
      <c r="H37" s="42">
        <v>0</v>
      </c>
      <c r="I37" s="42">
        <v>0</v>
      </c>
      <c r="J37" s="42">
        <v>0</v>
      </c>
      <c r="K37" s="42">
        <v>0</v>
      </c>
      <c r="L37" s="42">
        <v>0</v>
      </c>
      <c r="M37" s="42">
        <v>0</v>
      </c>
      <c r="N37" s="42">
        <v>0</v>
      </c>
      <c r="O37" s="42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2">
        <v>0</v>
      </c>
      <c r="V37" s="42">
        <v>0</v>
      </c>
      <c r="W37" s="42">
        <v>0</v>
      </c>
      <c r="X37" s="42">
        <v>0</v>
      </c>
      <c r="Y37" s="42">
        <v>0</v>
      </c>
      <c r="Z37" s="42">
        <v>0</v>
      </c>
      <c r="AA37" s="42">
        <v>0</v>
      </c>
      <c r="AB37" s="42">
        <v>0</v>
      </c>
      <c r="AC37" s="42">
        <v>0</v>
      </c>
      <c r="AD37" s="42">
        <v>0</v>
      </c>
      <c r="AE37" s="42">
        <v>0</v>
      </c>
      <c r="AF37" s="42">
        <v>0</v>
      </c>
      <c r="AG37" s="43" t="s">
        <v>364</v>
      </c>
    </row>
    <row r="38" spans="1:33">
      <c r="A38" s="35" t="s">
        <v>49</v>
      </c>
      <c r="B38" s="41" t="s">
        <v>42</v>
      </c>
      <c r="C38" s="42" t="s">
        <v>364</v>
      </c>
      <c r="D38" s="42">
        <v>0</v>
      </c>
      <c r="E38" s="42">
        <v>0.33500000000000002</v>
      </c>
      <c r="F38" s="42">
        <v>0.33500000000000002</v>
      </c>
      <c r="G38" s="42">
        <v>0.33500000000000002</v>
      </c>
      <c r="H38" s="42">
        <v>0.33500000000000002</v>
      </c>
      <c r="I38" s="42">
        <v>0.33500000000000002</v>
      </c>
      <c r="J38" s="42">
        <v>0.33500000000000002</v>
      </c>
      <c r="K38" s="42">
        <v>0.33500000000000002</v>
      </c>
      <c r="L38" s="42">
        <v>0.33500000000000002</v>
      </c>
      <c r="M38" s="42">
        <v>0.33500000000000002</v>
      </c>
      <c r="N38" s="42">
        <v>0.33500000000000002</v>
      </c>
      <c r="O38" s="42">
        <v>0.33500000000000002</v>
      </c>
      <c r="P38" s="42">
        <v>0.33500000000000002</v>
      </c>
      <c r="Q38" s="42">
        <v>0.33500000000000002</v>
      </c>
      <c r="R38" s="42">
        <v>0.33500000000000002</v>
      </c>
      <c r="S38" s="42">
        <v>0.33500000000000002</v>
      </c>
      <c r="T38" s="42">
        <v>0.33500000000000002</v>
      </c>
      <c r="U38" s="42">
        <v>0.33500000000000002</v>
      </c>
      <c r="V38" s="42">
        <v>0.33500000000000002</v>
      </c>
      <c r="W38" s="42">
        <v>0.33500000000000002</v>
      </c>
      <c r="X38" s="42">
        <v>0.33500000000000002</v>
      </c>
      <c r="Y38" s="42">
        <v>0.33500000000000002</v>
      </c>
      <c r="Z38" s="42">
        <v>0.33500000000000002</v>
      </c>
      <c r="AA38" s="42">
        <v>0.33500000000000002</v>
      </c>
      <c r="AB38" s="42">
        <v>0.33500000000000002</v>
      </c>
      <c r="AC38" s="42">
        <v>0.33500000000000002</v>
      </c>
      <c r="AD38" s="42">
        <v>0.33500000000000002</v>
      </c>
      <c r="AE38" s="42">
        <v>0.33500000000000002</v>
      </c>
      <c r="AF38" s="42">
        <v>0.33500000000000002</v>
      </c>
      <c r="AG38" s="43" t="s">
        <v>364</v>
      </c>
    </row>
    <row r="39" spans="1:33">
      <c r="A39" s="35" t="s">
        <v>50</v>
      </c>
      <c r="B39" s="41" t="s">
        <v>20</v>
      </c>
      <c r="C39" s="42" t="s">
        <v>364</v>
      </c>
      <c r="D39" s="42">
        <v>8.0784000000000002</v>
      </c>
      <c r="E39" s="42">
        <v>12.3492</v>
      </c>
      <c r="F39" s="42">
        <v>12.895201</v>
      </c>
      <c r="G39" s="42">
        <v>12.895201</v>
      </c>
      <c r="H39" s="42">
        <v>12.895201</v>
      </c>
      <c r="I39" s="42">
        <v>12.895201</v>
      </c>
      <c r="J39" s="42">
        <v>12.895201</v>
      </c>
      <c r="K39" s="42">
        <v>12.895201</v>
      </c>
      <c r="L39" s="42">
        <v>12.895201</v>
      </c>
      <c r="M39" s="42">
        <v>12.895201</v>
      </c>
      <c r="N39" s="42">
        <v>12.895201</v>
      </c>
      <c r="O39" s="42">
        <v>12.895201</v>
      </c>
      <c r="P39" s="42">
        <v>12.895201</v>
      </c>
      <c r="Q39" s="42">
        <v>12.895201</v>
      </c>
      <c r="R39" s="42">
        <v>12.895201</v>
      </c>
      <c r="S39" s="42">
        <v>12.895201</v>
      </c>
      <c r="T39" s="42">
        <v>12.895201</v>
      </c>
      <c r="U39" s="42">
        <v>12.895201</v>
      </c>
      <c r="V39" s="42">
        <v>12.895201</v>
      </c>
      <c r="W39" s="42">
        <v>12.895201</v>
      </c>
      <c r="X39" s="42">
        <v>12.895201</v>
      </c>
      <c r="Y39" s="42">
        <v>12.895201</v>
      </c>
      <c r="Z39" s="42">
        <v>12.895201</v>
      </c>
      <c r="AA39" s="42">
        <v>12.895201</v>
      </c>
      <c r="AB39" s="42">
        <v>12.895201</v>
      </c>
      <c r="AC39" s="42">
        <v>12.895201</v>
      </c>
      <c r="AD39" s="42">
        <v>12.895201</v>
      </c>
      <c r="AE39" s="42">
        <v>12.895201</v>
      </c>
      <c r="AF39" s="42">
        <v>12.895201</v>
      </c>
      <c r="AG39" s="43" t="s">
        <v>364</v>
      </c>
    </row>
    <row r="40" spans="1:33">
      <c r="A40" s="35" t="s">
        <v>51</v>
      </c>
      <c r="B40" s="41" t="s">
        <v>22</v>
      </c>
      <c r="C40" s="42" t="s">
        <v>364</v>
      </c>
      <c r="D40" s="42">
        <v>1.8994</v>
      </c>
      <c r="E40" s="42">
        <v>3.4050009999999999</v>
      </c>
      <c r="F40" s="42">
        <v>3.9220000000000002</v>
      </c>
      <c r="G40" s="42">
        <v>3.9220000000000002</v>
      </c>
      <c r="H40" s="42">
        <v>3.9220000000000002</v>
      </c>
      <c r="I40" s="42">
        <v>3.9220000000000002</v>
      </c>
      <c r="J40" s="42">
        <v>3.9220000000000002</v>
      </c>
      <c r="K40" s="42">
        <v>3.9220000000000002</v>
      </c>
      <c r="L40" s="42">
        <v>3.9220000000000002</v>
      </c>
      <c r="M40" s="42">
        <v>3.9220000000000002</v>
      </c>
      <c r="N40" s="42">
        <v>3.9220000000000002</v>
      </c>
      <c r="O40" s="42">
        <v>3.9220000000000002</v>
      </c>
      <c r="P40" s="42">
        <v>3.9220000000000002</v>
      </c>
      <c r="Q40" s="42">
        <v>3.9220000000000002</v>
      </c>
      <c r="R40" s="42">
        <v>3.9220000000000002</v>
      </c>
      <c r="S40" s="42">
        <v>3.9220000000000002</v>
      </c>
      <c r="T40" s="42">
        <v>3.9220000000000002</v>
      </c>
      <c r="U40" s="42">
        <v>3.9220000000000002</v>
      </c>
      <c r="V40" s="42">
        <v>3.9220000000000002</v>
      </c>
      <c r="W40" s="42">
        <v>3.9220000000000002</v>
      </c>
      <c r="X40" s="42">
        <v>3.9220000000000002</v>
      </c>
      <c r="Y40" s="42">
        <v>3.9220000000000002</v>
      </c>
      <c r="Z40" s="42">
        <v>3.9220000000000002</v>
      </c>
      <c r="AA40" s="42">
        <v>3.9220000000000002</v>
      </c>
      <c r="AB40" s="42">
        <v>3.9220000000000002</v>
      </c>
      <c r="AC40" s="42">
        <v>3.9220000000000002</v>
      </c>
      <c r="AD40" s="42">
        <v>3.9220000000000002</v>
      </c>
      <c r="AE40" s="42">
        <v>3.9220000000000002</v>
      </c>
      <c r="AF40" s="42">
        <v>3.9220000000000002</v>
      </c>
      <c r="AG40" s="43" t="s">
        <v>364</v>
      </c>
    </row>
    <row r="41" spans="1:33">
      <c r="A41" s="35" t="s">
        <v>52</v>
      </c>
      <c r="B41" s="41" t="s">
        <v>53</v>
      </c>
      <c r="C41" s="42" t="s">
        <v>364</v>
      </c>
      <c r="D41" s="42">
        <v>2.2280000000000002</v>
      </c>
      <c r="E41" s="42">
        <v>2.2280000000000002</v>
      </c>
      <c r="F41" s="42">
        <v>2.2280000000000002</v>
      </c>
      <c r="G41" s="42">
        <v>2.2280000000000002</v>
      </c>
      <c r="H41" s="42">
        <v>2.2280000000000002</v>
      </c>
      <c r="I41" s="42">
        <v>2.2280000000000002</v>
      </c>
      <c r="J41" s="42">
        <v>2.2280000000000002</v>
      </c>
      <c r="K41" s="42">
        <v>2.2280000000000002</v>
      </c>
      <c r="L41" s="42">
        <v>2.2280000000000002</v>
      </c>
      <c r="M41" s="42">
        <v>2.2280000000000002</v>
      </c>
      <c r="N41" s="42">
        <v>2.2280000000000002</v>
      </c>
      <c r="O41" s="42">
        <v>2.2280000000000002</v>
      </c>
      <c r="P41" s="42">
        <v>2.2280000000000002</v>
      </c>
      <c r="Q41" s="42">
        <v>2.2280000000000002</v>
      </c>
      <c r="R41" s="42">
        <v>2.2280000000000002</v>
      </c>
      <c r="S41" s="42">
        <v>2.2280000000000002</v>
      </c>
      <c r="T41" s="42">
        <v>2.2280000000000002</v>
      </c>
      <c r="U41" s="42">
        <v>2.2280000000000002</v>
      </c>
      <c r="V41" s="42">
        <v>2.2280000000000002</v>
      </c>
      <c r="W41" s="42">
        <v>2.2280000000000002</v>
      </c>
      <c r="X41" s="42">
        <v>2.2280000000000002</v>
      </c>
      <c r="Y41" s="42">
        <v>2.2280000000000002</v>
      </c>
      <c r="Z41" s="42">
        <v>2.2280000000000002</v>
      </c>
      <c r="AA41" s="42">
        <v>2.2280000000000002</v>
      </c>
      <c r="AB41" s="42">
        <v>2.2280000000000002</v>
      </c>
      <c r="AC41" s="42">
        <v>2.2280000000000002</v>
      </c>
      <c r="AD41" s="42">
        <v>2.2280000000000002</v>
      </c>
      <c r="AE41" s="42">
        <v>2.2280000000000002</v>
      </c>
      <c r="AF41" s="42">
        <v>2.2280000000000002</v>
      </c>
      <c r="AG41" s="43" t="s">
        <v>364</v>
      </c>
    </row>
    <row r="42" spans="1:33">
      <c r="A42" s="35" t="s">
        <v>54</v>
      </c>
      <c r="B42" s="41" t="s">
        <v>26</v>
      </c>
      <c r="C42" s="42" t="s">
        <v>364</v>
      </c>
      <c r="D42" s="42">
        <v>0</v>
      </c>
      <c r="E42" s="42">
        <v>0</v>
      </c>
      <c r="F42" s="42">
        <v>0</v>
      </c>
      <c r="G42" s="42">
        <v>0</v>
      </c>
      <c r="H42" s="42">
        <v>0</v>
      </c>
      <c r="I42" s="42">
        <v>0</v>
      </c>
      <c r="J42" s="42">
        <v>0</v>
      </c>
      <c r="K42" s="42">
        <v>0</v>
      </c>
      <c r="L42" s="42">
        <v>0</v>
      </c>
      <c r="M42" s="42">
        <v>0</v>
      </c>
      <c r="N42" s="42">
        <v>0</v>
      </c>
      <c r="O42" s="42">
        <v>0</v>
      </c>
      <c r="P42" s="42">
        <v>0</v>
      </c>
      <c r="Q42" s="42">
        <v>0</v>
      </c>
      <c r="R42" s="42">
        <v>0</v>
      </c>
      <c r="S42" s="42">
        <v>0</v>
      </c>
      <c r="T42" s="42">
        <v>0</v>
      </c>
      <c r="U42" s="42">
        <v>0</v>
      </c>
      <c r="V42" s="42">
        <v>0</v>
      </c>
      <c r="W42" s="42">
        <v>0</v>
      </c>
      <c r="X42" s="42">
        <v>0</v>
      </c>
      <c r="Y42" s="42">
        <v>0</v>
      </c>
      <c r="Z42" s="42">
        <v>0</v>
      </c>
      <c r="AA42" s="42">
        <v>0</v>
      </c>
      <c r="AB42" s="42">
        <v>0</v>
      </c>
      <c r="AC42" s="42">
        <v>0</v>
      </c>
      <c r="AD42" s="42">
        <v>0</v>
      </c>
      <c r="AE42" s="42">
        <v>0</v>
      </c>
      <c r="AF42" s="42">
        <v>0</v>
      </c>
      <c r="AG42" s="43" t="s">
        <v>364</v>
      </c>
    </row>
    <row r="43" spans="1:33">
      <c r="A43" s="35" t="s">
        <v>55</v>
      </c>
      <c r="B43" s="41" t="s">
        <v>28</v>
      </c>
      <c r="C43" s="42" t="s">
        <v>364</v>
      </c>
      <c r="D43" s="42">
        <v>1.7702</v>
      </c>
      <c r="E43" s="42">
        <v>3.6524999999999999</v>
      </c>
      <c r="F43" s="42">
        <v>4.2984999999999998</v>
      </c>
      <c r="G43" s="42">
        <v>4.8795000000000002</v>
      </c>
      <c r="H43" s="42">
        <v>5.4284999999999997</v>
      </c>
      <c r="I43" s="42">
        <v>5.9775</v>
      </c>
      <c r="J43" s="42">
        <v>6.5265000000000004</v>
      </c>
      <c r="K43" s="42">
        <v>7.0754999999999999</v>
      </c>
      <c r="L43" s="42">
        <v>7.6245000000000003</v>
      </c>
      <c r="M43" s="42">
        <v>7.8635000000000002</v>
      </c>
      <c r="N43" s="42">
        <v>8.1024999999999991</v>
      </c>
      <c r="O43" s="42">
        <v>8.3414999999999999</v>
      </c>
      <c r="P43" s="42">
        <v>8.5805000000000007</v>
      </c>
      <c r="Q43" s="42">
        <v>8.8194999999999997</v>
      </c>
      <c r="R43" s="42">
        <v>8.8194999999999997</v>
      </c>
      <c r="S43" s="42">
        <v>8.8194999999999997</v>
      </c>
      <c r="T43" s="42">
        <v>8.8194999999999997</v>
      </c>
      <c r="U43" s="42">
        <v>8.8194999999999997</v>
      </c>
      <c r="V43" s="42">
        <v>8.8194999999999997</v>
      </c>
      <c r="W43" s="42">
        <v>8.8194999999999997</v>
      </c>
      <c r="X43" s="42">
        <v>8.8194999999999997</v>
      </c>
      <c r="Y43" s="42">
        <v>8.8194999999999997</v>
      </c>
      <c r="Z43" s="42">
        <v>8.8194999999999997</v>
      </c>
      <c r="AA43" s="42">
        <v>8.8194999999999997</v>
      </c>
      <c r="AB43" s="42">
        <v>8.8194999999999997</v>
      </c>
      <c r="AC43" s="42">
        <v>8.8194999999999997</v>
      </c>
      <c r="AD43" s="42">
        <v>8.8194999999999997</v>
      </c>
      <c r="AE43" s="42">
        <v>8.8194999999999997</v>
      </c>
      <c r="AF43" s="42">
        <v>8.8194999999999997</v>
      </c>
      <c r="AG43" s="43" t="s">
        <v>364</v>
      </c>
    </row>
    <row r="44" spans="1:33">
      <c r="A44" s="35" t="s">
        <v>56</v>
      </c>
      <c r="B44" s="41" t="s">
        <v>30</v>
      </c>
      <c r="C44" s="42" t="s">
        <v>364</v>
      </c>
      <c r="D44" s="42">
        <v>2.9600000000000001E-2</v>
      </c>
      <c r="E44" s="42">
        <v>2.9600000000000001E-2</v>
      </c>
      <c r="F44" s="42">
        <v>2.9600000000000001E-2</v>
      </c>
      <c r="G44" s="42">
        <v>2.9600000000000001E-2</v>
      </c>
      <c r="H44" s="42">
        <v>2.9600000000000001E-2</v>
      </c>
      <c r="I44" s="42">
        <v>2.9600000000000001E-2</v>
      </c>
      <c r="J44" s="42">
        <v>2.9600000000000001E-2</v>
      </c>
      <c r="K44" s="42">
        <v>2.9600000000000001E-2</v>
      </c>
      <c r="L44" s="42">
        <v>2.9600000000000001E-2</v>
      </c>
      <c r="M44" s="42">
        <v>2.9600000000000001E-2</v>
      </c>
      <c r="N44" s="42">
        <v>2.9600000000000001E-2</v>
      </c>
      <c r="O44" s="42">
        <v>2.9600000000000001E-2</v>
      </c>
      <c r="P44" s="42">
        <v>2.9600000000000001E-2</v>
      </c>
      <c r="Q44" s="42">
        <v>2.9600000000000001E-2</v>
      </c>
      <c r="R44" s="42">
        <v>2.9600000000000001E-2</v>
      </c>
      <c r="S44" s="42">
        <v>2.9600000000000001E-2</v>
      </c>
      <c r="T44" s="42">
        <v>2.9600000000000001E-2</v>
      </c>
      <c r="U44" s="42">
        <v>2.9600000000000001E-2</v>
      </c>
      <c r="V44" s="42">
        <v>2.9600000000000001E-2</v>
      </c>
      <c r="W44" s="42">
        <v>2.9600000000000001E-2</v>
      </c>
      <c r="X44" s="42">
        <v>2.9600000000000001E-2</v>
      </c>
      <c r="Y44" s="42">
        <v>2.9600000000000001E-2</v>
      </c>
      <c r="Z44" s="42">
        <v>2.9600000000000001E-2</v>
      </c>
      <c r="AA44" s="42">
        <v>2.9600000000000001E-2</v>
      </c>
      <c r="AB44" s="42">
        <v>2.9600000000000001E-2</v>
      </c>
      <c r="AC44" s="42">
        <v>2.9600000000000001E-2</v>
      </c>
      <c r="AD44" s="42">
        <v>2.9600000000000001E-2</v>
      </c>
      <c r="AE44" s="42">
        <v>2.9600000000000001E-2</v>
      </c>
      <c r="AF44" s="42">
        <v>2.9600000000000001E-2</v>
      </c>
      <c r="AG44" s="43" t="s">
        <v>364</v>
      </c>
    </row>
    <row r="45" spans="1:33">
      <c r="A45" s="35" t="s">
        <v>57</v>
      </c>
      <c r="B45" s="41" t="s">
        <v>32</v>
      </c>
      <c r="C45" s="42" t="s">
        <v>364</v>
      </c>
      <c r="D45" s="42">
        <v>24.811789999999998</v>
      </c>
      <c r="E45" s="42">
        <v>40.999099999999999</v>
      </c>
      <c r="F45" s="42">
        <v>41.059105000000002</v>
      </c>
      <c r="G45" s="42">
        <v>42.559105000000002</v>
      </c>
      <c r="H45" s="42">
        <v>44.059105000000002</v>
      </c>
      <c r="I45" s="42">
        <v>44.059105000000002</v>
      </c>
      <c r="J45" s="42">
        <v>46.059105000000002</v>
      </c>
      <c r="K45" s="42">
        <v>46.059105000000002</v>
      </c>
      <c r="L45" s="42">
        <v>53.159106999999999</v>
      </c>
      <c r="M45" s="42">
        <v>53.159106999999999</v>
      </c>
      <c r="N45" s="42">
        <v>53.159106999999999</v>
      </c>
      <c r="O45" s="42">
        <v>53.159106999999999</v>
      </c>
      <c r="P45" s="42">
        <v>58.359107999999999</v>
      </c>
      <c r="Q45" s="42">
        <v>66.559105000000002</v>
      </c>
      <c r="R45" s="42">
        <v>66.559105000000002</v>
      </c>
      <c r="S45" s="42">
        <v>66.559105000000002</v>
      </c>
      <c r="T45" s="42">
        <v>66.559105000000002</v>
      </c>
      <c r="U45" s="42">
        <v>66.559105000000002</v>
      </c>
      <c r="V45" s="42">
        <v>66.559105000000002</v>
      </c>
      <c r="W45" s="42">
        <v>66.559105000000002</v>
      </c>
      <c r="X45" s="42">
        <v>66.559105000000002</v>
      </c>
      <c r="Y45" s="42">
        <v>66.559105000000002</v>
      </c>
      <c r="Z45" s="42">
        <v>66.559105000000002</v>
      </c>
      <c r="AA45" s="42">
        <v>66.559105000000002</v>
      </c>
      <c r="AB45" s="42">
        <v>66.559105000000002</v>
      </c>
      <c r="AC45" s="42">
        <v>66.559105000000002</v>
      </c>
      <c r="AD45" s="42">
        <v>66.559105000000002</v>
      </c>
      <c r="AE45" s="42">
        <v>66.559105000000002</v>
      </c>
      <c r="AF45" s="42">
        <v>66.559105000000002</v>
      </c>
      <c r="AG45" s="43" t="s">
        <v>364</v>
      </c>
    </row>
    <row r="46" spans="1:33">
      <c r="A46" s="35" t="s">
        <v>58</v>
      </c>
      <c r="B46" s="41" t="s">
        <v>59</v>
      </c>
      <c r="C46" s="42" t="s">
        <v>364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R46" s="42">
        <v>0</v>
      </c>
      <c r="S46" s="42">
        <v>0</v>
      </c>
      <c r="T46" s="42">
        <v>0</v>
      </c>
      <c r="U46" s="42">
        <v>0</v>
      </c>
      <c r="V46" s="42">
        <v>0</v>
      </c>
      <c r="W46" s="42">
        <v>0</v>
      </c>
      <c r="X46" s="42">
        <v>0</v>
      </c>
      <c r="Y46" s="42">
        <v>0</v>
      </c>
      <c r="Z46" s="42">
        <v>0</v>
      </c>
      <c r="AA46" s="42">
        <v>0</v>
      </c>
      <c r="AB46" s="42">
        <v>0</v>
      </c>
      <c r="AC46" s="42">
        <v>0</v>
      </c>
      <c r="AD46" s="42">
        <v>0</v>
      </c>
      <c r="AE46" s="42">
        <v>0</v>
      </c>
      <c r="AF46" s="42">
        <v>0</v>
      </c>
      <c r="AG46" s="43" t="s">
        <v>364</v>
      </c>
    </row>
    <row r="47" spans="1:33" ht="13">
      <c r="A47" s="35" t="s">
        <v>60</v>
      </c>
      <c r="B47" s="40" t="s">
        <v>37</v>
      </c>
      <c r="C47" s="44" t="s">
        <v>364</v>
      </c>
      <c r="D47" s="44">
        <v>38.817390000000003</v>
      </c>
      <c r="E47" s="44">
        <v>62.998398000000002</v>
      </c>
      <c r="F47" s="44">
        <v>64.767394999999993</v>
      </c>
      <c r="G47" s="44">
        <v>66.848404000000002</v>
      </c>
      <c r="H47" s="44">
        <v>68.897400000000005</v>
      </c>
      <c r="I47" s="44">
        <v>69.446395999999993</v>
      </c>
      <c r="J47" s="44">
        <v>71.995399000000006</v>
      </c>
      <c r="K47" s="44">
        <v>72.544394999999994</v>
      </c>
      <c r="L47" s="44">
        <v>80.193398000000002</v>
      </c>
      <c r="M47" s="44">
        <v>80.432395999999997</v>
      </c>
      <c r="N47" s="44">
        <v>80.671402</v>
      </c>
      <c r="O47" s="44">
        <v>80.910399999999996</v>
      </c>
      <c r="P47" s="44">
        <v>86.349411000000003</v>
      </c>
      <c r="Q47" s="44">
        <v>94.788405999999995</v>
      </c>
      <c r="R47" s="44">
        <v>94.788405999999995</v>
      </c>
      <c r="S47" s="44">
        <v>94.788405999999995</v>
      </c>
      <c r="T47" s="44">
        <v>94.788405999999995</v>
      </c>
      <c r="U47" s="44">
        <v>94.788405999999995</v>
      </c>
      <c r="V47" s="44">
        <v>94.788405999999995</v>
      </c>
      <c r="W47" s="44">
        <v>94.788405999999995</v>
      </c>
      <c r="X47" s="44">
        <v>94.788405999999995</v>
      </c>
      <c r="Y47" s="44">
        <v>94.788405999999995</v>
      </c>
      <c r="Z47" s="44">
        <v>94.788405999999995</v>
      </c>
      <c r="AA47" s="44">
        <v>94.788405999999995</v>
      </c>
      <c r="AB47" s="44">
        <v>94.788405999999995</v>
      </c>
      <c r="AC47" s="44">
        <v>94.788405999999995</v>
      </c>
      <c r="AD47" s="44">
        <v>94.788405999999995</v>
      </c>
      <c r="AE47" s="44">
        <v>94.788405999999995</v>
      </c>
      <c r="AF47" s="44">
        <v>94.788405999999995</v>
      </c>
      <c r="AG47" s="45" t="s">
        <v>364</v>
      </c>
    </row>
    <row r="48" spans="1:33" ht="13">
      <c r="B48" s="40" t="s">
        <v>61</v>
      </c>
    </row>
    <row r="49" spans="1:33">
      <c r="A49" s="35" t="s">
        <v>62</v>
      </c>
      <c r="B49" s="41" t="s">
        <v>40</v>
      </c>
      <c r="C49" s="42" t="s">
        <v>364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2">
        <v>0</v>
      </c>
      <c r="Q49" s="42">
        <v>0</v>
      </c>
      <c r="R49" s="42">
        <v>0</v>
      </c>
      <c r="S49" s="42">
        <v>0</v>
      </c>
      <c r="T49" s="42">
        <v>0</v>
      </c>
      <c r="U49" s="42">
        <v>0</v>
      </c>
      <c r="V49" s="42">
        <v>0</v>
      </c>
      <c r="W49" s="42">
        <v>0</v>
      </c>
      <c r="X49" s="42">
        <v>0</v>
      </c>
      <c r="Y49" s="42">
        <v>0</v>
      </c>
      <c r="Z49" s="42">
        <v>0</v>
      </c>
      <c r="AA49" s="42">
        <v>0</v>
      </c>
      <c r="AB49" s="42">
        <v>0</v>
      </c>
      <c r="AC49" s="42">
        <v>0</v>
      </c>
      <c r="AD49" s="42">
        <v>0</v>
      </c>
      <c r="AE49" s="42">
        <v>0</v>
      </c>
      <c r="AF49" s="42">
        <v>0</v>
      </c>
      <c r="AG49" s="43" t="s">
        <v>364</v>
      </c>
    </row>
    <row r="50" spans="1:33" ht="15" customHeight="1">
      <c r="A50" s="35" t="s">
        <v>63</v>
      </c>
      <c r="B50" s="41" t="s">
        <v>42</v>
      </c>
      <c r="C50" s="42" t="s">
        <v>364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2">
        <v>0</v>
      </c>
      <c r="K50" s="42">
        <v>0</v>
      </c>
      <c r="L50" s="42">
        <v>0</v>
      </c>
      <c r="M50" s="42">
        <v>0</v>
      </c>
      <c r="N50" s="42">
        <v>0</v>
      </c>
      <c r="O50" s="42">
        <v>0</v>
      </c>
      <c r="P50" s="42">
        <v>0</v>
      </c>
      <c r="Q50" s="42">
        <v>0</v>
      </c>
      <c r="R50" s="42">
        <v>0</v>
      </c>
      <c r="S50" s="42">
        <v>0</v>
      </c>
      <c r="T50" s="42">
        <v>0</v>
      </c>
      <c r="U50" s="42">
        <v>0</v>
      </c>
      <c r="V50" s="42">
        <v>0</v>
      </c>
      <c r="W50" s="42">
        <v>0</v>
      </c>
      <c r="X50" s="42">
        <v>0</v>
      </c>
      <c r="Y50" s="42">
        <v>0</v>
      </c>
      <c r="Z50" s="42">
        <v>0</v>
      </c>
      <c r="AA50" s="42">
        <v>0</v>
      </c>
      <c r="AB50" s="42">
        <v>0</v>
      </c>
      <c r="AC50" s="42">
        <v>0</v>
      </c>
      <c r="AD50" s="42">
        <v>0</v>
      </c>
      <c r="AE50" s="42">
        <v>0</v>
      </c>
      <c r="AF50" s="42">
        <v>0</v>
      </c>
      <c r="AG50" s="43" t="s">
        <v>364</v>
      </c>
    </row>
    <row r="51" spans="1:33" ht="15" customHeight="1">
      <c r="A51" s="35" t="s">
        <v>64</v>
      </c>
      <c r="B51" s="41" t="s">
        <v>20</v>
      </c>
      <c r="C51" s="42" t="s">
        <v>364</v>
      </c>
      <c r="D51" s="42">
        <v>0</v>
      </c>
      <c r="E51" s="42">
        <v>0</v>
      </c>
      <c r="F51" s="42">
        <v>9.9830199999999998</v>
      </c>
      <c r="G51" s="42">
        <v>26.425787</v>
      </c>
      <c r="H51" s="42">
        <v>33.520760000000003</v>
      </c>
      <c r="I51" s="42">
        <v>51.705803000000003</v>
      </c>
      <c r="J51" s="42">
        <v>57.201748000000002</v>
      </c>
      <c r="K51" s="42">
        <v>68.897666999999998</v>
      </c>
      <c r="L51" s="42">
        <v>72.866034999999997</v>
      </c>
      <c r="M51" s="42">
        <v>77.978722000000005</v>
      </c>
      <c r="N51" s="42">
        <v>85.862587000000005</v>
      </c>
      <c r="O51" s="42">
        <v>95.474013999999997</v>
      </c>
      <c r="P51" s="42">
        <v>103.57139599999999</v>
      </c>
      <c r="Q51" s="42">
        <v>110.667557</v>
      </c>
      <c r="R51" s="42">
        <v>116.53620100000001</v>
      </c>
      <c r="S51" s="42">
        <v>120.817184</v>
      </c>
      <c r="T51" s="42">
        <v>125.34193399999999</v>
      </c>
      <c r="U51" s="42">
        <v>130.41291799999999</v>
      </c>
      <c r="V51" s="42">
        <v>135.000732</v>
      </c>
      <c r="W51" s="42">
        <v>138.93691999999999</v>
      </c>
      <c r="X51" s="42">
        <v>142.06336999999999</v>
      </c>
      <c r="Y51" s="42">
        <v>145.82363900000001</v>
      </c>
      <c r="Z51" s="42">
        <v>151.23791499999999</v>
      </c>
      <c r="AA51" s="42">
        <v>153.988235</v>
      </c>
      <c r="AB51" s="42">
        <v>157.61113</v>
      </c>
      <c r="AC51" s="42">
        <v>159.848465</v>
      </c>
      <c r="AD51" s="42">
        <v>162.95263700000001</v>
      </c>
      <c r="AE51" s="42">
        <v>168.258286</v>
      </c>
      <c r="AF51" s="42">
        <v>174.037521</v>
      </c>
      <c r="AG51" s="43" t="s">
        <v>364</v>
      </c>
    </row>
    <row r="52" spans="1:33" ht="15" customHeight="1">
      <c r="A52" s="35" t="s">
        <v>65</v>
      </c>
      <c r="B52" s="41" t="s">
        <v>22</v>
      </c>
      <c r="C52" s="42" t="s">
        <v>364</v>
      </c>
      <c r="D52" s="42">
        <v>11.739637</v>
      </c>
      <c r="E52" s="42">
        <v>24.156769000000001</v>
      </c>
      <c r="F52" s="42">
        <v>29.890549</v>
      </c>
      <c r="G52" s="42">
        <v>38.180405</v>
      </c>
      <c r="H52" s="42">
        <v>43.109923999999999</v>
      </c>
      <c r="I52" s="42">
        <v>46.118538000000001</v>
      </c>
      <c r="J52" s="42">
        <v>49.364006000000003</v>
      </c>
      <c r="K52" s="42">
        <v>54.762858999999999</v>
      </c>
      <c r="L52" s="42">
        <v>58.310443999999997</v>
      </c>
      <c r="M52" s="42">
        <v>61.368938</v>
      </c>
      <c r="N52" s="42">
        <v>65.440025000000006</v>
      </c>
      <c r="O52" s="42">
        <v>70.522948999999997</v>
      </c>
      <c r="P52" s="42">
        <v>76.718292000000005</v>
      </c>
      <c r="Q52" s="42">
        <v>82.718506000000005</v>
      </c>
      <c r="R52" s="42">
        <v>87.666183000000004</v>
      </c>
      <c r="S52" s="42">
        <v>92.396979999999999</v>
      </c>
      <c r="T52" s="42">
        <v>99.503105000000005</v>
      </c>
      <c r="U52" s="42">
        <v>103.707367</v>
      </c>
      <c r="V52" s="42">
        <v>108.33562499999999</v>
      </c>
      <c r="W52" s="42">
        <v>116.330017</v>
      </c>
      <c r="X52" s="42">
        <v>120.866035</v>
      </c>
      <c r="Y52" s="42">
        <v>125.762871</v>
      </c>
      <c r="Z52" s="42">
        <v>134.756561</v>
      </c>
      <c r="AA52" s="42">
        <v>140.68193099999999</v>
      </c>
      <c r="AB52" s="42">
        <v>146.85737599999999</v>
      </c>
      <c r="AC52" s="42">
        <v>156.975266</v>
      </c>
      <c r="AD52" s="42">
        <v>163.436554</v>
      </c>
      <c r="AE52" s="42">
        <v>175.46336400000001</v>
      </c>
      <c r="AF52" s="42">
        <v>182.24745200000001</v>
      </c>
      <c r="AG52" s="43" t="s">
        <v>364</v>
      </c>
    </row>
    <row r="53" spans="1:33" ht="15" customHeight="1">
      <c r="A53" s="35" t="s">
        <v>66</v>
      </c>
      <c r="B53" s="41" t="s">
        <v>53</v>
      </c>
      <c r="C53" s="42" t="s">
        <v>364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2">
        <v>0</v>
      </c>
      <c r="K53" s="42">
        <v>0</v>
      </c>
      <c r="L53" s="42">
        <v>0</v>
      </c>
      <c r="M53" s="42">
        <v>0</v>
      </c>
      <c r="N53" s="42">
        <v>0</v>
      </c>
      <c r="O53" s="42">
        <v>0</v>
      </c>
      <c r="P53" s="42">
        <v>0</v>
      </c>
      <c r="Q53" s="42">
        <v>0</v>
      </c>
      <c r="R53" s="42">
        <v>0</v>
      </c>
      <c r="S53" s="42">
        <v>0</v>
      </c>
      <c r="T53" s="42">
        <v>0</v>
      </c>
      <c r="U53" s="42">
        <v>0</v>
      </c>
      <c r="V53" s="42">
        <v>0</v>
      </c>
      <c r="W53" s="42">
        <v>0</v>
      </c>
      <c r="X53" s="42">
        <v>0</v>
      </c>
      <c r="Y53" s="42">
        <v>0</v>
      </c>
      <c r="Z53" s="42">
        <v>0</v>
      </c>
      <c r="AA53" s="42">
        <v>0</v>
      </c>
      <c r="AB53" s="42">
        <v>0</v>
      </c>
      <c r="AC53" s="42">
        <v>0</v>
      </c>
      <c r="AD53" s="42">
        <v>0</v>
      </c>
      <c r="AE53" s="42">
        <v>0</v>
      </c>
      <c r="AF53" s="42">
        <v>0</v>
      </c>
      <c r="AG53" s="43" t="s">
        <v>364</v>
      </c>
    </row>
    <row r="54" spans="1:33" ht="15" customHeight="1">
      <c r="A54" s="35" t="s">
        <v>67</v>
      </c>
      <c r="B54" s="41" t="s">
        <v>26</v>
      </c>
      <c r="C54" s="42" t="s">
        <v>364</v>
      </c>
      <c r="D54" s="42">
        <v>0</v>
      </c>
      <c r="E54" s="42">
        <v>0</v>
      </c>
      <c r="F54" s="42">
        <v>0</v>
      </c>
      <c r="G54" s="42">
        <v>0</v>
      </c>
      <c r="H54" s="42">
        <v>0</v>
      </c>
      <c r="I54" s="42">
        <v>0</v>
      </c>
      <c r="J54" s="42">
        <v>0</v>
      </c>
      <c r="K54" s="42">
        <v>0</v>
      </c>
      <c r="L54" s="42">
        <v>0</v>
      </c>
      <c r="M54" s="42">
        <v>0</v>
      </c>
      <c r="N54" s="42">
        <v>0</v>
      </c>
      <c r="O54" s="42">
        <v>0</v>
      </c>
      <c r="P54" s="42">
        <v>0</v>
      </c>
      <c r="Q54" s="42">
        <v>0</v>
      </c>
      <c r="R54" s="42">
        <v>0</v>
      </c>
      <c r="S54" s="42">
        <v>0</v>
      </c>
      <c r="T54" s="42">
        <v>0</v>
      </c>
      <c r="U54" s="42">
        <v>0</v>
      </c>
      <c r="V54" s="42">
        <v>0</v>
      </c>
      <c r="W54" s="42">
        <v>0</v>
      </c>
      <c r="X54" s="42">
        <v>0</v>
      </c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</v>
      </c>
      <c r="AE54" s="42">
        <v>0</v>
      </c>
      <c r="AF54" s="42">
        <v>0</v>
      </c>
      <c r="AG54" s="43" t="s">
        <v>364</v>
      </c>
    </row>
    <row r="55" spans="1:33" ht="15" customHeight="1">
      <c r="A55" s="35" t="s">
        <v>68</v>
      </c>
      <c r="B55" s="41" t="s">
        <v>28</v>
      </c>
      <c r="C55" s="42" t="s">
        <v>364</v>
      </c>
      <c r="D55" s="42">
        <v>0.759853</v>
      </c>
      <c r="E55" s="42">
        <v>0.759853</v>
      </c>
      <c r="F55" s="42">
        <v>0.78159699999999999</v>
      </c>
      <c r="G55" s="42">
        <v>1.1775819999999999</v>
      </c>
      <c r="H55" s="42">
        <v>1.2493730000000001</v>
      </c>
      <c r="I55" s="42">
        <v>2.024489</v>
      </c>
      <c r="J55" s="42">
        <v>3.4234900000000001</v>
      </c>
      <c r="K55" s="42">
        <v>3.4234900000000001</v>
      </c>
      <c r="L55" s="42">
        <v>3.4387949999999998</v>
      </c>
      <c r="M55" s="42">
        <v>3.5307819999999999</v>
      </c>
      <c r="N55" s="42">
        <v>4.9683419999999998</v>
      </c>
      <c r="O55" s="42">
        <v>4.9683419999999998</v>
      </c>
      <c r="P55" s="42">
        <v>5.0023109999999997</v>
      </c>
      <c r="Q55" s="42">
        <v>5.7739880000000001</v>
      </c>
      <c r="R55" s="42">
        <v>5.8927040000000002</v>
      </c>
      <c r="S55" s="42">
        <v>5.9285620000000003</v>
      </c>
      <c r="T55" s="42">
        <v>5.9901590000000002</v>
      </c>
      <c r="U55" s="42">
        <v>6.9564029999999999</v>
      </c>
      <c r="V55" s="42">
        <v>6.9917870000000004</v>
      </c>
      <c r="W55" s="42">
        <v>7.8726710000000004</v>
      </c>
      <c r="X55" s="42">
        <v>8.5539210000000008</v>
      </c>
      <c r="Y55" s="42">
        <v>10.397557000000001</v>
      </c>
      <c r="Z55" s="42">
        <v>11.066452999999999</v>
      </c>
      <c r="AA55" s="42">
        <v>11.317508</v>
      </c>
      <c r="AB55" s="42">
        <v>11.913157</v>
      </c>
      <c r="AC55" s="42">
        <v>12.108684</v>
      </c>
      <c r="AD55" s="42">
        <v>12.400705</v>
      </c>
      <c r="AE55" s="42">
        <v>14.550293999999999</v>
      </c>
      <c r="AF55" s="42">
        <v>14.922007000000001</v>
      </c>
      <c r="AG55" s="43" t="s">
        <v>364</v>
      </c>
    </row>
    <row r="56" spans="1:33" ht="15" customHeight="1">
      <c r="A56" s="35" t="s">
        <v>69</v>
      </c>
      <c r="B56" s="41" t="s">
        <v>30</v>
      </c>
      <c r="C56" s="42" t="s">
        <v>364</v>
      </c>
      <c r="D56" s="42">
        <v>0</v>
      </c>
      <c r="E56" s="42">
        <v>0</v>
      </c>
      <c r="F56" s="42">
        <v>3.3180000000000002E-3</v>
      </c>
      <c r="G56" s="42">
        <v>4.5970000000000004E-3</v>
      </c>
      <c r="H56" s="42">
        <v>4.5970000000000004E-3</v>
      </c>
      <c r="I56" s="42">
        <v>4.5970000000000004E-3</v>
      </c>
      <c r="J56" s="42">
        <v>4.5970000000000004E-3</v>
      </c>
      <c r="K56" s="42">
        <v>4.5970000000000004E-3</v>
      </c>
      <c r="L56" s="42">
        <v>4.5970000000000004E-3</v>
      </c>
      <c r="M56" s="42">
        <v>4.5970000000000004E-3</v>
      </c>
      <c r="N56" s="42">
        <v>4.5970000000000004E-3</v>
      </c>
      <c r="O56" s="42">
        <v>4.5970000000000004E-3</v>
      </c>
      <c r="P56" s="42">
        <v>4.5970000000000004E-3</v>
      </c>
      <c r="Q56" s="42">
        <v>4.5970000000000004E-3</v>
      </c>
      <c r="R56" s="42">
        <v>4.5970000000000004E-3</v>
      </c>
      <c r="S56" s="42">
        <v>4.5970000000000004E-3</v>
      </c>
      <c r="T56" s="42">
        <v>4.5970000000000004E-3</v>
      </c>
      <c r="U56" s="42">
        <v>5.6259999999999999E-3</v>
      </c>
      <c r="V56" s="42">
        <v>5.6259999999999999E-3</v>
      </c>
      <c r="W56" s="42">
        <v>5.6259999999999999E-3</v>
      </c>
      <c r="X56" s="42">
        <v>5.6259999999999999E-3</v>
      </c>
      <c r="Y56" s="42">
        <v>5.6259999999999999E-3</v>
      </c>
      <c r="Z56" s="42">
        <v>5.6259999999999999E-3</v>
      </c>
      <c r="AA56" s="42">
        <v>5.6259999999999999E-3</v>
      </c>
      <c r="AB56" s="42">
        <v>5.6259999999999999E-3</v>
      </c>
      <c r="AC56" s="42">
        <v>5.6259999999999999E-3</v>
      </c>
      <c r="AD56" s="42">
        <v>5.6259999999999999E-3</v>
      </c>
      <c r="AE56" s="42">
        <v>5.6259999999999999E-3</v>
      </c>
      <c r="AF56" s="42">
        <v>5.6259999999999999E-3</v>
      </c>
      <c r="AG56" s="43" t="s">
        <v>364</v>
      </c>
    </row>
    <row r="57" spans="1:33" ht="15" customHeight="1">
      <c r="A57" s="35" t="s">
        <v>70</v>
      </c>
      <c r="B57" s="41" t="s">
        <v>32</v>
      </c>
      <c r="C57" s="42" t="s">
        <v>364</v>
      </c>
      <c r="D57" s="42">
        <v>0</v>
      </c>
      <c r="E57" s="42">
        <v>15.672661</v>
      </c>
      <c r="F57" s="42">
        <v>57.742396999999997</v>
      </c>
      <c r="G57" s="42">
        <v>82.841858000000002</v>
      </c>
      <c r="H57" s="42">
        <v>92.346847999999994</v>
      </c>
      <c r="I57" s="42">
        <v>100.28321099999999</v>
      </c>
      <c r="J57" s="42">
        <v>114.322273</v>
      </c>
      <c r="K57" s="42">
        <v>141.79837000000001</v>
      </c>
      <c r="L57" s="42">
        <v>150.65399199999999</v>
      </c>
      <c r="M57" s="42">
        <v>160.20671100000001</v>
      </c>
      <c r="N57" s="42">
        <v>169.60832199999999</v>
      </c>
      <c r="O57" s="42">
        <v>188.2724</v>
      </c>
      <c r="P57" s="42">
        <v>204.09364299999999</v>
      </c>
      <c r="Q57" s="42">
        <v>215.69276400000001</v>
      </c>
      <c r="R57" s="42">
        <v>230.994629</v>
      </c>
      <c r="S57" s="42">
        <v>241.34085099999999</v>
      </c>
      <c r="T57" s="42">
        <v>248.702438</v>
      </c>
      <c r="U57" s="42">
        <v>258.21228000000002</v>
      </c>
      <c r="V57" s="42">
        <v>266.32595800000001</v>
      </c>
      <c r="W57" s="42">
        <v>272.37832600000002</v>
      </c>
      <c r="X57" s="42">
        <v>280.936646</v>
      </c>
      <c r="Y57" s="42">
        <v>292.330017</v>
      </c>
      <c r="Z57" s="42">
        <v>298.75595099999998</v>
      </c>
      <c r="AA57" s="42">
        <v>308.30645800000002</v>
      </c>
      <c r="AB57" s="42">
        <v>317.89562999999998</v>
      </c>
      <c r="AC57" s="42">
        <v>329.46112099999999</v>
      </c>
      <c r="AD57" s="42">
        <v>344.77777099999997</v>
      </c>
      <c r="AE57" s="42">
        <v>357.65438799999998</v>
      </c>
      <c r="AF57" s="42">
        <v>368.81366000000003</v>
      </c>
      <c r="AG57" s="43" t="s">
        <v>364</v>
      </c>
    </row>
    <row r="58" spans="1:33" ht="15" customHeight="1">
      <c r="A58" s="35" t="s">
        <v>71</v>
      </c>
      <c r="B58" s="41" t="s">
        <v>59</v>
      </c>
      <c r="C58" s="42" t="s">
        <v>364</v>
      </c>
      <c r="D58" s="42">
        <v>0</v>
      </c>
      <c r="E58" s="42">
        <v>1.099837</v>
      </c>
      <c r="F58" s="42">
        <v>1.3052250000000001</v>
      </c>
      <c r="G58" s="42">
        <v>1.56447</v>
      </c>
      <c r="H58" s="42">
        <v>1.9888669999999999</v>
      </c>
      <c r="I58" s="42">
        <v>2.4220299999999999</v>
      </c>
      <c r="J58" s="42">
        <v>2.8900489999999999</v>
      </c>
      <c r="K58" s="42">
        <v>3.403985</v>
      </c>
      <c r="L58" s="42">
        <v>3.9493140000000002</v>
      </c>
      <c r="M58" s="42">
        <v>4.5662799999999999</v>
      </c>
      <c r="N58" s="42">
        <v>5.2045300000000001</v>
      </c>
      <c r="O58" s="42">
        <v>5.8720660000000002</v>
      </c>
      <c r="P58" s="42">
        <v>6.6467650000000003</v>
      </c>
      <c r="Q58" s="42">
        <v>7.6498160000000004</v>
      </c>
      <c r="R58" s="42">
        <v>8.7380800000000001</v>
      </c>
      <c r="S58" s="42">
        <v>9.8820680000000003</v>
      </c>
      <c r="T58" s="42">
        <v>11.101279</v>
      </c>
      <c r="U58" s="42">
        <v>12.297058</v>
      </c>
      <c r="V58" s="42">
        <v>13.513679</v>
      </c>
      <c r="W58" s="42">
        <v>14.793908</v>
      </c>
      <c r="X58" s="42">
        <v>16.129086999999998</v>
      </c>
      <c r="Y58" s="42">
        <v>17.452337</v>
      </c>
      <c r="Z58" s="42">
        <v>18.881122999999999</v>
      </c>
      <c r="AA58" s="42">
        <v>20.31765</v>
      </c>
      <c r="AB58" s="42">
        <v>21.636856000000002</v>
      </c>
      <c r="AC58" s="42">
        <v>22.978241000000001</v>
      </c>
      <c r="AD58" s="42">
        <v>24.258875</v>
      </c>
      <c r="AE58" s="42">
        <v>25.570881</v>
      </c>
      <c r="AF58" s="42">
        <v>27.046391</v>
      </c>
      <c r="AG58" s="43" t="s">
        <v>364</v>
      </c>
    </row>
    <row r="59" spans="1:33" ht="15" customHeight="1">
      <c r="A59" s="35" t="s">
        <v>72</v>
      </c>
      <c r="B59" s="40" t="s">
        <v>37</v>
      </c>
      <c r="C59" s="44" t="s">
        <v>364</v>
      </c>
      <c r="D59" s="44">
        <v>12.49949</v>
      </c>
      <c r="E59" s="44">
        <v>41.689113999999996</v>
      </c>
      <c r="F59" s="44">
        <v>99.706085000000002</v>
      </c>
      <c r="G59" s="44">
        <v>150.19473300000001</v>
      </c>
      <c r="H59" s="44">
        <v>172.220291</v>
      </c>
      <c r="I59" s="44">
        <v>202.55862400000001</v>
      </c>
      <c r="J59" s="44">
        <v>227.20607000000001</v>
      </c>
      <c r="K59" s="44">
        <v>272.29092400000002</v>
      </c>
      <c r="L59" s="44">
        <v>289.223206</v>
      </c>
      <c r="M59" s="44">
        <v>307.655914</v>
      </c>
      <c r="N59" s="44">
        <v>331.08828699999998</v>
      </c>
      <c r="O59" s="44">
        <v>365.114349</v>
      </c>
      <c r="P59" s="44">
        <v>396.03710899999999</v>
      </c>
      <c r="Q59" s="44">
        <v>422.50723299999999</v>
      </c>
      <c r="R59" s="44">
        <v>449.83245799999997</v>
      </c>
      <c r="S59" s="44">
        <v>470.37039199999998</v>
      </c>
      <c r="T59" s="44">
        <v>490.64361600000001</v>
      </c>
      <c r="U59" s="44">
        <v>511.59182700000002</v>
      </c>
      <c r="V59" s="44">
        <v>530.17358400000001</v>
      </c>
      <c r="W59" s="44">
        <v>550.31756600000006</v>
      </c>
      <c r="X59" s="44">
        <v>568.55450399999995</v>
      </c>
      <c r="Y59" s="44">
        <v>591.77203399999996</v>
      </c>
      <c r="Z59" s="44">
        <v>614.70349099999999</v>
      </c>
      <c r="AA59" s="44">
        <v>634.61749299999997</v>
      </c>
      <c r="AB59" s="44">
        <v>655.919983</v>
      </c>
      <c r="AC59" s="44">
        <v>681.37744099999998</v>
      </c>
      <c r="AD59" s="44">
        <v>707.83227499999998</v>
      </c>
      <c r="AE59" s="44">
        <v>741.50262499999997</v>
      </c>
      <c r="AF59" s="44">
        <v>767.07281499999999</v>
      </c>
      <c r="AG59" s="45" t="s">
        <v>364</v>
      </c>
    </row>
    <row r="60" spans="1:33" ht="15" customHeight="1">
      <c r="A60" s="35" t="s">
        <v>73</v>
      </c>
      <c r="B60" s="40" t="s">
        <v>127</v>
      </c>
      <c r="C60" s="44" t="s">
        <v>364</v>
      </c>
      <c r="D60" s="44">
        <v>51.316879</v>
      </c>
      <c r="E60" s="44">
        <v>104.687515</v>
      </c>
      <c r="F60" s="44">
        <v>164.47348</v>
      </c>
      <c r="G60" s="44">
        <v>217.043137</v>
      </c>
      <c r="H60" s="44">
        <v>241.11769100000001</v>
      </c>
      <c r="I60" s="44">
        <v>272.00500499999998</v>
      </c>
      <c r="J60" s="44">
        <v>299.20147700000001</v>
      </c>
      <c r="K60" s="44">
        <v>344.83532700000001</v>
      </c>
      <c r="L60" s="44">
        <v>369.41659499999997</v>
      </c>
      <c r="M60" s="44">
        <v>388.08831800000002</v>
      </c>
      <c r="N60" s="44">
        <v>411.759705</v>
      </c>
      <c r="O60" s="44">
        <v>446.02474999999998</v>
      </c>
      <c r="P60" s="44">
        <v>482.38653599999998</v>
      </c>
      <c r="Q60" s="44">
        <v>517.29565400000001</v>
      </c>
      <c r="R60" s="44">
        <v>544.62085000000002</v>
      </c>
      <c r="S60" s="44">
        <v>565.15881300000001</v>
      </c>
      <c r="T60" s="44">
        <v>585.432007</v>
      </c>
      <c r="U60" s="44">
        <v>606.38024900000005</v>
      </c>
      <c r="V60" s="44">
        <v>624.96197500000005</v>
      </c>
      <c r="W60" s="44">
        <v>645.10595699999999</v>
      </c>
      <c r="X60" s="44">
        <v>663.342896</v>
      </c>
      <c r="Y60" s="44">
        <v>686.56042500000001</v>
      </c>
      <c r="Z60" s="44">
        <v>709.49188200000003</v>
      </c>
      <c r="AA60" s="44">
        <v>729.40588400000001</v>
      </c>
      <c r="AB60" s="44">
        <v>750.70837400000005</v>
      </c>
      <c r="AC60" s="44">
        <v>776.16583300000002</v>
      </c>
      <c r="AD60" s="44">
        <v>802.62066700000003</v>
      </c>
      <c r="AE60" s="44">
        <v>836.29101600000001</v>
      </c>
      <c r="AF60" s="44">
        <v>861.86120600000004</v>
      </c>
      <c r="AG60" s="45" t="s">
        <v>364</v>
      </c>
    </row>
    <row r="62" spans="1:33" ht="15" customHeight="1">
      <c r="B62" s="40" t="s">
        <v>74</v>
      </c>
    </row>
    <row r="63" spans="1:33" ht="15" customHeight="1">
      <c r="A63" s="35" t="s">
        <v>75</v>
      </c>
      <c r="B63" s="41" t="s">
        <v>40</v>
      </c>
      <c r="C63" s="42" t="s">
        <v>364</v>
      </c>
      <c r="D63" s="42">
        <v>9.8132990000000007</v>
      </c>
      <c r="E63" s="42">
        <v>18.804302</v>
      </c>
      <c r="F63" s="42">
        <v>25.724399999999999</v>
      </c>
      <c r="G63" s="42">
        <v>45.614189000000003</v>
      </c>
      <c r="H63" s="42">
        <v>52.420197000000002</v>
      </c>
      <c r="I63" s="42">
        <v>58.934998</v>
      </c>
      <c r="J63" s="42">
        <v>70.105698000000004</v>
      </c>
      <c r="K63" s="42">
        <v>81.101012999999995</v>
      </c>
      <c r="L63" s="42">
        <v>86.086005999999998</v>
      </c>
      <c r="M63" s="42">
        <v>86.903014999999996</v>
      </c>
      <c r="N63" s="42">
        <v>89.419014000000004</v>
      </c>
      <c r="O63" s="42">
        <v>90.181015000000002</v>
      </c>
      <c r="P63" s="42">
        <v>95.451012000000006</v>
      </c>
      <c r="Q63" s="42">
        <v>97.067008999999999</v>
      </c>
      <c r="R63" s="42">
        <v>98.071006999999994</v>
      </c>
      <c r="S63" s="42">
        <v>98.784003999999996</v>
      </c>
      <c r="T63" s="42">
        <v>99.851005999999998</v>
      </c>
      <c r="U63" s="42">
        <v>100.19001</v>
      </c>
      <c r="V63" s="42">
        <v>101.955009</v>
      </c>
      <c r="W63" s="42">
        <v>102.295006</v>
      </c>
      <c r="X63" s="42">
        <v>102.295006</v>
      </c>
      <c r="Y63" s="42">
        <v>102.295006</v>
      </c>
      <c r="Z63" s="42">
        <v>102.295006</v>
      </c>
      <c r="AA63" s="42">
        <v>104.80901299999999</v>
      </c>
      <c r="AB63" s="42">
        <v>104.80901299999999</v>
      </c>
      <c r="AC63" s="42">
        <v>104.80901299999999</v>
      </c>
      <c r="AD63" s="42">
        <v>104.80901299999999</v>
      </c>
      <c r="AE63" s="42">
        <v>104.80901299999999</v>
      </c>
      <c r="AF63" s="42">
        <v>104.80901299999999</v>
      </c>
      <c r="AG63" s="43" t="s">
        <v>364</v>
      </c>
    </row>
    <row r="64" spans="1:33" ht="15" customHeight="1">
      <c r="A64" s="35" t="s">
        <v>76</v>
      </c>
      <c r="B64" s="41" t="s">
        <v>42</v>
      </c>
      <c r="C64" s="42" t="s">
        <v>364</v>
      </c>
      <c r="D64" s="42">
        <v>2.2204000000000002</v>
      </c>
      <c r="E64" s="42">
        <v>8.646801</v>
      </c>
      <c r="F64" s="42">
        <v>15.719104</v>
      </c>
      <c r="G64" s="42">
        <v>22.351303000000001</v>
      </c>
      <c r="H64" s="42">
        <v>25.082701</v>
      </c>
      <c r="I64" s="42">
        <v>26.687801</v>
      </c>
      <c r="J64" s="42">
        <v>27.447801999999999</v>
      </c>
      <c r="K64" s="42">
        <v>28.8873</v>
      </c>
      <c r="L64" s="42">
        <v>29.361398999999999</v>
      </c>
      <c r="M64" s="42">
        <v>30.343397</v>
      </c>
      <c r="N64" s="42">
        <v>30.586397000000002</v>
      </c>
      <c r="O64" s="42">
        <v>31.328495</v>
      </c>
      <c r="P64" s="42">
        <v>31.828495</v>
      </c>
      <c r="Q64" s="42">
        <v>32.777999999999999</v>
      </c>
      <c r="R64" s="42">
        <v>32.777999999999999</v>
      </c>
      <c r="S64" s="42">
        <v>32.800998999999997</v>
      </c>
      <c r="T64" s="42">
        <v>32.800998999999997</v>
      </c>
      <c r="U64" s="42">
        <v>32.800998999999997</v>
      </c>
      <c r="V64" s="42">
        <v>32.800998999999997</v>
      </c>
      <c r="W64" s="42">
        <v>32.800998999999997</v>
      </c>
      <c r="X64" s="42">
        <v>32.800998999999997</v>
      </c>
      <c r="Y64" s="42">
        <v>32.800998999999997</v>
      </c>
      <c r="Z64" s="42">
        <v>32.800998999999997</v>
      </c>
      <c r="AA64" s="42">
        <v>32.800998999999997</v>
      </c>
      <c r="AB64" s="42">
        <v>32.800998999999997</v>
      </c>
      <c r="AC64" s="42">
        <v>32.800998999999997</v>
      </c>
      <c r="AD64" s="42">
        <v>32.800998999999997</v>
      </c>
      <c r="AE64" s="42">
        <v>33.996592999999997</v>
      </c>
      <c r="AF64" s="42">
        <v>34.243594999999999</v>
      </c>
      <c r="AG64" s="43" t="s">
        <v>364</v>
      </c>
    </row>
    <row r="65" spans="1:33" ht="15" customHeight="1">
      <c r="A65" s="35" t="s">
        <v>77</v>
      </c>
      <c r="B65" s="41" t="s">
        <v>20</v>
      </c>
      <c r="C65" s="42" t="s">
        <v>364</v>
      </c>
      <c r="D65" s="42">
        <v>0</v>
      </c>
      <c r="E65" s="42">
        <v>0.9385</v>
      </c>
      <c r="F65" s="42">
        <v>3.5775999999999999</v>
      </c>
      <c r="G65" s="42">
        <v>3.8808009999999999</v>
      </c>
      <c r="H65" s="42">
        <v>4.1478010000000003</v>
      </c>
      <c r="I65" s="42">
        <v>4.6472020000000001</v>
      </c>
      <c r="J65" s="42">
        <v>4.6472020000000001</v>
      </c>
      <c r="K65" s="42">
        <v>4.6472020000000001</v>
      </c>
      <c r="L65" s="42">
        <v>4.7699009999999999</v>
      </c>
      <c r="M65" s="42">
        <v>4.805301</v>
      </c>
      <c r="N65" s="42">
        <v>5.3637009999999998</v>
      </c>
      <c r="O65" s="42">
        <v>5.511501</v>
      </c>
      <c r="P65" s="42">
        <v>5.559501</v>
      </c>
      <c r="Q65" s="42">
        <v>6.4615</v>
      </c>
      <c r="R65" s="42">
        <v>7.1254999999999997</v>
      </c>
      <c r="S65" s="42">
        <v>8.3965019999999999</v>
      </c>
      <c r="T65" s="42">
        <v>8.399502</v>
      </c>
      <c r="U65" s="42">
        <v>8.399502</v>
      </c>
      <c r="V65" s="42">
        <v>9.0405029999999993</v>
      </c>
      <c r="W65" s="42">
        <v>9.0405029999999993</v>
      </c>
      <c r="X65" s="42">
        <v>9.5516020000000008</v>
      </c>
      <c r="Y65" s="42">
        <v>9.5516020000000008</v>
      </c>
      <c r="Z65" s="42">
        <v>10.236703</v>
      </c>
      <c r="AA65" s="42">
        <v>10.236703</v>
      </c>
      <c r="AB65" s="42">
        <v>10.236703</v>
      </c>
      <c r="AC65" s="42">
        <v>10.293303</v>
      </c>
      <c r="AD65" s="42">
        <v>10.325803000000001</v>
      </c>
      <c r="AE65" s="42">
        <v>10.518803</v>
      </c>
      <c r="AF65" s="42">
        <v>10.669803</v>
      </c>
      <c r="AG65" s="43" t="s">
        <v>364</v>
      </c>
    </row>
    <row r="66" spans="1:33">
      <c r="A66" s="35" t="s">
        <v>78</v>
      </c>
      <c r="B66" s="41" t="s">
        <v>22</v>
      </c>
      <c r="C66" s="42" t="s">
        <v>364</v>
      </c>
      <c r="D66" s="42">
        <v>0.80130000000000001</v>
      </c>
      <c r="E66" s="42">
        <v>1.3456999999999999</v>
      </c>
      <c r="F66" s="42">
        <v>1.4249000000000001</v>
      </c>
      <c r="G66" s="42">
        <v>1.5039</v>
      </c>
      <c r="H66" s="42">
        <v>2.0255000000000001</v>
      </c>
      <c r="I66" s="42">
        <v>2.6610999999999998</v>
      </c>
      <c r="J66" s="42">
        <v>2.6768999999999998</v>
      </c>
      <c r="K66" s="42">
        <v>2.7067000000000001</v>
      </c>
      <c r="L66" s="42">
        <v>2.7854000000000001</v>
      </c>
      <c r="M66" s="42">
        <v>2.9339</v>
      </c>
      <c r="N66" s="42">
        <v>3.7555010000000002</v>
      </c>
      <c r="O66" s="42">
        <v>3.8265009999999999</v>
      </c>
      <c r="P66" s="42">
        <v>3.8265009999999999</v>
      </c>
      <c r="Q66" s="42">
        <v>3.866501</v>
      </c>
      <c r="R66" s="42">
        <v>4.6025</v>
      </c>
      <c r="S66" s="42">
        <v>4.6025</v>
      </c>
      <c r="T66" s="42">
        <v>4.6025</v>
      </c>
      <c r="U66" s="42">
        <v>4.6025</v>
      </c>
      <c r="V66" s="42">
        <v>4.6025</v>
      </c>
      <c r="W66" s="42">
        <v>4.8115009999999998</v>
      </c>
      <c r="X66" s="42">
        <v>4.8603009999999998</v>
      </c>
      <c r="Y66" s="42">
        <v>4.8834</v>
      </c>
      <c r="Z66" s="42">
        <v>4.8834</v>
      </c>
      <c r="AA66" s="42">
        <v>5.0103</v>
      </c>
      <c r="AB66" s="42">
        <v>5.0103</v>
      </c>
      <c r="AC66" s="42">
        <v>5.0103</v>
      </c>
      <c r="AD66" s="42">
        <v>5.1032999999999999</v>
      </c>
      <c r="AE66" s="42">
        <v>5.1032999999999999</v>
      </c>
      <c r="AF66" s="42">
        <v>5.1032999999999999</v>
      </c>
      <c r="AG66" s="43" t="s">
        <v>364</v>
      </c>
    </row>
    <row r="67" spans="1:33" ht="15" customHeight="1">
      <c r="A67" s="35" t="s">
        <v>79</v>
      </c>
      <c r="B67" s="41" t="s">
        <v>53</v>
      </c>
      <c r="C67" s="42" t="s">
        <v>364</v>
      </c>
      <c r="D67" s="42">
        <v>0.76849999999999996</v>
      </c>
      <c r="E67" s="42">
        <v>0.76849999999999996</v>
      </c>
      <c r="F67" s="42">
        <v>0.76849999999999996</v>
      </c>
      <c r="G67" s="42">
        <v>1.8905000000000001</v>
      </c>
      <c r="H67" s="42">
        <v>3.0085000000000002</v>
      </c>
      <c r="I67" s="42">
        <v>5.1795</v>
      </c>
      <c r="J67" s="42">
        <v>9.9534009999999995</v>
      </c>
      <c r="K67" s="42">
        <v>10.937901</v>
      </c>
      <c r="L67" s="42">
        <v>12.105902</v>
      </c>
      <c r="M67" s="42">
        <v>12.105902</v>
      </c>
      <c r="N67" s="42">
        <v>12.105902</v>
      </c>
      <c r="O67" s="42">
        <v>17.112901999999998</v>
      </c>
      <c r="P67" s="42">
        <v>17.112901999999998</v>
      </c>
      <c r="Q67" s="42">
        <v>17.112901999999998</v>
      </c>
      <c r="R67" s="42">
        <v>17.112901999999998</v>
      </c>
      <c r="S67" s="42">
        <v>17.946200999999999</v>
      </c>
      <c r="T67" s="42">
        <v>17.946200999999999</v>
      </c>
      <c r="U67" s="42">
        <v>17.946200999999999</v>
      </c>
      <c r="V67" s="42">
        <v>17.946200999999999</v>
      </c>
      <c r="W67" s="42">
        <v>17.946200999999999</v>
      </c>
      <c r="X67" s="42">
        <v>17.946200999999999</v>
      </c>
      <c r="Y67" s="42">
        <v>17.946200999999999</v>
      </c>
      <c r="Z67" s="42">
        <v>17.946200999999999</v>
      </c>
      <c r="AA67" s="42">
        <v>17.946200999999999</v>
      </c>
      <c r="AB67" s="42">
        <v>17.946200999999999</v>
      </c>
      <c r="AC67" s="42">
        <v>17.946200999999999</v>
      </c>
      <c r="AD67" s="42">
        <v>19.171202000000001</v>
      </c>
      <c r="AE67" s="42">
        <v>19.171202000000001</v>
      </c>
      <c r="AF67" s="42">
        <v>19.171202000000001</v>
      </c>
      <c r="AG67" s="43" t="s">
        <v>364</v>
      </c>
    </row>
    <row r="68" spans="1:33" ht="15" customHeight="1">
      <c r="A68" s="35" t="s">
        <v>80</v>
      </c>
      <c r="B68" s="41" t="s">
        <v>26</v>
      </c>
      <c r="C68" s="42" t="s">
        <v>364</v>
      </c>
      <c r="D68" s="42">
        <v>0</v>
      </c>
      <c r="E68" s="42">
        <v>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42">
        <v>0</v>
      </c>
      <c r="S68" s="42">
        <v>0</v>
      </c>
      <c r="T68" s="42">
        <v>0</v>
      </c>
      <c r="U68" s="42">
        <v>0</v>
      </c>
      <c r="V68" s="42">
        <v>0</v>
      </c>
      <c r="W68" s="42">
        <v>0</v>
      </c>
      <c r="X68" s="42">
        <v>0</v>
      </c>
      <c r="Y68" s="42">
        <v>0</v>
      </c>
      <c r="Z68" s="42">
        <v>0</v>
      </c>
      <c r="AA68" s="42">
        <v>0</v>
      </c>
      <c r="AB68" s="42">
        <v>0</v>
      </c>
      <c r="AC68" s="42">
        <v>0</v>
      </c>
      <c r="AD68" s="42">
        <v>0</v>
      </c>
      <c r="AE68" s="42">
        <v>0</v>
      </c>
      <c r="AF68" s="42">
        <v>0</v>
      </c>
      <c r="AG68" s="43" t="s">
        <v>364</v>
      </c>
    </row>
    <row r="69" spans="1:33" ht="15" customHeight="1">
      <c r="A69" s="35" t="s">
        <v>81</v>
      </c>
      <c r="B69" s="41" t="s">
        <v>28</v>
      </c>
      <c r="C69" s="42" t="s">
        <v>364</v>
      </c>
      <c r="D69" s="42">
        <v>0</v>
      </c>
      <c r="E69" s="42">
        <v>0</v>
      </c>
      <c r="F69" s="42">
        <v>1E-3</v>
      </c>
      <c r="G69" s="42">
        <v>1E-3</v>
      </c>
      <c r="H69" s="42">
        <v>1E-3</v>
      </c>
      <c r="I69" s="42">
        <v>1E-3</v>
      </c>
      <c r="J69" s="42">
        <v>1E-3</v>
      </c>
      <c r="K69" s="42">
        <v>1E-3</v>
      </c>
      <c r="L69" s="42">
        <v>1E-3</v>
      </c>
      <c r="M69" s="42">
        <v>1E-3</v>
      </c>
      <c r="N69" s="42">
        <v>1E-3</v>
      </c>
      <c r="O69" s="42">
        <v>1E-3</v>
      </c>
      <c r="P69" s="42">
        <v>1E-3</v>
      </c>
      <c r="Q69" s="42">
        <v>1E-3</v>
      </c>
      <c r="R69" s="42">
        <v>1E-3</v>
      </c>
      <c r="S69" s="42">
        <v>3.0000000000000001E-3</v>
      </c>
      <c r="T69" s="42">
        <v>3.0000000000000001E-3</v>
      </c>
      <c r="U69" s="42">
        <v>3.0000000000000001E-3</v>
      </c>
      <c r="V69" s="42">
        <v>3.0000000000000001E-3</v>
      </c>
      <c r="W69" s="42">
        <v>3.0000000000000001E-3</v>
      </c>
      <c r="X69" s="42">
        <v>3.0000000000000001E-3</v>
      </c>
      <c r="Y69" s="42">
        <v>3.0000000000000001E-3</v>
      </c>
      <c r="Z69" s="42">
        <v>3.0000000000000001E-3</v>
      </c>
      <c r="AA69" s="42">
        <v>3.0000000000000001E-3</v>
      </c>
      <c r="AB69" s="42">
        <v>3.0000000000000001E-3</v>
      </c>
      <c r="AC69" s="42">
        <v>3.0000000000000001E-3</v>
      </c>
      <c r="AD69" s="42">
        <v>3.0000000000000001E-3</v>
      </c>
      <c r="AE69" s="42">
        <v>3.0000000000000001E-3</v>
      </c>
      <c r="AF69" s="42">
        <v>3.0000000000000001E-3</v>
      </c>
      <c r="AG69" s="43" t="s">
        <v>364</v>
      </c>
    </row>
    <row r="70" spans="1:33" ht="15" customHeight="1">
      <c r="A70" s="35" t="s">
        <v>82</v>
      </c>
      <c r="B70" s="41" t="s">
        <v>30</v>
      </c>
      <c r="C70" s="42" t="s">
        <v>364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42">
        <v>0</v>
      </c>
      <c r="J70" s="42">
        <v>0</v>
      </c>
      <c r="K70" s="42">
        <v>0</v>
      </c>
      <c r="L70" s="42">
        <v>0</v>
      </c>
      <c r="M70" s="42">
        <v>1.1000000000000001E-3</v>
      </c>
      <c r="N70" s="42">
        <v>1.1000000000000001E-3</v>
      </c>
      <c r="O70" s="42">
        <v>1.1000000000000001E-3</v>
      </c>
      <c r="P70" s="42">
        <v>1.1000000000000001E-3</v>
      </c>
      <c r="Q70" s="42">
        <v>1.1000000000000001E-3</v>
      </c>
      <c r="R70" s="42">
        <v>1.1000000000000001E-3</v>
      </c>
      <c r="S70" s="42">
        <v>1.1000000000000001E-3</v>
      </c>
      <c r="T70" s="42">
        <v>1.1000000000000001E-3</v>
      </c>
      <c r="U70" s="42">
        <v>1.1000000000000001E-3</v>
      </c>
      <c r="V70" s="42">
        <v>1.1000000000000001E-3</v>
      </c>
      <c r="W70" s="42">
        <v>1.1000000000000001E-3</v>
      </c>
      <c r="X70" s="42">
        <v>1.1000000000000001E-3</v>
      </c>
      <c r="Y70" s="42">
        <v>1.1000000000000001E-3</v>
      </c>
      <c r="Z70" s="42">
        <v>1.1000000000000001E-3</v>
      </c>
      <c r="AA70" s="42">
        <v>1.1000000000000001E-3</v>
      </c>
      <c r="AB70" s="42">
        <v>1.1000000000000001E-3</v>
      </c>
      <c r="AC70" s="42">
        <v>1.1000000000000001E-3</v>
      </c>
      <c r="AD70" s="42">
        <v>1.1000000000000001E-3</v>
      </c>
      <c r="AE70" s="42">
        <v>1.1000000000000001E-3</v>
      </c>
      <c r="AF70" s="42">
        <v>1.1000000000000001E-3</v>
      </c>
      <c r="AG70" s="43" t="s">
        <v>364</v>
      </c>
    </row>
    <row r="71" spans="1:33" ht="15" customHeight="1">
      <c r="A71" s="35" t="s">
        <v>83</v>
      </c>
      <c r="B71" s="41" t="s">
        <v>32</v>
      </c>
      <c r="C71" s="42" t="s">
        <v>364</v>
      </c>
      <c r="D71" s="42">
        <v>1.21E-2</v>
      </c>
      <c r="E71" s="42">
        <v>3.3500000000000002E-2</v>
      </c>
      <c r="F71" s="42">
        <v>5.33E-2</v>
      </c>
      <c r="G71" s="42">
        <v>0.13619999999999999</v>
      </c>
      <c r="H71" s="42">
        <v>0.18779999999999999</v>
      </c>
      <c r="I71" s="42">
        <v>0.25069999999999998</v>
      </c>
      <c r="J71" s="42">
        <v>0.53800000000000003</v>
      </c>
      <c r="K71" s="42">
        <v>0.67749999999999999</v>
      </c>
      <c r="L71" s="42">
        <v>0.69550000000000001</v>
      </c>
      <c r="M71" s="42">
        <v>0.70669999999999999</v>
      </c>
      <c r="N71" s="42">
        <v>0.70669999999999999</v>
      </c>
      <c r="O71" s="42">
        <v>0.74970000000000003</v>
      </c>
      <c r="P71" s="42">
        <v>0.78800000000000003</v>
      </c>
      <c r="Q71" s="42">
        <v>0.78800000000000003</v>
      </c>
      <c r="R71" s="42">
        <v>0.78800000000000003</v>
      </c>
      <c r="S71" s="42">
        <v>0.78800000000000003</v>
      </c>
      <c r="T71" s="42">
        <v>0.78800000000000003</v>
      </c>
      <c r="U71" s="42">
        <v>0.78800000000000003</v>
      </c>
      <c r="V71" s="42">
        <v>0.78800000000000003</v>
      </c>
      <c r="W71" s="42">
        <v>0.78800000000000003</v>
      </c>
      <c r="X71" s="42">
        <v>0.78800000000000003</v>
      </c>
      <c r="Y71" s="42">
        <v>0.78800000000000003</v>
      </c>
      <c r="Z71" s="42">
        <v>0.87939999999999996</v>
      </c>
      <c r="AA71" s="42">
        <v>0.9294</v>
      </c>
      <c r="AB71" s="42">
        <v>0.93200000000000005</v>
      </c>
      <c r="AC71" s="42">
        <v>0.93500000000000005</v>
      </c>
      <c r="AD71" s="42">
        <v>0.93500000000000005</v>
      </c>
      <c r="AE71" s="42">
        <v>0.95</v>
      </c>
      <c r="AF71" s="42">
        <v>0.95199999999999996</v>
      </c>
      <c r="AG71" s="43" t="s">
        <v>364</v>
      </c>
    </row>
    <row r="72" spans="1:33" ht="15" customHeight="1">
      <c r="A72" s="35" t="s">
        <v>84</v>
      </c>
      <c r="B72" s="40" t="s">
        <v>37</v>
      </c>
      <c r="C72" s="44" t="s">
        <v>364</v>
      </c>
      <c r="D72" s="44">
        <v>13.615594</v>
      </c>
      <c r="E72" s="44">
        <v>30.537299999999998</v>
      </c>
      <c r="F72" s="44">
        <v>47.268791</v>
      </c>
      <c r="G72" s="44">
        <v>75.377883999999995</v>
      </c>
      <c r="H72" s="44">
        <v>86.873512000000005</v>
      </c>
      <c r="I72" s="44">
        <v>98.362305000000006</v>
      </c>
      <c r="J72" s="44">
        <v>115.370018</v>
      </c>
      <c r="K72" s="44">
        <v>128.958618</v>
      </c>
      <c r="L72" s="44">
        <v>135.80508399999999</v>
      </c>
      <c r="M72" s="44">
        <v>137.800308</v>
      </c>
      <c r="N72" s="44">
        <v>141.939301</v>
      </c>
      <c r="O72" s="44">
        <v>148.712219</v>
      </c>
      <c r="P72" s="44">
        <v>154.568512</v>
      </c>
      <c r="Q72" s="44">
        <v>158.076019</v>
      </c>
      <c r="R72" s="44">
        <v>160.48002600000001</v>
      </c>
      <c r="S72" s="44">
        <v>163.32234199999999</v>
      </c>
      <c r="T72" s="44">
        <v>164.392349</v>
      </c>
      <c r="U72" s="44">
        <v>164.73133899999999</v>
      </c>
      <c r="V72" s="44">
        <v>167.137314</v>
      </c>
      <c r="W72" s="44">
        <v>167.68632500000001</v>
      </c>
      <c r="X72" s="44">
        <v>168.24624600000001</v>
      </c>
      <c r="Y72" s="44">
        <v>168.26934800000001</v>
      </c>
      <c r="Z72" s="44">
        <v>169.04585299999999</v>
      </c>
      <c r="AA72" s="44">
        <v>171.73675499999999</v>
      </c>
      <c r="AB72" s="44">
        <v>171.739349</v>
      </c>
      <c r="AC72" s="44">
        <v>171.79894999999999</v>
      </c>
      <c r="AD72" s="44">
        <v>173.14946</v>
      </c>
      <c r="AE72" s="44">
        <v>174.553055</v>
      </c>
      <c r="AF72" s="44">
        <v>174.95304899999999</v>
      </c>
      <c r="AG72" s="45" t="s">
        <v>364</v>
      </c>
    </row>
    <row r="73" spans="1:33" ht="12"/>
    <row r="74" spans="1:33" ht="15" customHeight="1">
      <c r="A74" s="35" t="s">
        <v>85</v>
      </c>
      <c r="B74" s="40" t="s">
        <v>86</v>
      </c>
      <c r="C74" s="44">
        <v>1107.3474120000001</v>
      </c>
      <c r="D74" s="44">
        <v>1145.1166989999999</v>
      </c>
      <c r="E74" s="44">
        <v>1181.609741</v>
      </c>
      <c r="F74" s="44">
        <v>1224.714966</v>
      </c>
      <c r="G74" s="44">
        <v>1249.2064210000001</v>
      </c>
      <c r="H74" s="44">
        <v>1261.8167719999999</v>
      </c>
      <c r="I74" s="44">
        <v>1281.250366</v>
      </c>
      <c r="J74" s="44">
        <v>1291.474365</v>
      </c>
      <c r="K74" s="44">
        <v>1323.5645750000001</v>
      </c>
      <c r="L74" s="44">
        <v>1341.385376</v>
      </c>
      <c r="M74" s="44">
        <v>1358.2006839999999</v>
      </c>
      <c r="N74" s="44">
        <v>1377.8294679999999</v>
      </c>
      <c r="O74" s="44">
        <v>1405.4139399999999</v>
      </c>
      <c r="P74" s="44">
        <v>1436.0073239999999</v>
      </c>
      <c r="Q74" s="44">
        <v>1467.5874020000001</v>
      </c>
      <c r="R74" s="44">
        <v>1492.6412350000001</v>
      </c>
      <c r="S74" s="44">
        <v>1510.363525</v>
      </c>
      <c r="T74" s="44">
        <v>1529.5936280000001</v>
      </c>
      <c r="U74" s="44">
        <v>1550.2026370000001</v>
      </c>
      <c r="V74" s="44">
        <v>1566.4221190000001</v>
      </c>
      <c r="W74" s="44">
        <v>1586.1763920000001</v>
      </c>
      <c r="X74" s="44">
        <v>1603.968384</v>
      </c>
      <c r="Y74" s="44">
        <v>1627.2735600000001</v>
      </c>
      <c r="Z74" s="44">
        <v>1649.5245359999999</v>
      </c>
      <c r="AA74" s="44">
        <v>1666.8514399999999</v>
      </c>
      <c r="AB74" s="44">
        <v>1688.2052000000001</v>
      </c>
      <c r="AC74" s="44">
        <v>1713.6573490000001</v>
      </c>
      <c r="AD74" s="44">
        <v>1738.795288</v>
      </c>
      <c r="AE74" s="44">
        <v>1771.103149</v>
      </c>
      <c r="AF74" s="44">
        <v>1796.3352050000001</v>
      </c>
      <c r="AG74" s="45">
        <v>1.6822E-2</v>
      </c>
    </row>
    <row r="76" spans="1:33" ht="15" customHeight="1">
      <c r="B76" s="40" t="s">
        <v>87</v>
      </c>
    </row>
    <row r="77" spans="1:33" ht="15" customHeight="1">
      <c r="A77" s="35" t="s">
        <v>88</v>
      </c>
      <c r="B77" s="41" t="s">
        <v>40</v>
      </c>
      <c r="C77" s="42">
        <v>1.7377499999999999</v>
      </c>
      <c r="D77" s="42">
        <v>1.7375370000000001</v>
      </c>
      <c r="E77" s="42">
        <v>1.7327699999999999</v>
      </c>
      <c r="F77" s="42">
        <v>1.724364</v>
      </c>
      <c r="G77" s="42">
        <v>1.7079819999999999</v>
      </c>
      <c r="H77" s="42">
        <v>1.700002</v>
      </c>
      <c r="I77" s="42">
        <v>1.6893039999999999</v>
      </c>
      <c r="J77" s="42">
        <v>1.679457</v>
      </c>
      <c r="K77" s="42">
        <v>1.6697029999999999</v>
      </c>
      <c r="L77" s="42">
        <v>1.6590339999999999</v>
      </c>
      <c r="M77" s="42">
        <v>1.649127</v>
      </c>
      <c r="N77" s="42">
        <v>1.63913</v>
      </c>
      <c r="O77" s="42">
        <v>1.6287780000000001</v>
      </c>
      <c r="P77" s="42">
        <v>1.6186799999999999</v>
      </c>
      <c r="Q77" s="42">
        <v>1.6087689999999999</v>
      </c>
      <c r="R77" s="42">
        <v>1.5992189999999999</v>
      </c>
      <c r="S77" s="42">
        <v>1.5901879999999999</v>
      </c>
      <c r="T77" s="42">
        <v>1.581291</v>
      </c>
      <c r="U77" s="42">
        <v>1.572273</v>
      </c>
      <c r="V77" s="42">
        <v>1.5628120000000001</v>
      </c>
      <c r="W77" s="42">
        <v>1.5545679999999999</v>
      </c>
      <c r="X77" s="42">
        <v>1.5466679999999999</v>
      </c>
      <c r="Y77" s="42">
        <v>1.538438</v>
      </c>
      <c r="Z77" s="42">
        <v>1.5295319999999999</v>
      </c>
      <c r="AA77" s="42">
        <v>1.5207580000000001</v>
      </c>
      <c r="AB77" s="42">
        <v>1.5125820000000001</v>
      </c>
      <c r="AC77" s="42">
        <v>1.504062</v>
      </c>
      <c r="AD77" s="42">
        <v>1.495206</v>
      </c>
      <c r="AE77" s="42">
        <v>1.486966</v>
      </c>
      <c r="AF77" s="42">
        <v>1.4794499999999999</v>
      </c>
      <c r="AG77" s="43">
        <v>-5.5339999999999999E-3</v>
      </c>
    </row>
    <row r="78" spans="1:33" ht="15" customHeight="1">
      <c r="A78" s="35" t="s">
        <v>89</v>
      </c>
      <c r="B78" s="41" t="s">
        <v>90</v>
      </c>
      <c r="C78" s="42">
        <v>0.53763399999999995</v>
      </c>
      <c r="D78" s="42">
        <v>0.53803199999999995</v>
      </c>
      <c r="E78" s="42">
        <v>0.53818500000000002</v>
      </c>
      <c r="F78" s="42">
        <v>0.538242</v>
      </c>
      <c r="G78" s="42">
        <v>0.53788899999999995</v>
      </c>
      <c r="H78" s="42">
        <v>0.53784799999999999</v>
      </c>
      <c r="I78" s="42">
        <v>0.53773400000000005</v>
      </c>
      <c r="J78" s="42">
        <v>0.53767799999999999</v>
      </c>
      <c r="K78" s="42">
        <v>0.53762399999999999</v>
      </c>
      <c r="L78" s="42">
        <v>0.53752</v>
      </c>
      <c r="M78" s="42">
        <v>0.53745200000000004</v>
      </c>
      <c r="N78" s="42">
        <v>0.53735100000000002</v>
      </c>
      <c r="O78" s="42">
        <v>0.53722999999999999</v>
      </c>
      <c r="P78" s="42">
        <v>0.53710599999999997</v>
      </c>
      <c r="Q78" s="42">
        <v>0.53699300000000005</v>
      </c>
      <c r="R78" s="42">
        <v>0.53689500000000001</v>
      </c>
      <c r="S78" s="42">
        <v>0.53682700000000005</v>
      </c>
      <c r="T78" s="42">
        <v>0.53676699999999999</v>
      </c>
      <c r="U78" s="42">
        <v>0.53671899999999995</v>
      </c>
      <c r="V78" s="42">
        <v>0.536632</v>
      </c>
      <c r="W78" s="42">
        <v>0.53662600000000005</v>
      </c>
      <c r="X78" s="42">
        <v>0.53664100000000003</v>
      </c>
      <c r="Y78" s="42">
        <v>0.53664100000000003</v>
      </c>
      <c r="Z78" s="42">
        <v>0.53659199999999996</v>
      </c>
      <c r="AA78" s="42">
        <v>0.53656000000000004</v>
      </c>
      <c r="AB78" s="42">
        <v>0.53658099999999997</v>
      </c>
      <c r="AC78" s="42">
        <v>0.53658300000000003</v>
      </c>
      <c r="AD78" s="42">
        <v>0.53657200000000005</v>
      </c>
      <c r="AE78" s="42">
        <v>0.53659999999999997</v>
      </c>
      <c r="AF78" s="42">
        <v>0.53669199999999995</v>
      </c>
      <c r="AG78" s="43">
        <v>-6.0000000000000002E-5</v>
      </c>
    </row>
    <row r="79" spans="1:33">
      <c r="A79" s="35" t="s">
        <v>91</v>
      </c>
      <c r="B79" s="41" t="s">
        <v>92</v>
      </c>
      <c r="C79" s="42">
        <v>18.680789999999998</v>
      </c>
      <c r="D79" s="42">
        <v>19.008984000000002</v>
      </c>
      <c r="E79" s="42">
        <v>19.291319000000001</v>
      </c>
      <c r="F79" s="42">
        <v>19.525787000000001</v>
      </c>
      <c r="G79" s="42">
        <v>19.713207000000001</v>
      </c>
      <c r="H79" s="42">
        <v>19.957027</v>
      </c>
      <c r="I79" s="42">
        <v>20.184380999999998</v>
      </c>
      <c r="J79" s="42">
        <v>20.416423999999999</v>
      </c>
      <c r="K79" s="42">
        <v>20.651636</v>
      </c>
      <c r="L79" s="42">
        <v>20.882572</v>
      </c>
      <c r="M79" s="42">
        <v>21.099409000000001</v>
      </c>
      <c r="N79" s="42">
        <v>21.317038</v>
      </c>
      <c r="O79" s="42">
        <v>21.537375999999998</v>
      </c>
      <c r="P79" s="42">
        <v>21.760898999999998</v>
      </c>
      <c r="Q79" s="42">
        <v>21.984487999999999</v>
      </c>
      <c r="R79" s="42">
        <v>22.214580999999999</v>
      </c>
      <c r="S79" s="42">
        <v>22.454999999999998</v>
      </c>
      <c r="T79" s="42">
        <v>22.703516</v>
      </c>
      <c r="U79" s="42">
        <v>22.960011999999999</v>
      </c>
      <c r="V79" s="42">
        <v>23.216190000000001</v>
      </c>
      <c r="W79" s="42">
        <v>23.490112</v>
      </c>
      <c r="X79" s="42">
        <v>23.778576000000001</v>
      </c>
      <c r="Y79" s="42">
        <v>24.072699</v>
      </c>
      <c r="Z79" s="42">
        <v>24.359707</v>
      </c>
      <c r="AA79" s="42">
        <v>24.659378</v>
      </c>
      <c r="AB79" s="42">
        <v>24.973803</v>
      </c>
      <c r="AC79" s="42">
        <v>25.290310000000002</v>
      </c>
      <c r="AD79" s="42">
        <v>25.612587000000001</v>
      </c>
      <c r="AE79" s="42">
        <v>25.949003000000001</v>
      </c>
      <c r="AF79" s="42">
        <v>26.316240000000001</v>
      </c>
      <c r="AG79" s="43">
        <v>1.1887E-2</v>
      </c>
    </row>
    <row r="80" spans="1:33" ht="15" customHeight="1">
      <c r="A80" s="35" t="s">
        <v>93</v>
      </c>
      <c r="B80" s="41" t="s">
        <v>94</v>
      </c>
      <c r="C80" s="42">
        <v>2.6621999999999999</v>
      </c>
      <c r="D80" s="42">
        <v>2.6621999999999999</v>
      </c>
      <c r="E80" s="42">
        <v>2.6856</v>
      </c>
      <c r="F80" s="42">
        <v>2.7057000000000002</v>
      </c>
      <c r="G80" s="42">
        <v>2.7057000000000002</v>
      </c>
      <c r="H80" s="42">
        <v>2.7057000000000002</v>
      </c>
      <c r="I80" s="42">
        <v>2.7057000000000002</v>
      </c>
      <c r="J80" s="42">
        <v>2.7057000000000002</v>
      </c>
      <c r="K80" s="42">
        <v>2.7057000000000002</v>
      </c>
      <c r="L80" s="42">
        <v>2.7057000000000002</v>
      </c>
      <c r="M80" s="42">
        <v>2.7057000000000002</v>
      </c>
      <c r="N80" s="42">
        <v>2.7057000000000002</v>
      </c>
      <c r="O80" s="42">
        <v>2.7057000000000002</v>
      </c>
      <c r="P80" s="42">
        <v>2.7057000000000002</v>
      </c>
      <c r="Q80" s="42">
        <v>2.7057000000000002</v>
      </c>
      <c r="R80" s="42">
        <v>2.7057000000000002</v>
      </c>
      <c r="S80" s="42">
        <v>2.7057000000000002</v>
      </c>
      <c r="T80" s="42">
        <v>2.7057000000000002</v>
      </c>
      <c r="U80" s="42">
        <v>2.7057000000000002</v>
      </c>
      <c r="V80" s="42">
        <v>2.7057000000000002</v>
      </c>
      <c r="W80" s="42">
        <v>2.7057000000000002</v>
      </c>
      <c r="X80" s="42">
        <v>2.7057000000000002</v>
      </c>
      <c r="Y80" s="42">
        <v>2.7057000000000002</v>
      </c>
      <c r="Z80" s="42">
        <v>2.7057000000000002</v>
      </c>
      <c r="AA80" s="42">
        <v>2.7057000000000002</v>
      </c>
      <c r="AB80" s="42">
        <v>2.7057000000000002</v>
      </c>
      <c r="AC80" s="42">
        <v>2.7057000000000002</v>
      </c>
      <c r="AD80" s="42">
        <v>2.7057000000000002</v>
      </c>
      <c r="AE80" s="42">
        <v>2.7057000000000002</v>
      </c>
      <c r="AF80" s="42">
        <v>2.7057000000000002</v>
      </c>
      <c r="AG80" s="43">
        <v>5.5900000000000004E-4</v>
      </c>
    </row>
    <row r="81" spans="1:33">
      <c r="A81" s="35" t="s">
        <v>95</v>
      </c>
      <c r="B81" s="41" t="s">
        <v>32</v>
      </c>
      <c r="C81" s="42">
        <v>47.053809999999999</v>
      </c>
      <c r="D81" s="42">
        <v>51.981681999999999</v>
      </c>
      <c r="E81" s="42">
        <v>56.953476000000002</v>
      </c>
      <c r="F81" s="42">
        <v>61.290421000000002</v>
      </c>
      <c r="G81" s="42">
        <v>64.763428000000005</v>
      </c>
      <c r="H81" s="42">
        <v>68.542655999999994</v>
      </c>
      <c r="I81" s="42">
        <v>72.065085999999994</v>
      </c>
      <c r="J81" s="42">
        <v>75.196753999999999</v>
      </c>
      <c r="K81" s="42">
        <v>78.795822000000001</v>
      </c>
      <c r="L81" s="42">
        <v>81.738899000000004</v>
      </c>
      <c r="M81" s="42">
        <v>85.418327000000005</v>
      </c>
      <c r="N81" s="42">
        <v>88.640144000000006</v>
      </c>
      <c r="O81" s="42">
        <v>92.633262999999999</v>
      </c>
      <c r="P81" s="42">
        <v>96.628281000000001</v>
      </c>
      <c r="Q81" s="42">
        <v>99.838829000000004</v>
      </c>
      <c r="R81" s="42">
        <v>104.188461</v>
      </c>
      <c r="S81" s="42">
        <v>108.69235999999999</v>
      </c>
      <c r="T81" s="42">
        <v>113.096733</v>
      </c>
      <c r="U81" s="42">
        <v>118.564148</v>
      </c>
      <c r="V81" s="42">
        <v>124.038658</v>
      </c>
      <c r="W81" s="42">
        <v>129.228363</v>
      </c>
      <c r="X81" s="42">
        <v>135.09435999999999</v>
      </c>
      <c r="Y81" s="42">
        <v>141.471802</v>
      </c>
      <c r="Z81" s="42">
        <v>146.93615700000001</v>
      </c>
      <c r="AA81" s="42">
        <v>153.705917</v>
      </c>
      <c r="AB81" s="42">
        <v>161.38742099999999</v>
      </c>
      <c r="AC81" s="42">
        <v>167.87185700000001</v>
      </c>
      <c r="AD81" s="42">
        <v>175.62468000000001</v>
      </c>
      <c r="AE81" s="42">
        <v>183.21931499999999</v>
      </c>
      <c r="AF81" s="42">
        <v>190.296738</v>
      </c>
      <c r="AG81" s="43">
        <v>4.9362000000000003E-2</v>
      </c>
    </row>
    <row r="82" spans="1:33" ht="15" customHeight="1">
      <c r="A82" s="35" t="s">
        <v>96</v>
      </c>
      <c r="B82" s="41" t="s">
        <v>97</v>
      </c>
      <c r="C82" s="42">
        <v>0.88580000000000003</v>
      </c>
      <c r="D82" s="42">
        <v>0.88580000000000003</v>
      </c>
      <c r="E82" s="42">
        <v>0.93579999999999997</v>
      </c>
      <c r="F82" s="42">
        <v>0.93579999999999997</v>
      </c>
      <c r="G82" s="42">
        <v>0.93579999999999997</v>
      </c>
      <c r="H82" s="42">
        <v>0.93579999999999997</v>
      </c>
      <c r="I82" s="42">
        <v>0.93579999999999997</v>
      </c>
      <c r="J82" s="42">
        <v>0.93579999999999997</v>
      </c>
      <c r="K82" s="42">
        <v>0.93579999999999997</v>
      </c>
      <c r="L82" s="42">
        <v>0.93579999999999997</v>
      </c>
      <c r="M82" s="42">
        <v>0.93579999999999997</v>
      </c>
      <c r="N82" s="42">
        <v>0.93579999999999997</v>
      </c>
      <c r="O82" s="42">
        <v>0.93579999999999997</v>
      </c>
      <c r="P82" s="42">
        <v>0.93579999999999997</v>
      </c>
      <c r="Q82" s="42">
        <v>0.93579999999999997</v>
      </c>
      <c r="R82" s="42">
        <v>0.93579999999999997</v>
      </c>
      <c r="S82" s="42">
        <v>0.93579999999999997</v>
      </c>
      <c r="T82" s="42">
        <v>0.93579999999999997</v>
      </c>
      <c r="U82" s="42">
        <v>0.93579999999999997</v>
      </c>
      <c r="V82" s="42">
        <v>0.93579999999999997</v>
      </c>
      <c r="W82" s="42">
        <v>0.93579999999999997</v>
      </c>
      <c r="X82" s="42">
        <v>0.93579999999999997</v>
      </c>
      <c r="Y82" s="42">
        <v>0.93579999999999997</v>
      </c>
      <c r="Z82" s="42">
        <v>0.93579999999999997</v>
      </c>
      <c r="AA82" s="42">
        <v>0.93579999999999997</v>
      </c>
      <c r="AB82" s="42">
        <v>0.93579999999999997</v>
      </c>
      <c r="AC82" s="42">
        <v>0.93579999999999997</v>
      </c>
      <c r="AD82" s="42">
        <v>0.93579999999999997</v>
      </c>
      <c r="AE82" s="42">
        <v>0.93579999999999997</v>
      </c>
      <c r="AF82" s="42">
        <v>0.93579999999999997</v>
      </c>
      <c r="AG82" s="43">
        <v>1.895E-3</v>
      </c>
    </row>
    <row r="83" spans="1:33" ht="15" customHeight="1">
      <c r="A83" s="35" t="s">
        <v>98</v>
      </c>
      <c r="B83" s="40" t="s">
        <v>37</v>
      </c>
      <c r="C83" s="44">
        <v>71.557982999999993</v>
      </c>
      <c r="D83" s="44">
        <v>76.814239999999998</v>
      </c>
      <c r="E83" s="44">
        <v>82.137153999999995</v>
      </c>
      <c r="F83" s="44">
        <v>86.720314000000002</v>
      </c>
      <c r="G83" s="44">
        <v>90.363997999999995</v>
      </c>
      <c r="H83" s="44">
        <v>94.379035999999999</v>
      </c>
      <c r="I83" s="44">
        <v>98.118003999999999</v>
      </c>
      <c r="J83" s="44">
        <v>101.471817</v>
      </c>
      <c r="K83" s="44">
        <v>105.29628</v>
      </c>
      <c r="L83" s="44">
        <v>108.459526</v>
      </c>
      <c r="M83" s="44">
        <v>112.34581</v>
      </c>
      <c r="N83" s="44">
        <v>115.77516199999999</v>
      </c>
      <c r="O83" s="44">
        <v>119.978149</v>
      </c>
      <c r="P83" s="44">
        <v>124.18646200000001</v>
      </c>
      <c r="Q83" s="44">
        <v>127.61058</v>
      </c>
      <c r="R83" s="44">
        <v>132.18066400000001</v>
      </c>
      <c r="S83" s="44">
        <v>136.91587799999999</v>
      </c>
      <c r="T83" s="44">
        <v>141.559799</v>
      </c>
      <c r="U83" s="44">
        <v>147.274643</v>
      </c>
      <c r="V83" s="44">
        <v>152.995789</v>
      </c>
      <c r="W83" s="44">
        <v>158.45117200000001</v>
      </c>
      <c r="X83" s="44">
        <v>164.59773300000001</v>
      </c>
      <c r="Y83" s="44">
        <v>171.261078</v>
      </c>
      <c r="Z83" s="44">
        <v>177.003479</v>
      </c>
      <c r="AA83" s="44">
        <v>184.06411700000001</v>
      </c>
      <c r="AB83" s="44">
        <v>192.05188000000001</v>
      </c>
      <c r="AC83" s="44">
        <v>198.84431499999999</v>
      </c>
      <c r="AD83" s="44">
        <v>206.910538</v>
      </c>
      <c r="AE83" s="44">
        <v>214.83338900000001</v>
      </c>
      <c r="AF83" s="44">
        <v>222.27063000000001</v>
      </c>
      <c r="AG83" s="45">
        <v>3.9856000000000003E-2</v>
      </c>
    </row>
    <row r="85" spans="1:33" ht="15" customHeight="1">
      <c r="A85" s="35" t="s">
        <v>99</v>
      </c>
      <c r="B85" s="40" t="s">
        <v>100</v>
      </c>
      <c r="C85" s="44" t="s">
        <v>364</v>
      </c>
      <c r="D85" s="44">
        <v>5.2568450000000002</v>
      </c>
      <c r="E85" s="44">
        <v>10.585241</v>
      </c>
      <c r="F85" s="44">
        <v>15.176817</v>
      </c>
      <c r="G85" s="44">
        <v>18.837237999999999</v>
      </c>
      <c r="H85" s="44">
        <v>22.861284000000001</v>
      </c>
      <c r="I85" s="44">
        <v>26.611063000000001</v>
      </c>
      <c r="J85" s="44">
        <v>29.974789000000001</v>
      </c>
      <c r="K85" s="44">
        <v>33.809055000000001</v>
      </c>
      <c r="L85" s="44">
        <v>37.002979000000003</v>
      </c>
      <c r="M85" s="44">
        <v>40.899242000000001</v>
      </c>
      <c r="N85" s="44">
        <v>44.338684000000001</v>
      </c>
      <c r="O85" s="44">
        <v>48.552151000000002</v>
      </c>
      <c r="P85" s="44">
        <v>52.770702</v>
      </c>
      <c r="Q85" s="44">
        <v>56.226562000000001</v>
      </c>
      <c r="R85" s="44">
        <v>60.806292999999997</v>
      </c>
      <c r="S85" s="44">
        <v>65.550590999999997</v>
      </c>
      <c r="T85" s="44">
        <v>70.203513999999998</v>
      </c>
      <c r="U85" s="44">
        <v>75.927422000000007</v>
      </c>
      <c r="V85" s="44">
        <v>81.658073000000002</v>
      </c>
      <c r="W85" s="44">
        <v>87.121718999999999</v>
      </c>
      <c r="X85" s="44">
        <v>93.276222000000004</v>
      </c>
      <c r="Y85" s="44">
        <v>99.947738999999999</v>
      </c>
      <c r="Z85" s="44">
        <v>105.69914199999999</v>
      </c>
      <c r="AA85" s="44">
        <v>112.768562</v>
      </c>
      <c r="AB85" s="44">
        <v>120.764503</v>
      </c>
      <c r="AC85" s="44">
        <v>127.586052</v>
      </c>
      <c r="AD85" s="44">
        <v>135.661179</v>
      </c>
      <c r="AE85" s="44">
        <v>143.59222399999999</v>
      </c>
      <c r="AF85" s="44">
        <v>151.10249300000001</v>
      </c>
      <c r="AG85" s="45" t="s">
        <v>364</v>
      </c>
    </row>
    <row r="86" spans="1:33" ht="15" customHeight="1" thickBot="1"/>
    <row r="87" spans="1:33" ht="15" customHeight="1">
      <c r="B87" s="48" t="s">
        <v>340</v>
      </c>
    </row>
    <row r="88" spans="1:33" ht="15" customHeight="1">
      <c r="B88" s="47" t="s">
        <v>102</v>
      </c>
    </row>
    <row r="89" spans="1:33" ht="15" customHeight="1">
      <c r="B89" s="47" t="s">
        <v>341</v>
      </c>
    </row>
    <row r="90" spans="1:33" ht="15" customHeight="1">
      <c r="B90" s="47" t="s">
        <v>342</v>
      </c>
    </row>
    <row r="91" spans="1:33" ht="15" customHeight="1">
      <c r="B91" s="47" t="s">
        <v>343</v>
      </c>
    </row>
    <row r="92" spans="1:33" ht="12">
      <c r="B92" s="47" t="s">
        <v>118</v>
      </c>
    </row>
    <row r="93" spans="1:33" ht="15" customHeight="1">
      <c r="B93" s="47" t="s">
        <v>119</v>
      </c>
    </row>
    <row r="94" spans="1:33" ht="15" customHeight="1">
      <c r="B94" s="47" t="s">
        <v>344</v>
      </c>
    </row>
    <row r="95" spans="1:33" ht="15" customHeight="1">
      <c r="B95" s="47" t="s">
        <v>345</v>
      </c>
    </row>
    <row r="96" spans="1:33" ht="15" customHeight="1">
      <c r="B96" s="47" t="s">
        <v>346</v>
      </c>
    </row>
    <row r="97" spans="2:33" ht="15" customHeight="1">
      <c r="B97" s="47" t="s">
        <v>108</v>
      </c>
    </row>
    <row r="98" spans="2:33" ht="15" customHeight="1">
      <c r="B98" s="47" t="s">
        <v>347</v>
      </c>
    </row>
    <row r="99" spans="2:33" ht="15" customHeight="1">
      <c r="B99" s="47" t="s">
        <v>348</v>
      </c>
    </row>
    <row r="100" spans="2:33" ht="15" customHeight="1">
      <c r="B100" s="47" t="s">
        <v>111</v>
      </c>
    </row>
    <row r="101" spans="2:33" ht="12">
      <c r="B101" s="47" t="s">
        <v>363</v>
      </c>
    </row>
    <row r="102" spans="2:33" ht="12">
      <c r="B102" s="47" t="s">
        <v>362</v>
      </c>
    </row>
    <row r="103" spans="2:33" ht="15" customHeight="1">
      <c r="B103" s="47" t="s">
        <v>351</v>
      </c>
    </row>
    <row r="104" spans="2:33" ht="15" customHeight="1">
      <c r="B104" s="47" t="s">
        <v>113</v>
      </c>
    </row>
    <row r="105" spans="2:33" ht="15" customHeight="1">
      <c r="B105" s="47" t="s">
        <v>114</v>
      </c>
    </row>
    <row r="106" spans="2:33" ht="15" customHeight="1">
      <c r="B106" s="47" t="s">
        <v>352</v>
      </c>
    </row>
    <row r="107" spans="2:33" ht="15" customHeight="1">
      <c r="B107" s="47" t="s">
        <v>353</v>
      </c>
    </row>
    <row r="108" spans="2:33" ht="15" customHeight="1">
      <c r="B108" s="47" t="s">
        <v>354</v>
      </c>
    </row>
    <row r="109" spans="2:33" ht="15" customHeight="1">
      <c r="B109" s="47" t="s">
        <v>355</v>
      </c>
    </row>
    <row r="110" spans="2:33" ht="15" customHeight="1">
      <c r="B110" s="47" t="s">
        <v>361</v>
      </c>
    </row>
    <row r="111" spans="2:33" ht="15" customHeight="1">
      <c r="B111" s="47" t="s">
        <v>360</v>
      </c>
    </row>
    <row r="112" spans="2:33" ht="15" customHeight="1"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</row>
    <row r="141" ht="12"/>
    <row r="142" ht="12"/>
    <row r="143" ht="12"/>
    <row r="144" ht="12"/>
    <row r="145" ht="12"/>
    <row r="146" ht="12"/>
    <row r="147" ht="12"/>
    <row r="148" ht="12"/>
    <row r="149" ht="12"/>
    <row r="308" spans="2:33" ht="15" customHeight="1"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</row>
    <row r="511" spans="2:33" ht="15" customHeight="1"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</row>
    <row r="712" spans="2:33" ht="15" customHeight="1"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</row>
    <row r="887" spans="2:33" ht="15" customHeight="1"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</row>
    <row r="1100" spans="2:33" ht="15" customHeight="1">
      <c r="B1100" s="57"/>
      <c r="C1100" s="57"/>
      <c r="D1100" s="57"/>
      <c r="E1100" s="57"/>
      <c r="F1100" s="57"/>
      <c r="G1100" s="57"/>
      <c r="H1100" s="57"/>
      <c r="I1100" s="57"/>
      <c r="J1100" s="57"/>
      <c r="K1100" s="57"/>
      <c r="L1100" s="57"/>
      <c r="M1100" s="57"/>
      <c r="N1100" s="57"/>
      <c r="O1100" s="57"/>
      <c r="P1100" s="57"/>
      <c r="Q1100" s="57"/>
      <c r="R1100" s="57"/>
      <c r="S1100" s="57"/>
      <c r="T1100" s="57"/>
      <c r="U1100" s="57"/>
      <c r="V1100" s="57"/>
      <c r="W1100" s="57"/>
      <c r="X1100" s="57"/>
      <c r="Y1100" s="57"/>
      <c r="Z1100" s="57"/>
      <c r="AA1100" s="57"/>
      <c r="AB1100" s="57"/>
      <c r="AC1100" s="57"/>
      <c r="AD1100" s="57"/>
      <c r="AE1100" s="57"/>
      <c r="AF1100" s="57"/>
      <c r="AG1100" s="57"/>
    </row>
    <row r="1227" spans="2:33" ht="15" customHeight="1">
      <c r="B1227" s="57"/>
      <c r="C1227" s="57"/>
      <c r="D1227" s="57"/>
      <c r="E1227" s="57"/>
      <c r="F1227" s="57"/>
      <c r="G1227" s="57"/>
      <c r="H1227" s="57"/>
      <c r="I1227" s="57"/>
      <c r="J1227" s="57"/>
      <c r="K1227" s="57"/>
      <c r="L1227" s="57"/>
      <c r="M1227" s="57"/>
      <c r="N1227" s="57"/>
      <c r="O1227" s="57"/>
      <c r="P1227" s="57"/>
      <c r="Q1227" s="57"/>
      <c r="R1227" s="57"/>
      <c r="S1227" s="57"/>
      <c r="T1227" s="57"/>
      <c r="U1227" s="57"/>
      <c r="V1227" s="57"/>
      <c r="W1227" s="57"/>
      <c r="X1227" s="57"/>
      <c r="Y1227" s="57"/>
      <c r="Z1227" s="57"/>
      <c r="AA1227" s="57"/>
      <c r="AB1227" s="57"/>
      <c r="AC1227" s="57"/>
      <c r="AD1227" s="57"/>
      <c r="AE1227" s="57"/>
      <c r="AF1227" s="57"/>
      <c r="AG1227" s="57"/>
    </row>
    <row r="1390" spans="2:33" ht="15" customHeight="1">
      <c r="B1390" s="57"/>
      <c r="C1390" s="57"/>
      <c r="D1390" s="57"/>
      <c r="E1390" s="57"/>
      <c r="F1390" s="57"/>
      <c r="G1390" s="57"/>
      <c r="H1390" s="57"/>
      <c r="I1390" s="57"/>
      <c r="J1390" s="57"/>
      <c r="K1390" s="57"/>
      <c r="L1390" s="57"/>
      <c r="M1390" s="57"/>
      <c r="N1390" s="57"/>
      <c r="O1390" s="57"/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57"/>
      <c r="AA1390" s="57"/>
      <c r="AB1390" s="57"/>
      <c r="AC1390" s="57"/>
      <c r="AD1390" s="57"/>
      <c r="AE1390" s="57"/>
      <c r="AF1390" s="57"/>
      <c r="AG1390" s="57"/>
    </row>
    <row r="1502" spans="2:33" ht="15" customHeight="1">
      <c r="B1502" s="57"/>
      <c r="C1502" s="57"/>
      <c r="D1502" s="57"/>
      <c r="E1502" s="57"/>
      <c r="F1502" s="57"/>
      <c r="G1502" s="57"/>
      <c r="H1502" s="57"/>
      <c r="I1502" s="57"/>
      <c r="J1502" s="57"/>
      <c r="K1502" s="57"/>
      <c r="L1502" s="57"/>
      <c r="M1502" s="57"/>
      <c r="N1502" s="57"/>
      <c r="O1502" s="57"/>
      <c r="P1502" s="57"/>
      <c r="Q1502" s="57"/>
      <c r="R1502" s="57"/>
      <c r="S1502" s="57"/>
      <c r="T1502" s="57"/>
      <c r="U1502" s="57"/>
      <c r="V1502" s="57"/>
      <c r="W1502" s="57"/>
      <c r="X1502" s="57"/>
      <c r="Y1502" s="57"/>
      <c r="Z1502" s="57"/>
      <c r="AA1502" s="57"/>
      <c r="AB1502" s="57"/>
      <c r="AC1502" s="57"/>
      <c r="AD1502" s="57"/>
      <c r="AE1502" s="57"/>
      <c r="AF1502" s="57"/>
      <c r="AG1502" s="57"/>
    </row>
    <row r="1604" spans="2:33" ht="15" customHeight="1">
      <c r="B1604" s="57"/>
      <c r="C1604" s="57"/>
      <c r="D1604" s="57"/>
      <c r="E1604" s="57"/>
      <c r="F1604" s="57"/>
      <c r="G1604" s="57"/>
      <c r="H1604" s="57"/>
      <c r="I1604" s="57"/>
      <c r="J1604" s="57"/>
      <c r="K1604" s="57"/>
      <c r="L1604" s="57"/>
      <c r="M1604" s="57"/>
      <c r="N1604" s="57"/>
      <c r="O1604" s="57"/>
      <c r="P1604" s="57"/>
      <c r="Q1604" s="57"/>
      <c r="R1604" s="57"/>
      <c r="S1604" s="57"/>
      <c r="T1604" s="57"/>
      <c r="U1604" s="57"/>
      <c r="V1604" s="57"/>
      <c r="W1604" s="57"/>
      <c r="X1604" s="57"/>
      <c r="Y1604" s="57"/>
      <c r="Z1604" s="57"/>
      <c r="AA1604" s="57"/>
      <c r="AB1604" s="57"/>
      <c r="AC1604" s="57"/>
      <c r="AD1604" s="57"/>
      <c r="AE1604" s="57"/>
      <c r="AF1604" s="57"/>
      <c r="AG1604" s="57"/>
    </row>
    <row r="1698" spans="2:33" ht="15" customHeight="1">
      <c r="B1698" s="57"/>
      <c r="C1698" s="57"/>
      <c r="D1698" s="57"/>
      <c r="E1698" s="57"/>
      <c r="F1698" s="57"/>
      <c r="G1698" s="57"/>
      <c r="H1698" s="57"/>
      <c r="I1698" s="57"/>
      <c r="J1698" s="57"/>
      <c r="K1698" s="57"/>
      <c r="L1698" s="57"/>
      <c r="M1698" s="57"/>
      <c r="N1698" s="57"/>
      <c r="O1698" s="57"/>
      <c r="P1698" s="57"/>
      <c r="Q1698" s="57"/>
      <c r="R1698" s="57"/>
      <c r="S1698" s="57"/>
      <c r="T1698" s="57"/>
      <c r="U1698" s="57"/>
      <c r="V1698" s="57"/>
      <c r="W1698" s="57"/>
      <c r="X1698" s="57"/>
      <c r="Y1698" s="57"/>
      <c r="Z1698" s="57"/>
      <c r="AA1698" s="57"/>
      <c r="AB1698" s="57"/>
      <c r="AC1698" s="57"/>
      <c r="AD1698" s="57"/>
      <c r="AE1698" s="57"/>
      <c r="AF1698" s="57"/>
      <c r="AG1698" s="57"/>
    </row>
    <row r="1945" spans="2:33" ht="15" customHeight="1">
      <c r="B1945" s="57"/>
      <c r="C1945" s="57"/>
      <c r="D1945" s="57"/>
      <c r="E1945" s="57"/>
      <c r="F1945" s="57"/>
      <c r="G1945" s="57"/>
      <c r="H1945" s="57"/>
      <c r="I1945" s="57"/>
      <c r="J1945" s="57"/>
      <c r="K1945" s="57"/>
      <c r="L1945" s="57"/>
      <c r="M1945" s="57"/>
      <c r="N1945" s="57"/>
      <c r="O1945" s="57"/>
      <c r="P1945" s="57"/>
      <c r="Q1945" s="57"/>
      <c r="R1945" s="57"/>
      <c r="S1945" s="57"/>
      <c r="T1945" s="57"/>
      <c r="U1945" s="57"/>
      <c r="V1945" s="57"/>
      <c r="W1945" s="57"/>
      <c r="X1945" s="57"/>
      <c r="Y1945" s="57"/>
      <c r="Z1945" s="57"/>
      <c r="AA1945" s="57"/>
      <c r="AB1945" s="57"/>
      <c r="AC1945" s="57"/>
      <c r="AD1945" s="57"/>
      <c r="AE1945" s="57"/>
      <c r="AF1945" s="57"/>
      <c r="AG1945" s="57"/>
    </row>
    <row r="2031" spans="2:33" ht="15" customHeight="1">
      <c r="B2031" s="57"/>
      <c r="C2031" s="57"/>
      <c r="D2031" s="57"/>
      <c r="E2031" s="57"/>
      <c r="F2031" s="57"/>
      <c r="G2031" s="57"/>
      <c r="H2031" s="57"/>
      <c r="I2031" s="57"/>
      <c r="J2031" s="57"/>
      <c r="K2031" s="57"/>
      <c r="L2031" s="57"/>
      <c r="M2031" s="57"/>
      <c r="N2031" s="57"/>
      <c r="O2031" s="57"/>
      <c r="P2031" s="57"/>
      <c r="Q2031" s="57"/>
      <c r="R2031" s="57"/>
      <c r="S2031" s="57"/>
      <c r="T2031" s="57"/>
      <c r="U2031" s="57"/>
      <c r="V2031" s="57"/>
      <c r="W2031" s="57"/>
      <c r="X2031" s="57"/>
      <c r="Y2031" s="57"/>
      <c r="Z2031" s="57"/>
      <c r="AA2031" s="57"/>
      <c r="AB2031" s="57"/>
      <c r="AC2031" s="57"/>
      <c r="AD2031" s="57"/>
      <c r="AE2031" s="57"/>
      <c r="AF2031" s="57"/>
      <c r="AG2031" s="57"/>
    </row>
    <row r="2153" spans="2:33" ht="15" customHeight="1">
      <c r="B2153" s="57"/>
      <c r="C2153" s="57"/>
      <c r="D2153" s="57"/>
      <c r="E2153" s="57"/>
      <c r="F2153" s="57"/>
      <c r="G2153" s="57"/>
      <c r="H2153" s="57"/>
      <c r="I2153" s="57"/>
      <c r="J2153" s="57"/>
      <c r="K2153" s="57"/>
      <c r="L2153" s="57"/>
      <c r="M2153" s="57"/>
      <c r="N2153" s="57"/>
      <c r="O2153" s="57"/>
      <c r="P2153" s="57"/>
      <c r="Q2153" s="57"/>
      <c r="R2153" s="57"/>
      <c r="S2153" s="57"/>
      <c r="T2153" s="57"/>
      <c r="U2153" s="57"/>
      <c r="V2153" s="57"/>
      <c r="W2153" s="57"/>
      <c r="X2153" s="57"/>
      <c r="Y2153" s="57"/>
      <c r="Z2153" s="57"/>
      <c r="AA2153" s="57"/>
      <c r="AB2153" s="57"/>
      <c r="AC2153" s="57"/>
      <c r="AD2153" s="57"/>
      <c r="AE2153" s="57"/>
      <c r="AF2153" s="57"/>
      <c r="AG2153" s="57"/>
    </row>
    <row r="2317" spans="2:33" ht="15" customHeight="1">
      <c r="B2317" s="57"/>
      <c r="C2317" s="57"/>
      <c r="D2317" s="57"/>
      <c r="E2317" s="57"/>
      <c r="F2317" s="57"/>
      <c r="G2317" s="57"/>
      <c r="H2317" s="57"/>
      <c r="I2317" s="57"/>
      <c r="J2317" s="57"/>
      <c r="K2317" s="57"/>
      <c r="L2317" s="57"/>
      <c r="M2317" s="57"/>
      <c r="N2317" s="57"/>
      <c r="O2317" s="57"/>
      <c r="P2317" s="57"/>
      <c r="Q2317" s="57"/>
      <c r="R2317" s="57"/>
      <c r="S2317" s="57"/>
      <c r="T2317" s="57"/>
      <c r="U2317" s="57"/>
      <c r="V2317" s="57"/>
      <c r="W2317" s="57"/>
      <c r="X2317" s="57"/>
      <c r="Y2317" s="57"/>
      <c r="Z2317" s="57"/>
      <c r="AA2317" s="57"/>
      <c r="AB2317" s="57"/>
      <c r="AC2317" s="57"/>
      <c r="AD2317" s="57"/>
      <c r="AE2317" s="57"/>
      <c r="AF2317" s="57"/>
      <c r="AG2317" s="57"/>
    </row>
    <row r="2419" spans="2:33" ht="15" customHeight="1">
      <c r="B2419" s="57"/>
      <c r="C2419" s="57"/>
      <c r="D2419" s="57"/>
      <c r="E2419" s="57"/>
      <c r="F2419" s="57"/>
      <c r="G2419" s="57"/>
      <c r="H2419" s="57"/>
      <c r="I2419" s="57"/>
      <c r="J2419" s="57"/>
      <c r="K2419" s="57"/>
      <c r="L2419" s="57"/>
      <c r="M2419" s="57"/>
      <c r="N2419" s="57"/>
      <c r="O2419" s="57"/>
      <c r="P2419" s="57"/>
      <c r="Q2419" s="57"/>
      <c r="R2419" s="57"/>
      <c r="S2419" s="57"/>
      <c r="T2419" s="57"/>
      <c r="U2419" s="57"/>
      <c r="V2419" s="57"/>
      <c r="W2419" s="57"/>
      <c r="X2419" s="57"/>
      <c r="Y2419" s="57"/>
      <c r="Z2419" s="57"/>
      <c r="AA2419" s="57"/>
      <c r="AB2419" s="57"/>
      <c r="AC2419" s="57"/>
      <c r="AD2419" s="57"/>
      <c r="AE2419" s="57"/>
      <c r="AF2419" s="57"/>
      <c r="AG2419" s="57"/>
    </row>
    <row r="2509" spans="2:33" ht="15" customHeight="1">
      <c r="B2509" s="57"/>
      <c r="C2509" s="57"/>
      <c r="D2509" s="57"/>
      <c r="E2509" s="57"/>
      <c r="F2509" s="57"/>
      <c r="G2509" s="57"/>
      <c r="H2509" s="57"/>
      <c r="I2509" s="57"/>
      <c r="J2509" s="57"/>
      <c r="K2509" s="57"/>
      <c r="L2509" s="57"/>
      <c r="M2509" s="57"/>
      <c r="N2509" s="57"/>
      <c r="O2509" s="57"/>
      <c r="P2509" s="57"/>
      <c r="Q2509" s="57"/>
      <c r="R2509" s="57"/>
      <c r="S2509" s="57"/>
      <c r="T2509" s="57"/>
      <c r="U2509" s="57"/>
      <c r="V2509" s="57"/>
      <c r="W2509" s="57"/>
      <c r="X2509" s="57"/>
      <c r="Y2509" s="57"/>
      <c r="Z2509" s="57"/>
      <c r="AA2509" s="57"/>
      <c r="AB2509" s="57"/>
      <c r="AC2509" s="57"/>
      <c r="AD2509" s="57"/>
      <c r="AE2509" s="57"/>
      <c r="AF2509" s="57"/>
      <c r="AG2509" s="57"/>
    </row>
    <row r="2598" spans="2:33" ht="15" customHeight="1">
      <c r="B2598" s="57"/>
      <c r="C2598" s="57"/>
      <c r="D2598" s="57"/>
      <c r="E2598" s="57"/>
      <c r="F2598" s="57"/>
      <c r="G2598" s="57"/>
      <c r="H2598" s="57"/>
      <c r="I2598" s="57"/>
      <c r="J2598" s="57"/>
      <c r="K2598" s="57"/>
      <c r="L2598" s="57"/>
      <c r="M2598" s="57"/>
      <c r="N2598" s="57"/>
      <c r="O2598" s="57"/>
      <c r="P2598" s="57"/>
      <c r="Q2598" s="57"/>
      <c r="R2598" s="57"/>
      <c r="S2598" s="57"/>
      <c r="T2598" s="57"/>
      <c r="U2598" s="57"/>
      <c r="V2598" s="57"/>
      <c r="W2598" s="57"/>
      <c r="X2598" s="57"/>
      <c r="Y2598" s="57"/>
      <c r="Z2598" s="57"/>
      <c r="AA2598" s="57"/>
      <c r="AB2598" s="57"/>
      <c r="AC2598" s="57"/>
      <c r="AD2598" s="57"/>
      <c r="AE2598" s="57"/>
      <c r="AF2598" s="57"/>
      <c r="AG2598" s="57"/>
    </row>
    <row r="2719" spans="2:33" ht="15" customHeight="1">
      <c r="B2719" s="57"/>
      <c r="C2719" s="57"/>
      <c r="D2719" s="57"/>
      <c r="E2719" s="57"/>
      <c r="F2719" s="57"/>
      <c r="G2719" s="57"/>
      <c r="H2719" s="57"/>
      <c r="I2719" s="57"/>
      <c r="J2719" s="57"/>
      <c r="K2719" s="57"/>
      <c r="L2719" s="57"/>
      <c r="M2719" s="57"/>
      <c r="N2719" s="57"/>
      <c r="O2719" s="57"/>
      <c r="P2719" s="57"/>
      <c r="Q2719" s="57"/>
      <c r="R2719" s="57"/>
      <c r="S2719" s="57"/>
      <c r="T2719" s="57"/>
      <c r="U2719" s="57"/>
      <c r="V2719" s="57"/>
      <c r="W2719" s="57"/>
      <c r="X2719" s="57"/>
      <c r="Y2719" s="57"/>
      <c r="Z2719" s="57"/>
      <c r="AA2719" s="57"/>
      <c r="AB2719" s="57"/>
      <c r="AC2719" s="57"/>
      <c r="AD2719" s="57"/>
      <c r="AE2719" s="57"/>
      <c r="AF2719" s="57"/>
      <c r="AG2719" s="57"/>
    </row>
    <row r="2837" spans="2:33" ht="15" customHeight="1">
      <c r="B2837" s="57"/>
      <c r="C2837" s="57"/>
      <c r="D2837" s="57"/>
      <c r="E2837" s="57"/>
      <c r="F2837" s="57"/>
      <c r="G2837" s="57"/>
      <c r="H2837" s="57"/>
      <c r="I2837" s="57"/>
      <c r="J2837" s="57"/>
      <c r="K2837" s="57"/>
      <c r="L2837" s="57"/>
      <c r="M2837" s="57"/>
      <c r="N2837" s="57"/>
      <c r="O2837" s="57"/>
      <c r="P2837" s="57"/>
      <c r="Q2837" s="57"/>
      <c r="R2837" s="57"/>
      <c r="S2837" s="57"/>
      <c r="T2837" s="57"/>
      <c r="U2837" s="57"/>
      <c r="V2837" s="57"/>
      <c r="W2837" s="57"/>
      <c r="X2837" s="57"/>
      <c r="Y2837" s="57"/>
      <c r="Z2837" s="57"/>
      <c r="AA2837" s="57"/>
      <c r="AB2837" s="57"/>
      <c r="AC2837" s="57"/>
      <c r="AD2837" s="57"/>
      <c r="AE2837" s="57"/>
      <c r="AF2837" s="57"/>
      <c r="AG2837" s="57"/>
    </row>
  </sheetData>
  <mergeCells count="20">
    <mergeCell ref="B1100:AG1100"/>
    <mergeCell ref="B1227:AG1227"/>
    <mergeCell ref="B1390:AG1390"/>
    <mergeCell ref="B1502:AG1502"/>
    <mergeCell ref="B112:AG112"/>
    <mergeCell ref="B308:AG308"/>
    <mergeCell ref="B511:AG511"/>
    <mergeCell ref="B712:AG712"/>
    <mergeCell ref="B887:AG887"/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</mergeCells>
  <phoneticPr fontId="33" type="noConversion"/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98"/>
  <sheetViews>
    <sheetView workbookViewId="0">
      <selection activeCell="I37" sqref="I37"/>
    </sheetView>
  </sheetViews>
  <sheetFormatPr baseColWidth="10" defaultColWidth="9" defaultRowHeight="14"/>
  <cols>
    <col min="1" max="1" width="27.796875" customWidth="1"/>
    <col min="2" max="2" width="42.796875" customWidth="1"/>
  </cols>
  <sheetData>
    <row r="1" spans="1:35" ht="15" customHeight="1" thickBot="1">
      <c r="B1" s="10" t="s">
        <v>121</v>
      </c>
      <c r="C1" s="11">
        <v>2019</v>
      </c>
      <c r="D1" s="11">
        <v>2020</v>
      </c>
      <c r="E1" s="11">
        <v>2021</v>
      </c>
      <c r="F1" s="11">
        <v>2022</v>
      </c>
      <c r="G1" s="11">
        <v>2023</v>
      </c>
      <c r="H1" s="11">
        <v>2024</v>
      </c>
      <c r="I1" s="11">
        <v>2025</v>
      </c>
      <c r="J1" s="11">
        <v>2026</v>
      </c>
      <c r="K1" s="11">
        <v>2027</v>
      </c>
      <c r="L1" s="11">
        <v>2028</v>
      </c>
      <c r="M1" s="11">
        <v>2029</v>
      </c>
      <c r="N1" s="11">
        <v>2030</v>
      </c>
      <c r="O1" s="11">
        <v>2031</v>
      </c>
      <c r="P1" s="11">
        <v>2032</v>
      </c>
      <c r="Q1" s="11">
        <v>2033</v>
      </c>
      <c r="R1" s="11">
        <v>2034</v>
      </c>
      <c r="S1" s="11">
        <v>2035</v>
      </c>
      <c r="T1" s="11">
        <v>2036</v>
      </c>
      <c r="U1" s="11">
        <v>2037</v>
      </c>
      <c r="V1" s="11">
        <v>2038</v>
      </c>
      <c r="W1" s="11">
        <v>2039</v>
      </c>
      <c r="X1" s="11">
        <v>2040</v>
      </c>
      <c r="Y1" s="11">
        <v>2041</v>
      </c>
      <c r="Z1" s="11">
        <v>2042</v>
      </c>
      <c r="AA1" s="11">
        <v>2043</v>
      </c>
      <c r="AB1" s="11">
        <v>2044</v>
      </c>
      <c r="AC1" s="11">
        <v>2045</v>
      </c>
      <c r="AD1" s="11">
        <v>2046</v>
      </c>
      <c r="AE1" s="11">
        <v>2047</v>
      </c>
      <c r="AF1" s="11">
        <v>2048</v>
      </c>
      <c r="AG1" s="11">
        <v>2049</v>
      </c>
      <c r="AH1" s="11">
        <v>2050</v>
      </c>
    </row>
    <row r="2" spans="1:35" ht="15" customHeight="1" thickTop="1">
      <c r="C2" s="6"/>
      <c r="D2" s="6"/>
      <c r="E2" s="6"/>
      <c r="F2" s="6"/>
      <c r="G2" s="6"/>
    </row>
    <row r="3" spans="1:35" ht="15" customHeight="1">
      <c r="C3" s="6" t="s">
        <v>3</v>
      </c>
      <c r="D3" s="6" t="s">
        <v>122</v>
      </c>
      <c r="E3" s="6"/>
      <c r="F3" s="6"/>
      <c r="G3" s="6"/>
    </row>
    <row r="4" spans="1:35" ht="15" customHeight="1">
      <c r="C4" s="6" t="s">
        <v>4</v>
      </c>
      <c r="D4" s="6" t="s">
        <v>123</v>
      </c>
      <c r="E4" s="6"/>
      <c r="F4" s="6"/>
      <c r="G4" s="6" t="s">
        <v>5</v>
      </c>
    </row>
    <row r="5" spans="1:35" ht="15" customHeight="1">
      <c r="C5" s="6" t="s">
        <v>6</v>
      </c>
      <c r="D5" s="6" t="s">
        <v>124</v>
      </c>
      <c r="E5" s="6"/>
      <c r="F5" s="6"/>
      <c r="G5" s="6"/>
    </row>
    <row r="6" spans="1:35" ht="15" customHeight="1">
      <c r="C6" s="6" t="s">
        <v>7</v>
      </c>
      <c r="D6" s="6"/>
      <c r="E6" s="6" t="s">
        <v>125</v>
      </c>
      <c r="F6" s="6"/>
      <c r="G6" s="6"/>
    </row>
    <row r="10" spans="1:35" ht="15" customHeight="1">
      <c r="A10" s="7" t="s">
        <v>222</v>
      </c>
      <c r="B10" s="12" t="s">
        <v>223</v>
      </c>
    </row>
    <row r="11" spans="1:35" ht="15" customHeight="1">
      <c r="B11" s="10" t="s">
        <v>224</v>
      </c>
    </row>
    <row r="12" spans="1:35" ht="15" customHeight="1">
      <c r="B12" s="10" t="s">
        <v>11</v>
      </c>
      <c r="C12" s="3" t="s">
        <v>11</v>
      </c>
      <c r="D12" s="3" t="s">
        <v>11</v>
      </c>
      <c r="E12" s="3" t="s">
        <v>11</v>
      </c>
      <c r="F12" s="3" t="s">
        <v>11</v>
      </c>
      <c r="G12" s="3" t="s">
        <v>11</v>
      </c>
      <c r="H12" s="3" t="s">
        <v>11</v>
      </c>
      <c r="I12" s="3" t="s">
        <v>11</v>
      </c>
      <c r="J12" s="3" t="s">
        <v>11</v>
      </c>
      <c r="K12" s="3" t="s">
        <v>11</v>
      </c>
      <c r="L12" s="3" t="s">
        <v>11</v>
      </c>
      <c r="M12" s="3" t="s">
        <v>11</v>
      </c>
      <c r="N12" s="3" t="s">
        <v>11</v>
      </c>
      <c r="O12" s="3" t="s">
        <v>11</v>
      </c>
      <c r="P12" s="3" t="s">
        <v>11</v>
      </c>
      <c r="Q12" s="3" t="s">
        <v>11</v>
      </c>
      <c r="R12" s="3" t="s">
        <v>11</v>
      </c>
      <c r="S12" s="3" t="s">
        <v>11</v>
      </c>
      <c r="T12" s="3" t="s">
        <v>11</v>
      </c>
      <c r="U12" s="3" t="s">
        <v>11</v>
      </c>
      <c r="V12" s="3" t="s">
        <v>11</v>
      </c>
      <c r="W12" s="3" t="s">
        <v>11</v>
      </c>
      <c r="X12" s="3" t="s">
        <v>11</v>
      </c>
      <c r="Y12" s="3" t="s">
        <v>11</v>
      </c>
      <c r="Z12" s="3" t="s">
        <v>11</v>
      </c>
      <c r="AA12" s="3" t="s">
        <v>11</v>
      </c>
      <c r="AB12" s="3" t="s">
        <v>11</v>
      </c>
      <c r="AC12" s="3" t="s">
        <v>11</v>
      </c>
      <c r="AD12" s="3" t="s">
        <v>11</v>
      </c>
      <c r="AE12" s="3" t="s">
        <v>11</v>
      </c>
      <c r="AF12" s="3" t="s">
        <v>11</v>
      </c>
      <c r="AG12" s="3" t="s">
        <v>11</v>
      </c>
      <c r="AH12" s="3" t="s">
        <v>11</v>
      </c>
      <c r="AI12" s="3" t="s">
        <v>126</v>
      </c>
    </row>
    <row r="13" spans="1:35" ht="15" customHeight="1" thickBot="1">
      <c r="B13" s="11" t="s">
        <v>225</v>
      </c>
      <c r="C13" s="11">
        <v>2019</v>
      </c>
      <c r="D13" s="11">
        <v>2020</v>
      </c>
      <c r="E13" s="11">
        <v>2021</v>
      </c>
      <c r="F13" s="11">
        <v>2022</v>
      </c>
      <c r="G13" s="11">
        <v>2023</v>
      </c>
      <c r="H13" s="11">
        <v>2024</v>
      </c>
      <c r="I13" s="11">
        <v>2025</v>
      </c>
      <c r="J13" s="11">
        <v>2026</v>
      </c>
      <c r="K13" s="11">
        <v>2027</v>
      </c>
      <c r="L13" s="11">
        <v>2028</v>
      </c>
      <c r="M13" s="11">
        <v>2029</v>
      </c>
      <c r="N13" s="11">
        <v>2030</v>
      </c>
      <c r="O13" s="11">
        <v>2031</v>
      </c>
      <c r="P13" s="11">
        <v>2032</v>
      </c>
      <c r="Q13" s="11">
        <v>2033</v>
      </c>
      <c r="R13" s="11">
        <v>2034</v>
      </c>
      <c r="S13" s="11">
        <v>2035</v>
      </c>
      <c r="T13" s="11">
        <v>2036</v>
      </c>
      <c r="U13" s="11">
        <v>2037</v>
      </c>
      <c r="V13" s="11">
        <v>2038</v>
      </c>
      <c r="W13" s="11">
        <v>2039</v>
      </c>
      <c r="X13" s="11">
        <v>2040</v>
      </c>
      <c r="Y13" s="11">
        <v>2041</v>
      </c>
      <c r="Z13" s="11">
        <v>2042</v>
      </c>
      <c r="AA13" s="11">
        <v>2043</v>
      </c>
      <c r="AB13" s="11">
        <v>2044</v>
      </c>
      <c r="AC13" s="11">
        <v>2045</v>
      </c>
      <c r="AD13" s="11">
        <v>2046</v>
      </c>
      <c r="AE13" s="11">
        <v>2047</v>
      </c>
      <c r="AF13" s="11">
        <v>2048</v>
      </c>
      <c r="AG13" s="11">
        <v>2049</v>
      </c>
      <c r="AH13" s="11">
        <v>2050</v>
      </c>
      <c r="AI13" s="11">
        <v>2050</v>
      </c>
    </row>
    <row r="14" spans="1:35" ht="15" customHeight="1" thickTop="1"/>
    <row r="15" spans="1:35" ht="15" customHeight="1">
      <c r="B15" s="13" t="s">
        <v>226</v>
      </c>
    </row>
    <row r="16" spans="1:35" ht="15" customHeight="1">
      <c r="B16" s="13" t="s">
        <v>227</v>
      </c>
    </row>
    <row r="17" spans="1:35" ht="15" customHeight="1">
      <c r="A17" s="7" t="s">
        <v>228</v>
      </c>
      <c r="B17" s="14" t="s">
        <v>229</v>
      </c>
      <c r="C17" s="15">
        <v>79.017409999999998</v>
      </c>
      <c r="D17" s="15">
        <v>79.271912</v>
      </c>
      <c r="E17" s="15">
        <v>79.286406999999997</v>
      </c>
      <c r="F17" s="15">
        <v>79.286406999999997</v>
      </c>
      <c r="G17" s="15">
        <v>79.313361999999998</v>
      </c>
      <c r="H17" s="15">
        <v>79.313361999999998</v>
      </c>
      <c r="I17" s="15">
        <v>79.308868000000004</v>
      </c>
      <c r="J17" s="15">
        <v>79.308868000000004</v>
      </c>
      <c r="K17" s="15">
        <v>79.308868000000004</v>
      </c>
      <c r="L17" s="15">
        <v>79.293068000000005</v>
      </c>
      <c r="M17" s="15">
        <v>79.293068000000005</v>
      </c>
      <c r="N17" s="15">
        <v>79.293068000000005</v>
      </c>
      <c r="O17" s="15">
        <v>79.293068000000005</v>
      </c>
      <c r="P17" s="15">
        <v>79.293068000000005</v>
      </c>
      <c r="Q17" s="15">
        <v>79.293068000000005</v>
      </c>
      <c r="R17" s="15">
        <v>79.293068000000005</v>
      </c>
      <c r="S17" s="15">
        <v>79.293068000000005</v>
      </c>
      <c r="T17" s="15">
        <v>79.293068000000005</v>
      </c>
      <c r="U17" s="15">
        <v>79.293068000000005</v>
      </c>
      <c r="V17" s="15">
        <v>79.293068000000005</v>
      </c>
      <c r="W17" s="15">
        <v>79.293068000000005</v>
      </c>
      <c r="X17" s="15">
        <v>79.293068000000005</v>
      </c>
      <c r="Y17" s="15">
        <v>79.293068000000005</v>
      </c>
      <c r="Z17" s="15">
        <v>79.293068000000005</v>
      </c>
      <c r="AA17" s="15">
        <v>79.293068000000005</v>
      </c>
      <c r="AB17" s="15">
        <v>79.293068000000005</v>
      </c>
      <c r="AC17" s="15">
        <v>79.293068000000005</v>
      </c>
      <c r="AD17" s="15">
        <v>79.293068000000005</v>
      </c>
      <c r="AE17" s="15">
        <v>79.293068000000005</v>
      </c>
      <c r="AF17" s="15">
        <v>79.293068000000005</v>
      </c>
      <c r="AG17" s="15">
        <v>79.293068000000005</v>
      </c>
      <c r="AH17" s="15">
        <v>79.293068000000005</v>
      </c>
      <c r="AI17" s="16">
        <v>1.12E-4</v>
      </c>
    </row>
    <row r="18" spans="1:35" ht="15" customHeight="1">
      <c r="A18" s="7" t="s">
        <v>230</v>
      </c>
      <c r="B18" s="14" t="s">
        <v>231</v>
      </c>
      <c r="C18" s="15">
        <v>2.3481999999999998</v>
      </c>
      <c r="D18" s="15">
        <v>2.4630999999999998</v>
      </c>
      <c r="E18" s="15">
        <v>2.4630999999999998</v>
      </c>
      <c r="F18" s="15">
        <v>2.4630999999999998</v>
      </c>
      <c r="G18" s="15">
        <v>2.5880999999999998</v>
      </c>
      <c r="H18" s="15">
        <v>2.7095509999999998</v>
      </c>
      <c r="I18" s="15">
        <v>2.834552</v>
      </c>
      <c r="J18" s="15">
        <v>3.0095510000000001</v>
      </c>
      <c r="K18" s="15">
        <v>3.1784759999999999</v>
      </c>
      <c r="L18" s="15">
        <v>3.3514759999999999</v>
      </c>
      <c r="M18" s="15">
        <v>3.5105550000000001</v>
      </c>
      <c r="N18" s="15">
        <v>3.6835550000000001</v>
      </c>
      <c r="O18" s="15">
        <v>3.8898480000000002</v>
      </c>
      <c r="P18" s="15">
        <v>4.1115729999999999</v>
      </c>
      <c r="Q18" s="15">
        <v>4.3009690000000003</v>
      </c>
      <c r="R18" s="15">
        <v>4.4728560000000002</v>
      </c>
      <c r="S18" s="15">
        <v>4.7138309999999999</v>
      </c>
      <c r="T18" s="15">
        <v>4.9423690000000002</v>
      </c>
      <c r="U18" s="15">
        <v>5.1963889999999999</v>
      </c>
      <c r="V18" s="15">
        <v>5.4177479999999996</v>
      </c>
      <c r="W18" s="15">
        <v>5.6326419999999997</v>
      </c>
      <c r="X18" s="15">
        <v>5.7599869999999997</v>
      </c>
      <c r="Y18" s="15">
        <v>5.8938899999999999</v>
      </c>
      <c r="Z18" s="15">
        <v>6.0361159999999998</v>
      </c>
      <c r="AA18" s="15">
        <v>6.1647990000000004</v>
      </c>
      <c r="AB18" s="15">
        <v>6.2885970000000002</v>
      </c>
      <c r="AC18" s="15">
        <v>6.4043429999999999</v>
      </c>
      <c r="AD18" s="15">
        <v>6.519082</v>
      </c>
      <c r="AE18" s="15">
        <v>6.6300290000000004</v>
      </c>
      <c r="AF18" s="15">
        <v>6.7465820000000001</v>
      </c>
      <c r="AG18" s="15">
        <v>6.8168160000000002</v>
      </c>
      <c r="AH18" s="15">
        <v>6.8648170000000004</v>
      </c>
      <c r="AI18" s="16">
        <v>3.5210999999999999E-2</v>
      </c>
    </row>
    <row r="19" spans="1:35" ht="15" customHeight="1">
      <c r="A19" s="7" t="s">
        <v>232</v>
      </c>
      <c r="B19" s="14" t="s">
        <v>233</v>
      </c>
      <c r="C19" s="15">
        <v>3.5983999999999998</v>
      </c>
      <c r="D19" s="15">
        <v>3.5352000000000001</v>
      </c>
      <c r="E19" s="15">
        <v>3.5352000000000001</v>
      </c>
      <c r="F19" s="15">
        <v>4.5957980000000003</v>
      </c>
      <c r="G19" s="15">
        <v>4.6854649999999998</v>
      </c>
      <c r="H19" s="15">
        <v>4.9071400000000001</v>
      </c>
      <c r="I19" s="15">
        <v>6.233034</v>
      </c>
      <c r="J19" s="15">
        <v>6.2405179999999998</v>
      </c>
      <c r="K19" s="15">
        <v>6.2440949999999997</v>
      </c>
      <c r="L19" s="15">
        <v>6.2386949999999999</v>
      </c>
      <c r="M19" s="15">
        <v>6.3049049999999998</v>
      </c>
      <c r="N19" s="15">
        <v>6.3295589999999997</v>
      </c>
      <c r="O19" s="15">
        <v>6.34802</v>
      </c>
      <c r="P19" s="15">
        <v>6.4112549999999997</v>
      </c>
      <c r="Q19" s="15">
        <v>6.4175269999999998</v>
      </c>
      <c r="R19" s="15">
        <v>6.426634</v>
      </c>
      <c r="S19" s="15">
        <v>6.4394749999999998</v>
      </c>
      <c r="T19" s="15">
        <v>6.4504650000000003</v>
      </c>
      <c r="U19" s="15">
        <v>6.4590579999999997</v>
      </c>
      <c r="V19" s="15">
        <v>6.4698320000000002</v>
      </c>
      <c r="W19" s="15">
        <v>6.4771089999999996</v>
      </c>
      <c r="X19" s="15">
        <v>6.4827979999999998</v>
      </c>
      <c r="Y19" s="15">
        <v>6.4904859999999998</v>
      </c>
      <c r="Z19" s="15">
        <v>6.4987209999999997</v>
      </c>
      <c r="AA19" s="15">
        <v>6.5039949999999997</v>
      </c>
      <c r="AB19" s="15">
        <v>6.5100930000000004</v>
      </c>
      <c r="AC19" s="15">
        <v>6.5864029999999998</v>
      </c>
      <c r="AD19" s="15">
        <v>6.7211410000000003</v>
      </c>
      <c r="AE19" s="15">
        <v>6.8859209999999997</v>
      </c>
      <c r="AF19" s="15">
        <v>7.0159849999999997</v>
      </c>
      <c r="AG19" s="15">
        <v>7.128514</v>
      </c>
      <c r="AH19" s="15">
        <v>7.4618370000000001</v>
      </c>
      <c r="AI19" s="16">
        <v>2.3805E-2</v>
      </c>
    </row>
    <row r="20" spans="1:35" ht="15" customHeight="1">
      <c r="A20" s="7" t="s">
        <v>234</v>
      </c>
      <c r="B20" s="14" t="s">
        <v>235</v>
      </c>
      <c r="C20" s="15">
        <v>3.1366010000000002</v>
      </c>
      <c r="D20" s="15">
        <v>3.1741009999999998</v>
      </c>
      <c r="E20" s="15">
        <v>3.193101</v>
      </c>
      <c r="F20" s="15">
        <v>3.193101</v>
      </c>
      <c r="G20" s="15">
        <v>3.193101</v>
      </c>
      <c r="H20" s="15">
        <v>3.177101</v>
      </c>
      <c r="I20" s="15">
        <v>3.177101</v>
      </c>
      <c r="J20" s="15">
        <v>3.177101</v>
      </c>
      <c r="K20" s="15">
        <v>3.177101</v>
      </c>
      <c r="L20" s="15">
        <v>3.177101</v>
      </c>
      <c r="M20" s="15">
        <v>3.177101</v>
      </c>
      <c r="N20" s="15">
        <v>3.177101</v>
      </c>
      <c r="O20" s="15">
        <v>3.177101</v>
      </c>
      <c r="P20" s="15">
        <v>3.177101</v>
      </c>
      <c r="Q20" s="15">
        <v>3.177101</v>
      </c>
      <c r="R20" s="15">
        <v>3.177101</v>
      </c>
      <c r="S20" s="15">
        <v>3.177101</v>
      </c>
      <c r="T20" s="15">
        <v>3.177101</v>
      </c>
      <c r="U20" s="15">
        <v>3.177101</v>
      </c>
      <c r="V20" s="15">
        <v>3.177101</v>
      </c>
      <c r="W20" s="15">
        <v>3.177101</v>
      </c>
      <c r="X20" s="15">
        <v>3.177101</v>
      </c>
      <c r="Y20" s="15">
        <v>3.177101</v>
      </c>
      <c r="Z20" s="15">
        <v>3.177101</v>
      </c>
      <c r="AA20" s="15">
        <v>3.177101</v>
      </c>
      <c r="AB20" s="15">
        <v>3.177101</v>
      </c>
      <c r="AC20" s="15">
        <v>3.177101</v>
      </c>
      <c r="AD20" s="15">
        <v>3.177101</v>
      </c>
      <c r="AE20" s="15">
        <v>3.177101</v>
      </c>
      <c r="AF20" s="15">
        <v>3.177101</v>
      </c>
      <c r="AG20" s="15">
        <v>3.177101</v>
      </c>
      <c r="AH20" s="15">
        <v>3.177101</v>
      </c>
      <c r="AI20" s="16">
        <v>4.1399999999999998E-4</v>
      </c>
    </row>
    <row r="21" spans="1:35" ht="15" customHeight="1">
      <c r="A21" s="7" t="s">
        <v>236</v>
      </c>
      <c r="B21" s="14" t="s">
        <v>237</v>
      </c>
      <c r="C21" s="15">
        <v>1.7579</v>
      </c>
      <c r="D21" s="15">
        <v>1.7579</v>
      </c>
      <c r="E21" s="15">
        <v>1.9579</v>
      </c>
      <c r="F21" s="15">
        <v>1.9579</v>
      </c>
      <c r="G21" s="15">
        <v>1.9579</v>
      </c>
      <c r="H21" s="15">
        <v>1.9579</v>
      </c>
      <c r="I21" s="15">
        <v>1.9579</v>
      </c>
      <c r="J21" s="15">
        <v>1.9579</v>
      </c>
      <c r="K21" s="15">
        <v>1.9579</v>
      </c>
      <c r="L21" s="15">
        <v>1.9579</v>
      </c>
      <c r="M21" s="15">
        <v>1.9579</v>
      </c>
      <c r="N21" s="15">
        <v>1.9579</v>
      </c>
      <c r="O21" s="15">
        <v>1.9579</v>
      </c>
      <c r="P21" s="15">
        <v>1.9579</v>
      </c>
      <c r="Q21" s="15">
        <v>1.9579</v>
      </c>
      <c r="R21" s="15">
        <v>1.9579</v>
      </c>
      <c r="S21" s="15">
        <v>1.9579</v>
      </c>
      <c r="T21" s="15">
        <v>2.0549029999999999</v>
      </c>
      <c r="U21" s="15">
        <v>2.0549029999999999</v>
      </c>
      <c r="V21" s="15">
        <v>2.0549029999999999</v>
      </c>
      <c r="W21" s="15">
        <v>2.0549029999999999</v>
      </c>
      <c r="X21" s="15">
        <v>2.0549029999999999</v>
      </c>
      <c r="Y21" s="15">
        <v>2.0549029999999999</v>
      </c>
      <c r="Z21" s="15">
        <v>2.0549029999999999</v>
      </c>
      <c r="AA21" s="15">
        <v>2.0549029999999999</v>
      </c>
      <c r="AB21" s="15">
        <v>2.0549029999999999</v>
      </c>
      <c r="AC21" s="15">
        <v>2.0549029999999999</v>
      </c>
      <c r="AD21" s="15">
        <v>2.0549029999999999</v>
      </c>
      <c r="AE21" s="15">
        <v>2.0549029999999999</v>
      </c>
      <c r="AF21" s="15">
        <v>2.0549029999999999</v>
      </c>
      <c r="AG21" s="15">
        <v>2.0549029999999999</v>
      </c>
      <c r="AH21" s="15">
        <v>2.0549029999999999</v>
      </c>
      <c r="AI21" s="16">
        <v>5.0489999999999997E-3</v>
      </c>
    </row>
    <row r="22" spans="1:35" ht="15" customHeight="1">
      <c r="A22" s="7" t="s">
        <v>238</v>
      </c>
      <c r="B22" s="14" t="s">
        <v>239</v>
      </c>
      <c r="C22" s="15">
        <v>35.650036</v>
      </c>
      <c r="D22" s="15">
        <v>47.552647</v>
      </c>
      <c r="E22" s="15">
        <v>62.421031999999997</v>
      </c>
      <c r="F22" s="15">
        <v>79.519683999999998</v>
      </c>
      <c r="G22" s="15">
        <v>82.382912000000005</v>
      </c>
      <c r="H22" s="15">
        <v>93.363784999999993</v>
      </c>
      <c r="I22" s="15">
        <v>109.094528</v>
      </c>
      <c r="J22" s="15">
        <v>122.295601</v>
      </c>
      <c r="K22" s="15">
        <v>131.16656499999999</v>
      </c>
      <c r="L22" s="15">
        <v>137.23176599999999</v>
      </c>
      <c r="M22" s="15">
        <v>149.19399999999999</v>
      </c>
      <c r="N22" s="15">
        <v>157.86146500000001</v>
      </c>
      <c r="O22" s="15">
        <v>158.669678</v>
      </c>
      <c r="P22" s="15">
        <v>160.06620799999999</v>
      </c>
      <c r="Q22" s="15">
        <v>161.64376799999999</v>
      </c>
      <c r="R22" s="15">
        <v>162.31509399999999</v>
      </c>
      <c r="S22" s="15">
        <v>165.66502399999999</v>
      </c>
      <c r="T22" s="15">
        <v>171.169678</v>
      </c>
      <c r="U22" s="15">
        <v>177.5</v>
      </c>
      <c r="V22" s="15">
        <v>184.77993799999999</v>
      </c>
      <c r="W22" s="15">
        <v>193.151794</v>
      </c>
      <c r="X22" s="15">
        <v>202.779449</v>
      </c>
      <c r="Y22" s="15">
        <v>213.85128800000001</v>
      </c>
      <c r="Z22" s="15">
        <v>226.58389299999999</v>
      </c>
      <c r="AA22" s="15">
        <v>241.22636399999999</v>
      </c>
      <c r="AB22" s="15">
        <v>257.620026</v>
      </c>
      <c r="AC22" s="15">
        <v>273.80157500000001</v>
      </c>
      <c r="AD22" s="15">
        <v>283.97189300000002</v>
      </c>
      <c r="AE22" s="15">
        <v>292.58749399999999</v>
      </c>
      <c r="AF22" s="15">
        <v>297.68032799999997</v>
      </c>
      <c r="AG22" s="15">
        <v>303.616241</v>
      </c>
      <c r="AH22" s="15">
        <v>309.333282</v>
      </c>
      <c r="AI22" s="16">
        <v>7.2184999999999999E-2</v>
      </c>
    </row>
    <row r="23" spans="1:35" ht="15" customHeight="1">
      <c r="A23" s="7" t="s">
        <v>240</v>
      </c>
      <c r="B23" s="14" t="s">
        <v>241</v>
      </c>
      <c r="C23" s="15">
        <v>106.77906</v>
      </c>
      <c r="D23" s="15">
        <v>121.42804</v>
      </c>
      <c r="E23" s="15">
        <v>125.09204099999999</v>
      </c>
      <c r="F23" s="15">
        <v>140.253738</v>
      </c>
      <c r="G23" s="15">
        <v>157.68971300000001</v>
      </c>
      <c r="H23" s="15">
        <v>159.556229</v>
      </c>
      <c r="I23" s="15">
        <v>160.018845</v>
      </c>
      <c r="J23" s="15">
        <v>160.45764199999999</v>
      </c>
      <c r="K23" s="15">
        <v>160.713043</v>
      </c>
      <c r="L23" s="15">
        <v>161.58346599999999</v>
      </c>
      <c r="M23" s="15">
        <v>163.12185700000001</v>
      </c>
      <c r="N23" s="15">
        <v>163.15025299999999</v>
      </c>
      <c r="O23" s="15">
        <v>163.298721</v>
      </c>
      <c r="P23" s="15">
        <v>163.41464199999999</v>
      </c>
      <c r="Q23" s="15">
        <v>163.84367399999999</v>
      </c>
      <c r="R23" s="15">
        <v>164.45210299999999</v>
      </c>
      <c r="S23" s="15">
        <v>164.77629099999999</v>
      </c>
      <c r="T23" s="15">
        <v>165.840576</v>
      </c>
      <c r="U23" s="15">
        <v>166.26164199999999</v>
      </c>
      <c r="V23" s="15">
        <v>167.608429</v>
      </c>
      <c r="W23" s="15">
        <v>167.608429</v>
      </c>
      <c r="X23" s="15">
        <v>168.716171</v>
      </c>
      <c r="Y23" s="15">
        <v>169.97813400000001</v>
      </c>
      <c r="Z23" s="15">
        <v>171.47813400000001</v>
      </c>
      <c r="AA23" s="15">
        <v>173.203125</v>
      </c>
      <c r="AB23" s="15">
        <v>174.50019800000001</v>
      </c>
      <c r="AC23" s="15">
        <v>176.28556800000001</v>
      </c>
      <c r="AD23" s="15">
        <v>177.654617</v>
      </c>
      <c r="AE23" s="15">
        <v>179.518845</v>
      </c>
      <c r="AF23" s="15">
        <v>181.66272000000001</v>
      </c>
      <c r="AG23" s="15">
        <v>184.12815900000001</v>
      </c>
      <c r="AH23" s="15">
        <v>186.96343999999999</v>
      </c>
      <c r="AI23" s="16">
        <v>1.8234E-2</v>
      </c>
    </row>
    <row r="24" spans="1:35" ht="15" customHeight="1">
      <c r="A24" s="7" t="s">
        <v>242</v>
      </c>
      <c r="B24" s="14" t="s">
        <v>243</v>
      </c>
      <c r="C24" s="15">
        <v>2.93E-2</v>
      </c>
      <c r="D24" s="15">
        <v>2.93E-2</v>
      </c>
      <c r="E24" s="15">
        <v>4.1300000000000003E-2</v>
      </c>
      <c r="F24" s="15">
        <v>0.46200000000000002</v>
      </c>
      <c r="G24" s="15">
        <v>0.86199999999999999</v>
      </c>
      <c r="H24" s="15">
        <v>0.86199999999999999</v>
      </c>
      <c r="I24" s="15">
        <v>0.86199999999999999</v>
      </c>
      <c r="J24" s="15">
        <v>0.86199999999999999</v>
      </c>
      <c r="K24" s="15">
        <v>0.86199999999999999</v>
      </c>
      <c r="L24" s="15">
        <v>2.8620000000000001</v>
      </c>
      <c r="M24" s="15">
        <v>2.8620000000000001</v>
      </c>
      <c r="N24" s="15">
        <v>9.9620010000000008</v>
      </c>
      <c r="O24" s="15">
        <v>9.9620010000000008</v>
      </c>
      <c r="P24" s="15">
        <v>9.9620010000000008</v>
      </c>
      <c r="Q24" s="15">
        <v>9.9620010000000008</v>
      </c>
      <c r="R24" s="15">
        <v>9.9620010000000008</v>
      </c>
      <c r="S24" s="15">
        <v>18.162001</v>
      </c>
      <c r="T24" s="15">
        <v>18.162001</v>
      </c>
      <c r="U24" s="15">
        <v>18.162001</v>
      </c>
      <c r="V24" s="15">
        <v>18.162001</v>
      </c>
      <c r="W24" s="15">
        <v>18.162001</v>
      </c>
      <c r="X24" s="15">
        <v>18.162001</v>
      </c>
      <c r="Y24" s="15">
        <v>18.162001</v>
      </c>
      <c r="Z24" s="15">
        <v>18.162001</v>
      </c>
      <c r="AA24" s="15">
        <v>18.162001</v>
      </c>
      <c r="AB24" s="15">
        <v>18.162001</v>
      </c>
      <c r="AC24" s="15">
        <v>18.162001</v>
      </c>
      <c r="AD24" s="15">
        <v>18.162001</v>
      </c>
      <c r="AE24" s="15">
        <v>18.162001</v>
      </c>
      <c r="AF24" s="15">
        <v>18.162001</v>
      </c>
      <c r="AG24" s="15">
        <v>18.162001</v>
      </c>
      <c r="AH24" s="15">
        <v>18.162001</v>
      </c>
      <c r="AI24" s="16">
        <v>0.23047899999999999</v>
      </c>
    </row>
    <row r="25" spans="1:35" ht="15" customHeight="1">
      <c r="A25" s="7" t="s">
        <v>244</v>
      </c>
      <c r="B25" s="13" t="s">
        <v>245</v>
      </c>
      <c r="C25" s="17">
        <v>232.31689499999999</v>
      </c>
      <c r="D25" s="17">
        <v>259.212219</v>
      </c>
      <c r="E25" s="17">
        <v>277.99008199999997</v>
      </c>
      <c r="F25" s="17">
        <v>311.73172</v>
      </c>
      <c r="G25" s="17">
        <v>332.67254600000001</v>
      </c>
      <c r="H25" s="17">
        <v>345.84704599999998</v>
      </c>
      <c r="I25" s="17">
        <v>363.48681599999998</v>
      </c>
      <c r="J25" s="17">
        <v>377.30917399999998</v>
      </c>
      <c r="K25" s="17">
        <v>386.60803199999998</v>
      </c>
      <c r="L25" s="17">
        <v>395.69546500000001</v>
      </c>
      <c r="M25" s="17">
        <v>409.42138699999998</v>
      </c>
      <c r="N25" s="17">
        <v>425.41488600000002</v>
      </c>
      <c r="O25" s="17">
        <v>426.59634399999999</v>
      </c>
      <c r="P25" s="17">
        <v>428.39376800000002</v>
      </c>
      <c r="Q25" s="17">
        <v>430.59603900000002</v>
      </c>
      <c r="R25" s="17">
        <v>432.05673200000001</v>
      </c>
      <c r="S25" s="17">
        <v>444.18469199999998</v>
      </c>
      <c r="T25" s="17">
        <v>451.090149</v>
      </c>
      <c r="U25" s="17">
        <v>458.10412600000001</v>
      </c>
      <c r="V25" s="17">
        <v>466.96301299999999</v>
      </c>
      <c r="W25" s="17">
        <v>475.55703699999998</v>
      </c>
      <c r="X25" s="17">
        <v>486.425476</v>
      </c>
      <c r="Y25" s="17">
        <v>498.90087899999997</v>
      </c>
      <c r="Z25" s="17">
        <v>513.28393600000004</v>
      </c>
      <c r="AA25" s="17">
        <v>529.78533900000002</v>
      </c>
      <c r="AB25" s="17">
        <v>547.60595699999999</v>
      </c>
      <c r="AC25" s="17">
        <v>565.76495399999999</v>
      </c>
      <c r="AD25" s="17">
        <v>577.55377199999998</v>
      </c>
      <c r="AE25" s="17">
        <v>588.30932600000006</v>
      </c>
      <c r="AF25" s="17">
        <v>595.79266399999995</v>
      </c>
      <c r="AG25" s="17">
        <v>604.37676999999996</v>
      </c>
      <c r="AH25" s="17">
        <v>613.31042500000001</v>
      </c>
      <c r="AI25" s="18">
        <v>3.1810999999999999E-2</v>
      </c>
    </row>
    <row r="27" spans="1:35" ht="15" customHeight="1">
      <c r="B27" s="13" t="s">
        <v>246</v>
      </c>
    </row>
    <row r="28" spans="1:35" ht="15" customHeight="1">
      <c r="A28" s="7" t="s">
        <v>247</v>
      </c>
      <c r="B28" s="14" t="s">
        <v>229</v>
      </c>
      <c r="C28" s="15">
        <v>286.84970099999998</v>
      </c>
      <c r="D28" s="15">
        <v>290.85043300000001</v>
      </c>
      <c r="E28" s="15">
        <v>291.28909299999998</v>
      </c>
      <c r="F28" s="15">
        <v>290.40597500000001</v>
      </c>
      <c r="G28" s="15">
        <v>290.62326000000002</v>
      </c>
      <c r="H28" s="15">
        <v>290.55438199999998</v>
      </c>
      <c r="I28" s="15">
        <v>290.40405299999998</v>
      </c>
      <c r="J28" s="15">
        <v>290.44812000000002</v>
      </c>
      <c r="K28" s="15">
        <v>290.41250600000001</v>
      </c>
      <c r="L28" s="15">
        <v>290.21279900000002</v>
      </c>
      <c r="M28" s="15">
        <v>290.14343300000002</v>
      </c>
      <c r="N28" s="15">
        <v>290.08758499999999</v>
      </c>
      <c r="O28" s="15">
        <v>290.05627399999997</v>
      </c>
      <c r="P28" s="15">
        <v>289.977081</v>
      </c>
      <c r="Q28" s="15">
        <v>289.97564699999998</v>
      </c>
      <c r="R28" s="15">
        <v>290.129639</v>
      </c>
      <c r="S28" s="15">
        <v>290.130157</v>
      </c>
      <c r="T28" s="15">
        <v>290.086365</v>
      </c>
      <c r="U28" s="15">
        <v>289.98864700000001</v>
      </c>
      <c r="V28" s="15">
        <v>289.895264</v>
      </c>
      <c r="W28" s="15">
        <v>289.75073200000003</v>
      </c>
      <c r="X28" s="15">
        <v>289.48034699999999</v>
      </c>
      <c r="Y28" s="15">
        <v>289.065247</v>
      </c>
      <c r="Z28" s="15">
        <v>287.66159099999999</v>
      </c>
      <c r="AA28" s="15">
        <v>288.084473</v>
      </c>
      <c r="AB28" s="15">
        <v>288.10931399999998</v>
      </c>
      <c r="AC28" s="15">
        <v>287.05252100000001</v>
      </c>
      <c r="AD28" s="15">
        <v>287.30450400000001</v>
      </c>
      <c r="AE28" s="15">
        <v>288.315765</v>
      </c>
      <c r="AF28" s="15">
        <v>288.511841</v>
      </c>
      <c r="AG28" s="15">
        <v>288.152557</v>
      </c>
      <c r="AH28" s="15">
        <v>287.37197900000001</v>
      </c>
      <c r="AI28" s="16">
        <v>5.8999999999999998E-5</v>
      </c>
    </row>
    <row r="29" spans="1:35" ht="15" customHeight="1">
      <c r="A29" s="7" t="s">
        <v>248</v>
      </c>
      <c r="B29" s="14" t="s">
        <v>231</v>
      </c>
      <c r="C29" s="15">
        <v>16.426468</v>
      </c>
      <c r="D29" s="15">
        <v>16.361433000000002</v>
      </c>
      <c r="E29" s="15">
        <v>16.888786</v>
      </c>
      <c r="F29" s="15">
        <v>16.702055000000001</v>
      </c>
      <c r="G29" s="15">
        <v>17.761251000000001</v>
      </c>
      <c r="H29" s="15">
        <v>18.722135999999999</v>
      </c>
      <c r="I29" s="15">
        <v>19.68355</v>
      </c>
      <c r="J29" s="15">
        <v>21.074532999999999</v>
      </c>
      <c r="K29" s="15">
        <v>22.416073000000001</v>
      </c>
      <c r="L29" s="15">
        <v>23.796101</v>
      </c>
      <c r="M29" s="15">
        <v>25.068382</v>
      </c>
      <c r="N29" s="15">
        <v>26.471848999999999</v>
      </c>
      <c r="O29" s="15">
        <v>28.113707999999999</v>
      </c>
      <c r="P29" s="15">
        <v>29.887620999999999</v>
      </c>
      <c r="Q29" s="15">
        <v>31.406464</v>
      </c>
      <c r="R29" s="15">
        <v>32.766171</v>
      </c>
      <c r="S29" s="15">
        <v>34.688262999999999</v>
      </c>
      <c r="T29" s="15">
        <v>36.518889999999999</v>
      </c>
      <c r="U29" s="15">
        <v>38.554043</v>
      </c>
      <c r="V29" s="15">
        <v>40.325896999999998</v>
      </c>
      <c r="W29" s="15">
        <v>42.031756999999999</v>
      </c>
      <c r="X29" s="15">
        <v>43.064163000000001</v>
      </c>
      <c r="Y29" s="15">
        <v>44.175514</v>
      </c>
      <c r="Z29" s="15">
        <v>45.35313</v>
      </c>
      <c r="AA29" s="15">
        <v>46.427821999999999</v>
      </c>
      <c r="AB29" s="15">
        <v>47.466147999999997</v>
      </c>
      <c r="AC29" s="15">
        <v>48.413834000000001</v>
      </c>
      <c r="AD29" s="15">
        <v>49.341461000000002</v>
      </c>
      <c r="AE29" s="15">
        <v>50.238968</v>
      </c>
      <c r="AF29" s="15">
        <v>51.188949999999998</v>
      </c>
      <c r="AG29" s="15">
        <v>51.794857</v>
      </c>
      <c r="AH29" s="15">
        <v>52.168888000000003</v>
      </c>
      <c r="AI29" s="16">
        <v>3.7981000000000001E-2</v>
      </c>
    </row>
    <row r="30" spans="1:35" ht="15" customHeight="1">
      <c r="A30" s="7" t="s">
        <v>249</v>
      </c>
      <c r="B30" s="14" t="s">
        <v>250</v>
      </c>
      <c r="C30" s="15">
        <v>18.621603</v>
      </c>
      <c r="D30" s="15">
        <v>18.31221</v>
      </c>
      <c r="E30" s="15">
        <v>18.458729000000002</v>
      </c>
      <c r="F30" s="15">
        <v>27.298037999999998</v>
      </c>
      <c r="G30" s="15">
        <v>28.083776</v>
      </c>
      <c r="H30" s="15">
        <v>29.960659</v>
      </c>
      <c r="I30" s="15">
        <v>41.086680999999999</v>
      </c>
      <c r="J30" s="15">
        <v>41.184147000000003</v>
      </c>
      <c r="K30" s="15">
        <v>41.226151000000002</v>
      </c>
      <c r="L30" s="15">
        <v>41.240333999999997</v>
      </c>
      <c r="M30" s="15">
        <v>41.825611000000002</v>
      </c>
      <c r="N30" s="15">
        <v>42.373741000000003</v>
      </c>
      <c r="O30" s="15">
        <v>42.598213000000001</v>
      </c>
      <c r="P30" s="15">
        <v>43.170310999999998</v>
      </c>
      <c r="Q30" s="15">
        <v>43.267315000000004</v>
      </c>
      <c r="R30" s="15">
        <v>43.360042999999997</v>
      </c>
      <c r="S30" s="15">
        <v>43.238781000000003</v>
      </c>
      <c r="T30" s="15">
        <v>43.338828999999997</v>
      </c>
      <c r="U30" s="15">
        <v>43.440544000000003</v>
      </c>
      <c r="V30" s="15">
        <v>43.585051999999997</v>
      </c>
      <c r="W30" s="15">
        <v>43.905624000000003</v>
      </c>
      <c r="X30" s="15">
        <v>44.000262999999997</v>
      </c>
      <c r="Y30" s="15">
        <v>44.171688000000003</v>
      </c>
      <c r="Z30" s="15">
        <v>44.498764000000001</v>
      </c>
      <c r="AA30" s="15">
        <v>44.584099000000002</v>
      </c>
      <c r="AB30" s="15">
        <v>44.696102000000003</v>
      </c>
      <c r="AC30" s="15">
        <v>45.416820999999999</v>
      </c>
      <c r="AD30" s="15">
        <v>46.787193000000002</v>
      </c>
      <c r="AE30" s="15">
        <v>48.179080999999996</v>
      </c>
      <c r="AF30" s="15">
        <v>49.266086999999999</v>
      </c>
      <c r="AG30" s="15">
        <v>50.279854</v>
      </c>
      <c r="AH30" s="15">
        <v>53.421424999999999</v>
      </c>
      <c r="AI30" s="16">
        <v>3.4581000000000001E-2</v>
      </c>
    </row>
    <row r="31" spans="1:35" ht="15" customHeight="1">
      <c r="A31" s="7" t="s">
        <v>251</v>
      </c>
      <c r="B31" s="14" t="s">
        <v>252</v>
      </c>
      <c r="C31" s="15">
        <v>12.558012</v>
      </c>
      <c r="D31" s="15">
        <v>13.200104</v>
      </c>
      <c r="E31" s="15">
        <v>13.357597999999999</v>
      </c>
      <c r="F31" s="15">
        <v>13.355019</v>
      </c>
      <c r="G31" s="15">
        <v>13.357866</v>
      </c>
      <c r="H31" s="15">
        <v>13.287386</v>
      </c>
      <c r="I31" s="15">
        <v>13.288007</v>
      </c>
      <c r="J31" s="15">
        <v>13.394246000000001</v>
      </c>
      <c r="K31" s="15">
        <v>13.325274</v>
      </c>
      <c r="L31" s="15">
        <v>13.379846000000001</v>
      </c>
      <c r="M31" s="15">
        <v>13.425287000000001</v>
      </c>
      <c r="N31" s="15">
        <v>13.523584</v>
      </c>
      <c r="O31" s="15">
        <v>13.596209999999999</v>
      </c>
      <c r="P31" s="15">
        <v>13.644472</v>
      </c>
      <c r="Q31" s="15">
        <v>13.747925</v>
      </c>
      <c r="R31" s="15">
        <v>13.704589</v>
      </c>
      <c r="S31" s="15">
        <v>13.571692000000001</v>
      </c>
      <c r="T31" s="15">
        <v>13.664078</v>
      </c>
      <c r="U31" s="15">
        <v>13.647899000000001</v>
      </c>
      <c r="V31" s="15">
        <v>13.665098</v>
      </c>
      <c r="W31" s="15">
        <v>13.710254000000001</v>
      </c>
      <c r="X31" s="15">
        <v>13.721298000000001</v>
      </c>
      <c r="Y31" s="15">
        <v>13.716153</v>
      </c>
      <c r="Z31" s="15">
        <v>13.686647000000001</v>
      </c>
      <c r="AA31" s="15">
        <v>13.861465000000001</v>
      </c>
      <c r="AB31" s="15">
        <v>13.861139</v>
      </c>
      <c r="AC31" s="15">
        <v>13.816843</v>
      </c>
      <c r="AD31" s="15">
        <v>13.853425</v>
      </c>
      <c r="AE31" s="15">
        <v>13.959530000000001</v>
      </c>
      <c r="AF31" s="15">
        <v>13.960331999999999</v>
      </c>
      <c r="AG31" s="15">
        <v>14.100089000000001</v>
      </c>
      <c r="AH31" s="15">
        <v>13.926688</v>
      </c>
      <c r="AI31" s="16">
        <v>3.3430000000000001E-3</v>
      </c>
    </row>
    <row r="32" spans="1:35" ht="15" customHeight="1">
      <c r="A32" s="7" t="s">
        <v>253</v>
      </c>
      <c r="B32" s="14" t="s">
        <v>254</v>
      </c>
      <c r="C32" s="15">
        <v>12.334987999999999</v>
      </c>
      <c r="D32" s="15">
        <v>12.981882000000001</v>
      </c>
      <c r="E32" s="15">
        <v>13.203393</v>
      </c>
      <c r="F32" s="15">
        <v>13.201896</v>
      </c>
      <c r="G32" s="15">
        <v>13.195938999999999</v>
      </c>
      <c r="H32" s="15">
        <v>13.200938000000001</v>
      </c>
      <c r="I32" s="15">
        <v>13.207554999999999</v>
      </c>
      <c r="J32" s="15">
        <v>13.25511</v>
      </c>
      <c r="K32" s="15">
        <v>13.215904</v>
      </c>
      <c r="L32" s="15">
        <v>13.231869</v>
      </c>
      <c r="M32" s="15">
        <v>13.262262</v>
      </c>
      <c r="N32" s="15">
        <v>13.370098</v>
      </c>
      <c r="O32" s="15">
        <v>13.391237</v>
      </c>
      <c r="P32" s="15">
        <v>13.443692</v>
      </c>
      <c r="Q32" s="15">
        <v>13.545534</v>
      </c>
      <c r="R32" s="15">
        <v>13.549536</v>
      </c>
      <c r="S32" s="15">
        <v>13.416645000000001</v>
      </c>
      <c r="T32" s="15">
        <v>13.461696</v>
      </c>
      <c r="U32" s="15">
        <v>13.445515</v>
      </c>
      <c r="V32" s="15">
        <v>13.462709</v>
      </c>
      <c r="W32" s="15">
        <v>13.507868</v>
      </c>
      <c r="X32" s="15">
        <v>13.518916000000001</v>
      </c>
      <c r="Y32" s="15">
        <v>13.513776999999999</v>
      </c>
      <c r="Z32" s="15">
        <v>13.518544</v>
      </c>
      <c r="AA32" s="15">
        <v>13.519307</v>
      </c>
      <c r="AB32" s="15">
        <v>13.518905999999999</v>
      </c>
      <c r="AC32" s="15">
        <v>13.474499</v>
      </c>
      <c r="AD32" s="15">
        <v>13.511037</v>
      </c>
      <c r="AE32" s="15">
        <v>13.61707</v>
      </c>
      <c r="AF32" s="15">
        <v>13.617805000000001</v>
      </c>
      <c r="AG32" s="15">
        <v>13.757479999999999</v>
      </c>
      <c r="AH32" s="15">
        <v>13.757247</v>
      </c>
      <c r="AI32" s="16">
        <v>3.5260000000000001E-3</v>
      </c>
    </row>
    <row r="33" spans="1:35" ht="15" customHeight="1">
      <c r="A33" s="7" t="s">
        <v>255</v>
      </c>
      <c r="B33" s="14" t="s">
        <v>256</v>
      </c>
      <c r="C33" s="15">
        <v>0.223024</v>
      </c>
      <c r="D33" s="15">
        <v>0.218222</v>
      </c>
      <c r="E33" s="15">
        <v>0.15420500000000001</v>
      </c>
      <c r="F33" s="15">
        <v>0.15312300000000001</v>
      </c>
      <c r="G33" s="15">
        <v>0.16192699999999999</v>
      </c>
      <c r="H33" s="15">
        <v>8.6447999999999997E-2</v>
      </c>
      <c r="I33" s="15">
        <v>8.0451999999999996E-2</v>
      </c>
      <c r="J33" s="15">
        <v>0.13913600000000001</v>
      </c>
      <c r="K33" s="15">
        <v>0.109371</v>
      </c>
      <c r="L33" s="15">
        <v>0.147976</v>
      </c>
      <c r="M33" s="15">
        <v>0.163025</v>
      </c>
      <c r="N33" s="15">
        <v>0.15348600000000001</v>
      </c>
      <c r="O33" s="15">
        <v>0.20497299999999999</v>
      </c>
      <c r="P33" s="15">
        <v>0.20077999999999999</v>
      </c>
      <c r="Q33" s="15">
        <v>0.20239099999999999</v>
      </c>
      <c r="R33" s="15">
        <v>0.155053</v>
      </c>
      <c r="S33" s="15">
        <v>0.15504699999999999</v>
      </c>
      <c r="T33" s="15">
        <v>0.20238200000000001</v>
      </c>
      <c r="U33" s="15">
        <v>0.20238400000000001</v>
      </c>
      <c r="V33" s="15">
        <v>0.20238900000000001</v>
      </c>
      <c r="W33" s="15">
        <v>0.20238600000000001</v>
      </c>
      <c r="X33" s="15">
        <v>0.20238200000000001</v>
      </c>
      <c r="Y33" s="15">
        <v>0.202376</v>
      </c>
      <c r="Z33" s="15">
        <v>0.168103</v>
      </c>
      <c r="AA33" s="15">
        <v>0.34215800000000002</v>
      </c>
      <c r="AB33" s="15">
        <v>0.34223399999999998</v>
      </c>
      <c r="AC33" s="15">
        <v>0.34234399999999998</v>
      </c>
      <c r="AD33" s="15">
        <v>0.34238800000000003</v>
      </c>
      <c r="AE33" s="15">
        <v>0.34245900000000001</v>
      </c>
      <c r="AF33" s="15">
        <v>0.342526</v>
      </c>
      <c r="AG33" s="15">
        <v>0.34261000000000003</v>
      </c>
      <c r="AH33" s="15">
        <v>0.16944200000000001</v>
      </c>
      <c r="AI33" s="16">
        <v>-8.8240000000000002E-3</v>
      </c>
    </row>
    <row r="34" spans="1:35" ht="15" customHeight="1">
      <c r="A34" s="7" t="s">
        <v>257</v>
      </c>
      <c r="B34" s="14" t="s">
        <v>237</v>
      </c>
      <c r="C34" s="15">
        <v>3.3938259999999998</v>
      </c>
      <c r="D34" s="15">
        <v>3.5787040000000001</v>
      </c>
      <c r="E34" s="15">
        <v>3.7446000000000002</v>
      </c>
      <c r="F34" s="15">
        <v>3.6991540000000001</v>
      </c>
      <c r="G34" s="15">
        <v>3.7259690000000001</v>
      </c>
      <c r="H34" s="15">
        <v>3.6613950000000002</v>
      </c>
      <c r="I34" s="15">
        <v>3.6076570000000001</v>
      </c>
      <c r="J34" s="15">
        <v>3.5455640000000002</v>
      </c>
      <c r="K34" s="15">
        <v>3.6933980000000002</v>
      </c>
      <c r="L34" s="15">
        <v>3.6206390000000002</v>
      </c>
      <c r="M34" s="15">
        <v>3.647186</v>
      </c>
      <c r="N34" s="15">
        <v>3.6376149999999998</v>
      </c>
      <c r="O34" s="15">
        <v>3.6978550000000001</v>
      </c>
      <c r="P34" s="15">
        <v>3.5937480000000002</v>
      </c>
      <c r="Q34" s="15">
        <v>3.423692</v>
      </c>
      <c r="R34" s="15">
        <v>3.5694140000000001</v>
      </c>
      <c r="S34" s="15">
        <v>3.6182129999999999</v>
      </c>
      <c r="T34" s="15">
        <v>3.8675359999999999</v>
      </c>
      <c r="U34" s="15">
        <v>3.9055330000000001</v>
      </c>
      <c r="V34" s="15">
        <v>3.8120919999999998</v>
      </c>
      <c r="W34" s="15">
        <v>3.862752</v>
      </c>
      <c r="X34" s="15">
        <v>3.8677540000000001</v>
      </c>
      <c r="Y34" s="15">
        <v>3.8569979999999999</v>
      </c>
      <c r="Z34" s="15">
        <v>3.8550870000000002</v>
      </c>
      <c r="AA34" s="15">
        <v>3.8405960000000001</v>
      </c>
      <c r="AB34" s="15">
        <v>3.8395320000000002</v>
      </c>
      <c r="AC34" s="15">
        <v>3.7956159999999999</v>
      </c>
      <c r="AD34" s="15">
        <v>3.7011440000000002</v>
      </c>
      <c r="AE34" s="15">
        <v>3.6469939999999998</v>
      </c>
      <c r="AF34" s="15">
        <v>3.7532800000000002</v>
      </c>
      <c r="AG34" s="15">
        <v>3.6858140000000001</v>
      </c>
      <c r="AH34" s="15">
        <v>3.6778369999999998</v>
      </c>
      <c r="AI34" s="16">
        <v>2.5959999999999998E-3</v>
      </c>
    </row>
    <row r="35" spans="1:35" ht="15" customHeight="1">
      <c r="A35" s="7" t="s">
        <v>258</v>
      </c>
      <c r="B35" s="14" t="s">
        <v>239</v>
      </c>
      <c r="C35" s="15">
        <v>69.289055000000005</v>
      </c>
      <c r="D35" s="15">
        <v>89.754233999999997</v>
      </c>
      <c r="E35" s="15">
        <v>123.272026</v>
      </c>
      <c r="F35" s="15">
        <v>158.843018</v>
      </c>
      <c r="G35" s="15">
        <v>172.006317</v>
      </c>
      <c r="H35" s="15">
        <v>196.25824</v>
      </c>
      <c r="I35" s="15">
        <v>236.30091899999999</v>
      </c>
      <c r="J35" s="15">
        <v>271.158142</v>
      </c>
      <c r="K35" s="15">
        <v>295.14086900000001</v>
      </c>
      <c r="L35" s="15">
        <v>311.64974999999998</v>
      </c>
      <c r="M35" s="15">
        <v>339.45571899999999</v>
      </c>
      <c r="N35" s="15">
        <v>364.07678199999998</v>
      </c>
      <c r="O35" s="15">
        <v>370.14675899999997</v>
      </c>
      <c r="P35" s="15">
        <v>373.70513899999997</v>
      </c>
      <c r="Q35" s="15">
        <v>377.91229199999998</v>
      </c>
      <c r="R35" s="15">
        <v>380.215912</v>
      </c>
      <c r="S35" s="15">
        <v>387.16403200000002</v>
      </c>
      <c r="T35" s="15">
        <v>400.21963499999998</v>
      </c>
      <c r="U35" s="15">
        <v>417.58108499999997</v>
      </c>
      <c r="V35" s="15">
        <v>437.18975799999998</v>
      </c>
      <c r="W35" s="15">
        <v>459.085083</v>
      </c>
      <c r="X35" s="15">
        <v>483.90319799999997</v>
      </c>
      <c r="Y35" s="15">
        <v>511.265717</v>
      </c>
      <c r="Z35" s="15">
        <v>543.99218800000006</v>
      </c>
      <c r="AA35" s="15">
        <v>580.78338599999995</v>
      </c>
      <c r="AB35" s="15">
        <v>623.03289800000005</v>
      </c>
      <c r="AC35" s="15">
        <v>664.69799799999998</v>
      </c>
      <c r="AD35" s="15">
        <v>692.48821999999996</v>
      </c>
      <c r="AE35" s="15">
        <v>713.964966</v>
      </c>
      <c r="AF35" s="15">
        <v>727.57147199999997</v>
      </c>
      <c r="AG35" s="15">
        <v>744.74658199999999</v>
      </c>
      <c r="AH35" s="15">
        <v>760.15771500000005</v>
      </c>
      <c r="AI35" s="16">
        <v>8.0328999999999998E-2</v>
      </c>
    </row>
    <row r="36" spans="1:35" ht="15" customHeight="1">
      <c r="A36" s="7" t="s">
        <v>259</v>
      </c>
      <c r="B36" s="14" t="s">
        <v>241</v>
      </c>
      <c r="C36" s="15">
        <v>295.432861</v>
      </c>
      <c r="D36" s="15">
        <v>336.08865400000002</v>
      </c>
      <c r="E36" s="15">
        <v>369.09533699999997</v>
      </c>
      <c r="F36" s="15">
        <v>423.98730499999999</v>
      </c>
      <c r="G36" s="15">
        <v>487.82800300000002</v>
      </c>
      <c r="H36" s="15">
        <v>505.910797</v>
      </c>
      <c r="I36" s="15">
        <v>509.02246100000002</v>
      </c>
      <c r="J36" s="15">
        <v>510.48828099999997</v>
      </c>
      <c r="K36" s="15">
        <v>511.62057499999997</v>
      </c>
      <c r="L36" s="15">
        <v>514.05084199999999</v>
      </c>
      <c r="M36" s="15">
        <v>519.25939900000003</v>
      </c>
      <c r="N36" s="15">
        <v>520.16857900000002</v>
      </c>
      <c r="O36" s="15">
        <v>520.29321300000004</v>
      </c>
      <c r="P36" s="15">
        <v>520.74212599999998</v>
      </c>
      <c r="Q36" s="15">
        <v>522.13537599999995</v>
      </c>
      <c r="R36" s="15">
        <v>524.551514</v>
      </c>
      <c r="S36" s="15">
        <v>525.99316399999998</v>
      </c>
      <c r="T36" s="15">
        <v>529.27716099999998</v>
      </c>
      <c r="U36" s="15">
        <v>531.22607400000004</v>
      </c>
      <c r="V36" s="15">
        <v>535.38659700000005</v>
      </c>
      <c r="W36" s="15">
        <v>536.33441200000004</v>
      </c>
      <c r="X36" s="15">
        <v>539.49200399999995</v>
      </c>
      <c r="Y36" s="15">
        <v>543.77270499999997</v>
      </c>
      <c r="Z36" s="15">
        <v>548.37823500000002</v>
      </c>
      <c r="AA36" s="15">
        <v>554.62292500000001</v>
      </c>
      <c r="AB36" s="15">
        <v>558.44928000000004</v>
      </c>
      <c r="AC36" s="15">
        <v>565.966858</v>
      </c>
      <c r="AD36" s="15">
        <v>570.59533699999997</v>
      </c>
      <c r="AE36" s="15">
        <v>576.91210899999999</v>
      </c>
      <c r="AF36" s="15">
        <v>584.72705099999996</v>
      </c>
      <c r="AG36" s="15">
        <v>593.10516399999995</v>
      </c>
      <c r="AH36" s="15">
        <v>605.20263699999998</v>
      </c>
      <c r="AI36" s="16">
        <v>2.3403E-2</v>
      </c>
    </row>
    <row r="37" spans="1:35" ht="15" customHeight="1">
      <c r="A37" s="7" t="s">
        <v>260</v>
      </c>
      <c r="B37" s="14" t="s">
        <v>243</v>
      </c>
      <c r="C37" s="15">
        <v>0.10892400000000001</v>
      </c>
      <c r="D37" s="15">
        <v>0.108905</v>
      </c>
      <c r="E37" s="15">
        <v>0.12545400000000001</v>
      </c>
      <c r="F37" s="15">
        <v>1.4512069999999999</v>
      </c>
      <c r="G37" s="15">
        <v>3.039625</v>
      </c>
      <c r="H37" s="15">
        <v>3.3552499999999998</v>
      </c>
      <c r="I37" s="15">
        <v>3.3552330000000001</v>
      </c>
      <c r="J37" s="15">
        <v>3.3552909999999998</v>
      </c>
      <c r="K37" s="15">
        <v>3.3551319999999998</v>
      </c>
      <c r="L37" s="15">
        <v>9.6366980000000009</v>
      </c>
      <c r="M37" s="15">
        <v>11.212714</v>
      </c>
      <c r="N37" s="15">
        <v>35.428905</v>
      </c>
      <c r="O37" s="15">
        <v>41.512726000000001</v>
      </c>
      <c r="P37" s="15">
        <v>41.520470000000003</v>
      </c>
      <c r="Q37" s="15">
        <v>41.513855</v>
      </c>
      <c r="R37" s="15">
        <v>41.513824</v>
      </c>
      <c r="S37" s="15">
        <v>66.31514</v>
      </c>
      <c r="T37" s="15">
        <v>73.741432000000003</v>
      </c>
      <c r="U37" s="15">
        <v>73.734154000000004</v>
      </c>
      <c r="V37" s="15">
        <v>73.737892000000002</v>
      </c>
      <c r="W37" s="15">
        <v>73.739388000000005</v>
      </c>
      <c r="X37" s="15">
        <v>73.728340000000003</v>
      </c>
      <c r="Y37" s="15">
        <v>73.738037000000006</v>
      </c>
      <c r="Z37" s="15">
        <v>73.734695000000002</v>
      </c>
      <c r="AA37" s="15">
        <v>73.742805000000004</v>
      </c>
      <c r="AB37" s="15">
        <v>73.745948999999996</v>
      </c>
      <c r="AC37" s="15">
        <v>73.727722</v>
      </c>
      <c r="AD37" s="15">
        <v>73.748679999999993</v>
      </c>
      <c r="AE37" s="15">
        <v>73.740639000000002</v>
      </c>
      <c r="AF37" s="15">
        <v>73.754897999999997</v>
      </c>
      <c r="AG37" s="15">
        <v>73.737578999999997</v>
      </c>
      <c r="AH37" s="15">
        <v>73.738426000000004</v>
      </c>
      <c r="AI37" s="16">
        <v>0.233982</v>
      </c>
    </row>
    <row r="38" spans="1:35" ht="15" customHeight="1">
      <c r="A38" s="7" t="s">
        <v>261</v>
      </c>
      <c r="B38" s="13" t="s">
        <v>262</v>
      </c>
      <c r="C38" s="17">
        <v>702.68048099999999</v>
      </c>
      <c r="D38" s="17">
        <v>768.254639</v>
      </c>
      <c r="E38" s="17">
        <v>836.23168899999996</v>
      </c>
      <c r="F38" s="17">
        <v>935.74182099999996</v>
      </c>
      <c r="G38" s="17">
        <v>1016.4260860000001</v>
      </c>
      <c r="H38" s="17">
        <v>1061.7102050000001</v>
      </c>
      <c r="I38" s="17">
        <v>1116.7485349999999</v>
      </c>
      <c r="J38" s="17">
        <v>1154.6483149999999</v>
      </c>
      <c r="K38" s="17">
        <v>1181.1899410000001</v>
      </c>
      <c r="L38" s="17">
        <v>1207.5870359999999</v>
      </c>
      <c r="M38" s="17">
        <v>1244.03772</v>
      </c>
      <c r="N38" s="17">
        <v>1295.7685550000001</v>
      </c>
      <c r="O38" s="17">
        <v>1310.014893</v>
      </c>
      <c r="P38" s="17">
        <v>1316.240967</v>
      </c>
      <c r="Q38" s="17">
        <v>1323.382568</v>
      </c>
      <c r="R38" s="17">
        <v>1329.8111570000001</v>
      </c>
      <c r="S38" s="17">
        <v>1364.7193600000001</v>
      </c>
      <c r="T38" s="17">
        <v>1390.7138669999999</v>
      </c>
      <c r="U38" s="17">
        <v>1412.0780030000001</v>
      </c>
      <c r="V38" s="17">
        <v>1437.5976559999999</v>
      </c>
      <c r="W38" s="17">
        <v>1462.419922</v>
      </c>
      <c r="X38" s="17">
        <v>1491.2573239999999</v>
      </c>
      <c r="Y38" s="17">
        <v>1523.762207</v>
      </c>
      <c r="Z38" s="17">
        <v>1561.1604</v>
      </c>
      <c r="AA38" s="17">
        <v>1605.94751</v>
      </c>
      <c r="AB38" s="17">
        <v>1653.200439</v>
      </c>
      <c r="AC38" s="17">
        <v>1702.8881839999999</v>
      </c>
      <c r="AD38" s="17">
        <v>1737.8199460000001</v>
      </c>
      <c r="AE38" s="17">
        <v>1768.9580080000001</v>
      </c>
      <c r="AF38" s="17">
        <v>1792.7338870000001</v>
      </c>
      <c r="AG38" s="17">
        <v>1819.602539</v>
      </c>
      <c r="AH38" s="17">
        <v>1849.6655270000001</v>
      </c>
      <c r="AI38" s="18">
        <v>3.1713999999999999E-2</v>
      </c>
    </row>
    <row r="40" spans="1:35" ht="15" customHeight="1">
      <c r="B40" s="13" t="s">
        <v>263</v>
      </c>
    </row>
    <row r="41" spans="1:35" ht="15" customHeight="1">
      <c r="B41" s="13" t="s">
        <v>227</v>
      </c>
    </row>
    <row r="42" spans="1:35" ht="15" customHeight="1">
      <c r="A42" s="7" t="s">
        <v>264</v>
      </c>
      <c r="B42" s="14" t="s">
        <v>229</v>
      </c>
      <c r="C42" s="15">
        <v>0.24205699999999999</v>
      </c>
      <c r="D42" s="15">
        <v>0.24205699999999999</v>
      </c>
      <c r="E42" s="15">
        <v>0.24205699999999999</v>
      </c>
      <c r="F42" s="15">
        <v>0.24205699999999999</v>
      </c>
      <c r="G42" s="15">
        <v>0.24205699999999999</v>
      </c>
      <c r="H42" s="15">
        <v>0.24205699999999999</v>
      </c>
      <c r="I42" s="15">
        <v>0.24205699999999999</v>
      </c>
      <c r="J42" s="15">
        <v>0.24205699999999999</v>
      </c>
      <c r="K42" s="15">
        <v>0.24205699999999999</v>
      </c>
      <c r="L42" s="15">
        <v>0.24205699999999999</v>
      </c>
      <c r="M42" s="15">
        <v>0.24205699999999999</v>
      </c>
      <c r="N42" s="15">
        <v>0.24205699999999999</v>
      </c>
      <c r="O42" s="15">
        <v>0.24205699999999999</v>
      </c>
      <c r="P42" s="15">
        <v>0.24205699999999999</v>
      </c>
      <c r="Q42" s="15">
        <v>0.24205699999999999</v>
      </c>
      <c r="R42" s="15">
        <v>0.24205699999999999</v>
      </c>
      <c r="S42" s="15">
        <v>0.24205699999999999</v>
      </c>
      <c r="T42" s="15">
        <v>0.24205699999999999</v>
      </c>
      <c r="U42" s="15">
        <v>0.24205699999999999</v>
      </c>
      <c r="V42" s="15">
        <v>0.24205699999999999</v>
      </c>
      <c r="W42" s="15">
        <v>0.24205699999999999</v>
      </c>
      <c r="X42" s="15">
        <v>0.24205699999999999</v>
      </c>
      <c r="Y42" s="15">
        <v>0.24205699999999999</v>
      </c>
      <c r="Z42" s="15">
        <v>0.24205699999999999</v>
      </c>
      <c r="AA42" s="15">
        <v>0.24205699999999999</v>
      </c>
      <c r="AB42" s="15">
        <v>0.24205699999999999</v>
      </c>
      <c r="AC42" s="15">
        <v>0.24205699999999999</v>
      </c>
      <c r="AD42" s="15">
        <v>0.24205699999999999</v>
      </c>
      <c r="AE42" s="15">
        <v>0.24205699999999999</v>
      </c>
      <c r="AF42" s="15">
        <v>0.24205699999999999</v>
      </c>
      <c r="AG42" s="15">
        <v>0.24205699999999999</v>
      </c>
      <c r="AH42" s="15">
        <v>0.24205699999999999</v>
      </c>
      <c r="AI42" s="16">
        <v>0</v>
      </c>
    </row>
    <row r="43" spans="1:35" ht="15" customHeight="1">
      <c r="A43" s="7" t="s">
        <v>265</v>
      </c>
      <c r="B43" s="14" t="s">
        <v>266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6" t="s">
        <v>35</v>
      </c>
    </row>
    <row r="44" spans="1:35" ht="15" customHeight="1">
      <c r="A44" s="7" t="s">
        <v>267</v>
      </c>
      <c r="B44" s="14" t="s">
        <v>268</v>
      </c>
      <c r="C44" s="15">
        <v>0.468468</v>
      </c>
      <c r="D44" s="15">
        <v>0.468468</v>
      </c>
      <c r="E44" s="15">
        <v>0.468468</v>
      </c>
      <c r="F44" s="15">
        <v>0.468468</v>
      </c>
      <c r="G44" s="15">
        <v>0.468468</v>
      </c>
      <c r="H44" s="15">
        <v>0.468468</v>
      </c>
      <c r="I44" s="15">
        <v>0.468468</v>
      </c>
      <c r="J44" s="15">
        <v>0.468468</v>
      </c>
      <c r="K44" s="15">
        <v>0.468468</v>
      </c>
      <c r="L44" s="15">
        <v>0.468468</v>
      </c>
      <c r="M44" s="15">
        <v>0.468468</v>
      </c>
      <c r="N44" s="15">
        <v>0.468468</v>
      </c>
      <c r="O44" s="15">
        <v>0.468468</v>
      </c>
      <c r="P44" s="15">
        <v>0.468468</v>
      </c>
      <c r="Q44" s="15">
        <v>0.468468</v>
      </c>
      <c r="R44" s="15">
        <v>0.468468</v>
      </c>
      <c r="S44" s="15">
        <v>0.468468</v>
      </c>
      <c r="T44" s="15">
        <v>0.468468</v>
      </c>
      <c r="U44" s="15">
        <v>0.468468</v>
      </c>
      <c r="V44" s="15">
        <v>0.468468</v>
      </c>
      <c r="W44" s="15">
        <v>0.468468</v>
      </c>
      <c r="X44" s="15">
        <v>0.468468</v>
      </c>
      <c r="Y44" s="15">
        <v>0.468468</v>
      </c>
      <c r="Z44" s="15">
        <v>0.468468</v>
      </c>
      <c r="AA44" s="15">
        <v>0.468468</v>
      </c>
      <c r="AB44" s="15">
        <v>0.468468</v>
      </c>
      <c r="AC44" s="15">
        <v>0.468468</v>
      </c>
      <c r="AD44" s="15">
        <v>0.468468</v>
      </c>
      <c r="AE44" s="15">
        <v>0.468468</v>
      </c>
      <c r="AF44" s="15">
        <v>0.468468</v>
      </c>
      <c r="AG44" s="15">
        <v>0.468468</v>
      </c>
      <c r="AH44" s="15">
        <v>0.468468</v>
      </c>
      <c r="AI44" s="16">
        <v>0</v>
      </c>
    </row>
    <row r="45" spans="1:35" ht="15" customHeight="1">
      <c r="A45" s="7" t="s">
        <v>269</v>
      </c>
      <c r="B45" s="14" t="s">
        <v>270</v>
      </c>
      <c r="C45" s="15">
        <v>4.2478910000000001</v>
      </c>
      <c r="D45" s="15">
        <v>4.2217560000000001</v>
      </c>
      <c r="E45" s="15">
        <v>4.5887650000000004</v>
      </c>
      <c r="F45" s="15">
        <v>4.5893119999999996</v>
      </c>
      <c r="G45" s="15">
        <v>4.5942439999999998</v>
      </c>
      <c r="H45" s="15">
        <v>4.6112089999999997</v>
      </c>
      <c r="I45" s="15">
        <v>4.6258790000000003</v>
      </c>
      <c r="J45" s="15">
        <v>4.6488050000000003</v>
      </c>
      <c r="K45" s="15">
        <v>4.669003</v>
      </c>
      <c r="L45" s="15">
        <v>4.6939590000000004</v>
      </c>
      <c r="M45" s="15">
        <v>4.7191910000000004</v>
      </c>
      <c r="N45" s="15">
        <v>4.7473140000000003</v>
      </c>
      <c r="O45" s="15">
        <v>4.7772680000000003</v>
      </c>
      <c r="P45" s="15">
        <v>4.8064960000000001</v>
      </c>
      <c r="Q45" s="15">
        <v>4.8346119999999999</v>
      </c>
      <c r="R45" s="15">
        <v>4.8631029999999997</v>
      </c>
      <c r="S45" s="15">
        <v>4.8889379999999996</v>
      </c>
      <c r="T45" s="15">
        <v>4.9127960000000002</v>
      </c>
      <c r="U45" s="15">
        <v>4.9388959999999997</v>
      </c>
      <c r="V45" s="15">
        <v>4.9640120000000003</v>
      </c>
      <c r="W45" s="15">
        <v>4.9878850000000003</v>
      </c>
      <c r="X45" s="15">
        <v>5.0113029999999998</v>
      </c>
      <c r="Y45" s="15">
        <v>5.0336850000000002</v>
      </c>
      <c r="Z45" s="15">
        <v>5.0566129999999996</v>
      </c>
      <c r="AA45" s="15">
        <v>5.0819359999999998</v>
      </c>
      <c r="AB45" s="15">
        <v>5.1017919999999997</v>
      </c>
      <c r="AC45" s="15">
        <v>5.1225139999999998</v>
      </c>
      <c r="AD45" s="15">
        <v>5.188097</v>
      </c>
      <c r="AE45" s="15">
        <v>5.2219319999999998</v>
      </c>
      <c r="AF45" s="15">
        <v>5.2566509999999997</v>
      </c>
      <c r="AG45" s="15">
        <v>5.2980349999999996</v>
      </c>
      <c r="AH45" s="15">
        <v>5.3211320000000004</v>
      </c>
      <c r="AI45" s="16">
        <v>7.293E-3</v>
      </c>
    </row>
    <row r="46" spans="1:35" ht="15" customHeight="1">
      <c r="A46" s="7" t="s">
        <v>271</v>
      </c>
      <c r="B46" s="14" t="s">
        <v>239</v>
      </c>
      <c r="C46" s="15">
        <v>30.330279999999998</v>
      </c>
      <c r="D46" s="15">
        <v>35.581432</v>
      </c>
      <c r="E46" s="15">
        <v>40.805194999999998</v>
      </c>
      <c r="F46" s="15">
        <v>45.183273</v>
      </c>
      <c r="G46" s="15">
        <v>48.637951000000001</v>
      </c>
      <c r="H46" s="15">
        <v>51.620972000000002</v>
      </c>
      <c r="I46" s="15">
        <v>55.267879000000001</v>
      </c>
      <c r="J46" s="15">
        <v>58.940559</v>
      </c>
      <c r="K46" s="15">
        <v>62.574356000000002</v>
      </c>
      <c r="L46" s="15">
        <v>65.905799999999999</v>
      </c>
      <c r="M46" s="15">
        <v>69.302482999999995</v>
      </c>
      <c r="N46" s="15">
        <v>72.995232000000001</v>
      </c>
      <c r="O46" s="15">
        <v>75.989684999999994</v>
      </c>
      <c r="P46" s="15">
        <v>78.906395000000003</v>
      </c>
      <c r="Q46" s="15">
        <v>82.138046000000003</v>
      </c>
      <c r="R46" s="15">
        <v>85.416397000000003</v>
      </c>
      <c r="S46" s="15">
        <v>88.331894000000005</v>
      </c>
      <c r="T46" s="15">
        <v>91.753371999999999</v>
      </c>
      <c r="U46" s="15">
        <v>94.777739999999994</v>
      </c>
      <c r="V46" s="15">
        <v>98.217926000000006</v>
      </c>
      <c r="W46" s="15">
        <v>101.36348700000001</v>
      </c>
      <c r="X46" s="15">
        <v>104.435188</v>
      </c>
      <c r="Y46" s="15">
        <v>107.661423</v>
      </c>
      <c r="Z46" s="15">
        <v>110.915215</v>
      </c>
      <c r="AA46" s="15">
        <v>114.14284499999999</v>
      </c>
      <c r="AB46" s="15">
        <v>117.594826</v>
      </c>
      <c r="AC46" s="15">
        <v>120.903862</v>
      </c>
      <c r="AD46" s="15">
        <v>124.518158</v>
      </c>
      <c r="AE46" s="15">
        <v>128.05815100000001</v>
      </c>
      <c r="AF46" s="15">
        <v>131.53160099999999</v>
      </c>
      <c r="AG46" s="15">
        <v>134.86348000000001</v>
      </c>
      <c r="AH46" s="15">
        <v>138.434448</v>
      </c>
      <c r="AI46" s="16">
        <v>5.0194999999999997E-2</v>
      </c>
    </row>
    <row r="47" spans="1:35" ht="15" customHeight="1">
      <c r="A47" s="7" t="s">
        <v>272</v>
      </c>
      <c r="B47" s="14" t="s">
        <v>241</v>
      </c>
      <c r="C47" s="15">
        <v>0.56896199999999997</v>
      </c>
      <c r="D47" s="15">
        <v>0.56903800000000004</v>
      </c>
      <c r="E47" s="15">
        <v>0.56973600000000002</v>
      </c>
      <c r="F47" s="15">
        <v>0.56989999999999996</v>
      </c>
      <c r="G47" s="15">
        <v>0.57000899999999999</v>
      </c>
      <c r="H47" s="15">
        <v>0.570635</v>
      </c>
      <c r="I47" s="15">
        <v>0.57183399999999995</v>
      </c>
      <c r="J47" s="15">
        <v>0.57439399999999996</v>
      </c>
      <c r="K47" s="15">
        <v>0.57676000000000005</v>
      </c>
      <c r="L47" s="15">
        <v>0.576797</v>
      </c>
      <c r="M47" s="15">
        <v>0.57683399999999996</v>
      </c>
      <c r="N47" s="15">
        <v>0.57789199999999996</v>
      </c>
      <c r="O47" s="15">
        <v>0.577963</v>
      </c>
      <c r="P47" s="15">
        <v>0.57814600000000005</v>
      </c>
      <c r="Q47" s="15">
        <v>0.57905300000000004</v>
      </c>
      <c r="R47" s="15">
        <v>0.57953299999999996</v>
      </c>
      <c r="S47" s="15">
        <v>0.57953900000000003</v>
      </c>
      <c r="T47" s="15">
        <v>0.57964099999999996</v>
      </c>
      <c r="U47" s="15">
        <v>0.57966300000000004</v>
      </c>
      <c r="V47" s="15">
        <v>0.58112200000000003</v>
      </c>
      <c r="W47" s="15">
        <v>0.582457</v>
      </c>
      <c r="X47" s="15">
        <v>0.58259700000000003</v>
      </c>
      <c r="Y47" s="15">
        <v>0.58462599999999998</v>
      </c>
      <c r="Z47" s="15">
        <v>0.58520099999999997</v>
      </c>
      <c r="AA47" s="15">
        <v>0.58545899999999995</v>
      </c>
      <c r="AB47" s="15">
        <v>0.58585299999999996</v>
      </c>
      <c r="AC47" s="15">
        <v>0.58615099999999998</v>
      </c>
      <c r="AD47" s="15">
        <v>0.58650800000000003</v>
      </c>
      <c r="AE47" s="15">
        <v>0.58690200000000003</v>
      </c>
      <c r="AF47" s="15">
        <v>0.58716999999999997</v>
      </c>
      <c r="AG47" s="15">
        <v>0.58743800000000002</v>
      </c>
      <c r="AH47" s="15">
        <v>0.58770699999999998</v>
      </c>
      <c r="AI47" s="16">
        <v>1.0460000000000001E-3</v>
      </c>
    </row>
    <row r="48" spans="1:35" ht="15" customHeight="1">
      <c r="A48" s="7" t="s">
        <v>273</v>
      </c>
      <c r="B48" s="13" t="s">
        <v>274</v>
      </c>
      <c r="C48" s="17">
        <v>35.857658000000001</v>
      </c>
      <c r="D48" s="17">
        <v>41.082751999999999</v>
      </c>
      <c r="E48" s="17">
        <v>46.674221000000003</v>
      </c>
      <c r="F48" s="17">
        <v>51.053009000000003</v>
      </c>
      <c r="G48" s="17">
        <v>54.512726000000001</v>
      </c>
      <c r="H48" s="17">
        <v>57.513339999999999</v>
      </c>
      <c r="I48" s="17">
        <v>61.176116999999998</v>
      </c>
      <c r="J48" s="17">
        <v>64.874283000000005</v>
      </c>
      <c r="K48" s="17">
        <v>68.530640000000005</v>
      </c>
      <c r="L48" s="17">
        <v>71.887084999999999</v>
      </c>
      <c r="M48" s="17">
        <v>75.309036000000006</v>
      </c>
      <c r="N48" s="17">
        <v>79.030959999999993</v>
      </c>
      <c r="O48" s="17">
        <v>82.055442999999997</v>
      </c>
      <c r="P48" s="17">
        <v>85.001564000000002</v>
      </c>
      <c r="Q48" s="17">
        <v>88.262237999999996</v>
      </c>
      <c r="R48" s="17">
        <v>91.569564999999997</v>
      </c>
      <c r="S48" s="17">
        <v>94.510895000000005</v>
      </c>
      <c r="T48" s="17">
        <v>97.956337000000005</v>
      </c>
      <c r="U48" s="17">
        <v>101.006828</v>
      </c>
      <c r="V48" s="17">
        <v>104.47358699999999</v>
      </c>
      <c r="W48" s="17">
        <v>107.644356</v>
      </c>
      <c r="X48" s="17">
        <v>110.739609</v>
      </c>
      <c r="Y48" s="17">
        <v>113.990257</v>
      </c>
      <c r="Z48" s="17">
        <v>117.26754800000001</v>
      </c>
      <c r="AA48" s="17">
        <v>120.52076</v>
      </c>
      <c r="AB48" s="17">
        <v>123.99299600000001</v>
      </c>
      <c r="AC48" s="17">
        <v>127.32305100000001</v>
      </c>
      <c r="AD48" s="17">
        <v>131.00328099999999</v>
      </c>
      <c r="AE48" s="17">
        <v>134.57749899999999</v>
      </c>
      <c r="AF48" s="17">
        <v>138.08595299999999</v>
      </c>
      <c r="AG48" s="17">
        <v>141.459473</v>
      </c>
      <c r="AH48" s="17">
        <v>145.05381800000001</v>
      </c>
      <c r="AI48" s="18">
        <v>4.6114000000000002E-2</v>
      </c>
    </row>
    <row r="50" spans="1:35" ht="15" customHeight="1">
      <c r="B50" s="13" t="s">
        <v>246</v>
      </c>
    </row>
    <row r="51" spans="1:35" ht="15" customHeight="1">
      <c r="A51" s="7" t="s">
        <v>275</v>
      </c>
      <c r="B51" s="14" t="s">
        <v>229</v>
      </c>
      <c r="C51" s="15">
        <v>1.4172359999999999</v>
      </c>
      <c r="D51" s="15">
        <v>1.4172359999999999</v>
      </c>
      <c r="E51" s="15">
        <v>1.4172359999999999</v>
      </c>
      <c r="F51" s="15">
        <v>1.4172359999999999</v>
      </c>
      <c r="G51" s="15">
        <v>1.4172359999999999</v>
      </c>
      <c r="H51" s="15">
        <v>1.4172359999999999</v>
      </c>
      <c r="I51" s="15">
        <v>1.4172359999999999</v>
      </c>
      <c r="J51" s="15">
        <v>1.4172359999999999</v>
      </c>
      <c r="K51" s="15">
        <v>1.4172359999999999</v>
      </c>
      <c r="L51" s="15">
        <v>1.4172359999999999</v>
      </c>
      <c r="M51" s="15">
        <v>1.4172359999999999</v>
      </c>
      <c r="N51" s="15">
        <v>1.4172359999999999</v>
      </c>
      <c r="O51" s="15">
        <v>1.4172359999999999</v>
      </c>
      <c r="P51" s="15">
        <v>1.4172359999999999</v>
      </c>
      <c r="Q51" s="15">
        <v>1.4172359999999999</v>
      </c>
      <c r="R51" s="15">
        <v>1.4172359999999999</v>
      </c>
      <c r="S51" s="15">
        <v>1.4172359999999999</v>
      </c>
      <c r="T51" s="15">
        <v>1.4172359999999999</v>
      </c>
      <c r="U51" s="15">
        <v>1.4172359999999999</v>
      </c>
      <c r="V51" s="15">
        <v>1.4172359999999999</v>
      </c>
      <c r="W51" s="15">
        <v>1.4172359999999999</v>
      </c>
      <c r="X51" s="15">
        <v>1.4172359999999999</v>
      </c>
      <c r="Y51" s="15">
        <v>1.4172359999999999</v>
      </c>
      <c r="Z51" s="15">
        <v>1.4172359999999999</v>
      </c>
      <c r="AA51" s="15">
        <v>1.4172359999999999</v>
      </c>
      <c r="AB51" s="15">
        <v>1.4172359999999999</v>
      </c>
      <c r="AC51" s="15">
        <v>1.4172359999999999</v>
      </c>
      <c r="AD51" s="15">
        <v>1.4172359999999999</v>
      </c>
      <c r="AE51" s="15">
        <v>1.4172359999999999</v>
      </c>
      <c r="AF51" s="15">
        <v>1.4172359999999999</v>
      </c>
      <c r="AG51" s="15">
        <v>1.4172359999999999</v>
      </c>
      <c r="AH51" s="15">
        <v>1.4172359999999999</v>
      </c>
      <c r="AI51" s="16">
        <v>0</v>
      </c>
    </row>
    <row r="52" spans="1:35" ht="15" customHeight="1">
      <c r="A52" s="7" t="s">
        <v>276</v>
      </c>
      <c r="B52" s="14" t="s">
        <v>266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6" t="s">
        <v>35</v>
      </c>
    </row>
    <row r="53" spans="1:35" ht="15" customHeight="1">
      <c r="A53" s="7" t="s">
        <v>277</v>
      </c>
      <c r="B53" s="14" t="s">
        <v>268</v>
      </c>
      <c r="C53" s="15">
        <v>3.5632869999999999</v>
      </c>
      <c r="D53" s="15">
        <v>3.5632869999999999</v>
      </c>
      <c r="E53" s="15">
        <v>3.5596070000000002</v>
      </c>
      <c r="F53" s="15">
        <v>3.5596070000000002</v>
      </c>
      <c r="G53" s="15">
        <v>3.5596070000000002</v>
      </c>
      <c r="H53" s="15">
        <v>3.5596070000000002</v>
      </c>
      <c r="I53" s="15">
        <v>3.5596070000000002</v>
      </c>
      <c r="J53" s="15">
        <v>3.5596070000000002</v>
      </c>
      <c r="K53" s="15">
        <v>3.5596070000000002</v>
      </c>
      <c r="L53" s="15">
        <v>3.5596070000000002</v>
      </c>
      <c r="M53" s="15">
        <v>3.5596070000000002</v>
      </c>
      <c r="N53" s="15">
        <v>3.5596070000000002</v>
      </c>
      <c r="O53" s="15">
        <v>3.5596070000000002</v>
      </c>
      <c r="P53" s="15">
        <v>3.5596070000000002</v>
      </c>
      <c r="Q53" s="15">
        <v>3.5596070000000002</v>
      </c>
      <c r="R53" s="15">
        <v>3.5596070000000002</v>
      </c>
      <c r="S53" s="15">
        <v>3.5596070000000002</v>
      </c>
      <c r="T53" s="15">
        <v>3.5596070000000002</v>
      </c>
      <c r="U53" s="15">
        <v>3.5596070000000002</v>
      </c>
      <c r="V53" s="15">
        <v>3.5596070000000002</v>
      </c>
      <c r="W53" s="15">
        <v>3.5596070000000002</v>
      </c>
      <c r="X53" s="15">
        <v>3.5596070000000002</v>
      </c>
      <c r="Y53" s="15">
        <v>3.5596070000000002</v>
      </c>
      <c r="Z53" s="15">
        <v>3.5596070000000002</v>
      </c>
      <c r="AA53" s="15">
        <v>3.5596070000000002</v>
      </c>
      <c r="AB53" s="15">
        <v>3.5596070000000002</v>
      </c>
      <c r="AC53" s="15">
        <v>3.5596070000000002</v>
      </c>
      <c r="AD53" s="15">
        <v>3.5596070000000002</v>
      </c>
      <c r="AE53" s="15">
        <v>3.5596070000000002</v>
      </c>
      <c r="AF53" s="15">
        <v>3.5596070000000002</v>
      </c>
      <c r="AG53" s="15">
        <v>3.5596070000000002</v>
      </c>
      <c r="AH53" s="15">
        <v>3.5596070000000002</v>
      </c>
      <c r="AI53" s="16">
        <v>-3.3000000000000003E-5</v>
      </c>
    </row>
    <row r="54" spans="1:35" ht="15" customHeight="1">
      <c r="A54" s="7" t="s">
        <v>278</v>
      </c>
      <c r="B54" s="14" t="s">
        <v>270</v>
      </c>
      <c r="C54" s="15">
        <v>22.884201000000001</v>
      </c>
      <c r="D54" s="15">
        <v>22.737573999999999</v>
      </c>
      <c r="E54" s="15">
        <v>22.647511999999999</v>
      </c>
      <c r="F54" s="15">
        <v>22.650573999999999</v>
      </c>
      <c r="G54" s="15">
        <v>22.678246999999999</v>
      </c>
      <c r="H54" s="15">
        <v>22.773430000000001</v>
      </c>
      <c r="I54" s="15">
        <v>22.855740000000001</v>
      </c>
      <c r="J54" s="15">
        <v>22.984359999999999</v>
      </c>
      <c r="K54" s="15">
        <v>23.097681000000001</v>
      </c>
      <c r="L54" s="15">
        <v>23.237694000000001</v>
      </c>
      <c r="M54" s="15">
        <v>23.379252999999999</v>
      </c>
      <c r="N54" s="15">
        <v>23.537043000000001</v>
      </c>
      <c r="O54" s="15">
        <v>23.705096999999999</v>
      </c>
      <c r="P54" s="15">
        <v>23.869074000000001</v>
      </c>
      <c r="Q54" s="15">
        <v>24.026823</v>
      </c>
      <c r="R54" s="15">
        <v>24.186665999999999</v>
      </c>
      <c r="S54" s="15">
        <v>24.331612</v>
      </c>
      <c r="T54" s="15">
        <v>24.465465999999999</v>
      </c>
      <c r="U54" s="15">
        <v>24.611896999999999</v>
      </c>
      <c r="V54" s="15">
        <v>24.75281</v>
      </c>
      <c r="W54" s="15">
        <v>24.886751</v>
      </c>
      <c r="X54" s="15">
        <v>25.018141</v>
      </c>
      <c r="Y54" s="15">
        <v>25.143702999999999</v>
      </c>
      <c r="Z54" s="15">
        <v>25.272015</v>
      </c>
      <c r="AA54" s="15">
        <v>25.413366</v>
      </c>
      <c r="AB54" s="15">
        <v>25.524543999999999</v>
      </c>
      <c r="AC54" s="15">
        <v>25.640484000000001</v>
      </c>
      <c r="AD54" s="15">
        <v>25.786477999999999</v>
      </c>
      <c r="AE54" s="15">
        <v>25.961157</v>
      </c>
      <c r="AF54" s="15">
        <v>26.099716000000001</v>
      </c>
      <c r="AG54" s="15">
        <v>26.233440000000002</v>
      </c>
      <c r="AH54" s="15">
        <v>26.339357</v>
      </c>
      <c r="AI54" s="16">
        <v>4.5459999999999997E-3</v>
      </c>
    </row>
    <row r="55" spans="1:35" ht="15" customHeight="1">
      <c r="A55" s="7" t="s">
        <v>279</v>
      </c>
      <c r="B55" s="14" t="s">
        <v>239</v>
      </c>
      <c r="C55" s="15">
        <v>40.684379999999997</v>
      </c>
      <c r="D55" s="15">
        <v>47.398712000000003</v>
      </c>
      <c r="E55" s="15">
        <v>54.067024000000004</v>
      </c>
      <c r="F55" s="15">
        <v>59.642493999999999</v>
      </c>
      <c r="G55" s="15">
        <v>64.051888000000005</v>
      </c>
      <c r="H55" s="15">
        <v>67.876884000000004</v>
      </c>
      <c r="I55" s="15">
        <v>72.563568000000004</v>
      </c>
      <c r="J55" s="15">
        <v>77.272598000000002</v>
      </c>
      <c r="K55" s="15">
        <v>81.924232000000003</v>
      </c>
      <c r="L55" s="15">
        <v>86.243294000000006</v>
      </c>
      <c r="M55" s="15">
        <v>90.688889000000003</v>
      </c>
      <c r="N55" s="15">
        <v>95.485373999999993</v>
      </c>
      <c r="O55" s="15">
        <v>99.420494000000005</v>
      </c>
      <c r="P55" s="15">
        <v>103.243454</v>
      </c>
      <c r="Q55" s="15">
        <v>107.45143899999999</v>
      </c>
      <c r="R55" s="15">
        <v>111.74861900000001</v>
      </c>
      <c r="S55" s="15">
        <v>115.596642</v>
      </c>
      <c r="T55" s="15">
        <v>120.071838</v>
      </c>
      <c r="U55" s="15">
        <v>124.075294</v>
      </c>
      <c r="V55" s="15">
        <v>128.56040999999999</v>
      </c>
      <c r="W55" s="15">
        <v>132.70791600000001</v>
      </c>
      <c r="X55" s="15">
        <v>136.79155</v>
      </c>
      <c r="Y55" s="15">
        <v>141.05690000000001</v>
      </c>
      <c r="Z55" s="15">
        <v>145.345032</v>
      </c>
      <c r="AA55" s="15">
        <v>149.67283599999999</v>
      </c>
      <c r="AB55" s="15">
        <v>154.23298600000001</v>
      </c>
      <c r="AC55" s="15">
        <v>158.647156</v>
      </c>
      <c r="AD55" s="15">
        <v>163.48571799999999</v>
      </c>
      <c r="AE55" s="15">
        <v>168.214493</v>
      </c>
      <c r="AF55" s="15">
        <v>172.88574199999999</v>
      </c>
      <c r="AG55" s="15">
        <v>177.40708900000001</v>
      </c>
      <c r="AH55" s="15">
        <v>182.22200000000001</v>
      </c>
      <c r="AI55" s="16">
        <v>4.9556000000000003E-2</v>
      </c>
    </row>
    <row r="56" spans="1:35" ht="15" customHeight="1">
      <c r="A56" s="7" t="s">
        <v>280</v>
      </c>
      <c r="B56" s="14" t="s">
        <v>241</v>
      </c>
      <c r="C56" s="15">
        <v>0.77368400000000004</v>
      </c>
      <c r="D56" s="15">
        <v>0.773787</v>
      </c>
      <c r="E56" s="15">
        <v>0.77495899999999995</v>
      </c>
      <c r="F56" s="15">
        <v>0.77518600000000004</v>
      </c>
      <c r="G56" s="15">
        <v>0.77531899999999998</v>
      </c>
      <c r="H56" s="15">
        <v>0.77635500000000002</v>
      </c>
      <c r="I56" s="15">
        <v>0.77828900000000001</v>
      </c>
      <c r="J56" s="15">
        <v>0.78253300000000003</v>
      </c>
      <c r="K56" s="15">
        <v>0.78648099999999999</v>
      </c>
      <c r="L56" s="15">
        <v>0.78652599999999995</v>
      </c>
      <c r="M56" s="15">
        <v>0.78657200000000005</v>
      </c>
      <c r="N56" s="15">
        <v>0.78831499999999999</v>
      </c>
      <c r="O56" s="15">
        <v>0.78840399999999999</v>
      </c>
      <c r="P56" s="15">
        <v>0.78870200000000001</v>
      </c>
      <c r="Q56" s="15">
        <v>0.79021699999999995</v>
      </c>
      <c r="R56" s="15">
        <v>0.79100400000000004</v>
      </c>
      <c r="S56" s="15">
        <v>0.79100999999999999</v>
      </c>
      <c r="T56" s="15">
        <v>0.79117400000000004</v>
      </c>
      <c r="U56" s="15">
        <v>0.79119600000000001</v>
      </c>
      <c r="V56" s="15">
        <v>0.79361899999999996</v>
      </c>
      <c r="W56" s="15">
        <v>0.79581100000000005</v>
      </c>
      <c r="X56" s="15">
        <v>0.79595499999999997</v>
      </c>
      <c r="Y56" s="15">
        <v>0.79919499999999999</v>
      </c>
      <c r="Z56" s="15">
        <v>0.79998499999999995</v>
      </c>
      <c r="AA56" s="15">
        <v>0.80024899999999999</v>
      </c>
      <c r="AB56" s="15">
        <v>0.80073899999999998</v>
      </c>
      <c r="AC56" s="15">
        <v>0.80106699999999997</v>
      </c>
      <c r="AD56" s="15">
        <v>0.80147599999999997</v>
      </c>
      <c r="AE56" s="15">
        <v>0.80194500000000002</v>
      </c>
      <c r="AF56" s="15">
        <v>0.80221900000000002</v>
      </c>
      <c r="AG56" s="15">
        <v>0.80249199999999998</v>
      </c>
      <c r="AH56" s="15">
        <v>0.80276700000000001</v>
      </c>
      <c r="AI56" s="16">
        <v>1.191E-3</v>
      </c>
    </row>
    <row r="57" spans="1:35" ht="15" customHeight="1">
      <c r="A57" s="7" t="s">
        <v>281</v>
      </c>
      <c r="B57" s="13" t="s">
        <v>282</v>
      </c>
      <c r="C57" s="17">
        <v>69.322783999999999</v>
      </c>
      <c r="D57" s="17">
        <v>75.890593999999993</v>
      </c>
      <c r="E57" s="17">
        <v>82.466330999999997</v>
      </c>
      <c r="F57" s="17">
        <v>88.045096999999998</v>
      </c>
      <c r="G57" s="17">
        <v>92.482299999999995</v>
      </c>
      <c r="H57" s="17">
        <v>96.403510999999995</v>
      </c>
      <c r="I57" s="17">
        <v>101.17443799999999</v>
      </c>
      <c r="J57" s="17">
        <v>106.016335</v>
      </c>
      <c r="K57" s="17">
        <v>110.78524</v>
      </c>
      <c r="L57" s="17">
        <v>115.244362</v>
      </c>
      <c r="M57" s="17">
        <v>119.831558</v>
      </c>
      <c r="N57" s="17">
        <v>124.787575</v>
      </c>
      <c r="O57" s="17">
        <v>128.890839</v>
      </c>
      <c r="P57" s="17">
        <v>132.87806699999999</v>
      </c>
      <c r="Q57" s="17">
        <v>137.24533099999999</v>
      </c>
      <c r="R57" s="17">
        <v>141.703125</v>
      </c>
      <c r="S57" s="17">
        <v>145.69610599999999</v>
      </c>
      <c r="T57" s="17">
        <v>150.30531300000001</v>
      </c>
      <c r="U57" s="17">
        <v>154.455231</v>
      </c>
      <c r="V57" s="17">
        <v>159.08369400000001</v>
      </c>
      <c r="W57" s="17">
        <v>163.36731</v>
      </c>
      <c r="X57" s="17">
        <v>167.58248900000001</v>
      </c>
      <c r="Y57" s="17">
        <v>171.97663900000001</v>
      </c>
      <c r="Z57" s="17">
        <v>176.39387500000001</v>
      </c>
      <c r="AA57" s="17">
        <v>180.86329699999999</v>
      </c>
      <c r="AB57" s="17">
        <v>185.53511</v>
      </c>
      <c r="AC57" s="17">
        <v>190.065552</v>
      </c>
      <c r="AD57" s="17">
        <v>195.050522</v>
      </c>
      <c r="AE57" s="17">
        <v>199.95443700000001</v>
      </c>
      <c r="AF57" s="17">
        <v>204.764511</v>
      </c>
      <c r="AG57" s="17">
        <v>209.419861</v>
      </c>
      <c r="AH57" s="17">
        <v>214.34097299999999</v>
      </c>
      <c r="AI57" s="18">
        <v>3.7083999999999999E-2</v>
      </c>
    </row>
    <row r="60" spans="1:35" ht="15" customHeight="1">
      <c r="B60" s="13" t="s">
        <v>283</v>
      </c>
    </row>
    <row r="61" spans="1:35" ht="15" customHeight="1">
      <c r="B61" s="13" t="s">
        <v>284</v>
      </c>
    </row>
    <row r="62" spans="1:35" ht="15" customHeight="1">
      <c r="A62" s="7" t="s">
        <v>285</v>
      </c>
      <c r="B62" s="14" t="s">
        <v>286</v>
      </c>
      <c r="C62" s="15">
        <v>79.259467999999998</v>
      </c>
      <c r="D62" s="15">
        <v>79.513969000000003</v>
      </c>
      <c r="E62" s="15">
        <v>79.528464999999997</v>
      </c>
      <c r="F62" s="15">
        <v>79.528464999999997</v>
      </c>
      <c r="G62" s="15">
        <v>79.555419999999998</v>
      </c>
      <c r="H62" s="15">
        <v>79.555419999999998</v>
      </c>
      <c r="I62" s="15">
        <v>79.550926000000004</v>
      </c>
      <c r="J62" s="15">
        <v>79.550926000000004</v>
      </c>
      <c r="K62" s="15">
        <v>79.550926000000004</v>
      </c>
      <c r="L62" s="15">
        <v>79.535126000000005</v>
      </c>
      <c r="M62" s="15">
        <v>79.535126000000005</v>
      </c>
      <c r="N62" s="15">
        <v>79.535126000000005</v>
      </c>
      <c r="O62" s="15">
        <v>79.535126000000005</v>
      </c>
      <c r="P62" s="15">
        <v>79.535126000000005</v>
      </c>
      <c r="Q62" s="15">
        <v>79.535126000000005</v>
      </c>
      <c r="R62" s="15">
        <v>79.535126000000005</v>
      </c>
      <c r="S62" s="15">
        <v>79.535126000000005</v>
      </c>
      <c r="T62" s="15">
        <v>79.535126000000005</v>
      </c>
      <c r="U62" s="15">
        <v>79.535126000000005</v>
      </c>
      <c r="V62" s="15">
        <v>79.535126000000005</v>
      </c>
      <c r="W62" s="15">
        <v>79.535126000000005</v>
      </c>
      <c r="X62" s="15">
        <v>79.535126000000005</v>
      </c>
      <c r="Y62" s="15">
        <v>79.535126000000005</v>
      </c>
      <c r="Z62" s="15">
        <v>79.535126000000005</v>
      </c>
      <c r="AA62" s="15">
        <v>79.535126000000005</v>
      </c>
      <c r="AB62" s="15">
        <v>79.535126000000005</v>
      </c>
      <c r="AC62" s="15">
        <v>79.535126000000005</v>
      </c>
      <c r="AD62" s="15">
        <v>79.535126000000005</v>
      </c>
      <c r="AE62" s="15">
        <v>79.535126000000005</v>
      </c>
      <c r="AF62" s="15">
        <v>79.535126000000005</v>
      </c>
      <c r="AG62" s="15">
        <v>79.535126000000005</v>
      </c>
      <c r="AH62" s="15">
        <v>79.535126000000005</v>
      </c>
      <c r="AI62" s="16">
        <v>1.12E-4</v>
      </c>
    </row>
    <row r="63" spans="1:35" ht="15" customHeight="1">
      <c r="A63" s="7" t="s">
        <v>287</v>
      </c>
      <c r="B63" s="14" t="s">
        <v>288</v>
      </c>
      <c r="C63" s="15">
        <v>2.3481999999999998</v>
      </c>
      <c r="D63" s="15">
        <v>2.4630999999999998</v>
      </c>
      <c r="E63" s="15">
        <v>2.4630999999999998</v>
      </c>
      <c r="F63" s="15">
        <v>2.4630999999999998</v>
      </c>
      <c r="G63" s="15">
        <v>2.5880999999999998</v>
      </c>
      <c r="H63" s="15">
        <v>2.7095509999999998</v>
      </c>
      <c r="I63" s="15">
        <v>2.834552</v>
      </c>
      <c r="J63" s="15">
        <v>3.0095510000000001</v>
      </c>
      <c r="K63" s="15">
        <v>3.1784759999999999</v>
      </c>
      <c r="L63" s="15">
        <v>3.3514759999999999</v>
      </c>
      <c r="M63" s="15">
        <v>3.5105550000000001</v>
      </c>
      <c r="N63" s="15">
        <v>3.6835550000000001</v>
      </c>
      <c r="O63" s="15">
        <v>3.8898480000000002</v>
      </c>
      <c r="P63" s="15">
        <v>4.1115729999999999</v>
      </c>
      <c r="Q63" s="15">
        <v>4.3009690000000003</v>
      </c>
      <c r="R63" s="15">
        <v>4.4728560000000002</v>
      </c>
      <c r="S63" s="15">
        <v>4.7138309999999999</v>
      </c>
      <c r="T63" s="15">
        <v>4.9423690000000002</v>
      </c>
      <c r="U63" s="15">
        <v>5.1963889999999999</v>
      </c>
      <c r="V63" s="15">
        <v>5.4177479999999996</v>
      </c>
      <c r="W63" s="15">
        <v>5.6326419999999997</v>
      </c>
      <c r="X63" s="15">
        <v>5.7599869999999997</v>
      </c>
      <c r="Y63" s="15">
        <v>5.8938899999999999</v>
      </c>
      <c r="Z63" s="15">
        <v>6.0361159999999998</v>
      </c>
      <c r="AA63" s="15">
        <v>6.1647990000000004</v>
      </c>
      <c r="AB63" s="15">
        <v>6.2885970000000002</v>
      </c>
      <c r="AC63" s="15">
        <v>6.4043429999999999</v>
      </c>
      <c r="AD63" s="15">
        <v>6.519082</v>
      </c>
      <c r="AE63" s="15">
        <v>6.6300290000000004</v>
      </c>
      <c r="AF63" s="15">
        <v>6.7465820000000001</v>
      </c>
      <c r="AG63" s="15">
        <v>6.8168160000000002</v>
      </c>
      <c r="AH63" s="15">
        <v>6.8648170000000004</v>
      </c>
      <c r="AI63" s="16">
        <v>3.5210999999999999E-2</v>
      </c>
    </row>
    <row r="64" spans="1:35" ht="15" customHeight="1">
      <c r="A64" s="7" t="s">
        <v>289</v>
      </c>
      <c r="B64" s="14" t="s">
        <v>290</v>
      </c>
      <c r="C64" s="15">
        <v>4.0668670000000002</v>
      </c>
      <c r="D64" s="15">
        <v>4.0036670000000001</v>
      </c>
      <c r="E64" s="15">
        <v>4.0036670000000001</v>
      </c>
      <c r="F64" s="15">
        <v>5.0642649999999998</v>
      </c>
      <c r="G64" s="15">
        <v>5.1539330000000003</v>
      </c>
      <c r="H64" s="15">
        <v>5.3756069999999996</v>
      </c>
      <c r="I64" s="15">
        <v>6.7015010000000004</v>
      </c>
      <c r="J64" s="15">
        <v>6.7089860000000003</v>
      </c>
      <c r="K64" s="15">
        <v>6.7125630000000003</v>
      </c>
      <c r="L64" s="15">
        <v>6.7071620000000003</v>
      </c>
      <c r="M64" s="15">
        <v>6.7733730000000003</v>
      </c>
      <c r="N64" s="15">
        <v>6.7980270000000003</v>
      </c>
      <c r="O64" s="15">
        <v>6.8164879999999997</v>
      </c>
      <c r="P64" s="15">
        <v>6.8797230000000003</v>
      </c>
      <c r="Q64" s="15">
        <v>6.8859940000000002</v>
      </c>
      <c r="R64" s="15">
        <v>6.8951019999999996</v>
      </c>
      <c r="S64" s="15">
        <v>6.9079430000000004</v>
      </c>
      <c r="T64" s="15">
        <v>6.918933</v>
      </c>
      <c r="U64" s="15">
        <v>6.9275260000000003</v>
      </c>
      <c r="V64" s="15">
        <v>6.9382999999999999</v>
      </c>
      <c r="W64" s="15">
        <v>6.9455770000000001</v>
      </c>
      <c r="X64" s="15">
        <v>6.9512650000000002</v>
      </c>
      <c r="Y64" s="15">
        <v>6.9589530000000002</v>
      </c>
      <c r="Z64" s="15">
        <v>6.9671880000000002</v>
      </c>
      <c r="AA64" s="15">
        <v>6.9724630000000003</v>
      </c>
      <c r="AB64" s="15">
        <v>6.978561</v>
      </c>
      <c r="AC64" s="15">
        <v>7.0548710000000003</v>
      </c>
      <c r="AD64" s="15">
        <v>7.1896089999999999</v>
      </c>
      <c r="AE64" s="15">
        <v>7.3543890000000003</v>
      </c>
      <c r="AF64" s="15">
        <v>7.4844520000000001</v>
      </c>
      <c r="AG64" s="15">
        <v>7.5969819999999997</v>
      </c>
      <c r="AH64" s="15">
        <v>7.9303049999999997</v>
      </c>
      <c r="AI64" s="16">
        <v>2.1776E-2</v>
      </c>
    </row>
    <row r="65" spans="1:35" ht="15" customHeight="1">
      <c r="A65" s="7" t="s">
        <v>291</v>
      </c>
      <c r="B65" s="14" t="s">
        <v>292</v>
      </c>
      <c r="C65" s="15">
        <v>7.3844919999999998</v>
      </c>
      <c r="D65" s="15">
        <v>7.3958570000000003</v>
      </c>
      <c r="E65" s="15">
        <v>7.7818659999999999</v>
      </c>
      <c r="F65" s="15">
        <v>7.782413</v>
      </c>
      <c r="G65" s="15">
        <v>7.7873450000000002</v>
      </c>
      <c r="H65" s="15">
        <v>7.7883100000000001</v>
      </c>
      <c r="I65" s="15">
        <v>7.8029799999999998</v>
      </c>
      <c r="J65" s="15">
        <v>7.8259059999999998</v>
      </c>
      <c r="K65" s="15">
        <v>7.8461040000000004</v>
      </c>
      <c r="L65" s="15">
        <v>7.8710599999999999</v>
      </c>
      <c r="M65" s="15">
        <v>7.8962919999999999</v>
      </c>
      <c r="N65" s="15">
        <v>7.9244159999999999</v>
      </c>
      <c r="O65" s="15">
        <v>7.9543699999999999</v>
      </c>
      <c r="P65" s="15">
        <v>7.9835969999999996</v>
      </c>
      <c r="Q65" s="15">
        <v>8.0117130000000003</v>
      </c>
      <c r="R65" s="15">
        <v>8.0402039999999992</v>
      </c>
      <c r="S65" s="15">
        <v>8.066039</v>
      </c>
      <c r="T65" s="15">
        <v>8.0898970000000006</v>
      </c>
      <c r="U65" s="15">
        <v>8.1159960000000009</v>
      </c>
      <c r="V65" s="15">
        <v>8.1411119999999997</v>
      </c>
      <c r="W65" s="15">
        <v>8.1649860000000007</v>
      </c>
      <c r="X65" s="15">
        <v>8.1884040000000002</v>
      </c>
      <c r="Y65" s="15">
        <v>8.2107860000000006</v>
      </c>
      <c r="Z65" s="15">
        <v>8.2337140000000009</v>
      </c>
      <c r="AA65" s="15">
        <v>8.2590369999999993</v>
      </c>
      <c r="AB65" s="15">
        <v>8.2788930000000001</v>
      </c>
      <c r="AC65" s="15">
        <v>8.2996149999999993</v>
      </c>
      <c r="AD65" s="15">
        <v>8.3651970000000002</v>
      </c>
      <c r="AE65" s="15">
        <v>8.3990340000000003</v>
      </c>
      <c r="AF65" s="15">
        <v>8.4337520000000001</v>
      </c>
      <c r="AG65" s="15">
        <v>8.4751359999999991</v>
      </c>
      <c r="AH65" s="15">
        <v>8.4982330000000008</v>
      </c>
      <c r="AI65" s="16">
        <v>4.542E-3</v>
      </c>
    </row>
    <row r="66" spans="1:35" ht="15" customHeight="1">
      <c r="A66" s="7" t="s">
        <v>293</v>
      </c>
      <c r="B66" s="14" t="s">
        <v>294</v>
      </c>
      <c r="C66" s="15">
        <v>67.738219999999998</v>
      </c>
      <c r="D66" s="15">
        <v>84.891982999999996</v>
      </c>
      <c r="E66" s="15">
        <v>105.184128</v>
      </c>
      <c r="F66" s="15">
        <v>126.660858</v>
      </c>
      <c r="G66" s="15">
        <v>132.97875999999999</v>
      </c>
      <c r="H66" s="15">
        <v>146.942657</v>
      </c>
      <c r="I66" s="15">
        <v>166.320312</v>
      </c>
      <c r="J66" s="15">
        <v>183.194061</v>
      </c>
      <c r="K66" s="15">
        <v>195.69882200000001</v>
      </c>
      <c r="L66" s="15">
        <v>205.09545900000001</v>
      </c>
      <c r="M66" s="15">
        <v>220.454376</v>
      </c>
      <c r="N66" s="15">
        <v>232.814606</v>
      </c>
      <c r="O66" s="15">
        <v>236.61726400000001</v>
      </c>
      <c r="P66" s="15">
        <v>240.930511</v>
      </c>
      <c r="Q66" s="15">
        <v>245.73971599999999</v>
      </c>
      <c r="R66" s="15">
        <v>249.689392</v>
      </c>
      <c r="S66" s="15">
        <v>255.95481899999999</v>
      </c>
      <c r="T66" s="15">
        <v>264.97796599999998</v>
      </c>
      <c r="U66" s="15">
        <v>274.33264200000002</v>
      </c>
      <c r="V66" s="15">
        <v>285.05276500000002</v>
      </c>
      <c r="W66" s="15">
        <v>296.57019000000003</v>
      </c>
      <c r="X66" s="15">
        <v>309.26953099999997</v>
      </c>
      <c r="Y66" s="15">
        <v>323.56762700000002</v>
      </c>
      <c r="Z66" s="15">
        <v>339.55401599999999</v>
      </c>
      <c r="AA66" s="15">
        <v>357.424103</v>
      </c>
      <c r="AB66" s="15">
        <v>377.269745</v>
      </c>
      <c r="AC66" s="15">
        <v>396.76034499999997</v>
      </c>
      <c r="AD66" s="15">
        <v>410.54495200000002</v>
      </c>
      <c r="AE66" s="15">
        <v>422.70056199999999</v>
      </c>
      <c r="AF66" s="15">
        <v>431.26684599999999</v>
      </c>
      <c r="AG66" s="15">
        <v>440.53460699999999</v>
      </c>
      <c r="AH66" s="15">
        <v>449.822632</v>
      </c>
      <c r="AI66" s="16">
        <v>6.2974000000000002E-2</v>
      </c>
    </row>
    <row r="67" spans="1:35" ht="15" customHeight="1">
      <c r="A67" s="7" t="s">
        <v>295</v>
      </c>
      <c r="B67" s="14" t="s">
        <v>296</v>
      </c>
      <c r="C67" s="15">
        <v>107.377319</v>
      </c>
      <c r="D67" s="15">
        <v>122.026375</v>
      </c>
      <c r="E67" s="15">
        <v>125.70307200000001</v>
      </c>
      <c r="F67" s="15">
        <v>141.28564499999999</v>
      </c>
      <c r="G67" s="15">
        <v>159.12171900000001</v>
      </c>
      <c r="H67" s="15">
        <v>160.98886100000001</v>
      </c>
      <c r="I67" s="15">
        <v>161.45268200000001</v>
      </c>
      <c r="J67" s="15">
        <v>161.89402799999999</v>
      </c>
      <c r="K67" s="15">
        <v>162.15181000000001</v>
      </c>
      <c r="L67" s="15">
        <v>165.02226300000001</v>
      </c>
      <c r="M67" s="15">
        <v>166.56068400000001</v>
      </c>
      <c r="N67" s="15">
        <v>173.690155</v>
      </c>
      <c r="O67" s="15">
        <v>173.838684</v>
      </c>
      <c r="P67" s="15">
        <v>173.95478800000001</v>
      </c>
      <c r="Q67" s="15">
        <v>174.38473500000001</v>
      </c>
      <c r="R67" s="15">
        <v>174.99363700000001</v>
      </c>
      <c r="S67" s="15">
        <v>183.51783800000001</v>
      </c>
      <c r="T67" s="15">
        <v>184.58221399999999</v>
      </c>
      <c r="U67" s="15">
        <v>185.003311</v>
      </c>
      <c r="V67" s="15">
        <v>186.35154700000001</v>
      </c>
      <c r="W67" s="15">
        <v>186.35289</v>
      </c>
      <c r="X67" s="15">
        <v>187.46077</v>
      </c>
      <c r="Y67" s="15">
        <v>188.724762</v>
      </c>
      <c r="Z67" s="15">
        <v>190.22534200000001</v>
      </c>
      <c r="AA67" s="15">
        <v>191.950592</v>
      </c>
      <c r="AB67" s="15">
        <v>193.24804700000001</v>
      </c>
      <c r="AC67" s="15">
        <v>195.03372200000001</v>
      </c>
      <c r="AD67" s="15">
        <v>196.403122</v>
      </c>
      <c r="AE67" s="15">
        <v>198.26774599999999</v>
      </c>
      <c r="AF67" s="15">
        <v>200.41189600000001</v>
      </c>
      <c r="AG67" s="15">
        <v>202.87759399999999</v>
      </c>
      <c r="AH67" s="15">
        <v>205.71315000000001</v>
      </c>
      <c r="AI67" s="16">
        <v>2.1194000000000001E-2</v>
      </c>
    </row>
    <row r="68" spans="1:35" ht="15" customHeight="1">
      <c r="A68" s="7" t="s">
        <v>297</v>
      </c>
      <c r="B68" s="13" t="s">
        <v>298</v>
      </c>
      <c r="C68" s="17">
        <v>268.17456099999998</v>
      </c>
      <c r="D68" s="17">
        <v>300.29495200000002</v>
      </c>
      <c r="E68" s="17">
        <v>324.66430700000001</v>
      </c>
      <c r="F68" s="17">
        <v>362.78472900000003</v>
      </c>
      <c r="G68" s="17">
        <v>387.18530299999998</v>
      </c>
      <c r="H68" s="17">
        <v>403.36041299999999</v>
      </c>
      <c r="I68" s="17">
        <v>424.66296399999999</v>
      </c>
      <c r="J68" s="17">
        <v>442.18347199999999</v>
      </c>
      <c r="K68" s="17">
        <v>455.13867199999999</v>
      </c>
      <c r="L68" s="17">
        <v>467.582581</v>
      </c>
      <c r="M68" s="17">
        <v>484.73040800000001</v>
      </c>
      <c r="N68" s="17">
        <v>504.44589200000001</v>
      </c>
      <c r="O68" s="17">
        <v>508.651794</v>
      </c>
      <c r="P68" s="17">
        <v>513.39532499999996</v>
      </c>
      <c r="Q68" s="17">
        <v>518.85827600000005</v>
      </c>
      <c r="R68" s="17">
        <v>523.62634300000002</v>
      </c>
      <c r="S68" s="17">
        <v>538.69561799999997</v>
      </c>
      <c r="T68" s="17">
        <v>549.04650900000001</v>
      </c>
      <c r="U68" s="17">
        <v>559.11096199999997</v>
      </c>
      <c r="V68" s="17">
        <v>571.43658400000004</v>
      </c>
      <c r="W68" s="17">
        <v>583.20141599999999</v>
      </c>
      <c r="X68" s="17">
        <v>597.16510000000005</v>
      </c>
      <c r="Y68" s="17">
        <v>612.89111300000002</v>
      </c>
      <c r="Z68" s="17">
        <v>630.551514</v>
      </c>
      <c r="AA68" s="17">
        <v>650.306152</v>
      </c>
      <c r="AB68" s="17">
        <v>671.59899900000005</v>
      </c>
      <c r="AC68" s="17">
        <v>693.08801300000005</v>
      </c>
      <c r="AD68" s="17">
        <v>708.55706799999996</v>
      </c>
      <c r="AE68" s="17">
        <v>722.88690199999996</v>
      </c>
      <c r="AF68" s="17">
        <v>733.87866199999996</v>
      </c>
      <c r="AG68" s="17">
        <v>745.83630400000004</v>
      </c>
      <c r="AH68" s="17">
        <v>758.36425799999995</v>
      </c>
      <c r="AI68" s="18">
        <v>3.4102E-2</v>
      </c>
    </row>
    <row r="70" spans="1:35" ht="15" customHeight="1">
      <c r="B70" s="13" t="s">
        <v>299</v>
      </c>
    </row>
    <row r="71" spans="1:35" ht="15" customHeight="1">
      <c r="A71" s="7" t="s">
        <v>300</v>
      </c>
      <c r="B71" s="14" t="s">
        <v>286</v>
      </c>
      <c r="C71" s="15">
        <v>288.26693699999998</v>
      </c>
      <c r="D71" s="15">
        <v>292.26767000000001</v>
      </c>
      <c r="E71" s="15">
        <v>292.70632899999998</v>
      </c>
      <c r="F71" s="15">
        <v>291.82321200000001</v>
      </c>
      <c r="G71" s="15">
        <v>292.04049700000002</v>
      </c>
      <c r="H71" s="15">
        <v>291.97161899999998</v>
      </c>
      <c r="I71" s="15">
        <v>291.82128899999998</v>
      </c>
      <c r="J71" s="15">
        <v>291.86535600000002</v>
      </c>
      <c r="K71" s="15">
        <v>291.82974200000001</v>
      </c>
      <c r="L71" s="15">
        <v>291.63003500000002</v>
      </c>
      <c r="M71" s="15">
        <v>291.56066900000002</v>
      </c>
      <c r="N71" s="15">
        <v>291.50482199999999</v>
      </c>
      <c r="O71" s="15">
        <v>291.47351099999997</v>
      </c>
      <c r="P71" s="15">
        <v>291.394318</v>
      </c>
      <c r="Q71" s="15">
        <v>291.39288299999998</v>
      </c>
      <c r="R71" s="15">
        <v>291.546875</v>
      </c>
      <c r="S71" s="15">
        <v>291.547394</v>
      </c>
      <c r="T71" s="15">
        <v>291.503601</v>
      </c>
      <c r="U71" s="15">
        <v>291.40588400000001</v>
      </c>
      <c r="V71" s="15">
        <v>291.3125</v>
      </c>
      <c r="W71" s="15">
        <v>291.16796900000003</v>
      </c>
      <c r="X71" s="15">
        <v>290.897583</v>
      </c>
      <c r="Y71" s="15">
        <v>290.482483</v>
      </c>
      <c r="Z71" s="15">
        <v>289.07882699999999</v>
      </c>
      <c r="AA71" s="15">
        <v>289.50170900000001</v>
      </c>
      <c r="AB71" s="15">
        <v>289.52654999999999</v>
      </c>
      <c r="AC71" s="15">
        <v>288.46975700000002</v>
      </c>
      <c r="AD71" s="15">
        <v>288.72174100000001</v>
      </c>
      <c r="AE71" s="15">
        <v>289.733002</v>
      </c>
      <c r="AF71" s="15">
        <v>289.92907700000001</v>
      </c>
      <c r="AG71" s="15">
        <v>289.569794</v>
      </c>
      <c r="AH71" s="15">
        <v>288.78921500000001</v>
      </c>
      <c r="AI71" s="16">
        <v>5.8E-5</v>
      </c>
    </row>
    <row r="72" spans="1:35" ht="15" customHeight="1">
      <c r="A72" s="7" t="s">
        <v>301</v>
      </c>
      <c r="B72" s="14" t="s">
        <v>288</v>
      </c>
      <c r="C72" s="15">
        <v>16.426468</v>
      </c>
      <c r="D72" s="15">
        <v>16.361433000000002</v>
      </c>
      <c r="E72" s="15">
        <v>16.888786</v>
      </c>
      <c r="F72" s="15">
        <v>16.702055000000001</v>
      </c>
      <c r="G72" s="15">
        <v>17.761251000000001</v>
      </c>
      <c r="H72" s="15">
        <v>18.722135999999999</v>
      </c>
      <c r="I72" s="15">
        <v>19.68355</v>
      </c>
      <c r="J72" s="15">
        <v>21.074532999999999</v>
      </c>
      <c r="K72" s="15">
        <v>22.416073000000001</v>
      </c>
      <c r="L72" s="15">
        <v>23.796101</v>
      </c>
      <c r="M72" s="15">
        <v>25.068382</v>
      </c>
      <c r="N72" s="15">
        <v>26.471848999999999</v>
      </c>
      <c r="O72" s="15">
        <v>28.113707999999999</v>
      </c>
      <c r="P72" s="15">
        <v>29.887620999999999</v>
      </c>
      <c r="Q72" s="15">
        <v>31.406464</v>
      </c>
      <c r="R72" s="15">
        <v>32.766171</v>
      </c>
      <c r="S72" s="15">
        <v>34.688262999999999</v>
      </c>
      <c r="T72" s="15">
        <v>36.518889999999999</v>
      </c>
      <c r="U72" s="15">
        <v>38.554043</v>
      </c>
      <c r="V72" s="15">
        <v>40.325896999999998</v>
      </c>
      <c r="W72" s="15">
        <v>42.031756999999999</v>
      </c>
      <c r="X72" s="15">
        <v>43.064163000000001</v>
      </c>
      <c r="Y72" s="15">
        <v>44.175514</v>
      </c>
      <c r="Z72" s="15">
        <v>45.35313</v>
      </c>
      <c r="AA72" s="15">
        <v>46.427821999999999</v>
      </c>
      <c r="AB72" s="15">
        <v>47.466147999999997</v>
      </c>
      <c r="AC72" s="15">
        <v>48.413834000000001</v>
      </c>
      <c r="AD72" s="15">
        <v>49.341461000000002</v>
      </c>
      <c r="AE72" s="15">
        <v>50.238968</v>
      </c>
      <c r="AF72" s="15">
        <v>51.188949999999998</v>
      </c>
      <c r="AG72" s="15">
        <v>51.794857</v>
      </c>
      <c r="AH72" s="15">
        <v>52.168888000000003</v>
      </c>
      <c r="AI72" s="16">
        <v>3.7981000000000001E-2</v>
      </c>
    </row>
    <row r="73" spans="1:35" ht="15" customHeight="1">
      <c r="A73" s="7" t="s">
        <v>302</v>
      </c>
      <c r="B73" s="14" t="s">
        <v>290</v>
      </c>
      <c r="C73" s="15">
        <v>22.184891</v>
      </c>
      <c r="D73" s="15">
        <v>21.875498</v>
      </c>
      <c r="E73" s="15">
        <v>22.018335</v>
      </c>
      <c r="F73" s="15">
        <v>30.857645000000002</v>
      </c>
      <c r="G73" s="15">
        <v>31.643383</v>
      </c>
      <c r="H73" s="15">
        <v>33.520266999999997</v>
      </c>
      <c r="I73" s="15">
        <v>44.64629</v>
      </c>
      <c r="J73" s="15">
        <v>44.743755</v>
      </c>
      <c r="K73" s="15">
        <v>44.785758999999999</v>
      </c>
      <c r="L73" s="15">
        <v>44.799942000000001</v>
      </c>
      <c r="M73" s="15">
        <v>45.385219999999997</v>
      </c>
      <c r="N73" s="15">
        <v>45.933349999999997</v>
      </c>
      <c r="O73" s="15">
        <v>46.157822000000003</v>
      </c>
      <c r="P73" s="15">
        <v>46.729919000000002</v>
      </c>
      <c r="Q73" s="15">
        <v>46.826923000000001</v>
      </c>
      <c r="R73" s="15">
        <v>46.919651000000002</v>
      </c>
      <c r="S73" s="15">
        <v>46.798389</v>
      </c>
      <c r="T73" s="15">
        <v>46.898437999999999</v>
      </c>
      <c r="U73" s="15">
        <v>47.000152999999997</v>
      </c>
      <c r="V73" s="15">
        <v>47.144660999999999</v>
      </c>
      <c r="W73" s="15">
        <v>47.465232999999998</v>
      </c>
      <c r="X73" s="15">
        <v>47.559871999999999</v>
      </c>
      <c r="Y73" s="15">
        <v>47.731296999999998</v>
      </c>
      <c r="Z73" s="15">
        <v>48.058371999999999</v>
      </c>
      <c r="AA73" s="15">
        <v>48.143706999999999</v>
      </c>
      <c r="AB73" s="15">
        <v>48.255710999999998</v>
      </c>
      <c r="AC73" s="15">
        <v>48.976429000000003</v>
      </c>
      <c r="AD73" s="15">
        <v>50.346801999999997</v>
      </c>
      <c r="AE73" s="15">
        <v>51.738689000000001</v>
      </c>
      <c r="AF73" s="15">
        <v>52.825695000000003</v>
      </c>
      <c r="AG73" s="15">
        <v>53.839461999999997</v>
      </c>
      <c r="AH73" s="15">
        <v>56.981032999999996</v>
      </c>
      <c r="AI73" s="16">
        <v>3.0897000000000001E-2</v>
      </c>
    </row>
    <row r="74" spans="1:35" ht="15" customHeight="1">
      <c r="A74" s="7" t="s">
        <v>303</v>
      </c>
      <c r="B74" s="14" t="s">
        <v>304</v>
      </c>
      <c r="C74" s="15">
        <v>35.442214999999997</v>
      </c>
      <c r="D74" s="15">
        <v>35.937674999999999</v>
      </c>
      <c r="E74" s="15">
        <v>36.005111999999997</v>
      </c>
      <c r="F74" s="15">
        <v>36.005592</v>
      </c>
      <c r="G74" s="15">
        <v>36.036113999999998</v>
      </c>
      <c r="H74" s="15">
        <v>36.060814000000001</v>
      </c>
      <c r="I74" s="15">
        <v>36.143745000000003</v>
      </c>
      <c r="J74" s="15">
        <v>36.378605</v>
      </c>
      <c r="K74" s="15">
        <v>36.422955000000002</v>
      </c>
      <c r="L74" s="15">
        <v>36.617538000000003</v>
      </c>
      <c r="M74" s="15">
        <v>36.804543000000002</v>
      </c>
      <c r="N74" s="15">
        <v>37.060626999999997</v>
      </c>
      <c r="O74" s="15">
        <v>37.301307999999999</v>
      </c>
      <c r="P74" s="15">
        <v>37.513545999999998</v>
      </c>
      <c r="Q74" s="15">
        <v>37.774749999999997</v>
      </c>
      <c r="R74" s="15">
        <v>37.891254000000004</v>
      </c>
      <c r="S74" s="15">
        <v>37.903305000000003</v>
      </c>
      <c r="T74" s="15">
        <v>38.129542999999998</v>
      </c>
      <c r="U74" s="15">
        <v>38.259796000000001</v>
      </c>
      <c r="V74" s="15">
        <v>38.417907999999997</v>
      </c>
      <c r="W74" s="15">
        <v>38.597003999999998</v>
      </c>
      <c r="X74" s="15">
        <v>38.739440999999999</v>
      </c>
      <c r="Y74" s="15">
        <v>38.859856000000001</v>
      </c>
      <c r="Z74" s="15">
        <v>38.958663999999999</v>
      </c>
      <c r="AA74" s="15">
        <v>39.274833999999998</v>
      </c>
      <c r="AB74" s="15">
        <v>39.385680999999998</v>
      </c>
      <c r="AC74" s="15">
        <v>39.457329000000001</v>
      </c>
      <c r="AD74" s="15">
        <v>39.639904000000001</v>
      </c>
      <c r="AE74" s="15">
        <v>39.920684999999999</v>
      </c>
      <c r="AF74" s="15">
        <v>40.060046999999997</v>
      </c>
      <c r="AG74" s="15">
        <v>40.333530000000003</v>
      </c>
      <c r="AH74" s="15">
        <v>40.266044999999998</v>
      </c>
      <c r="AI74" s="16">
        <v>4.1250000000000002E-3</v>
      </c>
    </row>
    <row r="75" spans="1:35" ht="15" customHeight="1">
      <c r="A75" s="7" t="s">
        <v>305</v>
      </c>
      <c r="B75" s="14" t="s">
        <v>294</v>
      </c>
      <c r="C75" s="15">
        <v>113.36726400000001</v>
      </c>
      <c r="D75" s="15">
        <v>140.73165900000001</v>
      </c>
      <c r="E75" s="15">
        <v>181.08364900000001</v>
      </c>
      <c r="F75" s="15">
        <v>222.184662</v>
      </c>
      <c r="G75" s="15">
        <v>239.78417999999999</v>
      </c>
      <c r="H75" s="15">
        <v>267.79650900000001</v>
      </c>
      <c r="I75" s="15">
        <v>312.47213699999998</v>
      </c>
      <c r="J75" s="15">
        <v>351.97631799999999</v>
      </c>
      <c r="K75" s="15">
        <v>380.75848400000001</v>
      </c>
      <c r="L75" s="15">
        <v>401.51367199999999</v>
      </c>
      <c r="M75" s="15">
        <v>433.791809</v>
      </c>
      <c r="N75" s="15">
        <v>463.19976800000001</v>
      </c>
      <c r="O75" s="15">
        <v>473.265106</v>
      </c>
      <c r="P75" s="15">
        <v>480.54235799999998</v>
      </c>
      <c r="Q75" s="15">
        <v>488.78744499999999</v>
      </c>
      <c r="R75" s="15">
        <v>495.53396600000002</v>
      </c>
      <c r="S75" s="15">
        <v>506.37890599999997</v>
      </c>
      <c r="T75" s="15">
        <v>524.158997</v>
      </c>
      <c r="U75" s="15">
        <v>545.56195100000002</v>
      </c>
      <c r="V75" s="15">
        <v>569.56225600000005</v>
      </c>
      <c r="W75" s="15">
        <v>595.65576199999998</v>
      </c>
      <c r="X75" s="15">
        <v>624.5625</v>
      </c>
      <c r="Y75" s="15">
        <v>656.17962599999998</v>
      </c>
      <c r="Z75" s="15">
        <v>693.19232199999999</v>
      </c>
      <c r="AA75" s="15">
        <v>734.29681400000004</v>
      </c>
      <c r="AB75" s="15">
        <v>781.10540800000001</v>
      </c>
      <c r="AC75" s="15">
        <v>827.14074700000003</v>
      </c>
      <c r="AD75" s="15">
        <v>859.67511000000002</v>
      </c>
      <c r="AE75" s="15">
        <v>885.82641599999999</v>
      </c>
      <c r="AF75" s="15">
        <v>904.21051</v>
      </c>
      <c r="AG75" s="15">
        <v>925.83947799999999</v>
      </c>
      <c r="AH75" s="15">
        <v>946.05755599999998</v>
      </c>
      <c r="AI75" s="16">
        <v>7.0836999999999997E-2</v>
      </c>
    </row>
    <row r="76" spans="1:35" ht="15" customHeight="1">
      <c r="A76" s="7" t="s">
        <v>306</v>
      </c>
      <c r="B76" s="14" t="s">
        <v>296</v>
      </c>
      <c r="C76" s="15">
        <v>296.31545999999997</v>
      </c>
      <c r="D76" s="15">
        <v>336.97134399999999</v>
      </c>
      <c r="E76" s="15">
        <v>369.99575800000002</v>
      </c>
      <c r="F76" s="15">
        <v>426.213684</v>
      </c>
      <c r="G76" s="15">
        <v>491.642944</v>
      </c>
      <c r="H76" s="15">
        <v>510.042419</v>
      </c>
      <c r="I76" s="15">
        <v>513.15594499999997</v>
      </c>
      <c r="J76" s="15">
        <v>514.62609899999995</v>
      </c>
      <c r="K76" s="15">
        <v>515.76220699999999</v>
      </c>
      <c r="L76" s="15">
        <v>524.47406000000001</v>
      </c>
      <c r="M76" s="15">
        <v>531.25866699999995</v>
      </c>
      <c r="N76" s="15">
        <v>556.38580300000001</v>
      </c>
      <c r="O76" s="15">
        <v>562.59429899999998</v>
      </c>
      <c r="P76" s="15">
        <v>563.05127000000005</v>
      </c>
      <c r="Q76" s="15">
        <v>564.43945299999996</v>
      </c>
      <c r="R76" s="15">
        <v>566.85632299999997</v>
      </c>
      <c r="S76" s="15">
        <v>593.09930399999996</v>
      </c>
      <c r="T76" s="15">
        <v>603.80981399999996</v>
      </c>
      <c r="U76" s="15">
        <v>605.75140399999998</v>
      </c>
      <c r="V76" s="15">
        <v>609.91815199999996</v>
      </c>
      <c r="W76" s="15">
        <v>610.86962900000003</v>
      </c>
      <c r="X76" s="15">
        <v>614.01629600000001</v>
      </c>
      <c r="Y76" s="15">
        <v>618.30993699999999</v>
      </c>
      <c r="Z76" s="15">
        <v>622.91290300000003</v>
      </c>
      <c r="AA76" s="15">
        <v>629.16595500000005</v>
      </c>
      <c r="AB76" s="15">
        <v>632.99597200000005</v>
      </c>
      <c r="AC76" s="15">
        <v>640.49566700000003</v>
      </c>
      <c r="AD76" s="15">
        <v>645.14544699999999</v>
      </c>
      <c r="AE76" s="15">
        <v>651.45471199999997</v>
      </c>
      <c r="AF76" s="15">
        <v>659.28417999999999</v>
      </c>
      <c r="AG76" s="15">
        <v>667.645264</v>
      </c>
      <c r="AH76" s="15">
        <v>679.74383499999999</v>
      </c>
      <c r="AI76" s="16">
        <v>2.7146E-2</v>
      </c>
    </row>
    <row r="77" spans="1:35" ht="15" customHeight="1">
      <c r="A77" s="7" t="s">
        <v>307</v>
      </c>
      <c r="B77" s="13" t="s">
        <v>308</v>
      </c>
      <c r="C77" s="17">
        <v>772.00317399999994</v>
      </c>
      <c r="D77" s="17">
        <v>844.145264</v>
      </c>
      <c r="E77" s="17">
        <v>918.69799799999998</v>
      </c>
      <c r="F77" s="17">
        <v>1023.786804</v>
      </c>
      <c r="G77" s="17">
        <v>1108.9083250000001</v>
      </c>
      <c r="H77" s="17">
        <v>1158.1137699999999</v>
      </c>
      <c r="I77" s="17">
        <v>1217.9229740000001</v>
      </c>
      <c r="J77" s="17">
        <v>1260.664673</v>
      </c>
      <c r="K77" s="17">
        <v>1291.97522</v>
      </c>
      <c r="L77" s="17">
        <v>1322.8312989999999</v>
      </c>
      <c r="M77" s="17">
        <v>1363.869263</v>
      </c>
      <c r="N77" s="17">
        <v>1420.5561520000001</v>
      </c>
      <c r="O77" s="17">
        <v>1438.9057620000001</v>
      </c>
      <c r="P77" s="17">
        <v>1449.119019</v>
      </c>
      <c r="Q77" s="17">
        <v>1460.6279300000001</v>
      </c>
      <c r="R77" s="17">
        <v>1471.5142820000001</v>
      </c>
      <c r="S77" s="17">
        <v>1510.4155270000001</v>
      </c>
      <c r="T77" s="17">
        <v>1541.0192870000001</v>
      </c>
      <c r="U77" s="17">
        <v>1566.533203</v>
      </c>
      <c r="V77" s="17">
        <v>1596.6813959999999</v>
      </c>
      <c r="W77" s="17">
        <v>1625.7873540000001</v>
      </c>
      <c r="X77" s="17">
        <v>1658.8398440000001</v>
      </c>
      <c r="Y77" s="17">
        <v>1695.7386469999999</v>
      </c>
      <c r="Z77" s="17">
        <v>1737.5541989999999</v>
      </c>
      <c r="AA77" s="17">
        <v>1786.8107910000001</v>
      </c>
      <c r="AB77" s="17">
        <v>1838.7354740000001</v>
      </c>
      <c r="AC77" s="17">
        <v>1892.953857</v>
      </c>
      <c r="AD77" s="17">
        <v>1932.870361</v>
      </c>
      <c r="AE77" s="17">
        <v>1968.912476</v>
      </c>
      <c r="AF77" s="17">
        <v>1997.4985349999999</v>
      </c>
      <c r="AG77" s="17">
        <v>2029.0223390000001</v>
      </c>
      <c r="AH77" s="17">
        <v>2064.0065920000002</v>
      </c>
      <c r="AI77" s="18">
        <v>3.2231999999999997E-2</v>
      </c>
    </row>
    <row r="78" spans="1:35" ht="15" customHeight="1" thickBot="1"/>
    <row r="79" spans="1:35" ht="15" customHeight="1">
      <c r="B79" s="56" t="s">
        <v>309</v>
      </c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</row>
    <row r="80" spans="1:35" ht="15" customHeight="1">
      <c r="B80" s="8" t="s">
        <v>310</v>
      </c>
    </row>
    <row r="81" spans="2:2" ht="15" customHeight="1">
      <c r="B81" s="8" t="s">
        <v>311</v>
      </c>
    </row>
    <row r="82" spans="2:2" ht="15" customHeight="1">
      <c r="B82" s="8" t="s">
        <v>312</v>
      </c>
    </row>
    <row r="83" spans="2:2" ht="15" customHeight="1">
      <c r="B83" s="8" t="s">
        <v>313</v>
      </c>
    </row>
    <row r="84" spans="2:2" ht="15" customHeight="1">
      <c r="B84" s="8" t="s">
        <v>314</v>
      </c>
    </row>
    <row r="85" spans="2:2" ht="15" customHeight="1">
      <c r="B85" s="8" t="s">
        <v>315</v>
      </c>
    </row>
    <row r="86" spans="2:2" ht="15" customHeight="1">
      <c r="B86" s="8" t="s">
        <v>316</v>
      </c>
    </row>
    <row r="87" spans="2:2" ht="15" customHeight="1">
      <c r="B87" s="8" t="s">
        <v>317</v>
      </c>
    </row>
    <row r="88" spans="2:2" ht="15" customHeight="1">
      <c r="B88" s="8" t="s">
        <v>318</v>
      </c>
    </row>
    <row r="89" spans="2:2" ht="15" customHeight="1">
      <c r="B89" s="8" t="s">
        <v>319</v>
      </c>
    </row>
    <row r="90" spans="2:2" ht="15" customHeight="1">
      <c r="B90" s="8" t="s">
        <v>320</v>
      </c>
    </row>
    <row r="91" spans="2:2" ht="15" customHeight="1">
      <c r="B91" s="8" t="s">
        <v>113</v>
      </c>
    </row>
    <row r="92" spans="2:2" ht="15" customHeight="1">
      <c r="B92" s="8" t="s">
        <v>114</v>
      </c>
    </row>
    <row r="93" spans="2:2" ht="15" customHeight="1">
      <c r="B93" s="8" t="s">
        <v>321</v>
      </c>
    </row>
    <row r="94" spans="2:2" ht="15" customHeight="1">
      <c r="B94" s="8" t="s">
        <v>322</v>
      </c>
    </row>
    <row r="95" spans="2:2" ht="15" customHeight="1">
      <c r="B95" s="8" t="s">
        <v>117</v>
      </c>
    </row>
    <row r="96" spans="2:2" ht="15" customHeight="1">
      <c r="B96" s="8" t="s">
        <v>131</v>
      </c>
    </row>
    <row r="97" spans="2:2" ht="15" customHeight="1">
      <c r="B97" s="8" t="s">
        <v>132</v>
      </c>
    </row>
    <row r="98" spans="2:2" ht="15" customHeight="1">
      <c r="B98" s="8" t="s">
        <v>133</v>
      </c>
    </row>
  </sheetData>
  <mergeCells count="1">
    <mergeCell ref="B79:AI79"/>
  </mergeCells>
  <phoneticPr fontId="3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2"/>
  <sheetViews>
    <sheetView tabSelected="1" topLeftCell="C1" workbookViewId="0">
      <selection activeCell="B2" sqref="B2:AF2"/>
    </sheetView>
  </sheetViews>
  <sheetFormatPr baseColWidth="10" defaultColWidth="9" defaultRowHeight="14"/>
  <cols>
    <col min="1" max="1" width="33.19921875" customWidth="1"/>
  </cols>
  <sheetData>
    <row r="1" spans="1:32">
      <c r="A1" s="9" t="s">
        <v>138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140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</row>
  </sheetData>
  <phoneticPr fontId="33" type="noConversion"/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F2"/>
  <sheetViews>
    <sheetView workbookViewId="0">
      <selection activeCell="F2" sqref="F2"/>
    </sheetView>
  </sheetViews>
  <sheetFormatPr baseColWidth="10" defaultColWidth="9" defaultRowHeight="14"/>
  <cols>
    <col min="1" max="1" width="47.19921875" customWidth="1"/>
    <col min="2" max="32" width="10.59765625" bestFit="1" customWidth="1"/>
  </cols>
  <sheetData>
    <row r="1" spans="1:32">
      <c r="A1" s="9" t="s">
        <v>138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139</v>
      </c>
      <c r="B2" s="5">
        <v>0</v>
      </c>
      <c r="C2" s="5">
        <v>0</v>
      </c>
      <c r="D2" s="5">
        <v>0</v>
      </c>
      <c r="E2" s="5">
        <f>'2035 Report Deployment'!F6-BGBSC!E2</f>
        <v>11804.686750000001</v>
      </c>
      <c r="F2" s="5">
        <f>'2035 Report Deployment'!G6-BGBSC!F2</f>
        <v>17565.830249999999</v>
      </c>
      <c r="G2" s="5">
        <f>'2035 Report Deployment'!H6-BGBSC!G2</f>
        <v>26476.518750000003</v>
      </c>
      <c r="H2" s="5">
        <f>'2035 Report Deployment'!I6-BGBSC!H2</f>
        <v>33859.743750000001</v>
      </c>
      <c r="I2" s="5">
        <f>'2035 Report Deployment'!J6-BGBSC!I2</f>
        <v>40566.781250000007</v>
      </c>
      <c r="J2" s="5">
        <f>'2035 Report Deployment'!K6-BGBSC!J2</f>
        <v>47273.818750000006</v>
      </c>
      <c r="K2" s="5">
        <f>'2035 Report Deployment'!L6-BGBSC!K2</f>
        <v>57898.606250000012</v>
      </c>
      <c r="L2" s="5">
        <f>'2035 Report Deployment'!M6-BGBSC!L2</f>
        <v>82228.072500000024</v>
      </c>
      <c r="M2" s="5">
        <f>'2035 Report Deployment'!N6-BGBSC!M2</f>
        <v>105613.67250000002</v>
      </c>
      <c r="N2" s="5">
        <f>'2035 Report Deployment'!O6-BGBSC!N2</f>
        <v>128999.27250000002</v>
      </c>
      <c r="O2" s="5">
        <f>'2035 Report Deployment'!P6-BGBSC!O2</f>
        <v>158416.52250000002</v>
      </c>
      <c r="P2" s="5">
        <f>'2035 Report Deployment'!Q6-BGBSC!P2</f>
        <v>187833.77250000002</v>
      </c>
      <c r="Q2" s="5">
        <f>'2035 Report Deployment'!R6-BGBSC!Q2</f>
        <v>217251.02250000002</v>
      </c>
      <c r="R2" s="5">
        <f>'2035 Report Deployment'!S6-BGBSC!R2</f>
        <v>236862.52250000002</v>
      </c>
      <c r="S2" s="5">
        <f>'2035 Report Deployment'!T6-BGBSC!S2</f>
        <v>256474.02250000002</v>
      </c>
      <c r="T2" s="5">
        <f>'2035 Report Deployment'!U6-BGBSC!T2</f>
        <v>276085.52250000002</v>
      </c>
      <c r="U2" s="5">
        <f>'2035 Report Deployment'!V6-BGBSC!U2</f>
        <v>295697.02250000002</v>
      </c>
      <c r="V2" s="5">
        <f>'2035 Report Deployment'!W6-BGBSC!V2</f>
        <v>315308.52250000002</v>
      </c>
      <c r="W2" s="5">
        <f>'2035 Report Deployment'!X6-BGBSC!W2</f>
        <v>334920.02250000002</v>
      </c>
      <c r="X2" s="5">
        <f>'2035 Report Deployment'!Y6-BGBSC!X2</f>
        <v>354531.52250000002</v>
      </c>
      <c r="Y2" s="5">
        <f>'2035 Report Deployment'!Z6-BGBSC!Y2</f>
        <v>374143.02250000002</v>
      </c>
      <c r="Z2" s="5">
        <f>'2035 Report Deployment'!AA6-BGBSC!Z2</f>
        <v>393754.52250000002</v>
      </c>
      <c r="AA2" s="5">
        <f>'2035 Report Deployment'!AB6-BGBSC!AA2</f>
        <v>413366.02250000002</v>
      </c>
      <c r="AB2" s="5">
        <f>'2035 Report Deployment'!AC6-BGBSC!AB2</f>
        <v>432977.52250000002</v>
      </c>
      <c r="AC2" s="5">
        <f>'2035 Report Deployment'!AD6-BGBSC!AC2</f>
        <v>452589.02250000002</v>
      </c>
      <c r="AD2" s="5">
        <f>'2035 Report Deployment'!AE6-BGBSC!AD2</f>
        <v>472200.52250000002</v>
      </c>
      <c r="AE2" s="5">
        <f>'2035 Report Deployment'!AF6-BGBSC!AE2</f>
        <v>491812.02250000002</v>
      </c>
      <c r="AF2" s="5">
        <f>'2035 Report Deployment'!AG6-BGBSC!AF2</f>
        <v>511423.52250000002</v>
      </c>
    </row>
  </sheetData>
  <phoneticPr fontId="3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B3"/>
  <sheetViews>
    <sheetView workbookViewId="0">
      <selection activeCell="B2" sqref="B2"/>
    </sheetView>
  </sheetViews>
  <sheetFormatPr baseColWidth="10" defaultColWidth="9.19921875" defaultRowHeight="14"/>
  <cols>
    <col min="1" max="1" width="11.3984375" customWidth="1"/>
    <col min="2" max="2" width="12.3984375" customWidth="1"/>
  </cols>
  <sheetData>
    <row r="1" spans="1:2">
      <c r="A1" s="9" t="s">
        <v>138</v>
      </c>
      <c r="B1" t="s">
        <v>142</v>
      </c>
    </row>
    <row r="2" spans="1:2">
      <c r="A2" t="s">
        <v>144</v>
      </c>
      <c r="B2">
        <f>'AEO Table 9 (2020)'!C23*gigwatts_to_megawatts</f>
        <v>1370.2</v>
      </c>
    </row>
    <row r="3" spans="1:2">
      <c r="B3" s="5"/>
    </row>
  </sheetData>
  <phoneticPr fontId="33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319C45-0B82-41C5-B4B8-E3359076A6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979257-28E9-4FBF-A204-412F49B090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1</vt:i4>
      </vt:variant>
    </vt:vector>
  </HeadingPairs>
  <TitlesOfParts>
    <vt:vector size="13" baseType="lpstr">
      <vt:lpstr>About</vt:lpstr>
      <vt:lpstr>2035 Report Deployment</vt:lpstr>
      <vt:lpstr>2035 Report Data</vt:lpstr>
      <vt:lpstr>EPS Output</vt:lpstr>
      <vt:lpstr>AEO Table 9 (2020)</vt:lpstr>
      <vt:lpstr>AEO Table 9 (2019)</vt:lpstr>
      <vt:lpstr>AEO Table 9 (2021)</vt:lpstr>
      <vt:lpstr>AEO Table 9 (2022)</vt:lpstr>
      <vt:lpstr>AEO Table 16</vt:lpstr>
      <vt:lpstr>BGBSC</vt:lpstr>
      <vt:lpstr>PAGBSC</vt:lpstr>
      <vt:lpstr>SYGBSC</vt:lpstr>
      <vt:lpstr>gigwatts_to_megawatts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Lawrence Iu</cp:lastModifiedBy>
  <dcterms:created xsi:type="dcterms:W3CDTF">2014-08-26T20:23:01Z</dcterms:created>
  <dcterms:modified xsi:type="dcterms:W3CDTF">2024-02-28T06:24:49Z</dcterms:modified>
</cp:coreProperties>
</file>