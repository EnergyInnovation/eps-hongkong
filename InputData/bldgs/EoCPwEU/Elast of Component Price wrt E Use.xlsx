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8.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ghan\Dropbox (Energy Innovation)\EPS Versions\eps-1.5.0-us-wipI\InputData\bldgs\EoCPwEU\"/>
    </mc:Choice>
  </mc:AlternateContent>
  <bookViews>
    <workbookView xWindow="0" yWindow="0" windowWidth="25335" windowHeight="10155"/>
  </bookViews>
  <sheets>
    <sheet name="About" sheetId="4" r:id="rId1"/>
    <sheet name="Heating" sheetId="3" r:id="rId2"/>
    <sheet name="Cooling" sheetId="5" r:id="rId3"/>
    <sheet name="Appliances" sheetId="8" r:id="rId4"/>
    <sheet name="Lighting" sheetId="11" r:id="rId5"/>
    <sheet name="Other Equipment" sheetId="7" r:id="rId6"/>
    <sheet name="Calculations" sheetId="9" r:id="rId7"/>
    <sheet name="EoCPwEU" sheetId="10"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5" i="11" l="1"/>
  <c r="M75" i="11"/>
  <c r="K73" i="11"/>
  <c r="K74" i="11"/>
  <c r="K20" i="11"/>
  <c r="K21" i="11"/>
  <c r="K22" i="11"/>
  <c r="K5" i="11"/>
  <c r="K6" i="11"/>
  <c r="K7" i="11"/>
  <c r="K11" i="11"/>
  <c r="K12" i="11"/>
  <c r="K13" i="11"/>
  <c r="K23" i="11"/>
  <c r="K24" i="11"/>
  <c r="K25" i="11"/>
  <c r="K34" i="11"/>
  <c r="K35" i="11"/>
  <c r="K36" i="11"/>
  <c r="K29" i="11"/>
  <c r="K30" i="11"/>
  <c r="K31" i="11"/>
  <c r="K52" i="11"/>
  <c r="K53" i="11"/>
  <c r="K54" i="11"/>
  <c r="K43" i="11"/>
  <c r="K44" i="11"/>
  <c r="K45" i="11"/>
  <c r="K55" i="11"/>
  <c r="K56" i="11"/>
  <c r="K57" i="11"/>
  <c r="K66" i="11"/>
  <c r="K67" i="11"/>
  <c r="K68" i="11"/>
  <c r="K61" i="11"/>
  <c r="K62" i="11"/>
  <c r="K63" i="11"/>
  <c r="H19" i="11"/>
  <c r="K19" i="11" s="1"/>
  <c r="H18" i="11"/>
  <c r="K18" i="11" s="1"/>
  <c r="H17" i="11"/>
  <c r="K17" i="11" s="1"/>
  <c r="H4" i="11"/>
  <c r="K4" i="11" s="1"/>
  <c r="H3" i="11"/>
  <c r="K3" i="11" s="1"/>
  <c r="H2" i="11"/>
  <c r="K2" i="11" s="1"/>
  <c r="H16" i="11"/>
  <c r="K16" i="11" s="1"/>
  <c r="H10" i="11"/>
  <c r="K10" i="11" s="1"/>
  <c r="H15" i="11"/>
  <c r="K15" i="11" s="1"/>
  <c r="H9" i="11"/>
  <c r="K9" i="11" s="1"/>
  <c r="H14" i="11"/>
  <c r="K14" i="11" s="1"/>
  <c r="H8" i="11"/>
  <c r="K8" i="11" s="1"/>
  <c r="H26" i="11"/>
  <c r="K26" i="11" s="1"/>
  <c r="H28" i="11"/>
  <c r="K28" i="11" s="1"/>
  <c r="H27" i="11"/>
  <c r="K27" i="11" s="1"/>
  <c r="H37" i="11"/>
  <c r="K37" i="11" s="1"/>
  <c r="H39" i="11"/>
  <c r="K39" i="11" s="1"/>
  <c r="H38" i="11"/>
  <c r="K38" i="11" s="1"/>
  <c r="H32" i="11"/>
  <c r="K32" i="11" s="1"/>
  <c r="H33" i="11"/>
  <c r="K33" i="11" s="1"/>
  <c r="H51" i="11"/>
  <c r="K51" i="11" s="1"/>
  <c r="H50" i="11"/>
  <c r="K50" i="11" s="1"/>
  <c r="H49" i="11"/>
  <c r="K49" i="11" s="1"/>
  <c r="H48" i="11"/>
  <c r="K48" i="11" s="1"/>
  <c r="H42" i="11"/>
  <c r="K42" i="11" s="1"/>
  <c r="H47" i="11"/>
  <c r="K47" i="11" s="1"/>
  <c r="H41" i="11"/>
  <c r="K41" i="11" s="1"/>
  <c r="H46" i="11"/>
  <c r="K46" i="11" s="1"/>
  <c r="H40" i="11"/>
  <c r="K40" i="11" s="1"/>
  <c r="H58" i="11"/>
  <c r="K58" i="11" s="1"/>
  <c r="H60" i="11"/>
  <c r="K60" i="11" s="1"/>
  <c r="H59" i="11"/>
  <c r="K59" i="11" s="1"/>
  <c r="H69" i="11"/>
  <c r="K69" i="11" s="1"/>
  <c r="H71" i="11"/>
  <c r="K71" i="11" s="1"/>
  <c r="H70" i="11"/>
  <c r="K70" i="11" s="1"/>
  <c r="H64" i="11"/>
  <c r="K64" i="11" s="1"/>
  <c r="H65" i="11"/>
  <c r="K65" i="11" s="1"/>
  <c r="H77" i="11"/>
  <c r="H79" i="11"/>
  <c r="H78" i="11"/>
  <c r="H76" i="11"/>
  <c r="H72" i="11"/>
  <c r="M74" i="11"/>
  <c r="M73" i="11"/>
  <c r="I72" i="11"/>
  <c r="I76" i="11"/>
  <c r="I78" i="11"/>
  <c r="I79" i="11"/>
  <c r="I77" i="11"/>
  <c r="M72" i="11"/>
  <c r="M76" i="11"/>
  <c r="M78" i="11"/>
  <c r="M79" i="11"/>
  <c r="M77" i="11"/>
  <c r="M63" i="11"/>
  <c r="M62" i="11"/>
  <c r="M61" i="11"/>
  <c r="M68" i="11"/>
  <c r="M67" i="11"/>
  <c r="M66" i="11"/>
  <c r="M57" i="11"/>
  <c r="M56" i="11"/>
  <c r="M55" i="11"/>
  <c r="M45" i="11"/>
  <c r="M44" i="11"/>
  <c r="M43" i="11"/>
  <c r="M54" i="11"/>
  <c r="M53" i="11"/>
  <c r="M52" i="11"/>
  <c r="M65" i="11"/>
  <c r="M64" i="11"/>
  <c r="M70" i="11"/>
  <c r="M71" i="11"/>
  <c r="M69" i="11"/>
  <c r="M59" i="11"/>
  <c r="M60" i="11"/>
  <c r="M58" i="11"/>
  <c r="M40" i="11"/>
  <c r="O75" i="11" s="1" a="1"/>
  <c r="O75" i="11" s="1"/>
  <c r="M46" i="11"/>
  <c r="M41" i="11"/>
  <c r="M47" i="11"/>
  <c r="M42" i="11"/>
  <c r="M48" i="11"/>
  <c r="M49" i="11"/>
  <c r="M50" i="11"/>
  <c r="M51" i="11"/>
  <c r="M5" i="11"/>
  <c r="M6" i="11"/>
  <c r="M7" i="11"/>
  <c r="M11" i="11"/>
  <c r="M12" i="11"/>
  <c r="M13" i="11"/>
  <c r="M23" i="11"/>
  <c r="M24" i="11"/>
  <c r="M25" i="11"/>
  <c r="M34" i="11"/>
  <c r="M35" i="11"/>
  <c r="M36" i="11"/>
  <c r="M29" i="11"/>
  <c r="M30" i="11"/>
  <c r="M31" i="11"/>
  <c r="M22" i="11"/>
  <c r="M21" i="11"/>
  <c r="M20" i="11"/>
  <c r="M33" i="11"/>
  <c r="M32" i="11"/>
  <c r="M38" i="11"/>
  <c r="M39" i="11"/>
  <c r="M37" i="11"/>
  <c r="M27" i="11"/>
  <c r="M28" i="11"/>
  <c r="M26" i="11"/>
  <c r="M8" i="11"/>
  <c r="M14" i="11"/>
  <c r="M9" i="11"/>
  <c r="M15" i="11"/>
  <c r="M10" i="11"/>
  <c r="M16" i="11"/>
  <c r="M19" i="11"/>
  <c r="M18" i="11"/>
  <c r="O18" i="11" s="1" a="1"/>
  <c r="O18" i="11" s="1"/>
  <c r="M17" i="11"/>
  <c r="M4" i="11"/>
  <c r="M3" i="11"/>
  <c r="M2" i="11"/>
  <c r="O2" i="11" s="1" a="1"/>
  <c r="O2" i="11" s="1"/>
  <c r="K79" i="11" l="1"/>
  <c r="O73" i="11" a="1"/>
  <c r="O73" i="11" s="1"/>
  <c r="O74" i="11" a="1"/>
  <c r="O74" i="11" s="1"/>
  <c r="O15" i="11" a="1"/>
  <c r="O15" i="11" s="1"/>
  <c r="O20" i="11" a="1"/>
  <c r="O20" i="11" s="1"/>
  <c r="O13" i="11" a="1"/>
  <c r="O13" i="11" s="1"/>
  <c r="O46" i="11" a="1"/>
  <c r="O46" i="11" s="1"/>
  <c r="O67" i="11" a="1"/>
  <c r="O67" i="11" s="1"/>
  <c r="O63" i="11" a="1"/>
  <c r="O63" i="11" s="1"/>
  <c r="O76" i="11" a="1"/>
  <c r="O76" i="11" s="1"/>
  <c r="K78" i="11"/>
  <c r="O39" i="11" a="1"/>
  <c r="O39" i="11" s="1"/>
  <c r="O34" i="11" a="1"/>
  <c r="O34" i="11" s="1"/>
  <c r="O6" i="11" a="1"/>
  <c r="O6" i="11" s="1"/>
  <c r="O60" i="11" a="1"/>
  <c r="O60" i="11" s="1"/>
  <c r="O70" i="11" a="1"/>
  <c r="O70" i="11" s="1"/>
  <c r="O45" i="11" a="1"/>
  <c r="O45" i="11" s="1"/>
  <c r="O66" i="11" a="1"/>
  <c r="O66" i="11" s="1"/>
  <c r="O78" i="11" a="1"/>
  <c r="O78" i="11" s="1"/>
  <c r="O9" i="11" a="1"/>
  <c r="O9" i="11" s="1"/>
  <c r="O38" i="11" a="1"/>
  <c r="O38" i="11" s="1"/>
  <c r="O29" i="11" a="1"/>
  <c r="O29" i="11" s="1"/>
  <c r="O16" i="11" a="1"/>
  <c r="O16" i="11" s="1"/>
  <c r="O65" i="11" a="1"/>
  <c r="O65" i="11" s="1"/>
  <c r="O43" i="11" a="1"/>
  <c r="O43" i="11" s="1"/>
  <c r="O56" i="11" a="1"/>
  <c r="O56" i="11" s="1"/>
  <c r="O68" i="11" a="1"/>
  <c r="O68" i="11" s="1"/>
  <c r="O77" i="11" a="1"/>
  <c r="O77" i="11" s="1"/>
  <c r="K76" i="11"/>
  <c r="K72" i="11"/>
  <c r="K77" i="11"/>
  <c r="P74" i="11" s="1" a="1"/>
  <c r="P74" i="11" s="1"/>
  <c r="N74" i="11" s="1"/>
  <c r="O26" i="11" a="1"/>
  <c r="O26" i="11" s="1"/>
  <c r="O30" i="11" a="1"/>
  <c r="O30" i="11" s="1"/>
  <c r="O49" i="11" a="1"/>
  <c r="O49" i="11" s="1"/>
  <c r="O41" i="11" a="1"/>
  <c r="O41" i="11" s="1"/>
  <c r="O53" i="11" a="1"/>
  <c r="O53" i="11" s="1"/>
  <c r="O62" i="11" a="1"/>
  <c r="O62" i="11" s="1"/>
  <c r="O19" i="11" a="1"/>
  <c r="O19" i="11" s="1"/>
  <c r="O28" i="11" a="1"/>
  <c r="O28" i="11" s="1"/>
  <c r="O21" i="11" a="1"/>
  <c r="O21" i="11" s="1"/>
  <c r="O48" i="11" a="1"/>
  <c r="O48" i="11" s="1"/>
  <c r="O14" i="11" a="1"/>
  <c r="O14" i="11" s="1"/>
  <c r="O27" i="11" a="1"/>
  <c r="O27" i="11" s="1"/>
  <c r="O69" i="11" a="1"/>
  <c r="O69" i="11" s="1"/>
  <c r="O17" i="11" a="1"/>
  <c r="O17" i="11" s="1"/>
  <c r="O23" i="11" a="1"/>
  <c r="O23" i="11" s="1"/>
  <c r="O7" i="11" a="1"/>
  <c r="O7" i="11" s="1"/>
  <c r="O50" i="11" a="1"/>
  <c r="O50" i="11" s="1"/>
  <c r="O47" i="11" a="1"/>
  <c r="O47" i="11" s="1"/>
  <c r="O58" i="11" a="1"/>
  <c r="O58" i="11" s="1"/>
  <c r="O71" i="11" a="1"/>
  <c r="O71" i="11" s="1"/>
  <c r="O52" i="11" a="1"/>
  <c r="O52" i="11" s="1"/>
  <c r="O44" i="11" a="1"/>
  <c r="O44" i="11" s="1"/>
  <c r="O55" i="11" a="1"/>
  <c r="O55" i="11" s="1"/>
  <c r="O64" i="11" a="1"/>
  <c r="O64" i="11" s="1"/>
  <c r="O59" i="11" a="1"/>
  <c r="O59" i="11" s="1"/>
  <c r="O42" i="11" a="1"/>
  <c r="O42" i="11" s="1"/>
  <c r="O36" i="11" a="1"/>
  <c r="O36" i="11" s="1"/>
  <c r="O25" i="11" a="1"/>
  <c r="O25" i="11" s="1"/>
  <c r="O5" i="11" a="1"/>
  <c r="O5" i="11" s="1"/>
  <c r="O31" i="11" a="1"/>
  <c r="O31" i="11" s="1"/>
  <c r="O24" i="11" a="1"/>
  <c r="O24" i="11" s="1"/>
  <c r="O11" i="11" a="1"/>
  <c r="O11" i="11" s="1"/>
  <c r="O4" i="11" a="1"/>
  <c r="O4" i="11" s="1"/>
  <c r="O72" i="11" a="1"/>
  <c r="O72" i="11" s="1"/>
  <c r="O54" i="11" a="1"/>
  <c r="O54" i="11" s="1"/>
  <c r="O40" i="11" a="1"/>
  <c r="O40" i="11" s="1"/>
  <c r="O51" i="11" a="1"/>
  <c r="O51" i="11" s="1"/>
  <c r="O12" i="11" a="1"/>
  <c r="O12" i="11" s="1"/>
  <c r="O33" i="11" a="1"/>
  <c r="O33" i="11" s="1"/>
  <c r="O3" i="11" a="1"/>
  <c r="O3" i="11" s="1"/>
  <c r="O79" i="11" a="1"/>
  <c r="O79" i="11" s="1"/>
  <c r="O61" i="11" a="1"/>
  <c r="O61" i="11" s="1"/>
  <c r="O57" i="11" a="1"/>
  <c r="O57" i="11" s="1"/>
  <c r="O35" i="11" a="1"/>
  <c r="O35" i="11" s="1"/>
  <c r="O22" i="11" a="1"/>
  <c r="O22" i="11" s="1"/>
  <c r="O32" i="11" a="1"/>
  <c r="O32" i="11" s="1"/>
  <c r="O37" i="11" a="1"/>
  <c r="O37" i="11" s="1"/>
  <c r="O8" i="11" a="1"/>
  <c r="O8" i="11" s="1"/>
  <c r="O10" i="11" a="1"/>
  <c r="O10" i="11" s="1"/>
  <c r="P37" i="11" a="1"/>
  <c r="P37" i="11" s="1"/>
  <c r="P78" i="11" a="1"/>
  <c r="P78" i="11" s="1"/>
  <c r="P69" i="11" a="1"/>
  <c r="P69" i="11" s="1"/>
  <c r="P59" i="11" a="1"/>
  <c r="P59" i="11" s="1"/>
  <c r="P68" i="11" l="1" a="1"/>
  <c r="P68" i="11" s="1"/>
  <c r="P3" i="11" a="1"/>
  <c r="P3" i="11" s="1"/>
  <c r="P21" i="11" a="1"/>
  <c r="P21" i="11" s="1"/>
  <c r="P20" i="11" a="1"/>
  <c r="P20" i="11" s="1"/>
  <c r="P36" i="11" a="1"/>
  <c r="P36" i="11" s="1"/>
  <c r="P56" i="11" a="1"/>
  <c r="P56" i="11" s="1"/>
  <c r="P70" i="11" a="1"/>
  <c r="P70" i="11" s="1"/>
  <c r="P54" i="11" a="1"/>
  <c r="P54" i="11" s="1"/>
  <c r="P25" i="11" a="1"/>
  <c r="P25" i="11" s="1"/>
  <c r="P62" i="11" a="1"/>
  <c r="P62" i="11" s="1"/>
  <c r="P49" i="11" a="1"/>
  <c r="P49" i="11" s="1"/>
  <c r="P7" i="11" a="1"/>
  <c r="P7" i="11" s="1"/>
  <c r="P8" i="11" a="1"/>
  <c r="P8" i="11" s="1"/>
  <c r="P53" i="11" a="1"/>
  <c r="P53" i="11" s="1"/>
  <c r="P6" i="11" a="1"/>
  <c r="P6" i="11" s="1"/>
  <c r="P75" i="11" a="1"/>
  <c r="P75" i="11" s="1"/>
  <c r="N75" i="11" s="1"/>
  <c r="P23" i="11" a="1"/>
  <c r="P23" i="11" s="1"/>
  <c r="P52" i="11" a="1"/>
  <c r="P52" i="11" s="1"/>
  <c r="P76" i="11" a="1"/>
  <c r="P76" i="11" s="1"/>
  <c r="P44" i="11" a="1"/>
  <c r="P44" i="11" s="1"/>
  <c r="P79" i="11" a="1"/>
  <c r="P79" i="11" s="1"/>
  <c r="P9" i="11" a="1"/>
  <c r="P9" i="11" s="1"/>
  <c r="P32" i="11" a="1"/>
  <c r="P32" i="11" s="1"/>
  <c r="P61" i="11" a="1"/>
  <c r="P61" i="11" s="1"/>
  <c r="P47" i="11" a="1"/>
  <c r="P47" i="11" s="1"/>
  <c r="P55" i="11" a="1"/>
  <c r="P55" i="11" s="1"/>
  <c r="P17" i="11" a="1"/>
  <c r="P17" i="11" s="1"/>
  <c r="P5" i="11" a="1"/>
  <c r="P5" i="11" s="1"/>
  <c r="P77" i="11" a="1"/>
  <c r="P77" i="11" s="1"/>
  <c r="P22" i="11" a="1"/>
  <c r="P22" i="11" s="1"/>
  <c r="P13" i="11" a="1"/>
  <c r="P13" i="11" s="1"/>
  <c r="P29" i="11" a="1"/>
  <c r="P29" i="11" s="1"/>
  <c r="N29" i="11" s="1"/>
  <c r="P31" i="11" a="1"/>
  <c r="P31" i="11" s="1"/>
  <c r="N31" i="11" s="1"/>
  <c r="P27" i="11" a="1"/>
  <c r="P27" i="11" s="1"/>
  <c r="P64" i="11" a="1"/>
  <c r="P64" i="11" s="1"/>
  <c r="N64" i="11" s="1"/>
  <c r="P41" i="11" a="1"/>
  <c r="P41" i="11" s="1"/>
  <c r="N41" i="11" s="1"/>
  <c r="P45" i="11" a="1"/>
  <c r="P45" i="11" s="1"/>
  <c r="P4" i="11" a="1"/>
  <c r="P4" i="11" s="1"/>
  <c r="P33" i="11" a="1"/>
  <c r="P33" i="11" s="1"/>
  <c r="N33" i="11" s="1"/>
  <c r="P42" i="11" a="1"/>
  <c r="P42" i="11" s="1"/>
  <c r="N42" i="11" s="1"/>
  <c r="P43" i="11" a="1"/>
  <c r="P43" i="11" s="1"/>
  <c r="P72" i="11" a="1"/>
  <c r="P72" i="11" s="1"/>
  <c r="P26" i="11" a="1"/>
  <c r="P26" i="11" s="1"/>
  <c r="P19" i="11" a="1"/>
  <c r="P19" i="11" s="1"/>
  <c r="P15" i="11" a="1"/>
  <c r="P15" i="11" s="1"/>
  <c r="P60" i="11" a="1"/>
  <c r="P60" i="11" s="1"/>
  <c r="P66" i="11" a="1"/>
  <c r="P66" i="11" s="1"/>
  <c r="N66" i="11" s="1"/>
  <c r="P10" i="11" a="1"/>
  <c r="P10" i="11" s="1"/>
  <c r="N10" i="11" s="1"/>
  <c r="P51" i="11" a="1"/>
  <c r="P51" i="11" s="1"/>
  <c r="P2" i="11" a="1"/>
  <c r="P2" i="11" s="1"/>
  <c r="P11" i="11" a="1"/>
  <c r="P11" i="11" s="1"/>
  <c r="P48" i="11" a="1"/>
  <c r="P48" i="11" s="1"/>
  <c r="P50" i="11" a="1"/>
  <c r="P50" i="11" s="1"/>
  <c r="P30" i="11" a="1"/>
  <c r="P30" i="11" s="1"/>
  <c r="P73" i="11" a="1"/>
  <c r="P73" i="11" s="1"/>
  <c r="N73" i="11" s="1"/>
  <c r="P58" i="11" a="1"/>
  <c r="P58" i="11" s="1"/>
  <c r="P67" i="11" a="1"/>
  <c r="P67" i="11" s="1"/>
  <c r="N67" i="11" s="1"/>
  <c r="P16" i="11" a="1"/>
  <c r="P16" i="11" s="1"/>
  <c r="P12" i="11" a="1"/>
  <c r="P12" i="11" s="1"/>
  <c r="P46" i="11" a="1"/>
  <c r="P46" i="11" s="1"/>
  <c r="P57" i="11" a="1"/>
  <c r="P57" i="11" s="1"/>
  <c r="N57" i="11" s="1"/>
  <c r="P18" i="11" a="1"/>
  <c r="P18" i="11" s="1"/>
  <c r="P38" i="11" a="1"/>
  <c r="P38" i="11" s="1"/>
  <c r="P40" i="11" a="1"/>
  <c r="P40" i="11" s="1"/>
  <c r="N40" i="11" s="1"/>
  <c r="P39" i="11" a="1"/>
  <c r="P39" i="11" s="1"/>
  <c r="P71" i="11" a="1"/>
  <c r="P71" i="11" s="1"/>
  <c r="P63" i="11" a="1"/>
  <c r="P63" i="11" s="1"/>
  <c r="P14" i="11" a="1"/>
  <c r="P14" i="11" s="1"/>
  <c r="P65" i="11" a="1"/>
  <c r="P65" i="11" s="1"/>
  <c r="P28" i="11" a="1"/>
  <c r="P28" i="11" s="1"/>
  <c r="P24" i="11" a="1"/>
  <c r="P24" i="11" s="1"/>
  <c r="P35" i="11" a="1"/>
  <c r="P35" i="11" s="1"/>
  <c r="N35" i="11" s="1"/>
  <c r="P34" i="11" a="1"/>
  <c r="P34" i="11" s="1"/>
  <c r="N34" i="11" s="1"/>
  <c r="N30" i="11"/>
  <c r="N3" i="11"/>
  <c r="N23" i="11"/>
  <c r="N8" i="11"/>
  <c r="N47" i="11"/>
  <c r="N56" i="11"/>
  <c r="N36" i="11"/>
  <c r="N69" i="11"/>
  <c r="H3" i="8" a="1"/>
  <c r="H3" i="8" s="1"/>
  <c r="I3" i="8" a="1"/>
  <c r="I3" i="8"/>
  <c r="H4" i="8" a="1"/>
  <c r="H4" i="8" s="1"/>
  <c r="I4" i="8" a="1"/>
  <c r="I4" i="8" s="1"/>
  <c r="H5" i="8" a="1"/>
  <c r="H5" i="8" s="1"/>
  <c r="I5" i="8" a="1"/>
  <c r="I5" i="8" s="1"/>
  <c r="H6" i="8" a="1"/>
  <c r="H6" i="8" s="1"/>
  <c r="I6" i="8" a="1"/>
  <c r="I6" i="8" s="1"/>
  <c r="H7" i="8" a="1"/>
  <c r="H7" i="8" s="1"/>
  <c r="I7" i="8" a="1"/>
  <c r="I7" i="8" s="1"/>
  <c r="H8" i="8" a="1"/>
  <c r="H8" i="8" s="1"/>
  <c r="I8" i="8" a="1"/>
  <c r="I8" i="8"/>
  <c r="H9" i="8" a="1"/>
  <c r="H9" i="8" s="1"/>
  <c r="I9" i="8" a="1"/>
  <c r="I9" i="8" s="1"/>
  <c r="H10" i="8" a="1"/>
  <c r="H10" i="8" s="1"/>
  <c r="I10" i="8" a="1"/>
  <c r="I10" i="8" s="1"/>
  <c r="H11" i="8" a="1"/>
  <c r="H11" i="8" s="1"/>
  <c r="I11" i="8" a="1"/>
  <c r="I11" i="8" s="1"/>
  <c r="H12" i="8" a="1"/>
  <c r="H12" i="8" s="1"/>
  <c r="I12" i="8" a="1"/>
  <c r="I12" i="8" s="1"/>
  <c r="H13" i="8" a="1"/>
  <c r="H13" i="8" s="1"/>
  <c r="I13" i="8" a="1"/>
  <c r="I13" i="8" s="1"/>
  <c r="H14" i="8" a="1"/>
  <c r="H14" i="8" s="1"/>
  <c r="I14" i="8" a="1"/>
  <c r="I14" i="8" s="1"/>
  <c r="H15" i="8" a="1"/>
  <c r="H15" i="8" s="1"/>
  <c r="I15" i="8" a="1"/>
  <c r="I15" i="8" s="1"/>
  <c r="H16" i="8" a="1"/>
  <c r="H16" i="8" s="1"/>
  <c r="I16" i="8" a="1"/>
  <c r="I16" i="8" s="1"/>
  <c r="H17" i="8" a="1"/>
  <c r="H17" i="8" s="1"/>
  <c r="I17" i="8" a="1"/>
  <c r="I17" i="8" s="1"/>
  <c r="H18" i="8" a="1"/>
  <c r="H18" i="8" s="1"/>
  <c r="I18" i="8" a="1"/>
  <c r="I18" i="8" s="1"/>
  <c r="H19" i="8" a="1"/>
  <c r="H19" i="8" s="1"/>
  <c r="I19" i="8" a="1"/>
  <c r="I19" i="8" s="1"/>
  <c r="H20" i="8" a="1"/>
  <c r="H20" i="8" s="1"/>
  <c r="I20" i="8" a="1"/>
  <c r="I20" i="8"/>
  <c r="H21" i="8" a="1"/>
  <c r="H21" i="8" s="1"/>
  <c r="I21" i="8" a="1"/>
  <c r="I21" i="8" s="1"/>
  <c r="H22" i="8" a="1"/>
  <c r="H22" i="8" s="1"/>
  <c r="I22" i="8" a="1"/>
  <c r="I22" i="8" s="1"/>
  <c r="H23" i="8" a="1"/>
  <c r="H23" i="8" s="1"/>
  <c r="I23" i="8" a="1"/>
  <c r="I23" i="8" s="1"/>
  <c r="H24" i="8" a="1"/>
  <c r="H24" i="8" s="1"/>
  <c r="I24" i="8" a="1"/>
  <c r="I24" i="8" s="1"/>
  <c r="H25" i="8" a="1"/>
  <c r="H25" i="8" s="1"/>
  <c r="I25" i="8" a="1"/>
  <c r="I25" i="8" s="1"/>
  <c r="H26" i="8" a="1"/>
  <c r="H26" i="8" s="1"/>
  <c r="I26" i="8" a="1"/>
  <c r="I26" i="8" s="1"/>
  <c r="H27" i="8" a="1"/>
  <c r="H27" i="8" s="1"/>
  <c r="I27" i="8" a="1"/>
  <c r="I27" i="8" s="1"/>
  <c r="H28" i="8" a="1"/>
  <c r="H28" i="8" s="1"/>
  <c r="I28" i="8" a="1"/>
  <c r="I28" i="8"/>
  <c r="H29" i="8" a="1"/>
  <c r="H29" i="8" s="1"/>
  <c r="I29" i="8" a="1"/>
  <c r="I29" i="8" s="1"/>
  <c r="H30" i="8" a="1"/>
  <c r="H30" i="8" s="1"/>
  <c r="I30" i="8" a="1"/>
  <c r="I30" i="8" s="1"/>
  <c r="H31" i="8" a="1"/>
  <c r="H31" i="8" s="1"/>
  <c r="I31" i="8" a="1"/>
  <c r="I31" i="8" s="1"/>
  <c r="H32" i="8" a="1"/>
  <c r="H32" i="8" s="1"/>
  <c r="I32" i="8" a="1"/>
  <c r="I32" i="8"/>
  <c r="H33" i="8" a="1"/>
  <c r="H33" i="8" s="1"/>
  <c r="I33" i="8" a="1"/>
  <c r="I33" i="8" s="1"/>
  <c r="H34" i="8" a="1"/>
  <c r="H34" i="8" s="1"/>
  <c r="I34" i="8" a="1"/>
  <c r="I34" i="8" s="1"/>
  <c r="H35" i="8" a="1"/>
  <c r="H35" i="8" s="1"/>
  <c r="I35" i="8" a="1"/>
  <c r="I35" i="8" s="1"/>
  <c r="H36" i="8" a="1"/>
  <c r="H36" i="8" s="1"/>
  <c r="I36" i="8" a="1"/>
  <c r="I36" i="8" s="1"/>
  <c r="H37" i="8" a="1"/>
  <c r="H37" i="8" s="1"/>
  <c r="I37" i="8" a="1"/>
  <c r="I37" i="8" s="1"/>
  <c r="H38" i="8" a="1"/>
  <c r="H38" i="8" s="1"/>
  <c r="I38" i="8" a="1"/>
  <c r="I38" i="8" s="1"/>
  <c r="H39" i="8" a="1"/>
  <c r="H39" i="8" s="1"/>
  <c r="I39" i="8" a="1"/>
  <c r="I39" i="8" s="1"/>
  <c r="H40" i="8" a="1"/>
  <c r="H40" i="8" s="1"/>
  <c r="I40" i="8" a="1"/>
  <c r="I40" i="8"/>
  <c r="H41" i="8" a="1"/>
  <c r="H41" i="8" s="1"/>
  <c r="I41" i="8" a="1"/>
  <c r="I41" i="8" s="1"/>
  <c r="H42" i="8" a="1"/>
  <c r="H42" i="8" s="1"/>
  <c r="I42" i="8" a="1"/>
  <c r="I42" i="8" s="1"/>
  <c r="H43" i="8" a="1"/>
  <c r="H43" i="8" s="1"/>
  <c r="I43" i="8" a="1"/>
  <c r="I43" i="8" s="1"/>
  <c r="H44" i="8" a="1"/>
  <c r="H44" i="8" s="1"/>
  <c r="I44" i="8" a="1"/>
  <c r="I44" i="8" s="1"/>
  <c r="H45" i="8" a="1"/>
  <c r="H45" i="8" s="1"/>
  <c r="I45" i="8" a="1"/>
  <c r="I45" i="8" s="1"/>
  <c r="H46" i="8" a="1"/>
  <c r="H46" i="8" s="1"/>
  <c r="I46" i="8" a="1"/>
  <c r="I46" i="8" s="1"/>
  <c r="H47" i="8" a="1"/>
  <c r="H47" i="8" s="1"/>
  <c r="I47" i="8" a="1"/>
  <c r="I47" i="8" s="1"/>
  <c r="H48" i="8" a="1"/>
  <c r="H48" i="8" s="1"/>
  <c r="I48" i="8" a="1"/>
  <c r="I48" i="8" s="1"/>
  <c r="H49" i="8" a="1"/>
  <c r="H49" i="8" s="1"/>
  <c r="I49" i="8" a="1"/>
  <c r="I49" i="8" s="1"/>
  <c r="H50" i="8" a="1"/>
  <c r="H50" i="8" s="1"/>
  <c r="I50" i="8" a="1"/>
  <c r="I50" i="8" s="1"/>
  <c r="H51" i="8" a="1"/>
  <c r="H51" i="8" s="1"/>
  <c r="I51" i="8" a="1"/>
  <c r="I51" i="8" s="1"/>
  <c r="H52" i="8" a="1"/>
  <c r="H52" i="8" s="1"/>
  <c r="I52" i="8" a="1"/>
  <c r="I52" i="8"/>
  <c r="H53" i="8" a="1"/>
  <c r="H53" i="8" s="1"/>
  <c r="I53" i="8" a="1"/>
  <c r="I53" i="8" s="1"/>
  <c r="H54" i="8" a="1"/>
  <c r="H54" i="8" s="1"/>
  <c r="I54" i="8" a="1"/>
  <c r="I54" i="8" s="1"/>
  <c r="H55" i="8" a="1"/>
  <c r="H55" i="8" s="1"/>
  <c r="I55" i="8" a="1"/>
  <c r="I55" i="8" s="1"/>
  <c r="H56" i="8" a="1"/>
  <c r="H56" i="8" s="1"/>
  <c r="I56" i="8" a="1"/>
  <c r="I56" i="8" s="1"/>
  <c r="H57" i="8" a="1"/>
  <c r="H57" i="8" s="1"/>
  <c r="I57" i="8" a="1"/>
  <c r="I57" i="8" s="1"/>
  <c r="H58" i="8" a="1"/>
  <c r="H58" i="8" s="1"/>
  <c r="I58" i="8" a="1"/>
  <c r="I58" i="8" s="1"/>
  <c r="H59" i="8" a="1"/>
  <c r="H59" i="8" s="1"/>
  <c r="I59" i="8" a="1"/>
  <c r="I59" i="8" s="1"/>
  <c r="H60" i="8" a="1"/>
  <c r="H60" i="8" s="1"/>
  <c r="I60" i="8" a="1"/>
  <c r="I60" i="8"/>
  <c r="H61" i="8" a="1"/>
  <c r="H61" i="8" s="1"/>
  <c r="I61" i="8" a="1"/>
  <c r="I61" i="8" s="1"/>
  <c r="H62" i="8" a="1"/>
  <c r="H62" i="8" s="1"/>
  <c r="I62" i="8" a="1"/>
  <c r="I62" i="8" s="1"/>
  <c r="H63" i="8" a="1"/>
  <c r="H63" i="8" s="1"/>
  <c r="I63" i="8" a="1"/>
  <c r="I63" i="8" s="1"/>
  <c r="H64" i="8" a="1"/>
  <c r="H64" i="8" s="1"/>
  <c r="I64" i="8" a="1"/>
  <c r="I64" i="8" s="1"/>
  <c r="H65" i="8" a="1"/>
  <c r="H65" i="8" s="1"/>
  <c r="I65" i="8" a="1"/>
  <c r="I65" i="8" s="1"/>
  <c r="H66" i="8" a="1"/>
  <c r="H66" i="8" s="1"/>
  <c r="I66" i="8" a="1"/>
  <c r="I66" i="8" s="1"/>
  <c r="H67" i="8" a="1"/>
  <c r="H67" i="8" s="1"/>
  <c r="I67" i="8" a="1"/>
  <c r="I67" i="8" s="1"/>
  <c r="H68" i="8" a="1"/>
  <c r="H68" i="8" s="1"/>
  <c r="I68" i="8" a="1"/>
  <c r="I68" i="8" s="1"/>
  <c r="H69" i="8" a="1"/>
  <c r="H69" i="8" s="1"/>
  <c r="I69" i="8" a="1"/>
  <c r="I69" i="8" s="1"/>
  <c r="H70" i="8" a="1"/>
  <c r="H70" i="8" s="1"/>
  <c r="I70" i="8" a="1"/>
  <c r="I70" i="8" s="1"/>
  <c r="H71" i="8" a="1"/>
  <c r="H71" i="8" s="1"/>
  <c r="I71" i="8" a="1"/>
  <c r="I71" i="8" s="1"/>
  <c r="H72" i="8" a="1"/>
  <c r="H72" i="8" s="1"/>
  <c r="I72" i="8" a="1"/>
  <c r="I72" i="8" s="1"/>
  <c r="H73" i="8" a="1"/>
  <c r="H73" i="8" s="1"/>
  <c r="I73" i="8" a="1"/>
  <c r="I73" i="8" s="1"/>
  <c r="H74" i="8" a="1"/>
  <c r="H74" i="8" s="1"/>
  <c r="I74" i="8" a="1"/>
  <c r="I74" i="8" s="1"/>
  <c r="H75" i="8" a="1"/>
  <c r="H75" i="8" s="1"/>
  <c r="I75" i="8" a="1"/>
  <c r="I75" i="8" s="1"/>
  <c r="H76" i="8" a="1"/>
  <c r="H76" i="8" s="1"/>
  <c r="I76" i="8" a="1"/>
  <c r="I76" i="8"/>
  <c r="H77" i="8" a="1"/>
  <c r="H77" i="8" s="1"/>
  <c r="I77" i="8" a="1"/>
  <c r="I77" i="8" s="1"/>
  <c r="H78" i="8" a="1"/>
  <c r="H78" i="8" s="1"/>
  <c r="I78" i="8" a="1"/>
  <c r="I78" i="8" s="1"/>
  <c r="H79" i="8" a="1"/>
  <c r="H79" i="8" s="1"/>
  <c r="I79" i="8" a="1"/>
  <c r="I79" i="8" s="1"/>
  <c r="H80" i="8" a="1"/>
  <c r="H80" i="8" s="1"/>
  <c r="I80" i="8" a="1"/>
  <c r="I80" i="8"/>
  <c r="H81" i="8" a="1"/>
  <c r="H81" i="8" s="1"/>
  <c r="I81" i="8" a="1"/>
  <c r="I81" i="8" s="1"/>
  <c r="H82" i="8" a="1"/>
  <c r="H82" i="8" s="1"/>
  <c r="I82" i="8" a="1"/>
  <c r="I82" i="8" s="1"/>
  <c r="H83" i="8" a="1"/>
  <c r="H83" i="8" s="1"/>
  <c r="I83" i="8" a="1"/>
  <c r="I83" i="8" s="1"/>
  <c r="H84" i="8" a="1"/>
  <c r="H84" i="8" s="1"/>
  <c r="I84" i="8" a="1"/>
  <c r="I84" i="8" s="1"/>
  <c r="H85" i="8" a="1"/>
  <c r="H85" i="8" s="1"/>
  <c r="I85" i="8" a="1"/>
  <c r="I85" i="8" s="1"/>
  <c r="H86" i="8" a="1"/>
  <c r="H86" i="8" s="1"/>
  <c r="I86" i="8" a="1"/>
  <c r="I86" i="8" s="1"/>
  <c r="H87" i="8" a="1"/>
  <c r="H87" i="8" s="1"/>
  <c r="I87" i="8" a="1"/>
  <c r="I87" i="8" s="1"/>
  <c r="H88" i="8" a="1"/>
  <c r="H88" i="8" s="1"/>
  <c r="I88" i="8" a="1"/>
  <c r="I88" i="8" s="1"/>
  <c r="H89" i="8" a="1"/>
  <c r="H89" i="8" s="1"/>
  <c r="I89" i="8" a="1"/>
  <c r="I89" i="8" s="1"/>
  <c r="H90" i="8" a="1"/>
  <c r="H90" i="8" s="1"/>
  <c r="I90" i="8" a="1"/>
  <c r="I90" i="8" s="1"/>
  <c r="H91" i="8" a="1"/>
  <c r="H91" i="8" s="1"/>
  <c r="I91" i="8" a="1"/>
  <c r="I91" i="8" s="1"/>
  <c r="H92" i="8" a="1"/>
  <c r="H92" i="8" s="1"/>
  <c r="I92" i="8" a="1"/>
  <c r="I92" i="8" s="1"/>
  <c r="H93" i="8" a="1"/>
  <c r="H93" i="8" s="1"/>
  <c r="I93" i="8" a="1"/>
  <c r="I93" i="8"/>
  <c r="H94" i="8" a="1"/>
  <c r="H94" i="8" s="1"/>
  <c r="I94" i="8" a="1"/>
  <c r="I94" i="8" s="1"/>
  <c r="H95" i="8" a="1"/>
  <c r="H95" i="8" s="1"/>
  <c r="I95" i="8" a="1"/>
  <c r="I95" i="8" s="1"/>
  <c r="H96" i="8" a="1"/>
  <c r="H96" i="8" s="1"/>
  <c r="I96" i="8" a="1"/>
  <c r="I96" i="8" s="1"/>
  <c r="H97" i="8" a="1"/>
  <c r="H97" i="8" s="1"/>
  <c r="I97" i="8" a="1"/>
  <c r="I97" i="8" s="1"/>
  <c r="H98" i="8" a="1"/>
  <c r="H98" i="8" s="1"/>
  <c r="I98" i="8" a="1"/>
  <c r="I98" i="8" s="1"/>
  <c r="H99" i="8" a="1"/>
  <c r="H99" i="8" s="1"/>
  <c r="I99" i="8" a="1"/>
  <c r="I99" i="8" s="1"/>
  <c r="H100" i="8" a="1"/>
  <c r="H100" i="8" s="1"/>
  <c r="I100" i="8" a="1"/>
  <c r="I100" i="8" s="1"/>
  <c r="H101" i="8" a="1"/>
  <c r="H101" i="8" s="1"/>
  <c r="I101" i="8" a="1"/>
  <c r="I101" i="8"/>
  <c r="H102" i="8" a="1"/>
  <c r="H102" i="8" s="1"/>
  <c r="I102" i="8" a="1"/>
  <c r="I102" i="8" s="1"/>
  <c r="H103" i="8" a="1"/>
  <c r="H103" i="8" s="1"/>
  <c r="I103" i="8" a="1"/>
  <c r="I103" i="8" s="1"/>
  <c r="H104" i="8" a="1"/>
  <c r="H104" i="8" s="1"/>
  <c r="I104" i="8" a="1"/>
  <c r="I104" i="8" s="1"/>
  <c r="H105" i="8" a="1"/>
  <c r="H105" i="8" s="1"/>
  <c r="I105" i="8" a="1"/>
  <c r="I105" i="8"/>
  <c r="H106" i="8" a="1"/>
  <c r="H106" i="8" s="1"/>
  <c r="I106" i="8" a="1"/>
  <c r="I106" i="8" s="1"/>
  <c r="H107" i="8" a="1"/>
  <c r="H107" i="8" s="1"/>
  <c r="I107" i="8" a="1"/>
  <c r="I107" i="8" s="1"/>
  <c r="H108" i="8" a="1"/>
  <c r="H108" i="8" s="1"/>
  <c r="I108" i="8" a="1"/>
  <c r="I108" i="8" s="1"/>
  <c r="H109" i="8" a="1"/>
  <c r="H109" i="8" s="1"/>
  <c r="I109" i="8" a="1"/>
  <c r="I109" i="8" s="1"/>
  <c r="H110" i="8" a="1"/>
  <c r="H110" i="8" s="1"/>
  <c r="I110" i="8" a="1"/>
  <c r="I110" i="8" s="1"/>
  <c r="H111" i="8" a="1"/>
  <c r="H111" i="8" s="1"/>
  <c r="I111" i="8" a="1"/>
  <c r="I111" i="8" s="1"/>
  <c r="H112" i="8" a="1"/>
  <c r="H112" i="8" s="1"/>
  <c r="I112" i="8" a="1"/>
  <c r="I112" i="8" s="1"/>
  <c r="H113" i="8" a="1"/>
  <c r="H113" i="8" s="1"/>
  <c r="I113" i="8" a="1"/>
  <c r="I113" i="8"/>
  <c r="H114" i="8" a="1"/>
  <c r="H114" i="8" s="1"/>
  <c r="I114" i="8" a="1"/>
  <c r="I114" i="8" s="1"/>
  <c r="H115" i="8" a="1"/>
  <c r="H115" i="8" s="1"/>
  <c r="I115" i="8" a="1"/>
  <c r="I115" i="8" s="1"/>
  <c r="H116" i="8" a="1"/>
  <c r="H116" i="8" s="1"/>
  <c r="I116" i="8" a="1"/>
  <c r="I116" i="8" s="1"/>
  <c r="H117" i="8" a="1"/>
  <c r="H117" i="8" s="1"/>
  <c r="I117" i="8" a="1"/>
  <c r="I117" i="8" s="1"/>
  <c r="H118" i="8" a="1"/>
  <c r="H118" i="8" s="1"/>
  <c r="I118" i="8" a="1"/>
  <c r="I118" i="8" s="1"/>
  <c r="H119" i="8" a="1"/>
  <c r="H119" i="8" s="1"/>
  <c r="I119" i="8" a="1"/>
  <c r="I119" i="8" s="1"/>
  <c r="H120" i="8" a="1"/>
  <c r="H120" i="8" s="1"/>
  <c r="I120" i="8" a="1"/>
  <c r="I120" i="8" s="1"/>
  <c r="H121" i="8" a="1"/>
  <c r="H121" i="8" s="1"/>
  <c r="I121" i="8" a="1"/>
  <c r="I121" i="8" s="1"/>
  <c r="H122" i="8" a="1"/>
  <c r="H122" i="8" s="1"/>
  <c r="I122" i="8" a="1"/>
  <c r="I122" i="8" s="1"/>
  <c r="H123" i="8" a="1"/>
  <c r="H123" i="8" s="1"/>
  <c r="I123" i="8" a="1"/>
  <c r="I123" i="8" s="1"/>
  <c r="H124" i="8" a="1"/>
  <c r="H124" i="8" s="1"/>
  <c r="I124" i="8" a="1"/>
  <c r="I124" i="8" s="1"/>
  <c r="H125" i="8" a="1"/>
  <c r="H125" i="8" s="1"/>
  <c r="I125" i="8" a="1"/>
  <c r="I125" i="8"/>
  <c r="H126" i="8" a="1"/>
  <c r="H126" i="8" s="1"/>
  <c r="I126" i="8" a="1"/>
  <c r="I126" i="8" s="1"/>
  <c r="H127" i="8" a="1"/>
  <c r="H127" i="8" s="1"/>
  <c r="I127" i="8" a="1"/>
  <c r="I127" i="8" s="1"/>
  <c r="H128" i="8" a="1"/>
  <c r="H128" i="8" s="1"/>
  <c r="I128" i="8" a="1"/>
  <c r="I128" i="8" s="1"/>
  <c r="H129" i="8" a="1"/>
  <c r="H129" i="8" s="1"/>
  <c r="I129" i="8" a="1"/>
  <c r="I129" i="8" s="1"/>
  <c r="H130" i="8" a="1"/>
  <c r="H130" i="8" s="1"/>
  <c r="I130" i="8" a="1"/>
  <c r="I130" i="8" s="1"/>
  <c r="H131" i="8" a="1"/>
  <c r="H131" i="8" s="1"/>
  <c r="I131" i="8" a="1"/>
  <c r="I131" i="8" s="1"/>
  <c r="H132" i="8" a="1"/>
  <c r="H132" i="8" s="1"/>
  <c r="I132" i="8" a="1"/>
  <c r="I132" i="8" s="1"/>
  <c r="H133" i="8" a="1"/>
  <c r="H133" i="8" s="1"/>
  <c r="I133" i="8" a="1"/>
  <c r="I133" i="8"/>
  <c r="H134" i="8" a="1"/>
  <c r="H134" i="8" s="1"/>
  <c r="I134" i="8" a="1"/>
  <c r="I134" i="8" s="1"/>
  <c r="H135" i="8" a="1"/>
  <c r="H135" i="8" s="1"/>
  <c r="I135" i="8" a="1"/>
  <c r="I135" i="8" s="1"/>
  <c r="H136" i="8" a="1"/>
  <c r="H136" i="8" s="1"/>
  <c r="I136" i="8" a="1"/>
  <c r="I136" i="8" s="1"/>
  <c r="H137" i="8" a="1"/>
  <c r="H137" i="8" s="1"/>
  <c r="I137" i="8" a="1"/>
  <c r="I137" i="8"/>
  <c r="H138" i="8" a="1"/>
  <c r="H138" i="8" s="1"/>
  <c r="I138" i="8" a="1"/>
  <c r="I138" i="8" s="1"/>
  <c r="H139" i="8" a="1"/>
  <c r="H139" i="8" s="1"/>
  <c r="I139" i="8" a="1"/>
  <c r="I139" i="8" s="1"/>
  <c r="H140" i="8" a="1"/>
  <c r="H140" i="8" s="1"/>
  <c r="I140" i="8" a="1"/>
  <c r="I140" i="8" s="1"/>
  <c r="H141" i="8" a="1"/>
  <c r="H141" i="8" s="1"/>
  <c r="I141" i="8" a="1"/>
  <c r="I141" i="8" s="1"/>
  <c r="H142" i="8" a="1"/>
  <c r="H142" i="8" s="1"/>
  <c r="I142" i="8" a="1"/>
  <c r="I142" i="8" s="1"/>
  <c r="H143" i="8" a="1"/>
  <c r="H143" i="8" s="1"/>
  <c r="I143" i="8" a="1"/>
  <c r="I143" i="8" s="1"/>
  <c r="H144" i="8" a="1"/>
  <c r="H144" i="8" s="1"/>
  <c r="I144" i="8" a="1"/>
  <c r="I144" i="8" s="1"/>
  <c r="H145" i="8" a="1"/>
  <c r="H145" i="8" s="1"/>
  <c r="I145" i="8" a="1"/>
  <c r="I145" i="8"/>
  <c r="H146" i="8" a="1"/>
  <c r="H146" i="8" s="1"/>
  <c r="I146" i="8" a="1"/>
  <c r="I146" i="8" s="1"/>
  <c r="H147" i="8" a="1"/>
  <c r="H147" i="8" s="1"/>
  <c r="I147" i="8" a="1"/>
  <c r="I147" i="8" s="1"/>
  <c r="H148" i="8" a="1"/>
  <c r="H148" i="8" s="1"/>
  <c r="I148" i="8" a="1"/>
  <c r="I148" i="8" s="1"/>
  <c r="H149" i="8" a="1"/>
  <c r="H149" i="8" s="1"/>
  <c r="I149" i="8" a="1"/>
  <c r="I149" i="8" s="1"/>
  <c r="H150" i="8" a="1"/>
  <c r="H150" i="8" s="1"/>
  <c r="I150" i="8" a="1"/>
  <c r="I150" i="8" s="1"/>
  <c r="H151" i="8" a="1"/>
  <c r="H151" i="8" s="1"/>
  <c r="I151" i="8" a="1"/>
  <c r="I151" i="8" s="1"/>
  <c r="H152" i="8" a="1"/>
  <c r="H152" i="8" s="1"/>
  <c r="I152" i="8" a="1"/>
  <c r="I152" i="8" s="1"/>
  <c r="H153" i="8" a="1"/>
  <c r="H153" i="8" s="1"/>
  <c r="I153" i="8" a="1"/>
  <c r="I153" i="8" s="1"/>
  <c r="H154" i="8" a="1"/>
  <c r="H154" i="8"/>
  <c r="I154" i="8" a="1"/>
  <c r="I154" i="8" s="1"/>
  <c r="H155" i="8" a="1"/>
  <c r="H155" i="8"/>
  <c r="I155" i="8" a="1"/>
  <c r="I155" i="8" s="1"/>
  <c r="H156" i="8" a="1"/>
  <c r="H156" i="8"/>
  <c r="I156" i="8" a="1"/>
  <c r="I156" i="8" s="1"/>
  <c r="H157" i="8" a="1"/>
  <c r="H157" i="8"/>
  <c r="I157" i="8" a="1"/>
  <c r="I157" i="8" s="1"/>
  <c r="H158" i="8" a="1"/>
  <c r="H158" i="8" s="1"/>
  <c r="I158" i="8" a="1"/>
  <c r="I158" i="8" s="1"/>
  <c r="H159" i="8" a="1"/>
  <c r="H159" i="8" s="1"/>
  <c r="I159" i="8" a="1"/>
  <c r="I159" i="8" s="1"/>
  <c r="H160" i="8" a="1"/>
  <c r="H160" i="8" s="1"/>
  <c r="I160" i="8" a="1"/>
  <c r="I160" i="8" s="1"/>
  <c r="H161" i="8" a="1"/>
  <c r="H161" i="8" s="1"/>
  <c r="I161" i="8" a="1"/>
  <c r="I161" i="8" s="1"/>
  <c r="H162" i="8" a="1"/>
  <c r="H162" i="8"/>
  <c r="I162" i="8" a="1"/>
  <c r="I162" i="8" s="1"/>
  <c r="H163" i="8" a="1"/>
  <c r="H163" i="8"/>
  <c r="I163" i="8" a="1"/>
  <c r="I163" i="8" s="1"/>
  <c r="H164" i="8" a="1"/>
  <c r="H164" i="8"/>
  <c r="I164" i="8" a="1"/>
  <c r="I164" i="8" s="1"/>
  <c r="H165" i="8" a="1"/>
  <c r="H165" i="8"/>
  <c r="I165" i="8" a="1"/>
  <c r="I165" i="8" s="1"/>
  <c r="H166" i="8" a="1"/>
  <c r="H166" i="8" s="1"/>
  <c r="I166" i="8" a="1"/>
  <c r="I166" i="8" s="1"/>
  <c r="H167" i="8" a="1"/>
  <c r="H167" i="8" s="1"/>
  <c r="I167" i="8" a="1"/>
  <c r="I167" i="8" s="1"/>
  <c r="H168" i="8" a="1"/>
  <c r="H168" i="8" s="1"/>
  <c r="I168" i="8" a="1"/>
  <c r="I168" i="8" s="1"/>
  <c r="H169" i="8" a="1"/>
  <c r="H169" i="8" s="1"/>
  <c r="I169" i="8" a="1"/>
  <c r="I169" i="8" s="1"/>
  <c r="H170" i="8" a="1"/>
  <c r="H170" i="8" s="1"/>
  <c r="I170" i="8" a="1"/>
  <c r="I170" i="8" s="1"/>
  <c r="H171" i="8" a="1"/>
  <c r="H171" i="8"/>
  <c r="I171" i="8" a="1"/>
  <c r="I171" i="8" s="1"/>
  <c r="H172" i="8" a="1"/>
  <c r="H172" i="8"/>
  <c r="I172" i="8" a="1"/>
  <c r="I172" i="8" s="1"/>
  <c r="H173" i="8" a="1"/>
  <c r="H173" i="8"/>
  <c r="I173" i="8" a="1"/>
  <c r="I173" i="8" s="1"/>
  <c r="H174" i="8" a="1"/>
  <c r="H174" i="8" s="1"/>
  <c r="I174" i="8" a="1"/>
  <c r="I174" i="8" s="1"/>
  <c r="H175" i="8" a="1"/>
  <c r="H175" i="8" s="1"/>
  <c r="I175" i="8" a="1"/>
  <c r="I175" i="8" s="1"/>
  <c r="H176" i="8" a="1"/>
  <c r="H176" i="8" s="1"/>
  <c r="I176" i="8" a="1"/>
  <c r="I176" i="8" s="1"/>
  <c r="H177" i="8" a="1"/>
  <c r="H177" i="8" s="1"/>
  <c r="I177" i="8" a="1"/>
  <c r="I177" i="8" s="1"/>
  <c r="H178" i="8" a="1"/>
  <c r="H178" i="8" s="1"/>
  <c r="I178" i="8" a="1"/>
  <c r="I178" i="8" s="1"/>
  <c r="H179" i="8" a="1"/>
  <c r="H179" i="8"/>
  <c r="I179" i="8" a="1"/>
  <c r="I179" i="8" s="1"/>
  <c r="H180" i="8" a="1"/>
  <c r="H180" i="8"/>
  <c r="I180" i="8" a="1"/>
  <c r="I180" i="8" s="1"/>
  <c r="H181" i="8" a="1"/>
  <c r="H181" i="8"/>
  <c r="I181" i="8" a="1"/>
  <c r="I181" i="8" s="1"/>
  <c r="H182" i="8" a="1"/>
  <c r="H182" i="8" s="1"/>
  <c r="I182" i="8" a="1"/>
  <c r="I182" i="8" s="1"/>
  <c r="H183" i="8" a="1"/>
  <c r="H183" i="8" s="1"/>
  <c r="I183" i="8" a="1"/>
  <c r="I183" i="8" s="1"/>
  <c r="H184" i="8" a="1"/>
  <c r="H184" i="8" s="1"/>
  <c r="I184" i="8" a="1"/>
  <c r="I184" i="8" s="1"/>
  <c r="H185" i="8" a="1"/>
  <c r="H185" i="8" s="1"/>
  <c r="I185" i="8" a="1"/>
  <c r="I185" i="8" s="1"/>
  <c r="H186" i="8" a="1"/>
  <c r="H186" i="8"/>
  <c r="I186" i="8" a="1"/>
  <c r="I186" i="8" s="1"/>
  <c r="H187" i="8" a="1"/>
  <c r="H187" i="8"/>
  <c r="I187" i="8" a="1"/>
  <c r="I187" i="8" s="1"/>
  <c r="H188" i="8" a="1"/>
  <c r="H188" i="8"/>
  <c r="I188" i="8" a="1"/>
  <c r="I188" i="8" s="1"/>
  <c r="H189" i="8" a="1"/>
  <c r="H189" i="8"/>
  <c r="I189" i="8" a="1"/>
  <c r="I189" i="8" s="1"/>
  <c r="H190" i="8" a="1"/>
  <c r="H190" i="8" s="1"/>
  <c r="I190" i="8" a="1"/>
  <c r="I190" i="8" s="1"/>
  <c r="H191" i="8" a="1"/>
  <c r="H191" i="8" s="1"/>
  <c r="I191" i="8" a="1"/>
  <c r="I191" i="8" s="1"/>
  <c r="H192" i="8" a="1"/>
  <c r="H192" i="8" s="1"/>
  <c r="I192" i="8" a="1"/>
  <c r="I192" i="8" s="1"/>
  <c r="H193" i="8" a="1"/>
  <c r="H193" i="8" s="1"/>
  <c r="I193" i="8" a="1"/>
  <c r="I193" i="8" s="1"/>
  <c r="H194" i="8" a="1"/>
  <c r="H194" i="8"/>
  <c r="I194" i="8" a="1"/>
  <c r="I194" i="8" s="1"/>
  <c r="H195" i="8" a="1"/>
  <c r="H195" i="8"/>
  <c r="I195" i="8" a="1"/>
  <c r="I195" i="8" s="1"/>
  <c r="H196" i="8" a="1"/>
  <c r="H196" i="8"/>
  <c r="I196" i="8" a="1"/>
  <c r="I196" i="8" s="1"/>
  <c r="H197" i="8" a="1"/>
  <c r="H197" i="8"/>
  <c r="I197" i="8" a="1"/>
  <c r="I197" i="8" s="1"/>
  <c r="H198" i="8" a="1"/>
  <c r="H198" i="8" s="1"/>
  <c r="I198" i="8" a="1"/>
  <c r="I198" i="8" s="1"/>
  <c r="H199" i="8" a="1"/>
  <c r="H199" i="8" s="1"/>
  <c r="I199" i="8" a="1"/>
  <c r="I199" i="8" s="1"/>
  <c r="H200" i="8" a="1"/>
  <c r="H200" i="8" s="1"/>
  <c r="I200" i="8" a="1"/>
  <c r="I200" i="8" s="1"/>
  <c r="H201" i="8" a="1"/>
  <c r="H201" i="8" s="1"/>
  <c r="I201" i="8" a="1"/>
  <c r="I201" i="8" s="1"/>
  <c r="H202" i="8" a="1"/>
  <c r="H202" i="8"/>
  <c r="I202" i="8" a="1"/>
  <c r="I202" i="8" s="1"/>
  <c r="H203" i="8" a="1"/>
  <c r="H203" i="8"/>
  <c r="I203" i="8" a="1"/>
  <c r="I203" i="8" s="1"/>
  <c r="H204" i="8" a="1"/>
  <c r="H204" i="8"/>
  <c r="I204" i="8" a="1"/>
  <c r="I204" i="8" s="1"/>
  <c r="H205" i="8" a="1"/>
  <c r="H205" i="8"/>
  <c r="I205" i="8" a="1"/>
  <c r="I205" i="8" s="1"/>
  <c r="H206" i="8" a="1"/>
  <c r="H206" i="8" s="1"/>
  <c r="I206" i="8" a="1"/>
  <c r="I206" i="8" s="1"/>
  <c r="H207" i="8" a="1"/>
  <c r="H207" i="8" s="1"/>
  <c r="I207" i="8" a="1"/>
  <c r="I207" i="8" s="1"/>
  <c r="H208" i="8" a="1"/>
  <c r="H208" i="8" s="1"/>
  <c r="I208" i="8" a="1"/>
  <c r="I208" i="8" s="1"/>
  <c r="H209" i="8" a="1"/>
  <c r="H209" i="8" s="1"/>
  <c r="I209" i="8" a="1"/>
  <c r="I209" i="8" s="1"/>
  <c r="H210" i="8" a="1"/>
  <c r="H210" i="8"/>
  <c r="I210" i="8" a="1"/>
  <c r="I210" i="8" s="1"/>
  <c r="H211" i="8" a="1"/>
  <c r="H211" i="8"/>
  <c r="I211" i="8" a="1"/>
  <c r="I211" i="8" s="1"/>
  <c r="H212" i="8" a="1"/>
  <c r="H212" i="8"/>
  <c r="I212" i="8" a="1"/>
  <c r="I212" i="8" s="1"/>
  <c r="H213" i="8" a="1"/>
  <c r="H213" i="8"/>
  <c r="I213" i="8" a="1"/>
  <c r="I213" i="8" s="1"/>
  <c r="H214" i="8" a="1"/>
  <c r="H214" i="8" s="1"/>
  <c r="I214" i="8" a="1"/>
  <c r="I214" i="8" s="1"/>
  <c r="H215" i="8" a="1"/>
  <c r="H215" i="8" s="1"/>
  <c r="I215" i="8" a="1"/>
  <c r="I215" i="8" s="1"/>
  <c r="H216" i="8" a="1"/>
  <c r="H216" i="8" s="1"/>
  <c r="I216" i="8" a="1"/>
  <c r="I216" i="8" s="1"/>
  <c r="H217" i="8" a="1"/>
  <c r="H217" i="8" s="1"/>
  <c r="I217" i="8" a="1"/>
  <c r="I217" i="8" s="1"/>
  <c r="H218" i="8" a="1"/>
  <c r="H218" i="8" s="1"/>
  <c r="I218" i="8" a="1"/>
  <c r="I218" i="8" s="1"/>
  <c r="H219" i="8" a="1"/>
  <c r="H219" i="8" s="1"/>
  <c r="I219" i="8" a="1"/>
  <c r="I219" i="8" s="1"/>
  <c r="H220" i="8" a="1"/>
  <c r="H220" i="8" s="1"/>
  <c r="I220" i="8" a="1"/>
  <c r="I220" i="8" s="1"/>
  <c r="H221" i="8" a="1"/>
  <c r="H221" i="8" s="1"/>
  <c r="I221" i="8" a="1"/>
  <c r="I221" i="8" s="1"/>
  <c r="H222" i="8" a="1"/>
  <c r="H222" i="8"/>
  <c r="I222" i="8" a="1"/>
  <c r="I222" i="8" s="1"/>
  <c r="H223" i="8" a="1"/>
  <c r="H223" i="8"/>
  <c r="I223" i="8" a="1"/>
  <c r="I223" i="8" s="1"/>
  <c r="H224" i="8" a="1"/>
  <c r="H224" i="8"/>
  <c r="I224" i="8" a="1"/>
  <c r="I224" i="8" s="1"/>
  <c r="H225" i="8" a="1"/>
  <c r="H225" i="8" s="1"/>
  <c r="I225" i="8" a="1"/>
  <c r="I225" i="8" s="1"/>
  <c r="H226" i="8" a="1"/>
  <c r="H226" i="8" s="1"/>
  <c r="I226" i="8" a="1"/>
  <c r="I226" i="8" s="1"/>
  <c r="H227" i="8" a="1"/>
  <c r="H227" i="8" s="1"/>
  <c r="I227" i="8" a="1"/>
  <c r="I227" i="8" s="1"/>
  <c r="H228" i="8" a="1"/>
  <c r="H228" i="8" s="1"/>
  <c r="I228" i="8" a="1"/>
  <c r="I228" i="8" s="1"/>
  <c r="H229" i="8" a="1"/>
  <c r="H229" i="8" s="1"/>
  <c r="I229" i="8" a="1"/>
  <c r="I229" i="8" s="1"/>
  <c r="H230" i="8" a="1"/>
  <c r="H230" i="8" s="1"/>
  <c r="I230" i="8" a="1"/>
  <c r="I230" i="8" s="1"/>
  <c r="H231" i="8" a="1"/>
  <c r="H231" i="8" s="1"/>
  <c r="I231" i="8" a="1"/>
  <c r="I231" i="8" s="1"/>
  <c r="H232" i="8" a="1"/>
  <c r="H232" i="8" s="1"/>
  <c r="I232" i="8" a="1"/>
  <c r="I232" i="8" s="1"/>
  <c r="H233" i="8" a="1"/>
  <c r="H233" i="8" s="1"/>
  <c r="I233" i="8" a="1"/>
  <c r="I233" i="8" s="1"/>
  <c r="H234" i="8" a="1"/>
  <c r="H234" i="8" s="1"/>
  <c r="I234" i="8" a="1"/>
  <c r="I234" i="8" s="1"/>
  <c r="H235" i="8" a="1"/>
  <c r="H235" i="8" s="1"/>
  <c r="I235" i="8" a="1"/>
  <c r="I235" i="8" s="1"/>
  <c r="H236" i="8" a="1"/>
  <c r="H236" i="8" s="1"/>
  <c r="I236" i="8" a="1"/>
  <c r="I236" i="8" s="1"/>
  <c r="H237" i="8" a="1"/>
  <c r="H237" i="8" s="1"/>
  <c r="I237" i="8" a="1"/>
  <c r="I237" i="8" s="1"/>
  <c r="H238" i="8" a="1"/>
  <c r="H238" i="8" s="1"/>
  <c r="I238" i="8" a="1"/>
  <c r="I238" i="8" s="1"/>
  <c r="H239" i="8" a="1"/>
  <c r="H239" i="8" s="1"/>
  <c r="I239" i="8" a="1"/>
  <c r="I239" i="8" s="1"/>
  <c r="H240" i="8" a="1"/>
  <c r="H240" i="8" s="1"/>
  <c r="I240" i="8" a="1"/>
  <c r="I240" i="8" s="1"/>
  <c r="H241" i="8" a="1"/>
  <c r="H241" i="8" s="1"/>
  <c r="I241" i="8" a="1"/>
  <c r="I241" i="8" s="1"/>
  <c r="H242" i="8" a="1"/>
  <c r="H242" i="8" s="1"/>
  <c r="I242" i="8" a="1"/>
  <c r="I242" i="8" s="1"/>
  <c r="H243" i="8" a="1"/>
  <c r="H243" i="8" s="1"/>
  <c r="I243" i="8" a="1"/>
  <c r="I243" i="8" s="1"/>
  <c r="H244" i="8" a="1"/>
  <c r="H244" i="8" s="1"/>
  <c r="I244" i="8" a="1"/>
  <c r="I244" i="8" s="1"/>
  <c r="H245" i="8" a="1"/>
  <c r="H245" i="8" s="1"/>
  <c r="I245" i="8" a="1"/>
  <c r="I245" i="8" s="1"/>
  <c r="H246" i="8" a="1"/>
  <c r="H246" i="8" s="1"/>
  <c r="I246" i="8" a="1"/>
  <c r="I246" i="8" s="1"/>
  <c r="H247" i="8" a="1"/>
  <c r="H247" i="8" s="1"/>
  <c r="I247" i="8" a="1"/>
  <c r="I247" i="8" s="1"/>
  <c r="H248" i="8" a="1"/>
  <c r="H248" i="8" s="1"/>
  <c r="I248" i="8" a="1"/>
  <c r="I248" i="8" s="1"/>
  <c r="H249" i="8" a="1"/>
  <c r="H249" i="8" s="1"/>
  <c r="I249" i="8" a="1"/>
  <c r="I249" i="8" s="1"/>
  <c r="H250" i="8" a="1"/>
  <c r="H250" i="8" s="1"/>
  <c r="I250" i="8" a="1"/>
  <c r="I250" i="8" s="1"/>
  <c r="H251" i="8" a="1"/>
  <c r="H251" i="8" s="1"/>
  <c r="I251" i="8" a="1"/>
  <c r="I251" i="8" s="1"/>
  <c r="H252" i="8" a="1"/>
  <c r="H252" i="8" s="1"/>
  <c r="I252" i="8" a="1"/>
  <c r="I252" i="8" s="1"/>
  <c r="H253" i="8" a="1"/>
  <c r="H253" i="8" s="1"/>
  <c r="I253" i="8" a="1"/>
  <c r="I253" i="8" s="1"/>
  <c r="H254" i="8" a="1"/>
  <c r="H254" i="8" s="1"/>
  <c r="I254" i="8" a="1"/>
  <c r="I254" i="8" s="1"/>
  <c r="H255" i="8" a="1"/>
  <c r="H255" i="8" s="1"/>
  <c r="I255" i="8" a="1"/>
  <c r="I255" i="8" s="1"/>
  <c r="H256" i="8" a="1"/>
  <c r="H256" i="8" s="1"/>
  <c r="I256" i="8" a="1"/>
  <c r="I256" i="8" s="1"/>
  <c r="H257" i="8" a="1"/>
  <c r="H257" i="8" s="1"/>
  <c r="I257" i="8" a="1"/>
  <c r="I257" i="8" s="1"/>
  <c r="H258" i="8" a="1"/>
  <c r="H258" i="8" s="1"/>
  <c r="I258" i="8" a="1"/>
  <c r="I258" i="8" s="1"/>
  <c r="H259" i="8" a="1"/>
  <c r="H259" i="8" s="1"/>
  <c r="I259" i="8" a="1"/>
  <c r="I259" i="8" s="1"/>
  <c r="H260" i="8" a="1"/>
  <c r="H260" i="8" s="1"/>
  <c r="I260" i="8" a="1"/>
  <c r="I260" i="8" s="1"/>
  <c r="H261" i="8" a="1"/>
  <c r="H261" i="8" s="1"/>
  <c r="I261" i="8" a="1"/>
  <c r="I261" i="8" s="1"/>
  <c r="H262" i="8" a="1"/>
  <c r="H262" i="8" s="1"/>
  <c r="I262" i="8" a="1"/>
  <c r="I262" i="8" s="1"/>
  <c r="H263" i="8" a="1"/>
  <c r="H263" i="8" s="1"/>
  <c r="I263" i="8" a="1"/>
  <c r="I263" i="8" s="1"/>
  <c r="H264" i="8" a="1"/>
  <c r="H264" i="8" s="1"/>
  <c r="I264" i="8" a="1"/>
  <c r="I264" i="8" s="1"/>
  <c r="H265" i="8" a="1"/>
  <c r="H265" i="8" s="1"/>
  <c r="I265" i="8" a="1"/>
  <c r="I265" i="8" s="1"/>
  <c r="H266" i="8" a="1"/>
  <c r="H266" i="8" s="1"/>
  <c r="I266" i="8" a="1"/>
  <c r="I266" i="8" s="1"/>
  <c r="H267" i="8" a="1"/>
  <c r="H267" i="8" s="1"/>
  <c r="I267" i="8" a="1"/>
  <c r="I267" i="8" s="1"/>
  <c r="H268" i="8" a="1"/>
  <c r="H268" i="8" s="1"/>
  <c r="I268" i="8" a="1"/>
  <c r="I268" i="8" s="1"/>
  <c r="H269" i="8" a="1"/>
  <c r="H269" i="8" s="1"/>
  <c r="I269" i="8" a="1"/>
  <c r="I269" i="8" s="1"/>
  <c r="H270" i="8" a="1"/>
  <c r="H270" i="8" s="1"/>
  <c r="I270" i="8" a="1"/>
  <c r="I270" i="8" s="1"/>
  <c r="H271" i="8" a="1"/>
  <c r="H271" i="8" s="1"/>
  <c r="I271" i="8" a="1"/>
  <c r="I271" i="8" s="1"/>
  <c r="H272" i="8" a="1"/>
  <c r="H272" i="8" s="1"/>
  <c r="I272" i="8" a="1"/>
  <c r="I272" i="8" s="1"/>
  <c r="H273" i="8" a="1"/>
  <c r="H273" i="8" s="1"/>
  <c r="I273" i="8" a="1"/>
  <c r="I273" i="8" s="1"/>
  <c r="H274" i="8" a="1"/>
  <c r="H274" i="8" s="1"/>
  <c r="I274" i="8" a="1"/>
  <c r="I274" i="8" s="1"/>
  <c r="H275" i="8" a="1"/>
  <c r="H275" i="8" s="1"/>
  <c r="I275" i="8" a="1"/>
  <c r="I275" i="8" s="1"/>
  <c r="H276" i="8" a="1"/>
  <c r="H276" i="8" s="1"/>
  <c r="I276" i="8" a="1"/>
  <c r="I276" i="8" s="1"/>
  <c r="H277" i="8" a="1"/>
  <c r="H277" i="8" s="1"/>
  <c r="I277" i="8" a="1"/>
  <c r="I277" i="8" s="1"/>
  <c r="H278" i="8" a="1"/>
  <c r="H278" i="8" s="1"/>
  <c r="I278" i="8" a="1"/>
  <c r="I278" i="8" s="1"/>
  <c r="H279" i="8" a="1"/>
  <c r="H279" i="8" s="1"/>
  <c r="I279" i="8" a="1"/>
  <c r="I279" i="8" s="1"/>
  <c r="H280" i="8" a="1"/>
  <c r="H280" i="8" s="1"/>
  <c r="I280" i="8" a="1"/>
  <c r="I280" i="8" s="1"/>
  <c r="H281" i="8" a="1"/>
  <c r="H281" i="8" s="1"/>
  <c r="I281" i="8" a="1"/>
  <c r="I281" i="8" s="1"/>
  <c r="H282" i="8" a="1"/>
  <c r="H282" i="8" s="1"/>
  <c r="I282" i="8" a="1"/>
  <c r="I282" i="8" s="1"/>
  <c r="H283" i="8" a="1"/>
  <c r="H283" i="8" s="1"/>
  <c r="I283" i="8" a="1"/>
  <c r="I283" i="8" s="1"/>
  <c r="I2" i="8" a="1"/>
  <c r="I2" i="8" s="1"/>
  <c r="H2" i="8" a="1"/>
  <c r="H2" i="8" s="1"/>
  <c r="N13" i="11" l="1"/>
  <c r="N54" i="11"/>
  <c r="N43" i="11"/>
  <c r="N77" i="11"/>
  <c r="N70" i="11"/>
  <c r="N21" i="11"/>
  <c r="N24" i="11"/>
  <c r="N37" i="11"/>
  <c r="N27" i="11"/>
  <c r="N61" i="11"/>
  <c r="N4" i="11"/>
  <c r="N71" i="11"/>
  <c r="N46" i="11"/>
  <c r="N65" i="11"/>
  <c r="N11" i="11"/>
  <c r="N63" i="11"/>
  <c r="N18" i="11"/>
  <c r="N22" i="11"/>
  <c r="N59" i="11"/>
  <c r="N28" i="11"/>
  <c r="N6" i="11"/>
  <c r="N44" i="11"/>
  <c r="N26" i="11"/>
  <c r="N16" i="11"/>
  <c r="N51" i="11"/>
  <c r="N15" i="11"/>
  <c r="N14" i="11"/>
  <c r="N5" i="11"/>
  <c r="N60" i="11"/>
  <c r="N49" i="11"/>
  <c r="N48" i="11"/>
  <c r="N38" i="11"/>
  <c r="N32" i="11"/>
  <c r="N12" i="11"/>
  <c r="N53" i="11"/>
  <c r="N52" i="11"/>
  <c r="N20" i="11"/>
  <c r="N17" i="11"/>
  <c r="N39" i="11"/>
  <c r="N25" i="11"/>
  <c r="N72" i="11"/>
  <c r="N55" i="11"/>
  <c r="N45" i="11"/>
  <c r="N76" i="11"/>
  <c r="N50" i="11"/>
  <c r="N62" i="11"/>
  <c r="N58" i="11"/>
  <c r="N78" i="11"/>
  <c r="N19" i="11"/>
  <c r="N79" i="11"/>
  <c r="N7" i="11"/>
  <c r="N68" i="11"/>
  <c r="N9" i="11"/>
  <c r="N2" i="11"/>
  <c r="C5" i="9" l="1" a="1"/>
  <c r="C5" i="9" s="1"/>
  <c r="D5" i="10" s="1"/>
  <c r="B5" i="9" a="1"/>
  <c r="B5" i="9" s="1"/>
  <c r="I167" i="7" a="1"/>
  <c r="I167" i="7" s="1"/>
  <c r="I168" i="7" a="1"/>
  <c r="I168" i="7"/>
  <c r="I169" i="7" a="1"/>
  <c r="I169" i="7" s="1"/>
  <c r="I170" i="7" a="1"/>
  <c r="I170" i="7" s="1"/>
  <c r="I171" i="7" a="1"/>
  <c r="I171" i="7" s="1"/>
  <c r="I172" i="7" a="1"/>
  <c r="I172" i="7" s="1"/>
  <c r="I173" i="7" a="1"/>
  <c r="I173" i="7" s="1"/>
  <c r="I174" i="7" a="1"/>
  <c r="I174" i="7"/>
  <c r="I175" i="7" a="1"/>
  <c r="I175" i="7" s="1"/>
  <c r="I176" i="7" a="1"/>
  <c r="I176" i="7" s="1"/>
  <c r="I177" i="7" a="1"/>
  <c r="I177" i="7" s="1"/>
  <c r="I178" i="7" a="1"/>
  <c r="I178" i="7"/>
  <c r="I179" i="7" a="1"/>
  <c r="I179" i="7" s="1"/>
  <c r="I180" i="7" a="1"/>
  <c r="I180" i="7" s="1"/>
  <c r="I181" i="7" a="1"/>
  <c r="I181" i="7" s="1"/>
  <c r="I182" i="7" a="1"/>
  <c r="I182" i="7" s="1"/>
  <c r="I183" i="7" a="1"/>
  <c r="I183" i="7" s="1"/>
  <c r="I184" i="7" a="1"/>
  <c r="I184" i="7" s="1"/>
  <c r="I185" i="7" a="1"/>
  <c r="I185" i="7"/>
  <c r="I186" i="7" a="1"/>
  <c r="I186" i="7"/>
  <c r="I187" i="7" a="1"/>
  <c r="I187" i="7" s="1"/>
  <c r="I188" i="7" a="1"/>
  <c r="I188" i="7" s="1"/>
  <c r="I189" i="7" a="1"/>
  <c r="I189" i="7" s="1"/>
  <c r="I190" i="7" a="1"/>
  <c r="I190" i="7" s="1"/>
  <c r="I191" i="7" a="1"/>
  <c r="I191" i="7" s="1"/>
  <c r="I192" i="7" a="1"/>
  <c r="I192" i="7" s="1"/>
  <c r="I193" i="7" a="1"/>
  <c r="I193" i="7"/>
  <c r="I194" i="7" a="1"/>
  <c r="I194" i="7"/>
  <c r="I195" i="7" a="1"/>
  <c r="I195" i="7" s="1"/>
  <c r="I196" i="7" a="1"/>
  <c r="I196" i="7" s="1"/>
  <c r="I197" i="7" a="1"/>
  <c r="I197" i="7" s="1"/>
  <c r="I198" i="7" a="1"/>
  <c r="I198" i="7" s="1"/>
  <c r="I199" i="7" a="1"/>
  <c r="I199" i="7" s="1"/>
  <c r="I200" i="7" a="1"/>
  <c r="I200" i="7" s="1"/>
  <c r="I201" i="7" a="1"/>
  <c r="I201" i="7" s="1"/>
  <c r="I202" i="7" a="1"/>
  <c r="I202" i="7"/>
  <c r="I203" i="7" a="1"/>
  <c r="I203" i="7" s="1"/>
  <c r="I204" i="7" a="1"/>
  <c r="I204" i="7" s="1"/>
  <c r="I205" i="7" a="1"/>
  <c r="I205" i="7" s="1"/>
  <c r="I206" i="7" a="1"/>
  <c r="I206" i="7" s="1"/>
  <c r="I207" i="7" a="1"/>
  <c r="I207" i="7" s="1"/>
  <c r="I208" i="7" a="1"/>
  <c r="I208" i="7" s="1"/>
  <c r="I209" i="7" a="1"/>
  <c r="I209" i="7" s="1"/>
  <c r="I210" i="7" a="1"/>
  <c r="I210" i="7"/>
  <c r="I211" i="7" a="1"/>
  <c r="I211" i="7" s="1"/>
  <c r="I212" i="7" a="1"/>
  <c r="I212" i="7" s="1"/>
  <c r="I213" i="7" a="1"/>
  <c r="I213" i="7" s="1"/>
  <c r="I214" i="7" a="1"/>
  <c r="I214" i="7" s="1"/>
  <c r="I215" i="7" a="1"/>
  <c r="I215" i="7" s="1"/>
  <c r="I216" i="7" a="1"/>
  <c r="I216" i="7" s="1"/>
  <c r="I217" i="7" a="1"/>
  <c r="I217" i="7" s="1"/>
  <c r="I218" i="7" a="1"/>
  <c r="I218" i="7"/>
  <c r="I219" i="7" a="1"/>
  <c r="I219" i="7" s="1"/>
  <c r="I220" i="7" a="1"/>
  <c r="I220" i="7" s="1"/>
  <c r="I221" i="7" a="1"/>
  <c r="I221" i="7" s="1"/>
  <c r="I222" i="7" a="1"/>
  <c r="I222" i="7" s="1"/>
  <c r="I223" i="7" a="1"/>
  <c r="I223" i="7" s="1"/>
  <c r="I224" i="7" a="1"/>
  <c r="I224" i="7" s="1"/>
  <c r="I225" i="7" a="1"/>
  <c r="I225" i="7" s="1"/>
  <c r="I226" i="7" a="1"/>
  <c r="I226" i="7"/>
  <c r="I227" i="7" a="1"/>
  <c r="I227" i="7" s="1"/>
  <c r="I228" i="7" a="1"/>
  <c r="I228" i="7" s="1"/>
  <c r="I229" i="7" a="1"/>
  <c r="I229" i="7" s="1"/>
  <c r="I230" i="7" a="1"/>
  <c r="I230" i="7" s="1"/>
  <c r="I231" i="7" a="1"/>
  <c r="I231" i="7" s="1"/>
  <c r="I232" i="7" a="1"/>
  <c r="I232" i="7" s="1"/>
  <c r="I233" i="7" a="1"/>
  <c r="I233" i="7" s="1"/>
  <c r="I234" i="7" a="1"/>
  <c r="I234" i="7"/>
  <c r="I235" i="7" a="1"/>
  <c r="I235" i="7" s="1"/>
  <c r="I236" i="7" a="1"/>
  <c r="I236" i="7" s="1"/>
  <c r="I237" i="7" a="1"/>
  <c r="I237" i="7" s="1"/>
  <c r="I238" i="7" a="1"/>
  <c r="I238" i="7" s="1"/>
  <c r="I239" i="7" a="1"/>
  <c r="I239" i="7" s="1"/>
  <c r="I240" i="7" a="1"/>
  <c r="I240" i="7" s="1"/>
  <c r="I241" i="7" a="1"/>
  <c r="I241" i="7"/>
  <c r="I242" i="7" a="1"/>
  <c r="I242" i="7" s="1"/>
  <c r="I243" i="7" a="1"/>
  <c r="I243" i="7" s="1"/>
  <c r="I244" i="7" a="1"/>
  <c r="I244" i="7" s="1"/>
  <c r="I245" i="7" a="1"/>
  <c r="I245" i="7"/>
  <c r="I246" i="7" a="1"/>
  <c r="I246" i="7" s="1"/>
  <c r="I247" i="7" a="1"/>
  <c r="I247" i="7" s="1"/>
  <c r="I248" i="7" a="1"/>
  <c r="I248" i="7" s="1"/>
  <c r="I249" i="7" a="1"/>
  <c r="I249" i="7"/>
  <c r="I250" i="7" a="1"/>
  <c r="I250" i="7" s="1"/>
  <c r="I251" i="7" a="1"/>
  <c r="I251" i="7" s="1"/>
  <c r="I252" i="7" a="1"/>
  <c r="I252" i="7" s="1"/>
  <c r="I253" i="7" a="1"/>
  <c r="I253" i="7"/>
  <c r="I254" i="7" a="1"/>
  <c r="I254" i="7" s="1"/>
  <c r="I255" i="7" a="1"/>
  <c r="I255" i="7" s="1"/>
  <c r="I256" i="7" a="1"/>
  <c r="I256" i="7" s="1"/>
  <c r="I257" i="7" a="1"/>
  <c r="I257" i="7"/>
  <c r="I258" i="7" a="1"/>
  <c r="I258" i="7"/>
  <c r="I259" i="7" a="1"/>
  <c r="I259" i="7" s="1"/>
  <c r="I260" i="7" a="1"/>
  <c r="I260" i="7" s="1"/>
  <c r="I261" i="7" a="1"/>
  <c r="I261" i="7"/>
  <c r="I262" i="7" a="1"/>
  <c r="I262" i="7"/>
  <c r="I263" i="7" a="1"/>
  <c r="I263" i="7" s="1"/>
  <c r="I264" i="7" a="1"/>
  <c r="I264" i="7" s="1"/>
  <c r="I265" i="7" a="1"/>
  <c r="I265" i="7"/>
  <c r="I266" i="7" a="1"/>
  <c r="I266" i="7"/>
  <c r="I267" i="7" a="1"/>
  <c r="I267" i="7" s="1"/>
  <c r="I268" i="7" a="1"/>
  <c r="I268" i="7" s="1"/>
  <c r="I269" i="7" a="1"/>
  <c r="I269" i="7"/>
  <c r="I270" i="7" a="1"/>
  <c r="I270" i="7"/>
  <c r="I117" i="7" a="1"/>
  <c r="I117" i="7" s="1"/>
  <c r="I118" i="7" a="1"/>
  <c r="I118" i="7" s="1"/>
  <c r="I119" i="7" a="1"/>
  <c r="I119" i="7" s="1"/>
  <c r="I120" i="7" a="1"/>
  <c r="I120" i="7" s="1"/>
  <c r="I121" i="7" a="1"/>
  <c r="I121" i="7" s="1"/>
  <c r="I122" i="7" a="1"/>
  <c r="I122" i="7" s="1"/>
  <c r="I123" i="7" a="1"/>
  <c r="I123" i="7" s="1"/>
  <c r="I124" i="7" a="1"/>
  <c r="I124" i="7" s="1"/>
  <c r="I125" i="7" a="1"/>
  <c r="I125" i="7" s="1"/>
  <c r="I126" i="7" a="1"/>
  <c r="I126" i="7" s="1"/>
  <c r="I127" i="7" a="1"/>
  <c r="I127" i="7" s="1"/>
  <c r="I128" i="7" a="1"/>
  <c r="I128" i="7" s="1"/>
  <c r="I129" i="7" a="1"/>
  <c r="I129" i="7" s="1"/>
  <c r="I130" i="7" a="1"/>
  <c r="I130" i="7" s="1"/>
  <c r="I131" i="7" a="1"/>
  <c r="I131" i="7" s="1"/>
  <c r="I132" i="7" a="1"/>
  <c r="I132" i="7" s="1"/>
  <c r="I133" i="7" a="1"/>
  <c r="I133" i="7" s="1"/>
  <c r="I134" i="7" a="1"/>
  <c r="I134" i="7" s="1"/>
  <c r="I135" i="7" a="1"/>
  <c r="I135" i="7" s="1"/>
  <c r="I136" i="7" a="1"/>
  <c r="I136" i="7" s="1"/>
  <c r="I137" i="7" a="1"/>
  <c r="I137" i="7" s="1"/>
  <c r="I138" i="7" a="1"/>
  <c r="I138" i="7" s="1"/>
  <c r="I139" i="7" a="1"/>
  <c r="I139" i="7" s="1"/>
  <c r="I140" i="7" a="1"/>
  <c r="I140" i="7" s="1"/>
  <c r="I141" i="7" a="1"/>
  <c r="I141" i="7" s="1"/>
  <c r="I142" i="7" a="1"/>
  <c r="I142" i="7" s="1"/>
  <c r="I143" i="7" a="1"/>
  <c r="I143" i="7" s="1"/>
  <c r="I144" i="7" a="1"/>
  <c r="I144" i="7" s="1"/>
  <c r="I145" i="7" a="1"/>
  <c r="I145" i="7" s="1"/>
  <c r="I146" i="7" a="1"/>
  <c r="I146" i="7" s="1"/>
  <c r="I147" i="7" a="1"/>
  <c r="I147" i="7" s="1"/>
  <c r="I148" i="7" a="1"/>
  <c r="I148" i="7" s="1"/>
  <c r="I149" i="7" a="1"/>
  <c r="I149" i="7" s="1"/>
  <c r="I150" i="7" a="1"/>
  <c r="I150" i="7" s="1"/>
  <c r="I151" i="7" a="1"/>
  <c r="I151" i="7" s="1"/>
  <c r="I152" i="7" a="1"/>
  <c r="I152" i="7" s="1"/>
  <c r="I153" i="7" a="1"/>
  <c r="I153" i="7" s="1"/>
  <c r="I154" i="7" a="1"/>
  <c r="I154" i="7" s="1"/>
  <c r="I155" i="7" a="1"/>
  <c r="I155" i="7" s="1"/>
  <c r="I156" i="7" a="1"/>
  <c r="I156" i="7" s="1"/>
  <c r="I157" i="7" a="1"/>
  <c r="I157" i="7" s="1"/>
  <c r="I158" i="7" a="1"/>
  <c r="I158" i="7" s="1"/>
  <c r="I159" i="7" a="1"/>
  <c r="I159" i="7" s="1"/>
  <c r="I160" i="7" a="1"/>
  <c r="I160" i="7" s="1"/>
  <c r="I161" i="7" a="1"/>
  <c r="I161" i="7" s="1"/>
  <c r="I162" i="7" a="1"/>
  <c r="I162" i="7" s="1"/>
  <c r="I163" i="7" a="1"/>
  <c r="I163" i="7" s="1"/>
  <c r="I164" i="7" a="1"/>
  <c r="I164" i="7" s="1"/>
  <c r="I165" i="7" a="1"/>
  <c r="I165" i="7" s="1"/>
  <c r="I166" i="7" a="1"/>
  <c r="I166" i="7" s="1"/>
  <c r="C5" i="10" l="1"/>
  <c r="B5" i="10"/>
  <c r="I74" i="7"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5" i="7" a="1"/>
  <c r="I85" i="7" s="1"/>
  <c r="I86" i="7" a="1"/>
  <c r="I86"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I111" i="7" a="1"/>
  <c r="I111" i="7" s="1"/>
  <c r="I112" i="7" a="1"/>
  <c r="I112" i="7" s="1"/>
  <c r="I113" i="7" a="1"/>
  <c r="I113" i="7" s="1"/>
  <c r="I114" i="7" a="1"/>
  <c r="I114" i="7" s="1"/>
  <c r="I115" i="7" a="1"/>
  <c r="I115" i="7" s="1"/>
  <c r="I116" i="7" a="1"/>
  <c r="I116" i="7" s="1"/>
  <c r="E116" i="7"/>
  <c r="H116" i="7" s="1" a="1"/>
  <c r="H116" i="7" s="1"/>
  <c r="E115" i="7"/>
  <c r="H115" i="7" s="1" a="1"/>
  <c r="H115" i="7" s="1"/>
  <c r="E114" i="7"/>
  <c r="H114" i="7" s="1" a="1"/>
  <c r="H114" i="7" s="1"/>
  <c r="E113" i="7"/>
  <c r="H113" i="7" s="1" a="1"/>
  <c r="H113" i="7" s="1"/>
  <c r="E112" i="7"/>
  <c r="E111" i="7"/>
  <c r="H111" i="7" s="1" a="1"/>
  <c r="H111" i="7" s="1"/>
  <c r="E110" i="7"/>
  <c r="E109" i="7"/>
  <c r="H109" i="7" s="1" a="1"/>
  <c r="H109" i="7" s="1"/>
  <c r="E108" i="7"/>
  <c r="H108" i="7" s="1" a="1"/>
  <c r="H108" i="7" s="1"/>
  <c r="E107" i="7"/>
  <c r="H107" i="7" s="1" a="1"/>
  <c r="H107" i="7" s="1"/>
  <c r="E106" i="7"/>
  <c r="H106" i="7" s="1" a="1"/>
  <c r="H106" i="7" s="1"/>
  <c r="E105" i="7"/>
  <c r="H105" i="7" s="1" a="1"/>
  <c r="H105" i="7" s="1"/>
  <c r="E104" i="7"/>
  <c r="E103" i="7"/>
  <c r="H103" i="7" s="1" a="1"/>
  <c r="H103" i="7" s="1"/>
  <c r="E102" i="7"/>
  <c r="E101" i="7"/>
  <c r="H101" i="7" s="1" a="1"/>
  <c r="H101" i="7" s="1"/>
  <c r="E100" i="7"/>
  <c r="H100" i="7" s="1" a="1"/>
  <c r="H100" i="7" s="1"/>
  <c r="E99" i="7"/>
  <c r="H99" i="7" s="1" a="1"/>
  <c r="H99" i="7" s="1"/>
  <c r="E98" i="7"/>
  <c r="H98" i="7" s="1" a="1"/>
  <c r="H98" i="7" s="1"/>
  <c r="E97" i="7"/>
  <c r="H97" i="7" s="1" a="1"/>
  <c r="H97" i="7" s="1"/>
  <c r="E96" i="7"/>
  <c r="E95" i="7"/>
  <c r="H95" i="7" s="1" a="1"/>
  <c r="H95" i="7" s="1"/>
  <c r="E94" i="7"/>
  <c r="E93" i="7"/>
  <c r="H93" i="7" s="1" a="1"/>
  <c r="H93" i="7" s="1"/>
  <c r="E92" i="7"/>
  <c r="H92" i="7" s="1" a="1"/>
  <c r="H92" i="7" s="1"/>
  <c r="E91" i="7"/>
  <c r="H91" i="7" s="1" a="1"/>
  <c r="H91" i="7" s="1"/>
  <c r="E90" i="7"/>
  <c r="H90" i="7" s="1" a="1"/>
  <c r="H90" i="7" s="1"/>
  <c r="E89" i="7"/>
  <c r="H89" i="7" s="1" a="1"/>
  <c r="H89" i="7" s="1"/>
  <c r="E88" i="7"/>
  <c r="E87" i="7"/>
  <c r="H87" i="7" s="1" a="1"/>
  <c r="H87" i="7" s="1"/>
  <c r="E86" i="7"/>
  <c r="E85" i="7"/>
  <c r="H85" i="7" s="1" a="1"/>
  <c r="H85" i="7" s="1"/>
  <c r="E84" i="7"/>
  <c r="H84" i="7" s="1" a="1"/>
  <c r="H84" i="7" s="1"/>
  <c r="E83" i="7"/>
  <c r="H83" i="7" s="1" a="1"/>
  <c r="H83" i="7" s="1"/>
  <c r="E82" i="7"/>
  <c r="H82" i="7" s="1" a="1"/>
  <c r="H82" i="7" s="1"/>
  <c r="E81" i="7"/>
  <c r="H110" i="7" s="1" a="1"/>
  <c r="H110" i="7" s="1"/>
  <c r="E80" i="7"/>
  <c r="E79" i="7"/>
  <c r="H79" i="7" s="1" a="1"/>
  <c r="H79" i="7" s="1"/>
  <c r="E78" i="7"/>
  <c r="E77" i="7"/>
  <c r="H77" i="7" s="1" a="1"/>
  <c r="H77" i="7" s="1"/>
  <c r="E76" i="7"/>
  <c r="H76" i="7" s="1" a="1"/>
  <c r="H76" i="7" s="1"/>
  <c r="E75" i="7"/>
  <c r="H75" i="7" s="1" a="1"/>
  <c r="H75" i="7" s="1"/>
  <c r="E74" i="7"/>
  <c r="H102" i="7" s="1" a="1"/>
  <c r="H102" i="7" s="1"/>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H56" i="7" a="1"/>
  <c r="H56"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H72" i="7" a="1"/>
  <c r="H72" i="7" s="1"/>
  <c r="I72" i="7" a="1"/>
  <c r="I72" i="7" s="1"/>
  <c r="I73" i="7" a="1"/>
  <c r="I73" i="7" s="1"/>
  <c r="I24" i="7" a="1"/>
  <c r="I24" i="7" s="1"/>
  <c r="I25" i="7" a="1"/>
  <c r="I25" i="7" s="1"/>
  <c r="I26" i="7" a="1"/>
  <c r="I26" i="7" s="1"/>
  <c r="I27" i="7" a="1"/>
  <c r="I27" i="7" s="1"/>
  <c r="I28" i="7" a="1"/>
  <c r="I28" i="7" s="1"/>
  <c r="I29" i="7" a="1"/>
  <c r="I29" i="7" s="1"/>
  <c r="I30" i="7" a="1"/>
  <c r="I30" i="7" s="1"/>
  <c r="I31" i="7" a="1"/>
  <c r="I31" i="7" s="1"/>
  <c r="H23" i="7" a="1"/>
  <c r="H23" i="7" s="1"/>
  <c r="I23" i="7" a="1"/>
  <c r="I23" i="7" s="1"/>
  <c r="H78" i="7" l="1" a="1"/>
  <c r="H78" i="7" s="1"/>
  <c r="H74" i="7" a="1"/>
  <c r="H74" i="7" s="1"/>
  <c r="H94" i="7" a="1"/>
  <c r="H94" i="7" s="1"/>
  <c r="H26" i="7" a="1"/>
  <c r="H26" i="7" s="1"/>
  <c r="H70" i="7" a="1"/>
  <c r="H70" i="7" s="1"/>
  <c r="H81" i="7" a="1"/>
  <c r="H81" i="7" s="1"/>
  <c r="H32" i="7" a="1"/>
  <c r="H32" i="7" s="1"/>
  <c r="H66" i="7" a="1"/>
  <c r="H66" i="7" s="1"/>
  <c r="G66" i="7" s="1"/>
  <c r="H176" i="7" a="1"/>
  <c r="H176" i="7" s="1"/>
  <c r="G176" i="7" s="1"/>
  <c r="H179" i="7" a="1"/>
  <c r="H179" i="7" s="1"/>
  <c r="G179" i="7" s="1"/>
  <c r="H187" i="7" a="1"/>
  <c r="H187" i="7" s="1"/>
  <c r="G187" i="7" s="1"/>
  <c r="H195" i="7" a="1"/>
  <c r="H195" i="7" s="1"/>
  <c r="G195" i="7" s="1"/>
  <c r="H203" i="7" a="1"/>
  <c r="H203" i="7" s="1"/>
  <c r="G203" i="7" s="1"/>
  <c r="H211" i="7" a="1"/>
  <c r="H211" i="7" s="1"/>
  <c r="G211" i="7" s="1"/>
  <c r="H219" i="7" a="1"/>
  <c r="H219" i="7" s="1"/>
  <c r="G219" i="7" s="1"/>
  <c r="H227" i="7" a="1"/>
  <c r="H227" i="7" s="1"/>
  <c r="G227" i="7" s="1"/>
  <c r="H235" i="7" a="1"/>
  <c r="H235" i="7" s="1"/>
  <c r="G235" i="7" s="1"/>
  <c r="H240" i="7" a="1"/>
  <c r="H240" i="7" s="1"/>
  <c r="G240" i="7" s="1"/>
  <c r="H248" i="7" a="1"/>
  <c r="H248" i="7" s="1"/>
  <c r="G248" i="7" s="1"/>
  <c r="H256" i="7" a="1"/>
  <c r="H256" i="7" s="1"/>
  <c r="G256" i="7" s="1"/>
  <c r="H261" i="7" a="1"/>
  <c r="H261" i="7" s="1"/>
  <c r="G261" i="7" s="1"/>
  <c r="H269" i="7" a="1"/>
  <c r="H269" i="7" s="1"/>
  <c r="G269" i="7" s="1"/>
  <c r="H118" i="7" a="1"/>
  <c r="H118" i="7" s="1"/>
  <c r="G118" i="7" s="1"/>
  <c r="H122" i="7" a="1"/>
  <c r="H122" i="7" s="1"/>
  <c r="G122" i="7" s="1"/>
  <c r="H126" i="7" a="1"/>
  <c r="H126" i="7" s="1"/>
  <c r="G126" i="7" s="1"/>
  <c r="H130" i="7" a="1"/>
  <c r="H130" i="7" s="1"/>
  <c r="G130" i="7" s="1"/>
  <c r="H134" i="7" a="1"/>
  <c r="H134" i="7" s="1"/>
  <c r="G134" i="7" s="1"/>
  <c r="H138" i="7" a="1"/>
  <c r="H138" i="7" s="1"/>
  <c r="G138" i="7" s="1"/>
  <c r="H142" i="7" a="1"/>
  <c r="H142" i="7" s="1"/>
  <c r="G142" i="7" s="1"/>
  <c r="H146" i="7" a="1"/>
  <c r="H146" i="7" s="1"/>
  <c r="G146" i="7" s="1"/>
  <c r="H150" i="7" a="1"/>
  <c r="H150" i="7" s="1"/>
  <c r="G150" i="7" s="1"/>
  <c r="H154" i="7" a="1"/>
  <c r="H154" i="7" s="1"/>
  <c r="G154" i="7" s="1"/>
  <c r="H158" i="7" a="1"/>
  <c r="H158" i="7" s="1"/>
  <c r="G158" i="7" s="1"/>
  <c r="H162" i="7" a="1"/>
  <c r="H162" i="7" s="1"/>
  <c r="G162" i="7" s="1"/>
  <c r="H166" i="7" a="1"/>
  <c r="H166" i="7" s="1"/>
  <c r="G166" i="7" s="1"/>
  <c r="H233" i="7" a="1"/>
  <c r="H233" i="7" s="1"/>
  <c r="G233" i="7" s="1"/>
  <c r="H246" i="7" a="1"/>
  <c r="H246" i="7" s="1"/>
  <c r="G246" i="7" s="1"/>
  <c r="H254" i="7" a="1"/>
  <c r="H254" i="7" s="1"/>
  <c r="G254" i="7" s="1"/>
  <c r="H259" i="7" a="1"/>
  <c r="H259" i="7" s="1"/>
  <c r="G259" i="7" s="1"/>
  <c r="H267" i="7" a="1"/>
  <c r="H267" i="7" s="1"/>
  <c r="G267" i="7" s="1"/>
  <c r="H123" i="7" a="1"/>
  <c r="H123" i="7" s="1"/>
  <c r="G123" i="7" s="1"/>
  <c r="H135" i="7" a="1"/>
  <c r="H135" i="7" s="1"/>
  <c r="G135" i="7" s="1"/>
  <c r="H147" i="7" a="1"/>
  <c r="H147" i="7" s="1"/>
  <c r="G147" i="7" s="1"/>
  <c r="H155" i="7" a="1"/>
  <c r="H155" i="7" s="1"/>
  <c r="G155" i="7" s="1"/>
  <c r="H163" i="7" a="1"/>
  <c r="H163" i="7" s="1"/>
  <c r="G163" i="7" s="1"/>
  <c r="H268" i="7" a="1"/>
  <c r="H268" i="7" s="1"/>
  <c r="G268" i="7" s="1"/>
  <c r="H172" i="7" a="1"/>
  <c r="H172" i="7" s="1"/>
  <c r="G172" i="7" s="1"/>
  <c r="H181" i="7" a="1"/>
  <c r="H181" i="7" s="1"/>
  <c r="G181" i="7" s="1"/>
  <c r="H189" i="7" a="1"/>
  <c r="H189" i="7" s="1"/>
  <c r="G189" i="7" s="1"/>
  <c r="H197" i="7" a="1"/>
  <c r="H197" i="7" s="1"/>
  <c r="G197" i="7" s="1"/>
  <c r="H250" i="7" a="1"/>
  <c r="H250" i="7" s="1"/>
  <c r="G250" i="7" s="1"/>
  <c r="H117" i="7" a="1"/>
  <c r="H117" i="7" s="1"/>
  <c r="G117" i="7" s="1"/>
  <c r="H129" i="7" a="1"/>
  <c r="H129" i="7" s="1"/>
  <c r="G129" i="7" s="1"/>
  <c r="H141" i="7" a="1"/>
  <c r="H141" i="7" s="1"/>
  <c r="G141" i="7" s="1"/>
  <c r="H153" i="7" a="1"/>
  <c r="H153" i="7" s="1"/>
  <c r="G153" i="7" s="1"/>
  <c r="H169" i="7" a="1"/>
  <c r="H169" i="7" s="1"/>
  <c r="G169" i="7" s="1"/>
  <c r="H184" i="7" a="1"/>
  <c r="H184" i="7" s="1"/>
  <c r="G184" i="7" s="1"/>
  <c r="H192" i="7" a="1"/>
  <c r="H192" i="7" s="1"/>
  <c r="G192" i="7" s="1"/>
  <c r="H200" i="7" a="1"/>
  <c r="H200" i="7" s="1"/>
  <c r="G200" i="7" s="1"/>
  <c r="H232" i="7" a="1"/>
  <c r="H232" i="7" s="1"/>
  <c r="G232" i="7" s="1"/>
  <c r="H245" i="7" a="1"/>
  <c r="H245" i="7" s="1"/>
  <c r="G245" i="7" s="1"/>
  <c r="H266" i="7" a="1"/>
  <c r="H266" i="7" s="1"/>
  <c r="G266" i="7" s="1"/>
  <c r="H167" i="7" a="1"/>
  <c r="H167" i="7" s="1"/>
  <c r="G167" i="7" s="1"/>
  <c r="H170" i="7" a="1"/>
  <c r="H170" i="7" s="1"/>
  <c r="G170" i="7" s="1"/>
  <c r="H173" i="7" a="1"/>
  <c r="H173" i="7" s="1"/>
  <c r="G173" i="7" s="1"/>
  <c r="H182" i="7" a="1"/>
  <c r="H182" i="7" s="1"/>
  <c r="G182" i="7" s="1"/>
  <c r="H190" i="7" a="1"/>
  <c r="H190" i="7" s="1"/>
  <c r="G190" i="7" s="1"/>
  <c r="H198" i="7" a="1"/>
  <c r="H198" i="7" s="1"/>
  <c r="G198" i="7" s="1"/>
  <c r="H206" i="7" a="1"/>
  <c r="H206" i="7" s="1"/>
  <c r="G206" i="7" s="1"/>
  <c r="H214" i="7" a="1"/>
  <c r="H214" i="7" s="1"/>
  <c r="G214" i="7" s="1"/>
  <c r="H222" i="7" a="1"/>
  <c r="H222" i="7" s="1"/>
  <c r="G222" i="7" s="1"/>
  <c r="H230" i="7" a="1"/>
  <c r="H230" i="7" s="1"/>
  <c r="G230" i="7" s="1"/>
  <c r="H243" i="7" a="1"/>
  <c r="H243" i="7" s="1"/>
  <c r="G243" i="7" s="1"/>
  <c r="H251" i="7" a="1"/>
  <c r="H251" i="7" s="1"/>
  <c r="G251" i="7" s="1"/>
  <c r="H264" i="7" a="1"/>
  <c r="H264" i="7" s="1"/>
  <c r="G264" i="7" s="1"/>
  <c r="H225" i="7" a="1"/>
  <c r="H225" i="7" s="1"/>
  <c r="G225" i="7" s="1"/>
  <c r="H127" i="7" a="1"/>
  <c r="H127" i="7" s="1"/>
  <c r="G127" i="7" s="1"/>
  <c r="H139" i="7" a="1"/>
  <c r="H139" i="7" s="1"/>
  <c r="G139" i="7" s="1"/>
  <c r="H151" i="7" a="1"/>
  <c r="H151" i="7" s="1"/>
  <c r="G151" i="7" s="1"/>
  <c r="H260" i="7" a="1"/>
  <c r="H260" i="7" s="1"/>
  <c r="G260" i="7" s="1"/>
  <c r="H175" i="7" a="1"/>
  <c r="H175" i="7" s="1"/>
  <c r="G175" i="7" s="1"/>
  <c r="H205" i="7" a="1"/>
  <c r="H205" i="7" s="1"/>
  <c r="G205" i="7" s="1"/>
  <c r="H263" i="7" a="1"/>
  <c r="H263" i="7" s="1"/>
  <c r="G263" i="7" s="1"/>
  <c r="H121" i="7" a="1"/>
  <c r="H121" i="7" s="1"/>
  <c r="G121" i="7" s="1"/>
  <c r="H137" i="7" a="1"/>
  <c r="H137" i="7" s="1"/>
  <c r="G137" i="7" s="1"/>
  <c r="H149" i="7" a="1"/>
  <c r="H149" i="7" s="1"/>
  <c r="G149" i="7" s="1"/>
  <c r="H165" i="7" a="1"/>
  <c r="H165" i="7" s="1"/>
  <c r="G165" i="7" s="1"/>
  <c r="H224" i="7" a="1"/>
  <c r="H224" i="7" s="1"/>
  <c r="G224" i="7" s="1"/>
  <c r="H253" i="7" a="1"/>
  <c r="H253" i="7" s="1"/>
  <c r="G253" i="7" s="1"/>
  <c r="H258" i="7" a="1"/>
  <c r="H258" i="7" s="1"/>
  <c r="G258" i="7" s="1"/>
  <c r="H185" i="7" a="1"/>
  <c r="H185" i="7" s="1"/>
  <c r="G185" i="7" s="1"/>
  <c r="H193" i="7" a="1"/>
  <c r="H193" i="7" s="1"/>
  <c r="G193" i="7" s="1"/>
  <c r="H201" i="7" a="1"/>
  <c r="H201" i="7" s="1"/>
  <c r="G201" i="7" s="1"/>
  <c r="H209" i="7" a="1"/>
  <c r="H209" i="7" s="1"/>
  <c r="G209" i="7" s="1"/>
  <c r="H217" i="7" a="1"/>
  <c r="H217" i="7" s="1"/>
  <c r="G217" i="7" s="1"/>
  <c r="H238" i="7" a="1"/>
  <c r="H238" i="7" s="1"/>
  <c r="G238" i="7" s="1"/>
  <c r="H119" i="7" a="1"/>
  <c r="H119" i="7" s="1"/>
  <c r="G119" i="7" s="1"/>
  <c r="H131" i="7" a="1"/>
  <c r="H131" i="7" s="1"/>
  <c r="G131" i="7" s="1"/>
  <c r="H143" i="7" a="1"/>
  <c r="H143" i="7" s="1"/>
  <c r="G143" i="7" s="1"/>
  <c r="H159" i="7" a="1"/>
  <c r="H159" i="7" s="1"/>
  <c r="G159" i="7" s="1"/>
  <c r="H125" i="7" a="1"/>
  <c r="H125" i="7" s="1"/>
  <c r="G125" i="7" s="1"/>
  <c r="H157" i="7" a="1"/>
  <c r="H157" i="7" s="1"/>
  <c r="G157" i="7" s="1"/>
  <c r="H208" i="7" a="1"/>
  <c r="H208" i="7" s="1"/>
  <c r="G208" i="7" s="1"/>
  <c r="H216" i="7" a="1"/>
  <c r="H216" i="7" s="1"/>
  <c r="G216" i="7" s="1"/>
  <c r="H168" i="7" a="1"/>
  <c r="H168" i="7" s="1"/>
  <c r="G168" i="7" s="1"/>
  <c r="H174" i="7" a="1"/>
  <c r="H174" i="7" s="1"/>
  <c r="G174" i="7" s="1"/>
  <c r="H177" i="7" a="1"/>
  <c r="H177" i="7" s="1"/>
  <c r="G177" i="7" s="1"/>
  <c r="H180" i="7" a="1"/>
  <c r="H180" i="7" s="1"/>
  <c r="G180" i="7" s="1"/>
  <c r="H188" i="7" a="1"/>
  <c r="H188" i="7" s="1"/>
  <c r="G188" i="7" s="1"/>
  <c r="H196" i="7" a="1"/>
  <c r="H196" i="7" s="1"/>
  <c r="G196" i="7" s="1"/>
  <c r="H204" i="7" a="1"/>
  <c r="H204" i="7" s="1"/>
  <c r="G204" i="7" s="1"/>
  <c r="H212" i="7" a="1"/>
  <c r="H212" i="7" s="1"/>
  <c r="G212" i="7" s="1"/>
  <c r="H220" i="7" a="1"/>
  <c r="H220" i="7" s="1"/>
  <c r="G220" i="7" s="1"/>
  <c r="H228" i="7" a="1"/>
  <c r="H228" i="7" s="1"/>
  <c r="G228" i="7" s="1"/>
  <c r="H236" i="7" a="1"/>
  <c r="H236" i="7" s="1"/>
  <c r="G236" i="7" s="1"/>
  <c r="H241" i="7" a="1"/>
  <c r="H241" i="7" s="1"/>
  <c r="G241" i="7" s="1"/>
  <c r="H249" i="7" a="1"/>
  <c r="H249" i="7" s="1"/>
  <c r="G249" i="7" s="1"/>
  <c r="H257" i="7" a="1"/>
  <c r="H257" i="7" s="1"/>
  <c r="G257" i="7" s="1"/>
  <c r="H262" i="7" a="1"/>
  <c r="H262" i="7" s="1"/>
  <c r="G262" i="7" s="1"/>
  <c r="H270" i="7" a="1"/>
  <c r="H270" i="7" s="1"/>
  <c r="G270" i="7" s="1"/>
  <c r="H210" i="7" a="1"/>
  <c r="H210" i="7" s="1"/>
  <c r="G210" i="7" s="1"/>
  <c r="H234" i="7" a="1"/>
  <c r="H234" i="7" s="1"/>
  <c r="G234" i="7" s="1"/>
  <c r="H247" i="7" a="1"/>
  <c r="H247" i="7" s="1"/>
  <c r="G247" i="7" s="1"/>
  <c r="H242" i="7" a="1"/>
  <c r="H242" i="7" s="1"/>
  <c r="G242" i="7" s="1"/>
  <c r="H171" i="7" a="1"/>
  <c r="H171" i="7" s="1"/>
  <c r="G171" i="7" s="1"/>
  <c r="H183" i="7" a="1"/>
  <c r="H183" i="7" s="1"/>
  <c r="G183" i="7" s="1"/>
  <c r="H191" i="7" a="1"/>
  <c r="H191" i="7" s="1"/>
  <c r="G191" i="7" s="1"/>
  <c r="H199" i="7" a="1"/>
  <c r="H199" i="7" s="1"/>
  <c r="G199" i="7" s="1"/>
  <c r="H207" i="7" a="1"/>
  <c r="H207" i="7" s="1"/>
  <c r="G207" i="7" s="1"/>
  <c r="H215" i="7" a="1"/>
  <c r="H215" i="7" s="1"/>
  <c r="G215" i="7" s="1"/>
  <c r="H223" i="7" a="1"/>
  <c r="H223" i="7" s="1"/>
  <c r="G223" i="7" s="1"/>
  <c r="H231" i="7" a="1"/>
  <c r="H231" i="7" s="1"/>
  <c r="G231" i="7" s="1"/>
  <c r="H244" i="7" a="1"/>
  <c r="H244" i="7" s="1"/>
  <c r="G244" i="7" s="1"/>
  <c r="H252" i="7" a="1"/>
  <c r="H252" i="7" s="1"/>
  <c r="G252" i="7" s="1"/>
  <c r="H265" i="7" a="1"/>
  <c r="H265" i="7" s="1"/>
  <c r="G265" i="7" s="1"/>
  <c r="H120" i="7" a="1"/>
  <c r="H120" i="7" s="1"/>
  <c r="G120" i="7" s="1"/>
  <c r="H124" i="7" a="1"/>
  <c r="H124" i="7" s="1"/>
  <c r="G124" i="7" s="1"/>
  <c r="H128" i="7" a="1"/>
  <c r="H128" i="7" s="1"/>
  <c r="G128" i="7" s="1"/>
  <c r="H132" i="7" a="1"/>
  <c r="H132" i="7" s="1"/>
  <c r="G132" i="7" s="1"/>
  <c r="H136" i="7" a="1"/>
  <c r="H136" i="7" s="1"/>
  <c r="G136" i="7" s="1"/>
  <c r="H140" i="7" a="1"/>
  <c r="H140" i="7" s="1"/>
  <c r="G140" i="7" s="1"/>
  <c r="H144" i="7" a="1"/>
  <c r="H144" i="7" s="1"/>
  <c r="G144" i="7" s="1"/>
  <c r="H148" i="7" a="1"/>
  <c r="H148" i="7" s="1"/>
  <c r="G148" i="7" s="1"/>
  <c r="H152" i="7" a="1"/>
  <c r="H152" i="7" s="1"/>
  <c r="G152" i="7" s="1"/>
  <c r="H156" i="7" a="1"/>
  <c r="H156" i="7" s="1"/>
  <c r="G156" i="7" s="1"/>
  <c r="H160" i="7" a="1"/>
  <c r="H160" i="7" s="1"/>
  <c r="G160" i="7" s="1"/>
  <c r="H164" i="7" a="1"/>
  <c r="H164" i="7" s="1"/>
  <c r="G164" i="7" s="1"/>
  <c r="H178" i="7" a="1"/>
  <c r="H178" i="7" s="1"/>
  <c r="G178" i="7" s="1"/>
  <c r="H186" i="7" a="1"/>
  <c r="H186" i="7" s="1"/>
  <c r="G186" i="7" s="1"/>
  <c r="H194" i="7" a="1"/>
  <c r="H194" i="7" s="1"/>
  <c r="G194" i="7" s="1"/>
  <c r="H202" i="7" a="1"/>
  <c r="H202" i="7" s="1"/>
  <c r="G202" i="7" s="1"/>
  <c r="H218" i="7" a="1"/>
  <c r="H218" i="7" s="1"/>
  <c r="G218" i="7" s="1"/>
  <c r="H226" i="7" a="1"/>
  <c r="H226" i="7" s="1"/>
  <c r="G226" i="7" s="1"/>
  <c r="H239" i="7" a="1"/>
  <c r="H239" i="7" s="1"/>
  <c r="G239" i="7" s="1"/>
  <c r="H255" i="7" a="1"/>
  <c r="H255" i="7" s="1"/>
  <c r="G255" i="7" s="1"/>
  <c r="H213" i="7" a="1"/>
  <c r="H213" i="7" s="1"/>
  <c r="G213" i="7" s="1"/>
  <c r="H221" i="7" a="1"/>
  <c r="H221" i="7" s="1"/>
  <c r="G221" i="7" s="1"/>
  <c r="H229" i="7" a="1"/>
  <c r="H229" i="7" s="1"/>
  <c r="G229" i="7" s="1"/>
  <c r="H237" i="7" a="1"/>
  <c r="H237" i="7" s="1"/>
  <c r="G237" i="7" s="1"/>
  <c r="H133" i="7" a="1"/>
  <c r="H133" i="7" s="1"/>
  <c r="G133" i="7" s="1"/>
  <c r="H145" i="7" a="1"/>
  <c r="H145" i="7" s="1"/>
  <c r="G145" i="7" s="1"/>
  <c r="H161" i="7" a="1"/>
  <c r="H161" i="7" s="1"/>
  <c r="G161" i="7" s="1"/>
  <c r="H24" i="7" a="1"/>
  <c r="H24" i="7" s="1"/>
  <c r="H58" i="7" a="1"/>
  <c r="H58" i="7" s="1"/>
  <c r="H112" i="7" a="1"/>
  <c r="H112" i="7" s="1"/>
  <c r="H104" i="7" a="1"/>
  <c r="H104" i="7" s="1"/>
  <c r="G104" i="7" s="1"/>
  <c r="H96" i="7" a="1"/>
  <c r="H96" i="7" s="1"/>
  <c r="G96" i="7" s="1"/>
  <c r="H88" i="7" a="1"/>
  <c r="H88" i="7" s="1"/>
  <c r="G88" i="7" s="1"/>
  <c r="H80" i="7" a="1"/>
  <c r="H80" i="7" s="1"/>
  <c r="H86" i="7" a="1"/>
  <c r="H86" i="7" s="1"/>
  <c r="H31" i="7" a="1"/>
  <c r="H31" i="7" s="1"/>
  <c r="H60" i="7" a="1"/>
  <c r="H60" i="7" s="1"/>
  <c r="H30" i="7" a="1"/>
  <c r="H30" i="7" s="1"/>
  <c r="H64" i="7" a="1"/>
  <c r="H64" i="7" s="1"/>
  <c r="H68" i="7" a="1"/>
  <c r="H68" i="7" s="1"/>
  <c r="G68" i="7" s="1"/>
  <c r="H28" i="7" a="1"/>
  <c r="H28" i="7" s="1"/>
  <c r="H62" i="7" a="1"/>
  <c r="H62" i="7" s="1"/>
  <c r="G62" i="7" s="1"/>
  <c r="G75" i="7"/>
  <c r="G115" i="7"/>
  <c r="G113" i="7"/>
  <c r="G111" i="7"/>
  <c r="G109" i="7"/>
  <c r="G107" i="7"/>
  <c r="G105" i="7"/>
  <c r="G103" i="7"/>
  <c r="G101" i="7"/>
  <c r="G99" i="7"/>
  <c r="G97" i="7"/>
  <c r="G95" i="7"/>
  <c r="G93" i="7"/>
  <c r="G91" i="7"/>
  <c r="G89" i="7"/>
  <c r="G87" i="7"/>
  <c r="G85" i="7"/>
  <c r="G83" i="7"/>
  <c r="G81" i="7"/>
  <c r="G79" i="7"/>
  <c r="G77" i="7"/>
  <c r="G74" i="7"/>
  <c r="G116" i="7"/>
  <c r="G112" i="7"/>
  <c r="G108" i="7"/>
  <c r="G100" i="7"/>
  <c r="G92" i="7"/>
  <c r="G84" i="7"/>
  <c r="G80" i="7"/>
  <c r="G114" i="7"/>
  <c r="G110" i="7"/>
  <c r="G106" i="7"/>
  <c r="G102" i="7"/>
  <c r="G98" i="7"/>
  <c r="G94" i="7"/>
  <c r="G90" i="7"/>
  <c r="G86" i="7"/>
  <c r="G82" i="7"/>
  <c r="G78" i="7"/>
  <c r="G76" i="7"/>
  <c r="H29" i="7" a="1"/>
  <c r="H29" i="7" s="1"/>
  <c r="G29" i="7" s="1"/>
  <c r="H25" i="7" a="1"/>
  <c r="H25" i="7" s="1"/>
  <c r="G25" i="7" s="1"/>
  <c r="H71" i="7" a="1"/>
  <c r="H71" i="7" s="1"/>
  <c r="G71" i="7" s="1"/>
  <c r="H67" i="7" a="1"/>
  <c r="H67" i="7" s="1"/>
  <c r="G67" i="7" s="1"/>
  <c r="H63" i="7" a="1"/>
  <c r="H63" i="7" s="1"/>
  <c r="G63" i="7" s="1"/>
  <c r="H59" i="7" a="1"/>
  <c r="H59" i="7" s="1"/>
  <c r="G59" i="7" s="1"/>
  <c r="H55" i="7" a="1"/>
  <c r="H55" i="7" s="1"/>
  <c r="G55" i="7" s="1"/>
  <c r="H51" i="7" a="1"/>
  <c r="H51" i="7" s="1"/>
  <c r="H45" i="7" a="1"/>
  <c r="H45" i="7" s="1"/>
  <c r="G45" i="7" s="1"/>
  <c r="H41" i="7" a="1"/>
  <c r="H41" i="7" s="1"/>
  <c r="G41" i="7" s="1"/>
  <c r="H39" i="7" a="1"/>
  <c r="H39" i="7" s="1"/>
  <c r="G39" i="7" s="1"/>
  <c r="H33" i="7" a="1"/>
  <c r="H33" i="7" s="1"/>
  <c r="G33" i="7" s="1"/>
  <c r="H27" i="7" a="1"/>
  <c r="H27" i="7" s="1"/>
  <c r="G27" i="7" s="1"/>
  <c r="H73" i="7" a="1"/>
  <c r="H73" i="7" s="1"/>
  <c r="G73" i="7" s="1"/>
  <c r="H69" i="7" a="1"/>
  <c r="H69" i="7" s="1"/>
  <c r="G69" i="7" s="1"/>
  <c r="H65" i="7" a="1"/>
  <c r="H65" i="7" s="1"/>
  <c r="G65" i="7" s="1"/>
  <c r="H61" i="7" a="1"/>
  <c r="H61" i="7" s="1"/>
  <c r="G61" i="7" s="1"/>
  <c r="H57" i="7" a="1"/>
  <c r="H57" i="7" s="1"/>
  <c r="G57" i="7" s="1"/>
  <c r="H53" i="7" a="1"/>
  <c r="H53" i="7" s="1"/>
  <c r="G53" i="7" s="1"/>
  <c r="H49" i="7" a="1"/>
  <c r="H49" i="7" s="1"/>
  <c r="G49" i="7" s="1"/>
  <c r="H47" i="7" a="1"/>
  <c r="H47" i="7" s="1"/>
  <c r="G47" i="7" s="1"/>
  <c r="H43" i="7" a="1"/>
  <c r="H43" i="7" s="1"/>
  <c r="G43" i="7" s="1"/>
  <c r="H37" i="7" a="1"/>
  <c r="H37" i="7" s="1"/>
  <c r="G37" i="7" s="1"/>
  <c r="H35" i="7" a="1"/>
  <c r="H35" i="7" s="1"/>
  <c r="G35" i="7" s="1"/>
  <c r="H54" i="7" a="1"/>
  <c r="H54" i="7" s="1"/>
  <c r="G54" i="7" s="1"/>
  <c r="H52" i="7" a="1"/>
  <c r="H52" i="7" s="1"/>
  <c r="G52" i="7" s="1"/>
  <c r="H50" i="7" a="1"/>
  <c r="H50" i="7" s="1"/>
  <c r="G50" i="7" s="1"/>
  <c r="H48" i="7" a="1"/>
  <c r="H48" i="7" s="1"/>
  <c r="G48" i="7" s="1"/>
  <c r="H46" i="7" a="1"/>
  <c r="H46" i="7" s="1"/>
  <c r="G46" i="7" s="1"/>
  <c r="H44" i="7" a="1"/>
  <c r="H44" i="7" s="1"/>
  <c r="G44" i="7" s="1"/>
  <c r="H42" i="7" a="1"/>
  <c r="H42" i="7" s="1"/>
  <c r="G42" i="7" s="1"/>
  <c r="H40" i="7" a="1"/>
  <c r="H40" i="7" s="1"/>
  <c r="G40" i="7" s="1"/>
  <c r="H38" i="7" a="1"/>
  <c r="H38" i="7" s="1"/>
  <c r="G38" i="7" s="1"/>
  <c r="H36" i="7" a="1"/>
  <c r="H36" i="7" s="1"/>
  <c r="G36" i="7" s="1"/>
  <c r="H34" i="7" a="1"/>
  <c r="H34" i="7" s="1"/>
  <c r="G34" i="7" s="1"/>
  <c r="G51" i="7"/>
  <c r="G32" i="7"/>
  <c r="G58" i="7"/>
  <c r="G70" i="7"/>
  <c r="G60" i="7"/>
  <c r="G56" i="7"/>
  <c r="G72" i="7"/>
  <c r="G64" i="7"/>
  <c r="G24" i="7"/>
  <c r="G26" i="7"/>
  <c r="G30" i="7"/>
  <c r="G31" i="7"/>
  <c r="G23" i="7"/>
  <c r="G28" i="7"/>
  <c r="H3" i="7" a="1"/>
  <c r="H3" i="7" s="1"/>
  <c r="I3" i="7" a="1"/>
  <c r="I3" i="7" s="1"/>
  <c r="H4" i="7" a="1"/>
  <c r="H4" i="7" s="1"/>
  <c r="I4" i="7" a="1"/>
  <c r="I4" i="7" s="1"/>
  <c r="H5" i="7" a="1"/>
  <c r="H5" i="7" s="1"/>
  <c r="I5" i="7" a="1"/>
  <c r="I5" i="7" s="1"/>
  <c r="H6" i="7" a="1"/>
  <c r="H6" i="7" s="1"/>
  <c r="I6" i="7" a="1"/>
  <c r="I6" i="7" s="1"/>
  <c r="H7" i="7" a="1"/>
  <c r="H7" i="7" s="1"/>
  <c r="I7" i="7" a="1"/>
  <c r="I7" i="7" s="1"/>
  <c r="H8" i="7" a="1"/>
  <c r="H8" i="7" s="1"/>
  <c r="I8" i="7" a="1"/>
  <c r="I8" i="7" s="1"/>
  <c r="H9" i="7" a="1"/>
  <c r="H9" i="7" s="1"/>
  <c r="I9" i="7" a="1"/>
  <c r="I9" i="7" s="1"/>
  <c r="H10" i="7" a="1"/>
  <c r="H10" i="7" s="1"/>
  <c r="I10" i="7" a="1"/>
  <c r="I10" i="7" s="1"/>
  <c r="H11" i="7" a="1"/>
  <c r="H11" i="7" s="1"/>
  <c r="I11" i="7" a="1"/>
  <c r="I11" i="7" s="1"/>
  <c r="H12" i="7" a="1"/>
  <c r="H12" i="7" s="1"/>
  <c r="I12" i="7" a="1"/>
  <c r="I12" i="7" s="1"/>
  <c r="H13" i="7" a="1"/>
  <c r="H13" i="7" s="1"/>
  <c r="I13" i="7" a="1"/>
  <c r="I13" i="7" s="1"/>
  <c r="H14" i="7" a="1"/>
  <c r="H14" i="7" s="1"/>
  <c r="I14" i="7" a="1"/>
  <c r="I14" i="7" s="1"/>
  <c r="H15" i="7" a="1"/>
  <c r="H15" i="7" s="1"/>
  <c r="I15" i="7" a="1"/>
  <c r="I15" i="7" s="1"/>
  <c r="H16" i="7" a="1"/>
  <c r="H16" i="7" s="1"/>
  <c r="I16" i="7" a="1"/>
  <c r="I16" i="7" s="1"/>
  <c r="H17" i="7" a="1"/>
  <c r="H17" i="7" s="1"/>
  <c r="I17" i="7" a="1"/>
  <c r="I17" i="7" s="1"/>
  <c r="H18" i="7" a="1"/>
  <c r="H18" i="7" s="1"/>
  <c r="I18" i="7" a="1"/>
  <c r="I18" i="7" s="1"/>
  <c r="H19" i="7" a="1"/>
  <c r="H19" i="7" s="1"/>
  <c r="I19" i="7" a="1"/>
  <c r="I19" i="7" s="1"/>
  <c r="H20" i="7" a="1"/>
  <c r="H20" i="7" s="1"/>
  <c r="I20" i="7" a="1"/>
  <c r="I20" i="7" s="1"/>
  <c r="H21" i="7" a="1"/>
  <c r="H21" i="7" s="1"/>
  <c r="I21" i="7" a="1"/>
  <c r="I21" i="7" s="1"/>
  <c r="H22" i="7" a="1"/>
  <c r="H22" i="7" s="1"/>
  <c r="I22" i="7" a="1"/>
  <c r="I22" i="7" s="1"/>
  <c r="I2" i="7" a="1"/>
  <c r="I2" i="7" s="1"/>
  <c r="H2" i="7" a="1"/>
  <c r="H2" i="7" s="1"/>
  <c r="G269" i="8"/>
  <c r="G270" i="8"/>
  <c r="G271" i="8"/>
  <c r="G272" i="8"/>
  <c r="G273" i="8"/>
  <c r="G274" i="8"/>
  <c r="G275" i="8"/>
  <c r="G276" i="8"/>
  <c r="G277" i="8"/>
  <c r="G278" i="8"/>
  <c r="G279" i="8"/>
  <c r="G280" i="8"/>
  <c r="G281" i="8"/>
  <c r="G282" i="8"/>
  <c r="G283" i="8"/>
  <c r="G22" i="7" l="1"/>
  <c r="G13" i="7"/>
  <c r="G8" i="7"/>
  <c r="G6" i="7"/>
  <c r="G21" i="7"/>
  <c r="G17" i="7"/>
  <c r="G15" i="7"/>
  <c r="G9" i="7"/>
  <c r="G5" i="7"/>
  <c r="G20" i="7"/>
  <c r="G18" i="7"/>
  <c r="G11" i="7"/>
  <c r="G4" i="7"/>
  <c r="G16" i="7"/>
  <c r="G14" i="7"/>
  <c r="G7" i="7"/>
  <c r="G19" i="7"/>
  <c r="G12" i="7"/>
  <c r="G10" i="7"/>
  <c r="G3" i="7"/>
  <c r="G2" i="7"/>
  <c r="G208" i="8"/>
  <c r="G265" i="8"/>
  <c r="G209" i="8"/>
  <c r="G184" i="8"/>
  <c r="G189" i="8"/>
  <c r="G190" i="8"/>
  <c r="G198" i="8"/>
  <c r="G203" i="8"/>
  <c r="C7" i="9" l="1" a="1"/>
  <c r="C7" i="9" s="1"/>
  <c r="D7" i="10" s="1"/>
  <c r="B7" i="9" a="1"/>
  <c r="B7" i="9" s="1"/>
  <c r="G237" i="8"/>
  <c r="G212" i="8"/>
  <c r="G262" i="8"/>
  <c r="G224" i="8"/>
  <c r="G214" i="8"/>
  <c r="G204" i="8"/>
  <c r="G233" i="8"/>
  <c r="G267" i="8"/>
  <c r="G246" i="8"/>
  <c r="G244" i="8"/>
  <c r="G218" i="8"/>
  <c r="G240" i="8"/>
  <c r="G253" i="8"/>
  <c r="G221" i="8"/>
  <c r="G219" i="8"/>
  <c r="G217" i="8"/>
  <c r="G215" i="8"/>
  <c r="G213" i="8"/>
  <c r="G211" i="8"/>
  <c r="G207" i="8"/>
  <c r="G205" i="8"/>
  <c r="G201" i="8"/>
  <c r="G199" i="8"/>
  <c r="G197" i="8"/>
  <c r="G195" i="8"/>
  <c r="G193" i="8"/>
  <c r="G187" i="8"/>
  <c r="G185" i="8"/>
  <c r="G232" i="8"/>
  <c r="G230" i="8"/>
  <c r="G228" i="8"/>
  <c r="G257" i="8"/>
  <c r="G241" i="8"/>
  <c r="G268" i="8"/>
  <c r="G261" i="8"/>
  <c r="G254" i="8"/>
  <c r="G243" i="8"/>
  <c r="G238" i="8"/>
  <c r="G236" i="8"/>
  <c r="G229" i="8"/>
  <c r="G227" i="8"/>
  <c r="G222" i="8"/>
  <c r="G249" i="8"/>
  <c r="G245" i="8"/>
  <c r="G220" i="8"/>
  <c r="G216" i="8"/>
  <c r="G210" i="8"/>
  <c r="G206" i="8"/>
  <c r="G202" i="8"/>
  <c r="G200" i="8"/>
  <c r="G192" i="8"/>
  <c r="G266" i="8"/>
  <c r="G263" i="8"/>
  <c r="G258" i="8"/>
  <c r="G255" i="8"/>
  <c r="G250" i="8"/>
  <c r="G247" i="8"/>
  <c r="G242" i="8"/>
  <c r="G239" i="8"/>
  <c r="G231" i="8"/>
  <c r="G226" i="8"/>
  <c r="G225" i="8"/>
  <c r="G223" i="8"/>
  <c r="G260" i="8"/>
  <c r="G252" i="8"/>
  <c r="G264" i="8"/>
  <c r="G259" i="8"/>
  <c r="G256" i="8"/>
  <c r="G251" i="8"/>
  <c r="G248" i="8"/>
  <c r="G234" i="8"/>
  <c r="G196" i="8"/>
  <c r="G191" i="8"/>
  <c r="G188" i="8"/>
  <c r="G235" i="8"/>
  <c r="G194" i="8"/>
  <c r="G186" i="8"/>
  <c r="G180" i="8"/>
  <c r="G174" i="8"/>
  <c r="G166" i="8"/>
  <c r="G160" i="8"/>
  <c r="G158" i="8"/>
  <c r="G156" i="8"/>
  <c r="G142" i="8"/>
  <c r="G140" i="8"/>
  <c r="G138" i="8"/>
  <c r="G136" i="8"/>
  <c r="G134" i="8"/>
  <c r="G132" i="8"/>
  <c r="G130" i="8"/>
  <c r="G126" i="8"/>
  <c r="G124" i="8"/>
  <c r="G122" i="8"/>
  <c r="G172" i="8"/>
  <c r="G173" i="8"/>
  <c r="G175" i="8"/>
  <c r="G177" i="8"/>
  <c r="G179" i="8"/>
  <c r="G181" i="8"/>
  <c r="G183" i="8"/>
  <c r="G152" i="8"/>
  <c r="G153" i="8"/>
  <c r="G155" i="8"/>
  <c r="G157" i="8"/>
  <c r="G159" i="8"/>
  <c r="G161" i="8"/>
  <c r="G163" i="8"/>
  <c r="G164" i="8"/>
  <c r="G165" i="8"/>
  <c r="G167" i="8"/>
  <c r="G168" i="8"/>
  <c r="G169" i="8"/>
  <c r="G171" i="8"/>
  <c r="G123" i="8"/>
  <c r="G125" i="8"/>
  <c r="G127" i="8"/>
  <c r="G128" i="8"/>
  <c r="G129" i="8"/>
  <c r="G131" i="8"/>
  <c r="G133" i="8"/>
  <c r="G135" i="8"/>
  <c r="G137" i="8"/>
  <c r="G139" i="8"/>
  <c r="G141" i="8"/>
  <c r="G143" i="8"/>
  <c r="C7" i="10" l="1"/>
  <c r="B7" i="10"/>
  <c r="G182" i="8"/>
  <c r="G178" i="8"/>
  <c r="G176" i="8"/>
  <c r="G170" i="8"/>
  <c r="G162" i="8"/>
  <c r="G154" i="8"/>
  <c r="G145" i="8"/>
  <c r="G151" i="8"/>
  <c r="G150" i="8"/>
  <c r="G147" i="8"/>
  <c r="G144" i="8"/>
  <c r="G149" i="8"/>
  <c r="G146" i="8"/>
  <c r="G148" i="8"/>
  <c r="E149" i="5"/>
  <c r="E150" i="5"/>
  <c r="E151" i="5"/>
  <c r="E152" i="5"/>
  <c r="E153" i="5"/>
  <c r="I92" i="5" a="1"/>
  <c r="I92" i="5" s="1"/>
  <c r="I99" i="5" a="1"/>
  <c r="I99" i="5" s="1"/>
  <c r="I106" i="5" a="1"/>
  <c r="I106" i="5" s="1"/>
  <c r="I116" i="5" a="1"/>
  <c r="I116" i="5" s="1"/>
  <c r="I121" i="5" a="1"/>
  <c r="I121" i="5" s="1"/>
  <c r="I132" i="5" a="1"/>
  <c r="I132" i="5" s="1"/>
  <c r="I137" i="5" a="1"/>
  <c r="I137" i="5" s="1"/>
  <c r="F153" i="5"/>
  <c r="I153" i="5" s="1" a="1"/>
  <c r="I153" i="5" s="1"/>
  <c r="F152" i="5"/>
  <c r="I129" i="5" s="1" a="1"/>
  <c r="I129" i="5" s="1"/>
  <c r="F151" i="5"/>
  <c r="F150" i="5"/>
  <c r="I150" i="5" s="1" a="1"/>
  <c r="I150" i="5" s="1"/>
  <c r="F148" i="5"/>
  <c r="I148" i="5" s="1" a="1"/>
  <c r="I148" i="5" s="1"/>
  <c r="F147" i="5"/>
  <c r="I5" i="5" s="1" a="1"/>
  <c r="I5" i="5" s="1"/>
  <c r="E148" i="5"/>
  <c r="E147" i="5"/>
  <c r="E146" i="5"/>
  <c r="E145" i="5"/>
  <c r="E144" i="5"/>
  <c r="I35" i="5" l="1" a="1"/>
  <c r="I35" i="5" s="1"/>
  <c r="I25" i="5" a="1"/>
  <c r="I25" i="5" s="1"/>
  <c r="I126" i="5" a="1"/>
  <c r="I126" i="5" s="1"/>
  <c r="I59" i="5" a="1"/>
  <c r="I59" i="5" s="1"/>
  <c r="I9" i="5" a="1"/>
  <c r="I9" i="5" s="1"/>
  <c r="I151" i="5" a="1"/>
  <c r="I151" i="5" s="1"/>
  <c r="I50" i="5" a="1"/>
  <c r="I50" i="5" s="1"/>
  <c r="I142" i="5" a="1"/>
  <c r="I142" i="5" s="1"/>
  <c r="I74" i="5" a="1"/>
  <c r="I74" i="5" s="1"/>
  <c r="I24" i="5" a="1"/>
  <c r="I24" i="5" s="1"/>
  <c r="I120" i="5" a="1"/>
  <c r="I120" i="5" s="1"/>
  <c r="I83" i="5" a="1"/>
  <c r="I83" i="5" s="1"/>
  <c r="I68" i="5" a="1"/>
  <c r="I68" i="5" s="1"/>
  <c r="I63" i="5" a="1"/>
  <c r="I63" i="5" s="1"/>
  <c r="I54" i="5" a="1"/>
  <c r="I54" i="5" s="1"/>
  <c r="I48" i="5" a="1"/>
  <c r="I48" i="5" s="1"/>
  <c r="I34" i="5" a="1"/>
  <c r="I34" i="5" s="1"/>
  <c r="I29" i="5" a="1"/>
  <c r="I29" i="5" s="1"/>
  <c r="I19" i="5" a="1"/>
  <c r="I19" i="5" s="1"/>
  <c r="I13" i="5" a="1"/>
  <c r="I13" i="5" s="1"/>
  <c r="I8" i="5" a="1"/>
  <c r="I8" i="5" s="1"/>
  <c r="I147" i="5" a="1"/>
  <c r="I147" i="5" s="1"/>
  <c r="I45" i="5" a="1"/>
  <c r="I45" i="5" s="1"/>
  <c r="I131" i="5" a="1"/>
  <c r="I131" i="5" s="1"/>
  <c r="I69" i="5" a="1"/>
  <c r="I69" i="5" s="1"/>
  <c r="I14" i="5" a="1"/>
  <c r="I14" i="5" s="1"/>
  <c r="I109" i="5" a="1"/>
  <c r="I109" i="5" s="1"/>
  <c r="I73" i="5" a="1"/>
  <c r="I73" i="5" s="1"/>
  <c r="I135" i="5" a="1"/>
  <c r="I135" i="5" s="1"/>
  <c r="I130" i="5" a="1"/>
  <c r="I130" i="5" s="1"/>
  <c r="I119" i="5" a="1"/>
  <c r="I119" i="5" s="1"/>
  <c r="I114" i="5" a="1"/>
  <c r="I114" i="5" s="1"/>
  <c r="I98" i="5" a="1"/>
  <c r="I98" i="5" s="1"/>
  <c r="I87" i="5" a="1"/>
  <c r="I87" i="5" s="1"/>
  <c r="I78" i="5" a="1"/>
  <c r="I78" i="5" s="1"/>
  <c r="I72" i="5" a="1"/>
  <c r="I72" i="5" s="1"/>
  <c r="I58" i="5" a="1"/>
  <c r="I58" i="5" s="1"/>
  <c r="I53" i="5" a="1"/>
  <c r="I53" i="5" s="1"/>
  <c r="I43" i="5" a="1"/>
  <c r="I43" i="5" s="1"/>
  <c r="I33" i="5" a="1"/>
  <c r="I33" i="5" s="1"/>
  <c r="I28" i="5" a="1"/>
  <c r="I28" i="5" s="1"/>
  <c r="I23" i="5" a="1"/>
  <c r="I23" i="5" s="1"/>
  <c r="I7" i="5" a="1"/>
  <c r="I7" i="5" s="1"/>
  <c r="I3" i="5" a="1"/>
  <c r="I3" i="5" s="1"/>
  <c r="I84" i="5" a="1"/>
  <c r="I84" i="5" s="1"/>
  <c r="I20" i="5" a="1"/>
  <c r="I20" i="5" s="1"/>
  <c r="I115" i="5" a="1"/>
  <c r="I115" i="5" s="1"/>
  <c r="I49" i="5" a="1"/>
  <c r="I49" i="5" s="1"/>
  <c r="I141" i="5" a="1"/>
  <c r="I141" i="5" s="1"/>
  <c r="I102" i="5" a="1"/>
  <c r="I102" i="5" s="1"/>
  <c r="I140" i="5" a="1"/>
  <c r="I140" i="5" s="1"/>
  <c r="I124" i="5" a="1"/>
  <c r="I124" i="5" s="1"/>
  <c r="I113" i="5" a="1"/>
  <c r="I113" i="5" s="1"/>
  <c r="I108" i="5" a="1"/>
  <c r="I108" i="5" s="1"/>
  <c r="I104" i="5" a="1"/>
  <c r="I104" i="5" s="1"/>
  <c r="I101" i="5" a="1"/>
  <c r="I101" i="5" s="1"/>
  <c r="I94" i="5" a="1"/>
  <c r="I94" i="5" s="1"/>
  <c r="I82" i="5" a="1"/>
  <c r="I82" i="5" s="1"/>
  <c r="I77" i="5" a="1"/>
  <c r="I77" i="5" s="1"/>
  <c r="I67" i="5" a="1"/>
  <c r="I67" i="5" s="1"/>
  <c r="I57" i="5" a="1"/>
  <c r="I57" i="5" s="1"/>
  <c r="I52" i="5" a="1"/>
  <c r="I52" i="5" s="1"/>
  <c r="I47" i="5" a="1"/>
  <c r="I47" i="5" s="1"/>
  <c r="I38" i="5" a="1"/>
  <c r="I38" i="5" s="1"/>
  <c r="I32" i="5" a="1"/>
  <c r="I32" i="5" s="1"/>
  <c r="I18" i="5" a="1"/>
  <c r="I18" i="5" s="1"/>
  <c r="I12" i="5" a="1"/>
  <c r="I12" i="5" s="1"/>
  <c r="I79" i="5" a="1"/>
  <c r="I79" i="5" s="1"/>
  <c r="I10" i="5" a="1"/>
  <c r="I10" i="5" s="1"/>
  <c r="I110" i="5" a="1"/>
  <c r="I110" i="5" s="1"/>
  <c r="I44" i="5" a="1"/>
  <c r="I44" i="5" s="1"/>
  <c r="I2" i="5" a="1"/>
  <c r="I2" i="5" s="1"/>
  <c r="I105" i="5" a="1"/>
  <c r="I105" i="5" s="1"/>
  <c r="I145" i="5" a="1"/>
  <c r="I145" i="5" s="1"/>
  <c r="I134" i="5" a="1"/>
  <c r="I134" i="5" s="1"/>
  <c r="I118" i="5" a="1"/>
  <c r="I118" i="5" s="1"/>
  <c r="I107" i="5" a="1"/>
  <c r="I107" i="5" s="1"/>
  <c r="I97" i="5" a="1"/>
  <c r="I97" i="5" s="1"/>
  <c r="I90" i="5" a="1"/>
  <c r="I90" i="5" s="1"/>
  <c r="I81" i="5" a="1"/>
  <c r="I81" i="5" s="1"/>
  <c r="I76" i="5" a="1"/>
  <c r="I76" i="5" s="1"/>
  <c r="I71" i="5" a="1"/>
  <c r="I71" i="5" s="1"/>
  <c r="I62" i="5" a="1"/>
  <c r="I62" i="5" s="1"/>
  <c r="I56" i="5" a="1"/>
  <c r="I56" i="5" s="1"/>
  <c r="I42" i="5" a="1"/>
  <c r="I42" i="5" s="1"/>
  <c r="I37" i="5" a="1"/>
  <c r="I37" i="5" s="1"/>
  <c r="I27" i="5" a="1"/>
  <c r="I27" i="5" s="1"/>
  <c r="I17" i="5" a="1"/>
  <c r="I17" i="5" s="1"/>
  <c r="I11" i="5" a="1"/>
  <c r="I11" i="5" s="1"/>
  <c r="I6" i="5" a="1"/>
  <c r="I6" i="5" s="1"/>
  <c r="I149" i="5" a="1"/>
  <c r="I149" i="5" s="1"/>
  <c r="I70" i="5" a="1"/>
  <c r="I70" i="5" s="1"/>
  <c r="I88" i="5" a="1"/>
  <c r="I88" i="5" s="1"/>
  <c r="I30" i="5" a="1"/>
  <c r="I30" i="5" s="1"/>
  <c r="I125" i="5" a="1"/>
  <c r="I125" i="5" s="1"/>
  <c r="I146" i="5" a="1"/>
  <c r="I146" i="5" s="1"/>
  <c r="I139" i="5" a="1"/>
  <c r="I139" i="5" s="1"/>
  <c r="I123" i="5" a="1"/>
  <c r="I123" i="5" s="1"/>
  <c r="I144" i="5" a="1"/>
  <c r="I144" i="5" s="1"/>
  <c r="I133" i="5" a="1"/>
  <c r="I133" i="5" s="1"/>
  <c r="I128" i="5" a="1"/>
  <c r="I128" i="5" s="1"/>
  <c r="I117" i="5" a="1"/>
  <c r="I117" i="5" s="1"/>
  <c r="I112" i="5" a="1"/>
  <c r="I112" i="5" s="1"/>
  <c r="I100" i="5" a="1"/>
  <c r="I100" i="5" s="1"/>
  <c r="I93" i="5" a="1"/>
  <c r="I93" i="5" s="1"/>
  <c r="I86" i="5" a="1"/>
  <c r="I86" i="5" s="1"/>
  <c r="I80" i="5" a="1"/>
  <c r="I80" i="5" s="1"/>
  <c r="I66" i="5" a="1"/>
  <c r="I66" i="5" s="1"/>
  <c r="I61" i="5" a="1"/>
  <c r="I61" i="5" s="1"/>
  <c r="I51" i="5" a="1"/>
  <c r="I51" i="5" s="1"/>
  <c r="I41" i="5" a="1"/>
  <c r="I41" i="5" s="1"/>
  <c r="I36" i="5" a="1"/>
  <c r="I36" i="5" s="1"/>
  <c r="I31" i="5" a="1"/>
  <c r="I31" i="5" s="1"/>
  <c r="I22" i="5" a="1"/>
  <c r="I22" i="5" s="1"/>
  <c r="I16" i="5" a="1"/>
  <c r="I16" i="5" s="1"/>
  <c r="I152" i="5" a="1"/>
  <c r="I152" i="5" s="1"/>
  <c r="I64" i="5" a="1"/>
  <c r="I64" i="5" s="1"/>
  <c r="I4" i="5" a="1"/>
  <c r="I4" i="5" s="1"/>
  <c r="I95" i="5" a="1"/>
  <c r="I95" i="5" s="1"/>
  <c r="I39" i="5" a="1"/>
  <c r="I39" i="5" s="1"/>
  <c r="I136" i="5" a="1"/>
  <c r="I136" i="5" s="1"/>
  <c r="I91" i="5" a="1"/>
  <c r="I91" i="5" s="1"/>
  <c r="I143" i="5" a="1"/>
  <c r="I143" i="5" s="1"/>
  <c r="I138" i="5" a="1"/>
  <c r="I138" i="5" s="1"/>
  <c r="I127" i="5" a="1"/>
  <c r="I127" i="5" s="1"/>
  <c r="I122" i="5" a="1"/>
  <c r="I122" i="5" s="1"/>
  <c r="I111" i="5" a="1"/>
  <c r="I111" i="5" s="1"/>
  <c r="I103" i="5" a="1"/>
  <c r="I103" i="5" s="1"/>
  <c r="I96" i="5" a="1"/>
  <c r="I96" i="5" s="1"/>
  <c r="I89" i="5" a="1"/>
  <c r="I89" i="5" s="1"/>
  <c r="I85" i="5" a="1"/>
  <c r="I85" i="5" s="1"/>
  <c r="I75" i="5" a="1"/>
  <c r="I75" i="5" s="1"/>
  <c r="I65" i="5" a="1"/>
  <c r="I65" i="5" s="1"/>
  <c r="I60" i="5" a="1"/>
  <c r="I60" i="5" s="1"/>
  <c r="I55" i="5" a="1"/>
  <c r="I55" i="5" s="1"/>
  <c r="I46" i="5" a="1"/>
  <c r="I46" i="5" s="1"/>
  <c r="I40" i="5" a="1"/>
  <c r="I40" i="5" s="1"/>
  <c r="I26" i="5" a="1"/>
  <c r="I26" i="5" s="1"/>
  <c r="I21" i="5" a="1"/>
  <c r="I21" i="5" s="1"/>
  <c r="I15" i="5" a="1"/>
  <c r="I15" i="5" s="1"/>
  <c r="G120" i="8"/>
  <c r="G118" i="8"/>
  <c r="G116" i="8"/>
  <c r="G114" i="8"/>
  <c r="G112" i="8"/>
  <c r="G108" i="8"/>
  <c r="G106" i="8"/>
  <c r="G104" i="8"/>
  <c r="G102" i="8"/>
  <c r="G100" i="8"/>
  <c r="G121" i="8"/>
  <c r="G119" i="8"/>
  <c r="G117" i="8"/>
  <c r="G115" i="8"/>
  <c r="G113" i="8"/>
  <c r="G111" i="8"/>
  <c r="G109" i="8"/>
  <c r="G107" i="8"/>
  <c r="G105" i="8"/>
  <c r="G103" i="8"/>
  <c r="G101" i="8"/>
  <c r="G97" i="8"/>
  <c r="G93" i="8"/>
  <c r="G110" i="8"/>
  <c r="G98" i="8"/>
  <c r="G99" i="8"/>
  <c r="G96" i="8"/>
  <c r="G92" i="8"/>
  <c r="G94" i="8"/>
  <c r="G95" i="8"/>
  <c r="G91" i="8"/>
  <c r="G89" i="8"/>
  <c r="G87" i="8"/>
  <c r="G88" i="8"/>
  <c r="G90" i="8"/>
  <c r="G84" i="8"/>
  <c r="G83" i="8"/>
  <c r="G85" i="8"/>
  <c r="G86" i="8"/>
  <c r="G74" i="8"/>
  <c r="G81" i="8"/>
  <c r="G72" i="8"/>
  <c r="G73" i="8"/>
  <c r="G77" i="8"/>
  <c r="G82" i="8"/>
  <c r="G75" i="8"/>
  <c r="G78" i="8"/>
  <c r="G80" i="8"/>
  <c r="G79" i="8"/>
  <c r="G76" i="8"/>
  <c r="G71" i="8"/>
  <c r="G64" i="8"/>
  <c r="G69" i="8"/>
  <c r="G68" i="8"/>
  <c r="G65" i="8"/>
  <c r="G66" i="8"/>
  <c r="G67" i="8"/>
  <c r="G70" i="8"/>
  <c r="G57" i="8"/>
  <c r="G62" i="8"/>
  <c r="G60" i="8"/>
  <c r="G55" i="8"/>
  <c r="G56" i="8"/>
  <c r="G61" i="8"/>
  <c r="G58" i="8"/>
  <c r="G63" i="8"/>
  <c r="G59" i="8"/>
  <c r="G52" i="8"/>
  <c r="G48" i="8"/>
  <c r="G53" i="8"/>
  <c r="G50" i="8"/>
  <c r="G49" i="8"/>
  <c r="G51" i="8"/>
  <c r="G54" i="8"/>
  <c r="G44" i="8"/>
  <c r="G41" i="8"/>
  <c r="G43" i="8"/>
  <c r="G42" i="8"/>
  <c r="G46" i="8"/>
  <c r="G47" i="8"/>
  <c r="G45" i="8"/>
  <c r="G37" i="8"/>
  <c r="G40" i="8"/>
  <c r="G36" i="8"/>
  <c r="G39" i="8"/>
  <c r="G35" i="8"/>
  <c r="G38" i="8"/>
  <c r="G34" i="8"/>
  <c r="G26" i="8"/>
  <c r="G24" i="8"/>
  <c r="G22" i="8"/>
  <c r="G20" i="8"/>
  <c r="G18" i="8"/>
  <c r="G32" i="8"/>
  <c r="G28" i="8"/>
  <c r="G17" i="8"/>
  <c r="G33" i="8"/>
  <c r="G27" i="8"/>
  <c r="G23" i="8"/>
  <c r="G19" i="8"/>
  <c r="G29" i="8"/>
  <c r="G25" i="8"/>
  <c r="G21" i="8"/>
  <c r="G30" i="8"/>
  <c r="G31" i="8"/>
  <c r="G10" i="8"/>
  <c r="G14" i="8"/>
  <c r="G8" i="8"/>
  <c r="G6" i="8"/>
  <c r="G4" i="8"/>
  <c r="G12" i="8"/>
  <c r="G9" i="8"/>
  <c r="G5" i="8"/>
  <c r="G13" i="8"/>
  <c r="G7" i="8"/>
  <c r="G3" i="8"/>
  <c r="G16" i="8"/>
  <c r="G15" i="8"/>
  <c r="G11" i="8"/>
  <c r="G2" i="8"/>
  <c r="B6" i="9" l="1" a="1"/>
  <c r="B6" i="9" s="1"/>
  <c r="C6" i="9" a="1"/>
  <c r="C6" i="9" s="1"/>
  <c r="D6" i="10" s="1"/>
  <c r="G3" i="3" a="1"/>
  <c r="G3" i="3" s="1"/>
  <c r="H3" i="3" a="1"/>
  <c r="H3" i="3" s="1"/>
  <c r="G4" i="3" a="1"/>
  <c r="G4" i="3" s="1"/>
  <c r="H4" i="3" a="1"/>
  <c r="H4" i="3" s="1"/>
  <c r="G5" i="3" a="1"/>
  <c r="G5" i="3" s="1"/>
  <c r="H5" i="3" a="1"/>
  <c r="H5" i="3" s="1"/>
  <c r="G6" i="3" a="1"/>
  <c r="G6" i="3" s="1"/>
  <c r="H6" i="3" a="1"/>
  <c r="H6" i="3" s="1"/>
  <c r="G7" i="3" a="1"/>
  <c r="G7" i="3" s="1"/>
  <c r="H7" i="3" a="1"/>
  <c r="H7" i="3" s="1"/>
  <c r="G8" i="3" a="1"/>
  <c r="G8" i="3" s="1"/>
  <c r="H8" i="3" a="1"/>
  <c r="H8" i="3" s="1"/>
  <c r="G9" i="3" a="1"/>
  <c r="G9" i="3" s="1"/>
  <c r="H9" i="3" a="1"/>
  <c r="H9" i="3" s="1"/>
  <c r="G10" i="3" a="1"/>
  <c r="G10" i="3" s="1"/>
  <c r="H10" i="3" a="1"/>
  <c r="H10" i="3"/>
  <c r="G11" i="3" a="1"/>
  <c r="G11" i="3" s="1"/>
  <c r="H11" i="3" a="1"/>
  <c r="H11" i="3" s="1"/>
  <c r="G12" i="3" a="1"/>
  <c r="G12" i="3" s="1"/>
  <c r="H12" i="3" a="1"/>
  <c r="H12" i="3" s="1"/>
  <c r="G13" i="3" a="1"/>
  <c r="G13" i="3" s="1"/>
  <c r="H13" i="3" a="1"/>
  <c r="H13" i="3" s="1"/>
  <c r="G14" i="3" a="1"/>
  <c r="G14" i="3" s="1"/>
  <c r="H14" i="3" a="1"/>
  <c r="H14" i="3" s="1"/>
  <c r="G15" i="3" a="1"/>
  <c r="G15" i="3" s="1"/>
  <c r="H15" i="3" a="1"/>
  <c r="H15" i="3" s="1"/>
  <c r="G16" i="3" a="1"/>
  <c r="G16" i="3" s="1"/>
  <c r="H16" i="3" a="1"/>
  <c r="H16" i="3" s="1"/>
  <c r="G17" i="3" a="1"/>
  <c r="G17" i="3" s="1"/>
  <c r="H17" i="3" a="1"/>
  <c r="H17" i="3" s="1"/>
  <c r="G18" i="3" a="1"/>
  <c r="G18" i="3" s="1"/>
  <c r="H18" i="3" a="1"/>
  <c r="H18" i="3" s="1"/>
  <c r="G19" i="3" a="1"/>
  <c r="G19" i="3" s="1"/>
  <c r="H19" i="3" a="1"/>
  <c r="H19" i="3" s="1"/>
  <c r="G20" i="3" a="1"/>
  <c r="G20" i="3" s="1"/>
  <c r="H20" i="3" a="1"/>
  <c r="H20" i="3" s="1"/>
  <c r="G21" i="3" a="1"/>
  <c r="G21" i="3" s="1"/>
  <c r="H21" i="3" a="1"/>
  <c r="H21" i="3" s="1"/>
  <c r="G22" i="3" a="1"/>
  <c r="G22" i="3" s="1"/>
  <c r="H22" i="3" a="1"/>
  <c r="H22" i="3" s="1"/>
  <c r="G23" i="3" a="1"/>
  <c r="G23" i="3" s="1"/>
  <c r="H23" i="3" a="1"/>
  <c r="H23" i="3" s="1"/>
  <c r="G24" i="3" a="1"/>
  <c r="G24" i="3" s="1"/>
  <c r="H24" i="3" a="1"/>
  <c r="H24" i="3" s="1"/>
  <c r="G25" i="3" a="1"/>
  <c r="G25" i="3" s="1"/>
  <c r="H25" i="3" a="1"/>
  <c r="H25" i="3" s="1"/>
  <c r="G26" i="3" a="1"/>
  <c r="G26" i="3" s="1"/>
  <c r="H26" i="3" a="1"/>
  <c r="H26" i="3"/>
  <c r="G27" i="3" a="1"/>
  <c r="G27" i="3" s="1"/>
  <c r="H27" i="3" a="1"/>
  <c r="H27" i="3"/>
  <c r="G28" i="3" a="1"/>
  <c r="G28" i="3" s="1"/>
  <c r="H28" i="3" a="1"/>
  <c r="H28" i="3" s="1"/>
  <c r="G29" i="3" a="1"/>
  <c r="G29" i="3" s="1"/>
  <c r="H29" i="3" a="1"/>
  <c r="H29" i="3" s="1"/>
  <c r="G30" i="3" a="1"/>
  <c r="G30" i="3" s="1"/>
  <c r="H30" i="3" a="1"/>
  <c r="H30" i="3" s="1"/>
  <c r="F30" i="3" s="1"/>
  <c r="G31" i="3" a="1"/>
  <c r="G31" i="3" s="1"/>
  <c r="H31" i="3" a="1"/>
  <c r="H31" i="3" s="1"/>
  <c r="G32" i="3" a="1"/>
  <c r="G32" i="3" s="1"/>
  <c r="H32" i="3" a="1"/>
  <c r="H32" i="3" s="1"/>
  <c r="G33" i="3" a="1"/>
  <c r="G33" i="3" s="1"/>
  <c r="H33" i="3" a="1"/>
  <c r="H33" i="3" s="1"/>
  <c r="G34" i="3" a="1"/>
  <c r="G34" i="3" s="1"/>
  <c r="H34" i="3" a="1"/>
  <c r="H34" i="3" s="1"/>
  <c r="G35" i="3" a="1"/>
  <c r="G35" i="3" s="1"/>
  <c r="H35" i="3" a="1"/>
  <c r="H35" i="3" s="1"/>
  <c r="F35" i="3" s="1"/>
  <c r="G36" i="3" a="1"/>
  <c r="G36" i="3" s="1"/>
  <c r="H36" i="3" a="1"/>
  <c r="H36" i="3" s="1"/>
  <c r="G37" i="3" a="1"/>
  <c r="G37" i="3" s="1"/>
  <c r="H37" i="3" a="1"/>
  <c r="H37" i="3" s="1"/>
  <c r="G38" i="3" a="1"/>
  <c r="G38" i="3" s="1"/>
  <c r="H38" i="3" a="1"/>
  <c r="H38" i="3" s="1"/>
  <c r="G39" i="3" a="1"/>
  <c r="G39" i="3" s="1"/>
  <c r="H39" i="3" a="1"/>
  <c r="H39" i="3" s="1"/>
  <c r="F39" i="3" s="1"/>
  <c r="G40" i="3" a="1"/>
  <c r="G40" i="3" s="1"/>
  <c r="H40" i="3" a="1"/>
  <c r="H40" i="3" s="1"/>
  <c r="F40" i="3" s="1"/>
  <c r="G41" i="3" a="1"/>
  <c r="G41" i="3" s="1"/>
  <c r="H41" i="3" a="1"/>
  <c r="H41" i="3" s="1"/>
  <c r="G42" i="3" a="1"/>
  <c r="G42" i="3" s="1"/>
  <c r="H42" i="3" a="1"/>
  <c r="H42" i="3"/>
  <c r="G43" i="3" a="1"/>
  <c r="G43" i="3" s="1"/>
  <c r="H43" i="3" a="1"/>
  <c r="H43" i="3" s="1"/>
  <c r="G44" i="3" a="1"/>
  <c r="G44" i="3" s="1"/>
  <c r="H44" i="3" a="1"/>
  <c r="H44" i="3" s="1"/>
  <c r="G45" i="3" a="1"/>
  <c r="G45" i="3" s="1"/>
  <c r="H45" i="3" a="1"/>
  <c r="H45" i="3" s="1"/>
  <c r="G46" i="3" a="1"/>
  <c r="G46" i="3" s="1"/>
  <c r="H46" i="3" a="1"/>
  <c r="H46" i="3" s="1"/>
  <c r="G47" i="3" a="1"/>
  <c r="G47" i="3" s="1"/>
  <c r="H47" i="3" a="1"/>
  <c r="H47" i="3" s="1"/>
  <c r="F47" i="3" s="1"/>
  <c r="G48" i="3" a="1"/>
  <c r="G48" i="3" s="1"/>
  <c r="H48" i="3" a="1"/>
  <c r="H48" i="3" s="1"/>
  <c r="G49" i="3" a="1"/>
  <c r="G49" i="3" s="1"/>
  <c r="H49" i="3" a="1"/>
  <c r="H49" i="3" s="1"/>
  <c r="G50" i="3" a="1"/>
  <c r="G50" i="3" s="1"/>
  <c r="H50" i="3" a="1"/>
  <c r="H50" i="3"/>
  <c r="F50" i="3" s="1"/>
  <c r="G51" i="3" a="1"/>
  <c r="G51" i="3" s="1"/>
  <c r="H51" i="3" a="1"/>
  <c r="H51" i="3" s="1"/>
  <c r="F51" i="3" s="1"/>
  <c r="G52" i="3" a="1"/>
  <c r="G52" i="3" s="1"/>
  <c r="H52" i="3" a="1"/>
  <c r="H52" i="3" s="1"/>
  <c r="G53" i="3" a="1"/>
  <c r="G53" i="3" s="1"/>
  <c r="H53" i="3" a="1"/>
  <c r="H53" i="3" s="1"/>
  <c r="F53" i="3" s="1"/>
  <c r="G54" i="3" a="1"/>
  <c r="G54" i="3" s="1"/>
  <c r="H54" i="3" a="1"/>
  <c r="H54" i="3" s="1"/>
  <c r="G55" i="3" a="1"/>
  <c r="G55" i="3" s="1"/>
  <c r="H55" i="3" a="1"/>
  <c r="H55" i="3" s="1"/>
  <c r="G56" i="3" a="1"/>
  <c r="G56" i="3" s="1"/>
  <c r="H56" i="3" a="1"/>
  <c r="H56" i="3" s="1"/>
  <c r="F56" i="3" s="1"/>
  <c r="G57" i="3" a="1"/>
  <c r="G57" i="3" s="1"/>
  <c r="H57" i="3" a="1"/>
  <c r="H57" i="3" s="1"/>
  <c r="G58" i="3" a="1"/>
  <c r="G58" i="3" s="1"/>
  <c r="H58" i="3" a="1"/>
  <c r="H58" i="3" s="1"/>
  <c r="F58" i="3" s="1"/>
  <c r="G59" i="3" a="1"/>
  <c r="G59" i="3" s="1"/>
  <c r="H59" i="3" a="1"/>
  <c r="H59" i="3"/>
  <c r="G60" i="3" a="1"/>
  <c r="G60" i="3" s="1"/>
  <c r="H60" i="3" a="1"/>
  <c r="H60" i="3" s="1"/>
  <c r="G61" i="3" a="1"/>
  <c r="G61" i="3" s="1"/>
  <c r="H61" i="3" a="1"/>
  <c r="H61" i="3" s="1"/>
  <c r="G62" i="3" a="1"/>
  <c r="G62" i="3" s="1"/>
  <c r="H62" i="3" a="1"/>
  <c r="H62" i="3" s="1"/>
  <c r="G63" i="3" a="1"/>
  <c r="G63" i="3" s="1"/>
  <c r="H63" i="3" a="1"/>
  <c r="H63" i="3" s="1"/>
  <c r="F63" i="3" s="1"/>
  <c r="G64" i="3" a="1"/>
  <c r="G64" i="3" s="1"/>
  <c r="H64" i="3" a="1"/>
  <c r="H64" i="3" s="1"/>
  <c r="G65" i="3" a="1"/>
  <c r="G65" i="3" s="1"/>
  <c r="H65" i="3" a="1"/>
  <c r="H65" i="3" s="1"/>
  <c r="G66" i="3" a="1"/>
  <c r="G66" i="3" s="1"/>
  <c r="H66" i="3" a="1"/>
  <c r="H66" i="3"/>
  <c r="G67" i="3" a="1"/>
  <c r="G67" i="3" s="1"/>
  <c r="H67" i="3" a="1"/>
  <c r="H67" i="3" s="1"/>
  <c r="F67" i="3" s="1"/>
  <c r="G68" i="3" a="1"/>
  <c r="G68" i="3" s="1"/>
  <c r="H68" i="3" a="1"/>
  <c r="H68" i="3" s="1"/>
  <c r="G69" i="3" a="1"/>
  <c r="G69" i="3" s="1"/>
  <c r="H69" i="3" a="1"/>
  <c r="H69" i="3" s="1"/>
  <c r="F69" i="3" s="1"/>
  <c r="G70" i="3" a="1"/>
  <c r="G70" i="3" s="1"/>
  <c r="H70" i="3" a="1"/>
  <c r="H70" i="3" s="1"/>
  <c r="G71" i="3" a="1"/>
  <c r="G71" i="3" s="1"/>
  <c r="H71" i="3" a="1"/>
  <c r="H71" i="3" s="1"/>
  <c r="F71" i="3" s="1"/>
  <c r="G72" i="3" a="1"/>
  <c r="G72" i="3" s="1"/>
  <c r="H72" i="3" a="1"/>
  <c r="H72" i="3" s="1"/>
  <c r="G73" i="3" a="1"/>
  <c r="G73" i="3" s="1"/>
  <c r="H73" i="3" a="1"/>
  <c r="H73" i="3" s="1"/>
  <c r="G74" i="3" a="1"/>
  <c r="G74" i="3" s="1"/>
  <c r="H74" i="3" a="1"/>
  <c r="H74" i="3" s="1"/>
  <c r="F74" i="3" s="1"/>
  <c r="G75" i="3" a="1"/>
  <c r="G75" i="3" s="1"/>
  <c r="H75" i="3" a="1"/>
  <c r="H75" i="3"/>
  <c r="G76" i="3" a="1"/>
  <c r="G76" i="3" s="1"/>
  <c r="H76" i="3" a="1"/>
  <c r="H76" i="3" s="1"/>
  <c r="G77" i="3" a="1"/>
  <c r="G77" i="3" s="1"/>
  <c r="H77" i="3" a="1"/>
  <c r="H77" i="3" s="1"/>
  <c r="G78" i="3" a="1"/>
  <c r="G78" i="3" s="1"/>
  <c r="H78" i="3" a="1"/>
  <c r="H78" i="3" s="1"/>
  <c r="G79" i="3" a="1"/>
  <c r="G79" i="3" s="1"/>
  <c r="H79" i="3" a="1"/>
  <c r="H79" i="3" s="1"/>
  <c r="F79" i="3" s="1"/>
  <c r="G80" i="3" a="1"/>
  <c r="G80" i="3" s="1"/>
  <c r="H80" i="3" a="1"/>
  <c r="H80" i="3" s="1"/>
  <c r="G81" i="3" a="1"/>
  <c r="G81" i="3" s="1"/>
  <c r="H81" i="3" a="1"/>
  <c r="H81" i="3" s="1"/>
  <c r="G82" i="3" a="1"/>
  <c r="G82" i="3" s="1"/>
  <c r="H82" i="3" a="1"/>
  <c r="H82" i="3"/>
  <c r="G83" i="3" a="1"/>
  <c r="G83" i="3" s="1"/>
  <c r="H83" i="3" a="1"/>
  <c r="H83" i="3" s="1"/>
  <c r="F83" i="3" s="1"/>
  <c r="G84" i="3" a="1"/>
  <c r="G84" i="3" s="1"/>
  <c r="H84" i="3" a="1"/>
  <c r="H84" i="3" s="1"/>
  <c r="F84" i="3" s="1"/>
  <c r="G85" i="3" a="1"/>
  <c r="G85" i="3" s="1"/>
  <c r="H85" i="3" a="1"/>
  <c r="H85" i="3" s="1"/>
  <c r="G86" i="3" a="1"/>
  <c r="G86" i="3" s="1"/>
  <c r="H86" i="3" a="1"/>
  <c r="H86" i="3" s="1"/>
  <c r="G87" i="3" a="1"/>
  <c r="G87" i="3" s="1"/>
  <c r="H87" i="3" a="1"/>
  <c r="H87" i="3" s="1"/>
  <c r="F87" i="3" s="1"/>
  <c r="G88" i="3" a="1"/>
  <c r="G88" i="3" s="1"/>
  <c r="H88" i="3" a="1"/>
  <c r="H88" i="3"/>
  <c r="G89" i="3" a="1"/>
  <c r="G89" i="3" s="1"/>
  <c r="H89" i="3" a="1"/>
  <c r="H89" i="3" s="1"/>
  <c r="G90" i="3" a="1"/>
  <c r="G90" i="3" s="1"/>
  <c r="H90" i="3" a="1"/>
  <c r="H90" i="3" s="1"/>
  <c r="G91" i="3" a="1"/>
  <c r="G91" i="3" s="1"/>
  <c r="H91" i="3" a="1"/>
  <c r="H91" i="3" s="1"/>
  <c r="G92" i="3" a="1"/>
  <c r="G92" i="3" s="1"/>
  <c r="H92" i="3" a="1"/>
  <c r="H92" i="3" s="1"/>
  <c r="G93" i="3" a="1"/>
  <c r="G93" i="3" s="1"/>
  <c r="H93" i="3" a="1"/>
  <c r="H93" i="3" s="1"/>
  <c r="G94" i="3" a="1"/>
  <c r="G94" i="3" s="1"/>
  <c r="H94" i="3" a="1"/>
  <c r="H94" i="3" s="1"/>
  <c r="G95" i="3" a="1"/>
  <c r="G95" i="3" s="1"/>
  <c r="H95" i="3" a="1"/>
  <c r="H95" i="3" s="1"/>
  <c r="G96" i="3" a="1"/>
  <c r="G96" i="3" s="1"/>
  <c r="H96" i="3" a="1"/>
  <c r="H96" i="3" s="1"/>
  <c r="F96" i="3" s="1"/>
  <c r="G97" i="3" a="1"/>
  <c r="G97" i="3" s="1"/>
  <c r="H97" i="3" a="1"/>
  <c r="H97" i="3" s="1"/>
  <c r="G98" i="3" a="1"/>
  <c r="G98" i="3" s="1"/>
  <c r="H98" i="3" a="1"/>
  <c r="H98" i="3" s="1"/>
  <c r="F98" i="3" s="1"/>
  <c r="H2" i="3" a="1"/>
  <c r="H2" i="3" s="1"/>
  <c r="G2" i="3" a="1"/>
  <c r="G2" i="3" s="1"/>
  <c r="F59" i="3"/>
  <c r="F66" i="3"/>
  <c r="F75" i="3"/>
  <c r="E124" i="5"/>
  <c r="E125" i="5"/>
  <c r="E126" i="5"/>
  <c r="E127" i="5"/>
  <c r="E128" i="5"/>
  <c r="E129" i="5"/>
  <c r="E130" i="5"/>
  <c r="E131" i="5"/>
  <c r="E132" i="5"/>
  <c r="E133" i="5"/>
  <c r="E134" i="5"/>
  <c r="E135" i="5"/>
  <c r="E136" i="5"/>
  <c r="E137" i="5"/>
  <c r="E138" i="5"/>
  <c r="E139" i="5"/>
  <c r="E140" i="5"/>
  <c r="E141" i="5"/>
  <c r="E142" i="5"/>
  <c r="E143" i="5"/>
  <c r="E123" i="5"/>
  <c r="E114" i="5"/>
  <c r="E115" i="5"/>
  <c r="E116" i="5"/>
  <c r="E117" i="5"/>
  <c r="E118" i="5"/>
  <c r="E119" i="5"/>
  <c r="E120" i="5"/>
  <c r="E121" i="5"/>
  <c r="E122" i="5"/>
  <c r="F42" i="3" l="1"/>
  <c r="F32" i="3"/>
  <c r="F64" i="3"/>
  <c r="F44" i="3"/>
  <c r="B6" i="10"/>
  <c r="C6" i="10"/>
  <c r="F95" i="3"/>
  <c r="F92" i="3"/>
  <c r="F93" i="3"/>
  <c r="F97" i="3"/>
  <c r="F94" i="3"/>
  <c r="F82" i="3"/>
  <c r="F72" i="3"/>
  <c r="F61" i="3"/>
  <c r="F37" i="3"/>
  <c r="F29" i="3"/>
  <c r="F68" i="3"/>
  <c r="F90" i="3"/>
  <c r="F88" i="3"/>
  <c r="F91" i="3"/>
  <c r="F85" i="3"/>
  <c r="F80" i="3"/>
  <c r="F77" i="3"/>
  <c r="F76" i="3"/>
  <c r="F52" i="3"/>
  <c r="F45" i="3"/>
  <c r="F43" i="3"/>
  <c r="F60" i="3"/>
  <c r="F55" i="3"/>
  <c r="F48" i="3"/>
  <c r="F36" i="3"/>
  <c r="F33" i="3"/>
  <c r="F89" i="3"/>
  <c r="F81" i="3"/>
  <c r="F73" i="3"/>
  <c r="F65" i="3"/>
  <c r="F57" i="3"/>
  <c r="F49" i="3"/>
  <c r="F41" i="3"/>
  <c r="F34" i="3"/>
  <c r="F31" i="3"/>
  <c r="F86" i="3"/>
  <c r="F78" i="3"/>
  <c r="F70" i="3"/>
  <c r="F62" i="3"/>
  <c r="F54" i="3"/>
  <c r="F46" i="3"/>
  <c r="F38" i="3"/>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H82" i="5" s="1" a="1"/>
  <c r="H82" i="5" s="1"/>
  <c r="E83" i="5"/>
  <c r="E84" i="5"/>
  <c r="E85" i="5"/>
  <c r="E86" i="5"/>
  <c r="E87" i="5"/>
  <c r="E88" i="5"/>
  <c r="E89" i="5"/>
  <c r="E90" i="5"/>
  <c r="H90" i="5" s="1" a="1"/>
  <c r="H90" i="5" s="1"/>
  <c r="E91" i="5"/>
  <c r="E92" i="5"/>
  <c r="E93" i="5"/>
  <c r="E94" i="5"/>
  <c r="E95" i="5"/>
  <c r="E96" i="5"/>
  <c r="E97" i="5"/>
  <c r="E98" i="5"/>
  <c r="H98" i="5" s="1" a="1"/>
  <c r="H98" i="5" s="1"/>
  <c r="E99" i="5"/>
  <c r="E100" i="5"/>
  <c r="E101" i="5"/>
  <c r="E102" i="5"/>
  <c r="E103" i="5"/>
  <c r="E104" i="5"/>
  <c r="E105" i="5"/>
  <c r="E106" i="5"/>
  <c r="H106" i="5" s="1" a="1"/>
  <c r="H106" i="5" s="1"/>
  <c r="E107" i="5"/>
  <c r="E108" i="5"/>
  <c r="E109" i="5"/>
  <c r="E110" i="5"/>
  <c r="E111" i="5"/>
  <c r="E112" i="5"/>
  <c r="E113" i="5"/>
  <c r="E2" i="5"/>
  <c r="F3" i="3"/>
  <c r="F4" i="3"/>
  <c r="F5" i="3"/>
  <c r="F6" i="3"/>
  <c r="F7" i="3"/>
  <c r="F8" i="3"/>
  <c r="F9" i="3"/>
  <c r="F10" i="3"/>
  <c r="F11" i="3"/>
  <c r="F13" i="3"/>
  <c r="F14" i="3"/>
  <c r="F15" i="3"/>
  <c r="F17" i="3"/>
  <c r="F18" i="3"/>
  <c r="F19" i="3"/>
  <c r="F21" i="3"/>
  <c r="F22" i="3"/>
  <c r="F23" i="3"/>
  <c r="F25" i="3"/>
  <c r="F26" i="3"/>
  <c r="F27" i="3"/>
  <c r="F2" i="3"/>
  <c r="H58" i="5" l="1" a="1"/>
  <c r="H58" i="5" s="1"/>
  <c r="H10" i="5" a="1"/>
  <c r="H10" i="5" s="1"/>
  <c r="H113" i="5" a="1"/>
  <c r="H113" i="5" s="1"/>
  <c r="G113" i="5" s="1"/>
  <c r="H65" i="5" a="1"/>
  <c r="H65" i="5" s="1"/>
  <c r="H25" i="5" a="1"/>
  <c r="H25" i="5" s="1"/>
  <c r="H104" i="5" a="1"/>
  <c r="H104" i="5" s="1"/>
  <c r="H96" i="5" a="1"/>
  <c r="H96" i="5" s="1"/>
  <c r="G96" i="5" s="1"/>
  <c r="H88" i="5" a="1"/>
  <c r="H88" i="5" s="1"/>
  <c r="H80" i="5" a="1"/>
  <c r="H80" i="5" s="1"/>
  <c r="H72" i="5" a="1"/>
  <c r="H72" i="5" s="1"/>
  <c r="H64" i="5" a="1"/>
  <c r="H64" i="5" s="1"/>
  <c r="H56" i="5" a="1"/>
  <c r="H56" i="5" s="1"/>
  <c r="H48" i="5" a="1"/>
  <c r="H48" i="5" s="1"/>
  <c r="H40" i="5" a="1"/>
  <c r="H40" i="5" s="1"/>
  <c r="H32" i="5" a="1"/>
  <c r="H32" i="5" s="1"/>
  <c r="G32" i="5" s="1"/>
  <c r="H24" i="5" a="1"/>
  <c r="H24" i="5" s="1"/>
  <c r="H16" i="5" a="1"/>
  <c r="H16" i="5" s="1"/>
  <c r="H8" i="5" a="1"/>
  <c r="H8" i="5" s="1"/>
  <c r="H42" i="5" a="1"/>
  <c r="H42" i="5" s="1"/>
  <c r="H97" i="5" a="1"/>
  <c r="H97" i="5" s="1"/>
  <c r="H49" i="5" a="1"/>
  <c r="H49" i="5" s="1"/>
  <c r="H17" i="5" a="1"/>
  <c r="H17" i="5" s="1"/>
  <c r="H111" i="5" a="1"/>
  <c r="H111" i="5" s="1"/>
  <c r="G111" i="5" s="1"/>
  <c r="H103" i="5" a="1"/>
  <c r="H103" i="5" s="1"/>
  <c r="H95" i="5" a="1"/>
  <c r="H95" i="5" s="1"/>
  <c r="H87" i="5" a="1"/>
  <c r="H87" i="5" s="1"/>
  <c r="H79" i="5" a="1"/>
  <c r="H79" i="5" s="1"/>
  <c r="H71" i="5" a="1"/>
  <c r="H71" i="5" s="1"/>
  <c r="H63" i="5" a="1"/>
  <c r="H63" i="5" s="1"/>
  <c r="H55" i="5" a="1"/>
  <c r="H55" i="5" s="1"/>
  <c r="H47" i="5" a="1"/>
  <c r="H47" i="5" s="1"/>
  <c r="G47" i="5" s="1"/>
  <c r="H39" i="5" a="1"/>
  <c r="H39" i="5" s="1"/>
  <c r="H31" i="5" a="1"/>
  <c r="H31" i="5" s="1"/>
  <c r="H23" i="5" a="1"/>
  <c r="H23" i="5" s="1"/>
  <c r="H15" i="5" a="1"/>
  <c r="H15" i="5" s="1"/>
  <c r="H7" i="5" a="1"/>
  <c r="H7" i="5" s="1"/>
  <c r="H18" i="5" a="1"/>
  <c r="H18" i="5" s="1"/>
  <c r="H73" i="5" a="1"/>
  <c r="H73" i="5" s="1"/>
  <c r="H102" i="5" a="1"/>
  <c r="H102" i="5" s="1"/>
  <c r="G102" i="5" s="1"/>
  <c r="H86" i="5" a="1"/>
  <c r="H86" i="5" s="1"/>
  <c r="H78" i="5" a="1"/>
  <c r="H78" i="5" s="1"/>
  <c r="H70" i="5" a="1"/>
  <c r="H70" i="5" s="1"/>
  <c r="H62" i="5" a="1"/>
  <c r="H62" i="5" s="1"/>
  <c r="H54" i="5" a="1"/>
  <c r="H54" i="5" s="1"/>
  <c r="H46" i="5" a="1"/>
  <c r="H46" i="5" s="1"/>
  <c r="H38" i="5" a="1"/>
  <c r="H38" i="5" s="1"/>
  <c r="H30" i="5" a="1"/>
  <c r="H30" i="5" s="1"/>
  <c r="G30" i="5" s="1"/>
  <c r="H22" i="5" a="1"/>
  <c r="H22" i="5" s="1"/>
  <c r="H14" i="5" a="1"/>
  <c r="H14" i="5" s="1"/>
  <c r="H6" i="5" a="1"/>
  <c r="H6" i="5" s="1"/>
  <c r="H148" i="5" a="1"/>
  <c r="H148" i="5" s="1"/>
  <c r="G148" i="5" s="1"/>
  <c r="H145" i="5" a="1"/>
  <c r="H145" i="5" s="1"/>
  <c r="G145" i="5" s="1"/>
  <c r="H153" i="5" a="1"/>
  <c r="H153" i="5" s="1"/>
  <c r="G153" i="5" s="1"/>
  <c r="H149" i="5" a="1"/>
  <c r="H149" i="5" s="1"/>
  <c r="G149" i="5" s="1"/>
  <c r="H2" i="5" a="1"/>
  <c r="H2" i="5" s="1"/>
  <c r="G2" i="5" s="1"/>
  <c r="H144" i="5" a="1"/>
  <c r="H144" i="5" s="1"/>
  <c r="G144" i="5" s="1"/>
  <c r="H151" i="5" a="1"/>
  <c r="H151" i="5" s="1"/>
  <c r="G151" i="5" s="1"/>
  <c r="H147" i="5" a="1"/>
  <c r="H147" i="5" s="1"/>
  <c r="G147" i="5" s="1"/>
  <c r="H150" i="5" a="1"/>
  <c r="H150" i="5" s="1"/>
  <c r="G150" i="5" s="1"/>
  <c r="H146" i="5" a="1"/>
  <c r="H146" i="5" s="1"/>
  <c r="G146" i="5" s="1"/>
  <c r="H152" i="5" a="1"/>
  <c r="H152" i="5" s="1"/>
  <c r="G152" i="5" s="1"/>
  <c r="H140" i="5" a="1"/>
  <c r="H140" i="5" s="1"/>
  <c r="H122" i="5" a="1"/>
  <c r="H122" i="5" s="1"/>
  <c r="G122" i="5" s="1"/>
  <c r="H128" i="5" a="1"/>
  <c r="H128" i="5" s="1"/>
  <c r="H119" i="5" a="1"/>
  <c r="H119" i="5" s="1"/>
  <c r="H125" i="5" a="1"/>
  <c r="H125" i="5" s="1"/>
  <c r="H116" i="5" a="1"/>
  <c r="H116" i="5" s="1"/>
  <c r="H114" i="5" a="1"/>
  <c r="H114" i="5" s="1"/>
  <c r="H142" i="5" a="1"/>
  <c r="H142" i="5" s="1"/>
  <c r="H134" i="5" a="1"/>
  <c r="H134" i="5" s="1"/>
  <c r="H141" i="5" a="1"/>
  <c r="H141" i="5" s="1"/>
  <c r="G141" i="5" s="1"/>
  <c r="H139" i="5" a="1"/>
  <c r="H139" i="5" s="1"/>
  <c r="H137" i="5" a="1"/>
  <c r="H137" i="5" s="1"/>
  <c r="H120" i="5" a="1"/>
  <c r="H120" i="5" s="1"/>
  <c r="H130" i="5" a="1"/>
  <c r="H130" i="5" s="1"/>
  <c r="H136" i="5" a="1"/>
  <c r="H136" i="5" s="1"/>
  <c r="H131" i="5" a="1"/>
  <c r="H131" i="5" s="1"/>
  <c r="H129" i="5" a="1"/>
  <c r="H129" i="5" s="1"/>
  <c r="H143" i="5" a="1"/>
  <c r="H143" i="5" s="1"/>
  <c r="G143" i="5" s="1"/>
  <c r="H126" i="5" a="1"/>
  <c r="H126" i="5" s="1"/>
  <c r="H133" i="5" a="1"/>
  <c r="H133" i="5" s="1"/>
  <c r="H115" i="5" a="1"/>
  <c r="H115" i="5" s="1"/>
  <c r="H135" i="5" a="1"/>
  <c r="H135" i="5" s="1"/>
  <c r="H117" i="5" a="1"/>
  <c r="H117" i="5" s="1"/>
  <c r="H118" i="5" a="1"/>
  <c r="H118" i="5" s="1"/>
  <c r="H132" i="5" a="1"/>
  <c r="H132" i="5" s="1"/>
  <c r="H138" i="5" a="1"/>
  <c r="H138" i="5" s="1"/>
  <c r="G138" i="5" s="1"/>
  <c r="H121" i="5" a="1"/>
  <c r="H121" i="5" s="1"/>
  <c r="H127" i="5" a="1"/>
  <c r="H127" i="5" s="1"/>
  <c r="H123" i="5" a="1"/>
  <c r="H123" i="5" s="1"/>
  <c r="H124" i="5" a="1"/>
  <c r="H124" i="5" s="1"/>
  <c r="H74" i="5" a="1"/>
  <c r="H74" i="5" s="1"/>
  <c r="H34" i="5" a="1"/>
  <c r="H34" i="5" s="1"/>
  <c r="H89" i="5" a="1"/>
  <c r="H89" i="5" s="1"/>
  <c r="H41" i="5" a="1"/>
  <c r="H41" i="5" s="1"/>
  <c r="G41" i="5" s="1"/>
  <c r="H9" i="5" a="1"/>
  <c r="H9" i="5" s="1"/>
  <c r="H94" i="5" a="1"/>
  <c r="H94" i="5" s="1"/>
  <c r="G109" i="5"/>
  <c r="H109" i="5" a="1"/>
  <c r="H109" i="5" s="1"/>
  <c r="H101" i="5" a="1"/>
  <c r="H101" i="5" s="1"/>
  <c r="H93" i="5" a="1"/>
  <c r="H93" i="5" s="1"/>
  <c r="G93" i="5" s="1"/>
  <c r="H85" i="5" a="1"/>
  <c r="H85" i="5" s="1"/>
  <c r="H77" i="5" a="1"/>
  <c r="H77" i="5" s="1"/>
  <c r="H69" i="5" a="1"/>
  <c r="H69" i="5" s="1"/>
  <c r="H61" i="5" a="1"/>
  <c r="H61" i="5" s="1"/>
  <c r="H53" i="5" a="1"/>
  <c r="H53" i="5" s="1"/>
  <c r="H45" i="5" a="1"/>
  <c r="H45" i="5" s="1"/>
  <c r="H37" i="5" a="1"/>
  <c r="H37" i="5" s="1"/>
  <c r="H29" i="5" a="1"/>
  <c r="H29" i="5" s="1"/>
  <c r="G29" i="5" s="1"/>
  <c r="H21" i="5" a="1"/>
  <c r="H21" i="5" s="1"/>
  <c r="H13" i="5" a="1"/>
  <c r="H13" i="5" s="1"/>
  <c r="H5" i="5" a="1"/>
  <c r="H5" i="5" s="1"/>
  <c r="H50" i="5" a="1"/>
  <c r="H50" i="5" s="1"/>
  <c r="H105" i="5" a="1"/>
  <c r="H105" i="5" s="1"/>
  <c r="G105" i="5" s="1"/>
  <c r="H57" i="5" a="1"/>
  <c r="H57" i="5" s="1"/>
  <c r="H112" i="5" a="1"/>
  <c r="H112" i="5" s="1"/>
  <c r="G112" i="5" s="1"/>
  <c r="H108" i="5" a="1"/>
  <c r="H108" i="5" s="1"/>
  <c r="G108" i="5" s="1"/>
  <c r="H100" i="5" a="1"/>
  <c r="H100" i="5" s="1"/>
  <c r="H92" i="5" a="1"/>
  <c r="H92" i="5" s="1"/>
  <c r="H84" i="5" a="1"/>
  <c r="H84" i="5" s="1"/>
  <c r="H76" i="5" a="1"/>
  <c r="H76" i="5" s="1"/>
  <c r="H68" i="5" a="1"/>
  <c r="H68" i="5" s="1"/>
  <c r="H60" i="5" a="1"/>
  <c r="H60" i="5" s="1"/>
  <c r="H52" i="5" a="1"/>
  <c r="H52" i="5" s="1"/>
  <c r="G52" i="5" s="1"/>
  <c r="H44" i="5" a="1"/>
  <c r="H44" i="5" s="1"/>
  <c r="G44" i="5" s="1"/>
  <c r="H36" i="5" a="1"/>
  <c r="H36" i="5" s="1"/>
  <c r="H28" i="5" a="1"/>
  <c r="H28" i="5" s="1"/>
  <c r="H20" i="5" a="1"/>
  <c r="H20" i="5" s="1"/>
  <c r="H12" i="5" a="1"/>
  <c r="H12" i="5" s="1"/>
  <c r="H4" i="5" a="1"/>
  <c r="H4" i="5" s="1"/>
  <c r="G4" i="5" s="1"/>
  <c r="H66" i="5" a="1"/>
  <c r="H66" i="5" s="1"/>
  <c r="H26" i="5" a="1"/>
  <c r="H26" i="5" s="1"/>
  <c r="G26" i="5" s="1"/>
  <c r="H81" i="5" a="1"/>
  <c r="H81" i="5" s="1"/>
  <c r="G81" i="5" s="1"/>
  <c r="H33" i="5" a="1"/>
  <c r="H33" i="5" s="1"/>
  <c r="H110" i="5" a="1"/>
  <c r="H110" i="5" s="1"/>
  <c r="H107" i="5" a="1"/>
  <c r="H107" i="5" s="1"/>
  <c r="H99" i="5" a="1"/>
  <c r="H99" i="5" s="1"/>
  <c r="H91" i="5" a="1"/>
  <c r="H91" i="5" s="1"/>
  <c r="G91" i="5" s="1"/>
  <c r="H83" i="5" a="1"/>
  <c r="H83" i="5" s="1"/>
  <c r="H75" i="5" a="1"/>
  <c r="H75" i="5" s="1"/>
  <c r="H67" i="5" a="1"/>
  <c r="H67" i="5" s="1"/>
  <c r="G67" i="5" s="1"/>
  <c r="H59" i="5" a="1"/>
  <c r="H59" i="5" s="1"/>
  <c r="G59" i="5" s="1"/>
  <c r="H51" i="5" a="1"/>
  <c r="H51" i="5" s="1"/>
  <c r="H43" i="5" a="1"/>
  <c r="H43" i="5" s="1"/>
  <c r="H35" i="5" a="1"/>
  <c r="H35" i="5" s="1"/>
  <c r="H27" i="5" a="1"/>
  <c r="H27" i="5" s="1"/>
  <c r="G27" i="5" s="1"/>
  <c r="H19" i="5" a="1"/>
  <c r="H19" i="5" s="1"/>
  <c r="H11" i="5" a="1"/>
  <c r="H11" i="5" s="1"/>
  <c r="H3" i="5" a="1"/>
  <c r="H3" i="5" s="1"/>
  <c r="G3" i="5" s="1"/>
  <c r="G77" i="5"/>
  <c r="G65" i="5"/>
  <c r="G57" i="5"/>
  <c r="G33" i="5"/>
  <c r="G17" i="5"/>
  <c r="G5" i="5"/>
  <c r="G104" i="5"/>
  <c r="G100" i="5"/>
  <c r="G92" i="5"/>
  <c r="G88" i="5"/>
  <c r="G84" i="5"/>
  <c r="G80" i="5"/>
  <c r="G76" i="5"/>
  <c r="G72" i="5"/>
  <c r="G68" i="5"/>
  <c r="G64" i="5"/>
  <c r="G60" i="5"/>
  <c r="G56" i="5"/>
  <c r="G48" i="5"/>
  <c r="G40" i="5"/>
  <c r="G36" i="5"/>
  <c r="G28" i="5"/>
  <c r="G24" i="5"/>
  <c r="G20" i="5"/>
  <c r="G16" i="5"/>
  <c r="G12" i="5"/>
  <c r="G8" i="5"/>
  <c r="G101" i="5"/>
  <c r="G89" i="5"/>
  <c r="G69" i="5"/>
  <c r="G53" i="5"/>
  <c r="G45" i="5"/>
  <c r="G21" i="5"/>
  <c r="G9" i="5"/>
  <c r="G107" i="5"/>
  <c r="G103" i="5"/>
  <c r="G99" i="5"/>
  <c r="G95" i="5"/>
  <c r="G87" i="5"/>
  <c r="G83" i="5"/>
  <c r="G79" i="5"/>
  <c r="G75" i="5"/>
  <c r="G71" i="5"/>
  <c r="G63" i="5"/>
  <c r="G55" i="5"/>
  <c r="G51" i="5"/>
  <c r="G43" i="5"/>
  <c r="G39" i="5"/>
  <c r="G35" i="5"/>
  <c r="G31" i="5"/>
  <c r="G23" i="5"/>
  <c r="G19" i="5"/>
  <c r="G15" i="5"/>
  <c r="G11" i="5"/>
  <c r="G7" i="5"/>
  <c r="G97" i="5"/>
  <c r="G85" i="5"/>
  <c r="G73" i="5"/>
  <c r="G61" i="5"/>
  <c r="G49" i="5"/>
  <c r="G37" i="5"/>
  <c r="G25" i="5"/>
  <c r="G13" i="5"/>
  <c r="G123" i="5"/>
  <c r="G129" i="5"/>
  <c r="G121" i="5"/>
  <c r="G136" i="5"/>
  <c r="G118" i="5"/>
  <c r="G115" i="5"/>
  <c r="G131" i="5"/>
  <c r="G140" i="5"/>
  <c r="G135" i="5"/>
  <c r="G142" i="5"/>
  <c r="G125" i="5"/>
  <c r="G120" i="5"/>
  <c r="G132" i="5"/>
  <c r="G127" i="5"/>
  <c r="G133" i="5"/>
  <c r="G124" i="5"/>
  <c r="G130" i="5"/>
  <c r="G137" i="5"/>
  <c r="G114" i="5"/>
  <c r="G116" i="5"/>
  <c r="G128" i="5"/>
  <c r="G126" i="5"/>
  <c r="G139" i="5"/>
  <c r="G117" i="5"/>
  <c r="G134" i="5"/>
  <c r="G119" i="5"/>
  <c r="G110" i="5"/>
  <c r="G106" i="5"/>
  <c r="G98" i="5"/>
  <c r="G94" i="5"/>
  <c r="G90" i="5"/>
  <c r="G86" i="5"/>
  <c r="G82" i="5"/>
  <c r="G78" i="5"/>
  <c r="G74" i="5"/>
  <c r="G70" i="5"/>
  <c r="G66" i="5"/>
  <c r="G62" i="5"/>
  <c r="G58" i="5"/>
  <c r="G54" i="5"/>
  <c r="G50" i="5"/>
  <c r="G46" i="5"/>
  <c r="G42" i="5"/>
  <c r="G38" i="5"/>
  <c r="G34" i="5"/>
  <c r="G22" i="5"/>
  <c r="G18" i="5"/>
  <c r="G14" i="5"/>
  <c r="G10" i="5"/>
  <c r="G6" i="5"/>
  <c r="F24" i="3"/>
  <c r="F16" i="3"/>
  <c r="F12" i="3"/>
  <c r="C2" i="9" s="1" a="1"/>
  <c r="C2" i="9" s="1"/>
  <c r="F28" i="3"/>
  <c r="F20" i="3"/>
  <c r="C3" i="9" l="1" a="1"/>
  <c r="C3" i="9" s="1"/>
  <c r="D3" i="10" s="1"/>
  <c r="B3" i="9" a="1"/>
  <c r="B3" i="9" s="1"/>
  <c r="D2" i="10"/>
  <c r="B2" i="9" a="1"/>
  <c r="B2" i="9" s="1"/>
  <c r="C2" i="10" l="1"/>
  <c r="B2" i="10"/>
  <c r="B4" i="9"/>
  <c r="C4" i="9"/>
  <c r="D4" i="10" s="1"/>
  <c r="B3" i="10"/>
  <c r="C3" i="10"/>
  <c r="C4" i="10" l="1"/>
  <c r="B4" i="10"/>
</calcChain>
</file>

<file path=xl/sharedStrings.xml><?xml version="1.0" encoding="utf-8"?>
<sst xmlns="http://schemas.openxmlformats.org/spreadsheetml/2006/main" count="3604" uniqueCount="316">
  <si>
    <t>Elasticity</t>
  </si>
  <si>
    <t>Product Category</t>
  </si>
  <si>
    <t>Building Type</t>
  </si>
  <si>
    <t>Heating</t>
  </si>
  <si>
    <t>Product</t>
  </si>
  <si>
    <t>Non-Weatherized Gas Furnace</t>
  </si>
  <si>
    <t>Price</t>
  </si>
  <si>
    <t>Residential</t>
  </si>
  <si>
    <t>Mobile Home Gas Furnace</t>
  </si>
  <si>
    <t>% Improvement in Efficency from Base</t>
  </si>
  <si>
    <t>Table 8.2.7</t>
  </si>
  <si>
    <t>https://www.regulations.gov/document?D=EERE-2014-BT-STD-0031-0027</t>
  </si>
  <si>
    <t>Efficiency (AFUE)</t>
  </si>
  <si>
    <t>% Change in Price</t>
  </si>
  <si>
    <t>Gas-Fired Hot Water Boiler</t>
  </si>
  <si>
    <t>Gas-Fired Steam Boiler</t>
  </si>
  <si>
    <t>Oil-Fired Hot Water Boiler</t>
  </si>
  <si>
    <t>Oil-Fired Steam Boiler</t>
  </si>
  <si>
    <t>Residential Boilers</t>
  </si>
  <si>
    <t>https://www.regulations.gov/document?D=EERE-2012-BT-STD-0047-0070</t>
  </si>
  <si>
    <t>Table 8.2.5</t>
  </si>
  <si>
    <t>Cooling</t>
  </si>
  <si>
    <t>2-ton coil-only split central</t>
  </si>
  <si>
    <t>3-ton coil-only split central</t>
  </si>
  <si>
    <t>5-ton coil-only split central</t>
  </si>
  <si>
    <t>2-ton split heat pump</t>
  </si>
  <si>
    <t>3-ton split heat pump</t>
  </si>
  <si>
    <t>5-ton split heat pump</t>
  </si>
  <si>
    <t>2-ton blower coil split central</t>
  </si>
  <si>
    <t>3-ton blower coil split central</t>
  </si>
  <si>
    <t>5-ton blower coil split central</t>
  </si>
  <si>
    <t>single package air conditioner</t>
  </si>
  <si>
    <t>single package heat pump</t>
  </si>
  <si>
    <t>space constrained air conditioner</t>
  </si>
  <si>
    <t>small duct high velocity</t>
  </si>
  <si>
    <t>SEER (BTU/Watt*hour)</t>
  </si>
  <si>
    <t>Efficiency (1 BTU out = X watt*hours in)</t>
  </si>
  <si>
    <t>Residential Cooling</t>
  </si>
  <si>
    <t>Lighting</t>
  </si>
  <si>
    <t>lumens/watt</t>
  </si>
  <si>
    <t>Commercial</t>
  </si>
  <si>
    <t>Include/Exclude</t>
  </si>
  <si>
    <t>Include</t>
  </si>
  <si>
    <t>Large air-cooled CUAC/CUHP - CAV/SAV, 15 ton</t>
  </si>
  <si>
    <t>Very Large air-cooled CUAC/CUHP - CAV/SAV, 30 ton</t>
  </si>
  <si>
    <t>Total Consumer Price</t>
  </si>
  <si>
    <t>Small air-cooled CUAC/CUHP - CAV/SAV, 7.5 ton, Dual</t>
  </si>
  <si>
    <t>http://www.regulations.gov/#%21documentDetail;D=EERE-2013-BT-STD-0007-0027</t>
  </si>
  <si>
    <t>Technical Support Document: Energy Efficiency Program for Consumer Products: Residential Central Air Conditioners and Heat Pumps</t>
  </si>
  <si>
    <t>Technical Support Document: Energy Efficiency Program for Consumer Products and Commercial and Industrial Equipment: Small, Large and Very Large Commercial Package Air Conditioning and Heating Equipment</t>
  </si>
  <si>
    <t>http://www.regulations.gov/#%21documentDetail;D=EERE-2014-BT-STD-0048-0029</t>
  </si>
  <si>
    <t>Technical Support Document: Energy Efficiency Program for Consumer Products: Residential Boilers</t>
  </si>
  <si>
    <t>Residential Furnaces</t>
  </si>
  <si>
    <t>Technical Support Document: Energy Efficiency Program for Consumer Products: Residential Furnaces</t>
  </si>
  <si>
    <t>Commercial Boilers</t>
  </si>
  <si>
    <t>Preliminary Technical Support Document: Energy Efficinecy Program for Consumer Products and Commercial and Industrial Equipment: Commercial Packaged Boilers</t>
  </si>
  <si>
    <t>Table 8.2.3</t>
  </si>
  <si>
    <t>https://www.regulations.gov/contentStreamer?documentId=EERE-2013-BT-STD-0030-0027&amp;attachmentNumber=9&amp;disposition=attachment&amp;contentType=pdf</t>
  </si>
  <si>
    <t>Commercial Furnaces</t>
  </si>
  <si>
    <t>https://www.regulations.gov/contentStreamer?documentId=EERE-2013-BT-STD-0021-0012&amp;disposition=attachment&amp;contentType=pdf</t>
  </si>
  <si>
    <t>Technical Support Document: Energy Efficiency Program for Consumer Products and Commercial and Industrial Equipment: Commercial Warm Air Furnaces</t>
  </si>
  <si>
    <t>Table 8.2.6</t>
  </si>
  <si>
    <r>
      <rPr>
        <sz val="12"/>
        <rFont val="Calibri"/>
        <family val="2"/>
        <scheme val="minor"/>
      </rPr>
      <t>Mechanical Draft Oil-Fired Steam Commercial Packaged Boiler
&gt;2,500,000 Btu/hr</t>
    </r>
  </si>
  <si>
    <r>
      <rPr>
        <sz val="12"/>
        <rFont val="Calibri"/>
        <family val="2"/>
        <scheme val="minor"/>
      </rPr>
      <t>Natural Draft Gas-Fired Hot Water Commercial Packaged Boiler ≥300,000 Btu/hr and ≤2,500,000 Btu/hr</t>
    </r>
  </si>
  <si>
    <r>
      <rPr>
        <sz val="12"/>
        <rFont val="Calibri"/>
        <family val="2"/>
        <scheme val="minor"/>
      </rPr>
      <t>Natural Draft Gas-Fired Hot Water Commercial Packaged Boiler
&gt;2,500,000 Btu/hr</t>
    </r>
  </si>
  <si>
    <r>
      <rPr>
        <sz val="12"/>
        <rFont val="Calibri"/>
        <family val="2"/>
        <scheme val="minor"/>
      </rPr>
      <t>Natural Draft Oil-Fired Hot Water Commercial Packaged Boiler ≥300,000 Btu/hr and ≤2,500,000 Btu/hr</t>
    </r>
  </si>
  <si>
    <r>
      <rPr>
        <sz val="12"/>
        <rFont val="Calibri"/>
        <family val="2"/>
        <scheme val="minor"/>
      </rPr>
      <t>Natural Draft Oil-Fired Hot Water Commercial Packaged Boiler
&gt;2,500,000 Btu/hr</t>
    </r>
  </si>
  <si>
    <r>
      <rPr>
        <sz val="12"/>
        <rFont val="Calibri"/>
        <family val="2"/>
        <scheme val="minor"/>
      </rPr>
      <t>Natural Draft Gas-Fired Steam Commercial Packaged Boiler ≥300,000 Btu/hr and ≤2,500,000 Btu/hr</t>
    </r>
  </si>
  <si>
    <r>
      <rPr>
        <sz val="12"/>
        <rFont val="Calibri"/>
        <family val="2"/>
        <scheme val="minor"/>
      </rPr>
      <t>Natural Draft Gas-Fired Steam Commercial Packaged Boiler
&gt;2,500,000 Btu/hr</t>
    </r>
  </si>
  <si>
    <r>
      <rPr>
        <sz val="12"/>
        <rFont val="Calibri"/>
        <family val="2"/>
        <scheme val="minor"/>
      </rPr>
      <t>Natural Draft Oil-Fired Steam Commercial Packaged Boiler ≥300,000 Btu/hr and ≤2,500,000 Btu/hr</t>
    </r>
  </si>
  <si>
    <r>
      <rPr>
        <sz val="12"/>
        <rFont val="Calibri"/>
        <family val="2"/>
        <scheme val="minor"/>
      </rPr>
      <t>Natural Draft Oil-Fired Steam Commercial Packaged Boiler
&gt;2,500,000 Btu/hr</t>
    </r>
  </si>
  <si>
    <r>
      <rPr>
        <sz val="12"/>
        <rFont val="Calibri"/>
        <family val="2"/>
        <scheme val="minor"/>
      </rPr>
      <t>Mechanical Draft Gas-Fired Hot Water Commercial Packaged Boiler ≥300,000 Btu/hr and ≤2,500,000 Btu/hr</t>
    </r>
  </si>
  <si>
    <r>
      <rPr>
        <sz val="12"/>
        <rFont val="Calibri"/>
        <family val="2"/>
        <scheme val="minor"/>
      </rPr>
      <t>Mechanical Draft Gas-Fired Hot Water Commercial Packaged Boiler
&gt;2,500,000 Btu/hr</t>
    </r>
  </si>
  <si>
    <r>
      <rPr>
        <sz val="12"/>
        <rFont val="Calibri"/>
        <family val="2"/>
        <scheme val="minor"/>
      </rPr>
      <t>Mechanical Draft Oil-Fired Hot Water Commercial Packaged Boiler ≥300,000 Btu/hr and ≤2,500,000 Btu/hr</t>
    </r>
  </si>
  <si>
    <r>
      <rPr>
        <sz val="12"/>
        <rFont val="Calibri"/>
        <family val="2"/>
        <scheme val="minor"/>
      </rPr>
      <t>Mechanical Draft Oil-Fired Hot Water Commercial Packaged Boiler
&gt;2,500,000 Btu/hr</t>
    </r>
  </si>
  <si>
    <r>
      <rPr>
        <sz val="12"/>
        <rFont val="Calibri"/>
        <family val="2"/>
        <scheme val="minor"/>
      </rPr>
      <t>Mechanical Draft Gas-Fired Steam Commercial Packaged Boiler ≥300,000 Btu/hr and ≤2,500,000 Btu/hr</t>
    </r>
  </si>
  <si>
    <r>
      <rPr>
        <sz val="12"/>
        <rFont val="Calibri"/>
        <family val="2"/>
        <scheme val="minor"/>
      </rPr>
      <t>Mechanical Draft Gas-Fired Steam Commercial Packaged Boiler
&gt;2,500,000 Btu/hr</t>
    </r>
  </si>
  <si>
    <r>
      <rPr>
        <sz val="12"/>
        <rFont val="Calibri"/>
        <family val="2"/>
        <scheme val="minor"/>
      </rPr>
      <t>Mechanical Draft Oil-Fired Steam Commercial Packaged Boiler ≥300,000 Btu/hr and ≤2,500,000 Btu/hr</t>
    </r>
  </si>
  <si>
    <r>
      <rPr>
        <sz val="12"/>
        <rFont val="Calibri"/>
        <family val="2"/>
        <scheme val="minor"/>
      </rPr>
      <t>Gas-Fired Warm Air Furnace</t>
    </r>
  </si>
  <si>
    <r>
      <rPr>
        <sz val="12"/>
        <rFont val="Calibri"/>
        <family val="2"/>
        <scheme val="minor"/>
      </rPr>
      <t>Oil-Fired Warm Air Furnace</t>
    </r>
  </si>
  <si>
    <t>residential</t>
  </si>
  <si>
    <t>commercial</t>
  </si>
  <si>
    <t>Commercial Cooling (Packaged Air Conditioners and Heat Pumps)</t>
  </si>
  <si>
    <t>Commercial Cooling (Single Package Vertical Units)</t>
  </si>
  <si>
    <t>Technical Support Document: Energy Efficiency Program for Consumer Products and Commercial and Industrial Equipment: Single Package Vertical Units</t>
  </si>
  <si>
    <t>SPVAC (singleand three-phase) &lt;65,000 Btu/h</t>
  </si>
  <si>
    <t>SPVHP (singleand three-phase) &lt;65,000 Btu/h</t>
  </si>
  <si>
    <t>Tables 5.8.1 and 8.2.4</t>
  </si>
  <si>
    <t>Appliances</t>
  </si>
  <si>
    <t>Gas-Fired Storage Water Heaters</t>
  </si>
  <si>
    <t>Electric Storage Water Heaters</t>
  </si>
  <si>
    <t>Notice of Proposed Rulemaking Technical Support Document Energy Conservation Program for Consumer Products: Energy Conservation Standards for Residential Water Heaters, Direct Heating Equipment, and Pool Heaters</t>
  </si>
  <si>
    <t>https://www.regulations.gov/contentStreamer?documentId=EERE-2006-STD-0129-0170&amp;attachmentNumber=9&amp;disposition=attachment&amp;contentType=pdf</t>
  </si>
  <si>
    <t>Tables 8.2.13, 8.2.14, 8.12.15, and 8.12.16</t>
  </si>
  <si>
    <t>Oil-Fired Storage Water Heaters</t>
  </si>
  <si>
    <t>Gas-Fired Instantaneous Water Heaters</t>
  </si>
  <si>
    <t>Residential Water Heaters</t>
  </si>
  <si>
    <t>Residential Refrigerators and Freezers</t>
  </si>
  <si>
    <t>https://www.regulations.gov/contentStreamer?documentId=EERE-2008-BT-STD-0012-0060&amp;disposition=attachment&amp;contentType=pdf</t>
  </si>
  <si>
    <t>Top-Mount Refrigerator-Freezer</t>
  </si>
  <si>
    <t>Efficiency</t>
  </si>
  <si>
    <t>Bottom-Mount Refrigerator-Freezer</t>
  </si>
  <si>
    <t>Side-by-Side Refrigerator-Freezer</t>
  </si>
  <si>
    <t>Upright Freezer</t>
  </si>
  <si>
    <t>Chest Freezer</t>
  </si>
  <si>
    <t>Compact Refrigerator</t>
  </si>
  <si>
    <t>Compact Freezer</t>
  </si>
  <si>
    <t>Built-In All Refrigerators</t>
  </si>
  <si>
    <t>Built-In Bottom-Mount Refrigerator-Freezers</t>
  </si>
  <si>
    <t>Built-In Side-by-Side Refrigerator-Freezers</t>
  </si>
  <si>
    <t>Built-In Upright Refrigerator-Freezers</t>
  </si>
  <si>
    <t>Service</t>
  </si>
  <si>
    <t>Water Heating</t>
  </si>
  <si>
    <t>Refrigeration</t>
  </si>
  <si>
    <t>Residential Dishwashers</t>
  </si>
  <si>
    <t>Preliminary Technical Support Document: Energy Efficiency Standards for Consumer Products: Refrigerators, Refrigerator-Freezers, and Freezers</t>
  </si>
  <si>
    <t>Technical Support Document: Energy Efficiency Program for Consumer Products and Commercial and Industrial Equipment: Residential Dishwashers</t>
  </si>
  <si>
    <t>https://www.regulations.gov/contentStreamer?documentId=EERE-2014-BT-STD-0021-0005&amp;disposition=attachment&amp;contentType=pdf</t>
  </si>
  <si>
    <t>Dishwashers</t>
  </si>
  <si>
    <t>Standard-Sized Diswashers</t>
  </si>
  <si>
    <t>Compact Dishwashers</t>
  </si>
  <si>
    <t>Residential Clothes Washers</t>
  </si>
  <si>
    <t>Technical Support Document: Energy Efficiency Program for Consumer Products and Commercial and Industrial Equipment: Residential Clothes Washers</t>
  </si>
  <si>
    <t>https://www.regulations.gov/document?D=EERE-2008-BT-STD-0019-0047</t>
  </si>
  <si>
    <t>Clothes Washers</t>
  </si>
  <si>
    <t>Top-Loading Clothes Washers</t>
  </si>
  <si>
    <t>Front-Loading Clothes Washers</t>
  </si>
  <si>
    <t>Top-Loading Compact Clothes Washers</t>
  </si>
  <si>
    <t>Front-Loading Compact Clothes Washers</t>
  </si>
  <si>
    <t>Residential Clothes Dryers</t>
  </si>
  <si>
    <t>Technical Support Document: Energy Efficiency Program for Consumer Products and Commercial and Industrial Equipment: Residential Clothes Dryers and Room Air Conditioners</t>
  </si>
  <si>
    <t>https://www.regulations.gov/contentStreamer?documentId=EERE-2007-BT-STD-0010-0053&amp;attachmentNumber=9&amp;disposition=attachment&amp;contentType=pdf</t>
  </si>
  <si>
    <t>Vented Dryer, Electric Standard</t>
  </si>
  <si>
    <t>Vented Dryer, Electric Compact (120 V)</t>
  </si>
  <si>
    <t>Vented Dryer, Electric Compact (240 V)</t>
  </si>
  <si>
    <t>Clothes Dryers</t>
  </si>
  <si>
    <t>Vented Dryer, Gas</t>
  </si>
  <si>
    <t>Vent-less 240V Dryer, Electric</t>
  </si>
  <si>
    <t>Vent-less Combination Washer/Dryer, Electric</t>
  </si>
  <si>
    <t>Tables 8.2.6, and 8.2.7</t>
  </si>
  <si>
    <t>Tables 5.6.5, 5.6.6, 5.6.7, and 8.2.8</t>
  </si>
  <si>
    <t>Tables 5-13, 5-14, 5-15, 5-16, 5-17, 5-18, 5-19, 5-20, 5-21, 5-22, 5-23, 5-24, 5-25, 8.2.27, 8.2.28, 8.2.29, 8.2.30, 8.2.31, and 8.2.32</t>
  </si>
  <si>
    <t>Tables 8.2.7, 8.2.8, 8.2.9, 8.2.10, 8.4.1, 8.4.2, 8.4.3, and 8.4.4</t>
  </si>
  <si>
    <t>Tables 8.2.9, 8.2.10, 8.2.11, 8.2.12, 8.2.13, and 8.2.14</t>
  </si>
  <si>
    <t>Tables 8.2.6, 8.2.7, 8.2.8, and 8.2.9</t>
  </si>
  <si>
    <t>Residential Ranges and Ovens</t>
  </si>
  <si>
    <t>https://www.regulations.gov/contentStreamer?documentId=EERE-2014-BT-STD-0005-0018&amp;disposition=attachment&amp;contentType=pdf</t>
  </si>
  <si>
    <t>Technical Support Document: Energy Efficiency Program for Consumer Products and Commercial and Industrial Equipment: Residential Conventional Ovens</t>
  </si>
  <si>
    <t>Ovens</t>
  </si>
  <si>
    <t>Electric Standard Freestanding</t>
  </si>
  <si>
    <t>Electric Standard Built-in/Slide-in</t>
  </si>
  <si>
    <t>Electric Self-Clean Freestanding</t>
  </si>
  <si>
    <t>Electric Self-Clean Built-in/Slide-in</t>
  </si>
  <si>
    <t>Gas Standard Freestanding</t>
  </si>
  <si>
    <t>Gas Standard Built-in/Slide-in</t>
  </si>
  <si>
    <t>Gas Self-Clean Freestanding</t>
  </si>
  <si>
    <t>Gas Self-Clean Built-in/Slide-in</t>
  </si>
  <si>
    <t>Tables 5.3.7, 5.3.8, 5.3.9, 5.3.10, 8.2.13, 8.2.14, 8.2.15, 8.2.16, 8.2.17, 8.2.18, 8.2.19, and 8.2.20</t>
  </si>
  <si>
    <t>Commercial Clothes Washers</t>
  </si>
  <si>
    <t>Technical Support Document: Energy Efficiency Program for Consumer Products and Commercial and Industrial Equipment: Commercial Clothes Washers</t>
  </si>
  <si>
    <t>https://www.regulations.gov/contentStreamer?documentId=EERE-2012-BT-STD-0020-0036&amp;attachmentNumber=9&amp;disposition=attachment&amp;contentType=pdf</t>
  </si>
  <si>
    <t>Top-Loading</t>
  </si>
  <si>
    <t>Front-Loading</t>
  </si>
  <si>
    <t>Tables 8.2.8 and 8.2.9</t>
  </si>
  <si>
    <t>Commercial Refrigerators</t>
  </si>
  <si>
    <t>https://www.regulations.gov/contentStreamer?documentId=EERE-2010-BT-STD-0003-0102&amp;disposition=attachment&amp;contentType=pdf</t>
  </si>
  <si>
    <t>Technical Support Document: Energy Efficiency Program for Consumer Products and Commercial and Industrial Equipment: Commercial Refrigeration Equipment</t>
  </si>
  <si>
    <t>VOP.RC.M</t>
  </si>
  <si>
    <t>VCT.RC.L</t>
  </si>
  <si>
    <t>VCT.SC.M</t>
  </si>
  <si>
    <t>VCS.SC.L</t>
  </si>
  <si>
    <t>Tables 8.2.4 and 8.2.5</t>
  </si>
  <si>
    <t>Commercial Water Heaters</t>
  </si>
  <si>
    <t>https://www.regulations.gov/contentStreamer?documentId=EERE-2014-BT-STD-0042-0016&amp;attachmentNumber=1&amp;disposition=attachment&amp;contentType=pdf</t>
  </si>
  <si>
    <t>Technical Support Document: Energy Efficiency Program for Consumer Products and Commercial and Industrial Equipment: Commercial Water Heating Equipment</t>
  </si>
  <si>
    <t>commercial gas-fired storage water heater</t>
  </si>
  <si>
    <t>commercial gas-fired instantaeous tankless water heater</t>
  </si>
  <si>
    <t>commercial gas-fired instantaneous hot water supply boiler</t>
  </si>
  <si>
    <t>Other Equipment</t>
  </si>
  <si>
    <t>Residential Dehumidifiers</t>
  </si>
  <si>
    <t>Technical Support Document: Energy Efficiency Program for Consumer Products and Commercial and Industrial Equipment: Residential Dehumidifiers</t>
  </si>
  <si>
    <t>https://www.regulations.gov/contentStreamer?documentId=EERE-2012-BT-STD-0027-0030&amp;attachmentNumber=1&amp;disposition=attachment&amp;contentType=pdf</t>
  </si>
  <si>
    <t>Dehumidiers</t>
  </si>
  <si>
    <t>Portable &lt;30 pints/day</t>
  </si>
  <si>
    <t>Portable 30-45 pints/day</t>
  </si>
  <si>
    <t>Portable &gt;45 pints/day</t>
  </si>
  <si>
    <t>Whole-home &lt;8 ft3</t>
  </si>
  <si>
    <t>Whole-home &gt;8 ft3</t>
  </si>
  <si>
    <t>Tables 8.2.11, 8.2.12, 8.2.13, 8.2.14, and 8.2.15</t>
  </si>
  <si>
    <t>Pool Heaters</t>
  </si>
  <si>
    <t>Residential Pool Heaters</t>
  </si>
  <si>
    <t>https://www.regulations.gov/contentStreamer?documentId=EERE-2006-STD-0129-0149&amp;attachmentNumber=1&amp;disposition=attachment&amp;contentType=pdf</t>
  </si>
  <si>
    <t>Technical Support Document: Energy Efficiency Program for Consumer Products and Commercial and Industrial Equipment: Pool Heaters, Direct Heating Equipment, and Water Heaters</t>
  </si>
  <si>
    <t>Gas-Fired Pool Heaters</t>
  </si>
  <si>
    <t>Table 8.2.38</t>
  </si>
  <si>
    <t>Commercial Pumps</t>
  </si>
  <si>
    <t>Technical Support Document: Energy Efficiency Program for Consumer Products and Commercial and Industrial Equipment: Pumps</t>
  </si>
  <si>
    <t>https://www.regulations.gov/contentStreamer?documentId=EERE-2011-BT-STD-0031-0056&amp;attachmentNumber=1&amp;disposition=attachment&amp;contentType=pdf</t>
  </si>
  <si>
    <t>Pumps</t>
  </si>
  <si>
    <t>VT-S 3600</t>
  </si>
  <si>
    <r>
      <rPr>
        <sz val="11"/>
        <rFont val="Calibri"/>
        <family val="2"/>
        <scheme val="minor"/>
      </rPr>
      <t>ESCC 1800</t>
    </r>
  </si>
  <si>
    <r>
      <rPr>
        <sz val="11"/>
        <rFont val="Calibri"/>
        <family val="2"/>
        <scheme val="minor"/>
      </rPr>
      <t>ESCC 3600</t>
    </r>
  </si>
  <si>
    <r>
      <rPr>
        <sz val="11"/>
        <rFont val="Calibri"/>
        <family val="2"/>
        <scheme val="minor"/>
      </rPr>
      <t>ESFM 1800</t>
    </r>
  </si>
  <si>
    <r>
      <rPr>
        <sz val="11"/>
        <rFont val="Calibri"/>
        <family val="2"/>
        <scheme val="minor"/>
      </rPr>
      <t>ESFM 3600</t>
    </r>
  </si>
  <si>
    <r>
      <rPr>
        <sz val="11"/>
        <rFont val="Calibri"/>
        <family val="2"/>
        <scheme val="minor"/>
      </rPr>
      <t>IL 1800</t>
    </r>
  </si>
  <si>
    <r>
      <rPr>
        <sz val="11"/>
        <rFont val="Calibri"/>
        <family val="2"/>
        <scheme val="minor"/>
      </rPr>
      <t>IL 3600</t>
    </r>
  </si>
  <si>
    <t>Tables 7.3.2, 8.4.1, 8.4.3, 8.4.5, 8.4.7, 8.4.9, 8.4.11, and 8.4.13</t>
  </si>
  <si>
    <t>Technical Support Document: Energy Efficiency Program for Consumer Products and Commercial and Industrial Equipment: Electric Motors</t>
  </si>
  <si>
    <t>https://www.regulations.gov/contentStreamer?documentId=EERE-2010-BT-STD-0027-0108&amp;disposition=attachment&amp;contentType=pdf</t>
  </si>
  <si>
    <t>Electric Motors</t>
  </si>
  <si>
    <t xml:space="preserve"> NEMA Design B, T-Frame, 5 hp, 4 Poles, Enclosed</t>
  </si>
  <si>
    <t>NEMA Design B, T-Frame, 30 hp, 4 Poles, Enclosed</t>
  </si>
  <si>
    <t>NEMA Design B, T-Frame, 75 hp, 4 Poles, Enclosed</t>
  </si>
  <si>
    <t>NEMA Design C, T-Frame, 5 hp, 4 Poles, Enclosed</t>
  </si>
  <si>
    <t xml:space="preserve"> NEMA Design C, T-Frame, 50 hp, 4 Poles, Enclosed</t>
  </si>
  <si>
    <t xml:space="preserve"> Fire Pump Electric Motor, 5 hp, 4 Poles, Enclosed</t>
  </si>
  <si>
    <t>Fire Pump Electric Motor, 30 hp, 4 Poles, Enclosed</t>
  </si>
  <si>
    <t>Fire Pump Electric Motor, 75 hp, 4 Poles, Enclosed</t>
  </si>
  <si>
    <t>Brake Motor, 5 hp, 4 Poles, Enclosed: Consumer</t>
  </si>
  <si>
    <t>Brake Motor, 30 hp, 4 Poles, Enclosed: Consumer</t>
  </si>
  <si>
    <t>Tables 8.2.5, 8.2.6, 8.2.7, 8.2.8, 8.2.9, 8.2.10, 8.2.11, 8.2.12, 8.2.13, and 8.2.14</t>
  </si>
  <si>
    <t>Commercial Electric Motors</t>
  </si>
  <si>
    <t>Commercial Small Electric Motors</t>
  </si>
  <si>
    <t>Notice of Proposed Rulemaking (NOPR) Technical Support Document (TSD) Energy Efficiency Standards for Commercial and Industrial Equipment: Small Electric Motors</t>
  </si>
  <si>
    <t>https://www.regulations.gov/document?D=EERE-2007-BT-STD-0007-0036</t>
  </si>
  <si>
    <t>Small Electric Motors</t>
  </si>
  <si>
    <t>Polyphase Motors (1 hp); not-space constrained</t>
  </si>
  <si>
    <t>Polyphase Motors (1 hp); space constrained</t>
  </si>
  <si>
    <t>Capacitor-Start Induction-Run Motors (0.5 hp), not space-constrained</t>
  </si>
  <si>
    <t>Capacitor-Start Induction-Run Motors (0.5 hp), space-constrained</t>
  </si>
  <si>
    <t>Capacitor-Start Capacitor-Run Motors (0.75 hp), not space-constrained</t>
  </si>
  <si>
    <t>Capacitor-Start Capacitor-Run Motors (0.75 hp), space-constrained</t>
  </si>
  <si>
    <t>Tables 8.2.10, 8.2.11, 8.2.12, 8.2.13, 8.2.14, and 8.2.15</t>
  </si>
  <si>
    <t>Commercial Vending Machines</t>
  </si>
  <si>
    <t>Technical Support Document: Energy Efficiency Program for Consumer Products and Commercial and Industrial Equipment: Refrigerated Bottled or Canned Beverage Vending Machines</t>
  </si>
  <si>
    <t>https://www.regulations.gov/contentStreamer?documentId=EERE-2013-BT-STD-0022-0067&amp;attachmentNumber=1&amp;disposition=attachment&amp;contentType=pdf</t>
  </si>
  <si>
    <t>Vending Machines</t>
  </si>
  <si>
    <t>Class A, CO2</t>
  </si>
  <si>
    <t>Class A, Propane</t>
  </si>
  <si>
    <t>Class B, CO2</t>
  </si>
  <si>
    <t>Class B, Propane</t>
  </si>
  <si>
    <t>Combination A, CO2</t>
  </si>
  <si>
    <t>Combination A, Propane</t>
  </si>
  <si>
    <t>Combination B, CO2</t>
  </si>
  <si>
    <t>Combination B, Propane</t>
  </si>
  <si>
    <t>Tables 8.4.1, 8.4.3, 8.4.5, 8.4.7, 8.4.9, 8.4.11, 8.4.13, and 8.4.15</t>
  </si>
  <si>
    <t>EoCPwEU Elasticity of Component Enerby Price wrt Energy Use</t>
  </si>
  <si>
    <t>All Lighting</t>
  </si>
  <si>
    <t>Sources:</t>
  </si>
  <si>
    <t>Notes:</t>
  </si>
  <si>
    <t>heating</t>
  </si>
  <si>
    <t>cooling and ventilation</t>
  </si>
  <si>
    <t>envelope</t>
  </si>
  <si>
    <t>lighting</t>
  </si>
  <si>
    <t>appliances</t>
  </si>
  <si>
    <t>other component</t>
  </si>
  <si>
    <t>Upper Percentile to Include</t>
  </si>
  <si>
    <t>Lifetime (hours)</t>
  </si>
  <si>
    <t>thousand watt/(lumen*hours)</t>
  </si>
  <si>
    <t>LED - 2015</t>
  </si>
  <si>
    <t>LED - 2020</t>
  </si>
  <si>
    <t>LED - 2030</t>
  </si>
  <si>
    <t>Exclude</t>
  </si>
  <si>
    <t>Baseline</t>
  </si>
  <si>
    <t>No</t>
  </si>
  <si>
    <t>Yes</t>
  </si>
  <si>
    <t>Incandescent Omni</t>
  </si>
  <si>
    <t>Halogen Omni</t>
  </si>
  <si>
    <t>CFL Omni</t>
  </si>
  <si>
    <t>Decorative Lighting</t>
  </si>
  <si>
    <t>Incadescent Decorative</t>
  </si>
  <si>
    <t>Halogen Decorative</t>
  </si>
  <si>
    <t>CFL Decorative</t>
  </si>
  <si>
    <t>General Service Lighting - Com</t>
  </si>
  <si>
    <t>General Service Lighting - Res</t>
  </si>
  <si>
    <t>Incadescent Omni</t>
  </si>
  <si>
    <t>Downlights/Track Lighting - Omni</t>
  </si>
  <si>
    <t>Downlights/Track Lighting - Directional</t>
  </si>
  <si>
    <t>General Service Linear 4 ft</t>
  </si>
  <si>
    <t>General Service Linear &gt;4 ft</t>
  </si>
  <si>
    <t>General Service Linear &lt;4 ft</t>
  </si>
  <si>
    <t>Incandescent Directional</t>
  </si>
  <si>
    <t>Halogen Directional</t>
  </si>
  <si>
    <t>CFL Directional</t>
  </si>
  <si>
    <t>T12</t>
  </si>
  <si>
    <t>T8</t>
  </si>
  <si>
    <t>T5</t>
  </si>
  <si>
    <t>Metal Halide</t>
  </si>
  <si>
    <t>High Pressure Sodium</t>
  </si>
  <si>
    <t>Low/High Bay - Luminaire</t>
  </si>
  <si>
    <t>Mean wattage</t>
  </si>
  <si>
    <t>mean lumens</t>
  </si>
  <si>
    <t>Type</t>
  </si>
  <si>
    <t>Price ($)</t>
  </si>
  <si>
    <t>Prcie ($/klm)</t>
  </si>
  <si>
    <t>$/1000 lumen</t>
  </si>
  <si>
    <t>US Department of Energy</t>
  </si>
  <si>
    <t>Energy Savings Forecast of Solid-State Lighting in General Illumination Applications</t>
  </si>
  <si>
    <t>Tables D.2, D.3, E.6, E.8, and E.9</t>
  </si>
  <si>
    <t>http://apps1.eere.energy.gov/buildings/publications/pdfs/ssl/energysavingsforecast14.pdf</t>
  </si>
  <si>
    <t>Urban Residential</t>
  </si>
  <si>
    <t>Rural Residential</t>
  </si>
  <si>
    <t>We use the Department of Energy's Energy Efficiency Standards Technical Support Documents to document the relationship between energy efficiency and consumer prices.</t>
  </si>
  <si>
    <t>First, we want to account for likely improvements in technology deployment and commensurate declines in product prices. For example, LED light bulbs continue to decline in price,</t>
  </si>
  <si>
    <t>and by 2030 the price, and therefore the elasticity will drop dramatically. Second, elasticites tend to be non-linear: improvements near the baseline efficiency level tend to be linear, but</t>
  </si>
  <si>
    <t xml:space="preserve">additional improvements farther away from the baseline level tend to cost more for each marginal unit of improvement. We assume that the majority of efficiency improvements </t>
  </si>
  <si>
    <t>will be near the baseline levels and therefore do not want want the elasticities for the highes efficiency products to pull up all elasticities.</t>
  </si>
  <si>
    <t>For lighting, additional filtering was applied. There are two reasons for this filtering. First, lighting, unlike many other building components, has a wide ability for technology substitution.</t>
  </si>
  <si>
    <t>For example, incandescents are being replaced with CFLs and LEDs. Therefore, the lighting calculations need to capture the ability to switch between technologies. Elasticites are calculated</t>
  </si>
  <si>
    <t xml:space="preserve">across substitutable technology types. The second, and more important element, is the rapid rate of technological progress in the lighting industry. The rapid cost declines of CFLs and LEDs </t>
  </si>
  <si>
    <t>means that using a single point elasticity must account for price declines and efficiency improvements in the future. To capture this effect, we include 2015 values as well as forecast price</t>
  </si>
  <si>
    <t>declines for LEDs in 2020 and 2030. Upon reviewing these values, it was observed that in many instances current prices are actually already below the 2020 forecast. Therefore, we chose</t>
  </si>
  <si>
    <t>not to use the 2015 values for LEDs, but to only include the 2020 and 2030 values. It is likely that even these elasticies and conservative (high) because of the faster-than-exptected decline</t>
  </si>
  <si>
    <t>in LED prices and increase in LED efficiency.</t>
  </si>
  <si>
    <t>We aim to include the largest energy consumeing components to try and capture the range of elasticities. In the "Calculations" page, we remove the top 20% of elasticities for two reasons.</t>
  </si>
  <si>
    <t>Elasticity by Fuel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</si>
</sst>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quot;* #,##0.00_);_(&quot;$&quot;* \(#,##0.00\);_(&quot;$&quot;* &quot;-&quot;??_);_(@_)"/>
    <numFmt numFmtId="164" formatCode="_(&quot;$&quot;* #,##0_);_(&quot;$&quot;* \(#,##0\);_(&quot;$&quot;* &quot;-&quot;??_);_(@_)"/>
    <numFmt numFmtId="165" formatCode="0.0"/>
    <numFmt numFmtId="166" formatCode="0.0%"/>
    <numFmt numFmtId="167" formatCode="0.00000"/>
    <numFmt numFmtId="168" formatCode="\$###0;\$###0"/>
    <numFmt numFmtId="169" formatCode="\$#,##0;\$#,##0"/>
    <numFmt numFmtId="170"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sz val="12"/>
      <name val="Calibri"/>
      <family val="2"/>
      <scheme val="minor"/>
    </font>
    <font>
      <sz val="10"/>
      <color rgb="FF000000"/>
      <name val="Times New Roman"/>
      <family val="1"/>
    </font>
    <font>
      <sz val="11"/>
      <color rgb="FF00000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6" fillId="0" borderId="0"/>
    <xf numFmtId="9" fontId="6" fillId="0" borderId="0" applyFont="0" applyFill="0" applyBorder="0" applyAlignment="0" applyProtection="0"/>
    <xf numFmtId="9" fontId="3" fillId="0" borderId="0" applyFont="0" applyFill="0" applyBorder="0" applyAlignment="0" applyProtection="0"/>
    <xf numFmtId="0" fontId="6" fillId="0" borderId="0"/>
    <xf numFmtId="9" fontId="6" fillId="0" borderId="0" applyFont="0" applyFill="0" applyBorder="0" applyAlignment="0" applyProtection="0"/>
  </cellStyleXfs>
  <cellXfs count="56">
    <xf numFmtId="0" fontId="0" fillId="0" borderId="0" xfId="0"/>
    <xf numFmtId="9" fontId="0" fillId="0" borderId="0" xfId="2" applyFont="1"/>
    <xf numFmtId="9" fontId="0" fillId="0" borderId="0" xfId="0" applyNumberFormat="1"/>
    <xf numFmtId="0" fontId="2" fillId="2" borderId="0" xfId="0" applyFont="1" applyFill="1"/>
    <xf numFmtId="164" fontId="0" fillId="0" borderId="0" xfId="1" applyNumberFormat="1" applyFont="1"/>
    <xf numFmtId="9" fontId="0" fillId="0" borderId="0" xfId="0" applyNumberFormat="1" applyAlignment="1">
      <alignment horizontal="left"/>
    </xf>
    <xf numFmtId="0" fontId="0" fillId="0" borderId="0" xfId="0" applyNumberFormat="1"/>
    <xf numFmtId="165" fontId="0" fillId="0" borderId="0" xfId="0" applyNumberFormat="1"/>
    <xf numFmtId="1" fontId="0" fillId="0" borderId="0" xfId="0" applyNumberFormat="1"/>
    <xf numFmtId="166" fontId="0" fillId="0" borderId="0" xfId="0" applyNumberFormat="1"/>
    <xf numFmtId="166" fontId="0" fillId="0" borderId="0" xfId="2" applyNumberFormat="1" applyFont="1"/>
    <xf numFmtId="165" fontId="0" fillId="0" borderId="0" xfId="2" applyNumberFormat="1" applyFont="1"/>
    <xf numFmtId="167" fontId="0" fillId="0" borderId="0" xfId="2" applyNumberFormat="1" applyFont="1"/>
    <xf numFmtId="0" fontId="0" fillId="0" borderId="0" xfId="0"/>
    <xf numFmtId="0" fontId="2" fillId="0" borderId="0" xfId="0" applyFont="1"/>
    <xf numFmtId="0" fontId="0" fillId="0" borderId="0" xfId="0" applyAlignment="1">
      <alignment horizontal="left"/>
    </xf>
    <xf numFmtId="0" fontId="4" fillId="0" borderId="0" xfId="1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10" applyAlignment="1">
      <alignment wrapText="1"/>
    </xf>
    <xf numFmtId="0" fontId="4" fillId="0" borderId="0" xfId="10" applyAlignment="1">
      <alignment vertical="center" wrapText="1"/>
    </xf>
    <xf numFmtId="0" fontId="0" fillId="0" borderId="0" xfId="0" applyFont="1"/>
    <xf numFmtId="168" fontId="7" fillId="0" borderId="0" xfId="11" applyNumberFormat="1" applyFont="1" applyFill="1" applyBorder="1" applyAlignment="1">
      <alignment horizontal="center" vertical="top" wrapText="1"/>
    </xf>
    <xf numFmtId="169" fontId="7" fillId="0" borderId="0" xfId="11" applyNumberFormat="1" applyFont="1" applyFill="1" applyBorder="1" applyAlignment="1">
      <alignment horizontal="center" vertical="top" wrapText="1"/>
    </xf>
    <xf numFmtId="9" fontId="7" fillId="0" borderId="0" xfId="2" applyFont="1" applyFill="1" applyBorder="1" applyAlignment="1">
      <alignment horizontal="center" vertical="top" wrapText="1"/>
    </xf>
    <xf numFmtId="0" fontId="4" fillId="0" borderId="0" xfId="10" applyAlignment="1">
      <alignment horizontal="left" wrapText="1"/>
    </xf>
    <xf numFmtId="0" fontId="0" fillId="3" borderId="0" xfId="0" applyFill="1"/>
    <xf numFmtId="0" fontId="2" fillId="3" borderId="0" xfId="0" applyFont="1" applyFill="1"/>
    <xf numFmtId="0" fontId="9" fillId="0" borderId="0" xfId="11" applyFont="1" applyFill="1" applyBorder="1" applyAlignment="1">
      <alignment horizontal="left" vertical="top" wrapText="1"/>
    </xf>
    <xf numFmtId="0" fontId="4" fillId="0" borderId="0" xfId="10" applyAlignment="1">
      <alignment vertical="top" wrapText="1"/>
    </xf>
    <xf numFmtId="9" fontId="1" fillId="0" borderId="0" xfId="2" applyNumberFormat="1" applyFont="1"/>
    <xf numFmtId="9" fontId="7" fillId="0" borderId="0" xfId="12" applyFont="1" applyFill="1" applyBorder="1" applyAlignment="1">
      <alignment horizontal="left" vertical="top"/>
    </xf>
    <xf numFmtId="164" fontId="7" fillId="0" borderId="0" xfId="1" applyNumberFormat="1" applyFont="1" applyFill="1" applyBorder="1" applyAlignment="1">
      <alignment horizontal="center" vertical="top" wrapText="1"/>
    </xf>
    <xf numFmtId="0" fontId="0" fillId="0" borderId="0" xfId="0"/>
    <xf numFmtId="0" fontId="2" fillId="0" borderId="0" xfId="0" applyFont="1"/>
    <xf numFmtId="0" fontId="0" fillId="0" borderId="0" xfId="0" applyAlignment="1">
      <alignment horizontal="left"/>
    </xf>
    <xf numFmtId="9" fontId="0" fillId="4" borderId="1" xfId="2" applyFont="1" applyFill="1" applyBorder="1"/>
    <xf numFmtId="1" fontId="0" fillId="0" borderId="0" xfId="1" applyNumberFormat="1" applyFont="1"/>
    <xf numFmtId="0" fontId="0" fillId="0" borderId="0" xfId="0"/>
    <xf numFmtId="0" fontId="0" fillId="0" borderId="0" xfId="0"/>
    <xf numFmtId="44" fontId="0" fillId="0" borderId="0" xfId="1" applyFont="1"/>
    <xf numFmtId="0" fontId="0" fillId="0" borderId="0" xfId="0" applyNumberFormat="1"/>
    <xf numFmtId="166" fontId="0" fillId="0" borderId="0" xfId="0" applyNumberFormat="1"/>
    <xf numFmtId="166" fontId="0" fillId="0" borderId="0" xfId="2" applyNumberFormat="1" applyFont="1"/>
    <xf numFmtId="167" fontId="0" fillId="0" borderId="0" xfId="1" applyNumberFormat="1" applyFont="1"/>
    <xf numFmtId="0" fontId="9" fillId="0" borderId="0" xfId="0" applyFont="1"/>
    <xf numFmtId="0" fontId="0" fillId="0" borderId="0" xfId="0" applyAlignment="1"/>
    <xf numFmtId="0" fontId="0" fillId="0" borderId="0" xfId="0"/>
    <xf numFmtId="0" fontId="2" fillId="0" borderId="0" xfId="0" applyFont="1"/>
    <xf numFmtId="0" fontId="2" fillId="0" borderId="0" xfId="0" applyFont="1" applyAlignment="1">
      <alignment horizontal="right"/>
    </xf>
    <xf numFmtId="170" fontId="0" fillId="0" borderId="0" xfId="0" applyNumberFormat="1"/>
    <xf numFmtId="0" fontId="0" fillId="0" borderId="0" xfId="0"/>
    <xf numFmtId="0" fontId="2" fillId="0" borderId="0" xfId="0" applyFont="1"/>
    <xf numFmtId="0" fontId="8" fillId="3" borderId="0" xfId="0" applyFont="1" applyFill="1" applyAlignment="1">
      <alignment horizontal="left"/>
    </xf>
    <xf numFmtId="0" fontId="2" fillId="0" borderId="0" xfId="0" applyFont="1" applyAlignment="1">
      <alignment wrapText="1"/>
    </xf>
  </cellXfs>
  <cellStyles count="16">
    <cellStyle name="Currency" xfId="1" builtinId="4"/>
    <cellStyle name="Currency 2" xfId="6"/>
    <cellStyle name="Currency 3" xfId="8"/>
    <cellStyle name="Hyperlink" xfId="10" builtinId="8"/>
    <cellStyle name="Normal" xfId="0" builtinId="0"/>
    <cellStyle name="Normal 2" xfId="3"/>
    <cellStyle name="Normal 2 2" xfId="14"/>
    <cellStyle name="Normal 3" xfId="5"/>
    <cellStyle name="Normal 4" xfId="4"/>
    <cellStyle name="Normal 5" xfId="11"/>
    <cellStyle name="Percent" xfId="2" builtinId="5"/>
    <cellStyle name="Percent 2" xfId="7"/>
    <cellStyle name="Percent 3" xfId="9"/>
    <cellStyle name="Percent 4" xfId="12"/>
    <cellStyle name="Percent 5" xfId="13"/>
    <cellStyle name="Percent 5 2" xf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gulations.gov/contentStreamer?documentId=EERE-2006-STD-0129-0170&amp;attachmentNumber=9&amp;disposition=attachment&amp;contentType=pdf" TargetMode="External"/><Relationship Id="rId13" Type="http://schemas.openxmlformats.org/officeDocument/2006/relationships/hyperlink" Target="https://www.regulations.gov/contentStreamer?documentId=EERE-2010-BT-STD-0027-0108&amp;disposition=attachment&amp;contentType=pdf" TargetMode="External"/><Relationship Id="rId3" Type="http://schemas.openxmlformats.org/officeDocument/2006/relationships/hyperlink" Target="https://www.regulations.gov/document?D=EERE-2012-BT-STD-0047-0070" TargetMode="External"/><Relationship Id="rId7" Type="http://schemas.openxmlformats.org/officeDocument/2006/relationships/hyperlink" Target="http://www.regulations.gov/" TargetMode="External"/><Relationship Id="rId12" Type="http://schemas.openxmlformats.org/officeDocument/2006/relationships/hyperlink" Target="https://www.regulations.gov/contentStreamer?documentId=EERE-2011-BT-STD-0031-0056&amp;attachmentNumber=1&amp;disposition=attachment&amp;contentType=pdf" TargetMode="External"/><Relationship Id="rId2" Type="http://schemas.openxmlformats.org/officeDocument/2006/relationships/hyperlink" Target="http://www.regulations.gov/" TargetMode="External"/><Relationship Id="rId16" Type="http://schemas.openxmlformats.org/officeDocument/2006/relationships/printerSettings" Target="../printerSettings/printerSettings1.bin"/><Relationship Id="rId1" Type="http://schemas.openxmlformats.org/officeDocument/2006/relationships/hyperlink" Target="http://www.regulations.gov/" TargetMode="External"/><Relationship Id="rId6" Type="http://schemas.openxmlformats.org/officeDocument/2006/relationships/hyperlink" Target="https://www.regulations.gov/contentStreamer?documentId=EERE-2013-BT-STD-0021-0012&amp;disposition=attachment&amp;contentType=pdf" TargetMode="External"/><Relationship Id="rId11" Type="http://schemas.openxmlformats.org/officeDocument/2006/relationships/hyperlink" Target="https://www.regulations.gov/contentStreamer?documentId=EERE-2010-BT-STD-0003-0102&amp;disposition=attachment&amp;contentType=pdf" TargetMode="External"/><Relationship Id="rId5" Type="http://schemas.openxmlformats.org/officeDocument/2006/relationships/hyperlink" Target="https://www.regulations.gov/contentStreamer?documentId=EERE-2013-BT-STD-0030-0027&amp;attachmentNumber=9&amp;disposition=attachment&amp;contentType=pdf" TargetMode="External"/><Relationship Id="rId15" Type="http://schemas.openxmlformats.org/officeDocument/2006/relationships/hyperlink" Target="http://apps1.eere.energy.gov/buildings/publications/pdfs/ssl/energysavingsforecast14.pdf" TargetMode="External"/><Relationship Id="rId10" Type="http://schemas.openxmlformats.org/officeDocument/2006/relationships/hyperlink" Target="https://www.regulations.gov/contentStreamer?documentId=EERE-2014-BT-STD-0021-0005&amp;disposition=attachment&amp;contentType=pdf" TargetMode="External"/><Relationship Id="rId4" Type="http://schemas.openxmlformats.org/officeDocument/2006/relationships/hyperlink" Target="https://www.regulations.gov/document?D=EERE-2014-BT-STD-0031-0027" TargetMode="External"/><Relationship Id="rId9" Type="http://schemas.openxmlformats.org/officeDocument/2006/relationships/hyperlink" Target="https://www.regulations.gov/contentStreamer?documentId=EERE-2008-BT-STD-0012-0060&amp;disposition=attachment&amp;contentType=pdf" TargetMode="External"/><Relationship Id="rId14" Type="http://schemas.openxmlformats.org/officeDocument/2006/relationships/hyperlink" Target="https://www.regulations.gov/contentStreamer?documentId=EERE-2013-BT-STD-0022-0067&amp;attachmentNumber=1&amp;disposition=attachment&amp;contentTyp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tabSelected="1" topLeftCell="A43" zoomScale="85" zoomScaleNormal="85" workbookViewId="0"/>
  </sheetViews>
  <sheetFormatPr defaultRowHeight="15" x14ac:dyDescent="0.25"/>
  <cols>
    <col min="1" max="1" width="8.7109375" style="34" customWidth="1"/>
    <col min="2" max="2" width="64" customWidth="1"/>
    <col min="3" max="3" width="5" customWidth="1"/>
    <col min="4" max="4" width="58.7109375" customWidth="1"/>
    <col min="5" max="5" width="5.140625" customWidth="1"/>
    <col min="6" max="6" width="59.42578125" customWidth="1"/>
    <col min="7" max="7" width="5.5703125" customWidth="1"/>
    <col min="8" max="8" width="60.42578125" customWidth="1"/>
    <col min="9" max="9" width="57.85546875" customWidth="1"/>
  </cols>
  <sheetData>
    <row r="1" spans="1:8" x14ac:dyDescent="0.25">
      <c r="A1" s="14" t="s">
        <v>246</v>
      </c>
    </row>
    <row r="3" spans="1:8" x14ac:dyDescent="0.25">
      <c r="A3" s="35" t="s">
        <v>248</v>
      </c>
      <c r="B3" s="28" t="s">
        <v>3</v>
      </c>
      <c r="C3" s="27"/>
      <c r="D3" s="27"/>
      <c r="E3" s="27"/>
      <c r="F3" s="27"/>
      <c r="G3" s="27"/>
      <c r="H3" s="27"/>
    </row>
    <row r="4" spans="1:8" x14ac:dyDescent="0.25">
      <c r="B4" s="3" t="s">
        <v>18</v>
      </c>
      <c r="D4" s="3" t="s">
        <v>52</v>
      </c>
      <c r="F4" s="3" t="s">
        <v>54</v>
      </c>
      <c r="H4" s="3" t="s">
        <v>58</v>
      </c>
    </row>
    <row r="5" spans="1:8" ht="45" x14ac:dyDescent="0.25">
      <c r="B5" s="18" t="s">
        <v>51</v>
      </c>
      <c r="D5" s="18" t="s">
        <v>53</v>
      </c>
      <c r="F5" s="18" t="s">
        <v>55</v>
      </c>
      <c r="H5" s="18" t="s">
        <v>60</v>
      </c>
    </row>
    <row r="6" spans="1:8" x14ac:dyDescent="0.25">
      <c r="B6" s="15">
        <v>2015</v>
      </c>
      <c r="D6" s="15">
        <v>2015</v>
      </c>
      <c r="F6" s="15">
        <v>2014</v>
      </c>
      <c r="H6" s="15">
        <v>2015</v>
      </c>
    </row>
    <row r="7" spans="1:8" x14ac:dyDescent="0.25">
      <c r="B7" t="s">
        <v>20</v>
      </c>
      <c r="D7" t="s">
        <v>10</v>
      </c>
      <c r="F7" s="13" t="s">
        <v>56</v>
      </c>
      <c r="H7" t="s">
        <v>61</v>
      </c>
    </row>
    <row r="8" spans="1:8" s="13" customFormat="1" ht="60" x14ac:dyDescent="0.25">
      <c r="A8" s="34"/>
      <c r="B8" s="21" t="s">
        <v>19</v>
      </c>
      <c r="C8" s="19"/>
      <c r="D8" s="21" t="s">
        <v>11</v>
      </c>
      <c r="F8" s="20" t="s">
        <v>57</v>
      </c>
      <c r="H8" s="20" t="s">
        <v>59</v>
      </c>
    </row>
    <row r="9" spans="1:8" s="13" customFormat="1" x14ac:dyDescent="0.25">
      <c r="A9" s="34"/>
    </row>
    <row r="10" spans="1:8" x14ac:dyDescent="0.25">
      <c r="B10" s="28" t="s">
        <v>21</v>
      </c>
      <c r="C10" s="27"/>
      <c r="D10" s="27"/>
      <c r="E10" s="27"/>
      <c r="F10" s="27"/>
      <c r="G10" s="27"/>
      <c r="H10" s="27"/>
    </row>
    <row r="11" spans="1:8" x14ac:dyDescent="0.25">
      <c r="B11" s="3" t="s">
        <v>82</v>
      </c>
      <c r="D11" s="3" t="s">
        <v>83</v>
      </c>
      <c r="F11" s="3" t="s">
        <v>37</v>
      </c>
    </row>
    <row r="12" spans="1:8" ht="60" x14ac:dyDescent="0.25">
      <c r="B12" s="17" t="s">
        <v>49</v>
      </c>
      <c r="D12" s="17" t="s">
        <v>84</v>
      </c>
      <c r="F12" s="18" t="s">
        <v>48</v>
      </c>
    </row>
    <row r="13" spans="1:8" x14ac:dyDescent="0.25">
      <c r="B13" s="15">
        <v>2015</v>
      </c>
      <c r="D13" s="15">
        <v>2015</v>
      </c>
      <c r="F13" s="15">
        <v>2015</v>
      </c>
    </row>
    <row r="14" spans="1:8" ht="30" x14ac:dyDescent="0.25">
      <c r="B14" s="19" t="s">
        <v>140</v>
      </c>
      <c r="D14" s="19" t="s">
        <v>87</v>
      </c>
      <c r="F14" s="18" t="s">
        <v>141</v>
      </c>
    </row>
    <row r="15" spans="1:8" x14ac:dyDescent="0.25">
      <c r="B15" s="16" t="s">
        <v>47</v>
      </c>
      <c r="D15" s="16" t="s">
        <v>47</v>
      </c>
      <c r="F15" s="16" t="s">
        <v>50</v>
      </c>
    </row>
    <row r="17" spans="1:8" s="13" customFormat="1" x14ac:dyDescent="0.25">
      <c r="A17" s="34"/>
    </row>
    <row r="18" spans="1:8" s="13" customFormat="1" x14ac:dyDescent="0.25">
      <c r="A18" s="34"/>
      <c r="B18" s="54" t="s">
        <v>88</v>
      </c>
      <c r="C18" s="54"/>
      <c r="D18" s="54"/>
      <c r="E18" s="54"/>
      <c r="F18" s="54"/>
      <c r="G18" s="27"/>
      <c r="H18" s="27"/>
    </row>
    <row r="19" spans="1:8" x14ac:dyDescent="0.25">
      <c r="B19" s="3" t="s">
        <v>96</v>
      </c>
      <c r="D19" s="3" t="s">
        <v>97</v>
      </c>
      <c r="F19" s="3" t="s">
        <v>114</v>
      </c>
      <c r="H19" s="3" t="s">
        <v>121</v>
      </c>
    </row>
    <row r="20" spans="1:8" ht="60" x14ac:dyDescent="0.25">
      <c r="B20" s="17" t="s">
        <v>91</v>
      </c>
      <c r="D20" s="18" t="s">
        <v>115</v>
      </c>
      <c r="F20" s="18" t="s">
        <v>116</v>
      </c>
      <c r="H20" s="18" t="s">
        <v>122</v>
      </c>
    </row>
    <row r="21" spans="1:8" x14ac:dyDescent="0.25">
      <c r="B21" s="15">
        <v>2009</v>
      </c>
      <c r="D21" s="15">
        <v>2009</v>
      </c>
      <c r="F21" s="15">
        <v>2014</v>
      </c>
      <c r="H21" s="15">
        <v>2012</v>
      </c>
    </row>
    <row r="22" spans="1:8" x14ac:dyDescent="0.25">
      <c r="B22" t="s">
        <v>93</v>
      </c>
      <c r="D22" t="s">
        <v>144</v>
      </c>
      <c r="F22" t="s">
        <v>139</v>
      </c>
      <c r="H22" s="13" t="s">
        <v>142</v>
      </c>
    </row>
    <row r="23" spans="1:8" ht="60" x14ac:dyDescent="0.25">
      <c r="B23" s="20" t="s">
        <v>92</v>
      </c>
      <c r="D23" s="20" t="s">
        <v>98</v>
      </c>
      <c r="F23" s="20" t="s">
        <v>117</v>
      </c>
      <c r="H23" s="20" t="s">
        <v>123</v>
      </c>
    </row>
    <row r="25" spans="1:8" x14ac:dyDescent="0.25">
      <c r="B25" s="3" t="s">
        <v>129</v>
      </c>
      <c r="D25" s="3" t="s">
        <v>145</v>
      </c>
      <c r="F25" s="3" t="s">
        <v>158</v>
      </c>
      <c r="H25" s="3" t="s">
        <v>164</v>
      </c>
    </row>
    <row r="26" spans="1:8" ht="45" x14ac:dyDescent="0.25">
      <c r="B26" s="18" t="s">
        <v>130</v>
      </c>
      <c r="D26" s="18" t="s">
        <v>147</v>
      </c>
      <c r="F26" s="18" t="s">
        <v>159</v>
      </c>
      <c r="H26" s="18" t="s">
        <v>166</v>
      </c>
    </row>
    <row r="27" spans="1:8" x14ac:dyDescent="0.25">
      <c r="B27" s="15">
        <v>2011</v>
      </c>
      <c r="D27" s="15">
        <v>2015</v>
      </c>
      <c r="F27" s="15">
        <v>2014</v>
      </c>
      <c r="H27" s="15">
        <v>2014</v>
      </c>
    </row>
    <row r="28" spans="1:8" ht="30" x14ac:dyDescent="0.25">
      <c r="B28" s="13" t="s">
        <v>143</v>
      </c>
      <c r="D28" s="17" t="s">
        <v>157</v>
      </c>
      <c r="F28" t="s">
        <v>163</v>
      </c>
      <c r="H28" s="13" t="s">
        <v>171</v>
      </c>
    </row>
    <row r="29" spans="1:8" ht="60" x14ac:dyDescent="0.25">
      <c r="B29" s="26" t="s">
        <v>131</v>
      </c>
      <c r="D29" s="20" t="s">
        <v>146</v>
      </c>
      <c r="F29" s="20" t="s">
        <v>160</v>
      </c>
      <c r="H29" s="20" t="s">
        <v>165</v>
      </c>
    </row>
    <row r="31" spans="1:8" x14ac:dyDescent="0.25">
      <c r="B31" s="3" t="s">
        <v>172</v>
      </c>
    </row>
    <row r="32" spans="1:8" ht="45" x14ac:dyDescent="0.25">
      <c r="B32" s="18" t="s">
        <v>174</v>
      </c>
    </row>
    <row r="33" spans="1:8" x14ac:dyDescent="0.25">
      <c r="B33" s="15">
        <v>2016</v>
      </c>
    </row>
    <row r="34" spans="1:8" x14ac:dyDescent="0.25">
      <c r="B34" s="17" t="s">
        <v>10</v>
      </c>
    </row>
    <row r="35" spans="1:8" ht="60" x14ac:dyDescent="0.25">
      <c r="B35" s="30" t="s">
        <v>173</v>
      </c>
    </row>
    <row r="37" spans="1:8" s="13" customFormat="1" x14ac:dyDescent="0.25">
      <c r="A37" s="34"/>
      <c r="B37" s="28" t="s">
        <v>38</v>
      </c>
      <c r="C37" s="27"/>
      <c r="D37" s="27"/>
      <c r="E37" s="27"/>
      <c r="F37" s="27"/>
      <c r="G37" s="27"/>
      <c r="H37" s="27"/>
    </row>
    <row r="38" spans="1:8" s="34" customFormat="1" x14ac:dyDescent="0.25">
      <c r="B38" s="3" t="s">
        <v>247</v>
      </c>
      <c r="D38" s="40"/>
    </row>
    <row r="39" spans="1:8" s="13" customFormat="1" x14ac:dyDescent="0.25">
      <c r="A39" s="34"/>
      <c r="B39" s="34" t="s">
        <v>296</v>
      </c>
      <c r="D39" s="40"/>
    </row>
    <row r="40" spans="1:8" s="13" customFormat="1" x14ac:dyDescent="0.25">
      <c r="A40" s="34"/>
      <c r="B40" s="36">
        <v>2014</v>
      </c>
      <c r="D40" s="40"/>
    </row>
    <row r="41" spans="1:8" s="13" customFormat="1" x14ac:dyDescent="0.25">
      <c r="A41" s="34"/>
      <c r="B41" s="34" t="s">
        <v>297</v>
      </c>
      <c r="D41" s="40"/>
    </row>
    <row r="42" spans="1:8" s="13" customFormat="1" x14ac:dyDescent="0.25">
      <c r="A42" s="34"/>
      <c r="B42" s="13" t="s">
        <v>298</v>
      </c>
      <c r="D42" s="40"/>
    </row>
    <row r="43" spans="1:8" s="13" customFormat="1" ht="30" x14ac:dyDescent="0.25">
      <c r="A43" s="34"/>
      <c r="B43" s="20" t="s">
        <v>299</v>
      </c>
      <c r="D43" s="40"/>
    </row>
    <row r="44" spans="1:8" s="40" customFormat="1" x14ac:dyDescent="0.25"/>
    <row r="45" spans="1:8" s="13" customFormat="1" x14ac:dyDescent="0.25">
      <c r="A45" s="34"/>
      <c r="B45" s="54" t="s">
        <v>178</v>
      </c>
      <c r="C45" s="54"/>
      <c r="D45" s="54"/>
      <c r="E45" s="54"/>
      <c r="F45" s="54"/>
      <c r="G45" s="27"/>
      <c r="H45" s="27"/>
    </row>
    <row r="46" spans="1:8" s="13" customFormat="1" x14ac:dyDescent="0.25">
      <c r="A46" s="34"/>
      <c r="B46" s="3" t="s">
        <v>179</v>
      </c>
      <c r="D46" s="3" t="s">
        <v>190</v>
      </c>
      <c r="F46" s="3" t="s">
        <v>195</v>
      </c>
      <c r="H46" s="3" t="s">
        <v>221</v>
      </c>
    </row>
    <row r="47" spans="1:8" s="13" customFormat="1" ht="45" x14ac:dyDescent="0.25">
      <c r="A47" s="34"/>
      <c r="B47" s="18" t="s">
        <v>180</v>
      </c>
      <c r="D47" s="18" t="s">
        <v>192</v>
      </c>
      <c r="F47" s="17" t="s">
        <v>196</v>
      </c>
      <c r="H47" s="17" t="s">
        <v>207</v>
      </c>
    </row>
    <row r="48" spans="1:8" s="13" customFormat="1" x14ac:dyDescent="0.25">
      <c r="A48" s="34"/>
      <c r="B48" s="15">
        <v>2015</v>
      </c>
      <c r="D48" s="15">
        <v>2010</v>
      </c>
      <c r="F48" s="15">
        <v>2015</v>
      </c>
      <c r="H48" s="15">
        <v>2014</v>
      </c>
    </row>
    <row r="49" spans="1:8" s="13" customFormat="1" ht="30" x14ac:dyDescent="0.25">
      <c r="A49" s="34"/>
      <c r="B49" s="19" t="s">
        <v>188</v>
      </c>
      <c r="C49" s="19"/>
      <c r="D49" s="19" t="s">
        <v>194</v>
      </c>
      <c r="E49" s="19"/>
      <c r="F49" s="19" t="s">
        <v>206</v>
      </c>
      <c r="G49" s="19"/>
      <c r="H49" s="18" t="s">
        <v>220</v>
      </c>
    </row>
    <row r="50" spans="1:8" s="19" customFormat="1" ht="60" x14ac:dyDescent="0.25">
      <c r="B50" s="21" t="s">
        <v>181</v>
      </c>
      <c r="D50" s="21" t="s">
        <v>191</v>
      </c>
      <c r="F50" s="21" t="s">
        <v>197</v>
      </c>
      <c r="H50" s="21" t="s">
        <v>208</v>
      </c>
    </row>
    <row r="51" spans="1:8" s="19" customFormat="1" x14ac:dyDescent="0.25">
      <c r="B51" s="21"/>
      <c r="D51" s="21"/>
      <c r="F51" s="21"/>
      <c r="H51" s="21"/>
    </row>
    <row r="52" spans="1:8" s="13" customFormat="1" x14ac:dyDescent="0.25">
      <c r="A52" s="34"/>
      <c r="B52" s="3" t="s">
        <v>222</v>
      </c>
      <c r="D52" s="3" t="s">
        <v>233</v>
      </c>
    </row>
    <row r="53" spans="1:8" s="13" customFormat="1" ht="45" x14ac:dyDescent="0.25">
      <c r="A53" s="34"/>
      <c r="B53" s="18" t="s">
        <v>223</v>
      </c>
      <c r="D53" s="17" t="s">
        <v>234</v>
      </c>
    </row>
    <row r="54" spans="1:8" s="13" customFormat="1" x14ac:dyDescent="0.25">
      <c r="A54" s="34"/>
      <c r="B54" s="15">
        <v>2009</v>
      </c>
      <c r="D54" s="15">
        <v>2015</v>
      </c>
    </row>
    <row r="55" spans="1:8" s="13" customFormat="1" x14ac:dyDescent="0.25">
      <c r="A55" s="34"/>
      <c r="B55" s="13" t="s">
        <v>232</v>
      </c>
      <c r="D55" s="13" t="s">
        <v>245</v>
      </c>
    </row>
    <row r="56" spans="1:8" s="13" customFormat="1" ht="60" x14ac:dyDescent="0.25">
      <c r="A56" s="34"/>
      <c r="B56" s="20" t="s">
        <v>224</v>
      </c>
      <c r="D56" s="20" t="s">
        <v>235</v>
      </c>
    </row>
    <row r="57" spans="1:8" s="13" customFormat="1" x14ac:dyDescent="0.25">
      <c r="A57" s="34"/>
    </row>
    <row r="58" spans="1:8" s="13" customFormat="1" x14ac:dyDescent="0.25">
      <c r="A58" s="53" t="s">
        <v>249</v>
      </c>
      <c r="B58" s="48"/>
      <c r="C58" s="48"/>
      <c r="D58" s="48"/>
    </row>
    <row r="59" spans="1:8" s="13" customFormat="1" x14ac:dyDescent="0.25">
      <c r="A59" s="48" t="s">
        <v>302</v>
      </c>
      <c r="B59" s="48"/>
      <c r="C59" s="48"/>
      <c r="D59" s="48"/>
    </row>
    <row r="60" spans="1:8" x14ac:dyDescent="0.25">
      <c r="A60" s="34" t="s">
        <v>314</v>
      </c>
    </row>
    <row r="61" spans="1:8" s="13" customFormat="1" x14ac:dyDescent="0.25">
      <c r="A61" s="48" t="s">
        <v>303</v>
      </c>
      <c r="B61" s="48"/>
      <c r="C61" s="48"/>
      <c r="D61" s="48"/>
    </row>
    <row r="62" spans="1:8" s="13" customFormat="1" x14ac:dyDescent="0.25">
      <c r="A62" s="48" t="s">
        <v>304</v>
      </c>
      <c r="B62" s="48"/>
      <c r="C62" s="48"/>
    </row>
    <row r="63" spans="1:8" s="13" customFormat="1" x14ac:dyDescent="0.25">
      <c r="A63" s="48" t="s">
        <v>305</v>
      </c>
      <c r="B63" s="48"/>
      <c r="C63" s="48"/>
    </row>
    <row r="64" spans="1:8" s="13" customFormat="1" x14ac:dyDescent="0.25">
      <c r="A64" s="34" t="s">
        <v>306</v>
      </c>
    </row>
    <row r="65" spans="1:3" s="13" customFormat="1" x14ac:dyDescent="0.25">
      <c r="A65" s="34"/>
    </row>
    <row r="66" spans="1:3" s="13" customFormat="1" x14ac:dyDescent="0.25">
      <c r="A66" s="34" t="s">
        <v>307</v>
      </c>
    </row>
    <row r="67" spans="1:3" s="13" customFormat="1" x14ac:dyDescent="0.25">
      <c r="A67" s="34" t="s">
        <v>308</v>
      </c>
    </row>
    <row r="68" spans="1:3" s="13" customFormat="1" x14ac:dyDescent="0.25">
      <c r="A68" s="34" t="s">
        <v>309</v>
      </c>
    </row>
    <row r="69" spans="1:3" x14ac:dyDescent="0.25">
      <c r="A69" s="52" t="s">
        <v>310</v>
      </c>
      <c r="C69" s="47"/>
    </row>
    <row r="70" spans="1:3" x14ac:dyDescent="0.25">
      <c r="A70" s="34" t="s">
        <v>311</v>
      </c>
      <c r="C70" s="47"/>
    </row>
    <row r="71" spans="1:3" x14ac:dyDescent="0.25">
      <c r="A71" s="34" t="s">
        <v>312</v>
      </c>
      <c r="C71" s="47"/>
    </row>
    <row r="72" spans="1:3" x14ac:dyDescent="0.25">
      <c r="A72" s="34" t="s">
        <v>313</v>
      </c>
    </row>
  </sheetData>
  <mergeCells count="2">
    <mergeCell ref="B18:F18"/>
    <mergeCell ref="B45:F45"/>
  </mergeCells>
  <hyperlinks>
    <hyperlink ref="B15" r:id="rId1" location="%21documentDetail;D=EERE-2013-BT-STD-0007-0027"/>
    <hyperlink ref="F15" r:id="rId2" location="%21documentDetail;D=EERE-2014-BT-STD-0048-0029"/>
    <hyperlink ref="B8" r:id="rId3"/>
    <hyperlink ref="D8" r:id="rId4"/>
    <hyperlink ref="F8" r:id="rId5"/>
    <hyperlink ref="H8" r:id="rId6"/>
    <hyperlink ref="D15" r:id="rId7" location="%21documentDetail;D=EERE-2013-BT-STD-0007-0027"/>
    <hyperlink ref="B23" r:id="rId8"/>
    <hyperlink ref="D23" r:id="rId9"/>
    <hyperlink ref="F23" r:id="rId10"/>
    <hyperlink ref="H29" r:id="rId11"/>
    <hyperlink ref="F50" r:id="rId12"/>
    <hyperlink ref="H50" r:id="rId13"/>
    <hyperlink ref="D56" r:id="rId14"/>
    <hyperlink ref="B43" r:id="rId15"/>
  </hyperlinks>
  <pageMargins left="0.7" right="0.7" top="0.75" bottom="0.75" header="0.3" footer="0.3"/>
  <pageSetup orientation="portrait" horizontalDpi="1200" verticalDpi="1200"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8"/>
  <sheetViews>
    <sheetView zoomScaleNormal="100" workbookViewId="0"/>
  </sheetViews>
  <sheetFormatPr defaultRowHeight="15" x14ac:dyDescent="0.25"/>
  <cols>
    <col min="1" max="1" width="16.28515625" bestFit="1" customWidth="1"/>
    <col min="2" max="2" width="13.140625" bestFit="1" customWidth="1"/>
    <col min="3" max="3" width="99" customWidth="1"/>
    <col min="4" max="4" width="18.140625" customWidth="1"/>
    <col min="5" max="5" width="11.140625" bestFit="1" customWidth="1"/>
    <col min="6" max="6" width="12.7109375" bestFit="1" customWidth="1"/>
    <col min="7" max="7" width="37" customWidth="1"/>
    <col min="11" max="11" width="13.140625" customWidth="1"/>
    <col min="12" max="12" width="25.28515625" customWidth="1"/>
    <col min="13" max="13" width="24.7109375" customWidth="1"/>
    <col min="14" max="14" width="28.7109375" bestFit="1" customWidth="1"/>
    <col min="15" max="15" width="11.28515625" bestFit="1" customWidth="1"/>
  </cols>
  <sheetData>
    <row r="1" spans="1:14" ht="14.45" x14ac:dyDescent="0.35">
      <c r="A1" t="s">
        <v>1</v>
      </c>
      <c r="B1" t="s">
        <v>2</v>
      </c>
      <c r="C1" t="s">
        <v>4</v>
      </c>
      <c r="D1" t="s">
        <v>12</v>
      </c>
      <c r="E1" t="s">
        <v>6</v>
      </c>
      <c r="F1" t="s">
        <v>0</v>
      </c>
      <c r="G1" t="s">
        <v>9</v>
      </c>
      <c r="H1" t="s">
        <v>13</v>
      </c>
    </row>
    <row r="2" spans="1:14" ht="14.45" x14ac:dyDescent="0.35">
      <c r="A2" t="s">
        <v>3</v>
      </c>
      <c r="B2" t="s">
        <v>7</v>
      </c>
      <c r="C2" t="s">
        <v>5</v>
      </c>
      <c r="D2" s="1">
        <v>0.8</v>
      </c>
      <c r="E2" s="4">
        <v>1163.42</v>
      </c>
      <c r="F2" s="6" t="str">
        <f>IFERROR(H2/G2,"")</f>
        <v/>
      </c>
      <c r="G2" s="9">
        <f t="array" ref="G2">(D2-MIN(IF($C$2:$C$98=C2,$D$2:$D$98)))/MIN(IF($C$2:$C$98=C2,$D$2:$D$98))</f>
        <v>0</v>
      </c>
      <c r="H2" s="10">
        <f t="array" ref="H2">(E2-MIN(IF($C$2:$C$98=C2,$E$2:$E$98)))/MIN(IF($C$2:$C$98=C2,$E$2:$E$98))</f>
        <v>0</v>
      </c>
    </row>
    <row r="3" spans="1:14" ht="14.45" x14ac:dyDescent="0.35">
      <c r="A3" t="s">
        <v>3</v>
      </c>
      <c r="B3" t="s">
        <v>7</v>
      </c>
      <c r="C3" t="s">
        <v>5</v>
      </c>
      <c r="D3" s="1">
        <v>0.9</v>
      </c>
      <c r="E3" s="4">
        <v>1326.58</v>
      </c>
      <c r="F3" s="6">
        <f t="shared" ref="F3:F28" si="0">IFERROR(H3/G3,"")</f>
        <v>1.1219336095305212</v>
      </c>
      <c r="G3" s="9">
        <f t="array" ref="G3">(D3-MIN(IF($C$2:$C$98=C3,$D$2:$D$98)))/MIN(IF($C$2:$C$98=C3,$D$2:$D$98))</f>
        <v>0.12499999999999997</v>
      </c>
      <c r="H3" s="10">
        <f t="array" ref="H3">(E3-MIN(IF($C$2:$C$98=C3,$E$2:$E$98)))/MIN(IF($C$2:$C$98=C3,$E$2:$E$98))</f>
        <v>0.14024170119131513</v>
      </c>
      <c r="J3" s="2"/>
      <c r="K3" s="5"/>
      <c r="L3" s="6"/>
      <c r="M3" s="8"/>
      <c r="N3" s="8"/>
    </row>
    <row r="4" spans="1:14" ht="14.45" x14ac:dyDescent="0.35">
      <c r="A4" t="s">
        <v>3</v>
      </c>
      <c r="B4" t="s">
        <v>7</v>
      </c>
      <c r="C4" t="s">
        <v>5</v>
      </c>
      <c r="D4" s="1">
        <v>0.92</v>
      </c>
      <c r="E4" s="4">
        <v>1342.61</v>
      </c>
      <c r="F4" s="6">
        <f t="shared" si="0"/>
        <v>1.0268002956799769</v>
      </c>
      <c r="G4" s="9">
        <f t="array" ref="G4">(D4-MIN(IF($C$2:$C$98=C4,$D$2:$D$98)))/MIN(IF($C$2:$C$98=C4,$D$2:$D$98))</f>
        <v>0.15</v>
      </c>
      <c r="H4" s="10">
        <f t="array" ref="H4">(E4-MIN(IF($C$2:$C$98=C4,$E$2:$E$98)))/MIN(IF($C$2:$C$98=C4,$E$2:$E$98))</f>
        <v>0.15402004435199654</v>
      </c>
      <c r="K4" s="5"/>
      <c r="L4" s="6"/>
      <c r="M4" s="8"/>
      <c r="N4" s="8"/>
    </row>
    <row r="5" spans="1:14" ht="14.45" x14ac:dyDescent="0.35">
      <c r="A5" t="s">
        <v>3</v>
      </c>
      <c r="B5" t="s">
        <v>7</v>
      </c>
      <c r="C5" t="s">
        <v>5</v>
      </c>
      <c r="D5" s="1">
        <v>0.95</v>
      </c>
      <c r="E5" s="4">
        <v>1476.87</v>
      </c>
      <c r="F5" s="6">
        <f t="shared" si="0"/>
        <v>1.4369130093460085</v>
      </c>
      <c r="G5" s="9">
        <f t="array" ref="G5">(D5-MIN(IF($C$2:$C$98=C5,$D$2:$D$98)))/MIN(IF($C$2:$C$98=C5,$D$2:$D$98))</f>
        <v>0.18749999999999989</v>
      </c>
      <c r="H5" s="10">
        <f t="array" ref="H5">(E5-MIN(IF($C$2:$C$98=C5,$E$2:$E$98)))/MIN(IF($C$2:$C$98=C5,$E$2:$E$98))</f>
        <v>0.26942118925237646</v>
      </c>
      <c r="K5" s="5"/>
      <c r="L5" s="6"/>
      <c r="M5" s="8"/>
      <c r="N5" s="8"/>
    </row>
    <row r="6" spans="1:14" ht="14.45" x14ac:dyDescent="0.35">
      <c r="A6" t="s">
        <v>3</v>
      </c>
      <c r="B6" t="s">
        <v>7</v>
      </c>
      <c r="C6" t="s">
        <v>5</v>
      </c>
      <c r="D6" s="1">
        <v>0.98</v>
      </c>
      <c r="E6" s="4">
        <v>1669.18</v>
      </c>
      <c r="F6" s="6">
        <f t="shared" si="0"/>
        <v>1.9320814686202945</v>
      </c>
      <c r="G6" s="9">
        <f t="array" ref="G6">(D6-MIN(IF($C$2:$C$98=C6,$D$2:$D$98)))/MIN(IF($C$2:$C$98=C6,$D$2:$D$98))</f>
        <v>0.22499999999999992</v>
      </c>
      <c r="H6" s="10">
        <f t="array" ref="H6">(E6-MIN(IF($C$2:$C$98=C6,$E$2:$E$98)))/MIN(IF($C$2:$C$98=C6,$E$2:$E$98))</f>
        <v>0.43471833043956609</v>
      </c>
      <c r="K6" s="5"/>
      <c r="L6" s="6"/>
      <c r="M6" s="8"/>
      <c r="N6" s="8"/>
    </row>
    <row r="7" spans="1:14" ht="14.45" x14ac:dyDescent="0.35">
      <c r="A7" t="s">
        <v>3</v>
      </c>
      <c r="B7" t="s">
        <v>7</v>
      </c>
      <c r="C7" t="s">
        <v>8</v>
      </c>
      <c r="D7" s="1">
        <v>0.8</v>
      </c>
      <c r="E7" s="4">
        <v>816.32</v>
      </c>
      <c r="F7" s="6" t="str">
        <f t="shared" si="0"/>
        <v/>
      </c>
      <c r="G7" s="9">
        <f t="array" ref="G7">(D7-MIN(IF($C$2:$C$98=C7,$D$2:$D$98)))/MIN(IF($C$2:$C$98=C7,$D$2:$D$98))</f>
        <v>0</v>
      </c>
      <c r="H7" s="10">
        <f t="array" ref="H7">(E7-MIN(IF($C$2:$C$98=C7,$E$2:$E$98)))/MIN(IF($C$2:$C$98=C7,$E$2:$E$98))</f>
        <v>0</v>
      </c>
      <c r="K7" s="5"/>
      <c r="L7" s="6"/>
      <c r="M7" s="8"/>
      <c r="N7" s="8"/>
    </row>
    <row r="8" spans="1:14" ht="14.45" x14ac:dyDescent="0.35">
      <c r="A8" t="s">
        <v>3</v>
      </c>
      <c r="B8" t="s">
        <v>7</v>
      </c>
      <c r="C8" t="s">
        <v>8</v>
      </c>
      <c r="D8" s="1">
        <v>0.92</v>
      </c>
      <c r="E8" s="4">
        <v>974.68</v>
      </c>
      <c r="F8" s="6">
        <f t="shared" si="0"/>
        <v>1.2932836796027694</v>
      </c>
      <c r="G8" s="9">
        <f t="array" ref="G8">(D8-MIN(IF($C$2:$C$98=C8,$D$2:$D$98)))/MIN(IF($C$2:$C$98=C8,$D$2:$D$98))</f>
        <v>0.15</v>
      </c>
      <c r="H8" s="10">
        <f t="array" ref="H8">(E8-MIN(IF($C$2:$C$98=C8,$E$2:$E$98)))/MIN(IF($C$2:$C$98=C8,$E$2:$E$98))</f>
        <v>0.1939925519404154</v>
      </c>
      <c r="K8" s="5"/>
      <c r="L8" s="6"/>
      <c r="M8" s="8"/>
      <c r="N8" s="8"/>
    </row>
    <row r="9" spans="1:14" ht="14.45" x14ac:dyDescent="0.35">
      <c r="A9" t="s">
        <v>3</v>
      </c>
      <c r="B9" t="s">
        <v>7</v>
      </c>
      <c r="C9" t="s">
        <v>8</v>
      </c>
      <c r="D9" s="1">
        <v>0.95</v>
      </c>
      <c r="E9" s="4">
        <v>1117.93</v>
      </c>
      <c r="F9" s="6">
        <f t="shared" si="0"/>
        <v>1.9705344309421153</v>
      </c>
      <c r="G9" s="9">
        <f t="array" ref="G9">(D9-MIN(IF($C$2:$C$98=C9,$D$2:$D$98)))/MIN(IF($C$2:$C$98=C9,$D$2:$D$98))</f>
        <v>0.18749999999999989</v>
      </c>
      <c r="H9" s="10">
        <f t="array" ref="H9">(E9-MIN(IF($C$2:$C$98=C9,$E$2:$E$98)))/MIN(IF($C$2:$C$98=C9,$E$2:$E$98))</f>
        <v>0.36947520580164639</v>
      </c>
      <c r="K9" s="5"/>
      <c r="L9" s="6"/>
      <c r="M9" s="8"/>
      <c r="N9" s="8"/>
    </row>
    <row r="10" spans="1:14" ht="14.45" x14ac:dyDescent="0.35">
      <c r="A10" t="s">
        <v>3</v>
      </c>
      <c r="B10" t="s">
        <v>7</v>
      </c>
      <c r="C10" t="s">
        <v>8</v>
      </c>
      <c r="D10" s="1">
        <v>0.97</v>
      </c>
      <c r="E10" s="4">
        <v>1232.96</v>
      </c>
      <c r="F10" s="6">
        <f t="shared" si="0"/>
        <v>2.4018262734337177</v>
      </c>
      <c r="G10" s="9">
        <f t="array" ref="G10">(D10-MIN(IF($C$2:$C$98=C10,$D$2:$D$98)))/MIN(IF($C$2:$C$98=C10,$D$2:$D$98))</f>
        <v>0.21249999999999991</v>
      </c>
      <c r="H10" s="10">
        <f t="array" ref="H10">(E10-MIN(IF($C$2:$C$98=C10,$E$2:$E$98)))/MIN(IF($C$2:$C$98=C10,$E$2:$E$98))</f>
        <v>0.51038808310466477</v>
      </c>
      <c r="K10" s="5"/>
      <c r="L10" s="6"/>
      <c r="M10" s="8"/>
      <c r="N10" s="8"/>
    </row>
    <row r="11" spans="1:14" ht="14.45" x14ac:dyDescent="0.35">
      <c r="A11" t="s">
        <v>3</v>
      </c>
      <c r="B11" t="s">
        <v>7</v>
      </c>
      <c r="C11" t="s">
        <v>14</v>
      </c>
      <c r="D11" s="1">
        <v>0.82</v>
      </c>
      <c r="E11" s="4">
        <v>2083</v>
      </c>
      <c r="F11" s="6" t="str">
        <f t="shared" si="0"/>
        <v/>
      </c>
      <c r="G11" s="9">
        <f t="array" ref="G11">(D11-MIN(IF($C$2:$C$98=C11,$D$2:$D$98)))/MIN(IF($C$2:$C$98=C11,$D$2:$D$98))</f>
        <v>0</v>
      </c>
      <c r="H11" s="10">
        <f t="array" ref="H11">(E11-MIN(IF($C$2:$C$98=C11,$E$2:$E$98)))/MIN(IF($C$2:$C$98=C11,$E$2:$E$98))</f>
        <v>0</v>
      </c>
      <c r="K11" s="5"/>
      <c r="L11" s="6"/>
      <c r="M11" s="8"/>
      <c r="N11" s="8"/>
    </row>
    <row r="12" spans="1:14" ht="14.45" x14ac:dyDescent="0.35">
      <c r="A12" t="s">
        <v>3</v>
      </c>
      <c r="B12" t="s">
        <v>7</v>
      </c>
      <c r="C12" t="s">
        <v>14</v>
      </c>
      <c r="D12" s="1">
        <v>0.83</v>
      </c>
      <c r="E12" s="4">
        <v>2099</v>
      </c>
      <c r="F12" s="6">
        <f t="shared" si="0"/>
        <v>0.62986077772443527</v>
      </c>
      <c r="G12" s="9">
        <f t="array" ref="G12">(D12-MIN(IF($C$2:$C$98=C12,$D$2:$D$98)))/MIN(IF($C$2:$C$98=C12,$D$2:$D$98))</f>
        <v>1.2195121951219523E-2</v>
      </c>
      <c r="H12" s="10">
        <f t="array" ref="H12">(E12-MIN(IF($C$2:$C$98=C12,$E$2:$E$98)))/MIN(IF($C$2:$C$98=C12,$E$2:$E$98))</f>
        <v>7.6812289966394619E-3</v>
      </c>
      <c r="K12" s="5"/>
      <c r="L12" s="6"/>
      <c r="M12" s="8"/>
      <c r="N12" s="8"/>
    </row>
    <row r="13" spans="1:14" ht="14.45" x14ac:dyDescent="0.35">
      <c r="A13" t="s">
        <v>3</v>
      </c>
      <c r="B13" t="s">
        <v>7</v>
      </c>
      <c r="C13" t="s">
        <v>14</v>
      </c>
      <c r="D13" s="1">
        <v>0.84</v>
      </c>
      <c r="E13" s="4">
        <v>2114</v>
      </c>
      <c r="F13" s="6">
        <f t="shared" si="0"/>
        <v>0.61017762842054679</v>
      </c>
      <c r="G13" s="9">
        <f t="array" ref="G13">(D13-MIN(IF($C$2:$C$98=C13,$D$2:$D$98)))/MIN(IF($C$2:$C$98=C13,$D$2:$D$98))</f>
        <v>2.4390243902439046E-2</v>
      </c>
      <c r="H13" s="10">
        <f t="array" ref="H13">(E13-MIN(IF($C$2:$C$98=C13,$E$2:$E$98)))/MIN(IF($C$2:$C$98=C13,$E$2:$E$98))</f>
        <v>1.4882381180988958E-2</v>
      </c>
      <c r="K13" s="5"/>
      <c r="L13" s="6"/>
      <c r="M13" s="8"/>
      <c r="N13" s="8"/>
    </row>
    <row r="14" spans="1:14" ht="14.45" x14ac:dyDescent="0.35">
      <c r="A14" t="s">
        <v>3</v>
      </c>
      <c r="B14" t="s">
        <v>7</v>
      </c>
      <c r="C14" t="s">
        <v>14</v>
      </c>
      <c r="D14" s="1">
        <v>0.85</v>
      </c>
      <c r="E14" s="4">
        <v>2270</v>
      </c>
      <c r="F14" s="6">
        <f t="shared" si="0"/>
        <v>2.4538326132181125</v>
      </c>
      <c r="G14" s="9">
        <f t="array" ref="G14">(D14-MIN(IF($C$2:$C$98=C14,$D$2:$D$98)))/MIN(IF($C$2:$C$98=C14,$D$2:$D$98))</f>
        <v>3.6585365853658569E-2</v>
      </c>
      <c r="H14" s="10">
        <f t="array" ref="H14">(E14-MIN(IF($C$2:$C$98=C14,$E$2:$E$98)))/MIN(IF($C$2:$C$98=C14,$E$2:$E$98))</f>
        <v>8.9774363898223714E-2</v>
      </c>
    </row>
    <row r="15" spans="1:14" ht="14.45" x14ac:dyDescent="0.35">
      <c r="A15" t="s">
        <v>3</v>
      </c>
      <c r="B15" t="s">
        <v>7</v>
      </c>
      <c r="C15" t="s">
        <v>14</v>
      </c>
      <c r="D15" s="1">
        <v>0.9</v>
      </c>
      <c r="E15" s="4">
        <v>2859</v>
      </c>
      <c r="F15" s="6">
        <f t="shared" si="0"/>
        <v>3.8185309649543897</v>
      </c>
      <c r="G15" s="9">
        <f t="array" ref="G15">(D15-MIN(IF($C$2:$C$98=C15,$D$2:$D$98)))/MIN(IF($C$2:$C$98=C15,$D$2:$D$98))</f>
        <v>9.7560975609756184E-2</v>
      </c>
      <c r="H15" s="10">
        <f t="array" ref="H15">(E15-MIN(IF($C$2:$C$98=C15,$E$2:$E$98)))/MIN(IF($C$2:$C$98=C15,$E$2:$E$98))</f>
        <v>0.37253960633701394</v>
      </c>
    </row>
    <row r="16" spans="1:14" ht="14.45" x14ac:dyDescent="0.35">
      <c r="A16" t="s">
        <v>3</v>
      </c>
      <c r="B16" t="s">
        <v>7</v>
      </c>
      <c r="C16" t="s">
        <v>14</v>
      </c>
      <c r="D16" s="1">
        <v>0.92</v>
      </c>
      <c r="E16" s="4">
        <v>3209</v>
      </c>
      <c r="F16" s="6">
        <f t="shared" si="0"/>
        <v>4.4326452232357134</v>
      </c>
      <c r="G16" s="9">
        <f t="array" ref="G16">(D16-MIN(IF($C$2:$C$98=C16,$D$2:$D$98)))/MIN(IF($C$2:$C$98=C16,$D$2:$D$98))</f>
        <v>0.12195121951219524</v>
      </c>
      <c r="H16" s="10">
        <f t="array" ref="H16">(E16-MIN(IF($C$2:$C$98=C16,$E$2:$E$98)))/MIN(IF($C$2:$C$98=C16,$E$2:$E$98))</f>
        <v>0.54056649063850215</v>
      </c>
    </row>
    <row r="17" spans="1:8" ht="14.45" x14ac:dyDescent="0.35">
      <c r="A17" t="s">
        <v>3</v>
      </c>
      <c r="B17" t="s">
        <v>7</v>
      </c>
      <c r="C17" t="s">
        <v>14</v>
      </c>
      <c r="D17" s="1">
        <v>0.96</v>
      </c>
      <c r="E17" s="4">
        <v>3899</v>
      </c>
      <c r="F17" s="6">
        <f t="shared" si="0"/>
        <v>5.1063713051231048</v>
      </c>
      <c r="G17" s="9">
        <f t="array" ref="G17">(D17-MIN(IF($C$2:$C$98=C17,$D$2:$D$98)))/MIN(IF($C$2:$C$98=C17,$D$2:$D$98))</f>
        <v>0.17073170731707318</v>
      </c>
      <c r="H17" s="10">
        <f t="array" ref="H17">(E17-MIN(IF($C$2:$C$98=C17,$E$2:$E$98)))/MIN(IF($C$2:$C$98=C17,$E$2:$E$98))</f>
        <v>0.87181949111857893</v>
      </c>
    </row>
    <row r="18" spans="1:8" ht="14.45" x14ac:dyDescent="0.35">
      <c r="A18" t="s">
        <v>3</v>
      </c>
      <c r="B18" t="s">
        <v>7</v>
      </c>
      <c r="C18" t="s">
        <v>15</v>
      </c>
      <c r="D18" s="1">
        <v>0.8</v>
      </c>
      <c r="E18" s="4">
        <v>2518</v>
      </c>
      <c r="F18" s="6" t="str">
        <f t="shared" si="0"/>
        <v/>
      </c>
      <c r="G18" s="9">
        <f t="array" ref="G18">(D18-MIN(IF($C$2:$C$98=C18,$D$2:$D$98)))/MIN(IF($C$2:$C$98=C18,$D$2:$D$98))</f>
        <v>0</v>
      </c>
      <c r="H18" s="10">
        <f t="array" ref="H18">(E18-MIN(IF($C$2:$C$98=C18,$E$2:$E$98)))/MIN(IF($C$2:$C$98=C18,$E$2:$E$98))</f>
        <v>0</v>
      </c>
    </row>
    <row r="19" spans="1:8" ht="14.45" x14ac:dyDescent="0.35">
      <c r="A19" t="s">
        <v>3</v>
      </c>
      <c r="B19" t="s">
        <v>7</v>
      </c>
      <c r="C19" t="s">
        <v>15</v>
      </c>
      <c r="D19" s="1">
        <v>0.82</v>
      </c>
      <c r="E19" s="4">
        <v>2558</v>
      </c>
      <c r="F19" s="6">
        <f t="shared" si="0"/>
        <v>0.63542494042891473</v>
      </c>
      <c r="G19" s="9">
        <f t="array" ref="G19">(D19-MIN(IF($C$2:$C$98=C19,$D$2:$D$98)))/MIN(IF($C$2:$C$98=C19,$D$2:$D$98))</f>
        <v>2.4999999999999883E-2</v>
      </c>
      <c r="H19" s="10">
        <f t="array" ref="H19">(E19-MIN(IF($C$2:$C$98=C19,$E$2:$E$98)))/MIN(IF($C$2:$C$98=C19,$E$2:$E$98))</f>
        <v>1.5885623510722795E-2</v>
      </c>
    </row>
    <row r="20" spans="1:8" ht="14.45" x14ac:dyDescent="0.35">
      <c r="A20" t="s">
        <v>3</v>
      </c>
      <c r="B20" t="s">
        <v>7</v>
      </c>
      <c r="C20" t="s">
        <v>15</v>
      </c>
      <c r="D20" s="1">
        <v>0.83</v>
      </c>
      <c r="E20" s="4">
        <v>2837</v>
      </c>
      <c r="F20" s="6">
        <f t="shared" si="0"/>
        <v>3.3783425999470573</v>
      </c>
      <c r="G20" s="9">
        <f t="array" ref="G20">(D20-MIN(IF($C$2:$C$98=C20,$D$2:$D$98)))/MIN(IF($C$2:$C$98=C20,$D$2:$D$98))</f>
        <v>3.7499999999999895E-2</v>
      </c>
      <c r="H20" s="10">
        <f t="array" ref="H20">(E20-MIN(IF($C$2:$C$98=C20,$E$2:$E$98)))/MIN(IF($C$2:$C$98=C20,$E$2:$E$98))</f>
        <v>0.12668784749801429</v>
      </c>
    </row>
    <row r="21" spans="1:8" ht="14.45" x14ac:dyDescent="0.35">
      <c r="A21" t="s">
        <v>3</v>
      </c>
      <c r="B21" t="s">
        <v>7</v>
      </c>
      <c r="C21" t="s">
        <v>16</v>
      </c>
      <c r="D21" s="1">
        <v>0.84</v>
      </c>
      <c r="E21" s="4">
        <v>3981</v>
      </c>
      <c r="F21" s="6" t="str">
        <f t="shared" si="0"/>
        <v/>
      </c>
      <c r="G21" s="9">
        <f t="array" ref="G21">(D21-MIN(IF($C$2:$C$98=C21,$D$2:$D$98)))/MIN(IF($C$2:$C$98=C21,$D$2:$D$98))</f>
        <v>0</v>
      </c>
      <c r="H21" s="10">
        <f t="array" ref="H21">(E21-MIN(IF($C$2:$C$98=C21,$E$2:$E$98)))/MIN(IF($C$2:$C$98=C21,$E$2:$E$98))</f>
        <v>0</v>
      </c>
    </row>
    <row r="22" spans="1:8" ht="14.45" x14ac:dyDescent="0.35">
      <c r="A22" t="s">
        <v>3</v>
      </c>
      <c r="B22" t="s">
        <v>7</v>
      </c>
      <c r="C22" t="s">
        <v>16</v>
      </c>
      <c r="D22" s="1">
        <v>0.85</v>
      </c>
      <c r="E22" s="4">
        <v>4132</v>
      </c>
      <c r="F22" s="6">
        <f t="shared" si="0"/>
        <v>3.1861341371514666</v>
      </c>
      <c r="G22" s="9">
        <f t="array" ref="G22">(D22-MIN(IF($C$2:$C$98=C22,$D$2:$D$98)))/MIN(IF($C$2:$C$98=C22,$D$2:$D$98))</f>
        <v>1.1904761904761916E-2</v>
      </c>
      <c r="H22" s="10">
        <f t="array" ref="H22">(E22-MIN(IF($C$2:$C$98=C22,$E$2:$E$98)))/MIN(IF($C$2:$C$98=C22,$E$2:$E$98))</f>
        <v>3.7930168299422258E-2</v>
      </c>
    </row>
    <row r="23" spans="1:8" ht="14.45" x14ac:dyDescent="0.35">
      <c r="A23" t="s">
        <v>3</v>
      </c>
      <c r="B23" t="s">
        <v>7</v>
      </c>
      <c r="C23" t="s">
        <v>16</v>
      </c>
      <c r="D23" s="1">
        <v>0.86</v>
      </c>
      <c r="E23" s="4">
        <v>4283</v>
      </c>
      <c r="F23" s="6">
        <f t="shared" si="0"/>
        <v>3.1861341371514666</v>
      </c>
      <c r="G23" s="9">
        <f t="array" ref="G23">(D23-MIN(IF($C$2:$C$98=C23,$D$2:$D$98)))/MIN(IF($C$2:$C$98=C23,$D$2:$D$98))</f>
        <v>2.3809523809523832E-2</v>
      </c>
      <c r="H23" s="10">
        <f t="array" ref="H23">(E23-MIN(IF($C$2:$C$98=C23,$E$2:$E$98)))/MIN(IF($C$2:$C$98=C23,$E$2:$E$98))</f>
        <v>7.5860336598844516E-2</v>
      </c>
    </row>
    <row r="24" spans="1:8" ht="14.45" x14ac:dyDescent="0.35">
      <c r="A24" t="s">
        <v>3</v>
      </c>
      <c r="B24" t="s">
        <v>7</v>
      </c>
      <c r="C24" t="s">
        <v>16</v>
      </c>
      <c r="D24" s="1">
        <v>0.91</v>
      </c>
      <c r="E24" s="4">
        <v>6181</v>
      </c>
      <c r="F24" s="6">
        <f t="shared" si="0"/>
        <v>6.6314996232102423</v>
      </c>
      <c r="G24" s="9">
        <f t="array" ref="G24">(D24-MIN(IF($C$2:$C$98=C24,$D$2:$D$98)))/MIN(IF($C$2:$C$98=C24,$D$2:$D$98))</f>
        <v>8.3333333333333412E-2</v>
      </c>
      <c r="H24" s="10">
        <f t="array" ref="H24">(E24-MIN(IF($C$2:$C$98=C24,$E$2:$E$98)))/MIN(IF($C$2:$C$98=C24,$E$2:$E$98))</f>
        <v>0.55262496860085408</v>
      </c>
    </row>
    <row r="25" spans="1:8" ht="14.45" x14ac:dyDescent="0.35">
      <c r="A25" t="s">
        <v>3</v>
      </c>
      <c r="B25" t="s">
        <v>7</v>
      </c>
      <c r="C25" t="s">
        <v>17</v>
      </c>
      <c r="D25" s="1">
        <v>0.82</v>
      </c>
      <c r="E25" s="4">
        <v>4043</v>
      </c>
      <c r="F25" s="6" t="str">
        <f t="shared" si="0"/>
        <v/>
      </c>
      <c r="G25" s="9">
        <f t="array" ref="G25">(D25-MIN(IF($C$2:$C$98=C25,$D$2:$D$98)))/MIN(IF($C$2:$C$98=C25,$D$2:$D$98))</f>
        <v>0</v>
      </c>
      <c r="H25" s="10">
        <f t="array" ref="H25">(E25-MIN(IF($C$2:$C$98=C25,$E$2:$E$98)))/MIN(IF($C$2:$C$98=C25,$E$2:$E$98))</f>
        <v>0</v>
      </c>
    </row>
    <row r="26" spans="1:8" ht="14.45" x14ac:dyDescent="0.35">
      <c r="A26" t="s">
        <v>3</v>
      </c>
      <c r="B26" t="s">
        <v>7</v>
      </c>
      <c r="C26" t="s">
        <v>17</v>
      </c>
      <c r="D26" s="1">
        <v>0.84</v>
      </c>
      <c r="E26" s="4">
        <v>4346</v>
      </c>
      <c r="F26" s="6">
        <f t="shared" si="0"/>
        <v>3.0727182785060574</v>
      </c>
      <c r="G26" s="9">
        <f t="array" ref="G26">(D26-MIN(IF($C$2:$C$98=C26,$D$2:$D$98)))/MIN(IF($C$2:$C$98=C26,$D$2:$D$98))</f>
        <v>2.4390243902439046E-2</v>
      </c>
      <c r="H26" s="10">
        <f t="array" ref="H26">(E26-MIN(IF($C$2:$C$98=C26,$E$2:$E$98)))/MIN(IF($C$2:$C$98=C26,$E$2:$E$98))</f>
        <v>7.4944348256245366E-2</v>
      </c>
    </row>
    <row r="27" spans="1:8" ht="14.45" x14ac:dyDescent="0.35">
      <c r="A27" t="s">
        <v>3</v>
      </c>
      <c r="B27" t="s">
        <v>7</v>
      </c>
      <c r="C27" t="s">
        <v>17</v>
      </c>
      <c r="D27" s="1">
        <v>0.85</v>
      </c>
      <c r="E27" s="4">
        <v>4498</v>
      </c>
      <c r="F27" s="6">
        <f t="shared" si="0"/>
        <v>3.0760986066452278</v>
      </c>
      <c r="G27" s="9">
        <f t="array" ref="G27">(D27-MIN(IF($C$2:$C$98=C27,$D$2:$D$98)))/MIN(IF($C$2:$C$98=C27,$D$2:$D$98))</f>
        <v>3.6585365853658569E-2</v>
      </c>
      <c r="H27" s="10">
        <f t="array" ref="H27">(E27-MIN(IF($C$2:$C$98=C27,$E$2:$E$98)))/MIN(IF($C$2:$C$98=C27,$E$2:$E$98))</f>
        <v>0.11254019292604502</v>
      </c>
    </row>
    <row r="28" spans="1:8" ht="14.45" x14ac:dyDescent="0.35">
      <c r="A28" t="s">
        <v>3</v>
      </c>
      <c r="B28" t="s">
        <v>7</v>
      </c>
      <c r="C28" t="s">
        <v>17</v>
      </c>
      <c r="D28" s="1">
        <v>0.86</v>
      </c>
      <c r="E28" s="4">
        <v>4801</v>
      </c>
      <c r="F28" s="6">
        <f t="shared" si="0"/>
        <v>3.8434330942369495</v>
      </c>
      <c r="G28" s="9">
        <f t="array" ref="G28">(D28-MIN(IF($C$2:$C$98=C28,$D$2:$D$98)))/MIN(IF($C$2:$C$98=C28,$D$2:$D$98))</f>
        <v>4.8780487804878092E-2</v>
      </c>
      <c r="H28" s="10">
        <f t="array" ref="H28">(E28-MIN(IF($C$2:$C$98=C28,$E$2:$E$98)))/MIN(IF($C$2:$C$98=C28,$E$2:$E$98))</f>
        <v>0.18748454118229038</v>
      </c>
    </row>
    <row r="29" spans="1:8" ht="15.75" x14ac:dyDescent="0.25">
      <c r="A29" t="s">
        <v>3</v>
      </c>
      <c r="B29" t="s">
        <v>40</v>
      </c>
      <c r="C29" s="22" t="s">
        <v>63</v>
      </c>
      <c r="D29" s="1">
        <v>0.8</v>
      </c>
      <c r="E29" s="4">
        <v>11701</v>
      </c>
      <c r="F29" s="6" t="str">
        <f t="shared" ref="F29:F91" si="1">IFERROR(H29/G29,"")</f>
        <v/>
      </c>
      <c r="G29" s="9">
        <f t="array" ref="G29">(D29-MIN(IF($C$2:$C$98=C29,$D$2:$D$98)))/MIN(IF($C$2:$C$98=C29,$D$2:$D$98))</f>
        <v>0</v>
      </c>
      <c r="H29" s="10">
        <f t="array" ref="H29">(E29-MIN(IF($C$2:$C$98=C29,$E$2:$E$98)))/MIN(IF($C$2:$C$98=C29,$E$2:$E$98))</f>
        <v>0</v>
      </c>
    </row>
    <row r="30" spans="1:8" ht="15.75" x14ac:dyDescent="0.25">
      <c r="A30" s="13" t="s">
        <v>3</v>
      </c>
      <c r="B30" s="13" t="s">
        <v>40</v>
      </c>
      <c r="C30" s="22" t="s">
        <v>63</v>
      </c>
      <c r="D30" s="1">
        <v>0.81</v>
      </c>
      <c r="E30" s="4">
        <v>12761</v>
      </c>
      <c r="F30" s="6">
        <f t="shared" si="1"/>
        <v>7.2472438253140696</v>
      </c>
      <c r="G30" s="9">
        <f t="array" ref="G30">(D30-MIN(IF($C$2:$C$98=C30,$D$2:$D$98)))/MIN(IF($C$2:$C$98=C30,$D$2:$D$98))</f>
        <v>1.2500000000000011E-2</v>
      </c>
      <c r="H30" s="10">
        <f t="array" ref="H30">(E30-MIN(IF($C$2:$C$98=C30,$E$2:$E$98)))/MIN(IF($C$2:$C$98=C30,$E$2:$E$98))</f>
        <v>9.0590547816425948E-2</v>
      </c>
    </row>
    <row r="31" spans="1:8" ht="15.75" x14ac:dyDescent="0.25">
      <c r="A31" s="13" t="s">
        <v>3</v>
      </c>
      <c r="B31" s="13" t="s">
        <v>40</v>
      </c>
      <c r="C31" s="22" t="s">
        <v>63</v>
      </c>
      <c r="D31" s="1">
        <v>0.82</v>
      </c>
      <c r="E31" s="4">
        <v>14322</v>
      </c>
      <c r="F31" s="6">
        <f t="shared" si="1"/>
        <v>8.9599179557303223</v>
      </c>
      <c r="G31" s="9">
        <f t="array" ref="G31">(D31-MIN(IF($C$2:$C$98=C31,$D$2:$D$98)))/MIN(IF($C$2:$C$98=C31,$D$2:$D$98))</f>
        <v>2.4999999999999883E-2</v>
      </c>
      <c r="H31" s="10">
        <f t="array" ref="H31">(E31-MIN(IF($C$2:$C$98=C31,$E$2:$E$98)))/MIN(IF($C$2:$C$98=C31,$E$2:$E$98))</f>
        <v>0.223997948893257</v>
      </c>
    </row>
    <row r="32" spans="1:8" ht="15.75" x14ac:dyDescent="0.25">
      <c r="A32" s="13" t="s">
        <v>3</v>
      </c>
      <c r="B32" s="13" t="s">
        <v>40</v>
      </c>
      <c r="C32" s="22" t="s">
        <v>63</v>
      </c>
      <c r="D32" s="1">
        <v>0.85</v>
      </c>
      <c r="E32" s="4">
        <v>17875</v>
      </c>
      <c r="F32" s="6">
        <f t="shared" si="1"/>
        <v>8.4423553542432384</v>
      </c>
      <c r="G32" s="9">
        <f t="array" ref="G32">(D32-MIN(IF($C$2:$C$98=C32,$D$2:$D$98)))/MIN(IF($C$2:$C$98=C32,$D$2:$D$98))</f>
        <v>6.2499999999999917E-2</v>
      </c>
      <c r="H32" s="10">
        <f t="array" ref="H32">(E32-MIN(IF($C$2:$C$98=C32,$E$2:$E$98)))/MIN(IF($C$2:$C$98=C32,$E$2:$E$98))</f>
        <v>0.52764720964020173</v>
      </c>
    </row>
    <row r="33" spans="1:8" ht="15.6" x14ac:dyDescent="0.35">
      <c r="A33" s="13" t="s">
        <v>3</v>
      </c>
      <c r="B33" s="13" t="s">
        <v>40</v>
      </c>
      <c r="C33" s="22" t="s">
        <v>64</v>
      </c>
      <c r="D33" s="1">
        <v>0.82</v>
      </c>
      <c r="E33" s="4">
        <v>50248</v>
      </c>
      <c r="F33" s="6" t="str">
        <f t="shared" si="1"/>
        <v/>
      </c>
      <c r="G33" s="9">
        <f t="array" ref="G33">(D33-MIN(IF($C$2:$C$98=C33,$D$2:$D$98)))/MIN(IF($C$2:$C$98=C33,$D$2:$D$98))</f>
        <v>0</v>
      </c>
      <c r="H33" s="10">
        <f t="array" ref="H33">(E33-MIN(IF($C$2:$C$98=C33,$E$2:$E$98)))/MIN(IF($C$2:$C$98=C33,$E$2:$E$98))</f>
        <v>0</v>
      </c>
    </row>
    <row r="34" spans="1:8" ht="15.6" x14ac:dyDescent="0.35">
      <c r="A34" s="13" t="s">
        <v>3</v>
      </c>
      <c r="B34" s="13" t="s">
        <v>40</v>
      </c>
      <c r="C34" s="22" t="s">
        <v>64</v>
      </c>
      <c r="D34" s="1">
        <v>0.83</v>
      </c>
      <c r="E34" s="4">
        <v>54342</v>
      </c>
      <c r="F34" s="6">
        <f t="shared" si="1"/>
        <v>6.6810221302340338</v>
      </c>
      <c r="G34" s="9">
        <f t="array" ref="G34">(D34-MIN(IF($C$2:$C$98=C34,$D$2:$D$98)))/MIN(IF($C$2:$C$98=C34,$D$2:$D$98))</f>
        <v>1.2195121951219523E-2</v>
      </c>
      <c r="H34" s="10">
        <f t="array" ref="H34">(E34-MIN(IF($C$2:$C$98=C34,$E$2:$E$98)))/MIN(IF($C$2:$C$98=C34,$E$2:$E$98))</f>
        <v>8.1475879637000481E-2</v>
      </c>
    </row>
    <row r="35" spans="1:8" ht="15.6" x14ac:dyDescent="0.35">
      <c r="A35" s="13" t="s">
        <v>3</v>
      </c>
      <c r="B35" s="13" t="s">
        <v>40</v>
      </c>
      <c r="C35" s="22" t="s">
        <v>64</v>
      </c>
      <c r="D35" s="1">
        <v>0.84</v>
      </c>
      <c r="E35" s="4">
        <v>58818</v>
      </c>
      <c r="F35" s="6">
        <f t="shared" si="1"/>
        <v>6.9927161280050889</v>
      </c>
      <c r="G35" s="9">
        <f t="array" ref="G35">(D35-MIN(IF($C$2:$C$98=C35,$D$2:$D$98)))/MIN(IF($C$2:$C$98=C35,$D$2:$D$98))</f>
        <v>2.4390243902439046E-2</v>
      </c>
      <c r="H35" s="10">
        <f t="array" ref="H35">(E35-MIN(IF($C$2:$C$98=C35,$E$2:$E$98)))/MIN(IF($C$2:$C$98=C35,$E$2:$E$98))</f>
        <v>0.17055405190256329</v>
      </c>
    </row>
    <row r="36" spans="1:8" ht="15.75" x14ac:dyDescent="0.25">
      <c r="A36" s="13" t="s">
        <v>3</v>
      </c>
      <c r="B36" s="13" t="s">
        <v>40</v>
      </c>
      <c r="C36" s="22" t="s">
        <v>65</v>
      </c>
      <c r="D36" s="1">
        <v>0.82</v>
      </c>
      <c r="E36" s="4">
        <v>18591</v>
      </c>
      <c r="F36" s="6" t="str">
        <f t="shared" si="1"/>
        <v/>
      </c>
      <c r="G36" s="9">
        <f t="array" ref="G36">(D36-MIN(IF($C$2:$C$98=C36,$D$2:$D$98)))/MIN(IF($C$2:$C$98=C36,$D$2:$D$98))</f>
        <v>0</v>
      </c>
      <c r="H36" s="10">
        <f t="array" ref="H36">(E36-MIN(IF($C$2:$C$98=C36,$E$2:$E$98)))/MIN(IF($C$2:$C$98=C36,$E$2:$E$98))</f>
        <v>0</v>
      </c>
    </row>
    <row r="37" spans="1:8" ht="15.75" x14ac:dyDescent="0.25">
      <c r="A37" s="13" t="s">
        <v>3</v>
      </c>
      <c r="B37" s="13" t="s">
        <v>40</v>
      </c>
      <c r="C37" s="22" t="s">
        <v>65</v>
      </c>
      <c r="D37" s="1">
        <v>0.83</v>
      </c>
      <c r="E37" s="4">
        <v>19415</v>
      </c>
      <c r="F37" s="6">
        <f t="shared" si="1"/>
        <v>3.6344467753213885</v>
      </c>
      <c r="G37" s="9">
        <f t="array" ref="G37">(D37-MIN(IF($C$2:$C$98=C37,$D$2:$D$98)))/MIN(IF($C$2:$C$98=C37,$D$2:$D$98))</f>
        <v>1.2195121951219523E-2</v>
      </c>
      <c r="H37" s="10">
        <f t="array" ref="H37">(E37-MIN(IF($C$2:$C$98=C37,$E$2:$E$98)))/MIN(IF($C$2:$C$98=C37,$E$2:$E$98))</f>
        <v>4.4322521650260877E-2</v>
      </c>
    </row>
    <row r="38" spans="1:8" ht="15.75" x14ac:dyDescent="0.25">
      <c r="A38" s="13" t="s">
        <v>3</v>
      </c>
      <c r="B38" s="13" t="s">
        <v>40</v>
      </c>
      <c r="C38" s="22" t="s">
        <v>65</v>
      </c>
      <c r="D38" s="1">
        <v>0.85</v>
      </c>
      <c r="E38" s="4">
        <v>25443</v>
      </c>
      <c r="F38" s="6">
        <f t="shared" si="1"/>
        <v>10.074121886934529</v>
      </c>
      <c r="G38" s="9">
        <f t="array" ref="G38">(D38-MIN(IF($C$2:$C$98=C38,$D$2:$D$98)))/MIN(IF($C$2:$C$98=C38,$D$2:$D$98))</f>
        <v>3.6585365853658569E-2</v>
      </c>
      <c r="H38" s="10">
        <f t="array" ref="H38">(E38-MIN(IF($C$2:$C$98=C38,$E$2:$E$98)))/MIN(IF($C$2:$C$98=C38,$E$2:$E$98))</f>
        <v>0.36856543488784899</v>
      </c>
    </row>
    <row r="39" spans="1:8" ht="15.75" x14ac:dyDescent="0.25">
      <c r="A39" s="13" t="s">
        <v>3</v>
      </c>
      <c r="B39" s="13" t="s">
        <v>40</v>
      </c>
      <c r="C39" s="22" t="s">
        <v>65</v>
      </c>
      <c r="D39" s="1">
        <v>0.87</v>
      </c>
      <c r="E39" s="4">
        <v>26220</v>
      </c>
      <c r="F39" s="6">
        <f t="shared" si="1"/>
        <v>6.7299015652735124</v>
      </c>
      <c r="G39" s="9">
        <f t="array" ref="G39">(D39-MIN(IF($C$2:$C$98=C39,$D$2:$D$98)))/MIN(IF($C$2:$C$98=C39,$D$2:$D$98))</f>
        <v>6.0975609756097622E-2</v>
      </c>
      <c r="H39" s="10">
        <f t="array" ref="H39">(E39-MIN(IF($C$2:$C$98=C39,$E$2:$E$98)))/MIN(IF($C$2:$C$98=C39,$E$2:$E$98))</f>
        <v>0.41035985154106824</v>
      </c>
    </row>
    <row r="40" spans="1:8" ht="15.6" x14ac:dyDescent="0.35">
      <c r="A40" s="13" t="s">
        <v>3</v>
      </c>
      <c r="B40" s="13" t="s">
        <v>40</v>
      </c>
      <c r="C40" s="22" t="s">
        <v>66</v>
      </c>
      <c r="D40" s="1">
        <v>0.84</v>
      </c>
      <c r="E40" s="4">
        <v>48173</v>
      </c>
      <c r="F40" s="6" t="str">
        <f t="shared" si="1"/>
        <v/>
      </c>
      <c r="G40" s="9">
        <f t="array" ref="G40">(D40-MIN(IF($C$2:$C$98=C40,$D$2:$D$98)))/MIN(IF($C$2:$C$98=C40,$D$2:$D$98))</f>
        <v>0</v>
      </c>
      <c r="H40" s="10">
        <f t="array" ref="H40">(E40-MIN(IF($C$2:$C$98=C40,$E$2:$E$98)))/MIN(IF($C$2:$C$98=C40,$E$2:$E$98))</f>
        <v>0</v>
      </c>
    </row>
    <row r="41" spans="1:8" ht="15.6" x14ac:dyDescent="0.35">
      <c r="A41" s="13" t="s">
        <v>3</v>
      </c>
      <c r="B41" s="13" t="s">
        <v>40</v>
      </c>
      <c r="C41" s="22" t="s">
        <v>66</v>
      </c>
      <c r="D41" s="1">
        <v>0.85</v>
      </c>
      <c r="E41" s="4">
        <v>52719</v>
      </c>
      <c r="F41" s="6">
        <f t="shared" si="1"/>
        <v>7.9269300230419457</v>
      </c>
      <c r="G41" s="9">
        <f t="array" ref="G41">(D41-MIN(IF($C$2:$C$98=C41,$D$2:$D$98)))/MIN(IF($C$2:$C$98=C41,$D$2:$D$98))</f>
        <v>1.1904761904761916E-2</v>
      </c>
      <c r="H41" s="10">
        <f t="array" ref="H41">(E41-MIN(IF($C$2:$C$98=C41,$E$2:$E$98)))/MIN(IF($C$2:$C$98=C41,$E$2:$E$98))</f>
        <v>9.4368214560023256E-2</v>
      </c>
    </row>
    <row r="42" spans="1:8" ht="15.6" x14ac:dyDescent="0.35">
      <c r="A42" s="13" t="s">
        <v>3</v>
      </c>
      <c r="B42" s="13" t="s">
        <v>40</v>
      </c>
      <c r="C42" s="22" t="s">
        <v>66</v>
      </c>
      <c r="D42" s="1">
        <v>0.86</v>
      </c>
      <c r="E42" s="4">
        <v>56353</v>
      </c>
      <c r="F42" s="6">
        <f t="shared" si="1"/>
        <v>7.1317958192348341</v>
      </c>
      <c r="G42" s="9">
        <f t="array" ref="G42">(D42-MIN(IF($C$2:$C$98=C42,$D$2:$D$98)))/MIN(IF($C$2:$C$98=C42,$D$2:$D$98))</f>
        <v>2.3809523809523832E-2</v>
      </c>
      <c r="H42" s="10">
        <f t="array" ref="H42">(E42-MIN(IF($C$2:$C$98=C42,$E$2:$E$98)))/MIN(IF($C$2:$C$98=C42,$E$2:$E$98))</f>
        <v>0.16980466236273431</v>
      </c>
    </row>
    <row r="43" spans="1:8" ht="15.75" x14ac:dyDescent="0.25">
      <c r="A43" s="13" t="s">
        <v>3</v>
      </c>
      <c r="B43" s="13" t="s">
        <v>40</v>
      </c>
      <c r="C43" s="22" t="s">
        <v>67</v>
      </c>
      <c r="D43" s="1">
        <v>0.77</v>
      </c>
      <c r="E43" s="4">
        <v>9767</v>
      </c>
      <c r="F43" s="6" t="str">
        <f t="shared" si="1"/>
        <v/>
      </c>
      <c r="G43" s="9">
        <f t="array" ref="G43">(D43-MIN(IF($C$2:$C$98=C43,$D$2:$D$98)))/MIN(IF($C$2:$C$98=C43,$D$2:$D$98))</f>
        <v>0</v>
      </c>
      <c r="H43" s="10">
        <f t="array" ref="H43">(E43-MIN(IF($C$2:$C$98=C43,$E$2:$E$98)))/MIN(IF($C$2:$C$98=C43,$E$2:$E$98))</f>
        <v>0</v>
      </c>
    </row>
    <row r="44" spans="1:8" ht="15.75" x14ac:dyDescent="0.25">
      <c r="A44" s="13" t="s">
        <v>3</v>
      </c>
      <c r="B44" s="13" t="s">
        <v>40</v>
      </c>
      <c r="C44" s="22" t="s">
        <v>67</v>
      </c>
      <c r="D44" s="1">
        <v>0.79</v>
      </c>
      <c r="E44" s="4">
        <v>12960</v>
      </c>
      <c r="F44" s="6">
        <f t="shared" si="1"/>
        <v>12.586311047404514</v>
      </c>
      <c r="G44" s="9">
        <f t="array" ref="G44">(D44-MIN(IF($C$2:$C$98=C44,$D$2:$D$98)))/MIN(IF($C$2:$C$98=C44,$D$2:$D$98))</f>
        <v>2.5974025974025997E-2</v>
      </c>
      <c r="H44" s="10">
        <f t="array" ref="H44">(E44-MIN(IF($C$2:$C$98=C44,$E$2:$E$98)))/MIN(IF($C$2:$C$98=C44,$E$2:$E$98))</f>
        <v>0.32691717006245519</v>
      </c>
    </row>
    <row r="45" spans="1:8" ht="15.75" x14ac:dyDescent="0.25">
      <c r="A45" s="13" t="s">
        <v>3</v>
      </c>
      <c r="B45" s="13" t="s">
        <v>40</v>
      </c>
      <c r="C45" s="22" t="s">
        <v>67</v>
      </c>
      <c r="D45" s="1">
        <v>0.8</v>
      </c>
      <c r="E45" s="4">
        <v>15074</v>
      </c>
      <c r="F45" s="6">
        <f t="shared" si="1"/>
        <v>13.946247568342365</v>
      </c>
      <c r="G45" s="9">
        <f t="array" ref="G45">(D45-MIN(IF($C$2:$C$98=C45,$D$2:$D$98)))/MIN(IF($C$2:$C$98=C45,$D$2:$D$98))</f>
        <v>3.8961038961038995E-2</v>
      </c>
      <c r="H45" s="10">
        <f t="array" ref="H45">(E45-MIN(IF($C$2:$C$98=C45,$E$2:$E$98)))/MIN(IF($C$2:$C$98=C45,$E$2:$E$98))</f>
        <v>0.54336029487048221</v>
      </c>
    </row>
    <row r="46" spans="1:8" ht="15.75" x14ac:dyDescent="0.25">
      <c r="A46" s="13" t="s">
        <v>3</v>
      </c>
      <c r="B46" s="13" t="s">
        <v>40</v>
      </c>
      <c r="C46" s="22" t="s">
        <v>68</v>
      </c>
      <c r="D46" s="1">
        <v>0.77</v>
      </c>
      <c r="E46" s="4">
        <v>15615</v>
      </c>
      <c r="F46" s="6" t="str">
        <f t="shared" si="1"/>
        <v/>
      </c>
      <c r="G46" s="9">
        <f t="array" ref="G46">(D46-MIN(IF($C$2:$C$98=C46,$D$2:$D$98)))/MIN(IF($C$2:$C$98=C46,$D$2:$D$98))</f>
        <v>0</v>
      </c>
      <c r="H46" s="10">
        <f t="array" ref="H46">(E46-MIN(IF($C$2:$C$98=C46,$E$2:$E$98)))/MIN(IF($C$2:$C$98=C46,$E$2:$E$98))</f>
        <v>0</v>
      </c>
    </row>
    <row r="47" spans="1:8" ht="15.75" x14ac:dyDescent="0.25">
      <c r="A47" s="13" t="s">
        <v>3</v>
      </c>
      <c r="B47" s="13" t="s">
        <v>40</v>
      </c>
      <c r="C47" s="22" t="s">
        <v>68</v>
      </c>
      <c r="D47" s="1">
        <v>0.79</v>
      </c>
      <c r="E47" s="4">
        <v>23220</v>
      </c>
      <c r="F47" s="6">
        <f t="shared" si="1"/>
        <v>18.750720461095085</v>
      </c>
      <c r="G47" s="9">
        <f t="array" ref="G47">(D47-MIN(IF($C$2:$C$98=C47,$D$2:$D$98)))/MIN(IF($C$2:$C$98=C47,$D$2:$D$98))</f>
        <v>2.5974025974025997E-2</v>
      </c>
      <c r="H47" s="10">
        <f t="array" ref="H47">(E47-MIN(IF($C$2:$C$98=C47,$E$2:$E$98)))/MIN(IF($C$2:$C$98=C47,$E$2:$E$98))</f>
        <v>0.48703170028818443</v>
      </c>
    </row>
    <row r="48" spans="1:8" ht="15.75" x14ac:dyDescent="0.25">
      <c r="A48" s="13" t="s">
        <v>3</v>
      </c>
      <c r="B48" s="13" t="s">
        <v>40</v>
      </c>
      <c r="C48" s="22" t="s">
        <v>68</v>
      </c>
      <c r="D48" s="1">
        <v>0.8</v>
      </c>
      <c r="E48" s="4">
        <v>30185</v>
      </c>
      <c r="F48" s="6">
        <f t="shared" si="1"/>
        <v>23.948980680969132</v>
      </c>
      <c r="G48" s="9">
        <f t="array" ref="G48">(D48-MIN(IF($C$2:$C$98=C48,$D$2:$D$98)))/MIN(IF($C$2:$C$98=C48,$D$2:$D$98))</f>
        <v>3.8961038961038995E-2</v>
      </c>
      <c r="H48" s="10">
        <f t="array" ref="H48">(E48-MIN(IF($C$2:$C$98=C48,$E$2:$E$98)))/MIN(IF($C$2:$C$98=C48,$E$2:$E$98))</f>
        <v>0.93307716938840857</v>
      </c>
    </row>
    <row r="49" spans="1:8" ht="15.75" x14ac:dyDescent="0.25">
      <c r="A49" s="13" t="s">
        <v>3</v>
      </c>
      <c r="B49" s="13" t="s">
        <v>40</v>
      </c>
      <c r="C49" s="22" t="s">
        <v>68</v>
      </c>
      <c r="D49" s="1">
        <v>0.81</v>
      </c>
      <c r="E49" s="4">
        <v>37954</v>
      </c>
      <c r="F49" s="6">
        <f t="shared" si="1"/>
        <v>27.539273134806251</v>
      </c>
      <c r="G49" s="9">
        <f t="array" ref="G49">(D49-MIN(IF($C$2:$C$98=C49,$D$2:$D$98)))/MIN(IF($C$2:$C$98=C49,$D$2:$D$98))</f>
        <v>5.1948051948051993E-2</v>
      </c>
      <c r="H49" s="10">
        <f t="array" ref="H49">(E49-MIN(IF($C$2:$C$98=C49,$E$2:$E$98)))/MIN(IF($C$2:$C$98=C49,$E$2:$E$98))</f>
        <v>1.4306115914185078</v>
      </c>
    </row>
    <row r="50" spans="1:8" ht="15.75" x14ac:dyDescent="0.25">
      <c r="A50" s="13" t="s">
        <v>3</v>
      </c>
      <c r="B50" s="13" t="s">
        <v>40</v>
      </c>
      <c r="C50" s="22" t="s">
        <v>69</v>
      </c>
      <c r="D50" s="1">
        <v>0.81</v>
      </c>
      <c r="E50" s="4">
        <v>16167</v>
      </c>
      <c r="F50" s="6" t="str">
        <f t="shared" si="1"/>
        <v/>
      </c>
      <c r="G50" s="9">
        <f t="array" ref="G50">(D50-MIN(IF($C$2:$C$98=C50,$D$2:$D$98)))/MIN(IF($C$2:$C$98=C50,$D$2:$D$98))</f>
        <v>0</v>
      </c>
      <c r="H50" s="10">
        <f t="array" ref="H50">(E50-MIN(IF($C$2:$C$98=C50,$E$2:$E$98)))/MIN(IF($C$2:$C$98=C50,$E$2:$E$98))</f>
        <v>0</v>
      </c>
    </row>
    <row r="51" spans="1:8" ht="15.75" x14ac:dyDescent="0.25">
      <c r="A51" s="13" t="s">
        <v>3</v>
      </c>
      <c r="B51" s="13" t="s">
        <v>40</v>
      </c>
      <c r="C51" s="22" t="s">
        <v>69</v>
      </c>
      <c r="D51" s="1">
        <v>0.82</v>
      </c>
      <c r="E51" s="4">
        <v>18238</v>
      </c>
      <c r="F51" s="6">
        <f t="shared" si="1"/>
        <v>10.376136574503725</v>
      </c>
      <c r="G51" s="9">
        <f t="array" ref="G51">(D51-MIN(IF($C$2:$C$98=C51,$D$2:$D$98)))/MIN(IF($C$2:$C$98=C51,$D$2:$D$98))</f>
        <v>1.2345679012345552E-2</v>
      </c>
      <c r="H51" s="10">
        <f t="array" ref="H51">(E51-MIN(IF($C$2:$C$98=C51,$E$2:$E$98)))/MIN(IF($C$2:$C$98=C51,$E$2:$E$98))</f>
        <v>0.12810045153708172</v>
      </c>
    </row>
    <row r="52" spans="1:8" ht="15.75" x14ac:dyDescent="0.25">
      <c r="A52" s="13" t="s">
        <v>3</v>
      </c>
      <c r="B52" s="13" t="s">
        <v>40</v>
      </c>
      <c r="C52" s="22" t="s">
        <v>69</v>
      </c>
      <c r="D52" s="1">
        <v>0.83</v>
      </c>
      <c r="E52" s="4">
        <v>20531</v>
      </c>
      <c r="F52" s="6">
        <f t="shared" si="1"/>
        <v>10.932269437743603</v>
      </c>
      <c r="G52" s="9">
        <f t="array" ref="G52">(D52-MIN(IF($C$2:$C$98=C52,$D$2:$D$98)))/MIN(IF($C$2:$C$98=C52,$D$2:$D$98))</f>
        <v>2.4691358024691242E-2</v>
      </c>
      <c r="H52" s="10">
        <f t="array" ref="H52">(E52-MIN(IF($C$2:$C$98=C52,$E$2:$E$98)))/MIN(IF($C$2:$C$98=C52,$E$2:$E$98))</f>
        <v>0.26993257870971732</v>
      </c>
    </row>
    <row r="53" spans="1:8" ht="15.75" x14ac:dyDescent="0.25">
      <c r="A53" s="13" t="s">
        <v>3</v>
      </c>
      <c r="B53" s="13" t="s">
        <v>40</v>
      </c>
      <c r="C53" s="22" t="s">
        <v>70</v>
      </c>
      <c r="D53" s="1">
        <v>0.81</v>
      </c>
      <c r="E53" s="4">
        <v>23922</v>
      </c>
      <c r="F53" s="6" t="str">
        <f t="shared" si="1"/>
        <v/>
      </c>
      <c r="G53" s="9">
        <f t="array" ref="G53">(D53-MIN(IF($C$2:$C$98=C53,$D$2:$D$98)))/MIN(IF($C$2:$C$98=C53,$D$2:$D$98))</f>
        <v>0</v>
      </c>
      <c r="H53" s="10">
        <f t="array" ref="H53">(E53-MIN(IF($C$2:$C$98=C53,$E$2:$E$98)))/MIN(IF($C$2:$C$98=C53,$E$2:$E$98))</f>
        <v>0</v>
      </c>
    </row>
    <row r="54" spans="1:8" ht="15.75" x14ac:dyDescent="0.25">
      <c r="A54" s="13" t="s">
        <v>3</v>
      </c>
      <c r="B54" s="13" t="s">
        <v>40</v>
      </c>
      <c r="C54" s="22" t="s">
        <v>70</v>
      </c>
      <c r="D54" s="1">
        <v>0.82</v>
      </c>
      <c r="E54" s="4">
        <v>29755</v>
      </c>
      <c r="F54" s="6">
        <f t="shared" si="1"/>
        <v>19.750564334085983</v>
      </c>
      <c r="G54" s="9">
        <f t="array" ref="G54">(D54-MIN(IF($C$2:$C$98=C54,$D$2:$D$98)))/MIN(IF($C$2:$C$98=C54,$D$2:$D$98))</f>
        <v>1.2345679012345552E-2</v>
      </c>
      <c r="H54" s="10">
        <f t="array" ref="H54">(E54-MIN(IF($C$2:$C$98=C54,$E$2:$E$98)))/MIN(IF($C$2:$C$98=C54,$E$2:$E$98))</f>
        <v>0.2438341275813059</v>
      </c>
    </row>
    <row r="55" spans="1:8" ht="15.75" x14ac:dyDescent="0.25">
      <c r="A55" s="13" t="s">
        <v>3</v>
      </c>
      <c r="B55" s="13" t="s">
        <v>40</v>
      </c>
      <c r="C55" s="22" t="s">
        <v>70</v>
      </c>
      <c r="D55" s="1">
        <v>0.83</v>
      </c>
      <c r="E55" s="4">
        <v>36214</v>
      </c>
      <c r="F55" s="6">
        <f t="shared" si="1"/>
        <v>20.810383747178427</v>
      </c>
      <c r="G55" s="9">
        <f t="array" ref="G55">(D55-MIN(IF($C$2:$C$98=C55,$D$2:$D$98)))/MIN(IF($C$2:$C$98=C55,$D$2:$D$98))</f>
        <v>2.4691358024691242E-2</v>
      </c>
      <c r="H55" s="10">
        <f t="array" ref="H55">(E55-MIN(IF($C$2:$C$98=C55,$E$2:$E$98)))/MIN(IF($C$2:$C$98=C55,$E$2:$E$98))</f>
        <v>0.51383663573279825</v>
      </c>
    </row>
    <row r="56" spans="1:8" ht="15.75" x14ac:dyDescent="0.25">
      <c r="A56" s="13" t="s">
        <v>3</v>
      </c>
      <c r="B56" s="13" t="s">
        <v>40</v>
      </c>
      <c r="C56" s="22" t="s">
        <v>70</v>
      </c>
      <c r="D56" s="1">
        <v>0.85</v>
      </c>
      <c r="E56" s="4">
        <v>51243</v>
      </c>
      <c r="F56" s="6">
        <f t="shared" si="1"/>
        <v>23.127257336343163</v>
      </c>
      <c r="G56" s="9">
        <f t="array" ref="G56">(D56-MIN(IF($C$2:$C$98=C56,$D$2:$D$98)))/MIN(IF($C$2:$C$98=C56,$D$2:$D$98))</f>
        <v>4.9382716049382616E-2</v>
      </c>
      <c r="H56" s="10">
        <f t="array" ref="H56">(E56-MIN(IF($C$2:$C$98=C56,$E$2:$E$98)))/MIN(IF($C$2:$C$98=C56,$E$2:$E$98))</f>
        <v>1.1420867820416354</v>
      </c>
    </row>
    <row r="57" spans="1:8" ht="15.75" x14ac:dyDescent="0.25">
      <c r="A57" s="13" t="s">
        <v>3</v>
      </c>
      <c r="B57" s="13" t="s">
        <v>40</v>
      </c>
      <c r="C57" s="22" t="s">
        <v>71</v>
      </c>
      <c r="D57" s="1">
        <v>0.8</v>
      </c>
      <c r="E57" s="4">
        <v>23467</v>
      </c>
      <c r="F57" s="6" t="str">
        <f t="shared" si="1"/>
        <v/>
      </c>
      <c r="G57" s="9">
        <f t="array" ref="G57">(D57-MIN(IF($C$2:$C$98=C57,$D$2:$D$98)))/MIN(IF($C$2:$C$98=C57,$D$2:$D$98))</f>
        <v>0</v>
      </c>
      <c r="H57" s="10">
        <f t="array" ref="H57">(E57-MIN(IF($C$2:$C$98=C57,$E$2:$E$98)))/MIN(IF($C$2:$C$98=C57,$E$2:$E$98))</f>
        <v>0</v>
      </c>
    </row>
    <row r="58" spans="1:8" ht="15.75" x14ac:dyDescent="0.25">
      <c r="A58" s="13" t="s">
        <v>3</v>
      </c>
      <c r="B58" s="13" t="s">
        <v>40</v>
      </c>
      <c r="C58" s="22" t="s">
        <v>71</v>
      </c>
      <c r="D58" s="1">
        <v>0.83</v>
      </c>
      <c r="E58" s="4">
        <v>26994</v>
      </c>
      <c r="F58" s="6">
        <f t="shared" si="1"/>
        <v>4.0078976150907062</v>
      </c>
      <c r="G58" s="9">
        <f t="array" ref="G58">(D58-MIN(IF($C$2:$C$98=C58,$D$2:$D$98)))/MIN(IF($C$2:$C$98=C58,$D$2:$D$98))</f>
        <v>3.7499999999999895E-2</v>
      </c>
      <c r="H58" s="10">
        <f t="array" ref="H58">(E58-MIN(IF($C$2:$C$98=C58,$E$2:$E$98)))/MIN(IF($C$2:$C$98=C58,$E$2:$E$98))</f>
        <v>0.15029616056590106</v>
      </c>
    </row>
    <row r="59" spans="1:8" ht="15.75" x14ac:dyDescent="0.25">
      <c r="A59" s="13" t="s">
        <v>3</v>
      </c>
      <c r="B59" s="13" t="s">
        <v>40</v>
      </c>
      <c r="C59" s="22" t="s">
        <v>71</v>
      </c>
      <c r="D59" s="1">
        <v>0.85</v>
      </c>
      <c r="E59" s="4">
        <v>29817</v>
      </c>
      <c r="F59" s="6">
        <f t="shared" si="1"/>
        <v>4.3294839561938092</v>
      </c>
      <c r="G59" s="9">
        <f t="array" ref="G59">(D59-MIN(IF($C$2:$C$98=C59,$D$2:$D$98)))/MIN(IF($C$2:$C$98=C59,$D$2:$D$98))</f>
        <v>6.2499999999999917E-2</v>
      </c>
      <c r="H59" s="10">
        <f t="array" ref="H59">(E59-MIN(IF($C$2:$C$98=C59,$E$2:$E$98)))/MIN(IF($C$2:$C$98=C59,$E$2:$E$98))</f>
        <v>0.27059274726211274</v>
      </c>
    </row>
    <row r="60" spans="1:8" ht="15.75" x14ac:dyDescent="0.25">
      <c r="A60" s="13" t="s">
        <v>3</v>
      </c>
      <c r="B60" s="13" t="s">
        <v>40</v>
      </c>
      <c r="C60" s="22" t="s">
        <v>71</v>
      </c>
      <c r="D60" s="1">
        <v>0.87</v>
      </c>
      <c r="E60" s="4">
        <v>33090</v>
      </c>
      <c r="F60" s="6">
        <f t="shared" si="1"/>
        <v>4.6864594050003374</v>
      </c>
      <c r="G60" s="9">
        <f t="array" ref="G60">(D60-MIN(IF($C$2:$C$98=C60,$D$2:$D$98)))/MIN(IF($C$2:$C$98=C60,$D$2:$D$98))</f>
        <v>8.7499999999999939E-2</v>
      </c>
      <c r="H60" s="10">
        <f t="array" ref="H60">(E60-MIN(IF($C$2:$C$98=C60,$E$2:$E$98)))/MIN(IF($C$2:$C$98=C60,$E$2:$E$98))</f>
        <v>0.41006519793752927</v>
      </c>
    </row>
    <row r="61" spans="1:8" ht="15.75" x14ac:dyDescent="0.25">
      <c r="A61" s="13" t="s">
        <v>3</v>
      </c>
      <c r="B61" s="13" t="s">
        <v>40</v>
      </c>
      <c r="C61" s="22" t="s">
        <v>71</v>
      </c>
      <c r="D61" s="1">
        <v>0.92</v>
      </c>
      <c r="E61" s="4">
        <v>37532</v>
      </c>
      <c r="F61" s="6">
        <f t="shared" si="1"/>
        <v>3.9956818795187572</v>
      </c>
      <c r="G61" s="9">
        <f t="array" ref="G61">(D61-MIN(IF($C$2:$C$98=C61,$D$2:$D$98)))/MIN(IF($C$2:$C$98=C61,$D$2:$D$98))</f>
        <v>0.15</v>
      </c>
      <c r="H61" s="10">
        <f t="array" ref="H61">(E61-MIN(IF($C$2:$C$98=C61,$E$2:$E$98)))/MIN(IF($C$2:$C$98=C61,$E$2:$E$98))</f>
        <v>0.59935228192781353</v>
      </c>
    </row>
    <row r="62" spans="1:8" ht="15.75" x14ac:dyDescent="0.25">
      <c r="A62" s="13" t="s">
        <v>3</v>
      </c>
      <c r="B62" s="13" t="s">
        <v>40</v>
      </c>
      <c r="C62" s="22" t="s">
        <v>71</v>
      </c>
      <c r="D62" s="1">
        <v>0.95</v>
      </c>
      <c r="E62" s="4">
        <v>46592</v>
      </c>
      <c r="F62" s="6">
        <f t="shared" si="1"/>
        <v>5.2556071646709599</v>
      </c>
      <c r="G62" s="9">
        <f t="array" ref="G62">(D62-MIN(IF($C$2:$C$98=C62,$D$2:$D$98)))/MIN(IF($C$2:$C$98=C62,$D$2:$D$98))</f>
        <v>0.18749999999999989</v>
      </c>
      <c r="H62" s="10">
        <f t="array" ref="H62">(E62-MIN(IF($C$2:$C$98=C62,$E$2:$E$98)))/MIN(IF($C$2:$C$98=C62,$E$2:$E$98))</f>
        <v>0.98542634337580437</v>
      </c>
    </row>
    <row r="63" spans="1:8" ht="15.75" x14ac:dyDescent="0.25">
      <c r="A63" s="13" t="s">
        <v>3</v>
      </c>
      <c r="B63" s="13" t="s">
        <v>40</v>
      </c>
      <c r="C63" s="22" t="s">
        <v>71</v>
      </c>
      <c r="D63" s="1">
        <v>0.98</v>
      </c>
      <c r="E63" s="4">
        <v>55653</v>
      </c>
      <c r="F63" s="6">
        <f t="shared" si="1"/>
        <v>6.0957467460216019</v>
      </c>
      <c r="G63" s="9">
        <f t="array" ref="G63">(D63-MIN(IF($C$2:$C$98=C63,$D$2:$D$98)))/MIN(IF($C$2:$C$98=C63,$D$2:$D$98))</f>
        <v>0.22499999999999992</v>
      </c>
      <c r="H63" s="10">
        <f t="array" ref="H63">(E63-MIN(IF($C$2:$C$98=C63,$E$2:$E$98)))/MIN(IF($C$2:$C$98=C63,$E$2:$E$98))</f>
        <v>1.37154301785486</v>
      </c>
    </row>
    <row r="64" spans="1:8" ht="15.75" x14ac:dyDescent="0.25">
      <c r="A64" s="13" t="s">
        <v>3</v>
      </c>
      <c r="B64" s="13" t="s">
        <v>40</v>
      </c>
      <c r="C64" s="22" t="s">
        <v>72</v>
      </c>
      <c r="D64" s="1">
        <v>0.82</v>
      </c>
      <c r="E64" s="4">
        <v>73365</v>
      </c>
      <c r="F64" s="6" t="str">
        <f t="shared" si="1"/>
        <v/>
      </c>
      <c r="G64" s="9">
        <f t="array" ref="G64">(D64-MIN(IF($C$2:$C$98=C64,$D$2:$D$98)))/MIN(IF($C$2:$C$98=C64,$D$2:$D$98))</f>
        <v>0</v>
      </c>
      <c r="H64" s="10">
        <f t="array" ref="H64">(E64-MIN(IF($C$2:$C$98=C64,$E$2:$E$98)))/MIN(IF($C$2:$C$98=C64,$E$2:$E$98))</f>
        <v>0</v>
      </c>
    </row>
    <row r="65" spans="1:8" ht="15.75" x14ac:dyDescent="0.25">
      <c r="A65" s="13" t="s">
        <v>3</v>
      </c>
      <c r="B65" s="13" t="s">
        <v>40</v>
      </c>
      <c r="C65" s="22" t="s">
        <v>72</v>
      </c>
      <c r="D65" s="1">
        <v>0.84</v>
      </c>
      <c r="E65" s="4">
        <v>82277</v>
      </c>
      <c r="F65" s="6">
        <f t="shared" si="1"/>
        <v>4.9804675253867599</v>
      </c>
      <c r="G65" s="9">
        <f t="array" ref="G65">(D65-MIN(IF($C$2:$C$98=C65,$D$2:$D$98)))/MIN(IF($C$2:$C$98=C65,$D$2:$D$98))</f>
        <v>2.4390243902439046E-2</v>
      </c>
      <c r="H65" s="10">
        <f t="array" ref="H65">(E65-MIN(IF($C$2:$C$98=C65,$E$2:$E$98)))/MIN(IF($C$2:$C$98=C65,$E$2:$E$98))</f>
        <v>0.12147481769236011</v>
      </c>
    </row>
    <row r="66" spans="1:8" ht="15.75" x14ac:dyDescent="0.25">
      <c r="A66" s="13" t="s">
        <v>3</v>
      </c>
      <c r="B66" s="13" t="s">
        <v>40</v>
      </c>
      <c r="C66" s="22" t="s">
        <v>72</v>
      </c>
      <c r="D66" s="1">
        <v>0.86</v>
      </c>
      <c r="E66" s="4">
        <v>92928</v>
      </c>
      <c r="F66" s="6">
        <f t="shared" si="1"/>
        <v>5.4663872418728232</v>
      </c>
      <c r="G66" s="9">
        <f t="array" ref="G66">(D66-MIN(IF($C$2:$C$98=C66,$D$2:$D$98)))/MIN(IF($C$2:$C$98=C66,$D$2:$D$98))</f>
        <v>4.8780487804878092E-2</v>
      </c>
      <c r="H66" s="10">
        <f t="array" ref="H66">(E66-MIN(IF($C$2:$C$98=C66,$E$2:$E$98)))/MIN(IF($C$2:$C$98=C66,$E$2:$E$98))</f>
        <v>0.26665303618891845</v>
      </c>
    </row>
    <row r="67" spans="1:8" ht="15.75" x14ac:dyDescent="0.25">
      <c r="A67" s="13" t="s">
        <v>3</v>
      </c>
      <c r="B67" s="13" t="s">
        <v>40</v>
      </c>
      <c r="C67" s="22" t="s">
        <v>72</v>
      </c>
      <c r="D67" s="1">
        <v>0.94</v>
      </c>
      <c r="E67" s="4">
        <v>138594</v>
      </c>
      <c r="F67" s="6">
        <f t="shared" si="1"/>
        <v>6.0755332924419001</v>
      </c>
      <c r="G67" s="9">
        <f t="array" ref="G67">(D67-MIN(IF($C$2:$C$98=C67,$D$2:$D$98)))/MIN(IF($C$2:$C$98=C67,$D$2:$D$98))</f>
        <v>0.14634146341463414</v>
      </c>
      <c r="H67" s="10">
        <f t="array" ref="H67">(E67-MIN(IF($C$2:$C$98=C67,$E$2:$E$98)))/MIN(IF($C$2:$C$98=C67,$E$2:$E$98))</f>
        <v>0.88910243304027803</v>
      </c>
    </row>
    <row r="68" spans="1:8" ht="15.75" x14ac:dyDescent="0.25">
      <c r="A68" s="13" t="s">
        <v>3</v>
      </c>
      <c r="B68" s="13" t="s">
        <v>40</v>
      </c>
      <c r="C68" s="22" t="s">
        <v>72</v>
      </c>
      <c r="D68" s="1">
        <v>0.97</v>
      </c>
      <c r="E68" s="4">
        <v>147024</v>
      </c>
      <c r="F68" s="6">
        <f t="shared" si="1"/>
        <v>5.488573570503644</v>
      </c>
      <c r="G68" s="9">
        <f t="array" ref="G68">(D68-MIN(IF($C$2:$C$98=C68,$D$2:$D$98)))/MIN(IF($C$2:$C$98=C68,$D$2:$D$98))</f>
        <v>0.18292682926829273</v>
      </c>
      <c r="H68" s="10">
        <f t="array" ref="H68">(E68-MIN(IF($C$2:$C$98=C68,$E$2:$E$98)))/MIN(IF($C$2:$C$98=C68,$E$2:$E$98))</f>
        <v>1.004007360457984</v>
      </c>
    </row>
    <row r="69" spans="1:8" ht="15.75" x14ac:dyDescent="0.25">
      <c r="A69" s="13" t="s">
        <v>3</v>
      </c>
      <c r="B69" s="13" t="s">
        <v>40</v>
      </c>
      <c r="C69" s="22" t="s">
        <v>73</v>
      </c>
      <c r="D69" s="1">
        <v>0.82</v>
      </c>
      <c r="E69" s="4">
        <v>30063</v>
      </c>
      <c r="F69" s="6" t="str">
        <f t="shared" si="1"/>
        <v/>
      </c>
      <c r="G69" s="9">
        <f t="array" ref="G69">(D69-MIN(IF($C$2:$C$98=C69,$D$2:$D$98)))/MIN(IF($C$2:$C$98=C69,$D$2:$D$98))</f>
        <v>0</v>
      </c>
      <c r="H69" s="10">
        <f t="array" ref="H69">(E69-MIN(IF($C$2:$C$98=C69,$E$2:$E$98)))/MIN(IF($C$2:$C$98=C69,$E$2:$E$98))</f>
        <v>0</v>
      </c>
    </row>
    <row r="70" spans="1:8" ht="15.75" x14ac:dyDescent="0.25">
      <c r="A70" s="13" t="s">
        <v>3</v>
      </c>
      <c r="B70" s="13" t="s">
        <v>40</v>
      </c>
      <c r="C70" s="22" t="s">
        <v>73</v>
      </c>
      <c r="D70" s="1">
        <v>0.83</v>
      </c>
      <c r="E70" s="4">
        <v>31769</v>
      </c>
      <c r="F70" s="6">
        <f t="shared" si="1"/>
        <v>4.6532947476965001</v>
      </c>
      <c r="G70" s="9">
        <f t="array" ref="G70">(D70-MIN(IF($C$2:$C$98=C70,$D$2:$D$98)))/MIN(IF($C$2:$C$98=C70,$D$2:$D$98))</f>
        <v>1.2195121951219523E-2</v>
      </c>
      <c r="H70" s="10">
        <f t="array" ref="H70">(E70-MIN(IF($C$2:$C$98=C70,$E$2:$E$98)))/MIN(IF($C$2:$C$98=C70,$E$2:$E$98))</f>
        <v>5.6747496923128096E-2</v>
      </c>
    </row>
    <row r="71" spans="1:8" ht="15.75" x14ac:dyDescent="0.25">
      <c r="A71" s="13" t="s">
        <v>3</v>
      </c>
      <c r="B71" s="13" t="s">
        <v>40</v>
      </c>
      <c r="C71" s="22" t="s">
        <v>73</v>
      </c>
      <c r="D71" s="1">
        <v>0.84</v>
      </c>
      <c r="E71" s="4">
        <v>33474</v>
      </c>
      <c r="F71" s="6">
        <f t="shared" si="1"/>
        <v>4.6519309450154633</v>
      </c>
      <c r="G71" s="9">
        <f t="array" ref="G71">(D71-MIN(IF($C$2:$C$98=C71,$D$2:$D$98)))/MIN(IF($C$2:$C$98=C71,$D$2:$D$98))</f>
        <v>2.4390243902439046E-2</v>
      </c>
      <c r="H71" s="10">
        <f t="array" ref="H71">(E71-MIN(IF($C$2:$C$98=C71,$E$2:$E$98)))/MIN(IF($C$2:$C$98=C71,$E$2:$E$98))</f>
        <v>0.11346173036623092</v>
      </c>
    </row>
    <row r="72" spans="1:8" ht="15.75" x14ac:dyDescent="0.25">
      <c r="A72" s="13" t="s">
        <v>3</v>
      </c>
      <c r="B72" s="13" t="s">
        <v>40</v>
      </c>
      <c r="C72" s="22" t="s">
        <v>73</v>
      </c>
      <c r="D72" s="1">
        <v>0.87</v>
      </c>
      <c r="E72" s="4">
        <v>38589</v>
      </c>
      <c r="F72" s="6">
        <f t="shared" si="1"/>
        <v>4.6511126634068409</v>
      </c>
      <c r="G72" s="9">
        <f t="array" ref="G72">(D72-MIN(IF($C$2:$C$98=C72,$D$2:$D$98)))/MIN(IF($C$2:$C$98=C72,$D$2:$D$98))</f>
        <v>6.0975609756097622E-2</v>
      </c>
      <c r="H72" s="10">
        <f t="array" ref="H72">(E72-MIN(IF($C$2:$C$98=C72,$E$2:$E$98)))/MIN(IF($C$2:$C$98=C72,$E$2:$E$98))</f>
        <v>0.28360443069553937</v>
      </c>
    </row>
    <row r="73" spans="1:8" ht="15.75" x14ac:dyDescent="0.25">
      <c r="A73" s="13" t="s">
        <v>3</v>
      </c>
      <c r="B73" s="13" t="s">
        <v>40</v>
      </c>
      <c r="C73" s="22" t="s">
        <v>73</v>
      </c>
      <c r="D73" s="1">
        <v>0.98</v>
      </c>
      <c r="E73" s="4">
        <v>69715</v>
      </c>
      <c r="F73" s="6">
        <f t="shared" si="1"/>
        <v>6.75968798855736</v>
      </c>
      <c r="G73" s="9">
        <f t="array" ref="G73">(D73-MIN(IF($C$2:$C$98=C73,$D$2:$D$98)))/MIN(IF($C$2:$C$98=C73,$D$2:$D$98))</f>
        <v>0.19512195121951226</v>
      </c>
      <c r="H73" s="10">
        <f t="array" ref="H73">(E73-MIN(IF($C$2:$C$98=C73,$E$2:$E$98)))/MIN(IF($C$2:$C$98=C73,$E$2:$E$98))</f>
        <v>1.3189635099624122</v>
      </c>
    </row>
    <row r="74" spans="1:8" ht="15.75" x14ac:dyDescent="0.25">
      <c r="A74" s="13" t="s">
        <v>3</v>
      </c>
      <c r="B74" s="13" t="s">
        <v>40</v>
      </c>
      <c r="C74" s="22" t="s">
        <v>74</v>
      </c>
      <c r="D74" s="1">
        <v>0.84</v>
      </c>
      <c r="E74" s="4">
        <v>65768</v>
      </c>
      <c r="F74" s="6" t="str">
        <f t="shared" si="1"/>
        <v/>
      </c>
      <c r="G74" s="9">
        <f t="array" ref="G74">(D74-MIN(IF($C$2:$C$98=C74,$D$2:$D$98)))/MIN(IF($C$2:$C$98=C74,$D$2:$D$98))</f>
        <v>0</v>
      </c>
      <c r="H74" s="10">
        <f t="array" ref="H74">(E74-MIN(IF($C$2:$C$98=C74,$E$2:$E$98)))/MIN(IF($C$2:$C$98=C74,$E$2:$E$98))</f>
        <v>0</v>
      </c>
    </row>
    <row r="75" spans="1:8" ht="15.75" x14ac:dyDescent="0.25">
      <c r="A75" s="13" t="s">
        <v>3</v>
      </c>
      <c r="B75" s="13" t="s">
        <v>40</v>
      </c>
      <c r="C75" s="22" t="s">
        <v>74</v>
      </c>
      <c r="D75" s="1">
        <v>0.86</v>
      </c>
      <c r="E75" s="4">
        <v>76425</v>
      </c>
      <c r="F75" s="6">
        <f t="shared" si="1"/>
        <v>6.805650164213592</v>
      </c>
      <c r="G75" s="9">
        <f t="array" ref="G75">(D75-MIN(IF($C$2:$C$98=C75,$D$2:$D$98)))/MIN(IF($C$2:$C$98=C75,$D$2:$D$98))</f>
        <v>2.3809523809523832E-2</v>
      </c>
      <c r="H75" s="10">
        <f t="array" ref="H75">(E75-MIN(IF($C$2:$C$98=C75,$E$2:$E$98)))/MIN(IF($C$2:$C$98=C75,$E$2:$E$98))</f>
        <v>0.1620392896241333</v>
      </c>
    </row>
    <row r="76" spans="1:8" ht="15.75" x14ac:dyDescent="0.25">
      <c r="A76" s="13" t="s">
        <v>3</v>
      </c>
      <c r="B76" s="13" t="s">
        <v>40</v>
      </c>
      <c r="C76" s="22" t="s">
        <v>74</v>
      </c>
      <c r="D76" s="1">
        <v>0.88</v>
      </c>
      <c r="E76" s="4">
        <v>82624</v>
      </c>
      <c r="F76" s="6">
        <f t="shared" si="1"/>
        <v>5.3821919474516431</v>
      </c>
      <c r="G76" s="9">
        <f t="array" ref="G76">(D76-MIN(IF($C$2:$C$98=C76,$D$2:$D$98)))/MIN(IF($C$2:$C$98=C76,$D$2:$D$98))</f>
        <v>4.7619047619047665E-2</v>
      </c>
      <c r="H76" s="10">
        <f t="array" ref="H76">(E76-MIN(IF($C$2:$C$98=C76,$E$2:$E$98)))/MIN(IF($C$2:$C$98=C76,$E$2:$E$98))</f>
        <v>0.25629485464055468</v>
      </c>
    </row>
    <row r="77" spans="1:8" ht="15.75" x14ac:dyDescent="0.25">
      <c r="A77" s="13" t="s">
        <v>3</v>
      </c>
      <c r="B77" s="13" t="s">
        <v>40</v>
      </c>
      <c r="C77" s="22" t="s">
        <v>74</v>
      </c>
      <c r="D77" s="1">
        <v>0.97</v>
      </c>
      <c r="E77" s="4">
        <v>160691</v>
      </c>
      <c r="F77" s="6">
        <f t="shared" si="1"/>
        <v>9.3259429416222979</v>
      </c>
      <c r="G77" s="9">
        <f t="array" ref="G77">(D77-MIN(IF($C$2:$C$98=C77,$D$2:$D$98)))/MIN(IF($C$2:$C$98=C77,$D$2:$D$98))</f>
        <v>0.15476190476190477</v>
      </c>
      <c r="H77" s="10">
        <f t="array" ref="H77">(E77-MIN(IF($C$2:$C$98=C77,$E$2:$E$98)))/MIN(IF($C$2:$C$98=C77,$E$2:$E$98))</f>
        <v>1.4433006933463082</v>
      </c>
    </row>
    <row r="78" spans="1:8" ht="15.75" x14ac:dyDescent="0.25">
      <c r="A78" s="13" t="s">
        <v>3</v>
      </c>
      <c r="B78" s="13" t="s">
        <v>40</v>
      </c>
      <c r="C78" s="22" t="s">
        <v>75</v>
      </c>
      <c r="D78" s="1">
        <v>0.79</v>
      </c>
      <c r="E78" s="4">
        <v>24721</v>
      </c>
      <c r="F78" s="6" t="str">
        <f t="shared" si="1"/>
        <v/>
      </c>
      <c r="G78" s="9">
        <f t="array" ref="G78">(D78-MIN(IF($C$2:$C$98=C78,$D$2:$D$98)))/MIN(IF($C$2:$C$98=C78,$D$2:$D$98))</f>
        <v>0</v>
      </c>
      <c r="H78" s="10">
        <f t="array" ref="H78">(E78-MIN(IF($C$2:$C$98=C78,$E$2:$E$98)))/MIN(IF($C$2:$C$98=C78,$E$2:$E$98))</f>
        <v>0</v>
      </c>
    </row>
    <row r="79" spans="1:8" ht="15.75" x14ac:dyDescent="0.25">
      <c r="A79" s="13" t="s">
        <v>3</v>
      </c>
      <c r="B79" s="13" t="s">
        <v>40</v>
      </c>
      <c r="C79" s="22" t="s">
        <v>75</v>
      </c>
      <c r="D79" s="1">
        <v>0.8</v>
      </c>
      <c r="E79" s="4">
        <v>26836</v>
      </c>
      <c r="F79" s="6">
        <f t="shared" si="1"/>
        <v>6.7588285263541064</v>
      </c>
      <c r="G79" s="9">
        <f t="array" ref="G79">(D79-MIN(IF($C$2:$C$98=C79,$D$2:$D$98)))/MIN(IF($C$2:$C$98=C79,$D$2:$D$98))</f>
        <v>1.2658227848101276E-2</v>
      </c>
      <c r="H79" s="10">
        <f t="array" ref="H79">(E79-MIN(IF($C$2:$C$98=C79,$E$2:$E$98)))/MIN(IF($C$2:$C$98=C79,$E$2:$E$98))</f>
        <v>8.5554791472836858E-2</v>
      </c>
    </row>
    <row r="80" spans="1:8" ht="15.75" x14ac:dyDescent="0.25">
      <c r="A80" s="13" t="s">
        <v>3</v>
      </c>
      <c r="B80" s="13" t="s">
        <v>40</v>
      </c>
      <c r="C80" s="22" t="s">
        <v>75</v>
      </c>
      <c r="D80" s="1">
        <v>0.81</v>
      </c>
      <c r="E80" s="4">
        <v>29195</v>
      </c>
      <c r="F80" s="6">
        <f t="shared" si="1"/>
        <v>7.1486994862667306</v>
      </c>
      <c r="G80" s="9">
        <f t="array" ref="G80">(D80-MIN(IF($C$2:$C$98=C80,$D$2:$D$98)))/MIN(IF($C$2:$C$98=C80,$D$2:$D$98))</f>
        <v>2.5316455696202552E-2</v>
      </c>
      <c r="H80" s="10">
        <f t="array" ref="H80">(E80-MIN(IF($C$2:$C$98=C80,$E$2:$E$98)))/MIN(IF($C$2:$C$98=C80,$E$2:$E$98))</f>
        <v>0.18097973382953764</v>
      </c>
    </row>
    <row r="81" spans="1:8" ht="15.75" x14ac:dyDescent="0.25">
      <c r="A81" s="13" t="s">
        <v>3</v>
      </c>
      <c r="B81" s="13" t="s">
        <v>40</v>
      </c>
      <c r="C81" s="22" t="s">
        <v>75</v>
      </c>
      <c r="D81" s="1">
        <v>0.83</v>
      </c>
      <c r="E81" s="4">
        <v>34745</v>
      </c>
      <c r="F81" s="6">
        <f t="shared" si="1"/>
        <v>8.0083329962380319</v>
      </c>
      <c r="G81" s="9">
        <f t="array" ref="G81">(D81-MIN(IF($C$2:$C$98=C81,$D$2:$D$98)))/MIN(IF($C$2:$C$98=C81,$D$2:$D$98))</f>
        <v>5.0632911392404965E-2</v>
      </c>
      <c r="H81" s="10">
        <f t="array" ref="H81">(E81-MIN(IF($C$2:$C$98=C81,$E$2:$E$98)))/MIN(IF($C$2:$C$98=C81,$E$2:$E$98))</f>
        <v>0.40548521499939322</v>
      </c>
    </row>
    <row r="82" spans="1:8" ht="15.75" x14ac:dyDescent="0.25">
      <c r="A82" s="13" t="s">
        <v>3</v>
      </c>
      <c r="B82" s="13" t="s">
        <v>40</v>
      </c>
      <c r="C82" s="22" t="s">
        <v>76</v>
      </c>
      <c r="D82" s="1">
        <v>0.79</v>
      </c>
      <c r="E82" s="4">
        <v>43032</v>
      </c>
      <c r="F82" s="6" t="str">
        <f t="shared" si="1"/>
        <v/>
      </c>
      <c r="G82" s="9">
        <f t="array" ref="G82">(D82-MIN(IF($C$2:$C$98=C82,$D$2:$D$98)))/MIN(IF($C$2:$C$98=C82,$D$2:$D$98))</f>
        <v>0</v>
      </c>
      <c r="H82" s="10">
        <f t="array" ref="H82">(E82-MIN(IF($C$2:$C$98=C82,$E$2:$E$98)))/MIN(IF($C$2:$C$98=C82,$E$2:$E$98))</f>
        <v>0</v>
      </c>
    </row>
    <row r="83" spans="1:8" ht="15.75" x14ac:dyDescent="0.25">
      <c r="A83" s="13" t="s">
        <v>3</v>
      </c>
      <c r="B83" s="13" t="s">
        <v>40</v>
      </c>
      <c r="C83" s="22" t="s">
        <v>76</v>
      </c>
      <c r="D83" s="1">
        <v>0.8</v>
      </c>
      <c r="E83" s="4">
        <v>49998</v>
      </c>
      <c r="F83" s="6">
        <f t="shared" si="1"/>
        <v>12.788482989403224</v>
      </c>
      <c r="G83" s="9">
        <f t="array" ref="G83">(D83-MIN(IF($C$2:$C$98=C83,$D$2:$D$98)))/MIN(IF($C$2:$C$98=C83,$D$2:$D$98))</f>
        <v>1.2658227848101276E-2</v>
      </c>
      <c r="H83" s="10">
        <f t="array" ref="H83">(E83-MIN(IF($C$2:$C$98=C83,$E$2:$E$98)))/MIN(IF($C$2:$C$98=C83,$E$2:$E$98))</f>
        <v>0.16187953151143336</v>
      </c>
    </row>
    <row r="84" spans="1:8" ht="15.75" x14ac:dyDescent="0.25">
      <c r="A84" s="13" t="s">
        <v>3</v>
      </c>
      <c r="B84" s="13" t="s">
        <v>40</v>
      </c>
      <c r="C84" s="22" t="s">
        <v>76</v>
      </c>
      <c r="D84" s="1">
        <v>0.83</v>
      </c>
      <c r="E84" s="4">
        <v>76048</v>
      </c>
      <c r="F84" s="6">
        <f t="shared" si="1"/>
        <v>15.153048893846469</v>
      </c>
      <c r="G84" s="9">
        <f t="array" ref="G84">(D84-MIN(IF($C$2:$C$98=C84,$D$2:$D$98)))/MIN(IF($C$2:$C$98=C84,$D$2:$D$98))</f>
        <v>5.0632911392404965E-2</v>
      </c>
      <c r="H84" s="10">
        <f t="array" ref="H84">(E84-MIN(IF($C$2:$C$98=C84,$E$2:$E$98)))/MIN(IF($C$2:$C$98=C84,$E$2:$E$98))</f>
        <v>0.76724298196690832</v>
      </c>
    </row>
    <row r="85" spans="1:8" ht="15.75" x14ac:dyDescent="0.25">
      <c r="A85" s="13" t="s">
        <v>3</v>
      </c>
      <c r="B85" s="13" t="s">
        <v>40</v>
      </c>
      <c r="C85" s="22" t="s">
        <v>77</v>
      </c>
      <c r="D85" s="1">
        <v>0.81</v>
      </c>
      <c r="E85" s="4">
        <v>26307</v>
      </c>
      <c r="F85" s="6" t="str">
        <f t="shared" si="1"/>
        <v/>
      </c>
      <c r="G85" s="9">
        <f t="array" ref="G85">(D85-MIN(IF($C$2:$C$98=C85,$D$2:$D$98)))/MIN(IF($C$2:$C$98=C85,$D$2:$D$98))</f>
        <v>0</v>
      </c>
      <c r="H85" s="10">
        <f t="array" ref="H85">(E85-MIN(IF($C$2:$C$98=C85,$E$2:$E$98)))/MIN(IF($C$2:$C$98=C85,$E$2:$E$98))</f>
        <v>0</v>
      </c>
    </row>
    <row r="86" spans="1:8" ht="15.75" x14ac:dyDescent="0.25">
      <c r="A86" s="13" t="s">
        <v>3</v>
      </c>
      <c r="B86" s="13" t="s">
        <v>40</v>
      </c>
      <c r="C86" s="22" t="s">
        <v>77</v>
      </c>
      <c r="D86" s="1">
        <v>0.83</v>
      </c>
      <c r="E86" s="4">
        <v>30669</v>
      </c>
      <c r="F86" s="6">
        <f t="shared" si="1"/>
        <v>6.7153609305508359</v>
      </c>
      <c r="G86" s="9">
        <f t="array" ref="G86">(D86-MIN(IF($C$2:$C$98=C86,$D$2:$D$98)))/MIN(IF($C$2:$C$98=C86,$D$2:$D$98))</f>
        <v>2.4691358024691242E-2</v>
      </c>
      <c r="H86" s="10">
        <f t="array" ref="H86">(E86-MIN(IF($C$2:$C$98=C86,$E$2:$E$98)))/MIN(IF($C$2:$C$98=C86,$E$2:$E$98))</f>
        <v>0.16581138100125442</v>
      </c>
    </row>
    <row r="87" spans="1:8" ht="15.75" x14ac:dyDescent="0.25">
      <c r="A87" s="13" t="s">
        <v>3</v>
      </c>
      <c r="B87" s="13" t="s">
        <v>40</v>
      </c>
      <c r="C87" s="22" t="s">
        <v>77</v>
      </c>
      <c r="D87" s="1">
        <v>0.84</v>
      </c>
      <c r="E87" s="4">
        <v>33203</v>
      </c>
      <c r="F87" s="6">
        <f t="shared" si="1"/>
        <v>7.0776599384194521</v>
      </c>
      <c r="G87" s="9">
        <f t="array" ref="G87">(D87-MIN(IF($C$2:$C$98=C87,$D$2:$D$98)))/MIN(IF($C$2:$C$98=C87,$D$2:$D$98))</f>
        <v>3.7037037037036931E-2</v>
      </c>
      <c r="H87" s="10">
        <f t="array" ref="H87">(E87-MIN(IF($C$2:$C$98=C87,$E$2:$E$98)))/MIN(IF($C$2:$C$98=C87,$E$2:$E$98))</f>
        <v>0.26213555327479376</v>
      </c>
    </row>
    <row r="88" spans="1:8" ht="15.75" x14ac:dyDescent="0.25">
      <c r="A88" s="13" t="s">
        <v>3</v>
      </c>
      <c r="B88" s="13" t="s">
        <v>40</v>
      </c>
      <c r="C88" s="22" t="s">
        <v>77</v>
      </c>
      <c r="D88" s="1">
        <v>0.86</v>
      </c>
      <c r="E88" s="4">
        <v>39090</v>
      </c>
      <c r="F88" s="6">
        <f t="shared" si="1"/>
        <v>7.8718439958946398</v>
      </c>
      <c r="G88" s="9">
        <f t="array" ref="G88">(D88-MIN(IF($C$2:$C$98=C88,$D$2:$D$98)))/MIN(IF($C$2:$C$98=C88,$D$2:$D$98))</f>
        <v>6.1728395061728308E-2</v>
      </c>
      <c r="H88" s="10">
        <f t="array" ref="H88">(E88-MIN(IF($C$2:$C$98=C88,$E$2:$E$98)))/MIN(IF($C$2:$C$98=C88,$E$2:$E$98))</f>
        <v>0.48591629604287834</v>
      </c>
    </row>
    <row r="89" spans="1:8" ht="15.75" x14ac:dyDescent="0.25">
      <c r="A89" s="13" t="s">
        <v>3</v>
      </c>
      <c r="B89" s="13" t="s">
        <v>40</v>
      </c>
      <c r="C89" s="22" t="s">
        <v>62</v>
      </c>
      <c r="D89" s="1">
        <v>0.81</v>
      </c>
      <c r="E89" s="4">
        <v>39963</v>
      </c>
      <c r="F89" s="6" t="str">
        <f t="shared" si="1"/>
        <v/>
      </c>
      <c r="G89" s="9">
        <f t="array" ref="G89">(D89-MIN(IF($C$2:$C$98=C89,$D$2:$D$98)))/MIN(IF($C$2:$C$98=C89,$D$2:$D$98))</f>
        <v>0</v>
      </c>
      <c r="H89" s="10">
        <f t="array" ref="H89">(E89-MIN(IF($C$2:$C$98=C89,$E$2:$E$98)))/MIN(IF($C$2:$C$98=C89,$E$2:$E$98))</f>
        <v>0</v>
      </c>
    </row>
    <row r="90" spans="1:8" ht="15.75" x14ac:dyDescent="0.25">
      <c r="A90" s="13" t="s">
        <v>3</v>
      </c>
      <c r="B90" s="13" t="s">
        <v>40</v>
      </c>
      <c r="C90" s="22" t="s">
        <v>62</v>
      </c>
      <c r="D90" s="1">
        <v>0.83</v>
      </c>
      <c r="E90" s="4">
        <v>52256</v>
      </c>
      <c r="F90" s="6">
        <f t="shared" si="1"/>
        <v>12.458186322348229</v>
      </c>
      <c r="G90" s="9">
        <f t="array" ref="G90">(D90-MIN(IF($C$2:$C$98=C90,$D$2:$D$98)))/MIN(IF($C$2:$C$98=C90,$D$2:$D$98))</f>
        <v>2.4691358024691242E-2</v>
      </c>
      <c r="H90" s="10">
        <f t="array" ref="H90">(E90-MIN(IF($C$2:$C$98=C90,$E$2:$E$98)))/MIN(IF($C$2:$C$98=C90,$E$2:$E$98))</f>
        <v>0.30760953882341163</v>
      </c>
    </row>
    <row r="91" spans="1:8" ht="15.75" x14ac:dyDescent="0.25">
      <c r="A91" s="13" t="s">
        <v>3</v>
      </c>
      <c r="B91" s="13" t="s">
        <v>40</v>
      </c>
      <c r="C91" s="22" t="s">
        <v>62</v>
      </c>
      <c r="D91" s="1">
        <v>0.86</v>
      </c>
      <c r="E91" s="4">
        <v>75990</v>
      </c>
      <c r="F91" s="6">
        <f t="shared" si="1"/>
        <v>14.604444110802513</v>
      </c>
      <c r="G91" s="9">
        <f t="array" ref="G91">(D91-MIN(IF($C$2:$C$98=C91,$D$2:$D$98)))/MIN(IF($C$2:$C$98=C91,$D$2:$D$98))</f>
        <v>6.1728395061728308E-2</v>
      </c>
      <c r="H91" s="10">
        <f t="array" ref="H91">(E91-MIN(IF($C$2:$C$98=C91,$E$2:$E$98)))/MIN(IF($C$2:$C$98=C91,$E$2:$E$98))</f>
        <v>0.90150889572854886</v>
      </c>
    </row>
    <row r="92" spans="1:8" ht="15.75" x14ac:dyDescent="0.25">
      <c r="A92" s="13" t="s">
        <v>3</v>
      </c>
      <c r="B92" s="13" t="s">
        <v>40</v>
      </c>
      <c r="C92" s="22" t="s">
        <v>78</v>
      </c>
      <c r="D92" s="1">
        <v>0.8</v>
      </c>
      <c r="E92" s="4">
        <v>1193.3499999999999</v>
      </c>
      <c r="F92" s="6" t="str">
        <f t="shared" ref="F92:F98" si="2">IFERROR(H92/G92,"")</f>
        <v/>
      </c>
      <c r="G92" s="9">
        <f t="array" ref="G92">(D92-MIN(IF($C$2:$C$98=C92,$D$2:$D$98)))/MIN(IF($C$2:$C$98=C92,$D$2:$D$98))</f>
        <v>0</v>
      </c>
      <c r="H92" s="10">
        <f t="array" ref="H92">(E92-MIN(IF($C$2:$C$98=C92,$E$2:$E$98)))/MIN(IF($C$2:$C$98=C92,$E$2:$E$98))</f>
        <v>0</v>
      </c>
    </row>
    <row r="93" spans="1:8" ht="15.75" x14ac:dyDescent="0.25">
      <c r="A93" s="13" t="s">
        <v>3</v>
      </c>
      <c r="B93" s="13" t="s">
        <v>40</v>
      </c>
      <c r="C93" s="22" t="s">
        <v>78</v>
      </c>
      <c r="D93" s="1">
        <v>0.81</v>
      </c>
      <c r="E93" s="4">
        <v>1201.82</v>
      </c>
      <c r="F93" s="6">
        <f t="shared" si="2"/>
        <v>0.56781329869694697</v>
      </c>
      <c r="G93" s="9">
        <f t="array" ref="G93">(D93-MIN(IF($C$2:$C$98=C93,$D$2:$D$98)))/MIN(IF($C$2:$C$98=C93,$D$2:$D$98))</f>
        <v>1.2500000000000011E-2</v>
      </c>
      <c r="H93" s="10">
        <f t="array" ref="H93">(E93-MIN(IF($C$2:$C$98=C93,$E$2:$E$98)))/MIN(IF($C$2:$C$98=C93,$E$2:$E$98))</f>
        <v>7.0976662337118432E-3</v>
      </c>
    </row>
    <row r="94" spans="1:8" ht="15.75" x14ac:dyDescent="0.25">
      <c r="A94" s="13" t="s">
        <v>3</v>
      </c>
      <c r="B94" s="13" t="s">
        <v>40</v>
      </c>
      <c r="C94" s="22" t="s">
        <v>78</v>
      </c>
      <c r="D94" s="1">
        <v>0.82</v>
      </c>
      <c r="E94" s="4">
        <v>1211.1400000000001</v>
      </c>
      <c r="F94" s="6">
        <f t="shared" si="2"/>
        <v>0.59630452088658903</v>
      </c>
      <c r="G94" s="9">
        <f t="array" ref="G94">(D94-MIN(IF($C$2:$C$98=C94,$D$2:$D$98)))/MIN(IF($C$2:$C$98=C94,$D$2:$D$98))</f>
        <v>2.4999999999999883E-2</v>
      </c>
      <c r="H94" s="10">
        <f t="array" ref="H94">(E94-MIN(IF($C$2:$C$98=C94,$E$2:$E$98)))/MIN(IF($C$2:$C$98=C94,$E$2:$E$98))</f>
        <v>1.4907613022164656E-2</v>
      </c>
    </row>
    <row r="95" spans="1:8" ht="15.75" x14ac:dyDescent="0.25">
      <c r="A95" s="13" t="s">
        <v>3</v>
      </c>
      <c r="B95" s="13" t="s">
        <v>40</v>
      </c>
      <c r="C95" s="22" t="s">
        <v>78</v>
      </c>
      <c r="D95" s="1">
        <v>0.92</v>
      </c>
      <c r="E95" s="4">
        <v>2379.85</v>
      </c>
      <c r="F95" s="6">
        <f t="shared" si="2"/>
        <v>6.6283990447060805</v>
      </c>
      <c r="G95" s="9">
        <f t="array" ref="G95">(D95-MIN(IF($C$2:$C$98=C95,$D$2:$D$98)))/MIN(IF($C$2:$C$98=C95,$D$2:$D$98))</f>
        <v>0.15</v>
      </c>
      <c r="H95" s="10">
        <f t="array" ref="H95">(E95-MIN(IF($C$2:$C$98=C95,$E$2:$E$98)))/MIN(IF($C$2:$C$98=C95,$E$2:$E$98))</f>
        <v>0.99425985670591199</v>
      </c>
    </row>
    <row r="96" spans="1:8" ht="15.75" x14ac:dyDescent="0.25">
      <c r="A96" s="13" t="s">
        <v>3</v>
      </c>
      <c r="B96" s="13" t="s">
        <v>40</v>
      </c>
      <c r="C96" s="22" t="s">
        <v>79</v>
      </c>
      <c r="D96" s="1">
        <v>0.81</v>
      </c>
      <c r="E96" s="4">
        <v>4677.1099999999997</v>
      </c>
      <c r="F96" s="6" t="str">
        <f t="shared" si="2"/>
        <v/>
      </c>
      <c r="G96" s="9">
        <f t="array" ref="G96">(D96-MIN(IF($C$2:$C$98=C96,$D$2:$D$98)))/MIN(IF($C$2:$C$98=C96,$D$2:$D$98))</f>
        <v>0</v>
      </c>
      <c r="H96" s="10">
        <f t="array" ref="H96">(E96-MIN(IF($C$2:$C$98=C96,$E$2:$E$98)))/MIN(IF($C$2:$C$98=C96,$E$2:$E$98))</f>
        <v>0</v>
      </c>
    </row>
    <row r="97" spans="1:8" ht="15.75" x14ac:dyDescent="0.25">
      <c r="A97" s="13" t="s">
        <v>3</v>
      </c>
      <c r="B97" s="13" t="s">
        <v>40</v>
      </c>
      <c r="C97" s="22" t="s">
        <v>79</v>
      </c>
      <c r="D97" s="1">
        <v>0.82</v>
      </c>
      <c r="E97" s="4">
        <v>4728.3100000000004</v>
      </c>
      <c r="F97" s="6">
        <f t="shared" si="2"/>
        <v>0.88670140321696556</v>
      </c>
      <c r="G97" s="9">
        <f t="array" ref="G97">(D97-MIN(IF($C$2:$C$98=C97,$D$2:$D$98)))/MIN(IF($C$2:$C$98=C97,$D$2:$D$98))</f>
        <v>1.2345679012345552E-2</v>
      </c>
      <c r="H97" s="10">
        <f t="array" ref="H97">(E97-MIN(IF($C$2:$C$98=C97,$E$2:$E$98)))/MIN(IF($C$2:$C$98=C97,$E$2:$E$98))</f>
        <v>1.0946930903913042E-2</v>
      </c>
    </row>
    <row r="98" spans="1:8" ht="15.75" x14ac:dyDescent="0.25">
      <c r="A98" s="13" t="s">
        <v>3</v>
      </c>
      <c r="B98" s="13" t="s">
        <v>40</v>
      </c>
      <c r="C98" s="22" t="s">
        <v>79</v>
      </c>
      <c r="D98" s="1">
        <v>0.92</v>
      </c>
      <c r="E98" s="4">
        <v>5867.8</v>
      </c>
      <c r="F98" s="6">
        <f t="shared" si="2"/>
        <v>1.8746209051782381</v>
      </c>
      <c r="G98" s="9">
        <f t="array" ref="G98">(D98-MIN(IF($C$2:$C$98=C98,$D$2:$D$98)))/MIN(IF($C$2:$C$98=C98,$D$2:$D$98))</f>
        <v>0.13580246913580243</v>
      </c>
      <c r="H98" s="10">
        <f t="array" ref="H98">(E98-MIN(IF($C$2:$C$98=C98,$E$2:$E$98)))/MIN(IF($C$2:$C$98=C98,$E$2:$E$98))</f>
        <v>0.2545781476167977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4"/>
  <sheetViews>
    <sheetView workbookViewId="0"/>
  </sheetViews>
  <sheetFormatPr defaultRowHeight="15" x14ac:dyDescent="0.25"/>
  <cols>
    <col min="1" max="1" width="16.28515625" bestFit="1" customWidth="1"/>
    <col min="2" max="2" width="13.140625" bestFit="1" customWidth="1"/>
    <col min="3" max="3" width="49" customWidth="1"/>
    <col min="4" max="4" width="21" bestFit="1" customWidth="1"/>
    <col min="5" max="5" width="36.140625" bestFit="1" customWidth="1"/>
    <col min="6" max="6" width="28.85546875" bestFit="1" customWidth="1"/>
    <col min="7" max="7" width="8.85546875" bestFit="1" customWidth="1"/>
    <col min="8" max="8" width="35.85546875" bestFit="1" customWidth="1"/>
    <col min="9" max="9" width="16.7109375" bestFit="1" customWidth="1"/>
  </cols>
  <sheetData>
    <row r="1" spans="1:16" ht="14.45" x14ac:dyDescent="0.35">
      <c r="A1" t="s">
        <v>1</v>
      </c>
      <c r="B1" t="s">
        <v>2</v>
      </c>
      <c r="C1" t="s">
        <v>4</v>
      </c>
      <c r="D1" t="s">
        <v>35</v>
      </c>
      <c r="E1" t="s">
        <v>36</v>
      </c>
      <c r="F1" t="s">
        <v>45</v>
      </c>
      <c r="G1" t="s">
        <v>0</v>
      </c>
      <c r="H1" t="s">
        <v>9</v>
      </c>
      <c r="I1" t="s">
        <v>13</v>
      </c>
      <c r="P1" s="7"/>
    </row>
    <row r="2" spans="1:16" ht="14.45" x14ac:dyDescent="0.35">
      <c r="A2" t="s">
        <v>21</v>
      </c>
      <c r="B2" t="s">
        <v>7</v>
      </c>
      <c r="C2" t="s">
        <v>28</v>
      </c>
      <c r="D2" s="11">
        <v>13.6</v>
      </c>
      <c r="E2" s="12">
        <f>1/D2</f>
        <v>7.3529411764705885E-2</v>
      </c>
      <c r="F2" s="13">
        <v>3042</v>
      </c>
      <c r="G2" s="6" t="str">
        <f>IFERROR(I2/H2,"")</f>
        <v/>
      </c>
      <c r="H2" s="9">
        <f t="array" ref="H2">(E2-MAX(IF($C$2:$C$154=C2,$E$2:$E$154)))/MAX(IF($C$2:$C$154=C2,$E$2:$E$154))*-1</f>
        <v>0</v>
      </c>
      <c r="I2" s="10">
        <f t="array" ref="I2">(F2-MIN(IF($C$2:$C$154=C2,$F$2:$F$154)))/MIN(IF($C$2:$C$154=C2,$F$2:$F$154))</f>
        <v>0</v>
      </c>
      <c r="P2" s="7"/>
    </row>
    <row r="3" spans="1:16" ht="14.45" x14ac:dyDescent="0.35">
      <c r="A3" t="s">
        <v>21</v>
      </c>
      <c r="B3" t="s">
        <v>7</v>
      </c>
      <c r="C3" t="s">
        <v>28</v>
      </c>
      <c r="D3" s="13">
        <v>14</v>
      </c>
      <c r="E3" s="12">
        <f t="shared" ref="E3:E66" si="0">1/D3</f>
        <v>7.1428571428571425E-2</v>
      </c>
      <c r="F3" s="13">
        <v>3099</v>
      </c>
      <c r="G3" s="6">
        <f t="shared" ref="G3:G66" si="1">IFERROR(I3/H3,"")</f>
        <v>0.65581854043392307</v>
      </c>
      <c r="H3" s="9">
        <f t="array" ref="H3">(E3-MAX(IF($C$2:$C$154=C3,$E$2:$E$154)))/MAX(IF($C$2:$C$154=C3,$E$2:$E$154))*-1</f>
        <v>2.8571428571428657E-2</v>
      </c>
      <c r="I3" s="10">
        <f t="array" ref="I3">(F3-MIN(IF($C$2:$C$154=C3,$F$2:$F$154)))/MIN(IF($C$2:$C$154=C3,$F$2:$F$154))</f>
        <v>1.8737672583826429E-2</v>
      </c>
      <c r="P3" s="7"/>
    </row>
    <row r="4" spans="1:16" ht="14.45" x14ac:dyDescent="0.35">
      <c r="A4" t="s">
        <v>21</v>
      </c>
      <c r="B4" t="s">
        <v>7</v>
      </c>
      <c r="C4" t="s">
        <v>28</v>
      </c>
      <c r="D4" s="13">
        <v>14.5</v>
      </c>
      <c r="E4" s="12">
        <f t="shared" si="0"/>
        <v>6.8965517241379309E-2</v>
      </c>
      <c r="F4" s="13">
        <v>3164</v>
      </c>
      <c r="G4" s="6">
        <f t="shared" si="1"/>
        <v>0.64613923588282507</v>
      </c>
      <c r="H4" s="9">
        <f t="array" ref="H4">(E4-MAX(IF($C$2:$C$154=C4,$E$2:$E$154)))/MAX(IF($C$2:$C$154=C4,$E$2:$E$154))*-1</f>
        <v>6.2068965517241427E-2</v>
      </c>
      <c r="I4" s="10">
        <f t="array" ref="I4">(F4-MIN(IF($C$2:$C$154=C4,$F$2:$F$154)))/MIN(IF($C$2:$C$154=C4,$F$2:$F$154))</f>
        <v>4.0105193951347796E-2</v>
      </c>
      <c r="P4" s="7"/>
    </row>
    <row r="5" spans="1:16" ht="14.45" x14ac:dyDescent="0.35">
      <c r="A5" t="s">
        <v>21</v>
      </c>
      <c r="B5" t="s">
        <v>7</v>
      </c>
      <c r="C5" t="s">
        <v>28</v>
      </c>
      <c r="D5" s="13">
        <v>15</v>
      </c>
      <c r="E5" s="12">
        <f t="shared" si="0"/>
        <v>6.6666666666666666E-2</v>
      </c>
      <c r="F5" s="13">
        <v>3226</v>
      </c>
      <c r="G5" s="6">
        <f t="shared" si="1"/>
        <v>0.64806987883910927</v>
      </c>
      <c r="H5" s="9">
        <f t="array" ref="H5">(E5-MAX(IF($C$2:$C$154=C5,$E$2:$E$154)))/MAX(IF($C$2:$C$154=C5,$E$2:$E$154))*-1</f>
        <v>9.3333333333333379E-2</v>
      </c>
      <c r="I5" s="10">
        <f t="array" ref="I5">(F5-MIN(IF($C$2:$C$154=C5,$F$2:$F$154)))/MIN(IF($C$2:$C$154=C5,$F$2:$F$154))</f>
        <v>6.0486522024983565E-2</v>
      </c>
      <c r="P5" s="7"/>
    </row>
    <row r="6" spans="1:16" ht="14.45" x14ac:dyDescent="0.35">
      <c r="A6" t="s">
        <v>21</v>
      </c>
      <c r="B6" t="s">
        <v>7</v>
      </c>
      <c r="C6" t="s">
        <v>28</v>
      </c>
      <c r="D6" s="13">
        <v>15.5</v>
      </c>
      <c r="E6" s="12">
        <f t="shared" si="0"/>
        <v>6.4516129032258063E-2</v>
      </c>
      <c r="F6" s="13">
        <v>3293</v>
      </c>
      <c r="G6" s="6">
        <f t="shared" si="1"/>
        <v>0.67312017716875994</v>
      </c>
      <c r="H6" s="9">
        <f t="array" ref="H6">(E6-MAX(IF($C$2:$C$154=C6,$E$2:$E$154)))/MAX(IF($C$2:$C$154=C6,$E$2:$E$154))*-1</f>
        <v>0.12258064516129037</v>
      </c>
      <c r="I6" s="10">
        <f t="array" ref="I6">(F6-MIN(IF($C$2:$C$154=C6,$F$2:$F$154)))/MIN(IF($C$2:$C$154=C6,$F$2:$F$154))</f>
        <v>8.2511505588428666E-2</v>
      </c>
      <c r="P6" s="7"/>
    </row>
    <row r="7" spans="1:16" ht="14.45" x14ac:dyDescent="0.35">
      <c r="A7" t="s">
        <v>21</v>
      </c>
      <c r="B7" t="s">
        <v>7</v>
      </c>
      <c r="C7" t="s">
        <v>28</v>
      </c>
      <c r="D7" s="13">
        <v>16</v>
      </c>
      <c r="E7" s="12">
        <f t="shared" si="0"/>
        <v>6.25E-2</v>
      </c>
      <c r="F7" s="13">
        <v>3364</v>
      </c>
      <c r="G7" s="6">
        <f t="shared" si="1"/>
        <v>0.70567609029147482</v>
      </c>
      <c r="H7" s="9">
        <f t="array" ref="H7">(E7-MAX(IF($C$2:$C$154=C7,$E$2:$E$154)))/MAX(IF($C$2:$C$154=C7,$E$2:$E$154))*-1</f>
        <v>0.15000000000000002</v>
      </c>
      <c r="I7" s="10">
        <f t="array" ref="I7">(F7-MIN(IF($C$2:$C$154=C7,$F$2:$F$154)))/MIN(IF($C$2:$C$154=C7,$F$2:$F$154))</f>
        <v>0.10585141354372124</v>
      </c>
      <c r="P7" s="7"/>
    </row>
    <row r="8" spans="1:16" ht="14.45" x14ac:dyDescent="0.35">
      <c r="A8" t="s">
        <v>21</v>
      </c>
      <c r="B8" t="s">
        <v>7</v>
      </c>
      <c r="C8" t="s">
        <v>28</v>
      </c>
      <c r="D8" s="13">
        <v>17</v>
      </c>
      <c r="E8" s="12">
        <f t="shared" si="0"/>
        <v>5.8823529411764705E-2</v>
      </c>
      <c r="F8" s="13">
        <v>3498</v>
      </c>
      <c r="G8" s="6">
        <f t="shared" si="1"/>
        <v>0.74950690335305703</v>
      </c>
      <c r="H8" s="9">
        <f t="array" ref="H8">(E8-MAX(IF($C$2:$C$154=C8,$E$2:$E$154)))/MAX(IF($C$2:$C$154=C8,$E$2:$E$154))*-1</f>
        <v>0.20000000000000004</v>
      </c>
      <c r="I8" s="10">
        <f t="array" ref="I8">(F8-MIN(IF($C$2:$C$154=C8,$F$2:$F$154)))/MIN(IF($C$2:$C$154=C8,$F$2:$F$154))</f>
        <v>0.14990138067061143</v>
      </c>
      <c r="P8" s="7"/>
    </row>
    <row r="9" spans="1:16" ht="14.45" x14ac:dyDescent="0.35">
      <c r="A9" t="s">
        <v>21</v>
      </c>
      <c r="B9" t="s">
        <v>7</v>
      </c>
      <c r="C9" t="s">
        <v>28</v>
      </c>
      <c r="D9" s="13">
        <v>17.5</v>
      </c>
      <c r="E9" s="12">
        <f t="shared" si="0"/>
        <v>5.7142857142857141E-2</v>
      </c>
      <c r="F9" s="13">
        <v>3606</v>
      </c>
      <c r="G9" s="6">
        <f t="shared" si="1"/>
        <v>0.83194254791887901</v>
      </c>
      <c r="H9" s="9">
        <f t="array" ref="H9">(E9-MAX(IF($C$2:$C$154=C9,$E$2:$E$154)))/MAX(IF($C$2:$C$154=C9,$E$2:$E$154))*-1</f>
        <v>0.22285714285714292</v>
      </c>
      <c r="I9" s="10">
        <f t="array" ref="I9">(F9-MIN(IF($C$2:$C$154=C9,$F$2:$F$154)))/MIN(IF($C$2:$C$154=C9,$F$2:$F$154))</f>
        <v>0.1854043392504931</v>
      </c>
      <c r="P9" s="7"/>
    </row>
    <row r="10" spans="1:16" ht="14.45" x14ac:dyDescent="0.35">
      <c r="A10" t="s">
        <v>21</v>
      </c>
      <c r="B10" t="s">
        <v>7</v>
      </c>
      <c r="C10" t="s">
        <v>28</v>
      </c>
      <c r="D10" s="13">
        <v>18</v>
      </c>
      <c r="E10" s="12">
        <f t="shared" si="0"/>
        <v>5.5555555555555552E-2</v>
      </c>
      <c r="F10" s="13">
        <v>3742</v>
      </c>
      <c r="G10" s="6">
        <f t="shared" si="1"/>
        <v>0.94136632598171033</v>
      </c>
      <c r="H10" s="9">
        <f t="array" ref="H10">(E10-MAX(IF($C$2:$C$154=C10,$E$2:$E$154)))/MAX(IF($C$2:$C$154=C10,$E$2:$E$154))*-1</f>
        <v>0.24444444444444452</v>
      </c>
      <c r="I10" s="10">
        <f t="array" ref="I10">(F10-MIN(IF($C$2:$C$154=C10,$F$2:$F$154)))/MIN(IF($C$2:$C$154=C10,$F$2:$F$154))</f>
        <v>0.23011176857330704</v>
      </c>
      <c r="P10" s="7"/>
    </row>
    <row r="11" spans="1:16" ht="14.45" x14ac:dyDescent="0.35">
      <c r="A11" t="s">
        <v>21</v>
      </c>
      <c r="B11" t="s">
        <v>7</v>
      </c>
      <c r="C11" t="s">
        <v>28</v>
      </c>
      <c r="D11" s="13">
        <v>20</v>
      </c>
      <c r="E11" s="12">
        <f t="shared" si="0"/>
        <v>0.05</v>
      </c>
      <c r="F11" s="13">
        <v>3759</v>
      </c>
      <c r="G11" s="6">
        <f t="shared" si="1"/>
        <v>0.73656311637080873</v>
      </c>
      <c r="H11" s="9">
        <f t="array" ref="H11">(E11-MAX(IF($C$2:$C$154=C11,$E$2:$E$154)))/MAX(IF($C$2:$C$154=C11,$E$2:$E$154))*-1</f>
        <v>0.32</v>
      </c>
      <c r="I11" s="10">
        <f t="array" ref="I11">(F11-MIN(IF($C$2:$C$154=C11,$F$2:$F$154)))/MIN(IF($C$2:$C$154=C11,$F$2:$F$154))</f>
        <v>0.23570019723865879</v>
      </c>
      <c r="P11" s="7"/>
    </row>
    <row r="12" spans="1:16" ht="14.45" x14ac:dyDescent="0.35">
      <c r="A12" t="s">
        <v>21</v>
      </c>
      <c r="B12" t="s">
        <v>7</v>
      </c>
      <c r="C12" t="s">
        <v>28</v>
      </c>
      <c r="D12" s="13">
        <v>22</v>
      </c>
      <c r="E12" s="12">
        <f t="shared" si="0"/>
        <v>4.5454545454545456E-2</v>
      </c>
      <c r="F12" s="13">
        <v>3777</v>
      </c>
      <c r="G12" s="6">
        <f t="shared" si="1"/>
        <v>0.63280736357659439</v>
      </c>
      <c r="H12" s="9">
        <f t="array" ref="H12">(E12-MAX(IF($C$2:$C$154=C12,$E$2:$E$154)))/MAX(IF($C$2:$C$154=C12,$E$2:$E$154))*-1</f>
        <v>0.38181818181818183</v>
      </c>
      <c r="I12" s="10">
        <f t="array" ref="I12">(F12-MIN(IF($C$2:$C$154=C12,$F$2:$F$154)))/MIN(IF($C$2:$C$154=C12,$F$2:$F$154))</f>
        <v>0.2416173570019724</v>
      </c>
      <c r="P12" s="7"/>
    </row>
    <row r="13" spans="1:16" ht="14.45" x14ac:dyDescent="0.35">
      <c r="A13" t="s">
        <v>21</v>
      </c>
      <c r="B13" t="s">
        <v>7</v>
      </c>
      <c r="C13" t="s">
        <v>28</v>
      </c>
      <c r="D13" s="13">
        <v>24</v>
      </c>
      <c r="E13" s="12">
        <f t="shared" si="0"/>
        <v>4.1666666666666664E-2</v>
      </c>
      <c r="F13" s="13">
        <v>3827</v>
      </c>
      <c r="G13" s="6">
        <f t="shared" si="1"/>
        <v>0.5955090274616901</v>
      </c>
      <c r="H13" s="9">
        <f t="array" ref="H13">(E13-MAX(IF($C$2:$C$154=C13,$E$2:$E$154)))/MAX(IF($C$2:$C$154=C13,$E$2:$E$154))*-1</f>
        <v>0.4333333333333334</v>
      </c>
      <c r="I13" s="10">
        <f t="array" ref="I13">(F13-MIN(IF($C$2:$C$154=C13,$F$2:$F$154)))/MIN(IF($C$2:$C$154=C13,$F$2:$F$154))</f>
        <v>0.25805391190006577</v>
      </c>
      <c r="P13" s="7"/>
    </row>
    <row r="14" spans="1:16" ht="14.45" x14ac:dyDescent="0.35">
      <c r="A14" t="s">
        <v>21</v>
      </c>
      <c r="B14" t="s">
        <v>7</v>
      </c>
      <c r="C14" t="s">
        <v>28</v>
      </c>
      <c r="D14" s="13">
        <v>25.2</v>
      </c>
      <c r="E14" s="12">
        <f t="shared" si="0"/>
        <v>3.968253968253968E-2</v>
      </c>
      <c r="F14" s="13">
        <v>3883</v>
      </c>
      <c r="G14" s="6">
        <f t="shared" si="1"/>
        <v>0.60059171597633132</v>
      </c>
      <c r="H14" s="9">
        <f t="array" ref="H14">(E14-MAX(IF($C$2:$C$154=C14,$E$2:$E$154)))/MAX(IF($C$2:$C$154=C14,$E$2:$E$154))*-1</f>
        <v>0.46031746031746035</v>
      </c>
      <c r="I14" s="10">
        <f t="array" ref="I14">(F14-MIN(IF($C$2:$C$154=C14,$F$2:$F$154)))/MIN(IF($C$2:$C$154=C14,$F$2:$F$154))</f>
        <v>0.2764628533859303</v>
      </c>
      <c r="P14" s="7"/>
    </row>
    <row r="15" spans="1:16" ht="14.45" x14ac:dyDescent="0.35">
      <c r="A15" t="s">
        <v>21</v>
      </c>
      <c r="B15" t="s">
        <v>7</v>
      </c>
      <c r="C15" t="s">
        <v>29</v>
      </c>
      <c r="D15">
        <v>13.6</v>
      </c>
      <c r="E15" s="12">
        <f t="shared" si="0"/>
        <v>7.3529411764705885E-2</v>
      </c>
      <c r="F15" s="13">
        <v>3042</v>
      </c>
      <c r="G15" s="6" t="str">
        <f t="shared" si="1"/>
        <v/>
      </c>
      <c r="H15" s="9">
        <f t="array" ref="H15">(E15-MAX(IF($C$2:$C$154=C15,$E$2:$E$154)))/MAX(IF($C$2:$C$154=C15,$E$2:$E$154))*-1</f>
        <v>0</v>
      </c>
      <c r="I15" s="10">
        <f t="array" ref="I15">(F15-MIN(IF($C$2:$C$154=C15,$F$2:$F$154)))/MIN(IF($C$2:$C$154=C15,$F$2:$F$154))</f>
        <v>0</v>
      </c>
      <c r="P15" s="7"/>
    </row>
    <row r="16" spans="1:16" ht="14.45" x14ac:dyDescent="0.35">
      <c r="A16" t="s">
        <v>21</v>
      </c>
      <c r="B16" t="s">
        <v>7</v>
      </c>
      <c r="C16" t="s">
        <v>29</v>
      </c>
      <c r="D16">
        <v>14</v>
      </c>
      <c r="E16" s="12">
        <f t="shared" si="0"/>
        <v>7.1428571428571425E-2</v>
      </c>
      <c r="F16" s="13">
        <v>3099</v>
      </c>
      <c r="G16" s="6">
        <f t="shared" si="1"/>
        <v>0.65581854043392307</v>
      </c>
      <c r="H16" s="9">
        <f t="array" ref="H16">(E16-MAX(IF($C$2:$C$154=C16,$E$2:$E$154)))/MAX(IF($C$2:$C$154=C16,$E$2:$E$154))*-1</f>
        <v>2.8571428571428657E-2</v>
      </c>
      <c r="I16" s="10">
        <f t="array" ref="I16">(F16-MIN(IF($C$2:$C$154=C16,$F$2:$F$154)))/MIN(IF($C$2:$C$154=C16,$F$2:$F$154))</f>
        <v>1.8737672583826429E-2</v>
      </c>
      <c r="P16" s="7"/>
    </row>
    <row r="17" spans="1:16" ht="14.45" x14ac:dyDescent="0.35">
      <c r="A17" t="s">
        <v>21</v>
      </c>
      <c r="B17" t="s">
        <v>7</v>
      </c>
      <c r="C17" t="s">
        <v>29</v>
      </c>
      <c r="D17">
        <v>14.5</v>
      </c>
      <c r="E17" s="12">
        <f t="shared" si="0"/>
        <v>6.8965517241379309E-2</v>
      </c>
      <c r="F17" s="13">
        <v>3164</v>
      </c>
      <c r="G17" s="6">
        <f t="shared" si="1"/>
        <v>0.64613923588282507</v>
      </c>
      <c r="H17" s="9">
        <f t="array" ref="H17">(E17-MAX(IF($C$2:$C$154=C17,$E$2:$E$154)))/MAX(IF($C$2:$C$154=C17,$E$2:$E$154))*-1</f>
        <v>6.2068965517241427E-2</v>
      </c>
      <c r="I17" s="10">
        <f t="array" ref="I17">(F17-MIN(IF($C$2:$C$154=C17,$F$2:$F$154)))/MIN(IF($C$2:$C$154=C17,$F$2:$F$154))</f>
        <v>4.0105193951347796E-2</v>
      </c>
      <c r="P17" s="7"/>
    </row>
    <row r="18" spans="1:16" ht="14.45" x14ac:dyDescent="0.35">
      <c r="A18" t="s">
        <v>21</v>
      </c>
      <c r="B18" t="s">
        <v>7</v>
      </c>
      <c r="C18" t="s">
        <v>29</v>
      </c>
      <c r="D18">
        <v>15</v>
      </c>
      <c r="E18" s="12">
        <f t="shared" si="0"/>
        <v>6.6666666666666666E-2</v>
      </c>
      <c r="F18" s="13">
        <v>3226</v>
      </c>
      <c r="G18" s="6">
        <f t="shared" si="1"/>
        <v>0.64806987883910927</v>
      </c>
      <c r="H18" s="9">
        <f t="array" ref="H18">(E18-MAX(IF($C$2:$C$154=C18,$E$2:$E$154)))/MAX(IF($C$2:$C$154=C18,$E$2:$E$154))*-1</f>
        <v>9.3333333333333379E-2</v>
      </c>
      <c r="I18" s="10">
        <f t="array" ref="I18">(F18-MIN(IF($C$2:$C$154=C18,$F$2:$F$154)))/MIN(IF($C$2:$C$154=C18,$F$2:$F$154))</f>
        <v>6.0486522024983565E-2</v>
      </c>
      <c r="P18" s="7"/>
    </row>
    <row r="19" spans="1:16" ht="14.45" x14ac:dyDescent="0.35">
      <c r="A19" t="s">
        <v>21</v>
      </c>
      <c r="B19" t="s">
        <v>7</v>
      </c>
      <c r="C19" t="s">
        <v>29</v>
      </c>
      <c r="D19">
        <v>15.5</v>
      </c>
      <c r="E19" s="12">
        <f t="shared" si="0"/>
        <v>6.4516129032258063E-2</v>
      </c>
      <c r="F19" s="13">
        <v>3293</v>
      </c>
      <c r="G19" s="6">
        <f t="shared" si="1"/>
        <v>0.67312017716875994</v>
      </c>
      <c r="H19" s="9">
        <f t="array" ref="H19">(E19-MAX(IF($C$2:$C$154=C19,$E$2:$E$154)))/MAX(IF($C$2:$C$154=C19,$E$2:$E$154))*-1</f>
        <v>0.12258064516129037</v>
      </c>
      <c r="I19" s="10">
        <f t="array" ref="I19">(F19-MIN(IF($C$2:$C$154=C19,$F$2:$F$154)))/MIN(IF($C$2:$C$154=C19,$F$2:$F$154))</f>
        <v>8.2511505588428666E-2</v>
      </c>
      <c r="P19" s="7"/>
    </row>
    <row r="20" spans="1:16" ht="14.45" x14ac:dyDescent="0.35">
      <c r="A20" t="s">
        <v>21</v>
      </c>
      <c r="B20" t="s">
        <v>7</v>
      </c>
      <c r="C20" t="s">
        <v>29</v>
      </c>
      <c r="D20">
        <v>16</v>
      </c>
      <c r="E20" s="12">
        <f t="shared" si="0"/>
        <v>6.25E-2</v>
      </c>
      <c r="F20" s="13">
        <v>3364</v>
      </c>
      <c r="G20" s="6">
        <f t="shared" si="1"/>
        <v>0.70567609029147482</v>
      </c>
      <c r="H20" s="9">
        <f t="array" ref="H20">(E20-MAX(IF($C$2:$C$154=C20,$E$2:$E$154)))/MAX(IF($C$2:$C$154=C20,$E$2:$E$154))*-1</f>
        <v>0.15000000000000002</v>
      </c>
      <c r="I20" s="10">
        <f t="array" ref="I20">(F20-MIN(IF($C$2:$C$154=C20,$F$2:$F$154)))/MIN(IF($C$2:$C$154=C20,$F$2:$F$154))</f>
        <v>0.10585141354372124</v>
      </c>
      <c r="P20" s="7"/>
    </row>
    <row r="21" spans="1:16" ht="14.45" x14ac:dyDescent="0.35">
      <c r="A21" t="s">
        <v>21</v>
      </c>
      <c r="B21" t="s">
        <v>7</v>
      </c>
      <c r="C21" t="s">
        <v>29</v>
      </c>
      <c r="D21">
        <v>17</v>
      </c>
      <c r="E21" s="12">
        <f t="shared" si="0"/>
        <v>5.8823529411764705E-2</v>
      </c>
      <c r="F21" s="13">
        <v>3498</v>
      </c>
      <c r="G21" s="6">
        <f t="shared" si="1"/>
        <v>0.74950690335305703</v>
      </c>
      <c r="H21" s="9">
        <f t="array" ref="H21">(E21-MAX(IF($C$2:$C$154=C21,$E$2:$E$154)))/MAX(IF($C$2:$C$154=C21,$E$2:$E$154))*-1</f>
        <v>0.20000000000000004</v>
      </c>
      <c r="I21" s="10">
        <f t="array" ref="I21">(F21-MIN(IF($C$2:$C$154=C21,$F$2:$F$154)))/MIN(IF($C$2:$C$154=C21,$F$2:$F$154))</f>
        <v>0.14990138067061143</v>
      </c>
      <c r="P21" s="7"/>
    </row>
    <row r="22" spans="1:16" ht="14.45" x14ac:dyDescent="0.35">
      <c r="A22" t="s">
        <v>21</v>
      </c>
      <c r="B22" t="s">
        <v>7</v>
      </c>
      <c r="C22" t="s">
        <v>29</v>
      </c>
      <c r="D22">
        <v>17.5</v>
      </c>
      <c r="E22" s="12">
        <f t="shared" si="0"/>
        <v>5.7142857142857141E-2</v>
      </c>
      <c r="F22" s="13">
        <v>3606</v>
      </c>
      <c r="G22" s="6">
        <f t="shared" si="1"/>
        <v>0.83194254791887901</v>
      </c>
      <c r="H22" s="9">
        <f t="array" ref="H22">(E22-MAX(IF($C$2:$C$154=C22,$E$2:$E$154)))/MAX(IF($C$2:$C$154=C22,$E$2:$E$154))*-1</f>
        <v>0.22285714285714292</v>
      </c>
      <c r="I22" s="10">
        <f t="array" ref="I22">(F22-MIN(IF($C$2:$C$154=C22,$F$2:$F$154)))/MIN(IF($C$2:$C$154=C22,$F$2:$F$154))</f>
        <v>0.1854043392504931</v>
      </c>
      <c r="P22" s="7"/>
    </row>
    <row r="23" spans="1:16" ht="14.45" x14ac:dyDescent="0.35">
      <c r="A23" t="s">
        <v>21</v>
      </c>
      <c r="B23" t="s">
        <v>7</v>
      </c>
      <c r="C23" t="s">
        <v>29</v>
      </c>
      <c r="D23">
        <v>18</v>
      </c>
      <c r="E23" s="12">
        <f t="shared" si="0"/>
        <v>5.5555555555555552E-2</v>
      </c>
      <c r="F23" s="13">
        <v>3742</v>
      </c>
      <c r="G23" s="6">
        <f t="shared" si="1"/>
        <v>0.94136632598171033</v>
      </c>
      <c r="H23" s="9">
        <f t="array" ref="H23">(E23-MAX(IF($C$2:$C$154=C23,$E$2:$E$154)))/MAX(IF($C$2:$C$154=C23,$E$2:$E$154))*-1</f>
        <v>0.24444444444444452</v>
      </c>
      <c r="I23" s="10">
        <f t="array" ref="I23">(F23-MIN(IF($C$2:$C$154=C23,$F$2:$F$154)))/MIN(IF($C$2:$C$154=C23,$F$2:$F$154))</f>
        <v>0.23011176857330704</v>
      </c>
      <c r="P23" s="7"/>
    </row>
    <row r="24" spans="1:16" ht="14.45" x14ac:dyDescent="0.35">
      <c r="A24" t="s">
        <v>21</v>
      </c>
      <c r="B24" t="s">
        <v>7</v>
      </c>
      <c r="C24" t="s">
        <v>29</v>
      </c>
      <c r="D24">
        <v>20</v>
      </c>
      <c r="E24" s="12">
        <f t="shared" si="0"/>
        <v>0.05</v>
      </c>
      <c r="F24" s="13">
        <v>3759</v>
      </c>
      <c r="G24" s="6">
        <f t="shared" si="1"/>
        <v>0.73656311637080873</v>
      </c>
      <c r="H24" s="9">
        <f t="array" ref="H24">(E24-MAX(IF($C$2:$C$154=C24,$E$2:$E$154)))/MAX(IF($C$2:$C$154=C24,$E$2:$E$154))*-1</f>
        <v>0.32</v>
      </c>
      <c r="I24" s="10">
        <f t="array" ref="I24">(F24-MIN(IF($C$2:$C$154=C24,$F$2:$F$154)))/MIN(IF($C$2:$C$154=C24,$F$2:$F$154))</f>
        <v>0.23570019723865879</v>
      </c>
      <c r="P24" s="7"/>
    </row>
    <row r="25" spans="1:16" ht="14.45" x14ac:dyDescent="0.35">
      <c r="A25" t="s">
        <v>21</v>
      </c>
      <c r="B25" t="s">
        <v>7</v>
      </c>
      <c r="C25" t="s">
        <v>29</v>
      </c>
      <c r="D25">
        <v>22</v>
      </c>
      <c r="E25" s="12">
        <f t="shared" si="0"/>
        <v>4.5454545454545456E-2</v>
      </c>
      <c r="F25" s="13">
        <v>3777</v>
      </c>
      <c r="G25" s="6">
        <f t="shared" si="1"/>
        <v>0.63280736357659439</v>
      </c>
      <c r="H25" s="9">
        <f t="array" ref="H25">(E25-MAX(IF($C$2:$C$154=C25,$E$2:$E$154)))/MAX(IF($C$2:$C$154=C25,$E$2:$E$154))*-1</f>
        <v>0.38181818181818183</v>
      </c>
      <c r="I25" s="10">
        <f t="array" ref="I25">(F25-MIN(IF($C$2:$C$154=C25,$F$2:$F$154)))/MIN(IF($C$2:$C$154=C25,$F$2:$F$154))</f>
        <v>0.2416173570019724</v>
      </c>
      <c r="P25" s="7"/>
    </row>
    <row r="26" spans="1:16" ht="14.45" x14ac:dyDescent="0.35">
      <c r="A26" t="s">
        <v>21</v>
      </c>
      <c r="B26" t="s">
        <v>7</v>
      </c>
      <c r="C26" t="s">
        <v>29</v>
      </c>
      <c r="D26">
        <v>23.3</v>
      </c>
      <c r="E26" s="12">
        <f t="shared" si="0"/>
        <v>4.2918454935622317E-2</v>
      </c>
      <c r="F26" s="13">
        <v>3827</v>
      </c>
      <c r="G26" s="6">
        <f t="shared" si="1"/>
        <v>0.61986145848160124</v>
      </c>
      <c r="H26" s="9">
        <f t="array" ref="H26">(E26-MAX(IF($C$2:$C$154=C26,$E$2:$E$154)))/MAX(IF($C$2:$C$154=C26,$E$2:$E$154))*-1</f>
        <v>0.41630901287553651</v>
      </c>
      <c r="I26" s="10">
        <f t="array" ref="I26">(F26-MIN(IF($C$2:$C$154=C26,$F$2:$F$154)))/MIN(IF($C$2:$C$154=C26,$F$2:$F$154))</f>
        <v>0.25805391190006577</v>
      </c>
      <c r="P26" s="7"/>
    </row>
    <row r="27" spans="1:16" ht="14.45" x14ac:dyDescent="0.35">
      <c r="A27" t="s">
        <v>21</v>
      </c>
      <c r="B27" t="s">
        <v>7</v>
      </c>
      <c r="C27" t="s">
        <v>30</v>
      </c>
      <c r="D27">
        <v>13.6</v>
      </c>
      <c r="E27" s="12">
        <f t="shared" si="0"/>
        <v>7.3529411764705885E-2</v>
      </c>
      <c r="F27" s="13">
        <v>3042</v>
      </c>
      <c r="G27" s="6" t="str">
        <f t="shared" si="1"/>
        <v/>
      </c>
      <c r="H27" s="9">
        <f t="array" ref="H27">(E27-MAX(IF($C$2:$C$154=C27,$E$2:$E$154)))/MAX(IF($C$2:$C$154=C27,$E$2:$E$154))*-1</f>
        <v>0</v>
      </c>
      <c r="I27" s="10">
        <f t="array" ref="I27">(F27-MIN(IF($C$2:$C$154=C27,$F$2:$F$154)))/MIN(IF($C$2:$C$154=C27,$F$2:$F$154))</f>
        <v>0</v>
      </c>
      <c r="P27" s="7"/>
    </row>
    <row r="28" spans="1:16" ht="14.45" x14ac:dyDescent="0.35">
      <c r="A28" t="s">
        <v>21</v>
      </c>
      <c r="B28" t="s">
        <v>7</v>
      </c>
      <c r="C28" t="s">
        <v>30</v>
      </c>
      <c r="D28">
        <v>14</v>
      </c>
      <c r="E28" s="12">
        <f t="shared" si="0"/>
        <v>7.1428571428571425E-2</v>
      </c>
      <c r="F28" s="13">
        <v>3099</v>
      </c>
      <c r="G28" s="6">
        <f t="shared" si="1"/>
        <v>0.65581854043392307</v>
      </c>
      <c r="H28" s="9">
        <f t="array" ref="H28">(E28-MAX(IF($C$2:$C$154=C28,$E$2:$E$154)))/MAX(IF($C$2:$C$154=C28,$E$2:$E$154))*-1</f>
        <v>2.8571428571428657E-2</v>
      </c>
      <c r="I28" s="10">
        <f t="array" ref="I28">(F28-MIN(IF($C$2:$C$154=C28,$F$2:$F$154)))/MIN(IF($C$2:$C$154=C28,$F$2:$F$154))</f>
        <v>1.8737672583826429E-2</v>
      </c>
      <c r="P28" s="7"/>
    </row>
    <row r="29" spans="1:16" ht="14.45" x14ac:dyDescent="0.35">
      <c r="A29" t="s">
        <v>21</v>
      </c>
      <c r="B29" t="s">
        <v>7</v>
      </c>
      <c r="C29" t="s">
        <v>30</v>
      </c>
      <c r="D29">
        <v>14.5</v>
      </c>
      <c r="E29" s="12">
        <f t="shared" si="0"/>
        <v>6.8965517241379309E-2</v>
      </c>
      <c r="F29" s="13">
        <v>3164</v>
      </c>
      <c r="G29" s="6">
        <f t="shared" si="1"/>
        <v>0.64613923588282507</v>
      </c>
      <c r="H29" s="9">
        <f t="array" ref="H29">(E29-MAX(IF($C$2:$C$154=C29,$E$2:$E$154)))/MAX(IF($C$2:$C$154=C29,$E$2:$E$154))*-1</f>
        <v>6.2068965517241427E-2</v>
      </c>
      <c r="I29" s="10">
        <f t="array" ref="I29">(F29-MIN(IF($C$2:$C$154=C29,$F$2:$F$154)))/MIN(IF($C$2:$C$154=C29,$F$2:$F$154))</f>
        <v>4.0105193951347796E-2</v>
      </c>
      <c r="P29" s="7"/>
    </row>
    <row r="30" spans="1:16" ht="14.45" x14ac:dyDescent="0.35">
      <c r="A30" t="s">
        <v>21</v>
      </c>
      <c r="B30" t="s">
        <v>7</v>
      </c>
      <c r="C30" t="s">
        <v>30</v>
      </c>
      <c r="D30">
        <v>15</v>
      </c>
      <c r="E30" s="12">
        <f t="shared" si="0"/>
        <v>6.6666666666666666E-2</v>
      </c>
      <c r="F30" s="13">
        <v>3226</v>
      </c>
      <c r="G30" s="6">
        <f t="shared" si="1"/>
        <v>0.64806987883910927</v>
      </c>
      <c r="H30" s="9">
        <f t="array" ref="H30">(E30-MAX(IF($C$2:$C$154=C30,$E$2:$E$154)))/MAX(IF($C$2:$C$154=C30,$E$2:$E$154))*-1</f>
        <v>9.3333333333333379E-2</v>
      </c>
      <c r="I30" s="10">
        <f t="array" ref="I30">(F30-MIN(IF($C$2:$C$154=C30,$F$2:$F$154)))/MIN(IF($C$2:$C$154=C30,$F$2:$F$154))</f>
        <v>6.0486522024983565E-2</v>
      </c>
      <c r="P30" s="7"/>
    </row>
    <row r="31" spans="1:16" ht="14.45" x14ac:dyDescent="0.35">
      <c r="A31" t="s">
        <v>21</v>
      </c>
      <c r="B31" t="s">
        <v>7</v>
      </c>
      <c r="C31" t="s">
        <v>30</v>
      </c>
      <c r="D31">
        <v>15.5</v>
      </c>
      <c r="E31" s="12">
        <f t="shared" si="0"/>
        <v>6.4516129032258063E-2</v>
      </c>
      <c r="F31" s="13">
        <v>3293</v>
      </c>
      <c r="G31" s="6">
        <f t="shared" si="1"/>
        <v>0.67312017716875994</v>
      </c>
      <c r="H31" s="9">
        <f t="array" ref="H31">(E31-MAX(IF($C$2:$C$154=C31,$E$2:$E$154)))/MAX(IF($C$2:$C$154=C31,$E$2:$E$154))*-1</f>
        <v>0.12258064516129037</v>
      </c>
      <c r="I31" s="10">
        <f t="array" ref="I31">(F31-MIN(IF($C$2:$C$154=C31,$F$2:$F$154)))/MIN(IF($C$2:$C$154=C31,$F$2:$F$154))</f>
        <v>8.2511505588428666E-2</v>
      </c>
      <c r="P31" s="7"/>
    </row>
    <row r="32" spans="1:16" ht="14.45" x14ac:dyDescent="0.35">
      <c r="A32" t="s">
        <v>21</v>
      </c>
      <c r="B32" t="s">
        <v>7</v>
      </c>
      <c r="C32" t="s">
        <v>30</v>
      </c>
      <c r="D32">
        <v>16</v>
      </c>
      <c r="E32" s="12">
        <f t="shared" si="0"/>
        <v>6.25E-2</v>
      </c>
      <c r="F32" s="13">
        <v>3364</v>
      </c>
      <c r="G32" s="6">
        <f t="shared" si="1"/>
        <v>0.70567609029147482</v>
      </c>
      <c r="H32" s="9">
        <f t="array" ref="H32">(E32-MAX(IF($C$2:$C$154=C32,$E$2:$E$154)))/MAX(IF($C$2:$C$154=C32,$E$2:$E$154))*-1</f>
        <v>0.15000000000000002</v>
      </c>
      <c r="I32" s="10">
        <f t="array" ref="I32">(F32-MIN(IF($C$2:$C$154=C32,$F$2:$F$154)))/MIN(IF($C$2:$C$154=C32,$F$2:$F$154))</f>
        <v>0.10585141354372124</v>
      </c>
      <c r="P32" s="7"/>
    </row>
    <row r="33" spans="1:16" ht="14.45" x14ac:dyDescent="0.35">
      <c r="A33" t="s">
        <v>21</v>
      </c>
      <c r="B33" t="s">
        <v>7</v>
      </c>
      <c r="C33" t="s">
        <v>30</v>
      </c>
      <c r="D33">
        <v>17</v>
      </c>
      <c r="E33" s="12">
        <f t="shared" si="0"/>
        <v>5.8823529411764705E-2</v>
      </c>
      <c r="F33" s="13">
        <v>3498</v>
      </c>
      <c r="G33" s="6">
        <f t="shared" si="1"/>
        <v>0.74950690335305703</v>
      </c>
      <c r="H33" s="9">
        <f t="array" ref="H33">(E33-MAX(IF($C$2:$C$154=C33,$E$2:$E$154)))/MAX(IF($C$2:$C$154=C33,$E$2:$E$154))*-1</f>
        <v>0.20000000000000004</v>
      </c>
      <c r="I33" s="10">
        <f t="array" ref="I33">(F33-MIN(IF($C$2:$C$154=C33,$F$2:$F$154)))/MIN(IF($C$2:$C$154=C33,$F$2:$F$154))</f>
        <v>0.14990138067061143</v>
      </c>
      <c r="P33" s="7"/>
    </row>
    <row r="34" spans="1:16" ht="14.45" x14ac:dyDescent="0.35">
      <c r="A34" t="s">
        <v>21</v>
      </c>
      <c r="B34" t="s">
        <v>7</v>
      </c>
      <c r="C34" t="s">
        <v>30</v>
      </c>
      <c r="D34">
        <v>17.5</v>
      </c>
      <c r="E34" s="12">
        <f t="shared" si="0"/>
        <v>5.7142857142857141E-2</v>
      </c>
      <c r="F34" s="13">
        <v>3606</v>
      </c>
      <c r="G34" s="6">
        <f t="shared" si="1"/>
        <v>0.83194254791887901</v>
      </c>
      <c r="H34" s="9">
        <f t="array" ref="H34">(E34-MAX(IF($C$2:$C$154=C34,$E$2:$E$154)))/MAX(IF($C$2:$C$154=C34,$E$2:$E$154))*-1</f>
        <v>0.22285714285714292</v>
      </c>
      <c r="I34" s="10">
        <f t="array" ref="I34">(F34-MIN(IF($C$2:$C$154=C34,$F$2:$F$154)))/MIN(IF($C$2:$C$154=C34,$F$2:$F$154))</f>
        <v>0.1854043392504931</v>
      </c>
      <c r="P34" s="7"/>
    </row>
    <row r="35" spans="1:16" ht="14.45" x14ac:dyDescent="0.35">
      <c r="A35" t="s">
        <v>21</v>
      </c>
      <c r="B35" t="s">
        <v>7</v>
      </c>
      <c r="C35" t="s">
        <v>30</v>
      </c>
      <c r="D35">
        <v>18</v>
      </c>
      <c r="E35" s="12">
        <f t="shared" si="0"/>
        <v>5.5555555555555552E-2</v>
      </c>
      <c r="F35" s="13">
        <v>3742</v>
      </c>
      <c r="G35" s="6">
        <f t="shared" si="1"/>
        <v>0.94136632598171033</v>
      </c>
      <c r="H35" s="9">
        <f t="array" ref="H35">(E35-MAX(IF($C$2:$C$154=C35,$E$2:$E$154)))/MAX(IF($C$2:$C$154=C35,$E$2:$E$154))*-1</f>
        <v>0.24444444444444452</v>
      </c>
      <c r="I35" s="10">
        <f t="array" ref="I35">(F35-MIN(IF($C$2:$C$154=C35,$F$2:$F$154)))/MIN(IF($C$2:$C$154=C35,$F$2:$F$154))</f>
        <v>0.23011176857330704</v>
      </c>
      <c r="P35" s="7"/>
    </row>
    <row r="36" spans="1:16" ht="14.45" x14ac:dyDescent="0.35">
      <c r="A36" t="s">
        <v>21</v>
      </c>
      <c r="B36" t="s">
        <v>7</v>
      </c>
      <c r="C36" t="s">
        <v>30</v>
      </c>
      <c r="D36">
        <v>19.399999999999999</v>
      </c>
      <c r="E36" s="12">
        <f t="shared" si="0"/>
        <v>5.1546391752577324E-2</v>
      </c>
      <c r="F36" s="13">
        <v>3759</v>
      </c>
      <c r="G36" s="6">
        <f t="shared" si="1"/>
        <v>0.78837652179827256</v>
      </c>
      <c r="H36" s="9">
        <f t="array" ref="H36">(E36-MAX(IF($C$2:$C$154=C36,$E$2:$E$154)))/MAX(IF($C$2:$C$154=C36,$E$2:$E$154))*-1</f>
        <v>0.29896907216494845</v>
      </c>
      <c r="I36" s="10">
        <f t="array" ref="I36">(F36-MIN(IF($C$2:$C$154=C36,$F$2:$F$154)))/MIN(IF($C$2:$C$154=C36,$F$2:$F$154))</f>
        <v>0.23570019723865879</v>
      </c>
      <c r="P36" s="7"/>
    </row>
    <row r="37" spans="1:16" ht="14.45" x14ac:dyDescent="0.35">
      <c r="A37" t="s">
        <v>21</v>
      </c>
      <c r="B37" t="s">
        <v>7</v>
      </c>
      <c r="C37" t="s">
        <v>22</v>
      </c>
      <c r="D37">
        <v>12.5</v>
      </c>
      <c r="E37" s="12">
        <f t="shared" si="0"/>
        <v>0.08</v>
      </c>
      <c r="F37" s="13">
        <v>3042</v>
      </c>
      <c r="G37" s="6" t="str">
        <f t="shared" si="1"/>
        <v/>
      </c>
      <c r="H37" s="9">
        <f t="array" ref="H37">(E37-MAX(IF($C$2:$C$154=C37,$E$2:$E$154)))/MAX(IF($C$2:$C$154=C37,$E$2:$E$154))*-1</f>
        <v>0</v>
      </c>
      <c r="I37" s="10">
        <f t="array" ref="I37">(F37-MIN(IF($C$2:$C$154=C37,$F$2:$F$154)))/MIN(IF($C$2:$C$154=C37,$F$2:$F$154))</f>
        <v>0</v>
      </c>
      <c r="P37" s="7"/>
    </row>
    <row r="38" spans="1:16" ht="14.45" x14ac:dyDescent="0.35">
      <c r="A38" t="s">
        <v>21</v>
      </c>
      <c r="B38" t="s">
        <v>7</v>
      </c>
      <c r="C38" t="s">
        <v>22</v>
      </c>
      <c r="D38">
        <v>13</v>
      </c>
      <c r="E38" s="12">
        <f t="shared" si="0"/>
        <v>7.6923076923076927E-2</v>
      </c>
      <c r="F38" s="13">
        <v>3099</v>
      </c>
      <c r="G38" s="6">
        <f t="shared" si="1"/>
        <v>0.48717948717948756</v>
      </c>
      <c r="H38" s="9">
        <f t="array" ref="H38">(E38-MAX(IF($C$2:$C$154=C38,$E$2:$E$154)))/MAX(IF($C$2:$C$154=C38,$E$2:$E$154))*-1</f>
        <v>3.8461538461538429E-2</v>
      </c>
      <c r="I38" s="10">
        <f t="array" ref="I38">(F38-MIN(IF($C$2:$C$154=C38,$F$2:$F$154)))/MIN(IF($C$2:$C$154=C38,$F$2:$F$154))</f>
        <v>1.8737672583826429E-2</v>
      </c>
      <c r="P38" s="7"/>
    </row>
    <row r="39" spans="1:16" ht="14.45" x14ac:dyDescent="0.35">
      <c r="A39" t="s">
        <v>21</v>
      </c>
      <c r="B39" t="s">
        <v>7</v>
      </c>
      <c r="C39" t="s">
        <v>22</v>
      </c>
      <c r="D39">
        <v>13.5</v>
      </c>
      <c r="E39" s="12">
        <f t="shared" si="0"/>
        <v>7.407407407407407E-2</v>
      </c>
      <c r="F39" s="13">
        <v>3164</v>
      </c>
      <c r="G39" s="6">
        <f t="shared" si="1"/>
        <v>0.54142011834319481</v>
      </c>
      <c r="H39" s="9">
        <f t="array" ref="H39">(E39-MAX(IF($C$2:$C$154=C39,$E$2:$E$154)))/MAX(IF($C$2:$C$154=C39,$E$2:$E$154))*-1</f>
        <v>7.4074074074074139E-2</v>
      </c>
      <c r="I39" s="10">
        <f t="array" ref="I39">(F39-MIN(IF($C$2:$C$154=C39,$F$2:$F$154)))/MIN(IF($C$2:$C$154=C39,$F$2:$F$154))</f>
        <v>4.0105193951347796E-2</v>
      </c>
      <c r="P39" s="7"/>
    </row>
    <row r="40" spans="1:16" ht="14.45" x14ac:dyDescent="0.35">
      <c r="A40" t="s">
        <v>21</v>
      </c>
      <c r="B40" t="s">
        <v>7</v>
      </c>
      <c r="C40" t="s">
        <v>22</v>
      </c>
      <c r="D40">
        <v>14</v>
      </c>
      <c r="E40" s="12">
        <f t="shared" si="0"/>
        <v>7.1428571428571425E-2</v>
      </c>
      <c r="F40" s="13">
        <v>3226</v>
      </c>
      <c r="G40" s="6">
        <f t="shared" si="1"/>
        <v>0.56454087223317961</v>
      </c>
      <c r="H40" s="9">
        <f t="array" ref="H40">(E40-MAX(IF($C$2:$C$154=C40,$E$2:$E$154)))/MAX(IF($C$2:$C$154=C40,$E$2:$E$154))*-1</f>
        <v>0.10714285714285721</v>
      </c>
      <c r="I40" s="10">
        <f t="array" ref="I40">(F40-MIN(IF($C$2:$C$154=C40,$F$2:$F$154)))/MIN(IF($C$2:$C$154=C40,$F$2:$F$154))</f>
        <v>6.0486522024983565E-2</v>
      </c>
      <c r="P40" s="7"/>
    </row>
    <row r="41" spans="1:16" ht="14.45" x14ac:dyDescent="0.35">
      <c r="A41" t="s">
        <v>21</v>
      </c>
      <c r="B41" t="s">
        <v>7</v>
      </c>
      <c r="C41" t="s">
        <v>22</v>
      </c>
      <c r="D41">
        <v>14.5</v>
      </c>
      <c r="E41" s="12">
        <f t="shared" si="0"/>
        <v>6.8965517241379309E-2</v>
      </c>
      <c r="F41" s="13">
        <v>3293</v>
      </c>
      <c r="G41" s="6">
        <f t="shared" si="1"/>
        <v>0.59820841551610771</v>
      </c>
      <c r="H41" s="9">
        <f t="array" ref="H41">(E41-MAX(IF($C$2:$C$154=C41,$E$2:$E$154)))/MAX(IF($C$2:$C$154=C41,$E$2:$E$154))*-1</f>
        <v>0.13793103448275865</v>
      </c>
      <c r="I41" s="10">
        <f t="array" ref="I41">(F41-MIN(IF($C$2:$C$154=C41,$F$2:$F$154)))/MIN(IF($C$2:$C$154=C41,$F$2:$F$154))</f>
        <v>8.2511505588428666E-2</v>
      </c>
      <c r="P41" s="7"/>
    </row>
    <row r="42" spans="1:16" ht="14.45" x14ac:dyDescent="0.35">
      <c r="A42" t="s">
        <v>21</v>
      </c>
      <c r="B42" t="s">
        <v>7</v>
      </c>
      <c r="C42" t="s">
        <v>22</v>
      </c>
      <c r="D42">
        <v>15</v>
      </c>
      <c r="E42" s="12">
        <f t="shared" si="0"/>
        <v>6.6666666666666666E-2</v>
      </c>
      <c r="F42" s="13">
        <v>3364</v>
      </c>
      <c r="G42" s="6">
        <f t="shared" si="1"/>
        <v>0.63510848126232733</v>
      </c>
      <c r="H42" s="9">
        <f t="array" ref="H42">(E42-MAX(IF($C$2:$C$154=C42,$E$2:$E$154)))/MAX(IF($C$2:$C$154=C42,$E$2:$E$154))*-1</f>
        <v>0.16666666666666669</v>
      </c>
      <c r="I42" s="10">
        <f t="array" ref="I42">(F42-MIN(IF($C$2:$C$154=C42,$F$2:$F$154)))/MIN(IF($C$2:$C$154=C42,$F$2:$F$154))</f>
        <v>0.10585141354372124</v>
      </c>
      <c r="P42" s="7"/>
    </row>
    <row r="43" spans="1:16" ht="14.45" x14ac:dyDescent="0.35">
      <c r="A43" t="s">
        <v>21</v>
      </c>
      <c r="B43" t="s">
        <v>7</v>
      </c>
      <c r="C43" t="s">
        <v>22</v>
      </c>
      <c r="D43">
        <v>15.5</v>
      </c>
      <c r="E43" s="12">
        <f t="shared" si="0"/>
        <v>6.4516129032258063E-2</v>
      </c>
      <c r="F43" s="13">
        <v>3498</v>
      </c>
      <c r="G43" s="6">
        <f t="shared" si="1"/>
        <v>0.77449046679815881</v>
      </c>
      <c r="H43" s="9">
        <f t="array" ref="H43">(E43-MAX(IF($C$2:$C$154=C43,$E$2:$E$154)))/MAX(IF($C$2:$C$154=C43,$E$2:$E$154))*-1</f>
        <v>0.19354838709677424</v>
      </c>
      <c r="I43" s="10">
        <f t="array" ref="I43">(F43-MIN(IF($C$2:$C$154=C43,$F$2:$F$154)))/MIN(IF($C$2:$C$154=C43,$F$2:$F$154))</f>
        <v>0.14990138067061143</v>
      </c>
      <c r="P43" s="7"/>
    </row>
    <row r="44" spans="1:16" x14ac:dyDescent="0.25">
      <c r="A44" t="s">
        <v>21</v>
      </c>
      <c r="B44" t="s">
        <v>7</v>
      </c>
      <c r="C44" t="s">
        <v>22</v>
      </c>
      <c r="D44">
        <v>16</v>
      </c>
      <c r="E44" s="12">
        <f t="shared" si="0"/>
        <v>6.25E-2</v>
      </c>
      <c r="F44" s="13">
        <v>3606</v>
      </c>
      <c r="G44" s="6">
        <f t="shared" si="1"/>
        <v>0.84756269371653981</v>
      </c>
      <c r="H44" s="9">
        <f t="array" ref="H44">(E44-MAX(IF($C$2:$C$154=C44,$E$2:$E$154)))/MAX(IF($C$2:$C$154=C44,$E$2:$E$154))*-1</f>
        <v>0.21875000000000003</v>
      </c>
      <c r="I44" s="10">
        <f t="array" ref="I44">(F44-MIN(IF($C$2:$C$154=C44,$F$2:$F$154)))/MIN(IF($C$2:$C$154=C44,$F$2:$F$154))</f>
        <v>0.1854043392504931</v>
      </c>
      <c r="P44" s="7"/>
    </row>
    <row r="45" spans="1:16" x14ac:dyDescent="0.25">
      <c r="A45" t="s">
        <v>21</v>
      </c>
      <c r="B45" t="s">
        <v>7</v>
      </c>
      <c r="C45" t="s">
        <v>22</v>
      </c>
      <c r="D45">
        <v>17.100000000000001</v>
      </c>
      <c r="E45" s="12">
        <f t="shared" si="0"/>
        <v>5.8479532163742687E-2</v>
      </c>
      <c r="F45" s="13">
        <v>3742</v>
      </c>
      <c r="G45" s="6">
        <f t="shared" si="1"/>
        <v>0.85541548752251084</v>
      </c>
      <c r="H45" s="9">
        <f t="array" ref="H45">(E45-MAX(IF($C$2:$C$154=C45,$E$2:$E$154)))/MAX(IF($C$2:$C$154=C45,$E$2:$E$154))*-1</f>
        <v>0.26900584795321641</v>
      </c>
      <c r="I45" s="10">
        <f t="array" ref="I45">(F45-MIN(IF($C$2:$C$154=C45,$F$2:$F$154)))/MIN(IF($C$2:$C$154=C45,$F$2:$F$154))</f>
        <v>0.23011176857330704</v>
      </c>
      <c r="P45" s="7"/>
    </row>
    <row r="46" spans="1:16" x14ac:dyDescent="0.25">
      <c r="A46" t="s">
        <v>21</v>
      </c>
      <c r="B46" t="s">
        <v>7</v>
      </c>
      <c r="C46" t="s">
        <v>23</v>
      </c>
      <c r="D46">
        <v>12.5</v>
      </c>
      <c r="E46" s="12">
        <f t="shared" si="0"/>
        <v>0.08</v>
      </c>
      <c r="F46" s="13">
        <v>3042</v>
      </c>
      <c r="G46" s="6" t="str">
        <f t="shared" si="1"/>
        <v/>
      </c>
      <c r="H46" s="9">
        <f t="array" ref="H46">(E46-MAX(IF($C$2:$C$154=C46,$E$2:$E$154)))/MAX(IF($C$2:$C$154=C46,$E$2:$E$154))*-1</f>
        <v>0</v>
      </c>
      <c r="I46" s="10">
        <f t="array" ref="I46">(F46-MIN(IF($C$2:$C$154=C46,$F$2:$F$154)))/MIN(IF($C$2:$C$154=C46,$F$2:$F$154))</f>
        <v>0</v>
      </c>
      <c r="P46" s="7"/>
    </row>
    <row r="47" spans="1:16" x14ac:dyDescent="0.25">
      <c r="A47" t="s">
        <v>21</v>
      </c>
      <c r="B47" t="s">
        <v>7</v>
      </c>
      <c r="C47" t="s">
        <v>23</v>
      </c>
      <c r="D47">
        <v>13</v>
      </c>
      <c r="E47" s="12">
        <f t="shared" si="0"/>
        <v>7.6923076923076927E-2</v>
      </c>
      <c r="F47" s="13">
        <v>3099</v>
      </c>
      <c r="G47" s="6">
        <f t="shared" si="1"/>
        <v>0.48717948717948756</v>
      </c>
      <c r="H47" s="9">
        <f t="array" ref="H47">(E47-MAX(IF($C$2:$C$154=C47,$E$2:$E$154)))/MAX(IF($C$2:$C$154=C47,$E$2:$E$154))*-1</f>
        <v>3.8461538461538429E-2</v>
      </c>
      <c r="I47" s="10">
        <f t="array" ref="I47">(F47-MIN(IF($C$2:$C$154=C47,$F$2:$F$154)))/MIN(IF($C$2:$C$154=C47,$F$2:$F$154))</f>
        <v>1.8737672583826429E-2</v>
      </c>
      <c r="P47" s="7"/>
    </row>
    <row r="48" spans="1:16" x14ac:dyDescent="0.25">
      <c r="A48" t="s">
        <v>21</v>
      </c>
      <c r="B48" t="s">
        <v>7</v>
      </c>
      <c r="C48" t="s">
        <v>23</v>
      </c>
      <c r="D48">
        <v>13.5</v>
      </c>
      <c r="E48" s="12">
        <f t="shared" si="0"/>
        <v>7.407407407407407E-2</v>
      </c>
      <c r="F48" s="13">
        <v>3164</v>
      </c>
      <c r="G48" s="6">
        <f t="shared" si="1"/>
        <v>0.54142011834319481</v>
      </c>
      <c r="H48" s="9">
        <f t="array" ref="H48">(E48-MAX(IF($C$2:$C$154=C48,$E$2:$E$154)))/MAX(IF($C$2:$C$154=C48,$E$2:$E$154))*-1</f>
        <v>7.4074074074074139E-2</v>
      </c>
      <c r="I48" s="10">
        <f t="array" ref="I48">(F48-MIN(IF($C$2:$C$154=C48,$F$2:$F$154)))/MIN(IF($C$2:$C$154=C48,$F$2:$F$154))</f>
        <v>4.0105193951347796E-2</v>
      </c>
      <c r="P48" s="7"/>
    </row>
    <row r="49" spans="1:16" x14ac:dyDescent="0.25">
      <c r="A49" t="s">
        <v>21</v>
      </c>
      <c r="B49" t="s">
        <v>7</v>
      </c>
      <c r="C49" t="s">
        <v>23</v>
      </c>
      <c r="D49">
        <v>14</v>
      </c>
      <c r="E49" s="12">
        <f t="shared" si="0"/>
        <v>7.1428571428571425E-2</v>
      </c>
      <c r="F49" s="13">
        <v>3226</v>
      </c>
      <c r="G49" s="6">
        <f t="shared" si="1"/>
        <v>0.56454087223317961</v>
      </c>
      <c r="H49" s="9">
        <f t="array" ref="H49">(E49-MAX(IF($C$2:$C$154=C49,$E$2:$E$154)))/MAX(IF($C$2:$C$154=C49,$E$2:$E$154))*-1</f>
        <v>0.10714285714285721</v>
      </c>
      <c r="I49" s="10">
        <f t="array" ref="I49">(F49-MIN(IF($C$2:$C$154=C49,$F$2:$F$154)))/MIN(IF($C$2:$C$154=C49,$F$2:$F$154))</f>
        <v>6.0486522024983565E-2</v>
      </c>
      <c r="P49" s="7"/>
    </row>
    <row r="50" spans="1:16" x14ac:dyDescent="0.25">
      <c r="A50" t="s">
        <v>21</v>
      </c>
      <c r="B50" t="s">
        <v>7</v>
      </c>
      <c r="C50" t="s">
        <v>23</v>
      </c>
      <c r="D50">
        <v>14.5</v>
      </c>
      <c r="E50" s="12">
        <f t="shared" si="0"/>
        <v>6.8965517241379309E-2</v>
      </c>
      <c r="F50" s="13">
        <v>3293</v>
      </c>
      <c r="G50" s="6">
        <f t="shared" si="1"/>
        <v>0.59820841551610771</v>
      </c>
      <c r="H50" s="9">
        <f t="array" ref="H50">(E50-MAX(IF($C$2:$C$154=C50,$E$2:$E$154)))/MAX(IF($C$2:$C$154=C50,$E$2:$E$154))*-1</f>
        <v>0.13793103448275865</v>
      </c>
      <c r="I50" s="10">
        <f t="array" ref="I50">(F50-MIN(IF($C$2:$C$154=C50,$F$2:$F$154)))/MIN(IF($C$2:$C$154=C50,$F$2:$F$154))</f>
        <v>8.2511505588428666E-2</v>
      </c>
      <c r="P50" s="7"/>
    </row>
    <row r="51" spans="1:16" x14ac:dyDescent="0.25">
      <c r="A51" t="s">
        <v>21</v>
      </c>
      <c r="B51" t="s">
        <v>7</v>
      </c>
      <c r="C51" t="s">
        <v>23</v>
      </c>
      <c r="D51">
        <v>15</v>
      </c>
      <c r="E51" s="12">
        <f t="shared" si="0"/>
        <v>6.6666666666666666E-2</v>
      </c>
      <c r="F51" s="13">
        <v>3364</v>
      </c>
      <c r="G51" s="6">
        <f t="shared" si="1"/>
        <v>0.63510848126232733</v>
      </c>
      <c r="H51" s="9">
        <f t="array" ref="H51">(E51-MAX(IF($C$2:$C$154=C51,$E$2:$E$154)))/MAX(IF($C$2:$C$154=C51,$E$2:$E$154))*-1</f>
        <v>0.16666666666666669</v>
      </c>
      <c r="I51" s="10">
        <f t="array" ref="I51">(F51-MIN(IF($C$2:$C$154=C51,$F$2:$F$154)))/MIN(IF($C$2:$C$154=C51,$F$2:$F$154))</f>
        <v>0.10585141354372124</v>
      </c>
      <c r="P51" s="7"/>
    </row>
    <row r="52" spans="1:16" x14ac:dyDescent="0.25">
      <c r="A52" t="s">
        <v>21</v>
      </c>
      <c r="B52" t="s">
        <v>7</v>
      </c>
      <c r="C52" t="s">
        <v>23</v>
      </c>
      <c r="D52">
        <v>15.5</v>
      </c>
      <c r="E52" s="12">
        <f t="shared" si="0"/>
        <v>6.4516129032258063E-2</v>
      </c>
      <c r="F52" s="13">
        <v>3498</v>
      </c>
      <c r="G52" s="6">
        <f t="shared" si="1"/>
        <v>0.77449046679815881</v>
      </c>
      <c r="H52" s="9">
        <f t="array" ref="H52">(E52-MAX(IF($C$2:$C$154=C52,$E$2:$E$154)))/MAX(IF($C$2:$C$154=C52,$E$2:$E$154))*-1</f>
        <v>0.19354838709677424</v>
      </c>
      <c r="I52" s="10">
        <f t="array" ref="I52">(F52-MIN(IF($C$2:$C$154=C52,$F$2:$F$154)))/MIN(IF($C$2:$C$154=C52,$F$2:$F$154))</f>
        <v>0.14990138067061143</v>
      </c>
      <c r="P52" s="7"/>
    </row>
    <row r="53" spans="1:16" x14ac:dyDescent="0.25">
      <c r="A53" t="s">
        <v>21</v>
      </c>
      <c r="B53" t="s">
        <v>7</v>
      </c>
      <c r="C53" t="s">
        <v>23</v>
      </c>
      <c r="D53">
        <v>16.2</v>
      </c>
      <c r="E53" s="12">
        <f t="shared" si="0"/>
        <v>6.1728395061728399E-2</v>
      </c>
      <c r="F53" s="13">
        <v>3606</v>
      </c>
      <c r="G53" s="6">
        <f t="shared" si="1"/>
        <v>0.81177035023188882</v>
      </c>
      <c r="H53" s="9">
        <f t="array" ref="H53">(E53-MAX(IF($C$2:$C$154=C53,$E$2:$E$154)))/MAX(IF($C$2:$C$154=C53,$E$2:$E$154))*-1</f>
        <v>0.22839506172839502</v>
      </c>
      <c r="I53" s="10">
        <f t="array" ref="I53">(F53-MIN(IF($C$2:$C$154=C53,$F$2:$F$154)))/MIN(IF($C$2:$C$154=C53,$F$2:$F$154))</f>
        <v>0.1854043392504931</v>
      </c>
      <c r="P53" s="7"/>
    </row>
    <row r="54" spans="1:16" x14ac:dyDescent="0.25">
      <c r="A54" t="s">
        <v>21</v>
      </c>
      <c r="B54" t="s">
        <v>7</v>
      </c>
      <c r="C54" t="s">
        <v>24</v>
      </c>
      <c r="D54">
        <v>12.5</v>
      </c>
      <c r="E54" s="12">
        <f t="shared" si="0"/>
        <v>0.08</v>
      </c>
      <c r="F54" s="13">
        <v>3042</v>
      </c>
      <c r="G54" s="6" t="str">
        <f t="shared" si="1"/>
        <v/>
      </c>
      <c r="H54" s="9">
        <f t="array" ref="H54">(E54-MAX(IF($C$2:$C$154=C54,$E$2:$E$154)))/MAX(IF($C$2:$C$154=C54,$E$2:$E$154))*-1</f>
        <v>0</v>
      </c>
      <c r="I54" s="10">
        <f t="array" ref="I54">(F54-MIN(IF($C$2:$C$154=C54,$F$2:$F$154)))/MIN(IF($C$2:$C$154=C54,$F$2:$F$154))</f>
        <v>0</v>
      </c>
      <c r="P54" s="7"/>
    </row>
    <row r="55" spans="1:16" x14ac:dyDescent="0.25">
      <c r="A55" t="s">
        <v>21</v>
      </c>
      <c r="B55" t="s">
        <v>7</v>
      </c>
      <c r="C55" t="s">
        <v>24</v>
      </c>
      <c r="D55">
        <v>13</v>
      </c>
      <c r="E55" s="12">
        <f t="shared" si="0"/>
        <v>7.6923076923076927E-2</v>
      </c>
      <c r="F55" s="13">
        <v>3099</v>
      </c>
      <c r="G55" s="6">
        <f t="shared" si="1"/>
        <v>0.48717948717948756</v>
      </c>
      <c r="H55" s="9">
        <f t="array" ref="H55">(E55-MAX(IF($C$2:$C$154=C55,$E$2:$E$154)))/MAX(IF($C$2:$C$154=C55,$E$2:$E$154))*-1</f>
        <v>3.8461538461538429E-2</v>
      </c>
      <c r="I55" s="10">
        <f t="array" ref="I55">(F55-MIN(IF($C$2:$C$154=C55,$F$2:$F$154)))/MIN(IF($C$2:$C$154=C55,$F$2:$F$154))</f>
        <v>1.8737672583826429E-2</v>
      </c>
      <c r="P55" s="7"/>
    </row>
    <row r="56" spans="1:16" x14ac:dyDescent="0.25">
      <c r="A56" t="s">
        <v>21</v>
      </c>
      <c r="B56" t="s">
        <v>7</v>
      </c>
      <c r="C56" t="s">
        <v>24</v>
      </c>
      <c r="D56">
        <v>13.5</v>
      </c>
      <c r="E56" s="12">
        <f t="shared" si="0"/>
        <v>7.407407407407407E-2</v>
      </c>
      <c r="F56" s="13">
        <v>3164</v>
      </c>
      <c r="G56" s="6">
        <f t="shared" si="1"/>
        <v>0.54142011834319481</v>
      </c>
      <c r="H56" s="9">
        <f t="array" ref="H56">(E56-MAX(IF($C$2:$C$154=C56,$E$2:$E$154)))/MAX(IF($C$2:$C$154=C56,$E$2:$E$154))*-1</f>
        <v>7.4074074074074139E-2</v>
      </c>
      <c r="I56" s="10">
        <f t="array" ref="I56">(F56-MIN(IF($C$2:$C$154=C56,$F$2:$F$154)))/MIN(IF($C$2:$C$154=C56,$F$2:$F$154))</f>
        <v>4.0105193951347796E-2</v>
      </c>
      <c r="P56" s="7"/>
    </row>
    <row r="57" spans="1:16" x14ac:dyDescent="0.25">
      <c r="A57" t="s">
        <v>21</v>
      </c>
      <c r="B57" t="s">
        <v>7</v>
      </c>
      <c r="C57" t="s">
        <v>24</v>
      </c>
      <c r="D57">
        <v>14</v>
      </c>
      <c r="E57" s="12">
        <f t="shared" si="0"/>
        <v>7.1428571428571425E-2</v>
      </c>
      <c r="F57" s="13">
        <v>3226</v>
      </c>
      <c r="G57" s="6">
        <f t="shared" si="1"/>
        <v>0.56454087223317961</v>
      </c>
      <c r="H57" s="9">
        <f t="array" ref="H57">(E57-MAX(IF($C$2:$C$154=C57,$E$2:$E$154)))/MAX(IF($C$2:$C$154=C57,$E$2:$E$154))*-1</f>
        <v>0.10714285714285721</v>
      </c>
      <c r="I57" s="10">
        <f t="array" ref="I57">(F57-MIN(IF($C$2:$C$154=C57,$F$2:$F$154)))/MIN(IF($C$2:$C$154=C57,$F$2:$F$154))</f>
        <v>6.0486522024983565E-2</v>
      </c>
      <c r="P57" s="7"/>
    </row>
    <row r="58" spans="1:16" x14ac:dyDescent="0.25">
      <c r="A58" t="s">
        <v>21</v>
      </c>
      <c r="B58" t="s">
        <v>7</v>
      </c>
      <c r="C58" t="s">
        <v>24</v>
      </c>
      <c r="D58">
        <v>14.5</v>
      </c>
      <c r="E58" s="12">
        <f t="shared" si="0"/>
        <v>6.8965517241379309E-2</v>
      </c>
      <c r="F58" s="13">
        <v>3293</v>
      </c>
      <c r="G58" s="6">
        <f t="shared" si="1"/>
        <v>0.59820841551610771</v>
      </c>
      <c r="H58" s="9">
        <f t="array" ref="H58">(E58-MAX(IF($C$2:$C$154=C58,$E$2:$E$154)))/MAX(IF($C$2:$C$154=C58,$E$2:$E$154))*-1</f>
        <v>0.13793103448275865</v>
      </c>
      <c r="I58" s="10">
        <f t="array" ref="I58">(F58-MIN(IF($C$2:$C$154=C58,$F$2:$F$154)))/MIN(IF($C$2:$C$154=C58,$F$2:$F$154))</f>
        <v>8.2511505588428666E-2</v>
      </c>
      <c r="P58" s="7"/>
    </row>
    <row r="59" spans="1:16" x14ac:dyDescent="0.25">
      <c r="A59" t="s">
        <v>21</v>
      </c>
      <c r="B59" t="s">
        <v>7</v>
      </c>
      <c r="C59" t="s">
        <v>24</v>
      </c>
      <c r="D59">
        <v>15.2</v>
      </c>
      <c r="E59" s="12">
        <f t="shared" si="0"/>
        <v>6.5789473684210523E-2</v>
      </c>
      <c r="F59" s="13">
        <v>3364</v>
      </c>
      <c r="G59" s="6">
        <f t="shared" si="1"/>
        <v>0.59590425402391201</v>
      </c>
      <c r="H59" s="9">
        <f t="array" ref="H59">(E59-MAX(IF($C$2:$C$154=C59,$E$2:$E$154)))/MAX(IF($C$2:$C$154=C59,$E$2:$E$154))*-1</f>
        <v>0.17763157894736847</v>
      </c>
      <c r="I59" s="10">
        <f t="array" ref="I59">(F59-MIN(IF($C$2:$C$154=C59,$F$2:$F$154)))/MIN(IF($C$2:$C$154=C59,$F$2:$F$154))</f>
        <v>0.10585141354372124</v>
      </c>
      <c r="P59" s="7"/>
    </row>
    <row r="60" spans="1:16" x14ac:dyDescent="0.25">
      <c r="A60" t="s">
        <v>21</v>
      </c>
      <c r="B60" t="s">
        <v>7</v>
      </c>
      <c r="C60" t="s">
        <v>25</v>
      </c>
      <c r="D60">
        <v>13.6</v>
      </c>
      <c r="E60" s="12">
        <f t="shared" si="0"/>
        <v>7.3529411764705885E-2</v>
      </c>
      <c r="F60" s="13">
        <v>4044</v>
      </c>
      <c r="G60" s="6" t="str">
        <f t="shared" si="1"/>
        <v/>
      </c>
      <c r="H60" s="9">
        <f t="array" ref="H60">(E60-MAX(IF($C$2:$C$154=C60,$E$2:$E$154)))/MAX(IF($C$2:$C$154=C60,$E$2:$E$154))*-1</f>
        <v>0</v>
      </c>
      <c r="I60" s="10">
        <f t="array" ref="I60">(F60-MIN(IF($C$2:$C$154=C60,$F$2:$F$154)))/MIN(IF($C$2:$C$154=C60,$F$2:$F$154))</f>
        <v>0</v>
      </c>
      <c r="P60" s="7"/>
    </row>
    <row r="61" spans="1:16" x14ac:dyDescent="0.25">
      <c r="A61" t="s">
        <v>21</v>
      </c>
      <c r="B61" t="s">
        <v>7</v>
      </c>
      <c r="C61" t="s">
        <v>25</v>
      </c>
      <c r="D61">
        <v>14</v>
      </c>
      <c r="E61" s="12">
        <f t="shared" si="0"/>
        <v>7.1428571428571425E-2</v>
      </c>
      <c r="F61" s="13">
        <v>4112</v>
      </c>
      <c r="G61" s="6">
        <f t="shared" si="1"/>
        <v>0.58852621167161046</v>
      </c>
      <c r="H61" s="9">
        <f t="array" ref="H61">(E61-MAX(IF($C$2:$C$154=C61,$E$2:$E$154)))/MAX(IF($C$2:$C$154=C61,$E$2:$E$154))*-1</f>
        <v>2.8571428571428657E-2</v>
      </c>
      <c r="I61" s="10">
        <f t="array" ref="I61">(F61-MIN(IF($C$2:$C$154=C61,$F$2:$F$154)))/MIN(IF($C$2:$C$154=C61,$F$2:$F$154))</f>
        <v>1.6815034619188922E-2</v>
      </c>
      <c r="P61" s="7"/>
    </row>
    <row r="62" spans="1:16" x14ac:dyDescent="0.25">
      <c r="A62" t="s">
        <v>21</v>
      </c>
      <c r="B62" t="s">
        <v>7</v>
      </c>
      <c r="C62" t="s">
        <v>25</v>
      </c>
      <c r="D62">
        <v>14.5</v>
      </c>
      <c r="E62" s="12">
        <f t="shared" si="0"/>
        <v>6.8965517241379309E-2</v>
      </c>
      <c r="F62" s="13">
        <v>4196</v>
      </c>
      <c r="G62" s="6">
        <f t="shared" si="1"/>
        <v>0.60556105066490784</v>
      </c>
      <c r="H62" s="9">
        <f t="array" ref="H62">(E62-MAX(IF($C$2:$C$154=C62,$E$2:$E$154)))/MAX(IF($C$2:$C$154=C62,$E$2:$E$154))*-1</f>
        <v>6.2068965517241427E-2</v>
      </c>
      <c r="I62" s="10">
        <f t="array" ref="I62">(F62-MIN(IF($C$2:$C$154=C62,$F$2:$F$154)))/MIN(IF($C$2:$C$154=C62,$F$2:$F$154))</f>
        <v>3.7586547972304651E-2</v>
      </c>
      <c r="P62" s="7"/>
    </row>
    <row r="63" spans="1:16" x14ac:dyDescent="0.25">
      <c r="A63" t="s">
        <v>21</v>
      </c>
      <c r="B63" t="s">
        <v>7</v>
      </c>
      <c r="C63" t="s">
        <v>25</v>
      </c>
      <c r="D63">
        <v>15</v>
      </c>
      <c r="E63" s="12">
        <f t="shared" si="0"/>
        <v>6.6666666666666666E-2</v>
      </c>
      <c r="F63" s="13">
        <v>4284</v>
      </c>
      <c r="G63" s="6">
        <f t="shared" si="1"/>
        <v>0.63586265366680772</v>
      </c>
      <c r="H63" s="9">
        <f t="array" ref="H63">(E63-MAX(IF($C$2:$C$154=C63,$E$2:$E$154)))/MAX(IF($C$2:$C$154=C63,$E$2:$E$154))*-1</f>
        <v>9.3333333333333379E-2</v>
      </c>
      <c r="I63" s="10">
        <f t="array" ref="I63">(F63-MIN(IF($C$2:$C$154=C63,$F$2:$F$154)))/MIN(IF($C$2:$C$154=C63,$F$2:$F$154))</f>
        <v>5.9347181008902079E-2</v>
      </c>
      <c r="P63" s="7"/>
    </row>
    <row r="64" spans="1:16" x14ac:dyDescent="0.25">
      <c r="A64" t="s">
        <v>21</v>
      </c>
      <c r="B64" t="s">
        <v>7</v>
      </c>
      <c r="C64" t="s">
        <v>25</v>
      </c>
      <c r="D64">
        <v>15.5</v>
      </c>
      <c r="E64" s="12">
        <f t="shared" si="0"/>
        <v>6.4516129032258063E-2</v>
      </c>
      <c r="F64" s="13">
        <v>4375</v>
      </c>
      <c r="G64" s="6">
        <f t="shared" si="1"/>
        <v>0.66772086001353503</v>
      </c>
      <c r="H64" s="9">
        <f t="array" ref="H64">(E64-MAX(IF($C$2:$C$154=C64,$E$2:$E$154)))/MAX(IF($C$2:$C$154=C64,$E$2:$E$154))*-1</f>
        <v>0.12258064516129037</v>
      </c>
      <c r="I64" s="10">
        <f t="array" ref="I64">(F64-MIN(IF($C$2:$C$154=C64,$F$2:$F$154)))/MIN(IF($C$2:$C$154=C64,$F$2:$F$154))</f>
        <v>8.1849653808110781E-2</v>
      </c>
      <c r="P64" s="7"/>
    </row>
    <row r="65" spans="1:16" x14ac:dyDescent="0.25">
      <c r="A65" t="s">
        <v>21</v>
      </c>
      <c r="B65" t="s">
        <v>7</v>
      </c>
      <c r="C65" t="s">
        <v>25</v>
      </c>
      <c r="D65">
        <v>16</v>
      </c>
      <c r="E65" s="12">
        <f t="shared" si="0"/>
        <v>6.25E-2</v>
      </c>
      <c r="F65" s="13">
        <v>4470</v>
      </c>
      <c r="G65" s="6">
        <f t="shared" si="1"/>
        <v>0.70227497527200777</v>
      </c>
      <c r="H65" s="9">
        <f t="array" ref="H65">(E65-MAX(IF($C$2:$C$154=C65,$E$2:$E$154)))/MAX(IF($C$2:$C$154=C65,$E$2:$E$154))*-1</f>
        <v>0.15000000000000002</v>
      </c>
      <c r="I65" s="10">
        <f t="array" ref="I65">(F65-MIN(IF($C$2:$C$154=C65,$F$2:$F$154)))/MIN(IF($C$2:$C$154=C65,$F$2:$F$154))</f>
        <v>0.10534124629080119</v>
      </c>
      <c r="P65" s="7"/>
    </row>
    <row r="66" spans="1:16" x14ac:dyDescent="0.25">
      <c r="A66" t="s">
        <v>21</v>
      </c>
      <c r="B66" t="s">
        <v>7</v>
      </c>
      <c r="C66" t="s">
        <v>25</v>
      </c>
      <c r="D66">
        <v>17</v>
      </c>
      <c r="E66" s="12">
        <f t="shared" si="0"/>
        <v>5.8823529411764705E-2</v>
      </c>
      <c r="F66" s="13">
        <v>4667</v>
      </c>
      <c r="G66" s="6">
        <f t="shared" si="1"/>
        <v>0.77027695351137471</v>
      </c>
      <c r="H66" s="9">
        <f t="array" ref="H66">(E66-MAX(IF($C$2:$C$154=C66,$E$2:$E$154)))/MAX(IF($C$2:$C$154=C66,$E$2:$E$154))*-1</f>
        <v>0.20000000000000004</v>
      </c>
      <c r="I66" s="10">
        <f t="array" ref="I66">(F66-MIN(IF($C$2:$C$154=C66,$F$2:$F$154)))/MIN(IF($C$2:$C$154=C66,$F$2:$F$154))</f>
        <v>0.15405539070227497</v>
      </c>
      <c r="P66" s="7"/>
    </row>
    <row r="67" spans="1:16" x14ac:dyDescent="0.25">
      <c r="A67" t="s">
        <v>21</v>
      </c>
      <c r="B67" t="s">
        <v>7</v>
      </c>
      <c r="C67" t="s">
        <v>25</v>
      </c>
      <c r="D67">
        <v>17.5</v>
      </c>
      <c r="E67" s="12">
        <f t="shared" ref="E67:E123" si="2">1/D67</f>
        <v>5.7142857142857141E-2</v>
      </c>
      <c r="F67" s="13">
        <v>4772</v>
      </c>
      <c r="G67" s="6">
        <f t="shared" ref="G67:G129" si="3">IFERROR(I67/H67,"")</f>
        <v>0.80778107484338924</v>
      </c>
      <c r="H67" s="9">
        <f t="array" ref="H67">(E67-MAX(IF($C$2:$C$154=C67,$E$2:$E$154)))/MAX(IF($C$2:$C$154=C67,$E$2:$E$154))*-1</f>
        <v>0.22285714285714292</v>
      </c>
      <c r="I67" s="10">
        <f t="array" ref="I67">(F67-MIN(IF($C$2:$C$154=C67,$F$2:$F$154)))/MIN(IF($C$2:$C$154=C67,$F$2:$F$154))</f>
        <v>0.18001978239366964</v>
      </c>
      <c r="P67" s="7"/>
    </row>
    <row r="68" spans="1:16" x14ac:dyDescent="0.25">
      <c r="A68" t="s">
        <v>21</v>
      </c>
      <c r="B68" t="s">
        <v>7</v>
      </c>
      <c r="C68" t="s">
        <v>25</v>
      </c>
      <c r="D68">
        <v>18</v>
      </c>
      <c r="E68" s="12">
        <f t="shared" si="2"/>
        <v>5.5555555555555552E-2</v>
      </c>
      <c r="F68" s="13">
        <v>4881</v>
      </c>
      <c r="G68" s="6">
        <f t="shared" si="3"/>
        <v>0.84670892905314254</v>
      </c>
      <c r="H68" s="9">
        <f t="array" ref="H68">(E68-MAX(IF($C$2:$C$154=C68,$E$2:$E$154)))/MAX(IF($C$2:$C$154=C68,$E$2:$E$154))*-1</f>
        <v>0.24444444444444452</v>
      </c>
      <c r="I68" s="10">
        <f t="array" ref="I68">(F68-MIN(IF($C$2:$C$154=C68,$F$2:$F$154)))/MIN(IF($C$2:$C$154=C68,$F$2:$F$154))</f>
        <v>0.20697329376854601</v>
      </c>
      <c r="P68" s="7"/>
    </row>
    <row r="69" spans="1:16" x14ac:dyDescent="0.25">
      <c r="A69" t="s">
        <v>21</v>
      </c>
      <c r="B69" t="s">
        <v>7</v>
      </c>
      <c r="C69" t="s">
        <v>25</v>
      </c>
      <c r="D69">
        <v>20</v>
      </c>
      <c r="E69" s="12">
        <f t="shared" si="2"/>
        <v>0.05</v>
      </c>
      <c r="F69" s="13">
        <v>5169</v>
      </c>
      <c r="G69" s="6">
        <f t="shared" si="3"/>
        <v>0.86934347181008897</v>
      </c>
      <c r="H69" s="9">
        <f t="array" ref="H69">(E69-MAX(IF($C$2:$C$154=C69,$E$2:$E$154)))/MAX(IF($C$2:$C$154=C69,$E$2:$E$154))*-1</f>
        <v>0.32</v>
      </c>
      <c r="I69" s="10">
        <f t="array" ref="I69">(F69-MIN(IF($C$2:$C$154=C69,$F$2:$F$154)))/MIN(IF($C$2:$C$154=C69,$F$2:$F$154))</f>
        <v>0.27818991097922846</v>
      </c>
      <c r="P69" s="7"/>
    </row>
    <row r="70" spans="1:16" x14ac:dyDescent="0.25">
      <c r="A70" t="s">
        <v>21</v>
      </c>
      <c r="B70" t="s">
        <v>7</v>
      </c>
      <c r="C70" t="s">
        <v>25</v>
      </c>
      <c r="D70">
        <v>22</v>
      </c>
      <c r="E70" s="12">
        <f t="shared" si="2"/>
        <v>4.5454545454545456E-2</v>
      </c>
      <c r="F70" s="13">
        <v>5276</v>
      </c>
      <c r="G70" s="6">
        <f t="shared" si="3"/>
        <v>0.79788987800857236</v>
      </c>
      <c r="H70" s="9">
        <f t="array" ref="H70">(E70-MAX(IF($C$2:$C$154=C70,$E$2:$E$154)))/MAX(IF($C$2:$C$154=C70,$E$2:$E$154))*-1</f>
        <v>0.38181818181818183</v>
      </c>
      <c r="I70" s="10">
        <f t="array" ref="I70">(F70-MIN(IF($C$2:$C$154=C70,$F$2:$F$154)))/MIN(IF($C$2:$C$154=C70,$F$2:$F$154))</f>
        <v>0.304648862512364</v>
      </c>
      <c r="P70" s="7"/>
    </row>
    <row r="71" spans="1:16" x14ac:dyDescent="0.25">
      <c r="A71" t="s">
        <v>21</v>
      </c>
      <c r="B71" t="s">
        <v>7</v>
      </c>
      <c r="C71" t="s">
        <v>25</v>
      </c>
      <c r="D71">
        <v>23.3</v>
      </c>
      <c r="E71" s="12">
        <f t="shared" si="2"/>
        <v>4.2918454935622317E-2</v>
      </c>
      <c r="F71" s="13">
        <v>5621</v>
      </c>
      <c r="G71" s="6">
        <f t="shared" si="3"/>
        <v>0.93670908664484476</v>
      </c>
      <c r="H71" s="9">
        <f t="array" ref="H71">(E71-MAX(IF($C$2:$C$154=C71,$E$2:$E$154)))/MAX(IF($C$2:$C$154=C71,$E$2:$E$154))*-1</f>
        <v>0.41630901287553651</v>
      </c>
      <c r="I71" s="10">
        <f t="array" ref="I71">(F71-MIN(IF($C$2:$C$154=C71,$F$2:$F$154)))/MIN(IF($C$2:$C$154=C71,$F$2:$F$154))</f>
        <v>0.38996043521266072</v>
      </c>
      <c r="P71" s="7"/>
    </row>
    <row r="72" spans="1:16" x14ac:dyDescent="0.25">
      <c r="A72" t="s">
        <v>21</v>
      </c>
      <c r="B72" t="s">
        <v>7</v>
      </c>
      <c r="C72" t="s">
        <v>26</v>
      </c>
      <c r="D72">
        <v>13.6</v>
      </c>
      <c r="E72" s="12">
        <f t="shared" si="2"/>
        <v>7.3529411764705885E-2</v>
      </c>
      <c r="F72" s="13">
        <v>4044</v>
      </c>
      <c r="G72" s="6" t="str">
        <f t="shared" si="3"/>
        <v/>
      </c>
      <c r="H72" s="9">
        <f t="array" ref="H72">(E72-MAX(IF($C$2:$C$154=C72,$E$2:$E$154)))/MAX(IF($C$2:$C$154=C72,$E$2:$E$154))*-1</f>
        <v>0</v>
      </c>
      <c r="I72" s="10">
        <f t="array" ref="I72">(F72-MIN(IF($C$2:$C$154=C72,$F$2:$F$154)))/MIN(IF($C$2:$C$154=C72,$F$2:$F$154))</f>
        <v>0</v>
      </c>
      <c r="P72" s="7"/>
    </row>
    <row r="73" spans="1:16" x14ac:dyDescent="0.25">
      <c r="A73" t="s">
        <v>21</v>
      </c>
      <c r="B73" t="s">
        <v>7</v>
      </c>
      <c r="C73" t="s">
        <v>26</v>
      </c>
      <c r="D73">
        <v>14</v>
      </c>
      <c r="E73" s="12">
        <f t="shared" si="2"/>
        <v>7.1428571428571425E-2</v>
      </c>
      <c r="F73" s="13">
        <v>4112</v>
      </c>
      <c r="G73" s="6">
        <f t="shared" si="3"/>
        <v>0.58852621167161046</v>
      </c>
      <c r="H73" s="9">
        <f t="array" ref="H73">(E73-MAX(IF($C$2:$C$154=C73,$E$2:$E$154)))/MAX(IF($C$2:$C$154=C73,$E$2:$E$154))*-1</f>
        <v>2.8571428571428657E-2</v>
      </c>
      <c r="I73" s="10">
        <f t="array" ref="I73">(F73-MIN(IF($C$2:$C$154=C73,$F$2:$F$154)))/MIN(IF($C$2:$C$154=C73,$F$2:$F$154))</f>
        <v>1.6815034619188922E-2</v>
      </c>
      <c r="P73" s="7"/>
    </row>
    <row r="74" spans="1:16" x14ac:dyDescent="0.25">
      <c r="A74" t="s">
        <v>21</v>
      </c>
      <c r="B74" t="s">
        <v>7</v>
      </c>
      <c r="C74" t="s">
        <v>26</v>
      </c>
      <c r="D74">
        <v>14.5</v>
      </c>
      <c r="E74" s="12">
        <f t="shared" si="2"/>
        <v>6.8965517241379309E-2</v>
      </c>
      <c r="F74" s="13">
        <v>4196</v>
      </c>
      <c r="G74" s="6">
        <f t="shared" si="3"/>
        <v>0.60556105066490784</v>
      </c>
      <c r="H74" s="9">
        <f t="array" ref="H74">(E74-MAX(IF($C$2:$C$154=C74,$E$2:$E$154)))/MAX(IF($C$2:$C$154=C74,$E$2:$E$154))*-1</f>
        <v>6.2068965517241427E-2</v>
      </c>
      <c r="I74" s="10">
        <f t="array" ref="I74">(F74-MIN(IF($C$2:$C$154=C74,$F$2:$F$154)))/MIN(IF($C$2:$C$154=C74,$F$2:$F$154))</f>
        <v>3.7586547972304651E-2</v>
      </c>
      <c r="P74" s="7"/>
    </row>
    <row r="75" spans="1:16" x14ac:dyDescent="0.25">
      <c r="A75" t="s">
        <v>21</v>
      </c>
      <c r="B75" t="s">
        <v>7</v>
      </c>
      <c r="C75" t="s">
        <v>26</v>
      </c>
      <c r="D75">
        <v>15</v>
      </c>
      <c r="E75" s="12">
        <f t="shared" si="2"/>
        <v>6.6666666666666666E-2</v>
      </c>
      <c r="F75" s="13">
        <v>4284</v>
      </c>
      <c r="G75" s="6">
        <f t="shared" si="3"/>
        <v>0.63586265366680772</v>
      </c>
      <c r="H75" s="9">
        <f t="array" ref="H75">(E75-MAX(IF($C$2:$C$154=C75,$E$2:$E$154)))/MAX(IF($C$2:$C$154=C75,$E$2:$E$154))*-1</f>
        <v>9.3333333333333379E-2</v>
      </c>
      <c r="I75" s="10">
        <f t="array" ref="I75">(F75-MIN(IF($C$2:$C$154=C75,$F$2:$F$154)))/MIN(IF($C$2:$C$154=C75,$F$2:$F$154))</f>
        <v>5.9347181008902079E-2</v>
      </c>
      <c r="P75" s="7"/>
    </row>
    <row r="76" spans="1:16" x14ac:dyDescent="0.25">
      <c r="A76" t="s">
        <v>21</v>
      </c>
      <c r="B76" t="s">
        <v>7</v>
      </c>
      <c r="C76" t="s">
        <v>26</v>
      </c>
      <c r="D76">
        <v>15.5</v>
      </c>
      <c r="E76" s="12">
        <f t="shared" si="2"/>
        <v>6.4516129032258063E-2</v>
      </c>
      <c r="F76" s="13">
        <v>4375</v>
      </c>
      <c r="G76" s="6">
        <f t="shared" si="3"/>
        <v>0.66772086001353503</v>
      </c>
      <c r="H76" s="9">
        <f t="array" ref="H76">(E76-MAX(IF($C$2:$C$154=C76,$E$2:$E$154)))/MAX(IF($C$2:$C$154=C76,$E$2:$E$154))*-1</f>
        <v>0.12258064516129037</v>
      </c>
      <c r="I76" s="10">
        <f t="array" ref="I76">(F76-MIN(IF($C$2:$C$154=C76,$F$2:$F$154)))/MIN(IF($C$2:$C$154=C76,$F$2:$F$154))</f>
        <v>8.1849653808110781E-2</v>
      </c>
      <c r="P76" s="7"/>
    </row>
    <row r="77" spans="1:16" x14ac:dyDescent="0.25">
      <c r="A77" t="s">
        <v>21</v>
      </c>
      <c r="B77" t="s">
        <v>7</v>
      </c>
      <c r="C77" t="s">
        <v>26</v>
      </c>
      <c r="D77">
        <v>16</v>
      </c>
      <c r="E77" s="12">
        <f t="shared" si="2"/>
        <v>6.25E-2</v>
      </c>
      <c r="F77" s="13">
        <v>4470</v>
      </c>
      <c r="G77" s="6">
        <f t="shared" si="3"/>
        <v>0.70227497527200777</v>
      </c>
      <c r="H77" s="9">
        <f t="array" ref="H77">(E77-MAX(IF($C$2:$C$154=C77,$E$2:$E$154)))/MAX(IF($C$2:$C$154=C77,$E$2:$E$154))*-1</f>
        <v>0.15000000000000002</v>
      </c>
      <c r="I77" s="10">
        <f t="array" ref="I77">(F77-MIN(IF($C$2:$C$154=C77,$F$2:$F$154)))/MIN(IF($C$2:$C$154=C77,$F$2:$F$154))</f>
        <v>0.10534124629080119</v>
      </c>
      <c r="P77" s="7"/>
    </row>
    <row r="78" spans="1:16" x14ac:dyDescent="0.25">
      <c r="A78" t="s">
        <v>21</v>
      </c>
      <c r="B78" t="s">
        <v>7</v>
      </c>
      <c r="C78" t="s">
        <v>26</v>
      </c>
      <c r="D78">
        <v>17</v>
      </c>
      <c r="E78" s="12">
        <f t="shared" si="2"/>
        <v>5.8823529411764705E-2</v>
      </c>
      <c r="F78" s="13">
        <v>4667</v>
      </c>
      <c r="G78" s="6">
        <f t="shared" si="3"/>
        <v>0.77027695351137471</v>
      </c>
      <c r="H78" s="9">
        <f t="array" ref="H78">(E78-MAX(IF($C$2:$C$154=C78,$E$2:$E$154)))/MAX(IF($C$2:$C$154=C78,$E$2:$E$154))*-1</f>
        <v>0.20000000000000004</v>
      </c>
      <c r="I78" s="10">
        <f t="array" ref="I78">(F78-MIN(IF($C$2:$C$154=C78,$F$2:$F$154)))/MIN(IF($C$2:$C$154=C78,$F$2:$F$154))</f>
        <v>0.15405539070227497</v>
      </c>
      <c r="P78" s="7"/>
    </row>
    <row r="79" spans="1:16" x14ac:dyDescent="0.25">
      <c r="A79" t="s">
        <v>21</v>
      </c>
      <c r="B79" t="s">
        <v>7</v>
      </c>
      <c r="C79" t="s">
        <v>26</v>
      </c>
      <c r="D79">
        <v>17.5</v>
      </c>
      <c r="E79" s="12">
        <f t="shared" si="2"/>
        <v>5.7142857142857141E-2</v>
      </c>
      <c r="F79" s="13">
        <v>4772</v>
      </c>
      <c r="G79" s="6">
        <f t="shared" si="3"/>
        <v>0.80778107484338924</v>
      </c>
      <c r="H79" s="9">
        <f t="array" ref="H79">(E79-MAX(IF($C$2:$C$154=C79,$E$2:$E$154)))/MAX(IF($C$2:$C$154=C79,$E$2:$E$154))*-1</f>
        <v>0.22285714285714292</v>
      </c>
      <c r="I79" s="10">
        <f t="array" ref="I79">(F79-MIN(IF($C$2:$C$154=C79,$F$2:$F$154)))/MIN(IF($C$2:$C$154=C79,$F$2:$F$154))</f>
        <v>0.18001978239366964</v>
      </c>
      <c r="P79" s="7"/>
    </row>
    <row r="80" spans="1:16" x14ac:dyDescent="0.25">
      <c r="A80" t="s">
        <v>21</v>
      </c>
      <c r="B80" t="s">
        <v>7</v>
      </c>
      <c r="C80" t="s">
        <v>26</v>
      </c>
      <c r="D80">
        <v>18</v>
      </c>
      <c r="E80" s="12">
        <f t="shared" si="2"/>
        <v>5.5555555555555552E-2</v>
      </c>
      <c r="F80" s="13">
        <v>4881</v>
      </c>
      <c r="G80" s="6">
        <f t="shared" si="3"/>
        <v>0.84670892905314254</v>
      </c>
      <c r="H80" s="9">
        <f t="array" ref="H80">(E80-MAX(IF($C$2:$C$154=C80,$E$2:$E$154)))/MAX(IF($C$2:$C$154=C80,$E$2:$E$154))*-1</f>
        <v>0.24444444444444452</v>
      </c>
      <c r="I80" s="10">
        <f t="array" ref="I80">(F80-MIN(IF($C$2:$C$154=C80,$F$2:$F$154)))/MIN(IF($C$2:$C$154=C80,$F$2:$F$154))</f>
        <v>0.20697329376854601</v>
      </c>
      <c r="P80" s="7"/>
    </row>
    <row r="81" spans="1:16" x14ac:dyDescent="0.25">
      <c r="A81" t="s">
        <v>21</v>
      </c>
      <c r="B81" t="s">
        <v>7</v>
      </c>
      <c r="C81" t="s">
        <v>26</v>
      </c>
      <c r="D81">
        <v>20</v>
      </c>
      <c r="E81" s="12">
        <f t="shared" si="2"/>
        <v>0.05</v>
      </c>
      <c r="F81" s="13">
        <v>5169</v>
      </c>
      <c r="G81" s="6">
        <f t="shared" si="3"/>
        <v>0.86934347181008897</v>
      </c>
      <c r="H81" s="9">
        <f t="array" ref="H81">(E81-MAX(IF($C$2:$C$154=C81,$E$2:$E$154)))/MAX(IF($C$2:$C$154=C81,$E$2:$E$154))*-1</f>
        <v>0.32</v>
      </c>
      <c r="I81" s="10">
        <f t="array" ref="I81">(F81-MIN(IF($C$2:$C$154=C81,$F$2:$F$154)))/MIN(IF($C$2:$C$154=C81,$F$2:$F$154))</f>
        <v>0.27818991097922846</v>
      </c>
      <c r="P81" s="7"/>
    </row>
    <row r="82" spans="1:16" x14ac:dyDescent="0.25">
      <c r="A82" t="s">
        <v>21</v>
      </c>
      <c r="B82" t="s">
        <v>7</v>
      </c>
      <c r="C82" t="s">
        <v>26</v>
      </c>
      <c r="D82">
        <v>21.3</v>
      </c>
      <c r="E82" s="12">
        <f t="shared" si="2"/>
        <v>4.6948356807511735E-2</v>
      </c>
      <c r="F82" s="13">
        <v>5276</v>
      </c>
      <c r="G82" s="6">
        <f t="shared" si="3"/>
        <v>0.84272997032640939</v>
      </c>
      <c r="H82" s="9">
        <f t="array" ref="H82">(E82-MAX(IF($C$2:$C$154=C82,$E$2:$E$154)))/MAX(IF($C$2:$C$154=C82,$E$2:$E$154))*-1</f>
        <v>0.36150234741784043</v>
      </c>
      <c r="I82" s="10">
        <f t="array" ref="I82">(F82-MIN(IF($C$2:$C$154=C82,$F$2:$F$154)))/MIN(IF($C$2:$C$154=C82,$F$2:$F$154))</f>
        <v>0.304648862512364</v>
      </c>
      <c r="P82" s="7"/>
    </row>
    <row r="83" spans="1:16" x14ac:dyDescent="0.25">
      <c r="A83" t="s">
        <v>21</v>
      </c>
      <c r="B83" t="s">
        <v>7</v>
      </c>
      <c r="C83" t="s">
        <v>27</v>
      </c>
      <c r="D83">
        <v>13.6</v>
      </c>
      <c r="E83" s="12">
        <f t="shared" si="2"/>
        <v>7.3529411764705885E-2</v>
      </c>
      <c r="F83" s="13">
        <v>4044</v>
      </c>
      <c r="G83" s="6" t="str">
        <f t="shared" si="3"/>
        <v/>
      </c>
      <c r="H83" s="9">
        <f t="array" ref="H83">(E83-MAX(IF($C$2:$C$154=C83,$E$2:$E$154)))/MAX(IF($C$2:$C$154=C83,$E$2:$E$154))*-1</f>
        <v>0</v>
      </c>
      <c r="I83" s="10">
        <f t="array" ref="I83">(F83-MIN(IF($C$2:$C$154=C83,$F$2:$F$154)))/MIN(IF($C$2:$C$154=C83,$F$2:$F$154))</f>
        <v>0</v>
      </c>
      <c r="P83" s="7"/>
    </row>
    <row r="84" spans="1:16" x14ac:dyDescent="0.25">
      <c r="A84" t="s">
        <v>21</v>
      </c>
      <c r="B84" t="s">
        <v>7</v>
      </c>
      <c r="C84" t="s">
        <v>27</v>
      </c>
      <c r="D84">
        <v>14</v>
      </c>
      <c r="E84" s="12">
        <f t="shared" si="2"/>
        <v>7.1428571428571425E-2</v>
      </c>
      <c r="F84" s="13">
        <v>4112</v>
      </c>
      <c r="G84" s="6">
        <f t="shared" si="3"/>
        <v>0.58852621167161046</v>
      </c>
      <c r="H84" s="9">
        <f t="array" ref="H84">(E84-MAX(IF($C$2:$C$154=C84,$E$2:$E$154)))/MAX(IF($C$2:$C$154=C84,$E$2:$E$154))*-1</f>
        <v>2.8571428571428657E-2</v>
      </c>
      <c r="I84" s="10">
        <f t="array" ref="I84">(F84-MIN(IF($C$2:$C$154=C84,$F$2:$F$154)))/MIN(IF($C$2:$C$154=C84,$F$2:$F$154))</f>
        <v>1.6815034619188922E-2</v>
      </c>
      <c r="P84" s="7"/>
    </row>
    <row r="85" spans="1:16" x14ac:dyDescent="0.25">
      <c r="A85" t="s">
        <v>21</v>
      </c>
      <c r="B85" t="s">
        <v>7</v>
      </c>
      <c r="C85" t="s">
        <v>27</v>
      </c>
      <c r="D85">
        <v>14.5</v>
      </c>
      <c r="E85" s="12">
        <f t="shared" si="2"/>
        <v>6.8965517241379309E-2</v>
      </c>
      <c r="F85" s="13">
        <v>4196</v>
      </c>
      <c r="G85" s="6">
        <f t="shared" si="3"/>
        <v>0.60556105066490784</v>
      </c>
      <c r="H85" s="9">
        <f t="array" ref="H85">(E85-MAX(IF($C$2:$C$154=C85,$E$2:$E$154)))/MAX(IF($C$2:$C$154=C85,$E$2:$E$154))*-1</f>
        <v>6.2068965517241427E-2</v>
      </c>
      <c r="I85" s="10">
        <f t="array" ref="I85">(F85-MIN(IF($C$2:$C$154=C85,$F$2:$F$154)))/MIN(IF($C$2:$C$154=C85,$F$2:$F$154))</f>
        <v>3.7586547972304651E-2</v>
      </c>
      <c r="P85" s="7"/>
    </row>
    <row r="86" spans="1:16" x14ac:dyDescent="0.25">
      <c r="A86" t="s">
        <v>21</v>
      </c>
      <c r="B86" t="s">
        <v>7</v>
      </c>
      <c r="C86" t="s">
        <v>27</v>
      </c>
      <c r="D86">
        <v>15</v>
      </c>
      <c r="E86" s="12">
        <f t="shared" si="2"/>
        <v>6.6666666666666666E-2</v>
      </c>
      <c r="F86" s="13">
        <v>4284</v>
      </c>
      <c r="G86" s="6">
        <f t="shared" si="3"/>
        <v>0.63586265366680772</v>
      </c>
      <c r="H86" s="9">
        <f t="array" ref="H86">(E86-MAX(IF($C$2:$C$154=C86,$E$2:$E$154)))/MAX(IF($C$2:$C$154=C86,$E$2:$E$154))*-1</f>
        <v>9.3333333333333379E-2</v>
      </c>
      <c r="I86" s="10">
        <f t="array" ref="I86">(F86-MIN(IF($C$2:$C$154=C86,$F$2:$F$154)))/MIN(IF($C$2:$C$154=C86,$F$2:$F$154))</f>
        <v>5.9347181008902079E-2</v>
      </c>
      <c r="P86" s="7"/>
    </row>
    <row r="87" spans="1:16" x14ac:dyDescent="0.25">
      <c r="A87" t="s">
        <v>21</v>
      </c>
      <c r="B87" t="s">
        <v>7</v>
      </c>
      <c r="C87" t="s">
        <v>27</v>
      </c>
      <c r="D87">
        <v>15.5</v>
      </c>
      <c r="E87" s="12">
        <f t="shared" si="2"/>
        <v>6.4516129032258063E-2</v>
      </c>
      <c r="F87" s="13">
        <v>4375</v>
      </c>
      <c r="G87" s="6">
        <f t="shared" si="3"/>
        <v>0.66772086001353503</v>
      </c>
      <c r="H87" s="9">
        <f t="array" ref="H87">(E87-MAX(IF($C$2:$C$154=C87,$E$2:$E$154)))/MAX(IF($C$2:$C$154=C87,$E$2:$E$154))*-1</f>
        <v>0.12258064516129037</v>
      </c>
      <c r="I87" s="10">
        <f t="array" ref="I87">(F87-MIN(IF($C$2:$C$154=C87,$F$2:$F$154)))/MIN(IF($C$2:$C$154=C87,$F$2:$F$154))</f>
        <v>8.1849653808110781E-2</v>
      </c>
      <c r="P87" s="7"/>
    </row>
    <row r="88" spans="1:16" x14ac:dyDescent="0.25">
      <c r="A88" t="s">
        <v>21</v>
      </c>
      <c r="B88" t="s">
        <v>7</v>
      </c>
      <c r="C88" t="s">
        <v>27</v>
      </c>
      <c r="D88" s="13">
        <v>16</v>
      </c>
      <c r="E88" s="12">
        <f t="shared" si="2"/>
        <v>6.25E-2</v>
      </c>
      <c r="F88" s="13">
        <v>4470</v>
      </c>
      <c r="G88" s="6">
        <f t="shared" si="3"/>
        <v>0.70227497527200777</v>
      </c>
      <c r="H88" s="9">
        <f t="array" ref="H88">(E88-MAX(IF($C$2:$C$154=C88,$E$2:$E$154)))/MAX(IF($C$2:$C$154=C88,$E$2:$E$154))*-1</f>
        <v>0.15000000000000002</v>
      </c>
      <c r="I88" s="10">
        <f t="array" ref="I88">(F88-MIN(IF($C$2:$C$154=C88,$F$2:$F$154)))/MIN(IF($C$2:$C$154=C88,$F$2:$F$154))</f>
        <v>0.10534124629080119</v>
      </c>
      <c r="P88" s="7"/>
    </row>
    <row r="89" spans="1:16" x14ac:dyDescent="0.25">
      <c r="A89" t="s">
        <v>21</v>
      </c>
      <c r="B89" t="s">
        <v>7</v>
      </c>
      <c r="C89" t="s">
        <v>27</v>
      </c>
      <c r="D89" s="13">
        <v>17</v>
      </c>
      <c r="E89" s="12">
        <f t="shared" si="2"/>
        <v>5.8823529411764705E-2</v>
      </c>
      <c r="F89" s="13">
        <v>4667</v>
      </c>
      <c r="G89" s="6">
        <f t="shared" si="3"/>
        <v>0.77027695351137471</v>
      </c>
      <c r="H89" s="9">
        <f t="array" ref="H89">(E89-MAX(IF($C$2:$C$154=C89,$E$2:$E$154)))/MAX(IF($C$2:$C$154=C89,$E$2:$E$154))*-1</f>
        <v>0.20000000000000004</v>
      </c>
      <c r="I89" s="10">
        <f t="array" ref="I89">(F89-MIN(IF($C$2:$C$154=C89,$F$2:$F$154)))/MIN(IF($C$2:$C$154=C89,$F$2:$F$154))</f>
        <v>0.15405539070227497</v>
      </c>
      <c r="P89" s="7"/>
    </row>
    <row r="90" spans="1:16" x14ac:dyDescent="0.25">
      <c r="A90" t="s">
        <v>21</v>
      </c>
      <c r="B90" t="s">
        <v>7</v>
      </c>
      <c r="C90" t="s">
        <v>27</v>
      </c>
      <c r="D90" s="13">
        <v>17.5</v>
      </c>
      <c r="E90" s="12">
        <f t="shared" si="2"/>
        <v>5.7142857142857141E-2</v>
      </c>
      <c r="F90" s="13">
        <v>4772</v>
      </c>
      <c r="G90" s="6">
        <f t="shared" si="3"/>
        <v>0.80778107484338924</v>
      </c>
      <c r="H90" s="9">
        <f t="array" ref="H90">(E90-MAX(IF($C$2:$C$154=C90,$E$2:$E$154)))/MAX(IF($C$2:$C$154=C90,$E$2:$E$154))*-1</f>
        <v>0.22285714285714292</v>
      </c>
      <c r="I90" s="10">
        <f t="array" ref="I90">(F90-MIN(IF($C$2:$C$154=C90,$F$2:$F$154)))/MIN(IF($C$2:$C$154=C90,$F$2:$F$154))</f>
        <v>0.18001978239366964</v>
      </c>
      <c r="P90" s="7"/>
    </row>
    <row r="91" spans="1:16" x14ac:dyDescent="0.25">
      <c r="A91" t="s">
        <v>21</v>
      </c>
      <c r="B91" t="s">
        <v>7</v>
      </c>
      <c r="C91" t="s">
        <v>27</v>
      </c>
      <c r="D91" s="13">
        <v>18</v>
      </c>
      <c r="E91" s="12">
        <f t="shared" si="2"/>
        <v>5.5555555555555552E-2</v>
      </c>
      <c r="F91" s="13">
        <v>4881</v>
      </c>
      <c r="G91" s="6">
        <f t="shared" si="3"/>
        <v>0.84670892905314254</v>
      </c>
      <c r="H91" s="9">
        <f t="array" ref="H91">(E91-MAX(IF($C$2:$C$154=C91,$E$2:$E$154)))/MAX(IF($C$2:$C$154=C91,$E$2:$E$154))*-1</f>
        <v>0.24444444444444452</v>
      </c>
      <c r="I91" s="10">
        <f t="array" ref="I91">(F91-MIN(IF($C$2:$C$154=C91,$F$2:$F$154)))/MIN(IF($C$2:$C$154=C91,$F$2:$F$154))</f>
        <v>0.20697329376854601</v>
      </c>
      <c r="P91" s="7"/>
    </row>
    <row r="92" spans="1:16" x14ac:dyDescent="0.25">
      <c r="A92" t="s">
        <v>21</v>
      </c>
      <c r="B92" t="s">
        <v>7</v>
      </c>
      <c r="C92" t="s">
        <v>27</v>
      </c>
      <c r="D92" s="13">
        <v>19.399999999999999</v>
      </c>
      <c r="E92" s="12">
        <f t="shared" si="2"/>
        <v>5.1546391752577324E-2</v>
      </c>
      <c r="F92" s="13">
        <v>5169</v>
      </c>
      <c r="G92" s="6">
        <f t="shared" si="3"/>
        <v>0.93049728844776414</v>
      </c>
      <c r="H92" s="9">
        <f t="array" ref="H92">(E92-MAX(IF($C$2:$C$154=C92,$E$2:$E$154)))/MAX(IF($C$2:$C$154=C92,$E$2:$E$154))*-1</f>
        <v>0.29896907216494845</v>
      </c>
      <c r="I92" s="10">
        <f t="array" ref="I92">(F92-MIN(IF($C$2:$C$154=C92,$F$2:$F$154)))/MIN(IF($C$2:$C$154=C92,$F$2:$F$154))</f>
        <v>0.27818991097922846</v>
      </c>
      <c r="P92" s="7"/>
    </row>
    <row r="93" spans="1:16" x14ac:dyDescent="0.25">
      <c r="A93" t="s">
        <v>21</v>
      </c>
      <c r="B93" t="s">
        <v>7</v>
      </c>
      <c r="C93" t="s">
        <v>31</v>
      </c>
      <c r="D93" s="13">
        <v>13.6</v>
      </c>
      <c r="E93" s="12">
        <f t="shared" si="2"/>
        <v>7.3529411764705885E-2</v>
      </c>
      <c r="F93" s="13">
        <v>4012</v>
      </c>
      <c r="G93" s="6" t="str">
        <f t="shared" si="3"/>
        <v/>
      </c>
      <c r="H93" s="9">
        <f t="array" ref="H93">(E93-MAX(IF($C$2:$C$154=C93,$E$2:$E$154)))/MAX(IF($C$2:$C$154=C93,$E$2:$E$154))*-1</f>
        <v>0</v>
      </c>
      <c r="I93" s="10">
        <f t="array" ref="I93">(F93-MIN(IF($C$2:$C$154=C93,$F$2:$F$154)))/MIN(IF($C$2:$C$154=C93,$F$2:$F$154))</f>
        <v>0</v>
      </c>
      <c r="P93" s="7"/>
    </row>
    <row r="94" spans="1:16" x14ac:dyDescent="0.25">
      <c r="A94" t="s">
        <v>21</v>
      </c>
      <c r="B94" t="s">
        <v>7</v>
      </c>
      <c r="C94" t="s">
        <v>31</v>
      </c>
      <c r="D94" s="13">
        <v>14</v>
      </c>
      <c r="E94" s="12">
        <f t="shared" si="2"/>
        <v>7.1428571428571425E-2</v>
      </c>
      <c r="F94" s="13">
        <v>4075</v>
      </c>
      <c r="G94" s="6">
        <f t="shared" si="3"/>
        <v>0.5496011964107661</v>
      </c>
      <c r="H94" s="9">
        <f t="array" ref="H94">(E94-MAX(IF($C$2:$C$154=C94,$E$2:$E$154)))/MAX(IF($C$2:$C$154=C94,$E$2:$E$154))*-1</f>
        <v>2.8571428571428657E-2</v>
      </c>
      <c r="I94" s="10">
        <f t="array" ref="I94">(F94-MIN(IF($C$2:$C$154=C94,$F$2:$F$154)))/MIN(IF($C$2:$C$154=C94,$F$2:$F$154))</f>
        <v>1.5702891326021935E-2</v>
      </c>
      <c r="P94" s="7"/>
    </row>
    <row r="95" spans="1:16" x14ac:dyDescent="0.25">
      <c r="A95" t="s">
        <v>21</v>
      </c>
      <c r="B95" t="s">
        <v>7</v>
      </c>
      <c r="C95" t="s">
        <v>31</v>
      </c>
      <c r="D95" s="13">
        <v>14.5</v>
      </c>
      <c r="E95" s="12">
        <f t="shared" si="2"/>
        <v>6.8965517241379309E-2</v>
      </c>
      <c r="F95" s="13">
        <v>4162</v>
      </c>
      <c r="G95" s="6">
        <f t="shared" si="3"/>
        <v>0.60235958790295741</v>
      </c>
      <c r="H95" s="9">
        <f t="array" ref="H95">(E95-MAX(IF($C$2:$C$154=C95,$E$2:$E$154)))/MAX(IF($C$2:$C$154=C95,$E$2:$E$154))*-1</f>
        <v>6.2068965517241427E-2</v>
      </c>
      <c r="I95" s="10">
        <f t="array" ref="I95">(F95-MIN(IF($C$2:$C$154=C95,$F$2:$F$154)))/MIN(IF($C$2:$C$154=C95,$F$2:$F$154))</f>
        <v>3.7387836490528417E-2</v>
      </c>
      <c r="P95" s="7"/>
    </row>
    <row r="96" spans="1:16" x14ac:dyDescent="0.25">
      <c r="A96" t="s">
        <v>21</v>
      </c>
      <c r="B96" t="s">
        <v>7</v>
      </c>
      <c r="C96" t="s">
        <v>31</v>
      </c>
      <c r="D96" s="13">
        <v>15</v>
      </c>
      <c r="E96" s="12">
        <f t="shared" si="2"/>
        <v>6.6666666666666666E-2</v>
      </c>
      <c r="F96" s="13">
        <v>4249</v>
      </c>
      <c r="G96" s="6">
        <f t="shared" si="3"/>
        <v>0.63292266058965929</v>
      </c>
      <c r="H96" s="9">
        <f t="array" ref="H96">(E96-MAX(IF($C$2:$C$154=C96,$E$2:$E$154)))/MAX(IF($C$2:$C$154=C96,$E$2:$E$154))*-1</f>
        <v>9.3333333333333379E-2</v>
      </c>
      <c r="I96" s="10">
        <f t="array" ref="I96">(F96-MIN(IF($C$2:$C$154=C96,$F$2:$F$154)))/MIN(IF($C$2:$C$154=C96,$F$2:$F$154))</f>
        <v>5.9072781655034892E-2</v>
      </c>
      <c r="P96" s="7"/>
    </row>
    <row r="97" spans="1:16" x14ac:dyDescent="0.25">
      <c r="A97" t="s">
        <v>21</v>
      </c>
      <c r="B97" t="s">
        <v>7</v>
      </c>
      <c r="C97" t="s">
        <v>31</v>
      </c>
      <c r="D97" s="13">
        <v>15.5</v>
      </c>
      <c r="E97" s="12">
        <f t="shared" si="2"/>
        <v>6.4516129032258063E-2</v>
      </c>
      <c r="F97" s="13">
        <v>4338</v>
      </c>
      <c r="G97" s="6">
        <f t="shared" si="3"/>
        <v>0.66287978170750883</v>
      </c>
      <c r="H97" s="9">
        <f t="array" ref="H97">(E97-MAX(IF($C$2:$C$154=C97,$E$2:$E$154)))/MAX(IF($C$2:$C$154=C97,$E$2:$E$154))*-1</f>
        <v>0.12258064516129037</v>
      </c>
      <c r="I97" s="10">
        <f t="array" ref="I97">(F97-MIN(IF($C$2:$C$154=C97,$F$2:$F$154)))/MIN(IF($C$2:$C$154=C97,$F$2:$F$154))</f>
        <v>8.1256231306081755E-2</v>
      </c>
      <c r="P97" s="7"/>
    </row>
    <row r="98" spans="1:16" x14ac:dyDescent="0.25">
      <c r="A98" t="s">
        <v>21</v>
      </c>
      <c r="B98" t="s">
        <v>7</v>
      </c>
      <c r="C98" t="s">
        <v>31</v>
      </c>
      <c r="D98" s="13">
        <v>16</v>
      </c>
      <c r="E98" s="12">
        <f t="shared" si="2"/>
        <v>6.25E-2</v>
      </c>
      <c r="F98" s="13">
        <v>4434</v>
      </c>
      <c r="G98" s="6">
        <f t="shared" si="3"/>
        <v>0.7012296444001328</v>
      </c>
      <c r="H98" s="9">
        <f t="array" ref="H98">(E98-MAX(IF($C$2:$C$154=C98,$E$2:$E$154)))/MAX(IF($C$2:$C$154=C98,$E$2:$E$154))*-1</f>
        <v>0.15000000000000002</v>
      </c>
      <c r="I98" s="10">
        <f t="array" ref="I98">(F98-MIN(IF($C$2:$C$154=C98,$F$2:$F$154)))/MIN(IF($C$2:$C$154=C98,$F$2:$F$154))</f>
        <v>0.10518444666001994</v>
      </c>
      <c r="P98" s="7"/>
    </row>
    <row r="99" spans="1:16" x14ac:dyDescent="0.25">
      <c r="A99" t="s">
        <v>21</v>
      </c>
      <c r="B99" t="s">
        <v>7</v>
      </c>
      <c r="C99" t="s">
        <v>31</v>
      </c>
      <c r="D99" s="13">
        <v>16.899999999999999</v>
      </c>
      <c r="E99" s="12">
        <f t="shared" si="2"/>
        <v>5.9171597633136098E-2</v>
      </c>
      <c r="F99" s="13">
        <v>4612</v>
      </c>
      <c r="G99" s="6">
        <f t="shared" si="3"/>
        <v>0.76588416568476403</v>
      </c>
      <c r="H99" s="9">
        <f t="array" ref="H99">(E99-MAX(IF($C$2:$C$154=C99,$E$2:$E$154)))/MAX(IF($C$2:$C$154=C99,$E$2:$E$154))*-1</f>
        <v>0.19526627218934908</v>
      </c>
      <c r="I99" s="10">
        <f t="array" ref="I99">(F99-MIN(IF($C$2:$C$154=C99,$F$2:$F$154)))/MIN(IF($C$2:$C$154=C99,$F$2:$F$154))</f>
        <v>0.14955134596211367</v>
      </c>
      <c r="P99" s="7"/>
    </row>
    <row r="100" spans="1:16" x14ac:dyDescent="0.25">
      <c r="A100" t="s">
        <v>21</v>
      </c>
      <c r="B100" t="s">
        <v>7</v>
      </c>
      <c r="C100" t="s">
        <v>32</v>
      </c>
      <c r="D100" s="13">
        <v>13.6</v>
      </c>
      <c r="E100" s="12">
        <f t="shared" si="2"/>
        <v>7.3529411764705885E-2</v>
      </c>
      <c r="F100" s="13">
        <v>4356</v>
      </c>
      <c r="G100" s="6" t="str">
        <f t="shared" si="3"/>
        <v/>
      </c>
      <c r="H100" s="9">
        <f t="array" ref="H100">(E100-MAX(IF($C$2:$C$154=C100,$E$2:$E$154)))/MAX(IF($C$2:$C$154=C100,$E$2:$E$154))*-1</f>
        <v>0</v>
      </c>
      <c r="I100" s="10">
        <f t="array" ref="I100">(F100-MIN(IF($C$2:$C$154=C100,$F$2:$F$154)))/MIN(IF($C$2:$C$154=C100,$F$2:$F$154))</f>
        <v>0</v>
      </c>
      <c r="P100" s="7"/>
    </row>
    <row r="101" spans="1:16" x14ac:dyDescent="0.25">
      <c r="A101" t="s">
        <v>21</v>
      </c>
      <c r="B101" t="s">
        <v>7</v>
      </c>
      <c r="C101" t="s">
        <v>32</v>
      </c>
      <c r="D101" s="13">
        <v>14</v>
      </c>
      <c r="E101" s="12">
        <f t="shared" si="2"/>
        <v>7.1428571428571425E-2</v>
      </c>
      <c r="F101" s="13">
        <v>4439</v>
      </c>
      <c r="G101" s="6">
        <f t="shared" si="3"/>
        <v>0.66689623507805118</v>
      </c>
      <c r="H101" s="9">
        <f t="array" ref="H101">(E101-MAX(IF($C$2:$C$154=C101,$E$2:$E$154)))/MAX(IF($C$2:$C$154=C101,$E$2:$E$154))*-1</f>
        <v>2.8571428571428657E-2</v>
      </c>
      <c r="I101" s="10">
        <f t="array" ref="I101">(F101-MIN(IF($C$2:$C$154=C101,$F$2:$F$154)))/MIN(IF($C$2:$C$154=C101,$F$2:$F$154))</f>
        <v>1.9054178145087235E-2</v>
      </c>
      <c r="P101" s="7"/>
    </row>
    <row r="102" spans="1:16" x14ac:dyDescent="0.25">
      <c r="A102" t="s">
        <v>21</v>
      </c>
      <c r="B102" t="s">
        <v>7</v>
      </c>
      <c r="C102" t="s">
        <v>32</v>
      </c>
      <c r="D102" s="13">
        <v>14.5</v>
      </c>
      <c r="E102" s="12">
        <f t="shared" si="2"/>
        <v>6.8965517241379309E-2</v>
      </c>
      <c r="F102" s="13">
        <v>4546</v>
      </c>
      <c r="G102" s="6">
        <f t="shared" si="3"/>
        <v>0.70273441485562638</v>
      </c>
      <c r="H102" s="9">
        <f t="array" ref="H102">(E102-MAX(IF($C$2:$C$154=C102,$E$2:$E$154)))/MAX(IF($C$2:$C$154=C102,$E$2:$E$154))*-1</f>
        <v>6.2068965517241427E-2</v>
      </c>
      <c r="I102" s="10">
        <f t="array" ref="I102">(F102-MIN(IF($C$2:$C$154=C102,$F$2:$F$154)))/MIN(IF($C$2:$C$154=C102,$F$2:$F$154))</f>
        <v>4.3617998163452708E-2</v>
      </c>
      <c r="P102" s="7"/>
    </row>
    <row r="103" spans="1:16" x14ac:dyDescent="0.25">
      <c r="A103" t="s">
        <v>21</v>
      </c>
      <c r="B103" t="s">
        <v>7</v>
      </c>
      <c r="C103" t="s">
        <v>32</v>
      </c>
      <c r="D103" s="13">
        <v>14.6</v>
      </c>
      <c r="E103" s="12">
        <f t="shared" si="2"/>
        <v>6.8493150684931503E-2</v>
      </c>
      <c r="F103" s="13">
        <v>4567</v>
      </c>
      <c r="G103" s="6">
        <f t="shared" si="3"/>
        <v>0.70720844811753825</v>
      </c>
      <c r="H103" s="9">
        <f t="array" ref="H103">(E103-MAX(IF($C$2:$C$154=C103,$E$2:$E$154)))/MAX(IF($C$2:$C$154=C103,$E$2:$E$154))*-1</f>
        <v>6.8493150684931586E-2</v>
      </c>
      <c r="I103" s="10">
        <f t="array" ref="I103">(F103-MIN(IF($C$2:$C$154=C103,$F$2:$F$154)))/MIN(IF($C$2:$C$154=C103,$F$2:$F$154))</f>
        <v>4.8438934802571165E-2</v>
      </c>
      <c r="P103" s="7"/>
    </row>
    <row r="104" spans="1:16" x14ac:dyDescent="0.25">
      <c r="A104" t="s">
        <v>21</v>
      </c>
      <c r="B104" t="s">
        <v>7</v>
      </c>
      <c r="C104" t="s">
        <v>33</v>
      </c>
      <c r="D104" s="13">
        <v>11.6</v>
      </c>
      <c r="E104" s="12">
        <f t="shared" si="2"/>
        <v>8.6206896551724144E-2</v>
      </c>
      <c r="F104" s="13">
        <v>4302</v>
      </c>
      <c r="G104" s="6" t="str">
        <f t="shared" si="3"/>
        <v/>
      </c>
      <c r="H104" s="9">
        <f t="array" ref="H104">(E104-MAX(IF($C$2:$C$154=C104,$E$2:$E$154)))/MAX(IF($C$2:$C$154=C104,$E$2:$E$154))*-1</f>
        <v>0</v>
      </c>
      <c r="I104" s="10">
        <f t="array" ref="I104">(F104-MIN(IF($C$2:$C$154=C104,$F$2:$F$154)))/MIN(IF($C$2:$C$154=C104,$F$2:$F$154))</f>
        <v>0</v>
      </c>
      <c r="P104" s="7"/>
    </row>
    <row r="105" spans="1:16" x14ac:dyDescent="0.25">
      <c r="A105" t="s">
        <v>21</v>
      </c>
      <c r="B105" t="s">
        <v>7</v>
      </c>
      <c r="C105" t="s">
        <v>33</v>
      </c>
      <c r="D105" s="13">
        <v>12</v>
      </c>
      <c r="E105" s="12">
        <f t="shared" si="2"/>
        <v>8.3333333333333329E-2</v>
      </c>
      <c r="F105" s="13">
        <v>4410</v>
      </c>
      <c r="G105" s="6">
        <f t="shared" si="3"/>
        <v>0.75313807531380483</v>
      </c>
      <c r="H105" s="9">
        <f t="array" ref="H105">(E105-MAX(IF($C$2:$C$154=C105,$E$2:$E$154)))/MAX(IF($C$2:$C$154=C105,$E$2:$E$154))*-1</f>
        <v>3.3333333333333451E-2</v>
      </c>
      <c r="I105" s="10">
        <f t="array" ref="I105">(F105-MIN(IF($C$2:$C$154=C105,$F$2:$F$154)))/MIN(IF($C$2:$C$154=C105,$F$2:$F$154))</f>
        <v>2.5104602510460251E-2</v>
      </c>
      <c r="P105" s="7"/>
    </row>
    <row r="106" spans="1:16" x14ac:dyDescent="0.25">
      <c r="A106" t="s">
        <v>21</v>
      </c>
      <c r="B106" t="s">
        <v>7</v>
      </c>
      <c r="C106" t="s">
        <v>33</v>
      </c>
      <c r="D106" s="13">
        <v>12.5</v>
      </c>
      <c r="E106" s="12">
        <f t="shared" si="2"/>
        <v>0.08</v>
      </c>
      <c r="F106" s="13">
        <v>4556</v>
      </c>
      <c r="G106" s="6">
        <f t="shared" si="3"/>
        <v>0.82003202644764661</v>
      </c>
      <c r="H106" s="9">
        <f t="array" ref="H106">(E106-MAX(IF($C$2:$C$154=C106,$E$2:$E$154)))/MAX(IF($C$2:$C$154=C106,$E$2:$E$154))*-1</f>
        <v>7.2000000000000036E-2</v>
      </c>
      <c r="I106" s="10">
        <f t="array" ref="I106">(F106-MIN(IF($C$2:$C$154=C106,$F$2:$F$154)))/MIN(IF($C$2:$C$154=C106,$F$2:$F$154))</f>
        <v>5.9042305904230589E-2</v>
      </c>
      <c r="P106" s="7"/>
    </row>
    <row r="107" spans="1:16" x14ac:dyDescent="0.25">
      <c r="A107" t="s">
        <v>21</v>
      </c>
      <c r="B107" t="s">
        <v>7</v>
      </c>
      <c r="C107" t="s">
        <v>33</v>
      </c>
      <c r="D107" s="13">
        <v>13</v>
      </c>
      <c r="E107" s="12">
        <f t="shared" si="2"/>
        <v>7.6923076923076927E-2</v>
      </c>
      <c r="F107" s="13">
        <v>4706</v>
      </c>
      <c r="G107" s="6">
        <f t="shared" si="3"/>
        <v>0.87201965863053721</v>
      </c>
      <c r="H107" s="9">
        <f t="array" ref="H107">(E107-MAX(IF($C$2:$C$154=C107,$E$2:$E$154)))/MAX(IF($C$2:$C$154=C107,$E$2:$E$154))*-1</f>
        <v>0.1076923076923077</v>
      </c>
      <c r="I107" s="10">
        <f t="array" ref="I107">(F107-MIN(IF($C$2:$C$154=C107,$F$2:$F$154)))/MIN(IF($C$2:$C$154=C107,$F$2:$F$154))</f>
        <v>9.3909809390980939E-2</v>
      </c>
      <c r="P107" s="7"/>
    </row>
    <row r="108" spans="1:16" x14ac:dyDescent="0.25">
      <c r="A108" t="s">
        <v>21</v>
      </c>
      <c r="B108" t="s">
        <v>7</v>
      </c>
      <c r="C108" t="s">
        <v>33</v>
      </c>
      <c r="D108" s="13">
        <v>13.6</v>
      </c>
      <c r="E108" s="12">
        <f t="shared" si="2"/>
        <v>7.3529411764705885E-2</v>
      </c>
      <c r="F108" s="13">
        <v>4898</v>
      </c>
      <c r="G108" s="6">
        <f t="shared" si="3"/>
        <v>0.94207345420734512</v>
      </c>
      <c r="H108" s="9">
        <f t="array" ref="H108">(E108-MAX(IF($C$2:$C$154=C108,$E$2:$E$154)))/MAX(IF($C$2:$C$154=C108,$E$2:$E$154))*-1</f>
        <v>0.1470588235294118</v>
      </c>
      <c r="I108" s="10">
        <f t="array" ref="I108">(F108-MIN(IF($C$2:$C$154=C108,$F$2:$F$154)))/MIN(IF($C$2:$C$154=C108,$F$2:$F$154))</f>
        <v>0.13854021385402138</v>
      </c>
      <c r="P108" s="7"/>
    </row>
    <row r="109" spans="1:16" x14ac:dyDescent="0.25">
      <c r="A109" t="s">
        <v>21</v>
      </c>
      <c r="B109" t="s">
        <v>7</v>
      </c>
      <c r="C109" t="s">
        <v>34</v>
      </c>
      <c r="D109" s="13">
        <v>12</v>
      </c>
      <c r="E109" s="12">
        <f t="shared" si="2"/>
        <v>8.3333333333333329E-2</v>
      </c>
      <c r="F109" s="13">
        <v>5101</v>
      </c>
      <c r="G109" s="6" t="str">
        <f t="shared" si="3"/>
        <v/>
      </c>
      <c r="H109" s="9">
        <f t="array" ref="H109">(E109-MAX(IF($C$2:$C$154=C109,$E$2:$E$154)))/MAX(IF($C$2:$C$154=C109,$E$2:$E$154))*-1</f>
        <v>0</v>
      </c>
      <c r="I109" s="10">
        <f t="array" ref="I109">(F109-MIN(IF($C$2:$C$154=C109,$F$2:$F$154)))/MIN(IF($C$2:$C$154=C109,$F$2:$F$154))</f>
        <v>0</v>
      </c>
      <c r="P109" s="7"/>
    </row>
    <row r="110" spans="1:16" x14ac:dyDescent="0.25">
      <c r="A110" t="s">
        <v>21</v>
      </c>
      <c r="B110" t="s">
        <v>7</v>
      </c>
      <c r="C110" t="s">
        <v>34</v>
      </c>
      <c r="D110" s="13">
        <v>12.5</v>
      </c>
      <c r="E110" s="12">
        <f t="shared" si="2"/>
        <v>0.08</v>
      </c>
      <c r="F110" s="13">
        <v>5306</v>
      </c>
      <c r="G110" s="6">
        <f t="shared" si="3"/>
        <v>1.0047049598118034</v>
      </c>
      <c r="H110" s="9">
        <f t="array" ref="H110">(E110-MAX(IF($C$2:$C$154=C110,$E$2:$E$154)))/MAX(IF($C$2:$C$154=C110,$E$2:$E$154))*-1</f>
        <v>3.9999999999999925E-2</v>
      </c>
      <c r="I110" s="10">
        <f t="array" ref="I110">(F110-MIN(IF($C$2:$C$154=C110,$F$2:$F$154)))/MIN(IF($C$2:$C$154=C110,$F$2:$F$154))</f>
        <v>4.0188198392472063E-2</v>
      </c>
      <c r="P110" s="7"/>
    </row>
    <row r="111" spans="1:16" x14ac:dyDescent="0.25">
      <c r="A111" t="s">
        <v>21</v>
      </c>
      <c r="B111" t="s">
        <v>7</v>
      </c>
      <c r="C111" t="s">
        <v>34</v>
      </c>
      <c r="D111" s="13">
        <v>13</v>
      </c>
      <c r="E111" s="12">
        <f t="shared" si="2"/>
        <v>7.6923076923076927E-2</v>
      </c>
      <c r="F111" s="13">
        <v>5523</v>
      </c>
      <c r="G111" s="6">
        <f t="shared" si="3"/>
        <v>1.0754753969809856</v>
      </c>
      <c r="H111" s="9">
        <f t="array" ref="H111">(E111-MAX(IF($C$2:$C$154=C111,$E$2:$E$154)))/MAX(IF($C$2:$C$154=C111,$E$2:$E$154))*-1</f>
        <v>7.6923076923076816E-2</v>
      </c>
      <c r="I111" s="10">
        <f t="array" ref="I111">(F111-MIN(IF($C$2:$C$154=C111,$F$2:$F$154)))/MIN(IF($C$2:$C$154=C111,$F$2:$F$154))</f>
        <v>8.272887669084493E-2</v>
      </c>
      <c r="P111" s="7"/>
    </row>
    <row r="112" spans="1:16" x14ac:dyDescent="0.25">
      <c r="A112" t="s">
        <v>21</v>
      </c>
      <c r="B112" t="s">
        <v>7</v>
      </c>
      <c r="C112" t="s">
        <v>34</v>
      </c>
      <c r="D112" s="13">
        <v>13.5</v>
      </c>
      <c r="E112" s="12">
        <f t="shared" si="2"/>
        <v>7.407407407407407E-2</v>
      </c>
      <c r="F112" s="13">
        <v>5754</v>
      </c>
      <c r="G112" s="6">
        <f t="shared" si="3"/>
        <v>1.1521270339149186</v>
      </c>
      <c r="H112" s="9">
        <f t="array" ref="H112">(E112-MAX(IF($C$2:$C$154=C112,$E$2:$E$154)))/MAX(IF($C$2:$C$154=C112,$E$2:$E$154))*-1</f>
        <v>0.1111111111111111</v>
      </c>
      <c r="I112" s="10">
        <f t="array" ref="I112">(F112-MIN(IF($C$2:$C$154=C112,$F$2:$F$154)))/MIN(IF($C$2:$C$154=C112,$F$2:$F$154))</f>
        <v>0.1280141148794354</v>
      </c>
      <c r="P112" s="7"/>
    </row>
    <row r="113" spans="1:16" x14ac:dyDescent="0.25">
      <c r="A113" t="s">
        <v>21</v>
      </c>
      <c r="B113" t="s">
        <v>7</v>
      </c>
      <c r="C113" t="s">
        <v>34</v>
      </c>
      <c r="D113" s="13">
        <v>14</v>
      </c>
      <c r="E113" s="12">
        <f t="shared" si="2"/>
        <v>7.1428571428571425E-2</v>
      </c>
      <c r="F113" s="13">
        <v>6002</v>
      </c>
      <c r="G113" s="6">
        <f t="shared" si="3"/>
        <v>1.2364242305430309</v>
      </c>
      <c r="H113" s="9">
        <f t="array" ref="H113">(E113-MAX(IF($C$2:$C$154=C113,$E$2:$E$154)))/MAX(IF($C$2:$C$154=C113,$E$2:$E$154))*-1</f>
        <v>0.14285714285714285</v>
      </c>
      <c r="I113" s="10">
        <f t="array" ref="I113">(F113-MIN(IF($C$2:$C$154=C113,$F$2:$F$154)))/MIN(IF($C$2:$C$154=C113,$F$2:$F$154))</f>
        <v>0.17663203293471869</v>
      </c>
      <c r="P113" s="7"/>
    </row>
    <row r="114" spans="1:16" x14ac:dyDescent="0.25">
      <c r="A114" s="13" t="s">
        <v>21</v>
      </c>
      <c r="B114" s="13" t="s">
        <v>40</v>
      </c>
      <c r="C114" s="13" t="s">
        <v>46</v>
      </c>
      <c r="D114" s="13">
        <v>11.4</v>
      </c>
      <c r="E114" s="12">
        <f t="shared" si="2"/>
        <v>8.771929824561403E-2</v>
      </c>
      <c r="F114" s="13">
        <v>6419</v>
      </c>
      <c r="G114" s="6" t="str">
        <f t="shared" si="3"/>
        <v/>
      </c>
      <c r="H114" s="9">
        <f t="array" ref="H114">(E114-MAX(IF($C$2:$C$154=C114,$E$2:$E$154)))/MAX(IF($C$2:$C$154=C114,$E$2:$E$154))*-1</f>
        <v>0</v>
      </c>
      <c r="I114" s="10">
        <f t="array" ref="I114">(F114-MIN(IF($C$2:$C$154=C114,$F$2:$F$154)))/MIN(IF($C$2:$C$154=C114,$F$2:$F$154))</f>
        <v>0</v>
      </c>
      <c r="P114" s="7"/>
    </row>
    <row r="115" spans="1:16" x14ac:dyDescent="0.25">
      <c r="A115" s="13" t="s">
        <v>21</v>
      </c>
      <c r="B115" s="13" t="s">
        <v>40</v>
      </c>
      <c r="C115" s="13" t="s">
        <v>46</v>
      </c>
      <c r="D115" s="13">
        <v>12.9</v>
      </c>
      <c r="E115" s="12">
        <f t="shared" si="2"/>
        <v>7.7519379844961239E-2</v>
      </c>
      <c r="F115" s="13">
        <v>6850</v>
      </c>
      <c r="G115" s="6">
        <f t="shared" si="3"/>
        <v>0.57744196915407398</v>
      </c>
      <c r="H115" s="9">
        <f t="array" ref="H115">(E115-MAX(IF($C$2:$C$154=C115,$E$2:$E$154)))/MAX(IF($C$2:$C$154=C115,$E$2:$E$154))*-1</f>
        <v>0.11627906976744182</v>
      </c>
      <c r="I115" s="10">
        <f t="array" ref="I115">(F115-MIN(IF($C$2:$C$154=C115,$F$2:$F$154)))/MIN(IF($C$2:$C$154=C115,$F$2:$F$154))</f>
        <v>6.7144415017915557E-2</v>
      </c>
      <c r="P115" s="7"/>
    </row>
    <row r="116" spans="1:16" x14ac:dyDescent="0.25">
      <c r="A116" s="13" t="s">
        <v>21</v>
      </c>
      <c r="B116" s="13" t="s">
        <v>40</v>
      </c>
      <c r="C116" s="13" t="s">
        <v>46</v>
      </c>
      <c r="D116" s="13">
        <v>12.9</v>
      </c>
      <c r="E116" s="12">
        <f t="shared" si="2"/>
        <v>7.7519379844961239E-2</v>
      </c>
      <c r="F116" s="13">
        <v>6798</v>
      </c>
      <c r="G116" s="6">
        <f t="shared" si="3"/>
        <v>0.50777379654151755</v>
      </c>
      <c r="H116" s="9">
        <f t="array" ref="H116">(E116-MAX(IF($C$2:$C$154=C116,$E$2:$E$154)))/MAX(IF($C$2:$C$154=C116,$E$2:$E$154))*-1</f>
        <v>0.11627906976744182</v>
      </c>
      <c r="I116" s="10">
        <f t="array" ref="I116">(F116-MIN(IF($C$2:$C$154=C116,$F$2:$F$154)))/MIN(IF($C$2:$C$154=C116,$F$2:$F$154))</f>
        <v>5.9043464714129926E-2</v>
      </c>
      <c r="P116" s="7"/>
    </row>
    <row r="117" spans="1:16" x14ac:dyDescent="0.25">
      <c r="A117" s="13" t="s">
        <v>21</v>
      </c>
      <c r="B117" s="13" t="s">
        <v>40</v>
      </c>
      <c r="C117" s="13" t="s">
        <v>46</v>
      </c>
      <c r="D117" s="13">
        <v>14</v>
      </c>
      <c r="E117" s="12">
        <f t="shared" si="2"/>
        <v>7.1428571428571425E-2</v>
      </c>
      <c r="F117" s="13">
        <v>7346</v>
      </c>
      <c r="G117" s="6">
        <f t="shared" si="3"/>
        <v>0.77761932723764771</v>
      </c>
      <c r="H117" s="9">
        <f t="array" ref="H117">(E117-MAX(IF($C$2:$C$154=C117,$E$2:$E$154)))/MAX(IF($C$2:$C$154=C117,$E$2:$E$154))*-1</f>
        <v>0.18571428571428572</v>
      </c>
      <c r="I117" s="10">
        <f t="array" ref="I117">(F117-MIN(IF($C$2:$C$154=C117,$F$2:$F$154)))/MIN(IF($C$2:$C$154=C117,$F$2:$F$154))</f>
        <v>0.14441501791556316</v>
      </c>
      <c r="P117" s="7"/>
    </row>
    <row r="118" spans="1:16" x14ac:dyDescent="0.25">
      <c r="A118" s="13" t="s">
        <v>21</v>
      </c>
      <c r="B118" s="13" t="s">
        <v>40</v>
      </c>
      <c r="C118" s="13" t="s">
        <v>46</v>
      </c>
      <c r="D118" s="13">
        <v>14</v>
      </c>
      <c r="E118" s="12">
        <f t="shared" si="2"/>
        <v>7.1428571428571425E-2</v>
      </c>
      <c r="F118" s="13">
        <v>7463</v>
      </c>
      <c r="G118" s="6">
        <f t="shared" si="3"/>
        <v>0.87576545591812771</v>
      </c>
      <c r="H118" s="9">
        <f t="array" ref="H118">(E118-MAX(IF($C$2:$C$154=C118,$E$2:$E$154)))/MAX(IF($C$2:$C$154=C118,$E$2:$E$154))*-1</f>
        <v>0.18571428571428572</v>
      </c>
      <c r="I118" s="10">
        <f t="array" ref="I118">(F118-MIN(IF($C$2:$C$154=C118,$F$2:$F$154)))/MIN(IF($C$2:$C$154=C118,$F$2:$F$154))</f>
        <v>0.16264215609908086</v>
      </c>
      <c r="P118" s="7"/>
    </row>
    <row r="119" spans="1:16" x14ac:dyDescent="0.25">
      <c r="A119" s="13" t="s">
        <v>21</v>
      </c>
      <c r="B119" s="13" t="s">
        <v>40</v>
      </c>
      <c r="C119" s="13" t="s">
        <v>46</v>
      </c>
      <c r="D119" s="13">
        <v>14.5</v>
      </c>
      <c r="E119" s="12">
        <f t="shared" si="2"/>
        <v>6.8965517241379309E-2</v>
      </c>
      <c r="F119" s="13">
        <v>7640</v>
      </c>
      <c r="G119" s="6">
        <f t="shared" si="3"/>
        <v>0.88972254747749902</v>
      </c>
      <c r="H119" s="9">
        <f t="array" ref="H119">(E119-MAX(IF($C$2:$C$154=C119,$E$2:$E$154)))/MAX(IF($C$2:$C$154=C119,$E$2:$E$154))*-1</f>
        <v>0.21379310344827582</v>
      </c>
      <c r="I119" s="10">
        <f t="array" ref="I119">(F119-MIN(IF($C$2:$C$154=C119,$F$2:$F$154)))/MIN(IF($C$2:$C$154=C119,$F$2:$F$154))</f>
        <v>0.19021654463312043</v>
      </c>
      <c r="P119" s="7"/>
    </row>
    <row r="120" spans="1:16" x14ac:dyDescent="0.25">
      <c r="A120" s="13" t="s">
        <v>21</v>
      </c>
      <c r="B120" s="13" t="s">
        <v>40</v>
      </c>
      <c r="C120" s="13" t="s">
        <v>46</v>
      </c>
      <c r="D120" s="13">
        <v>14.8</v>
      </c>
      <c r="E120" s="12">
        <f t="shared" si="2"/>
        <v>6.7567567567567557E-2</v>
      </c>
      <c r="F120" s="13">
        <v>7793</v>
      </c>
      <c r="G120" s="6">
        <f t="shared" si="3"/>
        <v>0.93175590847025813</v>
      </c>
      <c r="H120" s="9">
        <f t="array" ref="H120">(E120-MAX(IF($C$2:$C$154=C120,$E$2:$E$154)))/MAX(IF($C$2:$C$154=C120,$E$2:$E$154))*-1</f>
        <v>0.2297297297297298</v>
      </c>
      <c r="I120" s="10">
        <f t="array" ref="I120">(F120-MIN(IF($C$2:$C$154=C120,$F$2:$F$154)))/MIN(IF($C$2:$C$154=C120,$F$2:$F$154))</f>
        <v>0.21405203302695125</v>
      </c>
      <c r="P120" s="7"/>
    </row>
    <row r="121" spans="1:16" s="13" customFormat="1" x14ac:dyDescent="0.25">
      <c r="A121" s="13" t="s">
        <v>21</v>
      </c>
      <c r="B121" s="13" t="s">
        <v>40</v>
      </c>
      <c r="C121" s="13" t="s">
        <v>46</v>
      </c>
      <c r="D121" s="13">
        <v>15.8</v>
      </c>
      <c r="E121" s="12">
        <f t="shared" si="2"/>
        <v>6.3291139240506319E-2</v>
      </c>
      <c r="F121" s="13">
        <v>8063</v>
      </c>
      <c r="G121" s="6">
        <f t="shared" si="3"/>
        <v>0.91968445948816691</v>
      </c>
      <c r="H121" s="9">
        <f t="array" ref="H121">(E121-MAX(IF($C$2:$C$154=C121,$E$2:$E$154)))/MAX(IF($C$2:$C$154=C121,$E$2:$E$154))*-1</f>
        <v>0.27848101265822794</v>
      </c>
      <c r="I121" s="10">
        <f t="array" ref="I121">(F121-MIN(IF($C$2:$C$154=C121,$F$2:$F$154)))/MIN(IF($C$2:$C$154=C121,$F$2:$F$154))</f>
        <v>0.25611465960429974</v>
      </c>
      <c r="P121" s="7"/>
    </row>
    <row r="122" spans="1:16" s="13" customFormat="1" x14ac:dyDescent="0.25">
      <c r="A122" s="13" t="s">
        <v>21</v>
      </c>
      <c r="B122" s="13" t="s">
        <v>40</v>
      </c>
      <c r="C122" s="13" t="s">
        <v>46</v>
      </c>
      <c r="D122" s="13">
        <v>19.899999999999999</v>
      </c>
      <c r="E122" s="12">
        <f t="shared" si="2"/>
        <v>5.0251256281407038E-2</v>
      </c>
      <c r="F122" s="13">
        <v>8857</v>
      </c>
      <c r="G122" s="6">
        <f t="shared" si="3"/>
        <v>0.88920209305096087</v>
      </c>
      <c r="H122" s="9">
        <f t="array" ref="H122">(E122-MAX(IF($C$2:$C$154=C122,$E$2:$E$154)))/MAX(IF($C$2:$C$154=C122,$E$2:$E$154))*-1</f>
        <v>0.42713567839195976</v>
      </c>
      <c r="I122" s="10">
        <f t="array" ref="I122">(F122-MIN(IF($C$2:$C$154=C122,$F$2:$F$154)))/MIN(IF($C$2:$C$154=C122,$F$2:$F$154))</f>
        <v>0.37980993924287271</v>
      </c>
      <c r="P122" s="7"/>
    </row>
    <row r="123" spans="1:16" s="13" customFormat="1" x14ac:dyDescent="0.25">
      <c r="A123" s="13" t="s">
        <v>21</v>
      </c>
      <c r="B123" s="13" t="s">
        <v>40</v>
      </c>
      <c r="C123" s="13" t="s">
        <v>46</v>
      </c>
      <c r="D123" s="13">
        <v>21.5</v>
      </c>
      <c r="E123" s="12">
        <f t="shared" si="2"/>
        <v>4.6511627906976744E-2</v>
      </c>
      <c r="F123" s="13">
        <v>10027</v>
      </c>
      <c r="G123" s="6">
        <f t="shared" si="3"/>
        <v>1.1965097428889173</v>
      </c>
      <c r="H123" s="9">
        <f t="array" ref="H123">(E123-MAX(IF($C$2:$C$154=C123,$E$2:$E$154)))/MAX(IF($C$2:$C$154=C123,$E$2:$E$154))*-1</f>
        <v>0.4697674418604651</v>
      </c>
      <c r="I123" s="10">
        <f t="array" ref="I123">(F123-MIN(IF($C$2:$C$154=C123,$F$2:$F$154)))/MIN(IF($C$2:$C$154=C123,$F$2:$F$154))</f>
        <v>0.56208132107804953</v>
      </c>
      <c r="P123" s="7"/>
    </row>
    <row r="124" spans="1:16" s="13" customFormat="1" x14ac:dyDescent="0.25">
      <c r="A124" s="13" t="s">
        <v>21</v>
      </c>
      <c r="B124" s="13" t="s">
        <v>40</v>
      </c>
      <c r="C124" s="13" t="s">
        <v>43</v>
      </c>
      <c r="D124" s="13">
        <v>11.2</v>
      </c>
      <c r="E124" s="12">
        <f t="shared" ref="E124:E153" si="4">1/D124</f>
        <v>8.9285714285714288E-2</v>
      </c>
      <c r="F124" s="13">
        <v>12466</v>
      </c>
      <c r="G124" s="6" t="str">
        <f t="shared" si="3"/>
        <v/>
      </c>
      <c r="H124" s="9">
        <f t="array" ref="H124">(E124-MAX(IF($C$2:$C$154=C124,$E$2:$E$154)))/MAX(IF($C$2:$C$154=C124,$E$2:$E$154))*-1</f>
        <v>0</v>
      </c>
      <c r="I124" s="10">
        <f t="array" ref="I124">(F124-MIN(IF($C$2:$C$154=C124,$F$2:$F$154)))/MIN(IF($C$2:$C$154=C124,$F$2:$F$154))</f>
        <v>0</v>
      </c>
      <c r="P124" s="7"/>
    </row>
    <row r="125" spans="1:16" s="13" customFormat="1" x14ac:dyDescent="0.25">
      <c r="A125" s="13" t="s">
        <v>21</v>
      </c>
      <c r="B125" s="13" t="s">
        <v>40</v>
      </c>
      <c r="C125" s="13" t="s">
        <v>43</v>
      </c>
      <c r="D125" s="13">
        <v>12.4</v>
      </c>
      <c r="E125" s="12">
        <f t="shared" si="4"/>
        <v>8.0645161290322578E-2</v>
      </c>
      <c r="F125" s="13">
        <v>13013</v>
      </c>
      <c r="G125" s="6">
        <f t="shared" si="3"/>
        <v>0.4534199689822983</v>
      </c>
      <c r="H125" s="9">
        <f t="array" ref="H125">(E125-MAX(IF($C$2:$C$154=C125,$E$2:$E$154)))/MAX(IF($C$2:$C$154=C125,$E$2:$E$154))*-1</f>
        <v>9.6774193548387136E-2</v>
      </c>
      <c r="I125" s="10">
        <f t="array" ref="I125">(F125-MIN(IF($C$2:$C$154=C125,$F$2:$F$154)))/MIN(IF($C$2:$C$154=C125,$F$2:$F$154))</f>
        <v>4.3879351836996629E-2</v>
      </c>
      <c r="P125" s="7"/>
    </row>
    <row r="126" spans="1:16" s="13" customFormat="1" x14ac:dyDescent="0.25">
      <c r="A126" s="13" t="s">
        <v>21</v>
      </c>
      <c r="B126" s="13" t="s">
        <v>40</v>
      </c>
      <c r="C126" s="13" t="s">
        <v>43</v>
      </c>
      <c r="D126" s="13">
        <v>12.4</v>
      </c>
      <c r="E126" s="12">
        <f t="shared" si="4"/>
        <v>8.0645161290322578E-2</v>
      </c>
      <c r="F126" s="13">
        <v>13104</v>
      </c>
      <c r="G126" s="6">
        <f t="shared" si="3"/>
        <v>0.52885181025723282</v>
      </c>
      <c r="H126" s="9">
        <f t="array" ref="H126">(E126-MAX(IF($C$2:$C$154=C126,$E$2:$E$154)))/MAX(IF($C$2:$C$154=C126,$E$2:$E$154))*-1</f>
        <v>9.6774193548387136E-2</v>
      </c>
      <c r="I126" s="10">
        <f t="array" ref="I126">(F126-MIN(IF($C$2:$C$154=C126,$F$2:$F$154)))/MIN(IF($C$2:$C$154=C126,$F$2:$F$154))</f>
        <v>5.1179207444248358E-2</v>
      </c>
      <c r="P126" s="7"/>
    </row>
    <row r="127" spans="1:16" s="13" customFormat="1" x14ac:dyDescent="0.25">
      <c r="A127" s="13" t="s">
        <v>21</v>
      </c>
      <c r="B127" s="13" t="s">
        <v>40</v>
      </c>
      <c r="C127" s="13" t="s">
        <v>43</v>
      </c>
      <c r="D127" s="13">
        <v>13.2</v>
      </c>
      <c r="E127" s="12">
        <f t="shared" si="4"/>
        <v>7.575757575757576E-2</v>
      </c>
      <c r="F127" s="13">
        <v>13440</v>
      </c>
      <c r="G127" s="6">
        <f t="shared" si="3"/>
        <v>0.51567463500721966</v>
      </c>
      <c r="H127" s="9">
        <f t="array" ref="H127">(E127-MAX(IF($C$2:$C$154=C127,$E$2:$E$154)))/MAX(IF($C$2:$C$154=C127,$E$2:$E$154))*-1</f>
        <v>0.15151515151515152</v>
      </c>
      <c r="I127" s="10">
        <f t="array" ref="I127">(F127-MIN(IF($C$2:$C$154=C127,$F$2:$F$154)))/MIN(IF($C$2:$C$154=C127,$F$2:$F$154))</f>
        <v>7.8132520455639343E-2</v>
      </c>
      <c r="P127" s="7"/>
    </row>
    <row r="128" spans="1:16" s="13" customFormat="1" x14ac:dyDescent="0.25">
      <c r="A128" s="13" t="s">
        <v>21</v>
      </c>
      <c r="B128" s="13" t="s">
        <v>40</v>
      </c>
      <c r="C128" s="13" t="s">
        <v>43</v>
      </c>
      <c r="D128" s="13">
        <v>13.2</v>
      </c>
      <c r="E128" s="12">
        <f t="shared" si="4"/>
        <v>7.575757575757576E-2</v>
      </c>
      <c r="F128" s="13">
        <v>13722</v>
      </c>
      <c r="G128" s="6">
        <f t="shared" si="3"/>
        <v>0.66497673672388891</v>
      </c>
      <c r="H128" s="9">
        <f t="array" ref="H128">(E128-MAX(IF($C$2:$C$154=C128,$E$2:$E$154)))/MAX(IF($C$2:$C$154=C128,$E$2:$E$154))*-1</f>
        <v>0.15151515151515152</v>
      </c>
      <c r="I128" s="10">
        <f t="array" ref="I128">(F128-MIN(IF($C$2:$C$154=C128,$F$2:$F$154)))/MIN(IF($C$2:$C$154=C128,$F$2:$F$154))</f>
        <v>0.10075405101877105</v>
      </c>
      <c r="P128" s="7"/>
    </row>
    <row r="129" spans="1:16" s="13" customFormat="1" x14ac:dyDescent="0.25">
      <c r="A129" s="13" t="s">
        <v>21</v>
      </c>
      <c r="B129" s="13" t="s">
        <v>40</v>
      </c>
      <c r="C129" s="13" t="s">
        <v>43</v>
      </c>
      <c r="D129" s="13">
        <v>13.7</v>
      </c>
      <c r="E129" s="12">
        <f t="shared" si="4"/>
        <v>7.2992700729927015E-2</v>
      </c>
      <c r="F129" s="13">
        <v>14110</v>
      </c>
      <c r="G129" s="6">
        <f t="shared" si="3"/>
        <v>0.7226953313011395</v>
      </c>
      <c r="H129" s="9">
        <f t="array" ref="H129">(E129-MAX(IF($C$2:$C$154=C129,$E$2:$E$154)))/MAX(IF($C$2:$C$154=C129,$E$2:$E$154))*-1</f>
        <v>0.18248175182481743</v>
      </c>
      <c r="I129" s="10">
        <f t="array" ref="I129">(F129-MIN(IF($C$2:$C$154=C129,$F$2:$F$154)))/MIN(IF($C$2:$C$154=C129,$F$2:$F$154))</f>
        <v>0.13187871009144875</v>
      </c>
      <c r="P129" s="7"/>
    </row>
    <row r="130" spans="1:16" s="13" customFormat="1" x14ac:dyDescent="0.25">
      <c r="A130" s="13" t="s">
        <v>21</v>
      </c>
      <c r="B130" s="13" t="s">
        <v>40</v>
      </c>
      <c r="C130" s="13" t="s">
        <v>43</v>
      </c>
      <c r="D130" s="13">
        <v>14.2</v>
      </c>
      <c r="E130" s="12">
        <f t="shared" si="4"/>
        <v>7.0422535211267609E-2</v>
      </c>
      <c r="F130" s="13">
        <v>14491</v>
      </c>
      <c r="G130" s="6">
        <f t="shared" ref="G130:G153" si="5">IFERROR(I130/H130,"")</f>
        <v>0.76889138456601958</v>
      </c>
      <c r="H130" s="9">
        <f t="array" ref="H130">(E130-MAX(IF($C$2:$C$154=C130,$E$2:$E$154)))/MAX(IF($C$2:$C$154=C130,$E$2:$E$154))*-1</f>
        <v>0.21126760563380279</v>
      </c>
      <c r="I130" s="10">
        <f t="array" ref="I130">(F130-MIN(IF($C$2:$C$154=C130,$F$2:$F$154)))/MIN(IF($C$2:$C$154=C130,$F$2:$F$154))</f>
        <v>0.16244184180972243</v>
      </c>
      <c r="P130" s="7"/>
    </row>
    <row r="131" spans="1:16" s="13" customFormat="1" x14ac:dyDescent="0.25">
      <c r="A131" s="13" t="s">
        <v>21</v>
      </c>
      <c r="B131" s="13" t="s">
        <v>40</v>
      </c>
      <c r="C131" s="13" t="s">
        <v>43</v>
      </c>
      <c r="D131" s="13">
        <v>15</v>
      </c>
      <c r="E131" s="12">
        <f t="shared" si="4"/>
        <v>6.6666666666666666E-2</v>
      </c>
      <c r="F131" s="13">
        <v>14713</v>
      </c>
      <c r="G131" s="6">
        <f t="shared" si="5"/>
        <v>0.71151426617240987</v>
      </c>
      <c r="H131" s="9">
        <f t="array" ref="H131">(E131-MAX(IF($C$2:$C$154=C131,$E$2:$E$154)))/MAX(IF($C$2:$C$154=C131,$E$2:$E$154))*-1</f>
        <v>0.25333333333333335</v>
      </c>
      <c r="I131" s="10">
        <f t="array" ref="I131">(F131-MIN(IF($C$2:$C$154=C131,$F$2:$F$154)))/MIN(IF($C$2:$C$154=C131,$F$2:$F$154))</f>
        <v>0.18025028076367719</v>
      </c>
      <c r="P131" s="7"/>
    </row>
    <row r="132" spans="1:16" s="13" customFormat="1" x14ac:dyDescent="0.25">
      <c r="A132" s="13" t="s">
        <v>21</v>
      </c>
      <c r="B132" s="13" t="s">
        <v>40</v>
      </c>
      <c r="C132" s="13" t="s">
        <v>43</v>
      </c>
      <c r="D132" s="13">
        <v>18.5</v>
      </c>
      <c r="E132" s="12">
        <f t="shared" si="4"/>
        <v>5.4054054054054057E-2</v>
      </c>
      <c r="F132" s="13">
        <v>15227</v>
      </c>
      <c r="G132" s="6">
        <f t="shared" si="5"/>
        <v>0.56129109534097132</v>
      </c>
      <c r="H132" s="9">
        <f t="array" ref="H132">(E132-MAX(IF($C$2:$C$154=C132,$E$2:$E$154)))/MAX(IF($C$2:$C$154=C132,$E$2:$E$154))*-1</f>
        <v>0.39459459459459456</v>
      </c>
      <c r="I132" s="10">
        <f t="array" ref="I132">(F132-MIN(IF($C$2:$C$154=C132,$F$2:$F$154)))/MIN(IF($C$2:$C$154=C132,$F$2:$F$154))</f>
        <v>0.2214824322156265</v>
      </c>
      <c r="P132" s="7"/>
    </row>
    <row r="133" spans="1:16" s="13" customFormat="1" x14ac:dyDescent="0.25">
      <c r="A133" s="13" t="s">
        <v>21</v>
      </c>
      <c r="B133" s="13" t="s">
        <v>40</v>
      </c>
      <c r="C133" s="13" t="s">
        <v>43</v>
      </c>
      <c r="D133" s="13">
        <v>20.100000000000001</v>
      </c>
      <c r="E133" s="12">
        <f t="shared" si="4"/>
        <v>4.9751243781094523E-2</v>
      </c>
      <c r="F133" s="13">
        <v>19897</v>
      </c>
      <c r="G133" s="6">
        <f t="shared" si="5"/>
        <v>1.346251466911347</v>
      </c>
      <c r="H133" s="9">
        <f t="array" ref="H133">(E133-MAX(IF($C$2:$C$154=C133,$E$2:$E$154)))/MAX(IF($C$2:$C$154=C133,$E$2:$E$154))*-1</f>
        <v>0.44278606965174133</v>
      </c>
      <c r="I133" s="10">
        <f t="array" ref="I133">(F133-MIN(IF($C$2:$C$154=C133,$F$2:$F$154)))/MIN(IF($C$2:$C$154=C133,$F$2:$F$154))</f>
        <v>0.59610139579656662</v>
      </c>
      <c r="P133" s="7"/>
    </row>
    <row r="134" spans="1:16" s="13" customFormat="1" x14ac:dyDescent="0.25">
      <c r="A134" s="13" t="s">
        <v>21</v>
      </c>
      <c r="B134" s="13" t="s">
        <v>40</v>
      </c>
      <c r="C134" s="13" t="s">
        <v>44</v>
      </c>
      <c r="D134" s="13">
        <v>10.6</v>
      </c>
      <c r="E134" s="12">
        <f t="shared" si="4"/>
        <v>9.4339622641509441E-2</v>
      </c>
      <c r="F134" s="13">
        <v>24424</v>
      </c>
      <c r="G134" s="6" t="str">
        <f t="shared" si="5"/>
        <v/>
      </c>
      <c r="H134" s="9">
        <f t="array" ref="H134">(E134-MAX(IF($C$2:$C$154=C134,$E$2:$E$154)))/MAX(IF($C$2:$C$154=C134,$E$2:$E$154))*-1</f>
        <v>0</v>
      </c>
      <c r="I134" s="10">
        <f t="array" ref="I134">(F134-MIN(IF($C$2:$C$154=C134,$F$2:$F$154)))/MIN(IF($C$2:$C$154=C134,$F$2:$F$154))</f>
        <v>0</v>
      </c>
      <c r="P134" s="7"/>
    </row>
    <row r="135" spans="1:16" s="13" customFormat="1" x14ac:dyDescent="0.25">
      <c r="A135" s="13" t="s">
        <v>21</v>
      </c>
      <c r="B135" s="13" t="s">
        <v>40</v>
      </c>
      <c r="C135" s="13" t="s">
        <v>44</v>
      </c>
      <c r="D135" s="13">
        <v>11.6</v>
      </c>
      <c r="E135" s="12">
        <f t="shared" si="4"/>
        <v>8.6206896551724144E-2</v>
      </c>
      <c r="F135" s="13">
        <v>26805</v>
      </c>
      <c r="G135" s="6">
        <f t="shared" si="5"/>
        <v>1.1308385194890271</v>
      </c>
      <c r="H135" s="9">
        <f t="array" ref="H135">(E135-MAX(IF($C$2:$C$154=C135,$E$2:$E$154)))/MAX(IF($C$2:$C$154=C135,$E$2:$E$154))*-1</f>
        <v>8.6206896551724144E-2</v>
      </c>
      <c r="I135" s="10">
        <f t="array" ref="I135">(F135-MIN(IF($C$2:$C$154=C135,$F$2:$F$154)))/MIN(IF($C$2:$C$154=C135,$F$2:$F$154))</f>
        <v>9.7486079266295447E-2</v>
      </c>
      <c r="P135" s="7"/>
    </row>
    <row r="136" spans="1:16" s="13" customFormat="1" x14ac:dyDescent="0.25">
      <c r="A136" s="13" t="s">
        <v>21</v>
      </c>
      <c r="B136" s="13" t="s">
        <v>40</v>
      </c>
      <c r="C136" s="13" t="s">
        <v>44</v>
      </c>
      <c r="D136" s="13">
        <v>11.6</v>
      </c>
      <c r="E136" s="12">
        <f t="shared" si="4"/>
        <v>8.6206896551724144E-2</v>
      </c>
      <c r="F136" s="13">
        <v>28956</v>
      </c>
      <c r="G136" s="6">
        <f t="shared" si="5"/>
        <v>2.1524402227317392</v>
      </c>
      <c r="H136" s="9">
        <f t="array" ref="H136">(E136-MAX(IF($C$2:$C$154=C136,$E$2:$E$154)))/MAX(IF($C$2:$C$154=C136,$E$2:$E$154))*-1</f>
        <v>8.6206896551724144E-2</v>
      </c>
      <c r="I136" s="10">
        <f t="array" ref="I136">(F136-MIN(IF($C$2:$C$154=C136,$F$2:$F$154)))/MIN(IF($C$2:$C$154=C136,$F$2:$F$154))</f>
        <v>0.1855551916148051</v>
      </c>
      <c r="P136" s="7"/>
    </row>
    <row r="137" spans="1:16" s="13" customFormat="1" x14ac:dyDescent="0.25">
      <c r="A137" s="13" t="s">
        <v>21</v>
      </c>
      <c r="B137" s="13" t="s">
        <v>40</v>
      </c>
      <c r="C137" s="13" t="s">
        <v>44</v>
      </c>
      <c r="D137" s="13">
        <v>12.5</v>
      </c>
      <c r="E137" s="12">
        <f t="shared" si="4"/>
        <v>0.08</v>
      </c>
      <c r="F137" s="13">
        <v>29676</v>
      </c>
      <c r="G137" s="6">
        <f t="shared" si="5"/>
        <v>1.4146999500060333</v>
      </c>
      <c r="H137" s="9">
        <f t="array" ref="H137">(E137-MAX(IF($C$2:$C$154=C137,$E$2:$E$154)))/MAX(IF($C$2:$C$154=C137,$E$2:$E$154))*-1</f>
        <v>0.15200000000000005</v>
      </c>
      <c r="I137" s="10">
        <f t="array" ref="I137">(F137-MIN(IF($C$2:$C$154=C137,$F$2:$F$154)))/MIN(IF($C$2:$C$154=C137,$F$2:$F$154))</f>
        <v>0.21503439240091712</v>
      </c>
      <c r="P137" s="7"/>
    </row>
    <row r="138" spans="1:16" s="13" customFormat="1" x14ac:dyDescent="0.25">
      <c r="A138" s="13" t="s">
        <v>21</v>
      </c>
      <c r="B138" s="13" t="s">
        <v>40</v>
      </c>
      <c r="C138" s="13" t="s">
        <v>44</v>
      </c>
      <c r="D138" s="13">
        <v>12.5</v>
      </c>
      <c r="E138" s="12">
        <f t="shared" si="4"/>
        <v>0.08</v>
      </c>
      <c r="F138" s="13">
        <v>30654</v>
      </c>
      <c r="G138" s="6">
        <f t="shared" si="5"/>
        <v>1.6781379833468368</v>
      </c>
      <c r="H138" s="9">
        <f t="array" ref="H138">(E138-MAX(IF($C$2:$C$154=C138,$E$2:$E$154)))/MAX(IF($C$2:$C$154=C138,$E$2:$E$154))*-1</f>
        <v>0.15200000000000005</v>
      </c>
      <c r="I138" s="10">
        <f t="array" ref="I138">(F138-MIN(IF($C$2:$C$154=C138,$F$2:$F$154)))/MIN(IF($C$2:$C$154=C138,$F$2:$F$154))</f>
        <v>0.25507697346871927</v>
      </c>
      <c r="P138" s="7"/>
    </row>
    <row r="139" spans="1:16" s="13" customFormat="1" x14ac:dyDescent="0.25">
      <c r="A139" s="13" t="s">
        <v>21</v>
      </c>
      <c r="B139" s="13" t="s">
        <v>40</v>
      </c>
      <c r="C139" s="13" t="s">
        <v>44</v>
      </c>
      <c r="D139" s="13">
        <v>13.2</v>
      </c>
      <c r="E139" s="12">
        <f t="shared" si="4"/>
        <v>7.575757575757576E-2</v>
      </c>
      <c r="F139" s="13">
        <v>29972</v>
      </c>
      <c r="G139" s="6">
        <f t="shared" si="5"/>
        <v>1.1532414522915666</v>
      </c>
      <c r="H139" s="9">
        <f t="array" ref="H139">(E139-MAX(IF($C$2:$C$154=C139,$E$2:$E$154)))/MAX(IF($C$2:$C$154=C139,$E$2:$E$154))*-1</f>
        <v>0.19696969696969702</v>
      </c>
      <c r="I139" s="10">
        <f t="array" ref="I139">(F139-MIN(IF($C$2:$C$154=C139,$F$2:$F$154)))/MIN(IF($C$2:$C$154=C139,$F$2:$F$154))</f>
        <v>0.22715361939076317</v>
      </c>
      <c r="P139" s="7"/>
    </row>
    <row r="140" spans="1:16" s="13" customFormat="1" x14ac:dyDescent="0.25">
      <c r="A140" s="13" t="s">
        <v>21</v>
      </c>
      <c r="B140" s="13" t="s">
        <v>40</v>
      </c>
      <c r="C140" s="13" t="s">
        <v>44</v>
      </c>
      <c r="D140" s="13">
        <v>13.2</v>
      </c>
      <c r="E140" s="12">
        <f t="shared" si="4"/>
        <v>7.575757575757576E-2</v>
      </c>
      <c r="F140" s="13">
        <v>32158</v>
      </c>
      <c r="G140" s="6">
        <f t="shared" si="5"/>
        <v>1.6076368767164702</v>
      </c>
      <c r="H140" s="9">
        <f t="array" ref="H140">(E140-MAX(IF($C$2:$C$154=C140,$E$2:$E$154)))/MAX(IF($C$2:$C$154=C140,$E$2:$E$154))*-1</f>
        <v>0.19696969696969702</v>
      </c>
      <c r="I140" s="10">
        <f t="array" ref="I140">(F140-MIN(IF($C$2:$C$154=C140,$F$2:$F$154)))/MIN(IF($C$2:$C$154=C140,$F$2:$F$154))</f>
        <v>0.31665574844415328</v>
      </c>
      <c r="P140" s="7"/>
    </row>
    <row r="141" spans="1:16" s="13" customFormat="1" x14ac:dyDescent="0.25">
      <c r="A141" s="13" t="s">
        <v>21</v>
      </c>
      <c r="B141" s="13" t="s">
        <v>40</v>
      </c>
      <c r="C141" s="13" t="s">
        <v>44</v>
      </c>
      <c r="D141" s="13">
        <v>13.5</v>
      </c>
      <c r="E141" s="12">
        <f t="shared" si="4"/>
        <v>7.407407407407407E-2</v>
      </c>
      <c r="F141" s="13">
        <v>32803</v>
      </c>
      <c r="G141" s="6">
        <f t="shared" si="5"/>
        <v>1.5970229960355551</v>
      </c>
      <c r="H141" s="9">
        <f t="array" ref="H141">(E141-MAX(IF($C$2:$C$154=C141,$E$2:$E$154)))/MAX(IF($C$2:$C$154=C141,$E$2:$E$154))*-1</f>
        <v>0.2148148148148149</v>
      </c>
      <c r="I141" s="10">
        <f t="array" ref="I141">(F141-MIN(IF($C$2:$C$154=C141,$F$2:$F$154)))/MIN(IF($C$2:$C$154=C141,$F$2:$F$154))</f>
        <v>0.34306419914837866</v>
      </c>
      <c r="P141" s="7"/>
    </row>
    <row r="142" spans="1:16" s="13" customFormat="1" x14ac:dyDescent="0.25">
      <c r="A142" s="13" t="s">
        <v>21</v>
      </c>
      <c r="B142" s="13" t="s">
        <v>40</v>
      </c>
      <c r="C142" s="13" t="s">
        <v>44</v>
      </c>
      <c r="D142" s="13">
        <v>14.9</v>
      </c>
      <c r="E142" s="12">
        <f t="shared" si="4"/>
        <v>6.7114093959731544E-2</v>
      </c>
      <c r="F142" s="13">
        <v>32911</v>
      </c>
      <c r="G142" s="6">
        <f t="shared" si="5"/>
        <v>1.2040796700157679</v>
      </c>
      <c r="H142" s="9">
        <f t="array" ref="H142">(E142-MAX(IF($C$2:$C$154=C142,$E$2:$E$154)))/MAX(IF($C$2:$C$154=C142,$E$2:$E$154))*-1</f>
        <v>0.28859060402684567</v>
      </c>
      <c r="I142" s="10">
        <f t="array" ref="I142">(F142-MIN(IF($C$2:$C$154=C142,$F$2:$F$154)))/MIN(IF($C$2:$C$154=C142,$F$2:$F$154))</f>
        <v>0.34748607926629543</v>
      </c>
      <c r="P142" s="7"/>
    </row>
    <row r="143" spans="1:16" s="13" customFormat="1" x14ac:dyDescent="0.25">
      <c r="A143" s="13" t="s">
        <v>21</v>
      </c>
      <c r="B143" s="13" t="s">
        <v>40</v>
      </c>
      <c r="C143" s="13" t="s">
        <v>44</v>
      </c>
      <c r="D143" s="13">
        <v>15.6</v>
      </c>
      <c r="E143" s="12">
        <f t="shared" si="4"/>
        <v>6.4102564102564111E-2</v>
      </c>
      <c r="F143" s="13">
        <v>34498</v>
      </c>
      <c r="G143" s="6">
        <f t="shared" si="5"/>
        <v>1.2868850311169342</v>
      </c>
      <c r="H143" s="9">
        <f t="array" ref="H143">(E143-MAX(IF($C$2:$C$154=C143,$E$2:$E$154)))/MAX(IF($C$2:$C$154=C143,$E$2:$E$154))*-1</f>
        <v>0.32051282051282048</v>
      </c>
      <c r="I143" s="10">
        <f t="array" ref="I143">(F143-MIN(IF($C$2:$C$154=C143,$F$2:$F$154)))/MIN(IF($C$2:$C$154=C143,$F$2:$F$154))</f>
        <v>0.41246315099901737</v>
      </c>
      <c r="P143" s="7"/>
    </row>
    <row r="144" spans="1:16" s="13" customFormat="1" x14ac:dyDescent="0.25">
      <c r="A144" s="13" t="s">
        <v>21</v>
      </c>
      <c r="B144" s="13" t="s">
        <v>40</v>
      </c>
      <c r="C144" s="13" t="s">
        <v>85</v>
      </c>
      <c r="D144" s="13">
        <v>10</v>
      </c>
      <c r="E144" s="12">
        <f t="shared" si="4"/>
        <v>0.1</v>
      </c>
      <c r="F144" s="13">
        <v>1837</v>
      </c>
      <c r="G144" s="6" t="str">
        <f t="shared" si="5"/>
        <v/>
      </c>
      <c r="H144" s="9">
        <f t="array" ref="H144">(E144-MAX(IF($C$2:$C$154=C144,$E$2:$E$154)))/MAX(IF($C$2:$C$154=C144,$E$2:$E$154))*-1</f>
        <v>0</v>
      </c>
      <c r="I144" s="10">
        <f t="array" ref="I144">(F144-MIN(IF($C$2:$C$154=C144,$F$2:$F$154)))/MIN(IF($C$2:$C$154=C144,$F$2:$F$154))</f>
        <v>0</v>
      </c>
      <c r="P144" s="7"/>
    </row>
    <row r="145" spans="1:16" s="13" customFormat="1" x14ac:dyDescent="0.25">
      <c r="A145" s="13" t="s">
        <v>21</v>
      </c>
      <c r="B145" s="13" t="s">
        <v>40</v>
      </c>
      <c r="C145" s="13" t="s">
        <v>85</v>
      </c>
      <c r="D145" s="13">
        <v>10.5</v>
      </c>
      <c r="E145" s="12">
        <f t="shared" si="4"/>
        <v>9.5238095238095233E-2</v>
      </c>
      <c r="F145" s="13">
        <v>1937</v>
      </c>
      <c r="G145" s="6">
        <f t="shared" si="5"/>
        <v>1.1431682090364699</v>
      </c>
      <c r="H145" s="9">
        <f t="array" ref="H145">(E145-MAX(IF($C$2:$C$154=C145,$E$2:$E$154)))/MAX(IF($C$2:$C$154=C145,$E$2:$E$154))*-1</f>
        <v>4.7619047619047727E-2</v>
      </c>
      <c r="I145" s="10">
        <f t="array" ref="I145">(F145-MIN(IF($C$2:$C$154=C145,$F$2:$F$154)))/MIN(IF($C$2:$C$154=C145,$F$2:$F$154))</f>
        <v>5.443658138268917E-2</v>
      </c>
      <c r="P145" s="7"/>
    </row>
    <row r="146" spans="1:16" x14ac:dyDescent="0.25">
      <c r="A146" s="13" t="s">
        <v>21</v>
      </c>
      <c r="B146" s="13" t="s">
        <v>40</v>
      </c>
      <c r="C146" s="13" t="s">
        <v>85</v>
      </c>
      <c r="D146">
        <v>11</v>
      </c>
      <c r="E146" s="12">
        <f t="shared" si="4"/>
        <v>9.0909090909090912E-2</v>
      </c>
      <c r="F146">
        <v>2037</v>
      </c>
      <c r="G146" s="6">
        <f t="shared" si="5"/>
        <v>1.1976047904191613</v>
      </c>
      <c r="H146" s="9">
        <f t="array" ref="H146">(E146-MAX(IF($C$2:$C$154=C146,$E$2:$E$154)))/MAX(IF($C$2:$C$154=C146,$E$2:$E$154))*-1</f>
        <v>9.0909090909090939E-2</v>
      </c>
      <c r="I146" s="10">
        <f t="array" ref="I146">(F146-MIN(IF($C$2:$C$154=C146,$F$2:$F$154)))/MIN(IF($C$2:$C$154=C146,$F$2:$F$154))</f>
        <v>0.10887316276537834</v>
      </c>
    </row>
    <row r="147" spans="1:16" x14ac:dyDescent="0.25">
      <c r="A147" s="13" t="s">
        <v>21</v>
      </c>
      <c r="B147" s="13" t="s">
        <v>40</v>
      </c>
      <c r="C147" s="13" t="s">
        <v>85</v>
      </c>
      <c r="D147">
        <v>11.75</v>
      </c>
      <c r="E147" s="12">
        <f t="shared" si="4"/>
        <v>8.5106382978723402E-2</v>
      </c>
      <c r="F147">
        <f>1837+415</f>
        <v>2252</v>
      </c>
      <c r="G147" s="6">
        <f t="shared" si="5"/>
        <v>1.5168364569562167</v>
      </c>
      <c r="H147" s="9">
        <f t="array" ref="H147">(E147-MAX(IF($C$2:$C$154=C147,$E$2:$E$154)))/MAX(IF($C$2:$C$154=C147,$E$2:$E$154))*-1</f>
        <v>0.14893617021276603</v>
      </c>
      <c r="I147" s="10">
        <f t="array" ref="I147">(F147-MIN(IF($C$2:$C$154=C147,$F$2:$F$154)))/MIN(IF($C$2:$C$154=C147,$F$2:$F$154))</f>
        <v>0.22591181273816005</v>
      </c>
    </row>
    <row r="148" spans="1:16" x14ac:dyDescent="0.25">
      <c r="A148" s="13" t="s">
        <v>21</v>
      </c>
      <c r="B148" s="13" t="s">
        <v>40</v>
      </c>
      <c r="C148" s="13" t="s">
        <v>85</v>
      </c>
      <c r="D148">
        <v>12.3</v>
      </c>
      <c r="E148" s="12">
        <f t="shared" si="4"/>
        <v>8.1300813008130079E-2</v>
      </c>
      <c r="F148">
        <f>1837+884</f>
        <v>2721</v>
      </c>
      <c r="G148" s="6">
        <f t="shared" si="5"/>
        <v>2.5734775508271981</v>
      </c>
      <c r="H148" s="9">
        <f t="array" ref="H148">(E148-MAX(IF($C$2:$C$154=C148,$E$2:$E$154)))/MAX(IF($C$2:$C$154=C148,$E$2:$E$154))*-1</f>
        <v>0.18699186991869926</v>
      </c>
      <c r="I148" s="10">
        <f t="array" ref="I148">(F148-MIN(IF($C$2:$C$154=C148,$F$2:$F$154)))/MIN(IF($C$2:$C$154=C148,$F$2:$F$154))</f>
        <v>0.48121937942297222</v>
      </c>
    </row>
    <row r="149" spans="1:16" x14ac:dyDescent="0.25">
      <c r="A149" s="13" t="s">
        <v>21</v>
      </c>
      <c r="B149" s="13" t="s">
        <v>40</v>
      </c>
      <c r="C149" s="13" t="s">
        <v>86</v>
      </c>
      <c r="D149" s="13">
        <v>10</v>
      </c>
      <c r="E149" s="12">
        <f t="shared" si="4"/>
        <v>0.1</v>
      </c>
      <c r="F149">
        <v>2130</v>
      </c>
      <c r="G149" s="6" t="str">
        <f t="shared" si="5"/>
        <v/>
      </c>
      <c r="H149" s="9">
        <f t="array" ref="H149">(E149-MAX(IF($C$2:$C$154=C149,$E$2:$E$154)))/MAX(IF($C$2:$C$154=C149,$E$2:$E$154))*-1</f>
        <v>0</v>
      </c>
      <c r="I149" s="10">
        <f t="array" ref="I149">(F149-MIN(IF($C$2:$C$154=C149,$F$2:$F$154)))/MIN(IF($C$2:$C$154=C149,$F$2:$F$154))</f>
        <v>0</v>
      </c>
    </row>
    <row r="150" spans="1:16" x14ac:dyDescent="0.25">
      <c r="A150" s="13" t="s">
        <v>21</v>
      </c>
      <c r="B150" s="13" t="s">
        <v>40</v>
      </c>
      <c r="C150" s="13" t="s">
        <v>86</v>
      </c>
      <c r="D150" s="13">
        <v>10.5</v>
      </c>
      <c r="E150" s="12">
        <f t="shared" si="4"/>
        <v>9.5238095238095233E-2</v>
      </c>
      <c r="F150">
        <f>2130+117</f>
        <v>2247</v>
      </c>
      <c r="G150" s="6">
        <f t="shared" si="5"/>
        <v>1.1535211267605607</v>
      </c>
      <c r="H150" s="9">
        <f t="array" ref="H150">(E150-MAX(IF($C$2:$C$154=C150,$E$2:$E$154)))/MAX(IF($C$2:$C$154=C150,$E$2:$E$154))*-1</f>
        <v>4.7619047619047727E-2</v>
      </c>
      <c r="I150" s="10">
        <f t="array" ref="I150">(F150-MIN(IF($C$2:$C$154=C150,$F$2:$F$154)))/MIN(IF($C$2:$C$154=C150,$F$2:$F$154))</f>
        <v>5.4929577464788736E-2</v>
      </c>
    </row>
    <row r="151" spans="1:16" x14ac:dyDescent="0.25">
      <c r="A151" s="13" t="s">
        <v>21</v>
      </c>
      <c r="B151" s="13" t="s">
        <v>40</v>
      </c>
      <c r="C151" s="13" t="s">
        <v>86</v>
      </c>
      <c r="D151" s="13">
        <v>11</v>
      </c>
      <c r="E151" s="12">
        <f t="shared" si="4"/>
        <v>9.0909090909090912E-2</v>
      </c>
      <c r="F151">
        <f>2130+233</f>
        <v>2363</v>
      </c>
      <c r="G151" s="6">
        <f t="shared" si="5"/>
        <v>1.2032863849765254</v>
      </c>
      <c r="H151" s="9">
        <f t="array" ref="H151">(E151-MAX(IF($C$2:$C$154=C151,$E$2:$E$154)))/MAX(IF($C$2:$C$154=C151,$E$2:$E$154))*-1</f>
        <v>9.0909090909090939E-2</v>
      </c>
      <c r="I151" s="10">
        <f t="array" ref="I151">(F151-MIN(IF($C$2:$C$154=C151,$F$2:$F$154)))/MIN(IF($C$2:$C$154=C151,$F$2:$F$154))</f>
        <v>0.10938967136150235</v>
      </c>
    </row>
    <row r="152" spans="1:16" x14ac:dyDescent="0.25">
      <c r="A152" s="13" t="s">
        <v>21</v>
      </c>
      <c r="B152" s="13" t="s">
        <v>40</v>
      </c>
      <c r="C152" s="13" t="s">
        <v>86</v>
      </c>
      <c r="D152" s="13">
        <v>11.75</v>
      </c>
      <c r="E152" s="12">
        <f t="shared" si="4"/>
        <v>8.5106382978723402E-2</v>
      </c>
      <c r="F152">
        <f>2130+481</f>
        <v>2611</v>
      </c>
      <c r="G152" s="6">
        <f t="shared" si="5"/>
        <v>1.5162307176391676</v>
      </c>
      <c r="H152" s="9">
        <f t="array" ref="H152">(E152-MAX(IF($C$2:$C$154=C152,$E$2:$E$154)))/MAX(IF($C$2:$C$154=C152,$E$2:$E$154))*-1</f>
        <v>0.14893617021276603</v>
      </c>
      <c r="I152" s="10">
        <f t="array" ref="I152">(F152-MIN(IF($C$2:$C$154=C152,$F$2:$F$154)))/MIN(IF($C$2:$C$154=C152,$F$2:$F$154))</f>
        <v>0.22582159624413145</v>
      </c>
    </row>
    <row r="153" spans="1:16" x14ac:dyDescent="0.25">
      <c r="A153" s="13" t="s">
        <v>21</v>
      </c>
      <c r="B153" s="13" t="s">
        <v>40</v>
      </c>
      <c r="C153" s="13" t="s">
        <v>86</v>
      </c>
      <c r="D153" s="13">
        <v>12.3</v>
      </c>
      <c r="E153" s="12">
        <f t="shared" si="4"/>
        <v>8.1300813008130079E-2</v>
      </c>
      <c r="F153">
        <f>2130+1021</f>
        <v>3151</v>
      </c>
      <c r="G153" s="6">
        <f t="shared" si="5"/>
        <v>2.5634415186772799</v>
      </c>
      <c r="H153" s="9">
        <f t="array" ref="H153">(E153-MAX(IF($C$2:$C$154=C153,$E$2:$E$154)))/MAX(IF($C$2:$C$154=C153,$E$2:$E$154))*-1</f>
        <v>0.18699186991869926</v>
      </c>
      <c r="I153" s="10">
        <f t="array" ref="I153">(F153-MIN(IF($C$2:$C$154=C153,$F$2:$F$154)))/MIN(IF($C$2:$C$154=C153,$F$2:$F$154))</f>
        <v>0.47934272300469483</v>
      </c>
    </row>
    <row r="154" spans="1:16" x14ac:dyDescent="0.25">
      <c r="C154"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3"/>
  <sheetViews>
    <sheetView workbookViewId="0"/>
  </sheetViews>
  <sheetFormatPr defaultRowHeight="15" x14ac:dyDescent="0.25"/>
  <cols>
    <col min="1" max="1" width="16.28515625" bestFit="1" customWidth="1"/>
    <col min="2" max="2" width="13.140625" bestFit="1" customWidth="1"/>
    <col min="3" max="3" width="17.28515625" style="13" customWidth="1"/>
    <col min="4" max="4" width="55.140625" bestFit="1" customWidth="1"/>
    <col min="5" max="5" width="16.140625" bestFit="1" customWidth="1"/>
    <col min="8" max="8" width="35.85546875" bestFit="1" customWidth="1"/>
    <col min="9" max="9" width="16.7109375" bestFit="1" customWidth="1"/>
  </cols>
  <sheetData>
    <row r="1" spans="1:21" ht="14.45" x14ac:dyDescent="0.35">
      <c r="A1" s="13" t="s">
        <v>1</v>
      </c>
      <c r="B1" s="13" t="s">
        <v>2</v>
      </c>
      <c r="C1" s="13" t="s">
        <v>111</v>
      </c>
      <c r="D1" s="13" t="s">
        <v>4</v>
      </c>
      <c r="E1" s="13" t="s">
        <v>100</v>
      </c>
      <c r="F1" s="13" t="s">
        <v>6</v>
      </c>
      <c r="G1" s="13" t="s">
        <v>0</v>
      </c>
      <c r="H1" s="13" t="s">
        <v>9</v>
      </c>
      <c r="I1" s="13" t="s">
        <v>13</v>
      </c>
      <c r="Q1" s="13"/>
      <c r="R1" s="13"/>
      <c r="S1" s="13"/>
      <c r="T1" s="13"/>
      <c r="U1" s="13"/>
    </row>
    <row r="2" spans="1:21" ht="14.45" x14ac:dyDescent="0.35">
      <c r="A2" s="13" t="s">
        <v>88</v>
      </c>
      <c r="B2" s="13" t="s">
        <v>7</v>
      </c>
      <c r="C2" s="13" t="s">
        <v>112</v>
      </c>
      <c r="D2" s="13" t="s">
        <v>89</v>
      </c>
      <c r="E2" s="25">
        <v>0.59</v>
      </c>
      <c r="F2" s="23">
        <v>451</v>
      </c>
      <c r="G2" s="6" t="str">
        <f>IFERROR(I2/H2,"")</f>
        <v/>
      </c>
      <c r="H2" s="9">
        <f t="array" ref="H2">(E2-MIN(IF($D$2:$D$283=D2,$E$2:$E$283)))/MIN(IF($D$2:$D$283=D2,$E$2:$E$283))</f>
        <v>0</v>
      </c>
      <c r="I2" s="10">
        <f t="array" ref="I2">(F2-MIN(IF($D$2:$D$283=D2,$F$2:$F$283)))/MIN(IF($D$2:$D$283=D2,$F$2:$F$283))</f>
        <v>0</v>
      </c>
      <c r="Q2" s="13"/>
      <c r="R2" s="13"/>
      <c r="S2" s="13"/>
      <c r="T2" s="13"/>
      <c r="U2" s="13"/>
    </row>
    <row r="3" spans="1:21" ht="14.45" x14ac:dyDescent="0.35">
      <c r="A3" s="13" t="s">
        <v>88</v>
      </c>
      <c r="B3" s="13" t="s">
        <v>7</v>
      </c>
      <c r="C3" s="13" t="s">
        <v>112</v>
      </c>
      <c r="D3" s="13" t="s">
        <v>89</v>
      </c>
      <c r="E3" s="25">
        <v>0.62</v>
      </c>
      <c r="F3" s="23">
        <v>468</v>
      </c>
      <c r="G3" s="6">
        <f t="shared" ref="G3:G16" si="0">IFERROR(I3/H3,"")</f>
        <v>0.74131559497413091</v>
      </c>
      <c r="H3" s="9">
        <f t="array" ref="H3">(E3-MIN(IF($D$2:$D$283=D3,$E$2:$E$283)))/MIN(IF($D$2:$D$283=D3,$E$2:$E$283))</f>
        <v>5.0847457627118689E-2</v>
      </c>
      <c r="I3" s="10">
        <f t="array" ref="I3">(F3-MIN(IF($D$2:$D$283=D3,$F$2:$F$283)))/MIN(IF($D$2:$D$283=D3,$F$2:$F$283))</f>
        <v>3.7694013303769404E-2</v>
      </c>
      <c r="Q3" s="13"/>
      <c r="R3" s="13"/>
      <c r="S3" s="13"/>
      <c r="T3" s="13"/>
      <c r="U3" s="13"/>
    </row>
    <row r="4" spans="1:21" ht="14.45" x14ac:dyDescent="0.35">
      <c r="A4" s="13" t="s">
        <v>88</v>
      </c>
      <c r="B4" s="13" t="s">
        <v>7</v>
      </c>
      <c r="C4" s="13" t="s">
        <v>112</v>
      </c>
      <c r="D4" s="13" t="s">
        <v>89</v>
      </c>
      <c r="E4" s="25">
        <v>0.63</v>
      </c>
      <c r="F4" s="23">
        <v>506</v>
      </c>
      <c r="G4" s="6">
        <f t="shared" si="0"/>
        <v>1.7987804878048761</v>
      </c>
      <c r="H4" s="9">
        <f t="array" ref="H4">(E4-MIN(IF($D$2:$D$283=D4,$E$2:$E$283)))/MIN(IF($D$2:$D$283=D4,$E$2:$E$283))</f>
        <v>6.7796610169491595E-2</v>
      </c>
      <c r="I4" s="10">
        <f t="array" ref="I4">(F4-MIN(IF($D$2:$D$283=D4,$F$2:$F$283)))/MIN(IF($D$2:$D$283=D4,$F$2:$F$283))</f>
        <v>0.12195121951219512</v>
      </c>
      <c r="Q4" s="13"/>
      <c r="R4" s="13"/>
      <c r="S4" s="13"/>
      <c r="T4" s="13"/>
      <c r="U4" s="13"/>
    </row>
    <row r="5" spans="1:21" ht="14.45" x14ac:dyDescent="0.35">
      <c r="A5" s="13" t="s">
        <v>88</v>
      </c>
      <c r="B5" s="13" t="s">
        <v>7</v>
      </c>
      <c r="C5" s="13" t="s">
        <v>112</v>
      </c>
      <c r="D5" s="13" t="s">
        <v>89</v>
      </c>
      <c r="E5" s="25">
        <v>0.64</v>
      </c>
      <c r="F5" s="23">
        <v>670</v>
      </c>
      <c r="G5" s="6">
        <f t="shared" si="0"/>
        <v>5.7299334811529876</v>
      </c>
      <c r="H5" s="9">
        <f t="array" ref="H5">(E5-MIN(IF($D$2:$D$283=D5,$E$2:$E$283)))/MIN(IF($D$2:$D$283=D5,$E$2:$E$283))</f>
        <v>8.4745762711864486E-2</v>
      </c>
      <c r="I5" s="10">
        <f t="array" ref="I5">(F5-MIN(IF($D$2:$D$283=D5,$F$2:$F$283)))/MIN(IF($D$2:$D$283=D5,$F$2:$F$283))</f>
        <v>0.48558758314855877</v>
      </c>
      <c r="Q5" s="13"/>
      <c r="R5" s="13"/>
      <c r="S5" s="13"/>
      <c r="T5" s="13"/>
      <c r="U5" s="13"/>
    </row>
    <row r="6" spans="1:21" ht="14.45" x14ac:dyDescent="0.35">
      <c r="A6" s="13" t="s">
        <v>88</v>
      </c>
      <c r="B6" s="13" t="s">
        <v>7</v>
      </c>
      <c r="C6" s="13" t="s">
        <v>112</v>
      </c>
      <c r="D6" s="13" t="s">
        <v>89</v>
      </c>
      <c r="E6" s="25">
        <v>0.65</v>
      </c>
      <c r="F6" s="23">
        <v>686</v>
      </c>
      <c r="G6" s="6">
        <f t="shared" si="0"/>
        <v>5.1237989652623757</v>
      </c>
      <c r="H6" s="9">
        <f t="array" ref="H6">(E6-MIN(IF($D$2:$D$283=D6,$E$2:$E$283)))/MIN(IF($D$2:$D$283=D6,$E$2:$E$283))</f>
        <v>0.10169491525423738</v>
      </c>
      <c r="I6" s="10">
        <f t="array" ref="I6">(F6-MIN(IF($D$2:$D$283=D6,$F$2:$F$283)))/MIN(IF($D$2:$D$283=D6,$F$2:$F$283))</f>
        <v>0.52106430155210648</v>
      </c>
      <c r="Q6" s="13"/>
      <c r="R6" s="13"/>
      <c r="S6" s="13"/>
      <c r="T6" s="13"/>
      <c r="U6" s="13"/>
    </row>
    <row r="7" spans="1:21" ht="14.45" x14ac:dyDescent="0.35">
      <c r="A7" s="13" t="s">
        <v>88</v>
      </c>
      <c r="B7" s="13" t="s">
        <v>7</v>
      </c>
      <c r="C7" s="13" t="s">
        <v>112</v>
      </c>
      <c r="D7" s="13" t="s">
        <v>89</v>
      </c>
      <c r="E7" s="25">
        <v>0.67</v>
      </c>
      <c r="F7" s="23">
        <v>730</v>
      </c>
      <c r="G7" s="6">
        <f t="shared" si="0"/>
        <v>4.5623614190687318</v>
      </c>
      <c r="H7" s="9">
        <f t="array" ref="H7">(E7-MIN(IF($D$2:$D$283=D7,$E$2:$E$283)))/MIN(IF($D$2:$D$283=D7,$E$2:$E$283))</f>
        <v>0.13559322033898319</v>
      </c>
      <c r="I7" s="10">
        <f t="array" ref="I7">(F7-MIN(IF($D$2:$D$283=D7,$F$2:$F$283)))/MIN(IF($D$2:$D$283=D7,$F$2:$F$283))</f>
        <v>0.61862527716186255</v>
      </c>
      <c r="Q7" s="13"/>
      <c r="R7" s="13"/>
      <c r="S7" s="13"/>
      <c r="T7" s="13"/>
      <c r="U7" s="13"/>
    </row>
    <row r="8" spans="1:21" ht="14.45" x14ac:dyDescent="0.35">
      <c r="A8" s="13" t="s">
        <v>88</v>
      </c>
      <c r="B8" s="13" t="s">
        <v>7</v>
      </c>
      <c r="C8" s="13" t="s">
        <v>112</v>
      </c>
      <c r="D8" s="13" t="s">
        <v>89</v>
      </c>
      <c r="E8" s="25">
        <v>0.8</v>
      </c>
      <c r="F8" s="23">
        <v>935</v>
      </c>
      <c r="G8" s="6">
        <f t="shared" si="0"/>
        <v>3.0150987224157944</v>
      </c>
      <c r="H8" s="9">
        <f t="array" ref="H8">(E8-MIN(IF($D$2:$D$283=D8,$E$2:$E$283)))/MIN(IF($D$2:$D$283=D8,$E$2:$E$283))</f>
        <v>0.35593220338983067</v>
      </c>
      <c r="I8" s="10">
        <f t="array" ref="I8">(F8-MIN(IF($D$2:$D$283=D8,$F$2:$F$283)))/MIN(IF($D$2:$D$283=D8,$F$2:$F$283))</f>
        <v>1.0731707317073171</v>
      </c>
      <c r="Q8" s="13"/>
      <c r="R8" s="13"/>
      <c r="S8" s="13"/>
      <c r="T8" s="13"/>
      <c r="U8" s="13"/>
    </row>
    <row r="9" spans="1:21" ht="14.45" x14ac:dyDescent="0.35">
      <c r="A9" t="s">
        <v>88</v>
      </c>
      <c r="B9" t="s">
        <v>7</v>
      </c>
      <c r="C9" s="13" t="s">
        <v>112</v>
      </c>
      <c r="D9" t="s">
        <v>90</v>
      </c>
      <c r="E9" s="25">
        <v>0.9</v>
      </c>
      <c r="F9" s="23">
        <v>296</v>
      </c>
      <c r="G9" s="6" t="str">
        <f t="shared" si="0"/>
        <v/>
      </c>
      <c r="H9" s="9">
        <f t="array" ref="H9">(E9-MIN(IF($D$2:$D$283=D9,$E$2:$E$283)))/MIN(IF($D$2:$D$283=D9,$E$2:$E$283))</f>
        <v>0</v>
      </c>
      <c r="I9" s="10">
        <f t="array" ref="I9">(F9-MIN(IF($D$2:$D$283=D9,$F$2:$F$283)))/MIN(IF($D$2:$D$283=D9,$F$2:$F$283))</f>
        <v>0</v>
      </c>
      <c r="Q9" s="13"/>
      <c r="R9" s="13"/>
      <c r="S9" s="13"/>
      <c r="T9" s="13"/>
      <c r="U9" s="13"/>
    </row>
    <row r="10" spans="1:21" ht="14.45" x14ac:dyDescent="0.35">
      <c r="A10" s="13" t="s">
        <v>88</v>
      </c>
      <c r="B10" s="13" t="s">
        <v>7</v>
      </c>
      <c r="C10" s="13" t="s">
        <v>112</v>
      </c>
      <c r="D10" s="13" t="s">
        <v>90</v>
      </c>
      <c r="E10" s="25">
        <v>0.91</v>
      </c>
      <c r="F10" s="23">
        <v>305</v>
      </c>
      <c r="G10" s="6">
        <f t="shared" si="0"/>
        <v>2.7364864864864842</v>
      </c>
      <c r="H10" s="9">
        <f t="array" ref="H10">(E10-MIN(IF($D$2:$D$283=D10,$E$2:$E$283)))/MIN(IF($D$2:$D$283=D10,$E$2:$E$283))</f>
        <v>1.111111111111112E-2</v>
      </c>
      <c r="I10" s="10">
        <f t="array" ref="I10">(F10-MIN(IF($D$2:$D$283=D10,$F$2:$F$283)))/MIN(IF($D$2:$D$283=D10,$F$2:$F$283))</f>
        <v>3.0405405405405407E-2</v>
      </c>
      <c r="Q10" s="13"/>
      <c r="R10" s="13"/>
      <c r="S10" s="13"/>
      <c r="T10" s="13"/>
      <c r="U10" s="13"/>
    </row>
    <row r="11" spans="1:21" ht="14.45" x14ac:dyDescent="0.35">
      <c r="A11" s="13" t="s">
        <v>88</v>
      </c>
      <c r="B11" s="13" t="s">
        <v>7</v>
      </c>
      <c r="C11" s="13" t="s">
        <v>112</v>
      </c>
      <c r="D11" s="13" t="s">
        <v>90</v>
      </c>
      <c r="E11" s="25">
        <v>0.92</v>
      </c>
      <c r="F11" s="23">
        <v>315</v>
      </c>
      <c r="G11" s="6">
        <f t="shared" si="0"/>
        <v>2.8885135135135109</v>
      </c>
      <c r="H11" s="9">
        <f t="array" ref="H11">(E11-MIN(IF($D$2:$D$283=D11,$E$2:$E$283)))/MIN(IF($D$2:$D$283=D11,$E$2:$E$283))</f>
        <v>2.222222222222224E-2</v>
      </c>
      <c r="I11" s="10">
        <f t="array" ref="I11">(F11-MIN(IF($D$2:$D$283=D11,$F$2:$F$283)))/MIN(IF($D$2:$D$283=D11,$F$2:$F$283))</f>
        <v>6.4189189189189186E-2</v>
      </c>
      <c r="Q11" s="13"/>
      <c r="R11" s="13"/>
      <c r="S11" s="13"/>
      <c r="T11" s="13"/>
      <c r="U11" s="13"/>
    </row>
    <row r="12" spans="1:21" ht="14.45" x14ac:dyDescent="0.35">
      <c r="A12" s="13" t="s">
        <v>88</v>
      </c>
      <c r="B12" s="13" t="s">
        <v>7</v>
      </c>
      <c r="C12" s="13" t="s">
        <v>112</v>
      </c>
      <c r="D12" s="13" t="s">
        <v>90</v>
      </c>
      <c r="E12" s="25">
        <v>0.93</v>
      </c>
      <c r="F12" s="23">
        <v>319</v>
      </c>
      <c r="G12" s="6">
        <f t="shared" si="0"/>
        <v>2.3310810810810789</v>
      </c>
      <c r="H12" s="9">
        <f t="array" ref="H12">(E12-MIN(IF($D$2:$D$283=D12,$E$2:$E$283)))/MIN(IF($D$2:$D$283=D12,$E$2:$E$283))</f>
        <v>3.3333333333333361E-2</v>
      </c>
      <c r="I12" s="10">
        <f t="array" ref="I12">(F12-MIN(IF($D$2:$D$283=D12,$F$2:$F$283)))/MIN(IF($D$2:$D$283=D12,$F$2:$F$283))</f>
        <v>7.77027027027027E-2</v>
      </c>
      <c r="Q12" s="13"/>
      <c r="R12" s="13"/>
      <c r="S12" s="13"/>
      <c r="T12" s="13"/>
      <c r="U12" s="13"/>
    </row>
    <row r="13" spans="1:21" ht="14.45" x14ac:dyDescent="0.35">
      <c r="A13" s="13" t="s">
        <v>88</v>
      </c>
      <c r="B13" s="13" t="s">
        <v>7</v>
      </c>
      <c r="C13" s="13" t="s">
        <v>112</v>
      </c>
      <c r="D13" s="13" t="s">
        <v>90</v>
      </c>
      <c r="E13" s="25">
        <v>0.94</v>
      </c>
      <c r="F13" s="23">
        <v>338</v>
      </c>
      <c r="G13" s="6">
        <f t="shared" si="0"/>
        <v>3.1925675675675733</v>
      </c>
      <c r="H13" s="9">
        <f t="array" ref="H13">(E13-MIN(IF($D$2:$D$283=D13,$E$2:$E$283)))/MIN(IF($D$2:$D$283=D13,$E$2:$E$283))</f>
        <v>4.4444444444444363E-2</v>
      </c>
      <c r="I13" s="10">
        <f t="array" ref="I13">(F13-MIN(IF($D$2:$D$283=D13,$F$2:$F$283)))/MIN(IF($D$2:$D$283=D13,$F$2:$F$283))</f>
        <v>0.14189189189189189</v>
      </c>
      <c r="Q13" s="13"/>
      <c r="R13" s="13"/>
      <c r="S13" s="13"/>
      <c r="T13" s="13"/>
      <c r="U13" s="13"/>
    </row>
    <row r="14" spans="1:21" ht="14.45" x14ac:dyDescent="0.35">
      <c r="A14" s="13" t="s">
        <v>88</v>
      </c>
      <c r="B14" s="13" t="s">
        <v>7</v>
      </c>
      <c r="C14" s="13" t="s">
        <v>112</v>
      </c>
      <c r="D14" s="13" t="s">
        <v>90</v>
      </c>
      <c r="E14" s="25">
        <v>0.95</v>
      </c>
      <c r="F14" s="23">
        <v>369</v>
      </c>
      <c r="G14" s="6">
        <f t="shared" si="0"/>
        <v>4.4391891891891948</v>
      </c>
      <c r="H14" s="9">
        <f t="array" ref="H14">(E14-MIN(IF($D$2:$D$283=D14,$E$2:$E$283)))/MIN(IF($D$2:$D$283=D14,$E$2:$E$283))</f>
        <v>5.5555555555555483E-2</v>
      </c>
      <c r="I14" s="10">
        <f t="array" ref="I14">(F14-MIN(IF($D$2:$D$283=D14,$F$2:$F$283)))/MIN(IF($D$2:$D$283=D14,$F$2:$F$283))</f>
        <v>0.24662162162162163</v>
      </c>
      <c r="Q14" s="13"/>
      <c r="R14" s="13"/>
      <c r="S14" s="13"/>
      <c r="T14" s="13"/>
      <c r="U14" s="13"/>
    </row>
    <row r="15" spans="1:21" ht="14.45" x14ac:dyDescent="0.35">
      <c r="A15" s="13" t="s">
        <v>88</v>
      </c>
      <c r="B15" s="13" t="s">
        <v>7</v>
      </c>
      <c r="C15" s="13" t="s">
        <v>112</v>
      </c>
      <c r="D15" s="13" t="s">
        <v>90</v>
      </c>
      <c r="E15" s="25">
        <v>2</v>
      </c>
      <c r="F15" s="23">
        <v>989</v>
      </c>
      <c r="G15" s="6">
        <f t="shared" si="0"/>
        <v>1.9155405405405403</v>
      </c>
      <c r="H15" s="9">
        <f t="array" ref="H15">(E15-MIN(IF($D$2:$D$283=D15,$E$2:$E$283)))/MIN(IF($D$2:$D$283=D15,$E$2:$E$283))</f>
        <v>1.2222222222222223</v>
      </c>
      <c r="I15" s="10">
        <f t="array" ref="I15">(F15-MIN(IF($D$2:$D$283=D15,$F$2:$F$283)))/MIN(IF($D$2:$D$283=D15,$F$2:$F$283))</f>
        <v>2.3412162162162162</v>
      </c>
      <c r="Q15" s="13"/>
      <c r="R15" s="13"/>
      <c r="S15" s="13"/>
      <c r="T15" s="13"/>
      <c r="U15" s="13"/>
    </row>
    <row r="16" spans="1:21" ht="14.45" x14ac:dyDescent="0.35">
      <c r="A16" s="13" t="s">
        <v>88</v>
      </c>
      <c r="B16" s="13" t="s">
        <v>7</v>
      </c>
      <c r="C16" s="13" t="s">
        <v>112</v>
      </c>
      <c r="D16" s="13" t="s">
        <v>90</v>
      </c>
      <c r="E16" s="25">
        <v>2.2000000000000002</v>
      </c>
      <c r="F16" s="24">
        <v>1068</v>
      </c>
      <c r="G16" s="6">
        <f t="shared" si="0"/>
        <v>1.8056133056133052</v>
      </c>
      <c r="H16" s="9">
        <f t="array" ref="H16">(E16-MIN(IF($D$2:$D$283=D16,$E$2:$E$283)))/MIN(IF($D$2:$D$283=D16,$E$2:$E$283))</f>
        <v>1.4444444444444446</v>
      </c>
      <c r="I16" s="10">
        <f t="array" ref="I16">(F16-MIN(IF($D$2:$D$283=D16,$F$2:$F$283)))/MIN(IF($D$2:$D$283=D16,$F$2:$F$283))</f>
        <v>2.6081081081081079</v>
      </c>
      <c r="Q16" s="13"/>
      <c r="R16" s="13"/>
      <c r="S16" s="13"/>
      <c r="T16" s="13"/>
      <c r="U16" s="13"/>
    </row>
    <row r="17" spans="1:9" ht="14.45" x14ac:dyDescent="0.35">
      <c r="A17" s="13" t="s">
        <v>88</v>
      </c>
      <c r="B17" s="13" t="s">
        <v>7</v>
      </c>
      <c r="C17" s="13" t="s">
        <v>112</v>
      </c>
      <c r="D17" t="s">
        <v>94</v>
      </c>
      <c r="E17" s="25">
        <v>0.53</v>
      </c>
      <c r="F17" s="24">
        <v>1271</v>
      </c>
      <c r="G17" s="6" t="str">
        <f t="shared" ref="G17:G40" si="1">IFERROR(I17/H17,"")</f>
        <v/>
      </c>
      <c r="H17" s="9">
        <f t="array" ref="H17">(E17-MIN(IF($D$2:$D$283=D17,$E$2:$E$283)))/MIN(IF($D$2:$D$283=D17,$E$2:$E$283))</f>
        <v>0</v>
      </c>
      <c r="I17" s="10">
        <f t="array" ref="I17">(F17-MIN(IF($D$2:$D$283=D17,$F$2:$F$283)))/MIN(IF($D$2:$D$283=D17,$F$2:$F$283))</f>
        <v>0</v>
      </c>
    </row>
    <row r="18" spans="1:9" ht="14.45" x14ac:dyDescent="0.35">
      <c r="A18" s="13" t="s">
        <v>88</v>
      </c>
      <c r="B18" s="13" t="s">
        <v>7</v>
      </c>
      <c r="C18" s="13" t="s">
        <v>112</v>
      </c>
      <c r="D18" s="13" t="s">
        <v>94</v>
      </c>
      <c r="E18" s="25">
        <v>0.54</v>
      </c>
      <c r="F18" s="24">
        <v>1284</v>
      </c>
      <c r="G18" s="6">
        <f t="shared" si="1"/>
        <v>0.54209284028324112</v>
      </c>
      <c r="H18" s="9">
        <f t="array" ref="H18">(E18-MIN(IF($D$2:$D$283=D18,$E$2:$E$283)))/MIN(IF($D$2:$D$283=D18,$E$2:$E$283))</f>
        <v>1.8867924528301903E-2</v>
      </c>
      <c r="I18" s="10">
        <f t="array" ref="I18">(F18-MIN(IF($D$2:$D$283=D18,$F$2:$F$283)))/MIN(IF($D$2:$D$283=D18,$F$2:$F$283))</f>
        <v>1.0228166797797011E-2</v>
      </c>
    </row>
    <row r="19" spans="1:9" ht="14.45" x14ac:dyDescent="0.35">
      <c r="A19" s="13" t="s">
        <v>88</v>
      </c>
      <c r="B19" s="13" t="s">
        <v>7</v>
      </c>
      <c r="C19" s="13" t="s">
        <v>112</v>
      </c>
      <c r="D19" s="13" t="s">
        <v>94</v>
      </c>
      <c r="E19" s="25">
        <v>0.56000000000000005</v>
      </c>
      <c r="F19" s="24">
        <v>1295</v>
      </c>
      <c r="G19" s="6">
        <f t="shared" si="1"/>
        <v>0.33359559402045602</v>
      </c>
      <c r="H19" s="9">
        <f t="array" ref="H19">(E19-MIN(IF($D$2:$D$283=D19,$E$2:$E$283)))/MIN(IF($D$2:$D$283=D19,$E$2:$E$283))</f>
        <v>5.660377358490571E-2</v>
      </c>
      <c r="I19" s="10">
        <f t="array" ref="I19">(F19-MIN(IF($D$2:$D$283=D19,$F$2:$F$283)))/MIN(IF($D$2:$D$283=D19,$F$2:$F$283))</f>
        <v>1.8882769472856019E-2</v>
      </c>
    </row>
    <row r="20" spans="1:9" ht="14.45" x14ac:dyDescent="0.35">
      <c r="A20" s="13" t="s">
        <v>88</v>
      </c>
      <c r="B20" s="13" t="s">
        <v>7</v>
      </c>
      <c r="C20" s="13" t="s">
        <v>112</v>
      </c>
      <c r="D20" s="13" t="s">
        <v>94</v>
      </c>
      <c r="E20" s="25">
        <v>0.57999999999999996</v>
      </c>
      <c r="F20" s="24">
        <v>1318</v>
      </c>
      <c r="G20" s="6">
        <f t="shared" si="1"/>
        <v>0.39197482297403674</v>
      </c>
      <c r="H20" s="9">
        <f t="array" ref="H20">(E20-MIN(IF($D$2:$D$283=D20,$E$2:$E$283)))/MIN(IF($D$2:$D$283=D20,$E$2:$E$283))</f>
        <v>9.4339622641509302E-2</v>
      </c>
      <c r="I20" s="10">
        <f t="array" ref="I20">(F20-MIN(IF($D$2:$D$283=D20,$F$2:$F$283)))/MIN(IF($D$2:$D$283=D20,$F$2:$F$283))</f>
        <v>3.6978756884343038E-2</v>
      </c>
    </row>
    <row r="21" spans="1:9" ht="14.45" x14ac:dyDescent="0.35">
      <c r="A21" s="13" t="s">
        <v>88</v>
      </c>
      <c r="B21" s="13" t="s">
        <v>7</v>
      </c>
      <c r="C21" s="13" t="s">
        <v>112</v>
      </c>
      <c r="D21" s="13" t="s">
        <v>94</v>
      </c>
      <c r="E21" s="25">
        <v>0.6</v>
      </c>
      <c r="F21" s="24">
        <v>1307</v>
      </c>
      <c r="G21" s="6">
        <f t="shared" si="1"/>
        <v>0.21445431044172211</v>
      </c>
      <c r="H21" s="9">
        <f t="array" ref="H21">(E21-MIN(IF($D$2:$D$283=D21,$E$2:$E$283)))/MIN(IF($D$2:$D$283=D21,$E$2:$E$283))</f>
        <v>0.13207547169811309</v>
      </c>
      <c r="I21" s="10">
        <f t="array" ref="I21">(F21-MIN(IF($D$2:$D$283=D21,$F$2:$F$283)))/MIN(IF($D$2:$D$283=D21,$F$2:$F$283))</f>
        <v>2.8324154209284028E-2</v>
      </c>
    </row>
    <row r="22" spans="1:9" ht="14.45" x14ac:dyDescent="0.35">
      <c r="A22" s="13" t="s">
        <v>88</v>
      </c>
      <c r="B22" s="13" t="s">
        <v>7</v>
      </c>
      <c r="C22" s="13" t="s">
        <v>112</v>
      </c>
      <c r="D22" s="13" t="s">
        <v>94</v>
      </c>
      <c r="E22" s="25">
        <v>0.62</v>
      </c>
      <c r="F22" s="24">
        <v>1332</v>
      </c>
      <c r="G22" s="6">
        <f t="shared" si="1"/>
        <v>0.28262960048955343</v>
      </c>
      <c r="H22" s="9">
        <f t="array" ref="H22">(E22-MIN(IF($D$2:$D$283=D22,$E$2:$E$283)))/MIN(IF($D$2:$D$283=D22,$E$2:$E$283))</f>
        <v>0.16981132075471692</v>
      </c>
      <c r="I22" s="10">
        <f t="array" ref="I22">(F22-MIN(IF($D$2:$D$283=D22,$F$2:$F$283)))/MIN(IF($D$2:$D$283=D22,$F$2:$F$283))</f>
        <v>4.7993705743509051E-2</v>
      </c>
    </row>
    <row r="23" spans="1:9" ht="14.45" x14ac:dyDescent="0.35">
      <c r="A23" s="13" t="s">
        <v>88</v>
      </c>
      <c r="B23" s="13" t="s">
        <v>7</v>
      </c>
      <c r="C23" s="13" t="s">
        <v>112</v>
      </c>
      <c r="D23" s="13" t="s">
        <v>94</v>
      </c>
      <c r="E23" s="25">
        <v>0.66</v>
      </c>
      <c r="F23" s="24">
        <v>1443</v>
      </c>
      <c r="G23" s="6">
        <f t="shared" si="1"/>
        <v>0.55171579011075467</v>
      </c>
      <c r="H23" s="9">
        <f t="array" ref="H23">(E23-MIN(IF($D$2:$D$283=D23,$E$2:$E$283)))/MIN(IF($D$2:$D$283=D23,$E$2:$E$283))</f>
        <v>0.24528301886792453</v>
      </c>
      <c r="I23" s="10">
        <f t="array" ref="I23">(F23-MIN(IF($D$2:$D$283=D23,$F$2:$F$283)))/MIN(IF($D$2:$D$283=D23,$F$2:$F$283))</f>
        <v>0.13532651455546812</v>
      </c>
    </row>
    <row r="24" spans="1:9" ht="14.45" x14ac:dyDescent="0.35">
      <c r="A24" s="13" t="s">
        <v>88</v>
      </c>
      <c r="B24" s="13" t="s">
        <v>7</v>
      </c>
      <c r="C24" s="13" t="s">
        <v>112</v>
      </c>
      <c r="D24" s="13" t="s">
        <v>94</v>
      </c>
      <c r="E24" s="25">
        <v>0.68</v>
      </c>
      <c r="F24" s="24">
        <v>1451</v>
      </c>
      <c r="G24" s="6">
        <f t="shared" si="1"/>
        <v>0.50039339103068448</v>
      </c>
      <c r="H24" s="9">
        <f t="array" ref="H24">(E24-MIN(IF($D$2:$D$283=D24,$E$2:$E$283)))/MIN(IF($D$2:$D$283=D24,$E$2:$E$283))</f>
        <v>0.28301886792452835</v>
      </c>
      <c r="I24" s="10">
        <f t="array" ref="I24">(F24-MIN(IF($D$2:$D$283=D24,$F$2:$F$283)))/MIN(IF($D$2:$D$283=D24,$F$2:$F$283))</f>
        <v>0.14162077104642015</v>
      </c>
    </row>
    <row r="25" spans="1:9" ht="14.45" x14ac:dyDescent="0.35">
      <c r="A25" s="13" t="s">
        <v>88</v>
      </c>
      <c r="B25" s="13" t="s">
        <v>7</v>
      </c>
      <c r="C25" s="13" t="s">
        <v>112</v>
      </c>
      <c r="D25" t="s">
        <v>95</v>
      </c>
      <c r="E25" s="25">
        <v>0.62</v>
      </c>
      <c r="F25" s="24">
        <v>684</v>
      </c>
      <c r="G25" s="6" t="str">
        <f t="shared" si="1"/>
        <v/>
      </c>
      <c r="H25" s="9">
        <f t="array" ref="H25">(E25-MIN(IF($D$2:$D$283=D25,$E$2:$E$283)))/MIN(IF($D$2:$D$283=D25,$E$2:$E$283))</f>
        <v>0</v>
      </c>
      <c r="I25" s="10">
        <f t="array" ref="I25">(F25-MIN(IF($D$2:$D$283=D25,$F$2:$F$283)))/MIN(IF($D$2:$D$283=D25,$F$2:$F$283))</f>
        <v>0</v>
      </c>
    </row>
    <row r="26" spans="1:9" ht="14.45" x14ac:dyDescent="0.35">
      <c r="A26" s="13" t="s">
        <v>88</v>
      </c>
      <c r="B26" s="13" t="s">
        <v>7</v>
      </c>
      <c r="C26" s="13" t="s">
        <v>112</v>
      </c>
      <c r="D26" s="13" t="s">
        <v>95</v>
      </c>
      <c r="E26" s="25">
        <v>0.69</v>
      </c>
      <c r="F26" s="24">
        <v>712</v>
      </c>
      <c r="G26" s="6">
        <f t="shared" si="1"/>
        <v>0.36257309941520488</v>
      </c>
      <c r="H26" s="9">
        <f t="array" ref="H26">(E26-MIN(IF($D$2:$D$283=D26,$E$2:$E$283)))/MIN(IF($D$2:$D$283=D26,$E$2:$E$283))</f>
        <v>0.11290322580645154</v>
      </c>
      <c r="I26" s="10">
        <f t="array" ref="I26">(F26-MIN(IF($D$2:$D$283=D26,$F$2:$F$283)))/MIN(IF($D$2:$D$283=D26,$F$2:$F$283))</f>
        <v>4.0935672514619881E-2</v>
      </c>
    </row>
    <row r="27" spans="1:9" ht="14.45" x14ac:dyDescent="0.35">
      <c r="A27" s="13" t="s">
        <v>88</v>
      </c>
      <c r="B27" s="13" t="s">
        <v>7</v>
      </c>
      <c r="C27" s="13" t="s">
        <v>112</v>
      </c>
      <c r="D27" s="13" t="s">
        <v>95</v>
      </c>
      <c r="E27" s="25">
        <v>0.78</v>
      </c>
      <c r="F27" s="24">
        <v>770</v>
      </c>
      <c r="G27" s="6">
        <f t="shared" si="1"/>
        <v>0.48720760233918115</v>
      </c>
      <c r="H27" s="9">
        <f t="array" ref="H27">(E27-MIN(IF($D$2:$D$283=D27,$E$2:$E$283)))/MIN(IF($D$2:$D$283=D27,$E$2:$E$283))</f>
        <v>0.25806451612903231</v>
      </c>
      <c r="I27" s="10">
        <f t="array" ref="I27">(F27-MIN(IF($D$2:$D$283=D27,$F$2:$F$283)))/MIN(IF($D$2:$D$283=D27,$F$2:$F$283))</f>
        <v>0.12573099415204678</v>
      </c>
    </row>
    <row r="28" spans="1:9" ht="14.45" x14ac:dyDescent="0.35">
      <c r="A28" s="13" t="s">
        <v>88</v>
      </c>
      <c r="B28" s="13" t="s">
        <v>7</v>
      </c>
      <c r="C28" s="13" t="s">
        <v>112</v>
      </c>
      <c r="D28" s="13" t="s">
        <v>95</v>
      </c>
      <c r="E28" s="25">
        <v>0.8</v>
      </c>
      <c r="F28" s="24">
        <v>986</v>
      </c>
      <c r="G28" s="6">
        <f t="shared" si="1"/>
        <v>1.5207927225471081</v>
      </c>
      <c r="H28" s="9">
        <f t="array" ref="H28">(E28-MIN(IF($D$2:$D$283=D28,$E$2:$E$283)))/MIN(IF($D$2:$D$283=D28,$E$2:$E$283))</f>
        <v>0.29032258064516137</v>
      </c>
      <c r="I28" s="10">
        <f t="array" ref="I28">(F28-MIN(IF($D$2:$D$283=D28,$F$2:$F$283)))/MIN(IF($D$2:$D$283=D28,$F$2:$F$283))</f>
        <v>0.44152046783625731</v>
      </c>
    </row>
    <row r="29" spans="1:9" ht="14.45" x14ac:dyDescent="0.35">
      <c r="A29" s="13" t="s">
        <v>88</v>
      </c>
      <c r="B29" s="13" t="s">
        <v>7</v>
      </c>
      <c r="C29" s="13" t="s">
        <v>112</v>
      </c>
      <c r="D29" s="13" t="s">
        <v>95</v>
      </c>
      <c r="E29" s="25">
        <v>0.82</v>
      </c>
      <c r="F29" s="24">
        <v>1060</v>
      </c>
      <c r="G29" s="6">
        <f t="shared" si="1"/>
        <v>1.7040935672514623</v>
      </c>
      <c r="H29" s="9">
        <f t="array" ref="H29">(E29-MIN(IF($D$2:$D$283=D29,$E$2:$E$283)))/MIN(IF($D$2:$D$283=D29,$E$2:$E$283))</f>
        <v>0.32258064516129026</v>
      </c>
      <c r="I29" s="10">
        <f t="array" ref="I29">(F29-MIN(IF($D$2:$D$283=D29,$F$2:$F$283)))/MIN(IF($D$2:$D$283=D29,$F$2:$F$283))</f>
        <v>0.54970760233918126</v>
      </c>
    </row>
    <row r="30" spans="1:9" ht="14.45" x14ac:dyDescent="0.35">
      <c r="A30" s="13" t="s">
        <v>88</v>
      </c>
      <c r="B30" s="13" t="s">
        <v>7</v>
      </c>
      <c r="C30" s="13" t="s">
        <v>112</v>
      </c>
      <c r="D30" s="13" t="s">
        <v>95</v>
      </c>
      <c r="E30" s="25">
        <v>0.84</v>
      </c>
      <c r="F30" s="24">
        <v>1625</v>
      </c>
      <c r="G30" s="6">
        <f t="shared" si="1"/>
        <v>3.877060074428496</v>
      </c>
      <c r="H30" s="9">
        <f t="array" ref="H30">(E30-MIN(IF($D$2:$D$283=D30,$E$2:$E$283)))/MIN(IF($D$2:$D$283=D30,$E$2:$E$283))</f>
        <v>0.35483870967741932</v>
      </c>
      <c r="I30" s="10">
        <f t="array" ref="I30">(F30-MIN(IF($D$2:$D$283=D30,$F$2:$F$283)))/MIN(IF($D$2:$D$283=D30,$F$2:$F$283))</f>
        <v>1.3757309941520468</v>
      </c>
    </row>
    <row r="31" spans="1:9" ht="14.45" x14ac:dyDescent="0.35">
      <c r="A31" s="13" t="s">
        <v>88</v>
      </c>
      <c r="B31" s="13" t="s">
        <v>7</v>
      </c>
      <c r="C31" s="13" t="s">
        <v>112</v>
      </c>
      <c r="D31" s="13" t="s">
        <v>95</v>
      </c>
      <c r="E31" s="25">
        <v>0.85</v>
      </c>
      <c r="F31" s="24">
        <v>1714</v>
      </c>
      <c r="G31" s="6">
        <f t="shared" si="1"/>
        <v>4.0592423086702265</v>
      </c>
      <c r="H31" s="9">
        <f t="array" ref="H31">(E31-MIN(IF($D$2:$D$283=D31,$E$2:$E$283)))/MIN(IF($D$2:$D$283=D31,$E$2:$E$283))</f>
        <v>0.37096774193548382</v>
      </c>
      <c r="I31" s="10">
        <f t="array" ref="I31">(F31-MIN(IF($D$2:$D$283=D31,$F$2:$F$283)))/MIN(IF($D$2:$D$283=D31,$F$2:$F$283))</f>
        <v>1.5058479532163742</v>
      </c>
    </row>
    <row r="32" spans="1:9" ht="14.45" x14ac:dyDescent="0.35">
      <c r="A32" s="13" t="s">
        <v>88</v>
      </c>
      <c r="B32" s="13" t="s">
        <v>7</v>
      </c>
      <c r="C32" s="13" t="s">
        <v>112</v>
      </c>
      <c r="D32" s="13" t="s">
        <v>95</v>
      </c>
      <c r="E32" s="25">
        <v>0.92</v>
      </c>
      <c r="F32" s="24">
        <v>1864</v>
      </c>
      <c r="G32" s="6">
        <f t="shared" si="1"/>
        <v>3.5653021442495119</v>
      </c>
      <c r="H32" s="9">
        <f t="array" ref="H32">(E32-MIN(IF($D$2:$D$283=D32,$E$2:$E$283)))/MIN(IF($D$2:$D$283=D32,$E$2:$E$283))</f>
        <v>0.48387096774193555</v>
      </c>
      <c r="I32" s="10">
        <f t="array" ref="I32">(F32-MIN(IF($D$2:$D$283=D32,$F$2:$F$283)))/MIN(IF($D$2:$D$283=D32,$F$2:$F$283))</f>
        <v>1.7251461988304093</v>
      </c>
    </row>
    <row r="33" spans="1:9" ht="14.45" x14ac:dyDescent="0.35">
      <c r="A33" s="13" t="s">
        <v>88</v>
      </c>
      <c r="B33" s="13" t="s">
        <v>7</v>
      </c>
      <c r="C33" s="13" t="s">
        <v>112</v>
      </c>
      <c r="D33" s="13" t="s">
        <v>95</v>
      </c>
      <c r="E33" s="25">
        <v>0.95</v>
      </c>
      <c r="F33" s="24">
        <v>2062</v>
      </c>
      <c r="G33" s="6">
        <f t="shared" si="1"/>
        <v>3.7850434166223641</v>
      </c>
      <c r="H33" s="9">
        <f t="array" ref="H33">(E33-MIN(IF($D$2:$D$283=D33,$E$2:$E$283)))/MIN(IF($D$2:$D$283=D33,$E$2:$E$283))</f>
        <v>0.532258064516129</v>
      </c>
      <c r="I33" s="10">
        <f t="array" ref="I33">(F33-MIN(IF($D$2:$D$283=D33,$F$2:$F$283)))/MIN(IF($D$2:$D$283=D33,$F$2:$F$283))</f>
        <v>2.0146198830409356</v>
      </c>
    </row>
    <row r="34" spans="1:9" ht="14.45" x14ac:dyDescent="0.35">
      <c r="A34" t="s">
        <v>88</v>
      </c>
      <c r="B34" t="s">
        <v>7</v>
      </c>
      <c r="C34" s="13" t="s">
        <v>113</v>
      </c>
      <c r="D34" t="s">
        <v>99</v>
      </c>
      <c r="E34" s="25">
        <v>1</v>
      </c>
      <c r="F34" s="24">
        <v>543</v>
      </c>
      <c r="G34" s="6" t="str">
        <f t="shared" si="1"/>
        <v/>
      </c>
      <c r="H34" s="9">
        <f t="array" ref="H34">(E34-MIN(IF($D$2:$D$283=D34,$E$2:$E$283)))/MIN(IF($D$2:$D$283=D34,$E$2:$E$283))</f>
        <v>0</v>
      </c>
      <c r="I34" s="10">
        <f t="array" ref="I34">(F34-MIN(IF($D$2:$D$283=D34,$F$2:$F$283)))/MIN(IF($D$2:$D$283=D34,$F$2:$F$283))</f>
        <v>0</v>
      </c>
    </row>
    <row r="35" spans="1:9" ht="14.45" x14ac:dyDescent="0.35">
      <c r="A35" s="13" t="s">
        <v>88</v>
      </c>
      <c r="B35" s="13" t="s">
        <v>7</v>
      </c>
      <c r="C35" s="13" t="s">
        <v>113</v>
      </c>
      <c r="D35" s="13" t="s">
        <v>99</v>
      </c>
      <c r="E35" s="25">
        <v>1.1000000000000001</v>
      </c>
      <c r="F35" s="24">
        <v>555</v>
      </c>
      <c r="G35" s="6">
        <f t="shared" si="1"/>
        <v>0.22099447513812134</v>
      </c>
      <c r="H35" s="9">
        <f t="array" ref="H35">(E35-MIN(IF($D$2:$D$283=D35,$E$2:$E$283)))/MIN(IF($D$2:$D$283=D35,$E$2:$E$283))</f>
        <v>0.10000000000000009</v>
      </c>
      <c r="I35" s="10">
        <f t="array" ref="I35">(F35-MIN(IF($D$2:$D$283=D35,$F$2:$F$283)))/MIN(IF($D$2:$D$283=D35,$F$2:$F$283))</f>
        <v>2.2099447513812154E-2</v>
      </c>
    </row>
    <row r="36" spans="1:9" ht="14.45" x14ac:dyDescent="0.35">
      <c r="A36" s="13" t="s">
        <v>88</v>
      </c>
      <c r="B36" s="13" t="s">
        <v>7</v>
      </c>
      <c r="C36" s="13" t="s">
        <v>113</v>
      </c>
      <c r="D36" s="13" t="s">
        <v>99</v>
      </c>
      <c r="E36" s="25">
        <v>1.1499999999999999</v>
      </c>
      <c r="F36" s="24">
        <v>563</v>
      </c>
      <c r="G36" s="6">
        <f t="shared" si="1"/>
        <v>0.24554941682013523</v>
      </c>
      <c r="H36" s="9">
        <f t="array" ref="H36">(E36-MIN(IF($D$2:$D$283=D36,$E$2:$E$283)))/MIN(IF($D$2:$D$283=D36,$E$2:$E$283))</f>
        <v>0.14999999999999991</v>
      </c>
      <c r="I36" s="10">
        <f t="array" ref="I36">(F36-MIN(IF($D$2:$D$283=D36,$F$2:$F$283)))/MIN(IF($D$2:$D$283=D36,$F$2:$F$283))</f>
        <v>3.6832412523020261E-2</v>
      </c>
    </row>
    <row r="37" spans="1:9" ht="14.45" x14ac:dyDescent="0.35">
      <c r="A37" s="13" t="s">
        <v>88</v>
      </c>
      <c r="B37" s="13" t="s">
        <v>7</v>
      </c>
      <c r="C37" s="13" t="s">
        <v>113</v>
      </c>
      <c r="D37" s="13" t="s">
        <v>99</v>
      </c>
      <c r="E37" s="25">
        <v>1.2</v>
      </c>
      <c r="F37" s="24">
        <v>624</v>
      </c>
      <c r="G37" s="6">
        <f t="shared" si="1"/>
        <v>0.74585635359116043</v>
      </c>
      <c r="H37" s="9">
        <f t="array" ref="H37">(E37-MIN(IF($D$2:$D$283=D37,$E$2:$E$283)))/MIN(IF($D$2:$D$283=D37,$E$2:$E$283))</f>
        <v>0.19999999999999996</v>
      </c>
      <c r="I37" s="10">
        <f t="array" ref="I37">(F37-MIN(IF($D$2:$D$283=D37,$F$2:$F$283)))/MIN(IF($D$2:$D$283=D37,$F$2:$F$283))</f>
        <v>0.14917127071823205</v>
      </c>
    </row>
    <row r="38" spans="1:9" ht="14.45" x14ac:dyDescent="0.35">
      <c r="A38" s="13" t="s">
        <v>88</v>
      </c>
      <c r="B38" s="13" t="s">
        <v>7</v>
      </c>
      <c r="C38" s="13" t="s">
        <v>113</v>
      </c>
      <c r="D38" s="13" t="s">
        <v>99</v>
      </c>
      <c r="E38" s="25">
        <v>1.25</v>
      </c>
      <c r="F38" s="24">
        <v>667</v>
      </c>
      <c r="G38" s="6">
        <f t="shared" si="1"/>
        <v>0.91344383057090239</v>
      </c>
      <c r="H38" s="9">
        <f t="array" ref="H38">(E38-MIN(IF($D$2:$D$283=D38,$E$2:$E$283)))/MIN(IF($D$2:$D$283=D38,$E$2:$E$283))</f>
        <v>0.25</v>
      </c>
      <c r="I38" s="10">
        <f t="array" ref="I38">(F38-MIN(IF($D$2:$D$283=D38,$F$2:$F$283)))/MIN(IF($D$2:$D$283=D38,$F$2:$F$283))</f>
        <v>0.2283609576427256</v>
      </c>
    </row>
    <row r="39" spans="1:9" ht="14.45" x14ac:dyDescent="0.35">
      <c r="A39" s="13" t="s">
        <v>88</v>
      </c>
      <c r="B39" s="13" t="s">
        <v>7</v>
      </c>
      <c r="C39" s="13" t="s">
        <v>113</v>
      </c>
      <c r="D39" s="13" t="s">
        <v>99</v>
      </c>
      <c r="E39" s="25">
        <v>1.3</v>
      </c>
      <c r="F39" s="24">
        <v>759</v>
      </c>
      <c r="G39" s="6">
        <f t="shared" si="1"/>
        <v>1.325966850828729</v>
      </c>
      <c r="H39" s="9">
        <f t="array" ref="H39">(E39-MIN(IF($D$2:$D$283=D39,$E$2:$E$283)))/MIN(IF($D$2:$D$283=D39,$E$2:$E$283))</f>
        <v>0.30000000000000004</v>
      </c>
      <c r="I39" s="10">
        <f t="array" ref="I39">(F39-MIN(IF($D$2:$D$283=D39,$F$2:$F$283)))/MIN(IF($D$2:$D$283=D39,$F$2:$F$283))</f>
        <v>0.39779005524861877</v>
      </c>
    </row>
    <row r="40" spans="1:9" ht="14.45" x14ac:dyDescent="0.35">
      <c r="A40" s="13" t="s">
        <v>88</v>
      </c>
      <c r="B40" s="13" t="s">
        <v>7</v>
      </c>
      <c r="C40" s="13" t="s">
        <v>113</v>
      </c>
      <c r="D40" s="13" t="s">
        <v>99</v>
      </c>
      <c r="E40" s="25">
        <v>1.36</v>
      </c>
      <c r="F40" s="24">
        <v>892</v>
      </c>
      <c r="G40" s="6">
        <f t="shared" si="1"/>
        <v>1.7853488847963981</v>
      </c>
      <c r="H40" s="9">
        <f t="array" ref="H40">(E40-MIN(IF($D$2:$D$283=D40,$E$2:$E$283)))/MIN(IF($D$2:$D$283=D40,$E$2:$E$283))</f>
        <v>0.3600000000000001</v>
      </c>
      <c r="I40" s="10">
        <f t="array" ref="I40">(F40-MIN(IF($D$2:$D$283=D40,$F$2:$F$283)))/MIN(IF($D$2:$D$283=D40,$F$2:$F$283))</f>
        <v>0.64272559852670352</v>
      </c>
    </row>
    <row r="41" spans="1:9" ht="14.45" x14ac:dyDescent="0.35">
      <c r="A41" s="13" t="s">
        <v>88</v>
      </c>
      <c r="B41" s="13" t="s">
        <v>7</v>
      </c>
      <c r="C41" s="13" t="s">
        <v>113</v>
      </c>
      <c r="D41" s="13" t="s">
        <v>101</v>
      </c>
      <c r="E41" s="25">
        <v>1</v>
      </c>
      <c r="F41" s="24">
        <v>945</v>
      </c>
      <c r="G41" s="6" t="str">
        <f t="shared" ref="G41:G47" si="2">IFERROR(I41/H41,"")</f>
        <v/>
      </c>
      <c r="H41" s="9">
        <f t="array" ref="H41">(E41-MIN(IF($D$2:$D$283=D41,$E$2:$E$283)))/MIN(IF($D$2:$D$283=D41,$E$2:$E$283))</f>
        <v>0</v>
      </c>
      <c r="I41" s="10">
        <f t="array" ref="I41">(F41-MIN(IF($D$2:$D$283=D41,$F$2:$F$283)))/MIN(IF($D$2:$D$283=D41,$F$2:$F$283))</f>
        <v>0</v>
      </c>
    </row>
    <row r="42" spans="1:9" ht="14.45" x14ac:dyDescent="0.35">
      <c r="A42" s="13" t="s">
        <v>88</v>
      </c>
      <c r="B42" s="13" t="s">
        <v>7</v>
      </c>
      <c r="C42" s="13" t="s">
        <v>113</v>
      </c>
      <c r="D42" s="13" t="s">
        <v>101</v>
      </c>
      <c r="E42" s="25">
        <v>1.1000000000000001</v>
      </c>
      <c r="F42" s="24">
        <v>947</v>
      </c>
      <c r="G42" s="6">
        <f t="shared" si="2"/>
        <v>2.1164021164021145E-2</v>
      </c>
      <c r="H42" s="9">
        <f t="array" ref="H42">(E42-MIN(IF($D$2:$D$283=D42,$E$2:$E$283)))/MIN(IF($D$2:$D$283=D42,$E$2:$E$283))</f>
        <v>0.10000000000000009</v>
      </c>
      <c r="I42" s="10">
        <f t="array" ref="I42">(F42-MIN(IF($D$2:$D$283=D42,$F$2:$F$283)))/MIN(IF($D$2:$D$283=D42,$F$2:$F$283))</f>
        <v>2.1164021164021165E-3</v>
      </c>
    </row>
    <row r="43" spans="1:9" ht="14.45" x14ac:dyDescent="0.35">
      <c r="A43" s="13" t="s">
        <v>88</v>
      </c>
      <c r="B43" s="13" t="s">
        <v>7</v>
      </c>
      <c r="C43" s="13" t="s">
        <v>113</v>
      </c>
      <c r="D43" s="13" t="s">
        <v>101</v>
      </c>
      <c r="E43" s="25">
        <v>1.1499999999999999</v>
      </c>
      <c r="F43" s="24">
        <v>949</v>
      </c>
      <c r="G43" s="6">
        <f t="shared" si="2"/>
        <v>2.8218694885361571E-2</v>
      </c>
      <c r="H43" s="9">
        <f t="array" ref="H43">(E43-MIN(IF($D$2:$D$283=D43,$E$2:$E$283)))/MIN(IF($D$2:$D$283=D43,$E$2:$E$283))</f>
        <v>0.14999999999999991</v>
      </c>
      <c r="I43" s="10">
        <f t="array" ref="I43">(F43-MIN(IF($D$2:$D$283=D43,$F$2:$F$283)))/MIN(IF($D$2:$D$283=D43,$F$2:$F$283))</f>
        <v>4.2328042328042331E-3</v>
      </c>
    </row>
    <row r="44" spans="1:9" x14ac:dyDescent="0.25">
      <c r="A44" s="13" t="s">
        <v>88</v>
      </c>
      <c r="B44" s="13" t="s">
        <v>7</v>
      </c>
      <c r="C44" s="13" t="s">
        <v>113</v>
      </c>
      <c r="D44" s="13" t="s">
        <v>101</v>
      </c>
      <c r="E44" s="25">
        <v>1.2</v>
      </c>
      <c r="F44" s="24">
        <v>955</v>
      </c>
      <c r="G44" s="6">
        <f t="shared" si="2"/>
        <v>5.2910052910052921E-2</v>
      </c>
      <c r="H44" s="9">
        <f t="array" ref="H44">(E44-MIN(IF($D$2:$D$283=D44,$E$2:$E$283)))/MIN(IF($D$2:$D$283=D44,$E$2:$E$283))</f>
        <v>0.19999999999999996</v>
      </c>
      <c r="I44" s="10">
        <f t="array" ref="I44">(F44-MIN(IF($D$2:$D$283=D44,$F$2:$F$283)))/MIN(IF($D$2:$D$283=D44,$F$2:$F$283))</f>
        <v>1.0582010582010581E-2</v>
      </c>
    </row>
    <row r="45" spans="1:9" x14ac:dyDescent="0.25">
      <c r="A45" s="13" t="s">
        <v>88</v>
      </c>
      <c r="B45" s="13" t="s">
        <v>7</v>
      </c>
      <c r="C45" s="13" t="s">
        <v>113</v>
      </c>
      <c r="D45" s="13" t="s">
        <v>101</v>
      </c>
      <c r="E45" s="25">
        <v>1.25</v>
      </c>
      <c r="F45" s="24">
        <v>1020</v>
      </c>
      <c r="G45" s="6">
        <f t="shared" si="2"/>
        <v>0.31746031746031744</v>
      </c>
      <c r="H45" s="9">
        <f t="array" ref="H45">(E45-MIN(IF($D$2:$D$283=D45,$E$2:$E$283)))/MIN(IF($D$2:$D$283=D45,$E$2:$E$283))</f>
        <v>0.25</v>
      </c>
      <c r="I45" s="10">
        <f t="array" ref="I45">(F45-MIN(IF($D$2:$D$283=D45,$F$2:$F$283)))/MIN(IF($D$2:$D$283=D45,$F$2:$F$283))</f>
        <v>7.9365079365079361E-2</v>
      </c>
    </row>
    <row r="46" spans="1:9" x14ac:dyDescent="0.25">
      <c r="A46" s="13" t="s">
        <v>88</v>
      </c>
      <c r="B46" s="13" t="s">
        <v>7</v>
      </c>
      <c r="C46" s="13" t="s">
        <v>113</v>
      </c>
      <c r="D46" s="13" t="s">
        <v>101</v>
      </c>
      <c r="E46" s="25">
        <v>1.3</v>
      </c>
      <c r="F46" s="24">
        <v>1127</v>
      </c>
      <c r="G46" s="6">
        <f t="shared" si="2"/>
        <v>0.64197530864197516</v>
      </c>
      <c r="H46" s="9">
        <f t="array" ref="H46">(E46-MIN(IF($D$2:$D$283=D46,$E$2:$E$283)))/MIN(IF($D$2:$D$283=D46,$E$2:$E$283))</f>
        <v>0.30000000000000004</v>
      </c>
      <c r="I46" s="10">
        <f t="array" ref="I46">(F46-MIN(IF($D$2:$D$283=D46,$F$2:$F$283)))/MIN(IF($D$2:$D$283=D46,$F$2:$F$283))</f>
        <v>0.19259259259259259</v>
      </c>
    </row>
    <row r="47" spans="1:9" x14ac:dyDescent="0.25">
      <c r="A47" s="13" t="s">
        <v>88</v>
      </c>
      <c r="B47" s="13" t="s">
        <v>7</v>
      </c>
      <c r="C47" s="13" t="s">
        <v>113</v>
      </c>
      <c r="D47" s="13" t="s">
        <v>101</v>
      </c>
      <c r="E47" s="25">
        <v>1.36</v>
      </c>
      <c r="F47" s="24">
        <v>1276</v>
      </c>
      <c r="G47" s="6">
        <f t="shared" si="2"/>
        <v>0.97295708406819492</v>
      </c>
      <c r="H47" s="9">
        <f t="array" ref="H47">(E47-MIN(IF($D$2:$D$283=D47,$E$2:$E$283)))/MIN(IF($D$2:$D$283=D47,$E$2:$E$283))</f>
        <v>0.3600000000000001</v>
      </c>
      <c r="I47" s="10">
        <f t="array" ref="I47">(F47-MIN(IF($D$2:$D$283=D47,$F$2:$F$283)))/MIN(IF($D$2:$D$283=D47,$F$2:$F$283))</f>
        <v>0.35026455026455028</v>
      </c>
    </row>
    <row r="48" spans="1:9" x14ac:dyDescent="0.25">
      <c r="A48" s="13" t="s">
        <v>88</v>
      </c>
      <c r="B48" s="13" t="s">
        <v>7</v>
      </c>
      <c r="C48" s="13" t="s">
        <v>113</v>
      </c>
      <c r="D48" s="13" t="s">
        <v>102</v>
      </c>
      <c r="E48" s="25">
        <v>1</v>
      </c>
      <c r="F48" s="24">
        <v>1152</v>
      </c>
      <c r="G48" s="6" t="str">
        <f t="shared" ref="G48:G54" si="3">IFERROR(I48/H48,"")</f>
        <v/>
      </c>
      <c r="H48" s="9">
        <f t="array" ref="H48">(E48-MIN(IF($D$2:$D$283=D48,$E$2:$E$283)))/MIN(IF($D$2:$D$283=D48,$E$2:$E$283))</f>
        <v>0</v>
      </c>
      <c r="I48" s="10">
        <f t="array" ref="I48">(F48-MIN(IF($D$2:$D$283=D48,$F$2:$F$283)))/MIN(IF($D$2:$D$283=D48,$F$2:$F$283))</f>
        <v>0</v>
      </c>
    </row>
    <row r="49" spans="1:9" x14ac:dyDescent="0.25">
      <c r="A49" s="13" t="s">
        <v>88</v>
      </c>
      <c r="B49" s="13" t="s">
        <v>7</v>
      </c>
      <c r="C49" s="13" t="s">
        <v>113</v>
      </c>
      <c r="D49" s="13" t="s">
        <v>102</v>
      </c>
      <c r="E49" s="25">
        <v>1.1000000000000001</v>
      </c>
      <c r="F49" s="24">
        <v>1155</v>
      </c>
      <c r="G49" s="6">
        <f t="shared" si="3"/>
        <v>2.6041666666666644E-2</v>
      </c>
      <c r="H49" s="9">
        <f t="array" ref="H49">(E49-MIN(IF($D$2:$D$283=D49,$E$2:$E$283)))/MIN(IF($D$2:$D$283=D49,$E$2:$E$283))</f>
        <v>0.10000000000000009</v>
      </c>
      <c r="I49" s="10">
        <f t="array" ref="I49">(F49-MIN(IF($D$2:$D$283=D49,$F$2:$F$283)))/MIN(IF($D$2:$D$283=D49,$F$2:$F$283))</f>
        <v>2.6041666666666665E-3</v>
      </c>
    </row>
    <row r="50" spans="1:9" x14ac:dyDescent="0.25">
      <c r="A50" s="13" t="s">
        <v>88</v>
      </c>
      <c r="B50" s="13" t="s">
        <v>7</v>
      </c>
      <c r="C50" s="13" t="s">
        <v>113</v>
      </c>
      <c r="D50" s="13" t="s">
        <v>102</v>
      </c>
      <c r="E50" s="25">
        <v>1.1499999999999999</v>
      </c>
      <c r="F50" s="24">
        <v>1160</v>
      </c>
      <c r="G50" s="6">
        <f t="shared" si="3"/>
        <v>4.6296296296296321E-2</v>
      </c>
      <c r="H50" s="9">
        <f t="array" ref="H50">(E50-MIN(IF($D$2:$D$283=D50,$E$2:$E$283)))/MIN(IF($D$2:$D$283=D50,$E$2:$E$283))</f>
        <v>0.14999999999999991</v>
      </c>
      <c r="I50" s="10">
        <f t="array" ref="I50">(F50-MIN(IF($D$2:$D$283=D50,$F$2:$F$283)))/MIN(IF($D$2:$D$283=D50,$F$2:$F$283))</f>
        <v>6.9444444444444441E-3</v>
      </c>
    </row>
    <row r="51" spans="1:9" x14ac:dyDescent="0.25">
      <c r="A51" s="13" t="s">
        <v>88</v>
      </c>
      <c r="B51" s="13" t="s">
        <v>7</v>
      </c>
      <c r="C51" s="13" t="s">
        <v>113</v>
      </c>
      <c r="D51" s="13" t="s">
        <v>102</v>
      </c>
      <c r="E51" s="25">
        <v>1.2</v>
      </c>
      <c r="F51" s="24">
        <v>1179</v>
      </c>
      <c r="G51" s="6">
        <f t="shared" si="3"/>
        <v>0.11718750000000003</v>
      </c>
      <c r="H51" s="9">
        <f t="array" ref="H51">(E51-MIN(IF($D$2:$D$283=D51,$E$2:$E$283)))/MIN(IF($D$2:$D$283=D51,$E$2:$E$283))</f>
        <v>0.19999999999999996</v>
      </c>
      <c r="I51" s="10">
        <f t="array" ref="I51">(F51-MIN(IF($D$2:$D$283=D51,$F$2:$F$283)))/MIN(IF($D$2:$D$283=D51,$F$2:$F$283))</f>
        <v>2.34375E-2</v>
      </c>
    </row>
    <row r="52" spans="1:9" x14ac:dyDescent="0.25">
      <c r="A52" s="13" t="s">
        <v>88</v>
      </c>
      <c r="B52" s="13" t="s">
        <v>7</v>
      </c>
      <c r="C52" s="13" t="s">
        <v>113</v>
      </c>
      <c r="D52" s="13" t="s">
        <v>102</v>
      </c>
      <c r="E52" s="25">
        <v>1.25</v>
      </c>
      <c r="F52" s="24">
        <v>1244</v>
      </c>
      <c r="G52" s="6">
        <f t="shared" si="3"/>
        <v>0.31944444444444442</v>
      </c>
      <c r="H52" s="9">
        <f t="array" ref="H52">(E52-MIN(IF($D$2:$D$283=D52,$E$2:$E$283)))/MIN(IF($D$2:$D$283=D52,$E$2:$E$283))</f>
        <v>0.25</v>
      </c>
      <c r="I52" s="10">
        <f t="array" ref="I52">(F52-MIN(IF($D$2:$D$283=D52,$F$2:$F$283)))/MIN(IF($D$2:$D$283=D52,$F$2:$F$283))</f>
        <v>7.9861111111111105E-2</v>
      </c>
    </row>
    <row r="53" spans="1:9" x14ac:dyDescent="0.25">
      <c r="A53" s="13" t="s">
        <v>88</v>
      </c>
      <c r="B53" s="13" t="s">
        <v>7</v>
      </c>
      <c r="C53" s="13" t="s">
        <v>113</v>
      </c>
      <c r="D53" s="13" t="s">
        <v>102</v>
      </c>
      <c r="E53" s="25">
        <v>1.3</v>
      </c>
      <c r="F53" s="24">
        <v>1385</v>
      </c>
      <c r="G53" s="6">
        <f t="shared" si="3"/>
        <v>0.67418981481481477</v>
      </c>
      <c r="H53" s="9">
        <f t="array" ref="H53">(E53-MIN(IF($D$2:$D$283=D53,$E$2:$E$283)))/MIN(IF($D$2:$D$283=D53,$E$2:$E$283))</f>
        <v>0.30000000000000004</v>
      </c>
      <c r="I53" s="10">
        <f t="array" ref="I53">(F53-MIN(IF($D$2:$D$283=D53,$F$2:$F$283)))/MIN(IF($D$2:$D$283=D53,$F$2:$F$283))</f>
        <v>0.20225694444444445</v>
      </c>
    </row>
    <row r="54" spans="1:9" x14ac:dyDescent="0.25">
      <c r="A54" s="13" t="s">
        <v>88</v>
      </c>
      <c r="B54" s="13" t="s">
        <v>7</v>
      </c>
      <c r="C54" s="13" t="s">
        <v>113</v>
      </c>
      <c r="D54" s="13" t="s">
        <v>102</v>
      </c>
      <c r="E54" s="25">
        <v>1.33</v>
      </c>
      <c r="F54" s="24">
        <v>1496</v>
      </c>
      <c r="G54" s="6">
        <f t="shared" si="3"/>
        <v>0.90488215488215462</v>
      </c>
      <c r="H54" s="9">
        <f t="array" ref="H54">(E54-MIN(IF($D$2:$D$283=D54,$E$2:$E$283)))/MIN(IF($D$2:$D$283=D54,$E$2:$E$283))</f>
        <v>0.33000000000000007</v>
      </c>
      <c r="I54" s="10">
        <f t="array" ref="I54">(F54-MIN(IF($D$2:$D$283=D54,$F$2:$F$283)))/MIN(IF($D$2:$D$283=D54,$F$2:$F$283))</f>
        <v>0.2986111111111111</v>
      </c>
    </row>
    <row r="55" spans="1:9" x14ac:dyDescent="0.25">
      <c r="A55" s="13" t="s">
        <v>88</v>
      </c>
      <c r="B55" s="13" t="s">
        <v>7</v>
      </c>
      <c r="C55" s="13" t="s">
        <v>113</v>
      </c>
      <c r="D55" s="13" t="s">
        <v>103</v>
      </c>
      <c r="E55" s="25">
        <v>1</v>
      </c>
      <c r="F55" s="24">
        <v>560</v>
      </c>
      <c r="G55" s="6" t="str">
        <f t="shared" ref="G55:G63" si="4">IFERROR(I55/H55,"")</f>
        <v/>
      </c>
      <c r="H55" s="9">
        <f t="array" ref="H55">(E55-MIN(IF($D$2:$D$283=D55,$E$2:$E$283)))/MIN(IF($D$2:$D$283=D55,$E$2:$E$283))</f>
        <v>0</v>
      </c>
      <c r="I55" s="10">
        <f t="array" ref="I55">(F55-MIN(IF($D$2:$D$283=D55,$F$2:$F$283)))/MIN(IF($D$2:$D$283=D55,$F$2:$F$283))</f>
        <v>0</v>
      </c>
    </row>
    <row r="56" spans="1:9" x14ac:dyDescent="0.25">
      <c r="A56" s="13" t="s">
        <v>88</v>
      </c>
      <c r="B56" s="13" t="s">
        <v>7</v>
      </c>
      <c r="C56" s="13" t="s">
        <v>113</v>
      </c>
      <c r="D56" s="13" t="s">
        <v>103</v>
      </c>
      <c r="E56" s="25">
        <v>1.1000000000000001</v>
      </c>
      <c r="F56" s="24">
        <v>571</v>
      </c>
      <c r="G56" s="6">
        <f t="shared" si="4"/>
        <v>0.19642857142857126</v>
      </c>
      <c r="H56" s="9">
        <f t="array" ref="H56">(E56-MIN(IF($D$2:$D$283=D56,$E$2:$E$283)))/MIN(IF($D$2:$D$283=D56,$E$2:$E$283))</f>
        <v>0.10000000000000009</v>
      </c>
      <c r="I56" s="10">
        <f t="array" ref="I56">(F56-MIN(IF($D$2:$D$283=D56,$F$2:$F$283)))/MIN(IF($D$2:$D$283=D56,$F$2:$F$283))</f>
        <v>1.9642857142857142E-2</v>
      </c>
    </row>
    <row r="57" spans="1:9" x14ac:dyDescent="0.25">
      <c r="A57" s="13" t="s">
        <v>88</v>
      </c>
      <c r="B57" s="13" t="s">
        <v>7</v>
      </c>
      <c r="C57" s="13" t="s">
        <v>113</v>
      </c>
      <c r="D57" s="13" t="s">
        <v>103</v>
      </c>
      <c r="E57" s="25">
        <v>1.1499999999999999</v>
      </c>
      <c r="F57" s="24">
        <v>592</v>
      </c>
      <c r="G57" s="6">
        <f t="shared" si="4"/>
        <v>0.38095238095238115</v>
      </c>
      <c r="H57" s="9">
        <f t="array" ref="H57">(E57-MIN(IF($D$2:$D$283=D57,$E$2:$E$283)))/MIN(IF($D$2:$D$283=D57,$E$2:$E$283))</f>
        <v>0.14999999999999991</v>
      </c>
      <c r="I57" s="10">
        <f t="array" ref="I57">(F57-MIN(IF($D$2:$D$283=D57,$F$2:$F$283)))/MIN(IF($D$2:$D$283=D57,$F$2:$F$283))</f>
        <v>5.7142857142857141E-2</v>
      </c>
    </row>
    <row r="58" spans="1:9" x14ac:dyDescent="0.25">
      <c r="A58" s="13" t="s">
        <v>88</v>
      </c>
      <c r="B58" s="13" t="s">
        <v>7</v>
      </c>
      <c r="C58" s="13" t="s">
        <v>113</v>
      </c>
      <c r="D58" s="13" t="s">
        <v>103</v>
      </c>
      <c r="E58" s="25">
        <v>1.2</v>
      </c>
      <c r="F58" s="24">
        <v>611</v>
      </c>
      <c r="G58" s="6">
        <f t="shared" si="4"/>
        <v>0.45535714285714296</v>
      </c>
      <c r="H58" s="9">
        <f t="array" ref="H58">(E58-MIN(IF($D$2:$D$283=D58,$E$2:$E$283)))/MIN(IF($D$2:$D$283=D58,$E$2:$E$283))</f>
        <v>0.19999999999999996</v>
      </c>
      <c r="I58" s="10">
        <f t="array" ref="I58">(F58-MIN(IF($D$2:$D$283=D58,$F$2:$F$283)))/MIN(IF($D$2:$D$283=D58,$F$2:$F$283))</f>
        <v>9.1071428571428567E-2</v>
      </c>
    </row>
    <row r="59" spans="1:9" x14ac:dyDescent="0.25">
      <c r="A59" s="13" t="s">
        <v>88</v>
      </c>
      <c r="B59" s="13" t="s">
        <v>7</v>
      </c>
      <c r="C59" s="13" t="s">
        <v>113</v>
      </c>
      <c r="D59" s="13" t="s">
        <v>103</v>
      </c>
      <c r="E59" s="25">
        <v>1.25</v>
      </c>
      <c r="F59" s="24">
        <v>640</v>
      </c>
      <c r="G59" s="6">
        <f t="shared" si="4"/>
        <v>0.5714285714285714</v>
      </c>
      <c r="H59" s="9">
        <f t="array" ref="H59">(E59-MIN(IF($D$2:$D$283=D59,$E$2:$E$283)))/MIN(IF($D$2:$D$283=D59,$E$2:$E$283))</f>
        <v>0.25</v>
      </c>
      <c r="I59" s="10">
        <f t="array" ref="I59">(F59-MIN(IF($D$2:$D$283=D59,$F$2:$F$283)))/MIN(IF($D$2:$D$283=D59,$F$2:$F$283))</f>
        <v>0.14285714285714285</v>
      </c>
    </row>
    <row r="60" spans="1:9" x14ac:dyDescent="0.25">
      <c r="A60" s="13" t="s">
        <v>88</v>
      </c>
      <c r="B60" s="13" t="s">
        <v>7</v>
      </c>
      <c r="C60" s="13" t="s">
        <v>113</v>
      </c>
      <c r="D60" s="13" t="s">
        <v>103</v>
      </c>
      <c r="E60" s="25">
        <v>1.3</v>
      </c>
      <c r="F60" s="24">
        <v>667</v>
      </c>
      <c r="G60" s="6">
        <f t="shared" si="4"/>
        <v>0.63690476190476175</v>
      </c>
      <c r="H60" s="9">
        <f t="array" ref="H60">(E60-MIN(IF($D$2:$D$283=D60,$E$2:$E$283)))/MIN(IF($D$2:$D$283=D60,$E$2:$E$283))</f>
        <v>0.30000000000000004</v>
      </c>
      <c r="I60" s="10">
        <f t="array" ref="I60">(F60-MIN(IF($D$2:$D$283=D60,$F$2:$F$283)))/MIN(IF($D$2:$D$283=D60,$F$2:$F$283))</f>
        <v>0.19107142857142856</v>
      </c>
    </row>
    <row r="61" spans="1:9" x14ac:dyDescent="0.25">
      <c r="A61" s="13" t="s">
        <v>88</v>
      </c>
      <c r="B61" s="13" t="s">
        <v>7</v>
      </c>
      <c r="C61" s="13" t="s">
        <v>113</v>
      </c>
      <c r="D61" s="13" t="s">
        <v>103</v>
      </c>
      <c r="E61" s="25">
        <v>1.35</v>
      </c>
      <c r="F61" s="24">
        <v>727</v>
      </c>
      <c r="G61" s="6">
        <f t="shared" si="4"/>
        <v>0.85204081632653039</v>
      </c>
      <c r="H61" s="9">
        <f t="array" ref="H61">(E61-MIN(IF($D$2:$D$283=D61,$E$2:$E$283)))/MIN(IF($D$2:$D$283=D61,$E$2:$E$283))</f>
        <v>0.35000000000000009</v>
      </c>
      <c r="I61" s="10">
        <f t="array" ref="I61">(F61-MIN(IF($D$2:$D$283=D61,$F$2:$F$283)))/MIN(IF($D$2:$D$283=D61,$F$2:$F$283))</f>
        <v>0.29821428571428571</v>
      </c>
    </row>
    <row r="62" spans="1:9" x14ac:dyDescent="0.25">
      <c r="A62" s="13" t="s">
        <v>88</v>
      </c>
      <c r="B62" s="13" t="s">
        <v>7</v>
      </c>
      <c r="C62" s="13" t="s">
        <v>113</v>
      </c>
      <c r="D62" s="13" t="s">
        <v>103</v>
      </c>
      <c r="E62" s="25">
        <v>1.4</v>
      </c>
      <c r="F62" s="24">
        <v>810</v>
      </c>
      <c r="G62" s="6">
        <f t="shared" si="4"/>
        <v>1.1160714285714288</v>
      </c>
      <c r="H62" s="9">
        <f t="array" ref="H62">(E62-MIN(IF($D$2:$D$283=D62,$E$2:$E$283)))/MIN(IF($D$2:$D$283=D62,$E$2:$E$283))</f>
        <v>0.39999999999999991</v>
      </c>
      <c r="I62" s="10">
        <f t="array" ref="I62">(F62-MIN(IF($D$2:$D$283=D62,$F$2:$F$283)))/MIN(IF($D$2:$D$283=D62,$F$2:$F$283))</f>
        <v>0.44642857142857145</v>
      </c>
    </row>
    <row r="63" spans="1:9" x14ac:dyDescent="0.25">
      <c r="A63" s="13" t="s">
        <v>88</v>
      </c>
      <c r="B63" s="13" t="s">
        <v>7</v>
      </c>
      <c r="C63" s="13" t="s">
        <v>113</v>
      </c>
      <c r="D63" s="13" t="s">
        <v>103</v>
      </c>
      <c r="E63" s="25">
        <v>1.44</v>
      </c>
      <c r="F63" s="24">
        <v>994</v>
      </c>
      <c r="G63" s="6">
        <f t="shared" si="4"/>
        <v>1.7613636363636367</v>
      </c>
      <c r="H63" s="9">
        <f t="array" ref="H63">(E63-MIN(IF($D$2:$D$283=D63,$E$2:$E$283)))/MIN(IF($D$2:$D$283=D63,$E$2:$E$283))</f>
        <v>0.43999999999999995</v>
      </c>
      <c r="I63" s="10">
        <f t="array" ref="I63">(F63-MIN(IF($D$2:$D$283=D63,$F$2:$F$283)))/MIN(IF($D$2:$D$283=D63,$F$2:$F$283))</f>
        <v>0.77500000000000002</v>
      </c>
    </row>
    <row r="64" spans="1:9" x14ac:dyDescent="0.25">
      <c r="A64" s="13" t="s">
        <v>88</v>
      </c>
      <c r="B64" s="13" t="s">
        <v>7</v>
      </c>
      <c r="C64" s="13" t="s">
        <v>113</v>
      </c>
      <c r="D64" s="13" t="s">
        <v>104</v>
      </c>
      <c r="E64" s="25">
        <v>1</v>
      </c>
      <c r="F64" s="24">
        <v>407</v>
      </c>
      <c r="G64" s="6" t="str">
        <f t="shared" ref="G64:G71" si="5">IFERROR(I64/H64,"")</f>
        <v/>
      </c>
      <c r="H64" s="9">
        <f t="array" ref="H64">(E64-MIN(IF($D$2:$D$283=D64,$E$2:$E$283)))/MIN(IF($D$2:$D$283=D64,$E$2:$E$283))</f>
        <v>0</v>
      </c>
      <c r="I64" s="10">
        <f t="array" ref="I64">(F64-MIN(IF($D$2:$D$283=D64,$F$2:$F$283)))/MIN(IF($D$2:$D$283=D64,$F$2:$F$283))</f>
        <v>0</v>
      </c>
    </row>
    <row r="65" spans="1:9" x14ac:dyDescent="0.25">
      <c r="A65" s="13" t="s">
        <v>88</v>
      </c>
      <c r="B65" s="13" t="s">
        <v>7</v>
      </c>
      <c r="C65" s="13" t="s">
        <v>113</v>
      </c>
      <c r="D65" s="13" t="s">
        <v>104</v>
      </c>
      <c r="E65" s="25">
        <v>1.1000000000000001</v>
      </c>
      <c r="F65" s="24">
        <v>414</v>
      </c>
      <c r="G65" s="6">
        <f t="shared" si="5"/>
        <v>0.17199017199017183</v>
      </c>
      <c r="H65" s="9">
        <f t="array" ref="H65">(E65-MIN(IF($D$2:$D$283=D65,$E$2:$E$283)))/MIN(IF($D$2:$D$283=D65,$E$2:$E$283))</f>
        <v>0.10000000000000009</v>
      </c>
      <c r="I65" s="10">
        <f t="array" ref="I65">(F65-MIN(IF($D$2:$D$283=D65,$F$2:$F$283)))/MIN(IF($D$2:$D$283=D65,$F$2:$F$283))</f>
        <v>1.7199017199017199E-2</v>
      </c>
    </row>
    <row r="66" spans="1:9" x14ac:dyDescent="0.25">
      <c r="A66" s="13" t="s">
        <v>88</v>
      </c>
      <c r="B66" s="13" t="s">
        <v>7</v>
      </c>
      <c r="C66" s="13" t="s">
        <v>113</v>
      </c>
      <c r="D66" s="13" t="s">
        <v>104</v>
      </c>
      <c r="E66" s="25">
        <v>1.1499999999999999</v>
      </c>
      <c r="F66" s="24">
        <v>424</v>
      </c>
      <c r="G66" s="6">
        <f t="shared" si="5"/>
        <v>0.2784602784602786</v>
      </c>
      <c r="H66" s="9">
        <f t="array" ref="H66">(E66-MIN(IF($D$2:$D$283=D66,$E$2:$E$283)))/MIN(IF($D$2:$D$283=D66,$E$2:$E$283))</f>
        <v>0.14999999999999991</v>
      </c>
      <c r="I66" s="10">
        <f t="array" ref="I66">(F66-MIN(IF($D$2:$D$283=D66,$F$2:$F$283)))/MIN(IF($D$2:$D$283=D66,$F$2:$F$283))</f>
        <v>4.1769041769041768E-2</v>
      </c>
    </row>
    <row r="67" spans="1:9" x14ac:dyDescent="0.25">
      <c r="A67" s="13" t="s">
        <v>88</v>
      </c>
      <c r="B67" s="13" t="s">
        <v>7</v>
      </c>
      <c r="C67" s="13" t="s">
        <v>113</v>
      </c>
      <c r="D67" s="13" t="s">
        <v>104</v>
      </c>
      <c r="E67" s="25">
        <v>1.2</v>
      </c>
      <c r="F67" s="24">
        <v>436</v>
      </c>
      <c r="G67" s="6">
        <f t="shared" si="5"/>
        <v>0.35626535626535638</v>
      </c>
      <c r="H67" s="9">
        <f t="array" ref="H67">(E67-MIN(IF($D$2:$D$283=D67,$E$2:$E$283)))/MIN(IF($D$2:$D$283=D67,$E$2:$E$283))</f>
        <v>0.19999999999999996</v>
      </c>
      <c r="I67" s="10">
        <f t="array" ref="I67">(F67-MIN(IF($D$2:$D$283=D67,$F$2:$F$283)))/MIN(IF($D$2:$D$283=D67,$F$2:$F$283))</f>
        <v>7.125307125307126E-2</v>
      </c>
    </row>
    <row r="68" spans="1:9" x14ac:dyDescent="0.25">
      <c r="A68" s="13" t="s">
        <v>88</v>
      </c>
      <c r="B68" s="13" t="s">
        <v>7</v>
      </c>
      <c r="C68" s="13" t="s">
        <v>113</v>
      </c>
      <c r="D68" s="13" t="s">
        <v>104</v>
      </c>
      <c r="E68" s="25">
        <v>1.25</v>
      </c>
      <c r="F68" s="24">
        <v>483</v>
      </c>
      <c r="G68" s="6">
        <f t="shared" si="5"/>
        <v>0.74692874692874689</v>
      </c>
      <c r="H68" s="9">
        <f t="array" ref="H68">(E68-MIN(IF($D$2:$D$283=D68,$E$2:$E$283)))/MIN(IF($D$2:$D$283=D68,$E$2:$E$283))</f>
        <v>0.25</v>
      </c>
      <c r="I68" s="10">
        <f t="array" ref="I68">(F68-MIN(IF($D$2:$D$283=D68,$F$2:$F$283)))/MIN(IF($D$2:$D$283=D68,$F$2:$F$283))</f>
        <v>0.18673218673218672</v>
      </c>
    </row>
    <row r="69" spans="1:9" x14ac:dyDescent="0.25">
      <c r="A69" s="13" t="s">
        <v>88</v>
      </c>
      <c r="B69" s="13" t="s">
        <v>7</v>
      </c>
      <c r="C69" s="13" t="s">
        <v>113</v>
      </c>
      <c r="D69" s="13" t="s">
        <v>104</v>
      </c>
      <c r="E69" s="25">
        <v>1.3</v>
      </c>
      <c r="F69" s="24">
        <v>504</v>
      </c>
      <c r="G69" s="6">
        <f t="shared" si="5"/>
        <v>0.79443079443079434</v>
      </c>
      <c r="H69" s="9">
        <f t="array" ref="H69">(E69-MIN(IF($D$2:$D$283=D69,$E$2:$E$283)))/MIN(IF($D$2:$D$283=D69,$E$2:$E$283))</f>
        <v>0.30000000000000004</v>
      </c>
      <c r="I69" s="10">
        <f t="array" ref="I69">(F69-MIN(IF($D$2:$D$283=D69,$F$2:$F$283)))/MIN(IF($D$2:$D$283=D69,$F$2:$F$283))</f>
        <v>0.23832923832923833</v>
      </c>
    </row>
    <row r="70" spans="1:9" x14ac:dyDescent="0.25">
      <c r="A70" s="13" t="s">
        <v>88</v>
      </c>
      <c r="B70" s="13" t="s">
        <v>7</v>
      </c>
      <c r="C70" s="13" t="s">
        <v>113</v>
      </c>
      <c r="D70" s="13" t="s">
        <v>104</v>
      </c>
      <c r="E70" s="25">
        <v>1.35</v>
      </c>
      <c r="F70" s="24">
        <v>565</v>
      </c>
      <c r="G70" s="6">
        <f t="shared" si="5"/>
        <v>1.1091611091611089</v>
      </c>
      <c r="H70" s="9">
        <f t="array" ref="H70">(E70-MIN(IF($D$2:$D$283=D70,$E$2:$E$283)))/MIN(IF($D$2:$D$283=D70,$E$2:$E$283))</f>
        <v>0.35000000000000009</v>
      </c>
      <c r="I70" s="10">
        <f t="array" ref="I70">(F70-MIN(IF($D$2:$D$283=D70,$F$2:$F$283)))/MIN(IF($D$2:$D$283=D70,$F$2:$F$283))</f>
        <v>0.3882063882063882</v>
      </c>
    </row>
    <row r="71" spans="1:9" x14ac:dyDescent="0.25">
      <c r="A71" s="13" t="s">
        <v>88</v>
      </c>
      <c r="B71" s="13" t="s">
        <v>7</v>
      </c>
      <c r="C71" s="13" t="s">
        <v>113</v>
      </c>
      <c r="D71" s="13" t="s">
        <v>104</v>
      </c>
      <c r="E71" s="25">
        <v>1.41</v>
      </c>
      <c r="F71" s="24">
        <v>687</v>
      </c>
      <c r="G71" s="6">
        <f t="shared" si="5"/>
        <v>1.677952897465093</v>
      </c>
      <c r="H71" s="9">
        <f t="array" ref="H71">(E71-MIN(IF($D$2:$D$283=D71,$E$2:$E$283)))/MIN(IF($D$2:$D$283=D71,$E$2:$E$283))</f>
        <v>0.40999999999999992</v>
      </c>
      <c r="I71" s="10">
        <f t="array" ref="I71">(F71-MIN(IF($D$2:$D$283=D71,$F$2:$F$283)))/MIN(IF($D$2:$D$283=D71,$F$2:$F$283))</f>
        <v>0.68796068796068799</v>
      </c>
    </row>
    <row r="72" spans="1:9" x14ac:dyDescent="0.25">
      <c r="A72" s="13" t="s">
        <v>88</v>
      </c>
      <c r="B72" s="13" t="s">
        <v>7</v>
      </c>
      <c r="C72" s="13" t="s">
        <v>113</v>
      </c>
      <c r="D72" s="13" t="s">
        <v>105</v>
      </c>
      <c r="E72" s="25">
        <v>1</v>
      </c>
      <c r="F72" s="24">
        <v>146</v>
      </c>
      <c r="G72" s="6" t="str">
        <f t="shared" ref="G72:G82" si="6">IFERROR(I72/H72,"")</f>
        <v/>
      </c>
      <c r="H72" s="9">
        <f t="array" ref="H72">(E72-MIN(IF($D$2:$D$283=D72,$E$2:$E$283)))/MIN(IF($D$2:$D$283=D72,$E$2:$E$283))</f>
        <v>0</v>
      </c>
      <c r="I72" s="10">
        <f t="array" ref="I72">(F72-MIN(IF($D$2:$D$283=D72,$F$2:$F$283)))/MIN(IF($D$2:$D$283=D72,$F$2:$F$283))</f>
        <v>0</v>
      </c>
    </row>
    <row r="73" spans="1:9" x14ac:dyDescent="0.25">
      <c r="A73" s="13" t="s">
        <v>88</v>
      </c>
      <c r="B73" s="13" t="s">
        <v>7</v>
      </c>
      <c r="C73" s="13" t="s">
        <v>113</v>
      </c>
      <c r="D73" s="13" t="s">
        <v>105</v>
      </c>
      <c r="E73" s="25">
        <v>1.1000000000000001</v>
      </c>
      <c r="F73" s="24">
        <v>151</v>
      </c>
      <c r="G73" s="6">
        <f t="shared" si="6"/>
        <v>0.34246575342465724</v>
      </c>
      <c r="H73" s="9">
        <f t="array" ref="H73">(E73-MIN(IF($D$2:$D$283=D73,$E$2:$E$283)))/MIN(IF($D$2:$D$283=D73,$E$2:$E$283))</f>
        <v>0.10000000000000009</v>
      </c>
      <c r="I73" s="10">
        <f t="array" ref="I73">(F73-MIN(IF($D$2:$D$283=D73,$F$2:$F$283)))/MIN(IF($D$2:$D$283=D73,$F$2:$F$283))</f>
        <v>3.4246575342465752E-2</v>
      </c>
    </row>
    <row r="74" spans="1:9" x14ac:dyDescent="0.25">
      <c r="A74" s="13" t="s">
        <v>88</v>
      </c>
      <c r="B74" s="13" t="s">
        <v>7</v>
      </c>
      <c r="C74" s="13" t="s">
        <v>113</v>
      </c>
      <c r="D74" s="13" t="s">
        <v>105</v>
      </c>
      <c r="E74" s="25">
        <v>1.1499999999999999</v>
      </c>
      <c r="F74" s="24">
        <v>156</v>
      </c>
      <c r="G74" s="6">
        <f t="shared" si="6"/>
        <v>0.4566210045662103</v>
      </c>
      <c r="H74" s="9">
        <f t="array" ref="H74">(E74-MIN(IF($D$2:$D$283=D74,$E$2:$E$283)))/MIN(IF($D$2:$D$283=D74,$E$2:$E$283))</f>
        <v>0.14999999999999991</v>
      </c>
      <c r="I74" s="10">
        <f t="array" ref="I74">(F74-MIN(IF($D$2:$D$283=D74,$F$2:$F$283)))/MIN(IF($D$2:$D$283=D74,$F$2:$F$283))</f>
        <v>6.8493150684931503E-2</v>
      </c>
    </row>
    <row r="75" spans="1:9" x14ac:dyDescent="0.25">
      <c r="A75" s="13" t="s">
        <v>88</v>
      </c>
      <c r="B75" s="13" t="s">
        <v>7</v>
      </c>
      <c r="C75" s="13" t="s">
        <v>113</v>
      </c>
      <c r="D75" s="13" t="s">
        <v>105</v>
      </c>
      <c r="E75" s="25">
        <v>1.2</v>
      </c>
      <c r="F75" s="24">
        <v>162</v>
      </c>
      <c r="G75" s="6">
        <f t="shared" si="6"/>
        <v>0.54794520547945214</v>
      </c>
      <c r="H75" s="9">
        <f t="array" ref="H75">(E75-MIN(IF($D$2:$D$283=D75,$E$2:$E$283)))/MIN(IF($D$2:$D$283=D75,$E$2:$E$283))</f>
        <v>0.19999999999999996</v>
      </c>
      <c r="I75" s="10">
        <f t="array" ref="I75">(F75-MIN(IF($D$2:$D$283=D75,$F$2:$F$283)))/MIN(IF($D$2:$D$283=D75,$F$2:$F$283))</f>
        <v>0.1095890410958904</v>
      </c>
    </row>
    <row r="76" spans="1:9" x14ac:dyDescent="0.25">
      <c r="A76" s="13" t="s">
        <v>88</v>
      </c>
      <c r="B76" s="13" t="s">
        <v>7</v>
      </c>
      <c r="C76" s="13" t="s">
        <v>113</v>
      </c>
      <c r="D76" s="13" t="s">
        <v>105</v>
      </c>
      <c r="E76" s="25">
        <v>1.25</v>
      </c>
      <c r="F76" s="24">
        <v>174</v>
      </c>
      <c r="G76" s="6">
        <f t="shared" si="6"/>
        <v>0.76712328767123283</v>
      </c>
      <c r="H76" s="9">
        <f t="array" ref="H76">(E76-MIN(IF($D$2:$D$283=D76,$E$2:$E$283)))/MIN(IF($D$2:$D$283=D76,$E$2:$E$283))</f>
        <v>0.25</v>
      </c>
      <c r="I76" s="10">
        <f t="array" ref="I76">(F76-MIN(IF($D$2:$D$283=D76,$F$2:$F$283)))/MIN(IF($D$2:$D$283=D76,$F$2:$F$283))</f>
        <v>0.19178082191780821</v>
      </c>
    </row>
    <row r="77" spans="1:9" x14ac:dyDescent="0.25">
      <c r="A77" s="13" t="s">
        <v>88</v>
      </c>
      <c r="B77" s="13" t="s">
        <v>7</v>
      </c>
      <c r="C77" s="13" t="s">
        <v>113</v>
      </c>
      <c r="D77" s="13" t="s">
        <v>105</v>
      </c>
      <c r="E77" s="25">
        <v>1.3</v>
      </c>
      <c r="F77" s="24">
        <v>184</v>
      </c>
      <c r="G77" s="6">
        <f t="shared" si="6"/>
        <v>0.86757990867579893</v>
      </c>
      <c r="H77" s="9">
        <f t="array" ref="H77">(E77-MIN(IF($D$2:$D$283=D77,$E$2:$E$283)))/MIN(IF($D$2:$D$283=D77,$E$2:$E$283))</f>
        <v>0.30000000000000004</v>
      </c>
      <c r="I77" s="10">
        <f t="array" ref="I77">(F77-MIN(IF($D$2:$D$283=D77,$F$2:$F$283)))/MIN(IF($D$2:$D$283=D77,$F$2:$F$283))</f>
        <v>0.26027397260273971</v>
      </c>
    </row>
    <row r="78" spans="1:9" x14ac:dyDescent="0.25">
      <c r="A78" s="13" t="s">
        <v>88</v>
      </c>
      <c r="B78" s="13" t="s">
        <v>7</v>
      </c>
      <c r="C78" s="13" t="s">
        <v>113</v>
      </c>
      <c r="D78" s="13" t="s">
        <v>105</v>
      </c>
      <c r="E78" s="25">
        <v>1.35</v>
      </c>
      <c r="F78" s="24">
        <v>212</v>
      </c>
      <c r="G78" s="6">
        <f t="shared" si="6"/>
        <v>1.2915851272015653</v>
      </c>
      <c r="H78" s="9">
        <f t="array" ref="H78">(E78-MIN(IF($D$2:$D$283=D78,$E$2:$E$283)))/MIN(IF($D$2:$D$283=D78,$E$2:$E$283))</f>
        <v>0.35000000000000009</v>
      </c>
      <c r="I78" s="10">
        <f t="array" ref="I78">(F78-MIN(IF($D$2:$D$283=D78,$F$2:$F$283)))/MIN(IF($D$2:$D$283=D78,$F$2:$F$283))</f>
        <v>0.45205479452054792</v>
      </c>
    </row>
    <row r="79" spans="1:9" x14ac:dyDescent="0.25">
      <c r="A79" s="13" t="s">
        <v>88</v>
      </c>
      <c r="B79" s="13" t="s">
        <v>7</v>
      </c>
      <c r="C79" s="13" t="s">
        <v>113</v>
      </c>
      <c r="D79" s="13" t="s">
        <v>105</v>
      </c>
      <c r="E79" s="25">
        <v>1.4</v>
      </c>
      <c r="F79" s="24">
        <v>221</v>
      </c>
      <c r="G79" s="6">
        <f t="shared" si="6"/>
        <v>1.2842465753424661</v>
      </c>
      <c r="H79" s="9">
        <f t="array" ref="H79">(E79-MIN(IF($D$2:$D$283=D79,$E$2:$E$283)))/MIN(IF($D$2:$D$283=D79,$E$2:$E$283))</f>
        <v>0.39999999999999991</v>
      </c>
      <c r="I79" s="10">
        <f t="array" ref="I79">(F79-MIN(IF($D$2:$D$283=D79,$F$2:$F$283)))/MIN(IF($D$2:$D$283=D79,$F$2:$F$283))</f>
        <v>0.51369863013698636</v>
      </c>
    </row>
    <row r="80" spans="1:9" x14ac:dyDescent="0.25">
      <c r="A80" s="13" t="s">
        <v>88</v>
      </c>
      <c r="B80" s="13" t="s">
        <v>7</v>
      </c>
      <c r="C80" s="13" t="s">
        <v>113</v>
      </c>
      <c r="D80" s="13" t="s">
        <v>105</v>
      </c>
      <c r="E80" s="25">
        <v>1.45</v>
      </c>
      <c r="F80" s="24">
        <v>255</v>
      </c>
      <c r="G80" s="6">
        <f t="shared" si="6"/>
        <v>1.6590563165905634</v>
      </c>
      <c r="H80" s="9">
        <f t="array" ref="H80">(E80-MIN(IF($D$2:$D$283=D80,$E$2:$E$283)))/MIN(IF($D$2:$D$283=D80,$E$2:$E$283))</f>
        <v>0.44999999999999996</v>
      </c>
      <c r="I80" s="10">
        <f t="array" ref="I80">(F80-MIN(IF($D$2:$D$283=D80,$F$2:$F$283)))/MIN(IF($D$2:$D$283=D80,$F$2:$F$283))</f>
        <v>0.74657534246575341</v>
      </c>
    </row>
    <row r="81" spans="1:9" x14ac:dyDescent="0.25">
      <c r="A81" s="13" t="s">
        <v>88</v>
      </c>
      <c r="B81" s="13" t="s">
        <v>7</v>
      </c>
      <c r="C81" s="13" t="s">
        <v>113</v>
      </c>
      <c r="D81" s="13" t="s">
        <v>105</v>
      </c>
      <c r="E81" s="25">
        <v>1.5</v>
      </c>
      <c r="F81" s="24">
        <v>274</v>
      </c>
      <c r="G81" s="6">
        <f t="shared" si="6"/>
        <v>1.7534246575342465</v>
      </c>
      <c r="H81" s="9">
        <f t="array" ref="H81">(E81-MIN(IF($D$2:$D$283=D81,$E$2:$E$283)))/MIN(IF($D$2:$D$283=D81,$E$2:$E$283))</f>
        <v>0.5</v>
      </c>
      <c r="I81" s="10">
        <f t="array" ref="I81">(F81-MIN(IF($D$2:$D$283=D81,$F$2:$F$283)))/MIN(IF($D$2:$D$283=D81,$F$2:$F$283))</f>
        <v>0.87671232876712324</v>
      </c>
    </row>
    <row r="82" spans="1:9" x14ac:dyDescent="0.25">
      <c r="A82" s="13" t="s">
        <v>88</v>
      </c>
      <c r="B82" s="13" t="s">
        <v>7</v>
      </c>
      <c r="C82" s="13" t="s">
        <v>113</v>
      </c>
      <c r="D82" s="13" t="s">
        <v>105</v>
      </c>
      <c r="E82" s="25">
        <v>1.55</v>
      </c>
      <c r="F82" s="24">
        <v>341</v>
      </c>
      <c r="G82" s="6">
        <f t="shared" si="6"/>
        <v>2.4283935242839352</v>
      </c>
      <c r="H82" s="9">
        <f t="array" ref="H82">(E82-MIN(IF($D$2:$D$283=D82,$E$2:$E$283)))/MIN(IF($D$2:$D$283=D82,$E$2:$E$283))</f>
        <v>0.55000000000000004</v>
      </c>
      <c r="I82" s="10">
        <f t="array" ref="I82">(F82-MIN(IF($D$2:$D$283=D82,$F$2:$F$283)))/MIN(IF($D$2:$D$283=D82,$F$2:$F$283))</f>
        <v>1.3356164383561644</v>
      </c>
    </row>
    <row r="83" spans="1:9" x14ac:dyDescent="0.25">
      <c r="A83" s="13" t="s">
        <v>88</v>
      </c>
      <c r="B83" s="13" t="s">
        <v>7</v>
      </c>
      <c r="C83" s="13" t="s">
        <v>113</v>
      </c>
      <c r="D83" s="13" t="s">
        <v>106</v>
      </c>
      <c r="E83" s="25">
        <v>1</v>
      </c>
      <c r="F83" s="24">
        <v>202</v>
      </c>
      <c r="G83" s="6" t="str">
        <f t="shared" ref="G83:G90" si="7">IFERROR(I83/H83,"")</f>
        <v/>
      </c>
      <c r="H83" s="9">
        <f t="array" ref="H83">(E83-MIN(IF($D$2:$D$283=D83,$E$2:$E$283)))/MIN(IF($D$2:$D$283=D83,$E$2:$E$283))</f>
        <v>0</v>
      </c>
      <c r="I83" s="10">
        <f t="array" ref="I83">(F83-MIN(IF($D$2:$D$283=D83,$F$2:$F$283)))/MIN(IF($D$2:$D$283=D83,$F$2:$F$283))</f>
        <v>0</v>
      </c>
    </row>
    <row r="84" spans="1:9" x14ac:dyDescent="0.25">
      <c r="A84" s="13" t="s">
        <v>88</v>
      </c>
      <c r="B84" s="13" t="s">
        <v>7</v>
      </c>
      <c r="C84" s="13" t="s">
        <v>113</v>
      </c>
      <c r="D84" s="13" t="s">
        <v>106</v>
      </c>
      <c r="E84" s="25">
        <v>1.1000000000000001</v>
      </c>
      <c r="F84" s="24">
        <v>209</v>
      </c>
      <c r="G84" s="6">
        <f t="shared" si="7"/>
        <v>0.34653465346534623</v>
      </c>
      <c r="H84" s="9">
        <f t="array" ref="H84">(E84-MIN(IF($D$2:$D$283=D84,$E$2:$E$283)))/MIN(IF($D$2:$D$283=D84,$E$2:$E$283))</f>
        <v>0.10000000000000009</v>
      </c>
      <c r="I84" s="10">
        <f t="array" ref="I84">(F84-MIN(IF($D$2:$D$283=D84,$F$2:$F$283)))/MIN(IF($D$2:$D$283=D84,$F$2:$F$283))</f>
        <v>3.4653465346534656E-2</v>
      </c>
    </row>
    <row r="85" spans="1:9" x14ac:dyDescent="0.25">
      <c r="A85" s="13" t="s">
        <v>88</v>
      </c>
      <c r="B85" s="13" t="s">
        <v>7</v>
      </c>
      <c r="C85" s="13" t="s">
        <v>113</v>
      </c>
      <c r="D85" s="13" t="s">
        <v>106</v>
      </c>
      <c r="E85" s="25">
        <v>1.1499999999999999</v>
      </c>
      <c r="F85" s="24">
        <v>223</v>
      </c>
      <c r="G85" s="6">
        <f t="shared" si="7"/>
        <v>0.69306930693069346</v>
      </c>
      <c r="H85" s="9">
        <f t="array" ref="H85">(E85-MIN(IF($D$2:$D$283=D85,$E$2:$E$283)))/MIN(IF($D$2:$D$283=D85,$E$2:$E$283))</f>
        <v>0.14999999999999991</v>
      </c>
      <c r="I85" s="10">
        <f t="array" ref="I85">(F85-MIN(IF($D$2:$D$283=D85,$F$2:$F$283)))/MIN(IF($D$2:$D$283=D85,$F$2:$F$283))</f>
        <v>0.10396039603960396</v>
      </c>
    </row>
    <row r="86" spans="1:9" x14ac:dyDescent="0.25">
      <c r="A86" s="13" t="s">
        <v>88</v>
      </c>
      <c r="B86" s="13" t="s">
        <v>7</v>
      </c>
      <c r="C86" s="13" t="s">
        <v>113</v>
      </c>
      <c r="D86" s="13" t="s">
        <v>106</v>
      </c>
      <c r="E86" s="25">
        <v>1.2</v>
      </c>
      <c r="F86" s="24">
        <v>268</v>
      </c>
      <c r="G86" s="6">
        <f t="shared" si="7"/>
        <v>1.633663366336634</v>
      </c>
      <c r="H86" s="9">
        <f t="array" ref="H86">(E86-MIN(IF($D$2:$D$283=D86,$E$2:$E$283)))/MIN(IF($D$2:$D$283=D86,$E$2:$E$283))</f>
        <v>0.19999999999999996</v>
      </c>
      <c r="I86" s="10">
        <f t="array" ref="I86">(F86-MIN(IF($D$2:$D$283=D86,$F$2:$F$283)))/MIN(IF($D$2:$D$283=D86,$F$2:$F$283))</f>
        <v>0.32673267326732675</v>
      </c>
    </row>
    <row r="87" spans="1:9" x14ac:dyDescent="0.25">
      <c r="A87" s="13" t="s">
        <v>88</v>
      </c>
      <c r="B87" s="13" t="s">
        <v>7</v>
      </c>
      <c r="C87" s="13" t="s">
        <v>113</v>
      </c>
      <c r="D87" s="13" t="s">
        <v>106</v>
      </c>
      <c r="E87" s="25">
        <v>1.25</v>
      </c>
      <c r="F87" s="24">
        <v>279</v>
      </c>
      <c r="G87" s="6">
        <f t="shared" si="7"/>
        <v>1.5247524752475248</v>
      </c>
      <c r="H87" s="9">
        <f t="array" ref="H87">(E87-MIN(IF($D$2:$D$283=D87,$E$2:$E$283)))/MIN(IF($D$2:$D$283=D87,$E$2:$E$283))</f>
        <v>0.25</v>
      </c>
      <c r="I87" s="10">
        <f t="array" ref="I87">(F87-MIN(IF($D$2:$D$283=D87,$F$2:$F$283)))/MIN(IF($D$2:$D$283=D87,$F$2:$F$283))</f>
        <v>0.38118811881188119</v>
      </c>
    </row>
    <row r="88" spans="1:9" x14ac:dyDescent="0.25">
      <c r="A88" s="13" t="s">
        <v>88</v>
      </c>
      <c r="B88" s="13" t="s">
        <v>7</v>
      </c>
      <c r="C88" s="13" t="s">
        <v>113</v>
      </c>
      <c r="D88" s="13" t="s">
        <v>106</v>
      </c>
      <c r="E88" s="25">
        <v>1.3</v>
      </c>
      <c r="F88" s="24">
        <v>312</v>
      </c>
      <c r="G88" s="6">
        <f t="shared" si="7"/>
        <v>1.8151815181518149</v>
      </c>
      <c r="H88" s="9">
        <f t="array" ref="H88">(E88-MIN(IF($D$2:$D$283=D88,$E$2:$E$283)))/MIN(IF($D$2:$D$283=D88,$E$2:$E$283))</f>
        <v>0.30000000000000004</v>
      </c>
      <c r="I88" s="10">
        <f t="array" ref="I88">(F88-MIN(IF($D$2:$D$283=D88,$F$2:$F$283)))/MIN(IF($D$2:$D$283=D88,$F$2:$F$283))</f>
        <v>0.54455445544554459</v>
      </c>
    </row>
    <row r="89" spans="1:9" x14ac:dyDescent="0.25">
      <c r="A89" s="13" t="s">
        <v>88</v>
      </c>
      <c r="B89" s="13" t="s">
        <v>7</v>
      </c>
      <c r="C89" s="13" t="s">
        <v>113</v>
      </c>
      <c r="D89" s="13" t="s">
        <v>106</v>
      </c>
      <c r="E89" s="25">
        <v>1.35</v>
      </c>
      <c r="F89" s="24">
        <v>320</v>
      </c>
      <c r="G89" s="6">
        <f t="shared" si="7"/>
        <v>1.6690240452616685</v>
      </c>
      <c r="H89" s="9">
        <f t="array" ref="H89">(E89-MIN(IF($D$2:$D$283=D89,$E$2:$E$283)))/MIN(IF($D$2:$D$283=D89,$E$2:$E$283))</f>
        <v>0.35000000000000009</v>
      </c>
      <c r="I89" s="10">
        <f t="array" ref="I89">(F89-MIN(IF($D$2:$D$283=D89,$F$2:$F$283)))/MIN(IF($D$2:$D$283=D89,$F$2:$F$283))</f>
        <v>0.58415841584158412</v>
      </c>
    </row>
    <row r="90" spans="1:9" x14ac:dyDescent="0.25">
      <c r="A90" s="13" t="s">
        <v>88</v>
      </c>
      <c r="B90" s="13" t="s">
        <v>7</v>
      </c>
      <c r="C90" s="13" t="s">
        <v>113</v>
      </c>
      <c r="D90" s="13" t="s">
        <v>106</v>
      </c>
      <c r="E90" s="25">
        <v>1.42</v>
      </c>
      <c r="F90" s="24">
        <v>399</v>
      </c>
      <c r="G90" s="6">
        <f t="shared" si="7"/>
        <v>2.3220179160773222</v>
      </c>
      <c r="H90" s="9">
        <f t="array" ref="H90">(E90-MIN(IF($D$2:$D$283=D90,$E$2:$E$283)))/MIN(IF($D$2:$D$283=D90,$E$2:$E$283))</f>
        <v>0.41999999999999993</v>
      </c>
      <c r="I90" s="10">
        <f t="array" ref="I90">(F90-MIN(IF($D$2:$D$283=D90,$F$2:$F$283)))/MIN(IF($D$2:$D$283=D90,$F$2:$F$283))</f>
        <v>0.97524752475247523</v>
      </c>
    </row>
    <row r="91" spans="1:9" x14ac:dyDescent="0.25">
      <c r="A91" s="13" t="s">
        <v>88</v>
      </c>
      <c r="B91" s="13" t="s">
        <v>7</v>
      </c>
      <c r="C91" s="13" t="s">
        <v>113</v>
      </c>
      <c r="D91" s="13" t="s">
        <v>107</v>
      </c>
      <c r="E91" s="25">
        <v>1</v>
      </c>
      <c r="F91" s="24">
        <v>4676</v>
      </c>
      <c r="G91" s="6" t="str">
        <f t="shared" ref="G91:G96" si="8">IFERROR(I91/H91,"")</f>
        <v/>
      </c>
      <c r="H91" s="9">
        <f t="array" ref="H91">(E91-MIN(IF($D$2:$D$283=D91,$E$2:$E$283)))/MIN(IF($D$2:$D$283=D91,$E$2:$E$283))</f>
        <v>0</v>
      </c>
      <c r="I91" s="10">
        <f t="array" ref="I91">(F91-MIN(IF($D$2:$D$283=D91,$F$2:$F$283)))/MIN(IF($D$2:$D$283=D91,$F$2:$F$283))</f>
        <v>0</v>
      </c>
    </row>
    <row r="92" spans="1:9" x14ac:dyDescent="0.25">
      <c r="A92" s="13" t="s">
        <v>88</v>
      </c>
      <c r="B92" s="13" t="s">
        <v>7</v>
      </c>
      <c r="C92" s="13" t="s">
        <v>113</v>
      </c>
      <c r="D92" s="13" t="s">
        <v>107</v>
      </c>
      <c r="E92" s="25">
        <v>1.1000000000000001</v>
      </c>
      <c r="F92" s="24">
        <v>4683</v>
      </c>
      <c r="G92" s="6">
        <f t="shared" si="8"/>
        <v>1.4970059880239509E-2</v>
      </c>
      <c r="H92" s="9">
        <f t="array" ref="H92">(E92-MIN(IF($D$2:$D$283=D92,$E$2:$E$283)))/MIN(IF($D$2:$D$283=D92,$E$2:$E$283))</f>
        <v>0.10000000000000009</v>
      </c>
      <c r="I92" s="10">
        <f t="array" ref="I92">(F92-MIN(IF($D$2:$D$283=D92,$F$2:$F$283)))/MIN(IF($D$2:$D$283=D92,$F$2:$F$283))</f>
        <v>1.4970059880239522E-3</v>
      </c>
    </row>
    <row r="93" spans="1:9" x14ac:dyDescent="0.25">
      <c r="A93" s="13" t="s">
        <v>88</v>
      </c>
      <c r="B93" s="13" t="s">
        <v>7</v>
      </c>
      <c r="C93" s="13" t="s">
        <v>113</v>
      </c>
      <c r="D93" s="13" t="s">
        <v>107</v>
      </c>
      <c r="E93" s="25">
        <v>1.1499999999999999</v>
      </c>
      <c r="F93" s="24">
        <v>4696</v>
      </c>
      <c r="G93" s="6">
        <f t="shared" si="8"/>
        <v>2.8514399771884819E-2</v>
      </c>
      <c r="H93" s="9">
        <f t="array" ref="H93">(E93-MIN(IF($D$2:$D$283=D93,$E$2:$E$283)))/MIN(IF($D$2:$D$283=D93,$E$2:$E$283))</f>
        <v>0.14999999999999991</v>
      </c>
      <c r="I93" s="10">
        <f t="array" ref="I93">(F93-MIN(IF($D$2:$D$283=D93,$F$2:$F$283)))/MIN(IF($D$2:$D$283=D93,$F$2:$F$283))</f>
        <v>4.2771599657827203E-3</v>
      </c>
    </row>
    <row r="94" spans="1:9" x14ac:dyDescent="0.25">
      <c r="A94" s="13" t="s">
        <v>88</v>
      </c>
      <c r="B94" s="13" t="s">
        <v>7</v>
      </c>
      <c r="C94" s="13" t="s">
        <v>113</v>
      </c>
      <c r="D94" s="13" t="s">
        <v>107</v>
      </c>
      <c r="E94" s="25">
        <v>1.2</v>
      </c>
      <c r="F94" s="24">
        <v>4826</v>
      </c>
      <c r="G94" s="6">
        <f t="shared" si="8"/>
        <v>0.16039349871685205</v>
      </c>
      <c r="H94" s="9">
        <f t="array" ref="H94">(E94-MIN(IF($D$2:$D$283=D94,$E$2:$E$283)))/MIN(IF($D$2:$D$283=D94,$E$2:$E$283))</f>
        <v>0.19999999999999996</v>
      </c>
      <c r="I94" s="10">
        <f t="array" ref="I94">(F94-MIN(IF($D$2:$D$283=D94,$F$2:$F$283)))/MIN(IF($D$2:$D$283=D94,$F$2:$F$283))</f>
        <v>3.2078699743370402E-2</v>
      </c>
    </row>
    <row r="95" spans="1:9" x14ac:dyDescent="0.25">
      <c r="A95" s="13" t="s">
        <v>88</v>
      </c>
      <c r="B95" s="13" t="s">
        <v>7</v>
      </c>
      <c r="C95" s="13" t="s">
        <v>113</v>
      </c>
      <c r="D95" s="13" t="s">
        <v>107</v>
      </c>
      <c r="E95" s="25">
        <v>1.25</v>
      </c>
      <c r="F95" s="24">
        <v>5017</v>
      </c>
      <c r="G95" s="6">
        <f t="shared" si="8"/>
        <v>0.2917023096663815</v>
      </c>
      <c r="H95" s="9">
        <f t="array" ref="H95">(E95-MIN(IF($D$2:$D$283=D95,$E$2:$E$283)))/MIN(IF($D$2:$D$283=D95,$E$2:$E$283))</f>
        <v>0.25</v>
      </c>
      <c r="I95" s="10">
        <f t="array" ref="I95">(F95-MIN(IF($D$2:$D$283=D95,$F$2:$F$283)))/MIN(IF($D$2:$D$283=D95,$F$2:$F$283))</f>
        <v>7.2925577416595375E-2</v>
      </c>
    </row>
    <row r="96" spans="1:9" x14ac:dyDescent="0.25">
      <c r="A96" s="13" t="s">
        <v>88</v>
      </c>
      <c r="B96" s="13" t="s">
        <v>7</v>
      </c>
      <c r="C96" s="13" t="s">
        <v>113</v>
      </c>
      <c r="D96" s="13" t="s">
        <v>107</v>
      </c>
      <c r="E96" s="25">
        <v>1.29</v>
      </c>
      <c r="F96" s="24">
        <v>5162</v>
      </c>
      <c r="G96" s="6">
        <f t="shared" si="8"/>
        <v>0.3583965074776555</v>
      </c>
      <c r="H96" s="9">
        <f t="array" ref="H96">(E96-MIN(IF($D$2:$D$283=D96,$E$2:$E$283)))/MIN(IF($D$2:$D$283=D96,$E$2:$E$283))</f>
        <v>0.29000000000000004</v>
      </c>
      <c r="I96" s="10">
        <f t="array" ref="I96">(F96-MIN(IF($D$2:$D$283=D96,$F$2:$F$283)))/MIN(IF($D$2:$D$283=D96,$F$2:$F$283))</f>
        <v>0.10393498716852011</v>
      </c>
    </row>
    <row r="97" spans="1:9" x14ac:dyDescent="0.25">
      <c r="A97" s="13" t="s">
        <v>88</v>
      </c>
      <c r="B97" s="13" t="s">
        <v>7</v>
      </c>
      <c r="C97" s="13" t="s">
        <v>113</v>
      </c>
      <c r="D97" s="13" t="s">
        <v>108</v>
      </c>
      <c r="E97" s="25">
        <v>1</v>
      </c>
      <c r="F97" s="24">
        <v>5386</v>
      </c>
      <c r="G97" s="6" t="str">
        <f t="shared" ref="G97:G102" si="9">IFERROR(I97/H97,"")</f>
        <v/>
      </c>
      <c r="H97" s="9">
        <f t="array" ref="H97">(E97-MIN(IF($D$2:$D$283=D97,$E$2:$E$283)))/MIN(IF($D$2:$D$283=D97,$E$2:$E$283))</f>
        <v>0</v>
      </c>
      <c r="I97" s="10">
        <f t="array" ref="I97">(F97-MIN(IF($D$2:$D$283=D97,$F$2:$F$283)))/MIN(IF($D$2:$D$283=D97,$F$2:$F$283))</f>
        <v>0</v>
      </c>
    </row>
    <row r="98" spans="1:9" x14ac:dyDescent="0.25">
      <c r="A98" s="13" t="s">
        <v>88</v>
      </c>
      <c r="B98" s="13" t="s">
        <v>7</v>
      </c>
      <c r="C98" s="13" t="s">
        <v>113</v>
      </c>
      <c r="D98" s="13" t="s">
        <v>108</v>
      </c>
      <c r="E98" s="25">
        <v>1.1000000000000001</v>
      </c>
      <c r="F98" s="24">
        <v>5390</v>
      </c>
      <c r="G98" s="6">
        <f t="shared" si="9"/>
        <v>7.4266617155588494E-3</v>
      </c>
      <c r="H98" s="9">
        <f t="array" ref="H98">(E98-MIN(IF($D$2:$D$283=D98,$E$2:$E$283)))/MIN(IF($D$2:$D$283=D98,$E$2:$E$283))</f>
        <v>0.10000000000000009</v>
      </c>
      <c r="I98" s="10">
        <f t="array" ref="I98">(F98-MIN(IF($D$2:$D$283=D98,$F$2:$F$283)))/MIN(IF($D$2:$D$283=D98,$F$2:$F$283))</f>
        <v>7.4266617155588561E-4</v>
      </c>
    </row>
    <row r="99" spans="1:9" x14ac:dyDescent="0.25">
      <c r="A99" s="13" t="s">
        <v>88</v>
      </c>
      <c r="B99" s="13" t="s">
        <v>7</v>
      </c>
      <c r="C99" s="13" t="s">
        <v>113</v>
      </c>
      <c r="D99" s="13" t="s">
        <v>108</v>
      </c>
      <c r="E99" s="25">
        <v>1.1499999999999999</v>
      </c>
      <c r="F99" s="24">
        <v>5401</v>
      </c>
      <c r="G99" s="6">
        <f t="shared" si="9"/>
        <v>1.8566654288897151E-2</v>
      </c>
      <c r="H99" s="9">
        <f t="array" ref="H99">(E99-MIN(IF($D$2:$D$283=D99,$E$2:$E$283)))/MIN(IF($D$2:$D$283=D99,$E$2:$E$283))</f>
        <v>0.14999999999999991</v>
      </c>
      <c r="I99" s="10">
        <f t="array" ref="I99">(F99-MIN(IF($D$2:$D$283=D99,$F$2:$F$283)))/MIN(IF($D$2:$D$283=D99,$F$2:$F$283))</f>
        <v>2.7849981433345711E-3</v>
      </c>
    </row>
    <row r="100" spans="1:9" x14ac:dyDescent="0.25">
      <c r="A100" s="13" t="s">
        <v>88</v>
      </c>
      <c r="B100" s="13" t="s">
        <v>7</v>
      </c>
      <c r="C100" s="13" t="s">
        <v>113</v>
      </c>
      <c r="D100" s="13" t="s">
        <v>108</v>
      </c>
      <c r="E100" s="25">
        <v>1.2</v>
      </c>
      <c r="F100" s="24">
        <v>5435</v>
      </c>
      <c r="G100" s="6">
        <f t="shared" si="9"/>
        <v>4.5488303007798006E-2</v>
      </c>
      <c r="H100" s="9">
        <f t="array" ref="H100">(E100-MIN(IF($D$2:$D$283=D100,$E$2:$E$283)))/MIN(IF($D$2:$D$283=D100,$E$2:$E$283))</f>
        <v>0.19999999999999996</v>
      </c>
      <c r="I100" s="10">
        <f t="array" ref="I100">(F100-MIN(IF($D$2:$D$283=D100,$F$2:$F$283)))/MIN(IF($D$2:$D$283=D100,$F$2:$F$283))</f>
        <v>9.0976606015595995E-3</v>
      </c>
    </row>
    <row r="101" spans="1:9" x14ac:dyDescent="0.25">
      <c r="A101" s="13" t="s">
        <v>88</v>
      </c>
      <c r="B101" s="13" t="s">
        <v>7</v>
      </c>
      <c r="C101" s="13" t="s">
        <v>113</v>
      </c>
      <c r="D101" s="13" t="s">
        <v>108</v>
      </c>
      <c r="E101" s="25">
        <v>1.25</v>
      </c>
      <c r="F101" s="24">
        <v>5607</v>
      </c>
      <c r="G101" s="6">
        <f t="shared" si="9"/>
        <v>0.16412922391385074</v>
      </c>
      <c r="H101" s="9">
        <f t="array" ref="H101">(E101-MIN(IF($D$2:$D$283=D101,$E$2:$E$283)))/MIN(IF($D$2:$D$283=D101,$E$2:$E$283))</f>
        <v>0.25</v>
      </c>
      <c r="I101" s="10">
        <f t="array" ref="I101">(F101-MIN(IF($D$2:$D$283=D101,$F$2:$F$283)))/MIN(IF($D$2:$D$283=D101,$F$2:$F$283))</f>
        <v>4.1032305978462684E-2</v>
      </c>
    </row>
    <row r="102" spans="1:9" x14ac:dyDescent="0.25">
      <c r="A102" s="13" t="s">
        <v>88</v>
      </c>
      <c r="B102" s="13" t="s">
        <v>7</v>
      </c>
      <c r="C102" s="13" t="s">
        <v>113</v>
      </c>
      <c r="D102" s="13" t="s">
        <v>108</v>
      </c>
      <c r="E102" s="25">
        <v>1.27</v>
      </c>
      <c r="F102" s="24">
        <v>5706</v>
      </c>
      <c r="G102" s="6">
        <f t="shared" si="9"/>
        <v>0.22004923601655868</v>
      </c>
      <c r="H102" s="9">
        <f t="array" ref="H102">(E102-MIN(IF($D$2:$D$283=D102,$E$2:$E$283)))/MIN(IF($D$2:$D$283=D102,$E$2:$E$283))</f>
        <v>0.27</v>
      </c>
      <c r="I102" s="10">
        <f t="array" ref="I102">(F102-MIN(IF($D$2:$D$283=D102,$F$2:$F$283)))/MIN(IF($D$2:$D$283=D102,$F$2:$F$283))</f>
        <v>5.941329372447085E-2</v>
      </c>
    </row>
    <row r="103" spans="1:9" x14ac:dyDescent="0.25">
      <c r="A103" s="13" t="s">
        <v>88</v>
      </c>
      <c r="B103" s="13" t="s">
        <v>7</v>
      </c>
      <c r="C103" s="13" t="s">
        <v>113</v>
      </c>
      <c r="D103" s="13" t="s">
        <v>109</v>
      </c>
      <c r="E103" s="25">
        <v>1</v>
      </c>
      <c r="F103" s="24">
        <v>7887</v>
      </c>
      <c r="G103" s="6" t="str">
        <f t="shared" ref="G103:G107" si="10">IFERROR(I103/H103,"")</f>
        <v/>
      </c>
      <c r="H103" s="9">
        <f t="array" ref="H103">(E103-MIN(IF($D$2:$D$283=D103,$E$2:$E$283)))/MIN(IF($D$2:$D$283=D103,$E$2:$E$283))</f>
        <v>0</v>
      </c>
      <c r="I103" s="10">
        <f t="array" ref="I103">(F103-MIN(IF($D$2:$D$283=D103,$F$2:$F$283)))/MIN(IF($D$2:$D$283=D103,$F$2:$F$283))</f>
        <v>0</v>
      </c>
    </row>
    <row r="104" spans="1:9" x14ac:dyDescent="0.25">
      <c r="A104" s="13" t="s">
        <v>88</v>
      </c>
      <c r="B104" s="13" t="s">
        <v>7</v>
      </c>
      <c r="C104" s="13" t="s">
        <v>113</v>
      </c>
      <c r="D104" s="13" t="s">
        <v>109</v>
      </c>
      <c r="E104" s="25">
        <v>1.1000000000000001</v>
      </c>
      <c r="F104" s="24">
        <v>7902</v>
      </c>
      <c r="G104" s="6">
        <f t="shared" si="10"/>
        <v>1.9018638265500171E-2</v>
      </c>
      <c r="H104" s="9">
        <f t="array" ref="H104">(E104-MIN(IF($D$2:$D$283=D104,$E$2:$E$283)))/MIN(IF($D$2:$D$283=D104,$E$2:$E$283))</f>
        <v>0.10000000000000009</v>
      </c>
      <c r="I104" s="10">
        <f t="array" ref="I104">(F104-MIN(IF($D$2:$D$283=D104,$F$2:$F$283)))/MIN(IF($D$2:$D$283=D104,$F$2:$F$283))</f>
        <v>1.9018638265500189E-3</v>
      </c>
    </row>
    <row r="105" spans="1:9" x14ac:dyDescent="0.25">
      <c r="A105" s="13" t="s">
        <v>88</v>
      </c>
      <c r="B105" s="13" t="s">
        <v>7</v>
      </c>
      <c r="C105" s="13" t="s">
        <v>113</v>
      </c>
      <c r="D105" s="13" t="s">
        <v>109</v>
      </c>
      <c r="E105" s="25">
        <v>1.1499999999999999</v>
      </c>
      <c r="F105" s="24">
        <v>7947</v>
      </c>
      <c r="G105" s="6">
        <f t="shared" si="10"/>
        <v>5.0716368708000531E-2</v>
      </c>
      <c r="H105" s="9">
        <f t="array" ref="H105">(E105-MIN(IF($D$2:$D$283=D105,$E$2:$E$283)))/MIN(IF($D$2:$D$283=D105,$E$2:$E$283))</f>
        <v>0.14999999999999991</v>
      </c>
      <c r="I105" s="10">
        <f t="array" ref="I105">(F105-MIN(IF($D$2:$D$283=D105,$F$2:$F$283)))/MIN(IF($D$2:$D$283=D105,$F$2:$F$283))</f>
        <v>7.6074553062000757E-3</v>
      </c>
    </row>
    <row r="106" spans="1:9" x14ac:dyDescent="0.25">
      <c r="A106" s="13" t="s">
        <v>88</v>
      </c>
      <c r="B106" s="13" t="s">
        <v>7</v>
      </c>
      <c r="C106" s="13" t="s">
        <v>113</v>
      </c>
      <c r="D106" s="13" t="s">
        <v>109</v>
      </c>
      <c r="E106" s="25">
        <v>1.2</v>
      </c>
      <c r="F106" s="24">
        <v>8078</v>
      </c>
      <c r="G106" s="6">
        <f t="shared" si="10"/>
        <v>0.12108533029035123</v>
      </c>
      <c r="H106" s="9">
        <f t="array" ref="H106">(E106-MIN(IF($D$2:$D$283=D106,$E$2:$E$283)))/MIN(IF($D$2:$D$283=D106,$E$2:$E$283))</f>
        <v>0.19999999999999996</v>
      </c>
      <c r="I106" s="10">
        <f t="array" ref="I106">(F106-MIN(IF($D$2:$D$283=D106,$F$2:$F$283)))/MIN(IF($D$2:$D$283=D106,$F$2:$F$283))</f>
        <v>2.4217066058070242E-2</v>
      </c>
    </row>
    <row r="107" spans="1:9" x14ac:dyDescent="0.25">
      <c r="A107" s="13" t="s">
        <v>88</v>
      </c>
      <c r="B107" s="13" t="s">
        <v>7</v>
      </c>
      <c r="C107" s="13" t="s">
        <v>113</v>
      </c>
      <c r="D107" s="13" t="s">
        <v>109</v>
      </c>
      <c r="E107" s="25">
        <v>1.22</v>
      </c>
      <c r="F107" s="24">
        <v>8197</v>
      </c>
      <c r="G107" s="6">
        <f t="shared" si="10"/>
        <v>0.17865993522136545</v>
      </c>
      <c r="H107" s="9">
        <f t="array" ref="H107">(E107-MIN(IF($D$2:$D$283=D107,$E$2:$E$283)))/MIN(IF($D$2:$D$283=D107,$E$2:$E$283))</f>
        <v>0.21999999999999997</v>
      </c>
      <c r="I107" s="10">
        <f t="array" ref="I107">(F107-MIN(IF($D$2:$D$283=D107,$F$2:$F$283)))/MIN(IF($D$2:$D$283=D107,$F$2:$F$283))</f>
        <v>3.9305185748700393E-2</v>
      </c>
    </row>
    <row r="108" spans="1:9" x14ac:dyDescent="0.25">
      <c r="A108" s="13" t="s">
        <v>88</v>
      </c>
      <c r="B108" s="13" t="s">
        <v>7</v>
      </c>
      <c r="C108" s="13" t="s">
        <v>113</v>
      </c>
      <c r="D108" s="13" t="s">
        <v>110</v>
      </c>
      <c r="E108" s="25">
        <v>1</v>
      </c>
      <c r="F108" s="24">
        <v>4383</v>
      </c>
      <c r="G108" s="6" t="str">
        <f t="shared" ref="G108:G113" si="11">IFERROR(I108/H108,"")</f>
        <v/>
      </c>
      <c r="H108" s="9">
        <f t="array" ref="H108">(E108-MIN(IF($D$2:$D$283=D108,$E$2:$E$283)))/MIN(IF($D$2:$D$283=D108,$E$2:$E$283))</f>
        <v>0</v>
      </c>
      <c r="I108" s="10">
        <f t="array" ref="I108">(F108-MIN(IF($D$2:$D$283=D108,$F$2:$F$283)))/MIN(IF($D$2:$D$283=D108,$F$2:$F$283))</f>
        <v>0</v>
      </c>
    </row>
    <row r="109" spans="1:9" x14ac:dyDescent="0.25">
      <c r="A109" s="13" t="s">
        <v>88</v>
      </c>
      <c r="B109" s="13" t="s">
        <v>7</v>
      </c>
      <c r="C109" s="13" t="s">
        <v>113</v>
      </c>
      <c r="D109" s="13" t="s">
        <v>110</v>
      </c>
      <c r="E109" s="25">
        <v>1.1000000000000001</v>
      </c>
      <c r="F109" s="24">
        <v>4400</v>
      </c>
      <c r="G109" s="6">
        <f t="shared" si="11"/>
        <v>3.8786219484371401E-2</v>
      </c>
      <c r="H109" s="9">
        <f t="array" ref="H109">(E109-MIN(IF($D$2:$D$283=D109,$E$2:$E$283)))/MIN(IF($D$2:$D$283=D109,$E$2:$E$283))</f>
        <v>0.10000000000000009</v>
      </c>
      <c r="I109" s="10">
        <f t="array" ref="I109">(F109-MIN(IF($D$2:$D$283=D109,$F$2:$F$283)))/MIN(IF($D$2:$D$283=D109,$F$2:$F$283))</f>
        <v>3.8786219484371436E-3</v>
      </c>
    </row>
    <row r="110" spans="1:9" x14ac:dyDescent="0.25">
      <c r="A110" s="13" t="s">
        <v>88</v>
      </c>
      <c r="B110" s="13" t="s">
        <v>7</v>
      </c>
      <c r="C110" s="13" t="s">
        <v>113</v>
      </c>
      <c r="D110" s="13" t="s">
        <v>110</v>
      </c>
      <c r="E110" s="25">
        <v>1.1499999999999999</v>
      </c>
      <c r="F110" s="24">
        <v>4415</v>
      </c>
      <c r="G110" s="6">
        <f t="shared" si="11"/>
        <v>4.8672902882348497E-2</v>
      </c>
      <c r="H110" s="9">
        <f t="array" ref="H110">(E110-MIN(IF($D$2:$D$283=D110,$E$2:$E$283)))/MIN(IF($D$2:$D$283=D110,$E$2:$E$283))</f>
        <v>0.14999999999999991</v>
      </c>
      <c r="I110" s="10">
        <f t="array" ref="I110">(F110-MIN(IF($D$2:$D$283=D110,$F$2:$F$283)))/MIN(IF($D$2:$D$283=D110,$F$2:$F$283))</f>
        <v>7.30093543235227E-3</v>
      </c>
    </row>
    <row r="111" spans="1:9" x14ac:dyDescent="0.25">
      <c r="A111" s="13" t="s">
        <v>88</v>
      </c>
      <c r="B111" s="13" t="s">
        <v>7</v>
      </c>
      <c r="C111" s="13" t="s">
        <v>113</v>
      </c>
      <c r="D111" s="13" t="s">
        <v>110</v>
      </c>
      <c r="E111" s="25">
        <v>1.2</v>
      </c>
      <c r="F111" s="24">
        <v>4509</v>
      </c>
      <c r="G111" s="6">
        <f t="shared" si="11"/>
        <v>0.14373716632443534</v>
      </c>
      <c r="H111" s="9">
        <f t="array" ref="H111">(E111-MIN(IF($D$2:$D$283=D111,$E$2:$E$283)))/MIN(IF($D$2:$D$283=D111,$E$2:$E$283))</f>
        <v>0.19999999999999996</v>
      </c>
      <c r="I111" s="10">
        <f t="array" ref="I111">(F111-MIN(IF($D$2:$D$283=D111,$F$2:$F$283)))/MIN(IF($D$2:$D$283=D111,$F$2:$F$283))</f>
        <v>2.8747433264887063E-2</v>
      </c>
    </row>
    <row r="112" spans="1:9" x14ac:dyDescent="0.25">
      <c r="A112" s="13" t="s">
        <v>88</v>
      </c>
      <c r="B112" s="13" t="s">
        <v>7</v>
      </c>
      <c r="C112" s="13" t="s">
        <v>113</v>
      </c>
      <c r="D112" s="13" t="s">
        <v>110</v>
      </c>
      <c r="E112" s="25">
        <v>1.25</v>
      </c>
      <c r="F112" s="24">
        <v>4657</v>
      </c>
      <c r="G112" s="6">
        <f t="shared" si="11"/>
        <v>0.25005703855806527</v>
      </c>
      <c r="H112" s="9">
        <f t="array" ref="H112">(E112-MIN(IF($D$2:$D$283=D112,$E$2:$E$283)))/MIN(IF($D$2:$D$283=D112,$E$2:$E$283))</f>
        <v>0.25</v>
      </c>
      <c r="I112" s="10">
        <f t="array" ref="I112">(F112-MIN(IF($D$2:$D$283=D112,$F$2:$F$283)))/MIN(IF($D$2:$D$283=D112,$F$2:$F$283))</f>
        <v>6.2514259639516317E-2</v>
      </c>
    </row>
    <row r="113" spans="1:9" x14ac:dyDescent="0.25">
      <c r="A113" s="13" t="s">
        <v>88</v>
      </c>
      <c r="B113" s="13" t="s">
        <v>7</v>
      </c>
      <c r="C113" s="13" t="s">
        <v>113</v>
      </c>
      <c r="D113" s="13" t="s">
        <v>110</v>
      </c>
      <c r="E113" s="25">
        <v>1.27</v>
      </c>
      <c r="F113" s="24">
        <v>4770</v>
      </c>
      <c r="G113" s="6">
        <f t="shared" si="11"/>
        <v>0.32702106624077876</v>
      </c>
      <c r="H113" s="9">
        <f t="array" ref="H113">(E113-MIN(IF($D$2:$D$283=D113,$E$2:$E$283)))/MIN(IF($D$2:$D$283=D113,$E$2:$E$283))</f>
        <v>0.27</v>
      </c>
      <c r="I113" s="10">
        <f t="array" ref="I113">(F113-MIN(IF($D$2:$D$283=D113,$F$2:$F$283)))/MIN(IF($D$2:$D$283=D113,$F$2:$F$283))</f>
        <v>8.8295687885010271E-2</v>
      </c>
    </row>
    <row r="114" spans="1:9" x14ac:dyDescent="0.25">
      <c r="A114" t="s">
        <v>88</v>
      </c>
      <c r="B114" t="s">
        <v>7</v>
      </c>
      <c r="C114" s="13" t="s">
        <v>118</v>
      </c>
      <c r="D114" t="s">
        <v>119</v>
      </c>
      <c r="E114" s="25">
        <v>1</v>
      </c>
      <c r="F114" s="24">
        <v>333</v>
      </c>
      <c r="G114" s="6" t="str">
        <f t="shared" ref="G114:G118" si="12">IFERROR(I114/H114,"")</f>
        <v/>
      </c>
      <c r="H114" s="9">
        <f t="array" ref="H114">(E114-MIN(IF($D$2:$D$283=D114,$E$2:$E$283)))/MIN(IF($D$2:$D$283=D114,$E$2:$E$283))</f>
        <v>0</v>
      </c>
      <c r="I114" s="10">
        <f t="array" ref="I114">(F114-MIN(IF($D$2:$D$283=D114,$F$2:$F$283)))/MIN(IF($D$2:$D$283=D114,$F$2:$F$283))</f>
        <v>0</v>
      </c>
    </row>
    <row r="115" spans="1:9" x14ac:dyDescent="0.25">
      <c r="A115" s="13" t="s">
        <v>88</v>
      </c>
      <c r="B115" s="13" t="s">
        <v>7</v>
      </c>
      <c r="C115" s="13" t="s">
        <v>118</v>
      </c>
      <c r="D115" s="13" t="s">
        <v>119</v>
      </c>
      <c r="E115" s="25">
        <v>1.0390879478827362</v>
      </c>
      <c r="F115" s="24">
        <v>346</v>
      </c>
      <c r="G115" s="6">
        <f t="shared" si="12"/>
        <v>0.99874874874874831</v>
      </c>
      <c r="H115" s="9">
        <f t="array" ref="H115">(E115-MIN(IF($D$2:$D$283=D115,$E$2:$E$283)))/MIN(IF($D$2:$D$283=D115,$E$2:$E$283))</f>
        <v>3.9087947882736174E-2</v>
      </c>
      <c r="I115" s="10">
        <f t="array" ref="I115">(F115-MIN(IF($D$2:$D$283=D115,$F$2:$F$283)))/MIN(IF($D$2:$D$283=D115,$F$2:$F$283))</f>
        <v>3.903903903903904E-2</v>
      </c>
    </row>
    <row r="116" spans="1:9" x14ac:dyDescent="0.25">
      <c r="A116" s="13" t="s">
        <v>88</v>
      </c>
      <c r="B116" s="13" t="s">
        <v>7</v>
      </c>
      <c r="C116" s="13" t="s">
        <v>118</v>
      </c>
      <c r="D116" s="13" t="s">
        <v>119</v>
      </c>
      <c r="E116" s="25">
        <v>1.0879478827361564</v>
      </c>
      <c r="F116" s="24">
        <v>382</v>
      </c>
      <c r="G116" s="6">
        <f t="shared" si="12"/>
        <v>1.67311756200645</v>
      </c>
      <c r="H116" s="9">
        <f t="array" ref="H116">(E116-MIN(IF($D$2:$D$283=D116,$E$2:$E$283)))/MIN(IF($D$2:$D$283=D116,$E$2:$E$283))</f>
        <v>8.7947882736156391E-2</v>
      </c>
      <c r="I116" s="10">
        <f t="array" ref="I116">(F116-MIN(IF($D$2:$D$283=D116,$F$2:$F$283)))/MIN(IF($D$2:$D$283=D116,$F$2:$F$283))</f>
        <v>0.14714714714714713</v>
      </c>
    </row>
    <row r="117" spans="1:9" x14ac:dyDescent="0.25">
      <c r="A117" s="13" t="s">
        <v>88</v>
      </c>
      <c r="B117" s="13" t="s">
        <v>7</v>
      </c>
      <c r="C117" s="13" t="s">
        <v>118</v>
      </c>
      <c r="D117" s="13" t="s">
        <v>119</v>
      </c>
      <c r="E117" s="25">
        <v>1.2377850162866451</v>
      </c>
      <c r="F117" s="24">
        <v>433</v>
      </c>
      <c r="G117" s="6">
        <f t="shared" si="12"/>
        <v>1.2629067423587965</v>
      </c>
      <c r="H117" s="9">
        <f t="array" ref="H117">(E117-MIN(IF($D$2:$D$283=D117,$E$2:$E$283)))/MIN(IF($D$2:$D$283=D117,$E$2:$E$283))</f>
        <v>0.23778501628664506</v>
      </c>
      <c r="I117" s="10">
        <f t="array" ref="I117">(F117-MIN(IF($D$2:$D$283=D117,$F$2:$F$283)))/MIN(IF($D$2:$D$283=D117,$F$2:$F$283))</f>
        <v>0.3003003003003003</v>
      </c>
    </row>
    <row r="118" spans="1:9" x14ac:dyDescent="0.25">
      <c r="A118" s="13" t="s">
        <v>88</v>
      </c>
      <c r="B118" s="13" t="s">
        <v>7</v>
      </c>
      <c r="C118" s="13" t="s">
        <v>118</v>
      </c>
      <c r="D118" s="13" t="s">
        <v>119</v>
      </c>
      <c r="E118" s="25">
        <v>1.4136807817589576</v>
      </c>
      <c r="F118" s="24">
        <v>433</v>
      </c>
      <c r="G118" s="6">
        <f t="shared" si="12"/>
        <v>0.72592277316686771</v>
      </c>
      <c r="H118" s="9">
        <f t="array" ref="H118">(E118-MIN(IF($D$2:$D$283=D118,$E$2:$E$283)))/MIN(IF($D$2:$D$283=D118,$E$2:$E$283))</f>
        <v>0.41368078175895762</v>
      </c>
      <c r="I118" s="10">
        <f t="array" ref="I118">(F118-MIN(IF($D$2:$D$283=D118,$F$2:$F$283)))/MIN(IF($D$2:$D$283=D118,$F$2:$F$283))</f>
        <v>0.3003003003003003</v>
      </c>
    </row>
    <row r="119" spans="1:9" x14ac:dyDescent="0.25">
      <c r="A119" s="13" t="s">
        <v>88</v>
      </c>
      <c r="B119" s="13" t="s">
        <v>7</v>
      </c>
      <c r="C119" s="13" t="s">
        <v>118</v>
      </c>
      <c r="D119" s="13" t="s">
        <v>120</v>
      </c>
      <c r="E119" s="25">
        <v>1</v>
      </c>
      <c r="F119" s="24">
        <v>307</v>
      </c>
      <c r="G119" s="6" t="str">
        <f t="shared" ref="G119:G121" si="13">IFERROR(I119/H119,"")</f>
        <v/>
      </c>
      <c r="H119" s="9">
        <f t="array" ref="H119">(E119-MIN(IF($D$2:$D$283=D119,$E$2:$E$283)))/MIN(IF($D$2:$D$283=D119,$E$2:$E$283))</f>
        <v>0</v>
      </c>
      <c r="I119" s="10">
        <f t="array" ref="I119">(F119-MIN(IF($D$2:$D$283=D119,$F$2:$F$283)))/MIN(IF($D$2:$D$283=D119,$F$2:$F$283))</f>
        <v>0</v>
      </c>
    </row>
    <row r="120" spans="1:9" x14ac:dyDescent="0.25">
      <c r="A120" s="13" t="s">
        <v>88</v>
      </c>
      <c r="B120" s="13" t="s">
        <v>7</v>
      </c>
      <c r="C120" s="13" t="s">
        <v>118</v>
      </c>
      <c r="D120" s="13" t="s">
        <v>120</v>
      </c>
      <c r="E120" s="25">
        <v>1.0855855855855856</v>
      </c>
      <c r="F120" s="24">
        <v>317</v>
      </c>
      <c r="G120" s="6">
        <f t="shared" si="13"/>
        <v>0.38059317675295723</v>
      </c>
      <c r="H120" s="9">
        <f t="array" ref="H120">(E120-MIN(IF($D$2:$D$283=D120,$E$2:$E$283)))/MIN(IF($D$2:$D$283=D120,$E$2:$E$283))</f>
        <v>8.55855855855856E-2</v>
      </c>
      <c r="I120" s="10">
        <f t="array" ref="I120">(F120-MIN(IF($D$2:$D$283=D120,$F$2:$F$283)))/MIN(IF($D$2:$D$283=D120,$F$2:$F$283))</f>
        <v>3.2573289902280131E-2</v>
      </c>
    </row>
    <row r="121" spans="1:9" x14ac:dyDescent="0.25">
      <c r="A121" s="13" t="s">
        <v>88</v>
      </c>
      <c r="B121" s="13" t="s">
        <v>7</v>
      </c>
      <c r="C121" s="13" t="s">
        <v>118</v>
      </c>
      <c r="D121" s="13" t="s">
        <v>120</v>
      </c>
      <c r="E121" s="25">
        <v>1.3648648648648649</v>
      </c>
      <c r="F121" s="24">
        <v>335</v>
      </c>
      <c r="G121" s="6">
        <f t="shared" si="13"/>
        <v>0.24996983954638674</v>
      </c>
      <c r="H121" s="9">
        <f t="array" ref="H121">(E121-MIN(IF($D$2:$D$283=D121,$E$2:$E$283)))/MIN(IF($D$2:$D$283=D121,$E$2:$E$283))</f>
        <v>0.36486486486486491</v>
      </c>
      <c r="I121" s="10">
        <f t="array" ref="I121">(F121-MIN(IF($D$2:$D$283=D121,$F$2:$F$283)))/MIN(IF($D$2:$D$283=D121,$F$2:$F$283))</f>
        <v>9.1205211726384364E-2</v>
      </c>
    </row>
    <row r="122" spans="1:9" x14ac:dyDescent="0.25">
      <c r="A122" s="13" t="s">
        <v>88</v>
      </c>
      <c r="B122" s="13" t="s">
        <v>7</v>
      </c>
      <c r="C122" s="13" t="s">
        <v>124</v>
      </c>
      <c r="D122" s="13" t="s">
        <v>125</v>
      </c>
      <c r="E122" s="25">
        <v>1</v>
      </c>
      <c r="F122" s="24">
        <v>414</v>
      </c>
      <c r="G122" s="6" t="str">
        <f t="shared" ref="G122:G144" si="14">IFERROR(I122/H122,"")</f>
        <v/>
      </c>
      <c r="H122" s="9">
        <f t="array" ref="H122">(E122-MIN(IF($D$2:$D$283=D122,$E$2:$E$283)))/MIN(IF($D$2:$D$283=D122,$E$2:$E$283))</f>
        <v>0</v>
      </c>
      <c r="I122" s="10">
        <f t="array" ref="I122">(F122-MIN(IF($D$2:$D$283=D122,$F$2:$F$283)))/MIN(IF($D$2:$D$283=D122,$F$2:$F$283))</f>
        <v>0</v>
      </c>
    </row>
    <row r="123" spans="1:9" x14ac:dyDescent="0.25">
      <c r="A123" s="13" t="s">
        <v>88</v>
      </c>
      <c r="B123" s="13" t="s">
        <v>7</v>
      </c>
      <c r="C123" s="13" t="s">
        <v>124</v>
      </c>
      <c r="D123" s="13" t="s">
        <v>125</v>
      </c>
      <c r="E123" s="25">
        <v>1.1428571428571428</v>
      </c>
      <c r="F123" s="24">
        <v>418</v>
      </c>
      <c r="G123" s="6">
        <f t="shared" si="14"/>
        <v>6.7632850241545917E-2</v>
      </c>
      <c r="H123" s="9">
        <f t="array" ref="H123">(E123-MIN(IF($D$2:$D$283=D123,$E$2:$E$283)))/MIN(IF($D$2:$D$283=D123,$E$2:$E$283))</f>
        <v>0.14285714285714279</v>
      </c>
      <c r="I123" s="10">
        <f t="array" ref="I123">(F123-MIN(IF($D$2:$D$283=D123,$F$2:$F$283)))/MIN(IF($D$2:$D$283=D123,$F$2:$F$283))</f>
        <v>9.6618357487922701E-3</v>
      </c>
    </row>
    <row r="124" spans="1:9" x14ac:dyDescent="0.25">
      <c r="A124" s="13" t="s">
        <v>88</v>
      </c>
      <c r="B124" s="13" t="s">
        <v>7</v>
      </c>
      <c r="C124" s="13" t="s">
        <v>124</v>
      </c>
      <c r="D124" s="13" t="s">
        <v>125</v>
      </c>
      <c r="E124" s="25">
        <v>1.3488372093023258</v>
      </c>
      <c r="F124" s="24">
        <v>425</v>
      </c>
      <c r="G124" s="6">
        <f t="shared" si="14"/>
        <v>7.6167471819645699E-2</v>
      </c>
      <c r="H124" s="9">
        <f t="array" ref="H124">(E124-MIN(IF($D$2:$D$283=D124,$E$2:$E$283)))/MIN(IF($D$2:$D$283=D124,$E$2:$E$283))</f>
        <v>0.34883720930232576</v>
      </c>
      <c r="I124" s="10">
        <f t="array" ref="I124">(F124-MIN(IF($D$2:$D$283=D124,$F$2:$F$283)))/MIN(IF($D$2:$D$283=D124,$F$2:$F$283))</f>
        <v>2.6570048309178744E-2</v>
      </c>
    </row>
    <row r="125" spans="1:9" x14ac:dyDescent="0.25">
      <c r="A125" s="13" t="s">
        <v>88</v>
      </c>
      <c r="B125" s="13" t="s">
        <v>7</v>
      </c>
      <c r="C125" s="13" t="s">
        <v>124</v>
      </c>
      <c r="D125" s="13" t="s">
        <v>125</v>
      </c>
      <c r="E125" s="25">
        <v>1.3731343283582089</v>
      </c>
      <c r="F125" s="24">
        <v>432</v>
      </c>
      <c r="G125" s="6">
        <f t="shared" si="14"/>
        <v>0.11652173913043479</v>
      </c>
      <c r="H125" s="9">
        <f t="array" ref="H125">(E125-MIN(IF($D$2:$D$283=D125,$E$2:$E$283)))/MIN(IF($D$2:$D$283=D125,$E$2:$E$283))</f>
        <v>0.37313432835820892</v>
      </c>
      <c r="I125" s="10">
        <f t="array" ref="I125">(F125-MIN(IF($D$2:$D$283=D125,$F$2:$F$283)))/MIN(IF($D$2:$D$283=D125,$F$2:$F$283))</f>
        <v>4.3478260869565216E-2</v>
      </c>
    </row>
    <row r="126" spans="1:9" x14ac:dyDescent="0.25">
      <c r="A126" s="13" t="s">
        <v>88</v>
      </c>
      <c r="B126" s="13" t="s">
        <v>7</v>
      </c>
      <c r="C126" s="13" t="s">
        <v>124</v>
      </c>
      <c r="D126" s="13" t="s">
        <v>125</v>
      </c>
      <c r="E126" s="25">
        <v>1.3731343283582089</v>
      </c>
      <c r="F126" s="24">
        <v>437</v>
      </c>
      <c r="G126" s="6">
        <f t="shared" si="14"/>
        <v>0.1488888888888889</v>
      </c>
      <c r="H126" s="9">
        <f t="array" ref="H126">(E126-MIN(IF($D$2:$D$283=D126,$E$2:$E$283)))/MIN(IF($D$2:$D$283=D126,$E$2:$E$283))</f>
        <v>0.37313432835820892</v>
      </c>
      <c r="I126" s="10">
        <f t="array" ref="I126">(F126-MIN(IF($D$2:$D$283=D126,$F$2:$F$283)))/MIN(IF($D$2:$D$283=D126,$F$2:$F$283))</f>
        <v>5.5555555555555552E-2</v>
      </c>
    </row>
    <row r="127" spans="1:9" x14ac:dyDescent="0.25">
      <c r="A127" s="13" t="s">
        <v>88</v>
      </c>
      <c r="B127" s="13" t="s">
        <v>7</v>
      </c>
      <c r="C127" s="13" t="s">
        <v>124</v>
      </c>
      <c r="D127" s="13" t="s">
        <v>125</v>
      </c>
      <c r="E127" s="25">
        <v>1.386861313868613</v>
      </c>
      <c r="F127" s="24">
        <v>433</v>
      </c>
      <c r="G127" s="6">
        <f t="shared" si="14"/>
        <v>0.11863093610427496</v>
      </c>
      <c r="H127" s="9">
        <f t="array" ref="H127">(E127-MIN(IF($D$2:$D$283=D127,$E$2:$E$283)))/MIN(IF($D$2:$D$283=D127,$E$2:$E$283))</f>
        <v>0.386861313868613</v>
      </c>
      <c r="I127" s="10">
        <f t="array" ref="I127">(F127-MIN(IF($D$2:$D$283=D127,$F$2:$F$283)))/MIN(IF($D$2:$D$283=D127,$F$2:$F$283))</f>
        <v>4.5893719806763288E-2</v>
      </c>
    </row>
    <row r="128" spans="1:9" x14ac:dyDescent="0.25">
      <c r="A128" s="13" t="s">
        <v>88</v>
      </c>
      <c r="B128" s="13" t="s">
        <v>7</v>
      </c>
      <c r="C128" s="13" t="s">
        <v>124</v>
      </c>
      <c r="D128" s="13" t="s">
        <v>125</v>
      </c>
      <c r="E128" s="25">
        <v>1.4649681528662422</v>
      </c>
      <c r="F128" s="24">
        <v>448</v>
      </c>
      <c r="G128" s="6">
        <f t="shared" si="14"/>
        <v>0.17662629872278468</v>
      </c>
      <c r="H128" s="9">
        <f t="array" ref="H128">(E128-MIN(IF($D$2:$D$283=D128,$E$2:$E$283)))/MIN(IF($D$2:$D$283=D128,$E$2:$E$283))</f>
        <v>0.46496815286624216</v>
      </c>
      <c r="I128" s="10">
        <f t="array" ref="I128">(F128-MIN(IF($D$2:$D$283=D128,$F$2:$F$283)))/MIN(IF($D$2:$D$283=D128,$F$2:$F$283))</f>
        <v>8.2125603864734303E-2</v>
      </c>
    </row>
    <row r="129" spans="1:9" x14ac:dyDescent="0.25">
      <c r="A129" s="13" t="s">
        <v>88</v>
      </c>
      <c r="B129" s="13" t="s">
        <v>7</v>
      </c>
      <c r="C129" s="13" t="s">
        <v>124</v>
      </c>
      <c r="D129" s="13" t="s">
        <v>125</v>
      </c>
      <c r="E129" s="25">
        <v>1.540983606557377</v>
      </c>
      <c r="F129" s="24">
        <v>496</v>
      </c>
      <c r="G129" s="6">
        <f t="shared" si="14"/>
        <v>0.36612501829893135</v>
      </c>
      <c r="H129" s="9">
        <f t="array" ref="H129">(E129-MIN(IF($D$2:$D$283=D129,$E$2:$E$283)))/MIN(IF($D$2:$D$283=D129,$E$2:$E$283))</f>
        <v>0.54098360655737698</v>
      </c>
      <c r="I129" s="10">
        <f t="array" ref="I129">(F129-MIN(IF($D$2:$D$283=D129,$F$2:$F$283)))/MIN(IF($D$2:$D$283=D129,$F$2:$F$283))</f>
        <v>0.19806763285024154</v>
      </c>
    </row>
    <row r="130" spans="1:9" x14ac:dyDescent="0.25">
      <c r="A130" s="13" t="s">
        <v>88</v>
      </c>
      <c r="B130" s="13" t="s">
        <v>7</v>
      </c>
      <c r="C130" s="13" t="s">
        <v>124</v>
      </c>
      <c r="D130" s="13" t="s">
        <v>125</v>
      </c>
      <c r="E130" s="25">
        <v>1.5882352941176472</v>
      </c>
      <c r="F130" s="24">
        <v>508</v>
      </c>
      <c r="G130" s="6">
        <f t="shared" si="14"/>
        <v>0.38599033816425116</v>
      </c>
      <c r="H130" s="9">
        <f t="array" ref="H130">(E130-MIN(IF($D$2:$D$283=D130,$E$2:$E$283)))/MIN(IF($D$2:$D$283=D130,$E$2:$E$283))</f>
        <v>0.58823529411764719</v>
      </c>
      <c r="I130" s="10">
        <f t="array" ref="I130">(F130-MIN(IF($D$2:$D$283=D130,$F$2:$F$283)))/MIN(IF($D$2:$D$283=D130,$F$2:$F$283))</f>
        <v>0.22705314009661837</v>
      </c>
    </row>
    <row r="131" spans="1:9" x14ac:dyDescent="0.25">
      <c r="A131" s="13" t="s">
        <v>88</v>
      </c>
      <c r="B131" s="13" t="s">
        <v>7</v>
      </c>
      <c r="C131" s="13" t="s">
        <v>124</v>
      </c>
      <c r="D131" s="13" t="s">
        <v>126</v>
      </c>
      <c r="E131" s="25">
        <v>1</v>
      </c>
      <c r="F131" s="24">
        <v>865</v>
      </c>
      <c r="G131" s="6" t="str">
        <f t="shared" si="14"/>
        <v/>
      </c>
      <c r="H131" s="9">
        <f t="array" ref="H131">(E131-MIN(IF($D$2:$D$283=D131,$E$2:$E$283)))/MIN(IF($D$2:$D$283=D131,$E$2:$E$283))</f>
        <v>0</v>
      </c>
      <c r="I131" s="10">
        <f t="array" ref="I131">(F131-MIN(IF($D$2:$D$283=D131,$F$2:$F$283)))/MIN(IF($D$2:$D$283=D131,$F$2:$F$283))</f>
        <v>0</v>
      </c>
    </row>
    <row r="132" spans="1:9" x14ac:dyDescent="0.25">
      <c r="A132" s="13" t="s">
        <v>88</v>
      </c>
      <c r="B132" s="13" t="s">
        <v>7</v>
      </c>
      <c r="C132" s="13" t="s">
        <v>124</v>
      </c>
      <c r="D132" s="13" t="s">
        <v>126</v>
      </c>
      <c r="E132" s="25">
        <v>1.014388489208633</v>
      </c>
      <c r="F132" s="24">
        <v>870</v>
      </c>
      <c r="G132" s="6">
        <f t="shared" si="14"/>
        <v>0.40173410404624527</v>
      </c>
      <c r="H132" s="9">
        <f t="array" ref="H132">(E132-MIN(IF($D$2:$D$283=D132,$E$2:$E$283)))/MIN(IF($D$2:$D$283=D132,$E$2:$E$283))</f>
        <v>1.4388489208633004E-2</v>
      </c>
      <c r="I132" s="10">
        <f t="array" ref="I132">(F132-MIN(IF($D$2:$D$283=D132,$F$2:$F$283)))/MIN(IF($D$2:$D$283=D132,$F$2:$F$283))</f>
        <v>5.7803468208092483E-3</v>
      </c>
    </row>
    <row r="133" spans="1:9" x14ac:dyDescent="0.25">
      <c r="A133" s="13" t="s">
        <v>88</v>
      </c>
      <c r="B133" s="13" t="s">
        <v>7</v>
      </c>
      <c r="C133" s="13" t="s">
        <v>124</v>
      </c>
      <c r="D133" s="13" t="s">
        <v>126</v>
      </c>
      <c r="E133" s="25">
        <v>1.0283687943262412</v>
      </c>
      <c r="F133" s="24">
        <v>867</v>
      </c>
      <c r="G133" s="6">
        <f t="shared" si="14"/>
        <v>8.1502890173410295E-2</v>
      </c>
      <c r="H133" s="9">
        <f t="array" ref="H133">(E133-MIN(IF($D$2:$D$283=D133,$E$2:$E$283)))/MIN(IF($D$2:$D$283=D133,$E$2:$E$283))</f>
        <v>2.8368794326241176E-2</v>
      </c>
      <c r="I133" s="10">
        <f t="array" ref="I133">(F133-MIN(IF($D$2:$D$283=D133,$F$2:$F$283)))/MIN(IF($D$2:$D$283=D133,$F$2:$F$283))</f>
        <v>2.3121387283236996E-3</v>
      </c>
    </row>
    <row r="134" spans="1:9" x14ac:dyDescent="0.25">
      <c r="A134" s="13" t="s">
        <v>88</v>
      </c>
      <c r="B134" s="13" t="s">
        <v>7</v>
      </c>
      <c r="C134" s="13" t="s">
        <v>124</v>
      </c>
      <c r="D134" s="13" t="s">
        <v>126</v>
      </c>
      <c r="E134" s="25">
        <v>1.0805369127516777</v>
      </c>
      <c r="F134" s="24">
        <v>869</v>
      </c>
      <c r="G134" s="6">
        <f t="shared" si="14"/>
        <v>5.7418111753371956E-2</v>
      </c>
      <c r="H134" s="9">
        <f t="array" ref="H134">(E134-MIN(IF($D$2:$D$283=D134,$E$2:$E$283)))/MIN(IF($D$2:$D$283=D134,$E$2:$E$283))</f>
        <v>8.0536912751677736E-2</v>
      </c>
      <c r="I134" s="10">
        <f t="array" ref="I134">(F134-MIN(IF($D$2:$D$283=D134,$F$2:$F$283)))/MIN(IF($D$2:$D$283=D134,$F$2:$F$283))</f>
        <v>4.6242774566473991E-3</v>
      </c>
    </row>
    <row r="135" spans="1:9" x14ac:dyDescent="0.25">
      <c r="A135" s="13" t="s">
        <v>88</v>
      </c>
      <c r="B135" s="13" t="s">
        <v>7</v>
      </c>
      <c r="C135" s="13" t="s">
        <v>124</v>
      </c>
      <c r="D135" s="13" t="s">
        <v>126</v>
      </c>
      <c r="E135" s="25">
        <v>1.1746987951807228</v>
      </c>
      <c r="F135" s="24">
        <v>874</v>
      </c>
      <c r="G135" s="6">
        <f t="shared" si="14"/>
        <v>5.9557504484751861E-2</v>
      </c>
      <c r="H135" s="9">
        <f t="array" ref="H135">(E135-MIN(IF($D$2:$D$283=D135,$E$2:$E$283)))/MIN(IF($D$2:$D$283=D135,$E$2:$E$283))</f>
        <v>0.17469879518072284</v>
      </c>
      <c r="I135" s="10">
        <f t="array" ref="I135">(F135-MIN(IF($D$2:$D$283=D135,$F$2:$F$283)))/MIN(IF($D$2:$D$283=D135,$F$2:$F$283))</f>
        <v>1.0404624277456647E-2</v>
      </c>
    </row>
    <row r="136" spans="1:9" x14ac:dyDescent="0.25">
      <c r="A136" s="13" t="s">
        <v>88</v>
      </c>
      <c r="B136" s="13" t="s">
        <v>7</v>
      </c>
      <c r="C136" s="13" t="s">
        <v>124</v>
      </c>
      <c r="D136" s="13" t="s">
        <v>126</v>
      </c>
      <c r="E136" s="25">
        <v>1.2554347826086958</v>
      </c>
      <c r="F136" s="24">
        <v>888</v>
      </c>
      <c r="G136" s="6">
        <f t="shared" si="14"/>
        <v>0.10409543721559458</v>
      </c>
      <c r="H136" s="9">
        <f t="array" ref="H136">(E136-MIN(IF($D$2:$D$283=D136,$E$2:$E$283)))/MIN(IF($D$2:$D$283=D136,$E$2:$E$283))</f>
        <v>0.25543478260869579</v>
      </c>
      <c r="I136" s="10">
        <f t="array" ref="I136">(F136-MIN(IF($D$2:$D$283=D136,$F$2:$F$283)))/MIN(IF($D$2:$D$283=D136,$F$2:$F$283))</f>
        <v>2.6589595375722544E-2</v>
      </c>
    </row>
    <row r="137" spans="1:9" x14ac:dyDescent="0.25">
      <c r="A137" s="13" t="s">
        <v>88</v>
      </c>
      <c r="B137" s="13" t="s">
        <v>7</v>
      </c>
      <c r="C137" s="13" t="s">
        <v>124</v>
      </c>
      <c r="D137" s="13" t="s">
        <v>126</v>
      </c>
      <c r="E137" s="25">
        <v>1.3217821782178218</v>
      </c>
      <c r="F137" s="24">
        <v>920</v>
      </c>
      <c r="G137" s="6">
        <f t="shared" si="14"/>
        <v>0.19759893285904842</v>
      </c>
      <c r="H137" s="9">
        <f t="array" ref="H137">(E137-MIN(IF($D$2:$D$283=D137,$E$2:$E$283)))/MIN(IF($D$2:$D$283=D137,$E$2:$E$283))</f>
        <v>0.32178217821782185</v>
      </c>
      <c r="I137" s="10">
        <f t="array" ref="I137">(F137-MIN(IF($D$2:$D$283=D137,$F$2:$F$283)))/MIN(IF($D$2:$D$283=D137,$F$2:$F$283))</f>
        <v>6.358381502890173E-2</v>
      </c>
    </row>
    <row r="138" spans="1:9" x14ac:dyDescent="0.25">
      <c r="A138" s="13" t="s">
        <v>88</v>
      </c>
      <c r="B138" s="13" t="s">
        <v>7</v>
      </c>
      <c r="C138" s="13" t="s">
        <v>124</v>
      </c>
      <c r="D138" s="13" t="s">
        <v>126</v>
      </c>
      <c r="E138" s="25">
        <v>1.3772727272727274</v>
      </c>
      <c r="F138" s="24">
        <v>938</v>
      </c>
      <c r="G138" s="6">
        <f t="shared" si="14"/>
        <v>0.22369245769203974</v>
      </c>
      <c r="H138" s="9">
        <f t="array" ref="H138">(E138-MIN(IF($D$2:$D$283=D138,$E$2:$E$283)))/MIN(IF($D$2:$D$283=D138,$E$2:$E$283))</f>
        <v>0.37727272727272743</v>
      </c>
      <c r="I138" s="10">
        <f t="array" ref="I138">(F138-MIN(IF($D$2:$D$283=D138,$F$2:$F$283)))/MIN(IF($D$2:$D$283=D138,$F$2:$F$283))</f>
        <v>8.4393063583815028E-2</v>
      </c>
    </row>
    <row r="139" spans="1:9" x14ac:dyDescent="0.25">
      <c r="A139" s="13" t="s">
        <v>88</v>
      </c>
      <c r="B139" s="13" t="s">
        <v>7</v>
      </c>
      <c r="C139" s="13" t="s">
        <v>124</v>
      </c>
      <c r="D139" s="13" t="s">
        <v>126</v>
      </c>
      <c r="E139" s="25">
        <v>1.443089430894309</v>
      </c>
      <c r="F139" s="24">
        <v>964</v>
      </c>
      <c r="G139" s="6">
        <f t="shared" si="14"/>
        <v>0.25830195683300627</v>
      </c>
      <c r="H139" s="9">
        <f t="array" ref="H139">(E139-MIN(IF($D$2:$D$283=D139,$E$2:$E$283)))/MIN(IF($D$2:$D$283=D139,$E$2:$E$283))</f>
        <v>0.44308943089430897</v>
      </c>
      <c r="I139" s="10">
        <f t="array" ref="I139">(F139-MIN(IF($D$2:$D$283=D139,$F$2:$F$283)))/MIN(IF($D$2:$D$283=D139,$F$2:$F$283))</f>
        <v>0.11445086705202312</v>
      </c>
    </row>
    <row r="140" spans="1:9" x14ac:dyDescent="0.25">
      <c r="A140" s="13" t="s">
        <v>88</v>
      </c>
      <c r="B140" s="13" t="s">
        <v>7</v>
      </c>
      <c r="C140" s="13" t="s">
        <v>124</v>
      </c>
      <c r="D140" s="13" t="s">
        <v>127</v>
      </c>
      <c r="E140" s="25">
        <v>1</v>
      </c>
      <c r="F140" s="24">
        <v>419</v>
      </c>
      <c r="G140" s="6" t="str">
        <f t="shared" si="14"/>
        <v/>
      </c>
      <c r="H140" s="9">
        <f t="array" ref="H140">(E140-MIN(IF($D$2:$D$283=D140,$E$2:$E$283)))/MIN(IF($D$2:$D$283=D140,$E$2:$E$283))</f>
        <v>0</v>
      </c>
      <c r="I140" s="10">
        <f t="array" ref="I140">(F140-MIN(IF($D$2:$D$283=D140,$F$2:$F$283)))/MIN(IF($D$2:$D$283=D140,$F$2:$F$283))</f>
        <v>0</v>
      </c>
    </row>
    <row r="141" spans="1:9" x14ac:dyDescent="0.25">
      <c r="A141" s="13" t="s">
        <v>88</v>
      </c>
      <c r="B141" s="13" t="s">
        <v>7</v>
      </c>
      <c r="C141" s="13" t="s">
        <v>124</v>
      </c>
      <c r="D141" s="13" t="s">
        <v>127</v>
      </c>
      <c r="E141" s="25">
        <v>1.3139534883720931</v>
      </c>
      <c r="F141" s="24">
        <v>426</v>
      </c>
      <c r="G141" s="6">
        <f t="shared" si="14"/>
        <v>5.3213117652258446E-2</v>
      </c>
      <c r="H141" s="9">
        <f t="array" ref="H141">(E141-MIN(IF($D$2:$D$283=D141,$E$2:$E$283)))/MIN(IF($D$2:$D$283=D141,$E$2:$E$283))</f>
        <v>0.31395348837209314</v>
      </c>
      <c r="I141" s="10">
        <f t="array" ref="I141">(F141-MIN(IF($D$2:$D$283=D141,$F$2:$F$283)))/MIN(IF($D$2:$D$283=D141,$F$2:$F$283))</f>
        <v>1.6706443914081145E-2</v>
      </c>
    </row>
    <row r="142" spans="1:9" x14ac:dyDescent="0.25">
      <c r="A142" s="13" t="s">
        <v>88</v>
      </c>
      <c r="B142" s="13" t="s">
        <v>7</v>
      </c>
      <c r="C142" s="13" t="s">
        <v>124</v>
      </c>
      <c r="D142" s="13" t="s">
        <v>127</v>
      </c>
      <c r="E142" s="25">
        <v>1.4869565217391305</v>
      </c>
      <c r="F142" s="24">
        <v>480</v>
      </c>
      <c r="G142" s="6">
        <f t="shared" si="14"/>
        <v>0.29896863279918168</v>
      </c>
      <c r="H142" s="9">
        <f t="array" ref="H142">(E142-MIN(IF($D$2:$D$283=D142,$E$2:$E$283)))/MIN(IF($D$2:$D$283=D142,$E$2:$E$283))</f>
        <v>0.48695652173913051</v>
      </c>
      <c r="I142" s="10">
        <f t="array" ref="I142">(F142-MIN(IF($D$2:$D$283=D142,$F$2:$F$283)))/MIN(IF($D$2:$D$283=D142,$F$2:$F$283))</f>
        <v>0.14558472553699284</v>
      </c>
    </row>
    <row r="143" spans="1:9" x14ac:dyDescent="0.25">
      <c r="A143" s="13" t="s">
        <v>88</v>
      </c>
      <c r="B143" s="13" t="s">
        <v>7</v>
      </c>
      <c r="C143" s="13" t="s">
        <v>124</v>
      </c>
      <c r="D143" s="13" t="s">
        <v>128</v>
      </c>
      <c r="E143" s="25">
        <v>1</v>
      </c>
      <c r="F143" s="24">
        <v>861</v>
      </c>
      <c r="G143" s="6" t="str">
        <f t="shared" si="14"/>
        <v/>
      </c>
      <c r="H143" s="9">
        <f t="array" ref="H143">(E143-MIN(IF($D$2:$D$283=D143,$E$2:$E$283)))/MIN(IF($D$2:$D$283=D143,$E$2:$E$283))</f>
        <v>0</v>
      </c>
      <c r="I143" s="10">
        <f t="array" ref="I143">(F143-MIN(IF($D$2:$D$283=D143,$F$2:$F$283)))/MIN(IF($D$2:$D$283=D143,$F$2:$F$283))</f>
        <v>0</v>
      </c>
    </row>
    <row r="144" spans="1:9" x14ac:dyDescent="0.25">
      <c r="A144" s="13" t="s">
        <v>88</v>
      </c>
      <c r="B144" s="13" t="s">
        <v>7</v>
      </c>
      <c r="C144" s="13" t="s">
        <v>124</v>
      </c>
      <c r="D144" s="13" t="s">
        <v>128</v>
      </c>
      <c r="E144" s="25">
        <v>1.0884955752212389</v>
      </c>
      <c r="F144" s="24">
        <v>865</v>
      </c>
      <c r="G144" s="6">
        <f t="shared" si="14"/>
        <v>5.2497096399535474E-2</v>
      </c>
      <c r="H144" s="9">
        <f t="array" ref="H144">(E144-MIN(IF($D$2:$D$283=D144,$E$2:$E$283)))/MIN(IF($D$2:$D$283=D144,$E$2:$E$283))</f>
        <v>8.8495575221238854E-2</v>
      </c>
      <c r="I144" s="10">
        <f t="array" ref="I144">(F144-MIN(IF($D$2:$D$283=D144,$F$2:$F$283)))/MIN(IF($D$2:$D$283=D144,$F$2:$F$283))</f>
        <v>4.6457607433217189E-3</v>
      </c>
    </row>
    <row r="145" spans="1:9" x14ac:dyDescent="0.25">
      <c r="A145" s="13" t="s">
        <v>88</v>
      </c>
      <c r="B145" s="13" t="s">
        <v>7</v>
      </c>
      <c r="C145" s="13" t="s">
        <v>135</v>
      </c>
      <c r="D145" s="13" t="s">
        <v>132</v>
      </c>
      <c r="E145" s="25">
        <v>1</v>
      </c>
      <c r="F145" s="24">
        <v>360</v>
      </c>
      <c r="G145" s="6" t="str">
        <f t="shared" ref="G145:G151" si="15">IFERROR(I145/H145,"")</f>
        <v/>
      </c>
      <c r="H145" s="9">
        <f t="array" ref="H145">(E145-MIN(IF($D$2:$D$283=D145,$E$2:$E$283)))/MIN(IF($D$2:$D$283=D145,$E$2:$E$283))</f>
        <v>0</v>
      </c>
      <c r="I145" s="10">
        <f t="array" ref="I145">(F145-MIN(IF($D$2:$D$283=D145,$F$2:$F$283)))/MIN(IF($D$2:$D$283=D145,$F$2:$F$283))</f>
        <v>0</v>
      </c>
    </row>
    <row r="146" spans="1:9" x14ac:dyDescent="0.25">
      <c r="A146" s="13" t="s">
        <v>88</v>
      </c>
      <c r="B146" s="13" t="s">
        <v>7</v>
      </c>
      <c r="C146" s="13" t="s">
        <v>135</v>
      </c>
      <c r="D146" s="13" t="s">
        <v>132</v>
      </c>
      <c r="E146" s="25">
        <v>1.002808988764045</v>
      </c>
      <c r="F146" s="24">
        <v>361</v>
      </c>
      <c r="G146" s="6">
        <f t="shared" si="15"/>
        <v>0.98888888888886695</v>
      </c>
      <c r="H146" s="9">
        <f t="array" ref="H146">(E146-MIN(IF($D$2:$D$283=D146,$E$2:$E$283)))/MIN(IF($D$2:$D$283=D146,$E$2:$E$283))</f>
        <v>2.8089887640450062E-3</v>
      </c>
      <c r="I146" s="10">
        <f t="array" ref="I146">(F146-MIN(IF($D$2:$D$283=D146,$F$2:$F$283)))/MIN(IF($D$2:$D$283=D146,$F$2:$F$283))</f>
        <v>2.7777777777777779E-3</v>
      </c>
    </row>
    <row r="147" spans="1:9" x14ac:dyDescent="0.25">
      <c r="A147" s="13" t="s">
        <v>88</v>
      </c>
      <c r="B147" s="13" t="s">
        <v>7</v>
      </c>
      <c r="C147" s="13" t="s">
        <v>135</v>
      </c>
      <c r="D147" s="13" t="s">
        <v>132</v>
      </c>
      <c r="E147" s="25">
        <v>1.0166204986149585</v>
      </c>
      <c r="F147" s="24">
        <v>361</v>
      </c>
      <c r="G147" s="6">
        <f t="shared" si="15"/>
        <v>0.16712962962962899</v>
      </c>
      <c r="H147" s="9">
        <f t="array" ref="H147">(E147-MIN(IF($D$2:$D$283=D147,$E$2:$E$283)))/MIN(IF($D$2:$D$283=D147,$E$2:$E$283))</f>
        <v>1.6620498614958512E-2</v>
      </c>
      <c r="I147" s="10">
        <f t="array" ref="I147">(F147-MIN(IF($D$2:$D$283=D147,$F$2:$F$283)))/MIN(IF($D$2:$D$283=D147,$F$2:$F$283))</f>
        <v>2.7777777777777779E-3</v>
      </c>
    </row>
    <row r="148" spans="1:9" x14ac:dyDescent="0.25">
      <c r="A148" s="13" t="s">
        <v>88</v>
      </c>
      <c r="B148" s="13" t="s">
        <v>7</v>
      </c>
      <c r="C148" s="13" t="s">
        <v>135</v>
      </c>
      <c r="D148" s="13" t="s">
        <v>132</v>
      </c>
      <c r="E148" s="25">
        <v>1.0482573726541555</v>
      </c>
      <c r="F148" s="24">
        <v>372</v>
      </c>
      <c r="G148" s="6">
        <f t="shared" si="15"/>
        <v>0.69074074074074032</v>
      </c>
      <c r="H148" s="9">
        <f t="array" ref="H148">(E148-MIN(IF($D$2:$D$283=D148,$E$2:$E$283)))/MIN(IF($D$2:$D$283=D148,$E$2:$E$283))</f>
        <v>4.8257372654155528E-2</v>
      </c>
      <c r="I148" s="10">
        <f t="array" ref="I148">(F148-MIN(IF($D$2:$D$283=D148,$F$2:$F$283)))/MIN(IF($D$2:$D$283=D148,$F$2:$F$283))</f>
        <v>3.3333333333333333E-2</v>
      </c>
    </row>
    <row r="149" spans="1:9" x14ac:dyDescent="0.25">
      <c r="A149" s="13" t="s">
        <v>88</v>
      </c>
      <c r="B149" s="13" t="s">
        <v>7</v>
      </c>
      <c r="C149" s="13" t="s">
        <v>135</v>
      </c>
      <c r="D149" s="13" t="s">
        <v>132</v>
      </c>
      <c r="E149" s="25">
        <v>1.068241469816273</v>
      </c>
      <c r="F149" s="24">
        <v>433</v>
      </c>
      <c r="G149" s="6">
        <f t="shared" si="15"/>
        <v>2.971474358974358</v>
      </c>
      <c r="H149" s="9">
        <f t="array" ref="H149">(E149-MIN(IF($D$2:$D$283=D149,$E$2:$E$283)))/MIN(IF($D$2:$D$283=D149,$E$2:$E$283))</f>
        <v>6.8241469816272993E-2</v>
      </c>
      <c r="I149" s="10">
        <f t="array" ref="I149">(F149-MIN(IF($D$2:$D$283=D149,$F$2:$F$283)))/MIN(IF($D$2:$D$283=D149,$F$2:$F$283))</f>
        <v>0.20277777777777778</v>
      </c>
    </row>
    <row r="150" spans="1:9" x14ac:dyDescent="0.25">
      <c r="A150" s="13" t="s">
        <v>88</v>
      </c>
      <c r="B150" s="13" t="s">
        <v>7</v>
      </c>
      <c r="C150" s="13" t="s">
        <v>135</v>
      </c>
      <c r="D150" s="13" t="s">
        <v>132</v>
      </c>
      <c r="E150" s="25">
        <v>1.1299019607843137</v>
      </c>
      <c r="F150" s="24">
        <v>488</v>
      </c>
      <c r="G150" s="6">
        <f t="shared" si="15"/>
        <v>2.737106918238994</v>
      </c>
      <c r="H150" s="9">
        <f t="array" ref="H150">(E150-MIN(IF($D$2:$D$283=D150,$E$2:$E$283)))/MIN(IF($D$2:$D$283=D150,$E$2:$E$283))</f>
        <v>0.12990196078431371</v>
      </c>
      <c r="I150" s="10">
        <f t="array" ref="I150">(F150-MIN(IF($D$2:$D$283=D150,$F$2:$F$283)))/MIN(IF($D$2:$D$283=D150,$F$2:$F$283))</f>
        <v>0.35555555555555557</v>
      </c>
    </row>
    <row r="151" spans="1:9" x14ac:dyDescent="0.25">
      <c r="A151" s="13" t="s">
        <v>88</v>
      </c>
      <c r="B151" s="13" t="s">
        <v>7</v>
      </c>
      <c r="C151" s="13" t="s">
        <v>135</v>
      </c>
      <c r="D151" s="13" t="s">
        <v>132</v>
      </c>
      <c r="E151" s="25">
        <v>1.3450184501845019</v>
      </c>
      <c r="F151" s="24">
        <v>764</v>
      </c>
      <c r="G151" s="6">
        <f t="shared" si="15"/>
        <v>3.2526440879382048</v>
      </c>
      <c r="H151" s="9">
        <f t="array" ref="H151">(E151-MIN(IF($D$2:$D$283=D151,$E$2:$E$283)))/MIN(IF($D$2:$D$283=D151,$E$2:$E$283))</f>
        <v>0.34501845018450195</v>
      </c>
      <c r="I151" s="10">
        <f t="array" ref="I151">(F151-MIN(IF($D$2:$D$283=D151,$F$2:$F$283)))/MIN(IF($D$2:$D$283=D151,$F$2:$F$283))</f>
        <v>1.1222222222222222</v>
      </c>
    </row>
    <row r="152" spans="1:9" x14ac:dyDescent="0.25">
      <c r="A152" s="13" t="s">
        <v>88</v>
      </c>
      <c r="B152" s="13" t="s">
        <v>7</v>
      </c>
      <c r="C152" s="13" t="s">
        <v>135</v>
      </c>
      <c r="D152" s="13" t="s">
        <v>133</v>
      </c>
      <c r="E152" s="25">
        <v>1</v>
      </c>
      <c r="F152" s="24">
        <v>376</v>
      </c>
      <c r="G152" s="6" t="str">
        <f t="shared" ref="G152:G171" si="16">IFERROR(I152/H152,"")</f>
        <v/>
      </c>
      <c r="H152" s="9">
        <f t="array" ref="H152">(E152-MIN(IF($D$2:$D$283=D152,$E$2:$E$283)))/MIN(IF($D$2:$D$283=D152,$E$2:$E$283))</f>
        <v>0</v>
      </c>
      <c r="I152" s="10">
        <f t="array" ref="I152">(F152-MIN(IF($D$2:$D$283=D152,$F$2:$F$283)))/MIN(IF($D$2:$D$283=D152,$F$2:$F$283))</f>
        <v>0</v>
      </c>
    </row>
    <row r="153" spans="1:9" x14ac:dyDescent="0.25">
      <c r="A153" s="13" t="s">
        <v>88</v>
      </c>
      <c r="B153" s="13" t="s">
        <v>7</v>
      </c>
      <c r="C153" s="13" t="s">
        <v>135</v>
      </c>
      <c r="D153" s="13" t="s">
        <v>133</v>
      </c>
      <c r="E153" s="25">
        <v>1.014367816091954</v>
      </c>
      <c r="F153" s="24">
        <v>377</v>
      </c>
      <c r="G153" s="6">
        <f t="shared" si="16"/>
        <v>0.18510638297872326</v>
      </c>
      <c r="H153" s="9">
        <f t="array" ref="H153">(E153-MIN(IF($D$2:$D$283=D153,$E$2:$E$283)))/MIN(IF($D$2:$D$283=D153,$E$2:$E$283))</f>
        <v>1.4367816091954033E-2</v>
      </c>
      <c r="I153" s="10">
        <f t="array" ref="I153">(F153-MIN(IF($D$2:$D$283=D153,$F$2:$F$283)))/MIN(IF($D$2:$D$283=D153,$F$2:$F$283))</f>
        <v>2.6595744680851063E-3</v>
      </c>
    </row>
    <row r="154" spans="1:9" x14ac:dyDescent="0.25">
      <c r="A154" s="13" t="s">
        <v>88</v>
      </c>
      <c r="B154" s="13" t="s">
        <v>7</v>
      </c>
      <c r="C154" s="13" t="s">
        <v>135</v>
      </c>
      <c r="D154" s="13" t="s">
        <v>133</v>
      </c>
      <c r="E154" s="25">
        <v>1.0498614958448751</v>
      </c>
      <c r="F154" s="24">
        <v>377</v>
      </c>
      <c r="G154" s="6">
        <f t="shared" si="16"/>
        <v>5.3339243498818238E-2</v>
      </c>
      <c r="H154" s="9">
        <f t="array" ref="H154">(E154-MIN(IF($D$2:$D$283=D154,$E$2:$E$283)))/MIN(IF($D$2:$D$283=D154,$E$2:$E$283))</f>
        <v>4.9861495844875092E-2</v>
      </c>
      <c r="I154" s="10">
        <f t="array" ref="I154">(F154-MIN(IF($D$2:$D$283=D154,$F$2:$F$283)))/MIN(IF($D$2:$D$283=D154,$F$2:$F$283))</f>
        <v>2.6595744680851063E-3</v>
      </c>
    </row>
    <row r="155" spans="1:9" x14ac:dyDescent="0.25">
      <c r="A155" s="13" t="s">
        <v>88</v>
      </c>
      <c r="B155" s="13" t="s">
        <v>7</v>
      </c>
      <c r="C155" s="13" t="s">
        <v>135</v>
      </c>
      <c r="D155" s="13" t="s">
        <v>133</v>
      </c>
      <c r="E155" s="25">
        <v>1.0779569892473118</v>
      </c>
      <c r="F155" s="24">
        <v>407</v>
      </c>
      <c r="G155" s="6">
        <f t="shared" si="16"/>
        <v>1.0575935436537058</v>
      </c>
      <c r="H155" s="9">
        <f t="array" ref="H155">(E155-MIN(IF($D$2:$D$283=D155,$E$2:$E$283)))/MIN(IF($D$2:$D$283=D155,$E$2:$E$283))</f>
        <v>7.7956989247311759E-2</v>
      </c>
      <c r="I155" s="10">
        <f t="array" ref="I155">(F155-MIN(IF($D$2:$D$283=D155,$F$2:$F$283)))/MIN(IF($D$2:$D$283=D155,$F$2:$F$283))</f>
        <v>8.2446808510638292E-2</v>
      </c>
    </row>
    <row r="156" spans="1:9" x14ac:dyDescent="0.25">
      <c r="A156" s="13" t="s">
        <v>88</v>
      </c>
      <c r="B156" s="13" t="s">
        <v>7</v>
      </c>
      <c r="C156" s="13" t="s">
        <v>135</v>
      </c>
      <c r="D156" s="13" t="s">
        <v>133</v>
      </c>
      <c r="E156" s="25">
        <v>1.0973684210526315</v>
      </c>
      <c r="F156" s="24">
        <v>466</v>
      </c>
      <c r="G156" s="6">
        <f t="shared" si="16"/>
        <v>2.458309373202991</v>
      </c>
      <c r="H156" s="9">
        <f t="array" ref="H156">(E156-MIN(IF($D$2:$D$283=D156,$E$2:$E$283)))/MIN(IF($D$2:$D$283=D156,$E$2:$E$283))</f>
        <v>9.7368421052631549E-2</v>
      </c>
      <c r="I156" s="10">
        <f t="array" ref="I156">(F156-MIN(IF($D$2:$D$283=D156,$F$2:$F$283)))/MIN(IF($D$2:$D$283=D156,$F$2:$F$283))</f>
        <v>0.23936170212765959</v>
      </c>
    </row>
    <row r="157" spans="1:9" x14ac:dyDescent="0.25">
      <c r="A157" s="13" t="s">
        <v>88</v>
      </c>
      <c r="B157" s="13" t="s">
        <v>7</v>
      </c>
      <c r="C157" s="13" t="s">
        <v>135</v>
      </c>
      <c r="D157" s="13" t="s">
        <v>133</v>
      </c>
      <c r="E157" s="25">
        <v>1.159313725490196</v>
      </c>
      <c r="F157" s="24">
        <v>533</v>
      </c>
      <c r="G157" s="6">
        <f t="shared" si="16"/>
        <v>2.6209492635024572</v>
      </c>
      <c r="H157" s="9">
        <f t="array" ref="H157">(E157-MIN(IF($D$2:$D$283=D157,$E$2:$E$283)))/MIN(IF($D$2:$D$283=D157,$E$2:$E$283))</f>
        <v>0.15931372549019596</v>
      </c>
      <c r="I157" s="10">
        <f t="array" ref="I157">(F157-MIN(IF($D$2:$D$283=D157,$F$2:$F$283)))/MIN(IF($D$2:$D$283=D157,$F$2:$F$283))</f>
        <v>0.41755319148936171</v>
      </c>
    </row>
    <row r="158" spans="1:9" x14ac:dyDescent="0.25">
      <c r="A158" s="13" t="s">
        <v>88</v>
      </c>
      <c r="B158" s="13" t="s">
        <v>7</v>
      </c>
      <c r="C158" s="13" t="s">
        <v>135</v>
      </c>
      <c r="D158" s="13" t="s">
        <v>133</v>
      </c>
      <c r="E158" s="25">
        <v>1.3659889094269868</v>
      </c>
      <c r="F158" s="24">
        <v>761</v>
      </c>
      <c r="G158" s="6">
        <f t="shared" si="16"/>
        <v>2.7977245862884184</v>
      </c>
      <c r="H158" s="9">
        <f t="array" ref="H158">(E158-MIN(IF($D$2:$D$283=D158,$E$2:$E$283)))/MIN(IF($D$2:$D$283=D158,$E$2:$E$283))</f>
        <v>0.36598890942698681</v>
      </c>
      <c r="I158" s="10">
        <f t="array" ref="I158">(F158-MIN(IF($D$2:$D$283=D158,$F$2:$F$283)))/MIN(IF($D$2:$D$283=D158,$F$2:$F$283))</f>
        <v>1.0239361702127661</v>
      </c>
    </row>
    <row r="159" spans="1:9" x14ac:dyDescent="0.25">
      <c r="A159" s="13" t="s">
        <v>88</v>
      </c>
      <c r="B159" s="13" t="s">
        <v>7</v>
      </c>
      <c r="C159" s="13" t="s">
        <v>135</v>
      </c>
      <c r="D159" s="13" t="s">
        <v>134</v>
      </c>
      <c r="E159" s="25">
        <v>1</v>
      </c>
      <c r="F159" s="24">
        <v>376</v>
      </c>
      <c r="G159" s="6" t="str">
        <f t="shared" si="16"/>
        <v/>
      </c>
      <c r="H159" s="9">
        <f t="array" ref="H159">(E159-MIN(IF($D$2:$D$283=D159,$E$2:$E$283)))/MIN(IF($D$2:$D$283=D159,$E$2:$E$283))</f>
        <v>0</v>
      </c>
      <c r="I159" s="10">
        <f t="array" ref="I159">(F159-MIN(IF($D$2:$D$283=D159,$F$2:$F$283)))/MIN(IF($D$2:$D$283=D159,$F$2:$F$283))</f>
        <v>0</v>
      </c>
    </row>
    <row r="160" spans="1:9" x14ac:dyDescent="0.25">
      <c r="A160" s="13" t="s">
        <v>88</v>
      </c>
      <c r="B160" s="13" t="s">
        <v>7</v>
      </c>
      <c r="C160" s="13" t="s">
        <v>135</v>
      </c>
      <c r="D160" s="13" t="s">
        <v>134</v>
      </c>
      <c r="E160" s="25">
        <v>1.0126582278481013</v>
      </c>
      <c r="F160" s="24">
        <v>377</v>
      </c>
      <c r="G160" s="6">
        <f t="shared" si="16"/>
        <v>0.21010638297872228</v>
      </c>
      <c r="H160" s="9">
        <f t="array" ref="H160">(E160-MIN(IF($D$2:$D$283=D160,$E$2:$E$283)))/MIN(IF($D$2:$D$283=D160,$E$2:$E$283))</f>
        <v>1.2658227848101333E-2</v>
      </c>
      <c r="I160" s="10">
        <f t="array" ref="I160">(F160-MIN(IF($D$2:$D$283=D160,$F$2:$F$283)))/MIN(IF($D$2:$D$283=D160,$F$2:$F$283))</f>
        <v>2.6595744680851063E-3</v>
      </c>
    </row>
    <row r="161" spans="1:9" x14ac:dyDescent="0.25">
      <c r="A161" s="13" t="s">
        <v>88</v>
      </c>
      <c r="B161" s="13" t="s">
        <v>7</v>
      </c>
      <c r="C161" s="13" t="s">
        <v>135</v>
      </c>
      <c r="D161" s="13" t="s">
        <v>134</v>
      </c>
      <c r="E161" s="25">
        <v>1.0458715596330275</v>
      </c>
      <c r="F161" s="24">
        <v>377</v>
      </c>
      <c r="G161" s="6">
        <f t="shared" si="16"/>
        <v>5.7978723404255382E-2</v>
      </c>
      <c r="H161" s="9">
        <f t="array" ref="H161">(E161-MIN(IF($D$2:$D$283=D161,$E$2:$E$283)))/MIN(IF($D$2:$D$283=D161,$E$2:$E$283))</f>
        <v>4.587155963302747E-2</v>
      </c>
      <c r="I161" s="10">
        <f t="array" ref="I161">(F161-MIN(IF($D$2:$D$283=D161,$F$2:$F$283)))/MIN(IF($D$2:$D$283=D161,$F$2:$F$283))</f>
        <v>2.6595744680851063E-3</v>
      </c>
    </row>
    <row r="162" spans="1:9" x14ac:dyDescent="0.25">
      <c r="A162" s="13" t="s">
        <v>88</v>
      </c>
      <c r="B162" s="13" t="s">
        <v>7</v>
      </c>
      <c r="C162" s="13" t="s">
        <v>135</v>
      </c>
      <c r="D162" s="13" t="s">
        <v>134</v>
      </c>
      <c r="E162" s="25">
        <v>1.0714285714285714</v>
      </c>
      <c r="F162" s="24">
        <v>407</v>
      </c>
      <c r="G162" s="6">
        <f t="shared" si="16"/>
        <v>1.1542553191489366</v>
      </c>
      <c r="H162" s="9">
        <f t="array" ref="H162">(E162-MIN(IF($D$2:$D$283=D162,$E$2:$E$283)))/MIN(IF($D$2:$D$283=D162,$E$2:$E$283))</f>
        <v>7.1428571428571397E-2</v>
      </c>
      <c r="I162" s="10">
        <f t="array" ref="I162">(F162-MIN(IF($D$2:$D$283=D162,$F$2:$F$283)))/MIN(IF($D$2:$D$283=D162,$F$2:$F$283))</f>
        <v>8.2446808510638292E-2</v>
      </c>
    </row>
    <row r="163" spans="1:9" x14ac:dyDescent="0.25">
      <c r="A163" s="13" t="s">
        <v>88</v>
      </c>
      <c r="B163" s="13" t="s">
        <v>7</v>
      </c>
      <c r="C163" s="13" t="s">
        <v>135</v>
      </c>
      <c r="D163" s="13" t="s">
        <v>134</v>
      </c>
      <c r="E163" s="25">
        <v>1.103448275862069</v>
      </c>
      <c r="F163" s="24">
        <v>466</v>
      </c>
      <c r="G163" s="6">
        <f t="shared" si="16"/>
        <v>2.313829787234043</v>
      </c>
      <c r="H163" s="9">
        <f t="array" ref="H163">(E163-MIN(IF($D$2:$D$283=D163,$E$2:$E$283)))/MIN(IF($D$2:$D$283=D163,$E$2:$E$283))</f>
        <v>0.10344827586206895</v>
      </c>
      <c r="I163" s="10">
        <f t="array" ref="I163">(F163-MIN(IF($D$2:$D$283=D163,$F$2:$F$283)))/MIN(IF($D$2:$D$283=D163,$F$2:$F$283))</f>
        <v>0.23936170212765959</v>
      </c>
    </row>
    <row r="164" spans="1:9" x14ac:dyDescent="0.25">
      <c r="A164" s="13" t="s">
        <v>88</v>
      </c>
      <c r="B164" s="13" t="s">
        <v>7</v>
      </c>
      <c r="C164" s="13" t="s">
        <v>135</v>
      </c>
      <c r="D164" s="13" t="s">
        <v>134</v>
      </c>
      <c r="E164" s="25">
        <v>1.1333333333333333</v>
      </c>
      <c r="F164" s="24">
        <v>533</v>
      </c>
      <c r="G164" s="6">
        <f t="shared" si="16"/>
        <v>3.1316489361702136</v>
      </c>
      <c r="H164" s="9">
        <f t="array" ref="H164">(E164-MIN(IF($D$2:$D$283=D164,$E$2:$E$283)))/MIN(IF($D$2:$D$283=D164,$E$2:$E$283))</f>
        <v>0.1333333333333333</v>
      </c>
      <c r="I164" s="10">
        <f t="array" ref="I164">(F164-MIN(IF($D$2:$D$283=D164,$F$2:$F$283)))/MIN(IF($D$2:$D$283=D164,$F$2:$F$283))</f>
        <v>0.41755319148936171</v>
      </c>
    </row>
    <row r="165" spans="1:9" x14ac:dyDescent="0.25">
      <c r="A165" s="13" t="s">
        <v>88</v>
      </c>
      <c r="B165" s="13" t="s">
        <v>7</v>
      </c>
      <c r="C165" s="13" t="s">
        <v>135</v>
      </c>
      <c r="D165" s="13" t="s">
        <v>134</v>
      </c>
      <c r="E165" s="25">
        <v>1.361963190184049</v>
      </c>
      <c r="F165" s="24">
        <v>761</v>
      </c>
      <c r="G165" s="6">
        <f t="shared" si="16"/>
        <v>2.8288406058420494</v>
      </c>
      <c r="H165" s="9">
        <f t="array" ref="H165">(E165-MIN(IF($D$2:$D$283=D165,$E$2:$E$283)))/MIN(IF($D$2:$D$283=D165,$E$2:$E$283))</f>
        <v>0.36196319018404899</v>
      </c>
      <c r="I165" s="10">
        <f t="array" ref="I165">(F165-MIN(IF($D$2:$D$283=D165,$F$2:$F$283)))/MIN(IF($D$2:$D$283=D165,$F$2:$F$283))</f>
        <v>1.0239361702127661</v>
      </c>
    </row>
    <row r="166" spans="1:9" x14ac:dyDescent="0.25">
      <c r="A166" s="13" t="s">
        <v>88</v>
      </c>
      <c r="B166" s="13" t="s">
        <v>7</v>
      </c>
      <c r="C166" s="13" t="s">
        <v>135</v>
      </c>
      <c r="D166" s="13" t="s">
        <v>136</v>
      </c>
      <c r="E166" s="25">
        <v>1</v>
      </c>
      <c r="F166" s="24">
        <v>406</v>
      </c>
      <c r="G166" s="6" t="str">
        <f t="shared" si="16"/>
        <v/>
      </c>
      <c r="H166" s="9">
        <f t="array" ref="H166">(E166-MIN(IF($D$2:$D$283=D166,$E$2:$E$283)))/MIN(IF($D$2:$D$283=D166,$E$2:$E$283))</f>
        <v>0</v>
      </c>
      <c r="I166" s="10">
        <f t="array" ref="I166">(F166-MIN(IF($D$2:$D$283=D166,$F$2:$F$283)))/MIN(IF($D$2:$D$283=D166,$F$2:$F$283))</f>
        <v>0</v>
      </c>
    </row>
    <row r="167" spans="1:9" x14ac:dyDescent="0.25">
      <c r="A167" s="13" t="s">
        <v>88</v>
      </c>
      <c r="B167" s="13" t="s">
        <v>7</v>
      </c>
      <c r="C167" s="13" t="s">
        <v>135</v>
      </c>
      <c r="D167" s="13" t="s">
        <v>136</v>
      </c>
      <c r="E167" s="25">
        <v>1.0063291139240507</v>
      </c>
      <c r="F167" s="24">
        <v>407</v>
      </c>
      <c r="G167" s="6">
        <f t="shared" si="16"/>
        <v>0.38916256157635259</v>
      </c>
      <c r="H167" s="9">
        <f t="array" ref="H167">(E167-MIN(IF($D$2:$D$283=D167,$E$2:$E$283)))/MIN(IF($D$2:$D$283=D167,$E$2:$E$283))</f>
        <v>6.3291139240506666E-3</v>
      </c>
      <c r="I167" s="10">
        <f t="array" ref="I167">(F167-MIN(IF($D$2:$D$283=D167,$F$2:$F$283)))/MIN(IF($D$2:$D$283=D167,$F$2:$F$283))</f>
        <v>2.4630541871921183E-3</v>
      </c>
    </row>
    <row r="168" spans="1:9" x14ac:dyDescent="0.25">
      <c r="A168" s="13" t="s">
        <v>88</v>
      </c>
      <c r="B168" s="13" t="s">
        <v>7</v>
      </c>
      <c r="C168" s="13" t="s">
        <v>135</v>
      </c>
      <c r="D168" s="13" t="s">
        <v>136</v>
      </c>
      <c r="E168" s="25">
        <v>1.01875</v>
      </c>
      <c r="F168" s="24">
        <v>407</v>
      </c>
      <c r="G168" s="6">
        <f t="shared" si="16"/>
        <v>0.13136288998357934</v>
      </c>
      <c r="H168" s="9">
        <f t="array" ref="H168">(E168-MIN(IF($D$2:$D$283=D168,$E$2:$E$283)))/MIN(IF($D$2:$D$283=D168,$E$2:$E$283))</f>
        <v>1.8750000000000044E-2</v>
      </c>
      <c r="I168" s="10">
        <f t="array" ref="I168">(F168-MIN(IF($D$2:$D$283=D168,$F$2:$F$283)))/MIN(IF($D$2:$D$283=D168,$F$2:$F$283))</f>
        <v>2.4630541871921183E-3</v>
      </c>
    </row>
    <row r="169" spans="1:9" x14ac:dyDescent="0.25">
      <c r="A169" s="13" t="s">
        <v>88</v>
      </c>
      <c r="B169" s="13" t="s">
        <v>7</v>
      </c>
      <c r="C169" s="13" t="s">
        <v>135</v>
      </c>
      <c r="D169" s="13" t="s">
        <v>136</v>
      </c>
      <c r="E169" s="25">
        <v>1.0484848484848484</v>
      </c>
      <c r="F169" s="24">
        <v>419</v>
      </c>
      <c r="G169" s="6">
        <f t="shared" si="16"/>
        <v>0.66040640394088856</v>
      </c>
      <c r="H169" s="9">
        <f t="array" ref="H169">(E169-MIN(IF($D$2:$D$283=D169,$E$2:$E$283)))/MIN(IF($D$2:$D$283=D169,$E$2:$E$283))</f>
        <v>4.8484848484848353E-2</v>
      </c>
      <c r="I169" s="10">
        <f t="array" ref="I169">(F169-MIN(IF($D$2:$D$283=D169,$F$2:$F$283)))/MIN(IF($D$2:$D$283=D169,$F$2:$F$283))</f>
        <v>3.2019704433497539E-2</v>
      </c>
    </row>
    <row r="170" spans="1:9" x14ac:dyDescent="0.25">
      <c r="A170" s="13" t="s">
        <v>88</v>
      </c>
      <c r="B170" s="13" t="s">
        <v>7</v>
      </c>
      <c r="C170" s="13" t="s">
        <v>135</v>
      </c>
      <c r="D170" s="13" t="s">
        <v>136</v>
      </c>
      <c r="E170" s="25">
        <v>1.0791788856304987</v>
      </c>
      <c r="F170" s="24">
        <v>510</v>
      </c>
      <c r="G170" s="6">
        <f t="shared" si="16"/>
        <v>3.2351760627622639</v>
      </c>
      <c r="H170" s="9">
        <f t="array" ref="H170">(E170-MIN(IF($D$2:$D$283=D170,$E$2:$E$283)))/MIN(IF($D$2:$D$283=D170,$E$2:$E$283))</f>
        <v>7.9178885630498685E-2</v>
      </c>
      <c r="I170" s="10">
        <f t="array" ref="I170">(F170-MIN(IF($D$2:$D$283=D170,$F$2:$F$283)))/MIN(IF($D$2:$D$283=D170,$F$2:$F$283))</f>
        <v>0.25615763546798032</v>
      </c>
    </row>
    <row r="171" spans="1:9" x14ac:dyDescent="0.25">
      <c r="A171" s="13" t="s">
        <v>88</v>
      </c>
      <c r="B171" s="13" t="s">
        <v>7</v>
      </c>
      <c r="C171" s="13" t="s">
        <v>135</v>
      </c>
      <c r="D171" s="13" t="s">
        <v>136</v>
      </c>
      <c r="E171" s="25">
        <v>1.1301939058171744</v>
      </c>
      <c r="F171" s="24">
        <v>565</v>
      </c>
      <c r="G171" s="6">
        <f t="shared" si="16"/>
        <v>3.0080180274604373</v>
      </c>
      <c r="H171" s="9">
        <f t="array" ref="H171">(E171-MIN(IF($D$2:$D$283=D171,$E$2:$E$283)))/MIN(IF($D$2:$D$283=D171,$E$2:$E$283))</f>
        <v>0.13019390581717438</v>
      </c>
      <c r="I171" s="10">
        <f t="array" ref="I171">(F171-MIN(IF($D$2:$D$283=D171,$F$2:$F$283)))/MIN(IF($D$2:$D$283=D171,$F$2:$F$283))</f>
        <v>0.39162561576354682</v>
      </c>
    </row>
    <row r="172" spans="1:9" x14ac:dyDescent="0.25">
      <c r="A172" s="13" t="s">
        <v>88</v>
      </c>
      <c r="B172" s="13" t="s">
        <v>7</v>
      </c>
      <c r="C172" s="13" t="s">
        <v>135</v>
      </c>
      <c r="D172" s="13" t="s">
        <v>137</v>
      </c>
      <c r="E172" s="25">
        <v>1</v>
      </c>
      <c r="F172" s="24">
        <v>999</v>
      </c>
      <c r="G172" s="6" t="str">
        <f t="shared" ref="G172:G183" si="17">IFERROR(I172/H172,"")</f>
        <v/>
      </c>
      <c r="H172" s="9">
        <f t="array" ref="H172">(E172-MIN(IF($D$2:$D$283=D172,$E$2:$E$283)))/MIN(IF($D$2:$D$283=D172,$E$2:$E$283))</f>
        <v>0</v>
      </c>
      <c r="I172" s="10">
        <f t="array" ref="I172">(F172-MIN(IF($D$2:$D$283=D172,$F$2:$F$283)))/MIN(IF($D$2:$D$283=D172,$F$2:$F$283))</f>
        <v>0</v>
      </c>
    </row>
    <row r="173" spans="1:9" x14ac:dyDescent="0.25">
      <c r="A173" s="13" t="s">
        <v>88</v>
      </c>
      <c r="B173" s="13" t="s">
        <v>7</v>
      </c>
      <c r="C173" s="13" t="s">
        <v>135</v>
      </c>
      <c r="D173" s="13" t="s">
        <v>137</v>
      </c>
      <c r="E173" s="25">
        <v>1.0154440154440156</v>
      </c>
      <c r="F173" s="24">
        <v>1000</v>
      </c>
      <c r="G173" s="6">
        <f t="shared" si="17"/>
        <v>6.4814814814814006E-2</v>
      </c>
      <c r="H173" s="9">
        <f t="array" ref="H173">(E173-MIN(IF($D$2:$D$283=D173,$E$2:$E$283)))/MIN(IF($D$2:$D$283=D173,$E$2:$E$283))</f>
        <v>1.5444015444015635E-2</v>
      </c>
      <c r="I173" s="10">
        <f t="array" ref="I173">(F173-MIN(IF($D$2:$D$283=D173,$F$2:$F$283)))/MIN(IF($D$2:$D$283=D173,$F$2:$F$283))</f>
        <v>1.001001001001001E-3</v>
      </c>
    </row>
    <row r="174" spans="1:9" x14ac:dyDescent="0.25">
      <c r="A174" s="13" t="s">
        <v>88</v>
      </c>
      <c r="B174" s="13" t="s">
        <v>7</v>
      </c>
      <c r="C174" s="13" t="s">
        <v>135</v>
      </c>
      <c r="D174" s="13" t="s">
        <v>137</v>
      </c>
      <c r="E174" s="25">
        <v>1.0520446096654275</v>
      </c>
      <c r="F174" s="24">
        <v>1000</v>
      </c>
      <c r="G174" s="6">
        <f t="shared" si="17"/>
        <v>1.9233519233519254E-2</v>
      </c>
      <c r="H174" s="9">
        <f t="array" ref="H174">(E174-MIN(IF($D$2:$D$283=D174,$E$2:$E$283)))/MIN(IF($D$2:$D$283=D174,$E$2:$E$283))</f>
        <v>5.2044609665427455E-2</v>
      </c>
      <c r="I174" s="10">
        <f t="array" ref="I174">(F174-MIN(IF($D$2:$D$283=D174,$F$2:$F$283)))/MIN(IF($D$2:$D$283=D174,$F$2:$F$283))</f>
        <v>1.001001001001001E-3</v>
      </c>
    </row>
    <row r="175" spans="1:9" x14ac:dyDescent="0.25">
      <c r="A175" s="13" t="s">
        <v>88</v>
      </c>
      <c r="B175" s="13" t="s">
        <v>7</v>
      </c>
      <c r="C175" s="13" t="s">
        <v>135</v>
      </c>
      <c r="D175" s="13" t="s">
        <v>137</v>
      </c>
      <c r="E175" s="25">
        <v>1.0590405904059041</v>
      </c>
      <c r="F175" s="24">
        <v>1037</v>
      </c>
      <c r="G175" s="6">
        <f t="shared" si="17"/>
        <v>0.64426926926926831</v>
      </c>
      <c r="H175" s="9">
        <f t="array" ref="H175">(E175-MIN(IF($D$2:$D$283=D175,$E$2:$E$283)))/MIN(IF($D$2:$D$283=D175,$E$2:$E$283))</f>
        <v>5.9040590405904148E-2</v>
      </c>
      <c r="I175" s="10">
        <f t="array" ref="I175">(F175-MIN(IF($D$2:$D$283=D175,$F$2:$F$283)))/MIN(IF($D$2:$D$283=D175,$F$2:$F$283))</f>
        <v>3.8038038038038041E-2</v>
      </c>
    </row>
    <row r="176" spans="1:9" x14ac:dyDescent="0.25">
      <c r="A176" s="13" t="s">
        <v>88</v>
      </c>
      <c r="B176" s="13" t="s">
        <v>7</v>
      </c>
      <c r="C176" s="13" t="s">
        <v>135</v>
      </c>
      <c r="D176" s="13" t="s">
        <v>137</v>
      </c>
      <c r="E176" s="25">
        <v>1.0892857142857144</v>
      </c>
      <c r="F176" s="24">
        <v>1082</v>
      </c>
      <c r="G176" s="6">
        <f t="shared" si="17"/>
        <v>0.93053053053052925</v>
      </c>
      <c r="H176" s="9">
        <f t="array" ref="H176">(E176-MIN(IF($D$2:$D$283=D176,$E$2:$E$283)))/MIN(IF($D$2:$D$283=D176,$E$2:$E$283))</f>
        <v>8.9285714285714413E-2</v>
      </c>
      <c r="I176" s="10">
        <f t="array" ref="I176">(F176-MIN(IF($D$2:$D$283=D176,$F$2:$F$283)))/MIN(IF($D$2:$D$283=D176,$F$2:$F$283))</f>
        <v>8.3083083083083084E-2</v>
      </c>
    </row>
    <row r="177" spans="1:9" x14ac:dyDescent="0.25">
      <c r="A177" s="13" t="s">
        <v>88</v>
      </c>
      <c r="B177" s="13" t="s">
        <v>7</v>
      </c>
      <c r="C177" s="13" t="s">
        <v>135</v>
      </c>
      <c r="D177" s="13" t="s">
        <v>137</v>
      </c>
      <c r="E177" s="25">
        <v>1.3672456575682383</v>
      </c>
      <c r="F177" s="24">
        <v>1348</v>
      </c>
      <c r="G177" s="6">
        <f t="shared" si="17"/>
        <v>0.9512688364039712</v>
      </c>
      <c r="H177" s="9">
        <f t="array" ref="H177">(E177-MIN(IF($D$2:$D$283=D177,$E$2:$E$283)))/MIN(IF($D$2:$D$283=D177,$E$2:$E$283))</f>
        <v>0.36724565756823835</v>
      </c>
      <c r="I177" s="10">
        <f t="array" ref="I177">(F177-MIN(IF($D$2:$D$283=D177,$F$2:$F$283)))/MIN(IF($D$2:$D$283=D177,$F$2:$F$283))</f>
        <v>0.34934934934934936</v>
      </c>
    </row>
    <row r="178" spans="1:9" x14ac:dyDescent="0.25">
      <c r="A178" s="13" t="s">
        <v>88</v>
      </c>
      <c r="B178" s="13" t="s">
        <v>7</v>
      </c>
      <c r="C178" s="13" t="s">
        <v>135</v>
      </c>
      <c r="D178" s="13" t="s">
        <v>138</v>
      </c>
      <c r="E178" s="25">
        <v>1</v>
      </c>
      <c r="F178" s="24">
        <v>1439</v>
      </c>
      <c r="G178" s="6" t="str">
        <f t="shared" si="17"/>
        <v/>
      </c>
      <c r="H178" s="9">
        <f t="array" ref="H178">(E178-MIN(IF($D$2:$D$283=D178,$E$2:$E$283)))/MIN(IF($D$2:$D$283=D178,$E$2:$E$283))</f>
        <v>0</v>
      </c>
      <c r="I178" s="10">
        <f t="array" ref="I178">(F178-MIN(IF($D$2:$D$283=D178,$F$2:$F$283)))/MIN(IF($D$2:$D$283=D178,$F$2:$F$283))</f>
        <v>0</v>
      </c>
    </row>
    <row r="179" spans="1:9" x14ac:dyDescent="0.25">
      <c r="A179" s="13" t="s">
        <v>88</v>
      </c>
      <c r="B179" s="13" t="s">
        <v>7</v>
      </c>
      <c r="C179" s="13" t="s">
        <v>135</v>
      </c>
      <c r="D179" s="13" t="s">
        <v>138</v>
      </c>
      <c r="E179" s="25">
        <v>1.1148936170212764</v>
      </c>
      <c r="F179" s="24">
        <v>1441</v>
      </c>
      <c r="G179" s="6">
        <f t="shared" si="17"/>
        <v>1.209687797596069E-2</v>
      </c>
      <c r="H179" s="9">
        <f t="array" ref="H179">(E179-MIN(IF($D$2:$D$283=D179,$E$2:$E$283)))/MIN(IF($D$2:$D$283=D179,$E$2:$E$283))</f>
        <v>0.11489361702127643</v>
      </c>
      <c r="I179" s="10">
        <f t="array" ref="I179">(F179-MIN(IF($D$2:$D$283=D179,$F$2:$F$283)))/MIN(IF($D$2:$D$283=D179,$F$2:$F$283))</f>
        <v>1.389854065323141E-3</v>
      </c>
    </row>
    <row r="180" spans="1:9" x14ac:dyDescent="0.25">
      <c r="A180" s="13" t="s">
        <v>88</v>
      </c>
      <c r="B180" s="13" t="s">
        <v>7</v>
      </c>
      <c r="C180" s="13" t="s">
        <v>135</v>
      </c>
      <c r="D180" s="13" t="s">
        <v>138</v>
      </c>
      <c r="E180" s="25">
        <v>1.1260504201680672</v>
      </c>
      <c r="F180" s="24">
        <v>1443</v>
      </c>
      <c r="G180" s="6">
        <f t="shared" si="17"/>
        <v>2.205235116979384E-2</v>
      </c>
      <c r="H180" s="9">
        <f t="array" ref="H180">(E180-MIN(IF($D$2:$D$283=D180,$E$2:$E$283)))/MIN(IF($D$2:$D$283=D180,$E$2:$E$283))</f>
        <v>0.12605042016806722</v>
      </c>
      <c r="I180" s="10">
        <f t="array" ref="I180">(F180-MIN(IF($D$2:$D$283=D180,$F$2:$F$283)))/MIN(IF($D$2:$D$283=D180,$F$2:$F$283))</f>
        <v>2.7797081306462821E-3</v>
      </c>
    </row>
    <row r="181" spans="1:9" x14ac:dyDescent="0.25">
      <c r="A181" s="13" t="s">
        <v>88</v>
      </c>
      <c r="B181" s="13" t="s">
        <v>7</v>
      </c>
      <c r="C181" s="13" t="s">
        <v>135</v>
      </c>
      <c r="D181" s="13" t="s">
        <v>138</v>
      </c>
      <c r="E181" s="25">
        <v>1.154471544715447</v>
      </c>
      <c r="F181" s="24">
        <v>1443</v>
      </c>
      <c r="G181" s="6">
        <f t="shared" si="17"/>
        <v>1.7994952635236476E-2</v>
      </c>
      <c r="H181" s="9">
        <f t="array" ref="H181">(E181-MIN(IF($D$2:$D$283=D181,$E$2:$E$283)))/MIN(IF($D$2:$D$283=D181,$E$2:$E$283))</f>
        <v>0.154471544715447</v>
      </c>
      <c r="I181" s="10">
        <f t="array" ref="I181">(F181-MIN(IF($D$2:$D$283=D181,$F$2:$F$283)))/MIN(IF($D$2:$D$283=D181,$F$2:$F$283))</f>
        <v>2.7797081306462821E-3</v>
      </c>
    </row>
    <row r="182" spans="1:9" x14ac:dyDescent="0.25">
      <c r="A182" s="13" t="s">
        <v>88</v>
      </c>
      <c r="B182" s="13" t="s">
        <v>7</v>
      </c>
      <c r="C182" s="13" t="s">
        <v>135</v>
      </c>
      <c r="D182" s="13" t="s">
        <v>138</v>
      </c>
      <c r="E182" s="25">
        <v>1.1875</v>
      </c>
      <c r="F182" s="24">
        <v>1485</v>
      </c>
      <c r="G182" s="6">
        <f t="shared" si="17"/>
        <v>0.1704887653463053</v>
      </c>
      <c r="H182" s="9">
        <f t="array" ref="H182">(E182-MIN(IF($D$2:$D$283=D182,$E$2:$E$283)))/MIN(IF($D$2:$D$283=D182,$E$2:$E$283))</f>
        <v>0.1875</v>
      </c>
      <c r="I182" s="10">
        <f t="array" ref="I182">(F182-MIN(IF($D$2:$D$283=D182,$F$2:$F$283)))/MIN(IF($D$2:$D$283=D182,$F$2:$F$283))</f>
        <v>3.1966643502432245E-2</v>
      </c>
    </row>
    <row r="183" spans="1:9" x14ac:dyDescent="0.25">
      <c r="A183" s="13" t="s">
        <v>88</v>
      </c>
      <c r="B183" s="13" t="s">
        <v>7</v>
      </c>
      <c r="C183" s="13" t="s">
        <v>135</v>
      </c>
      <c r="D183" s="13" t="s">
        <v>138</v>
      </c>
      <c r="E183" s="25">
        <v>1.4363143631436313</v>
      </c>
      <c r="F183" s="24">
        <v>1868</v>
      </c>
      <c r="G183" s="6">
        <f t="shared" si="17"/>
        <v>0.68327729315130004</v>
      </c>
      <c r="H183" s="9">
        <f t="array" ref="H183">(E183-MIN(IF($D$2:$D$283=D183,$E$2:$E$283)))/MIN(IF($D$2:$D$283=D183,$E$2:$E$283))</f>
        <v>0.43631436314363126</v>
      </c>
      <c r="I183" s="10">
        <f t="array" ref="I183">(F183-MIN(IF($D$2:$D$283=D183,$F$2:$F$283)))/MIN(IF($D$2:$D$283=D183,$F$2:$F$283))</f>
        <v>0.29812369701181374</v>
      </c>
    </row>
    <row r="184" spans="1:9" x14ac:dyDescent="0.25">
      <c r="A184" t="s">
        <v>88</v>
      </c>
      <c r="B184" t="s">
        <v>7</v>
      </c>
      <c r="C184" s="13" t="s">
        <v>148</v>
      </c>
      <c r="D184" t="s">
        <v>149</v>
      </c>
      <c r="E184" s="25">
        <v>1</v>
      </c>
      <c r="F184" s="24">
        <v>448.71</v>
      </c>
      <c r="G184" s="6" t="str">
        <f t="shared" ref="G184:G235" si="18">IFERROR(I184/H184,"")</f>
        <v/>
      </c>
      <c r="H184" s="9">
        <f t="array" ref="H184">(E184-MIN(IF($D$2:$D$283=D184,$E$2:$E$283)))/MIN(IF($D$2:$D$283=D184,$E$2:$E$283))</f>
        <v>0</v>
      </c>
      <c r="I184" s="10">
        <f t="array" ref="I184">(F184-MIN(IF($D$2:$D$283=D184,$F$2:$F$283)))/MIN(IF($D$2:$D$283=D184,$F$2:$F$283))</f>
        <v>0</v>
      </c>
    </row>
    <row r="185" spans="1:9" x14ac:dyDescent="0.25">
      <c r="A185" s="13" t="s">
        <v>88</v>
      </c>
      <c r="B185" s="13" t="s">
        <v>7</v>
      </c>
      <c r="C185" s="13" t="s">
        <v>148</v>
      </c>
      <c r="D185" s="13" t="s">
        <v>149</v>
      </c>
      <c r="E185" s="25">
        <v>1.0336162988115449</v>
      </c>
      <c r="F185" s="24">
        <v>449.83</v>
      </c>
      <c r="G185" s="6">
        <f t="shared" si="18"/>
        <v>7.4251012273343395E-2</v>
      </c>
      <c r="H185" s="9">
        <f t="array" ref="H185">(E185-MIN(IF($D$2:$D$283=D185,$E$2:$E$283)))/MIN(IF($D$2:$D$283=D185,$E$2:$E$283))</f>
        <v>3.3616298811544931E-2</v>
      </c>
      <c r="I185" s="10">
        <f t="array" ref="I185">(F185-MIN(IF($D$2:$D$283=D185,$F$2:$F$283)))/MIN(IF($D$2:$D$283=D185,$F$2:$F$283))</f>
        <v>2.4960442156404016E-3</v>
      </c>
    </row>
    <row r="186" spans="1:9" x14ac:dyDescent="0.25">
      <c r="A186" s="13" t="s">
        <v>88</v>
      </c>
      <c r="B186" s="13" t="s">
        <v>7</v>
      </c>
      <c r="C186" s="13" t="s">
        <v>148</v>
      </c>
      <c r="D186" s="13" t="s">
        <v>149</v>
      </c>
      <c r="E186" s="25">
        <v>1.0774193548387097</v>
      </c>
      <c r="F186" s="24">
        <v>452.5</v>
      </c>
      <c r="G186" s="6">
        <f t="shared" si="18"/>
        <v>0.10909978976770508</v>
      </c>
      <c r="H186" s="9">
        <f t="array" ref="H186">(E186-MIN(IF($D$2:$D$283=D186,$E$2:$E$283)))/MIN(IF($D$2:$D$283=D186,$E$2:$E$283))</f>
        <v>7.7419354838709653E-2</v>
      </c>
      <c r="I186" s="10">
        <f t="array" ref="I186">(F186-MIN(IF($D$2:$D$283=D186,$F$2:$F$283)))/MIN(IF($D$2:$D$283=D186,$F$2:$F$283))</f>
        <v>8.4464353368545846E-3</v>
      </c>
    </row>
    <row r="187" spans="1:9" x14ac:dyDescent="0.25">
      <c r="A187" s="13" t="s">
        <v>88</v>
      </c>
      <c r="B187" s="13" t="s">
        <v>7</v>
      </c>
      <c r="C187" s="13" t="s">
        <v>148</v>
      </c>
      <c r="D187" s="13" t="s">
        <v>149</v>
      </c>
      <c r="E187" s="25">
        <v>1.1198641765704584</v>
      </c>
      <c r="F187" s="24">
        <v>459.55</v>
      </c>
      <c r="G187" s="6">
        <f t="shared" si="18"/>
        <v>0.20154597412803757</v>
      </c>
      <c r="H187" s="9">
        <f t="array" ref="H187">(E187-MIN(IF($D$2:$D$283=D187,$E$2:$E$283)))/MIN(IF($D$2:$D$283=D187,$E$2:$E$283))</f>
        <v>0.11986417657045845</v>
      </c>
      <c r="I187" s="10">
        <f t="array" ref="I187">(F187-MIN(IF($D$2:$D$283=D187,$F$2:$F$283)))/MIN(IF($D$2:$D$283=D187,$F$2:$F$283))</f>
        <v>2.4158142229948144E-2</v>
      </c>
    </row>
    <row r="188" spans="1:9" x14ac:dyDescent="0.25">
      <c r="A188" s="13" t="s">
        <v>88</v>
      </c>
      <c r="B188" s="13" t="s">
        <v>7</v>
      </c>
      <c r="C188" s="13" t="s">
        <v>148</v>
      </c>
      <c r="D188" s="13" t="s">
        <v>149</v>
      </c>
      <c r="E188" s="25">
        <v>1.1344651952461799</v>
      </c>
      <c r="F188" s="24">
        <v>462.76</v>
      </c>
      <c r="G188" s="6">
        <f t="shared" si="18"/>
        <v>0.23286310768760479</v>
      </c>
      <c r="H188" s="9">
        <f t="array" ref="H188">(E188-MIN(IF($D$2:$D$283=D188,$E$2:$E$283)))/MIN(IF($D$2:$D$283=D188,$E$2:$E$283))</f>
        <v>0.13446519524617995</v>
      </c>
      <c r="I188" s="10">
        <f t="array" ref="I188">(F188-MIN(IF($D$2:$D$283=D188,$F$2:$F$283)))/MIN(IF($D$2:$D$283=D188,$F$2:$F$283))</f>
        <v>3.1311983240846004E-2</v>
      </c>
    </row>
    <row r="189" spans="1:9" x14ac:dyDescent="0.25">
      <c r="A189" s="13" t="s">
        <v>88</v>
      </c>
      <c r="B189" s="13" t="s">
        <v>7</v>
      </c>
      <c r="C189" s="13" t="s">
        <v>148</v>
      </c>
      <c r="D189" s="13" t="s">
        <v>149</v>
      </c>
      <c r="E189" s="25">
        <v>1.169439728353141</v>
      </c>
      <c r="F189" s="24">
        <v>496.02</v>
      </c>
      <c r="G189" s="6">
        <f t="shared" si="18"/>
        <v>0.62226009818661154</v>
      </c>
      <c r="H189" s="9">
        <f t="array" ref="H189">(E189-MIN(IF($D$2:$D$283=D189,$E$2:$E$283)))/MIN(IF($D$2:$D$283=D189,$E$2:$E$283))</f>
        <v>0.16943972835314103</v>
      </c>
      <c r="I189" s="10">
        <f t="array" ref="I189">(F189-MIN(IF($D$2:$D$283=D189,$F$2:$F$283)))/MIN(IF($D$2:$D$283=D189,$F$2:$F$283))</f>
        <v>0.10543558200173833</v>
      </c>
    </row>
    <row r="190" spans="1:9" x14ac:dyDescent="0.25">
      <c r="A190" s="13" t="s">
        <v>88</v>
      </c>
      <c r="B190" s="13" t="s">
        <v>7</v>
      </c>
      <c r="C190" s="13" t="s">
        <v>148</v>
      </c>
      <c r="D190" s="13" t="s">
        <v>149</v>
      </c>
      <c r="E190" s="25">
        <v>1.294397283531409</v>
      </c>
      <c r="F190" s="24">
        <v>539.66999999999996</v>
      </c>
      <c r="G190" s="6">
        <f t="shared" si="18"/>
        <v>0.68857445168267473</v>
      </c>
      <c r="H190" s="9">
        <f t="array" ref="H190">(E190-MIN(IF($D$2:$D$283=D190,$E$2:$E$283)))/MIN(IF($D$2:$D$283=D190,$E$2:$E$283))</f>
        <v>0.29439728353140904</v>
      </c>
      <c r="I190" s="10">
        <f t="array" ref="I190">(F190-MIN(IF($D$2:$D$283=D190,$F$2:$F$283)))/MIN(IF($D$2:$D$283=D190,$F$2:$F$283))</f>
        <v>0.20271444808450889</v>
      </c>
    </row>
    <row r="191" spans="1:9" x14ac:dyDescent="0.25">
      <c r="A191" s="13" t="s">
        <v>88</v>
      </c>
      <c r="B191" s="13" t="s">
        <v>7</v>
      </c>
      <c r="C191" s="13" t="s">
        <v>148</v>
      </c>
      <c r="D191" s="13" t="s">
        <v>149</v>
      </c>
      <c r="E191" s="25">
        <v>1.2960950764006791</v>
      </c>
      <c r="F191" s="24">
        <v>545.47</v>
      </c>
      <c r="G191" s="6">
        <f t="shared" si="18"/>
        <v>0.72828090883979579</v>
      </c>
      <c r="H191" s="9">
        <f t="array" ref="H191">(E191-MIN(IF($D$2:$D$283=D191,$E$2:$E$283)))/MIN(IF($D$2:$D$283=D191,$E$2:$E$283))</f>
        <v>0.29609507640067911</v>
      </c>
      <c r="I191" s="10">
        <f t="array" ref="I191">(F191-MIN(IF($D$2:$D$283=D191,$F$2:$F$283)))/MIN(IF($D$2:$D$283=D191,$F$2:$F$283))</f>
        <v>0.21564039134407537</v>
      </c>
    </row>
    <row r="192" spans="1:9" x14ac:dyDescent="0.25">
      <c r="A192" s="13" t="s">
        <v>88</v>
      </c>
      <c r="B192" s="13" t="s">
        <v>7</v>
      </c>
      <c r="C192" s="13" t="s">
        <v>148</v>
      </c>
      <c r="D192" s="13" t="s">
        <v>150</v>
      </c>
      <c r="E192" s="25">
        <v>1</v>
      </c>
      <c r="F192" s="24">
        <v>475</v>
      </c>
      <c r="G192" s="6" t="str">
        <f t="shared" si="18"/>
        <v/>
      </c>
      <c r="H192" s="9">
        <f t="array" ref="H192">(E192-MIN(IF($D$2:$D$283=D192,$E$2:$E$283)))/MIN(IF($D$2:$D$283=D192,$E$2:$E$283))</f>
        <v>0</v>
      </c>
      <c r="I192" s="10">
        <f t="array" ref="I192">(F192-MIN(IF($D$2:$D$283=D192,$F$2:$F$283)))/MIN(IF($D$2:$D$283=D192,$F$2:$F$283))</f>
        <v>0</v>
      </c>
    </row>
    <row r="193" spans="1:9" x14ac:dyDescent="0.25">
      <c r="A193" s="13" t="s">
        <v>88</v>
      </c>
      <c r="B193" s="13" t="s">
        <v>7</v>
      </c>
      <c r="C193" s="13" t="s">
        <v>148</v>
      </c>
      <c r="D193" s="13" t="s">
        <v>150</v>
      </c>
      <c r="E193" s="25">
        <v>1.0334991708126038</v>
      </c>
      <c r="F193" s="24">
        <v>476.12</v>
      </c>
      <c r="G193" s="6">
        <f t="shared" si="18"/>
        <v>7.0386659718603445E-2</v>
      </c>
      <c r="H193" s="9">
        <f t="array" ref="H193">(E193-MIN(IF($D$2:$D$283=D193,$E$2:$E$283)))/MIN(IF($D$2:$D$283=D193,$E$2:$E$283))</f>
        <v>3.3499170812603785E-2</v>
      </c>
      <c r="I193" s="10">
        <f t="array" ref="I193">(F193-MIN(IF($D$2:$D$283=D193,$F$2:$F$283)))/MIN(IF($D$2:$D$283=D193,$F$2:$F$283))</f>
        <v>2.3578947368421148E-3</v>
      </c>
    </row>
    <row r="194" spans="1:9" x14ac:dyDescent="0.25">
      <c r="A194" s="13" t="s">
        <v>88</v>
      </c>
      <c r="B194" s="13" t="s">
        <v>7</v>
      </c>
      <c r="C194" s="13" t="s">
        <v>148</v>
      </c>
      <c r="D194" s="13" t="s">
        <v>150</v>
      </c>
      <c r="E194" s="25">
        <v>1.0772802653399669</v>
      </c>
      <c r="F194" s="24">
        <v>478.79</v>
      </c>
      <c r="G194" s="6">
        <f t="shared" si="18"/>
        <v>0.10324689405918276</v>
      </c>
      <c r="H194" s="9">
        <f t="array" ref="H194">(E194-MIN(IF($D$2:$D$283=D194,$E$2:$E$283)))/MIN(IF($D$2:$D$283=D194,$E$2:$E$283))</f>
        <v>7.7280265339966903E-2</v>
      </c>
      <c r="I194" s="10">
        <f t="array" ref="I194">(F194-MIN(IF($D$2:$D$283=D194,$F$2:$F$283)))/MIN(IF($D$2:$D$283=D194,$F$2:$F$283))</f>
        <v>7.9789473684210958E-3</v>
      </c>
    </row>
    <row r="195" spans="1:9" x14ac:dyDescent="0.25">
      <c r="A195" s="13" t="s">
        <v>88</v>
      </c>
      <c r="B195" s="13" t="s">
        <v>7</v>
      </c>
      <c r="C195" s="13" t="s">
        <v>148</v>
      </c>
      <c r="D195" s="13" t="s">
        <v>150</v>
      </c>
      <c r="E195" s="25">
        <v>1.1197346600331675</v>
      </c>
      <c r="F195" s="24">
        <v>485.84</v>
      </c>
      <c r="G195" s="6">
        <f t="shared" si="18"/>
        <v>0.19059688001166311</v>
      </c>
      <c r="H195" s="9">
        <f t="array" ref="H195">(E195-MIN(IF($D$2:$D$283=D195,$E$2:$E$283)))/MIN(IF($D$2:$D$283=D195,$E$2:$E$283))</f>
        <v>0.11973466003316746</v>
      </c>
      <c r="I195" s="10">
        <f t="array" ref="I195">(F195-MIN(IF($D$2:$D$283=D195,$F$2:$F$283)))/MIN(IF($D$2:$D$283=D195,$F$2:$F$283))</f>
        <v>2.2821052631578895E-2</v>
      </c>
    </row>
    <row r="196" spans="1:9" x14ac:dyDescent="0.25">
      <c r="A196" s="13" t="s">
        <v>88</v>
      </c>
      <c r="B196" s="13" t="s">
        <v>7</v>
      </c>
      <c r="C196" s="13" t="s">
        <v>148</v>
      </c>
      <c r="D196" s="13" t="s">
        <v>150</v>
      </c>
      <c r="E196" s="25">
        <v>1.1343283582089552</v>
      </c>
      <c r="F196" s="24">
        <v>489.05</v>
      </c>
      <c r="G196" s="6">
        <f t="shared" si="18"/>
        <v>0.220198830409357</v>
      </c>
      <c r="H196" s="9">
        <f t="array" ref="H196">(E196-MIN(IF($D$2:$D$283=D196,$E$2:$E$283)))/MIN(IF($D$2:$D$283=D196,$E$2:$E$283))</f>
        <v>0.13432835820895517</v>
      </c>
      <c r="I196" s="10">
        <f t="array" ref="I196">(F196-MIN(IF($D$2:$D$283=D196,$F$2:$F$283)))/MIN(IF($D$2:$D$283=D196,$F$2:$F$283))</f>
        <v>2.9578947368421076E-2</v>
      </c>
    </row>
    <row r="197" spans="1:9" x14ac:dyDescent="0.25">
      <c r="A197" s="13" t="s">
        <v>88</v>
      </c>
      <c r="B197" s="13" t="s">
        <v>7</v>
      </c>
      <c r="C197" s="13" t="s">
        <v>148</v>
      </c>
      <c r="D197" s="13" t="s">
        <v>150</v>
      </c>
      <c r="E197" s="25">
        <v>1.1691542288557213</v>
      </c>
      <c r="F197" s="24">
        <v>522.30999999999995</v>
      </c>
      <c r="G197" s="6">
        <f t="shared" si="18"/>
        <v>0.58881176470588203</v>
      </c>
      <c r="H197" s="9">
        <f t="array" ref="H197">(E197-MIN(IF($D$2:$D$283=D197,$E$2:$E$283)))/MIN(IF($D$2:$D$283=D197,$E$2:$E$283))</f>
        <v>0.16915422885572129</v>
      </c>
      <c r="I197" s="10">
        <f t="array" ref="I197">(F197-MIN(IF($D$2:$D$283=D197,$F$2:$F$283)))/MIN(IF($D$2:$D$283=D197,$F$2:$F$283))</f>
        <v>9.9599999999999883E-2</v>
      </c>
    </row>
    <row r="198" spans="1:9" x14ac:dyDescent="0.25">
      <c r="A198" s="13" t="s">
        <v>88</v>
      </c>
      <c r="B198" s="13" t="s">
        <v>7</v>
      </c>
      <c r="C198" s="13" t="s">
        <v>148</v>
      </c>
      <c r="D198" s="13" t="s">
        <v>150</v>
      </c>
      <c r="E198" s="25">
        <v>1.294195688225539</v>
      </c>
      <c r="F198" s="24">
        <v>565.96</v>
      </c>
      <c r="G198" s="6">
        <f t="shared" si="18"/>
        <v>0.65090939298641215</v>
      </c>
      <c r="H198" s="9">
        <f t="array" ref="H198">(E198-MIN(IF($D$2:$D$283=D198,$E$2:$E$283)))/MIN(IF($D$2:$D$283=D198,$E$2:$E$283))</f>
        <v>0.29419568822553899</v>
      </c>
      <c r="I198" s="10">
        <f t="array" ref="I198">(F198-MIN(IF($D$2:$D$283=D198,$F$2:$F$283)))/MIN(IF($D$2:$D$283=D198,$F$2:$F$283))</f>
        <v>0.19149473684210533</v>
      </c>
    </row>
    <row r="199" spans="1:9" x14ac:dyDescent="0.25">
      <c r="A199" s="13" t="s">
        <v>88</v>
      </c>
      <c r="B199" s="13" t="s">
        <v>7</v>
      </c>
      <c r="C199" s="13" t="s">
        <v>148</v>
      </c>
      <c r="D199" s="13" t="s">
        <v>150</v>
      </c>
      <c r="E199" s="25">
        <v>1.2961857379767827</v>
      </c>
      <c r="F199" s="24">
        <v>571.76</v>
      </c>
      <c r="G199" s="6">
        <f t="shared" si="18"/>
        <v>0.68776189072906235</v>
      </c>
      <c r="H199" s="9">
        <f t="array" ref="H199">(E199-MIN(IF($D$2:$D$283=D199,$E$2:$E$283)))/MIN(IF($D$2:$D$283=D199,$E$2:$E$283))</f>
        <v>0.29618573797678271</v>
      </c>
      <c r="I199" s="10">
        <f t="array" ref="I199">(F199-MIN(IF($D$2:$D$283=D199,$F$2:$F$283)))/MIN(IF($D$2:$D$283=D199,$F$2:$F$283))</f>
        <v>0.20370526315789472</v>
      </c>
    </row>
    <row r="200" spans="1:9" x14ac:dyDescent="0.25">
      <c r="A200" s="13" t="s">
        <v>88</v>
      </c>
      <c r="B200" s="13" t="s">
        <v>7</v>
      </c>
      <c r="C200" s="13" t="s">
        <v>148</v>
      </c>
      <c r="D200" t="s">
        <v>151</v>
      </c>
      <c r="E200" s="25">
        <v>1</v>
      </c>
      <c r="F200" s="24">
        <v>492.48</v>
      </c>
      <c r="G200" s="6" t="str">
        <f t="shared" si="18"/>
        <v/>
      </c>
      <c r="H200" s="9">
        <f t="array" ref="H200">(E200-MIN(IF($D$2:$D$283=D200,$E$2:$E$283)))/MIN(IF($D$2:$D$283=D200,$E$2:$E$283))</f>
        <v>0</v>
      </c>
      <c r="I200" s="10">
        <f t="array" ref="I200">(F200-MIN(IF($D$2:$D$283=D200,$F$2:$F$283)))/MIN(IF($D$2:$D$283=D200,$F$2:$F$283))</f>
        <v>0</v>
      </c>
    </row>
    <row r="201" spans="1:9" x14ac:dyDescent="0.25">
      <c r="A201" s="13" t="s">
        <v>88</v>
      </c>
      <c r="B201" s="13" t="s">
        <v>7</v>
      </c>
      <c r="C201" s="13" t="s">
        <v>148</v>
      </c>
      <c r="D201" s="13" t="s">
        <v>151</v>
      </c>
      <c r="E201" s="25">
        <v>1.0278873239436619</v>
      </c>
      <c r="F201" s="24">
        <v>493.6</v>
      </c>
      <c r="G201" s="6">
        <f t="shared" si="18"/>
        <v>8.1549740419136693E-2</v>
      </c>
      <c r="H201" s="9">
        <f t="array" ref="H201">(E201-MIN(IF($D$2:$D$283=D201,$E$2:$E$283)))/MIN(IF($D$2:$D$283=D201,$E$2:$E$283))</f>
        <v>2.788732394366189E-2</v>
      </c>
      <c r="I201" s="10">
        <f t="array" ref="I201">(F201-MIN(IF($D$2:$D$283=D201,$F$2:$F$283)))/MIN(IF($D$2:$D$283=D201,$F$2:$F$283))</f>
        <v>2.2742040285900025E-3</v>
      </c>
    </row>
    <row r="202" spans="1:9" x14ac:dyDescent="0.25">
      <c r="A202" s="13" t="s">
        <v>88</v>
      </c>
      <c r="B202" s="13" t="s">
        <v>7</v>
      </c>
      <c r="C202" s="13" t="s">
        <v>148</v>
      </c>
      <c r="D202" s="13" t="s">
        <v>151</v>
      </c>
      <c r="E202" s="25">
        <v>1.0783098591549296</v>
      </c>
      <c r="F202" s="24">
        <v>526.85</v>
      </c>
      <c r="G202" s="6">
        <f t="shared" si="18"/>
        <v>0.89119859083493413</v>
      </c>
      <c r="H202" s="9">
        <f t="array" ref="H202">(E202-MIN(IF($D$2:$D$283=D202,$E$2:$E$283)))/MIN(IF($D$2:$D$283=D202,$E$2:$E$283))</f>
        <v>7.8309859154929606E-2</v>
      </c>
      <c r="I202" s="10">
        <f t="array" ref="I202">(F202-MIN(IF($D$2:$D$283=D202,$F$2:$F$283)))/MIN(IF($D$2:$D$283=D202,$F$2:$F$283))</f>
        <v>6.9789636127355434E-2</v>
      </c>
    </row>
    <row r="203" spans="1:9" x14ac:dyDescent="0.25">
      <c r="A203" s="13" t="s">
        <v>88</v>
      </c>
      <c r="B203" s="13" t="s">
        <v>7</v>
      </c>
      <c r="C203" s="13" t="s">
        <v>148</v>
      </c>
      <c r="D203" s="13" t="s">
        <v>151</v>
      </c>
      <c r="E203" s="25">
        <v>1.2143661971830986</v>
      </c>
      <c r="F203" s="24">
        <v>570.47</v>
      </c>
      <c r="G203" s="6">
        <f t="shared" si="18"/>
        <v>0.73874408822221038</v>
      </c>
      <c r="H203" s="9">
        <f t="array" ref="H203">(E203-MIN(IF($D$2:$D$283=D203,$E$2:$E$283)))/MIN(IF($D$2:$D$283=D203,$E$2:$E$283))</f>
        <v>0.21436619718309857</v>
      </c>
      <c r="I203" s="10">
        <f t="array" ref="I203">(F203-MIN(IF($D$2:$D$283=D203,$F$2:$F$283)))/MIN(IF($D$2:$D$283=D203,$F$2:$F$283))</f>
        <v>0.15836176088369072</v>
      </c>
    </row>
    <row r="204" spans="1:9" x14ac:dyDescent="0.25">
      <c r="A204" s="13" t="s">
        <v>88</v>
      </c>
      <c r="B204" s="13" t="s">
        <v>7</v>
      </c>
      <c r="C204" s="13" t="s">
        <v>148</v>
      </c>
      <c r="D204" s="13" t="s">
        <v>151</v>
      </c>
      <c r="E204" s="25">
        <v>1.216619718309859</v>
      </c>
      <c r="F204" s="24">
        <v>577.61</v>
      </c>
      <c r="G204" s="6">
        <f t="shared" si="18"/>
        <v>0.79798742660484989</v>
      </c>
      <c r="H204" s="9">
        <f t="array" ref="H204">(E204-MIN(IF($D$2:$D$283=D204,$E$2:$E$283)))/MIN(IF($D$2:$D$283=D204,$E$2:$E$283))</f>
        <v>0.21661971830985904</v>
      </c>
      <c r="I204" s="10">
        <f t="array" ref="I204">(F204-MIN(IF($D$2:$D$283=D204,$F$2:$F$283)))/MIN(IF($D$2:$D$283=D204,$F$2:$F$283))</f>
        <v>0.1728598115659519</v>
      </c>
    </row>
    <row r="205" spans="1:9" x14ac:dyDescent="0.25">
      <c r="A205" s="13" t="s">
        <v>88</v>
      </c>
      <c r="B205" s="13" t="s">
        <v>7</v>
      </c>
      <c r="C205" s="13" t="s">
        <v>148</v>
      </c>
      <c r="D205" s="13" t="s">
        <v>152</v>
      </c>
      <c r="E205" s="25">
        <v>1</v>
      </c>
      <c r="F205" s="24">
        <v>518.75</v>
      </c>
      <c r="G205" s="6" t="str">
        <f t="shared" si="18"/>
        <v/>
      </c>
      <c r="H205" s="9">
        <f t="array" ref="H205">(E205-MIN(IF($D$2:$D$283=D205,$E$2:$E$283)))/MIN(IF($D$2:$D$283=D205,$E$2:$E$283))</f>
        <v>0</v>
      </c>
      <c r="I205" s="10">
        <f t="array" ref="I205">(F205-MIN(IF($D$2:$D$283=D205,$F$2:$F$283)))/MIN(IF($D$2:$D$283=D205,$F$2:$F$283))</f>
        <v>0</v>
      </c>
    </row>
    <row r="206" spans="1:9" x14ac:dyDescent="0.25">
      <c r="A206" s="13" t="s">
        <v>88</v>
      </c>
      <c r="B206" s="13" t="s">
        <v>7</v>
      </c>
      <c r="C206" s="13" t="s">
        <v>148</v>
      </c>
      <c r="D206" s="13" t="s">
        <v>152</v>
      </c>
      <c r="E206" s="25">
        <v>1.0278873239436619</v>
      </c>
      <c r="F206" s="24">
        <v>519.88</v>
      </c>
      <c r="G206" s="6">
        <f t="shared" si="18"/>
        <v>7.8111232810027909E-2</v>
      </c>
      <c r="H206" s="9">
        <f t="array" ref="H206">(E206-MIN(IF($D$2:$D$283=D206,$E$2:$E$283)))/MIN(IF($D$2:$D$283=D206,$E$2:$E$283))</f>
        <v>2.788732394366189E-2</v>
      </c>
      <c r="I206" s="10">
        <f t="array" ref="I206">(F206-MIN(IF($D$2:$D$283=D206,$F$2:$F$283)))/MIN(IF($D$2:$D$283=D206,$F$2:$F$283))</f>
        <v>2.1783132530120396E-3</v>
      </c>
    </row>
    <row r="207" spans="1:9" x14ac:dyDescent="0.25">
      <c r="A207" s="13" t="s">
        <v>88</v>
      </c>
      <c r="B207" s="13" t="s">
        <v>7</v>
      </c>
      <c r="C207" s="13" t="s">
        <v>148</v>
      </c>
      <c r="D207" s="13" t="s">
        <v>152</v>
      </c>
      <c r="E207" s="25">
        <v>1.0783098591549296</v>
      </c>
      <c r="F207" s="24">
        <v>553.12</v>
      </c>
      <c r="G207" s="6">
        <f t="shared" si="18"/>
        <v>0.84606743520845962</v>
      </c>
      <c r="H207" s="9">
        <f t="array" ref="H207">(E207-MIN(IF($D$2:$D$283=D207,$E$2:$E$283)))/MIN(IF($D$2:$D$283=D207,$E$2:$E$283))</f>
        <v>7.8309859154929606E-2</v>
      </c>
      <c r="I207" s="10">
        <f t="array" ref="I207">(F207-MIN(IF($D$2:$D$283=D207,$F$2:$F$283)))/MIN(IF($D$2:$D$283=D207,$F$2:$F$283))</f>
        <v>6.6255421686747001E-2</v>
      </c>
    </row>
    <row r="208" spans="1:9" x14ac:dyDescent="0.25">
      <c r="A208" s="13" t="s">
        <v>88</v>
      </c>
      <c r="B208" s="13" t="s">
        <v>7</v>
      </c>
      <c r="C208" s="13" t="s">
        <v>148</v>
      </c>
      <c r="D208" s="13" t="s">
        <v>152</v>
      </c>
      <c r="E208" s="25">
        <v>1.2143661971830986</v>
      </c>
      <c r="F208" s="24">
        <v>596.75</v>
      </c>
      <c r="G208" s="6">
        <f t="shared" si="18"/>
        <v>0.70142330161645283</v>
      </c>
      <c r="H208" s="9">
        <f t="array" ref="H208">(E208-MIN(IF($D$2:$D$283=D208,$E$2:$E$283)))/MIN(IF($D$2:$D$283=D208,$E$2:$E$283))</f>
        <v>0.21436619718309857</v>
      </c>
      <c r="I208" s="10">
        <f t="array" ref="I208">(F208-MIN(IF($D$2:$D$283=D208,$F$2:$F$283)))/MIN(IF($D$2:$D$283=D208,$F$2:$F$283))</f>
        <v>0.15036144578313254</v>
      </c>
    </row>
    <row r="209" spans="1:9" x14ac:dyDescent="0.25">
      <c r="A209" s="13" t="s">
        <v>88</v>
      </c>
      <c r="B209" s="13" t="s">
        <v>7</v>
      </c>
      <c r="C209" s="13" t="s">
        <v>148</v>
      </c>
      <c r="D209" s="13" t="s">
        <v>152</v>
      </c>
      <c r="E209" s="25">
        <v>1.216619718309859</v>
      </c>
      <c r="F209" s="24">
        <v>603.88</v>
      </c>
      <c r="G209" s="6">
        <f t="shared" si="18"/>
        <v>0.75757657417707269</v>
      </c>
      <c r="H209" s="9">
        <f t="array" ref="H209">(E209-MIN(IF($D$2:$D$283=D209,$E$2:$E$283)))/MIN(IF($D$2:$D$283=D209,$E$2:$E$283))</f>
        <v>0.21661971830985904</v>
      </c>
      <c r="I209" s="10">
        <f t="array" ref="I209">(F209-MIN(IF($D$2:$D$283=D209,$F$2:$F$283)))/MIN(IF($D$2:$D$283=D209,$F$2:$F$283))</f>
        <v>0.16410602409638553</v>
      </c>
    </row>
    <row r="210" spans="1:9" x14ac:dyDescent="0.25">
      <c r="A210" s="13" t="s">
        <v>88</v>
      </c>
      <c r="B210" s="13" t="s">
        <v>7</v>
      </c>
      <c r="C210" s="13" t="s">
        <v>148</v>
      </c>
      <c r="D210" s="13" t="s">
        <v>153</v>
      </c>
      <c r="E210" s="1">
        <v>1</v>
      </c>
      <c r="F210" s="24">
        <v>493.77</v>
      </c>
      <c r="G210" s="6" t="str">
        <f t="shared" si="18"/>
        <v/>
      </c>
      <c r="H210" s="9">
        <f t="array" ref="H210">(E210-MIN(IF($D$2:$D$283=D210,$E$2:$E$283)))/MIN(IF($D$2:$D$283=D210,$E$2:$E$283))</f>
        <v>0</v>
      </c>
      <c r="I210" s="10">
        <f t="array" ref="I210">(F210-MIN(IF($D$2:$D$283=D210,$F$2:$F$283)))/MIN(IF($D$2:$D$283=D210,$F$2:$F$283))</f>
        <v>0</v>
      </c>
    </row>
    <row r="211" spans="1:9" x14ac:dyDescent="0.25">
      <c r="A211" s="13" t="s">
        <v>88</v>
      </c>
      <c r="B211" s="13" t="s">
        <v>7</v>
      </c>
      <c r="C211" s="13" t="s">
        <v>148</v>
      </c>
      <c r="D211" s="13" t="s">
        <v>153</v>
      </c>
      <c r="E211" s="1">
        <v>1.2213671985648191</v>
      </c>
      <c r="F211" s="24">
        <v>493.77</v>
      </c>
      <c r="G211" s="6">
        <f t="shared" si="18"/>
        <v>0</v>
      </c>
      <c r="H211" s="9">
        <f t="array" ref="H211">(E211-MIN(IF($D$2:$D$283=D211,$E$2:$E$283)))/MIN(IF($D$2:$D$283=D211,$E$2:$E$283))</f>
        <v>0.22136719856481912</v>
      </c>
      <c r="I211" s="10">
        <f t="array" ref="I211">(F211-MIN(IF($D$2:$D$283=D211,$F$2:$F$283)))/MIN(IF($D$2:$D$283=D211,$F$2:$F$283))</f>
        <v>0</v>
      </c>
    </row>
    <row r="212" spans="1:9" x14ac:dyDescent="0.25">
      <c r="A212" s="13" t="s">
        <v>88</v>
      </c>
      <c r="B212" s="13" t="s">
        <v>7</v>
      </c>
      <c r="C212" s="13" t="s">
        <v>148</v>
      </c>
      <c r="D212" s="13" t="s">
        <v>153</v>
      </c>
      <c r="E212" s="1">
        <v>1.2377018223019545</v>
      </c>
      <c r="F212" s="24">
        <v>494.89</v>
      </c>
      <c r="G212" s="6">
        <f t="shared" si="18"/>
        <v>9.5424701814399264E-3</v>
      </c>
      <c r="H212" s="9">
        <f t="array" ref="H212">(E212-MIN(IF($D$2:$D$283=D212,$E$2:$E$283)))/MIN(IF($D$2:$D$283=D212,$E$2:$E$283))</f>
        <v>0.23770182230195447</v>
      </c>
      <c r="I212" s="10">
        <f t="array" ref="I212">(F212-MIN(IF($D$2:$D$283=D212,$F$2:$F$283)))/MIN(IF($D$2:$D$283=D212,$F$2:$F$283))</f>
        <v>2.2682625513903328E-3</v>
      </c>
    </row>
    <row r="213" spans="1:9" x14ac:dyDescent="0.25">
      <c r="A213" s="13" t="s">
        <v>88</v>
      </c>
      <c r="B213" s="13" t="s">
        <v>7</v>
      </c>
      <c r="C213" s="13" t="s">
        <v>148</v>
      </c>
      <c r="D213" s="13" t="s">
        <v>153</v>
      </c>
      <c r="E213" s="1">
        <v>1.2962420923425548</v>
      </c>
      <c r="F213" s="24">
        <v>503.73</v>
      </c>
      <c r="G213" s="6">
        <f t="shared" si="18"/>
        <v>6.8090711460011152E-2</v>
      </c>
      <c r="H213" s="9">
        <f t="array" ref="H213">(E213-MIN(IF($D$2:$D$283=D213,$E$2:$E$283)))/MIN(IF($D$2:$D$283=D213,$E$2:$E$283))</f>
        <v>0.29624209234255483</v>
      </c>
      <c r="I213" s="10">
        <f t="array" ref="I213">(F213-MIN(IF($D$2:$D$283=D213,$F$2:$F$283)))/MIN(IF($D$2:$D$283=D213,$F$2:$F$283))</f>
        <v>2.0171334832006879E-2</v>
      </c>
    </row>
    <row r="214" spans="1:9" x14ac:dyDescent="0.25">
      <c r="A214" s="13" t="s">
        <v>88</v>
      </c>
      <c r="B214" s="13" t="s">
        <v>7</v>
      </c>
      <c r="C214" s="13" t="s">
        <v>148</v>
      </c>
      <c r="D214" s="13" t="s">
        <v>153</v>
      </c>
      <c r="E214" s="1">
        <v>1.3320744027948257</v>
      </c>
      <c r="F214" s="24">
        <v>510.73</v>
      </c>
      <c r="G214" s="6">
        <f t="shared" si="18"/>
        <v>0.10343457818222297</v>
      </c>
      <c r="H214" s="9">
        <f t="array" ref="H214">(E214-MIN(IF($D$2:$D$283=D214,$E$2:$E$283)))/MIN(IF($D$2:$D$283=D214,$E$2:$E$283))</f>
        <v>0.3320744027948257</v>
      </c>
      <c r="I214" s="10">
        <f t="array" ref="I214">(F214-MIN(IF($D$2:$D$283=D214,$F$2:$F$283)))/MIN(IF($D$2:$D$283=D214,$F$2:$F$283))</f>
        <v>3.4347975778196399E-2</v>
      </c>
    </row>
    <row r="215" spans="1:9" x14ac:dyDescent="0.25">
      <c r="A215" s="13" t="s">
        <v>88</v>
      </c>
      <c r="B215" s="13" t="s">
        <v>7</v>
      </c>
      <c r="C215" s="13" t="s">
        <v>148</v>
      </c>
      <c r="D215" s="13" t="s">
        <v>153</v>
      </c>
      <c r="E215" s="1">
        <v>1.3387782079123784</v>
      </c>
      <c r="F215" s="24">
        <v>513.91</v>
      </c>
      <c r="G215" s="6">
        <f t="shared" si="18"/>
        <v>0.12039800755766904</v>
      </c>
      <c r="H215" s="9">
        <f t="array" ref="H215">(E215-MIN(IF($D$2:$D$283=D215,$E$2:$E$283)))/MIN(IF($D$2:$D$283=D215,$E$2:$E$283))</f>
        <v>0.33877820791237845</v>
      </c>
      <c r="I215" s="10">
        <f t="array" ref="I215">(F215-MIN(IF($D$2:$D$283=D215,$F$2:$F$283)))/MIN(IF($D$2:$D$283=D215,$F$2:$F$283))</f>
        <v>4.0788221236608115E-2</v>
      </c>
    </row>
    <row r="216" spans="1:9" x14ac:dyDescent="0.25">
      <c r="A216" s="13" t="s">
        <v>88</v>
      </c>
      <c r="B216" s="13" t="s">
        <v>7</v>
      </c>
      <c r="C216" s="13" t="s">
        <v>148</v>
      </c>
      <c r="D216" s="13" t="s">
        <v>153</v>
      </c>
      <c r="E216" s="1">
        <v>1.360022660749693</v>
      </c>
      <c r="F216" s="24">
        <v>542.08000000000004</v>
      </c>
      <c r="G216" s="6">
        <f t="shared" si="18"/>
        <v>0.27175810175165505</v>
      </c>
      <c r="H216" s="9">
        <f t="array" ref="H216">(E216-MIN(IF($D$2:$D$283=D216,$E$2:$E$283)))/MIN(IF($D$2:$D$283=D216,$E$2:$E$283))</f>
        <v>0.36002266074969302</v>
      </c>
      <c r="I216" s="10">
        <f t="array" ref="I216">(F216-MIN(IF($D$2:$D$283=D216,$F$2:$F$283)))/MIN(IF($D$2:$D$283=D216,$F$2:$F$283))</f>
        <v>9.7839074872916668E-2</v>
      </c>
    </row>
    <row r="217" spans="1:9" x14ac:dyDescent="0.25">
      <c r="A217" s="13" t="s">
        <v>88</v>
      </c>
      <c r="B217" s="13" t="s">
        <v>7</v>
      </c>
      <c r="C217" s="13" t="s">
        <v>148</v>
      </c>
      <c r="D217" s="13" t="s">
        <v>153</v>
      </c>
      <c r="E217" s="1">
        <v>1.3640827117363798</v>
      </c>
      <c r="F217" s="24">
        <v>547.96</v>
      </c>
      <c r="G217" s="6">
        <f t="shared" si="18"/>
        <v>0.30143549729211072</v>
      </c>
      <c r="H217" s="9">
        <f t="array" ref="H217">(E217-MIN(IF($D$2:$D$283=D217,$E$2:$E$283)))/MIN(IF($D$2:$D$283=D217,$E$2:$E$283))</f>
        <v>0.36408271173637985</v>
      </c>
      <c r="I217" s="10">
        <f t="array" ref="I217">(F217-MIN(IF($D$2:$D$283=D217,$F$2:$F$283)))/MIN(IF($D$2:$D$283=D217,$F$2:$F$283))</f>
        <v>0.10974745326771586</v>
      </c>
    </row>
    <row r="218" spans="1:9" x14ac:dyDescent="0.25">
      <c r="A218" s="13" t="s">
        <v>88</v>
      </c>
      <c r="B218" s="13" t="s">
        <v>7</v>
      </c>
      <c r="C218" s="13" t="s">
        <v>148</v>
      </c>
      <c r="D218" s="13" t="s">
        <v>154</v>
      </c>
      <c r="E218" s="1">
        <v>1</v>
      </c>
      <c r="F218" s="24">
        <v>519.84</v>
      </c>
      <c r="G218" s="6" t="str">
        <f t="shared" si="18"/>
        <v/>
      </c>
      <c r="H218" s="9">
        <f t="array" ref="H218">(E218-MIN(IF($D$2:$D$283=D218,$E$2:$E$283)))/MIN(IF($D$2:$D$283=D218,$E$2:$E$283))</f>
        <v>0</v>
      </c>
      <c r="I218" s="10">
        <f t="array" ref="I218">(F218-MIN(IF($D$2:$D$283=D218,$F$2:$F$283)))/MIN(IF($D$2:$D$283=D218,$F$2:$F$283))</f>
        <v>0</v>
      </c>
    </row>
    <row r="219" spans="1:9" x14ac:dyDescent="0.25">
      <c r="A219" s="13" t="s">
        <v>88</v>
      </c>
      <c r="B219" s="13" t="s">
        <v>7</v>
      </c>
      <c r="C219" s="13" t="s">
        <v>148</v>
      </c>
      <c r="D219" s="13" t="s">
        <v>154</v>
      </c>
      <c r="E219" s="1">
        <v>1.2213671985648191</v>
      </c>
      <c r="F219" s="24">
        <v>519.84</v>
      </c>
      <c r="G219" s="6">
        <f t="shared" si="18"/>
        <v>0</v>
      </c>
      <c r="H219" s="9">
        <f t="array" ref="H219">(E219-MIN(IF($D$2:$D$283=D219,$E$2:$E$283)))/MIN(IF($D$2:$D$283=D219,$E$2:$E$283))</f>
        <v>0.22136719856481912</v>
      </c>
      <c r="I219" s="10">
        <f t="array" ref="I219">(F219-MIN(IF($D$2:$D$283=D219,$F$2:$F$283)))/MIN(IF($D$2:$D$283=D219,$F$2:$F$283))</f>
        <v>0</v>
      </c>
    </row>
    <row r="220" spans="1:9" x14ac:dyDescent="0.25">
      <c r="A220" s="13" t="s">
        <v>88</v>
      </c>
      <c r="B220" s="13" t="s">
        <v>7</v>
      </c>
      <c r="C220" s="13" t="s">
        <v>148</v>
      </c>
      <c r="D220" s="13" t="s">
        <v>154</v>
      </c>
      <c r="E220" s="1">
        <v>1.2377018223019545</v>
      </c>
      <c r="F220" s="24">
        <v>520.95000000000005</v>
      </c>
      <c r="G220" s="6">
        <f t="shared" si="18"/>
        <v>8.9829870500220711E-3</v>
      </c>
      <c r="H220" s="9">
        <f t="array" ref="H220">(E220-MIN(IF($D$2:$D$283=D220,$E$2:$E$283)))/MIN(IF($D$2:$D$283=D220,$E$2:$E$283))</f>
        <v>0.23770182230195447</v>
      </c>
      <c r="I220" s="10">
        <f t="array" ref="I220">(F220-MIN(IF($D$2:$D$283=D220,$F$2:$F$283)))/MIN(IF($D$2:$D$283=D220,$F$2:$F$283))</f>
        <v>2.1352723915051045E-3</v>
      </c>
    </row>
    <row r="221" spans="1:9" x14ac:dyDescent="0.25">
      <c r="A221" s="13" t="s">
        <v>88</v>
      </c>
      <c r="B221" s="13" t="s">
        <v>7</v>
      </c>
      <c r="C221" s="13" t="s">
        <v>148</v>
      </c>
      <c r="D221" s="13" t="s">
        <v>154</v>
      </c>
      <c r="E221" s="1">
        <v>1.2962420923425548</v>
      </c>
      <c r="F221" s="24">
        <v>529.79999999999995</v>
      </c>
      <c r="G221" s="6">
        <f t="shared" si="18"/>
        <v>6.4675959136675357E-2</v>
      </c>
      <c r="H221" s="9">
        <f t="array" ref="H221">(E221-MIN(IF($D$2:$D$283=D221,$E$2:$E$283)))/MIN(IF($D$2:$D$283=D221,$E$2:$E$283))</f>
        <v>0.29624209234255483</v>
      </c>
      <c r="I221" s="10">
        <f t="array" ref="I221">(F221-MIN(IF($D$2:$D$283=D221,$F$2:$F$283)))/MIN(IF($D$2:$D$283=D221,$F$2:$F$283))</f>
        <v>1.9159741458910286E-2</v>
      </c>
    </row>
    <row r="222" spans="1:9" x14ac:dyDescent="0.25">
      <c r="A222" s="13" t="s">
        <v>88</v>
      </c>
      <c r="B222" s="13" t="s">
        <v>7</v>
      </c>
      <c r="C222" s="13" t="s">
        <v>148</v>
      </c>
      <c r="D222" s="13" t="s">
        <v>154</v>
      </c>
      <c r="E222" s="1">
        <v>1.3320744027948257</v>
      </c>
      <c r="F222" s="24">
        <v>536.79999999999995</v>
      </c>
      <c r="G222" s="6">
        <f t="shared" si="18"/>
        <v>9.8247329311010864E-2</v>
      </c>
      <c r="H222" s="9">
        <f t="array" ref="H222">(E222-MIN(IF($D$2:$D$283=D222,$E$2:$E$283)))/MIN(IF($D$2:$D$283=D222,$E$2:$E$283))</f>
        <v>0.3320744027948257</v>
      </c>
      <c r="I222" s="10">
        <f t="array" ref="I222">(F222-MIN(IF($D$2:$D$283=D222,$F$2:$F$283)))/MIN(IF($D$2:$D$283=D222,$F$2:$F$283))</f>
        <v>3.2625423207140507E-2</v>
      </c>
    </row>
    <row r="223" spans="1:9" x14ac:dyDescent="0.25">
      <c r="A223" s="13" t="s">
        <v>88</v>
      </c>
      <c r="B223" s="13" t="s">
        <v>7</v>
      </c>
      <c r="C223" s="13" t="s">
        <v>148</v>
      </c>
      <c r="D223" s="13" t="s">
        <v>154</v>
      </c>
      <c r="E223" s="1">
        <v>1.3387782079123784</v>
      </c>
      <c r="F223" s="24">
        <v>539.98</v>
      </c>
      <c r="G223" s="6">
        <f t="shared" si="18"/>
        <v>0.11436004192011048</v>
      </c>
      <c r="H223" s="9">
        <f t="array" ref="H223">(E223-MIN(IF($D$2:$D$283=D223,$E$2:$E$283)))/MIN(IF($D$2:$D$283=D223,$E$2:$E$283))</f>
        <v>0.33877820791237845</v>
      </c>
      <c r="I223" s="10">
        <f t="array" ref="I223">(F223-MIN(IF($D$2:$D$283=D223,$F$2:$F$283)))/MIN(IF($D$2:$D$283=D223,$F$2:$F$283))</f>
        <v>3.8742690058479502E-2</v>
      </c>
    </row>
    <row r="224" spans="1:9" x14ac:dyDescent="0.25">
      <c r="A224" s="13" t="s">
        <v>88</v>
      </c>
      <c r="B224" s="13" t="s">
        <v>7</v>
      </c>
      <c r="C224" s="13" t="s">
        <v>148</v>
      </c>
      <c r="D224" s="13" t="s">
        <v>154</v>
      </c>
      <c r="E224" s="1">
        <v>1.360022660749693</v>
      </c>
      <c r="F224" s="24">
        <v>568.15</v>
      </c>
      <c r="G224" s="6">
        <f t="shared" si="18"/>
        <v>0.25812942040226683</v>
      </c>
      <c r="H224" s="9">
        <f t="array" ref="H224">(E224-MIN(IF($D$2:$D$283=D224,$E$2:$E$283)))/MIN(IF($D$2:$D$283=D224,$E$2:$E$283))</f>
        <v>0.36002266074969302</v>
      </c>
      <c r="I224" s="10">
        <f t="array" ref="I224">(F224-MIN(IF($D$2:$D$283=D224,$F$2:$F$283)))/MIN(IF($D$2:$D$283=D224,$F$2:$F$283))</f>
        <v>9.2932440751000198E-2</v>
      </c>
    </row>
    <row r="225" spans="1:9" x14ac:dyDescent="0.25">
      <c r="A225" s="13" t="s">
        <v>88</v>
      </c>
      <c r="B225" s="13" t="s">
        <v>7</v>
      </c>
      <c r="C225" s="13" t="s">
        <v>148</v>
      </c>
      <c r="D225" s="13" t="s">
        <v>154</v>
      </c>
      <c r="E225" s="1">
        <v>1.3640827117363798</v>
      </c>
      <c r="F225" s="24">
        <v>574.03</v>
      </c>
      <c r="G225" s="6">
        <f t="shared" si="18"/>
        <v>0.2863184931862211</v>
      </c>
      <c r="H225" s="9">
        <f t="array" ref="H225">(E225-MIN(IF($D$2:$D$283=D225,$E$2:$E$283)))/MIN(IF($D$2:$D$283=D225,$E$2:$E$283))</f>
        <v>0.36408271173637985</v>
      </c>
      <c r="I225" s="10">
        <f t="array" ref="I225">(F225-MIN(IF($D$2:$D$283=D225,$F$2:$F$283)))/MIN(IF($D$2:$D$283=D225,$F$2:$F$283))</f>
        <v>0.10424361341951358</v>
      </c>
    </row>
    <row r="226" spans="1:9" x14ac:dyDescent="0.25">
      <c r="A226" s="13" t="s">
        <v>88</v>
      </c>
      <c r="B226" s="13" t="s">
        <v>7</v>
      </c>
      <c r="C226" s="13" t="s">
        <v>148</v>
      </c>
      <c r="D226" s="13" t="s">
        <v>155</v>
      </c>
      <c r="E226" s="1">
        <v>1</v>
      </c>
      <c r="F226" s="24">
        <v>608.4</v>
      </c>
      <c r="G226" s="6" t="str">
        <f t="shared" si="18"/>
        <v/>
      </c>
      <c r="H226" s="9">
        <f t="array" ref="H226">(E226-MIN(IF($D$2:$D$283=D226,$E$2:$E$283)))/MIN(IF($D$2:$D$283=D226,$E$2:$E$283))</f>
        <v>0</v>
      </c>
      <c r="I226" s="10">
        <f t="array" ref="I226">(F226-MIN(IF($D$2:$D$283=D226,$F$2:$F$283)))/MIN(IF($D$2:$D$283=D226,$F$2:$F$283))</f>
        <v>0</v>
      </c>
    </row>
    <row r="227" spans="1:9" x14ac:dyDescent="0.25">
      <c r="A227" s="13" t="s">
        <v>88</v>
      </c>
      <c r="B227" s="13" t="s">
        <v>7</v>
      </c>
      <c r="C227" s="13" t="s">
        <v>148</v>
      </c>
      <c r="D227" s="13" t="s">
        <v>155</v>
      </c>
      <c r="E227" s="1">
        <v>1.0188979721838836</v>
      </c>
      <c r="F227" s="24">
        <v>609.52</v>
      </c>
      <c r="G227" s="6">
        <f t="shared" si="18"/>
        <v>9.7412258345707728E-2</v>
      </c>
      <c r="H227" s="9">
        <f t="array" ref="H227">(E227-MIN(IF($D$2:$D$283=D227,$E$2:$E$283)))/MIN(IF($D$2:$D$283=D227,$E$2:$E$283))</f>
        <v>1.889797218388356E-2</v>
      </c>
      <c r="I227" s="10">
        <f t="array" ref="I227">(F227-MIN(IF($D$2:$D$283=D227,$F$2:$F$283)))/MIN(IF($D$2:$D$283=D227,$F$2:$F$283))</f>
        <v>1.8408941485864639E-3</v>
      </c>
    </row>
    <row r="228" spans="1:9" x14ac:dyDescent="0.25">
      <c r="A228" s="13" t="s">
        <v>88</v>
      </c>
      <c r="B228" s="13" t="s">
        <v>7</v>
      </c>
      <c r="C228" s="13" t="s">
        <v>148</v>
      </c>
      <c r="D228" s="13" t="s">
        <v>155</v>
      </c>
      <c r="E228" s="1">
        <v>1.1141840959762181</v>
      </c>
      <c r="F228" s="24">
        <v>618.36</v>
      </c>
      <c r="G228" s="6">
        <f t="shared" si="18"/>
        <v>0.14337205666462255</v>
      </c>
      <c r="H228" s="9">
        <f t="array" ref="H228">(E228-MIN(IF($D$2:$D$283=D228,$E$2:$E$283)))/MIN(IF($D$2:$D$283=D228,$E$2:$E$283))</f>
        <v>0.11418409597621815</v>
      </c>
      <c r="I228" s="10">
        <f t="array" ref="I228">(F228-MIN(IF($D$2:$D$283=D228,$F$2:$F$283)))/MIN(IF($D$2:$D$283=D228,$F$2:$F$283))</f>
        <v>1.6370808678501048E-2</v>
      </c>
    </row>
    <row r="229" spans="1:9" x14ac:dyDescent="0.25">
      <c r="A229" s="13" t="s">
        <v>88</v>
      </c>
      <c r="B229" s="13" t="s">
        <v>7</v>
      </c>
      <c r="C229" s="13" t="s">
        <v>148</v>
      </c>
      <c r="D229" s="13" t="s">
        <v>155</v>
      </c>
      <c r="E229" s="1">
        <v>1.1526170506423188</v>
      </c>
      <c r="F229" s="24">
        <v>646.51</v>
      </c>
      <c r="G229" s="6">
        <f t="shared" si="18"/>
        <v>0.41043717234085125</v>
      </c>
      <c r="H229" s="9">
        <f t="array" ref="H229">(E229-MIN(IF($D$2:$D$283=D229,$E$2:$E$283)))/MIN(IF($D$2:$D$283=D229,$E$2:$E$283))</f>
        <v>0.15261705064231879</v>
      </c>
      <c r="I229" s="10">
        <f t="array" ref="I229">(F229-MIN(IF($D$2:$D$283=D229,$F$2:$F$283)))/MIN(IF($D$2:$D$283=D229,$F$2:$F$283))</f>
        <v>6.2639710716633823E-2</v>
      </c>
    </row>
    <row r="230" spans="1:9" x14ac:dyDescent="0.25">
      <c r="A230" s="13" t="s">
        <v>88</v>
      </c>
      <c r="B230" s="13" t="s">
        <v>7</v>
      </c>
      <c r="C230" s="13" t="s">
        <v>148</v>
      </c>
      <c r="D230" s="13" t="s">
        <v>155</v>
      </c>
      <c r="E230" s="1">
        <v>1.1554305127932902</v>
      </c>
      <c r="F230" s="24">
        <v>653.58000000000004</v>
      </c>
      <c r="G230" s="6">
        <f t="shared" si="18"/>
        <v>0.47777205192873584</v>
      </c>
      <c r="H230" s="9">
        <f t="array" ref="H230">(E230-MIN(IF($D$2:$D$283=D230,$E$2:$E$283)))/MIN(IF($D$2:$D$283=D230,$E$2:$E$283))</f>
        <v>0.15543051279329023</v>
      </c>
      <c r="I230" s="10">
        <f t="array" ref="I230">(F230-MIN(IF($D$2:$D$283=D230,$F$2:$F$283)))/MIN(IF($D$2:$D$283=D230,$F$2:$F$283))</f>
        <v>7.4260355029585903E-2</v>
      </c>
    </row>
    <row r="231" spans="1:9" x14ac:dyDescent="0.25">
      <c r="A231" s="13" t="s">
        <v>88</v>
      </c>
      <c r="B231" s="13" t="s">
        <v>7</v>
      </c>
      <c r="C231" s="13" t="s">
        <v>148</v>
      </c>
      <c r="D231" s="13" t="s">
        <v>156</v>
      </c>
      <c r="E231" s="1">
        <v>1</v>
      </c>
      <c r="F231" s="24">
        <v>634.45000000000005</v>
      </c>
      <c r="G231" s="6" t="str">
        <f t="shared" si="18"/>
        <v/>
      </c>
      <c r="H231" s="9">
        <f t="array" ref="H231">(E231-MIN(IF($D$2:$D$283=D231,$E$2:$E$283)))/MIN(IF($D$2:$D$283=D231,$E$2:$E$283))</f>
        <v>0</v>
      </c>
      <c r="I231" s="10">
        <f t="array" ref="I231">(F231-MIN(IF($D$2:$D$283=D231,$F$2:$F$283)))/MIN(IF($D$2:$D$283=D231,$F$2:$F$283))</f>
        <v>0</v>
      </c>
    </row>
    <row r="232" spans="1:9" x14ac:dyDescent="0.25">
      <c r="A232" s="13" t="s">
        <v>88</v>
      </c>
      <c r="B232" s="13" t="s">
        <v>7</v>
      </c>
      <c r="C232" s="13" t="s">
        <v>148</v>
      </c>
      <c r="D232" s="13" t="s">
        <v>156</v>
      </c>
      <c r="E232" s="1">
        <v>1.0188979721838836</v>
      </c>
      <c r="F232" s="24">
        <v>635.57000000000005</v>
      </c>
      <c r="G232" s="6">
        <f t="shared" si="18"/>
        <v>9.3412590397239453E-2</v>
      </c>
      <c r="H232" s="9">
        <f t="array" ref="H232">(E232-MIN(IF($D$2:$D$283=D232,$E$2:$E$283)))/MIN(IF($D$2:$D$283=D232,$E$2:$E$283))</f>
        <v>1.889797218388356E-2</v>
      </c>
      <c r="I232" s="10">
        <f t="array" ref="I232">(F232-MIN(IF($D$2:$D$283=D232,$F$2:$F$283)))/MIN(IF($D$2:$D$283=D232,$F$2:$F$283))</f>
        <v>1.7653085349515398E-3</v>
      </c>
    </row>
    <row r="233" spans="1:9" x14ac:dyDescent="0.25">
      <c r="A233" s="13" t="s">
        <v>88</v>
      </c>
      <c r="B233" s="13" t="s">
        <v>7</v>
      </c>
      <c r="C233" s="13" t="s">
        <v>148</v>
      </c>
      <c r="D233" s="13" t="s">
        <v>156</v>
      </c>
      <c r="E233" s="1">
        <v>1.1141840959762181</v>
      </c>
      <c r="F233" s="24">
        <v>644.41</v>
      </c>
      <c r="G233" s="6">
        <f t="shared" si="18"/>
        <v>0.13748531684885387</v>
      </c>
      <c r="H233" s="9">
        <f t="array" ref="H233">(E233-MIN(IF($D$2:$D$283=D233,$E$2:$E$283)))/MIN(IF($D$2:$D$283=D233,$E$2:$E$283))</f>
        <v>0.11418409597621815</v>
      </c>
      <c r="I233" s="10">
        <f t="array" ref="I233">(F233-MIN(IF($D$2:$D$283=D233,$F$2:$F$283)))/MIN(IF($D$2:$D$283=D233,$F$2:$F$283))</f>
        <v>1.5698636614390294E-2</v>
      </c>
    </row>
    <row r="234" spans="1:9" x14ac:dyDescent="0.25">
      <c r="A234" s="13" t="s">
        <v>88</v>
      </c>
      <c r="B234" s="13" t="s">
        <v>7</v>
      </c>
      <c r="C234" s="13" t="s">
        <v>148</v>
      </c>
      <c r="D234" s="13" t="s">
        <v>156</v>
      </c>
      <c r="E234" s="1">
        <v>1.1526170506423188</v>
      </c>
      <c r="F234" s="24">
        <v>672.55</v>
      </c>
      <c r="G234" s="6">
        <f t="shared" si="18"/>
        <v>0.39348168046955995</v>
      </c>
      <c r="H234" s="9">
        <f t="array" ref="H234">(E234-MIN(IF($D$2:$D$283=D234,$E$2:$E$283)))/MIN(IF($D$2:$D$283=D234,$E$2:$E$283))</f>
        <v>0.15261705064231879</v>
      </c>
      <c r="I234" s="10">
        <f t="array" ref="I234">(F234-MIN(IF($D$2:$D$283=D234,$F$2:$F$283)))/MIN(IF($D$2:$D$283=D234,$F$2:$F$283))</f>
        <v>6.005201355504753E-2</v>
      </c>
    </row>
    <row r="235" spans="1:9" x14ac:dyDescent="0.25">
      <c r="A235" s="13" t="s">
        <v>88</v>
      </c>
      <c r="B235" s="13" t="s">
        <v>7</v>
      </c>
      <c r="C235" s="13" t="s">
        <v>148</v>
      </c>
      <c r="D235" s="13" t="s">
        <v>156</v>
      </c>
      <c r="E235" s="1">
        <v>1.1554305127932902</v>
      </c>
      <c r="F235" s="24">
        <v>679.62</v>
      </c>
      <c r="G235" s="6">
        <f t="shared" si="18"/>
        <v>0.45805371418038965</v>
      </c>
      <c r="H235" s="9">
        <f t="array" ref="H235">(E235-MIN(IF($D$2:$D$283=D235,$E$2:$E$283)))/MIN(IF($D$2:$D$283=D235,$E$2:$E$283))</f>
        <v>0.15543051279329023</v>
      </c>
      <c r="I235" s="10">
        <f t="array" ref="I235">(F235-MIN(IF($D$2:$D$283=D235,$F$2:$F$283)))/MIN(IF($D$2:$D$283=D235,$F$2:$F$283))</f>
        <v>7.1195523681929163E-2</v>
      </c>
    </row>
    <row r="236" spans="1:9" x14ac:dyDescent="0.25">
      <c r="A236" s="13" t="s">
        <v>88</v>
      </c>
      <c r="B236" s="13" t="s">
        <v>40</v>
      </c>
      <c r="C236" s="13" t="s">
        <v>124</v>
      </c>
      <c r="D236" s="13" t="s">
        <v>161</v>
      </c>
      <c r="E236" s="1">
        <v>1</v>
      </c>
      <c r="F236" s="24">
        <v>1004</v>
      </c>
      <c r="G236" s="6" t="str">
        <f t="shared" ref="G236:G283" si="19">IFERROR(I236/H236,"")</f>
        <v/>
      </c>
      <c r="H236" s="9">
        <f t="array" ref="H236">(E236-MIN(IF($D$2:$D$283=D236,$E$2:$E$283)))/MIN(IF($D$2:$D$283=D236,$E$2:$E$283))</f>
        <v>0</v>
      </c>
      <c r="I236" s="10">
        <f t="array" ref="I236">(F236-MIN(IF($D$2:$D$283=D236,$F$2:$F$283)))/MIN(IF($D$2:$D$283=D236,$F$2:$F$283))</f>
        <v>0</v>
      </c>
    </row>
    <row r="237" spans="1:9" x14ac:dyDescent="0.25">
      <c r="A237" s="13" t="s">
        <v>88</v>
      </c>
      <c r="B237" s="13" t="s">
        <v>40</v>
      </c>
      <c r="C237" s="13" t="s">
        <v>124</v>
      </c>
      <c r="D237" s="13" t="s">
        <v>161</v>
      </c>
      <c r="E237" s="1">
        <v>1.1481481481481484</v>
      </c>
      <c r="F237" s="24">
        <v>1004</v>
      </c>
      <c r="G237" s="6">
        <f t="shared" si="19"/>
        <v>0</v>
      </c>
      <c r="H237" s="9">
        <f t="array" ref="H237">(E237-MIN(IF($D$2:$D$283=D237,$E$2:$E$283)))/MIN(IF($D$2:$D$283=D237,$E$2:$E$283))</f>
        <v>0.14814814814814836</v>
      </c>
      <c r="I237" s="10">
        <f t="array" ref="I237">(F237-MIN(IF($D$2:$D$283=D237,$F$2:$F$283)))/MIN(IF($D$2:$D$283=D237,$F$2:$F$283))</f>
        <v>0</v>
      </c>
    </row>
    <row r="238" spans="1:9" x14ac:dyDescent="0.25">
      <c r="A238" s="13" t="s">
        <v>88</v>
      </c>
      <c r="B238" s="13" t="s">
        <v>40</v>
      </c>
      <c r="C238" s="13" t="s">
        <v>124</v>
      </c>
      <c r="D238" s="13" t="s">
        <v>161</v>
      </c>
      <c r="E238" s="1">
        <v>1.2580645161290325</v>
      </c>
      <c r="F238" s="24">
        <v>1068</v>
      </c>
      <c r="G238" s="6">
        <f t="shared" si="19"/>
        <v>0.24701195219123484</v>
      </c>
      <c r="H238" s="9">
        <f t="array" ref="H238">(E238-MIN(IF($D$2:$D$283=D238,$E$2:$E$283)))/MIN(IF($D$2:$D$283=D238,$E$2:$E$283))</f>
        <v>0.25806451612903247</v>
      </c>
      <c r="I238" s="10">
        <f t="array" ref="I238">(F238-MIN(IF($D$2:$D$283=D238,$F$2:$F$283)))/MIN(IF($D$2:$D$283=D238,$F$2:$F$283))</f>
        <v>6.3745019920318724E-2</v>
      </c>
    </row>
    <row r="239" spans="1:9" x14ac:dyDescent="0.25">
      <c r="A239" s="13" t="s">
        <v>88</v>
      </c>
      <c r="B239" s="13" t="s">
        <v>40</v>
      </c>
      <c r="C239" s="13" t="s">
        <v>124</v>
      </c>
      <c r="D239" s="13" t="s">
        <v>162</v>
      </c>
      <c r="E239" s="1">
        <v>1</v>
      </c>
      <c r="F239" s="24">
        <v>1592</v>
      </c>
      <c r="G239" s="6" t="str">
        <f t="shared" si="19"/>
        <v/>
      </c>
      <c r="H239" s="9">
        <f t="array" ref="H239">(E239-MIN(IF($D$2:$D$283=D239,$E$2:$E$283)))/MIN(IF($D$2:$D$283=D239,$E$2:$E$283))</f>
        <v>0</v>
      </c>
      <c r="I239" s="10">
        <f t="array" ref="I239">(F239-MIN(IF($D$2:$D$283=D239,$F$2:$F$283)))/MIN(IF($D$2:$D$283=D239,$F$2:$F$283))</f>
        <v>0</v>
      </c>
    </row>
    <row r="240" spans="1:9" x14ac:dyDescent="0.25">
      <c r="A240" s="13" t="s">
        <v>88</v>
      </c>
      <c r="B240" s="13" t="s">
        <v>40</v>
      </c>
      <c r="C240" s="13" t="s">
        <v>124</v>
      </c>
      <c r="D240" s="13" t="s">
        <v>162</v>
      </c>
      <c r="E240" s="1">
        <v>1.0833333333333299</v>
      </c>
      <c r="F240" s="24">
        <v>1592</v>
      </c>
      <c r="G240" s="6">
        <f t="shared" si="19"/>
        <v>0</v>
      </c>
      <c r="H240" s="9">
        <f t="array" ref="H240">(E240-MIN(IF($D$2:$D$283=D240,$E$2:$E$283)))/MIN(IF($D$2:$D$283=D240,$E$2:$E$283))</f>
        <v>8.3333333333329929E-2</v>
      </c>
      <c r="I240" s="10">
        <f t="array" ref="I240">(F240-MIN(IF($D$2:$D$283=D240,$F$2:$F$283)))/MIN(IF($D$2:$D$283=D240,$F$2:$F$283))</f>
        <v>0</v>
      </c>
    </row>
    <row r="241" spans="1:16" x14ac:dyDescent="0.25">
      <c r="A241" s="13" t="s">
        <v>88</v>
      </c>
      <c r="B241" s="13" t="s">
        <v>40</v>
      </c>
      <c r="C241" s="13" t="s">
        <v>124</v>
      </c>
      <c r="D241" s="13" t="s">
        <v>162</v>
      </c>
      <c r="E241" s="1">
        <v>1.175</v>
      </c>
      <c r="F241" s="24">
        <v>1593</v>
      </c>
      <c r="G241" s="6">
        <f t="shared" si="19"/>
        <v>3.58937544867193E-3</v>
      </c>
      <c r="H241" s="9">
        <f t="array" ref="H241">(E241-MIN(IF($D$2:$D$283=D241,$E$2:$E$283)))/MIN(IF($D$2:$D$283=D241,$E$2:$E$283))</f>
        <v>0.17500000000000004</v>
      </c>
      <c r="I241" s="10">
        <f t="array" ref="I241">(F241-MIN(IF($D$2:$D$283=D241,$F$2:$F$283)))/MIN(IF($D$2:$D$283=D241,$F$2:$F$283))</f>
        <v>6.2814070351758795E-4</v>
      </c>
    </row>
    <row r="242" spans="1:16" x14ac:dyDescent="0.25">
      <c r="A242" s="13" t="s">
        <v>88</v>
      </c>
      <c r="B242" s="13" t="s">
        <v>40</v>
      </c>
      <c r="C242" s="13" t="s">
        <v>124</v>
      </c>
      <c r="D242" s="13" t="s">
        <v>162</v>
      </c>
      <c r="E242" s="1">
        <v>1.25</v>
      </c>
      <c r="F242" s="24">
        <v>1623</v>
      </c>
      <c r="G242" s="6">
        <f t="shared" si="19"/>
        <v>7.7889447236180909E-2</v>
      </c>
      <c r="H242" s="9">
        <f t="array" ref="H242">(E242-MIN(IF($D$2:$D$283=D242,$E$2:$E$283)))/MIN(IF($D$2:$D$283=D242,$E$2:$E$283))</f>
        <v>0.25</v>
      </c>
      <c r="I242" s="10">
        <f t="array" ref="I242">(F242-MIN(IF($D$2:$D$283=D242,$F$2:$F$283)))/MIN(IF($D$2:$D$283=D242,$F$2:$F$283))</f>
        <v>1.9472361809045227E-2</v>
      </c>
    </row>
    <row r="243" spans="1:16" x14ac:dyDescent="0.25">
      <c r="A243" t="s">
        <v>88</v>
      </c>
      <c r="B243" t="s">
        <v>40</v>
      </c>
      <c r="C243" s="13" t="s">
        <v>113</v>
      </c>
      <c r="D243" s="29" t="s">
        <v>167</v>
      </c>
      <c r="E243" s="1">
        <v>1</v>
      </c>
      <c r="F243" s="24">
        <v>5763</v>
      </c>
      <c r="G243" s="6" t="str">
        <f t="shared" si="19"/>
        <v/>
      </c>
      <c r="H243" s="9">
        <f t="array" ref="H243">(E243-MIN(IF($D$2:$D$283=D243,$E$2:$E$283)))/MIN(IF($D$2:$D$283=D243,$E$2:$E$283))</f>
        <v>0</v>
      </c>
      <c r="I243" s="10">
        <f t="array" ref="I243">(F243-MIN(IF($D$2:$D$283=D243,$F$2:$F$283)))/MIN(IF($D$2:$D$283=D243,$F$2:$F$283))</f>
        <v>0</v>
      </c>
      <c r="J243" s="13"/>
      <c r="K243" s="13"/>
      <c r="L243" s="13"/>
      <c r="M243" s="13"/>
      <c r="N243" s="13"/>
      <c r="O243" s="13"/>
      <c r="P243" s="13"/>
    </row>
    <row r="244" spans="1:16" x14ac:dyDescent="0.25">
      <c r="A244" s="13" t="s">
        <v>88</v>
      </c>
      <c r="B244" s="13" t="s">
        <v>40</v>
      </c>
      <c r="C244" s="13" t="s">
        <v>113</v>
      </c>
      <c r="D244" s="29" t="s">
        <v>167</v>
      </c>
      <c r="E244" s="1">
        <v>1.188034188034188</v>
      </c>
      <c r="F244" s="24">
        <v>7003</v>
      </c>
      <c r="G244" s="6">
        <f t="shared" si="19"/>
        <v>1.1442903790639345</v>
      </c>
      <c r="H244" s="9">
        <f t="array" ref="H244">(E244-MIN(IF($D$2:$D$283=D244,$E$2:$E$283)))/MIN(IF($D$2:$D$283=D244,$E$2:$E$283))</f>
        <v>0.18803418803418803</v>
      </c>
      <c r="I244" s="10">
        <f t="array" ref="I244">(F244-MIN(IF($D$2:$D$283=D244,$F$2:$F$283)))/MIN(IF($D$2:$D$283=D244,$F$2:$F$283))</f>
        <v>0.21516571230262016</v>
      </c>
      <c r="J244" s="13"/>
      <c r="K244" s="13"/>
      <c r="L244" s="13"/>
      <c r="M244" s="13"/>
      <c r="N244" s="13"/>
      <c r="O244" s="13"/>
      <c r="P244" s="13"/>
    </row>
    <row r="245" spans="1:16" x14ac:dyDescent="0.25">
      <c r="A245" s="13" t="s">
        <v>88</v>
      </c>
      <c r="B245" s="13" t="s">
        <v>40</v>
      </c>
      <c r="C245" s="13" t="s">
        <v>113</v>
      </c>
      <c r="D245" s="29" t="s">
        <v>167</v>
      </c>
      <c r="E245" s="1">
        <v>1.1923076923076923</v>
      </c>
      <c r="F245" s="24">
        <v>7081</v>
      </c>
      <c r="G245" s="6">
        <f t="shared" si="19"/>
        <v>1.189241714384869</v>
      </c>
      <c r="H245" s="9">
        <f t="array" ref="H245">(E245-MIN(IF($D$2:$D$283=D245,$E$2:$E$283)))/MIN(IF($D$2:$D$283=D245,$E$2:$E$283))</f>
        <v>0.19230769230769229</v>
      </c>
      <c r="I245" s="10">
        <f t="array" ref="I245">(F245-MIN(IF($D$2:$D$283=D245,$F$2:$F$283)))/MIN(IF($D$2:$D$283=D245,$F$2:$F$283))</f>
        <v>0.22870032968939788</v>
      </c>
      <c r="J245" s="13"/>
      <c r="K245" s="13"/>
      <c r="L245" s="13"/>
      <c r="M245" s="13"/>
      <c r="N245" s="13"/>
      <c r="O245" s="13"/>
      <c r="P245" s="13"/>
    </row>
    <row r="246" spans="1:16" x14ac:dyDescent="0.25">
      <c r="A246" s="13" t="s">
        <v>88</v>
      </c>
      <c r="B246" s="13" t="s">
        <v>40</v>
      </c>
      <c r="C246" s="13" t="s">
        <v>113</v>
      </c>
      <c r="D246" s="29" t="s">
        <v>167</v>
      </c>
      <c r="E246" s="1">
        <v>1.2286324786324785</v>
      </c>
      <c r="F246" s="24">
        <v>7681</v>
      </c>
      <c r="G246" s="6">
        <f t="shared" si="19"/>
        <v>1.4556670737106365</v>
      </c>
      <c r="H246" s="9">
        <f t="array" ref="H246">(E246-MIN(IF($D$2:$D$283=D246,$E$2:$E$283)))/MIN(IF($D$2:$D$283=D246,$E$2:$E$283))</f>
        <v>0.22863247863247849</v>
      </c>
      <c r="I246" s="10">
        <f t="array" ref="I246">(F246-MIN(IF($D$2:$D$283=D246,$F$2:$F$283)))/MIN(IF($D$2:$D$283=D246,$F$2:$F$283))</f>
        <v>0.3328127711261496</v>
      </c>
      <c r="J246" s="13"/>
      <c r="K246" s="13"/>
      <c r="L246" s="13"/>
      <c r="M246" s="13"/>
      <c r="N246" s="13"/>
      <c r="O246" s="13"/>
      <c r="P246" s="13"/>
    </row>
    <row r="247" spans="1:16" x14ac:dyDescent="0.25">
      <c r="A247" s="13" t="s">
        <v>88</v>
      </c>
      <c r="B247" s="13" t="s">
        <v>40</v>
      </c>
      <c r="C247" s="13" t="s">
        <v>113</v>
      </c>
      <c r="D247" s="29" t="s">
        <v>167</v>
      </c>
      <c r="E247" s="1">
        <v>1.237179487179487</v>
      </c>
      <c r="F247" s="24">
        <v>10324</v>
      </c>
      <c r="G247" s="6">
        <f t="shared" si="19"/>
        <v>3.3368318865455802</v>
      </c>
      <c r="H247" s="9">
        <f t="array" ref="H247">(E247-MIN(IF($D$2:$D$283=D247,$E$2:$E$283)))/MIN(IF($D$2:$D$283=D247,$E$2:$E$283))</f>
        <v>0.237179487179487</v>
      </c>
      <c r="I247" s="10">
        <f t="array" ref="I247">(F247-MIN(IF($D$2:$D$283=D247,$F$2:$F$283)))/MIN(IF($D$2:$D$283=D247,$F$2:$F$283))</f>
        <v>0.79142807565504081</v>
      </c>
      <c r="J247" s="13"/>
      <c r="K247" s="13"/>
      <c r="L247" s="13"/>
      <c r="M247" s="13"/>
      <c r="N247" s="13"/>
      <c r="O247" s="13"/>
      <c r="P247" s="13"/>
    </row>
    <row r="248" spans="1:16" x14ac:dyDescent="0.25">
      <c r="A248" s="13" t="s">
        <v>88</v>
      </c>
      <c r="B248" s="13" t="s">
        <v>40</v>
      </c>
      <c r="C248" s="13" t="s">
        <v>113</v>
      </c>
      <c r="D248" s="29" t="s">
        <v>168</v>
      </c>
      <c r="E248" s="1">
        <v>1</v>
      </c>
      <c r="F248" s="24">
        <v>8381</v>
      </c>
      <c r="G248" s="6" t="str">
        <f t="shared" si="19"/>
        <v/>
      </c>
      <c r="H248" s="9">
        <f t="array" ref="H248">(E248-MIN(IF($D$2:$D$283=D248,$E$2:$E$283)))/MIN(IF($D$2:$D$283=D248,$E$2:$E$283))</f>
        <v>0</v>
      </c>
      <c r="I248" s="10">
        <f t="array" ref="I248">(F248-MIN(IF($D$2:$D$283=D248,$F$2:$F$283)))/MIN(IF($D$2:$D$283=D248,$F$2:$F$283))</f>
        <v>0</v>
      </c>
      <c r="J248" s="13"/>
      <c r="K248" s="13"/>
      <c r="L248" s="13"/>
      <c r="M248" s="13"/>
      <c r="N248" s="13"/>
      <c r="O248" s="13"/>
      <c r="P248" s="13"/>
    </row>
    <row r="249" spans="1:16" x14ac:dyDescent="0.25">
      <c r="A249" s="13" t="s">
        <v>88</v>
      </c>
      <c r="B249" s="13" t="s">
        <v>40</v>
      </c>
      <c r="C249" s="13" t="s">
        <v>113</v>
      </c>
      <c r="D249" s="29" t="s">
        <v>168</v>
      </c>
      <c r="E249" s="1">
        <v>1.0586666666666666</v>
      </c>
      <c r="F249" s="24">
        <v>8509</v>
      </c>
      <c r="G249" s="6">
        <f t="shared" si="19"/>
        <v>0.26032909936978671</v>
      </c>
      <c r="H249" s="9">
        <f t="array" ref="H249">(E249-MIN(IF($D$2:$D$283=D249,$E$2:$E$283)))/MIN(IF($D$2:$D$283=D249,$E$2:$E$283))</f>
        <v>5.8666666666666645E-2</v>
      </c>
      <c r="I249" s="10">
        <f t="array" ref="I249">(F249-MIN(IF($D$2:$D$283=D249,$F$2:$F$283)))/MIN(IF($D$2:$D$283=D249,$F$2:$F$283))</f>
        <v>1.5272640496360816E-2</v>
      </c>
      <c r="J249" s="13"/>
      <c r="K249" s="13"/>
      <c r="L249" s="13"/>
      <c r="M249" s="13"/>
      <c r="N249" s="13"/>
      <c r="O249" s="13"/>
      <c r="P249" s="13"/>
    </row>
    <row r="250" spans="1:16" x14ac:dyDescent="0.25">
      <c r="A250" s="13" t="s">
        <v>88</v>
      </c>
      <c r="B250" s="13" t="s">
        <v>40</v>
      </c>
      <c r="C250" s="13" t="s">
        <v>113</v>
      </c>
      <c r="D250" s="29" t="s">
        <v>168</v>
      </c>
      <c r="E250" s="1">
        <v>1.0720000000000001</v>
      </c>
      <c r="F250" s="24">
        <v>8592</v>
      </c>
      <c r="G250" s="6">
        <f t="shared" si="19"/>
        <v>0.34966657386416339</v>
      </c>
      <c r="H250" s="9">
        <f t="array" ref="H250">(E250-MIN(IF($D$2:$D$283=D250,$E$2:$E$283)))/MIN(IF($D$2:$D$283=D250,$E$2:$E$283))</f>
        <v>7.2000000000000064E-2</v>
      </c>
      <c r="I250" s="10">
        <f t="array" ref="I250">(F250-MIN(IF($D$2:$D$283=D250,$F$2:$F$283)))/MIN(IF($D$2:$D$283=D250,$F$2:$F$283))</f>
        <v>2.5175993318219785E-2</v>
      </c>
      <c r="J250" s="13"/>
      <c r="K250" s="13"/>
      <c r="L250" s="13"/>
      <c r="M250" s="13"/>
      <c r="N250" s="13"/>
      <c r="O250" s="13"/>
      <c r="P250" s="13"/>
    </row>
    <row r="251" spans="1:16" x14ac:dyDescent="0.25">
      <c r="A251" s="13" t="s">
        <v>88</v>
      </c>
      <c r="B251" s="13" t="s">
        <v>40</v>
      </c>
      <c r="C251" s="13" t="s">
        <v>113</v>
      </c>
      <c r="D251" s="29" t="s">
        <v>168</v>
      </c>
      <c r="E251" s="1">
        <v>1.08</v>
      </c>
      <c r="F251" s="24">
        <v>8847</v>
      </c>
      <c r="G251" s="6">
        <f t="shared" si="19"/>
        <v>0.69502446008829433</v>
      </c>
      <c r="H251" s="9">
        <f t="array" ref="H251">(E251-MIN(IF($D$2:$D$283=D251,$E$2:$E$283)))/MIN(IF($D$2:$D$283=D251,$E$2:$E$283))</f>
        <v>8.0000000000000071E-2</v>
      </c>
      <c r="I251" s="10">
        <f t="array" ref="I251">(F251-MIN(IF($D$2:$D$283=D251,$F$2:$F$283)))/MIN(IF($D$2:$D$283=D251,$F$2:$F$283))</f>
        <v>5.5601956807063597E-2</v>
      </c>
      <c r="J251" s="13"/>
      <c r="K251" s="13"/>
      <c r="L251" s="13"/>
      <c r="M251" s="13"/>
      <c r="N251" s="13"/>
      <c r="O251" s="13"/>
      <c r="P251" s="13"/>
    </row>
    <row r="252" spans="1:16" x14ac:dyDescent="0.25">
      <c r="A252" s="13" t="s">
        <v>88</v>
      </c>
      <c r="B252" s="13" t="s">
        <v>40</v>
      </c>
      <c r="C252" s="13" t="s">
        <v>113</v>
      </c>
      <c r="D252" s="29" t="s">
        <v>168</v>
      </c>
      <c r="E252" s="1">
        <v>1.1200000000000001</v>
      </c>
      <c r="F252" s="24">
        <v>12885</v>
      </c>
      <c r="G252" s="6">
        <f t="shared" si="19"/>
        <v>4.4783836455474653</v>
      </c>
      <c r="H252" s="9">
        <f t="array" ref="H252">(E252-MIN(IF($D$2:$D$283=D252,$E$2:$E$283)))/MIN(IF($D$2:$D$283=D252,$E$2:$E$283))</f>
        <v>0.12000000000000011</v>
      </c>
      <c r="I252" s="10">
        <f t="array" ref="I252">(F252-MIN(IF($D$2:$D$283=D252,$F$2:$F$283)))/MIN(IF($D$2:$D$283=D252,$F$2:$F$283))</f>
        <v>0.53740603746569626</v>
      </c>
      <c r="J252" s="13"/>
      <c r="K252" s="13"/>
      <c r="L252" s="13"/>
      <c r="M252" s="13"/>
      <c r="N252" s="13"/>
      <c r="O252" s="13"/>
      <c r="P252" s="13"/>
    </row>
    <row r="253" spans="1:16" x14ac:dyDescent="0.25">
      <c r="A253" s="13" t="s">
        <v>88</v>
      </c>
      <c r="B253" s="13" t="s">
        <v>40</v>
      </c>
      <c r="C253" s="13" t="s">
        <v>113</v>
      </c>
      <c r="D253" s="29" t="s">
        <v>169</v>
      </c>
      <c r="E253" s="1">
        <v>1</v>
      </c>
      <c r="F253" s="24">
        <v>3012</v>
      </c>
      <c r="G253" s="6" t="str">
        <f t="shared" si="19"/>
        <v/>
      </c>
      <c r="H253" s="9">
        <f t="array" ref="H253">(E253-MIN(IF($D$2:$D$283=D253,$E$2:$E$283)))/MIN(IF($D$2:$D$283=D253,$E$2:$E$283))</f>
        <v>0</v>
      </c>
      <c r="I253" s="10">
        <f t="array" ref="I253">(F253-MIN(IF($D$2:$D$283=D253,$F$2:$F$283)))/MIN(IF($D$2:$D$283=D253,$F$2:$F$283))</f>
        <v>0</v>
      </c>
      <c r="J253" s="13"/>
      <c r="K253" s="13"/>
      <c r="L253" s="13"/>
      <c r="M253" s="13"/>
      <c r="N253" s="13"/>
      <c r="O253" s="13"/>
      <c r="P253" s="13"/>
    </row>
    <row r="254" spans="1:16" x14ac:dyDescent="0.25">
      <c r="A254" s="13" t="s">
        <v>88</v>
      </c>
      <c r="B254" s="13" t="s">
        <v>40</v>
      </c>
      <c r="C254" s="13" t="s">
        <v>113</v>
      </c>
      <c r="D254" s="29" t="s">
        <v>169</v>
      </c>
      <c r="E254" s="1">
        <v>1.0285714285714287</v>
      </c>
      <c r="F254" s="24">
        <v>3032</v>
      </c>
      <c r="G254" s="6">
        <f t="shared" si="19"/>
        <v>0.23240371845949437</v>
      </c>
      <c r="H254" s="9">
        <f t="array" ref="H254">(E254-MIN(IF($D$2:$D$283=D254,$E$2:$E$283)))/MIN(IF($D$2:$D$283=D254,$E$2:$E$283))</f>
        <v>2.8571428571428692E-2</v>
      </c>
      <c r="I254" s="10">
        <f t="array" ref="I254">(F254-MIN(IF($D$2:$D$283=D254,$F$2:$F$283)))/MIN(IF($D$2:$D$283=D254,$F$2:$F$283))</f>
        <v>6.6401062416998674E-3</v>
      </c>
      <c r="J254" s="13"/>
      <c r="K254" s="13"/>
      <c r="L254" s="13"/>
      <c r="M254" s="13"/>
      <c r="N254" s="13"/>
      <c r="O254" s="13"/>
      <c r="P254" s="13"/>
    </row>
    <row r="255" spans="1:16" x14ac:dyDescent="0.25">
      <c r="A255" s="13" t="s">
        <v>88</v>
      </c>
      <c r="B255" s="13" t="s">
        <v>40</v>
      </c>
      <c r="C255" s="13" t="s">
        <v>113</v>
      </c>
      <c r="D255" s="29" t="s">
        <v>169</v>
      </c>
      <c r="E255" s="1">
        <v>1.1428571428571428</v>
      </c>
      <c r="F255" s="24">
        <v>3160</v>
      </c>
      <c r="G255" s="6">
        <f t="shared" si="19"/>
        <v>0.34395750332005326</v>
      </c>
      <c r="H255" s="9">
        <f t="array" ref="H255">(E255-MIN(IF($D$2:$D$283=D255,$E$2:$E$283)))/MIN(IF($D$2:$D$283=D255,$E$2:$E$283))</f>
        <v>0.14285714285714279</v>
      </c>
      <c r="I255" s="10">
        <f t="array" ref="I255">(F255-MIN(IF($D$2:$D$283=D255,$F$2:$F$283)))/MIN(IF($D$2:$D$283=D255,$F$2:$F$283))</f>
        <v>4.9136786188579015E-2</v>
      </c>
      <c r="J255" s="13"/>
      <c r="K255" s="13"/>
      <c r="L255" s="13"/>
      <c r="M255" s="13"/>
      <c r="N255" s="13"/>
      <c r="O255" s="13"/>
      <c r="P255" s="13"/>
    </row>
    <row r="256" spans="1:16" x14ac:dyDescent="0.25">
      <c r="A256" s="13" t="s">
        <v>88</v>
      </c>
      <c r="B256" s="13" t="s">
        <v>40</v>
      </c>
      <c r="C256" s="13" t="s">
        <v>113</v>
      </c>
      <c r="D256" s="29" t="s">
        <v>169</v>
      </c>
      <c r="E256" s="1">
        <v>1.2</v>
      </c>
      <c r="F256" s="24">
        <v>3216</v>
      </c>
      <c r="G256" s="6">
        <f t="shared" si="19"/>
        <v>0.33864541832669326</v>
      </c>
      <c r="H256" s="9">
        <f t="array" ref="H256">(E256-MIN(IF($D$2:$D$283=D256,$E$2:$E$283)))/MIN(IF($D$2:$D$283=D256,$E$2:$E$283))</f>
        <v>0.19999999999999996</v>
      </c>
      <c r="I256" s="10">
        <f t="array" ref="I256">(F256-MIN(IF($D$2:$D$283=D256,$F$2:$F$283)))/MIN(IF($D$2:$D$283=D256,$F$2:$F$283))</f>
        <v>6.7729083665338641E-2</v>
      </c>
      <c r="J256" s="13"/>
      <c r="K256" s="13"/>
      <c r="L256" s="13"/>
      <c r="M256" s="13"/>
      <c r="N256" s="13"/>
      <c r="O256" s="13"/>
      <c r="P256" s="13"/>
    </row>
    <row r="257" spans="1:16" x14ac:dyDescent="0.25">
      <c r="A257" s="13" t="s">
        <v>88</v>
      </c>
      <c r="B257" s="13" t="s">
        <v>40</v>
      </c>
      <c r="C257" s="13" t="s">
        <v>113</v>
      </c>
      <c r="D257" s="29" t="s">
        <v>169</v>
      </c>
      <c r="E257" s="1">
        <v>1.2</v>
      </c>
      <c r="F257" s="24">
        <v>3230</v>
      </c>
      <c r="G257" s="6">
        <f t="shared" si="19"/>
        <v>0.36188579017264288</v>
      </c>
      <c r="H257" s="9">
        <f t="array" ref="H257">(E257-MIN(IF($D$2:$D$283=D257,$E$2:$E$283)))/MIN(IF($D$2:$D$283=D257,$E$2:$E$283))</f>
        <v>0.19999999999999996</v>
      </c>
      <c r="I257" s="10">
        <f t="array" ref="I257">(F257-MIN(IF($D$2:$D$283=D257,$F$2:$F$283)))/MIN(IF($D$2:$D$283=D257,$F$2:$F$283))</f>
        <v>7.2377158034528558E-2</v>
      </c>
      <c r="J257" s="13"/>
      <c r="K257" s="13"/>
      <c r="L257" s="13"/>
      <c r="M257" s="13"/>
      <c r="N257" s="13"/>
      <c r="O257" s="13"/>
      <c r="P257" s="13"/>
    </row>
    <row r="258" spans="1:16" x14ac:dyDescent="0.25">
      <c r="A258" s="13" t="s">
        <v>88</v>
      </c>
      <c r="B258" s="13" t="s">
        <v>40</v>
      </c>
      <c r="C258" s="13" t="s">
        <v>113</v>
      </c>
      <c r="D258" s="29" t="s">
        <v>169</v>
      </c>
      <c r="E258" s="1">
        <v>1.2142857142857142</v>
      </c>
      <c r="F258" s="24">
        <v>3289</v>
      </c>
      <c r="G258" s="6">
        <f t="shared" si="19"/>
        <v>0.42917220008853496</v>
      </c>
      <c r="H258" s="9">
        <f t="array" ref="H258">(E258-MIN(IF($D$2:$D$283=D258,$E$2:$E$283)))/MIN(IF($D$2:$D$283=D258,$E$2:$E$283))</f>
        <v>0.21428571428571419</v>
      </c>
      <c r="I258" s="10">
        <f t="array" ref="I258">(F258-MIN(IF($D$2:$D$283=D258,$F$2:$F$283)))/MIN(IF($D$2:$D$283=D258,$F$2:$F$283))</f>
        <v>9.1965471447543162E-2</v>
      </c>
      <c r="J258" s="13"/>
      <c r="K258" s="13"/>
      <c r="L258" s="13"/>
      <c r="M258" s="13"/>
      <c r="N258" s="13"/>
      <c r="O258" s="13"/>
      <c r="P258" s="13"/>
    </row>
    <row r="259" spans="1:16" x14ac:dyDescent="0.25">
      <c r="A259" s="13" t="s">
        <v>88</v>
      </c>
      <c r="B259" s="13" t="s">
        <v>40</v>
      </c>
      <c r="C259" s="13" t="s">
        <v>113</v>
      </c>
      <c r="D259" s="29" t="s">
        <v>169</v>
      </c>
      <c r="E259" s="1">
        <v>1.2285714285714284</v>
      </c>
      <c r="F259" s="24">
        <v>3354</v>
      </c>
      <c r="G259" s="6">
        <f t="shared" si="19"/>
        <v>0.4967629482071716</v>
      </c>
      <c r="H259" s="9">
        <f t="array" ref="H259">(E259-MIN(IF($D$2:$D$283=D259,$E$2:$E$283)))/MIN(IF($D$2:$D$283=D259,$E$2:$E$283))</f>
        <v>0.22857142857142843</v>
      </c>
      <c r="I259" s="10">
        <f t="array" ref="I259">(F259-MIN(IF($D$2:$D$283=D259,$F$2:$F$283)))/MIN(IF($D$2:$D$283=D259,$F$2:$F$283))</f>
        <v>0.11354581673306773</v>
      </c>
      <c r="J259" s="13"/>
      <c r="K259" s="13"/>
      <c r="L259" s="13"/>
      <c r="M259" s="13"/>
      <c r="N259" s="13"/>
      <c r="O259" s="13"/>
      <c r="P259" s="13"/>
    </row>
    <row r="260" spans="1:16" x14ac:dyDescent="0.25">
      <c r="A260" s="13" t="s">
        <v>88</v>
      </c>
      <c r="B260" s="13" t="s">
        <v>40</v>
      </c>
      <c r="C260" s="13" t="s">
        <v>113</v>
      </c>
      <c r="D260" s="29" t="s">
        <v>169</v>
      </c>
      <c r="E260" s="1">
        <v>1.2714285714285714</v>
      </c>
      <c r="F260" s="24">
        <v>4430</v>
      </c>
      <c r="G260" s="6">
        <f t="shared" si="19"/>
        <v>1.7344656461871817</v>
      </c>
      <c r="H260" s="9">
        <f t="array" ref="H260">(E260-MIN(IF($D$2:$D$283=D260,$E$2:$E$283)))/MIN(IF($D$2:$D$283=D260,$E$2:$E$283))</f>
        <v>0.27142857142857135</v>
      </c>
      <c r="I260" s="10">
        <f t="array" ref="I260">(F260-MIN(IF($D$2:$D$283=D260,$F$2:$F$283)))/MIN(IF($D$2:$D$283=D260,$F$2:$F$283))</f>
        <v>0.47078353253652061</v>
      </c>
      <c r="J260" s="13"/>
      <c r="K260" s="13"/>
      <c r="L260" s="13"/>
      <c r="M260" s="13"/>
      <c r="N260" s="13"/>
      <c r="O260" s="13"/>
      <c r="P260" s="13"/>
    </row>
    <row r="261" spans="1:16" x14ac:dyDescent="0.25">
      <c r="A261" s="13" t="s">
        <v>88</v>
      </c>
      <c r="B261" s="13" t="s">
        <v>40</v>
      </c>
      <c r="C261" s="13" t="s">
        <v>113</v>
      </c>
      <c r="D261" s="29" t="s">
        <v>170</v>
      </c>
      <c r="E261" s="1">
        <v>1</v>
      </c>
      <c r="F261" s="24">
        <v>2110</v>
      </c>
      <c r="G261" s="6" t="str">
        <f t="shared" si="19"/>
        <v/>
      </c>
      <c r="H261" s="9">
        <f t="array" ref="H261">(E261-MIN(IF($D$2:$D$283=D261,$E$2:$E$283)))/MIN(IF($D$2:$D$283=D261,$E$2:$E$283))</f>
        <v>0</v>
      </c>
      <c r="I261" s="10">
        <f t="array" ref="I261">(F261-MIN(IF($D$2:$D$283=D261,$F$2:$F$283)))/MIN(IF($D$2:$D$283=D261,$F$2:$F$283))</f>
        <v>0</v>
      </c>
      <c r="J261" s="13"/>
      <c r="K261" s="13"/>
      <c r="L261" s="13"/>
      <c r="M261" s="13"/>
      <c r="N261" s="13"/>
      <c r="O261" s="13"/>
      <c r="P261" s="13"/>
    </row>
    <row r="262" spans="1:16" x14ac:dyDescent="0.25">
      <c r="A262" s="13" t="s">
        <v>88</v>
      </c>
      <c r="B262" s="13" t="s">
        <v>40</v>
      </c>
      <c r="C262" s="13" t="s">
        <v>113</v>
      </c>
      <c r="D262" s="29" t="s">
        <v>170</v>
      </c>
      <c r="E262" s="1">
        <v>1.1575757575757575</v>
      </c>
      <c r="F262" s="24">
        <v>2147</v>
      </c>
      <c r="G262" s="6">
        <f t="shared" si="19"/>
        <v>0.11128326649653671</v>
      </c>
      <c r="H262" s="9">
        <f t="array" ref="H262">(E262-MIN(IF($D$2:$D$283=D262,$E$2:$E$283)))/MIN(IF($D$2:$D$283=D262,$E$2:$E$283))</f>
        <v>0.15757575757575748</v>
      </c>
      <c r="I262" s="10">
        <f t="array" ref="I262">(F262-MIN(IF($D$2:$D$283=D262,$F$2:$F$283)))/MIN(IF($D$2:$D$283=D262,$F$2:$F$283))</f>
        <v>1.7535545023696683E-2</v>
      </c>
      <c r="J262" s="13"/>
      <c r="K262" s="13"/>
      <c r="L262" s="13"/>
      <c r="M262" s="13"/>
      <c r="N262" s="13"/>
      <c r="O262" s="13"/>
      <c r="P262" s="13"/>
    </row>
    <row r="263" spans="1:16" x14ac:dyDescent="0.25">
      <c r="A263" s="13" t="s">
        <v>88</v>
      </c>
      <c r="B263" s="13" t="s">
        <v>40</v>
      </c>
      <c r="C263" s="13" t="s">
        <v>113</v>
      </c>
      <c r="D263" s="29" t="s">
        <v>170</v>
      </c>
      <c r="E263" s="1">
        <v>1.2</v>
      </c>
      <c r="F263" s="24">
        <v>2191</v>
      </c>
      <c r="G263" s="6">
        <f t="shared" si="19"/>
        <v>0.19194312796208535</v>
      </c>
      <c r="H263" s="9">
        <f t="array" ref="H263">(E263-MIN(IF($D$2:$D$283=D263,$E$2:$E$283)))/MIN(IF($D$2:$D$283=D263,$E$2:$E$283))</f>
        <v>0.19999999999999996</v>
      </c>
      <c r="I263" s="10">
        <f t="array" ref="I263">(F263-MIN(IF($D$2:$D$283=D263,$F$2:$F$283)))/MIN(IF($D$2:$D$283=D263,$F$2:$F$283))</f>
        <v>3.8388625592417062E-2</v>
      </c>
      <c r="J263" s="13"/>
      <c r="K263" s="13"/>
      <c r="L263" s="13"/>
      <c r="M263" s="13"/>
      <c r="N263" s="13"/>
      <c r="O263" s="13"/>
      <c r="P263" s="13"/>
    </row>
    <row r="264" spans="1:16" x14ac:dyDescent="0.25">
      <c r="A264" s="13" t="s">
        <v>88</v>
      </c>
      <c r="B264" s="13" t="s">
        <v>40</v>
      </c>
      <c r="C264" s="13" t="s">
        <v>113</v>
      </c>
      <c r="D264" s="29" t="s">
        <v>170</v>
      </c>
      <c r="E264" s="1">
        <v>1.2181818181818183</v>
      </c>
      <c r="F264" s="24">
        <v>2211</v>
      </c>
      <c r="G264" s="6">
        <f t="shared" si="19"/>
        <v>0.21939178515007893</v>
      </c>
      <c r="H264" s="9">
        <f t="array" ref="H264">(E264-MIN(IF($D$2:$D$283=D264,$E$2:$E$283)))/MIN(IF($D$2:$D$283=D264,$E$2:$E$283))</f>
        <v>0.21818181818181825</v>
      </c>
      <c r="I264" s="10">
        <f t="array" ref="I264">(F264-MIN(IF($D$2:$D$283=D264,$F$2:$F$283)))/MIN(IF($D$2:$D$283=D264,$F$2:$F$283))</f>
        <v>4.7867298578199054E-2</v>
      </c>
      <c r="J264" s="13"/>
      <c r="K264" s="13"/>
      <c r="L264" s="13"/>
      <c r="M264" s="13"/>
      <c r="N264" s="13"/>
      <c r="O264" s="13"/>
      <c r="P264" s="13"/>
    </row>
    <row r="265" spans="1:16" x14ac:dyDescent="0.25">
      <c r="A265" s="13" t="s">
        <v>88</v>
      </c>
      <c r="B265" s="13" t="s">
        <v>40</v>
      </c>
      <c r="C265" s="13" t="s">
        <v>113</v>
      </c>
      <c r="D265" s="29" t="s">
        <v>170</v>
      </c>
      <c r="E265" s="1">
        <v>1.2424242424242424</v>
      </c>
      <c r="F265" s="24">
        <v>2270</v>
      </c>
      <c r="G265" s="6">
        <f t="shared" si="19"/>
        <v>0.3127962085308057</v>
      </c>
      <c r="H265" s="9">
        <f t="array" ref="H265">(E265-MIN(IF($D$2:$D$283=D265,$E$2:$E$283)))/MIN(IF($D$2:$D$283=D265,$E$2:$E$283))</f>
        <v>0.24242424242424243</v>
      </c>
      <c r="I265" s="10">
        <f t="array" ref="I265">(F265-MIN(IF($D$2:$D$283=D265,$F$2:$F$283)))/MIN(IF($D$2:$D$283=D265,$F$2:$F$283))</f>
        <v>7.582938388625593E-2</v>
      </c>
      <c r="J265" s="13"/>
      <c r="K265" s="13"/>
      <c r="L265" s="13"/>
      <c r="M265" s="13"/>
      <c r="N265" s="13"/>
      <c r="O265" s="13"/>
      <c r="P265" s="13"/>
    </row>
    <row r="266" spans="1:16" x14ac:dyDescent="0.25">
      <c r="A266" s="13" t="s">
        <v>88</v>
      </c>
      <c r="B266" s="13" t="s">
        <v>40</v>
      </c>
      <c r="C266" s="13" t="s">
        <v>113</v>
      </c>
      <c r="D266" s="29" t="s">
        <v>170</v>
      </c>
      <c r="E266" s="1">
        <v>1.2606060606060607</v>
      </c>
      <c r="F266" s="24">
        <v>2322</v>
      </c>
      <c r="G266" s="6">
        <f t="shared" si="19"/>
        <v>0.3855395128402952</v>
      </c>
      <c r="H266" s="9">
        <f t="array" ref="H266">(E266-MIN(IF($D$2:$D$283=D266,$E$2:$E$283)))/MIN(IF($D$2:$D$283=D266,$E$2:$E$283))</f>
        <v>0.26060606060606073</v>
      </c>
      <c r="I266" s="10">
        <f t="array" ref="I266">(F266-MIN(IF($D$2:$D$283=D266,$F$2:$F$283)))/MIN(IF($D$2:$D$283=D266,$F$2:$F$283))</f>
        <v>0.1004739336492891</v>
      </c>
      <c r="J266" s="13"/>
      <c r="K266" s="13"/>
      <c r="L266" s="13"/>
      <c r="M266" s="13"/>
      <c r="N266" s="13"/>
      <c r="O266" s="13"/>
      <c r="P266" s="13"/>
    </row>
    <row r="267" spans="1:16" x14ac:dyDescent="0.25">
      <c r="A267" s="13" t="s">
        <v>88</v>
      </c>
      <c r="B267" s="13" t="s">
        <v>40</v>
      </c>
      <c r="C267" s="13" t="s">
        <v>113</v>
      </c>
      <c r="D267" s="29" t="s">
        <v>170</v>
      </c>
      <c r="E267" s="1">
        <v>1.2666666666666666</v>
      </c>
      <c r="F267" s="24">
        <v>2341</v>
      </c>
      <c r="G267" s="6">
        <f t="shared" si="19"/>
        <v>0.41054502369668255</v>
      </c>
      <c r="H267" s="9">
        <f t="array" ref="H267">(E267-MIN(IF($D$2:$D$283=D267,$E$2:$E$283)))/MIN(IF($D$2:$D$283=D267,$E$2:$E$283))</f>
        <v>0.26666666666666661</v>
      </c>
      <c r="I267" s="10">
        <f t="array" ref="I267">(F267-MIN(IF($D$2:$D$283=D267,$F$2:$F$283)))/MIN(IF($D$2:$D$283=D267,$F$2:$F$283))</f>
        <v>0.109478672985782</v>
      </c>
      <c r="J267" s="13"/>
      <c r="K267" s="13"/>
      <c r="L267" s="13"/>
      <c r="M267" s="13"/>
      <c r="N267" s="13"/>
      <c r="O267" s="13"/>
      <c r="P267" s="13"/>
    </row>
    <row r="268" spans="1:16" x14ac:dyDescent="0.25">
      <c r="A268" s="13" t="s">
        <v>88</v>
      </c>
      <c r="B268" s="13" t="s">
        <v>40</v>
      </c>
      <c r="C268" s="13" t="s">
        <v>113</v>
      </c>
      <c r="D268" s="29" t="s">
        <v>170</v>
      </c>
      <c r="E268" s="1">
        <v>1.3272727272727272</v>
      </c>
      <c r="F268" s="24">
        <v>3812</v>
      </c>
      <c r="G268" s="6">
        <f t="shared" si="19"/>
        <v>2.4647182727751455</v>
      </c>
      <c r="H268" s="9">
        <f t="array" ref="H268">(E268-MIN(IF($D$2:$D$283=D268,$E$2:$E$283)))/MIN(IF($D$2:$D$283=D268,$E$2:$E$283))</f>
        <v>0.32727272727272716</v>
      </c>
      <c r="I268" s="10">
        <f t="array" ref="I268">(F268-MIN(IF($D$2:$D$283=D268,$F$2:$F$283)))/MIN(IF($D$2:$D$283=D268,$F$2:$F$283))</f>
        <v>0.8066350710900474</v>
      </c>
      <c r="J268" s="13"/>
      <c r="K268" s="13"/>
      <c r="L268" s="13"/>
      <c r="M268" s="13"/>
      <c r="N268" s="13"/>
      <c r="O268" s="13"/>
      <c r="P268" s="13"/>
    </row>
    <row r="269" spans="1:16" x14ac:dyDescent="0.25">
      <c r="A269" s="13" t="s">
        <v>88</v>
      </c>
      <c r="B269" s="13" t="s">
        <v>40</v>
      </c>
      <c r="C269" s="13" t="s">
        <v>112</v>
      </c>
      <c r="D269" s="29" t="s">
        <v>175</v>
      </c>
      <c r="E269" s="31">
        <v>0.8</v>
      </c>
      <c r="F269" s="24">
        <v>4316</v>
      </c>
      <c r="G269" s="6" t="str">
        <f t="shared" si="19"/>
        <v/>
      </c>
      <c r="H269" s="9">
        <f t="array" ref="H269">(E269-MIN(IF($D$2:$D$283=D269,$E$2:$E$283)))/MIN(IF($D$2:$D$283=D269,$E$2:$E$283))</f>
        <v>0</v>
      </c>
      <c r="I269" s="10">
        <f t="array" ref="I269">(F269-MIN(IF($D$2:$D$283=D269,$F$2:$F$283)))/MIN(IF($D$2:$D$283=D269,$F$2:$F$283))</f>
        <v>0</v>
      </c>
      <c r="J269" s="13"/>
      <c r="K269" s="13"/>
      <c r="L269" s="13"/>
      <c r="M269" s="13"/>
      <c r="N269" s="13"/>
      <c r="O269" s="13"/>
    </row>
    <row r="270" spans="1:16" x14ac:dyDescent="0.25">
      <c r="A270" s="13" t="s">
        <v>88</v>
      </c>
      <c r="B270" s="13" t="s">
        <v>40</v>
      </c>
      <c r="C270" s="13" t="s">
        <v>112</v>
      </c>
      <c r="D270" s="29" t="s">
        <v>175</v>
      </c>
      <c r="E270" s="31">
        <v>0.82</v>
      </c>
      <c r="F270" s="24">
        <v>4581</v>
      </c>
      <c r="G270" s="6">
        <f t="shared" si="19"/>
        <v>2.455977757182588</v>
      </c>
      <c r="H270" s="9">
        <f t="array" ref="H270">(E270-MIN(IF($D$2:$D$283=D270,$E$2:$E$283)))/MIN(IF($D$2:$D$283=D270,$E$2:$E$283))</f>
        <v>2.4999999999999883E-2</v>
      </c>
      <c r="I270" s="10">
        <f t="array" ref="I270">(F270-MIN(IF($D$2:$D$283=D270,$F$2:$F$283)))/MIN(IF($D$2:$D$283=D270,$F$2:$F$283))</f>
        <v>6.139944392956441E-2</v>
      </c>
      <c r="J270" s="13"/>
      <c r="K270" s="13"/>
      <c r="L270" s="13"/>
      <c r="M270" s="13"/>
      <c r="N270" s="13"/>
      <c r="O270" s="13"/>
    </row>
    <row r="271" spans="1:16" x14ac:dyDescent="0.25">
      <c r="A271" s="13" t="s">
        <v>88</v>
      </c>
      <c r="B271" s="13" t="s">
        <v>40</v>
      </c>
      <c r="C271" s="13" t="s">
        <v>112</v>
      </c>
      <c r="D271" s="29" t="s">
        <v>175</v>
      </c>
      <c r="E271" s="31">
        <v>0.9</v>
      </c>
      <c r="F271" s="24">
        <v>5467</v>
      </c>
      <c r="G271" s="6">
        <f t="shared" si="19"/>
        <v>2.1334569045412421</v>
      </c>
      <c r="H271" s="9">
        <f t="array" ref="H271">(E271-MIN(IF($D$2:$D$283=D271,$E$2:$E$283)))/MIN(IF($D$2:$D$283=D271,$E$2:$E$283))</f>
        <v>0.12499999999999997</v>
      </c>
      <c r="I271" s="10">
        <f t="array" ref="I271">(F271-MIN(IF($D$2:$D$283=D271,$F$2:$F$283)))/MIN(IF($D$2:$D$283=D271,$F$2:$F$283))</f>
        <v>0.26668211306765521</v>
      </c>
    </row>
    <row r="272" spans="1:16" x14ac:dyDescent="0.25">
      <c r="A272" s="13" t="s">
        <v>88</v>
      </c>
      <c r="B272" s="13" t="s">
        <v>40</v>
      </c>
      <c r="C272" s="13" t="s">
        <v>112</v>
      </c>
      <c r="D272" s="29" t="s">
        <v>175</v>
      </c>
      <c r="E272" s="31">
        <v>0.95</v>
      </c>
      <c r="F272" s="24">
        <v>5537</v>
      </c>
      <c r="G272" s="6">
        <f t="shared" si="19"/>
        <v>1.5088044485634855</v>
      </c>
      <c r="H272" s="9">
        <f t="array" ref="H272">(E272-MIN(IF($D$2:$D$283=D272,$E$2:$E$283)))/MIN(IF($D$2:$D$283=D272,$E$2:$E$283))</f>
        <v>0.18749999999999989</v>
      </c>
      <c r="I272" s="10">
        <f t="array" ref="I272">(F272-MIN(IF($D$2:$D$283=D272,$F$2:$F$283)))/MIN(IF($D$2:$D$283=D272,$F$2:$F$283))</f>
        <v>0.28290083410565336</v>
      </c>
    </row>
    <row r="273" spans="1:9" x14ac:dyDescent="0.25">
      <c r="A273" s="13" t="s">
        <v>88</v>
      </c>
      <c r="B273" s="13" t="s">
        <v>40</v>
      </c>
      <c r="C273" s="13" t="s">
        <v>112</v>
      </c>
      <c r="D273" s="29" t="s">
        <v>175</v>
      </c>
      <c r="E273" s="31">
        <v>0.99</v>
      </c>
      <c r="F273" s="24">
        <v>5624</v>
      </c>
      <c r="G273" s="6">
        <f t="shared" si="19"/>
        <v>1.2760353153504711</v>
      </c>
      <c r="H273" s="9">
        <f t="array" ref="H273">(E273-MIN(IF($D$2:$D$283=D273,$E$2:$E$283)))/MIN(IF($D$2:$D$283=D273,$E$2:$E$283))</f>
        <v>0.23749999999999993</v>
      </c>
      <c r="I273" s="10">
        <f t="array" ref="I273">(F273-MIN(IF($D$2:$D$283=D273,$F$2:$F$283)))/MIN(IF($D$2:$D$283=D273,$F$2:$F$283))</f>
        <v>0.30305838739573682</v>
      </c>
    </row>
    <row r="274" spans="1:9" x14ac:dyDescent="0.25">
      <c r="A274" s="13" t="s">
        <v>88</v>
      </c>
      <c r="B274" s="13" t="s">
        <v>40</v>
      </c>
      <c r="C274" s="13" t="s">
        <v>112</v>
      </c>
      <c r="D274" s="29" t="s">
        <v>176</v>
      </c>
      <c r="E274" s="31">
        <v>0.8</v>
      </c>
      <c r="F274" s="24">
        <v>4273</v>
      </c>
      <c r="G274" s="6" t="str">
        <f t="shared" si="19"/>
        <v/>
      </c>
      <c r="H274" s="9">
        <f t="array" ref="H274">(E274-MIN(IF($D$2:$D$283=D274,$E$2:$E$283)))/MIN(IF($D$2:$D$283=D274,$E$2:$E$283))</f>
        <v>0</v>
      </c>
      <c r="I274" s="10">
        <f t="array" ref="I274">(F274-MIN(IF($D$2:$D$283=D274,$F$2:$F$283)))/MIN(IF($D$2:$D$283=D274,$F$2:$F$283))</f>
        <v>0.11887928777166798</v>
      </c>
    </row>
    <row r="275" spans="1:9" x14ac:dyDescent="0.25">
      <c r="A275" s="13" t="s">
        <v>88</v>
      </c>
      <c r="B275" s="13" t="s">
        <v>40</v>
      </c>
      <c r="C275" s="13" t="s">
        <v>112</v>
      </c>
      <c r="D275" s="29" t="s">
        <v>176</v>
      </c>
      <c r="E275" s="31">
        <v>0.84</v>
      </c>
      <c r="F275" s="24">
        <v>4337</v>
      </c>
      <c r="G275" s="6">
        <f t="shared" si="19"/>
        <v>2.7127520293270542</v>
      </c>
      <c r="H275" s="9">
        <f t="array" ref="H275">(E275-MIN(IF($D$2:$D$283=D275,$E$2:$E$283)))/MIN(IF($D$2:$D$283=D275,$E$2:$E$283))</f>
        <v>4.9999999999999906E-2</v>
      </c>
      <c r="I275" s="10">
        <f t="array" ref="I275">(F275-MIN(IF($D$2:$D$283=D275,$F$2:$F$283)))/MIN(IF($D$2:$D$283=D275,$F$2:$F$283))</f>
        <v>0.13563760146635245</v>
      </c>
    </row>
    <row r="276" spans="1:9" x14ac:dyDescent="0.25">
      <c r="A276" s="13" t="s">
        <v>88</v>
      </c>
      <c r="B276" s="13" t="s">
        <v>40</v>
      </c>
      <c r="C276" s="13" t="s">
        <v>112</v>
      </c>
      <c r="D276" s="29" t="s">
        <v>176</v>
      </c>
      <c r="E276" s="31">
        <v>0.92</v>
      </c>
      <c r="F276" s="24">
        <v>3819</v>
      </c>
      <c r="G276" s="6">
        <f t="shared" si="19"/>
        <v>0</v>
      </c>
      <c r="H276" s="9">
        <f t="array" ref="H276">(E276-MIN(IF($D$2:$D$283=D276,$E$2:$E$283)))/MIN(IF($D$2:$D$283=D276,$E$2:$E$283))</f>
        <v>0.15</v>
      </c>
      <c r="I276" s="10">
        <f t="array" ref="I276">(F276-MIN(IF($D$2:$D$283=D276,$F$2:$F$283)))/MIN(IF($D$2:$D$283=D276,$F$2:$F$283))</f>
        <v>0</v>
      </c>
    </row>
    <row r="277" spans="1:9" x14ac:dyDescent="0.25">
      <c r="A277" s="13" t="s">
        <v>88</v>
      </c>
      <c r="B277" s="13" t="s">
        <v>40</v>
      </c>
      <c r="C277" s="13" t="s">
        <v>112</v>
      </c>
      <c r="D277" s="29" t="s">
        <v>176</v>
      </c>
      <c r="E277" s="31">
        <v>0.94</v>
      </c>
      <c r="F277" s="24">
        <v>3849</v>
      </c>
      <c r="G277" s="6">
        <f t="shared" si="19"/>
        <v>4.4888340253619152E-2</v>
      </c>
      <c r="H277" s="9">
        <f t="array" ref="H277">(E277-MIN(IF($D$2:$D$283=D277,$E$2:$E$283)))/MIN(IF($D$2:$D$283=D277,$E$2:$E$283))</f>
        <v>0.17499999999999988</v>
      </c>
      <c r="I277" s="10">
        <f t="array" ref="I277">(F277-MIN(IF($D$2:$D$283=D277,$F$2:$F$283)))/MIN(IF($D$2:$D$283=D277,$F$2:$F$283))</f>
        <v>7.8554595443833461E-3</v>
      </c>
    </row>
    <row r="278" spans="1:9" x14ac:dyDescent="0.25">
      <c r="A278" s="13" t="s">
        <v>88</v>
      </c>
      <c r="B278" s="13" t="s">
        <v>40</v>
      </c>
      <c r="C278" s="13" t="s">
        <v>112</v>
      </c>
      <c r="D278" s="29" t="s">
        <v>176</v>
      </c>
      <c r="E278" s="31">
        <v>0.96</v>
      </c>
      <c r="F278" s="24">
        <v>3884</v>
      </c>
      <c r="G278" s="6">
        <f t="shared" si="19"/>
        <v>8.5100811730819639E-2</v>
      </c>
      <c r="H278" s="9">
        <f t="array" ref="H278">(E278-MIN(IF($D$2:$D$283=D278,$E$2:$E$283)))/MIN(IF($D$2:$D$283=D278,$E$2:$E$283))</f>
        <v>0.1999999999999999</v>
      </c>
      <c r="I278" s="10">
        <f t="array" ref="I278">(F278-MIN(IF($D$2:$D$283=D278,$F$2:$F$283)))/MIN(IF($D$2:$D$283=D278,$F$2:$F$283))</f>
        <v>1.7020162346163919E-2</v>
      </c>
    </row>
    <row r="279" spans="1:9" ht="30" x14ac:dyDescent="0.25">
      <c r="A279" s="13" t="s">
        <v>88</v>
      </c>
      <c r="B279" s="13" t="s">
        <v>40</v>
      </c>
      <c r="C279" s="13" t="s">
        <v>112</v>
      </c>
      <c r="D279" s="29" t="s">
        <v>177</v>
      </c>
      <c r="E279" s="31">
        <v>0.8</v>
      </c>
      <c r="F279" s="24">
        <v>7372</v>
      </c>
      <c r="G279" s="6" t="str">
        <f t="shared" si="19"/>
        <v/>
      </c>
      <c r="H279" s="9">
        <f t="array" ref="H279">(E279-MIN(IF($D$2:$D$283=D279,$E$2:$E$283)))/MIN(IF($D$2:$D$283=D279,$E$2:$E$283))</f>
        <v>0</v>
      </c>
      <c r="I279" s="10">
        <f t="array" ref="I279">(F279-MIN(IF($D$2:$D$283=D279,$F$2:$F$283)))/MIN(IF($D$2:$D$283=D279,$F$2:$F$283))</f>
        <v>0</v>
      </c>
    </row>
    <row r="280" spans="1:9" ht="30" x14ac:dyDescent="0.25">
      <c r="A280" s="13" t="s">
        <v>88</v>
      </c>
      <c r="B280" s="13" t="s">
        <v>40</v>
      </c>
      <c r="C280" s="13" t="s">
        <v>112</v>
      </c>
      <c r="D280" s="29" t="s">
        <v>177</v>
      </c>
      <c r="E280" s="31">
        <v>0.84</v>
      </c>
      <c r="F280" s="24">
        <v>7961</v>
      </c>
      <c r="G280" s="6">
        <f t="shared" si="19"/>
        <v>1.5979381443298999</v>
      </c>
      <c r="H280" s="9">
        <f t="array" ref="H280">(E280-MIN(IF($D$2:$D$283=D280,$E$2:$E$283)))/MIN(IF($D$2:$D$283=D280,$E$2:$E$283))</f>
        <v>4.9999999999999906E-2</v>
      </c>
      <c r="I280" s="10">
        <f t="array" ref="I280">(F280-MIN(IF($D$2:$D$283=D280,$F$2:$F$283)))/MIN(IF($D$2:$D$283=D280,$F$2:$F$283))</f>
        <v>7.9896907216494839E-2</v>
      </c>
    </row>
    <row r="281" spans="1:9" ht="30" x14ac:dyDescent="0.25">
      <c r="A281" s="13" t="s">
        <v>88</v>
      </c>
      <c r="B281" s="13" t="s">
        <v>40</v>
      </c>
      <c r="C281" s="13" t="s">
        <v>112</v>
      </c>
      <c r="D281" s="29" t="s">
        <v>177</v>
      </c>
      <c r="E281" s="31">
        <v>0.92</v>
      </c>
      <c r="F281" s="24">
        <v>10113</v>
      </c>
      <c r="G281" s="6">
        <f t="shared" si="19"/>
        <v>2.4787484174353409</v>
      </c>
      <c r="H281" s="9">
        <f t="array" ref="H281">(E281-MIN(IF($D$2:$D$283=D281,$E$2:$E$283)))/MIN(IF($D$2:$D$283=D281,$E$2:$E$283))</f>
        <v>0.15</v>
      </c>
      <c r="I281" s="10">
        <f t="array" ref="I281">(F281-MIN(IF($D$2:$D$283=D281,$F$2:$F$283)))/MIN(IF($D$2:$D$283=D281,$F$2:$F$283))</f>
        <v>0.37181226261530115</v>
      </c>
    </row>
    <row r="282" spans="1:9" ht="30" x14ac:dyDescent="0.25">
      <c r="A282" s="13" t="s">
        <v>88</v>
      </c>
      <c r="B282" s="13" t="s">
        <v>40</v>
      </c>
      <c r="C282" s="13" t="s">
        <v>112</v>
      </c>
      <c r="D282" s="29" t="s">
        <v>177</v>
      </c>
      <c r="E282" s="31">
        <v>0.94</v>
      </c>
      <c r="F282" s="24">
        <v>10433</v>
      </c>
      <c r="G282" s="6">
        <f t="shared" si="19"/>
        <v>2.3726842880396886</v>
      </c>
      <c r="H282" s="9">
        <f t="array" ref="H282">(E282-MIN(IF($D$2:$D$283=D282,$E$2:$E$283)))/MIN(IF($D$2:$D$283=D282,$E$2:$E$283))</f>
        <v>0.17499999999999988</v>
      </c>
      <c r="I282" s="10">
        <f t="array" ref="I282">(F282-MIN(IF($D$2:$D$283=D282,$F$2:$F$283)))/MIN(IF($D$2:$D$283=D282,$F$2:$F$283))</f>
        <v>0.4152197504069452</v>
      </c>
    </row>
    <row r="283" spans="1:9" ht="30" x14ac:dyDescent="0.25">
      <c r="A283" s="13" t="s">
        <v>88</v>
      </c>
      <c r="B283" s="13" t="s">
        <v>40</v>
      </c>
      <c r="C283" s="13" t="s">
        <v>112</v>
      </c>
      <c r="D283" s="29" t="s">
        <v>177</v>
      </c>
      <c r="E283" s="31">
        <v>0.96</v>
      </c>
      <c r="F283" s="24">
        <v>10754</v>
      </c>
      <c r="G283" s="6">
        <f t="shared" si="19"/>
        <v>2.2938144329896919</v>
      </c>
      <c r="H283" s="9">
        <f t="array" ref="H283">(E283-MIN(IF($D$2:$D$283=D283,$E$2:$E$283)))/MIN(IF($D$2:$D$283=D283,$E$2:$E$283))</f>
        <v>0.1999999999999999</v>
      </c>
      <c r="I283" s="10">
        <f t="array" ref="I283">(F283-MIN(IF($D$2:$D$283=D283,$F$2:$F$283)))/MIN(IF($D$2:$D$283=D283,$F$2:$F$283))</f>
        <v>0.45876288659793812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
  <sheetViews>
    <sheetView zoomScaleNormal="100" workbookViewId="0"/>
  </sheetViews>
  <sheetFormatPr defaultRowHeight="15" x14ac:dyDescent="0.25"/>
  <cols>
    <col min="1" max="1" width="16.28515625" bestFit="1" customWidth="1"/>
    <col min="2" max="2" width="13.140625" bestFit="1" customWidth="1"/>
    <col min="3" max="3" width="39.85546875" customWidth="1"/>
    <col min="4" max="4" width="24.5703125" style="40" customWidth="1"/>
    <col min="5" max="5" width="10" style="40" customWidth="1"/>
    <col min="6" max="6" width="15.28515625" style="40" customWidth="1"/>
    <col min="7" max="7" width="13" customWidth="1"/>
    <col min="8" max="8" width="13.7109375" style="40" customWidth="1"/>
    <col min="9" max="9" width="8.5703125" bestFit="1" customWidth="1"/>
    <col min="10" max="11" width="8.5703125" style="40" customWidth="1"/>
    <col min="12" max="12" width="12.42578125" style="40" customWidth="1"/>
    <col min="13" max="13" width="19.28515625" bestFit="1" customWidth="1"/>
    <col min="14" max="14" width="11.42578125" bestFit="1" customWidth="1"/>
    <col min="15" max="15" width="35.85546875" bestFit="1" customWidth="1"/>
    <col min="16" max="16" width="16.85546875" customWidth="1"/>
  </cols>
  <sheetData>
    <row r="1" spans="1:17" ht="14.45" x14ac:dyDescent="0.35">
      <c r="A1" s="39" t="s">
        <v>1</v>
      </c>
      <c r="B1" s="39" t="s">
        <v>2</v>
      </c>
      <c r="C1" s="39" t="s">
        <v>4</v>
      </c>
      <c r="D1" s="40" t="s">
        <v>292</v>
      </c>
      <c r="E1" s="40" t="s">
        <v>263</v>
      </c>
      <c r="F1" s="40" t="s">
        <v>290</v>
      </c>
      <c r="G1" s="39" t="s">
        <v>39</v>
      </c>
      <c r="H1" s="40" t="s">
        <v>291</v>
      </c>
      <c r="I1" s="39" t="s">
        <v>293</v>
      </c>
      <c r="J1" s="40" t="s">
        <v>294</v>
      </c>
      <c r="K1" s="40" t="s">
        <v>295</v>
      </c>
      <c r="L1" s="40" t="s">
        <v>257</v>
      </c>
      <c r="M1" s="39" t="s">
        <v>258</v>
      </c>
      <c r="N1" s="39" t="s">
        <v>0</v>
      </c>
      <c r="O1" s="39" t="s">
        <v>9</v>
      </c>
      <c r="P1" s="39" t="s">
        <v>13</v>
      </c>
      <c r="Q1" t="s">
        <v>41</v>
      </c>
    </row>
    <row r="2" spans="1:17" ht="14.45" x14ac:dyDescent="0.35">
      <c r="A2" s="40" t="s">
        <v>38</v>
      </c>
      <c r="B2" s="40" t="s">
        <v>7</v>
      </c>
      <c r="C2" s="40" t="s">
        <v>269</v>
      </c>
      <c r="D2" s="40" t="s">
        <v>272</v>
      </c>
      <c r="E2" s="46" t="s">
        <v>264</v>
      </c>
      <c r="F2" s="46">
        <v>17</v>
      </c>
      <c r="G2" s="40">
        <v>53</v>
      </c>
      <c r="H2" s="40">
        <f>F2*G2</f>
        <v>901</v>
      </c>
      <c r="I2" s="41">
        <v>3.9</v>
      </c>
      <c r="J2" s="41"/>
      <c r="K2" s="41">
        <f t="shared" ref="K2:K33" si="0">IF(J2="",I2/H2*1000,J2)</f>
        <v>4.3285238623751381</v>
      </c>
      <c r="L2" s="38">
        <v>10000</v>
      </c>
      <c r="M2" s="45">
        <f t="shared" ref="M2:M33" si="1">1/G2/L2*1000</f>
        <v>1.8867924528301887E-3</v>
      </c>
      <c r="N2" s="42">
        <f t="shared" ref="N2:N33" si="2">IFERROR(P2/O2,"")</f>
        <v>0.62450413691488116</v>
      </c>
      <c r="O2" s="43">
        <f t="array" ref="O2">(MAX(IF($C$2:$C$233=C2,IF($E$2:$E$233="Yes",IF($B$2:$B$78=B2,$M$2:$M$233)))-M2)/MAX(IF($C$2:$C$233=C2,IF($E$2:$E$233="Yes",IF($B$2:$B$78=B2,$M$2:$M$233)))))</f>
        <v>0.97924528301886793</v>
      </c>
      <c r="P2" s="44">
        <f t="array" ref="P2">(K2-MIN(IF($C$2:$C$233=C2,IF($E$2:$E$233="Yes",IF($B$2:$B$78=B2,$K$2:$K$233)))))/MIN(IF($C$2:$C$233=C2,IF($E$2:$E$233="Yes",IF($B$2:$B$78=B2,$K$2:$K$233))))</f>
        <v>0.61154273029966666</v>
      </c>
      <c r="Q2" t="s">
        <v>42</v>
      </c>
    </row>
    <row r="3" spans="1:17" ht="14.45" x14ac:dyDescent="0.35">
      <c r="A3" s="40" t="s">
        <v>38</v>
      </c>
      <c r="B3" s="40" t="s">
        <v>7</v>
      </c>
      <c r="C3" s="40" t="s">
        <v>269</v>
      </c>
      <c r="D3" s="40" t="s">
        <v>271</v>
      </c>
      <c r="E3" s="46" t="s">
        <v>264</v>
      </c>
      <c r="F3" s="46">
        <v>51</v>
      </c>
      <c r="G3">
        <v>14</v>
      </c>
      <c r="H3" s="40">
        <f>F3*G3</f>
        <v>714</v>
      </c>
      <c r="I3" s="41">
        <v>3.7</v>
      </c>
      <c r="J3" s="41"/>
      <c r="K3" s="41">
        <f t="shared" si="0"/>
        <v>5.1820728291316529</v>
      </c>
      <c r="L3" s="38">
        <v>1200</v>
      </c>
      <c r="M3" s="45">
        <f t="shared" si="1"/>
        <v>5.9523809523809521E-2</v>
      </c>
      <c r="N3" s="42">
        <f t="shared" si="2"/>
        <v>2.6918396005617096</v>
      </c>
      <c r="O3" s="43">
        <f t="array" ref="O3">(MAX(IF($C$2:$C$233=C3,IF($E$2:$E$233="Yes",IF($B$2:$B$78=B3,$M$2:$M$233)))-M3)/MAX(IF($C$2:$C$233=C3,IF($E$2:$E$233="Yes",IF($B$2:$B$78=B3,$M$2:$M$233)))))</f>
        <v>0.34523809523809529</v>
      </c>
      <c r="P3" s="44">
        <f t="array" ref="P3">(K3-MIN(IF($C$2:$C$233=C3,IF($E$2:$E$233="Yes",IF($B$2:$B$78=B3,$K$2:$K$233)))))/MIN(IF($C$2:$C$233=C3,IF($E$2:$E$233="Yes",IF($B$2:$B$78=B3,$K$2:$K$233))))</f>
        <v>0.92932557638439994</v>
      </c>
      <c r="Q3" s="40" t="s">
        <v>42</v>
      </c>
    </row>
    <row r="4" spans="1:17" ht="14.45" x14ac:dyDescent="0.35">
      <c r="A4" s="40" t="s">
        <v>38</v>
      </c>
      <c r="B4" s="40" t="s">
        <v>7</v>
      </c>
      <c r="C4" s="40" t="s">
        <v>269</v>
      </c>
      <c r="D4" s="40" t="s">
        <v>270</v>
      </c>
      <c r="E4" s="46" t="s">
        <v>265</v>
      </c>
      <c r="F4" s="46">
        <v>44</v>
      </c>
      <c r="G4">
        <v>11</v>
      </c>
      <c r="H4" s="40">
        <f>F4*G4</f>
        <v>484</v>
      </c>
      <c r="I4" s="41">
        <v>1.3</v>
      </c>
      <c r="J4" s="41"/>
      <c r="K4" s="41">
        <f t="shared" si="0"/>
        <v>2.6859504132231407</v>
      </c>
      <c r="L4" s="38">
        <v>1000</v>
      </c>
      <c r="M4" s="45">
        <f t="shared" si="1"/>
        <v>9.0909090909090912E-2</v>
      </c>
      <c r="N4" s="42" t="str">
        <f t="shared" si="2"/>
        <v/>
      </c>
      <c r="O4" s="43">
        <f t="array" ref="O4">(MAX(IF($C$2:$C$233=C4,IF($E$2:$E$233="Yes",IF($B$2:$B$78=B4,$M$2:$M$233)))-M4)/MAX(IF($C$2:$C$233=C4,IF($E$2:$E$233="Yes",IF($B$2:$B$78=B4,$M$2:$M$233)))))</f>
        <v>0</v>
      </c>
      <c r="P4" s="44">
        <f t="array" ref="P4">(K4-MIN(IF($C$2:$C$233=C4,IF($E$2:$E$233="Yes",IF($B$2:$B$78=B4,$K$2:$K$233)))))/MIN(IF($C$2:$C$233=C4,IF($E$2:$E$233="Yes",IF($B$2:$B$78=B4,$K$2:$K$233))))</f>
        <v>0</v>
      </c>
      <c r="Q4" s="40" t="s">
        <v>262</v>
      </c>
    </row>
    <row r="5" spans="1:17" ht="14.45" x14ac:dyDescent="0.35">
      <c r="A5" s="40" t="s">
        <v>38</v>
      </c>
      <c r="B5" s="40" t="s">
        <v>7</v>
      </c>
      <c r="C5" t="s">
        <v>269</v>
      </c>
      <c r="D5" s="40" t="s">
        <v>259</v>
      </c>
      <c r="E5" s="46" t="s">
        <v>264</v>
      </c>
      <c r="F5" s="46"/>
      <c r="G5">
        <v>73</v>
      </c>
      <c r="I5" s="40"/>
      <c r="J5" s="41">
        <v>39</v>
      </c>
      <c r="K5" s="41">
        <f t="shared" si="0"/>
        <v>39</v>
      </c>
      <c r="L5" s="38">
        <v>44000</v>
      </c>
      <c r="M5" s="45">
        <f t="shared" si="1"/>
        <v>3.1133250311332503E-4</v>
      </c>
      <c r="N5" s="42">
        <f t="shared" si="2"/>
        <v>13.566460481099655</v>
      </c>
      <c r="O5" s="43">
        <f t="array" ref="O5">(MAX(IF($C$2:$C$233=C5,IF($E$2:$E$233="Yes",IF($B$2:$B$78=B5,$M$2:$M$233)))-M5)/MAX(IF($C$2:$C$233=C5,IF($E$2:$E$233="Yes",IF($B$2:$B$78=B5,$M$2:$M$233)))))</f>
        <v>0.99657534246575341</v>
      </c>
      <c r="P5" s="44">
        <f t="array" ref="P5">(K5-MIN(IF($C$2:$C$233=C5,IF($E$2:$E$233="Yes",IF($B$2:$B$78=B5,$K$2:$K$233)))))/MIN(IF($C$2:$C$233=C5,IF($E$2:$E$233="Yes",IF($B$2:$B$78=B5,$K$2:$K$233))))</f>
        <v>13.52</v>
      </c>
      <c r="Q5" s="40" t="s">
        <v>262</v>
      </c>
    </row>
    <row r="6" spans="1:17" ht="14.45" x14ac:dyDescent="0.35">
      <c r="A6" s="40" t="s">
        <v>38</v>
      </c>
      <c r="B6" s="40" t="s">
        <v>7</v>
      </c>
      <c r="C6" s="40" t="s">
        <v>269</v>
      </c>
      <c r="D6" s="40" t="s">
        <v>260</v>
      </c>
      <c r="E6" s="46" t="s">
        <v>264</v>
      </c>
      <c r="F6" s="46"/>
      <c r="G6">
        <v>100</v>
      </c>
      <c r="I6" s="40"/>
      <c r="J6" s="41">
        <v>12</v>
      </c>
      <c r="K6" s="41">
        <f t="shared" si="0"/>
        <v>12</v>
      </c>
      <c r="L6" s="38">
        <v>49000</v>
      </c>
      <c r="M6" s="45">
        <f t="shared" si="1"/>
        <v>2.0408163265306123E-4</v>
      </c>
      <c r="N6" s="42">
        <f t="shared" si="2"/>
        <v>3.4754944380634702</v>
      </c>
      <c r="O6" s="43">
        <f t="array" ref="O6">(MAX(IF($C$2:$C$233=C6,IF($E$2:$E$233="Yes",IF($B$2:$B$78=B6,$M$2:$M$233)))-M6)/MAX(IF($C$2:$C$233=C6,IF($E$2:$E$233="Yes",IF($B$2:$B$78=B6,$M$2:$M$233)))))</f>
        <v>0.9977551020408163</v>
      </c>
      <c r="P6" s="44">
        <f t="array" ref="P6">(K6-MIN(IF($C$2:$C$233=C6,IF($E$2:$E$233="Yes",IF($B$2:$B$78=B6,$K$2:$K$233)))))/MIN(IF($C$2:$C$233=C6,IF($E$2:$E$233="Yes",IF($B$2:$B$78=B6,$K$2:$K$233))))</f>
        <v>3.4676923076923072</v>
      </c>
      <c r="Q6" s="40" t="s">
        <v>42</v>
      </c>
    </row>
    <row r="7" spans="1:17" ht="14.45" x14ac:dyDescent="0.35">
      <c r="A7" s="40" t="s">
        <v>38</v>
      </c>
      <c r="B7" s="40" t="s">
        <v>7</v>
      </c>
      <c r="C7" s="40" t="s">
        <v>269</v>
      </c>
      <c r="D7" s="40" t="s">
        <v>261</v>
      </c>
      <c r="E7" s="46" t="s">
        <v>264</v>
      </c>
      <c r="F7" s="46"/>
      <c r="G7">
        <v>148</v>
      </c>
      <c r="I7" s="40"/>
      <c r="J7" s="41">
        <v>2.2000000000000002</v>
      </c>
      <c r="K7" s="41">
        <f t="shared" si="0"/>
        <v>2.2000000000000002</v>
      </c>
      <c r="L7" s="38">
        <v>50000</v>
      </c>
      <c r="M7" s="45">
        <f t="shared" si="1"/>
        <v>1.3513513513513514E-4</v>
      </c>
      <c r="N7" s="42">
        <f t="shared" si="2"/>
        <v>-0.18119241700240479</v>
      </c>
      <c r="O7" s="43">
        <f t="array" ref="O7">(MAX(IF($C$2:$C$233=C7,IF($E$2:$E$233="Yes",IF($B$2:$B$78=B7,$M$2:$M$233)))-M7)/MAX(IF($C$2:$C$233=C7,IF($E$2:$E$233="Yes",IF($B$2:$B$78=B7,$M$2:$M$233)))))</f>
        <v>0.99851351351351358</v>
      </c>
      <c r="P7" s="44">
        <f t="array" ref="P7">(K7-MIN(IF($C$2:$C$233=C7,IF($E$2:$E$233="Yes",IF($B$2:$B$78=B7,$K$2:$K$233)))))/MIN(IF($C$2:$C$233=C7,IF($E$2:$E$233="Yes",IF($B$2:$B$78=B7,$K$2:$K$233))))</f>
        <v>-0.18092307692307691</v>
      </c>
      <c r="Q7" s="40" t="s">
        <v>42</v>
      </c>
    </row>
    <row r="8" spans="1:17" ht="14.45" x14ac:dyDescent="0.35">
      <c r="A8" t="s">
        <v>38</v>
      </c>
      <c r="B8" s="40" t="s">
        <v>7</v>
      </c>
      <c r="C8" t="s">
        <v>277</v>
      </c>
      <c r="D8" s="40" t="s">
        <v>283</v>
      </c>
      <c r="E8" s="46" t="s">
        <v>264</v>
      </c>
      <c r="F8" s="46">
        <v>17</v>
      </c>
      <c r="G8">
        <v>44</v>
      </c>
      <c r="H8" s="40">
        <f>F8*G8</f>
        <v>748</v>
      </c>
      <c r="I8" s="41">
        <v>10.1</v>
      </c>
      <c r="J8" s="41"/>
      <c r="K8" s="41">
        <f t="shared" si="0"/>
        <v>13.502673796791443</v>
      </c>
      <c r="L8" s="38">
        <v>10000</v>
      </c>
      <c r="M8" s="45">
        <f t="shared" si="1"/>
        <v>2.2727272727272726E-3</v>
      </c>
      <c r="N8" s="42">
        <f t="shared" si="2"/>
        <v>2.0800621842207541</v>
      </c>
      <c r="O8" s="43">
        <f t="array" ref="O8">(MAX(IF($C$2:$C$233=C8,IF($E$2:$E$233="Yes",IF($B$2:$B$78=B8,$M$2:$M$233)))-M8)/MAX(IF($C$2:$C$233=C8,IF($E$2:$E$233="Yes",IF($B$2:$B$78=B8,$M$2:$M$233)))))</f>
        <v>0.94318181818181812</v>
      </c>
      <c r="P8" s="44">
        <f t="array" ref="P8">(K8-MIN(IF($C$2:$C$233=C8,IF($E$2:$E$233="Yes",IF($B$2:$B$78=B8,$K$2:$K$233)))))/MIN(IF($C$2:$C$233=C8,IF($E$2:$E$233="Yes",IF($B$2:$B$78=B8,$K$2:$K$233))))</f>
        <v>1.9618768328445748</v>
      </c>
      <c r="Q8" s="40" t="s">
        <v>42</v>
      </c>
    </row>
    <row r="9" spans="1:17" ht="14.45" x14ac:dyDescent="0.35">
      <c r="A9" s="40" t="s">
        <v>38</v>
      </c>
      <c r="B9" s="40" t="s">
        <v>7</v>
      </c>
      <c r="C9" t="s">
        <v>277</v>
      </c>
      <c r="D9" s="40" t="s">
        <v>282</v>
      </c>
      <c r="E9" s="46" t="s">
        <v>264</v>
      </c>
      <c r="F9" s="46">
        <v>68</v>
      </c>
      <c r="G9">
        <v>14</v>
      </c>
      <c r="H9" s="40">
        <f>F9*G9</f>
        <v>952</v>
      </c>
      <c r="I9" s="41">
        <v>4.5999999999999996</v>
      </c>
      <c r="J9" s="41"/>
      <c r="K9" s="41">
        <f t="shared" si="0"/>
        <v>4.8319327731092434</v>
      </c>
      <c r="L9" s="38">
        <v>3000</v>
      </c>
      <c r="M9" s="45">
        <f t="shared" si="1"/>
        <v>2.3809523809523808E-2</v>
      </c>
      <c r="N9" s="42">
        <f t="shared" si="2"/>
        <v>0.14800759013282727</v>
      </c>
      <c r="O9" s="43">
        <f t="array" ref="O9">(MAX(IF($C$2:$C$233=C9,IF($E$2:$E$233="Yes",IF($B$2:$B$78=B9,$M$2:$M$233)))-M9)/MAX(IF($C$2:$C$233=C9,IF($E$2:$E$233="Yes",IF($B$2:$B$78=B9,$M$2:$M$233)))))</f>
        <v>0.40476190476190482</v>
      </c>
      <c r="P9" s="44">
        <f t="array" ref="P9">(K9-MIN(IF($C$2:$C$233=C9,IF($E$2:$E$233="Yes",IF($B$2:$B$78=B9,$K$2:$K$233)))))/MIN(IF($C$2:$C$233=C9,IF($E$2:$E$233="Yes",IF($B$2:$B$78=B9,$K$2:$K$233))))</f>
        <v>5.9907834101382472E-2</v>
      </c>
      <c r="Q9" s="40" t="s">
        <v>42</v>
      </c>
    </row>
    <row r="10" spans="1:17" ht="14.45" x14ac:dyDescent="0.35">
      <c r="A10" s="40" t="s">
        <v>38</v>
      </c>
      <c r="B10" s="40" t="s">
        <v>7</v>
      </c>
      <c r="C10" s="40" t="s">
        <v>277</v>
      </c>
      <c r="D10" s="40" t="s">
        <v>281</v>
      </c>
      <c r="E10" s="46" t="s">
        <v>265</v>
      </c>
      <c r="F10" s="46">
        <v>68</v>
      </c>
      <c r="G10">
        <v>10</v>
      </c>
      <c r="H10" s="40">
        <f>F10*G10</f>
        <v>680</v>
      </c>
      <c r="I10" s="41">
        <v>3.1</v>
      </c>
      <c r="J10" s="41"/>
      <c r="K10" s="41">
        <f t="shared" si="0"/>
        <v>4.5588235294117645</v>
      </c>
      <c r="L10" s="38">
        <v>2500</v>
      </c>
      <c r="M10" s="45">
        <f t="shared" si="1"/>
        <v>0.04</v>
      </c>
      <c r="N10" s="42" t="str">
        <f t="shared" si="2"/>
        <v/>
      </c>
      <c r="O10" s="43">
        <f t="array" ref="O10">(MAX(IF($C$2:$C$233=C10,IF($E$2:$E$233="Yes",IF($B$2:$B$78=B10,$M$2:$M$233)))-M10)/MAX(IF($C$2:$C$233=C10,IF($E$2:$E$233="Yes",IF($B$2:$B$78=B10,$M$2:$M$233)))))</f>
        <v>0</v>
      </c>
      <c r="P10" s="44">
        <f t="array" ref="P10">(K10-MIN(IF($C$2:$C$233=C10,IF($E$2:$E$233="Yes",IF($B$2:$B$78=B10,$K$2:$K$233)))))/MIN(IF($C$2:$C$233=C10,IF($E$2:$E$233="Yes",IF($B$2:$B$78=B10,$K$2:$K$233))))</f>
        <v>0</v>
      </c>
      <c r="Q10" s="40" t="s">
        <v>262</v>
      </c>
    </row>
    <row r="11" spans="1:17" ht="14.45" x14ac:dyDescent="0.35">
      <c r="A11" s="40" t="s">
        <v>38</v>
      </c>
      <c r="B11" s="40" t="s">
        <v>7</v>
      </c>
      <c r="C11" s="40" t="s">
        <v>277</v>
      </c>
      <c r="D11" s="40" t="s">
        <v>259</v>
      </c>
      <c r="E11" s="46" t="s">
        <v>264</v>
      </c>
      <c r="F11" s="46"/>
      <c r="G11">
        <v>72</v>
      </c>
      <c r="I11" s="40"/>
      <c r="J11" s="41">
        <v>36</v>
      </c>
      <c r="K11" s="41">
        <f t="shared" si="0"/>
        <v>36</v>
      </c>
      <c r="L11" s="38">
        <v>44000</v>
      </c>
      <c r="M11" s="45">
        <f t="shared" si="1"/>
        <v>3.1565656565656563E-4</v>
      </c>
      <c r="N11" s="42">
        <f t="shared" si="2"/>
        <v>6.9516324038056929</v>
      </c>
      <c r="O11" s="43">
        <f t="array" ref="O11">(MAX(IF($C$2:$C$233=C11,IF($E$2:$E$233="Yes",IF($B$2:$B$78=B11,$M$2:$M$233)))-M11)/MAX(IF($C$2:$C$233=C11,IF($E$2:$E$233="Yes",IF($B$2:$B$78=B11,$M$2:$M$233)))))</f>
        <v>0.99210858585858586</v>
      </c>
      <c r="P11" s="44">
        <f t="array" ref="P11">(K11-MIN(IF($C$2:$C$233=C11,IF($E$2:$E$233="Yes",IF($B$2:$B$78=B11,$K$2:$K$233)))))/MIN(IF($C$2:$C$233=C11,IF($E$2:$E$233="Yes",IF($B$2:$B$78=B11,$K$2:$K$233))))</f>
        <v>6.8967741935483877</v>
      </c>
      <c r="Q11" s="40" t="s">
        <v>262</v>
      </c>
    </row>
    <row r="12" spans="1:17" ht="14.45" x14ac:dyDescent="0.35">
      <c r="A12" s="40" t="s">
        <v>38</v>
      </c>
      <c r="B12" s="40" t="s">
        <v>7</v>
      </c>
      <c r="C12" s="40" t="s">
        <v>277</v>
      </c>
      <c r="D12" s="40" t="s">
        <v>260</v>
      </c>
      <c r="E12" s="46" t="s">
        <v>264</v>
      </c>
      <c r="F12" s="46"/>
      <c r="G12">
        <v>91</v>
      </c>
      <c r="I12" s="40"/>
      <c r="J12" s="41">
        <v>15</v>
      </c>
      <c r="K12" s="41">
        <f t="shared" si="0"/>
        <v>15</v>
      </c>
      <c r="L12" s="38">
        <v>49000</v>
      </c>
      <c r="M12" s="45">
        <f t="shared" si="1"/>
        <v>2.2426553038797938E-4</v>
      </c>
      <c r="N12" s="42">
        <f t="shared" si="2"/>
        <v>2.3032359916772158</v>
      </c>
      <c r="O12" s="43">
        <f t="array" ref="O12">(MAX(IF($C$2:$C$233=C12,IF($E$2:$E$233="Yes",IF($B$2:$B$78=B12,$M$2:$M$233)))-M12)/MAX(IF($C$2:$C$233=C12,IF($E$2:$E$233="Yes",IF($B$2:$B$78=B12,$M$2:$M$233)))))</f>
        <v>0.99439336174030057</v>
      </c>
      <c r="P12" s="44">
        <f t="array" ref="P12">(K12-MIN(IF($C$2:$C$233=C12,IF($E$2:$E$233="Yes",IF($B$2:$B$78=B12,$K$2:$K$233)))))/MIN(IF($C$2:$C$233=C12,IF($E$2:$E$233="Yes",IF($B$2:$B$78=B12,$K$2:$K$233))))</f>
        <v>2.2903225806451615</v>
      </c>
      <c r="Q12" s="40" t="s">
        <v>42</v>
      </c>
    </row>
    <row r="13" spans="1:17" ht="14.45" x14ac:dyDescent="0.35">
      <c r="A13" s="40" t="s">
        <v>38</v>
      </c>
      <c r="B13" s="40" t="s">
        <v>7</v>
      </c>
      <c r="C13" s="40" t="s">
        <v>277</v>
      </c>
      <c r="D13" s="40" t="s">
        <v>261</v>
      </c>
      <c r="E13" s="46" t="s">
        <v>264</v>
      </c>
      <c r="F13" s="46"/>
      <c r="G13">
        <v>117</v>
      </c>
      <c r="I13" s="40"/>
      <c r="J13" s="41">
        <v>2.7</v>
      </c>
      <c r="K13" s="41">
        <f t="shared" si="0"/>
        <v>2.7</v>
      </c>
      <c r="L13" s="38">
        <v>50000</v>
      </c>
      <c r="M13" s="45">
        <f t="shared" si="1"/>
        <v>1.7094017094017094E-4</v>
      </c>
      <c r="N13" s="42">
        <f t="shared" si="2"/>
        <v>-0.40949190087221371</v>
      </c>
      <c r="O13" s="43">
        <f t="array" ref="O13">(MAX(IF($C$2:$C$233=C13,IF($E$2:$E$233="Yes",IF($B$2:$B$78=B13,$M$2:$M$233)))-M13)/MAX(IF($C$2:$C$233=C13,IF($E$2:$E$233="Yes",IF($B$2:$B$78=B13,$M$2:$M$233)))))</f>
        <v>0.99572649572649563</v>
      </c>
      <c r="P13" s="44">
        <f t="array" ref="P13">(K13-MIN(IF($C$2:$C$233=C13,IF($E$2:$E$233="Yes",IF($B$2:$B$78=B13,$K$2:$K$233)))))/MIN(IF($C$2:$C$233=C13,IF($E$2:$E$233="Yes",IF($B$2:$B$78=B13,$K$2:$K$233))))</f>
        <v>-0.40774193548387089</v>
      </c>
      <c r="Q13" s="40" t="s">
        <v>42</v>
      </c>
    </row>
    <row r="14" spans="1:17" ht="14.45" x14ac:dyDescent="0.35">
      <c r="A14" t="s">
        <v>38</v>
      </c>
      <c r="B14" s="40" t="s">
        <v>7</v>
      </c>
      <c r="C14" t="s">
        <v>276</v>
      </c>
      <c r="D14" s="40" t="s">
        <v>268</v>
      </c>
      <c r="E14" s="46" t="s">
        <v>264</v>
      </c>
      <c r="F14" s="46">
        <v>17</v>
      </c>
      <c r="G14">
        <v>54</v>
      </c>
      <c r="H14" s="40">
        <f t="shared" ref="H14:H19" si="3">F14*G14</f>
        <v>918</v>
      </c>
      <c r="I14" s="41">
        <v>3</v>
      </c>
      <c r="J14" s="41"/>
      <c r="K14" s="41">
        <f t="shared" si="0"/>
        <v>3.2679738562091503</v>
      </c>
      <c r="L14" s="38">
        <v>10000</v>
      </c>
      <c r="M14" s="45">
        <f t="shared" si="1"/>
        <v>1.8518518518518517E-3</v>
      </c>
      <c r="N14" s="42">
        <f t="shared" si="2"/>
        <v>1.4825709663185762</v>
      </c>
      <c r="O14" s="43">
        <f t="array" ref="O14">(MAX(IF($C$2:$C$233=C14,IF($E$2:$E$233="Yes",IF($B$2:$B$78=B14,$M$2:$M$233)))-M14)/MAX(IF($C$2:$C$233=C14,IF($E$2:$E$233="Yes",IF($B$2:$B$78=B14,$M$2:$M$233)))))</f>
        <v>0.96851851851851845</v>
      </c>
      <c r="P14" s="44">
        <f t="array" ref="P14">(K14-MIN(IF($C$2:$C$233=C14,IF($E$2:$E$233="Yes",IF($B$2:$B$78=B14,$K$2:$K$233)))))/MIN(IF($C$2:$C$233=C14,IF($E$2:$E$233="Yes",IF($B$2:$B$78=B14,$K$2:$K$233))))</f>
        <v>1.4358974358974357</v>
      </c>
      <c r="Q14" s="40" t="s">
        <v>42</v>
      </c>
    </row>
    <row r="15" spans="1:17" ht="14.45" x14ac:dyDescent="0.35">
      <c r="A15" s="40" t="s">
        <v>38</v>
      </c>
      <c r="B15" s="40" t="s">
        <v>7</v>
      </c>
      <c r="C15" s="40" t="s">
        <v>276</v>
      </c>
      <c r="D15" s="40" t="s">
        <v>267</v>
      </c>
      <c r="E15" s="46" t="s">
        <v>264</v>
      </c>
      <c r="F15" s="46">
        <v>51</v>
      </c>
      <c r="G15">
        <v>15</v>
      </c>
      <c r="H15" s="40">
        <f t="shared" si="3"/>
        <v>765</v>
      </c>
      <c r="I15" s="41">
        <v>1.9</v>
      </c>
      <c r="J15" s="41"/>
      <c r="K15" s="41">
        <f t="shared" si="0"/>
        <v>2.4836601307189543</v>
      </c>
      <c r="L15" s="38">
        <v>1500</v>
      </c>
      <c r="M15" s="45">
        <f t="shared" si="1"/>
        <v>4.4444444444444446E-2</v>
      </c>
      <c r="N15" s="42">
        <f t="shared" si="2"/>
        <v>3.4825174825174825</v>
      </c>
      <c r="O15" s="43">
        <f t="array" ref="O15">(MAX(IF($C$2:$C$233=C15,IF($E$2:$E$233="Yes",IF($B$2:$B$78=B15,$M$2:$M$233)))-M15)/MAX(IF($C$2:$C$233=C15,IF($E$2:$E$233="Yes",IF($B$2:$B$78=B15,$M$2:$M$233)))))</f>
        <v>0.24444444444444441</v>
      </c>
      <c r="P15" s="44">
        <f t="array" ref="P15">(K15-MIN(IF($C$2:$C$233=C15,IF($E$2:$E$233="Yes",IF($B$2:$B$78=B15,$K$2:$K$233)))))/MIN(IF($C$2:$C$233=C15,IF($E$2:$E$233="Yes",IF($B$2:$B$78=B15,$K$2:$K$233))))</f>
        <v>0.85128205128205114</v>
      </c>
      <c r="Q15" s="40" t="s">
        <v>42</v>
      </c>
    </row>
    <row r="16" spans="1:17" ht="14.45" x14ac:dyDescent="0.35">
      <c r="A16" s="40" t="s">
        <v>38</v>
      </c>
      <c r="B16" s="40" t="s">
        <v>7</v>
      </c>
      <c r="C16" s="40" t="s">
        <v>276</v>
      </c>
      <c r="D16" s="40" t="s">
        <v>275</v>
      </c>
      <c r="E16" s="46" t="s">
        <v>265</v>
      </c>
      <c r="F16" s="46">
        <v>57</v>
      </c>
      <c r="G16">
        <v>17</v>
      </c>
      <c r="H16" s="40">
        <f t="shared" si="3"/>
        <v>969</v>
      </c>
      <c r="I16" s="41">
        <v>1.3</v>
      </c>
      <c r="J16" s="41"/>
      <c r="K16" s="41">
        <f t="shared" si="0"/>
        <v>1.3415892672858618</v>
      </c>
      <c r="L16" s="38">
        <v>1000</v>
      </c>
      <c r="M16" s="45">
        <f t="shared" si="1"/>
        <v>5.8823529411764705E-2</v>
      </c>
      <c r="N16" s="42" t="str">
        <f t="shared" si="2"/>
        <v/>
      </c>
      <c r="O16" s="43">
        <f t="array" ref="O16">(MAX(IF($C$2:$C$233=C16,IF($E$2:$E$233="Yes",IF($B$2:$B$78=B16,$M$2:$M$233)))-M16)/MAX(IF($C$2:$C$233=C16,IF($E$2:$E$233="Yes",IF($B$2:$B$78=B16,$M$2:$M$233)))))</f>
        <v>0</v>
      </c>
      <c r="P16" s="44">
        <f t="array" ref="P16">(K16-MIN(IF($C$2:$C$233=C16,IF($E$2:$E$233="Yes",IF($B$2:$B$78=B16,$K$2:$K$233)))))/MIN(IF($C$2:$C$233=C16,IF($E$2:$E$233="Yes",IF($B$2:$B$78=B16,$K$2:$K$233))))</f>
        <v>0</v>
      </c>
      <c r="Q16" s="40" t="s">
        <v>262</v>
      </c>
    </row>
    <row r="17" spans="1:17" ht="14.45" x14ac:dyDescent="0.35">
      <c r="A17" s="40" t="s">
        <v>38</v>
      </c>
      <c r="B17" s="40" t="s">
        <v>7</v>
      </c>
      <c r="C17" s="40" t="s">
        <v>274</v>
      </c>
      <c r="D17" s="40" t="s">
        <v>268</v>
      </c>
      <c r="E17" s="46" t="s">
        <v>264</v>
      </c>
      <c r="F17" s="46">
        <v>17</v>
      </c>
      <c r="G17">
        <v>54</v>
      </c>
      <c r="H17" s="40">
        <f t="shared" si="3"/>
        <v>918</v>
      </c>
      <c r="I17" s="41">
        <v>3</v>
      </c>
      <c r="J17" s="41"/>
      <c r="K17" s="41">
        <f t="shared" si="0"/>
        <v>3.2679738562091503</v>
      </c>
      <c r="L17" s="38">
        <v>10000</v>
      </c>
      <c r="M17" s="45">
        <f t="shared" si="1"/>
        <v>1.8518518518518517E-3</v>
      </c>
      <c r="N17" s="42">
        <f t="shared" si="2"/>
        <v>6.3928709802402182</v>
      </c>
      <c r="O17" s="43">
        <f t="array" ref="O17">(MAX(IF($C$2:$C$233=C17,IF($E$2:$E$233="Yes",IF($B$2:$B$78=B17,$M$2:$M$233)))-M17)/MAX(IF($C$2:$C$233=C17,IF($E$2:$E$233="Yes",IF($B$2:$B$78=B17,$M$2:$M$233)))))</f>
        <v>0.95592592592592585</v>
      </c>
      <c r="P17" s="44">
        <f t="array" ref="P17">(K17-MIN(IF($C$2:$C$233=C17,IF($E$2:$E$233="Yes",IF($B$2:$B$78=B17,$K$2:$K$233)))))/MIN(IF($C$2:$C$233=C17,IF($E$2:$E$233="Yes",IF($B$2:$B$78=B17,$K$2:$K$233))))</f>
        <v>6.1111111111111116</v>
      </c>
      <c r="Q17" s="40" t="s">
        <v>42</v>
      </c>
    </row>
    <row r="18" spans="1:17" ht="14.45" x14ac:dyDescent="0.35">
      <c r="A18" s="40" t="s">
        <v>38</v>
      </c>
      <c r="B18" s="40" t="s">
        <v>7</v>
      </c>
      <c r="C18" s="40" t="s">
        <v>274</v>
      </c>
      <c r="D18" s="40" t="s">
        <v>267</v>
      </c>
      <c r="E18" s="46" t="s">
        <v>264</v>
      </c>
      <c r="F18" s="46">
        <v>51</v>
      </c>
      <c r="G18">
        <v>15</v>
      </c>
      <c r="H18" s="40">
        <f t="shared" si="3"/>
        <v>765</v>
      </c>
      <c r="I18" s="41">
        <v>1.9</v>
      </c>
      <c r="J18" s="41"/>
      <c r="K18" s="41">
        <f t="shared" si="0"/>
        <v>2.4836601307189543</v>
      </c>
      <c r="L18" s="38">
        <v>1500</v>
      </c>
      <c r="M18" s="45">
        <f t="shared" si="1"/>
        <v>4.4444444444444446E-2</v>
      </c>
      <c r="N18" s="42">
        <f t="shared" si="2"/>
        <v>-76.230769230769297</v>
      </c>
      <c r="O18" s="43">
        <f t="array" ref="O18">(MAX(IF($C$2:$C$233=C18,IF($E$2:$E$233="Yes",IF($B$2:$B$78=B18,$M$2:$M$233)))-M18)/MAX(IF($C$2:$C$233=C18,IF($E$2:$E$233="Yes",IF($B$2:$B$78=B18,$M$2:$M$233)))))</f>
        <v>-5.7777777777777733E-2</v>
      </c>
      <c r="P18" s="44">
        <f t="array" ref="P18">(K18-MIN(IF($C$2:$C$233=C18,IF($E$2:$E$233="Yes",IF($B$2:$B$78=B18,$K$2:$K$233)))))/MIN(IF($C$2:$C$233=C18,IF($E$2:$E$233="Yes",IF($B$2:$B$78=B18,$K$2:$K$233))))</f>
        <v>4.4044444444444446</v>
      </c>
      <c r="Q18" s="40" t="s">
        <v>262</v>
      </c>
    </row>
    <row r="19" spans="1:17" ht="14.45" x14ac:dyDescent="0.35">
      <c r="A19" s="40" t="s">
        <v>38</v>
      </c>
      <c r="B19" s="40" t="s">
        <v>7</v>
      </c>
      <c r="C19" s="40" t="s">
        <v>274</v>
      </c>
      <c r="D19" s="40" t="s">
        <v>266</v>
      </c>
      <c r="E19" s="46" t="s">
        <v>265</v>
      </c>
      <c r="F19" s="46">
        <v>64</v>
      </c>
      <c r="G19">
        <v>17</v>
      </c>
      <c r="H19" s="40">
        <f t="shared" si="3"/>
        <v>1088</v>
      </c>
      <c r="I19" s="41">
        <v>0.5</v>
      </c>
      <c r="J19" s="41"/>
      <c r="K19" s="41">
        <f t="shared" si="0"/>
        <v>0.45955882352941174</v>
      </c>
      <c r="L19" s="38">
        <v>1400</v>
      </c>
      <c r="M19" s="45">
        <f t="shared" si="1"/>
        <v>4.2016806722689079E-2</v>
      </c>
      <c r="N19" s="42" t="str">
        <f t="shared" si="2"/>
        <v/>
      </c>
      <c r="O19" s="43">
        <f t="array" ref="O19">(MAX(IF($C$2:$C$233=C19,IF($E$2:$E$233="Yes",IF($B$2:$B$78=B19,$M$2:$M$233)))-M19)/MAX(IF($C$2:$C$233=C19,IF($E$2:$E$233="Yes",IF($B$2:$B$78=B19,$M$2:$M$233)))))</f>
        <v>0</v>
      </c>
      <c r="P19" s="44">
        <f t="array" ref="P19">(K19-MIN(IF($C$2:$C$233=C19,IF($E$2:$E$233="Yes",IF($B$2:$B$78=B19,$K$2:$K$233)))))/MIN(IF($C$2:$C$233=C19,IF($E$2:$E$233="Yes",IF($B$2:$B$78=B19,$K$2:$K$233))))</f>
        <v>0</v>
      </c>
      <c r="Q19" s="40" t="s">
        <v>262</v>
      </c>
    </row>
    <row r="20" spans="1:17" ht="14.45" x14ac:dyDescent="0.35">
      <c r="A20" s="40" t="s">
        <v>38</v>
      </c>
      <c r="B20" s="40" t="s">
        <v>7</v>
      </c>
      <c r="C20" s="40" t="s">
        <v>274</v>
      </c>
      <c r="D20" s="40" t="s">
        <v>259</v>
      </c>
      <c r="E20" s="46" t="s">
        <v>264</v>
      </c>
      <c r="F20" s="46"/>
      <c r="G20">
        <v>81</v>
      </c>
      <c r="I20" s="40"/>
      <c r="J20" s="41">
        <v>24</v>
      </c>
      <c r="K20" s="41">
        <f t="shared" si="0"/>
        <v>24</v>
      </c>
      <c r="L20" s="38">
        <v>44000</v>
      </c>
      <c r="M20" s="45">
        <f t="shared" si="1"/>
        <v>2.8058361391694722E-4</v>
      </c>
      <c r="N20" s="42">
        <f t="shared" si="2"/>
        <v>51.568367888819836</v>
      </c>
      <c r="O20" s="43">
        <f t="array" ref="O20">(MAX(IF($C$2:$C$233=C20,IF($E$2:$E$233="Yes",IF($B$2:$B$78=B20,$M$2:$M$233)))-M20)/MAX(IF($C$2:$C$233=C20,IF($E$2:$E$233="Yes",IF($B$2:$B$78=B20,$M$2:$M$233)))))</f>
        <v>0.99332210998877668</v>
      </c>
      <c r="P20" s="44">
        <f t="array" ref="P20">(K20-MIN(IF($C$2:$C$233=C20,IF($E$2:$E$233="Yes",IF($B$2:$B$78=B20,$K$2:$K$233)))))/MIN(IF($C$2:$C$233=C20,IF($E$2:$E$233="Yes",IF($B$2:$B$78=B20,$K$2:$K$233))))</f>
        <v>51.223999999999997</v>
      </c>
      <c r="Q20" s="40" t="s">
        <v>262</v>
      </c>
    </row>
    <row r="21" spans="1:17" ht="14.45" x14ac:dyDescent="0.35">
      <c r="A21" s="40" t="s">
        <v>38</v>
      </c>
      <c r="B21" s="40" t="s">
        <v>7</v>
      </c>
      <c r="C21" s="40" t="s">
        <v>274</v>
      </c>
      <c r="D21" s="40" t="s">
        <v>260</v>
      </c>
      <c r="E21" s="46" t="s">
        <v>264</v>
      </c>
      <c r="F21" s="46"/>
      <c r="G21">
        <v>102</v>
      </c>
      <c r="I21" s="40"/>
      <c r="J21" s="41">
        <v>8.6999999999999993</v>
      </c>
      <c r="K21" s="41">
        <f t="shared" si="0"/>
        <v>8.6999999999999993</v>
      </c>
      <c r="L21" s="38">
        <v>49000</v>
      </c>
      <c r="M21" s="45">
        <f t="shared" si="1"/>
        <v>2.0008003201280511E-4</v>
      </c>
      <c r="N21" s="42">
        <f t="shared" si="2"/>
        <v>18.016995215311006</v>
      </c>
      <c r="O21" s="43">
        <f t="array" ref="O21">(MAX(IF($C$2:$C$233=C21,IF($E$2:$E$233="Yes",IF($B$2:$B$78=B21,$M$2:$M$233)))-M21)/MAX(IF($C$2:$C$233=C21,IF($E$2:$E$233="Yes",IF($B$2:$B$78=B21,$M$2:$M$233)))))</f>
        <v>0.99523809523809514</v>
      </c>
      <c r="P21" s="44">
        <f t="array" ref="P21">(K21-MIN(IF($C$2:$C$233=C21,IF($E$2:$E$233="Yes",IF($B$2:$B$78=B21,$K$2:$K$233)))))/MIN(IF($C$2:$C$233=C21,IF($E$2:$E$233="Yes",IF($B$2:$B$78=B21,$K$2:$K$233))))</f>
        <v>17.9312</v>
      </c>
      <c r="Q21" s="40" t="s">
        <v>42</v>
      </c>
    </row>
    <row r="22" spans="1:17" ht="14.45" x14ac:dyDescent="0.35">
      <c r="A22" t="s">
        <v>38</v>
      </c>
      <c r="B22" s="40" t="s">
        <v>7</v>
      </c>
      <c r="C22" t="s">
        <v>274</v>
      </c>
      <c r="D22" s="40" t="s">
        <v>261</v>
      </c>
      <c r="E22" s="46" t="s">
        <v>264</v>
      </c>
      <c r="F22" s="46"/>
      <c r="G22">
        <v>131</v>
      </c>
      <c r="I22" s="40"/>
      <c r="J22" s="41">
        <v>1.3</v>
      </c>
      <c r="K22" s="41">
        <f t="shared" si="0"/>
        <v>1.3</v>
      </c>
      <c r="L22" s="38">
        <v>50000</v>
      </c>
      <c r="M22" s="45">
        <f t="shared" si="1"/>
        <v>1.5267175572519082E-4</v>
      </c>
      <c r="N22" s="42">
        <f t="shared" si="2"/>
        <v>1.8354693389721435</v>
      </c>
      <c r="O22" s="43">
        <f t="array" ref="O22">(MAX(IF($C$2:$C$233=C22,IF($E$2:$E$233="Yes",IF($B$2:$B$78=B22,$M$2:$M$233)))-M22)/MAX(IF($C$2:$C$233=C22,IF($E$2:$E$233="Yes",IF($B$2:$B$78=B22,$M$2:$M$233)))))</f>
        <v>0.99636641221374045</v>
      </c>
      <c r="P22" s="44">
        <f t="array" ref="P22">(K22-MIN(IF($C$2:$C$233=C22,IF($E$2:$E$233="Yes",IF($B$2:$B$78=B22,$K$2:$K$233)))))/MIN(IF($C$2:$C$233=C22,IF($E$2:$E$233="Yes",IF($B$2:$B$78=B22,$K$2:$K$233))))</f>
        <v>1.8288000000000004</v>
      </c>
      <c r="Q22" s="40" t="s">
        <v>42</v>
      </c>
    </row>
    <row r="23" spans="1:17" ht="14.45" x14ac:dyDescent="0.35">
      <c r="A23" s="40" t="s">
        <v>38</v>
      </c>
      <c r="B23" s="40" t="s">
        <v>7</v>
      </c>
      <c r="C23" s="40" t="s">
        <v>280</v>
      </c>
      <c r="D23" s="40" t="s">
        <v>259</v>
      </c>
      <c r="E23" s="46" t="s">
        <v>264</v>
      </c>
      <c r="F23" s="46"/>
      <c r="G23">
        <v>91</v>
      </c>
      <c r="J23" s="41">
        <v>89</v>
      </c>
      <c r="K23" s="41">
        <f t="shared" si="0"/>
        <v>89</v>
      </c>
      <c r="L23" s="38">
        <v>44000</v>
      </c>
      <c r="M23" s="45">
        <f t="shared" si="1"/>
        <v>2.4975024975024975E-4</v>
      </c>
      <c r="N23" s="42">
        <f t="shared" si="2"/>
        <v>31.328236559139786</v>
      </c>
      <c r="O23" s="43">
        <f t="array" ref="O23">(MAX(IF($C$2:$C$233=C23,IF($E$2:$E$233="Yes",IF($B$2:$B$78=B23,$M$2:$M$233)))-M23)/MAX(IF($C$2:$C$233=C23,IF($E$2:$E$233="Yes",IF($B$2:$B$78=B23,$M$2:$M$233)))))</f>
        <v>0.80519480519480524</v>
      </c>
      <c r="P23" s="44">
        <f t="array" ref="P23">(K23-MIN(IF($C$2:$C$233=C23,IF($E$2:$E$233="Yes",IF($B$2:$B$78=B23,$K$2:$K$233)))))/MIN(IF($C$2:$C$233=C23,IF($E$2:$E$233="Yes",IF($B$2:$B$78=B23,$K$2:$K$233))))</f>
        <v>25.225333333333335</v>
      </c>
      <c r="Q23" s="40" t="s">
        <v>262</v>
      </c>
    </row>
    <row r="24" spans="1:17" ht="14.45" x14ac:dyDescent="0.35">
      <c r="A24" s="40" t="s">
        <v>38</v>
      </c>
      <c r="B24" s="40" t="s">
        <v>7</v>
      </c>
      <c r="C24" s="40" t="s">
        <v>280</v>
      </c>
      <c r="D24" s="40" t="s">
        <v>260</v>
      </c>
      <c r="E24" s="46" t="s">
        <v>264</v>
      </c>
      <c r="F24" s="46"/>
      <c r="G24">
        <v>109</v>
      </c>
      <c r="J24" s="41">
        <v>60</v>
      </c>
      <c r="K24" s="41">
        <f t="shared" si="0"/>
        <v>60</v>
      </c>
      <c r="L24" s="38">
        <v>49000</v>
      </c>
      <c r="M24" s="45">
        <f t="shared" si="1"/>
        <v>1.8723085564501031E-4</v>
      </c>
      <c r="N24" s="42">
        <f t="shared" si="2"/>
        <v>19.532532339399253</v>
      </c>
      <c r="O24" s="43">
        <f t="array" ref="O24">(MAX(IF($C$2:$C$233=C24,IF($E$2:$E$233="Yes",IF($B$2:$B$78=B24,$M$2:$M$233)))-M24)/MAX(IF($C$2:$C$233=C24,IF($E$2:$E$233="Yes",IF($B$2:$B$78=B24,$M$2:$M$233)))))</f>
        <v>0.85395993259689196</v>
      </c>
      <c r="P24" s="44">
        <f t="array" ref="P24">(K24-MIN(IF($C$2:$C$233=C24,IF($E$2:$E$233="Yes",IF($B$2:$B$78=B24,$K$2:$K$233)))))/MIN(IF($C$2:$C$233=C24,IF($E$2:$E$233="Yes",IF($B$2:$B$78=B24,$K$2:$K$233))))</f>
        <v>16.68</v>
      </c>
      <c r="Q24" s="40" t="s">
        <v>42</v>
      </c>
    </row>
    <row r="25" spans="1:17" ht="14.45" x14ac:dyDescent="0.35">
      <c r="A25" t="s">
        <v>38</v>
      </c>
      <c r="B25" s="40" t="s">
        <v>7</v>
      </c>
      <c r="C25" t="s">
        <v>280</v>
      </c>
      <c r="D25" s="40" t="s">
        <v>261</v>
      </c>
      <c r="E25" s="46" t="s">
        <v>264</v>
      </c>
      <c r="F25" s="46"/>
      <c r="G25">
        <v>132</v>
      </c>
      <c r="J25" s="41">
        <v>28</v>
      </c>
      <c r="K25" s="41">
        <f t="shared" si="0"/>
        <v>28</v>
      </c>
      <c r="L25" s="38">
        <v>50000</v>
      </c>
      <c r="M25" s="45">
        <f t="shared" si="1"/>
        <v>1.5151515151515152E-4</v>
      </c>
      <c r="N25" s="42">
        <f t="shared" si="2"/>
        <v>8.2224054982817893</v>
      </c>
      <c r="O25" s="43">
        <f t="array" ref="O25">(MAX(IF($C$2:$C$233=C25,IF($E$2:$E$233="Yes",IF($B$2:$B$78=B25,$M$2:$M$233)))-M25)/MAX(IF($C$2:$C$233=C25,IF($E$2:$E$233="Yes",IF($B$2:$B$78=B25,$M$2:$M$233)))))</f>
        <v>0.88181818181818172</v>
      </c>
      <c r="P25" s="44">
        <f t="array" ref="P25">(K25-MIN(IF($C$2:$C$233=C25,IF($E$2:$E$233="Yes",IF($B$2:$B$78=B25,$K$2:$K$233)))))/MIN(IF($C$2:$C$233=C25,IF($E$2:$E$233="Yes",IF($B$2:$B$78=B25,$K$2:$K$233))))</f>
        <v>7.2506666666666675</v>
      </c>
      <c r="Q25" s="40" t="s">
        <v>42</v>
      </c>
    </row>
    <row r="26" spans="1:17" ht="14.45" x14ac:dyDescent="0.35">
      <c r="A26" s="40" t="s">
        <v>38</v>
      </c>
      <c r="B26" s="40" t="s">
        <v>7</v>
      </c>
      <c r="C26" s="40" t="s">
        <v>280</v>
      </c>
      <c r="D26" s="40" t="s">
        <v>284</v>
      </c>
      <c r="E26" s="46" t="s">
        <v>265</v>
      </c>
      <c r="F26" s="46">
        <v>17</v>
      </c>
      <c r="G26">
        <v>52</v>
      </c>
      <c r="H26" s="40">
        <f>F26*G26</f>
        <v>884</v>
      </c>
      <c r="I26" s="41">
        <v>3</v>
      </c>
      <c r="J26" s="41"/>
      <c r="K26" s="41">
        <f t="shared" si="0"/>
        <v>3.3936651583710407</v>
      </c>
      <c r="L26" s="38">
        <v>15000</v>
      </c>
      <c r="M26" s="45">
        <f t="shared" si="1"/>
        <v>1.2820512820512823E-3</v>
      </c>
      <c r="N26" s="42" t="str">
        <f t="shared" si="2"/>
        <v/>
      </c>
      <c r="O26" s="43">
        <f t="array" ref="O26">(MAX(IF($C$2:$C$233=C26,IF($E$2:$E$233="Yes",IF($B$2:$B$78=B26,$M$2:$M$233)))-M26)/MAX(IF($C$2:$C$233=C26,IF($E$2:$E$233="Yes",IF($B$2:$B$78=B26,$M$2:$M$233)))))</f>
        <v>0</v>
      </c>
      <c r="P26" s="44">
        <f t="array" ref="P26">(K26-MIN(IF($C$2:$C$233=C26,IF($E$2:$E$233="Yes",IF($B$2:$B$78=B26,$K$2:$K$233)))))/MIN(IF($C$2:$C$233=C26,IF($E$2:$E$233="Yes",IF($B$2:$B$78=B26,$K$2:$K$233))))</f>
        <v>0</v>
      </c>
      <c r="Q26" s="40" t="s">
        <v>262</v>
      </c>
    </row>
    <row r="27" spans="1:17" ht="14.45" x14ac:dyDescent="0.35">
      <c r="A27" s="40" t="s">
        <v>38</v>
      </c>
      <c r="B27" s="40" t="s">
        <v>7</v>
      </c>
      <c r="C27" s="40" t="s">
        <v>280</v>
      </c>
      <c r="D27" s="40" t="s">
        <v>286</v>
      </c>
      <c r="E27" s="46" t="s">
        <v>264</v>
      </c>
      <c r="F27" s="46">
        <v>13</v>
      </c>
      <c r="G27">
        <v>73</v>
      </c>
      <c r="H27" s="40">
        <f>F27*G27</f>
        <v>949</v>
      </c>
      <c r="I27" s="41">
        <v>4.2</v>
      </c>
      <c r="J27" s="41"/>
      <c r="K27" s="41">
        <f t="shared" si="0"/>
        <v>4.4257112750263436</v>
      </c>
      <c r="L27" s="38">
        <v>30000</v>
      </c>
      <c r="M27" s="45">
        <f t="shared" si="1"/>
        <v>4.5662100456621003E-4</v>
      </c>
      <c r="N27" s="42">
        <f t="shared" si="2"/>
        <v>0.47234042553191491</v>
      </c>
      <c r="O27" s="43">
        <f t="array" ref="O27">(MAX(IF($C$2:$C$233=C27,IF($E$2:$E$233="Yes",IF($B$2:$B$78=B27,$M$2:$M$233)))-M27)/MAX(IF($C$2:$C$233=C27,IF($E$2:$E$233="Yes",IF($B$2:$B$78=B27,$M$2:$M$233)))))</f>
        <v>0.6438356164383563</v>
      </c>
      <c r="P27" s="44">
        <f t="array" ref="P27">(K27-MIN(IF($C$2:$C$233=C27,IF($E$2:$E$233="Yes",IF($B$2:$B$78=B27,$K$2:$K$233)))))/MIN(IF($C$2:$C$233=C27,IF($E$2:$E$233="Yes",IF($B$2:$B$78=B27,$K$2:$K$233))))</f>
        <v>0.30410958904109597</v>
      </c>
      <c r="Q27" s="40" t="s">
        <v>42</v>
      </c>
    </row>
    <row r="28" spans="1:17" ht="14.45" x14ac:dyDescent="0.35">
      <c r="A28" t="s">
        <v>38</v>
      </c>
      <c r="B28" s="40" t="s">
        <v>7</v>
      </c>
      <c r="C28" t="s">
        <v>280</v>
      </c>
      <c r="D28" s="40" t="s">
        <v>285</v>
      </c>
      <c r="E28" s="46" t="s">
        <v>264</v>
      </c>
      <c r="F28" s="46">
        <v>18</v>
      </c>
      <c r="G28">
        <v>65</v>
      </c>
      <c r="H28" s="40">
        <f>F28*G28</f>
        <v>1170</v>
      </c>
      <c r="I28" s="41">
        <v>5.4</v>
      </c>
      <c r="J28" s="41"/>
      <c r="K28" s="41">
        <f t="shared" si="0"/>
        <v>4.6153846153846159</v>
      </c>
      <c r="L28" s="38">
        <v>20000</v>
      </c>
      <c r="M28" s="45">
        <f t="shared" si="1"/>
        <v>7.6923076923076923E-4</v>
      </c>
      <c r="N28" s="42">
        <f t="shared" si="2"/>
        <v>0.90000000000000024</v>
      </c>
      <c r="O28" s="43">
        <f t="array" ref="O28">(MAX(IF($C$2:$C$233=C28,IF($E$2:$E$233="Yes",IF($B$2:$B$78=B28,$M$2:$M$233)))-M28)/MAX(IF($C$2:$C$233=C28,IF($E$2:$E$233="Yes",IF($B$2:$B$78=B28,$M$2:$M$233)))))</f>
        <v>0.40000000000000008</v>
      </c>
      <c r="P28" s="44">
        <f t="array" ref="P28">(K28-MIN(IF($C$2:$C$233=C28,IF($E$2:$E$233="Yes",IF($B$2:$B$78=B28,$K$2:$K$233)))))/MIN(IF($C$2:$C$233=C28,IF($E$2:$E$233="Yes",IF($B$2:$B$78=B28,$K$2:$K$233))))</f>
        <v>0.36000000000000015</v>
      </c>
      <c r="Q28" s="40" t="s">
        <v>42</v>
      </c>
    </row>
    <row r="29" spans="1:17" ht="14.45" x14ac:dyDescent="0.35">
      <c r="A29" s="40" t="s">
        <v>38</v>
      </c>
      <c r="B29" s="40" t="s">
        <v>7</v>
      </c>
      <c r="C29" s="40" t="s">
        <v>279</v>
      </c>
      <c r="D29" s="40" t="s">
        <v>259</v>
      </c>
      <c r="E29" s="46" t="s">
        <v>264</v>
      </c>
      <c r="F29" s="46"/>
      <c r="G29">
        <v>91</v>
      </c>
      <c r="J29" s="41">
        <v>89</v>
      </c>
      <c r="K29" s="41">
        <f t="shared" si="0"/>
        <v>89</v>
      </c>
      <c r="L29" s="38">
        <v>44000</v>
      </c>
      <c r="M29" s="45">
        <f t="shared" si="1"/>
        <v>2.4975024975024975E-4</v>
      </c>
      <c r="N29" s="42">
        <f t="shared" si="2"/>
        <v>63.665745387954424</v>
      </c>
      <c r="O29" s="43">
        <f t="array" ref="O29">(MAX(IF($C$2:$C$233=C29,IF($E$2:$E$233="Yes",IF($B$2:$B$78=B29,$M$2:$M$233)))-M29)/MAX(IF($C$2:$C$233=C29,IF($E$2:$E$233="Yes",IF($B$2:$B$78=B29,$M$2:$M$233)))))</f>
        <v>0.77522477522477529</v>
      </c>
      <c r="P29" s="44">
        <f t="array" ref="P29">(K29-MIN(IF($C$2:$C$233=C29,IF($E$2:$E$233="Yes",IF($B$2:$B$78=B29,$K$2:$K$233)))))/MIN(IF($C$2:$C$233=C29,IF($E$2:$E$233="Yes",IF($B$2:$B$78=B29,$K$2:$K$233))))</f>
        <v>49.35526315789474</v>
      </c>
      <c r="Q29" s="40" t="s">
        <v>262</v>
      </c>
    </row>
    <row r="30" spans="1:17" ht="14.45" x14ac:dyDescent="0.35">
      <c r="A30" s="40" t="s">
        <v>38</v>
      </c>
      <c r="B30" s="40" t="s">
        <v>7</v>
      </c>
      <c r="C30" s="40" t="s">
        <v>279</v>
      </c>
      <c r="D30" s="40" t="s">
        <v>260</v>
      </c>
      <c r="E30" s="46" t="s">
        <v>264</v>
      </c>
      <c r="F30" s="46"/>
      <c r="G30">
        <v>109</v>
      </c>
      <c r="J30" s="41">
        <v>60</v>
      </c>
      <c r="K30" s="41">
        <f t="shared" si="0"/>
        <v>60</v>
      </c>
      <c r="L30" s="38">
        <v>49000</v>
      </c>
      <c r="M30" s="45">
        <f t="shared" si="1"/>
        <v>1.8723085564501031E-4</v>
      </c>
      <c r="N30" s="42">
        <f t="shared" si="2"/>
        <v>39.624385214330573</v>
      </c>
      <c r="O30" s="43">
        <f t="array" ref="O30">(MAX(IF($C$2:$C$233=C30,IF($E$2:$E$233="Yes",IF($B$2:$B$78=B30,$M$2:$M$233)))-M30)/MAX(IF($C$2:$C$233=C30,IF($E$2:$E$233="Yes",IF($B$2:$B$78=B30,$M$2:$M$233)))))</f>
        <v>0.83149222991949079</v>
      </c>
      <c r="P30" s="44">
        <f t="array" ref="P30">(K30-MIN(IF($C$2:$C$233=C30,IF($E$2:$E$233="Yes",IF($B$2:$B$78=B30,$K$2:$K$233)))))/MIN(IF($C$2:$C$233=C30,IF($E$2:$E$233="Yes",IF($B$2:$B$78=B30,$K$2:$K$233))))</f>
        <v>32.94736842105263</v>
      </c>
      <c r="Q30" s="40" t="s">
        <v>42</v>
      </c>
    </row>
    <row r="31" spans="1:17" ht="14.45" x14ac:dyDescent="0.35">
      <c r="A31" t="s">
        <v>38</v>
      </c>
      <c r="B31" s="40" t="s">
        <v>7</v>
      </c>
      <c r="C31" s="40" t="s">
        <v>279</v>
      </c>
      <c r="D31" s="40" t="s">
        <v>261</v>
      </c>
      <c r="E31" s="46" t="s">
        <v>264</v>
      </c>
      <c r="F31" s="46"/>
      <c r="G31">
        <v>132</v>
      </c>
      <c r="I31" s="40"/>
      <c r="J31" s="41">
        <v>28</v>
      </c>
      <c r="K31" s="41">
        <f t="shared" si="0"/>
        <v>28</v>
      </c>
      <c r="L31" s="38">
        <v>50000</v>
      </c>
      <c r="M31" s="45">
        <f t="shared" si="1"/>
        <v>1.5151515151515152E-4</v>
      </c>
      <c r="N31" s="42">
        <f t="shared" si="2"/>
        <v>17.185595567867036</v>
      </c>
      <c r="O31" s="43">
        <f t="array" ref="O31">(MAX(IF($C$2:$C$233=C31,IF($E$2:$E$233="Yes",IF($B$2:$B$78=B31,$M$2:$M$233)))-M31)/MAX(IF($C$2:$C$233=C31,IF($E$2:$E$233="Yes",IF($B$2:$B$78=B31,$M$2:$M$233)))))</f>
        <v>0.86363636363636365</v>
      </c>
      <c r="P31" s="44">
        <f t="array" ref="P31">(K31-MIN(IF($C$2:$C$233=C31,IF($E$2:$E$233="Yes",IF($B$2:$B$78=B31,$K$2:$K$233)))))/MIN(IF($C$2:$C$233=C31,IF($E$2:$E$233="Yes",IF($B$2:$B$78=B31,$K$2:$K$233))))</f>
        <v>14.842105263157896</v>
      </c>
      <c r="Q31" s="40" t="s">
        <v>42</v>
      </c>
    </row>
    <row r="32" spans="1:17" ht="14.45" x14ac:dyDescent="0.35">
      <c r="A32" s="40" t="s">
        <v>38</v>
      </c>
      <c r="B32" s="40" t="s">
        <v>7</v>
      </c>
      <c r="C32" s="40" t="s">
        <v>279</v>
      </c>
      <c r="D32" s="40" t="s">
        <v>284</v>
      </c>
      <c r="E32" s="46" t="s">
        <v>265</v>
      </c>
      <c r="F32" s="46">
        <v>43</v>
      </c>
      <c r="G32">
        <v>75</v>
      </c>
      <c r="H32" s="40">
        <f>F32*G32</f>
        <v>3225</v>
      </c>
      <c r="I32" s="41">
        <v>5.7</v>
      </c>
      <c r="J32" s="41"/>
      <c r="K32" s="41">
        <f t="shared" si="0"/>
        <v>1.7674418604651163</v>
      </c>
      <c r="L32" s="38">
        <v>12000</v>
      </c>
      <c r="M32" s="45">
        <f t="shared" si="1"/>
        <v>1.1111111111111113E-3</v>
      </c>
      <c r="N32" s="42" t="str">
        <f t="shared" si="2"/>
        <v/>
      </c>
      <c r="O32" s="43">
        <f t="array" ref="O32">(MAX(IF($C$2:$C$233=C32,IF($E$2:$E$233="Yes",IF($B$2:$B$78=B32,$M$2:$M$233)))-M32)/MAX(IF($C$2:$C$233=C32,IF($E$2:$E$233="Yes",IF($B$2:$B$78=B32,$M$2:$M$233)))))</f>
        <v>0</v>
      </c>
      <c r="P32" s="44">
        <f t="array" ref="P32">(K32-MIN(IF($C$2:$C$233=C32,IF($E$2:$E$233="Yes",IF($B$2:$B$78=B32,$K$2:$K$233)))))/MIN(IF($C$2:$C$233=C32,IF($E$2:$E$233="Yes",IF($B$2:$B$78=B32,$K$2:$K$233))))</f>
        <v>0</v>
      </c>
      <c r="Q32" s="40" t="s">
        <v>262</v>
      </c>
    </row>
    <row r="33" spans="1:17" ht="14.45" x14ac:dyDescent="0.35">
      <c r="A33" s="40" t="s">
        <v>38</v>
      </c>
      <c r="B33" s="40" t="s">
        <v>7</v>
      </c>
      <c r="C33" s="40" t="s">
        <v>279</v>
      </c>
      <c r="D33" s="40" t="s">
        <v>285</v>
      </c>
      <c r="E33" s="46" t="s">
        <v>264</v>
      </c>
      <c r="F33" s="46">
        <v>35</v>
      </c>
      <c r="G33">
        <v>88</v>
      </c>
      <c r="H33" s="40">
        <f>F33*G33</f>
        <v>3080</v>
      </c>
      <c r="I33" s="41">
        <v>7</v>
      </c>
      <c r="J33" s="41"/>
      <c r="K33" s="41">
        <f t="shared" si="0"/>
        <v>2.2727272727272725</v>
      </c>
      <c r="L33" s="38">
        <v>18000</v>
      </c>
      <c r="M33" s="45">
        <f t="shared" si="1"/>
        <v>6.3131313131313137E-4</v>
      </c>
      <c r="N33" s="42">
        <f t="shared" si="2"/>
        <v>0.66204986149584444</v>
      </c>
      <c r="O33" s="43">
        <f t="array" ref="O33">(MAX(IF($C$2:$C$233=C33,IF($E$2:$E$233="Yes",IF($B$2:$B$78=B33,$M$2:$M$233)))-M33)/MAX(IF($C$2:$C$233=C33,IF($E$2:$E$233="Yes",IF($B$2:$B$78=B33,$M$2:$M$233)))))</f>
        <v>0.43181818181818188</v>
      </c>
      <c r="P33" s="44">
        <f t="array" ref="P33">(K33-MIN(IF($C$2:$C$233=C33,IF($E$2:$E$233="Yes",IF($B$2:$B$78=B33,$K$2:$K$233)))))/MIN(IF($C$2:$C$233=C33,IF($E$2:$E$233="Yes",IF($B$2:$B$78=B33,$K$2:$K$233))))</f>
        <v>0.28588516746411469</v>
      </c>
      <c r="Q33" s="40" t="s">
        <v>42</v>
      </c>
    </row>
    <row r="34" spans="1:17" ht="14.45" x14ac:dyDescent="0.35">
      <c r="A34" s="40" t="s">
        <v>38</v>
      </c>
      <c r="B34" s="40" t="s">
        <v>7</v>
      </c>
      <c r="C34" s="40" t="s">
        <v>278</v>
      </c>
      <c r="D34" s="40" t="s">
        <v>259</v>
      </c>
      <c r="E34" s="46" t="s">
        <v>264</v>
      </c>
      <c r="F34" s="46"/>
      <c r="G34">
        <v>91</v>
      </c>
      <c r="I34" s="40"/>
      <c r="J34" s="41">
        <v>89</v>
      </c>
      <c r="K34" s="41">
        <f t="shared" ref="K34:K65" si="4">IF(J34="",I34/H34*1000,J34)</f>
        <v>89</v>
      </c>
      <c r="L34" s="38">
        <v>44000</v>
      </c>
      <c r="M34" s="45">
        <f t="shared" ref="M34:M65" si="5">1/G34/L34*1000</f>
        <v>2.4975024975024975E-4</v>
      </c>
      <c r="N34" s="42">
        <f t="shared" ref="N34:N65" si="6">IFERROR(P34/O34,"")</f>
        <v>94.200141380460167</v>
      </c>
      <c r="O34" s="43">
        <f t="array" ref="O34">(MAX(IF($C$2:$C$233=C34,IF($E$2:$E$233="Yes",IF($B$2:$B$78=B34,$M$2:$M$233)))-M34)/MAX(IF($C$2:$C$233=C34,IF($E$2:$E$233="Yes",IF($B$2:$B$78=B34,$M$2:$M$233)))))</f>
        <v>0.74900099900099903</v>
      </c>
      <c r="P34" s="44">
        <f t="array" ref="P34">(K34-MIN(IF($C$2:$C$233=C34,IF($E$2:$E$233="Yes",IF($B$2:$B$78=B34,$K$2:$K$233)))))/MIN(IF($C$2:$C$233=C34,IF($E$2:$E$233="Yes",IF($B$2:$B$78=B34,$K$2:$K$233))))</f>
        <v>70.556000000000012</v>
      </c>
      <c r="Q34" s="40" t="s">
        <v>262</v>
      </c>
    </row>
    <row r="35" spans="1:17" ht="14.45" x14ac:dyDescent="0.35">
      <c r="A35" s="40" t="s">
        <v>38</v>
      </c>
      <c r="B35" s="40" t="s">
        <v>7</v>
      </c>
      <c r="C35" s="40" t="s">
        <v>278</v>
      </c>
      <c r="D35" s="40" t="s">
        <v>260</v>
      </c>
      <c r="E35" s="46" t="s">
        <v>264</v>
      </c>
      <c r="F35" s="46"/>
      <c r="G35">
        <v>109</v>
      </c>
      <c r="J35" s="41">
        <v>60</v>
      </c>
      <c r="K35" s="41">
        <f t="shared" si="4"/>
        <v>60</v>
      </c>
      <c r="L35" s="38">
        <v>49000</v>
      </c>
      <c r="M35" s="45">
        <f t="shared" si="5"/>
        <v>1.8723085564501031E-4</v>
      </c>
      <c r="N35" s="42">
        <f t="shared" si="6"/>
        <v>58.189308118081179</v>
      </c>
      <c r="O35" s="43">
        <f t="array" ref="O35">(MAX(IF($C$2:$C$233=C35,IF($E$2:$E$233="Yes",IF($B$2:$B$78=B35,$M$2:$M$233)))-M35)/MAX(IF($C$2:$C$233=C35,IF($E$2:$E$233="Yes",IF($B$2:$B$78=B35,$M$2:$M$233)))))</f>
        <v>0.81183299007676468</v>
      </c>
      <c r="P35" s="44">
        <f t="array" ref="P35">(K35-MIN(IF($C$2:$C$233=C35,IF($E$2:$E$233="Yes",IF($B$2:$B$78=B35,$K$2:$K$233)))))/MIN(IF($C$2:$C$233=C35,IF($E$2:$E$233="Yes",IF($B$2:$B$78=B35,$K$2:$K$233))))</f>
        <v>47.24</v>
      </c>
      <c r="Q35" s="40" t="s">
        <v>42</v>
      </c>
    </row>
    <row r="36" spans="1:17" ht="14.45" x14ac:dyDescent="0.35">
      <c r="A36" s="40" t="s">
        <v>38</v>
      </c>
      <c r="B36" s="40" t="s">
        <v>7</v>
      </c>
      <c r="C36" s="40" t="s">
        <v>278</v>
      </c>
      <c r="D36" s="40" t="s">
        <v>261</v>
      </c>
      <c r="E36" s="46" t="s">
        <v>264</v>
      </c>
      <c r="F36" s="46"/>
      <c r="G36">
        <v>132</v>
      </c>
      <c r="J36" s="41">
        <v>28</v>
      </c>
      <c r="K36" s="41">
        <f t="shared" si="4"/>
        <v>28</v>
      </c>
      <c r="L36" s="38">
        <v>50000</v>
      </c>
      <c r="M36" s="45">
        <f t="shared" si="5"/>
        <v>1.5151515151515152E-4</v>
      </c>
      <c r="N36" s="42">
        <f t="shared" si="6"/>
        <v>25.376085790884719</v>
      </c>
      <c r="O36" s="43">
        <f t="array" ref="O36">(MAX(IF($C$2:$C$233=C36,IF($E$2:$E$233="Yes",IF($B$2:$B$78=B36,$M$2:$M$233)))-M36)/MAX(IF($C$2:$C$233=C36,IF($E$2:$E$233="Yes",IF($B$2:$B$78=B36,$M$2:$M$233)))))</f>
        <v>0.84772727272727266</v>
      </c>
      <c r="P36" s="44">
        <f t="array" ref="P36">(K36-MIN(IF($C$2:$C$233=C36,IF($E$2:$E$233="Yes",IF($B$2:$B$78=B36,$K$2:$K$233)))))/MIN(IF($C$2:$C$233=C36,IF($E$2:$E$233="Yes",IF($B$2:$B$78=B36,$K$2:$K$233))))</f>
        <v>21.512</v>
      </c>
      <c r="Q36" s="40" t="s">
        <v>42</v>
      </c>
    </row>
    <row r="37" spans="1:17" ht="14.45" x14ac:dyDescent="0.35">
      <c r="A37" s="40" t="s">
        <v>38</v>
      </c>
      <c r="B37" s="40" t="s">
        <v>7</v>
      </c>
      <c r="C37" s="40" t="s">
        <v>278</v>
      </c>
      <c r="D37" s="40" t="s">
        <v>284</v>
      </c>
      <c r="E37" s="46" t="s">
        <v>265</v>
      </c>
      <c r="F37" s="46">
        <v>24</v>
      </c>
      <c r="G37">
        <v>67</v>
      </c>
      <c r="H37" s="40">
        <f t="shared" ref="H37:H42" si="7">F37*G37</f>
        <v>1608</v>
      </c>
      <c r="I37" s="41">
        <v>2</v>
      </c>
      <c r="J37" s="41"/>
      <c r="K37" s="41">
        <f t="shared" si="4"/>
        <v>1.2437810945273631</v>
      </c>
      <c r="L37" s="38">
        <v>15000</v>
      </c>
      <c r="M37" s="45">
        <f t="shared" si="5"/>
        <v>9.9502487562189048E-4</v>
      </c>
      <c r="N37" s="42" t="str">
        <f t="shared" si="6"/>
        <v/>
      </c>
      <c r="O37" s="43">
        <f t="array" ref="O37">(MAX(IF($C$2:$C$233=C37,IF($E$2:$E$233="Yes",IF($B$2:$B$78=B37,$M$2:$M$233)))-M37)/MAX(IF($C$2:$C$233=C37,IF($E$2:$E$233="Yes",IF($B$2:$B$78=B37,$M$2:$M$233)))))</f>
        <v>0</v>
      </c>
      <c r="P37" s="44">
        <f t="array" ref="P37">(K37-MIN(IF($C$2:$C$233=C37,IF($E$2:$E$233="Yes",IF($B$2:$B$78=B37,$K$2:$K$233)))))/MIN(IF($C$2:$C$233=C37,IF($E$2:$E$233="Yes",IF($B$2:$B$78=B37,$K$2:$K$233))))</f>
        <v>0</v>
      </c>
      <c r="Q37" s="40" t="s">
        <v>262</v>
      </c>
    </row>
    <row r="38" spans="1:17" ht="14.45" x14ac:dyDescent="0.35">
      <c r="A38" s="40" t="s">
        <v>38</v>
      </c>
      <c r="B38" s="40" t="s">
        <v>7</v>
      </c>
      <c r="C38" s="40" t="s">
        <v>278</v>
      </c>
      <c r="D38" s="40" t="s">
        <v>286</v>
      </c>
      <c r="E38" s="46" t="s">
        <v>264</v>
      </c>
      <c r="F38" s="46">
        <v>19</v>
      </c>
      <c r="G38">
        <v>85</v>
      </c>
      <c r="H38" s="40">
        <f t="shared" si="7"/>
        <v>1615</v>
      </c>
      <c r="I38" s="41">
        <v>4.2</v>
      </c>
      <c r="J38" s="41"/>
      <c r="K38" s="41">
        <f t="shared" si="4"/>
        <v>2.6006191950464399</v>
      </c>
      <c r="L38" s="38">
        <v>30000</v>
      </c>
      <c r="M38" s="45">
        <f t="shared" si="5"/>
        <v>3.9215686274509802E-4</v>
      </c>
      <c r="N38" s="42">
        <f t="shared" si="6"/>
        <v>1.8005109862033732</v>
      </c>
      <c r="O38" s="43">
        <f t="array" ref="O38">(MAX(IF($C$2:$C$233=C38,IF($E$2:$E$233="Yes",IF($B$2:$B$78=B38,$M$2:$M$233)))-M38)/MAX(IF($C$2:$C$233=C38,IF($E$2:$E$233="Yes",IF($B$2:$B$78=B38,$M$2:$M$233)))))</f>
        <v>0.60588235294117643</v>
      </c>
      <c r="P38" s="44">
        <f t="array" ref="P38">(K38-MIN(IF($C$2:$C$233=C38,IF($E$2:$E$233="Yes",IF($B$2:$B$78=B38,$K$2:$K$233)))))/MIN(IF($C$2:$C$233=C38,IF($E$2:$E$233="Yes",IF($B$2:$B$78=B38,$K$2:$K$233))))</f>
        <v>1.0908978328173378</v>
      </c>
      <c r="Q38" s="40" t="s">
        <v>42</v>
      </c>
    </row>
    <row r="39" spans="1:17" ht="14.45" x14ac:dyDescent="0.35">
      <c r="A39" s="40" t="s">
        <v>38</v>
      </c>
      <c r="B39" s="40" t="s">
        <v>7</v>
      </c>
      <c r="C39" s="40" t="s">
        <v>278</v>
      </c>
      <c r="D39" s="40" t="s">
        <v>285</v>
      </c>
      <c r="E39" s="46" t="s">
        <v>264</v>
      </c>
      <c r="F39" s="46">
        <v>24</v>
      </c>
      <c r="G39">
        <v>76</v>
      </c>
      <c r="H39" s="40">
        <f t="shared" si="7"/>
        <v>1824</v>
      </c>
      <c r="I39" s="41">
        <v>2.8</v>
      </c>
      <c r="J39" s="41"/>
      <c r="K39" s="41">
        <f t="shared" si="4"/>
        <v>1.5350877192982457</v>
      </c>
      <c r="L39" s="38">
        <v>21000</v>
      </c>
      <c r="M39" s="45">
        <f t="shared" si="5"/>
        <v>6.2656641604010022E-4</v>
      </c>
      <c r="N39" s="42">
        <f t="shared" si="6"/>
        <v>0.63248730964467059</v>
      </c>
      <c r="O39" s="43">
        <f t="array" ref="O39">(MAX(IF($C$2:$C$233=C39,IF($E$2:$E$233="Yes",IF($B$2:$B$78=B39,$M$2:$M$233)))-M39)/MAX(IF($C$2:$C$233=C39,IF($E$2:$E$233="Yes",IF($B$2:$B$78=B39,$M$2:$M$233)))))</f>
        <v>0.37030075187969924</v>
      </c>
      <c r="P39" s="44">
        <f t="array" ref="P39">(K39-MIN(IF($C$2:$C$233=C39,IF($E$2:$E$233="Yes",IF($B$2:$B$78=B39,$K$2:$K$233)))))/MIN(IF($C$2:$C$233=C39,IF($E$2:$E$233="Yes",IF($B$2:$B$78=B39,$K$2:$K$233))))</f>
        <v>0.23421052631578967</v>
      </c>
      <c r="Q39" s="40" t="s">
        <v>42</v>
      </c>
    </row>
    <row r="40" spans="1:17" s="40" customFormat="1" ht="14.45" x14ac:dyDescent="0.35">
      <c r="A40" s="40" t="s">
        <v>38</v>
      </c>
      <c r="B40" s="40" t="s">
        <v>40</v>
      </c>
      <c r="C40" s="40" t="s">
        <v>277</v>
      </c>
      <c r="D40" s="40" t="s">
        <v>283</v>
      </c>
      <c r="E40" s="46" t="s">
        <v>264</v>
      </c>
      <c r="F40" s="46">
        <v>59</v>
      </c>
      <c r="G40" s="40">
        <v>44</v>
      </c>
      <c r="H40" s="40">
        <f t="shared" si="7"/>
        <v>2596</v>
      </c>
      <c r="I40" s="41">
        <v>10.1</v>
      </c>
      <c r="J40" s="41"/>
      <c r="K40" s="41">
        <f t="shared" si="4"/>
        <v>3.8906009244992297</v>
      </c>
      <c r="L40" s="38">
        <v>10000</v>
      </c>
      <c r="M40" s="45">
        <f t="shared" si="5"/>
        <v>2.2727272727272726E-3</v>
      </c>
      <c r="N40" s="42">
        <f t="shared" si="6"/>
        <v>-0.92717727114032966</v>
      </c>
      <c r="O40" s="43">
        <f t="array" ref="O40">(MAX(IF($C$2:$C$233=C40,IF($E$2:$E$233="Yes",IF($B$2:$B$78=B40,$M$2:$M$233)))-M40)/MAX(IF($C$2:$C$233=C40,IF($E$2:$E$233="Yes",IF($B$2:$B$78=B40,$M$2:$M$233)))))</f>
        <v>0.94318181818181812</v>
      </c>
      <c r="P40" s="44">
        <f t="array" ref="P40">(K40-MIN(IF($C$2:$C$233=C40,IF($E$2:$E$233="Yes",IF($B$2:$B$78=B40,$K$2:$K$233)))))/MIN(IF($C$2:$C$233=C40,IF($E$2:$E$233="Yes",IF($B$2:$B$78=B40,$K$2:$K$233))))</f>
        <v>-0.87449674437099267</v>
      </c>
      <c r="Q40" s="40" t="s">
        <v>42</v>
      </c>
    </row>
    <row r="41" spans="1:17" s="40" customFormat="1" ht="14.45" x14ac:dyDescent="0.35">
      <c r="A41" s="40" t="s">
        <v>38</v>
      </c>
      <c r="B41" s="40" t="s">
        <v>40</v>
      </c>
      <c r="C41" s="40" t="s">
        <v>277</v>
      </c>
      <c r="D41" s="40" t="s">
        <v>282</v>
      </c>
      <c r="E41" s="46" t="s">
        <v>264</v>
      </c>
      <c r="F41" s="46">
        <v>15</v>
      </c>
      <c r="G41" s="40">
        <v>14</v>
      </c>
      <c r="H41" s="40">
        <f t="shared" si="7"/>
        <v>210</v>
      </c>
      <c r="I41" s="41">
        <v>4.5999999999999996</v>
      </c>
      <c r="J41" s="41"/>
      <c r="K41" s="41">
        <f t="shared" si="4"/>
        <v>21.904761904761902</v>
      </c>
      <c r="L41" s="38">
        <v>3000</v>
      </c>
      <c r="M41" s="45">
        <f t="shared" si="5"/>
        <v>2.3809523809523808E-2</v>
      </c>
      <c r="N41" s="42">
        <f t="shared" si="6"/>
        <v>-0.72485768500948777</v>
      </c>
      <c r="O41" s="43">
        <f t="array" ref="O41">(MAX(IF($C$2:$C$233=C41,IF($E$2:$E$233="Yes",IF($B$2:$B$78=B41,$M$2:$M$233)))-M41)/MAX(IF($C$2:$C$233=C41,IF($E$2:$E$233="Yes",IF($B$2:$B$78=B41,$M$2:$M$233)))))</f>
        <v>0.40476190476190482</v>
      </c>
      <c r="P41" s="44">
        <f t="array" ref="P41">(K41-MIN(IF($C$2:$C$233=C41,IF($E$2:$E$233="Yes",IF($B$2:$B$78=B41,$K$2:$K$233)))))/MIN(IF($C$2:$C$233=C41,IF($E$2:$E$233="Yes",IF($B$2:$B$78=B41,$K$2:$K$233))))</f>
        <v>-0.29339477726574509</v>
      </c>
      <c r="Q41" s="40" t="s">
        <v>42</v>
      </c>
    </row>
    <row r="42" spans="1:17" s="40" customFormat="1" ht="14.45" x14ac:dyDescent="0.35">
      <c r="A42" s="40" t="s">
        <v>38</v>
      </c>
      <c r="B42" s="40" t="s">
        <v>40</v>
      </c>
      <c r="C42" s="40" t="s">
        <v>277</v>
      </c>
      <c r="D42" s="40" t="s">
        <v>281</v>
      </c>
      <c r="E42" s="46" t="s">
        <v>265</v>
      </c>
      <c r="F42" s="46">
        <v>10</v>
      </c>
      <c r="G42" s="40">
        <v>10</v>
      </c>
      <c r="H42" s="40">
        <f t="shared" si="7"/>
        <v>100</v>
      </c>
      <c r="I42" s="41">
        <v>3.1</v>
      </c>
      <c r="J42" s="41"/>
      <c r="K42" s="41">
        <f t="shared" si="4"/>
        <v>31</v>
      </c>
      <c r="L42" s="38">
        <v>2500</v>
      </c>
      <c r="M42" s="45">
        <f t="shared" si="5"/>
        <v>0.04</v>
      </c>
      <c r="N42" s="42" t="str">
        <f t="shared" si="6"/>
        <v/>
      </c>
      <c r="O42" s="43">
        <f t="array" ref="O42">(MAX(IF($C$2:$C$233=C42,IF($E$2:$E$233="Yes",IF($B$2:$B$78=B42,$M$2:$M$233)))-M42)/MAX(IF($C$2:$C$233=C42,IF($E$2:$E$233="Yes",IF($B$2:$B$78=B42,$M$2:$M$233)))))</f>
        <v>0</v>
      </c>
      <c r="P42" s="44">
        <f t="array" ref="P42">(K42-MIN(IF($C$2:$C$233=C42,IF($E$2:$E$233="Yes",IF($B$2:$B$78=B42,$K$2:$K$233)))))/MIN(IF($C$2:$C$233=C42,IF($E$2:$E$233="Yes",IF($B$2:$B$78=B42,$K$2:$K$233))))</f>
        <v>0</v>
      </c>
      <c r="Q42" s="40" t="s">
        <v>262</v>
      </c>
    </row>
    <row r="43" spans="1:17" s="40" customFormat="1" ht="14.45" x14ac:dyDescent="0.35">
      <c r="A43" s="40" t="s">
        <v>38</v>
      </c>
      <c r="B43" s="40" t="s">
        <v>40</v>
      </c>
      <c r="C43" s="40" t="s">
        <v>277</v>
      </c>
      <c r="D43" s="40" t="s">
        <v>259</v>
      </c>
      <c r="E43" s="46" t="s">
        <v>264</v>
      </c>
      <c r="F43" s="46"/>
      <c r="G43" s="40">
        <v>72</v>
      </c>
      <c r="J43" s="41">
        <v>36</v>
      </c>
      <c r="K43" s="41">
        <f t="shared" si="4"/>
        <v>36</v>
      </c>
      <c r="L43" s="38">
        <v>44000</v>
      </c>
      <c r="M43" s="45">
        <f t="shared" si="5"/>
        <v>3.1565656565656563E-4</v>
      </c>
      <c r="N43" s="42">
        <f t="shared" si="6"/>
        <v>0.16257325546785997</v>
      </c>
      <c r="O43" s="43">
        <f t="array" ref="O43">(MAX(IF($C$2:$C$233=C43,IF($E$2:$E$233="Yes",IF($B$2:$B$78=B43,$M$2:$M$233)))-M43)/MAX(IF($C$2:$C$233=C43,IF($E$2:$E$233="Yes",IF($B$2:$B$78=B43,$M$2:$M$233)))))</f>
        <v>0.99210858585858586</v>
      </c>
      <c r="P43" s="44">
        <f t="array" ref="P43">(K43-MIN(IF($C$2:$C$233=C43,IF($E$2:$E$233="Yes",IF($B$2:$B$78=B43,$K$2:$K$233)))))/MIN(IF($C$2:$C$233=C43,IF($E$2:$E$233="Yes",IF($B$2:$B$78=B43,$K$2:$K$233))))</f>
        <v>0.16129032258064516</v>
      </c>
      <c r="Q43" s="40" t="s">
        <v>262</v>
      </c>
    </row>
    <row r="44" spans="1:17" s="40" customFormat="1" x14ac:dyDescent="0.25">
      <c r="A44" s="40" t="s">
        <v>38</v>
      </c>
      <c r="B44" s="40" t="s">
        <v>40</v>
      </c>
      <c r="C44" s="40" t="s">
        <v>277</v>
      </c>
      <c r="D44" s="40" t="s">
        <v>260</v>
      </c>
      <c r="E44" s="46" t="s">
        <v>264</v>
      </c>
      <c r="F44" s="46"/>
      <c r="G44" s="40">
        <v>91</v>
      </c>
      <c r="J44" s="41">
        <v>15</v>
      </c>
      <c r="K44" s="41">
        <f t="shared" si="4"/>
        <v>15</v>
      </c>
      <c r="L44" s="38">
        <v>49000</v>
      </c>
      <c r="M44" s="45">
        <f t="shared" si="5"/>
        <v>2.2426553038797938E-4</v>
      </c>
      <c r="N44" s="42">
        <f t="shared" si="6"/>
        <v>-0.51903909671599224</v>
      </c>
      <c r="O44" s="43">
        <f t="array" ref="O44">(MAX(IF($C$2:$C$233=C44,IF($E$2:$E$233="Yes",IF($B$2:$B$78=B44,$M$2:$M$233)))-M44)/MAX(IF($C$2:$C$233=C44,IF($E$2:$E$233="Yes",IF($B$2:$B$78=B44,$M$2:$M$233)))))</f>
        <v>0.99439336174030057</v>
      </c>
      <c r="P44" s="44">
        <f t="array" ref="P44">(K44-MIN(IF($C$2:$C$233=C44,IF($E$2:$E$233="Yes",IF($B$2:$B$78=B44,$K$2:$K$233)))))/MIN(IF($C$2:$C$233=C44,IF($E$2:$E$233="Yes",IF($B$2:$B$78=B44,$K$2:$K$233))))</f>
        <v>-0.5161290322580645</v>
      </c>
      <c r="Q44" s="40" t="s">
        <v>42</v>
      </c>
    </row>
    <row r="45" spans="1:17" s="40" customFormat="1" x14ac:dyDescent="0.25">
      <c r="A45" s="40" t="s">
        <v>38</v>
      </c>
      <c r="B45" s="40" t="s">
        <v>40</v>
      </c>
      <c r="C45" s="40" t="s">
        <v>277</v>
      </c>
      <c r="D45" s="40" t="s">
        <v>261</v>
      </c>
      <c r="E45" s="46" t="s">
        <v>264</v>
      </c>
      <c r="F45" s="46"/>
      <c r="G45" s="40">
        <v>117</v>
      </c>
      <c r="J45" s="41">
        <v>2.7</v>
      </c>
      <c r="K45" s="41">
        <f t="shared" si="4"/>
        <v>2.7</v>
      </c>
      <c r="L45" s="38">
        <v>50000</v>
      </c>
      <c r="M45" s="45">
        <f t="shared" si="5"/>
        <v>1.7094017094017094E-4</v>
      </c>
      <c r="N45" s="42">
        <f t="shared" si="6"/>
        <v>-0.91682126540218756</v>
      </c>
      <c r="O45" s="43">
        <f t="array" ref="O45">(MAX(IF($C$2:$C$233=C45,IF($E$2:$E$233="Yes",IF($B$2:$B$78=B45,$M$2:$M$233)))-M45)/MAX(IF($C$2:$C$233=C45,IF($E$2:$E$233="Yes",IF($B$2:$B$78=B45,$M$2:$M$233)))))</f>
        <v>0.99572649572649563</v>
      </c>
      <c r="P45" s="44">
        <f t="array" ref="P45">(K45-MIN(IF($C$2:$C$233=C45,IF($E$2:$E$233="Yes",IF($B$2:$B$78=B45,$K$2:$K$233)))))/MIN(IF($C$2:$C$233=C45,IF($E$2:$E$233="Yes",IF($B$2:$B$78=B45,$K$2:$K$233))))</f>
        <v>-0.91290322580645167</v>
      </c>
      <c r="Q45" s="40" t="s">
        <v>42</v>
      </c>
    </row>
    <row r="46" spans="1:17" s="40" customFormat="1" x14ac:dyDescent="0.25">
      <c r="A46" s="40" t="s">
        <v>38</v>
      </c>
      <c r="B46" s="40" t="s">
        <v>40</v>
      </c>
      <c r="C46" s="40" t="s">
        <v>276</v>
      </c>
      <c r="D46" s="40" t="s">
        <v>268</v>
      </c>
      <c r="E46" s="46" t="s">
        <v>264</v>
      </c>
      <c r="F46" s="46">
        <v>46</v>
      </c>
      <c r="G46" s="40">
        <v>54</v>
      </c>
      <c r="H46" s="40">
        <f t="shared" ref="H46:H51" si="8">F46*G46</f>
        <v>2484</v>
      </c>
      <c r="I46" s="41">
        <v>3</v>
      </c>
      <c r="J46" s="41"/>
      <c r="K46" s="41">
        <f t="shared" si="4"/>
        <v>1.2077294685990339</v>
      </c>
      <c r="L46" s="38">
        <v>10000</v>
      </c>
      <c r="M46" s="45">
        <f t="shared" si="5"/>
        <v>1.8518518518518517E-3</v>
      </c>
      <c r="N46" s="42">
        <f t="shared" si="6"/>
        <v>-0.83682382959130819</v>
      </c>
      <c r="O46" s="43">
        <f t="array" ref="O46">(MAX(IF($C$2:$C$233=C46,IF($E$2:$E$233="Yes",IF($B$2:$B$78=B46,$M$2:$M$233)))-M46)/MAX(IF($C$2:$C$233=C46,IF($E$2:$E$233="Yes",IF($B$2:$B$78=B46,$M$2:$M$233)))))</f>
        <v>0.96851851851851845</v>
      </c>
      <c r="P46" s="44">
        <f t="array" ref="P46">(K46-MIN(IF($C$2:$C$233=C46,IF($E$2:$E$233="Yes",IF($B$2:$B$78=B46,$K$2:$K$233)))))/MIN(IF($C$2:$C$233=C46,IF($E$2:$E$233="Yes",IF($B$2:$B$78=B46,$K$2:$K$233))))</f>
        <v>-0.81047937569676698</v>
      </c>
      <c r="Q46" s="40" t="s">
        <v>42</v>
      </c>
    </row>
    <row r="47" spans="1:17" s="40" customFormat="1" x14ac:dyDescent="0.25">
      <c r="A47" s="40" t="s">
        <v>38</v>
      </c>
      <c r="B47" s="40" t="s">
        <v>40</v>
      </c>
      <c r="C47" s="40" t="s">
        <v>276</v>
      </c>
      <c r="D47" s="40" t="s">
        <v>267</v>
      </c>
      <c r="E47" s="46" t="s">
        <v>264</v>
      </c>
      <c r="F47" s="46">
        <v>15</v>
      </c>
      <c r="G47" s="40">
        <v>15</v>
      </c>
      <c r="H47" s="40">
        <f t="shared" si="8"/>
        <v>225</v>
      </c>
      <c r="I47" s="41">
        <v>1.9</v>
      </c>
      <c r="J47" s="41"/>
      <c r="K47" s="41">
        <f t="shared" si="4"/>
        <v>8.4444444444444429</v>
      </c>
      <c r="L47" s="38">
        <v>1500</v>
      </c>
      <c r="M47" s="45">
        <f t="shared" si="5"/>
        <v>4.4444444444444446E-2</v>
      </c>
      <c r="N47" s="42">
        <f t="shared" si="6"/>
        <v>1.3300699300699295</v>
      </c>
      <c r="O47" s="43">
        <f t="array" ref="O47">(MAX(IF($C$2:$C$233=C47,IF($E$2:$E$233="Yes",IF($B$2:$B$78=B47,$M$2:$M$233)))-M47)/MAX(IF($C$2:$C$233=C47,IF($E$2:$E$233="Yes",IF($B$2:$B$78=B47,$M$2:$M$233)))))</f>
        <v>0.24444444444444441</v>
      </c>
      <c r="P47" s="44">
        <f t="array" ref="P47">(K47-MIN(IF($C$2:$C$233=C47,IF($E$2:$E$233="Yes",IF($B$2:$B$78=B47,$K$2:$K$233)))))/MIN(IF($C$2:$C$233=C47,IF($E$2:$E$233="Yes",IF($B$2:$B$78=B47,$K$2:$K$233))))</f>
        <v>0.32512820512820495</v>
      </c>
      <c r="Q47" s="40" t="s">
        <v>42</v>
      </c>
    </row>
    <row r="48" spans="1:17" s="40" customFormat="1" x14ac:dyDescent="0.25">
      <c r="A48" s="40" t="s">
        <v>38</v>
      </c>
      <c r="B48" s="40" t="s">
        <v>40</v>
      </c>
      <c r="C48" s="40" t="s">
        <v>276</v>
      </c>
      <c r="D48" s="40" t="s">
        <v>275</v>
      </c>
      <c r="E48" s="46" t="s">
        <v>265</v>
      </c>
      <c r="F48" s="46">
        <v>12</v>
      </c>
      <c r="G48" s="40">
        <v>17</v>
      </c>
      <c r="H48" s="40">
        <f t="shared" si="8"/>
        <v>204</v>
      </c>
      <c r="I48" s="41">
        <v>1.3</v>
      </c>
      <c r="J48" s="41"/>
      <c r="K48" s="41">
        <f t="shared" si="4"/>
        <v>6.3725490196078427</v>
      </c>
      <c r="L48" s="38">
        <v>1000</v>
      </c>
      <c r="M48" s="45">
        <f t="shared" si="5"/>
        <v>5.8823529411764705E-2</v>
      </c>
      <c r="N48" s="42" t="str">
        <f t="shared" si="6"/>
        <v/>
      </c>
      <c r="O48" s="43">
        <f t="array" ref="O48">(MAX(IF($C$2:$C$233=C48,IF($E$2:$E$233="Yes",IF($B$2:$B$78=B48,$M$2:$M$233)))-M48)/MAX(IF($C$2:$C$233=C48,IF($E$2:$E$233="Yes",IF($B$2:$B$78=B48,$M$2:$M$233)))))</f>
        <v>0</v>
      </c>
      <c r="P48" s="44">
        <f t="array" ref="P48">(K48-MIN(IF($C$2:$C$233=C48,IF($E$2:$E$233="Yes",IF($B$2:$B$78=B48,$K$2:$K$233)))))/MIN(IF($C$2:$C$233=C48,IF($E$2:$E$233="Yes",IF($B$2:$B$78=B48,$K$2:$K$233))))</f>
        <v>0</v>
      </c>
      <c r="Q48" s="40" t="s">
        <v>262</v>
      </c>
    </row>
    <row r="49" spans="1:17" s="40" customFormat="1" x14ac:dyDescent="0.25">
      <c r="A49" s="40" t="s">
        <v>38</v>
      </c>
      <c r="B49" s="40" t="s">
        <v>40</v>
      </c>
      <c r="C49" s="40" t="s">
        <v>273</v>
      </c>
      <c r="D49" s="40" t="s">
        <v>268</v>
      </c>
      <c r="E49" s="46" t="s">
        <v>264</v>
      </c>
      <c r="F49" s="46">
        <v>55</v>
      </c>
      <c r="G49" s="40">
        <v>54</v>
      </c>
      <c r="H49" s="40">
        <f t="shared" si="8"/>
        <v>2970</v>
      </c>
      <c r="I49" s="41">
        <v>3</v>
      </c>
      <c r="J49" s="41"/>
      <c r="K49" s="41">
        <f t="shared" si="4"/>
        <v>1.0101010101010102</v>
      </c>
      <c r="L49" s="38">
        <v>10000</v>
      </c>
      <c r="M49" s="45">
        <f t="shared" si="5"/>
        <v>1.8518518518518517E-3</v>
      </c>
      <c r="N49" s="42">
        <f t="shared" si="6"/>
        <v>-0.47127610862597302</v>
      </c>
      <c r="O49" s="43">
        <f t="array" ref="O49">(MAX(IF($C$2:$C$233=C49,IF($E$2:$E$233="Yes",IF($B$2:$B$78=B49,$M$2:$M$233)))-M49)/MAX(IF($C$2:$C$233=C49,IF($E$2:$E$233="Yes",IF($B$2:$B$78=B49,$M$2:$M$233)))))</f>
        <v>0.95592592592592585</v>
      </c>
      <c r="P49" s="44">
        <f t="array" ref="P49">(K49-MIN(IF($C$2:$C$233=C49,IF($E$2:$E$233="Yes",IF($B$2:$B$78=B49,$K$2:$K$233)))))/MIN(IF($C$2:$C$233=C49,IF($E$2:$E$233="Yes",IF($B$2:$B$78=B49,$K$2:$K$233))))</f>
        <v>-0.45050505050505046</v>
      </c>
      <c r="Q49" s="40" t="s">
        <v>42</v>
      </c>
    </row>
    <row r="50" spans="1:17" s="40" customFormat="1" x14ac:dyDescent="0.25">
      <c r="A50" s="40" t="s">
        <v>38</v>
      </c>
      <c r="B50" s="40" t="s">
        <v>40</v>
      </c>
      <c r="C50" s="40" t="s">
        <v>273</v>
      </c>
      <c r="D50" s="40" t="s">
        <v>267</v>
      </c>
      <c r="E50" s="46" t="s">
        <v>264</v>
      </c>
      <c r="F50" s="46">
        <v>15</v>
      </c>
      <c r="G50" s="40">
        <v>15</v>
      </c>
      <c r="H50" s="40">
        <f t="shared" si="8"/>
        <v>225</v>
      </c>
      <c r="I50" s="41">
        <v>1.9</v>
      </c>
      <c r="J50" s="41"/>
      <c r="K50" s="41">
        <f t="shared" si="4"/>
        <v>8.4444444444444429</v>
      </c>
      <c r="L50" s="38">
        <v>1500</v>
      </c>
      <c r="M50" s="45">
        <f t="shared" si="5"/>
        <v>4.4444444444444446E-2</v>
      </c>
      <c r="N50" s="42">
        <f t="shared" si="6"/>
        <v>-62.200000000000038</v>
      </c>
      <c r="O50" s="43">
        <f t="array" ref="O50">(MAX(IF($C$2:$C$233=C50,IF($E$2:$E$233="Yes",IF($B$2:$B$78=B50,$M$2:$M$233)))-M50)/MAX(IF($C$2:$C$233=C50,IF($E$2:$E$233="Yes",IF($B$2:$B$78=B50,$M$2:$M$233)))))</f>
        <v>-5.7777777777777733E-2</v>
      </c>
      <c r="P50" s="44">
        <f t="array" ref="P50">(K50-MIN(IF($C$2:$C$233=C50,IF($E$2:$E$233="Yes",IF($B$2:$B$78=B50,$K$2:$K$233)))))/MIN(IF($C$2:$C$233=C50,IF($E$2:$E$233="Yes",IF($B$2:$B$78=B50,$K$2:$K$233))))</f>
        <v>3.5937777777777771</v>
      </c>
      <c r="Q50" s="40" t="s">
        <v>262</v>
      </c>
    </row>
    <row r="51" spans="1:17" s="40" customFormat="1" x14ac:dyDescent="0.25">
      <c r="A51" s="40" t="s">
        <v>38</v>
      </c>
      <c r="B51" s="40" t="s">
        <v>40</v>
      </c>
      <c r="C51" s="40" t="s">
        <v>273</v>
      </c>
      <c r="D51" s="40" t="s">
        <v>266</v>
      </c>
      <c r="E51" s="46" t="s">
        <v>265</v>
      </c>
      <c r="F51" s="46">
        <v>16</v>
      </c>
      <c r="G51" s="40">
        <v>17</v>
      </c>
      <c r="H51" s="40">
        <f t="shared" si="8"/>
        <v>272</v>
      </c>
      <c r="I51" s="41">
        <v>0.5</v>
      </c>
      <c r="J51" s="41"/>
      <c r="K51" s="41">
        <f t="shared" si="4"/>
        <v>1.838235294117647</v>
      </c>
      <c r="L51" s="38">
        <v>1400</v>
      </c>
      <c r="M51" s="45">
        <f t="shared" si="5"/>
        <v>4.2016806722689079E-2</v>
      </c>
      <c r="N51" s="42" t="str">
        <f t="shared" si="6"/>
        <v/>
      </c>
      <c r="O51" s="43">
        <f t="array" ref="O51">(MAX(IF($C$2:$C$233=C51,IF($E$2:$E$233="Yes",IF($B$2:$B$78=B51,$M$2:$M$233)))-M51)/MAX(IF($C$2:$C$233=C51,IF($E$2:$E$233="Yes",IF($B$2:$B$78=B51,$M$2:$M$233)))))</f>
        <v>0</v>
      </c>
      <c r="P51" s="44">
        <f t="array" ref="P51">(K51-MIN(IF($C$2:$C$233=C51,IF($E$2:$E$233="Yes",IF($B$2:$B$78=B51,$K$2:$K$233)))))/MIN(IF($C$2:$C$233=C51,IF($E$2:$E$233="Yes",IF($B$2:$B$78=B51,$K$2:$K$233))))</f>
        <v>0</v>
      </c>
      <c r="Q51" s="40" t="s">
        <v>262</v>
      </c>
    </row>
    <row r="52" spans="1:17" s="40" customFormat="1" x14ac:dyDescent="0.25">
      <c r="A52" s="40" t="s">
        <v>38</v>
      </c>
      <c r="B52" s="40" t="s">
        <v>40</v>
      </c>
      <c r="C52" s="40" t="s">
        <v>273</v>
      </c>
      <c r="D52" s="40" t="s">
        <v>259</v>
      </c>
      <c r="E52" s="46" t="s">
        <v>264</v>
      </c>
      <c r="F52" s="46"/>
      <c r="G52" s="40">
        <v>81</v>
      </c>
      <c r="J52" s="41">
        <v>24</v>
      </c>
      <c r="K52" s="41">
        <f t="shared" si="4"/>
        <v>24</v>
      </c>
      <c r="L52" s="38">
        <v>44000</v>
      </c>
      <c r="M52" s="45">
        <f t="shared" si="5"/>
        <v>2.8058361391694722E-4</v>
      </c>
      <c r="N52" s="42">
        <f t="shared" si="6"/>
        <v>12.137049884187332</v>
      </c>
      <c r="O52" s="43">
        <f t="array" ref="O52">(MAX(IF($C$2:$C$233=C52,IF($E$2:$E$233="Yes",IF($B$2:$B$78=B52,$M$2:$M$233)))-M52)/MAX(IF($C$2:$C$233=C52,IF($E$2:$E$233="Yes",IF($B$2:$B$78=B52,$M$2:$M$233)))))</f>
        <v>0.99332210998877668</v>
      </c>
      <c r="P52" s="44">
        <f t="array" ref="P52">(K52-MIN(IF($C$2:$C$233=C52,IF($E$2:$E$233="Yes",IF($B$2:$B$78=B52,$K$2:$K$233)))))/MIN(IF($C$2:$C$233=C52,IF($E$2:$E$233="Yes",IF($B$2:$B$78=B52,$K$2:$K$233))))</f>
        <v>12.055999999999999</v>
      </c>
      <c r="Q52" s="40" t="s">
        <v>262</v>
      </c>
    </row>
    <row r="53" spans="1:17" s="40" customFormat="1" x14ac:dyDescent="0.25">
      <c r="A53" s="40" t="s">
        <v>38</v>
      </c>
      <c r="B53" s="40" t="s">
        <v>40</v>
      </c>
      <c r="C53" s="40" t="s">
        <v>273</v>
      </c>
      <c r="D53" s="40" t="s">
        <v>260</v>
      </c>
      <c r="E53" s="46" t="s">
        <v>264</v>
      </c>
      <c r="F53" s="46"/>
      <c r="G53" s="40">
        <v>102</v>
      </c>
      <c r="J53" s="41">
        <v>8.6999999999999993</v>
      </c>
      <c r="K53" s="41">
        <f t="shared" si="4"/>
        <v>8.6999999999999993</v>
      </c>
      <c r="L53" s="38">
        <v>49000</v>
      </c>
      <c r="M53" s="45">
        <f t="shared" si="5"/>
        <v>2.0008003201280511E-4</v>
      </c>
      <c r="N53" s="42">
        <f t="shared" si="6"/>
        <v>3.7506602870813404</v>
      </c>
      <c r="O53" s="43">
        <f t="array" ref="O53">(MAX(IF($C$2:$C$233=C53,IF($E$2:$E$233="Yes",IF($B$2:$B$78=B53,$M$2:$M$233)))-M53)/MAX(IF($C$2:$C$233=C53,IF($E$2:$E$233="Yes",IF($B$2:$B$78=B53,$M$2:$M$233)))))</f>
        <v>0.99523809523809514</v>
      </c>
      <c r="P53" s="44">
        <f t="array" ref="P53">(K53-MIN(IF($C$2:$C$233=C53,IF($E$2:$E$233="Yes",IF($B$2:$B$78=B53,$K$2:$K$233)))))/MIN(IF($C$2:$C$233=C53,IF($E$2:$E$233="Yes",IF($B$2:$B$78=B53,$K$2:$K$233))))</f>
        <v>3.7328000000000001</v>
      </c>
      <c r="Q53" s="40" t="s">
        <v>42</v>
      </c>
    </row>
    <row r="54" spans="1:17" s="40" customFormat="1" x14ac:dyDescent="0.25">
      <c r="A54" s="40" t="s">
        <v>38</v>
      </c>
      <c r="B54" s="40" t="s">
        <v>40</v>
      </c>
      <c r="C54" s="40" t="s">
        <v>273</v>
      </c>
      <c r="D54" s="40" t="s">
        <v>261</v>
      </c>
      <c r="E54" s="46" t="s">
        <v>264</v>
      </c>
      <c r="F54" s="46"/>
      <c r="G54" s="40">
        <v>131</v>
      </c>
      <c r="J54" s="41">
        <v>1.3</v>
      </c>
      <c r="K54" s="41">
        <f t="shared" si="4"/>
        <v>1.3</v>
      </c>
      <c r="L54" s="38">
        <v>50000</v>
      </c>
      <c r="M54" s="45">
        <f t="shared" si="5"/>
        <v>1.5267175572519082E-4</v>
      </c>
      <c r="N54" s="42">
        <f t="shared" si="6"/>
        <v>-0.29386779442861077</v>
      </c>
      <c r="O54" s="43">
        <f t="array" ref="O54">(MAX(IF($C$2:$C$233=C54,IF($E$2:$E$233="Yes",IF($B$2:$B$78=B54,$M$2:$M$233)))-M54)/MAX(IF($C$2:$C$233=C54,IF($E$2:$E$233="Yes",IF($B$2:$B$78=B54,$M$2:$M$233)))))</f>
        <v>0.99636641221374045</v>
      </c>
      <c r="P54" s="44">
        <f t="array" ref="P54">(K54-MIN(IF($C$2:$C$233=C54,IF($E$2:$E$233="Yes",IF($B$2:$B$78=B54,$K$2:$K$233)))))/MIN(IF($C$2:$C$233=C54,IF($E$2:$E$233="Yes",IF($B$2:$B$78=B54,$K$2:$K$233))))</f>
        <v>-0.29279999999999995</v>
      </c>
      <c r="Q54" s="40" t="s">
        <v>42</v>
      </c>
    </row>
    <row r="55" spans="1:17" s="40" customFormat="1" x14ac:dyDescent="0.25">
      <c r="A55" s="40" t="s">
        <v>38</v>
      </c>
      <c r="B55" s="40" t="s">
        <v>40</v>
      </c>
      <c r="C55" s="40" t="s">
        <v>280</v>
      </c>
      <c r="D55" s="40" t="s">
        <v>259</v>
      </c>
      <c r="E55" s="46" t="s">
        <v>264</v>
      </c>
      <c r="F55" s="46"/>
      <c r="G55" s="40">
        <v>91</v>
      </c>
      <c r="J55" s="41">
        <v>89</v>
      </c>
      <c r="K55" s="41">
        <f t="shared" si="4"/>
        <v>89</v>
      </c>
      <c r="L55" s="38">
        <v>44000</v>
      </c>
      <c r="M55" s="45">
        <f t="shared" si="5"/>
        <v>2.4975024975024975E-4</v>
      </c>
      <c r="N55" s="42">
        <f t="shared" si="6"/>
        <v>106.04804301075268</v>
      </c>
      <c r="O55" s="43">
        <f t="array" ref="O55">(MAX(IF($C$2:$C$233=C55,IF($E$2:$E$233="Yes",IF($B$2:$B$78=B55,$M$2:$M$233)))-M55)/MAX(IF($C$2:$C$233=C55,IF($E$2:$E$233="Yes",IF($B$2:$B$78=B55,$M$2:$M$233)))))</f>
        <v>0.80519480519480524</v>
      </c>
      <c r="P55" s="44">
        <f t="array" ref="P55">(K55-MIN(IF($C$2:$C$233=C55,IF($E$2:$E$233="Yes",IF($B$2:$B$78=B55,$K$2:$K$233)))))/MIN(IF($C$2:$C$233=C55,IF($E$2:$E$233="Yes",IF($B$2:$B$78=B55,$K$2:$K$233))))</f>
        <v>85.389333333333326</v>
      </c>
      <c r="Q55" s="40" t="s">
        <v>262</v>
      </c>
    </row>
    <row r="56" spans="1:17" s="40" customFormat="1" x14ac:dyDescent="0.25">
      <c r="A56" s="40" t="s">
        <v>38</v>
      </c>
      <c r="B56" s="40" t="s">
        <v>40</v>
      </c>
      <c r="C56" s="40" t="s">
        <v>280</v>
      </c>
      <c r="D56" s="40" t="s">
        <v>260</v>
      </c>
      <c r="E56" s="46" t="s">
        <v>264</v>
      </c>
      <c r="F56" s="46"/>
      <c r="G56" s="40">
        <v>109</v>
      </c>
      <c r="J56" s="41">
        <v>60</v>
      </c>
      <c r="K56" s="41">
        <f t="shared" si="4"/>
        <v>60</v>
      </c>
      <c r="L56" s="38">
        <v>49000</v>
      </c>
      <c r="M56" s="45">
        <f t="shared" si="5"/>
        <v>1.8723085564501031E-4</v>
      </c>
      <c r="N56" s="42">
        <f t="shared" si="6"/>
        <v>67.028905941679454</v>
      </c>
      <c r="O56" s="43">
        <f t="array" ref="O56">(MAX(IF($C$2:$C$233=C56,IF($E$2:$E$233="Yes",IF($B$2:$B$78=B56,$M$2:$M$233)))-M56)/MAX(IF($C$2:$C$233=C56,IF($E$2:$E$233="Yes",IF($B$2:$B$78=B56,$M$2:$M$233)))))</f>
        <v>0.85395993259689196</v>
      </c>
      <c r="P56" s="44">
        <f t="array" ref="P56">(K56-MIN(IF($C$2:$C$233=C56,IF($E$2:$E$233="Yes",IF($B$2:$B$78=B56,$K$2:$K$233)))))/MIN(IF($C$2:$C$233=C56,IF($E$2:$E$233="Yes",IF($B$2:$B$78=B56,$K$2:$K$233))))</f>
        <v>57.239999999999995</v>
      </c>
      <c r="Q56" s="40" t="s">
        <v>42</v>
      </c>
    </row>
    <row r="57" spans="1:17" s="40" customFormat="1" x14ac:dyDescent="0.25">
      <c r="A57" s="40" t="s">
        <v>38</v>
      </c>
      <c r="B57" s="40" t="s">
        <v>40</v>
      </c>
      <c r="C57" s="40" t="s">
        <v>280</v>
      </c>
      <c r="D57" s="40" t="s">
        <v>261</v>
      </c>
      <c r="E57" s="46" t="s">
        <v>264</v>
      </c>
      <c r="F57" s="46"/>
      <c r="G57" s="40">
        <v>132</v>
      </c>
      <c r="J57" s="41">
        <v>28</v>
      </c>
      <c r="K57" s="41">
        <f t="shared" si="4"/>
        <v>28</v>
      </c>
      <c r="L57" s="38">
        <v>50000</v>
      </c>
      <c r="M57" s="45">
        <f t="shared" si="5"/>
        <v>1.5151515151515152E-4</v>
      </c>
      <c r="N57" s="42">
        <f t="shared" si="6"/>
        <v>29.687147766323026</v>
      </c>
      <c r="O57" s="43">
        <f t="array" ref="O57">(MAX(IF($C$2:$C$233=C57,IF($E$2:$E$233="Yes",IF($B$2:$B$78=B57,$M$2:$M$233)))-M57)/MAX(IF($C$2:$C$233=C57,IF($E$2:$E$233="Yes",IF($B$2:$B$78=B57,$M$2:$M$233)))))</f>
        <v>0.88181818181818172</v>
      </c>
      <c r="P57" s="44">
        <f t="array" ref="P57">(K57-MIN(IF($C$2:$C$233=C57,IF($E$2:$E$233="Yes",IF($B$2:$B$78=B57,$K$2:$K$233)))))/MIN(IF($C$2:$C$233=C57,IF($E$2:$E$233="Yes",IF($B$2:$B$78=B57,$K$2:$K$233))))</f>
        <v>26.178666666666665</v>
      </c>
      <c r="Q57" s="40" t="s">
        <v>42</v>
      </c>
    </row>
    <row r="58" spans="1:17" s="40" customFormat="1" x14ac:dyDescent="0.25">
      <c r="A58" s="40" t="s">
        <v>38</v>
      </c>
      <c r="B58" s="40" t="s">
        <v>40</v>
      </c>
      <c r="C58" s="40" t="s">
        <v>280</v>
      </c>
      <c r="D58" s="40" t="s">
        <v>284</v>
      </c>
      <c r="E58" s="46" t="s">
        <v>265</v>
      </c>
      <c r="F58" s="46">
        <v>56</v>
      </c>
      <c r="G58" s="40">
        <v>52</v>
      </c>
      <c r="H58" s="40">
        <f>F58*G58</f>
        <v>2912</v>
      </c>
      <c r="I58" s="41">
        <v>3</v>
      </c>
      <c r="J58" s="41"/>
      <c r="K58" s="41">
        <f t="shared" si="4"/>
        <v>1.0302197802197803</v>
      </c>
      <c r="L58" s="38">
        <v>15000</v>
      </c>
      <c r="M58" s="45">
        <f t="shared" si="5"/>
        <v>1.2820512820512823E-3</v>
      </c>
      <c r="N58" s="42" t="str">
        <f t="shared" si="6"/>
        <v/>
      </c>
      <c r="O58" s="43">
        <f t="array" ref="O58">(MAX(IF($C$2:$C$233=C58,IF($E$2:$E$233="Yes",IF($B$2:$B$78=B58,$M$2:$M$233)))-M58)/MAX(IF($C$2:$C$233=C58,IF($E$2:$E$233="Yes",IF($B$2:$B$78=B58,$M$2:$M$233)))))</f>
        <v>0</v>
      </c>
      <c r="P58" s="44">
        <f t="array" ref="P58">(K58-MIN(IF($C$2:$C$233=C58,IF($E$2:$E$233="Yes",IF($B$2:$B$78=B58,$K$2:$K$233)))))/MIN(IF($C$2:$C$233=C58,IF($E$2:$E$233="Yes",IF($B$2:$B$78=B58,$K$2:$K$233))))</f>
        <v>0</v>
      </c>
      <c r="Q58" s="40" t="s">
        <v>262</v>
      </c>
    </row>
    <row r="59" spans="1:17" s="40" customFormat="1" x14ac:dyDescent="0.25">
      <c r="A59" s="40" t="s">
        <v>38</v>
      </c>
      <c r="B59" s="40" t="s">
        <v>40</v>
      </c>
      <c r="C59" s="40" t="s">
        <v>280</v>
      </c>
      <c r="D59" s="40" t="s">
        <v>286</v>
      </c>
      <c r="E59" s="46" t="s">
        <v>264</v>
      </c>
      <c r="F59" s="46">
        <v>77</v>
      </c>
      <c r="G59" s="40">
        <v>73</v>
      </c>
      <c r="H59" s="40">
        <f>F59*G59</f>
        <v>5621</v>
      </c>
      <c r="I59" s="41">
        <v>4.2</v>
      </c>
      <c r="J59" s="41"/>
      <c r="K59" s="41">
        <f t="shared" si="4"/>
        <v>0.74719800747198006</v>
      </c>
      <c r="L59" s="38">
        <v>30000</v>
      </c>
      <c r="M59" s="45">
        <f t="shared" si="5"/>
        <v>4.5662100456621003E-4</v>
      </c>
      <c r="N59" s="42">
        <f t="shared" si="6"/>
        <v>-0.42669245647969056</v>
      </c>
      <c r="O59" s="43">
        <f t="array" ref="O59">(MAX(IF($C$2:$C$233=C59,IF($E$2:$E$233="Yes",IF($B$2:$B$78=B59,$M$2:$M$233)))-M59)/MAX(IF($C$2:$C$233=C59,IF($E$2:$E$233="Yes",IF($B$2:$B$78=B59,$M$2:$M$233)))))</f>
        <v>0.6438356164383563</v>
      </c>
      <c r="P59" s="44">
        <f t="array" ref="P59">(K59-MIN(IF($C$2:$C$233=C59,IF($E$2:$E$233="Yes",IF($B$2:$B$78=B59,$K$2:$K$233)))))/MIN(IF($C$2:$C$233=C59,IF($E$2:$E$233="Yes",IF($B$2:$B$78=B59,$K$2:$K$233))))</f>
        <v>-0.2747198007471981</v>
      </c>
      <c r="Q59" s="40" t="s">
        <v>42</v>
      </c>
    </row>
    <row r="60" spans="1:17" s="40" customFormat="1" x14ac:dyDescent="0.25">
      <c r="A60" s="40" t="s">
        <v>38</v>
      </c>
      <c r="B60" s="40" t="s">
        <v>40</v>
      </c>
      <c r="C60" s="40" t="s">
        <v>280</v>
      </c>
      <c r="D60" s="40" t="s">
        <v>285</v>
      </c>
      <c r="E60" s="46" t="s">
        <v>264</v>
      </c>
      <c r="F60" s="46">
        <v>73</v>
      </c>
      <c r="G60" s="40">
        <v>65</v>
      </c>
      <c r="H60" s="40">
        <f>F60*G60</f>
        <v>4745</v>
      </c>
      <c r="I60" s="41">
        <v>5.4</v>
      </c>
      <c r="J60" s="41"/>
      <c r="K60" s="41">
        <f t="shared" si="4"/>
        <v>1.1380400421496313</v>
      </c>
      <c r="L60" s="38">
        <v>20000</v>
      </c>
      <c r="M60" s="45">
        <f t="shared" si="5"/>
        <v>7.6923076923076923E-4</v>
      </c>
      <c r="N60" s="42">
        <f t="shared" si="6"/>
        <v>0.26164383561643823</v>
      </c>
      <c r="O60" s="43">
        <f t="array" ref="O60">(MAX(IF($C$2:$C$233=C60,IF($E$2:$E$233="Yes",IF($B$2:$B$78=B60,$M$2:$M$233)))-M60)/MAX(IF($C$2:$C$233=C60,IF($E$2:$E$233="Yes",IF($B$2:$B$78=B60,$M$2:$M$233)))))</f>
        <v>0.40000000000000008</v>
      </c>
      <c r="P60" s="44">
        <f t="array" ref="P60">(K60-MIN(IF($C$2:$C$233=C60,IF($E$2:$E$233="Yes",IF($B$2:$B$78=B60,$K$2:$K$233)))))/MIN(IF($C$2:$C$233=C60,IF($E$2:$E$233="Yes",IF($B$2:$B$78=B60,$K$2:$K$233))))</f>
        <v>0.10465753424657531</v>
      </c>
      <c r="Q60" s="40" t="s">
        <v>42</v>
      </c>
    </row>
    <row r="61" spans="1:17" s="40" customFormat="1" x14ac:dyDescent="0.25">
      <c r="A61" s="40" t="s">
        <v>38</v>
      </c>
      <c r="B61" s="40" t="s">
        <v>40</v>
      </c>
      <c r="C61" s="40" t="s">
        <v>279</v>
      </c>
      <c r="D61" s="40" t="s">
        <v>259</v>
      </c>
      <c r="E61" s="46" t="s">
        <v>264</v>
      </c>
      <c r="F61" s="46"/>
      <c r="G61" s="40">
        <v>91</v>
      </c>
      <c r="J61" s="41">
        <v>89</v>
      </c>
      <c r="K61" s="41">
        <f t="shared" si="4"/>
        <v>89</v>
      </c>
      <c r="L61" s="38">
        <v>44000</v>
      </c>
      <c r="M61" s="45">
        <f t="shared" si="5"/>
        <v>2.4975024975024975E-4</v>
      </c>
      <c r="N61" s="42">
        <f t="shared" si="6"/>
        <v>115.02606144872489</v>
      </c>
      <c r="O61" s="43">
        <f t="array" ref="O61">(MAX(IF($C$2:$C$233=C61,IF($E$2:$E$233="Yes",IF($B$2:$B$78=B61,$M$2:$M$233)))-M61)/MAX(IF($C$2:$C$233=C61,IF($E$2:$E$233="Yes",IF($B$2:$B$78=B61,$M$2:$M$233)))))</f>
        <v>0.77522477522477529</v>
      </c>
      <c r="P61" s="44">
        <f t="array" ref="P61">(K61-MIN(IF($C$2:$C$233=C61,IF($E$2:$E$233="Yes",IF($B$2:$B$78=B61,$K$2:$K$233)))))/MIN(IF($C$2:$C$233=C61,IF($E$2:$E$233="Yes",IF($B$2:$B$78=B61,$K$2:$K$233))))</f>
        <v>89.171052631578945</v>
      </c>
      <c r="Q61" s="40" t="s">
        <v>262</v>
      </c>
    </row>
    <row r="62" spans="1:17" s="40" customFormat="1" x14ac:dyDescent="0.25">
      <c r="A62" s="40" t="s">
        <v>38</v>
      </c>
      <c r="B62" s="40" t="s">
        <v>40</v>
      </c>
      <c r="C62" s="40" t="s">
        <v>279</v>
      </c>
      <c r="D62" s="40" t="s">
        <v>260</v>
      </c>
      <c r="E62" s="46" t="s">
        <v>264</v>
      </c>
      <c r="F62" s="46"/>
      <c r="G62" s="40">
        <v>109</v>
      </c>
      <c r="J62" s="41">
        <v>60</v>
      </c>
      <c r="K62" s="41">
        <f t="shared" si="4"/>
        <v>60</v>
      </c>
      <c r="L62" s="38">
        <v>49000</v>
      </c>
      <c r="M62" s="45">
        <f t="shared" si="5"/>
        <v>1.8723085564501031E-4</v>
      </c>
      <c r="N62" s="42">
        <f t="shared" si="6"/>
        <v>71.906232593417784</v>
      </c>
      <c r="O62" s="43">
        <f t="array" ref="O62">(MAX(IF($C$2:$C$233=C62,IF($E$2:$E$233="Yes",IF($B$2:$B$78=B62,$M$2:$M$233)))-M62)/MAX(IF($C$2:$C$233=C62,IF($E$2:$E$233="Yes",IF($B$2:$B$78=B62,$M$2:$M$233)))))</f>
        <v>0.83149222991949079</v>
      </c>
      <c r="P62" s="44">
        <f t="array" ref="P62">(K62-MIN(IF($C$2:$C$233=C62,IF($E$2:$E$233="Yes",IF($B$2:$B$78=B62,$K$2:$K$233)))))/MIN(IF($C$2:$C$233=C62,IF($E$2:$E$233="Yes",IF($B$2:$B$78=B62,$K$2:$K$233))))</f>
        <v>59.789473684210527</v>
      </c>
      <c r="Q62" s="40" t="s">
        <v>42</v>
      </c>
    </row>
    <row r="63" spans="1:17" s="40" customFormat="1" x14ac:dyDescent="0.25">
      <c r="A63" s="40" t="s">
        <v>38</v>
      </c>
      <c r="B63" s="40" t="s">
        <v>40</v>
      </c>
      <c r="C63" s="40" t="s">
        <v>279</v>
      </c>
      <c r="D63" s="40" t="s">
        <v>261</v>
      </c>
      <c r="E63" s="46" t="s">
        <v>264</v>
      </c>
      <c r="F63" s="46"/>
      <c r="G63" s="40">
        <v>132</v>
      </c>
      <c r="J63" s="41">
        <v>28</v>
      </c>
      <c r="K63" s="41">
        <f t="shared" si="4"/>
        <v>28</v>
      </c>
      <c r="L63" s="38">
        <v>50000</v>
      </c>
      <c r="M63" s="45">
        <f t="shared" si="5"/>
        <v>1.5151515151515152E-4</v>
      </c>
      <c r="N63" s="42">
        <f t="shared" si="6"/>
        <v>31.689750692520775</v>
      </c>
      <c r="O63" s="43">
        <f t="array" ref="O63">(MAX(IF($C$2:$C$233=C63,IF($E$2:$E$233="Yes",IF($B$2:$B$78=B63,$M$2:$M$233)))-M63)/MAX(IF($C$2:$C$233=C63,IF($E$2:$E$233="Yes",IF($B$2:$B$78=B63,$M$2:$M$233)))))</f>
        <v>0.86363636363636365</v>
      </c>
      <c r="P63" s="44">
        <f t="array" ref="P63">(K63-MIN(IF($C$2:$C$233=C63,IF($E$2:$E$233="Yes",IF($B$2:$B$78=B63,$K$2:$K$233)))))/MIN(IF($C$2:$C$233=C63,IF($E$2:$E$233="Yes",IF($B$2:$B$78=B63,$K$2:$K$233))))</f>
        <v>27.368421052631579</v>
      </c>
      <c r="Q63" s="40" t="s">
        <v>42</v>
      </c>
    </row>
    <row r="64" spans="1:17" s="40" customFormat="1" x14ac:dyDescent="0.25">
      <c r="A64" s="40" t="s">
        <v>38</v>
      </c>
      <c r="B64" s="40" t="s">
        <v>40</v>
      </c>
      <c r="C64" s="40" t="s">
        <v>279</v>
      </c>
      <c r="D64" s="40" t="s">
        <v>284</v>
      </c>
      <c r="E64" s="46" t="s">
        <v>265</v>
      </c>
      <c r="F64" s="46">
        <v>77</v>
      </c>
      <c r="G64" s="40">
        <v>75</v>
      </c>
      <c r="H64" s="40">
        <f>F64*G64</f>
        <v>5775</v>
      </c>
      <c r="I64" s="41">
        <v>5.7</v>
      </c>
      <c r="J64" s="41"/>
      <c r="K64" s="41">
        <f t="shared" si="4"/>
        <v>0.98701298701298701</v>
      </c>
      <c r="L64" s="38">
        <v>12000</v>
      </c>
      <c r="M64" s="45">
        <f t="shared" si="5"/>
        <v>1.1111111111111113E-3</v>
      </c>
      <c r="N64" s="42" t="str">
        <f t="shared" si="6"/>
        <v/>
      </c>
      <c r="O64" s="43">
        <f t="array" ref="O64">(MAX(IF($C$2:$C$233=C64,IF($E$2:$E$233="Yes",IF($B$2:$B$78=B64,$M$2:$M$233)))-M64)/MAX(IF($C$2:$C$233=C64,IF($E$2:$E$233="Yes",IF($B$2:$B$78=B64,$M$2:$M$233)))))</f>
        <v>0</v>
      </c>
      <c r="P64" s="44">
        <f t="array" ref="P64">(K64-MIN(IF($C$2:$C$233=C64,IF($E$2:$E$233="Yes",IF($B$2:$B$78=B64,$K$2:$K$233)))))/MIN(IF($C$2:$C$233=C64,IF($E$2:$E$233="Yes",IF($B$2:$B$78=B64,$K$2:$K$233))))</f>
        <v>0</v>
      </c>
      <c r="Q64" s="40" t="s">
        <v>262</v>
      </c>
    </row>
    <row r="65" spans="1:17" s="40" customFormat="1" x14ac:dyDescent="0.25">
      <c r="A65" s="40" t="s">
        <v>38</v>
      </c>
      <c r="B65" s="40" t="s">
        <v>40</v>
      </c>
      <c r="C65" s="40" t="s">
        <v>279</v>
      </c>
      <c r="D65" s="40" t="s">
        <v>285</v>
      </c>
      <c r="E65" s="46" t="s">
        <v>264</v>
      </c>
      <c r="F65" s="46">
        <v>84</v>
      </c>
      <c r="G65" s="40">
        <v>88</v>
      </c>
      <c r="H65" s="40">
        <f>F65*G65</f>
        <v>7392</v>
      </c>
      <c r="I65" s="41">
        <v>7</v>
      </c>
      <c r="J65" s="41"/>
      <c r="K65" s="41">
        <f t="shared" si="4"/>
        <v>0.94696969696969702</v>
      </c>
      <c r="L65" s="38">
        <v>18000</v>
      </c>
      <c r="M65" s="45">
        <f t="shared" si="5"/>
        <v>6.3131313131313137E-4</v>
      </c>
      <c r="N65" s="42">
        <f t="shared" si="6"/>
        <v>-9.395198522622332E-2</v>
      </c>
      <c r="O65" s="43">
        <f t="array" ref="O65">(MAX(IF($C$2:$C$233=C65,IF($E$2:$E$233="Yes",IF($B$2:$B$78=B65,$M$2:$M$233)))-M65)/MAX(IF($C$2:$C$233=C65,IF($E$2:$E$233="Yes",IF($B$2:$B$78=B65,$M$2:$M$233)))))</f>
        <v>0.43181818181818188</v>
      </c>
      <c r="P65" s="44">
        <f t="array" ref="P65">(K65-MIN(IF($C$2:$C$233=C65,IF($E$2:$E$233="Yes",IF($B$2:$B$78=B65,$K$2:$K$233)))))/MIN(IF($C$2:$C$233=C65,IF($E$2:$E$233="Yes",IF($B$2:$B$78=B65,$K$2:$K$233))))</f>
        <v>-4.0570175438596437E-2</v>
      </c>
      <c r="Q65" s="40" t="s">
        <v>42</v>
      </c>
    </row>
    <row r="66" spans="1:17" s="40" customFormat="1" x14ac:dyDescent="0.25">
      <c r="A66" s="40" t="s">
        <v>38</v>
      </c>
      <c r="B66" s="40" t="s">
        <v>40</v>
      </c>
      <c r="C66" s="40" t="s">
        <v>278</v>
      </c>
      <c r="D66" s="40" t="s">
        <v>259</v>
      </c>
      <c r="E66" s="46" t="s">
        <v>264</v>
      </c>
      <c r="F66" s="46"/>
      <c r="G66" s="40">
        <v>91</v>
      </c>
      <c r="J66" s="41">
        <v>89</v>
      </c>
      <c r="K66" s="41">
        <f t="shared" ref="K66:K79" si="9">IF(J66="",I66/H66*1000,J66)</f>
        <v>89</v>
      </c>
      <c r="L66" s="38">
        <v>44000</v>
      </c>
      <c r="M66" s="45">
        <f t="shared" ref="M66:M79" si="10">1/G66/L66*1000</f>
        <v>2.4975024975024975E-4</v>
      </c>
      <c r="N66" s="42">
        <f t="shared" ref="N66:N79" si="11">IFERROR(P66/O66,"")</f>
        <v>281.29001200400131</v>
      </c>
      <c r="O66" s="43">
        <f t="array" ref="O66">(MAX(IF($C$2:$C$233=C66,IF($E$2:$E$233="Yes",IF($B$2:$B$78=B66,$M$2:$M$233)))-M66)/MAX(IF($C$2:$C$233=C66,IF($E$2:$E$233="Yes",IF($B$2:$B$78=B66,$M$2:$M$233)))))</f>
        <v>0.74900099900099903</v>
      </c>
      <c r="P66" s="44">
        <f t="array" ref="P66">(K66-MIN(IF($C$2:$C$233=C66,IF($E$2:$E$233="Yes",IF($B$2:$B$78=B66,$K$2:$K$233)))))/MIN(IF($C$2:$C$233=C66,IF($E$2:$E$233="Yes",IF($B$2:$B$78=B66,$K$2:$K$233))))</f>
        <v>210.6865</v>
      </c>
      <c r="Q66" s="40" t="s">
        <v>262</v>
      </c>
    </row>
    <row r="67" spans="1:17" s="40" customFormat="1" x14ac:dyDescent="0.25">
      <c r="A67" s="40" t="s">
        <v>38</v>
      </c>
      <c r="B67" s="40" t="s">
        <v>40</v>
      </c>
      <c r="C67" s="40" t="s">
        <v>278</v>
      </c>
      <c r="D67" s="40" t="s">
        <v>260</v>
      </c>
      <c r="E67" s="46" t="s">
        <v>264</v>
      </c>
      <c r="F67" s="46"/>
      <c r="G67" s="40">
        <v>109</v>
      </c>
      <c r="J67" s="41">
        <v>60</v>
      </c>
      <c r="K67" s="41">
        <f t="shared" si="9"/>
        <v>60</v>
      </c>
      <c r="L67" s="38">
        <v>49000</v>
      </c>
      <c r="M67" s="45">
        <f t="shared" si="10"/>
        <v>1.8723085564501031E-4</v>
      </c>
      <c r="N67" s="42">
        <f t="shared" si="11"/>
        <v>174.55560654981551</v>
      </c>
      <c r="O67" s="43">
        <f t="array" ref="O67">(MAX(IF($C$2:$C$233=C67,IF($E$2:$E$233="Yes",IF($B$2:$B$78=B67,$M$2:$M$233)))-M67)/MAX(IF($C$2:$C$233=C67,IF($E$2:$E$233="Yes",IF($B$2:$B$78=B67,$M$2:$M$233)))))</f>
        <v>0.81183299007676468</v>
      </c>
      <c r="P67" s="44">
        <f t="array" ref="P67">(K67-MIN(IF($C$2:$C$233=C67,IF($E$2:$E$233="Yes",IF($B$2:$B$78=B67,$K$2:$K$233)))))/MIN(IF($C$2:$C$233=C67,IF($E$2:$E$233="Yes",IF($B$2:$B$78=B67,$K$2:$K$233))))</f>
        <v>141.71</v>
      </c>
      <c r="Q67" s="40" t="s">
        <v>42</v>
      </c>
    </row>
    <row r="68" spans="1:17" s="40" customFormat="1" x14ac:dyDescent="0.25">
      <c r="A68" s="40" t="s">
        <v>38</v>
      </c>
      <c r="B68" s="40" t="s">
        <v>40</v>
      </c>
      <c r="C68" s="40" t="s">
        <v>278</v>
      </c>
      <c r="D68" s="40" t="s">
        <v>261</v>
      </c>
      <c r="E68" s="46" t="s">
        <v>264</v>
      </c>
      <c r="F68" s="46"/>
      <c r="G68" s="40">
        <v>132</v>
      </c>
      <c r="J68" s="41">
        <v>28</v>
      </c>
      <c r="K68" s="41">
        <f t="shared" si="9"/>
        <v>28</v>
      </c>
      <c r="L68" s="38">
        <v>50000</v>
      </c>
      <c r="M68" s="45">
        <f t="shared" si="10"/>
        <v>1.5151515151515152E-4</v>
      </c>
      <c r="N68" s="42">
        <f t="shared" si="11"/>
        <v>77.381018766756043</v>
      </c>
      <c r="O68" s="43">
        <f t="array" ref="O68">(MAX(IF($C$2:$C$233=C68,IF($E$2:$E$233="Yes",IF($B$2:$B$78=B68,$M$2:$M$233)))-M68)/MAX(IF($C$2:$C$233=C68,IF($E$2:$E$233="Yes",IF($B$2:$B$78=B68,$M$2:$M$233)))))</f>
        <v>0.84772727272727266</v>
      </c>
      <c r="P68" s="44">
        <f t="array" ref="P68">(K68-MIN(IF($C$2:$C$233=C68,IF($E$2:$E$233="Yes",IF($B$2:$B$78=B68,$K$2:$K$233)))))/MIN(IF($C$2:$C$233=C68,IF($E$2:$E$233="Yes",IF($B$2:$B$78=B68,$K$2:$K$233))))</f>
        <v>65.597999999999999</v>
      </c>
      <c r="Q68" s="40" t="s">
        <v>42</v>
      </c>
    </row>
    <row r="69" spans="1:17" s="40" customFormat="1" x14ac:dyDescent="0.25">
      <c r="A69" s="40" t="s">
        <v>38</v>
      </c>
      <c r="B69" s="40" t="s">
        <v>40</v>
      </c>
      <c r="C69" s="40" t="s">
        <v>278</v>
      </c>
      <c r="D69" s="40" t="s">
        <v>284</v>
      </c>
      <c r="E69" s="46" t="s">
        <v>265</v>
      </c>
      <c r="F69" s="46">
        <v>71</v>
      </c>
      <c r="G69" s="40">
        <v>67</v>
      </c>
      <c r="H69" s="40">
        <f>F69*G69</f>
        <v>4757</v>
      </c>
      <c r="I69" s="41">
        <v>2</v>
      </c>
      <c r="J69" s="41"/>
      <c r="K69" s="41">
        <f t="shared" si="9"/>
        <v>0.42043304603741855</v>
      </c>
      <c r="L69" s="38">
        <v>15000</v>
      </c>
      <c r="M69" s="45">
        <f t="shared" si="10"/>
        <v>9.9502487562189048E-4</v>
      </c>
      <c r="N69" s="42" t="str">
        <f t="shared" si="11"/>
        <v/>
      </c>
      <c r="O69" s="43">
        <f t="array" ref="O69">(MAX(IF($C$2:$C$233=C69,IF($E$2:$E$233="Yes",IF($B$2:$B$78=B69,$M$2:$M$233)))-M69)/MAX(IF($C$2:$C$233=C69,IF($E$2:$E$233="Yes",IF($B$2:$B$78=B69,$M$2:$M$233)))))</f>
        <v>0</v>
      </c>
      <c r="P69" s="44">
        <f t="array" ref="P69">(K69-MIN(IF($C$2:$C$233=C69,IF($E$2:$E$233="Yes",IF($B$2:$B$78=B69,$K$2:$K$233)))))/MIN(IF($C$2:$C$233=C69,IF($E$2:$E$233="Yes",IF($B$2:$B$78=B69,$K$2:$K$233))))</f>
        <v>0</v>
      </c>
      <c r="Q69" s="40" t="s">
        <v>262</v>
      </c>
    </row>
    <row r="70" spans="1:17" s="40" customFormat="1" x14ac:dyDescent="0.25">
      <c r="A70" s="40" t="s">
        <v>38</v>
      </c>
      <c r="B70" s="40" t="s">
        <v>40</v>
      </c>
      <c r="C70" s="40" t="s">
        <v>278</v>
      </c>
      <c r="D70" s="40" t="s">
        <v>286</v>
      </c>
      <c r="E70" s="46" t="s">
        <v>264</v>
      </c>
      <c r="F70" s="46">
        <v>91</v>
      </c>
      <c r="G70" s="40">
        <v>85</v>
      </c>
      <c r="H70" s="40">
        <f>F70*G70</f>
        <v>7735</v>
      </c>
      <c r="I70" s="41">
        <v>4.2</v>
      </c>
      <c r="J70" s="41"/>
      <c r="K70" s="41">
        <f t="shared" si="9"/>
        <v>0.54298642533936659</v>
      </c>
      <c r="L70" s="38">
        <v>30000</v>
      </c>
      <c r="M70" s="45">
        <f t="shared" si="10"/>
        <v>3.9215686274509802E-4</v>
      </c>
      <c r="N70" s="42">
        <f t="shared" si="11"/>
        <v>0.4811053024645261</v>
      </c>
      <c r="O70" s="43">
        <f t="array" ref="O70">(MAX(IF($C$2:$C$233=C70,IF($E$2:$E$233="Yes",IF($B$2:$B$78=B70,$M$2:$M$233)))-M70)/MAX(IF($C$2:$C$233=C70,IF($E$2:$E$233="Yes",IF($B$2:$B$78=B70,$M$2:$M$233)))))</f>
        <v>0.60588235294117643</v>
      </c>
      <c r="P70" s="44">
        <f t="array" ref="P70">(K70-MIN(IF($C$2:$C$233=C70,IF($E$2:$E$233="Yes",IF($B$2:$B$78=B70,$K$2:$K$233)))))/MIN(IF($C$2:$C$233=C70,IF($E$2:$E$233="Yes",IF($B$2:$B$78=B70,$K$2:$K$233))))</f>
        <v>0.29149321266968342</v>
      </c>
      <c r="Q70" s="40" t="s">
        <v>42</v>
      </c>
    </row>
    <row r="71" spans="1:17" s="40" customFormat="1" x14ac:dyDescent="0.25">
      <c r="A71" s="40" t="s">
        <v>38</v>
      </c>
      <c r="B71" s="40" t="s">
        <v>40</v>
      </c>
      <c r="C71" s="40" t="s">
        <v>278</v>
      </c>
      <c r="D71" s="40" t="s">
        <v>285</v>
      </c>
      <c r="E71" s="46" t="s">
        <v>264</v>
      </c>
      <c r="F71" s="46">
        <v>79</v>
      </c>
      <c r="G71" s="40">
        <v>76</v>
      </c>
      <c r="H71" s="40">
        <f>F71*G71</f>
        <v>6004</v>
      </c>
      <c r="I71" s="41">
        <v>2.8</v>
      </c>
      <c r="J71" s="41"/>
      <c r="K71" s="41">
        <f t="shared" si="9"/>
        <v>0.46635576282478342</v>
      </c>
      <c r="L71" s="38">
        <v>21000</v>
      </c>
      <c r="M71" s="45">
        <f t="shared" si="10"/>
        <v>6.2656641604010022E-4</v>
      </c>
      <c r="N71" s="42">
        <f t="shared" si="11"/>
        <v>0.29496883634260707</v>
      </c>
      <c r="O71" s="43">
        <f t="array" ref="O71">(MAX(IF($C$2:$C$233=C71,IF($E$2:$E$233="Yes",IF($B$2:$B$78=B71,$M$2:$M$233)))-M71)/MAX(IF($C$2:$C$233=C71,IF($E$2:$E$233="Yes",IF($B$2:$B$78=B71,$M$2:$M$233)))))</f>
        <v>0.37030075187969924</v>
      </c>
      <c r="P71" s="44">
        <f t="array" ref="P71">(K71-MIN(IF($C$2:$C$233=C71,IF($E$2:$E$233="Yes",IF($B$2:$B$78=B71,$K$2:$K$233)))))/MIN(IF($C$2:$C$233=C71,IF($E$2:$E$233="Yes",IF($B$2:$B$78=B71,$K$2:$K$233))))</f>
        <v>0.10922718187874735</v>
      </c>
      <c r="Q71" s="40" t="s">
        <v>42</v>
      </c>
    </row>
    <row r="72" spans="1:17" x14ac:dyDescent="0.25">
      <c r="A72" s="40" t="s">
        <v>38</v>
      </c>
      <c r="B72" s="40" t="s">
        <v>40</v>
      </c>
      <c r="C72" t="s">
        <v>289</v>
      </c>
      <c r="D72" s="40" t="s">
        <v>288</v>
      </c>
      <c r="E72" s="46" t="s">
        <v>264</v>
      </c>
      <c r="F72" s="46">
        <v>109</v>
      </c>
      <c r="G72">
        <v>109</v>
      </c>
      <c r="H72" s="40">
        <f>F72*G72</f>
        <v>11881</v>
      </c>
      <c r="I72" s="41">
        <f>51+260+109</f>
        <v>420</v>
      </c>
      <c r="J72" s="41"/>
      <c r="K72" s="41">
        <f t="shared" si="9"/>
        <v>35.350559717195523</v>
      </c>
      <c r="L72" s="38">
        <v>24000</v>
      </c>
      <c r="M72" s="45">
        <f t="shared" si="10"/>
        <v>3.8226299694189603E-4</v>
      </c>
      <c r="N72" s="42">
        <f t="shared" si="11"/>
        <v>1.2784760621340368</v>
      </c>
      <c r="O72" s="43">
        <f t="array" ref="O72">(MAX(IF($C$2:$C$233=C72,IF($E$2:$E$233="Yes",IF($B$2:$B$78=B72,$M$2:$M$233)))-M72)/MAX(IF($C$2:$C$233=C72,IF($E$2:$E$233="Yes",IF($B$2:$B$78=B72,$M$2:$M$233)))))</f>
        <v>0.67431192660550465</v>
      </c>
      <c r="P72" s="44">
        <f t="array" ref="P72">(K72-MIN(IF($C$2:$C$233=C72,IF($E$2:$E$233="Yes",IF($B$2:$B$78=B72,$K$2:$K$233)))))/MIN(IF($C$2:$C$233=C72,IF($E$2:$E$233="Yes",IF($B$2:$B$78=B72,$K$2:$K$233))))</f>
        <v>0.86209165657662123</v>
      </c>
      <c r="Q72" s="40" t="s">
        <v>42</v>
      </c>
    </row>
    <row r="73" spans="1:17" x14ac:dyDescent="0.25">
      <c r="A73" s="40" t="s">
        <v>38</v>
      </c>
      <c r="B73" s="40" t="s">
        <v>40</v>
      </c>
      <c r="C73" s="40" t="s">
        <v>289</v>
      </c>
      <c r="D73" s="40" t="s">
        <v>259</v>
      </c>
      <c r="E73" s="46" t="s">
        <v>264</v>
      </c>
      <c r="F73" s="46"/>
      <c r="G73">
        <v>101</v>
      </c>
      <c r="I73" s="40"/>
      <c r="J73" s="41">
        <v>89</v>
      </c>
      <c r="K73" s="41">
        <f t="shared" si="9"/>
        <v>89</v>
      </c>
      <c r="L73" s="38">
        <v>84000</v>
      </c>
      <c r="M73" s="45">
        <f t="shared" si="10"/>
        <v>1.1786892975011787E-4</v>
      </c>
      <c r="N73" s="42">
        <f t="shared" si="11"/>
        <v>4.0997966489882574</v>
      </c>
      <c r="O73" s="43">
        <f t="array" ref="O73">(MAX(IF($C$2:$C$233=C73,IF($E$2:$E$233="Yes",IF($B$2:$B$78=B73,$M$2:$M$233)))-M73)/MAX(IF($C$2:$C$233=C73,IF($E$2:$E$233="Yes",IF($B$2:$B$78=B73,$M$2:$M$233)))))</f>
        <v>0.89957567185289955</v>
      </c>
      <c r="P73" s="44">
        <f t="array" ref="P73">(K73-MIN(IF($C$2:$C$233=C73,IF($E$2:$E$233="Yes",IF($B$2:$B$78=B73,$K$2:$K$233)))))/MIN(IF($C$2:$C$233=C73,IF($E$2:$E$233="Yes",IF($B$2:$B$78=B73,$K$2:$K$233))))</f>
        <v>3.6880773249738774</v>
      </c>
      <c r="Q73" s="40" t="s">
        <v>262</v>
      </c>
    </row>
    <row r="74" spans="1:17" x14ac:dyDescent="0.25">
      <c r="A74" s="40" t="s">
        <v>38</v>
      </c>
      <c r="B74" s="40" t="s">
        <v>40</v>
      </c>
      <c r="C74" s="40" t="s">
        <v>289</v>
      </c>
      <c r="D74" s="40" t="s">
        <v>260</v>
      </c>
      <c r="E74" s="46" t="s">
        <v>264</v>
      </c>
      <c r="F74" s="46"/>
      <c r="G74">
        <v>121</v>
      </c>
      <c r="I74" s="40"/>
      <c r="J74" s="41">
        <v>62</v>
      </c>
      <c r="K74" s="41">
        <f t="shared" si="9"/>
        <v>62</v>
      </c>
      <c r="L74" s="38">
        <v>97000</v>
      </c>
      <c r="M74" s="45">
        <f t="shared" si="10"/>
        <v>8.5200647524921199E-5</v>
      </c>
      <c r="N74" s="42">
        <f t="shared" si="11"/>
        <v>2.4432062893679487</v>
      </c>
      <c r="O74" s="43">
        <f t="array" ref="O74">(MAX(IF($C$2:$C$233=C74,IF($E$2:$E$233="Yes",IF($B$2:$B$78=B74,$M$2:$M$233)))-M74)/MAX(IF($C$2:$C$233=C74,IF($E$2:$E$233="Yes",IF($B$2:$B$78=B74,$M$2:$M$233)))))</f>
        <v>0.92740904830876714</v>
      </c>
      <c r="P74" s="44">
        <f t="array" ref="P74">(K74-MIN(IF($C$2:$C$233=C74,IF($E$2:$E$233="Yes",IF($B$2:$B$78=B74,$K$2:$K$233)))))/MIN(IF($C$2:$C$233=C74,IF($E$2:$E$233="Yes",IF($B$2:$B$78=B74,$K$2:$K$233))))</f>
        <v>2.2658516196447236</v>
      </c>
      <c r="Q74" s="40" t="s">
        <v>42</v>
      </c>
    </row>
    <row r="75" spans="1:17" x14ac:dyDescent="0.25">
      <c r="A75" s="40" t="s">
        <v>38</v>
      </c>
      <c r="B75" s="40" t="s">
        <v>40</v>
      </c>
      <c r="C75" s="40" t="s">
        <v>289</v>
      </c>
      <c r="D75" s="40" t="s">
        <v>261</v>
      </c>
      <c r="E75" s="46" t="s">
        <v>264</v>
      </c>
      <c r="F75" s="46"/>
      <c r="G75">
        <v>160</v>
      </c>
      <c r="I75" s="41"/>
      <c r="J75" s="41">
        <v>30</v>
      </c>
      <c r="K75" s="41">
        <f t="shared" si="9"/>
        <v>30</v>
      </c>
      <c r="L75" s="38">
        <v>97001</v>
      </c>
      <c r="M75" s="45">
        <f t="shared" si="10"/>
        <v>6.443232543994391E-5</v>
      </c>
      <c r="N75" s="42">
        <f t="shared" si="11"/>
        <v>0.6139546475587121</v>
      </c>
      <c r="O75" s="43">
        <f t="array" ref="O75">(MAX(IF($C$2:$C$233=C75,IF($E$2:$E$233="Yes",IF($B$2:$B$78=B75,$M$2:$M$233)))-M75)/MAX(IF($C$2:$C$233=C75,IF($E$2:$E$233="Yes",IF($B$2:$B$78=B75,$M$2:$M$233)))))</f>
        <v>0.94510365872516777</v>
      </c>
      <c r="P75" s="44">
        <f t="array" ref="P75">(K75-MIN(IF($C$2:$C$233=C75,IF($E$2:$E$233="Yes",IF($B$2:$B$78=B75,$K$2:$K$233)))))/MIN(IF($C$2:$C$233=C75,IF($E$2:$E$233="Yes",IF($B$2:$B$78=B75,$K$2:$K$233))))</f>
        <v>0.58025078369905969</v>
      </c>
      <c r="Q75" s="40" t="s">
        <v>42</v>
      </c>
    </row>
    <row r="76" spans="1:17" x14ac:dyDescent="0.25">
      <c r="A76" s="40" t="s">
        <v>38</v>
      </c>
      <c r="B76" s="40" t="s">
        <v>40</v>
      </c>
      <c r="C76" s="40" t="s">
        <v>289</v>
      </c>
      <c r="D76" s="40" t="s">
        <v>287</v>
      </c>
      <c r="E76" s="46" t="s">
        <v>264</v>
      </c>
      <c r="F76" s="46">
        <v>74</v>
      </c>
      <c r="G76">
        <v>74</v>
      </c>
      <c r="H76" s="40">
        <f>F76*G76</f>
        <v>5476</v>
      </c>
      <c r="I76" s="41">
        <f>40+205+74</f>
        <v>319</v>
      </c>
      <c r="J76" s="41"/>
      <c r="K76" s="41">
        <f t="shared" si="9"/>
        <v>58.254200146092039</v>
      </c>
      <c r="L76" s="38">
        <v>20000</v>
      </c>
      <c r="M76" s="45">
        <f t="shared" si="10"/>
        <v>6.7567567567567571E-4</v>
      </c>
      <c r="N76" s="42">
        <f t="shared" si="11"/>
        <v>4.8749067538876467</v>
      </c>
      <c r="O76" s="43">
        <f t="array" ref="O76">(MAX(IF($C$2:$C$233=C76,IF($E$2:$E$233="Yes",IF($B$2:$B$78=B76,$M$2:$M$233)))-M76)/MAX(IF($C$2:$C$233=C76,IF($E$2:$E$233="Yes",IF($B$2:$B$78=B76,$M$2:$M$233)))))</f>
        <v>0.42432432432432432</v>
      </c>
      <c r="P76" s="44">
        <f t="array" ref="P76">(K76-MIN(IF($C$2:$C$233=C76,IF($E$2:$E$233="Yes",IF($B$2:$B$78=B76,$K$2:$K$233)))))/MIN(IF($C$2:$C$233=C76,IF($E$2:$E$233="Yes",IF($B$2:$B$78=B76,$K$2:$K$233))))</f>
        <v>2.0685415144874608</v>
      </c>
      <c r="Q76" s="40" t="s">
        <v>42</v>
      </c>
    </row>
    <row r="77" spans="1:17" x14ac:dyDescent="0.25">
      <c r="A77" s="40" t="s">
        <v>38</v>
      </c>
      <c r="B77" s="40" t="s">
        <v>40</v>
      </c>
      <c r="C77" s="40" t="s">
        <v>289</v>
      </c>
      <c r="D77" s="40" t="s">
        <v>284</v>
      </c>
      <c r="E77" s="46" t="s">
        <v>265</v>
      </c>
      <c r="F77" s="46">
        <v>71</v>
      </c>
      <c r="G77">
        <v>71</v>
      </c>
      <c r="H77" s="40">
        <f>F77*G77</f>
        <v>5041</v>
      </c>
      <c r="I77" s="41">
        <f>5.7+19+71</f>
        <v>95.7</v>
      </c>
      <c r="J77" s="41"/>
      <c r="K77" s="41">
        <f t="shared" si="9"/>
        <v>18.984328506248758</v>
      </c>
      <c r="L77" s="38">
        <v>12000</v>
      </c>
      <c r="M77" s="45">
        <f t="shared" si="10"/>
        <v>1.1737089201877935E-3</v>
      </c>
      <c r="N77" s="42" t="str">
        <f t="shared" si="11"/>
        <v/>
      </c>
      <c r="O77" s="43">
        <f t="array" ref="O77">(MAX(IF($C$2:$C$233=C77,IF($E$2:$E$233="Yes",IF($B$2:$B$78=B77,$M$2:$M$233)))-M77)/MAX(IF($C$2:$C$233=C77,IF($E$2:$E$233="Yes",IF($B$2:$B$78=B77,$M$2:$M$233)))))</f>
        <v>0</v>
      </c>
      <c r="P77" s="44">
        <f t="array" ref="P77">(K77-MIN(IF($C$2:$C$233=C77,IF($E$2:$E$233="Yes",IF($B$2:$B$78=B77,$K$2:$K$233)))))/MIN(IF($C$2:$C$233=C77,IF($E$2:$E$233="Yes",IF($B$2:$B$78=B77,$K$2:$K$233))))</f>
        <v>0</v>
      </c>
      <c r="Q77" s="40" t="s">
        <v>262</v>
      </c>
    </row>
    <row r="78" spans="1:17" x14ac:dyDescent="0.25">
      <c r="A78" s="40" t="s">
        <v>38</v>
      </c>
      <c r="B78" s="40" t="s">
        <v>40</v>
      </c>
      <c r="C78" s="40" t="s">
        <v>289</v>
      </c>
      <c r="D78" s="40" t="s">
        <v>286</v>
      </c>
      <c r="E78" s="46" t="s">
        <v>264</v>
      </c>
      <c r="F78" s="46">
        <v>91</v>
      </c>
      <c r="G78">
        <v>91</v>
      </c>
      <c r="H78" s="40">
        <f>F78*G78</f>
        <v>8281</v>
      </c>
      <c r="I78" s="41">
        <f>6.2+25+91</f>
        <v>122.2</v>
      </c>
      <c r="J78" s="41"/>
      <c r="K78" s="41">
        <f t="shared" si="9"/>
        <v>14.756671899529042</v>
      </c>
      <c r="L78" s="38">
        <v>30000</v>
      </c>
      <c r="M78" s="45">
        <f t="shared" si="10"/>
        <v>3.6630036630036635E-4</v>
      </c>
      <c r="N78" s="42">
        <f t="shared" si="11"/>
        <v>-0.32372148434724163</v>
      </c>
      <c r="O78" s="43">
        <f t="array" ref="O78">(MAX(IF($C$2:$C$233=C78,IF($E$2:$E$233="Yes",IF($B$2:$B$78=B78,$M$2:$M$233)))-M78)/MAX(IF($C$2:$C$233=C78,IF($E$2:$E$233="Yes",IF($B$2:$B$78=B78,$M$2:$M$233)))))</f>
        <v>0.68791208791208791</v>
      </c>
      <c r="P78" s="44">
        <f t="array" ref="P78">(K78-MIN(IF($C$2:$C$233=C78,IF($E$2:$E$233="Yes",IF($B$2:$B$78=B78,$K$2:$K$233)))))/MIN(IF($C$2:$C$233=C78,IF($E$2:$E$233="Yes",IF($B$2:$B$78=B78,$K$2:$K$233))))</f>
        <v>-0.22269192219931128</v>
      </c>
      <c r="Q78" s="40" t="s">
        <v>42</v>
      </c>
    </row>
    <row r="79" spans="1:17" x14ac:dyDescent="0.25">
      <c r="A79" s="40" t="s">
        <v>38</v>
      </c>
      <c r="B79" s="40" t="s">
        <v>40</v>
      </c>
      <c r="C79" s="40" t="s">
        <v>289</v>
      </c>
      <c r="D79" s="40" t="s">
        <v>285</v>
      </c>
      <c r="E79" s="46" t="s">
        <v>264</v>
      </c>
      <c r="F79" s="46">
        <v>79</v>
      </c>
      <c r="G79" s="40">
        <v>79</v>
      </c>
      <c r="H79" s="40">
        <f>F79*G79</f>
        <v>6241</v>
      </c>
      <c r="I79" s="41">
        <f>8.4+22+79</f>
        <v>109.4</v>
      </c>
      <c r="J79" s="41"/>
      <c r="K79" s="41">
        <f t="shared" si="9"/>
        <v>17.529242108636439</v>
      </c>
      <c r="L79" s="38">
        <v>18000</v>
      </c>
      <c r="M79" s="45">
        <f t="shared" si="10"/>
        <v>7.0323488045007034E-4</v>
      </c>
      <c r="N79" s="42">
        <f t="shared" si="11"/>
        <v>-0.19121338125680007</v>
      </c>
      <c r="O79" s="43">
        <f t="array" ref="O79">(MAX(IF($C$2:$C$233=C79,IF($E$2:$E$233="Yes",IF($B$2:$B$78=B79,$M$2:$M$233)))-M79)/MAX(IF($C$2:$C$233=C79,IF($E$2:$E$233="Yes",IF($B$2:$B$78=B79,$M$2:$M$233)))))</f>
        <v>0.40084388185654007</v>
      </c>
      <c r="P79" s="44">
        <f t="array" ref="P79">(K79-MIN(IF($C$2:$C$233=C79,IF($E$2:$E$233="Yes",IF($B$2:$B$78=B79,$K$2:$K$233)))))/MIN(IF($C$2:$C$233=C79,IF($E$2:$E$233="Yes",IF($B$2:$B$78=B79,$K$2:$K$233))))</f>
        <v>-7.6646714005890321E-2</v>
      </c>
      <c r="Q79" s="40" t="s">
        <v>42</v>
      </c>
    </row>
    <row r="80" spans="1:17" x14ac:dyDescent="0.25">
      <c r="A80" s="40"/>
      <c r="B80" s="40"/>
      <c r="C80" s="40"/>
    </row>
    <row r="81" spans="1:3" x14ac:dyDescent="0.25">
      <c r="A81" s="40"/>
      <c r="B81" s="40"/>
      <c r="C81" s="40"/>
    </row>
  </sheetData>
  <sortState ref="A2:Q79">
    <sortCondition descending="1" ref="B2:B79"/>
    <sortCondition ref="C2:C79"/>
    <sortCondition ref="D2:D79"/>
  </sortState>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0"/>
  <sheetViews>
    <sheetView workbookViewId="0"/>
  </sheetViews>
  <sheetFormatPr defaultRowHeight="15" x14ac:dyDescent="0.25"/>
  <cols>
    <col min="1" max="1" width="16.28515625" bestFit="1" customWidth="1"/>
    <col min="2" max="2" width="13.140625" bestFit="1" customWidth="1"/>
    <col min="3" max="3" width="13.85546875" bestFit="1" customWidth="1"/>
    <col min="4" max="4" width="30.42578125" bestFit="1" customWidth="1"/>
    <col min="5" max="5" width="9.5703125" bestFit="1" customWidth="1"/>
    <col min="6" max="7" width="8.85546875" customWidth="1"/>
    <col min="8" max="8" width="35.85546875" bestFit="1" customWidth="1"/>
    <col min="9" max="9" width="16.7109375" bestFit="1" customWidth="1"/>
    <col min="14" max="14" width="10" bestFit="1" customWidth="1"/>
  </cols>
  <sheetData>
    <row r="1" spans="1:18" ht="14.45" x14ac:dyDescent="0.35">
      <c r="A1" s="13" t="s">
        <v>1</v>
      </c>
      <c r="B1" s="13" t="s">
        <v>2</v>
      </c>
      <c r="C1" s="13" t="s">
        <v>111</v>
      </c>
      <c r="D1" s="13" t="s">
        <v>4</v>
      </c>
      <c r="E1" s="13" t="s">
        <v>100</v>
      </c>
      <c r="F1" s="13" t="s">
        <v>6</v>
      </c>
      <c r="G1" s="13" t="s">
        <v>0</v>
      </c>
      <c r="H1" s="13" t="s">
        <v>9</v>
      </c>
      <c r="I1" s="13" t="s">
        <v>13</v>
      </c>
      <c r="N1" s="13"/>
      <c r="O1" s="13"/>
      <c r="P1" s="13"/>
      <c r="Q1" s="13"/>
      <c r="R1" s="13"/>
    </row>
    <row r="2" spans="1:18" ht="14.45" x14ac:dyDescent="0.35">
      <c r="A2" s="13" t="s">
        <v>178</v>
      </c>
      <c r="B2" s="13" t="s">
        <v>7</v>
      </c>
      <c r="C2" s="13" t="s">
        <v>182</v>
      </c>
      <c r="D2" s="13" t="s">
        <v>183</v>
      </c>
      <c r="E2" s="32">
        <v>1</v>
      </c>
      <c r="F2" s="33">
        <v>212</v>
      </c>
      <c r="G2" s="6" t="str">
        <f>IFERROR(I2/H2,"")</f>
        <v/>
      </c>
      <c r="H2" s="9">
        <f t="array" ref="H2">(E2-MIN(IF($D$2:$D$268=D2,$E$2:$E$268)))/MIN(IF($D$2:$D$268=D2,$E$2:$E$268))</f>
        <v>0</v>
      </c>
      <c r="I2" s="10">
        <f t="array" ref="I2">(F2-MIN(IF($D$2:$D$268=D2,$F$2:$F$268)))/MIN(IF($D$2:$D$268=D2,$F$2:$F$268))</f>
        <v>0</v>
      </c>
      <c r="N2" s="13"/>
      <c r="O2" s="13"/>
      <c r="P2" s="13"/>
      <c r="Q2" s="13"/>
      <c r="R2" s="13"/>
    </row>
    <row r="3" spans="1:18" ht="14.45" x14ac:dyDescent="0.35">
      <c r="A3" s="13" t="s">
        <v>178</v>
      </c>
      <c r="B3" s="13" t="s">
        <v>7</v>
      </c>
      <c r="C3" s="13" t="s">
        <v>182</v>
      </c>
      <c r="D3" s="13" t="s">
        <v>183</v>
      </c>
      <c r="E3" s="32">
        <v>1.3</v>
      </c>
      <c r="F3" s="33">
        <v>212</v>
      </c>
      <c r="G3" s="6">
        <f t="shared" ref="G3:G22" si="0">IFERROR(I3/H3,"")</f>
        <v>0</v>
      </c>
      <c r="H3" s="9">
        <f t="array" ref="H3">(E3-MIN(IF($D$2:$D$268=D3,$E$2:$E$268)))/MIN(IF($D$2:$D$268=D3,$E$2:$E$268))</f>
        <v>0.30000000000000004</v>
      </c>
      <c r="I3" s="10">
        <f t="array" ref="I3">(F3-MIN(IF($D$2:$D$268=D3,$F$2:$F$268)))/MIN(IF($D$2:$D$268=D3,$F$2:$F$268))</f>
        <v>0</v>
      </c>
      <c r="N3" s="13"/>
      <c r="O3" s="13"/>
      <c r="P3" s="13"/>
      <c r="Q3" s="13"/>
      <c r="R3" s="13"/>
    </row>
    <row r="4" spans="1:18" ht="14.45" x14ac:dyDescent="0.35">
      <c r="A4" s="13" t="s">
        <v>178</v>
      </c>
      <c r="B4" s="13" t="s">
        <v>7</v>
      </c>
      <c r="C4" s="13" t="s">
        <v>182</v>
      </c>
      <c r="D4" s="13" t="s">
        <v>183</v>
      </c>
      <c r="E4" s="32">
        <v>1.3583333333333334</v>
      </c>
      <c r="F4" s="33">
        <v>214</v>
      </c>
      <c r="G4" s="6">
        <f t="shared" si="0"/>
        <v>2.6327336551118907E-2</v>
      </c>
      <c r="H4" s="9">
        <f t="array" ref="H4">(E4-MIN(IF($D$2:$D$268=D4,$E$2:$E$268)))/MIN(IF($D$2:$D$268=D4,$E$2:$E$268))</f>
        <v>0.35833333333333339</v>
      </c>
      <c r="I4" s="10">
        <f t="array" ref="I4">(F4-MIN(IF($D$2:$D$268=D4,$F$2:$F$268)))/MIN(IF($D$2:$D$268=D4,$F$2:$F$268))</f>
        <v>9.433962264150943E-3</v>
      </c>
      <c r="N4" s="13"/>
      <c r="O4" s="13"/>
      <c r="P4" s="13"/>
      <c r="Q4" s="13"/>
      <c r="R4" s="13"/>
    </row>
    <row r="5" spans="1:18" ht="14.45" x14ac:dyDescent="0.35">
      <c r="A5" s="13" t="s">
        <v>178</v>
      </c>
      <c r="B5" s="13" t="s">
        <v>7</v>
      </c>
      <c r="C5" s="13" t="s">
        <v>182</v>
      </c>
      <c r="D5" s="13" t="s">
        <v>183</v>
      </c>
      <c r="E5" s="32">
        <v>1.4076923076923078</v>
      </c>
      <c r="F5" s="33">
        <v>218</v>
      </c>
      <c r="G5" s="6">
        <f t="shared" si="0"/>
        <v>6.9419722321110697E-2</v>
      </c>
      <c r="H5" s="9">
        <f t="array" ref="H5">(E5-MIN(IF($D$2:$D$268=D5,$E$2:$E$268)))/MIN(IF($D$2:$D$268=D5,$E$2:$E$268))</f>
        <v>0.4076923076923078</v>
      </c>
      <c r="I5" s="10">
        <f t="array" ref="I5">(F5-MIN(IF($D$2:$D$268=D5,$F$2:$F$268)))/MIN(IF($D$2:$D$268=D5,$F$2:$F$268))</f>
        <v>2.8301886792452831E-2</v>
      </c>
      <c r="N5" s="13"/>
      <c r="O5" s="13"/>
      <c r="P5" s="13"/>
      <c r="Q5" s="13"/>
      <c r="R5" s="13"/>
    </row>
    <row r="6" spans="1:18" ht="14.45" x14ac:dyDescent="0.35">
      <c r="A6" s="13" t="s">
        <v>178</v>
      </c>
      <c r="B6" s="13" t="s">
        <v>7</v>
      </c>
      <c r="C6" s="13" t="s">
        <v>182</v>
      </c>
      <c r="D6" s="13" t="s">
        <v>183</v>
      </c>
      <c r="E6" s="32">
        <v>1.5095541401273884</v>
      </c>
      <c r="F6" s="33">
        <v>241</v>
      </c>
      <c r="G6" s="6">
        <f t="shared" si="0"/>
        <v>0.26845518867924534</v>
      </c>
      <c r="H6" s="9">
        <f t="array" ref="H6">(E6-MIN(IF($D$2:$D$268=D6,$E$2:$E$268)))/MIN(IF($D$2:$D$268=D6,$E$2:$E$268))</f>
        <v>0.50955414012738842</v>
      </c>
      <c r="I6" s="10">
        <f t="array" ref="I6">(F6-MIN(IF($D$2:$D$268=D6,$F$2:$F$268)))/MIN(IF($D$2:$D$268=D6,$F$2:$F$268))</f>
        <v>0.13679245283018868</v>
      </c>
      <c r="N6" s="13"/>
      <c r="O6" s="13"/>
      <c r="P6" s="13"/>
      <c r="Q6" s="13"/>
      <c r="R6" s="13"/>
    </row>
    <row r="7" spans="1:18" ht="14.45" x14ac:dyDescent="0.35">
      <c r="A7" s="13" t="s">
        <v>178</v>
      </c>
      <c r="B7" s="13" t="s">
        <v>7</v>
      </c>
      <c r="C7" s="13" t="s">
        <v>182</v>
      </c>
      <c r="D7" t="s">
        <v>184</v>
      </c>
      <c r="E7" s="32">
        <v>1</v>
      </c>
      <c r="F7" s="33">
        <v>256</v>
      </c>
      <c r="G7" s="6" t="str">
        <f t="shared" si="0"/>
        <v/>
      </c>
      <c r="H7" s="9">
        <f t="array" ref="H7">(E7-MIN(IF($D$2:$D$268=D7,$E$2:$E$268)))/MIN(IF($D$2:$D$268=D7,$E$2:$E$268))</f>
        <v>0</v>
      </c>
      <c r="I7" s="10">
        <f t="array" ref="I7">(F7-MIN(IF($D$2:$D$268=D7,$F$2:$F$268)))/MIN(IF($D$2:$D$268=D7,$F$2:$F$268))</f>
        <v>0</v>
      </c>
      <c r="N7" s="13"/>
      <c r="O7" s="13"/>
      <c r="P7" s="13"/>
      <c r="Q7" s="13"/>
      <c r="R7" s="13"/>
    </row>
    <row r="8" spans="1:18" ht="14.45" x14ac:dyDescent="0.35">
      <c r="A8" s="13" t="s">
        <v>178</v>
      </c>
      <c r="B8" s="13" t="s">
        <v>7</v>
      </c>
      <c r="C8" s="13" t="s">
        <v>182</v>
      </c>
      <c r="D8" s="13" t="s">
        <v>184</v>
      </c>
      <c r="E8" s="32">
        <v>1.2166666666666666</v>
      </c>
      <c r="F8" s="33">
        <v>256</v>
      </c>
      <c r="G8" s="6">
        <f t="shared" si="0"/>
        <v>0</v>
      </c>
      <c r="H8" s="9">
        <f t="array" ref="H8">(E8-MIN(IF($D$2:$D$268=D8,$E$2:$E$268)))/MIN(IF($D$2:$D$268=D8,$E$2:$E$268))</f>
        <v>0.21666666666666656</v>
      </c>
      <c r="I8" s="10">
        <f t="array" ref="I8">(F8-MIN(IF($D$2:$D$268=D8,$F$2:$F$268)))/MIN(IF($D$2:$D$268=D8,$F$2:$F$268))</f>
        <v>0</v>
      </c>
      <c r="N8" s="13"/>
      <c r="O8" s="13"/>
      <c r="P8" s="13"/>
      <c r="Q8" s="13"/>
      <c r="R8" s="13"/>
    </row>
    <row r="9" spans="1:18" ht="14.45" x14ac:dyDescent="0.35">
      <c r="A9" s="13" t="s">
        <v>178</v>
      </c>
      <c r="B9" s="13" t="s">
        <v>7</v>
      </c>
      <c r="C9" s="13" t="s">
        <v>182</v>
      </c>
      <c r="D9" s="13" t="s">
        <v>184</v>
      </c>
      <c r="E9" s="32">
        <v>1.3285714285714285</v>
      </c>
      <c r="F9" s="33">
        <v>259</v>
      </c>
      <c r="G9" s="6">
        <f t="shared" si="0"/>
        <v>3.5665760869565223E-2</v>
      </c>
      <c r="H9" s="9">
        <f t="array" ref="H9">(E9-MIN(IF($D$2:$D$268=D9,$E$2:$E$268)))/MIN(IF($D$2:$D$268=D9,$E$2:$E$268))</f>
        <v>0.32857142857142851</v>
      </c>
      <c r="I9" s="10">
        <f t="array" ref="I9">(F9-MIN(IF($D$2:$D$268=D9,$F$2:$F$268)))/MIN(IF($D$2:$D$268=D9,$F$2:$F$268))</f>
        <v>1.171875E-2</v>
      </c>
      <c r="N9" s="13"/>
      <c r="O9" s="13"/>
      <c r="P9" s="13"/>
      <c r="Q9" s="13"/>
      <c r="R9" s="13"/>
    </row>
    <row r="10" spans="1:18" ht="14.45" x14ac:dyDescent="0.35">
      <c r="A10" s="13" t="s">
        <v>178</v>
      </c>
      <c r="B10" s="13" t="s">
        <v>7</v>
      </c>
      <c r="C10" s="13" t="s">
        <v>182</v>
      </c>
      <c r="D10" s="13" t="s">
        <v>184</v>
      </c>
      <c r="E10" s="32">
        <v>1.4125000000000001</v>
      </c>
      <c r="F10" s="33">
        <v>268</v>
      </c>
      <c r="G10" s="6">
        <f t="shared" si="0"/>
        <v>0.11363636363636362</v>
      </c>
      <c r="H10" s="9">
        <f t="array" ref="H10">(E10-MIN(IF($D$2:$D$268=D10,$E$2:$E$268)))/MIN(IF($D$2:$D$268=D10,$E$2:$E$268))</f>
        <v>0.41250000000000009</v>
      </c>
      <c r="I10" s="10">
        <f t="array" ref="I10">(F10-MIN(IF($D$2:$D$268=D10,$F$2:$F$268)))/MIN(IF($D$2:$D$268=D10,$F$2:$F$268))</f>
        <v>4.6875E-2</v>
      </c>
      <c r="N10" s="13"/>
      <c r="O10" s="13"/>
      <c r="P10" s="13"/>
      <c r="Q10" s="13"/>
      <c r="R10" s="13"/>
    </row>
    <row r="11" spans="1:18" ht="14.45" x14ac:dyDescent="0.35">
      <c r="A11" s="13" t="s">
        <v>178</v>
      </c>
      <c r="B11" s="13" t="s">
        <v>7</v>
      </c>
      <c r="C11" s="13" t="s">
        <v>182</v>
      </c>
      <c r="D11" s="13" t="s">
        <v>184</v>
      </c>
      <c r="E11" s="32">
        <v>1.4777777777777779</v>
      </c>
      <c r="F11" s="33">
        <v>290</v>
      </c>
      <c r="G11" s="6">
        <f t="shared" si="0"/>
        <v>0.27797965116279066</v>
      </c>
      <c r="H11" s="9">
        <f t="array" ref="H11">(E11-MIN(IF($D$2:$D$268=D11,$E$2:$E$268)))/MIN(IF($D$2:$D$268=D11,$E$2:$E$268))</f>
        <v>0.47777777777777786</v>
      </c>
      <c r="I11" s="10">
        <f t="array" ref="I11">(F11-MIN(IF($D$2:$D$268=D11,$F$2:$F$268)))/MIN(IF($D$2:$D$268=D11,$F$2:$F$268))</f>
        <v>0.1328125</v>
      </c>
      <c r="N11" s="13"/>
      <c r="O11" s="13"/>
      <c r="P11" s="13"/>
      <c r="Q11" s="13"/>
      <c r="R11" s="13"/>
    </row>
    <row r="12" spans="1:18" ht="14.45" x14ac:dyDescent="0.35">
      <c r="A12" s="13" t="s">
        <v>178</v>
      </c>
      <c r="B12" s="13" t="s">
        <v>7</v>
      </c>
      <c r="C12" s="13" t="s">
        <v>182</v>
      </c>
      <c r="D12" s="13" t="s">
        <v>185</v>
      </c>
      <c r="E12" s="32">
        <v>1</v>
      </c>
      <c r="F12" s="33">
        <v>915</v>
      </c>
      <c r="G12" s="6" t="str">
        <f t="shared" si="0"/>
        <v/>
      </c>
      <c r="H12" s="9">
        <f t="array" ref="H12">(E12-MIN(IF($D$2:$D$268=D12,$E$2:$E$268)))/MIN(IF($D$2:$D$268=D12,$E$2:$E$268))</f>
        <v>0</v>
      </c>
      <c r="I12" s="10">
        <f t="array" ref="I12">(F12-MIN(IF($D$2:$D$268=D12,$F$2:$F$268)))/MIN(IF($D$2:$D$268=D12,$F$2:$F$268))</f>
        <v>0</v>
      </c>
      <c r="N12" s="13"/>
      <c r="O12" s="13"/>
      <c r="P12" s="13"/>
      <c r="Q12" s="13"/>
      <c r="R12" s="13"/>
    </row>
    <row r="13" spans="1:18" ht="14.45" x14ac:dyDescent="0.35">
      <c r="A13" s="13" t="s">
        <v>178</v>
      </c>
      <c r="B13" s="13" t="s">
        <v>7</v>
      </c>
      <c r="C13" s="13" t="s">
        <v>182</v>
      </c>
      <c r="D13" s="13" t="s">
        <v>185</v>
      </c>
      <c r="E13" s="32">
        <v>1.1375</v>
      </c>
      <c r="F13" s="33">
        <v>989</v>
      </c>
      <c r="G13" s="6">
        <f t="shared" si="0"/>
        <v>0.58817685047193258</v>
      </c>
      <c r="H13" s="9">
        <f t="array" ref="H13">(E13-MIN(IF($D$2:$D$268=D13,$E$2:$E$268)))/MIN(IF($D$2:$D$268=D13,$E$2:$E$268))</f>
        <v>0.13749999999999996</v>
      </c>
      <c r="I13" s="10">
        <f t="array" ref="I13">(F13-MIN(IF($D$2:$D$268=D13,$F$2:$F$268)))/MIN(IF($D$2:$D$268=D13,$F$2:$F$268))</f>
        <v>8.0874316939890709E-2</v>
      </c>
    </row>
    <row r="14" spans="1:18" ht="14.45" x14ac:dyDescent="0.35">
      <c r="A14" s="13" t="s">
        <v>178</v>
      </c>
      <c r="B14" s="13" t="s">
        <v>7</v>
      </c>
      <c r="C14" s="13" t="s">
        <v>182</v>
      </c>
      <c r="D14" s="13" t="s">
        <v>185</v>
      </c>
      <c r="E14" s="32">
        <v>1.2607142857142857</v>
      </c>
      <c r="F14" s="33">
        <v>1008</v>
      </c>
      <c r="G14" s="6">
        <f t="shared" si="0"/>
        <v>0.38984953963620039</v>
      </c>
      <c r="H14" s="9">
        <f t="array" ref="H14">(E14-MIN(IF($D$2:$D$268=D14,$E$2:$E$268)))/MIN(IF($D$2:$D$268=D14,$E$2:$E$268))</f>
        <v>0.26071428571428568</v>
      </c>
      <c r="I14" s="10">
        <f t="array" ref="I14">(F14-MIN(IF($D$2:$D$268=D14,$F$2:$F$268)))/MIN(IF($D$2:$D$268=D14,$F$2:$F$268))</f>
        <v>0.10163934426229508</v>
      </c>
    </row>
    <row r="15" spans="1:18" ht="14.45" x14ac:dyDescent="0.35">
      <c r="A15" s="13" t="s">
        <v>178</v>
      </c>
      <c r="B15" s="13" t="s">
        <v>7</v>
      </c>
      <c r="C15" s="13" t="s">
        <v>182</v>
      </c>
      <c r="D15" s="13" t="s">
        <v>185</v>
      </c>
      <c r="E15" s="32">
        <v>1.4344262295081969</v>
      </c>
      <c r="F15" s="33">
        <v>1124</v>
      </c>
      <c r="G15" s="6">
        <f t="shared" si="0"/>
        <v>0.52578616352201246</v>
      </c>
      <c r="H15" s="9">
        <f t="array" ref="H15">(E15-MIN(IF($D$2:$D$268=D15,$E$2:$E$268)))/MIN(IF($D$2:$D$268=D15,$E$2:$E$268))</f>
        <v>0.43442622950819687</v>
      </c>
      <c r="I15" s="10">
        <f t="array" ref="I15">(F15-MIN(IF($D$2:$D$268=D15,$F$2:$F$268)))/MIN(IF($D$2:$D$268=D15,$F$2:$F$268))</f>
        <v>0.2284153005464481</v>
      </c>
    </row>
    <row r="16" spans="1:18" ht="14.45" x14ac:dyDescent="0.35">
      <c r="A16" s="13" t="s">
        <v>178</v>
      </c>
      <c r="B16" s="13" t="s">
        <v>7</v>
      </c>
      <c r="C16" s="13" t="s">
        <v>182</v>
      </c>
      <c r="D16" t="s">
        <v>186</v>
      </c>
      <c r="E16" s="32">
        <v>1</v>
      </c>
      <c r="F16" s="33">
        <v>1094</v>
      </c>
      <c r="G16" s="6" t="str">
        <f t="shared" si="0"/>
        <v/>
      </c>
      <c r="H16" s="9">
        <f t="array" ref="H16">(E16-MIN(IF($D$2:$D$268=D16,$E$2:$E$268)))/MIN(IF($D$2:$D$268=D16,$E$2:$E$268))</f>
        <v>0</v>
      </c>
      <c r="I16" s="10">
        <f t="array" ref="I16">(F16-MIN(IF($D$2:$D$268=D16,$F$2:$F$268)))/MIN(IF($D$2:$D$268=D16,$F$2:$F$268))</f>
        <v>0</v>
      </c>
    </row>
    <row r="17" spans="1:9" ht="14.45" x14ac:dyDescent="0.35">
      <c r="A17" s="13" t="s">
        <v>178</v>
      </c>
      <c r="B17" s="13" t="s">
        <v>7</v>
      </c>
      <c r="C17" s="13" t="s">
        <v>182</v>
      </c>
      <c r="D17" s="13" t="s">
        <v>186</v>
      </c>
      <c r="E17" s="32">
        <v>1.1531100478468899</v>
      </c>
      <c r="F17" s="33">
        <v>1121</v>
      </c>
      <c r="G17" s="6">
        <f t="shared" si="0"/>
        <v>0.16119172760511893</v>
      </c>
      <c r="H17" s="9">
        <f t="array" ref="H17">(E17-MIN(IF($D$2:$D$268=D17,$E$2:$E$268)))/MIN(IF($D$2:$D$268=D17,$E$2:$E$268))</f>
        <v>0.15311004784688986</v>
      </c>
      <c r="I17" s="10">
        <f t="array" ref="I17">(F17-MIN(IF($D$2:$D$268=D17,$F$2:$F$268)))/MIN(IF($D$2:$D$268=D17,$F$2:$F$268))</f>
        <v>2.4680073126142597E-2</v>
      </c>
    </row>
    <row r="18" spans="1:9" ht="14.45" x14ac:dyDescent="0.35">
      <c r="A18" s="13" t="s">
        <v>178</v>
      </c>
      <c r="B18" s="13" t="s">
        <v>7</v>
      </c>
      <c r="C18" s="13" t="s">
        <v>182</v>
      </c>
      <c r="D18" s="13" t="s">
        <v>186</v>
      </c>
      <c r="E18" s="32">
        <v>1.3003952569169961</v>
      </c>
      <c r="F18" s="33">
        <v>1322</v>
      </c>
      <c r="G18" s="6">
        <f t="shared" si="0"/>
        <v>0.69378427787934172</v>
      </c>
      <c r="H18" s="9">
        <f t="array" ref="H18">(E18-MIN(IF($D$2:$D$268=D18,$E$2:$E$268)))/MIN(IF($D$2:$D$268=D18,$E$2:$E$268))</f>
        <v>0.30039525691699609</v>
      </c>
      <c r="I18" s="10">
        <f t="array" ref="I18">(F18-MIN(IF($D$2:$D$268=D18,$F$2:$F$268)))/MIN(IF($D$2:$D$268=D18,$F$2:$F$268))</f>
        <v>0.20840950639853748</v>
      </c>
    </row>
    <row r="19" spans="1:9" ht="14.45" x14ac:dyDescent="0.35">
      <c r="A19" s="13" t="s">
        <v>178</v>
      </c>
      <c r="B19" s="13" t="s">
        <v>7</v>
      </c>
      <c r="C19" s="13" t="s">
        <v>182</v>
      </c>
      <c r="D19" t="s">
        <v>187</v>
      </c>
      <c r="E19" s="32">
        <v>1</v>
      </c>
      <c r="F19" s="33">
        <v>1574</v>
      </c>
      <c r="G19" s="6" t="str">
        <f t="shared" si="0"/>
        <v/>
      </c>
      <c r="H19" s="9">
        <f t="array" ref="H19">(E19-MIN(IF($D$2:$D$268=D19,$E$2:$E$268)))/MIN(IF($D$2:$D$268=D19,$E$2:$E$268))</f>
        <v>0</v>
      </c>
      <c r="I19" s="10">
        <f t="array" ref="I19">(F19-MIN(IF($D$2:$D$268=D19,$F$2:$F$268)))/MIN(IF($D$2:$D$268=D19,$F$2:$F$268))</f>
        <v>0</v>
      </c>
    </row>
    <row r="20" spans="1:9" ht="14.45" x14ac:dyDescent="0.35">
      <c r="A20" s="13" t="s">
        <v>178</v>
      </c>
      <c r="B20" s="13" t="s">
        <v>7</v>
      </c>
      <c r="C20" s="13" t="s">
        <v>182</v>
      </c>
      <c r="D20" s="13" t="s">
        <v>187</v>
      </c>
      <c r="E20" s="32">
        <v>1.1074074074074074</v>
      </c>
      <c r="F20" s="33">
        <v>1586</v>
      </c>
      <c r="G20" s="6">
        <f t="shared" si="0"/>
        <v>7.0981027910441238E-2</v>
      </c>
      <c r="H20" s="9">
        <f t="array" ref="H20">(E20-MIN(IF($D$2:$D$268=D20,$E$2:$E$268)))/MIN(IF($D$2:$D$268=D20,$E$2:$E$268))</f>
        <v>0.1074074074074074</v>
      </c>
      <c r="I20" s="10">
        <f t="array" ref="I20">(F20-MIN(IF($D$2:$D$268=D20,$F$2:$F$268)))/MIN(IF($D$2:$D$268=D20,$F$2:$F$268))</f>
        <v>7.6238881829733167E-3</v>
      </c>
    </row>
    <row r="21" spans="1:9" ht="14.45" x14ac:dyDescent="0.35">
      <c r="A21" s="13" t="s">
        <v>178</v>
      </c>
      <c r="B21" s="13" t="s">
        <v>7</v>
      </c>
      <c r="C21" s="13" t="s">
        <v>182</v>
      </c>
      <c r="D21" s="13" t="s">
        <v>187</v>
      </c>
      <c r="E21" s="32">
        <v>1.3153409090909089</v>
      </c>
      <c r="F21" s="33">
        <v>1644</v>
      </c>
      <c r="G21" s="6">
        <f t="shared" si="0"/>
        <v>0.14103048410545241</v>
      </c>
      <c r="H21" s="9">
        <f t="array" ref="H21">(E21-MIN(IF($D$2:$D$268=D21,$E$2:$E$268)))/MIN(IF($D$2:$D$268=D21,$E$2:$E$268))</f>
        <v>0.31534090909090895</v>
      </c>
      <c r="I21" s="10">
        <f t="array" ref="I21">(F21-MIN(IF($D$2:$D$268=D21,$F$2:$F$268)))/MIN(IF($D$2:$D$268=D21,$F$2:$F$268))</f>
        <v>4.4472681067344345E-2</v>
      </c>
    </row>
    <row r="22" spans="1:9" ht="14.45" x14ac:dyDescent="0.35">
      <c r="A22" s="13" t="s">
        <v>178</v>
      </c>
      <c r="B22" s="13" t="s">
        <v>7</v>
      </c>
      <c r="C22" s="13" t="s">
        <v>182</v>
      </c>
      <c r="D22" s="13" t="s">
        <v>187</v>
      </c>
      <c r="E22" s="32">
        <v>1.4644444444444444</v>
      </c>
      <c r="F22" s="33">
        <v>1877</v>
      </c>
      <c r="G22" s="6">
        <f t="shared" si="0"/>
        <v>0.41448052382313066</v>
      </c>
      <c r="H22" s="9">
        <f t="array" ref="H22">(E22-MIN(IF($D$2:$D$268=D22,$E$2:$E$268)))/MIN(IF($D$2:$D$268=D22,$E$2:$E$268))</f>
        <v>0.46444444444444444</v>
      </c>
      <c r="I22" s="10">
        <f t="array" ref="I22">(F22-MIN(IF($D$2:$D$268=D22,$F$2:$F$268)))/MIN(IF($D$2:$D$268=D22,$F$2:$F$268))</f>
        <v>0.19250317662007624</v>
      </c>
    </row>
    <row r="23" spans="1:9" ht="14.45" x14ac:dyDescent="0.35">
      <c r="A23" s="13" t="s">
        <v>178</v>
      </c>
      <c r="B23" s="13" t="s">
        <v>7</v>
      </c>
      <c r="C23" s="13" t="s">
        <v>189</v>
      </c>
      <c r="D23" s="13" t="s">
        <v>193</v>
      </c>
      <c r="E23" s="32">
        <v>0.78</v>
      </c>
      <c r="F23" s="33">
        <v>1304</v>
      </c>
      <c r="G23" s="6" t="str">
        <f t="shared" ref="G23:G24" si="1">IFERROR(I23/H23,"")</f>
        <v/>
      </c>
      <c r="H23" s="9">
        <f t="array" ref="H23">(E23-MIN(IF($D$2:$D$268=D23,$E$2:$E$268)))/MIN(IF($D$2:$D$268=D23,$E$2:$E$268))</f>
        <v>0</v>
      </c>
      <c r="I23" s="10">
        <f t="array" ref="I23">(F23-MIN(IF($D$2:$D$268=D23,$F$2:$F$268)))/MIN(IF($D$2:$D$268=D23,$F$2:$F$268))</f>
        <v>0</v>
      </c>
    </row>
    <row r="24" spans="1:9" ht="14.45" x14ac:dyDescent="0.35">
      <c r="A24" s="13" t="s">
        <v>178</v>
      </c>
      <c r="B24" s="13" t="s">
        <v>7</v>
      </c>
      <c r="C24" s="13" t="s">
        <v>189</v>
      </c>
      <c r="D24" s="13" t="s">
        <v>193</v>
      </c>
      <c r="E24" s="32">
        <v>0.79</v>
      </c>
      <c r="F24" s="33">
        <v>1324</v>
      </c>
      <c r="G24" s="6">
        <f t="shared" si="1"/>
        <v>1.1963190184049068</v>
      </c>
      <c r="H24" s="9">
        <f t="array" ref="H24">(E24-MIN(IF($D$2:$D$268=D24,$E$2:$E$268)))/MIN(IF($D$2:$D$268=D24,$E$2:$E$268))</f>
        <v>1.2820512820512832E-2</v>
      </c>
      <c r="I24" s="10">
        <f t="array" ref="I24">(F24-MIN(IF($D$2:$D$268=D24,$F$2:$F$268)))/MIN(IF($D$2:$D$268=D24,$F$2:$F$268))</f>
        <v>1.5337423312883436E-2</v>
      </c>
    </row>
    <row r="25" spans="1:9" ht="14.45" x14ac:dyDescent="0.35">
      <c r="A25" s="13" t="s">
        <v>178</v>
      </c>
      <c r="B25" s="13" t="s">
        <v>7</v>
      </c>
      <c r="C25" s="13" t="s">
        <v>189</v>
      </c>
      <c r="D25" s="13" t="s">
        <v>193</v>
      </c>
      <c r="E25" s="32">
        <v>0.81</v>
      </c>
      <c r="F25" s="33">
        <v>1349</v>
      </c>
      <c r="G25" s="6">
        <f t="shared" ref="G25:G31" si="2">IFERROR(I25/H25,"")</f>
        <v>0.89723926380368035</v>
      </c>
      <c r="H25" s="9">
        <f t="array" ref="H25">(E25-MIN(IF($D$2:$D$268=D25,$E$2:$E$268)))/MIN(IF($D$2:$D$268=D25,$E$2:$E$268))</f>
        <v>3.8461538461538491E-2</v>
      </c>
      <c r="I25" s="10">
        <f t="array" ref="I25">(F25-MIN(IF($D$2:$D$268=D25,$F$2:$F$268)))/MIN(IF($D$2:$D$268=D25,$F$2:$F$268))</f>
        <v>3.4509202453987732E-2</v>
      </c>
    </row>
    <row r="26" spans="1:9" ht="14.45" x14ac:dyDescent="0.35">
      <c r="A26" s="13" t="s">
        <v>178</v>
      </c>
      <c r="B26" s="13" t="s">
        <v>7</v>
      </c>
      <c r="C26" s="13" t="s">
        <v>189</v>
      </c>
      <c r="D26" s="13" t="s">
        <v>193</v>
      </c>
      <c r="E26" s="32">
        <v>0.82</v>
      </c>
      <c r="F26" s="33">
        <v>1408</v>
      </c>
      <c r="G26" s="6">
        <f t="shared" si="2"/>
        <v>1.5552147239263834</v>
      </c>
      <c r="H26" s="9">
        <f t="array" ref="H26">(E26-MIN(IF($D$2:$D$268=D26,$E$2:$E$268)))/MIN(IF($D$2:$D$268=D26,$E$2:$E$268))</f>
        <v>5.1282051282051183E-2</v>
      </c>
      <c r="I26" s="10">
        <f t="array" ref="I26">(F26-MIN(IF($D$2:$D$268=D26,$F$2:$F$268)))/MIN(IF($D$2:$D$268=D26,$F$2:$F$268))</f>
        <v>7.9754601226993863E-2</v>
      </c>
    </row>
    <row r="27" spans="1:9" ht="14.45" x14ac:dyDescent="0.35">
      <c r="A27" s="13" t="s">
        <v>178</v>
      </c>
      <c r="B27" s="13" t="s">
        <v>7</v>
      </c>
      <c r="C27" s="13" t="s">
        <v>189</v>
      </c>
      <c r="D27" s="13" t="s">
        <v>193</v>
      </c>
      <c r="E27" s="32">
        <v>0.83</v>
      </c>
      <c r="F27" s="33">
        <v>1537</v>
      </c>
      <c r="G27" s="6">
        <f t="shared" si="2"/>
        <v>2.7874233128834396</v>
      </c>
      <c r="H27" s="9">
        <f t="array" ref="H27">(E27-MIN(IF($D$2:$D$268=D27,$E$2:$E$268)))/MIN(IF($D$2:$D$268=D27,$E$2:$E$268))</f>
        <v>6.4102564102564014E-2</v>
      </c>
      <c r="I27" s="10">
        <f t="array" ref="I27">(F27-MIN(IF($D$2:$D$268=D27,$F$2:$F$268)))/MIN(IF($D$2:$D$268=D27,$F$2:$F$268))</f>
        <v>0.17868098159509202</v>
      </c>
    </row>
    <row r="28" spans="1:9" ht="14.45" x14ac:dyDescent="0.35">
      <c r="A28" s="13" t="s">
        <v>178</v>
      </c>
      <c r="B28" s="13" t="s">
        <v>7</v>
      </c>
      <c r="C28" s="13" t="s">
        <v>189</v>
      </c>
      <c r="D28" s="13" t="s">
        <v>193</v>
      </c>
      <c r="E28" s="32">
        <v>0.84</v>
      </c>
      <c r="F28" s="33">
        <v>1647</v>
      </c>
      <c r="G28" s="6">
        <f t="shared" si="2"/>
        <v>3.4194785276073651</v>
      </c>
      <c r="H28" s="9">
        <f t="array" ref="H28">(E28-MIN(IF($D$2:$D$268=D28,$E$2:$E$268)))/MIN(IF($D$2:$D$268=D28,$E$2:$E$268))</f>
        <v>7.6923076923076844E-2</v>
      </c>
      <c r="I28" s="10">
        <f t="array" ref="I28">(F28-MIN(IF($D$2:$D$268=D28,$F$2:$F$268)))/MIN(IF($D$2:$D$268=D28,$F$2:$F$268))</f>
        <v>0.2630368098159509</v>
      </c>
    </row>
    <row r="29" spans="1:9" ht="14.45" x14ac:dyDescent="0.35">
      <c r="A29" s="13" t="s">
        <v>178</v>
      </c>
      <c r="B29" s="13" t="s">
        <v>7</v>
      </c>
      <c r="C29" s="13" t="s">
        <v>189</v>
      </c>
      <c r="D29" s="13" t="s">
        <v>193</v>
      </c>
      <c r="E29" s="32">
        <v>0.86</v>
      </c>
      <c r="F29" s="33">
        <v>2098</v>
      </c>
      <c r="G29" s="6">
        <f t="shared" si="2"/>
        <v>5.9367331288343594</v>
      </c>
      <c r="H29" s="9">
        <f t="array" ref="H29">(E29-MIN(IF($D$2:$D$268=D29,$E$2:$E$268)))/MIN(IF($D$2:$D$268=D29,$E$2:$E$268))</f>
        <v>0.10256410256410251</v>
      </c>
      <c r="I29" s="10">
        <f t="array" ref="I29">(F29-MIN(IF($D$2:$D$268=D29,$F$2:$F$268)))/MIN(IF($D$2:$D$268=D29,$F$2:$F$268))</f>
        <v>0.60889570552147243</v>
      </c>
    </row>
    <row r="30" spans="1:9" ht="14.45" x14ac:dyDescent="0.35">
      <c r="A30" s="13" t="s">
        <v>178</v>
      </c>
      <c r="B30" s="13" t="s">
        <v>7</v>
      </c>
      <c r="C30" s="13" t="s">
        <v>189</v>
      </c>
      <c r="D30" s="13" t="s">
        <v>193</v>
      </c>
      <c r="E30" s="32">
        <v>0.9</v>
      </c>
      <c r="F30" s="33">
        <v>2984</v>
      </c>
      <c r="G30" s="6">
        <f t="shared" si="2"/>
        <v>8.3742331288343568</v>
      </c>
      <c r="H30" s="9">
        <f t="array" ref="H30">(E30-MIN(IF($D$2:$D$268=D30,$E$2:$E$268)))/MIN(IF($D$2:$D$268=D30,$E$2:$E$268))</f>
        <v>0.15384615384615383</v>
      </c>
      <c r="I30" s="10">
        <f t="array" ref="I30">(F30-MIN(IF($D$2:$D$268=D30,$F$2:$F$268)))/MIN(IF($D$2:$D$268=D30,$F$2:$F$268))</f>
        <v>1.2883435582822085</v>
      </c>
    </row>
    <row r="31" spans="1:9" ht="14.45" x14ac:dyDescent="0.35">
      <c r="A31" s="13" t="s">
        <v>178</v>
      </c>
      <c r="B31" s="13" t="s">
        <v>7</v>
      </c>
      <c r="C31" s="13" t="s">
        <v>189</v>
      </c>
      <c r="D31" s="13" t="s">
        <v>193</v>
      </c>
      <c r="E31" s="32">
        <v>0.95</v>
      </c>
      <c r="F31" s="33">
        <v>3235</v>
      </c>
      <c r="G31" s="6">
        <f t="shared" si="2"/>
        <v>6.7943883074702303</v>
      </c>
      <c r="H31" s="9">
        <f t="array" ref="H31">(E31-MIN(IF($D$2:$D$268=D31,$E$2:$E$268)))/MIN(IF($D$2:$D$268=D31,$E$2:$E$268))</f>
        <v>0.21794871794871784</v>
      </c>
      <c r="I31" s="10">
        <f t="array" ref="I31">(F31-MIN(IF($D$2:$D$268=D31,$F$2:$F$268)))/MIN(IF($D$2:$D$268=D31,$F$2:$F$268))</f>
        <v>1.4808282208588956</v>
      </c>
    </row>
    <row r="32" spans="1:9" ht="14.45" x14ac:dyDescent="0.35">
      <c r="A32" t="s">
        <v>178</v>
      </c>
      <c r="B32" t="s">
        <v>40</v>
      </c>
      <c r="C32" t="s">
        <v>198</v>
      </c>
      <c r="D32" s="22" t="s">
        <v>200</v>
      </c>
      <c r="E32" s="32">
        <v>1</v>
      </c>
      <c r="F32" s="33">
        <v>1661</v>
      </c>
      <c r="G32" s="6" t="str">
        <f t="shared" ref="G32:G73" si="3">IFERROR(I32/H32,"")</f>
        <v/>
      </c>
      <c r="H32" s="9">
        <f t="array" ref="H32">(E32-MIN(IF($D$2:$D$268=D32,$E$2:$E$268)))/MIN(IF($D$2:$D$268=D32,$E$2:$E$268))</f>
        <v>0</v>
      </c>
      <c r="I32" s="10">
        <f t="array" ref="I32">(F32-MIN(IF($D$2:$D$268=D32,$F$2:$F$268)))/MIN(IF($D$2:$D$268=D32,$F$2:$F$268))</f>
        <v>0</v>
      </c>
    </row>
    <row r="33" spans="1:9" ht="14.45" x14ac:dyDescent="0.35">
      <c r="A33" s="13" t="s">
        <v>178</v>
      </c>
      <c r="B33" s="13" t="s">
        <v>40</v>
      </c>
      <c r="C33" s="13" t="s">
        <v>198</v>
      </c>
      <c r="D33" s="22" t="s">
        <v>200</v>
      </c>
      <c r="E33" s="32">
        <v>1.0042965872821017</v>
      </c>
      <c r="F33" s="33">
        <v>1695</v>
      </c>
      <c r="G33" s="6">
        <f t="shared" si="3"/>
        <v>4.7641524038874499</v>
      </c>
      <c r="H33" s="9">
        <f t="array" ref="H33">(E33-MIN(IF($D$2:$D$268=D33,$E$2:$E$268)))/MIN(IF($D$2:$D$268=D33,$E$2:$E$268))</f>
        <v>4.2965872821016937E-3</v>
      </c>
      <c r="I33" s="10">
        <f t="array" ref="I33">(F33-MIN(IF($D$2:$D$268=D33,$F$2:$F$268)))/MIN(IF($D$2:$D$268=D33,$F$2:$F$268))</f>
        <v>2.0469596628537028E-2</v>
      </c>
    </row>
    <row r="34" spans="1:9" ht="14.45" x14ac:dyDescent="0.35">
      <c r="A34" s="13" t="s">
        <v>178</v>
      </c>
      <c r="B34" s="13" t="s">
        <v>40</v>
      </c>
      <c r="C34" s="13" t="s">
        <v>198</v>
      </c>
      <c r="D34" s="22" t="s">
        <v>200</v>
      </c>
      <c r="E34" s="32">
        <v>1.0132580407561993</v>
      </c>
      <c r="F34" s="33">
        <v>1728</v>
      </c>
      <c r="G34" s="6">
        <f t="shared" si="3"/>
        <v>3.0424666086917891</v>
      </c>
      <c r="H34" s="9">
        <f t="array" ref="H34">(E34-MIN(IF($D$2:$D$268=D34,$E$2:$E$268)))/MIN(IF($D$2:$D$268=D34,$E$2:$E$268))</f>
        <v>1.3258040756199296E-2</v>
      </c>
      <c r="I34" s="10">
        <f t="array" ref="I34">(F34-MIN(IF($D$2:$D$268=D34,$F$2:$F$268)))/MIN(IF($D$2:$D$268=D34,$F$2:$F$268))</f>
        <v>4.0337146297411197E-2</v>
      </c>
    </row>
    <row r="35" spans="1:9" ht="14.45" x14ac:dyDescent="0.35">
      <c r="A35" s="13" t="s">
        <v>178</v>
      </c>
      <c r="B35" s="13" t="s">
        <v>40</v>
      </c>
      <c r="C35" s="13" t="s">
        <v>198</v>
      </c>
      <c r="D35" s="22" t="s">
        <v>200</v>
      </c>
      <c r="E35" s="32">
        <v>1.0213192568949996</v>
      </c>
      <c r="F35" s="33">
        <v>1792</v>
      </c>
      <c r="G35" s="6">
        <f t="shared" si="3"/>
        <v>3.6993855885442377</v>
      </c>
      <c r="H35" s="9">
        <f t="array" ref="H35">(E35-MIN(IF($D$2:$D$268=D35,$E$2:$E$268)))/MIN(IF($D$2:$D$268=D35,$E$2:$E$268))</f>
        <v>2.1319256894999583E-2</v>
      </c>
      <c r="I35" s="10">
        <f t="array" ref="I35">(F35-MIN(IF($D$2:$D$268=D35,$F$2:$F$268)))/MIN(IF($D$2:$D$268=D35,$F$2:$F$268))</f>
        <v>7.8868151715833834E-2</v>
      </c>
    </row>
    <row r="36" spans="1:9" ht="14.45" x14ac:dyDescent="0.35">
      <c r="A36" s="13" t="s">
        <v>178</v>
      </c>
      <c r="B36" s="13" t="s">
        <v>40</v>
      </c>
      <c r="C36" s="13" t="s">
        <v>198</v>
      </c>
      <c r="D36" s="22" t="s">
        <v>200</v>
      </c>
      <c r="E36" s="32">
        <v>1.0317129061297978</v>
      </c>
      <c r="F36" s="33">
        <v>1889</v>
      </c>
      <c r="G36" s="6">
        <f t="shared" si="3"/>
        <v>4.3284177817482705</v>
      </c>
      <c r="H36" s="9">
        <f t="array" ref="H36">(E36-MIN(IF($D$2:$D$268=D36,$E$2:$E$268)))/MIN(IF($D$2:$D$268=D36,$E$2:$E$268))</f>
        <v>3.1712906129797824E-2</v>
      </c>
      <c r="I36" s="10">
        <f t="array" ref="I36">(F36-MIN(IF($D$2:$D$268=D36,$F$2:$F$268)))/MIN(IF($D$2:$D$268=D36,$F$2:$F$268))</f>
        <v>0.13726670680313063</v>
      </c>
    </row>
    <row r="37" spans="1:9" ht="14.45" x14ac:dyDescent="0.35">
      <c r="A37" s="13" t="s">
        <v>178</v>
      </c>
      <c r="B37" s="13" t="s">
        <v>40</v>
      </c>
      <c r="C37" s="13" t="s">
        <v>198</v>
      </c>
      <c r="D37" s="22" t="s">
        <v>200</v>
      </c>
      <c r="E37" s="32">
        <v>1.0432113920942794</v>
      </c>
      <c r="F37" s="33">
        <v>2054</v>
      </c>
      <c r="G37" s="6">
        <f t="shared" si="3"/>
        <v>5.4755110557714444</v>
      </c>
      <c r="H37" s="9">
        <f t="array" ref="H37">(E37-MIN(IF($D$2:$D$268=D37,$E$2:$E$268)))/MIN(IF($D$2:$D$268=D37,$E$2:$E$268))</f>
        <v>4.3211392094279377E-2</v>
      </c>
      <c r="I37" s="10">
        <f t="array" ref="I37">(F37-MIN(IF($D$2:$D$268=D37,$F$2:$F$268)))/MIN(IF($D$2:$D$268=D37,$F$2:$F$268))</f>
        <v>0.2366044551475015</v>
      </c>
    </row>
    <row r="38" spans="1:9" ht="14.45" x14ac:dyDescent="0.35">
      <c r="A38" s="13" t="s">
        <v>178</v>
      </c>
      <c r="B38" s="13" t="s">
        <v>40</v>
      </c>
      <c r="C38" s="13" t="s">
        <v>198</v>
      </c>
      <c r="D38" s="22" t="s">
        <v>201</v>
      </c>
      <c r="E38" s="32">
        <v>1</v>
      </c>
      <c r="F38" s="33">
        <v>1108</v>
      </c>
      <c r="G38" s="6" t="str">
        <f t="shared" si="3"/>
        <v/>
      </c>
      <c r="H38" s="9">
        <f t="array" ref="H38">(E38-MIN(IF($D$2:$D$268=D38,$E$2:$E$268)))/MIN(IF($D$2:$D$268=D38,$E$2:$E$268))</f>
        <v>0</v>
      </c>
      <c r="I38" s="10">
        <f t="array" ref="I38">(F38-MIN(IF($D$2:$D$268=D38,$F$2:$F$268)))/MIN(IF($D$2:$D$268=D38,$F$2:$F$268))</f>
        <v>0</v>
      </c>
    </row>
    <row r="39" spans="1:9" ht="14.45" x14ac:dyDescent="0.35">
      <c r="A39" s="13" t="s">
        <v>178</v>
      </c>
      <c r="B39" s="13" t="s">
        <v>40</v>
      </c>
      <c r="C39" s="13" t="s">
        <v>198</v>
      </c>
      <c r="D39" s="22" t="s">
        <v>201</v>
      </c>
      <c r="E39" s="32">
        <v>1.0023926237161531</v>
      </c>
      <c r="F39" s="33">
        <v>1113</v>
      </c>
      <c r="G39" s="6">
        <f t="shared" si="3"/>
        <v>1.886061459892584</v>
      </c>
      <c r="H39" s="9">
        <f t="array" ref="H39">(E39-MIN(IF($D$2:$D$268=D39,$E$2:$E$268)))/MIN(IF($D$2:$D$268=D39,$E$2:$E$268))</f>
        <v>2.3926237161531194E-3</v>
      </c>
      <c r="I39" s="10">
        <f t="array" ref="I39">(F39-MIN(IF($D$2:$D$268=D39,$F$2:$F$268)))/MIN(IF($D$2:$D$268=D39,$F$2:$F$268))</f>
        <v>4.5126353790613718E-3</v>
      </c>
    </row>
    <row r="40" spans="1:9" ht="14.45" x14ac:dyDescent="0.35">
      <c r="A40" s="13" t="s">
        <v>178</v>
      </c>
      <c r="B40" s="13" t="s">
        <v>40</v>
      </c>
      <c r="C40" s="13" t="s">
        <v>198</v>
      </c>
      <c r="D40" s="22" t="s">
        <v>201</v>
      </c>
      <c r="E40" s="32">
        <v>1.011204481792717</v>
      </c>
      <c r="F40" s="33">
        <v>1126</v>
      </c>
      <c r="G40" s="6">
        <f t="shared" si="3"/>
        <v>1.4499097472924238</v>
      </c>
      <c r="H40" s="9">
        <f t="array" ref="H40">(E40-MIN(IF($D$2:$D$268=D40,$E$2:$E$268)))/MIN(IF($D$2:$D$268=D40,$E$2:$E$268))</f>
        <v>1.1204481792717047E-2</v>
      </c>
      <c r="I40" s="10">
        <f t="array" ref="I40">(F40-MIN(IF($D$2:$D$268=D40,$F$2:$F$268)))/MIN(IF($D$2:$D$268=D40,$F$2:$F$268))</f>
        <v>1.6245487364620937E-2</v>
      </c>
    </row>
    <row r="41" spans="1:9" ht="14.45" x14ac:dyDescent="0.35">
      <c r="A41" s="13" t="s">
        <v>178</v>
      </c>
      <c r="B41" s="13" t="s">
        <v>40</v>
      </c>
      <c r="C41" s="13" t="s">
        <v>198</v>
      </c>
      <c r="D41" s="22" t="s">
        <v>201</v>
      </c>
      <c r="E41" s="32">
        <v>1.0172152194211017</v>
      </c>
      <c r="F41" s="33">
        <v>1157</v>
      </c>
      <c r="G41" s="6">
        <f t="shared" si="3"/>
        <v>2.5688796426604754</v>
      </c>
      <c r="H41" s="9">
        <f t="array" ref="H41">(E41-MIN(IF($D$2:$D$268=D41,$E$2:$E$268)))/MIN(IF($D$2:$D$268=D41,$E$2:$E$268))</f>
        <v>1.7215219421101713E-2</v>
      </c>
      <c r="I41" s="10">
        <f t="array" ref="I41">(F41-MIN(IF($D$2:$D$268=D41,$F$2:$F$268)))/MIN(IF($D$2:$D$268=D41,$F$2:$F$268))</f>
        <v>4.4223826714801441E-2</v>
      </c>
    </row>
    <row r="42" spans="1:9" ht="14.45" x14ac:dyDescent="0.35">
      <c r="A42" s="13" t="s">
        <v>178</v>
      </c>
      <c r="B42" s="13" t="s">
        <v>40</v>
      </c>
      <c r="C42" s="13" t="s">
        <v>198</v>
      </c>
      <c r="D42" s="22" t="s">
        <v>201</v>
      </c>
      <c r="E42" s="32">
        <v>1.0259103641456582</v>
      </c>
      <c r="F42" s="33">
        <v>1186</v>
      </c>
      <c r="G42" s="6">
        <f t="shared" si="3"/>
        <v>2.7169479949263438</v>
      </c>
      <c r="H42" s="9">
        <f t="array" ref="H42">(E42-MIN(IF($D$2:$D$268=D42,$E$2:$E$268)))/MIN(IF($D$2:$D$268=D42,$E$2:$E$268))</f>
        <v>2.5910364145658171E-2</v>
      </c>
      <c r="I42" s="10">
        <f t="array" ref="I42">(F42-MIN(IF($D$2:$D$268=D42,$F$2:$F$268)))/MIN(IF($D$2:$D$268=D42,$F$2:$F$268))</f>
        <v>7.0397111913357402E-2</v>
      </c>
    </row>
    <row r="43" spans="1:9" ht="14.45" x14ac:dyDescent="0.35">
      <c r="A43" s="13" t="s">
        <v>178</v>
      </c>
      <c r="B43" s="13" t="s">
        <v>40</v>
      </c>
      <c r="C43" s="13" t="s">
        <v>198</v>
      </c>
      <c r="D43" s="22" t="s">
        <v>201</v>
      </c>
      <c r="E43" s="32">
        <v>1.040499533146592</v>
      </c>
      <c r="F43" s="33">
        <v>1233</v>
      </c>
      <c r="G43" s="6">
        <f t="shared" si="3"/>
        <v>2.7856095048845648</v>
      </c>
      <c r="H43" s="9">
        <f t="array" ref="H43">(E43-MIN(IF($D$2:$D$268=D43,$E$2:$E$268)))/MIN(IF($D$2:$D$268=D43,$E$2:$E$268))</f>
        <v>4.0499533146592048E-2</v>
      </c>
      <c r="I43" s="10">
        <f t="array" ref="I43">(F43-MIN(IF($D$2:$D$268=D43,$F$2:$F$268)))/MIN(IF($D$2:$D$268=D43,$F$2:$F$268))</f>
        <v>0.11281588447653429</v>
      </c>
    </row>
    <row r="44" spans="1:9" x14ac:dyDescent="0.25">
      <c r="A44" s="13" t="s">
        <v>178</v>
      </c>
      <c r="B44" s="13" t="s">
        <v>40</v>
      </c>
      <c r="C44" s="13" t="s">
        <v>198</v>
      </c>
      <c r="D44" s="22" t="s">
        <v>202</v>
      </c>
      <c r="E44" s="32">
        <v>1</v>
      </c>
      <c r="F44" s="33">
        <v>1917</v>
      </c>
      <c r="G44" s="6" t="str">
        <f t="shared" si="3"/>
        <v/>
      </c>
      <c r="H44" s="9">
        <f t="array" ref="H44">(E44-MIN(IF($D$2:$D$268=D44,$E$2:$E$268)))/MIN(IF($D$2:$D$268=D44,$E$2:$E$268))</f>
        <v>0</v>
      </c>
      <c r="I44" s="10">
        <f t="array" ref="I44">(F44-MIN(IF($D$2:$D$268=D44,$F$2:$F$268)))/MIN(IF($D$2:$D$268=D44,$F$2:$F$268))</f>
        <v>0</v>
      </c>
    </row>
    <row r="45" spans="1:9" x14ac:dyDescent="0.25">
      <c r="A45" s="13" t="s">
        <v>178</v>
      </c>
      <c r="B45" s="13" t="s">
        <v>40</v>
      </c>
      <c r="C45" s="13" t="s">
        <v>198</v>
      </c>
      <c r="D45" s="22" t="s">
        <v>202</v>
      </c>
      <c r="E45" s="32">
        <v>1.0002712232167073</v>
      </c>
      <c r="F45" s="33">
        <v>1920</v>
      </c>
      <c r="G45" s="6">
        <f t="shared" si="3"/>
        <v>5.7699530516453157</v>
      </c>
      <c r="H45" s="9">
        <f t="array" ref="H45">(E45-MIN(IF($D$2:$D$268=D45,$E$2:$E$268)))/MIN(IF($D$2:$D$268=D45,$E$2:$E$268))</f>
        <v>2.7122321670725036E-4</v>
      </c>
      <c r="I45" s="10">
        <f t="array" ref="I45">(F45-MIN(IF($D$2:$D$268=D45,$F$2:$F$268)))/MIN(IF($D$2:$D$268=D45,$F$2:$F$268))</f>
        <v>1.5649452269170579E-3</v>
      </c>
    </row>
    <row r="46" spans="1:9" x14ac:dyDescent="0.25">
      <c r="A46" s="13" t="s">
        <v>178</v>
      </c>
      <c r="B46" s="13" t="s">
        <v>40</v>
      </c>
      <c r="C46" s="13" t="s">
        <v>198</v>
      </c>
      <c r="D46" s="22" t="s">
        <v>202</v>
      </c>
      <c r="E46" s="32">
        <v>1.005424464334147</v>
      </c>
      <c r="F46" s="33">
        <v>1970</v>
      </c>
      <c r="G46" s="6">
        <f t="shared" si="3"/>
        <v>5.0967918622848174</v>
      </c>
      <c r="H46" s="9">
        <f t="array" ref="H46">(E46-MIN(IF($D$2:$D$268=D46,$E$2:$E$268)))/MIN(IF($D$2:$D$268=D46,$E$2:$E$268))</f>
        <v>5.4244643341470056E-3</v>
      </c>
      <c r="I46" s="10">
        <f t="array" ref="I46">(F46-MIN(IF($D$2:$D$268=D46,$F$2:$F$268)))/MIN(IF($D$2:$D$268=D46,$F$2:$F$268))</f>
        <v>2.7647365675534691E-2</v>
      </c>
    </row>
    <row r="47" spans="1:9" x14ac:dyDescent="0.25">
      <c r="A47" s="13" t="s">
        <v>178</v>
      </c>
      <c r="B47" s="13" t="s">
        <v>40</v>
      </c>
      <c r="C47" s="13" t="s">
        <v>198</v>
      </c>
      <c r="D47" s="22" t="s">
        <v>202</v>
      </c>
      <c r="E47" s="32">
        <v>1.0116083536750746</v>
      </c>
      <c r="F47" s="33">
        <v>2032</v>
      </c>
      <c r="G47" s="6">
        <f t="shared" si="3"/>
        <v>5.1677928422037773</v>
      </c>
      <c r="H47" s="9">
        <f t="array" ref="H47">(E47-MIN(IF($D$2:$D$268=D47,$E$2:$E$268)))/MIN(IF($D$2:$D$268=D47,$E$2:$E$268))</f>
        <v>1.1608353675074623E-2</v>
      </c>
      <c r="I47" s="10">
        <f t="array" ref="I47">(F47-MIN(IF($D$2:$D$268=D47,$F$2:$F$268)))/MIN(IF($D$2:$D$268=D47,$F$2:$F$268))</f>
        <v>5.9989567031820554E-2</v>
      </c>
    </row>
    <row r="48" spans="1:9" x14ac:dyDescent="0.25">
      <c r="A48" s="13" t="s">
        <v>178</v>
      </c>
      <c r="B48" s="13" t="s">
        <v>40</v>
      </c>
      <c r="C48" s="13" t="s">
        <v>198</v>
      </c>
      <c r="D48" s="22" t="s">
        <v>202</v>
      </c>
      <c r="E48" s="32">
        <v>1.0240032546786004</v>
      </c>
      <c r="F48" s="33">
        <v>2181</v>
      </c>
      <c r="G48" s="6">
        <f t="shared" si="3"/>
        <v>5.7373544468316631</v>
      </c>
      <c r="H48" s="9">
        <f t="array" ref="H48">(E48-MIN(IF($D$2:$D$268=D48,$E$2:$E$268)))/MIN(IF($D$2:$D$268=D48,$E$2:$E$268))</f>
        <v>2.4003254678600427E-2</v>
      </c>
      <c r="I48" s="10">
        <f t="array" ref="I48">(F48-MIN(IF($D$2:$D$268=D48,$F$2:$F$268)))/MIN(IF($D$2:$D$268=D48,$F$2:$F$268))</f>
        <v>0.13771517996870108</v>
      </c>
    </row>
    <row r="49" spans="1:9" x14ac:dyDescent="0.25">
      <c r="A49" s="13" t="s">
        <v>178</v>
      </c>
      <c r="B49" s="13" t="s">
        <v>40</v>
      </c>
      <c r="C49" s="13" t="s">
        <v>198</v>
      </c>
      <c r="D49" s="22" t="s">
        <v>202</v>
      </c>
      <c r="E49" s="32">
        <v>1.0359370762137239</v>
      </c>
      <c r="F49" s="33">
        <v>2347</v>
      </c>
      <c r="G49" s="6">
        <f t="shared" si="3"/>
        <v>6.2417102193876062</v>
      </c>
      <c r="H49" s="9">
        <f t="array" ref="H49">(E49-MIN(IF($D$2:$D$268=D49,$E$2:$E$268)))/MIN(IF($D$2:$D$268=D49,$E$2:$E$268))</f>
        <v>3.5937076213723884E-2</v>
      </c>
      <c r="I49" s="10">
        <f t="array" ref="I49">(F49-MIN(IF($D$2:$D$268=D49,$F$2:$F$268)))/MIN(IF($D$2:$D$268=D49,$F$2:$F$268))</f>
        <v>0.22430881585811163</v>
      </c>
    </row>
    <row r="50" spans="1:9" x14ac:dyDescent="0.25">
      <c r="A50" s="13" t="s">
        <v>178</v>
      </c>
      <c r="B50" s="13" t="s">
        <v>40</v>
      </c>
      <c r="C50" s="13" t="s">
        <v>198</v>
      </c>
      <c r="D50" s="22" t="s">
        <v>203</v>
      </c>
      <c r="E50" s="32">
        <v>1</v>
      </c>
      <c r="F50" s="33">
        <v>1367</v>
      </c>
      <c r="G50" s="6" t="str">
        <f t="shared" si="3"/>
        <v/>
      </c>
      <c r="H50" s="9">
        <f t="array" ref="H50">(E50-MIN(IF($D$2:$D$268=D50,$E$2:$E$268)))/MIN(IF($D$2:$D$268=D50,$E$2:$E$268))</f>
        <v>0</v>
      </c>
      <c r="I50" s="10">
        <f t="array" ref="I50">(F50-MIN(IF($D$2:$D$268=D50,$F$2:$F$268)))/MIN(IF($D$2:$D$268=D50,$F$2:$F$268))</f>
        <v>0</v>
      </c>
    </row>
    <row r="51" spans="1:9" x14ac:dyDescent="0.25">
      <c r="A51" s="13" t="s">
        <v>178</v>
      </c>
      <c r="B51" s="13" t="s">
        <v>40</v>
      </c>
      <c r="C51" s="13" t="s">
        <v>198</v>
      </c>
      <c r="D51" s="22" t="s">
        <v>203</v>
      </c>
      <c r="E51" s="32">
        <v>1.0012990888822568</v>
      </c>
      <c r="F51" s="33">
        <v>1375</v>
      </c>
      <c r="G51" s="6">
        <f t="shared" si="3"/>
        <v>4.5048735641276707</v>
      </c>
      <c r="H51" s="9">
        <f t="array" ref="H51">(E51-MIN(IF($D$2:$D$268=D51,$E$2:$E$268)))/MIN(IF($D$2:$D$268=D51,$E$2:$E$268))</f>
        <v>1.2990888822568269E-3</v>
      </c>
      <c r="I51" s="10">
        <f t="array" ref="I51">(F51-MIN(IF($D$2:$D$268=D51,$F$2:$F$268)))/MIN(IF($D$2:$D$268=D51,$F$2:$F$268))</f>
        <v>5.8522311631309439E-3</v>
      </c>
    </row>
    <row r="52" spans="1:9" x14ac:dyDescent="0.25">
      <c r="A52" s="13" t="s">
        <v>178</v>
      </c>
      <c r="B52" s="13" t="s">
        <v>40</v>
      </c>
      <c r="C52" s="13" t="s">
        <v>198</v>
      </c>
      <c r="D52" s="22" t="s">
        <v>203</v>
      </c>
      <c r="E52" s="32">
        <v>1.0114460263679932</v>
      </c>
      <c r="F52" s="33">
        <v>1415</v>
      </c>
      <c r="G52" s="6">
        <f t="shared" si="3"/>
        <v>3.067735985387392</v>
      </c>
      <c r="H52" s="9">
        <f t="array" ref="H52">(E52-MIN(IF($D$2:$D$268=D52,$E$2:$E$268)))/MIN(IF($D$2:$D$268=D52,$E$2:$E$268))</f>
        <v>1.144602636799319E-2</v>
      </c>
      <c r="I52" s="10">
        <f t="array" ref="I52">(F52-MIN(IF($D$2:$D$268=D52,$F$2:$F$268)))/MIN(IF($D$2:$D$268=D52,$F$2:$F$268))</f>
        <v>3.511338697878566E-2</v>
      </c>
    </row>
    <row r="53" spans="1:9" x14ac:dyDescent="0.25">
      <c r="A53" s="13" t="s">
        <v>178</v>
      </c>
      <c r="B53" s="13" t="s">
        <v>40</v>
      </c>
      <c r="C53" s="13" t="s">
        <v>198</v>
      </c>
      <c r="D53" s="22" t="s">
        <v>203</v>
      </c>
      <c r="E53" s="32">
        <v>1.0202938749714727</v>
      </c>
      <c r="F53" s="33">
        <v>1460</v>
      </c>
      <c r="G53" s="6">
        <f t="shared" si="3"/>
        <v>3.3523507643084747</v>
      </c>
      <c r="H53" s="9">
        <f t="array" ref="H53">(E53-MIN(IF($D$2:$D$268=D53,$E$2:$E$268)))/MIN(IF($D$2:$D$268=D53,$E$2:$E$268))</f>
        <v>2.0293874971472725E-2</v>
      </c>
      <c r="I53" s="10">
        <f t="array" ref="I53">(F53-MIN(IF($D$2:$D$268=D53,$F$2:$F$268)))/MIN(IF($D$2:$D$268=D53,$F$2:$F$268))</f>
        <v>6.8032187271397218E-2</v>
      </c>
    </row>
    <row r="54" spans="1:9" x14ac:dyDescent="0.25">
      <c r="A54" s="13" t="s">
        <v>178</v>
      </c>
      <c r="B54" s="13" t="s">
        <v>40</v>
      </c>
      <c r="C54" s="13" t="s">
        <v>198</v>
      </c>
      <c r="D54" s="22" t="s">
        <v>203</v>
      </c>
      <c r="E54" s="32">
        <v>1.0306690307743622</v>
      </c>
      <c r="F54" s="33">
        <v>1549</v>
      </c>
      <c r="G54" s="6">
        <f t="shared" si="3"/>
        <v>4.3411303063586173</v>
      </c>
      <c r="H54" s="9">
        <f t="array" ref="H54">(E54-MIN(IF($D$2:$D$268=D54,$E$2:$E$268)))/MIN(IF($D$2:$D$268=D54,$E$2:$E$268))</f>
        <v>3.0669030774362227E-2</v>
      </c>
      <c r="I54" s="10">
        <f t="array" ref="I54">(F54-MIN(IF($D$2:$D$268=D54,$F$2:$F$268)))/MIN(IF($D$2:$D$268=D54,$F$2:$F$268))</f>
        <v>0.13313825896122897</v>
      </c>
    </row>
    <row r="55" spans="1:9" x14ac:dyDescent="0.25">
      <c r="A55" s="13" t="s">
        <v>178</v>
      </c>
      <c r="B55" s="13" t="s">
        <v>40</v>
      </c>
      <c r="C55" s="13" t="s">
        <v>198</v>
      </c>
      <c r="D55" s="22" t="s">
        <v>203</v>
      </c>
      <c r="E55" s="32">
        <v>1.0459245475132981</v>
      </c>
      <c r="F55" s="33">
        <v>1670</v>
      </c>
      <c r="G55" s="6">
        <f t="shared" si="3"/>
        <v>4.8264657423004902</v>
      </c>
      <c r="H55" s="9">
        <f t="array" ref="H55">(E55-MIN(IF($D$2:$D$268=D55,$E$2:$E$268)))/MIN(IF($D$2:$D$268=D55,$E$2:$E$268))</f>
        <v>4.5924547513298108E-2</v>
      </c>
      <c r="I55" s="10">
        <f t="array" ref="I55">(F55-MIN(IF($D$2:$D$268=D55,$F$2:$F$268)))/MIN(IF($D$2:$D$268=D55,$F$2:$F$268))</f>
        <v>0.22165325530358448</v>
      </c>
    </row>
    <row r="56" spans="1:9" x14ac:dyDescent="0.25">
      <c r="A56" s="13" t="s">
        <v>178</v>
      </c>
      <c r="B56" s="13" t="s">
        <v>40</v>
      </c>
      <c r="C56" s="13" t="s">
        <v>198</v>
      </c>
      <c r="D56" s="22" t="s">
        <v>204</v>
      </c>
      <c r="E56" s="32">
        <v>1</v>
      </c>
      <c r="F56" s="33">
        <v>2157</v>
      </c>
      <c r="G56" s="6" t="str">
        <f t="shared" si="3"/>
        <v/>
      </c>
      <c r="H56" s="9">
        <f t="array" ref="H56">(E56-MIN(IF($D$2:$D$268=D56,$E$2:$E$268)))/MIN(IF($D$2:$D$268=D56,$E$2:$E$268))</f>
        <v>0</v>
      </c>
      <c r="I56" s="10">
        <f t="array" ref="I56">(F56-MIN(IF($D$2:$D$268=D56,$F$2:$F$268)))/MIN(IF($D$2:$D$268=D56,$F$2:$F$268))</f>
        <v>0</v>
      </c>
    </row>
    <row r="57" spans="1:9" x14ac:dyDescent="0.25">
      <c r="A57" s="13" t="s">
        <v>178</v>
      </c>
      <c r="B57" s="13" t="s">
        <v>40</v>
      </c>
      <c r="C57" s="13" t="s">
        <v>198</v>
      </c>
      <c r="D57" s="22" t="s">
        <v>204</v>
      </c>
      <c r="E57" s="32">
        <v>1.004072620215898</v>
      </c>
      <c r="F57" s="33">
        <v>2175</v>
      </c>
      <c r="G57" s="6">
        <f t="shared" si="3"/>
        <v>2.0490306148096709</v>
      </c>
      <c r="H57" s="9">
        <f t="array" ref="H57">(E57-MIN(IF($D$2:$D$268=D57,$E$2:$E$268)))/MIN(IF($D$2:$D$268=D57,$E$2:$E$268))</f>
        <v>4.0726202158980485E-3</v>
      </c>
      <c r="I57" s="10">
        <f t="array" ref="I57">(F57-MIN(IF($D$2:$D$268=D57,$F$2:$F$268)))/MIN(IF($D$2:$D$268=D57,$F$2:$F$268))</f>
        <v>8.3449235048678721E-3</v>
      </c>
    </row>
    <row r="58" spans="1:9" x14ac:dyDescent="0.25">
      <c r="A58" s="13" t="s">
        <v>178</v>
      </c>
      <c r="B58" s="13" t="s">
        <v>40</v>
      </c>
      <c r="C58" s="13" t="s">
        <v>198</v>
      </c>
      <c r="D58" s="22" t="s">
        <v>204</v>
      </c>
      <c r="E58" s="32">
        <v>1.0124631992149167</v>
      </c>
      <c r="F58" s="33">
        <v>2225</v>
      </c>
      <c r="G58" s="6">
        <f t="shared" si="3"/>
        <v>2.5294682392795296</v>
      </c>
      <c r="H58" s="9">
        <f t="array" ref="H58">(E58-MIN(IF($D$2:$D$268=D58,$E$2:$E$268)))/MIN(IF($D$2:$D$268=D58,$E$2:$E$268))</f>
        <v>1.2463199214916676E-2</v>
      </c>
      <c r="I58" s="10">
        <f t="array" ref="I58">(F58-MIN(IF($D$2:$D$268=D58,$F$2:$F$268)))/MIN(IF($D$2:$D$268=D58,$F$2:$F$268))</f>
        <v>3.1525266573945297E-2</v>
      </c>
    </row>
    <row r="59" spans="1:9" x14ac:dyDescent="0.25">
      <c r="A59" s="13" t="s">
        <v>178</v>
      </c>
      <c r="B59" s="13" t="s">
        <v>40</v>
      </c>
      <c r="C59" s="13" t="s">
        <v>198</v>
      </c>
      <c r="D59" s="22" t="s">
        <v>204</v>
      </c>
      <c r="E59" s="32">
        <v>1.0204121687929342</v>
      </c>
      <c r="F59" s="33">
        <v>2312</v>
      </c>
      <c r="G59" s="6">
        <f t="shared" si="3"/>
        <v>3.5204031596590841</v>
      </c>
      <c r="H59" s="9">
        <f t="array" ref="H59">(E59-MIN(IF($D$2:$D$268=D59,$E$2:$E$268)))/MIN(IF($D$2:$D$268=D59,$E$2:$E$268))</f>
        <v>2.0412168792934171E-2</v>
      </c>
      <c r="I59" s="10">
        <f t="array" ref="I59">(F59-MIN(IF($D$2:$D$268=D59,$F$2:$F$268)))/MIN(IF($D$2:$D$268=D59,$F$2:$F$268))</f>
        <v>7.1859063514140009E-2</v>
      </c>
    </row>
    <row r="60" spans="1:9" x14ac:dyDescent="0.25">
      <c r="A60" s="13" t="s">
        <v>178</v>
      </c>
      <c r="B60" s="13" t="s">
        <v>40</v>
      </c>
      <c r="C60" s="13" t="s">
        <v>198</v>
      </c>
      <c r="D60" s="22" t="s">
        <v>204</v>
      </c>
      <c r="E60" s="32">
        <v>1.0294896957801767</v>
      </c>
      <c r="F60" s="33">
        <v>2466</v>
      </c>
      <c r="G60" s="6">
        <f t="shared" si="3"/>
        <v>4.8577822312835055</v>
      </c>
      <c r="H60" s="9">
        <f t="array" ref="H60">(E60-MIN(IF($D$2:$D$268=D60,$E$2:$E$268)))/MIN(IF($D$2:$D$268=D60,$E$2:$E$268))</f>
        <v>2.9489695780176683E-2</v>
      </c>
      <c r="I60" s="10">
        <f t="array" ref="I60">(F60-MIN(IF($D$2:$D$268=D60,$F$2:$F$268)))/MIN(IF($D$2:$D$268=D60,$F$2:$F$268))</f>
        <v>0.14325452016689846</v>
      </c>
    </row>
    <row r="61" spans="1:9" x14ac:dyDescent="0.25">
      <c r="A61" s="13" t="s">
        <v>178</v>
      </c>
      <c r="B61" s="13" t="s">
        <v>40</v>
      </c>
      <c r="C61" s="13" t="s">
        <v>198</v>
      </c>
      <c r="D61" s="22" t="s">
        <v>204</v>
      </c>
      <c r="E61" s="32">
        <v>1.0421982335623159</v>
      </c>
      <c r="F61" s="33">
        <v>2650</v>
      </c>
      <c r="G61" s="6">
        <f t="shared" si="3"/>
        <v>5.4162973984108129</v>
      </c>
      <c r="H61" s="9">
        <f t="array" ref="H61">(E61-MIN(IF($D$2:$D$268=D61,$E$2:$E$268)))/MIN(IF($D$2:$D$268=D61,$E$2:$E$268))</f>
        <v>4.219823356231589E-2</v>
      </c>
      <c r="I61" s="10">
        <f t="array" ref="I61">(F61-MIN(IF($D$2:$D$268=D61,$F$2:$F$268)))/MIN(IF($D$2:$D$268=D61,$F$2:$F$268))</f>
        <v>0.22855818266110339</v>
      </c>
    </row>
    <row r="62" spans="1:9" x14ac:dyDescent="0.25">
      <c r="A62" s="13" t="s">
        <v>178</v>
      </c>
      <c r="B62" s="13" t="s">
        <v>40</v>
      </c>
      <c r="C62" s="13" t="s">
        <v>198</v>
      </c>
      <c r="D62" s="22" t="s">
        <v>205</v>
      </c>
      <c r="E62" s="32">
        <v>1</v>
      </c>
      <c r="F62" s="33">
        <v>1494</v>
      </c>
      <c r="G62" s="6" t="str">
        <f t="shared" si="3"/>
        <v/>
      </c>
      <c r="H62" s="9">
        <f t="array" ref="H62">(E62-MIN(IF($D$2:$D$268=D62,$E$2:$E$268)))/MIN(IF($D$2:$D$268=D62,$E$2:$E$268))</f>
        <v>0</v>
      </c>
      <c r="I62" s="10">
        <f t="array" ref="I62">(F62-MIN(IF($D$2:$D$268=D62,$F$2:$F$268)))/MIN(IF($D$2:$D$268=D62,$F$2:$F$268))</f>
        <v>0</v>
      </c>
    </row>
    <row r="63" spans="1:9" x14ac:dyDescent="0.25">
      <c r="A63" s="13" t="s">
        <v>178</v>
      </c>
      <c r="B63" s="13" t="s">
        <v>40</v>
      </c>
      <c r="C63" s="13" t="s">
        <v>198</v>
      </c>
      <c r="D63" s="22" t="s">
        <v>205</v>
      </c>
      <c r="E63" s="32">
        <v>1.003757186184419</v>
      </c>
      <c r="F63" s="33">
        <v>1504</v>
      </c>
      <c r="G63" s="6">
        <f t="shared" si="3"/>
        <v>1.781503524136703</v>
      </c>
      <c r="H63" s="9">
        <f t="array" ref="H63">(E63-MIN(IF($D$2:$D$268=D63,$E$2:$E$268)))/MIN(IF($D$2:$D$268=D63,$E$2:$E$268))</f>
        <v>3.7571861844190035E-3</v>
      </c>
      <c r="I63" s="10">
        <f t="array" ref="I63">(F63-MIN(IF($D$2:$D$268=D63,$F$2:$F$268)))/MIN(IF($D$2:$D$268=D63,$F$2:$F$268))</f>
        <v>6.6934404283801874E-3</v>
      </c>
    </row>
    <row r="64" spans="1:9" x14ac:dyDescent="0.25">
      <c r="A64" s="13" t="s">
        <v>178</v>
      </c>
      <c r="B64" s="13" t="s">
        <v>40</v>
      </c>
      <c r="C64" s="13" t="s">
        <v>198</v>
      </c>
      <c r="D64" s="22" t="s">
        <v>205</v>
      </c>
      <c r="E64" s="32">
        <v>1.0130822506903263</v>
      </c>
      <c r="F64" s="33">
        <v>1546</v>
      </c>
      <c r="G64" s="6">
        <f t="shared" si="3"/>
        <v>2.6605429792989854</v>
      </c>
      <c r="H64" s="9">
        <f t="array" ref="H64">(E64-MIN(IF($D$2:$D$268=D64,$E$2:$E$268)))/MIN(IF($D$2:$D$268=D64,$E$2:$E$268))</f>
        <v>1.3082250690326314E-2</v>
      </c>
      <c r="I64" s="10">
        <f t="array" ref="I64">(F64-MIN(IF($D$2:$D$268=D64,$F$2:$F$268)))/MIN(IF($D$2:$D$268=D64,$F$2:$F$268))</f>
        <v>3.4805890227576977E-2</v>
      </c>
    </row>
    <row r="65" spans="1:9" x14ac:dyDescent="0.25">
      <c r="A65" s="13" t="s">
        <v>178</v>
      </c>
      <c r="B65" s="13" t="s">
        <v>40</v>
      </c>
      <c r="C65" s="13" t="s">
        <v>198</v>
      </c>
      <c r="D65" s="22" t="s">
        <v>205</v>
      </c>
      <c r="E65" s="32">
        <v>1.0238558689058892</v>
      </c>
      <c r="F65" s="33">
        <v>1600</v>
      </c>
      <c r="G65" s="6">
        <f t="shared" si="3"/>
        <v>2.9741305513007212</v>
      </c>
      <c r="H65" s="9">
        <f t="array" ref="H65">(E65-MIN(IF($D$2:$D$268=D65,$E$2:$E$268)))/MIN(IF($D$2:$D$268=D65,$E$2:$E$268))</f>
        <v>2.3855868905889199E-2</v>
      </c>
      <c r="I65" s="10">
        <f t="array" ref="I65">(F65-MIN(IF($D$2:$D$268=D65,$F$2:$F$268)))/MIN(IF($D$2:$D$268=D65,$F$2:$F$268))</f>
        <v>7.0950468540829981E-2</v>
      </c>
    </row>
    <row r="66" spans="1:9" x14ac:dyDescent="0.25">
      <c r="A66" s="13" t="s">
        <v>178</v>
      </c>
      <c r="B66" s="13" t="s">
        <v>40</v>
      </c>
      <c r="C66" s="13" t="s">
        <v>198</v>
      </c>
      <c r="D66" s="22" t="s">
        <v>205</v>
      </c>
      <c r="E66" s="32">
        <v>1.0320492508261283</v>
      </c>
      <c r="F66" s="33">
        <v>1673</v>
      </c>
      <c r="G66" s="6">
        <f t="shared" si="3"/>
        <v>3.7383895279800918</v>
      </c>
      <c r="H66" s="9">
        <f t="array" ref="H66">(E66-MIN(IF($D$2:$D$268=D66,$E$2:$E$268)))/MIN(IF($D$2:$D$268=D66,$E$2:$E$268))</f>
        <v>3.2049250826128306E-2</v>
      </c>
      <c r="I66" s="10">
        <f t="array" ref="I66">(F66-MIN(IF($D$2:$D$268=D66,$F$2:$F$268)))/MIN(IF($D$2:$D$268=D66,$F$2:$F$268))</f>
        <v>0.11981258366800536</v>
      </c>
    </row>
    <row r="67" spans="1:9" x14ac:dyDescent="0.25">
      <c r="A67" s="13" t="s">
        <v>178</v>
      </c>
      <c r="B67" s="13" t="s">
        <v>40</v>
      </c>
      <c r="C67" s="13" t="s">
        <v>198</v>
      </c>
      <c r="D67" s="22" t="s">
        <v>205</v>
      </c>
      <c r="E67" s="32">
        <v>1.0487528857905934</v>
      </c>
      <c r="F67" s="33">
        <v>1822</v>
      </c>
      <c r="G67" s="6">
        <f t="shared" si="3"/>
        <v>4.5032174504269022</v>
      </c>
      <c r="H67" s="9">
        <f t="array" ref="H67">(E67-MIN(IF($D$2:$D$268=D67,$E$2:$E$268)))/MIN(IF($D$2:$D$268=D67,$E$2:$E$268))</f>
        <v>4.8752885790593448E-2</v>
      </c>
      <c r="I67" s="10">
        <f t="array" ref="I67">(F67-MIN(IF($D$2:$D$268=D67,$F$2:$F$268)))/MIN(IF($D$2:$D$268=D67,$F$2:$F$268))</f>
        <v>0.21954484605087016</v>
      </c>
    </row>
    <row r="68" spans="1:9" x14ac:dyDescent="0.25">
      <c r="A68" s="13" t="s">
        <v>178</v>
      </c>
      <c r="B68" s="13" t="s">
        <v>40</v>
      </c>
      <c r="C68" s="13" t="s">
        <v>198</v>
      </c>
      <c r="D68" s="22" t="s">
        <v>199</v>
      </c>
      <c r="E68" s="32">
        <v>1</v>
      </c>
      <c r="F68" s="33">
        <v>706</v>
      </c>
      <c r="G68" s="6" t="str">
        <f t="shared" si="3"/>
        <v/>
      </c>
      <c r="H68" s="9">
        <f t="array" ref="H68">(E68-MIN(IF($D$2:$D$268=D68,$E$2:$E$268)))/MIN(IF($D$2:$D$268=D68,$E$2:$E$268))</f>
        <v>0</v>
      </c>
      <c r="I68" s="10">
        <f t="array" ref="I68">(F68-MIN(IF($D$2:$D$268=D68,$F$2:$F$268)))/MIN(IF($D$2:$D$268=D68,$F$2:$F$268))</f>
        <v>0</v>
      </c>
    </row>
    <row r="69" spans="1:9" x14ac:dyDescent="0.25">
      <c r="A69" s="13" t="s">
        <v>178</v>
      </c>
      <c r="B69" s="13" t="s">
        <v>40</v>
      </c>
      <c r="C69" s="13" t="s">
        <v>198</v>
      </c>
      <c r="D69" s="22" t="s">
        <v>199</v>
      </c>
      <c r="E69" s="32">
        <v>1.004025992371804</v>
      </c>
      <c r="F69" s="33">
        <v>712</v>
      </c>
      <c r="G69" s="6">
        <f t="shared" si="3"/>
        <v>2.1109288802742969</v>
      </c>
      <c r="H69" s="9">
        <f t="array" ref="H69">(E69-MIN(IF($D$2:$D$268=D69,$E$2:$E$268)))/MIN(IF($D$2:$D$268=D69,$E$2:$E$268))</f>
        <v>4.0259923718040103E-3</v>
      </c>
      <c r="I69" s="10">
        <f t="array" ref="I69">(F69-MIN(IF($D$2:$D$268=D69,$F$2:$F$268)))/MIN(IF($D$2:$D$268=D69,$F$2:$F$268))</f>
        <v>8.4985835694051E-3</v>
      </c>
    </row>
    <row r="70" spans="1:9" x14ac:dyDescent="0.25">
      <c r="A70" s="13" t="s">
        <v>178</v>
      </c>
      <c r="B70" s="13" t="s">
        <v>40</v>
      </c>
      <c r="C70" s="13" t="s">
        <v>198</v>
      </c>
      <c r="D70" s="22" t="s">
        <v>199</v>
      </c>
      <c r="E70" s="32">
        <v>1.0061449357253849</v>
      </c>
      <c r="F70" s="33">
        <v>727</v>
      </c>
      <c r="G70" s="6">
        <f t="shared" si="3"/>
        <v>4.8405782944222411</v>
      </c>
      <c r="H70" s="9">
        <f t="array" ref="H70">(E70-MIN(IF($D$2:$D$268=D70,$E$2:$E$268)))/MIN(IF($D$2:$D$268=D70,$E$2:$E$268))</f>
        <v>6.1449357253848813E-3</v>
      </c>
      <c r="I70" s="10">
        <f t="array" ref="I70">(F70-MIN(IF($D$2:$D$268=D70,$F$2:$F$268)))/MIN(IF($D$2:$D$268=D70,$F$2:$F$268))</f>
        <v>2.9745042492917848E-2</v>
      </c>
    </row>
    <row r="71" spans="1:9" x14ac:dyDescent="0.25">
      <c r="A71" s="13" t="s">
        <v>178</v>
      </c>
      <c r="B71" s="13" t="s">
        <v>40</v>
      </c>
      <c r="C71" s="13" t="s">
        <v>198</v>
      </c>
      <c r="D71" s="22" t="s">
        <v>199</v>
      </c>
      <c r="E71" s="32">
        <v>1.0206950134199746</v>
      </c>
      <c r="F71" s="33">
        <v>747</v>
      </c>
      <c r="G71" s="6">
        <f t="shared" si="3"/>
        <v>2.8061665490336334</v>
      </c>
      <c r="H71" s="9">
        <f t="array" ref="H71">(E71-MIN(IF($D$2:$D$268=D71,$E$2:$E$268)))/MIN(IF($D$2:$D$268=D71,$E$2:$E$268))</f>
        <v>2.0695013419974595E-2</v>
      </c>
      <c r="I71" s="10">
        <f t="array" ref="I71">(F71-MIN(IF($D$2:$D$268=D71,$F$2:$F$268)))/MIN(IF($D$2:$D$268=D71,$F$2:$F$268))</f>
        <v>5.8073654390934842E-2</v>
      </c>
    </row>
    <row r="72" spans="1:9" x14ac:dyDescent="0.25">
      <c r="A72" s="13" t="s">
        <v>178</v>
      </c>
      <c r="B72" s="13" t="s">
        <v>40</v>
      </c>
      <c r="C72" s="13" t="s">
        <v>198</v>
      </c>
      <c r="D72" s="22" t="s">
        <v>199</v>
      </c>
      <c r="E72" s="32">
        <v>1.0365870885718322</v>
      </c>
      <c r="F72" s="33">
        <v>787</v>
      </c>
      <c r="G72" s="6">
        <f t="shared" si="3"/>
        <v>3.1358296783225912</v>
      </c>
      <c r="H72" s="9">
        <f t="array" ref="H72">(E72-MIN(IF($D$2:$D$268=D72,$E$2:$E$268)))/MIN(IF($D$2:$D$268=D72,$E$2:$E$268))</f>
        <v>3.6587088571832238E-2</v>
      </c>
      <c r="I72" s="10">
        <f t="array" ref="I72">(F72-MIN(IF($D$2:$D$268=D72,$F$2:$F$268)))/MIN(IF($D$2:$D$268=D72,$F$2:$F$268))</f>
        <v>0.11473087818696884</v>
      </c>
    </row>
    <row r="73" spans="1:9" x14ac:dyDescent="0.25">
      <c r="A73" s="13" t="s">
        <v>178</v>
      </c>
      <c r="B73" s="13" t="s">
        <v>40</v>
      </c>
      <c r="C73" s="13" t="s">
        <v>198</v>
      </c>
      <c r="D73" s="22" t="s">
        <v>199</v>
      </c>
      <c r="E73" s="32">
        <v>1.0513490606017799</v>
      </c>
      <c r="F73" s="33">
        <v>838</v>
      </c>
      <c r="G73" s="6">
        <f t="shared" si="3"/>
        <v>3.641134547268257</v>
      </c>
      <c r="H73" s="9">
        <f t="array" ref="H73">(E73-MIN(IF($D$2:$D$268=D73,$E$2:$E$268)))/MIN(IF($D$2:$D$268=D73,$E$2:$E$268))</f>
        <v>5.1349060601779906E-2</v>
      </c>
      <c r="I73" s="10">
        <f t="array" ref="I73">(F73-MIN(IF($D$2:$D$268=D73,$F$2:$F$268)))/MIN(IF($D$2:$D$268=D73,$F$2:$F$268))</f>
        <v>0.18696883852691218</v>
      </c>
    </row>
    <row r="74" spans="1:9" x14ac:dyDescent="0.25">
      <c r="A74" s="13" t="s">
        <v>178</v>
      </c>
      <c r="B74" s="13" t="s">
        <v>40</v>
      </c>
      <c r="C74" s="13" t="s">
        <v>209</v>
      </c>
      <c r="D74" t="s">
        <v>210</v>
      </c>
      <c r="E74" s="32">
        <f>82.5/(100)</f>
        <v>0.82499999999999996</v>
      </c>
      <c r="F74" s="33">
        <v>656</v>
      </c>
      <c r="G74" s="6" t="str">
        <f t="shared" ref="G74:G116" si="4">IFERROR(I74/H74,"")</f>
        <v/>
      </c>
      <c r="H74" s="9">
        <f t="array" ref="H74">(E74-MIN(IF($D$2:$D$268=D74,$E$2:$E$268)))/MIN(IF($D$2:$D$268=D74,$E$2:$E$268))</f>
        <v>0</v>
      </c>
      <c r="I74" s="10">
        <f t="array" ref="I74">(F74-MIN(IF($D$2:$D$268=D74,$F$2:$F$268)))/MIN(IF($D$2:$D$268=D74,$F$2:$F$268))</f>
        <v>0</v>
      </c>
    </row>
    <row r="75" spans="1:9" x14ac:dyDescent="0.25">
      <c r="A75" s="13" t="s">
        <v>178</v>
      </c>
      <c r="B75" s="13" t="s">
        <v>40</v>
      </c>
      <c r="C75" s="13" t="s">
        <v>209</v>
      </c>
      <c r="D75" s="13" t="s">
        <v>210</v>
      </c>
      <c r="E75" s="32">
        <f>87.5/(100)</f>
        <v>0.875</v>
      </c>
      <c r="F75" s="33">
        <v>678</v>
      </c>
      <c r="G75" s="6">
        <f t="shared" si="4"/>
        <v>0.55335365853658491</v>
      </c>
      <c r="H75" s="9">
        <f t="array" ref="H75">(E75-MIN(IF($D$2:$D$268=D75,$E$2:$E$268)))/MIN(IF($D$2:$D$268=D75,$E$2:$E$268))</f>
        <v>6.0606060606060663E-2</v>
      </c>
      <c r="I75" s="10">
        <f t="array" ref="I75">(F75-MIN(IF($D$2:$D$268=D75,$F$2:$F$268)))/MIN(IF($D$2:$D$268=D75,$F$2:$F$268))</f>
        <v>3.3536585365853661E-2</v>
      </c>
    </row>
    <row r="76" spans="1:9" x14ac:dyDescent="0.25">
      <c r="A76" s="13" t="s">
        <v>178</v>
      </c>
      <c r="B76" s="13" t="s">
        <v>40</v>
      </c>
      <c r="C76" s="13" t="s">
        <v>209</v>
      </c>
      <c r="D76" s="13" t="s">
        <v>210</v>
      </c>
      <c r="E76" s="32">
        <f>89.5/(100)</f>
        <v>0.89500000000000002</v>
      </c>
      <c r="F76" s="33">
        <v>731</v>
      </c>
      <c r="G76" s="6">
        <f t="shared" si="4"/>
        <v>1.3474520905923333</v>
      </c>
      <c r="H76" s="9">
        <f t="array" ref="H76">(E76-MIN(IF($D$2:$D$268=D76,$E$2:$E$268)))/MIN(IF($D$2:$D$268=D76,$E$2:$E$268))</f>
        <v>8.4848484848484923E-2</v>
      </c>
      <c r="I76" s="10">
        <f t="array" ref="I76">(F76-MIN(IF($D$2:$D$268=D76,$F$2:$F$268)))/MIN(IF($D$2:$D$268=D76,$F$2:$F$268))</f>
        <v>0.11432926829268293</v>
      </c>
    </row>
    <row r="77" spans="1:9" x14ac:dyDescent="0.25">
      <c r="A77" s="13" t="s">
        <v>178</v>
      </c>
      <c r="B77" s="13" t="s">
        <v>40</v>
      </c>
      <c r="C77" s="13" t="s">
        <v>209</v>
      </c>
      <c r="D77" s="13" t="s">
        <v>210</v>
      </c>
      <c r="E77" s="32">
        <f>90.2/(100)</f>
        <v>0.90200000000000002</v>
      </c>
      <c r="F77" s="33">
        <v>789</v>
      </c>
      <c r="G77" s="6">
        <f t="shared" si="4"/>
        <v>2.1722560975609739</v>
      </c>
      <c r="H77" s="9">
        <f t="array" ref="H77">(E77-MIN(IF($D$2:$D$268=D77,$E$2:$E$268)))/MIN(IF($D$2:$D$268=D77,$E$2:$E$268))</f>
        <v>9.3333333333333421E-2</v>
      </c>
      <c r="I77" s="10">
        <f t="array" ref="I77">(F77-MIN(IF($D$2:$D$268=D77,$F$2:$F$268)))/MIN(IF($D$2:$D$268=D77,$F$2:$F$268))</f>
        <v>0.2027439024390244</v>
      </c>
    </row>
    <row r="78" spans="1:9" x14ac:dyDescent="0.25">
      <c r="A78" s="13" t="s">
        <v>178</v>
      </c>
      <c r="B78" s="13" t="s">
        <v>40</v>
      </c>
      <c r="C78" s="13" t="s">
        <v>209</v>
      </c>
      <c r="D78" s="13" t="s">
        <v>210</v>
      </c>
      <c r="E78" s="32">
        <f>91/(100)</f>
        <v>0.91</v>
      </c>
      <c r="F78" s="33">
        <v>1237</v>
      </c>
      <c r="G78" s="6">
        <f t="shared" si="4"/>
        <v>8.5962159253945405</v>
      </c>
      <c r="H78" s="9">
        <f t="array" ref="H78">(E78-MIN(IF($D$2:$D$268=D78,$E$2:$E$268)))/MIN(IF($D$2:$D$268=D78,$E$2:$E$268))</f>
        <v>0.10303030303030312</v>
      </c>
      <c r="I78" s="10">
        <f t="array" ref="I78">(F78-MIN(IF($D$2:$D$268=D78,$F$2:$F$268)))/MIN(IF($D$2:$D$268=D78,$F$2:$F$268))</f>
        <v>0.88567073170731703</v>
      </c>
    </row>
    <row r="79" spans="1:9" x14ac:dyDescent="0.25">
      <c r="A79" s="13" t="s">
        <v>178</v>
      </c>
      <c r="B79" s="13" t="s">
        <v>40</v>
      </c>
      <c r="C79" s="13" t="s">
        <v>209</v>
      </c>
      <c r="D79" t="s">
        <v>211</v>
      </c>
      <c r="E79" s="32">
        <f>89.5/(100)</f>
        <v>0.89500000000000002</v>
      </c>
      <c r="F79" s="33">
        <v>1748</v>
      </c>
      <c r="G79" s="6" t="str">
        <f t="shared" si="4"/>
        <v/>
      </c>
      <c r="H79" s="9">
        <f t="array" ref="H79">(E79-MIN(IF($D$2:$D$268=D79,$E$2:$E$268)))/MIN(IF($D$2:$D$268=D79,$E$2:$E$268))</f>
        <v>0</v>
      </c>
      <c r="I79" s="10">
        <f t="array" ref="I79">(F79-MIN(IF($D$2:$D$268=D79,$F$2:$F$268)))/MIN(IF($D$2:$D$268=D79,$F$2:$F$268))</f>
        <v>0</v>
      </c>
    </row>
    <row r="80" spans="1:9" x14ac:dyDescent="0.25">
      <c r="A80" s="13" t="s">
        <v>178</v>
      </c>
      <c r="B80" s="13" t="s">
        <v>40</v>
      </c>
      <c r="C80" s="13" t="s">
        <v>209</v>
      </c>
      <c r="D80" s="13" t="s">
        <v>211</v>
      </c>
      <c r="E80" s="32">
        <f>92.4/(100)</f>
        <v>0.92400000000000004</v>
      </c>
      <c r="F80" s="33">
        <v>2181</v>
      </c>
      <c r="G80" s="6">
        <f t="shared" si="4"/>
        <v>7.6448946579341843</v>
      </c>
      <c r="H80" s="9">
        <f t="array" ref="H80">(E80-MIN(IF($D$2:$D$268=D80,$E$2:$E$268)))/MIN(IF($D$2:$D$268=D80,$E$2:$E$268))</f>
        <v>3.2402234636871537E-2</v>
      </c>
      <c r="I80" s="10">
        <f t="array" ref="I80">(F80-MIN(IF($D$2:$D$268=D80,$F$2:$F$268)))/MIN(IF($D$2:$D$268=D80,$F$2:$F$268))</f>
        <v>0.24771167048054921</v>
      </c>
    </row>
    <row r="81" spans="1:9" x14ac:dyDescent="0.25">
      <c r="A81" s="13" t="s">
        <v>178</v>
      </c>
      <c r="B81" s="13" t="s">
        <v>40</v>
      </c>
      <c r="C81" s="13" t="s">
        <v>209</v>
      </c>
      <c r="D81" s="13" t="s">
        <v>211</v>
      </c>
      <c r="E81" s="32">
        <f>93.6/(100)</f>
        <v>0.93599999999999994</v>
      </c>
      <c r="F81" s="33">
        <v>2300</v>
      </c>
      <c r="G81" s="6">
        <f t="shared" si="4"/>
        <v>6.8934531450577783</v>
      </c>
      <c r="H81" s="9">
        <f t="array" ref="H81">(E81-MIN(IF($D$2:$D$268=D81,$E$2:$E$268)))/MIN(IF($D$2:$D$268=D81,$E$2:$E$268))</f>
        <v>4.5810055865921705E-2</v>
      </c>
      <c r="I81" s="10">
        <f t="array" ref="I81">(F81-MIN(IF($D$2:$D$268=D81,$F$2:$F$268)))/MIN(IF($D$2:$D$268=D81,$F$2:$F$268))</f>
        <v>0.31578947368421051</v>
      </c>
    </row>
    <row r="82" spans="1:9" x14ac:dyDescent="0.25">
      <c r="A82" s="13" t="s">
        <v>178</v>
      </c>
      <c r="B82" s="13" t="s">
        <v>40</v>
      </c>
      <c r="C82" s="13" t="s">
        <v>209</v>
      </c>
      <c r="D82" s="13" t="s">
        <v>211</v>
      </c>
      <c r="E82" s="32">
        <f>94.1/(100)</f>
        <v>0.94099999999999995</v>
      </c>
      <c r="F82" s="33">
        <v>2559</v>
      </c>
      <c r="G82" s="6">
        <f t="shared" si="4"/>
        <v>9.0270246741617886</v>
      </c>
      <c r="H82" s="9">
        <f t="array" ref="H82">(E82-MIN(IF($D$2:$D$268=D82,$E$2:$E$268)))/MIN(IF($D$2:$D$268=D82,$E$2:$E$268))</f>
        <v>5.1396648044692655E-2</v>
      </c>
      <c r="I82" s="10">
        <f t="array" ref="I82">(F82-MIN(IF($D$2:$D$268=D82,$F$2:$F$268)))/MIN(IF($D$2:$D$268=D82,$F$2:$F$268))</f>
        <v>0.46395881006864986</v>
      </c>
    </row>
    <row r="83" spans="1:9" x14ac:dyDescent="0.25">
      <c r="A83" s="13" t="s">
        <v>178</v>
      </c>
      <c r="B83" s="13" t="s">
        <v>40</v>
      </c>
      <c r="C83" s="13" t="s">
        <v>209</v>
      </c>
      <c r="D83" s="13" t="s">
        <v>211</v>
      </c>
      <c r="E83" s="32">
        <f>94.5/(100)</f>
        <v>0.94499999999999995</v>
      </c>
      <c r="F83" s="33">
        <v>3891</v>
      </c>
      <c r="G83" s="6">
        <f t="shared" si="4"/>
        <v>21.94490846681925</v>
      </c>
      <c r="H83" s="9">
        <f t="array" ref="H83">(E83-MIN(IF($D$2:$D$268=D83,$E$2:$E$268)))/MIN(IF($D$2:$D$268=D83,$E$2:$E$268))</f>
        <v>5.5865921787709424E-2</v>
      </c>
      <c r="I83" s="10">
        <f t="array" ref="I83">(F83-MIN(IF($D$2:$D$268=D83,$F$2:$F$268)))/MIN(IF($D$2:$D$268=D83,$F$2:$F$268))</f>
        <v>1.2259725400457666</v>
      </c>
    </row>
    <row r="84" spans="1:9" x14ac:dyDescent="0.25">
      <c r="A84" s="13" t="s">
        <v>178</v>
      </c>
      <c r="B84" s="13" t="s">
        <v>40</v>
      </c>
      <c r="C84" s="13" t="s">
        <v>209</v>
      </c>
      <c r="D84" t="s">
        <v>212</v>
      </c>
      <c r="E84" s="32">
        <f>93/(100)</f>
        <v>0.93</v>
      </c>
      <c r="F84" s="33">
        <v>3882</v>
      </c>
      <c r="G84" s="6" t="str">
        <f t="shared" si="4"/>
        <v/>
      </c>
      <c r="H84" s="9">
        <f t="array" ref="H84">(E84-MIN(IF($D$2:$D$268=D84,$E$2:$E$268)))/MIN(IF($D$2:$D$268=D84,$E$2:$E$268))</f>
        <v>0</v>
      </c>
      <c r="I84" s="10">
        <f t="array" ref="I84">(F84-MIN(IF($D$2:$D$268=D84,$F$2:$F$268)))/MIN(IF($D$2:$D$268=D84,$F$2:$F$268))</f>
        <v>0</v>
      </c>
    </row>
    <row r="85" spans="1:9" x14ac:dyDescent="0.25">
      <c r="A85" s="13" t="s">
        <v>178</v>
      </c>
      <c r="B85" s="13" t="s">
        <v>40</v>
      </c>
      <c r="C85" s="13" t="s">
        <v>209</v>
      </c>
      <c r="D85" s="13" t="s">
        <v>212</v>
      </c>
      <c r="E85" s="32">
        <f>94.1/(100)</f>
        <v>0.94099999999999995</v>
      </c>
      <c r="F85" s="33">
        <v>4182</v>
      </c>
      <c r="G85" s="6">
        <f t="shared" si="4"/>
        <v>6.5336518195869653</v>
      </c>
      <c r="H85" s="9">
        <f t="array" ref="H85">(E85-MIN(IF($D$2:$D$268=D85,$E$2:$E$268)))/MIN(IF($D$2:$D$268=D85,$E$2:$E$268))</f>
        <v>1.1827956989247202E-2</v>
      </c>
      <c r="I85" s="10">
        <f t="array" ref="I85">(F85-MIN(IF($D$2:$D$268=D85,$F$2:$F$268)))/MIN(IF($D$2:$D$268=D85,$F$2:$F$268))</f>
        <v>7.7279752704791344E-2</v>
      </c>
    </row>
    <row r="86" spans="1:9" x14ac:dyDescent="0.25">
      <c r="A86" s="13" t="s">
        <v>178</v>
      </c>
      <c r="B86" s="13" t="s">
        <v>40</v>
      </c>
      <c r="C86" s="13" t="s">
        <v>209</v>
      </c>
      <c r="D86" s="13" t="s">
        <v>212</v>
      </c>
      <c r="E86" s="32">
        <f>95.4/(100)</f>
        <v>0.95400000000000007</v>
      </c>
      <c r="F86" s="33">
        <v>4692</v>
      </c>
      <c r="G86" s="6">
        <f t="shared" si="4"/>
        <v>8.0853941267387874</v>
      </c>
      <c r="H86" s="9">
        <f t="array" ref="H86">(E86-MIN(IF($D$2:$D$268=D86,$E$2:$E$268)))/MIN(IF($D$2:$D$268=D86,$E$2:$E$268))</f>
        <v>2.5806451612903247E-2</v>
      </c>
      <c r="I86" s="10">
        <f t="array" ref="I86">(F86-MIN(IF($D$2:$D$268=D86,$F$2:$F$268)))/MIN(IF($D$2:$D$268=D86,$F$2:$F$268))</f>
        <v>0.20865533230293662</v>
      </c>
    </row>
    <row r="87" spans="1:9" x14ac:dyDescent="0.25">
      <c r="A87" s="13" t="s">
        <v>178</v>
      </c>
      <c r="B87" s="13" t="s">
        <v>40</v>
      </c>
      <c r="C87" s="13" t="s">
        <v>209</v>
      </c>
      <c r="D87" s="13" t="s">
        <v>212</v>
      </c>
      <c r="E87" s="32">
        <f>95.8/(100)</f>
        <v>0.95799999999999996</v>
      </c>
      <c r="F87" s="33">
        <v>5473</v>
      </c>
      <c r="G87" s="6">
        <f t="shared" si="4"/>
        <v>13.612552439832237</v>
      </c>
      <c r="H87" s="9">
        <f t="array" ref="H87">(E87-MIN(IF($D$2:$D$268=D87,$E$2:$E$268)))/MIN(IF($D$2:$D$268=D87,$E$2:$E$268))</f>
        <v>3.0107526881720335E-2</v>
      </c>
      <c r="I87" s="10">
        <f t="array" ref="I87">(F87-MIN(IF($D$2:$D$268=D87,$F$2:$F$268)))/MIN(IF($D$2:$D$268=D87,$F$2:$F$268))</f>
        <v>0.40984028851107679</v>
      </c>
    </row>
    <row r="88" spans="1:9" x14ac:dyDescent="0.25">
      <c r="A88" s="13" t="s">
        <v>178</v>
      </c>
      <c r="B88" s="13" t="s">
        <v>40</v>
      </c>
      <c r="C88" s="13" t="s">
        <v>209</v>
      </c>
      <c r="D88" s="13" t="s">
        <v>212</v>
      </c>
      <c r="E88" s="32">
        <f>96.2/(100)</f>
        <v>0.96200000000000008</v>
      </c>
      <c r="F88" s="33">
        <v>6932</v>
      </c>
      <c r="G88" s="6">
        <f t="shared" si="4"/>
        <v>22.833751931993799</v>
      </c>
      <c r="H88" s="9">
        <f t="array" ref="H88">(E88-MIN(IF($D$2:$D$268=D88,$E$2:$E$268)))/MIN(IF($D$2:$D$268=D88,$E$2:$E$268))</f>
        <v>3.4408602150537662E-2</v>
      </c>
      <c r="I88" s="10">
        <f t="array" ref="I88">(F88-MIN(IF($D$2:$D$268=D88,$F$2:$F$268)))/MIN(IF($D$2:$D$268=D88,$F$2:$F$268))</f>
        <v>0.78567748583204533</v>
      </c>
    </row>
    <row r="89" spans="1:9" x14ac:dyDescent="0.25">
      <c r="A89" s="13" t="s">
        <v>178</v>
      </c>
      <c r="B89" s="13" t="s">
        <v>40</v>
      </c>
      <c r="C89" s="13" t="s">
        <v>209</v>
      </c>
      <c r="D89" s="13" t="s">
        <v>213</v>
      </c>
      <c r="E89" s="32">
        <f>87.5/(100)</f>
        <v>0.875</v>
      </c>
      <c r="F89" s="33">
        <v>649</v>
      </c>
      <c r="G89" s="6" t="str">
        <f t="shared" si="4"/>
        <v/>
      </c>
      <c r="H89" s="9">
        <f t="array" ref="H89">(E89-MIN(IF($D$2:$D$268=D89,$E$2:$E$268)))/MIN(IF($D$2:$D$268=D89,$E$2:$E$268))</f>
        <v>0</v>
      </c>
      <c r="I89" s="10">
        <f t="array" ref="I89">(F89-MIN(IF($D$2:$D$268=D89,$F$2:$F$268)))/MIN(IF($D$2:$D$268=D89,$F$2:$F$268))</f>
        <v>0</v>
      </c>
    </row>
    <row r="90" spans="1:9" x14ac:dyDescent="0.25">
      <c r="A90" s="13" t="s">
        <v>178</v>
      </c>
      <c r="B90" s="13" t="s">
        <v>40</v>
      </c>
      <c r="C90" s="13" t="s">
        <v>209</v>
      </c>
      <c r="D90" s="13" t="s">
        <v>213</v>
      </c>
      <c r="E90" s="32">
        <f>89.5/(100)</f>
        <v>0.89500000000000002</v>
      </c>
      <c r="F90" s="33">
        <v>697</v>
      </c>
      <c r="G90" s="6">
        <f t="shared" si="4"/>
        <v>3.2357473035439108</v>
      </c>
      <c r="H90" s="9">
        <f t="array" ref="H90">(E90-MIN(IF($D$2:$D$268=D90,$E$2:$E$268)))/MIN(IF($D$2:$D$268=D90,$E$2:$E$268))</f>
        <v>2.2857142857142878E-2</v>
      </c>
      <c r="I90" s="10">
        <f t="array" ref="I90">(F90-MIN(IF($D$2:$D$268=D90,$F$2:$F$268)))/MIN(IF($D$2:$D$268=D90,$F$2:$F$268))</f>
        <v>7.3959938366718034E-2</v>
      </c>
    </row>
    <row r="91" spans="1:9" x14ac:dyDescent="0.25">
      <c r="A91" s="13" t="s">
        <v>178</v>
      </c>
      <c r="B91" s="13" t="s">
        <v>40</v>
      </c>
      <c r="C91" s="13" t="s">
        <v>209</v>
      </c>
      <c r="D91" s="13" t="s">
        <v>213</v>
      </c>
      <c r="E91" s="32">
        <f>91/(100)</f>
        <v>0.91</v>
      </c>
      <c r="F91" s="33">
        <v>1139</v>
      </c>
      <c r="G91" s="6">
        <f t="shared" si="4"/>
        <v>18.875192604006148</v>
      </c>
      <c r="H91" s="9">
        <f t="array" ref="H91">(E91-MIN(IF($D$2:$D$268=D91,$E$2:$E$268)))/MIN(IF($D$2:$D$268=D91,$E$2:$E$268))</f>
        <v>4.0000000000000036E-2</v>
      </c>
      <c r="I91" s="10">
        <f t="array" ref="I91">(F91-MIN(IF($D$2:$D$268=D91,$F$2:$F$268)))/MIN(IF($D$2:$D$268=D91,$F$2:$F$268))</f>
        <v>0.75500770416024654</v>
      </c>
    </row>
    <row r="92" spans="1:9" x14ac:dyDescent="0.25">
      <c r="A92" s="13" t="s">
        <v>178</v>
      </c>
      <c r="B92" s="13" t="s">
        <v>40</v>
      </c>
      <c r="C92" s="13" t="s">
        <v>209</v>
      </c>
      <c r="D92" s="13" t="s">
        <v>214</v>
      </c>
      <c r="E92" s="32">
        <f>93/(100)</f>
        <v>0.93</v>
      </c>
      <c r="F92" s="33">
        <v>3190</v>
      </c>
      <c r="G92" s="6" t="str">
        <f t="shared" si="4"/>
        <v/>
      </c>
      <c r="H92" s="9">
        <f t="array" ref="H92">(E92-MIN(IF($D$2:$D$268=D92,$E$2:$E$268)))/MIN(IF($D$2:$D$268=D92,$E$2:$E$268))</f>
        <v>0</v>
      </c>
      <c r="I92" s="10">
        <f t="array" ref="I92">(F92-MIN(IF($D$2:$D$268=D92,$F$2:$F$268)))/MIN(IF($D$2:$D$268=D92,$F$2:$F$268))</f>
        <v>0</v>
      </c>
    </row>
    <row r="93" spans="1:9" x14ac:dyDescent="0.25">
      <c r="A93" s="13" t="s">
        <v>178</v>
      </c>
      <c r="B93" s="13" t="s">
        <v>40</v>
      </c>
      <c r="C93" s="13" t="s">
        <v>209</v>
      </c>
      <c r="D93" s="13" t="s">
        <v>214</v>
      </c>
      <c r="E93" s="32">
        <f>94.5/(100)</f>
        <v>0.94499999999999995</v>
      </c>
      <c r="F93" s="33">
        <v>4216</v>
      </c>
      <c r="G93" s="6">
        <f t="shared" si="4"/>
        <v>19.941065830721133</v>
      </c>
      <c r="H93" s="9">
        <f t="array" ref="H93">(E93-MIN(IF($D$2:$D$268=D93,$E$2:$E$268)))/MIN(IF($D$2:$D$268=D93,$E$2:$E$268))</f>
        <v>1.6129032258064412E-2</v>
      </c>
      <c r="I93" s="10">
        <f t="array" ref="I93">(F93-MIN(IF($D$2:$D$268=D93,$F$2:$F$268)))/MIN(IF($D$2:$D$268=D93,$F$2:$F$268))</f>
        <v>0.32163009404388715</v>
      </c>
    </row>
    <row r="94" spans="1:9" x14ac:dyDescent="0.25">
      <c r="A94" s="13" t="s">
        <v>178</v>
      </c>
      <c r="B94" s="13" t="s">
        <v>40</v>
      </c>
      <c r="C94" s="13" t="s">
        <v>209</v>
      </c>
      <c r="D94" s="13" t="s">
        <v>214</v>
      </c>
      <c r="E94" s="32">
        <f>95/(100)</f>
        <v>0.95</v>
      </c>
      <c r="F94" s="33">
        <v>4958</v>
      </c>
      <c r="G94" s="6">
        <f t="shared" si="4"/>
        <v>25.771786833855924</v>
      </c>
      <c r="H94" s="9">
        <f t="array" ref="H94">(E94-MIN(IF($D$2:$D$268=D94,$E$2:$E$268)))/MIN(IF($D$2:$D$268=D94,$E$2:$E$268))</f>
        <v>2.1505376344085919E-2</v>
      </c>
      <c r="I94" s="10">
        <f t="array" ref="I94">(F94-MIN(IF($D$2:$D$268=D94,$F$2:$F$268)))/MIN(IF($D$2:$D$268=D94,$F$2:$F$268))</f>
        <v>0.55423197492163012</v>
      </c>
    </row>
    <row r="95" spans="1:9" x14ac:dyDescent="0.25">
      <c r="A95" s="13" t="s">
        <v>178</v>
      </c>
      <c r="B95" s="13" t="s">
        <v>40</v>
      </c>
      <c r="C95" s="13" t="s">
        <v>209</v>
      </c>
      <c r="D95" s="13" t="s">
        <v>215</v>
      </c>
      <c r="E95" s="32">
        <f>87.5/(100)</f>
        <v>0.875</v>
      </c>
      <c r="F95" s="33">
        <v>680</v>
      </c>
      <c r="G95" s="6" t="str">
        <f t="shared" si="4"/>
        <v/>
      </c>
      <c r="H95" s="9">
        <f t="array" ref="H95">(E95-MIN(IF($D$2:$D$268=D95,$E$2:$E$268)))/MIN(IF($D$2:$D$268=D95,$E$2:$E$268))</f>
        <v>0</v>
      </c>
      <c r="I95" s="10">
        <f t="array" ref="I95">(F95-MIN(IF($D$2:$D$268=D95,$F$2:$F$268)))/MIN(IF($D$2:$D$268=D95,$F$2:$F$268))</f>
        <v>0</v>
      </c>
    </row>
    <row r="96" spans="1:9" x14ac:dyDescent="0.25">
      <c r="A96" s="13" t="s">
        <v>178</v>
      </c>
      <c r="B96" s="13" t="s">
        <v>40</v>
      </c>
      <c r="C96" s="13" t="s">
        <v>209</v>
      </c>
      <c r="D96" s="13" t="s">
        <v>215</v>
      </c>
      <c r="E96" s="32">
        <f>89.5/(100)</f>
        <v>0.89500000000000002</v>
      </c>
      <c r="F96" s="33">
        <v>733</v>
      </c>
      <c r="G96" s="6">
        <f t="shared" si="4"/>
        <v>3.4099264705882324</v>
      </c>
      <c r="H96" s="9">
        <f t="array" ref="H96">(E96-MIN(IF($D$2:$D$268=D96,$E$2:$E$268)))/MIN(IF($D$2:$D$268=D96,$E$2:$E$268))</f>
        <v>2.2857142857142878E-2</v>
      </c>
      <c r="I96" s="10">
        <f t="array" ref="I96">(F96-MIN(IF($D$2:$D$268=D96,$F$2:$F$268)))/MIN(IF($D$2:$D$268=D96,$F$2:$F$268))</f>
        <v>7.7941176470588236E-2</v>
      </c>
    </row>
    <row r="97" spans="1:9" x14ac:dyDescent="0.25">
      <c r="A97" s="13" t="s">
        <v>178</v>
      </c>
      <c r="B97" s="13" t="s">
        <v>40</v>
      </c>
      <c r="C97" s="13" t="s">
        <v>209</v>
      </c>
      <c r="D97" s="13" t="s">
        <v>215</v>
      </c>
      <c r="E97" s="32">
        <f>90.2/(100)</f>
        <v>0.90200000000000002</v>
      </c>
      <c r="F97" s="33">
        <v>792</v>
      </c>
      <c r="G97" s="6">
        <f t="shared" si="4"/>
        <v>5.3376906318082735</v>
      </c>
      <c r="H97" s="9">
        <f t="array" ref="H97">(E97-MIN(IF($D$2:$D$268=D97,$E$2:$E$268)))/MIN(IF($D$2:$D$268=D97,$E$2:$E$268))</f>
        <v>3.0857142857142885E-2</v>
      </c>
      <c r="I97" s="10">
        <f t="array" ref="I97">(F97-MIN(IF($D$2:$D$268=D97,$F$2:$F$268)))/MIN(IF($D$2:$D$268=D97,$F$2:$F$268))</f>
        <v>0.16470588235294117</v>
      </c>
    </row>
    <row r="98" spans="1:9" x14ac:dyDescent="0.25">
      <c r="A98" s="13" t="s">
        <v>178</v>
      </c>
      <c r="B98" s="13" t="s">
        <v>40</v>
      </c>
      <c r="C98" s="13" t="s">
        <v>209</v>
      </c>
      <c r="D98" s="13" t="s">
        <v>215</v>
      </c>
      <c r="E98" s="32">
        <f>91/(100)</f>
        <v>0.91</v>
      </c>
      <c r="F98" s="33">
        <v>1239</v>
      </c>
      <c r="G98" s="6">
        <f t="shared" si="4"/>
        <v>20.551470588235276</v>
      </c>
      <c r="H98" s="9">
        <f t="array" ref="H98">(E98-MIN(IF($D$2:$D$268=D98,$E$2:$E$268)))/MIN(IF($D$2:$D$268=D98,$E$2:$E$268))</f>
        <v>4.0000000000000036E-2</v>
      </c>
      <c r="I98" s="10">
        <f t="array" ref="I98">(F98-MIN(IF($D$2:$D$268=D98,$F$2:$F$268)))/MIN(IF($D$2:$D$268=D98,$F$2:$F$268))</f>
        <v>0.82205882352941173</v>
      </c>
    </row>
    <row r="99" spans="1:9" x14ac:dyDescent="0.25">
      <c r="A99" s="13" t="s">
        <v>178</v>
      </c>
      <c r="B99" s="13" t="s">
        <v>40</v>
      </c>
      <c r="C99" s="13" t="s">
        <v>209</v>
      </c>
      <c r="D99" s="13" t="s">
        <v>216</v>
      </c>
      <c r="E99" s="32">
        <f>92.4/(100)</f>
        <v>0.92400000000000004</v>
      </c>
      <c r="F99" s="33">
        <v>2228</v>
      </c>
      <c r="G99" s="6" t="str">
        <f t="shared" si="4"/>
        <v/>
      </c>
      <c r="H99" s="9">
        <f t="array" ref="H99">(E99-MIN(IF($D$2:$D$268=D99,$E$2:$E$268)))/MIN(IF($D$2:$D$268=D99,$E$2:$E$268))</f>
        <v>0</v>
      </c>
      <c r="I99" s="10">
        <f t="array" ref="I99">(F99-MIN(IF($D$2:$D$268=D99,$F$2:$F$268)))/MIN(IF($D$2:$D$268=D99,$F$2:$F$268))</f>
        <v>0</v>
      </c>
    </row>
    <row r="100" spans="1:9" x14ac:dyDescent="0.25">
      <c r="A100" s="13" t="s">
        <v>178</v>
      </c>
      <c r="B100" s="13" t="s">
        <v>40</v>
      </c>
      <c r="C100" s="13" t="s">
        <v>209</v>
      </c>
      <c r="D100" s="13" t="s">
        <v>216</v>
      </c>
      <c r="E100" s="32">
        <f>93.6/(100)</f>
        <v>0.93599999999999994</v>
      </c>
      <c r="F100" s="33">
        <v>2347</v>
      </c>
      <c r="G100" s="6">
        <f t="shared" si="4"/>
        <v>4.1126570915619736</v>
      </c>
      <c r="H100" s="9">
        <f t="array" ref="H100">(E100-MIN(IF($D$2:$D$268=D100,$E$2:$E$268)))/MIN(IF($D$2:$D$268=D100,$E$2:$E$268))</f>
        <v>1.2987012987012879E-2</v>
      </c>
      <c r="I100" s="10">
        <f t="array" ref="I100">(F100-MIN(IF($D$2:$D$268=D100,$F$2:$F$268)))/MIN(IF($D$2:$D$268=D100,$F$2:$F$268))</f>
        <v>5.3411131059245963E-2</v>
      </c>
    </row>
    <row r="101" spans="1:9" x14ac:dyDescent="0.25">
      <c r="A101" s="13" t="s">
        <v>178</v>
      </c>
      <c r="B101" s="13" t="s">
        <v>40</v>
      </c>
      <c r="C101" s="13" t="s">
        <v>209</v>
      </c>
      <c r="D101" s="13" t="s">
        <v>216</v>
      </c>
      <c r="E101" s="32">
        <f>94.1/(100)</f>
        <v>0.94099999999999995</v>
      </c>
      <c r="F101" s="33">
        <v>2606</v>
      </c>
      <c r="G101" s="6">
        <f t="shared" si="4"/>
        <v>9.2214594994192112</v>
      </c>
      <c r="H101" s="9">
        <f t="array" ref="H101">(E101-MIN(IF($D$2:$D$268=D101,$E$2:$E$268)))/MIN(IF($D$2:$D$268=D101,$E$2:$E$268))</f>
        <v>1.8398268398268292E-2</v>
      </c>
      <c r="I101" s="10">
        <f t="array" ref="I101">(F101-MIN(IF($D$2:$D$268=D101,$F$2:$F$268)))/MIN(IF($D$2:$D$268=D101,$F$2:$F$268))</f>
        <v>0.16965888689407541</v>
      </c>
    </row>
    <row r="102" spans="1:9" x14ac:dyDescent="0.25">
      <c r="A102" s="13" t="s">
        <v>178</v>
      </c>
      <c r="B102" s="13" t="s">
        <v>40</v>
      </c>
      <c r="C102" s="13" t="s">
        <v>209</v>
      </c>
      <c r="D102" s="13" t="s">
        <v>216</v>
      </c>
      <c r="E102" s="32">
        <f>94.5/(100)</f>
        <v>0.94499999999999995</v>
      </c>
      <c r="F102" s="33">
        <v>3938</v>
      </c>
      <c r="G102" s="6">
        <f t="shared" si="4"/>
        <v>33.77019748653516</v>
      </c>
      <c r="H102" s="9">
        <f t="array" ref="H102">(E102-MIN(IF($D$2:$D$268=D102,$E$2:$E$268)))/MIN(IF($D$2:$D$268=D102,$E$2:$E$268))</f>
        <v>2.2727272727272627E-2</v>
      </c>
      <c r="I102" s="10">
        <f t="array" ref="I102">(F102-MIN(IF($D$2:$D$268=D102,$F$2:$F$268)))/MIN(IF($D$2:$D$268=D102,$F$2:$F$268))</f>
        <v>0.76750448833034113</v>
      </c>
    </row>
    <row r="103" spans="1:9" x14ac:dyDescent="0.25">
      <c r="A103" s="13" t="s">
        <v>178</v>
      </c>
      <c r="B103" s="13" t="s">
        <v>40</v>
      </c>
      <c r="C103" s="13" t="s">
        <v>209</v>
      </c>
      <c r="D103" s="13" t="s">
        <v>217</v>
      </c>
      <c r="E103" s="32">
        <f>94.1/(100)</f>
        <v>0.94099999999999995</v>
      </c>
      <c r="F103" s="33">
        <v>4213</v>
      </c>
      <c r="G103" s="6" t="str">
        <f t="shared" si="4"/>
        <v/>
      </c>
      <c r="H103" s="9">
        <f t="array" ref="H103">(E103-MIN(IF($D$2:$D$268=D103,$E$2:$E$268)))/MIN(IF($D$2:$D$268=D103,$E$2:$E$268))</f>
        <v>0</v>
      </c>
      <c r="I103" s="10">
        <f t="array" ref="I103">(F103-MIN(IF($D$2:$D$268=D103,$F$2:$F$268)))/MIN(IF($D$2:$D$268=D103,$F$2:$F$268))</f>
        <v>0</v>
      </c>
    </row>
    <row r="104" spans="1:9" x14ac:dyDescent="0.25">
      <c r="A104" s="13" t="s">
        <v>178</v>
      </c>
      <c r="B104" s="13" t="s">
        <v>40</v>
      </c>
      <c r="C104" s="13" t="s">
        <v>209</v>
      </c>
      <c r="D104" s="13" t="s">
        <v>217</v>
      </c>
      <c r="E104" s="32">
        <f>95.4/(100)</f>
        <v>0.95400000000000007</v>
      </c>
      <c r="F104" s="33">
        <v>4723</v>
      </c>
      <c r="G104" s="6">
        <f t="shared" si="4"/>
        <v>8.7624386057805594</v>
      </c>
      <c r="H104" s="9">
        <f t="array" ref="H104">(E104-MIN(IF($D$2:$D$268=D104,$E$2:$E$268)))/MIN(IF($D$2:$D$268=D104,$E$2:$E$268))</f>
        <v>1.38150903294369E-2</v>
      </c>
      <c r="I104" s="10">
        <f t="array" ref="I104">(F104-MIN(IF($D$2:$D$268=D104,$F$2:$F$268)))/MIN(IF($D$2:$D$268=D104,$F$2:$F$268))</f>
        <v>0.12105388084500356</v>
      </c>
    </row>
    <row r="105" spans="1:9" x14ac:dyDescent="0.25">
      <c r="A105" s="13" t="s">
        <v>178</v>
      </c>
      <c r="B105" s="13" t="s">
        <v>40</v>
      </c>
      <c r="C105" s="13" t="s">
        <v>209</v>
      </c>
      <c r="D105" s="13" t="s">
        <v>217</v>
      </c>
      <c r="E105" s="32">
        <f>95.8/(100)</f>
        <v>0.95799999999999996</v>
      </c>
      <c r="F105" s="33">
        <v>5504</v>
      </c>
      <c r="G105" s="6">
        <f t="shared" si="4"/>
        <v>16.961938537579744</v>
      </c>
      <c r="H105" s="9">
        <f t="array" ref="H105">(E105-MIN(IF($D$2:$D$268=D105,$E$2:$E$268)))/MIN(IF($D$2:$D$268=D105,$E$2:$E$268))</f>
        <v>1.806588735387887E-2</v>
      </c>
      <c r="I105" s="10">
        <f t="array" ref="I105">(F105-MIN(IF($D$2:$D$268=D105,$F$2:$F$268)))/MIN(IF($D$2:$D$268=D105,$F$2:$F$268))</f>
        <v>0.30643247092333253</v>
      </c>
    </row>
    <row r="106" spans="1:9" x14ac:dyDescent="0.25">
      <c r="A106" s="13" t="s">
        <v>178</v>
      </c>
      <c r="B106" s="13" t="s">
        <v>40</v>
      </c>
      <c r="C106" s="13" t="s">
        <v>209</v>
      </c>
      <c r="D106" s="13" t="s">
        <v>217</v>
      </c>
      <c r="E106" s="32">
        <f>96.2/(100)</f>
        <v>0.96200000000000008</v>
      </c>
      <c r="F106" s="33">
        <v>6963</v>
      </c>
      <c r="G106" s="6">
        <f t="shared" si="4"/>
        <v>29.249036429192905</v>
      </c>
      <c r="H106" s="9">
        <f t="array" ref="H106">(E106-MIN(IF($D$2:$D$268=D106,$E$2:$E$268)))/MIN(IF($D$2:$D$268=D106,$E$2:$E$268))</f>
        <v>2.2316684378321076E-2</v>
      </c>
      <c r="I106" s="10">
        <f t="array" ref="I106">(F106-MIN(IF($D$2:$D$268=D106,$F$2:$F$268)))/MIN(IF($D$2:$D$268=D106,$F$2:$F$268))</f>
        <v>0.65274151436031336</v>
      </c>
    </row>
    <row r="107" spans="1:9" x14ac:dyDescent="0.25">
      <c r="A107" s="13" t="s">
        <v>178</v>
      </c>
      <c r="B107" s="13" t="s">
        <v>40</v>
      </c>
      <c r="C107" s="13" t="s">
        <v>209</v>
      </c>
      <c r="D107" s="13" t="s">
        <v>218</v>
      </c>
      <c r="E107" s="32">
        <f>82.5/(100)</f>
        <v>0.82499999999999996</v>
      </c>
      <c r="F107" s="33">
        <v>656</v>
      </c>
      <c r="G107" s="6" t="str">
        <f t="shared" si="4"/>
        <v/>
      </c>
      <c r="H107" s="9">
        <f t="array" ref="H107">(E107-MIN(IF($D$2:$D$268=D107,$E$2:$E$268)))/MIN(IF($D$2:$D$268=D107,$E$2:$E$268))</f>
        <v>0</v>
      </c>
      <c r="I107" s="10">
        <f t="array" ref="I107">(F107-MIN(IF($D$2:$D$268=D107,$F$2:$F$268)))/MIN(IF($D$2:$D$268=D107,$F$2:$F$268))</f>
        <v>0</v>
      </c>
    </row>
    <row r="108" spans="1:9" x14ac:dyDescent="0.25">
      <c r="A108" s="13" t="s">
        <v>178</v>
      </c>
      <c r="B108" s="13" t="s">
        <v>40</v>
      </c>
      <c r="C108" s="13" t="s">
        <v>209</v>
      </c>
      <c r="D108" s="13" t="s">
        <v>218</v>
      </c>
      <c r="E108" s="32">
        <f>87.5/(100)</f>
        <v>0.875</v>
      </c>
      <c r="F108" s="33">
        <v>678</v>
      </c>
      <c r="G108" s="6">
        <f t="shared" si="4"/>
        <v>0.55335365853658491</v>
      </c>
      <c r="H108" s="9">
        <f t="array" ref="H108">(E108-MIN(IF($D$2:$D$268=D108,$E$2:$E$268)))/MIN(IF($D$2:$D$268=D108,$E$2:$E$268))</f>
        <v>6.0606060606060663E-2</v>
      </c>
      <c r="I108" s="10">
        <f t="array" ref="I108">(F108-MIN(IF($D$2:$D$268=D108,$F$2:$F$268)))/MIN(IF($D$2:$D$268=D108,$F$2:$F$268))</f>
        <v>3.3536585365853661E-2</v>
      </c>
    </row>
    <row r="109" spans="1:9" x14ac:dyDescent="0.25">
      <c r="A109" s="13" t="s">
        <v>178</v>
      </c>
      <c r="B109" s="13" t="s">
        <v>40</v>
      </c>
      <c r="C109" s="13" t="s">
        <v>209</v>
      </c>
      <c r="D109" s="13" t="s">
        <v>218</v>
      </c>
      <c r="E109" s="32">
        <f>89.5/(100)</f>
        <v>0.89500000000000002</v>
      </c>
      <c r="F109" s="33">
        <v>731</v>
      </c>
      <c r="G109" s="6">
        <f t="shared" si="4"/>
        <v>1.3474520905923333</v>
      </c>
      <c r="H109" s="9">
        <f t="array" ref="H109">(E109-MIN(IF($D$2:$D$268=D109,$E$2:$E$268)))/MIN(IF($D$2:$D$268=D109,$E$2:$E$268))</f>
        <v>8.4848484848484923E-2</v>
      </c>
      <c r="I109" s="10">
        <f t="array" ref="I109">(F109-MIN(IF($D$2:$D$268=D109,$F$2:$F$268)))/MIN(IF($D$2:$D$268=D109,$F$2:$F$268))</f>
        <v>0.11432926829268293</v>
      </c>
    </row>
    <row r="110" spans="1:9" x14ac:dyDescent="0.25">
      <c r="A110" s="13" t="s">
        <v>178</v>
      </c>
      <c r="B110" s="13" t="s">
        <v>40</v>
      </c>
      <c r="C110" s="13" t="s">
        <v>209</v>
      </c>
      <c r="D110" s="13" t="s">
        <v>218</v>
      </c>
      <c r="E110" s="32">
        <f>90.2/(100)</f>
        <v>0.90200000000000002</v>
      </c>
      <c r="F110" s="33">
        <v>789</v>
      </c>
      <c r="G110" s="6">
        <f t="shared" si="4"/>
        <v>2.1722560975609739</v>
      </c>
      <c r="H110" s="9">
        <f t="array" ref="H110">(E110-MIN(IF($D$2:$D$268=D110,$E$2:$E$268)))/MIN(IF($D$2:$D$268=D110,$E$2:$E$268))</f>
        <v>9.3333333333333421E-2</v>
      </c>
      <c r="I110" s="10">
        <f t="array" ref="I110">(F110-MIN(IF($D$2:$D$268=D110,$F$2:$F$268)))/MIN(IF($D$2:$D$268=D110,$F$2:$F$268))</f>
        <v>0.2027439024390244</v>
      </c>
    </row>
    <row r="111" spans="1:9" x14ac:dyDescent="0.25">
      <c r="A111" s="13" t="s">
        <v>178</v>
      </c>
      <c r="B111" s="13" t="s">
        <v>40</v>
      </c>
      <c r="C111" s="13" t="s">
        <v>209</v>
      </c>
      <c r="D111" s="13" t="s">
        <v>218</v>
      </c>
      <c r="E111" s="32">
        <f>91/(100)</f>
        <v>0.91</v>
      </c>
      <c r="F111" s="33">
        <v>1237</v>
      </c>
      <c r="G111" s="6">
        <f t="shared" si="4"/>
        <v>8.5962159253945405</v>
      </c>
      <c r="H111" s="9">
        <f t="array" ref="H111">(E111-MIN(IF($D$2:$D$268=D111,$E$2:$E$268)))/MIN(IF($D$2:$D$268=D111,$E$2:$E$268))</f>
        <v>0.10303030303030312</v>
      </c>
      <c r="I111" s="10">
        <f t="array" ref="I111">(F111-MIN(IF($D$2:$D$268=D111,$F$2:$F$268)))/MIN(IF($D$2:$D$268=D111,$F$2:$F$268))</f>
        <v>0.88567073170731703</v>
      </c>
    </row>
    <row r="112" spans="1:9" x14ac:dyDescent="0.25">
      <c r="A112" s="13" t="s">
        <v>178</v>
      </c>
      <c r="B112" s="13" t="s">
        <v>40</v>
      </c>
      <c r="C112" s="13" t="s">
        <v>209</v>
      </c>
      <c r="D112" s="13" t="s">
        <v>219</v>
      </c>
      <c r="E112" s="32">
        <f>89.5/(100)</f>
        <v>0.89500000000000002</v>
      </c>
      <c r="F112" s="33">
        <v>1748</v>
      </c>
      <c r="G112" s="6" t="str">
        <f t="shared" si="4"/>
        <v/>
      </c>
      <c r="H112" s="9">
        <f t="array" ref="H112">(E112-MIN(IF($D$2:$D$268=D112,$E$2:$E$268)))/MIN(IF($D$2:$D$268=D112,$E$2:$E$268))</f>
        <v>0</v>
      </c>
      <c r="I112" s="10">
        <f t="array" ref="I112">(F112-MIN(IF($D$2:$D$268=D112,$F$2:$F$268)))/MIN(IF($D$2:$D$268=D112,$F$2:$F$268))</f>
        <v>0</v>
      </c>
    </row>
    <row r="113" spans="1:9" x14ac:dyDescent="0.25">
      <c r="A113" s="13" t="s">
        <v>178</v>
      </c>
      <c r="B113" s="13" t="s">
        <v>40</v>
      </c>
      <c r="C113" s="13" t="s">
        <v>209</v>
      </c>
      <c r="D113" s="13" t="s">
        <v>219</v>
      </c>
      <c r="E113" s="32">
        <f>92.4/(100)</f>
        <v>0.92400000000000004</v>
      </c>
      <c r="F113" s="33">
        <v>2181</v>
      </c>
      <c r="G113" s="6">
        <f t="shared" si="4"/>
        <v>7.6448946579341843</v>
      </c>
      <c r="H113" s="9">
        <f t="array" ref="H113">(E113-MIN(IF($D$2:$D$268=D113,$E$2:$E$268)))/MIN(IF($D$2:$D$268=D113,$E$2:$E$268))</f>
        <v>3.2402234636871537E-2</v>
      </c>
      <c r="I113" s="10">
        <f t="array" ref="I113">(F113-MIN(IF($D$2:$D$268=D113,$F$2:$F$268)))/MIN(IF($D$2:$D$268=D113,$F$2:$F$268))</f>
        <v>0.24771167048054921</v>
      </c>
    </row>
    <row r="114" spans="1:9" x14ac:dyDescent="0.25">
      <c r="A114" s="13" t="s">
        <v>178</v>
      </c>
      <c r="B114" s="13" t="s">
        <v>40</v>
      </c>
      <c r="C114" s="13" t="s">
        <v>209</v>
      </c>
      <c r="D114" s="13" t="s">
        <v>219</v>
      </c>
      <c r="E114" s="32">
        <f>93.6/(100)</f>
        <v>0.93599999999999994</v>
      </c>
      <c r="F114" s="33">
        <v>2300</v>
      </c>
      <c r="G114" s="6">
        <f t="shared" si="4"/>
        <v>6.8934531450577783</v>
      </c>
      <c r="H114" s="9">
        <f t="array" ref="H114">(E114-MIN(IF($D$2:$D$268=D114,$E$2:$E$268)))/MIN(IF($D$2:$D$268=D114,$E$2:$E$268))</f>
        <v>4.5810055865921705E-2</v>
      </c>
      <c r="I114" s="10">
        <f t="array" ref="I114">(F114-MIN(IF($D$2:$D$268=D114,$F$2:$F$268)))/MIN(IF($D$2:$D$268=D114,$F$2:$F$268))</f>
        <v>0.31578947368421051</v>
      </c>
    </row>
    <row r="115" spans="1:9" x14ac:dyDescent="0.25">
      <c r="A115" s="13" t="s">
        <v>178</v>
      </c>
      <c r="B115" s="13" t="s">
        <v>40</v>
      </c>
      <c r="C115" s="13" t="s">
        <v>209</v>
      </c>
      <c r="D115" s="13" t="s">
        <v>219</v>
      </c>
      <c r="E115" s="32">
        <f>94.1/(100)</f>
        <v>0.94099999999999995</v>
      </c>
      <c r="F115" s="33">
        <v>2559</v>
      </c>
      <c r="G115" s="6">
        <f t="shared" si="4"/>
        <v>9.0270246741617886</v>
      </c>
      <c r="H115" s="9">
        <f t="array" ref="H115">(E115-MIN(IF($D$2:$D$268=D115,$E$2:$E$268)))/MIN(IF($D$2:$D$268=D115,$E$2:$E$268))</f>
        <v>5.1396648044692655E-2</v>
      </c>
      <c r="I115" s="10">
        <f t="array" ref="I115">(F115-MIN(IF($D$2:$D$268=D115,$F$2:$F$268)))/MIN(IF($D$2:$D$268=D115,$F$2:$F$268))</f>
        <v>0.46395881006864986</v>
      </c>
    </row>
    <row r="116" spans="1:9" x14ac:dyDescent="0.25">
      <c r="A116" s="13" t="s">
        <v>178</v>
      </c>
      <c r="B116" s="13" t="s">
        <v>40</v>
      </c>
      <c r="C116" s="13" t="s">
        <v>209</v>
      </c>
      <c r="D116" s="13" t="s">
        <v>219</v>
      </c>
      <c r="E116" s="32">
        <f>94.5/(100)</f>
        <v>0.94499999999999995</v>
      </c>
      <c r="F116" s="33">
        <v>3891</v>
      </c>
      <c r="G116" s="6">
        <f t="shared" si="4"/>
        <v>21.94490846681925</v>
      </c>
      <c r="H116" s="9">
        <f t="array" ref="H116">(E116-MIN(IF($D$2:$D$268=D116,$E$2:$E$268)))/MIN(IF($D$2:$D$268=D116,$E$2:$E$268))</f>
        <v>5.5865921787709424E-2</v>
      </c>
      <c r="I116" s="10">
        <f t="array" ref="I116">(F116-MIN(IF($D$2:$D$268=D116,$F$2:$F$268)))/MIN(IF($D$2:$D$268=D116,$F$2:$F$268))</f>
        <v>1.2259725400457666</v>
      </c>
    </row>
    <row r="117" spans="1:9" x14ac:dyDescent="0.25">
      <c r="A117" t="s">
        <v>178</v>
      </c>
      <c r="B117" t="s">
        <v>40</v>
      </c>
      <c r="C117" t="s">
        <v>225</v>
      </c>
      <c r="D117" s="13" t="s">
        <v>226</v>
      </c>
      <c r="E117" s="32">
        <v>0.77150000000000007</v>
      </c>
      <c r="F117" s="33">
        <v>258.89999999999998</v>
      </c>
      <c r="G117" s="6" t="str">
        <f t="shared" ref="G117:G166" si="5">IFERROR(I117/H117,"")</f>
        <v/>
      </c>
      <c r="H117" s="9">
        <f t="array" ref="H117">(E117-MIN(IF($D$2:$D$268=D117,$E$2:$E$268)))/MIN(IF($D$2:$D$268=D117,$E$2:$E$268))</f>
        <v>0</v>
      </c>
      <c r="I117" s="10">
        <f t="array" ref="I117">(F117-MIN(IF($D$2:$D$268=D117,$F$2:$F$268)))/MIN(IF($D$2:$D$268=D117,$F$2:$F$268))</f>
        <v>0</v>
      </c>
    </row>
    <row r="118" spans="1:9" x14ac:dyDescent="0.25">
      <c r="A118" s="13" t="s">
        <v>178</v>
      </c>
      <c r="B118" s="13" t="s">
        <v>40</v>
      </c>
      <c r="C118" s="13" t="s">
        <v>225</v>
      </c>
      <c r="D118" s="13" t="s">
        <v>226</v>
      </c>
      <c r="E118" s="32">
        <v>0.78700000000000003</v>
      </c>
      <c r="F118" s="33">
        <v>271.2</v>
      </c>
      <c r="G118" s="6">
        <f t="shared" si="5"/>
        <v>2.3647067618584923</v>
      </c>
      <c r="H118" s="9">
        <f t="array" ref="H118">(E118-MIN(IF($D$2:$D$268=D118,$E$2:$E$268)))/MIN(IF($D$2:$D$268=D118,$E$2:$E$268))</f>
        <v>2.0090732339598131E-2</v>
      </c>
      <c r="I118" s="10">
        <f t="array" ref="I118">(F118-MIN(IF($D$2:$D$268=D118,$F$2:$F$268)))/MIN(IF($D$2:$D$268=D118,$F$2:$F$268))</f>
        <v>4.7508690614136782E-2</v>
      </c>
    </row>
    <row r="119" spans="1:9" x14ac:dyDescent="0.25">
      <c r="A119" s="13" t="s">
        <v>178</v>
      </c>
      <c r="B119" s="13" t="s">
        <v>40</v>
      </c>
      <c r="C119" s="13" t="s">
        <v>225</v>
      </c>
      <c r="D119" s="13" t="s">
        <v>226</v>
      </c>
      <c r="E119" s="32">
        <v>0.8</v>
      </c>
      <c r="F119" s="33">
        <v>278.17</v>
      </c>
      <c r="G119" s="6">
        <f t="shared" si="5"/>
        <v>2.0148407906595449</v>
      </c>
      <c r="H119" s="9">
        <f t="array" ref="H119">(E119-MIN(IF($D$2:$D$268=D119,$E$2:$E$268)))/MIN(IF($D$2:$D$268=D119,$E$2:$E$268))</f>
        <v>3.6941023979261134E-2</v>
      </c>
      <c r="I119" s="10">
        <f t="array" ref="I119">(F119-MIN(IF($D$2:$D$268=D119,$F$2:$F$268)))/MIN(IF($D$2:$D$268=D119,$F$2:$F$268))</f>
        <v>7.443028196214771E-2</v>
      </c>
    </row>
    <row r="120" spans="1:9" x14ac:dyDescent="0.25">
      <c r="A120" s="13" t="s">
        <v>178</v>
      </c>
      <c r="B120" s="13" t="s">
        <v>40</v>
      </c>
      <c r="C120" s="13" t="s">
        <v>225</v>
      </c>
      <c r="D120" s="13" t="s">
        <v>226</v>
      </c>
      <c r="E120" s="32">
        <v>0.81599999999999995</v>
      </c>
      <c r="F120" s="33">
        <v>289.57</v>
      </c>
      <c r="G120" s="6">
        <f t="shared" si="5"/>
        <v>2.0537976139327649</v>
      </c>
      <c r="H120" s="9">
        <f t="array" ref="H120">(E120-MIN(IF($D$2:$D$268=D120,$E$2:$E$268)))/MIN(IF($D$2:$D$268=D120,$E$2:$E$268))</f>
        <v>5.7679844458846233E-2</v>
      </c>
      <c r="I120" s="10">
        <f t="array" ref="I120">(F120-MIN(IF($D$2:$D$268=D120,$F$2:$F$268)))/MIN(IF($D$2:$D$268=D120,$F$2:$F$268))</f>
        <v>0.11846272692159142</v>
      </c>
    </row>
    <row r="121" spans="1:9" x14ac:dyDescent="0.25">
      <c r="A121" s="13" t="s">
        <v>178</v>
      </c>
      <c r="B121" s="13" t="s">
        <v>40</v>
      </c>
      <c r="C121" s="13" t="s">
        <v>225</v>
      </c>
      <c r="D121" s="13" t="s">
        <v>226</v>
      </c>
      <c r="E121" s="32">
        <v>0.82499999999999996</v>
      </c>
      <c r="F121" s="33">
        <v>297.83999999999997</v>
      </c>
      <c r="G121" s="6">
        <f t="shared" si="5"/>
        <v>2.1689325435072231</v>
      </c>
      <c r="H121" s="9">
        <f t="array" ref="H121">(E121-MIN(IF($D$2:$D$268=D121,$E$2:$E$268)))/MIN(IF($D$2:$D$268=D121,$E$2:$E$268))</f>
        <v>6.9345430978612926E-2</v>
      </c>
      <c r="I121" s="10">
        <f t="array" ref="I121">(F121-MIN(IF($D$2:$D$268=D121,$F$2:$F$268)))/MIN(IF($D$2:$D$268=D121,$F$2:$F$268))</f>
        <v>0.15040556199304753</v>
      </c>
    </row>
    <row r="122" spans="1:9" x14ac:dyDescent="0.25">
      <c r="A122" s="13" t="s">
        <v>178</v>
      </c>
      <c r="B122" s="13" t="s">
        <v>40</v>
      </c>
      <c r="C122" s="13" t="s">
        <v>225</v>
      </c>
      <c r="D122" s="13" t="s">
        <v>226</v>
      </c>
      <c r="E122" s="32">
        <v>0.85199999999999998</v>
      </c>
      <c r="F122" s="33">
        <v>363.02000000000004</v>
      </c>
      <c r="G122" s="6">
        <f t="shared" si="5"/>
        <v>3.8542702163237279</v>
      </c>
      <c r="H122" s="9">
        <f t="array" ref="H122">(E122-MIN(IF($D$2:$D$268=D122,$E$2:$E$268)))/MIN(IF($D$2:$D$268=D122,$E$2:$E$268))</f>
        <v>0.10434219053791302</v>
      </c>
      <c r="I122" s="10">
        <f t="array" ref="I122">(F122-MIN(IF($D$2:$D$268=D122,$F$2:$F$268)))/MIN(IF($D$2:$D$268=D122,$F$2:$F$268))</f>
        <v>0.40216299729625365</v>
      </c>
    </row>
    <row r="123" spans="1:9" x14ac:dyDescent="0.25">
      <c r="A123" s="13" t="s">
        <v>178</v>
      </c>
      <c r="B123" s="13" t="s">
        <v>40</v>
      </c>
      <c r="C123" s="13" t="s">
        <v>225</v>
      </c>
      <c r="D123" s="13" t="s">
        <v>226</v>
      </c>
      <c r="E123" s="32">
        <v>0.86699999999999999</v>
      </c>
      <c r="F123" s="33">
        <v>427.8</v>
      </c>
      <c r="G123" s="6">
        <f t="shared" si="5"/>
        <v>5.270237149114565</v>
      </c>
      <c r="H123" s="9">
        <f t="array" ref="H123">(E123-MIN(IF($D$2:$D$268=D123,$E$2:$E$268)))/MIN(IF($D$2:$D$268=D123,$E$2:$E$268))</f>
        <v>0.12378483473752419</v>
      </c>
      <c r="I123" s="10">
        <f t="array" ref="I123">(F123-MIN(IF($D$2:$D$268=D123,$F$2:$F$268)))/MIN(IF($D$2:$D$268=D123,$F$2:$F$268))</f>
        <v>0.65237543453070701</v>
      </c>
    </row>
    <row r="124" spans="1:9" x14ac:dyDescent="0.25">
      <c r="A124" s="13" t="s">
        <v>178</v>
      </c>
      <c r="B124" s="13" t="s">
        <v>40</v>
      </c>
      <c r="C124" s="13" t="s">
        <v>225</v>
      </c>
      <c r="D124" s="13" t="s">
        <v>226</v>
      </c>
      <c r="E124" s="32">
        <v>0.88300000000000001</v>
      </c>
      <c r="F124" s="33">
        <v>685.92000000000007</v>
      </c>
      <c r="G124" s="6">
        <f t="shared" si="5"/>
        <v>11.412406403774519</v>
      </c>
      <c r="H124" s="9">
        <f t="array" ref="H124">(E124-MIN(IF($D$2:$D$268=D124,$E$2:$E$268)))/MIN(IF($D$2:$D$268=D124,$E$2:$E$268))</f>
        <v>0.14452365521710941</v>
      </c>
      <c r="I124" s="10">
        <f t="array" ref="I124">(F124-MIN(IF($D$2:$D$268=D124,$F$2:$F$268)))/MIN(IF($D$2:$D$268=D124,$F$2:$F$268))</f>
        <v>1.6493626882966401</v>
      </c>
    </row>
    <row r="125" spans="1:9" x14ac:dyDescent="0.25">
      <c r="A125" s="13" t="s">
        <v>178</v>
      </c>
      <c r="B125" s="13" t="s">
        <v>40</v>
      </c>
      <c r="C125" s="13" t="s">
        <v>225</v>
      </c>
      <c r="D125" s="13" t="s">
        <v>227</v>
      </c>
      <c r="E125" s="32">
        <v>0.77150000000000007</v>
      </c>
      <c r="F125" s="33">
        <v>258.89999999999998</v>
      </c>
      <c r="G125" s="6" t="str">
        <f t="shared" si="5"/>
        <v/>
      </c>
      <c r="H125" s="9">
        <f t="array" ref="H125">(E125-MIN(IF($D$2:$D$268=D125,$E$2:$E$268)))/MIN(IF($D$2:$D$268=D125,$E$2:$E$268))</f>
        <v>0</v>
      </c>
      <c r="I125" s="10">
        <f t="array" ref="I125">(F125-MIN(IF($D$2:$D$268=D125,$F$2:$F$268)))/MIN(IF($D$2:$D$268=D125,$F$2:$F$268))</f>
        <v>0</v>
      </c>
    </row>
    <row r="126" spans="1:9" x14ac:dyDescent="0.25">
      <c r="A126" s="13" t="s">
        <v>178</v>
      </c>
      <c r="B126" s="13" t="s">
        <v>40</v>
      </c>
      <c r="C126" s="13" t="s">
        <v>225</v>
      </c>
      <c r="D126" s="13" t="s">
        <v>227</v>
      </c>
      <c r="E126" s="32">
        <v>0.78700000000000003</v>
      </c>
      <c r="F126" s="33">
        <v>271.2</v>
      </c>
      <c r="G126" s="6">
        <f t="shared" si="5"/>
        <v>2.3647067618584923</v>
      </c>
      <c r="H126" s="9">
        <f t="array" ref="H126">(E126-MIN(IF($D$2:$D$268=D126,$E$2:$E$268)))/MIN(IF($D$2:$D$268=D126,$E$2:$E$268))</f>
        <v>2.0090732339598131E-2</v>
      </c>
      <c r="I126" s="10">
        <f t="array" ref="I126">(F126-MIN(IF($D$2:$D$268=D126,$F$2:$F$268)))/MIN(IF($D$2:$D$268=D126,$F$2:$F$268))</f>
        <v>4.7508690614136782E-2</v>
      </c>
    </row>
    <row r="127" spans="1:9" x14ac:dyDescent="0.25">
      <c r="A127" s="13" t="s">
        <v>178</v>
      </c>
      <c r="B127" s="13" t="s">
        <v>40</v>
      </c>
      <c r="C127" s="13" t="s">
        <v>225</v>
      </c>
      <c r="D127" s="13" t="s">
        <v>227</v>
      </c>
      <c r="E127" s="32">
        <v>0.8</v>
      </c>
      <c r="F127" s="33">
        <v>278.17</v>
      </c>
      <c r="G127" s="6">
        <f t="shared" si="5"/>
        <v>2.0148407906595449</v>
      </c>
      <c r="H127" s="9">
        <f t="array" ref="H127">(E127-MIN(IF($D$2:$D$268=D127,$E$2:$E$268)))/MIN(IF($D$2:$D$268=D127,$E$2:$E$268))</f>
        <v>3.6941023979261134E-2</v>
      </c>
      <c r="I127" s="10">
        <f t="array" ref="I127">(F127-MIN(IF($D$2:$D$268=D127,$F$2:$F$268)))/MIN(IF($D$2:$D$268=D127,$F$2:$F$268))</f>
        <v>7.443028196214771E-2</v>
      </c>
    </row>
    <row r="128" spans="1:9" x14ac:dyDescent="0.25">
      <c r="A128" s="13" t="s">
        <v>178</v>
      </c>
      <c r="B128" s="13" t="s">
        <v>40</v>
      </c>
      <c r="C128" s="13" t="s">
        <v>225</v>
      </c>
      <c r="D128" s="13" t="s">
        <v>227</v>
      </c>
      <c r="E128" s="32">
        <v>0.81599999999999995</v>
      </c>
      <c r="F128" s="33">
        <v>289.57</v>
      </c>
      <c r="G128" s="6">
        <f t="shared" si="5"/>
        <v>2.0537976139327649</v>
      </c>
      <c r="H128" s="9">
        <f t="array" ref="H128">(E128-MIN(IF($D$2:$D$268=D128,$E$2:$E$268)))/MIN(IF($D$2:$D$268=D128,$E$2:$E$268))</f>
        <v>5.7679844458846233E-2</v>
      </c>
      <c r="I128" s="10">
        <f t="array" ref="I128">(F128-MIN(IF($D$2:$D$268=D128,$F$2:$F$268)))/MIN(IF($D$2:$D$268=D128,$F$2:$F$268))</f>
        <v>0.11846272692159142</v>
      </c>
    </row>
    <row r="129" spans="1:9" x14ac:dyDescent="0.25">
      <c r="A129" s="13" t="s">
        <v>178</v>
      </c>
      <c r="B129" s="13" t="s">
        <v>40</v>
      </c>
      <c r="C129" s="13" t="s">
        <v>225</v>
      </c>
      <c r="D129" s="13" t="s">
        <v>227</v>
      </c>
      <c r="E129" s="32">
        <v>0.82499999999999996</v>
      </c>
      <c r="F129" s="33">
        <v>297.83999999999997</v>
      </c>
      <c r="G129" s="6">
        <f t="shared" si="5"/>
        <v>2.1689325435072231</v>
      </c>
      <c r="H129" s="9">
        <f t="array" ref="H129">(E129-MIN(IF($D$2:$D$268=D129,$E$2:$E$268)))/MIN(IF($D$2:$D$268=D129,$E$2:$E$268))</f>
        <v>6.9345430978612926E-2</v>
      </c>
      <c r="I129" s="10">
        <f t="array" ref="I129">(F129-MIN(IF($D$2:$D$268=D129,$F$2:$F$268)))/MIN(IF($D$2:$D$268=D129,$F$2:$F$268))</f>
        <v>0.15040556199304753</v>
      </c>
    </row>
    <row r="130" spans="1:9" x14ac:dyDescent="0.25">
      <c r="A130" s="13" t="s">
        <v>178</v>
      </c>
      <c r="B130" s="13" t="s">
        <v>40</v>
      </c>
      <c r="C130" s="13" t="s">
        <v>225</v>
      </c>
      <c r="D130" s="13" t="s">
        <v>227</v>
      </c>
      <c r="E130" s="32">
        <v>0.85199999999999998</v>
      </c>
      <c r="F130" s="33">
        <v>504.20000000000005</v>
      </c>
      <c r="G130" s="6">
        <f t="shared" si="5"/>
        <v>9.0804118715348654</v>
      </c>
      <c r="H130" s="9">
        <f t="array" ref="H130">(E130-MIN(IF($D$2:$D$268=D130,$E$2:$E$268)))/MIN(IF($D$2:$D$268=D130,$E$2:$E$268))</f>
        <v>0.10434219053791302</v>
      </c>
      <c r="I130" s="10">
        <f t="array" ref="I130">(F130-MIN(IF($D$2:$D$268=D130,$F$2:$F$268)))/MIN(IF($D$2:$D$268=D130,$F$2:$F$268))</f>
        <v>0.94747006566241831</v>
      </c>
    </row>
    <row r="131" spans="1:9" x14ac:dyDescent="0.25">
      <c r="A131" s="13" t="s">
        <v>178</v>
      </c>
      <c r="B131" s="13" t="s">
        <v>40</v>
      </c>
      <c r="C131" s="13" t="s">
        <v>225</v>
      </c>
      <c r="D131" s="13" t="s">
        <v>227</v>
      </c>
      <c r="E131" s="32">
        <v>0.86699999999999999</v>
      </c>
      <c r="F131" s="33">
        <v>516.23</v>
      </c>
      <c r="G131" s="6">
        <f t="shared" si="5"/>
        <v>8.0295448524668487</v>
      </c>
      <c r="H131" s="9">
        <f t="array" ref="H131">(E131-MIN(IF($D$2:$D$268=D131,$E$2:$E$268)))/MIN(IF($D$2:$D$268=D131,$E$2:$E$268))</f>
        <v>0.12378483473752419</v>
      </c>
      <c r="I131" s="10">
        <f t="array" ref="I131">(F131-MIN(IF($D$2:$D$268=D131,$F$2:$F$268)))/MIN(IF($D$2:$D$268=D131,$F$2:$F$268))</f>
        <v>0.99393588258014698</v>
      </c>
    </row>
    <row r="132" spans="1:9" x14ac:dyDescent="0.25">
      <c r="A132" s="13" t="s">
        <v>178</v>
      </c>
      <c r="B132" s="13" t="s">
        <v>40</v>
      </c>
      <c r="C132" s="13" t="s">
        <v>225</v>
      </c>
      <c r="D132" s="13" t="s">
        <v>227</v>
      </c>
      <c r="E132" s="32">
        <v>0.88300000000000001</v>
      </c>
      <c r="F132" s="33">
        <v>3323.15</v>
      </c>
      <c r="G132" s="6">
        <f t="shared" si="5"/>
        <v>81.894211799836228</v>
      </c>
      <c r="H132" s="9">
        <f t="array" ref="H132">(E132-MIN(IF($D$2:$D$268=D132,$E$2:$E$268)))/MIN(IF($D$2:$D$268=D132,$E$2:$E$268))</f>
        <v>0.14452365521710941</v>
      </c>
      <c r="I132" s="10">
        <f t="array" ref="I132">(F132-MIN(IF($D$2:$D$268=D132,$F$2:$F$268)))/MIN(IF($D$2:$D$268=D132,$F$2:$F$268))</f>
        <v>11.835650830436464</v>
      </c>
    </row>
    <row r="133" spans="1:9" x14ac:dyDescent="0.25">
      <c r="A133" s="13" t="s">
        <v>178</v>
      </c>
      <c r="B133" s="13" t="s">
        <v>40</v>
      </c>
      <c r="C133" s="13" t="s">
        <v>225</v>
      </c>
      <c r="D133" s="13" t="s">
        <v>228</v>
      </c>
      <c r="E133" s="32">
        <v>0.57700000000000007</v>
      </c>
      <c r="F133" s="33">
        <v>237.48</v>
      </c>
      <c r="G133" s="6" t="str">
        <f t="shared" si="5"/>
        <v/>
      </c>
      <c r="H133" s="9">
        <f t="array" ref="H133">(E133-MIN(IF($D$2:$D$268=D133,$E$2:$E$268)))/MIN(IF($D$2:$D$268=D133,$E$2:$E$268))</f>
        <v>0</v>
      </c>
      <c r="I133" s="10">
        <f t="array" ref="I133">(F133-MIN(IF($D$2:$D$268=D133,$F$2:$F$268)))/MIN(IF($D$2:$D$268=D133,$F$2:$F$268))</f>
        <v>0</v>
      </c>
    </row>
    <row r="134" spans="1:9" x14ac:dyDescent="0.25">
      <c r="A134" s="13" t="s">
        <v>178</v>
      </c>
      <c r="B134" s="13" t="s">
        <v>40</v>
      </c>
      <c r="C134" s="13" t="s">
        <v>225</v>
      </c>
      <c r="D134" s="13" t="s">
        <v>228</v>
      </c>
      <c r="E134" s="32">
        <v>0.59499999999999997</v>
      </c>
      <c r="F134" s="33">
        <v>246.37999999999997</v>
      </c>
      <c r="G134" s="6">
        <f t="shared" si="5"/>
        <v>1.2013409316340125</v>
      </c>
      <c r="H134" s="9">
        <f t="array" ref="H134">(E134-MIN(IF($D$2:$D$268=D134,$E$2:$E$268)))/MIN(IF($D$2:$D$268=D134,$E$2:$E$268))</f>
        <v>3.1195840554592551E-2</v>
      </c>
      <c r="I134" s="10">
        <f t="array" ref="I134">(F134-MIN(IF($D$2:$D$268=D134,$F$2:$F$268)))/MIN(IF($D$2:$D$268=D134,$F$2:$F$268))</f>
        <v>3.7476840154960327E-2</v>
      </c>
    </row>
    <row r="135" spans="1:9" x14ac:dyDescent="0.25">
      <c r="A135" s="13" t="s">
        <v>178</v>
      </c>
      <c r="B135" s="13" t="s">
        <v>40</v>
      </c>
      <c r="C135" s="13" t="s">
        <v>225</v>
      </c>
      <c r="D135" s="13" t="s">
        <v>228</v>
      </c>
      <c r="E135" s="32">
        <v>0.62</v>
      </c>
      <c r="F135" s="33">
        <v>252.22</v>
      </c>
      <c r="G135" s="6">
        <f t="shared" si="5"/>
        <v>0.83287111570717531</v>
      </c>
      <c r="H135" s="9">
        <f t="array" ref="H135">(E135-MIN(IF($D$2:$D$268=D135,$E$2:$E$268)))/MIN(IF($D$2:$D$268=D135,$E$2:$E$268))</f>
        <v>7.4523396880415815E-2</v>
      </c>
      <c r="I135" s="10">
        <f t="array" ref="I135">(F135-MIN(IF($D$2:$D$268=D135,$F$2:$F$268)))/MIN(IF($D$2:$D$268=D135,$F$2:$F$268))</f>
        <v>6.2068384706080552E-2</v>
      </c>
    </row>
    <row r="136" spans="1:9" x14ac:dyDescent="0.25">
      <c r="A136" s="13" t="s">
        <v>178</v>
      </c>
      <c r="B136" s="13" t="s">
        <v>40</v>
      </c>
      <c r="C136" s="13" t="s">
        <v>225</v>
      </c>
      <c r="D136" s="13" t="s">
        <v>228</v>
      </c>
      <c r="E136" s="32">
        <v>0.64200000000000002</v>
      </c>
      <c r="F136" s="33">
        <v>254.84</v>
      </c>
      <c r="G136" s="6">
        <f t="shared" si="5"/>
        <v>0.64891100141226576</v>
      </c>
      <c r="H136" s="9">
        <f t="array" ref="H136">(E136-MIN(IF($D$2:$D$268=D136,$E$2:$E$268)))/MIN(IF($D$2:$D$268=D136,$E$2:$E$268))</f>
        <v>0.11265164644714028</v>
      </c>
      <c r="I136" s="10">
        <f t="array" ref="I136">(F136-MIN(IF($D$2:$D$268=D136,$F$2:$F$268)))/MIN(IF($D$2:$D$268=D136,$F$2:$F$268))</f>
        <v>7.3100892706754309E-2</v>
      </c>
    </row>
    <row r="137" spans="1:9" x14ac:dyDescent="0.25">
      <c r="A137" s="13" t="s">
        <v>178</v>
      </c>
      <c r="B137" s="13" t="s">
        <v>40</v>
      </c>
      <c r="C137" s="13" t="s">
        <v>225</v>
      </c>
      <c r="D137" s="13" t="s">
        <v>228</v>
      </c>
      <c r="E137" s="32">
        <v>0.68500000000000005</v>
      </c>
      <c r="F137" s="33">
        <v>270.38</v>
      </c>
      <c r="G137" s="6">
        <f t="shared" si="5"/>
        <v>0.74015199720522307</v>
      </c>
      <c r="H137" s="9">
        <f t="array" ref="H137">(E137-MIN(IF($D$2:$D$268=D137,$E$2:$E$268)))/MIN(IF($D$2:$D$268=D137,$E$2:$E$268))</f>
        <v>0.18717504332755627</v>
      </c>
      <c r="I137" s="10">
        <f t="array" ref="I137">(F137-MIN(IF($D$2:$D$268=D137,$F$2:$F$268)))/MIN(IF($D$2:$D$268=D137,$F$2:$F$268))</f>
        <v>0.13853798214586494</v>
      </c>
    </row>
    <row r="138" spans="1:9" x14ac:dyDescent="0.25">
      <c r="A138" s="13" t="s">
        <v>178</v>
      </c>
      <c r="B138" s="13" t="s">
        <v>40</v>
      </c>
      <c r="C138" s="13" t="s">
        <v>225</v>
      </c>
      <c r="D138" s="13" t="s">
        <v>228</v>
      </c>
      <c r="E138" s="32">
        <v>0.71200000000000008</v>
      </c>
      <c r="F138" s="33">
        <v>290.58000000000004</v>
      </c>
      <c r="G138" s="6">
        <f t="shared" si="5"/>
        <v>0.95567346022121258</v>
      </c>
      <c r="H138" s="9">
        <f t="array" ref="H138">(E138-MIN(IF($D$2:$D$268=D138,$E$2:$E$268)))/MIN(IF($D$2:$D$268=D138,$E$2:$E$268))</f>
        <v>0.2339688041594454</v>
      </c>
      <c r="I138" s="10">
        <f t="array" ref="I138">(F138-MIN(IF($D$2:$D$268=D138,$F$2:$F$268)))/MIN(IF($D$2:$D$268=D138,$F$2:$F$268))</f>
        <v>0.22359777665487643</v>
      </c>
    </row>
    <row r="139" spans="1:9" x14ac:dyDescent="0.25">
      <c r="A139" s="13" t="s">
        <v>178</v>
      </c>
      <c r="B139" s="13" t="s">
        <v>40</v>
      </c>
      <c r="C139" s="13" t="s">
        <v>225</v>
      </c>
      <c r="D139" s="13" t="s">
        <v>228</v>
      </c>
      <c r="E139" s="32">
        <v>0.73</v>
      </c>
      <c r="F139" s="33">
        <v>317.45000000000005</v>
      </c>
      <c r="G139" s="6">
        <f t="shared" si="5"/>
        <v>1.2699436127266601</v>
      </c>
      <c r="H139" s="9">
        <f t="array" ref="H139">(E139-MIN(IF($D$2:$D$268=D139,$E$2:$E$268)))/MIN(IF($D$2:$D$268=D139,$E$2:$E$268))</f>
        <v>0.26516464471403794</v>
      </c>
      <c r="I139" s="10">
        <f t="array" ref="I139">(F139-MIN(IF($D$2:$D$268=D139,$F$2:$F$268)))/MIN(IF($D$2:$D$268=D139,$F$2:$F$268))</f>
        <v>0.33674414687552662</v>
      </c>
    </row>
    <row r="140" spans="1:9" x14ac:dyDescent="0.25">
      <c r="A140" s="13" t="s">
        <v>178</v>
      </c>
      <c r="B140" s="13" t="s">
        <v>40</v>
      </c>
      <c r="C140" s="13" t="s">
        <v>225</v>
      </c>
      <c r="D140" s="13" t="s">
        <v>228</v>
      </c>
      <c r="E140" s="32">
        <v>0.77</v>
      </c>
      <c r="F140" s="33">
        <v>354.23</v>
      </c>
      <c r="G140" s="6">
        <f t="shared" si="5"/>
        <v>1.4697665295621303</v>
      </c>
      <c r="H140" s="9">
        <f t="array" ref="H140">(E140-MIN(IF($D$2:$D$268=D140,$E$2:$E$268)))/MIN(IF($D$2:$D$268=D140,$E$2:$E$268))</f>
        <v>0.33448873483535518</v>
      </c>
      <c r="I140" s="10">
        <f t="array" ref="I140">(F140-MIN(IF($D$2:$D$268=D140,$F$2:$F$268)))/MIN(IF($D$2:$D$268=D140,$F$2:$F$268))</f>
        <v>0.49162034697658763</v>
      </c>
    </row>
    <row r="141" spans="1:9" x14ac:dyDescent="0.25">
      <c r="A141" s="13" t="s">
        <v>178</v>
      </c>
      <c r="B141" s="13" t="s">
        <v>40</v>
      </c>
      <c r="C141" s="13" t="s">
        <v>225</v>
      </c>
      <c r="D141" s="13" t="s">
        <v>229</v>
      </c>
      <c r="E141" s="32">
        <v>0.57700000000000007</v>
      </c>
      <c r="F141" s="33">
        <v>237.48</v>
      </c>
      <c r="G141" s="6" t="str">
        <f t="shared" si="5"/>
        <v/>
      </c>
      <c r="H141" s="9">
        <f t="array" ref="H141">(E141-MIN(IF($D$2:$D$268=D141,$E$2:$E$268)))/MIN(IF($D$2:$D$268=D141,$E$2:$E$268))</f>
        <v>0</v>
      </c>
      <c r="I141" s="10">
        <f t="array" ref="I141">(F141-MIN(IF($D$2:$D$268=D141,$F$2:$F$268)))/MIN(IF($D$2:$D$268=D141,$F$2:$F$268))</f>
        <v>0</v>
      </c>
    </row>
    <row r="142" spans="1:9" x14ac:dyDescent="0.25">
      <c r="A142" s="13" t="s">
        <v>178</v>
      </c>
      <c r="B142" s="13" t="s">
        <v>40</v>
      </c>
      <c r="C142" s="13" t="s">
        <v>225</v>
      </c>
      <c r="D142" s="13" t="s">
        <v>229</v>
      </c>
      <c r="E142" s="32">
        <v>0.59499999999999997</v>
      </c>
      <c r="F142" s="33">
        <v>246.37999999999997</v>
      </c>
      <c r="G142" s="6">
        <f t="shared" si="5"/>
        <v>1.2013409316340125</v>
      </c>
      <c r="H142" s="9">
        <f t="array" ref="H142">(E142-MIN(IF($D$2:$D$268=D142,$E$2:$E$268)))/MIN(IF($D$2:$D$268=D142,$E$2:$E$268))</f>
        <v>3.1195840554592551E-2</v>
      </c>
      <c r="I142" s="10">
        <f t="array" ref="I142">(F142-MIN(IF($D$2:$D$268=D142,$F$2:$F$268)))/MIN(IF($D$2:$D$268=D142,$F$2:$F$268))</f>
        <v>3.7476840154960327E-2</v>
      </c>
    </row>
    <row r="143" spans="1:9" x14ac:dyDescent="0.25">
      <c r="A143" s="13" t="s">
        <v>178</v>
      </c>
      <c r="B143" s="13" t="s">
        <v>40</v>
      </c>
      <c r="C143" s="13" t="s">
        <v>225</v>
      </c>
      <c r="D143" s="13" t="s">
        <v>229</v>
      </c>
      <c r="E143" s="32">
        <v>0.62</v>
      </c>
      <c r="F143" s="33">
        <v>252.22</v>
      </c>
      <c r="G143" s="6">
        <f t="shared" si="5"/>
        <v>0.83287111570717531</v>
      </c>
      <c r="H143" s="9">
        <f t="array" ref="H143">(E143-MIN(IF($D$2:$D$268=D143,$E$2:$E$268)))/MIN(IF($D$2:$D$268=D143,$E$2:$E$268))</f>
        <v>7.4523396880415815E-2</v>
      </c>
      <c r="I143" s="10">
        <f t="array" ref="I143">(F143-MIN(IF($D$2:$D$268=D143,$F$2:$F$268)))/MIN(IF($D$2:$D$268=D143,$F$2:$F$268))</f>
        <v>6.2068384706080552E-2</v>
      </c>
    </row>
    <row r="144" spans="1:9" x14ac:dyDescent="0.25">
      <c r="A144" s="13" t="s">
        <v>178</v>
      </c>
      <c r="B144" s="13" t="s">
        <v>40</v>
      </c>
      <c r="C144" s="13" t="s">
        <v>225</v>
      </c>
      <c r="D144" s="13" t="s">
        <v>229</v>
      </c>
      <c r="E144" s="32">
        <v>0.64200000000000002</v>
      </c>
      <c r="F144" s="33">
        <v>254.84</v>
      </c>
      <c r="G144" s="6">
        <f t="shared" si="5"/>
        <v>0.64891100141226576</v>
      </c>
      <c r="H144" s="9">
        <f t="array" ref="H144">(E144-MIN(IF($D$2:$D$268=D144,$E$2:$E$268)))/MIN(IF($D$2:$D$268=D144,$E$2:$E$268))</f>
        <v>0.11265164644714028</v>
      </c>
      <c r="I144" s="10">
        <f t="array" ref="I144">(F144-MIN(IF($D$2:$D$268=D144,$F$2:$F$268)))/MIN(IF($D$2:$D$268=D144,$F$2:$F$268))</f>
        <v>7.3100892706754309E-2</v>
      </c>
    </row>
    <row r="145" spans="1:9" x14ac:dyDescent="0.25">
      <c r="A145" s="13" t="s">
        <v>178</v>
      </c>
      <c r="B145" s="13" t="s">
        <v>40</v>
      </c>
      <c r="C145" s="13" t="s">
        <v>225</v>
      </c>
      <c r="D145" s="13" t="s">
        <v>229</v>
      </c>
      <c r="E145" s="32">
        <v>0.68500000000000005</v>
      </c>
      <c r="F145" s="33">
        <v>282.21000000000004</v>
      </c>
      <c r="G145" s="6">
        <f t="shared" si="5"/>
        <v>1.0062917579024213</v>
      </c>
      <c r="H145" s="9">
        <f t="array" ref="H145">(E145-MIN(IF($D$2:$D$268=D145,$E$2:$E$268)))/MIN(IF($D$2:$D$268=D145,$E$2:$E$268))</f>
        <v>0.18717504332755627</v>
      </c>
      <c r="I145" s="10">
        <f t="array" ref="I145">(F145-MIN(IF($D$2:$D$268=D145,$F$2:$F$268)))/MIN(IF($D$2:$D$268=D145,$F$2:$F$268))</f>
        <v>0.18835270338554846</v>
      </c>
    </row>
    <row r="146" spans="1:9" x14ac:dyDescent="0.25">
      <c r="A146" s="13" t="s">
        <v>178</v>
      </c>
      <c r="B146" s="13" t="s">
        <v>40</v>
      </c>
      <c r="C146" s="13" t="s">
        <v>225</v>
      </c>
      <c r="D146" s="13" t="s">
        <v>229</v>
      </c>
      <c r="E146" s="32">
        <v>0.71200000000000008</v>
      </c>
      <c r="F146" s="33">
        <v>290.58000000000004</v>
      </c>
      <c r="G146" s="6">
        <f t="shared" si="5"/>
        <v>0.95567346022121258</v>
      </c>
      <c r="H146" s="9">
        <f t="array" ref="H146">(E146-MIN(IF($D$2:$D$268=D146,$E$2:$E$268)))/MIN(IF($D$2:$D$268=D146,$E$2:$E$268))</f>
        <v>0.2339688041594454</v>
      </c>
      <c r="I146" s="10">
        <f t="array" ref="I146">(F146-MIN(IF($D$2:$D$268=D146,$F$2:$F$268)))/MIN(IF($D$2:$D$268=D146,$F$2:$F$268))</f>
        <v>0.22359777665487643</v>
      </c>
    </row>
    <row r="147" spans="1:9" x14ac:dyDescent="0.25">
      <c r="A147" s="13" t="s">
        <v>178</v>
      </c>
      <c r="B147" s="13" t="s">
        <v>40</v>
      </c>
      <c r="C147" s="13" t="s">
        <v>225</v>
      </c>
      <c r="D147" s="13" t="s">
        <v>229</v>
      </c>
      <c r="E147" s="32">
        <v>0.73</v>
      </c>
      <c r="F147" s="33">
        <v>406.46000000000004</v>
      </c>
      <c r="G147" s="6">
        <f t="shared" si="5"/>
        <v>2.6834446877397893</v>
      </c>
      <c r="H147" s="9">
        <f t="array" ref="H147">(E147-MIN(IF($D$2:$D$268=D147,$E$2:$E$268)))/MIN(IF($D$2:$D$268=D147,$E$2:$E$268))</f>
        <v>0.26516464471403794</v>
      </c>
      <c r="I147" s="10">
        <f t="array" ref="I147">(F147-MIN(IF($D$2:$D$268=D147,$F$2:$F$268)))/MIN(IF($D$2:$D$268=D147,$F$2:$F$268))</f>
        <v>0.71155465723429367</v>
      </c>
    </row>
    <row r="148" spans="1:9" x14ac:dyDescent="0.25">
      <c r="A148" s="13" t="s">
        <v>178</v>
      </c>
      <c r="B148" s="13" t="s">
        <v>40</v>
      </c>
      <c r="C148" s="13" t="s">
        <v>225</v>
      </c>
      <c r="D148" s="13" t="s">
        <v>229</v>
      </c>
      <c r="E148" s="32">
        <v>0.77</v>
      </c>
      <c r="F148" s="33">
        <v>2276.42</v>
      </c>
      <c r="G148" s="6">
        <f t="shared" si="5"/>
        <v>25.66822927439323</v>
      </c>
      <c r="H148" s="9">
        <f t="array" ref="H148">(E148-MIN(IF($D$2:$D$268=D148,$E$2:$E$268)))/MIN(IF($D$2:$D$268=D148,$E$2:$E$268))</f>
        <v>0.33448873483535518</v>
      </c>
      <c r="I148" s="10">
        <f t="array" ref="I148">(F148-MIN(IF($D$2:$D$268=D148,$F$2:$F$268)))/MIN(IF($D$2:$D$268=D148,$F$2:$F$268))</f>
        <v>8.5857335354556188</v>
      </c>
    </row>
    <row r="149" spans="1:9" x14ac:dyDescent="0.25">
      <c r="A149" s="13" t="s">
        <v>178</v>
      </c>
      <c r="B149" s="13" t="s">
        <v>40</v>
      </c>
      <c r="C149" s="13" t="s">
        <v>225</v>
      </c>
      <c r="D149" t="s">
        <v>230</v>
      </c>
      <c r="E149" s="32">
        <v>0.71</v>
      </c>
      <c r="F149" s="33">
        <v>288.86</v>
      </c>
      <c r="G149" s="6" t="str">
        <f t="shared" si="5"/>
        <v/>
      </c>
      <c r="H149" s="9">
        <f t="array" ref="H149">(E149-MIN(IF($D$2:$D$268=D149,$E$2:$E$268)))/MIN(IF($D$2:$D$268=D149,$E$2:$E$268))</f>
        <v>0</v>
      </c>
      <c r="I149" s="10">
        <f t="array" ref="I149">(F149-MIN(IF($D$2:$D$268=D149,$F$2:$F$268)))/MIN(IF($D$2:$D$268=D149,$F$2:$F$268))</f>
        <v>0</v>
      </c>
    </row>
    <row r="150" spans="1:9" x14ac:dyDescent="0.25">
      <c r="A150" s="13" t="s">
        <v>178</v>
      </c>
      <c r="B150" s="13" t="s">
        <v>40</v>
      </c>
      <c r="C150" s="13" t="s">
        <v>225</v>
      </c>
      <c r="D150" s="13" t="s">
        <v>230</v>
      </c>
      <c r="E150" s="32">
        <v>0.74299999999999999</v>
      </c>
      <c r="F150" s="33">
        <v>299.14</v>
      </c>
      <c r="G150" s="6">
        <f t="shared" si="5"/>
        <v>0.76568496010439935</v>
      </c>
      <c r="H150" s="9">
        <f t="array" ref="H150">(E150-MIN(IF($D$2:$D$268=D150,$E$2:$E$268)))/MIN(IF($D$2:$D$268=D150,$E$2:$E$268))</f>
        <v>4.6478873239436662E-2</v>
      </c>
      <c r="I150" s="10">
        <f t="array" ref="I150">(F150-MIN(IF($D$2:$D$268=D150,$F$2:$F$268)))/MIN(IF($D$2:$D$268=D150,$F$2:$F$268))</f>
        <v>3.5588174202035493E-2</v>
      </c>
    </row>
    <row r="151" spans="1:9" x14ac:dyDescent="0.25">
      <c r="A151" s="13" t="s">
        <v>178</v>
      </c>
      <c r="B151" s="13" t="s">
        <v>40</v>
      </c>
      <c r="C151" s="13" t="s">
        <v>225</v>
      </c>
      <c r="D151" s="13" t="s">
        <v>230</v>
      </c>
      <c r="E151" s="32">
        <v>0.78299999999999992</v>
      </c>
      <c r="F151" s="33">
        <v>324.96000000000004</v>
      </c>
      <c r="G151" s="6">
        <f t="shared" si="5"/>
        <v>1.2155008967703951</v>
      </c>
      <c r="H151" s="9">
        <f t="array" ref="H151">(E151-MIN(IF($D$2:$D$268=D151,$E$2:$E$268)))/MIN(IF($D$2:$D$268=D151,$E$2:$E$268))</f>
        <v>0.10281690140845065</v>
      </c>
      <c r="I151" s="10">
        <f t="array" ref="I151">(F151-MIN(IF($D$2:$D$268=D151,$F$2:$F$268)))/MIN(IF($D$2:$D$268=D151,$F$2:$F$268))</f>
        <v>0.12497403586512505</v>
      </c>
    </row>
    <row r="152" spans="1:9" x14ac:dyDescent="0.25">
      <c r="A152" s="13" t="s">
        <v>178</v>
      </c>
      <c r="B152" s="13" t="s">
        <v>40</v>
      </c>
      <c r="C152" s="13" t="s">
        <v>225</v>
      </c>
      <c r="D152" s="13" t="s">
        <v>230</v>
      </c>
      <c r="E152" s="32">
        <v>0.80299999999999994</v>
      </c>
      <c r="F152" s="33">
        <v>335.67000000000007</v>
      </c>
      <c r="G152" s="6">
        <f t="shared" si="5"/>
        <v>1.2371621777562389</v>
      </c>
      <c r="H152" s="9">
        <f t="array" ref="H152">(E152-MIN(IF($D$2:$D$268=D152,$E$2:$E$268)))/MIN(IF($D$2:$D$268=D152,$E$2:$E$268))</f>
        <v>0.13098591549295771</v>
      </c>
      <c r="I152" s="10">
        <f t="array" ref="I152">(F152-MIN(IF($D$2:$D$268=D152,$F$2:$F$268)))/MIN(IF($D$2:$D$268=D152,$F$2:$F$268))</f>
        <v>0.16205082046666225</v>
      </c>
    </row>
    <row r="153" spans="1:9" x14ac:dyDescent="0.25">
      <c r="A153" s="13" t="s">
        <v>178</v>
      </c>
      <c r="B153" s="13" t="s">
        <v>40</v>
      </c>
      <c r="C153" s="13" t="s">
        <v>225</v>
      </c>
      <c r="D153" s="13" t="s">
        <v>230</v>
      </c>
      <c r="E153" s="32">
        <v>0.81599999999999995</v>
      </c>
      <c r="F153" s="33">
        <v>353.24</v>
      </c>
      <c r="G153" s="6">
        <f t="shared" si="5"/>
        <v>1.4928495752332851</v>
      </c>
      <c r="H153" s="9">
        <f t="array" ref="H153">(E153-MIN(IF($D$2:$D$268=D153,$E$2:$E$268)))/MIN(IF($D$2:$D$268=D153,$E$2:$E$268))</f>
        <v>0.14929577464788732</v>
      </c>
      <c r="I153" s="10">
        <f t="array" ref="I153">(F153-MIN(IF($D$2:$D$268=D153,$F$2:$F$268)))/MIN(IF($D$2:$D$268=D153,$F$2:$F$268))</f>
        <v>0.22287613376722284</v>
      </c>
    </row>
    <row r="154" spans="1:9" x14ac:dyDescent="0.25">
      <c r="A154" s="13" t="s">
        <v>178</v>
      </c>
      <c r="B154" s="13" t="s">
        <v>40</v>
      </c>
      <c r="C154" s="13" t="s">
        <v>225</v>
      </c>
      <c r="D154" s="13" t="s">
        <v>230</v>
      </c>
      <c r="E154" s="32">
        <v>0.82700000000000007</v>
      </c>
      <c r="F154" s="33">
        <v>366.15</v>
      </c>
      <c r="G154" s="6">
        <f t="shared" si="5"/>
        <v>1.6237097082489294</v>
      </c>
      <c r="H154" s="9">
        <f t="array" ref="H154">(E154-MIN(IF($D$2:$D$268=D154,$E$2:$E$268)))/MIN(IF($D$2:$D$268=D154,$E$2:$E$268))</f>
        <v>0.16478873239436634</v>
      </c>
      <c r="I154" s="10">
        <f t="array" ref="I154">(F154-MIN(IF($D$2:$D$268=D154,$F$2:$F$268)))/MIN(IF($D$2:$D$268=D154,$F$2:$F$268))</f>
        <v>0.26756906459876745</v>
      </c>
    </row>
    <row r="155" spans="1:9" x14ac:dyDescent="0.25">
      <c r="A155" s="13" t="s">
        <v>178</v>
      </c>
      <c r="B155" s="13" t="s">
        <v>40</v>
      </c>
      <c r="C155" s="13" t="s">
        <v>225</v>
      </c>
      <c r="D155" s="13" t="s">
        <v>230</v>
      </c>
      <c r="E155" s="32">
        <v>0.83700000000000008</v>
      </c>
      <c r="F155" s="33">
        <v>389.46000000000004</v>
      </c>
      <c r="G155" s="6">
        <f t="shared" si="5"/>
        <v>1.9469966378830477</v>
      </c>
      <c r="H155" s="9">
        <f t="array" ref="H155">(E155-MIN(IF($D$2:$D$268=D155,$E$2:$E$268)))/MIN(IF($D$2:$D$268=D155,$E$2:$E$268))</f>
        <v>0.1788732394366199</v>
      </c>
      <c r="I155" s="10">
        <f t="array" ref="I155">(F155-MIN(IF($D$2:$D$268=D155,$F$2:$F$268)))/MIN(IF($D$2:$D$268=D155,$F$2:$F$268))</f>
        <v>0.34826559579034833</v>
      </c>
    </row>
    <row r="156" spans="1:9" x14ac:dyDescent="0.25">
      <c r="A156" s="13" t="s">
        <v>178</v>
      </c>
      <c r="B156" s="13" t="s">
        <v>40</v>
      </c>
      <c r="C156" s="13" t="s">
        <v>225</v>
      </c>
      <c r="D156" s="13" t="s">
        <v>230</v>
      </c>
      <c r="E156" s="32">
        <v>0.85400000000000009</v>
      </c>
      <c r="F156" s="33">
        <v>408.42000000000007</v>
      </c>
      <c r="G156" s="6">
        <f t="shared" si="5"/>
        <v>2.0407713848307898</v>
      </c>
      <c r="H156" s="9">
        <f t="array" ref="H156">(E156-MIN(IF($D$2:$D$268=D156,$E$2:$E$268)))/MIN(IF($D$2:$D$268=D156,$E$2:$E$268))</f>
        <v>0.20281690140845091</v>
      </c>
      <c r="I156" s="10">
        <f t="array" ref="I156">(F156-MIN(IF($D$2:$D$268=D156,$F$2:$F$268)))/MIN(IF($D$2:$D$268=D156,$F$2:$F$268))</f>
        <v>0.41390292875441409</v>
      </c>
    </row>
    <row r="157" spans="1:9" x14ac:dyDescent="0.25">
      <c r="A157" s="13" t="s">
        <v>178</v>
      </c>
      <c r="B157" s="13" t="s">
        <v>40</v>
      </c>
      <c r="C157" s="13" t="s">
        <v>225</v>
      </c>
      <c r="D157" s="13" t="s">
        <v>230</v>
      </c>
      <c r="E157" s="32">
        <v>0.873</v>
      </c>
      <c r="F157" s="33">
        <v>742.98</v>
      </c>
      <c r="G157" s="6">
        <f t="shared" si="5"/>
        <v>6.8478457095355578</v>
      </c>
      <c r="H157" s="9">
        <f t="array" ref="H157">(E157-MIN(IF($D$2:$D$268=D157,$E$2:$E$268)))/MIN(IF($D$2:$D$268=D157,$E$2:$E$268))</f>
        <v>0.22957746478873245</v>
      </c>
      <c r="I157" s="10">
        <f t="array" ref="I157">(F157-MIN(IF($D$2:$D$268=D157,$F$2:$F$268)))/MIN(IF($D$2:$D$268=D157,$F$2:$F$268))</f>
        <v>1.572111057259572</v>
      </c>
    </row>
    <row r="158" spans="1:9" x14ac:dyDescent="0.25">
      <c r="A158" s="13" t="s">
        <v>178</v>
      </c>
      <c r="B158" s="13" t="s">
        <v>40</v>
      </c>
      <c r="C158" s="13" t="s">
        <v>225</v>
      </c>
      <c r="D158" s="13" t="s">
        <v>231</v>
      </c>
      <c r="E158" s="32">
        <v>0.71</v>
      </c>
      <c r="F158" s="33">
        <v>288.86</v>
      </c>
      <c r="G158" s="6" t="str">
        <f t="shared" si="5"/>
        <v/>
      </c>
      <c r="H158" s="9">
        <f t="array" ref="H158">(E158-MIN(IF($D$2:$D$268=D158,$E$2:$E$268)))/MIN(IF($D$2:$D$268=D158,$E$2:$E$268))</f>
        <v>0</v>
      </c>
      <c r="I158" s="10">
        <f t="array" ref="I158">(F158-MIN(IF($D$2:$D$268=D158,$F$2:$F$268)))/MIN(IF($D$2:$D$268=D158,$F$2:$F$268))</f>
        <v>0</v>
      </c>
    </row>
    <row r="159" spans="1:9" x14ac:dyDescent="0.25">
      <c r="A159" s="13" t="s">
        <v>178</v>
      </c>
      <c r="B159" s="13" t="s">
        <v>40</v>
      </c>
      <c r="C159" s="13" t="s">
        <v>225</v>
      </c>
      <c r="D159" s="13" t="s">
        <v>231</v>
      </c>
      <c r="E159" s="32">
        <v>0.74299999999999999</v>
      </c>
      <c r="F159" s="33">
        <v>299.14</v>
      </c>
      <c r="G159" s="6">
        <f t="shared" si="5"/>
        <v>0.76568496010439935</v>
      </c>
      <c r="H159" s="9">
        <f t="array" ref="H159">(E159-MIN(IF($D$2:$D$268=D159,$E$2:$E$268)))/MIN(IF($D$2:$D$268=D159,$E$2:$E$268))</f>
        <v>4.6478873239436662E-2</v>
      </c>
      <c r="I159" s="10">
        <f t="array" ref="I159">(F159-MIN(IF($D$2:$D$268=D159,$F$2:$F$268)))/MIN(IF($D$2:$D$268=D159,$F$2:$F$268))</f>
        <v>3.5588174202035493E-2</v>
      </c>
    </row>
    <row r="160" spans="1:9" x14ac:dyDescent="0.25">
      <c r="A160" s="13" t="s">
        <v>178</v>
      </c>
      <c r="B160" s="13" t="s">
        <v>40</v>
      </c>
      <c r="C160" s="13" t="s">
        <v>225</v>
      </c>
      <c r="D160" s="13" t="s">
        <v>231</v>
      </c>
      <c r="E160" s="32">
        <v>0.78299999999999992</v>
      </c>
      <c r="F160" s="33">
        <v>336.42000000000007</v>
      </c>
      <c r="G160" s="6">
        <f t="shared" si="5"/>
        <v>1.60136350832133</v>
      </c>
      <c r="H160" s="9">
        <f t="array" ref="H160">(E160-MIN(IF($D$2:$D$268=D160,$E$2:$E$268)))/MIN(IF($D$2:$D$268=D160,$E$2:$E$268))</f>
        <v>0.10281690140845065</v>
      </c>
      <c r="I160" s="10">
        <f t="array" ref="I160">(F160-MIN(IF($D$2:$D$268=D160,$F$2:$F$268)))/MIN(IF($D$2:$D$268=D160,$F$2:$F$268))</f>
        <v>0.16464723395416483</v>
      </c>
    </row>
    <row r="161" spans="1:9" x14ac:dyDescent="0.25">
      <c r="A161" s="13" t="s">
        <v>178</v>
      </c>
      <c r="B161" s="13" t="s">
        <v>40</v>
      </c>
      <c r="C161" s="13" t="s">
        <v>225</v>
      </c>
      <c r="D161" s="13" t="s">
        <v>231</v>
      </c>
      <c r="E161" s="32">
        <v>0.80299999999999994</v>
      </c>
      <c r="F161" s="33">
        <v>346.77</v>
      </c>
      <c r="G161" s="6">
        <f t="shared" si="5"/>
        <v>1.5305289834194333</v>
      </c>
      <c r="H161" s="9">
        <f t="array" ref="H161">(E161-MIN(IF($D$2:$D$268=D161,$E$2:$E$268)))/MIN(IF($D$2:$D$268=D161,$E$2:$E$268))</f>
        <v>0.13098591549295771</v>
      </c>
      <c r="I161" s="10">
        <f t="array" ref="I161">(F161-MIN(IF($D$2:$D$268=D161,$F$2:$F$268)))/MIN(IF($D$2:$D$268=D161,$F$2:$F$268))</f>
        <v>0.20047774008170036</v>
      </c>
    </row>
    <row r="162" spans="1:9" x14ac:dyDescent="0.25">
      <c r="A162" s="13" t="s">
        <v>178</v>
      </c>
      <c r="B162" s="13" t="s">
        <v>40</v>
      </c>
      <c r="C162" s="13" t="s">
        <v>225</v>
      </c>
      <c r="D162" s="13" t="s">
        <v>231</v>
      </c>
      <c r="E162" s="32">
        <v>0.81599999999999995</v>
      </c>
      <c r="F162" s="33">
        <v>354.15</v>
      </c>
      <c r="G162" s="6">
        <f t="shared" si="5"/>
        <v>1.5139507419537299</v>
      </c>
      <c r="H162" s="9">
        <f t="array" ref="H162">(E162-MIN(IF($D$2:$D$268=D162,$E$2:$E$268)))/MIN(IF($D$2:$D$268=D162,$E$2:$E$268))</f>
        <v>0.14929577464788732</v>
      </c>
      <c r="I162" s="10">
        <f t="array" ref="I162">(F162-MIN(IF($D$2:$D$268=D162,$F$2:$F$268)))/MIN(IF($D$2:$D$268=D162,$F$2:$F$268))</f>
        <v>0.22602644879872588</v>
      </c>
    </row>
    <row r="163" spans="1:9" x14ac:dyDescent="0.25">
      <c r="A163" s="13" t="s">
        <v>178</v>
      </c>
      <c r="B163" s="13" t="s">
        <v>40</v>
      </c>
      <c r="C163" s="13" t="s">
        <v>225</v>
      </c>
      <c r="D163" s="13" t="s">
        <v>231</v>
      </c>
      <c r="E163" s="32">
        <v>0.82700000000000007</v>
      </c>
      <c r="F163" s="33">
        <v>368.83000000000004</v>
      </c>
      <c r="G163" s="6">
        <f t="shared" si="5"/>
        <v>1.6800111963859099</v>
      </c>
      <c r="H163" s="9">
        <f t="array" ref="H163">(E163-MIN(IF($D$2:$D$268=D163,$E$2:$E$268)))/MIN(IF($D$2:$D$268=D163,$E$2:$E$268))</f>
        <v>0.16478873239436634</v>
      </c>
      <c r="I163" s="10">
        <f t="array" ref="I163">(F163-MIN(IF($D$2:$D$268=D163,$F$2:$F$268)))/MIN(IF($D$2:$D$268=D163,$F$2:$F$268))</f>
        <v>0.27684691546077694</v>
      </c>
    </row>
    <row r="164" spans="1:9" x14ac:dyDescent="0.25">
      <c r="A164" s="13" t="s">
        <v>178</v>
      </c>
      <c r="B164" s="13" t="s">
        <v>40</v>
      </c>
      <c r="C164" s="13" t="s">
        <v>225</v>
      </c>
      <c r="D164" s="13" t="s">
        <v>231</v>
      </c>
      <c r="E164" s="32">
        <v>0.83700000000000008</v>
      </c>
      <c r="F164" s="33">
        <v>522.82000000000005</v>
      </c>
      <c r="G164" s="6">
        <f t="shared" si="5"/>
        <v>4.5280251828938152</v>
      </c>
      <c r="H164" s="9">
        <f t="array" ref="H164">(E164-MIN(IF($D$2:$D$268=D164,$E$2:$E$268)))/MIN(IF($D$2:$D$268=D164,$E$2:$E$268))</f>
        <v>0.1788732394366199</v>
      </c>
      <c r="I164" s="10">
        <f t="array" ref="I164">(F164-MIN(IF($D$2:$D$268=D164,$F$2:$F$268)))/MIN(IF($D$2:$D$268=D164,$F$2:$F$268))</f>
        <v>0.80994253271480998</v>
      </c>
    </row>
    <row r="165" spans="1:9" x14ac:dyDescent="0.25">
      <c r="A165" s="13" t="s">
        <v>178</v>
      </c>
      <c r="B165" s="13" t="s">
        <v>40</v>
      </c>
      <c r="C165" s="13" t="s">
        <v>225</v>
      </c>
      <c r="D165" s="13" t="s">
        <v>231</v>
      </c>
      <c r="E165" s="32">
        <v>0.85400000000000009</v>
      </c>
      <c r="F165" s="33">
        <v>537.86</v>
      </c>
      <c r="G165" s="6">
        <f t="shared" si="5"/>
        <v>4.2501846338479963</v>
      </c>
      <c r="H165" s="9">
        <f t="array" ref="H165">(E165-MIN(IF($D$2:$D$268=D165,$E$2:$E$268)))/MIN(IF($D$2:$D$268=D165,$E$2:$E$268))</f>
        <v>0.20281690140845091</v>
      </c>
      <c r="I165" s="10">
        <f t="array" ref="I165">(F165-MIN(IF($D$2:$D$268=D165,$F$2:$F$268)))/MIN(IF($D$2:$D$268=D165,$F$2:$F$268))</f>
        <v>0.86200927785086201</v>
      </c>
    </row>
    <row r="166" spans="1:9" x14ac:dyDescent="0.25">
      <c r="A166" s="13" t="s">
        <v>178</v>
      </c>
      <c r="B166" s="13" t="s">
        <v>40</v>
      </c>
      <c r="C166" s="13" t="s">
        <v>225</v>
      </c>
      <c r="D166" s="13" t="s">
        <v>231</v>
      </c>
      <c r="E166" s="32">
        <v>0.873</v>
      </c>
      <c r="F166" s="33">
        <v>3343.02</v>
      </c>
      <c r="G166" s="6">
        <f t="shared" si="5"/>
        <v>46.054823509722361</v>
      </c>
      <c r="H166" s="9">
        <f t="array" ref="H166">(E166-MIN(IF($D$2:$D$268=D166,$E$2:$E$268)))/MIN(IF($D$2:$D$268=D166,$E$2:$E$268))</f>
        <v>0.22957746478873245</v>
      </c>
      <c r="I166" s="10">
        <f t="array" ref="I166">(F166-MIN(IF($D$2:$D$268=D166,$F$2:$F$268)))/MIN(IF($D$2:$D$268=D166,$F$2:$F$268))</f>
        <v>10.573149622654572</v>
      </c>
    </row>
    <row r="167" spans="1:9" x14ac:dyDescent="0.25">
      <c r="A167" t="s">
        <v>178</v>
      </c>
      <c r="B167" t="s">
        <v>40</v>
      </c>
      <c r="C167" t="s">
        <v>236</v>
      </c>
      <c r="D167" t="s">
        <v>237</v>
      </c>
      <c r="E167" s="32">
        <v>1</v>
      </c>
      <c r="F167" s="33">
        <v>2817</v>
      </c>
      <c r="G167" s="6" t="str">
        <f t="shared" ref="G167:G230" si="6">IFERROR(I167/H167,"")</f>
        <v/>
      </c>
      <c r="H167" s="9">
        <f t="array" ref="H167">(E167-MIN(IF($D$2:$D$268=D167,$E$2:$E$268)))/MIN(IF($D$2:$D$268=D167,$E$2:$E$268))</f>
        <v>0</v>
      </c>
      <c r="I167" s="10">
        <f t="array" ref="I167">(F167-MIN(IF($D$2:$D$268=D167,$F$2:$F$268)))/MIN(IF($D$2:$D$268=D167,$F$2:$F$268))</f>
        <v>0</v>
      </c>
    </row>
    <row r="168" spans="1:9" x14ac:dyDescent="0.25">
      <c r="A168" s="13" t="s">
        <v>178</v>
      </c>
      <c r="B168" s="13" t="s">
        <v>40</v>
      </c>
      <c r="C168" s="13" t="s">
        <v>236</v>
      </c>
      <c r="D168" s="13" t="s">
        <v>237</v>
      </c>
      <c r="E168" s="32">
        <v>1.05</v>
      </c>
      <c r="F168" s="33">
        <v>2832</v>
      </c>
      <c r="G168" s="6">
        <f t="shared" si="6"/>
        <v>0.10649627263045784</v>
      </c>
      <c r="H168" s="9">
        <f t="array" ref="H168">(E168-MIN(IF($D$2:$D$268=D168,$E$2:$E$268)))/MIN(IF($D$2:$D$268=D168,$E$2:$E$268))</f>
        <v>5.0000000000000044E-2</v>
      </c>
      <c r="I168" s="10">
        <f t="array" ref="I168">(F168-MIN(IF($D$2:$D$268=D168,$F$2:$F$268)))/MIN(IF($D$2:$D$268=D168,$F$2:$F$268))</f>
        <v>5.3248136315228968E-3</v>
      </c>
    </row>
    <row r="169" spans="1:9" x14ac:dyDescent="0.25">
      <c r="A169" s="13" t="s">
        <v>178</v>
      </c>
      <c r="B169" s="13" t="s">
        <v>40</v>
      </c>
      <c r="C169" s="13" t="s">
        <v>236</v>
      </c>
      <c r="D169" s="13" t="s">
        <v>237</v>
      </c>
      <c r="E169" s="32">
        <v>1.1000000000000001</v>
      </c>
      <c r="F169" s="33">
        <v>2867</v>
      </c>
      <c r="G169" s="6">
        <f t="shared" si="6"/>
        <v>0.17749378771742974</v>
      </c>
      <c r="H169" s="9">
        <f t="array" ref="H169">(E169-MIN(IF($D$2:$D$268=D169,$E$2:$E$268)))/MIN(IF($D$2:$D$268=D169,$E$2:$E$268))</f>
        <v>0.10000000000000009</v>
      </c>
      <c r="I169" s="10">
        <f t="array" ref="I169">(F169-MIN(IF($D$2:$D$268=D169,$F$2:$F$268)))/MIN(IF($D$2:$D$268=D169,$F$2:$F$268))</f>
        <v>1.7749378771742989E-2</v>
      </c>
    </row>
    <row r="170" spans="1:9" x14ac:dyDescent="0.25">
      <c r="A170" s="13" t="s">
        <v>178</v>
      </c>
      <c r="B170" s="13" t="s">
        <v>40</v>
      </c>
      <c r="C170" s="13" t="s">
        <v>236</v>
      </c>
      <c r="D170" s="13" t="s">
        <v>237</v>
      </c>
      <c r="E170" s="32">
        <v>1.1499999999999999</v>
      </c>
      <c r="F170" s="33">
        <v>2951</v>
      </c>
      <c r="G170" s="6">
        <f t="shared" si="6"/>
        <v>0.31712223405514156</v>
      </c>
      <c r="H170" s="9">
        <f t="array" ref="H170">(E170-MIN(IF($D$2:$D$268=D170,$E$2:$E$268)))/MIN(IF($D$2:$D$268=D170,$E$2:$E$268))</f>
        <v>0.14999999999999991</v>
      </c>
      <c r="I170" s="10">
        <f t="array" ref="I170">(F170-MIN(IF($D$2:$D$268=D170,$F$2:$F$268)))/MIN(IF($D$2:$D$268=D170,$F$2:$F$268))</f>
        <v>4.7568335108271208E-2</v>
      </c>
    </row>
    <row r="171" spans="1:9" x14ac:dyDescent="0.25">
      <c r="A171" s="13" t="s">
        <v>178</v>
      </c>
      <c r="B171" s="13" t="s">
        <v>40</v>
      </c>
      <c r="C171" s="13" t="s">
        <v>236</v>
      </c>
      <c r="D171" s="13" t="s">
        <v>237</v>
      </c>
      <c r="E171" s="32">
        <v>1.2</v>
      </c>
      <c r="F171" s="33">
        <v>3071</v>
      </c>
      <c r="G171" s="6">
        <f t="shared" si="6"/>
        <v>0.45083422080227203</v>
      </c>
      <c r="H171" s="9">
        <f t="array" ref="H171">(E171-MIN(IF($D$2:$D$268=D171,$E$2:$E$268)))/MIN(IF($D$2:$D$268=D171,$E$2:$E$268))</f>
        <v>0.19999999999999996</v>
      </c>
      <c r="I171" s="10">
        <f t="array" ref="I171">(F171-MIN(IF($D$2:$D$268=D171,$F$2:$F$268)))/MIN(IF($D$2:$D$268=D171,$F$2:$F$268))</f>
        <v>9.0166844160454382E-2</v>
      </c>
    </row>
    <row r="172" spans="1:9" x14ac:dyDescent="0.25">
      <c r="A172" s="13" t="s">
        <v>178</v>
      </c>
      <c r="B172" s="13" t="s">
        <v>40</v>
      </c>
      <c r="C172" s="13" t="s">
        <v>236</v>
      </c>
      <c r="D172" s="13" t="s">
        <v>237</v>
      </c>
      <c r="E172" s="32">
        <v>1.25</v>
      </c>
      <c r="F172" s="33">
        <v>3232</v>
      </c>
      <c r="G172" s="6">
        <f t="shared" si="6"/>
        <v>0.58927937522186724</v>
      </c>
      <c r="H172" s="9">
        <f t="array" ref="H172">(E172-MIN(IF($D$2:$D$268=D172,$E$2:$E$268)))/MIN(IF($D$2:$D$268=D172,$E$2:$E$268))</f>
        <v>0.25</v>
      </c>
      <c r="I172" s="10">
        <f t="array" ref="I172">(F172-MIN(IF($D$2:$D$268=D172,$F$2:$F$268)))/MIN(IF($D$2:$D$268=D172,$F$2:$F$268))</f>
        <v>0.14731984380546681</v>
      </c>
    </row>
    <row r="173" spans="1:9" x14ac:dyDescent="0.25">
      <c r="A173" s="13" t="s">
        <v>178</v>
      </c>
      <c r="B173" s="13" t="s">
        <v>40</v>
      </c>
      <c r="C173" s="13" t="s">
        <v>236</v>
      </c>
      <c r="D173" s="13" t="s">
        <v>237</v>
      </c>
      <c r="E173" s="32">
        <v>1.3</v>
      </c>
      <c r="F173" s="33">
        <v>3467</v>
      </c>
      <c r="G173" s="6">
        <f t="shared" si="6"/>
        <v>0.76913974677552943</v>
      </c>
      <c r="H173" s="9">
        <f t="array" ref="H173">(E173-MIN(IF($D$2:$D$268=D173,$E$2:$E$268)))/MIN(IF($D$2:$D$268=D173,$E$2:$E$268))</f>
        <v>0.30000000000000004</v>
      </c>
      <c r="I173" s="10">
        <f t="array" ref="I173">(F173-MIN(IF($D$2:$D$268=D173,$F$2:$F$268)))/MIN(IF($D$2:$D$268=D173,$F$2:$F$268))</f>
        <v>0.23074192403265886</v>
      </c>
    </row>
    <row r="174" spans="1:9" x14ac:dyDescent="0.25">
      <c r="A174" s="13" t="s">
        <v>178</v>
      </c>
      <c r="B174" s="13" t="s">
        <v>40</v>
      </c>
      <c r="C174" s="13" t="s">
        <v>236</v>
      </c>
      <c r="D174" s="13" t="s">
        <v>237</v>
      </c>
      <c r="E174" s="32">
        <v>1.35</v>
      </c>
      <c r="F174" s="33">
        <v>3701</v>
      </c>
      <c r="G174" s="6">
        <f t="shared" si="6"/>
        <v>0.89659719052690268</v>
      </c>
      <c r="H174" s="9">
        <f t="array" ref="H174">(E174-MIN(IF($D$2:$D$268=D174,$E$2:$E$268)))/MIN(IF($D$2:$D$268=D174,$E$2:$E$268))</f>
        <v>0.35000000000000009</v>
      </c>
      <c r="I174" s="10">
        <f t="array" ref="I174">(F174-MIN(IF($D$2:$D$268=D174,$F$2:$F$268)))/MIN(IF($D$2:$D$268=D174,$F$2:$F$268))</f>
        <v>0.31380901668441602</v>
      </c>
    </row>
    <row r="175" spans="1:9" x14ac:dyDescent="0.25">
      <c r="A175" s="13" t="s">
        <v>178</v>
      </c>
      <c r="B175" s="13" t="s">
        <v>40</v>
      </c>
      <c r="C175" s="13" t="s">
        <v>236</v>
      </c>
      <c r="D175" s="13" t="s">
        <v>237</v>
      </c>
      <c r="E175" s="32">
        <v>1.38</v>
      </c>
      <c r="F175" s="33">
        <v>3853</v>
      </c>
      <c r="G175" s="6">
        <f t="shared" si="6"/>
        <v>0.96780823197503896</v>
      </c>
      <c r="H175" s="9">
        <f t="array" ref="H175">(E175-MIN(IF($D$2:$D$268=D175,$E$2:$E$268)))/MIN(IF($D$2:$D$268=D175,$E$2:$E$268))</f>
        <v>0.37999999999999989</v>
      </c>
      <c r="I175" s="10">
        <f t="array" ref="I175">(F175-MIN(IF($D$2:$D$268=D175,$F$2:$F$268)))/MIN(IF($D$2:$D$268=D175,$F$2:$F$268))</f>
        <v>0.36776712815051471</v>
      </c>
    </row>
    <row r="176" spans="1:9" x14ac:dyDescent="0.25">
      <c r="A176" s="13" t="s">
        <v>178</v>
      </c>
      <c r="B176" s="13" t="s">
        <v>40</v>
      </c>
      <c r="C176" s="13" t="s">
        <v>236</v>
      </c>
      <c r="D176" t="s">
        <v>238</v>
      </c>
      <c r="E176" s="32">
        <v>1</v>
      </c>
      <c r="F176" s="33">
        <v>2908</v>
      </c>
      <c r="G176" s="6" t="str">
        <f t="shared" si="6"/>
        <v/>
      </c>
      <c r="H176" s="9">
        <f t="array" ref="H176">(E176-MIN(IF($D$2:$D$268=D176,$E$2:$E$268)))/MIN(IF($D$2:$D$268=D176,$E$2:$E$268))</f>
        <v>0</v>
      </c>
      <c r="I176" s="10">
        <f t="array" ref="I176">(F176-MIN(IF($D$2:$D$268=D176,$F$2:$F$268)))/MIN(IF($D$2:$D$268=D176,$F$2:$F$268))</f>
        <v>0</v>
      </c>
    </row>
    <row r="177" spans="1:9" x14ac:dyDescent="0.25">
      <c r="A177" s="13" t="s">
        <v>178</v>
      </c>
      <c r="B177" s="13" t="s">
        <v>40</v>
      </c>
      <c r="C177" s="13" t="s">
        <v>236</v>
      </c>
      <c r="D177" s="13" t="s">
        <v>238</v>
      </c>
      <c r="E177" s="32">
        <v>1.05</v>
      </c>
      <c r="F177" s="33">
        <v>2916</v>
      </c>
      <c r="G177" s="6">
        <f t="shared" si="6"/>
        <v>5.5020632737276427E-2</v>
      </c>
      <c r="H177" s="9">
        <f t="array" ref="H177">(E177-MIN(IF($D$2:$D$268=D177,$E$2:$E$268)))/MIN(IF($D$2:$D$268=D177,$E$2:$E$268))</f>
        <v>5.0000000000000044E-2</v>
      </c>
      <c r="I177" s="10">
        <f t="array" ref="I177">(F177-MIN(IF($D$2:$D$268=D177,$F$2:$F$268)))/MIN(IF($D$2:$D$268=D177,$F$2:$F$268))</f>
        <v>2.751031636863824E-3</v>
      </c>
    </row>
    <row r="178" spans="1:9" x14ac:dyDescent="0.25">
      <c r="A178" s="13" t="s">
        <v>178</v>
      </c>
      <c r="B178" s="13" t="s">
        <v>40</v>
      </c>
      <c r="C178" s="13" t="s">
        <v>236</v>
      </c>
      <c r="D178" s="13" t="s">
        <v>238</v>
      </c>
      <c r="E178" s="32">
        <v>1.1000000000000001</v>
      </c>
      <c r="F178" s="33">
        <v>2925</v>
      </c>
      <c r="G178" s="6">
        <f t="shared" si="6"/>
        <v>5.845942228335621E-2</v>
      </c>
      <c r="H178" s="9">
        <f t="array" ref="H178">(E178-MIN(IF($D$2:$D$268=D178,$E$2:$E$268)))/MIN(IF($D$2:$D$268=D178,$E$2:$E$268))</f>
        <v>0.10000000000000009</v>
      </c>
      <c r="I178" s="10">
        <f t="array" ref="I178">(F178-MIN(IF($D$2:$D$268=D178,$F$2:$F$268)))/MIN(IF($D$2:$D$268=D178,$F$2:$F$268))</f>
        <v>5.8459422283356263E-3</v>
      </c>
    </row>
    <row r="179" spans="1:9" x14ac:dyDescent="0.25">
      <c r="A179" s="13" t="s">
        <v>178</v>
      </c>
      <c r="B179" s="13" t="s">
        <v>40</v>
      </c>
      <c r="C179" s="13" t="s">
        <v>236</v>
      </c>
      <c r="D179" s="13" t="s">
        <v>238</v>
      </c>
      <c r="E179" s="32">
        <v>1.1499999999999999</v>
      </c>
      <c r="F179" s="33">
        <v>2937</v>
      </c>
      <c r="G179" s="6">
        <f t="shared" si="6"/>
        <v>6.6483264557542443E-2</v>
      </c>
      <c r="H179" s="9">
        <f t="array" ref="H179">(E179-MIN(IF($D$2:$D$268=D179,$E$2:$E$268)))/MIN(IF($D$2:$D$268=D179,$E$2:$E$268))</f>
        <v>0.14999999999999991</v>
      </c>
      <c r="I179" s="10">
        <f t="array" ref="I179">(F179-MIN(IF($D$2:$D$268=D179,$F$2:$F$268)))/MIN(IF($D$2:$D$268=D179,$F$2:$F$268))</f>
        <v>9.9724896836313609E-3</v>
      </c>
    </row>
    <row r="180" spans="1:9" x14ac:dyDescent="0.25">
      <c r="A180" s="13" t="s">
        <v>178</v>
      </c>
      <c r="B180" s="13" t="s">
        <v>40</v>
      </c>
      <c r="C180" s="13" t="s">
        <v>236</v>
      </c>
      <c r="D180" s="13" t="s">
        <v>238</v>
      </c>
      <c r="E180" s="32">
        <v>1.2</v>
      </c>
      <c r="F180" s="33">
        <v>2960</v>
      </c>
      <c r="G180" s="6">
        <f t="shared" si="6"/>
        <v>8.9408528198074294E-2</v>
      </c>
      <c r="H180" s="9">
        <f t="array" ref="H180">(E180-MIN(IF($D$2:$D$268=D180,$E$2:$E$268)))/MIN(IF($D$2:$D$268=D180,$E$2:$E$268))</f>
        <v>0.19999999999999996</v>
      </c>
      <c r="I180" s="10">
        <f t="array" ref="I180">(F180-MIN(IF($D$2:$D$268=D180,$F$2:$F$268)))/MIN(IF($D$2:$D$268=D180,$F$2:$F$268))</f>
        <v>1.7881705639614855E-2</v>
      </c>
    </row>
    <row r="181" spans="1:9" x14ac:dyDescent="0.25">
      <c r="A181" s="13" t="s">
        <v>178</v>
      </c>
      <c r="B181" s="13" t="s">
        <v>40</v>
      </c>
      <c r="C181" s="13" t="s">
        <v>236</v>
      </c>
      <c r="D181" s="13" t="s">
        <v>238</v>
      </c>
      <c r="E181" s="32">
        <v>1.25</v>
      </c>
      <c r="F181" s="33">
        <v>3030</v>
      </c>
      <c r="G181" s="6">
        <f t="shared" si="6"/>
        <v>0.16781292984869325</v>
      </c>
      <c r="H181" s="9">
        <f t="array" ref="H181">(E181-MIN(IF($D$2:$D$268=D181,$E$2:$E$268)))/MIN(IF($D$2:$D$268=D181,$E$2:$E$268))</f>
        <v>0.25</v>
      </c>
      <c r="I181" s="10">
        <f t="array" ref="I181">(F181-MIN(IF($D$2:$D$268=D181,$F$2:$F$268)))/MIN(IF($D$2:$D$268=D181,$F$2:$F$268))</f>
        <v>4.1953232462173314E-2</v>
      </c>
    </row>
    <row r="182" spans="1:9" x14ac:dyDescent="0.25">
      <c r="A182" s="13" t="s">
        <v>178</v>
      </c>
      <c r="B182" s="13" t="s">
        <v>40</v>
      </c>
      <c r="C182" s="13" t="s">
        <v>236</v>
      </c>
      <c r="D182" s="13" t="s">
        <v>238</v>
      </c>
      <c r="E182" s="32">
        <v>1.3</v>
      </c>
      <c r="F182" s="33">
        <v>3215</v>
      </c>
      <c r="G182" s="6">
        <f t="shared" si="6"/>
        <v>0.35190279688216408</v>
      </c>
      <c r="H182" s="9">
        <f t="array" ref="H182">(E182-MIN(IF($D$2:$D$268=D182,$E$2:$E$268)))/MIN(IF($D$2:$D$268=D182,$E$2:$E$268))</f>
        <v>0.30000000000000004</v>
      </c>
      <c r="I182" s="10">
        <f t="array" ref="I182">(F182-MIN(IF($D$2:$D$268=D182,$F$2:$F$268)))/MIN(IF($D$2:$D$268=D182,$F$2:$F$268))</f>
        <v>0.10557083906464924</v>
      </c>
    </row>
    <row r="183" spans="1:9" x14ac:dyDescent="0.25">
      <c r="A183" s="13" t="s">
        <v>178</v>
      </c>
      <c r="B183" s="13" t="s">
        <v>40</v>
      </c>
      <c r="C183" s="13" t="s">
        <v>236</v>
      </c>
      <c r="D183" s="13" t="s">
        <v>238</v>
      </c>
      <c r="E183" s="32">
        <v>1.35</v>
      </c>
      <c r="F183" s="33">
        <v>3399</v>
      </c>
      <c r="G183" s="6">
        <f t="shared" si="6"/>
        <v>0.48241304775004901</v>
      </c>
      <c r="H183" s="9">
        <f t="array" ref="H183">(E183-MIN(IF($D$2:$D$268=D183,$E$2:$E$268)))/MIN(IF($D$2:$D$268=D183,$E$2:$E$268))</f>
        <v>0.35000000000000009</v>
      </c>
      <c r="I183" s="10">
        <f t="array" ref="I183">(F183-MIN(IF($D$2:$D$268=D183,$F$2:$F$268)))/MIN(IF($D$2:$D$268=D183,$F$2:$F$268))</f>
        <v>0.16884456671251719</v>
      </c>
    </row>
    <row r="184" spans="1:9" x14ac:dyDescent="0.25">
      <c r="A184" s="13" t="s">
        <v>178</v>
      </c>
      <c r="B184" s="13" t="s">
        <v>40</v>
      </c>
      <c r="C184" s="13" t="s">
        <v>236</v>
      </c>
      <c r="D184" s="13" t="s">
        <v>238</v>
      </c>
      <c r="E184" s="32">
        <v>1.38</v>
      </c>
      <c r="F184" s="33">
        <v>3519</v>
      </c>
      <c r="G184" s="6">
        <f t="shared" si="6"/>
        <v>0.55292116122493318</v>
      </c>
      <c r="H184" s="9">
        <f t="array" ref="H184">(E184-MIN(IF($D$2:$D$268=D184,$E$2:$E$268)))/MIN(IF($D$2:$D$268=D184,$E$2:$E$268))</f>
        <v>0.37999999999999989</v>
      </c>
      <c r="I184" s="10">
        <f t="array" ref="I184">(F184-MIN(IF($D$2:$D$268=D184,$F$2:$F$268)))/MIN(IF($D$2:$D$268=D184,$F$2:$F$268))</f>
        <v>0.21011004126547456</v>
      </c>
    </row>
    <row r="185" spans="1:9" x14ac:dyDescent="0.25">
      <c r="A185" s="13" t="s">
        <v>178</v>
      </c>
      <c r="B185" s="13" t="s">
        <v>40</v>
      </c>
      <c r="C185" s="13" t="s">
        <v>236</v>
      </c>
      <c r="D185" t="s">
        <v>239</v>
      </c>
      <c r="E185" s="32">
        <v>1</v>
      </c>
      <c r="F185" s="33">
        <v>2320</v>
      </c>
      <c r="G185" s="6" t="str">
        <f t="shared" si="6"/>
        <v/>
      </c>
      <c r="H185" s="9">
        <f t="array" ref="H185">(E185-MIN(IF($D$2:$D$268=D185,$E$2:$E$268)))/MIN(IF($D$2:$D$268=D185,$E$2:$E$268))</f>
        <v>0</v>
      </c>
      <c r="I185" s="10">
        <f t="array" ref="I185">(F185-MIN(IF($D$2:$D$268=D185,$F$2:$F$268)))/MIN(IF($D$2:$D$268=D185,$F$2:$F$268))</f>
        <v>0</v>
      </c>
    </row>
    <row r="186" spans="1:9" x14ac:dyDescent="0.25">
      <c r="A186" s="13" t="s">
        <v>178</v>
      </c>
      <c r="B186" s="13" t="s">
        <v>40</v>
      </c>
      <c r="C186" s="13" t="s">
        <v>236</v>
      </c>
      <c r="D186" s="13" t="s">
        <v>239</v>
      </c>
      <c r="E186" s="32">
        <v>1.05</v>
      </c>
      <c r="F186" s="33">
        <v>2324</v>
      </c>
      <c r="G186" s="6">
        <f t="shared" si="6"/>
        <v>3.4482758620689627E-2</v>
      </c>
      <c r="H186" s="9">
        <f t="array" ref="H186">(E186-MIN(IF($D$2:$D$268=D186,$E$2:$E$268)))/MIN(IF($D$2:$D$268=D186,$E$2:$E$268))</f>
        <v>5.0000000000000044E-2</v>
      </c>
      <c r="I186" s="10">
        <f t="array" ref="I186">(F186-MIN(IF($D$2:$D$268=D186,$F$2:$F$268)))/MIN(IF($D$2:$D$268=D186,$F$2:$F$268))</f>
        <v>1.7241379310344827E-3</v>
      </c>
    </row>
    <row r="187" spans="1:9" x14ac:dyDescent="0.25">
      <c r="A187" s="13" t="s">
        <v>178</v>
      </c>
      <c r="B187" s="13" t="s">
        <v>40</v>
      </c>
      <c r="C187" s="13" t="s">
        <v>236</v>
      </c>
      <c r="D187" s="13" t="s">
        <v>239</v>
      </c>
      <c r="E187" s="32">
        <v>1.1000000000000001</v>
      </c>
      <c r="F187" s="33">
        <v>2328</v>
      </c>
      <c r="G187" s="6">
        <f t="shared" si="6"/>
        <v>3.4482758620689627E-2</v>
      </c>
      <c r="H187" s="9">
        <f t="array" ref="H187">(E187-MIN(IF($D$2:$D$268=D187,$E$2:$E$268)))/MIN(IF($D$2:$D$268=D187,$E$2:$E$268))</f>
        <v>0.10000000000000009</v>
      </c>
      <c r="I187" s="10">
        <f t="array" ref="I187">(F187-MIN(IF($D$2:$D$268=D187,$F$2:$F$268)))/MIN(IF($D$2:$D$268=D187,$F$2:$F$268))</f>
        <v>3.4482758620689655E-3</v>
      </c>
    </row>
    <row r="188" spans="1:9" x14ac:dyDescent="0.25">
      <c r="A188" s="13" t="s">
        <v>178</v>
      </c>
      <c r="B188" s="13" t="s">
        <v>40</v>
      </c>
      <c r="C188" s="13" t="s">
        <v>236</v>
      </c>
      <c r="D188" s="13" t="s">
        <v>239</v>
      </c>
      <c r="E188" s="32">
        <v>1.1499999999999999</v>
      </c>
      <c r="F188" s="33">
        <v>2332</v>
      </c>
      <c r="G188" s="6">
        <f t="shared" si="6"/>
        <v>3.4482758620689676E-2</v>
      </c>
      <c r="H188" s="9">
        <f t="array" ref="H188">(E188-MIN(IF($D$2:$D$268=D188,$E$2:$E$268)))/MIN(IF($D$2:$D$268=D188,$E$2:$E$268))</f>
        <v>0.14999999999999991</v>
      </c>
      <c r="I188" s="10">
        <f t="array" ref="I188">(F188-MIN(IF($D$2:$D$268=D188,$F$2:$F$268)))/MIN(IF($D$2:$D$268=D188,$F$2:$F$268))</f>
        <v>5.1724137931034482E-3</v>
      </c>
    </row>
    <row r="189" spans="1:9" x14ac:dyDescent="0.25">
      <c r="A189" s="13" t="s">
        <v>178</v>
      </c>
      <c r="B189" s="13" t="s">
        <v>40</v>
      </c>
      <c r="C189" s="13" t="s">
        <v>236</v>
      </c>
      <c r="D189" s="13" t="s">
        <v>239</v>
      </c>
      <c r="E189" s="32">
        <v>1.2</v>
      </c>
      <c r="F189" s="33">
        <v>2336</v>
      </c>
      <c r="G189" s="6">
        <f t="shared" si="6"/>
        <v>3.4482758620689662E-2</v>
      </c>
      <c r="H189" s="9">
        <f t="array" ref="H189">(E189-MIN(IF($D$2:$D$268=D189,$E$2:$E$268)))/MIN(IF($D$2:$D$268=D189,$E$2:$E$268))</f>
        <v>0.19999999999999996</v>
      </c>
      <c r="I189" s="10">
        <f t="array" ref="I189">(F189-MIN(IF($D$2:$D$268=D189,$F$2:$F$268)))/MIN(IF($D$2:$D$268=D189,$F$2:$F$268))</f>
        <v>6.8965517241379309E-3</v>
      </c>
    </row>
    <row r="190" spans="1:9" x14ac:dyDescent="0.25">
      <c r="A190" s="13" t="s">
        <v>178</v>
      </c>
      <c r="B190" s="13" t="s">
        <v>40</v>
      </c>
      <c r="C190" s="13" t="s">
        <v>236</v>
      </c>
      <c r="D190" s="13" t="s">
        <v>239</v>
      </c>
      <c r="E190" s="32">
        <v>1.25</v>
      </c>
      <c r="F190" s="33">
        <v>2340</v>
      </c>
      <c r="G190" s="6">
        <f t="shared" si="6"/>
        <v>3.4482758620689655E-2</v>
      </c>
      <c r="H190" s="9">
        <f t="array" ref="H190">(E190-MIN(IF($D$2:$D$268=D190,$E$2:$E$268)))/MIN(IF($D$2:$D$268=D190,$E$2:$E$268))</f>
        <v>0.25</v>
      </c>
      <c r="I190" s="10">
        <f t="array" ref="I190">(F190-MIN(IF($D$2:$D$268=D190,$F$2:$F$268)))/MIN(IF($D$2:$D$268=D190,$F$2:$F$268))</f>
        <v>8.6206896551724137E-3</v>
      </c>
    </row>
    <row r="191" spans="1:9" x14ac:dyDescent="0.25">
      <c r="A191" s="13" t="s">
        <v>178</v>
      </c>
      <c r="B191" s="13" t="s">
        <v>40</v>
      </c>
      <c r="C191" s="13" t="s">
        <v>236</v>
      </c>
      <c r="D191" s="13" t="s">
        <v>239</v>
      </c>
      <c r="E191" s="32">
        <v>1.3</v>
      </c>
      <c r="F191" s="33">
        <v>2348</v>
      </c>
      <c r="G191" s="6">
        <f t="shared" si="6"/>
        <v>4.0229885057471257E-2</v>
      </c>
      <c r="H191" s="9">
        <f t="array" ref="H191">(E191-MIN(IF($D$2:$D$268=D191,$E$2:$E$268)))/MIN(IF($D$2:$D$268=D191,$E$2:$E$268))</f>
        <v>0.30000000000000004</v>
      </c>
      <c r="I191" s="10">
        <f t="array" ref="I191">(F191-MIN(IF($D$2:$D$268=D191,$F$2:$F$268)))/MIN(IF($D$2:$D$268=D191,$F$2:$F$268))</f>
        <v>1.2068965517241379E-2</v>
      </c>
    </row>
    <row r="192" spans="1:9" x14ac:dyDescent="0.25">
      <c r="A192" s="13" t="s">
        <v>178</v>
      </c>
      <c r="B192" s="13" t="s">
        <v>40</v>
      </c>
      <c r="C192" s="13" t="s">
        <v>236</v>
      </c>
      <c r="D192" s="13" t="s">
        <v>239</v>
      </c>
      <c r="E192" s="32">
        <v>1.35</v>
      </c>
      <c r="F192" s="33">
        <v>2362</v>
      </c>
      <c r="G192" s="6">
        <f t="shared" si="6"/>
        <v>5.1724137931034475E-2</v>
      </c>
      <c r="H192" s="9">
        <f t="array" ref="H192">(E192-MIN(IF($D$2:$D$268=D192,$E$2:$E$268)))/MIN(IF($D$2:$D$268=D192,$E$2:$E$268))</f>
        <v>0.35000000000000009</v>
      </c>
      <c r="I192" s="10">
        <f t="array" ref="I192">(F192-MIN(IF($D$2:$D$268=D192,$F$2:$F$268)))/MIN(IF($D$2:$D$268=D192,$F$2:$F$268))</f>
        <v>1.810344827586207E-2</v>
      </c>
    </row>
    <row r="193" spans="1:9" x14ac:dyDescent="0.25">
      <c r="A193" s="13" t="s">
        <v>178</v>
      </c>
      <c r="B193" s="13" t="s">
        <v>40</v>
      </c>
      <c r="C193" s="13" t="s">
        <v>236</v>
      </c>
      <c r="D193" s="13" t="s">
        <v>239</v>
      </c>
      <c r="E193" s="32">
        <v>1.4</v>
      </c>
      <c r="F193" s="33">
        <v>2388</v>
      </c>
      <c r="G193" s="6">
        <f t="shared" si="6"/>
        <v>7.3275862068965539E-2</v>
      </c>
      <c r="H193" s="9">
        <f t="array" ref="H193">(E193-MIN(IF($D$2:$D$268=D193,$E$2:$E$268)))/MIN(IF($D$2:$D$268=D193,$E$2:$E$268))</f>
        <v>0.39999999999999991</v>
      </c>
      <c r="I193" s="10">
        <f t="array" ref="I193">(F193-MIN(IF($D$2:$D$268=D193,$F$2:$F$268)))/MIN(IF($D$2:$D$268=D193,$F$2:$F$268))</f>
        <v>2.9310344827586206E-2</v>
      </c>
    </row>
    <row r="194" spans="1:9" x14ac:dyDescent="0.25">
      <c r="A194" s="13" t="s">
        <v>178</v>
      </c>
      <c r="B194" s="13" t="s">
        <v>40</v>
      </c>
      <c r="C194" s="13" t="s">
        <v>236</v>
      </c>
      <c r="D194" s="13" t="s">
        <v>239</v>
      </c>
      <c r="E194" s="32">
        <v>1.45</v>
      </c>
      <c r="F194" s="33">
        <v>2449</v>
      </c>
      <c r="G194" s="6">
        <f t="shared" si="6"/>
        <v>0.12356321839080461</v>
      </c>
      <c r="H194" s="9">
        <f t="array" ref="H194">(E194-MIN(IF($D$2:$D$268=D194,$E$2:$E$268)))/MIN(IF($D$2:$D$268=D194,$E$2:$E$268))</f>
        <v>0.44999999999999996</v>
      </c>
      <c r="I194" s="10">
        <f t="array" ref="I194">(F194-MIN(IF($D$2:$D$268=D194,$F$2:$F$268)))/MIN(IF($D$2:$D$268=D194,$F$2:$F$268))</f>
        <v>5.5603448275862069E-2</v>
      </c>
    </row>
    <row r="195" spans="1:9" x14ac:dyDescent="0.25">
      <c r="A195" s="13" t="s">
        <v>178</v>
      </c>
      <c r="B195" s="13" t="s">
        <v>40</v>
      </c>
      <c r="C195" s="13" t="s">
        <v>236</v>
      </c>
      <c r="D195" s="13" t="s">
        <v>239</v>
      </c>
      <c r="E195" s="32">
        <v>1.5</v>
      </c>
      <c r="F195" s="33">
        <v>2665</v>
      </c>
      <c r="G195" s="6">
        <f t="shared" si="6"/>
        <v>0.29741379310344829</v>
      </c>
      <c r="H195" s="9">
        <f t="array" ref="H195">(E195-MIN(IF($D$2:$D$268=D195,$E$2:$E$268)))/MIN(IF($D$2:$D$268=D195,$E$2:$E$268))</f>
        <v>0.5</v>
      </c>
      <c r="I195" s="10">
        <f t="array" ref="I195">(F195-MIN(IF($D$2:$D$268=D195,$F$2:$F$268)))/MIN(IF($D$2:$D$268=D195,$F$2:$F$268))</f>
        <v>0.14870689655172414</v>
      </c>
    </row>
    <row r="196" spans="1:9" x14ac:dyDescent="0.25">
      <c r="A196" s="13" t="s">
        <v>178</v>
      </c>
      <c r="B196" s="13" t="s">
        <v>40</v>
      </c>
      <c r="C196" s="13" t="s">
        <v>236</v>
      </c>
      <c r="D196" s="13" t="s">
        <v>239</v>
      </c>
      <c r="E196" s="32">
        <v>1.55</v>
      </c>
      <c r="F196" s="33">
        <v>2973</v>
      </c>
      <c r="G196" s="6">
        <f t="shared" si="6"/>
        <v>0.51175548589341691</v>
      </c>
      <c r="H196" s="9">
        <f t="array" ref="H196">(E196-MIN(IF($D$2:$D$268=D196,$E$2:$E$268)))/MIN(IF($D$2:$D$268=D196,$E$2:$E$268))</f>
        <v>0.55000000000000004</v>
      </c>
      <c r="I196" s="10">
        <f t="array" ref="I196">(F196-MIN(IF($D$2:$D$268=D196,$F$2:$F$268)))/MIN(IF($D$2:$D$268=D196,$F$2:$F$268))</f>
        <v>0.2814655172413793</v>
      </c>
    </row>
    <row r="197" spans="1:9" x14ac:dyDescent="0.25">
      <c r="A197" s="13" t="s">
        <v>178</v>
      </c>
      <c r="B197" s="13" t="s">
        <v>40</v>
      </c>
      <c r="C197" s="13" t="s">
        <v>236</v>
      </c>
      <c r="D197" s="13" t="s">
        <v>239</v>
      </c>
      <c r="E197" s="32">
        <v>1.6</v>
      </c>
      <c r="F197" s="33">
        <v>3298</v>
      </c>
      <c r="G197" s="6">
        <f t="shared" si="6"/>
        <v>0.7025862068965516</v>
      </c>
      <c r="H197" s="9">
        <f t="array" ref="H197">(E197-MIN(IF($D$2:$D$268=D197,$E$2:$E$268)))/MIN(IF($D$2:$D$268=D197,$E$2:$E$268))</f>
        <v>0.60000000000000009</v>
      </c>
      <c r="I197" s="10">
        <f t="array" ref="I197">(F197-MIN(IF($D$2:$D$268=D197,$F$2:$F$268)))/MIN(IF($D$2:$D$268=D197,$F$2:$F$268))</f>
        <v>0.42155172413793102</v>
      </c>
    </row>
    <row r="198" spans="1:9" x14ac:dyDescent="0.25">
      <c r="A198" s="13" t="s">
        <v>178</v>
      </c>
      <c r="B198" s="13" t="s">
        <v>40</v>
      </c>
      <c r="C198" s="13" t="s">
        <v>236</v>
      </c>
      <c r="D198" t="s">
        <v>240</v>
      </c>
      <c r="E198" s="32">
        <v>1</v>
      </c>
      <c r="F198" s="33">
        <v>2359</v>
      </c>
      <c r="G198" s="6" t="str">
        <f t="shared" si="6"/>
        <v/>
      </c>
      <c r="H198" s="9">
        <f t="array" ref="H198">(E198-MIN(IF($D$2:$D$268=D198,$E$2:$E$268)))/MIN(IF($D$2:$D$268=D198,$E$2:$E$268))</f>
        <v>0</v>
      </c>
      <c r="I198" s="10">
        <f t="array" ref="I198">(F198-MIN(IF($D$2:$D$268=D198,$F$2:$F$268)))/MIN(IF($D$2:$D$268=D198,$F$2:$F$268))</f>
        <v>0</v>
      </c>
    </row>
    <row r="199" spans="1:9" x14ac:dyDescent="0.25">
      <c r="A199" s="13" t="s">
        <v>178</v>
      </c>
      <c r="B199" s="13" t="s">
        <v>40</v>
      </c>
      <c r="C199" s="13" t="s">
        <v>236</v>
      </c>
      <c r="D199" s="13" t="s">
        <v>240</v>
      </c>
      <c r="E199" s="32">
        <v>1.05</v>
      </c>
      <c r="F199" s="33">
        <v>2363</v>
      </c>
      <c r="G199" s="6">
        <f t="shared" si="6"/>
        <v>3.3912674862229729E-2</v>
      </c>
      <c r="H199" s="9">
        <f t="array" ref="H199">(E199-MIN(IF($D$2:$D$268=D199,$E$2:$E$268)))/MIN(IF($D$2:$D$268=D199,$E$2:$E$268))</f>
        <v>5.0000000000000044E-2</v>
      </c>
      <c r="I199" s="10">
        <f t="array" ref="I199">(F199-MIN(IF($D$2:$D$268=D199,$F$2:$F$268)))/MIN(IF($D$2:$D$268=D199,$F$2:$F$268))</f>
        <v>1.6956337431114879E-3</v>
      </c>
    </row>
    <row r="200" spans="1:9" x14ac:dyDescent="0.25">
      <c r="A200" s="13" t="s">
        <v>178</v>
      </c>
      <c r="B200" s="13" t="s">
        <v>40</v>
      </c>
      <c r="C200" s="13" t="s">
        <v>236</v>
      </c>
      <c r="D200" s="13" t="s">
        <v>240</v>
      </c>
      <c r="E200" s="32">
        <v>1.1000000000000001</v>
      </c>
      <c r="F200" s="33">
        <v>2366</v>
      </c>
      <c r="G200" s="6">
        <f t="shared" si="6"/>
        <v>2.9673590504451012E-2</v>
      </c>
      <c r="H200" s="9">
        <f t="array" ref="H200">(E200-MIN(IF($D$2:$D$268=D200,$E$2:$E$268)))/MIN(IF($D$2:$D$268=D200,$E$2:$E$268))</f>
        <v>0.10000000000000009</v>
      </c>
      <c r="I200" s="10">
        <f t="array" ref="I200">(F200-MIN(IF($D$2:$D$268=D200,$F$2:$F$268)))/MIN(IF($D$2:$D$268=D200,$F$2:$F$268))</f>
        <v>2.967359050445104E-3</v>
      </c>
    </row>
    <row r="201" spans="1:9" x14ac:dyDescent="0.25">
      <c r="A201" s="13" t="s">
        <v>178</v>
      </c>
      <c r="B201" s="13" t="s">
        <v>40</v>
      </c>
      <c r="C201" s="13" t="s">
        <v>236</v>
      </c>
      <c r="D201" s="13" t="s">
        <v>240</v>
      </c>
      <c r="E201" s="32">
        <v>1.1499999999999999</v>
      </c>
      <c r="F201" s="33">
        <v>2370</v>
      </c>
      <c r="G201" s="6">
        <f t="shared" si="6"/>
        <v>3.1086618623710628E-2</v>
      </c>
      <c r="H201" s="9">
        <f t="array" ref="H201">(E201-MIN(IF($D$2:$D$268=D201,$E$2:$E$268)))/MIN(IF($D$2:$D$268=D201,$E$2:$E$268))</f>
        <v>0.14999999999999991</v>
      </c>
      <c r="I201" s="10">
        <f t="array" ref="I201">(F201-MIN(IF($D$2:$D$268=D201,$F$2:$F$268)))/MIN(IF($D$2:$D$268=D201,$F$2:$F$268))</f>
        <v>4.6629927935565915E-3</v>
      </c>
    </row>
    <row r="202" spans="1:9" x14ac:dyDescent="0.25">
      <c r="A202" s="13" t="s">
        <v>178</v>
      </c>
      <c r="B202" s="13" t="s">
        <v>40</v>
      </c>
      <c r="C202" s="13" t="s">
        <v>236</v>
      </c>
      <c r="D202" s="13" t="s">
        <v>240</v>
      </c>
      <c r="E202" s="32">
        <v>1.2</v>
      </c>
      <c r="F202" s="33">
        <v>2374</v>
      </c>
      <c r="G202" s="6">
        <f t="shared" si="6"/>
        <v>3.1793132683340407E-2</v>
      </c>
      <c r="H202" s="9">
        <f t="array" ref="H202">(E202-MIN(IF($D$2:$D$268=D202,$E$2:$E$268)))/MIN(IF($D$2:$D$268=D202,$E$2:$E$268))</f>
        <v>0.19999999999999996</v>
      </c>
      <c r="I202" s="10">
        <f t="array" ref="I202">(F202-MIN(IF($D$2:$D$268=D202,$F$2:$F$268)))/MIN(IF($D$2:$D$268=D202,$F$2:$F$268))</f>
        <v>6.3586265366680798E-3</v>
      </c>
    </row>
    <row r="203" spans="1:9" x14ac:dyDescent="0.25">
      <c r="A203" s="13" t="s">
        <v>178</v>
      </c>
      <c r="B203" s="13" t="s">
        <v>40</v>
      </c>
      <c r="C203" s="13" t="s">
        <v>236</v>
      </c>
      <c r="D203" s="13" t="s">
        <v>240</v>
      </c>
      <c r="E203" s="32">
        <v>1.25</v>
      </c>
      <c r="F203" s="33">
        <v>2379</v>
      </c>
      <c r="G203" s="6">
        <f t="shared" si="6"/>
        <v>3.3912674862229757E-2</v>
      </c>
      <c r="H203" s="9">
        <f t="array" ref="H203">(E203-MIN(IF($D$2:$D$268=D203,$E$2:$E$268)))/MIN(IF($D$2:$D$268=D203,$E$2:$E$268))</f>
        <v>0.25</v>
      </c>
      <c r="I203" s="10">
        <f t="array" ref="I203">(F203-MIN(IF($D$2:$D$268=D203,$F$2:$F$268)))/MIN(IF($D$2:$D$268=D203,$F$2:$F$268))</f>
        <v>8.4781687155574392E-3</v>
      </c>
    </row>
    <row r="204" spans="1:9" x14ac:dyDescent="0.25">
      <c r="A204" s="13" t="s">
        <v>178</v>
      </c>
      <c r="B204" s="13" t="s">
        <v>40</v>
      </c>
      <c r="C204" s="13" t="s">
        <v>236</v>
      </c>
      <c r="D204" s="13" t="s">
        <v>240</v>
      </c>
      <c r="E204" s="32">
        <v>1.3</v>
      </c>
      <c r="F204" s="33">
        <v>2384</v>
      </c>
      <c r="G204" s="6">
        <f t="shared" si="6"/>
        <v>3.5325702981489328E-2</v>
      </c>
      <c r="H204" s="9">
        <f t="array" ref="H204">(E204-MIN(IF($D$2:$D$268=D204,$E$2:$E$268)))/MIN(IF($D$2:$D$268=D204,$E$2:$E$268))</f>
        <v>0.30000000000000004</v>
      </c>
      <c r="I204" s="10">
        <f t="array" ref="I204">(F204-MIN(IF($D$2:$D$268=D204,$F$2:$F$268)))/MIN(IF($D$2:$D$268=D204,$F$2:$F$268))</f>
        <v>1.0597710894446799E-2</v>
      </c>
    </row>
    <row r="205" spans="1:9" x14ac:dyDescent="0.25">
      <c r="A205" s="13" t="s">
        <v>178</v>
      </c>
      <c r="B205" s="13" t="s">
        <v>40</v>
      </c>
      <c r="C205" s="13" t="s">
        <v>236</v>
      </c>
      <c r="D205" s="13" t="s">
        <v>240</v>
      </c>
      <c r="E205" s="32">
        <v>1.35</v>
      </c>
      <c r="F205" s="33">
        <v>2389</v>
      </c>
      <c r="G205" s="6">
        <f t="shared" si="6"/>
        <v>3.6335008780960444E-2</v>
      </c>
      <c r="H205" s="9">
        <f t="array" ref="H205">(E205-MIN(IF($D$2:$D$268=D205,$E$2:$E$268)))/MIN(IF($D$2:$D$268=D205,$E$2:$E$268))</f>
        <v>0.35000000000000009</v>
      </c>
      <c r="I205" s="10">
        <f t="array" ref="I205">(F205-MIN(IF($D$2:$D$268=D205,$F$2:$F$268)))/MIN(IF($D$2:$D$268=D205,$F$2:$F$268))</f>
        <v>1.271725307333616E-2</v>
      </c>
    </row>
    <row r="206" spans="1:9" x14ac:dyDescent="0.25">
      <c r="A206" s="13" t="s">
        <v>178</v>
      </c>
      <c r="B206" s="13" t="s">
        <v>40</v>
      </c>
      <c r="C206" s="13" t="s">
        <v>236</v>
      </c>
      <c r="D206" s="13" t="s">
        <v>240</v>
      </c>
      <c r="E206" s="32">
        <v>1.4</v>
      </c>
      <c r="F206" s="33">
        <v>2397</v>
      </c>
      <c r="G206" s="6">
        <f t="shared" si="6"/>
        <v>4.0271301398897848E-2</v>
      </c>
      <c r="H206" s="9">
        <f t="array" ref="H206">(E206-MIN(IF($D$2:$D$268=D206,$E$2:$E$268)))/MIN(IF($D$2:$D$268=D206,$E$2:$E$268))</f>
        <v>0.39999999999999991</v>
      </c>
      <c r="I206" s="10">
        <f t="array" ref="I206">(F206-MIN(IF($D$2:$D$268=D206,$F$2:$F$268)))/MIN(IF($D$2:$D$268=D206,$F$2:$F$268))</f>
        <v>1.6108520559559136E-2</v>
      </c>
    </row>
    <row r="207" spans="1:9" x14ac:dyDescent="0.25">
      <c r="A207" s="13" t="s">
        <v>178</v>
      </c>
      <c r="B207" s="13" t="s">
        <v>40</v>
      </c>
      <c r="C207" s="13" t="s">
        <v>236</v>
      </c>
      <c r="D207" s="13" t="s">
        <v>240</v>
      </c>
      <c r="E207" s="32">
        <v>1.45</v>
      </c>
      <c r="F207" s="33">
        <v>2414</v>
      </c>
      <c r="G207" s="6">
        <f t="shared" si="6"/>
        <v>5.1811031039517695E-2</v>
      </c>
      <c r="H207" s="9">
        <f t="array" ref="H207">(E207-MIN(IF($D$2:$D$268=D207,$E$2:$E$268)))/MIN(IF($D$2:$D$268=D207,$E$2:$E$268))</f>
        <v>0.44999999999999996</v>
      </c>
      <c r="I207" s="10">
        <f t="array" ref="I207">(F207-MIN(IF($D$2:$D$268=D207,$F$2:$F$268)))/MIN(IF($D$2:$D$268=D207,$F$2:$F$268))</f>
        <v>2.3314963967782959E-2</v>
      </c>
    </row>
    <row r="208" spans="1:9" x14ac:dyDescent="0.25">
      <c r="A208" s="13" t="s">
        <v>178</v>
      </c>
      <c r="B208" s="13" t="s">
        <v>40</v>
      </c>
      <c r="C208" s="13" t="s">
        <v>236</v>
      </c>
      <c r="D208" s="13" t="s">
        <v>240</v>
      </c>
      <c r="E208" s="32">
        <v>1.5</v>
      </c>
      <c r="F208" s="33">
        <v>2538</v>
      </c>
      <c r="G208" s="6">
        <f t="shared" si="6"/>
        <v>0.15175922000847816</v>
      </c>
      <c r="H208" s="9">
        <f t="array" ref="H208">(E208-MIN(IF($D$2:$D$268=D208,$E$2:$E$268)))/MIN(IF($D$2:$D$268=D208,$E$2:$E$268))</f>
        <v>0.5</v>
      </c>
      <c r="I208" s="10">
        <f t="array" ref="I208">(F208-MIN(IF($D$2:$D$268=D208,$F$2:$F$268)))/MIN(IF($D$2:$D$268=D208,$F$2:$F$268))</f>
        <v>7.5879610004239081E-2</v>
      </c>
    </row>
    <row r="209" spans="1:9" x14ac:dyDescent="0.25">
      <c r="A209" s="13" t="s">
        <v>178</v>
      </c>
      <c r="B209" s="13" t="s">
        <v>40</v>
      </c>
      <c r="C209" s="13" t="s">
        <v>236</v>
      </c>
      <c r="D209" s="13" t="s">
        <v>240</v>
      </c>
      <c r="E209" s="32">
        <v>1.55</v>
      </c>
      <c r="F209" s="33">
        <v>2752</v>
      </c>
      <c r="G209" s="6">
        <f t="shared" si="6"/>
        <v>0.30290184592855213</v>
      </c>
      <c r="H209" s="9">
        <f t="array" ref="H209">(E209-MIN(IF($D$2:$D$268=D209,$E$2:$E$268)))/MIN(IF($D$2:$D$268=D209,$E$2:$E$268))</f>
        <v>0.55000000000000004</v>
      </c>
      <c r="I209" s="10">
        <f t="array" ref="I209">(F209-MIN(IF($D$2:$D$268=D209,$F$2:$F$268)))/MIN(IF($D$2:$D$268=D209,$F$2:$F$268))</f>
        <v>0.16659601526070369</v>
      </c>
    </row>
    <row r="210" spans="1:9" x14ac:dyDescent="0.25">
      <c r="A210" s="13" t="s">
        <v>178</v>
      </c>
      <c r="B210" s="13" t="s">
        <v>40</v>
      </c>
      <c r="C210" s="13" t="s">
        <v>236</v>
      </c>
      <c r="D210" s="13" t="s">
        <v>240</v>
      </c>
      <c r="E210" s="32">
        <v>1.6</v>
      </c>
      <c r="F210" s="33">
        <v>2982</v>
      </c>
      <c r="G210" s="6">
        <f t="shared" si="6"/>
        <v>0.44015825914935702</v>
      </c>
      <c r="H210" s="9">
        <f t="array" ref="H210">(E210-MIN(IF($D$2:$D$268=D210,$E$2:$E$268)))/MIN(IF($D$2:$D$268=D210,$E$2:$E$268))</f>
        <v>0.60000000000000009</v>
      </c>
      <c r="I210" s="10">
        <f t="array" ref="I210">(F210-MIN(IF($D$2:$D$268=D210,$F$2:$F$268)))/MIN(IF($D$2:$D$268=D210,$F$2:$F$268))</f>
        <v>0.26409495548961426</v>
      </c>
    </row>
    <row r="211" spans="1:9" x14ac:dyDescent="0.25">
      <c r="A211" s="13" t="s">
        <v>178</v>
      </c>
      <c r="B211" s="13" t="s">
        <v>40</v>
      </c>
      <c r="C211" s="13" t="s">
        <v>236</v>
      </c>
      <c r="D211" t="s">
        <v>241</v>
      </c>
      <c r="E211" s="32">
        <v>1</v>
      </c>
      <c r="F211" s="33">
        <v>2768</v>
      </c>
      <c r="G211" s="6" t="str">
        <f t="shared" si="6"/>
        <v/>
      </c>
      <c r="H211" s="9">
        <f t="array" ref="H211">(E211-MIN(IF($D$2:$D$268=D211,$E$2:$E$268)))/MIN(IF($D$2:$D$268=D211,$E$2:$E$268))</f>
        <v>0</v>
      </c>
      <c r="I211" s="10">
        <f t="array" ref="I211">(F211-MIN(IF($D$2:$D$268=D211,$F$2:$F$268)))/MIN(IF($D$2:$D$268=D211,$F$2:$F$268))</f>
        <v>0</v>
      </c>
    </row>
    <row r="212" spans="1:9" x14ac:dyDescent="0.25">
      <c r="A212" s="13" t="s">
        <v>178</v>
      </c>
      <c r="B212" s="13" t="s">
        <v>40</v>
      </c>
      <c r="C212" s="13" t="s">
        <v>236</v>
      </c>
      <c r="D212" s="13" t="s">
        <v>241</v>
      </c>
      <c r="E212" s="32">
        <v>1.05</v>
      </c>
      <c r="F212" s="33">
        <v>2771</v>
      </c>
      <c r="G212" s="6">
        <f t="shared" si="6"/>
        <v>2.1676300578034661E-2</v>
      </c>
      <c r="H212" s="9">
        <f t="array" ref="H212">(E212-MIN(IF($D$2:$D$268=D212,$E$2:$E$268)))/MIN(IF($D$2:$D$268=D212,$E$2:$E$268))</f>
        <v>5.0000000000000044E-2</v>
      </c>
      <c r="I212" s="10">
        <f t="array" ref="I212">(F212-MIN(IF($D$2:$D$268=D212,$F$2:$F$268)))/MIN(IF($D$2:$D$268=D212,$F$2:$F$268))</f>
        <v>1.083815028901734E-3</v>
      </c>
    </row>
    <row r="213" spans="1:9" x14ac:dyDescent="0.25">
      <c r="A213" s="13" t="s">
        <v>178</v>
      </c>
      <c r="B213" s="13" t="s">
        <v>40</v>
      </c>
      <c r="C213" s="13" t="s">
        <v>236</v>
      </c>
      <c r="D213" s="13" t="s">
        <v>241</v>
      </c>
      <c r="E213" s="32">
        <v>1.1000000000000001</v>
      </c>
      <c r="F213" s="33">
        <v>2773</v>
      </c>
      <c r="G213" s="6">
        <f t="shared" si="6"/>
        <v>1.8063583815028886E-2</v>
      </c>
      <c r="H213" s="9">
        <f t="array" ref="H213">(E213-MIN(IF($D$2:$D$268=D213,$E$2:$E$268)))/MIN(IF($D$2:$D$268=D213,$E$2:$E$268))</f>
        <v>0.10000000000000009</v>
      </c>
      <c r="I213" s="10">
        <f t="array" ref="I213">(F213-MIN(IF($D$2:$D$268=D213,$F$2:$F$268)))/MIN(IF($D$2:$D$268=D213,$F$2:$F$268))</f>
        <v>1.8063583815028901E-3</v>
      </c>
    </row>
    <row r="214" spans="1:9" x14ac:dyDescent="0.25">
      <c r="A214" s="13" t="s">
        <v>178</v>
      </c>
      <c r="B214" s="13" t="s">
        <v>40</v>
      </c>
      <c r="C214" s="13" t="s">
        <v>236</v>
      </c>
      <c r="D214" s="13" t="s">
        <v>241</v>
      </c>
      <c r="E214" s="32">
        <v>1.1499999999999999</v>
      </c>
      <c r="F214" s="33">
        <v>2776</v>
      </c>
      <c r="G214" s="6">
        <f t="shared" si="6"/>
        <v>1.9267822736030837E-2</v>
      </c>
      <c r="H214" s="9">
        <f t="array" ref="H214">(E214-MIN(IF($D$2:$D$268=D214,$E$2:$E$268)))/MIN(IF($D$2:$D$268=D214,$E$2:$E$268))</f>
        <v>0.14999999999999991</v>
      </c>
      <c r="I214" s="10">
        <f t="array" ref="I214">(F214-MIN(IF($D$2:$D$268=D214,$F$2:$F$268)))/MIN(IF($D$2:$D$268=D214,$F$2:$F$268))</f>
        <v>2.8901734104046241E-3</v>
      </c>
    </row>
    <row r="215" spans="1:9" x14ac:dyDescent="0.25">
      <c r="A215" s="13" t="s">
        <v>178</v>
      </c>
      <c r="B215" s="13" t="s">
        <v>40</v>
      </c>
      <c r="C215" s="13" t="s">
        <v>236</v>
      </c>
      <c r="D215" s="13" t="s">
        <v>241</v>
      </c>
      <c r="E215" s="32">
        <v>1.2</v>
      </c>
      <c r="F215" s="33">
        <v>2781</v>
      </c>
      <c r="G215" s="6">
        <f t="shared" si="6"/>
        <v>2.3482658959537578E-2</v>
      </c>
      <c r="H215" s="9">
        <f t="array" ref="H215">(E215-MIN(IF($D$2:$D$268=D215,$E$2:$E$268)))/MIN(IF($D$2:$D$268=D215,$E$2:$E$268))</f>
        <v>0.19999999999999996</v>
      </c>
      <c r="I215" s="10">
        <f t="array" ref="I215">(F215-MIN(IF($D$2:$D$268=D215,$F$2:$F$268)))/MIN(IF($D$2:$D$268=D215,$F$2:$F$268))</f>
        <v>4.6965317919075147E-3</v>
      </c>
    </row>
    <row r="216" spans="1:9" x14ac:dyDescent="0.25">
      <c r="A216" s="13" t="s">
        <v>178</v>
      </c>
      <c r="B216" s="13" t="s">
        <v>40</v>
      </c>
      <c r="C216" s="13" t="s">
        <v>236</v>
      </c>
      <c r="D216" s="13" t="s">
        <v>241</v>
      </c>
      <c r="E216" s="32">
        <v>1.25</v>
      </c>
      <c r="F216" s="33">
        <v>2786</v>
      </c>
      <c r="G216" s="6">
        <f t="shared" si="6"/>
        <v>2.6011560693641619E-2</v>
      </c>
      <c r="H216" s="9">
        <f t="array" ref="H216">(E216-MIN(IF($D$2:$D$268=D216,$E$2:$E$268)))/MIN(IF($D$2:$D$268=D216,$E$2:$E$268))</f>
        <v>0.25</v>
      </c>
      <c r="I216" s="10">
        <f t="array" ref="I216">(F216-MIN(IF($D$2:$D$268=D216,$F$2:$F$268)))/MIN(IF($D$2:$D$268=D216,$F$2:$F$268))</f>
        <v>6.5028901734104048E-3</v>
      </c>
    </row>
    <row r="217" spans="1:9" x14ac:dyDescent="0.25">
      <c r="A217" s="13" t="s">
        <v>178</v>
      </c>
      <c r="B217" s="13" t="s">
        <v>40</v>
      </c>
      <c r="C217" s="13" t="s">
        <v>236</v>
      </c>
      <c r="D217" s="13" t="s">
        <v>241</v>
      </c>
      <c r="E217" s="32">
        <v>1.3</v>
      </c>
      <c r="F217" s="33">
        <v>2791</v>
      </c>
      <c r="G217" s="6">
        <f t="shared" si="6"/>
        <v>2.7697495183044308E-2</v>
      </c>
      <c r="H217" s="9">
        <f t="array" ref="H217">(E217-MIN(IF($D$2:$D$268=D217,$E$2:$E$268)))/MIN(IF($D$2:$D$268=D217,$E$2:$E$268))</f>
        <v>0.30000000000000004</v>
      </c>
      <c r="I217" s="10">
        <f t="array" ref="I217">(F217-MIN(IF($D$2:$D$268=D217,$F$2:$F$268)))/MIN(IF($D$2:$D$268=D217,$F$2:$F$268))</f>
        <v>8.3092485549132941E-3</v>
      </c>
    </row>
    <row r="218" spans="1:9" x14ac:dyDescent="0.25">
      <c r="A218" s="13" t="s">
        <v>178</v>
      </c>
      <c r="B218" s="13" t="s">
        <v>40</v>
      </c>
      <c r="C218" s="13" t="s">
        <v>236</v>
      </c>
      <c r="D218" s="13" t="s">
        <v>241</v>
      </c>
      <c r="E218" s="32">
        <v>1.35</v>
      </c>
      <c r="F218" s="33">
        <v>2796</v>
      </c>
      <c r="G218" s="6">
        <f t="shared" si="6"/>
        <v>2.8901734104046235E-2</v>
      </c>
      <c r="H218" s="9">
        <f t="array" ref="H218">(E218-MIN(IF($D$2:$D$268=D218,$E$2:$E$268)))/MIN(IF($D$2:$D$268=D218,$E$2:$E$268))</f>
        <v>0.35000000000000009</v>
      </c>
      <c r="I218" s="10">
        <f t="array" ref="I218">(F218-MIN(IF($D$2:$D$268=D218,$F$2:$F$268)))/MIN(IF($D$2:$D$268=D218,$F$2:$F$268))</f>
        <v>1.0115606936416185E-2</v>
      </c>
    </row>
    <row r="219" spans="1:9" x14ac:dyDescent="0.25">
      <c r="A219" s="13" t="s">
        <v>178</v>
      </c>
      <c r="B219" s="13" t="s">
        <v>40</v>
      </c>
      <c r="C219" s="13" t="s">
        <v>236</v>
      </c>
      <c r="D219" s="13" t="s">
        <v>241</v>
      </c>
      <c r="E219" s="32">
        <v>1.4</v>
      </c>
      <c r="F219" s="33">
        <v>2801</v>
      </c>
      <c r="G219" s="6">
        <f t="shared" si="6"/>
        <v>2.9804913294797692E-2</v>
      </c>
      <c r="H219" s="9">
        <f t="array" ref="H219">(E219-MIN(IF($D$2:$D$268=D219,$E$2:$E$268)))/MIN(IF($D$2:$D$268=D219,$E$2:$E$268))</f>
        <v>0.39999999999999991</v>
      </c>
      <c r="I219" s="10">
        <f t="array" ref="I219">(F219-MIN(IF($D$2:$D$268=D219,$F$2:$F$268)))/MIN(IF($D$2:$D$268=D219,$F$2:$F$268))</f>
        <v>1.1921965317919074E-2</v>
      </c>
    </row>
    <row r="220" spans="1:9" x14ac:dyDescent="0.25">
      <c r="A220" s="13" t="s">
        <v>178</v>
      </c>
      <c r="B220" s="13" t="s">
        <v>40</v>
      </c>
      <c r="C220" s="13" t="s">
        <v>236</v>
      </c>
      <c r="D220" s="13" t="s">
        <v>241</v>
      </c>
      <c r="E220" s="32">
        <v>1.45</v>
      </c>
      <c r="F220" s="33">
        <v>2813</v>
      </c>
      <c r="G220" s="6">
        <f t="shared" si="6"/>
        <v>3.6127167630057806E-2</v>
      </c>
      <c r="H220" s="9">
        <f t="array" ref="H220">(E220-MIN(IF($D$2:$D$268=D220,$E$2:$E$268)))/MIN(IF($D$2:$D$268=D220,$E$2:$E$268))</f>
        <v>0.44999999999999996</v>
      </c>
      <c r="I220" s="10">
        <f t="array" ref="I220">(F220-MIN(IF($D$2:$D$268=D220,$F$2:$F$268)))/MIN(IF($D$2:$D$268=D220,$F$2:$F$268))</f>
        <v>1.625722543352601E-2</v>
      </c>
    </row>
    <row r="221" spans="1:9" x14ac:dyDescent="0.25">
      <c r="A221" s="13" t="s">
        <v>178</v>
      </c>
      <c r="B221" s="13" t="s">
        <v>40</v>
      </c>
      <c r="C221" s="13" t="s">
        <v>236</v>
      </c>
      <c r="D221" s="13" t="s">
        <v>241</v>
      </c>
      <c r="E221" s="32">
        <v>1.5</v>
      </c>
      <c r="F221" s="33">
        <v>2832</v>
      </c>
      <c r="G221" s="6">
        <f t="shared" si="6"/>
        <v>4.6242774566473986E-2</v>
      </c>
      <c r="H221" s="9">
        <f t="array" ref="H221">(E221-MIN(IF($D$2:$D$268=D221,$E$2:$E$268)))/MIN(IF($D$2:$D$268=D221,$E$2:$E$268))</f>
        <v>0.5</v>
      </c>
      <c r="I221" s="10">
        <f t="array" ref="I221">(F221-MIN(IF($D$2:$D$268=D221,$F$2:$F$268)))/MIN(IF($D$2:$D$268=D221,$F$2:$F$268))</f>
        <v>2.3121387283236993E-2</v>
      </c>
    </row>
    <row r="222" spans="1:9" x14ac:dyDescent="0.25">
      <c r="A222" s="13" t="s">
        <v>178</v>
      </c>
      <c r="B222" s="13" t="s">
        <v>40</v>
      </c>
      <c r="C222" s="13" t="s">
        <v>236</v>
      </c>
      <c r="D222" s="13" t="s">
        <v>241</v>
      </c>
      <c r="E222" s="32">
        <v>1.55</v>
      </c>
      <c r="F222" s="33">
        <v>2856</v>
      </c>
      <c r="G222" s="6">
        <f t="shared" si="6"/>
        <v>5.7803468208092477E-2</v>
      </c>
      <c r="H222" s="9">
        <f t="array" ref="H222">(E222-MIN(IF($D$2:$D$268=D222,$E$2:$E$268)))/MIN(IF($D$2:$D$268=D222,$E$2:$E$268))</f>
        <v>0.55000000000000004</v>
      </c>
      <c r="I222" s="10">
        <f t="array" ref="I222">(F222-MIN(IF($D$2:$D$268=D222,$F$2:$F$268)))/MIN(IF($D$2:$D$268=D222,$F$2:$F$268))</f>
        <v>3.1791907514450865E-2</v>
      </c>
    </row>
    <row r="223" spans="1:9" x14ac:dyDescent="0.25">
      <c r="A223" s="13" t="s">
        <v>178</v>
      </c>
      <c r="B223" s="13" t="s">
        <v>40</v>
      </c>
      <c r="C223" s="13" t="s">
        <v>236</v>
      </c>
      <c r="D223" s="13" t="s">
        <v>241</v>
      </c>
      <c r="E223" s="32">
        <v>1.6</v>
      </c>
      <c r="F223" s="33">
        <v>2954</v>
      </c>
      <c r="G223" s="6">
        <f t="shared" si="6"/>
        <v>0.11199421965317917</v>
      </c>
      <c r="H223" s="9">
        <f t="array" ref="H223">(E223-MIN(IF($D$2:$D$268=D223,$E$2:$E$268)))/MIN(IF($D$2:$D$268=D223,$E$2:$E$268))</f>
        <v>0.60000000000000009</v>
      </c>
      <c r="I223" s="10">
        <f t="array" ref="I223">(F223-MIN(IF($D$2:$D$268=D223,$F$2:$F$268)))/MIN(IF($D$2:$D$268=D223,$F$2:$F$268))</f>
        <v>6.7196531791907516E-2</v>
      </c>
    </row>
    <row r="224" spans="1:9" x14ac:dyDescent="0.25">
      <c r="A224" s="13" t="s">
        <v>178</v>
      </c>
      <c r="B224" s="13" t="s">
        <v>40</v>
      </c>
      <c r="C224" s="13" t="s">
        <v>236</v>
      </c>
      <c r="D224" s="13" t="s">
        <v>241</v>
      </c>
      <c r="E224" s="32">
        <v>1.65</v>
      </c>
      <c r="F224" s="33">
        <v>3189</v>
      </c>
      <c r="G224" s="6">
        <f t="shared" si="6"/>
        <v>0.23399288572698981</v>
      </c>
      <c r="H224" s="9">
        <f t="array" ref="H224">(E224-MIN(IF($D$2:$D$268=D224,$E$2:$E$268)))/MIN(IF($D$2:$D$268=D224,$E$2:$E$268))</f>
        <v>0.64999999999999991</v>
      </c>
      <c r="I224" s="10">
        <f t="array" ref="I224">(F224-MIN(IF($D$2:$D$268=D224,$F$2:$F$268)))/MIN(IF($D$2:$D$268=D224,$F$2:$F$268))</f>
        <v>0.15209537572254336</v>
      </c>
    </row>
    <row r="225" spans="1:9" x14ac:dyDescent="0.25">
      <c r="A225" s="13" t="s">
        <v>178</v>
      </c>
      <c r="B225" s="13" t="s">
        <v>40</v>
      </c>
      <c r="C225" s="13" t="s">
        <v>236</v>
      </c>
      <c r="D225" s="13" t="s">
        <v>241</v>
      </c>
      <c r="E225" s="32">
        <v>1.7</v>
      </c>
      <c r="F225" s="33">
        <v>3717</v>
      </c>
      <c r="G225" s="6">
        <f t="shared" si="6"/>
        <v>0.48978117258464082</v>
      </c>
      <c r="H225" s="9">
        <f t="array" ref="H225">(E225-MIN(IF($D$2:$D$268=D225,$E$2:$E$268)))/MIN(IF($D$2:$D$268=D225,$E$2:$E$268))</f>
        <v>0.7</v>
      </c>
      <c r="I225" s="10">
        <f t="array" ref="I225">(F225-MIN(IF($D$2:$D$268=D225,$F$2:$F$268)))/MIN(IF($D$2:$D$268=D225,$F$2:$F$268))</f>
        <v>0.34284682080924855</v>
      </c>
    </row>
    <row r="226" spans="1:9" x14ac:dyDescent="0.25">
      <c r="A226" s="13" t="s">
        <v>178</v>
      </c>
      <c r="B226" s="13" t="s">
        <v>40</v>
      </c>
      <c r="C226" s="13" t="s">
        <v>236</v>
      </c>
      <c r="D226" s="13" t="s">
        <v>241</v>
      </c>
      <c r="E226" s="32">
        <v>1.73</v>
      </c>
      <c r="F226" s="33">
        <v>4130</v>
      </c>
      <c r="G226" s="6">
        <f t="shared" si="6"/>
        <v>0.67404386728957166</v>
      </c>
      <c r="H226" s="9">
        <f t="array" ref="H226">(E226-MIN(IF($D$2:$D$268=D226,$E$2:$E$268)))/MIN(IF($D$2:$D$268=D226,$E$2:$E$268))</f>
        <v>0.73</v>
      </c>
      <c r="I226" s="10">
        <f t="array" ref="I226">(F226-MIN(IF($D$2:$D$268=D226,$F$2:$F$268)))/MIN(IF($D$2:$D$268=D226,$F$2:$F$268))</f>
        <v>0.49205202312138729</v>
      </c>
    </row>
    <row r="227" spans="1:9" x14ac:dyDescent="0.25">
      <c r="A227" s="13" t="s">
        <v>178</v>
      </c>
      <c r="B227" s="13" t="s">
        <v>40</v>
      </c>
      <c r="C227" s="13" t="s">
        <v>236</v>
      </c>
      <c r="D227" t="s">
        <v>242</v>
      </c>
      <c r="E227" s="32">
        <v>1</v>
      </c>
      <c r="F227" s="33">
        <v>2914</v>
      </c>
      <c r="G227" s="6" t="str">
        <f t="shared" si="6"/>
        <v/>
      </c>
      <c r="H227" s="9">
        <f t="array" ref="H227">(E227-MIN(IF($D$2:$D$268=D227,$E$2:$E$268)))/MIN(IF($D$2:$D$268=D227,$E$2:$E$268))</f>
        <v>0</v>
      </c>
      <c r="I227" s="10">
        <f t="array" ref="I227">(F227-MIN(IF($D$2:$D$268=D227,$F$2:$F$268)))/MIN(IF($D$2:$D$268=D227,$F$2:$F$268))</f>
        <v>0</v>
      </c>
    </row>
    <row r="228" spans="1:9" x14ac:dyDescent="0.25">
      <c r="A228" s="13" t="s">
        <v>178</v>
      </c>
      <c r="B228" s="13" t="s">
        <v>40</v>
      </c>
      <c r="C228" s="13" t="s">
        <v>236</v>
      </c>
      <c r="D228" s="13" t="s">
        <v>242</v>
      </c>
      <c r="E228" s="32">
        <v>1.05</v>
      </c>
      <c r="F228" s="33">
        <v>2915</v>
      </c>
      <c r="G228" s="6">
        <f t="shared" si="6"/>
        <v>6.8634179821551065E-3</v>
      </c>
      <c r="H228" s="9">
        <f t="array" ref="H228">(E228-MIN(IF($D$2:$D$268=D228,$E$2:$E$268)))/MIN(IF($D$2:$D$268=D228,$E$2:$E$268))</f>
        <v>5.0000000000000044E-2</v>
      </c>
      <c r="I228" s="10">
        <f t="array" ref="I228">(F228-MIN(IF($D$2:$D$268=D228,$F$2:$F$268)))/MIN(IF($D$2:$D$268=D228,$F$2:$F$268))</f>
        <v>3.4317089910775565E-4</v>
      </c>
    </row>
    <row r="229" spans="1:9" x14ac:dyDescent="0.25">
      <c r="A229" s="13" t="s">
        <v>178</v>
      </c>
      <c r="B229" s="13" t="s">
        <v>40</v>
      </c>
      <c r="C229" s="13" t="s">
        <v>236</v>
      </c>
      <c r="D229" s="13" t="s">
        <v>242</v>
      </c>
      <c r="E229" s="32">
        <v>1.1000000000000001</v>
      </c>
      <c r="F229" s="33">
        <v>2916</v>
      </c>
      <c r="G229" s="6">
        <f t="shared" si="6"/>
        <v>6.8634179821551065E-3</v>
      </c>
      <c r="H229" s="9">
        <f t="array" ref="H229">(E229-MIN(IF($D$2:$D$268=D229,$E$2:$E$268)))/MIN(IF($D$2:$D$268=D229,$E$2:$E$268))</f>
        <v>0.10000000000000009</v>
      </c>
      <c r="I229" s="10">
        <f t="array" ref="I229">(F229-MIN(IF($D$2:$D$268=D229,$F$2:$F$268)))/MIN(IF($D$2:$D$268=D229,$F$2:$F$268))</f>
        <v>6.863417982155113E-4</v>
      </c>
    </row>
    <row r="230" spans="1:9" x14ac:dyDescent="0.25">
      <c r="A230" s="13" t="s">
        <v>178</v>
      </c>
      <c r="B230" s="13" t="s">
        <v>40</v>
      </c>
      <c r="C230" s="13" t="s">
        <v>236</v>
      </c>
      <c r="D230" s="13" t="s">
        <v>242</v>
      </c>
      <c r="E230" s="32">
        <v>1.1499999999999999</v>
      </c>
      <c r="F230" s="33">
        <v>2917</v>
      </c>
      <c r="G230" s="6">
        <f t="shared" si="6"/>
        <v>6.8634179821551178E-3</v>
      </c>
      <c r="H230" s="9">
        <f t="array" ref="H230">(E230-MIN(IF($D$2:$D$268=D230,$E$2:$E$268)))/MIN(IF($D$2:$D$268=D230,$E$2:$E$268))</f>
        <v>0.14999999999999991</v>
      </c>
      <c r="I230" s="10">
        <f t="array" ref="I230">(F230-MIN(IF($D$2:$D$268=D230,$F$2:$F$268)))/MIN(IF($D$2:$D$268=D230,$F$2:$F$268))</f>
        <v>1.0295126973232671E-3</v>
      </c>
    </row>
    <row r="231" spans="1:9" x14ac:dyDescent="0.25">
      <c r="A231" s="13" t="s">
        <v>178</v>
      </c>
      <c r="B231" s="13" t="s">
        <v>40</v>
      </c>
      <c r="C231" s="13" t="s">
        <v>236</v>
      </c>
      <c r="D231" s="13" t="s">
        <v>242</v>
      </c>
      <c r="E231" s="32">
        <v>1.2</v>
      </c>
      <c r="F231" s="33">
        <v>2919</v>
      </c>
      <c r="G231" s="6">
        <f t="shared" ref="G231:G270" si="7">IFERROR(I231/H231,"")</f>
        <v>8.5792724776938938E-3</v>
      </c>
      <c r="H231" s="9">
        <f t="array" ref="H231">(E231-MIN(IF($D$2:$D$268=D231,$E$2:$E$268)))/MIN(IF($D$2:$D$268=D231,$E$2:$E$268))</f>
        <v>0.19999999999999996</v>
      </c>
      <c r="I231" s="10">
        <f t="array" ref="I231">(F231-MIN(IF($D$2:$D$268=D231,$F$2:$F$268)))/MIN(IF($D$2:$D$268=D231,$F$2:$F$268))</f>
        <v>1.7158544955387784E-3</v>
      </c>
    </row>
    <row r="232" spans="1:9" x14ac:dyDescent="0.25">
      <c r="A232" s="13" t="s">
        <v>178</v>
      </c>
      <c r="B232" s="13" t="s">
        <v>40</v>
      </c>
      <c r="C232" s="13" t="s">
        <v>236</v>
      </c>
      <c r="D232" s="13" t="s">
        <v>242</v>
      </c>
      <c r="E232" s="32">
        <v>1.25</v>
      </c>
      <c r="F232" s="33">
        <v>2923</v>
      </c>
      <c r="G232" s="6">
        <f t="shared" si="7"/>
        <v>1.2354152367879203E-2</v>
      </c>
      <c r="H232" s="9">
        <f t="array" ref="H232">(E232-MIN(IF($D$2:$D$268=D232,$E$2:$E$268)))/MIN(IF($D$2:$D$268=D232,$E$2:$E$268))</f>
        <v>0.25</v>
      </c>
      <c r="I232" s="10">
        <f t="array" ref="I232">(F232-MIN(IF($D$2:$D$268=D232,$F$2:$F$268)))/MIN(IF($D$2:$D$268=D232,$F$2:$F$268))</f>
        <v>3.0885380919698007E-3</v>
      </c>
    </row>
    <row r="233" spans="1:9" x14ac:dyDescent="0.25">
      <c r="A233" s="13" t="s">
        <v>178</v>
      </c>
      <c r="B233" s="13" t="s">
        <v>40</v>
      </c>
      <c r="C233" s="13" t="s">
        <v>236</v>
      </c>
      <c r="D233" s="13" t="s">
        <v>242</v>
      </c>
      <c r="E233" s="32">
        <v>1.3</v>
      </c>
      <c r="F233" s="33">
        <v>2928</v>
      </c>
      <c r="G233" s="6">
        <f t="shared" si="7"/>
        <v>1.6014641958361928E-2</v>
      </c>
      <c r="H233" s="9">
        <f t="array" ref="H233">(E233-MIN(IF($D$2:$D$268=D233,$E$2:$E$268)))/MIN(IF($D$2:$D$268=D233,$E$2:$E$268))</f>
        <v>0.30000000000000004</v>
      </c>
      <c r="I233" s="10">
        <f t="array" ref="I233">(F233-MIN(IF($D$2:$D$268=D233,$F$2:$F$268)))/MIN(IF($D$2:$D$268=D233,$F$2:$F$268))</f>
        <v>4.8043925875085793E-3</v>
      </c>
    </row>
    <row r="234" spans="1:9" x14ac:dyDescent="0.25">
      <c r="A234" s="13" t="s">
        <v>178</v>
      </c>
      <c r="B234" s="13" t="s">
        <v>40</v>
      </c>
      <c r="C234" s="13" t="s">
        <v>236</v>
      </c>
      <c r="D234" s="13" t="s">
        <v>242</v>
      </c>
      <c r="E234" s="32">
        <v>1.35</v>
      </c>
      <c r="F234" s="33">
        <v>2932</v>
      </c>
      <c r="G234" s="6">
        <f t="shared" si="7"/>
        <v>1.7648789096970284E-2</v>
      </c>
      <c r="H234" s="9">
        <f t="array" ref="H234">(E234-MIN(IF($D$2:$D$268=D234,$E$2:$E$268)))/MIN(IF($D$2:$D$268=D234,$E$2:$E$268))</f>
        <v>0.35000000000000009</v>
      </c>
      <c r="I234" s="10">
        <f t="array" ref="I234">(F234-MIN(IF($D$2:$D$268=D234,$F$2:$F$268)))/MIN(IF($D$2:$D$268=D234,$F$2:$F$268))</f>
        <v>6.1770761839396015E-3</v>
      </c>
    </row>
    <row r="235" spans="1:9" x14ac:dyDescent="0.25">
      <c r="A235" s="13" t="s">
        <v>178</v>
      </c>
      <c r="B235" s="13" t="s">
        <v>40</v>
      </c>
      <c r="C235" s="13" t="s">
        <v>236</v>
      </c>
      <c r="D235" s="13" t="s">
        <v>242</v>
      </c>
      <c r="E235" s="32">
        <v>1.4</v>
      </c>
      <c r="F235" s="33">
        <v>2937</v>
      </c>
      <c r="G235" s="6">
        <f t="shared" si="7"/>
        <v>1.9732326698695957E-2</v>
      </c>
      <c r="H235" s="9">
        <f t="array" ref="H235">(E235-MIN(IF($D$2:$D$268=D235,$E$2:$E$268)))/MIN(IF($D$2:$D$268=D235,$E$2:$E$268))</f>
        <v>0.39999999999999991</v>
      </c>
      <c r="I235" s="10">
        <f t="array" ref="I235">(F235-MIN(IF($D$2:$D$268=D235,$F$2:$F$268)))/MIN(IF($D$2:$D$268=D235,$F$2:$F$268))</f>
        <v>7.8929306794783809E-3</v>
      </c>
    </row>
    <row r="236" spans="1:9" x14ac:dyDescent="0.25">
      <c r="A236" s="13" t="s">
        <v>178</v>
      </c>
      <c r="B236" s="13" t="s">
        <v>40</v>
      </c>
      <c r="C236" s="13" t="s">
        <v>236</v>
      </c>
      <c r="D236" s="13" t="s">
        <v>242</v>
      </c>
      <c r="E236" s="32">
        <v>1.45</v>
      </c>
      <c r="F236" s="33">
        <v>2943</v>
      </c>
      <c r="G236" s="6">
        <f t="shared" si="7"/>
        <v>2.2115457942499812E-2</v>
      </c>
      <c r="H236" s="9">
        <f t="array" ref="H236">(E236-MIN(IF($D$2:$D$268=D236,$E$2:$E$268)))/MIN(IF($D$2:$D$268=D236,$E$2:$E$268))</f>
        <v>0.44999999999999996</v>
      </c>
      <c r="I236" s="10">
        <f t="array" ref="I236">(F236-MIN(IF($D$2:$D$268=D236,$F$2:$F$268)))/MIN(IF($D$2:$D$268=D236,$F$2:$F$268))</f>
        <v>9.9519560741249142E-3</v>
      </c>
    </row>
    <row r="237" spans="1:9" x14ac:dyDescent="0.25">
      <c r="A237" s="13" t="s">
        <v>178</v>
      </c>
      <c r="B237" s="13" t="s">
        <v>40</v>
      </c>
      <c r="C237" s="13" t="s">
        <v>236</v>
      </c>
      <c r="D237" s="13" t="s">
        <v>242</v>
      </c>
      <c r="E237" s="32">
        <v>1.5</v>
      </c>
      <c r="F237" s="33">
        <v>2952</v>
      </c>
      <c r="G237" s="6">
        <f t="shared" si="7"/>
        <v>2.6080988332189432E-2</v>
      </c>
      <c r="H237" s="9">
        <f t="array" ref="H237">(E237-MIN(IF($D$2:$D$268=D237,$E$2:$E$268)))/MIN(IF($D$2:$D$268=D237,$E$2:$E$268))</f>
        <v>0.5</v>
      </c>
      <c r="I237" s="10">
        <f t="array" ref="I237">(F237-MIN(IF($D$2:$D$268=D237,$F$2:$F$268)))/MIN(IF($D$2:$D$268=D237,$F$2:$F$268))</f>
        <v>1.3040494166094716E-2</v>
      </c>
    </row>
    <row r="238" spans="1:9" x14ac:dyDescent="0.25">
      <c r="A238" s="13" t="s">
        <v>178</v>
      </c>
      <c r="B238" s="13" t="s">
        <v>40</v>
      </c>
      <c r="C238" s="13" t="s">
        <v>236</v>
      </c>
      <c r="D238" s="13" t="s">
        <v>242</v>
      </c>
      <c r="E238" s="32">
        <v>1.55</v>
      </c>
      <c r="F238" s="33">
        <v>2967</v>
      </c>
      <c r="G238" s="6">
        <f t="shared" si="7"/>
        <v>3.3069195732201906E-2</v>
      </c>
      <c r="H238" s="9">
        <f t="array" ref="H238">(E238-MIN(IF($D$2:$D$268=D238,$E$2:$E$268)))/MIN(IF($D$2:$D$268=D238,$E$2:$E$268))</f>
        <v>0.55000000000000004</v>
      </c>
      <c r="I238" s="10">
        <f t="array" ref="I238">(F238-MIN(IF($D$2:$D$268=D238,$F$2:$F$268)))/MIN(IF($D$2:$D$268=D238,$F$2:$F$268))</f>
        <v>1.8188057652711049E-2</v>
      </c>
    </row>
    <row r="239" spans="1:9" x14ac:dyDescent="0.25">
      <c r="A239" s="13" t="s">
        <v>178</v>
      </c>
      <c r="B239" s="13" t="s">
        <v>40</v>
      </c>
      <c r="C239" s="13" t="s">
        <v>236</v>
      </c>
      <c r="D239" s="13" t="s">
        <v>242</v>
      </c>
      <c r="E239" s="32">
        <v>1.6</v>
      </c>
      <c r="F239" s="33">
        <v>2988</v>
      </c>
      <c r="G239" s="6">
        <f t="shared" si="7"/>
        <v>4.2324410889956525E-2</v>
      </c>
      <c r="H239" s="9">
        <f t="array" ref="H239">(E239-MIN(IF($D$2:$D$268=D239,$E$2:$E$268)))/MIN(IF($D$2:$D$268=D239,$E$2:$E$268))</f>
        <v>0.60000000000000009</v>
      </c>
      <c r="I239" s="10">
        <f t="array" ref="I239">(F239-MIN(IF($D$2:$D$268=D239,$F$2:$F$268)))/MIN(IF($D$2:$D$268=D239,$F$2:$F$268))</f>
        <v>2.5394646533973921E-2</v>
      </c>
    </row>
    <row r="240" spans="1:9" x14ac:dyDescent="0.25">
      <c r="A240" s="13" t="s">
        <v>178</v>
      </c>
      <c r="B240" s="13" t="s">
        <v>40</v>
      </c>
      <c r="C240" s="13" t="s">
        <v>236</v>
      </c>
      <c r="D240" s="13" t="s">
        <v>242</v>
      </c>
      <c r="E240" s="32">
        <v>1.65</v>
      </c>
      <c r="F240" s="33">
        <v>3066</v>
      </c>
      <c r="G240" s="6">
        <f t="shared" si="7"/>
        <v>8.0249194868275184E-2</v>
      </c>
      <c r="H240" s="9">
        <f t="array" ref="H240">(E240-MIN(IF($D$2:$D$268=D240,$E$2:$E$268)))/MIN(IF($D$2:$D$268=D240,$E$2:$E$268))</f>
        <v>0.64999999999999991</v>
      </c>
      <c r="I240" s="10">
        <f t="array" ref="I240">(F240-MIN(IF($D$2:$D$268=D240,$F$2:$F$268)))/MIN(IF($D$2:$D$268=D240,$F$2:$F$268))</f>
        <v>5.2161976664378863E-2</v>
      </c>
    </row>
    <row r="241" spans="1:9" x14ac:dyDescent="0.25">
      <c r="A241" s="13" t="s">
        <v>178</v>
      </c>
      <c r="B241" s="13" t="s">
        <v>40</v>
      </c>
      <c r="C241" s="13" t="s">
        <v>236</v>
      </c>
      <c r="D241" s="13" t="s">
        <v>242</v>
      </c>
      <c r="E241" s="32">
        <v>1.7</v>
      </c>
      <c r="F241" s="33">
        <v>3433</v>
      </c>
      <c r="G241" s="6">
        <f t="shared" si="7"/>
        <v>0.25443670948132169</v>
      </c>
      <c r="H241" s="9">
        <f t="array" ref="H241">(E241-MIN(IF($D$2:$D$268=D241,$E$2:$E$268)))/MIN(IF($D$2:$D$268=D241,$E$2:$E$268))</f>
        <v>0.7</v>
      </c>
      <c r="I241" s="10">
        <f t="array" ref="I241">(F241-MIN(IF($D$2:$D$268=D241,$F$2:$F$268)))/MIN(IF($D$2:$D$268=D241,$F$2:$F$268))</f>
        <v>0.17810569663692519</v>
      </c>
    </row>
    <row r="242" spans="1:9" x14ac:dyDescent="0.25">
      <c r="A242" s="13" t="s">
        <v>178</v>
      </c>
      <c r="B242" s="13" t="s">
        <v>40</v>
      </c>
      <c r="C242" s="13" t="s">
        <v>236</v>
      </c>
      <c r="D242" s="13" t="s">
        <v>242</v>
      </c>
      <c r="E242" s="32">
        <v>1.73</v>
      </c>
      <c r="F242" s="33">
        <v>3765</v>
      </c>
      <c r="G242" s="6">
        <f t="shared" si="7"/>
        <v>0.40005265087767133</v>
      </c>
      <c r="H242" s="9">
        <f t="array" ref="H242">(E242-MIN(IF($D$2:$D$268=D242,$E$2:$E$268)))/MIN(IF($D$2:$D$268=D242,$E$2:$E$268))</f>
        <v>0.73</v>
      </c>
      <c r="I242" s="10">
        <f t="array" ref="I242">(F242-MIN(IF($D$2:$D$268=D242,$F$2:$F$268)))/MIN(IF($D$2:$D$268=D242,$F$2:$F$268))</f>
        <v>0.29203843514070005</v>
      </c>
    </row>
    <row r="243" spans="1:9" x14ac:dyDescent="0.25">
      <c r="A243" s="13" t="s">
        <v>178</v>
      </c>
      <c r="B243" s="13" t="s">
        <v>40</v>
      </c>
      <c r="C243" s="13" t="s">
        <v>236</v>
      </c>
      <c r="D243" t="s">
        <v>243</v>
      </c>
      <c r="E243" s="32">
        <v>1</v>
      </c>
      <c r="F243" s="33">
        <v>2418</v>
      </c>
      <c r="G243" s="6" t="str">
        <f t="shared" si="7"/>
        <v/>
      </c>
      <c r="H243" s="9">
        <f t="array" ref="H243">(E243-MIN(IF($D$2:$D$268=D243,$E$2:$E$268)))/MIN(IF($D$2:$D$268=D243,$E$2:$E$268))</f>
        <v>0</v>
      </c>
      <c r="I243" s="10">
        <f t="array" ref="I243">(F243-MIN(IF($D$2:$D$268=D243,$F$2:$F$268)))/MIN(IF($D$2:$D$268=D243,$F$2:$F$268))</f>
        <v>0</v>
      </c>
    </row>
    <row r="244" spans="1:9" x14ac:dyDescent="0.25">
      <c r="A244" s="13" t="s">
        <v>178</v>
      </c>
      <c r="B244" s="13" t="s">
        <v>40</v>
      </c>
      <c r="C244" s="13" t="s">
        <v>236</v>
      </c>
      <c r="D244" s="13" t="s">
        <v>243</v>
      </c>
      <c r="E244" s="32">
        <v>1.05</v>
      </c>
      <c r="F244" s="33">
        <v>2419</v>
      </c>
      <c r="G244" s="6">
        <f t="shared" si="7"/>
        <v>8.2712985938792321E-3</v>
      </c>
      <c r="H244" s="9">
        <f t="array" ref="H244">(E244-MIN(IF($D$2:$D$268=D244,$E$2:$E$268)))/MIN(IF($D$2:$D$268=D244,$E$2:$E$268))</f>
        <v>5.0000000000000044E-2</v>
      </c>
      <c r="I244" s="10">
        <f t="array" ref="I244">(F244-MIN(IF($D$2:$D$268=D244,$F$2:$F$268)))/MIN(IF($D$2:$D$268=D244,$F$2:$F$268))</f>
        <v>4.1356492969396195E-4</v>
      </c>
    </row>
    <row r="245" spans="1:9" x14ac:dyDescent="0.25">
      <c r="A245" s="13" t="s">
        <v>178</v>
      </c>
      <c r="B245" s="13" t="s">
        <v>40</v>
      </c>
      <c r="C245" s="13" t="s">
        <v>236</v>
      </c>
      <c r="D245" s="13" t="s">
        <v>243</v>
      </c>
      <c r="E245" s="32">
        <v>1.1000000000000001</v>
      </c>
      <c r="F245" s="33">
        <v>2420</v>
      </c>
      <c r="G245" s="6">
        <f t="shared" si="7"/>
        <v>8.2712985938792321E-3</v>
      </c>
      <c r="H245" s="9">
        <f t="array" ref="H245">(E245-MIN(IF($D$2:$D$268=D245,$E$2:$E$268)))/MIN(IF($D$2:$D$268=D245,$E$2:$E$268))</f>
        <v>0.10000000000000009</v>
      </c>
      <c r="I245" s="10">
        <f t="array" ref="I245">(F245-MIN(IF($D$2:$D$268=D245,$F$2:$F$268)))/MIN(IF($D$2:$D$268=D245,$F$2:$F$268))</f>
        <v>8.271298593879239E-4</v>
      </c>
    </row>
    <row r="246" spans="1:9" x14ac:dyDescent="0.25">
      <c r="A246" s="13" t="s">
        <v>178</v>
      </c>
      <c r="B246" s="13" t="s">
        <v>40</v>
      </c>
      <c r="C246" s="13" t="s">
        <v>236</v>
      </c>
      <c r="D246" s="13" t="s">
        <v>243</v>
      </c>
      <c r="E246" s="32">
        <v>1.1499999999999999</v>
      </c>
      <c r="F246" s="33">
        <v>2422</v>
      </c>
      <c r="G246" s="6">
        <f t="shared" si="7"/>
        <v>1.1028398125172326E-2</v>
      </c>
      <c r="H246" s="9">
        <f t="array" ref="H246">(E246-MIN(IF($D$2:$D$268=D246,$E$2:$E$268)))/MIN(IF($D$2:$D$268=D246,$E$2:$E$268))</f>
        <v>0.14999999999999991</v>
      </c>
      <c r="I246" s="10">
        <f t="array" ref="I246">(F246-MIN(IF($D$2:$D$268=D246,$F$2:$F$268)))/MIN(IF($D$2:$D$268=D246,$F$2:$F$268))</f>
        <v>1.6542597187758478E-3</v>
      </c>
    </row>
    <row r="247" spans="1:9" x14ac:dyDescent="0.25">
      <c r="A247" s="13" t="s">
        <v>178</v>
      </c>
      <c r="B247" s="13" t="s">
        <v>40</v>
      </c>
      <c r="C247" s="13" t="s">
        <v>236</v>
      </c>
      <c r="D247" s="13" t="s">
        <v>243</v>
      </c>
      <c r="E247" s="32">
        <v>1.2</v>
      </c>
      <c r="F247" s="33">
        <v>2423</v>
      </c>
      <c r="G247" s="6">
        <f t="shared" si="7"/>
        <v>1.0339123242349051E-2</v>
      </c>
      <c r="H247" s="9">
        <f t="array" ref="H247">(E247-MIN(IF($D$2:$D$268=D247,$E$2:$E$268)))/MIN(IF($D$2:$D$268=D247,$E$2:$E$268))</f>
        <v>0.19999999999999996</v>
      </c>
      <c r="I247" s="10">
        <f t="array" ref="I247">(F247-MIN(IF($D$2:$D$268=D247,$F$2:$F$268)))/MIN(IF($D$2:$D$268=D247,$F$2:$F$268))</f>
        <v>2.0678246484698098E-3</v>
      </c>
    </row>
    <row r="248" spans="1:9" x14ac:dyDescent="0.25">
      <c r="A248" s="13" t="s">
        <v>178</v>
      </c>
      <c r="B248" s="13" t="s">
        <v>40</v>
      </c>
      <c r="C248" s="13" t="s">
        <v>236</v>
      </c>
      <c r="D248" s="13" t="s">
        <v>243</v>
      </c>
      <c r="E248" s="32">
        <v>1.25</v>
      </c>
      <c r="F248" s="33">
        <v>2425</v>
      </c>
      <c r="G248" s="6">
        <f t="shared" si="7"/>
        <v>1.1579818031430935E-2</v>
      </c>
      <c r="H248" s="9">
        <f t="array" ref="H248">(E248-MIN(IF($D$2:$D$268=D248,$E$2:$E$268)))/MIN(IF($D$2:$D$268=D248,$E$2:$E$268))</f>
        <v>0.25</v>
      </c>
      <c r="I248" s="10">
        <f t="array" ref="I248">(F248-MIN(IF($D$2:$D$268=D248,$F$2:$F$268)))/MIN(IF($D$2:$D$268=D248,$F$2:$F$268))</f>
        <v>2.8949545078577337E-3</v>
      </c>
    </row>
    <row r="249" spans="1:9" x14ac:dyDescent="0.25">
      <c r="A249" s="13" t="s">
        <v>178</v>
      </c>
      <c r="B249" s="13" t="s">
        <v>40</v>
      </c>
      <c r="C249" s="13" t="s">
        <v>236</v>
      </c>
      <c r="D249" s="13" t="s">
        <v>243</v>
      </c>
      <c r="E249" s="32">
        <v>1.3</v>
      </c>
      <c r="F249" s="33">
        <v>2429</v>
      </c>
      <c r="G249" s="6">
        <f t="shared" si="7"/>
        <v>1.5164047422111937E-2</v>
      </c>
      <c r="H249" s="9">
        <f t="array" ref="H249">(E249-MIN(IF($D$2:$D$268=D249,$E$2:$E$268)))/MIN(IF($D$2:$D$268=D249,$E$2:$E$268))</f>
        <v>0.30000000000000004</v>
      </c>
      <c r="I249" s="10">
        <f t="array" ref="I249">(F249-MIN(IF($D$2:$D$268=D249,$F$2:$F$268)))/MIN(IF($D$2:$D$268=D249,$F$2:$F$268))</f>
        <v>4.5492142266335819E-3</v>
      </c>
    </row>
    <row r="250" spans="1:9" x14ac:dyDescent="0.25">
      <c r="A250" s="13" t="s">
        <v>178</v>
      </c>
      <c r="B250" s="13" t="s">
        <v>40</v>
      </c>
      <c r="C250" s="13" t="s">
        <v>236</v>
      </c>
      <c r="D250" s="13" t="s">
        <v>243</v>
      </c>
      <c r="E250" s="32">
        <v>1.35</v>
      </c>
      <c r="F250" s="33">
        <v>2434</v>
      </c>
      <c r="G250" s="6">
        <f t="shared" si="7"/>
        <v>1.8905825357438257E-2</v>
      </c>
      <c r="H250" s="9">
        <f t="array" ref="H250">(E250-MIN(IF($D$2:$D$268=D250,$E$2:$E$268)))/MIN(IF($D$2:$D$268=D250,$E$2:$E$268))</f>
        <v>0.35000000000000009</v>
      </c>
      <c r="I250" s="10">
        <f t="array" ref="I250">(F250-MIN(IF($D$2:$D$268=D250,$F$2:$F$268)))/MIN(IF($D$2:$D$268=D250,$F$2:$F$268))</f>
        <v>6.6170388751033912E-3</v>
      </c>
    </row>
    <row r="251" spans="1:9" x14ac:dyDescent="0.25">
      <c r="A251" s="13" t="s">
        <v>178</v>
      </c>
      <c r="B251" s="13" t="s">
        <v>40</v>
      </c>
      <c r="C251" s="13" t="s">
        <v>236</v>
      </c>
      <c r="D251" s="13" t="s">
        <v>243</v>
      </c>
      <c r="E251" s="32">
        <v>1.4</v>
      </c>
      <c r="F251" s="33">
        <v>2441</v>
      </c>
      <c r="G251" s="6">
        <f t="shared" si="7"/>
        <v>2.3779983457402818E-2</v>
      </c>
      <c r="H251" s="9">
        <f t="array" ref="H251">(E251-MIN(IF($D$2:$D$268=D251,$E$2:$E$268)))/MIN(IF($D$2:$D$268=D251,$E$2:$E$268))</f>
        <v>0.39999999999999991</v>
      </c>
      <c r="I251" s="10">
        <f t="array" ref="I251">(F251-MIN(IF($D$2:$D$268=D251,$F$2:$F$268)))/MIN(IF($D$2:$D$268=D251,$F$2:$F$268))</f>
        <v>9.5119933829611245E-3</v>
      </c>
    </row>
    <row r="252" spans="1:9" x14ac:dyDescent="0.25">
      <c r="A252" s="13" t="s">
        <v>178</v>
      </c>
      <c r="B252" s="13" t="s">
        <v>40</v>
      </c>
      <c r="C252" s="13" t="s">
        <v>236</v>
      </c>
      <c r="D252" s="13" t="s">
        <v>243</v>
      </c>
      <c r="E252" s="32">
        <v>1.45</v>
      </c>
      <c r="F252" s="33">
        <v>2454</v>
      </c>
      <c r="G252" s="6">
        <f t="shared" si="7"/>
        <v>3.3085194375516956E-2</v>
      </c>
      <c r="H252" s="9">
        <f t="array" ref="H252">(E252-MIN(IF($D$2:$D$268=D252,$E$2:$E$268)))/MIN(IF($D$2:$D$268=D252,$E$2:$E$268))</f>
        <v>0.44999999999999996</v>
      </c>
      <c r="I252" s="10">
        <f t="array" ref="I252">(F252-MIN(IF($D$2:$D$268=D252,$F$2:$F$268)))/MIN(IF($D$2:$D$268=D252,$F$2:$F$268))</f>
        <v>1.488833746898263E-2</v>
      </c>
    </row>
    <row r="253" spans="1:9" x14ac:dyDescent="0.25">
      <c r="A253" s="13" t="s">
        <v>178</v>
      </c>
      <c r="B253" s="13" t="s">
        <v>40</v>
      </c>
      <c r="C253" s="13" t="s">
        <v>236</v>
      </c>
      <c r="D253" s="13" t="s">
        <v>243</v>
      </c>
      <c r="E253" s="32">
        <v>1.5</v>
      </c>
      <c r="F253" s="33">
        <v>2467</v>
      </c>
      <c r="G253" s="6">
        <f t="shared" si="7"/>
        <v>4.0529363110008272E-2</v>
      </c>
      <c r="H253" s="9">
        <f t="array" ref="H253">(E253-MIN(IF($D$2:$D$268=D253,$E$2:$E$268)))/MIN(IF($D$2:$D$268=D253,$E$2:$E$268))</f>
        <v>0.5</v>
      </c>
      <c r="I253" s="10">
        <f t="array" ref="I253">(F253-MIN(IF($D$2:$D$268=D253,$F$2:$F$268)))/MIN(IF($D$2:$D$268=D253,$F$2:$F$268))</f>
        <v>2.0264681555004136E-2</v>
      </c>
    </row>
    <row r="254" spans="1:9" x14ac:dyDescent="0.25">
      <c r="A254" s="13" t="s">
        <v>178</v>
      </c>
      <c r="B254" s="13" t="s">
        <v>40</v>
      </c>
      <c r="C254" s="13" t="s">
        <v>236</v>
      </c>
      <c r="D254" s="13" t="s">
        <v>243</v>
      </c>
      <c r="E254" s="32">
        <v>1.55</v>
      </c>
      <c r="F254" s="33">
        <v>2491</v>
      </c>
      <c r="G254" s="6">
        <f t="shared" si="7"/>
        <v>5.4891345213925857E-2</v>
      </c>
      <c r="H254" s="9">
        <f t="array" ref="H254">(E254-MIN(IF($D$2:$D$268=D254,$E$2:$E$268)))/MIN(IF($D$2:$D$268=D254,$E$2:$E$268))</f>
        <v>0.55000000000000004</v>
      </c>
      <c r="I254" s="10">
        <f t="array" ref="I254">(F254-MIN(IF($D$2:$D$268=D254,$F$2:$F$268)))/MIN(IF($D$2:$D$268=D254,$F$2:$F$268))</f>
        <v>3.0190239867659223E-2</v>
      </c>
    </row>
    <row r="255" spans="1:9" x14ac:dyDescent="0.25">
      <c r="A255" s="13" t="s">
        <v>178</v>
      </c>
      <c r="B255" s="13" t="s">
        <v>40</v>
      </c>
      <c r="C255" s="13" t="s">
        <v>236</v>
      </c>
      <c r="D255" s="13" t="s">
        <v>243</v>
      </c>
      <c r="E255" s="32">
        <v>1.6</v>
      </c>
      <c r="F255" s="33">
        <v>2538</v>
      </c>
      <c r="G255" s="6">
        <f t="shared" si="7"/>
        <v>8.271298593879238E-2</v>
      </c>
      <c r="H255" s="9">
        <f t="array" ref="H255">(E255-MIN(IF($D$2:$D$268=D255,$E$2:$E$268)))/MIN(IF($D$2:$D$268=D255,$E$2:$E$268))</f>
        <v>0.60000000000000009</v>
      </c>
      <c r="I255" s="10">
        <f t="array" ref="I255">(F255-MIN(IF($D$2:$D$268=D255,$F$2:$F$268)))/MIN(IF($D$2:$D$268=D255,$F$2:$F$268))</f>
        <v>4.9627791563275438E-2</v>
      </c>
    </row>
    <row r="256" spans="1:9" x14ac:dyDescent="0.25">
      <c r="A256" s="13" t="s">
        <v>178</v>
      </c>
      <c r="B256" s="13" t="s">
        <v>40</v>
      </c>
      <c r="C256" s="13" t="s">
        <v>236</v>
      </c>
      <c r="D256" s="13" t="s">
        <v>243</v>
      </c>
      <c r="E256" s="32">
        <v>1.68</v>
      </c>
      <c r="F256" s="33">
        <v>3250</v>
      </c>
      <c r="G256" s="6">
        <f t="shared" si="7"/>
        <v>0.5060088551549653</v>
      </c>
      <c r="H256" s="9">
        <f t="array" ref="H256">(E256-MIN(IF($D$2:$D$268=D256,$E$2:$E$268)))/MIN(IF($D$2:$D$268=D256,$E$2:$E$268))</f>
        <v>0.67999999999999994</v>
      </c>
      <c r="I256" s="10">
        <f t="array" ref="I256">(F256-MIN(IF($D$2:$D$268=D256,$F$2:$F$268)))/MIN(IF($D$2:$D$268=D256,$F$2:$F$268))</f>
        <v>0.34408602150537637</v>
      </c>
    </row>
    <row r="257" spans="1:9" x14ac:dyDescent="0.25">
      <c r="A257" s="13" t="s">
        <v>178</v>
      </c>
      <c r="B257" s="13" t="s">
        <v>40</v>
      </c>
      <c r="C257" s="13" t="s">
        <v>236</v>
      </c>
      <c r="D257" t="s">
        <v>244</v>
      </c>
      <c r="E257" s="32">
        <v>1</v>
      </c>
      <c r="F257" s="33">
        <v>2538</v>
      </c>
      <c r="G257" s="6" t="str">
        <f t="shared" si="7"/>
        <v/>
      </c>
      <c r="H257" s="9">
        <f t="array" ref="H257">(E257-MIN(IF($D$2:$D$268=D257,$E$2:$E$268)))/MIN(IF($D$2:$D$268=D257,$E$2:$E$268))</f>
        <v>0</v>
      </c>
      <c r="I257" s="10">
        <f t="array" ref="I257">(F257-MIN(IF($D$2:$D$268=D257,$F$2:$F$268)))/MIN(IF($D$2:$D$268=D257,$F$2:$F$268))</f>
        <v>0</v>
      </c>
    </row>
    <row r="258" spans="1:9" x14ac:dyDescent="0.25">
      <c r="A258" s="13" t="s">
        <v>178</v>
      </c>
      <c r="B258" s="13" t="s">
        <v>40</v>
      </c>
      <c r="C258" s="13" t="s">
        <v>236</v>
      </c>
      <c r="D258" s="13" t="s">
        <v>244</v>
      </c>
      <c r="E258" s="32">
        <v>1.05</v>
      </c>
      <c r="F258" s="33">
        <v>2539</v>
      </c>
      <c r="G258" s="6">
        <f t="shared" si="7"/>
        <v>7.880220646178087E-3</v>
      </c>
      <c r="H258" s="9">
        <f t="array" ref="H258">(E258-MIN(IF($D$2:$D$268=D258,$E$2:$E$268)))/MIN(IF($D$2:$D$268=D258,$E$2:$E$268))</f>
        <v>5.0000000000000044E-2</v>
      </c>
      <c r="I258" s="10">
        <f t="array" ref="I258">(F258-MIN(IF($D$2:$D$268=D258,$F$2:$F$268)))/MIN(IF($D$2:$D$268=D258,$F$2:$F$268))</f>
        <v>3.9401103230890468E-4</v>
      </c>
    </row>
    <row r="259" spans="1:9" x14ac:dyDescent="0.25">
      <c r="A259" s="13" t="s">
        <v>178</v>
      </c>
      <c r="B259" s="13" t="s">
        <v>40</v>
      </c>
      <c r="C259" s="13" t="s">
        <v>236</v>
      </c>
      <c r="D259" s="13" t="s">
        <v>244</v>
      </c>
      <c r="E259" s="32">
        <v>1.1000000000000001</v>
      </c>
      <c r="F259" s="33">
        <v>2540</v>
      </c>
      <c r="G259" s="6">
        <f t="shared" si="7"/>
        <v>7.880220646178087E-3</v>
      </c>
      <c r="H259" s="9">
        <f t="array" ref="H259">(E259-MIN(IF($D$2:$D$268=D259,$E$2:$E$268)))/MIN(IF($D$2:$D$268=D259,$E$2:$E$268))</f>
        <v>0.10000000000000009</v>
      </c>
      <c r="I259" s="10">
        <f t="array" ref="I259">(F259-MIN(IF($D$2:$D$268=D259,$F$2:$F$268)))/MIN(IF($D$2:$D$268=D259,$F$2:$F$268))</f>
        <v>7.8802206461780935E-4</v>
      </c>
    </row>
    <row r="260" spans="1:9" x14ac:dyDescent="0.25">
      <c r="A260" s="13" t="s">
        <v>178</v>
      </c>
      <c r="B260" s="13" t="s">
        <v>40</v>
      </c>
      <c r="C260" s="13" t="s">
        <v>236</v>
      </c>
      <c r="D260" s="13" t="s">
        <v>244</v>
      </c>
      <c r="E260" s="32">
        <v>1.1499999999999999</v>
      </c>
      <c r="F260" s="33">
        <v>2541</v>
      </c>
      <c r="G260" s="6">
        <f t="shared" si="7"/>
        <v>7.8802206461780974E-3</v>
      </c>
      <c r="H260" s="9">
        <f t="array" ref="H260">(E260-MIN(IF($D$2:$D$268=D260,$E$2:$E$268)))/MIN(IF($D$2:$D$268=D260,$E$2:$E$268))</f>
        <v>0.14999999999999991</v>
      </c>
      <c r="I260" s="10">
        <f t="array" ref="I260">(F260-MIN(IF($D$2:$D$268=D260,$F$2:$F$268)))/MIN(IF($D$2:$D$268=D260,$F$2:$F$268))</f>
        <v>1.1820330969267139E-3</v>
      </c>
    </row>
    <row r="261" spans="1:9" x14ac:dyDescent="0.25">
      <c r="A261" s="13" t="s">
        <v>178</v>
      </c>
      <c r="B261" s="13" t="s">
        <v>40</v>
      </c>
      <c r="C261" s="13" t="s">
        <v>236</v>
      </c>
      <c r="D261" s="13" t="s">
        <v>244</v>
      </c>
      <c r="E261" s="32">
        <v>1.2</v>
      </c>
      <c r="F261" s="33">
        <v>2542</v>
      </c>
      <c r="G261" s="6">
        <f t="shared" si="7"/>
        <v>7.8802206461780957E-3</v>
      </c>
      <c r="H261" s="9">
        <f t="array" ref="H261">(E261-MIN(IF($D$2:$D$268=D261,$E$2:$E$268)))/MIN(IF($D$2:$D$268=D261,$E$2:$E$268))</f>
        <v>0.19999999999999996</v>
      </c>
      <c r="I261" s="10">
        <f t="array" ref="I261">(F261-MIN(IF($D$2:$D$268=D261,$F$2:$F$268)))/MIN(IF($D$2:$D$268=D261,$F$2:$F$268))</f>
        <v>1.5760441292356187E-3</v>
      </c>
    </row>
    <row r="262" spans="1:9" x14ac:dyDescent="0.25">
      <c r="A262" s="13" t="s">
        <v>178</v>
      </c>
      <c r="B262" s="13" t="s">
        <v>40</v>
      </c>
      <c r="C262" s="13" t="s">
        <v>236</v>
      </c>
      <c r="D262" s="13" t="s">
        <v>244</v>
      </c>
      <c r="E262" s="32">
        <v>1.25</v>
      </c>
      <c r="F262" s="33">
        <v>2543</v>
      </c>
      <c r="G262" s="6">
        <f t="shared" si="7"/>
        <v>7.8802206461780922E-3</v>
      </c>
      <c r="H262" s="9">
        <f t="array" ref="H262">(E262-MIN(IF($D$2:$D$268=D262,$E$2:$E$268)))/MIN(IF($D$2:$D$268=D262,$E$2:$E$268))</f>
        <v>0.25</v>
      </c>
      <c r="I262" s="10">
        <f t="array" ref="I262">(F262-MIN(IF($D$2:$D$268=D262,$F$2:$F$268)))/MIN(IF($D$2:$D$268=D262,$F$2:$F$268))</f>
        <v>1.9700551615445231E-3</v>
      </c>
    </row>
    <row r="263" spans="1:9" x14ac:dyDescent="0.25">
      <c r="A263" s="13" t="s">
        <v>178</v>
      </c>
      <c r="B263" s="13" t="s">
        <v>40</v>
      </c>
      <c r="C263" s="13" t="s">
        <v>236</v>
      </c>
      <c r="D263" s="13" t="s">
        <v>244</v>
      </c>
      <c r="E263" s="32">
        <v>1.3</v>
      </c>
      <c r="F263" s="33">
        <v>2544</v>
      </c>
      <c r="G263" s="6">
        <f t="shared" si="7"/>
        <v>7.8802206461780922E-3</v>
      </c>
      <c r="H263" s="9">
        <f t="array" ref="H263">(E263-MIN(IF($D$2:$D$268=D263,$E$2:$E$268)))/MIN(IF($D$2:$D$268=D263,$E$2:$E$268))</f>
        <v>0.30000000000000004</v>
      </c>
      <c r="I263" s="10">
        <f t="array" ref="I263">(F263-MIN(IF($D$2:$D$268=D263,$F$2:$F$268)))/MIN(IF($D$2:$D$268=D263,$F$2:$F$268))</f>
        <v>2.3640661938534278E-3</v>
      </c>
    </row>
    <row r="264" spans="1:9" x14ac:dyDescent="0.25">
      <c r="A264" s="13" t="s">
        <v>178</v>
      </c>
      <c r="B264" s="13" t="s">
        <v>40</v>
      </c>
      <c r="C264" s="13" t="s">
        <v>236</v>
      </c>
      <c r="D264" s="13" t="s">
        <v>244</v>
      </c>
      <c r="E264" s="32">
        <v>1.35</v>
      </c>
      <c r="F264" s="33">
        <v>2547</v>
      </c>
      <c r="G264" s="6">
        <f t="shared" si="7"/>
        <v>1.0131712259371831E-2</v>
      </c>
      <c r="H264" s="9">
        <f t="array" ref="H264">(E264-MIN(IF($D$2:$D$268=D264,$E$2:$E$268)))/MIN(IF($D$2:$D$268=D264,$E$2:$E$268))</f>
        <v>0.35000000000000009</v>
      </c>
      <c r="I264" s="10">
        <f t="array" ref="I264">(F264-MIN(IF($D$2:$D$268=D264,$F$2:$F$268)))/MIN(IF($D$2:$D$268=D264,$F$2:$F$268))</f>
        <v>3.5460992907801418E-3</v>
      </c>
    </row>
    <row r="265" spans="1:9" x14ac:dyDescent="0.25">
      <c r="A265" s="13" t="s">
        <v>178</v>
      </c>
      <c r="B265" s="13" t="s">
        <v>40</v>
      </c>
      <c r="C265" s="13" t="s">
        <v>236</v>
      </c>
      <c r="D265" s="13" t="s">
        <v>244</v>
      </c>
      <c r="E265" s="32">
        <v>1.4</v>
      </c>
      <c r="F265" s="33">
        <v>2552</v>
      </c>
      <c r="G265" s="6">
        <f t="shared" si="7"/>
        <v>1.3790386130811667E-2</v>
      </c>
      <c r="H265" s="9">
        <f t="array" ref="H265">(E265-MIN(IF($D$2:$D$268=D265,$E$2:$E$268)))/MIN(IF($D$2:$D$268=D265,$E$2:$E$268))</f>
        <v>0.39999999999999991</v>
      </c>
      <c r="I265" s="10">
        <f t="array" ref="I265">(F265-MIN(IF($D$2:$D$268=D265,$F$2:$F$268)))/MIN(IF($D$2:$D$268=D265,$F$2:$F$268))</f>
        <v>5.5161544523246652E-3</v>
      </c>
    </row>
    <row r="266" spans="1:9" x14ac:dyDescent="0.25">
      <c r="A266" s="13" t="s">
        <v>178</v>
      </c>
      <c r="B266" s="13" t="s">
        <v>40</v>
      </c>
      <c r="C266" s="13" t="s">
        <v>236</v>
      </c>
      <c r="D266" s="13" t="s">
        <v>244</v>
      </c>
      <c r="E266" s="32">
        <v>1.45</v>
      </c>
      <c r="F266" s="33">
        <v>2561</v>
      </c>
      <c r="G266" s="6">
        <f t="shared" si="7"/>
        <v>2.0138341651344014E-2</v>
      </c>
      <c r="H266" s="9">
        <f t="array" ref="H266">(E266-MIN(IF($D$2:$D$268=D266,$E$2:$E$268)))/MIN(IF($D$2:$D$268=D266,$E$2:$E$268))</f>
        <v>0.44999999999999996</v>
      </c>
      <c r="I266" s="10">
        <f t="array" ref="I266">(F266-MIN(IF($D$2:$D$268=D266,$F$2:$F$268)))/MIN(IF($D$2:$D$268=D266,$F$2:$F$268))</f>
        <v>9.0622537431048061E-3</v>
      </c>
    </row>
    <row r="267" spans="1:9" x14ac:dyDescent="0.25">
      <c r="A267" s="13" t="s">
        <v>178</v>
      </c>
      <c r="B267" s="13" t="s">
        <v>40</v>
      </c>
      <c r="C267" s="13" t="s">
        <v>236</v>
      </c>
      <c r="D267" s="13" t="s">
        <v>244</v>
      </c>
      <c r="E267" s="32">
        <v>1.5</v>
      </c>
      <c r="F267" s="33">
        <v>2571</v>
      </c>
      <c r="G267" s="6">
        <f t="shared" si="7"/>
        <v>2.6004728132387706E-2</v>
      </c>
      <c r="H267" s="9">
        <f t="array" ref="H267">(E267-MIN(IF($D$2:$D$268=D267,$E$2:$E$268)))/MIN(IF($D$2:$D$268=D267,$E$2:$E$268))</f>
        <v>0.5</v>
      </c>
      <c r="I267" s="10">
        <f t="array" ref="I267">(F267-MIN(IF($D$2:$D$268=D267,$F$2:$F$268)))/MIN(IF($D$2:$D$268=D267,$F$2:$F$268))</f>
        <v>1.3002364066193853E-2</v>
      </c>
    </row>
    <row r="268" spans="1:9" x14ac:dyDescent="0.25">
      <c r="A268" s="13" t="s">
        <v>178</v>
      </c>
      <c r="B268" s="13" t="s">
        <v>40</v>
      </c>
      <c r="C268" s="13" t="s">
        <v>236</v>
      </c>
      <c r="D268" s="13" t="s">
        <v>244</v>
      </c>
      <c r="E268" s="32">
        <v>1.55</v>
      </c>
      <c r="F268" s="33">
        <v>2585</v>
      </c>
      <c r="G268" s="6">
        <f t="shared" si="7"/>
        <v>3.3670033670033662E-2</v>
      </c>
      <c r="H268" s="9">
        <f t="array" ref="H268">(E268-MIN(IF($D$2:$D$268=D268,$E$2:$E$268)))/MIN(IF($D$2:$D$268=D268,$E$2:$E$268))</f>
        <v>0.55000000000000004</v>
      </c>
      <c r="I268" s="10">
        <f t="array" ref="I268">(F268-MIN(IF($D$2:$D$268=D268,$F$2:$F$268)))/MIN(IF($D$2:$D$268=D268,$F$2:$F$268))</f>
        <v>1.8518518518518517E-2</v>
      </c>
    </row>
    <row r="269" spans="1:9" x14ac:dyDescent="0.25">
      <c r="A269" s="13" t="s">
        <v>178</v>
      </c>
      <c r="B269" s="13" t="s">
        <v>40</v>
      </c>
      <c r="C269" s="13" t="s">
        <v>236</v>
      </c>
      <c r="D269" s="13" t="s">
        <v>244</v>
      </c>
      <c r="E269" s="32">
        <v>1.6</v>
      </c>
      <c r="F269" s="33">
        <v>2613</v>
      </c>
      <c r="G269" s="6">
        <f t="shared" si="7"/>
        <v>4.9251379038613076E-2</v>
      </c>
      <c r="H269" s="9">
        <f t="array" ref="H269">(E269-MIN(IF($D$2:$D$268=D269,$E$2:$E$268)))/MIN(IF($D$2:$D$268=D269,$E$2:$E$268))</f>
        <v>0.60000000000000009</v>
      </c>
      <c r="I269" s="10">
        <f t="array" ref="I269">(F269-MIN(IF($D$2:$D$268=D269,$F$2:$F$268)))/MIN(IF($D$2:$D$268=D269,$F$2:$F$268))</f>
        <v>2.955082742316785E-2</v>
      </c>
    </row>
    <row r="270" spans="1:9" x14ac:dyDescent="0.25">
      <c r="A270" s="13" t="s">
        <v>178</v>
      </c>
      <c r="B270" s="13" t="s">
        <v>40</v>
      </c>
      <c r="C270" s="13" t="s">
        <v>236</v>
      </c>
      <c r="D270" s="13" t="s">
        <v>244</v>
      </c>
      <c r="E270" s="32">
        <v>1.68</v>
      </c>
      <c r="F270" s="33">
        <v>2933</v>
      </c>
      <c r="G270" s="6">
        <f t="shared" si="7"/>
        <v>0.22887405553237847</v>
      </c>
      <c r="H270" s="9">
        <f t="array" ref="H270">(E270-MIN(IF($D$2:$D$268=D270,$E$2:$E$268)))/MIN(IF($D$2:$D$268=D270,$E$2:$E$268))</f>
        <v>0.67999999999999994</v>
      </c>
      <c r="I270" s="10">
        <f t="array" ref="I270">(F270-MIN(IF($D$2:$D$268=D270,$F$2:$F$268)))/MIN(IF($D$2:$D$268=D270,$F$2:$F$268))</f>
        <v>0.15563435776201734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zoomScaleNormal="100" workbookViewId="0"/>
  </sheetViews>
  <sheetFormatPr defaultRowHeight="15" x14ac:dyDescent="0.25"/>
  <cols>
    <col min="1" max="1" width="21.7109375" bestFit="1" customWidth="1"/>
    <col min="2" max="2" width="16.28515625" bestFit="1" customWidth="1"/>
    <col min="3" max="3" width="15.28515625" bestFit="1" customWidth="1"/>
    <col min="4" max="4" width="11.28515625" bestFit="1" customWidth="1"/>
  </cols>
  <sheetData>
    <row r="1" spans="1:10" thickBot="1" x14ac:dyDescent="0.4">
      <c r="B1" s="35" t="s">
        <v>80</v>
      </c>
      <c r="C1" s="35" t="s">
        <v>81</v>
      </c>
      <c r="D1" s="35"/>
      <c r="G1" s="3" t="s">
        <v>256</v>
      </c>
      <c r="H1" s="3"/>
      <c r="I1" s="3"/>
      <c r="J1" s="37">
        <v>0.8</v>
      </c>
    </row>
    <row r="2" spans="1:10" ht="14.45" x14ac:dyDescent="0.35">
      <c r="A2" s="35" t="s">
        <v>250</v>
      </c>
      <c r="B2">
        <f t="array" ref="B2">(AVERAGEIFS(Heating!$F$2:$F$98,Heating!$B$2:$B$98,Calculations!B$1,Heating!$F$2:$F$98,"&lt;"&amp;PERCENTILE(IF(Heating!$B$2:$B$98="Residential",Heating!$F$2:$F$98),Calculations!$J$1)))*-1</f>
        <v>-1.9632560303967932</v>
      </c>
      <c r="C2" s="34">
        <f t="array" ref="C2">(AVERAGEIFS(Heating!$F$2:$F$98,Heating!$B$2:$B$98,Calculations!C$1,Heating!$F$2:$F$98,"&lt;"&amp;PERCENTILE(IF(Heating!$B$2:$B$98="Residential",Heating!$F$2:$F$98),Calculations!$J$1)))*-1</f>
        <v>-1.5119773806600256</v>
      </c>
    </row>
    <row r="3" spans="1:10" ht="14.45" x14ac:dyDescent="0.35">
      <c r="A3" s="35" t="s">
        <v>251</v>
      </c>
      <c r="B3" s="34">
        <f t="array" ref="B3">(AVERAGEIFS(Cooling!$G$2:$G$153,Cooling!$B$2:$B$153,Calculations!B$1,Cooling!$G$2:$G$153,"&lt;"&amp;PERCENTILE(IF(Cooling!$B$2:$B$153="Residential",Cooling!$G$2:$G$153),Calculations!$J$1)))*-1</f>
        <v>-0.66332180253455553</v>
      </c>
      <c r="C3" s="34">
        <f t="array" ref="C3">(AVERAGEIFS(Cooling!$G$2:$G$153,Cooling!$B$2:$B$153,Calculations!C$1,Cooling!$G$2:$G$153,"&lt;"&amp;PERCENTILE(IF(Cooling!$B$2:$B$153="Residential",Cooling!$G$2:$G$153),Calculations!$J$1)))*-1</f>
        <v>-0.61728639284403808</v>
      </c>
    </row>
    <row r="4" spans="1:10" ht="14.45" x14ac:dyDescent="0.35">
      <c r="A4" s="35" t="s">
        <v>252</v>
      </c>
      <c r="B4" s="34">
        <f>AVERAGE(B2:B3)</f>
        <v>-1.3132889164656745</v>
      </c>
      <c r="C4" s="34">
        <f>AVERAGE(C2:C3)</f>
        <v>-1.0646318867520319</v>
      </c>
    </row>
    <row r="5" spans="1:10" ht="14.45" x14ac:dyDescent="0.35">
      <c r="A5" s="35" t="s">
        <v>253</v>
      </c>
      <c r="B5" s="40">
        <f t="array" ref="B5">AVERAGEIFS(Lighting!$N$2:$N$79,Lighting!$B$2:$B$79,Calculations!B1,Lighting!$Q$2:$Q$79,"Include",Lighting!$N$2:$N$79,"&lt;"&amp;PERCENTILE(IF(Lighting!$B$2:$B$79=Calculations!B1,IF(Lighting!$Q$2:$Q$79="Include",Lighting!$N$2:$N$79)),Calculations!$J$1))*-1</f>
        <v>-2.8316462126720681</v>
      </c>
      <c r="C5" s="40">
        <f t="array" ref="C5">AVERAGEIFS(Lighting!$N$2:$N$79,Lighting!$B$2:$B$79,Calculations!C1,Lighting!$Q$2:$Q$79,"Include",Lighting!$N$2:$N$79,"&lt;"&amp;PERCENTILE(IF(Lighting!$B$2:$B$79=Calculations!C1,IF(Lighting!$Q$2:$Q$79="Include",Lighting!$N$2:$N$79)),Calculations!$J$1))*-1</f>
        <v>-0.48017747931496696</v>
      </c>
      <c r="D5" s="40"/>
    </row>
    <row r="6" spans="1:10" ht="14.45" x14ac:dyDescent="0.35">
      <c r="A6" s="35" t="s">
        <v>254</v>
      </c>
      <c r="B6" s="34">
        <f t="array" ref="B6">(AVERAGEIFS(Appliances!$G$2:$G$283,Appliances!$B$2:$B$283,Calculations!B$1,Appliances!$G$2:$G$283,"&lt;"&amp;PERCENTILE(IF(Appliances!$B$2:$B$283="Residential",Appliances!$G$2:$G$283),Calculations!$J$1)))*-1</f>
        <v>-0.3796095320389743</v>
      </c>
      <c r="C6" s="34">
        <f t="array" ref="C6">(AVERAGEIFS(Appliances!$G$2:$G$283,Appliances!$B$2:$B$283,Calculations!C$1,Appliances!$G$2:$G$283,"&lt;"&amp;PERCENTILE(IF(Appliances!$B$2:$B$283="Residential",Appliances!$G$2:$G$283),Calculations!$J$1)))*-1</f>
        <v>-0.43470948194668724</v>
      </c>
    </row>
    <row r="7" spans="1:10" ht="14.45" x14ac:dyDescent="0.35">
      <c r="A7" s="35" t="s">
        <v>255</v>
      </c>
      <c r="B7" s="34">
        <f t="array" ref="B7">(AVERAGEIFS('Other Equipment'!$G$2:$G$283,'Other Equipment'!$B$2:$B$283,Calculations!B$1,'Other Equipment'!$G$2:$G$283,"&lt;"&amp;PERCENTILE(IF('Other Equipment'!$B$2:$B$283="Residential",'Other Equipment'!$G$2:$G$283),Calculations!$J$1)))*-1</f>
        <v>-0.39081776970046289</v>
      </c>
      <c r="C7" s="34">
        <f t="array" ref="C7">(AVERAGEIFS('Other Equipment'!$G$2:$G$283,'Other Equipment'!$B$2:$B$283,Calculations!C$1,'Other Equipment'!$G$2:$G$283,"&lt;"&amp;PERCENTILE(IF('Other Equipment'!$B$2:$B$283="Residential",'Other Equipment'!$G$2:$G$283),Calculations!$J$1)))*-1</f>
        <v>-0.42999747992491139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D7"/>
  <sheetViews>
    <sheetView workbookViewId="0"/>
  </sheetViews>
  <sheetFormatPr defaultRowHeight="15" x14ac:dyDescent="0.25"/>
  <cols>
    <col min="1" max="1" width="23.42578125" customWidth="1"/>
    <col min="2" max="2" width="19.28515625" customWidth="1"/>
    <col min="3" max="3" width="18.5703125" customWidth="1"/>
    <col min="4" max="4" width="15" customWidth="1"/>
  </cols>
  <sheetData>
    <row r="1" spans="1:4" ht="30" x14ac:dyDescent="0.25">
      <c r="A1" s="55" t="s">
        <v>315</v>
      </c>
      <c r="B1" s="50" t="s">
        <v>300</v>
      </c>
      <c r="C1" s="50" t="s">
        <v>301</v>
      </c>
      <c r="D1" s="50" t="s">
        <v>40</v>
      </c>
    </row>
    <row r="2" spans="1:4" x14ac:dyDescent="0.35">
      <c r="A2" s="49" t="s">
        <v>250</v>
      </c>
      <c r="B2" s="51">
        <f>Calculations!B2</f>
        <v>-1.9632560303967932</v>
      </c>
      <c r="C2" s="51">
        <f>Calculations!B2</f>
        <v>-1.9632560303967932</v>
      </c>
      <c r="D2" s="51">
        <f>Calculations!C2</f>
        <v>-1.5119773806600256</v>
      </c>
    </row>
    <row r="3" spans="1:4" x14ac:dyDescent="0.35">
      <c r="A3" s="49" t="s">
        <v>251</v>
      </c>
      <c r="B3" s="51">
        <f>Calculations!B3</f>
        <v>-0.66332180253455553</v>
      </c>
      <c r="C3" s="51">
        <f>Calculations!B3</f>
        <v>-0.66332180253455553</v>
      </c>
      <c r="D3" s="51">
        <f>Calculations!C3</f>
        <v>-0.61728639284403808</v>
      </c>
    </row>
    <row r="4" spans="1:4" x14ac:dyDescent="0.35">
      <c r="A4" s="49" t="s">
        <v>252</v>
      </c>
      <c r="B4" s="51">
        <f>Calculations!B4</f>
        <v>-1.3132889164656745</v>
      </c>
      <c r="C4" s="51">
        <f>Calculations!B4</f>
        <v>-1.3132889164656745</v>
      </c>
      <c r="D4" s="51">
        <f>Calculations!C4</f>
        <v>-1.0646318867520319</v>
      </c>
    </row>
    <row r="5" spans="1:4" x14ac:dyDescent="0.35">
      <c r="A5" s="49" t="s">
        <v>253</v>
      </c>
      <c r="B5" s="51">
        <f>Calculations!B5</f>
        <v>-2.8316462126720681</v>
      </c>
      <c r="C5" s="51">
        <f>Calculations!B5</f>
        <v>-2.8316462126720681</v>
      </c>
      <c r="D5" s="51">
        <f>Calculations!C5</f>
        <v>-0.48017747931496696</v>
      </c>
    </row>
    <row r="6" spans="1:4" x14ac:dyDescent="0.35">
      <c r="A6" s="49" t="s">
        <v>254</v>
      </c>
      <c r="B6" s="51">
        <f>Calculations!B6</f>
        <v>-0.3796095320389743</v>
      </c>
      <c r="C6" s="51">
        <f>Calculations!B6</f>
        <v>-0.3796095320389743</v>
      </c>
      <c r="D6" s="51">
        <f>Calculations!C6</f>
        <v>-0.43470948194668724</v>
      </c>
    </row>
    <row r="7" spans="1:4" x14ac:dyDescent="0.35">
      <c r="A7" s="49" t="s">
        <v>255</v>
      </c>
      <c r="B7" s="51">
        <f>Calculations!B7</f>
        <v>-0.39081776970046289</v>
      </c>
      <c r="C7" s="51">
        <f>Calculations!B7</f>
        <v>-0.39081776970046289</v>
      </c>
      <c r="D7" s="51">
        <f>Calculations!C7</f>
        <v>-0.42999747992491139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11319FF2-EF59-48A6-B600-CE7B5248EFAB}"/>
</file>

<file path=customXml/itemProps2.xml><?xml version="1.0" encoding="utf-8"?>
<ds:datastoreItem xmlns:ds="http://schemas.openxmlformats.org/officeDocument/2006/customXml" ds:itemID="{D318CF3F-23CE-4FB7-8FD4-28439C1E2B53}"/>
</file>

<file path=customXml/itemProps3.xml><?xml version="1.0" encoding="utf-8"?>
<ds:datastoreItem xmlns:ds="http://schemas.openxmlformats.org/officeDocument/2006/customXml" ds:itemID="{918B59E2-C42A-450A-90B0-E74ABBDF70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Heating</vt:lpstr>
      <vt:lpstr>Cooling</vt:lpstr>
      <vt:lpstr>Appliances</vt:lpstr>
      <vt:lpstr>Lighting</vt:lpstr>
      <vt:lpstr>Other Equipment</vt:lpstr>
      <vt:lpstr>Calculations</vt:lpstr>
      <vt:lpstr>EoCPwEU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Megan Mahajan</cp:lastModifiedBy>
  <dcterms:created xsi:type="dcterms:W3CDTF">2016-07-14T16:43:33Z</dcterms:created>
  <dcterms:modified xsi:type="dcterms:W3CDTF">2019-08-20T16:47:12Z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ies>
</file>